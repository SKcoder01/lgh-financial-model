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steph\Desktop\lgh-financial-model\"/>
    </mc:Choice>
  </mc:AlternateContent>
  <xr:revisionPtr revIDLastSave="0" documentId="8_{B6C7804F-E815-410C-AFBE-F7491BC19C62}" xr6:coauthVersionLast="47" xr6:coauthVersionMax="47" xr10:uidLastSave="{00000000-0000-0000-0000-000000000000}"/>
  <bookViews>
    <workbookView xWindow="-110" yWindow="-110" windowWidth="25820" windowHeight="15500" tabRatio="953" firstSheet="14" activeTab="26" xr2:uid="{00000000-000D-0000-FFFF-FFFF00000000}"/>
  </bookViews>
  <sheets>
    <sheet name="registry" sheetId="1" r:id="rId1"/>
    <sheet name="lgh_returns" sheetId="2" r:id="rId2"/>
    <sheet name="lgh_inputs" sheetId="3" r:id="rId3"/>
    <sheet name="lgh_bs" sheetId="5" r:id="rId4"/>
    <sheet name="lgh_bs_errata" sheetId="6" r:id="rId5"/>
    <sheet name="lgh_bs_qr" sheetId="7" r:id="rId6"/>
    <sheet name="lgh_oc" sheetId="9" r:id="rId7"/>
    <sheet name="lgh_ci" sheetId="8" r:id="rId8"/>
    <sheet name="lgh_cuda" sheetId="10" r:id="rId9"/>
    <sheet name="lgh_equity" sheetId="11" r:id="rId10"/>
    <sheet name="lgh_pref_equity" sheetId="12" r:id="rId11"/>
    <sheet name="lgh_debt" sheetId="13" r:id="rId12"/>
    <sheet name="lgh_other_liabs" sheetId="14" r:id="rId13"/>
    <sheet name="lgh_other_assets" sheetId="15" r:id="rId14"/>
    <sheet name="lgh_manco" sheetId="16" r:id="rId15"/>
    <sheet name="pink_cs2" sheetId="17" r:id="rId16"/>
    <sheet name="elbow_cs2" sheetId="18" r:id="rId17"/>
    <sheet name="aus_cs2" sheetId="19" r:id="rId18"/>
    <sheet name="turks_cs2" sheetId="20" r:id="rId19"/>
    <sheet name="frith_cs2" sheetId="21" r:id="rId20"/>
    <sheet name="sat_cs2" sheetId="22" r:id="rId21"/>
    <sheet name="lgh_diags" sheetId="4" r:id="rId22"/>
    <sheet name="c12_inputs" sheetId="23" r:id="rId23"/>
    <sheet name="c12_oc" sheetId="24" r:id="rId24"/>
    <sheet name="c12_bs" sheetId="25" r:id="rId25"/>
    <sheet name="c12_hm" sheetId="26" r:id="rId26"/>
    <sheet name="c12_d&amp;s" sheetId="27" r:id="rId27"/>
    <sheet name="c12_bi&amp;F" sheetId="28" r:id="rId28"/>
    <sheet name=".c12_inputs.hr" sheetId="29" r:id="rId29"/>
    <sheet name=".c12_oc_hr" sheetId="30" r:id="rId30"/>
    <sheet name=".c12_hm_hr" sheetId="31" r:id="rId31"/>
    <sheet name=".c12_d&amp;s_hr" sheetId="32" r:id="rId32"/>
    <sheet name=".c12_bi&amp;f_hr" sheetId="33" r:id="rId33"/>
    <sheet name=".c12_alloc" sheetId="34" r:id="rId34"/>
  </sheets>
  <definedNames>
    <definedName name="DepartmentNum">'.c12_inputs.hr'!$E$4</definedName>
    <definedName name="_xlnm.Print_Area" localSheetId="0">registry!$K$38:$L$76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7" l="1"/>
  <c r="C21" i="7"/>
  <c r="C19" i="7"/>
  <c r="C1" i="7" a="1"/>
  <c r="C1" i="7" s="1"/>
  <c r="E40" i="6"/>
  <c r="E38" i="6"/>
  <c r="E53" i="5"/>
  <c r="F53" i="5"/>
  <c r="G53" i="5"/>
  <c r="H53" i="5"/>
  <c r="B18" i="1"/>
  <c r="D12" i="5" s="1"/>
  <c r="Q57" i="28"/>
  <c r="W57" i="28" s="1"/>
  <c r="P57" i="28"/>
  <c r="V57" i="28" s="1"/>
  <c r="O57" i="28"/>
  <c r="U57" i="28" s="1"/>
  <c r="N57" i="28"/>
  <c r="T57" i="28" s="1"/>
  <c r="M57" i="28"/>
  <c r="S57" i="28" s="1"/>
  <c r="L57" i="28"/>
  <c r="R57" i="28" s="1"/>
  <c r="Q57" i="27"/>
  <c r="W57" i="27" s="1"/>
  <c r="P57" i="27"/>
  <c r="V57" i="27" s="1"/>
  <c r="O57" i="27"/>
  <c r="U57" i="27" s="1"/>
  <c r="N57" i="27"/>
  <c r="T57" i="27" s="1"/>
  <c r="M57" i="27"/>
  <c r="S57" i="27" s="1"/>
  <c r="L57" i="27"/>
  <c r="R57" i="27" s="1"/>
  <c r="M57" i="26"/>
  <c r="N57" i="26"/>
  <c r="O57" i="26"/>
  <c r="P57" i="26"/>
  <c r="Q57" i="26"/>
  <c r="S57" i="26"/>
  <c r="T57" i="26"/>
  <c r="U57" i="26"/>
  <c r="V57" i="26"/>
  <c r="W57" i="26"/>
  <c r="L57" i="26"/>
  <c r="R57" i="26" s="1"/>
  <c r="M37" i="24"/>
  <c r="N37" i="24"/>
  <c r="O37" i="24"/>
  <c r="M38" i="24"/>
  <c r="N38" i="24"/>
  <c r="O38" i="24"/>
  <c r="P38" i="24"/>
  <c r="Q38" i="24"/>
  <c r="S38" i="24"/>
  <c r="T38" i="24"/>
  <c r="U38" i="24"/>
  <c r="V38" i="24"/>
  <c r="W38" i="24"/>
  <c r="L37" i="24"/>
  <c r="L38" i="24"/>
  <c r="R38" i="24" s="1"/>
  <c r="AS23" i="4"/>
  <c r="AS21" i="4"/>
  <c r="AS19" i="4"/>
  <c r="AS1" i="4" a="1"/>
  <c r="AS1" i="4" s="1"/>
  <c r="H49" i="34"/>
  <c r="G49" i="34"/>
  <c r="F49" i="34"/>
  <c r="E49" i="34"/>
  <c r="H48" i="34"/>
  <c r="G48" i="34"/>
  <c r="F48" i="34"/>
  <c r="E48" i="34"/>
  <c r="H47" i="34"/>
  <c r="G47" i="34"/>
  <c r="F47" i="34"/>
  <c r="E47" i="34"/>
  <c r="H46" i="34"/>
  <c r="G46" i="34"/>
  <c r="F46" i="34"/>
  <c r="E46" i="34"/>
  <c r="H45" i="34"/>
  <c r="G45" i="34"/>
  <c r="F45" i="34"/>
  <c r="E45" i="34"/>
  <c r="H44" i="34"/>
  <c r="G44" i="34"/>
  <c r="F44" i="34"/>
  <c r="E44" i="34"/>
  <c r="H43" i="34"/>
  <c r="G43" i="34"/>
  <c r="F43" i="34"/>
  <c r="E43" i="34"/>
  <c r="H42" i="34"/>
  <c r="G42" i="34"/>
  <c r="F42" i="34"/>
  <c r="E42" i="34"/>
  <c r="H41" i="34"/>
  <c r="G41" i="34"/>
  <c r="F41" i="34"/>
  <c r="E41" i="34"/>
  <c r="H40" i="34"/>
  <c r="G40" i="34"/>
  <c r="F40" i="34"/>
  <c r="E40" i="34"/>
  <c r="H39" i="34"/>
  <c r="G39" i="34"/>
  <c r="F39" i="34"/>
  <c r="E39" i="34"/>
  <c r="H38" i="34"/>
  <c r="G38" i="34"/>
  <c r="F38" i="34"/>
  <c r="E38" i="34"/>
  <c r="H34" i="34"/>
  <c r="G34" i="34"/>
  <c r="F34" i="34"/>
  <c r="E34" i="34"/>
  <c r="H33" i="34"/>
  <c r="G33" i="34"/>
  <c r="F33" i="34"/>
  <c r="E33" i="34"/>
  <c r="H32" i="34"/>
  <c r="G32" i="34"/>
  <c r="F32" i="34"/>
  <c r="E32" i="34"/>
  <c r="H31" i="34"/>
  <c r="G31" i="34"/>
  <c r="F31" i="34"/>
  <c r="E31" i="34"/>
  <c r="H30" i="34"/>
  <c r="G30" i="34"/>
  <c r="F30" i="34"/>
  <c r="E30" i="34"/>
  <c r="H29" i="34"/>
  <c r="G29" i="34"/>
  <c r="F29" i="34"/>
  <c r="E29" i="34"/>
  <c r="H28" i="34"/>
  <c r="G28" i="34"/>
  <c r="F28" i="34"/>
  <c r="E28" i="34"/>
  <c r="H27" i="34"/>
  <c r="G27" i="34"/>
  <c r="F27" i="34"/>
  <c r="E27" i="34"/>
  <c r="H26" i="34"/>
  <c r="G26" i="34"/>
  <c r="F26" i="34"/>
  <c r="E26" i="34"/>
  <c r="H25" i="34"/>
  <c r="G25" i="34"/>
  <c r="F25" i="34"/>
  <c r="E25" i="34"/>
  <c r="H24" i="34"/>
  <c r="G24" i="34"/>
  <c r="F24" i="34"/>
  <c r="E24" i="34"/>
  <c r="H20" i="34"/>
  <c r="G20" i="34"/>
  <c r="F20" i="34"/>
  <c r="E20" i="34"/>
  <c r="H19" i="34"/>
  <c r="G19" i="34"/>
  <c r="F19" i="34"/>
  <c r="E19" i="34"/>
  <c r="H18" i="34"/>
  <c r="G18" i="34"/>
  <c r="F18" i="34"/>
  <c r="E18" i="34"/>
  <c r="H17" i="34"/>
  <c r="G17" i="34"/>
  <c r="F17" i="34"/>
  <c r="E17" i="34"/>
  <c r="H16" i="34"/>
  <c r="G16" i="34"/>
  <c r="F16" i="34"/>
  <c r="E16" i="34"/>
  <c r="H15" i="34"/>
  <c r="G15" i="34"/>
  <c r="F15" i="34"/>
  <c r="E15" i="34"/>
  <c r="H11" i="34"/>
  <c r="G11" i="34"/>
  <c r="F11" i="34"/>
  <c r="E11" i="34"/>
  <c r="H10" i="34"/>
  <c r="G10" i="34"/>
  <c r="F10" i="34"/>
  <c r="E10" i="34"/>
  <c r="H9" i="34"/>
  <c r="G9" i="34"/>
  <c r="F9" i="34"/>
  <c r="E9" i="34"/>
  <c r="H8" i="34"/>
  <c r="G8" i="34"/>
  <c r="F8" i="34"/>
  <c r="E8" i="34"/>
  <c r="H7" i="34"/>
  <c r="G7" i="34"/>
  <c r="F7" i="34"/>
  <c r="E7" i="34"/>
  <c r="H6" i="34"/>
  <c r="G6" i="34"/>
  <c r="F6" i="34"/>
  <c r="E6" i="34"/>
  <c r="W47" i="33"/>
  <c r="V47" i="33"/>
  <c r="U47" i="33"/>
  <c r="T47" i="33"/>
  <c r="S47" i="33"/>
  <c r="R47" i="33"/>
  <c r="Q47" i="33"/>
  <c r="P47" i="33"/>
  <c r="O47" i="33"/>
  <c r="N47" i="33"/>
  <c r="M47" i="33"/>
  <c r="L47" i="33"/>
  <c r="A47" i="33"/>
  <c r="W46" i="33"/>
  <c r="V46" i="33"/>
  <c r="U46" i="33"/>
  <c r="T46" i="33"/>
  <c r="S46" i="33"/>
  <c r="R46" i="33"/>
  <c r="Q46" i="33"/>
  <c r="P46" i="33"/>
  <c r="O46" i="33"/>
  <c r="N46" i="33"/>
  <c r="M46" i="33"/>
  <c r="L46" i="33"/>
  <c r="A46" i="33"/>
  <c r="W45" i="33"/>
  <c r="V45" i="33"/>
  <c r="U45" i="33"/>
  <c r="T45" i="33"/>
  <c r="S45" i="33"/>
  <c r="R45" i="33"/>
  <c r="Q45" i="33"/>
  <c r="P45" i="33"/>
  <c r="O45" i="33"/>
  <c r="N45" i="33"/>
  <c r="M45" i="33"/>
  <c r="L45" i="33"/>
  <c r="A45" i="33"/>
  <c r="W44" i="33"/>
  <c r="V44" i="33"/>
  <c r="U44" i="33"/>
  <c r="T44" i="33"/>
  <c r="S44" i="33"/>
  <c r="R44" i="33"/>
  <c r="Q44" i="33"/>
  <c r="P44" i="33"/>
  <c r="O44" i="33"/>
  <c r="N44" i="33"/>
  <c r="M44" i="33"/>
  <c r="L44" i="33"/>
  <c r="A44" i="33"/>
  <c r="W43" i="33"/>
  <c r="V43" i="33"/>
  <c r="U43" i="33"/>
  <c r="T43" i="33"/>
  <c r="S43" i="33"/>
  <c r="R43" i="33"/>
  <c r="Q43" i="33"/>
  <c r="P43" i="33"/>
  <c r="O43" i="33"/>
  <c r="N43" i="33"/>
  <c r="M43" i="33"/>
  <c r="L43" i="33"/>
  <c r="A43" i="33"/>
  <c r="W42" i="33"/>
  <c r="V42" i="33"/>
  <c r="U42" i="33"/>
  <c r="T42" i="33"/>
  <c r="S42" i="33"/>
  <c r="R42" i="33"/>
  <c r="Q42" i="33"/>
  <c r="P42" i="33"/>
  <c r="O42" i="33"/>
  <c r="N42" i="33"/>
  <c r="M42" i="33"/>
  <c r="L42" i="33"/>
  <c r="A42" i="33"/>
  <c r="W41" i="33"/>
  <c r="V41" i="33"/>
  <c r="U41" i="33"/>
  <c r="T41" i="33"/>
  <c r="S41" i="33"/>
  <c r="R41" i="33"/>
  <c r="Q41" i="33"/>
  <c r="P41" i="33"/>
  <c r="O41" i="33"/>
  <c r="N41" i="33"/>
  <c r="M41" i="33"/>
  <c r="L41" i="33"/>
  <c r="A41" i="33"/>
  <c r="W40" i="33"/>
  <c r="V40" i="33"/>
  <c r="U40" i="33"/>
  <c r="T40" i="33"/>
  <c r="S40" i="33"/>
  <c r="R40" i="33"/>
  <c r="Q40" i="33"/>
  <c r="P40" i="33"/>
  <c r="O40" i="33"/>
  <c r="N40" i="33"/>
  <c r="M40" i="33"/>
  <c r="L40" i="33"/>
  <c r="A40" i="33"/>
  <c r="W39" i="33"/>
  <c r="V39" i="33"/>
  <c r="U39" i="33"/>
  <c r="T39" i="33"/>
  <c r="S39" i="33"/>
  <c r="R39" i="33"/>
  <c r="Q39" i="33"/>
  <c r="P39" i="33"/>
  <c r="O39" i="33"/>
  <c r="N39" i="33"/>
  <c r="M39" i="33"/>
  <c r="L39" i="33"/>
  <c r="A39" i="33"/>
  <c r="W38" i="33"/>
  <c r="V38" i="33"/>
  <c r="U38" i="33"/>
  <c r="T38" i="33"/>
  <c r="S38" i="33"/>
  <c r="R38" i="33"/>
  <c r="Q38" i="33"/>
  <c r="P38" i="33"/>
  <c r="O38" i="33"/>
  <c r="N38" i="33"/>
  <c r="M38" i="33"/>
  <c r="L38" i="33"/>
  <c r="A38" i="33"/>
  <c r="W37" i="33"/>
  <c r="V37" i="33"/>
  <c r="U37" i="33"/>
  <c r="T37" i="33"/>
  <c r="S37" i="33"/>
  <c r="R37" i="33"/>
  <c r="Q37" i="33"/>
  <c r="P37" i="33"/>
  <c r="O37" i="33"/>
  <c r="N37" i="33"/>
  <c r="M37" i="33"/>
  <c r="L37" i="33"/>
  <c r="A37" i="33"/>
  <c r="W36" i="33"/>
  <c r="V36" i="33"/>
  <c r="U36" i="33"/>
  <c r="T36" i="33"/>
  <c r="S36" i="33"/>
  <c r="R36" i="33"/>
  <c r="Q36" i="33"/>
  <c r="P36" i="33"/>
  <c r="O36" i="33"/>
  <c r="N36" i="33"/>
  <c r="M36" i="33"/>
  <c r="L36" i="33"/>
  <c r="A36" i="33"/>
  <c r="W33" i="33"/>
  <c r="V33" i="33"/>
  <c r="U33" i="33"/>
  <c r="T33" i="33"/>
  <c r="S33" i="33"/>
  <c r="R33" i="33"/>
  <c r="Q33" i="33"/>
  <c r="P33" i="33"/>
  <c r="O33" i="33"/>
  <c r="N33" i="33"/>
  <c r="M33" i="33"/>
  <c r="L33" i="33"/>
  <c r="A32" i="33"/>
  <c r="A31" i="33"/>
  <c r="A30" i="33"/>
  <c r="A29" i="33"/>
  <c r="A28" i="33"/>
  <c r="A27" i="33"/>
  <c r="A26" i="33"/>
  <c r="A25" i="33"/>
  <c r="A24" i="33"/>
  <c r="A23" i="33"/>
  <c r="A22" i="33"/>
  <c r="A21" i="33"/>
  <c r="W18" i="33"/>
  <c r="V18" i="33"/>
  <c r="U18" i="33"/>
  <c r="T18" i="33"/>
  <c r="S18" i="33"/>
  <c r="R18" i="33"/>
  <c r="Q18" i="33"/>
  <c r="P18" i="33"/>
  <c r="O18" i="33"/>
  <c r="N18" i="33"/>
  <c r="M18" i="33"/>
  <c r="L18" i="33"/>
  <c r="W44" i="32"/>
  <c r="V44" i="32"/>
  <c r="U44" i="32"/>
  <c r="T44" i="32"/>
  <c r="S44" i="32"/>
  <c r="R44" i="32"/>
  <c r="Q44" i="32"/>
  <c r="P44" i="32"/>
  <c r="O44" i="32"/>
  <c r="N44" i="32"/>
  <c r="M44" i="32"/>
  <c r="L44" i="32"/>
  <c r="A44" i="32"/>
  <c r="W43" i="32"/>
  <c r="V43" i="32"/>
  <c r="U43" i="32"/>
  <c r="T43" i="32"/>
  <c r="S43" i="32"/>
  <c r="R43" i="32"/>
  <c r="Q43" i="32"/>
  <c r="P43" i="32"/>
  <c r="O43" i="32"/>
  <c r="N43" i="32"/>
  <c r="M43" i="32"/>
  <c r="L43" i="32"/>
  <c r="A43" i="32"/>
  <c r="W42" i="32"/>
  <c r="V42" i="32"/>
  <c r="U42" i="32"/>
  <c r="T42" i="32"/>
  <c r="S42" i="32"/>
  <c r="R42" i="32"/>
  <c r="Q42" i="32"/>
  <c r="P42" i="32"/>
  <c r="O42" i="32"/>
  <c r="N42" i="32"/>
  <c r="M42" i="32"/>
  <c r="L42" i="32"/>
  <c r="A42" i="32"/>
  <c r="W41" i="32"/>
  <c r="V41" i="32"/>
  <c r="U41" i="32"/>
  <c r="T41" i="32"/>
  <c r="S41" i="32"/>
  <c r="R41" i="32"/>
  <c r="Q41" i="32"/>
  <c r="P41" i="32"/>
  <c r="O41" i="32"/>
  <c r="N41" i="32"/>
  <c r="M41" i="32"/>
  <c r="L41" i="32"/>
  <c r="A41" i="32"/>
  <c r="W40" i="32"/>
  <c r="V40" i="32"/>
  <c r="U40" i="32"/>
  <c r="T40" i="32"/>
  <c r="S40" i="32"/>
  <c r="R40" i="32"/>
  <c r="Q40" i="32"/>
  <c r="P40" i="32"/>
  <c r="O40" i="32"/>
  <c r="N40" i="32"/>
  <c r="M40" i="32"/>
  <c r="L40" i="32"/>
  <c r="A40" i="32"/>
  <c r="W39" i="32"/>
  <c r="V39" i="32"/>
  <c r="U39" i="32"/>
  <c r="T39" i="32"/>
  <c r="S39" i="32"/>
  <c r="R39" i="32"/>
  <c r="Q39" i="32"/>
  <c r="P39" i="32"/>
  <c r="O39" i="32"/>
  <c r="N39" i="32"/>
  <c r="M39" i="32"/>
  <c r="L39" i="32"/>
  <c r="A39" i="32"/>
  <c r="W38" i="32"/>
  <c r="V38" i="32"/>
  <c r="U38" i="32"/>
  <c r="T38" i="32"/>
  <c r="S38" i="32"/>
  <c r="R38" i="32"/>
  <c r="Q38" i="32"/>
  <c r="P38" i="32"/>
  <c r="O38" i="32"/>
  <c r="N38" i="32"/>
  <c r="M38" i="32"/>
  <c r="L38" i="32"/>
  <c r="A38" i="32"/>
  <c r="W37" i="32"/>
  <c r="V37" i="32"/>
  <c r="U37" i="32"/>
  <c r="T37" i="32"/>
  <c r="S37" i="32"/>
  <c r="R37" i="32"/>
  <c r="Q37" i="32"/>
  <c r="P37" i="32"/>
  <c r="O37" i="32"/>
  <c r="N37" i="32"/>
  <c r="M37" i="32"/>
  <c r="L37" i="32"/>
  <c r="A37" i="32"/>
  <c r="W36" i="32"/>
  <c r="V36" i="32"/>
  <c r="U36" i="32"/>
  <c r="T36" i="32"/>
  <c r="S36" i="32"/>
  <c r="R36" i="32"/>
  <c r="Q36" i="32"/>
  <c r="P36" i="32"/>
  <c r="O36" i="32"/>
  <c r="N36" i="32"/>
  <c r="M36" i="32"/>
  <c r="L36" i="32"/>
  <c r="A36" i="32"/>
  <c r="W35" i="32"/>
  <c r="V35" i="32"/>
  <c r="U35" i="32"/>
  <c r="T35" i="32"/>
  <c r="S35" i="32"/>
  <c r="R35" i="32"/>
  <c r="Q35" i="32"/>
  <c r="P35" i="32"/>
  <c r="O35" i="32"/>
  <c r="N35" i="32"/>
  <c r="M35" i="32"/>
  <c r="L35" i="32"/>
  <c r="A35" i="32"/>
  <c r="W34" i="32"/>
  <c r="V34" i="32"/>
  <c r="U34" i="32"/>
  <c r="T34" i="32"/>
  <c r="S34" i="32"/>
  <c r="R34" i="32"/>
  <c r="Q34" i="32"/>
  <c r="P34" i="32"/>
  <c r="O34" i="32"/>
  <c r="N34" i="32"/>
  <c r="M34" i="32"/>
  <c r="L34" i="32"/>
  <c r="A34" i="32"/>
  <c r="A30" i="32"/>
  <c r="A29" i="32"/>
  <c r="A28" i="32"/>
  <c r="A27" i="32"/>
  <c r="A26" i="32"/>
  <c r="A25" i="32"/>
  <c r="A24" i="32"/>
  <c r="A23" i="32"/>
  <c r="A22" i="32"/>
  <c r="A21" i="32"/>
  <c r="A20" i="32"/>
  <c r="W17" i="32"/>
  <c r="V17" i="32"/>
  <c r="U17" i="32"/>
  <c r="T17" i="32"/>
  <c r="S17" i="32"/>
  <c r="R17" i="32"/>
  <c r="Q17" i="32"/>
  <c r="P17" i="32"/>
  <c r="O17" i="32"/>
  <c r="N17" i="32"/>
  <c r="M17" i="32"/>
  <c r="L17" i="32"/>
  <c r="W29" i="31"/>
  <c r="V29" i="31"/>
  <c r="U29" i="31"/>
  <c r="T29" i="31"/>
  <c r="S29" i="31"/>
  <c r="R29" i="31"/>
  <c r="Q29" i="31"/>
  <c r="P29" i="31"/>
  <c r="O29" i="31"/>
  <c r="N29" i="31"/>
  <c r="M29" i="31"/>
  <c r="L29" i="31"/>
  <c r="W28" i="31"/>
  <c r="V28" i="31"/>
  <c r="U28" i="31"/>
  <c r="T28" i="31"/>
  <c r="S28" i="31"/>
  <c r="R28" i="31"/>
  <c r="Q28" i="31"/>
  <c r="P28" i="31"/>
  <c r="O28" i="31"/>
  <c r="N28" i="31"/>
  <c r="M28" i="31"/>
  <c r="L28" i="31"/>
  <c r="W27" i="31"/>
  <c r="V27" i="31"/>
  <c r="U27" i="31"/>
  <c r="T27" i="31"/>
  <c r="S27" i="31"/>
  <c r="R27" i="31"/>
  <c r="Q27" i="31"/>
  <c r="P27" i="31"/>
  <c r="O27" i="31"/>
  <c r="N27" i="31"/>
  <c r="M27" i="31"/>
  <c r="L27" i="31"/>
  <c r="W26" i="31"/>
  <c r="V26" i="31"/>
  <c r="U26" i="31"/>
  <c r="T26" i="31"/>
  <c r="S26" i="31"/>
  <c r="R26" i="31"/>
  <c r="Q26" i="31"/>
  <c r="P26" i="31"/>
  <c r="O26" i="31"/>
  <c r="N26" i="31"/>
  <c r="M26" i="31"/>
  <c r="L26" i="31"/>
  <c r="W25" i="31"/>
  <c r="V25" i="31"/>
  <c r="U25" i="31"/>
  <c r="T25" i="31"/>
  <c r="S25" i="31"/>
  <c r="R25" i="31"/>
  <c r="Q25" i="31"/>
  <c r="P25" i="31"/>
  <c r="O25" i="31"/>
  <c r="N25" i="31"/>
  <c r="M25" i="31"/>
  <c r="L25" i="31"/>
  <c r="W24" i="31"/>
  <c r="V24" i="31"/>
  <c r="U24" i="31"/>
  <c r="T24" i="31"/>
  <c r="S24" i="31"/>
  <c r="R24" i="31"/>
  <c r="Q24" i="31"/>
  <c r="P24" i="31"/>
  <c r="O24" i="31"/>
  <c r="N24" i="31"/>
  <c r="M24" i="31"/>
  <c r="L24" i="31"/>
  <c r="W21" i="31"/>
  <c r="V21" i="31"/>
  <c r="U21" i="31"/>
  <c r="T21" i="31"/>
  <c r="S21" i="31"/>
  <c r="R21" i="31"/>
  <c r="Q21" i="31"/>
  <c r="P21" i="31"/>
  <c r="O21" i="31"/>
  <c r="N21" i="31"/>
  <c r="M21" i="31"/>
  <c r="L21" i="31"/>
  <c r="A20" i="31"/>
  <c r="A29" i="31" s="1"/>
  <c r="A19" i="31"/>
  <c r="A28" i="31" s="1"/>
  <c r="A18" i="31"/>
  <c r="A27" i="31" s="1"/>
  <c r="A17" i="31"/>
  <c r="A26" i="31" s="1"/>
  <c r="A16" i="31"/>
  <c r="A25" i="31" s="1"/>
  <c r="A15" i="31"/>
  <c r="A24" i="31" s="1"/>
  <c r="W12" i="31"/>
  <c r="V12" i="31"/>
  <c r="U12" i="31"/>
  <c r="T12" i="31"/>
  <c r="S12" i="31"/>
  <c r="R12" i="31"/>
  <c r="Q12" i="31"/>
  <c r="P12" i="31"/>
  <c r="O12" i="31"/>
  <c r="N12" i="31"/>
  <c r="M12" i="31"/>
  <c r="L12" i="31"/>
  <c r="W28" i="30"/>
  <c r="V28" i="30"/>
  <c r="U28" i="30"/>
  <c r="T28" i="30"/>
  <c r="S28" i="30"/>
  <c r="R28" i="30"/>
  <c r="Q28" i="30"/>
  <c r="P28" i="30"/>
  <c r="O28" i="30"/>
  <c r="N28" i="30"/>
  <c r="M28" i="30"/>
  <c r="L28" i="30"/>
  <c r="A28" i="30"/>
  <c r="W27" i="30"/>
  <c r="V27" i="30"/>
  <c r="U27" i="30"/>
  <c r="T27" i="30"/>
  <c r="S27" i="30"/>
  <c r="R27" i="30"/>
  <c r="Q27" i="30"/>
  <c r="P27" i="30"/>
  <c r="O27" i="30"/>
  <c r="N27" i="30"/>
  <c r="M27" i="30"/>
  <c r="L27" i="30"/>
  <c r="A27" i="30"/>
  <c r="W26" i="30"/>
  <c r="V26" i="30"/>
  <c r="U26" i="30"/>
  <c r="T26" i="30"/>
  <c r="S26" i="30"/>
  <c r="R26" i="30"/>
  <c r="Q26" i="30"/>
  <c r="P26" i="30"/>
  <c r="O26" i="30"/>
  <c r="N26" i="30"/>
  <c r="M26" i="30"/>
  <c r="L26" i="30"/>
  <c r="A26" i="30"/>
  <c r="W25" i="30"/>
  <c r="V25" i="30"/>
  <c r="U25" i="30"/>
  <c r="T25" i="30"/>
  <c r="S25" i="30"/>
  <c r="R25" i="30"/>
  <c r="Q25" i="30"/>
  <c r="P25" i="30"/>
  <c r="O25" i="30"/>
  <c r="N25" i="30"/>
  <c r="M25" i="30"/>
  <c r="L25" i="30"/>
  <c r="A25" i="30"/>
  <c r="W24" i="30"/>
  <c r="V24" i="30"/>
  <c r="U24" i="30"/>
  <c r="T24" i="30"/>
  <c r="S24" i="30"/>
  <c r="R24" i="30"/>
  <c r="Q24" i="30"/>
  <c r="P24" i="30"/>
  <c r="O24" i="30"/>
  <c r="N24" i="30"/>
  <c r="M24" i="30"/>
  <c r="L24" i="30"/>
  <c r="A24" i="30"/>
  <c r="W23" i="30"/>
  <c r="V23" i="30"/>
  <c r="U23" i="30"/>
  <c r="T23" i="30"/>
  <c r="S23" i="30"/>
  <c r="R23" i="30"/>
  <c r="Q23" i="30"/>
  <c r="P23" i="30"/>
  <c r="O23" i="30"/>
  <c r="N23" i="30"/>
  <c r="M23" i="30"/>
  <c r="L23" i="30"/>
  <c r="A23" i="30"/>
  <c r="W20" i="30"/>
  <c r="V20" i="30"/>
  <c r="U20" i="30"/>
  <c r="T20" i="30"/>
  <c r="S20" i="30"/>
  <c r="R20" i="30"/>
  <c r="Q20" i="30"/>
  <c r="P20" i="30"/>
  <c r="O20" i="30"/>
  <c r="N20" i="30"/>
  <c r="M20" i="30"/>
  <c r="L20" i="30"/>
  <c r="A19" i="30"/>
  <c r="A18" i="30"/>
  <c r="A17" i="30"/>
  <c r="A16" i="30"/>
  <c r="A15" i="30"/>
  <c r="A14" i="30"/>
  <c r="W12" i="30"/>
  <c r="V12" i="30"/>
  <c r="U12" i="30"/>
  <c r="T12" i="30"/>
  <c r="S12" i="30"/>
  <c r="R12" i="30"/>
  <c r="Q12" i="30"/>
  <c r="P12" i="30"/>
  <c r="O12" i="30"/>
  <c r="N12" i="30"/>
  <c r="M12" i="30"/>
  <c r="L12" i="30"/>
  <c r="W67" i="28"/>
  <c r="V67" i="28"/>
  <c r="U67" i="28"/>
  <c r="T67" i="28"/>
  <c r="S67" i="28"/>
  <c r="R67" i="28"/>
  <c r="Q67" i="28"/>
  <c r="P67" i="28"/>
  <c r="O67" i="28"/>
  <c r="N67" i="28"/>
  <c r="M67" i="28"/>
  <c r="L67" i="28"/>
  <c r="W64" i="28"/>
  <c r="V64" i="28"/>
  <c r="U64" i="28"/>
  <c r="T64" i="28"/>
  <c r="S64" i="28"/>
  <c r="R64" i="28"/>
  <c r="Q64" i="28"/>
  <c r="P64" i="28"/>
  <c r="O64" i="28"/>
  <c r="N64" i="28"/>
  <c r="M64" i="28"/>
  <c r="L64" i="28"/>
  <c r="W56" i="28"/>
  <c r="V56" i="28"/>
  <c r="U56" i="28"/>
  <c r="T56" i="28"/>
  <c r="S56" i="28"/>
  <c r="R56" i="28"/>
  <c r="Q56" i="28"/>
  <c r="P56" i="28"/>
  <c r="O56" i="28"/>
  <c r="N56" i="28"/>
  <c r="M56" i="28"/>
  <c r="L56" i="28"/>
  <c r="L48" i="28"/>
  <c r="L50" i="28" s="1"/>
  <c r="M50" i="28" s="1"/>
  <c r="N50" i="28" s="1"/>
  <c r="O50" i="28" s="1"/>
  <c r="P50" i="28" s="1"/>
  <c r="Q50" i="28" s="1"/>
  <c r="R50" i="28" s="1"/>
  <c r="S50" i="28" s="1"/>
  <c r="T50" i="28" s="1"/>
  <c r="U50" i="28" s="1"/>
  <c r="V50" i="28" s="1"/>
  <c r="W50" i="28" s="1"/>
  <c r="O46" i="28"/>
  <c r="O52" i="28" s="1"/>
  <c r="O53" i="28" s="1"/>
  <c r="N46" i="28"/>
  <c r="N52" i="28" s="1"/>
  <c r="N53" i="28" s="1"/>
  <c r="M46" i="28"/>
  <c r="M52" i="28" s="1"/>
  <c r="M53" i="28" s="1"/>
  <c r="L46" i="28"/>
  <c r="L52" i="28" s="1"/>
  <c r="L53" i="28" s="1"/>
  <c r="Q39" i="28"/>
  <c r="R39" i="28" s="1"/>
  <c r="S39" i="28" s="1"/>
  <c r="T39" i="28" s="1"/>
  <c r="U39" i="28" s="1"/>
  <c r="T37" i="28"/>
  <c r="T46" i="28" s="1"/>
  <c r="T52" i="28" s="1"/>
  <c r="T53" i="28" s="1"/>
  <c r="S36" i="28"/>
  <c r="R36" i="28"/>
  <c r="Q36" i="28"/>
  <c r="P36" i="28"/>
  <c r="S35" i="28"/>
  <c r="S46" i="28" s="1"/>
  <c r="S52" i="28" s="1"/>
  <c r="S53" i="28" s="1"/>
  <c r="R35" i="28"/>
  <c r="R46" i="28" s="1"/>
  <c r="R52" i="28" s="1"/>
  <c r="R53" i="28" s="1"/>
  <c r="Q35" i="28"/>
  <c r="Q46" i="28" s="1"/>
  <c r="Q52" i="28" s="1"/>
  <c r="Q53" i="28" s="1"/>
  <c r="P35" i="28"/>
  <c r="L29" i="28"/>
  <c r="W25" i="28"/>
  <c r="W31" i="28" s="1"/>
  <c r="W32" i="28" s="1"/>
  <c r="V25" i="28"/>
  <c r="V31" i="28" s="1"/>
  <c r="V32" i="28" s="1"/>
  <c r="U25" i="28"/>
  <c r="U31" i="28" s="1"/>
  <c r="U32" i="28" s="1"/>
  <c r="T25" i="28"/>
  <c r="T31" i="28" s="1"/>
  <c r="T32" i="28" s="1"/>
  <c r="S25" i="28"/>
  <c r="S31" i="28" s="1"/>
  <c r="S32" i="28" s="1"/>
  <c r="R25" i="28"/>
  <c r="R31" i="28" s="1"/>
  <c r="R32" i="28" s="1"/>
  <c r="Q25" i="28"/>
  <c r="Q31" i="28" s="1"/>
  <c r="Q32" i="28" s="1"/>
  <c r="P25" i="28"/>
  <c r="P31" i="28" s="1"/>
  <c r="P32" i="28" s="1"/>
  <c r="O25" i="28"/>
  <c r="O31" i="28" s="1"/>
  <c r="O32" i="28" s="1"/>
  <c r="N25" i="28"/>
  <c r="N31" i="28" s="1"/>
  <c r="N32" i="28" s="1"/>
  <c r="M25" i="28"/>
  <c r="M31" i="28" s="1"/>
  <c r="M32" i="28" s="1"/>
  <c r="L25" i="28"/>
  <c r="L31" i="28" s="1"/>
  <c r="L32" i="28" s="1"/>
  <c r="W67" i="27"/>
  <c r="V67" i="27"/>
  <c r="U67" i="27"/>
  <c r="T67" i="27"/>
  <c r="S67" i="27"/>
  <c r="R67" i="27"/>
  <c r="Q67" i="27"/>
  <c r="P67" i="27"/>
  <c r="O67" i="27"/>
  <c r="N67" i="27"/>
  <c r="M67" i="27"/>
  <c r="L67" i="27"/>
  <c r="W64" i="27"/>
  <c r="V64" i="27"/>
  <c r="U64" i="27"/>
  <c r="T64" i="27"/>
  <c r="S64" i="27"/>
  <c r="R64" i="27"/>
  <c r="Q64" i="27"/>
  <c r="P64" i="27"/>
  <c r="O64" i="27"/>
  <c r="N64" i="27"/>
  <c r="M64" i="27"/>
  <c r="L64" i="27"/>
  <c r="W56" i="27"/>
  <c r="V56" i="27"/>
  <c r="U56" i="27"/>
  <c r="T56" i="27"/>
  <c r="S56" i="27"/>
  <c r="R56" i="27"/>
  <c r="Q56" i="27"/>
  <c r="P56" i="27"/>
  <c r="O56" i="27"/>
  <c r="N56" i="27"/>
  <c r="M56" i="27"/>
  <c r="L56" i="27"/>
  <c r="W49" i="27"/>
  <c r="V49" i="27"/>
  <c r="U49" i="27"/>
  <c r="T49" i="27"/>
  <c r="W46" i="27"/>
  <c r="W52" i="27" s="1"/>
  <c r="V46" i="27"/>
  <c r="V52" i="27" s="1"/>
  <c r="U45" i="27"/>
  <c r="U46" i="27" s="1"/>
  <c r="U52" i="27" s="1"/>
  <c r="T45" i="27"/>
  <c r="T46" i="27" s="1"/>
  <c r="T52" i="27" s="1"/>
  <c r="P40" i="27"/>
  <c r="Q40" i="27" s="1"/>
  <c r="R40" i="27" s="1"/>
  <c r="S40" i="27" s="1"/>
  <c r="O40" i="27"/>
  <c r="N40" i="27"/>
  <c r="M40" i="27"/>
  <c r="R38" i="27"/>
  <c r="S38" i="27" s="1"/>
  <c r="Q38" i="27"/>
  <c r="S37" i="27"/>
  <c r="R37" i="27"/>
  <c r="Q37" i="27"/>
  <c r="P37" i="27"/>
  <c r="O37" i="27"/>
  <c r="N37" i="27"/>
  <c r="M37" i="27"/>
  <c r="L37" i="27"/>
  <c r="S36" i="27"/>
  <c r="R36" i="27"/>
  <c r="Q36" i="27"/>
  <c r="P36" i="27"/>
  <c r="O36" i="27"/>
  <c r="O48" i="27" s="1"/>
  <c r="N36" i="27"/>
  <c r="N48" i="27" s="1"/>
  <c r="M36" i="27"/>
  <c r="M48" i="27" s="1"/>
  <c r="L36" i="27"/>
  <c r="L48" i="27" s="1"/>
  <c r="L50" i="27" s="1"/>
  <c r="S35" i="27"/>
  <c r="S46" i="27" s="1"/>
  <c r="S52" i="27" s="1"/>
  <c r="S53" i="27" s="1"/>
  <c r="R35" i="27"/>
  <c r="R46" i="27" s="1"/>
  <c r="R52" i="27" s="1"/>
  <c r="R53" i="27" s="1"/>
  <c r="Q35" i="27"/>
  <c r="Q46" i="27" s="1"/>
  <c r="Q52" i="27" s="1"/>
  <c r="Q53" i="27" s="1"/>
  <c r="P35" i="27"/>
  <c r="P46" i="27" s="1"/>
  <c r="P52" i="27" s="1"/>
  <c r="P53" i="27" s="1"/>
  <c r="O35" i="27"/>
  <c r="O46" i="27" s="1"/>
  <c r="O52" i="27" s="1"/>
  <c r="O53" i="27" s="1"/>
  <c r="N35" i="27"/>
  <c r="N46" i="27" s="1"/>
  <c r="N52" i="27" s="1"/>
  <c r="N53" i="27" s="1"/>
  <c r="M35" i="27"/>
  <c r="M46" i="27" s="1"/>
  <c r="M52" i="27" s="1"/>
  <c r="M53" i="27" s="1"/>
  <c r="L35" i="27"/>
  <c r="L46" i="27" s="1"/>
  <c r="L52" i="27" s="1"/>
  <c r="L53" i="27" s="1"/>
  <c r="U27" i="27"/>
  <c r="T27" i="27"/>
  <c r="Q27" i="27"/>
  <c r="M27" i="27"/>
  <c r="L27" i="27"/>
  <c r="L29" i="27" s="1"/>
  <c r="L62" i="27" s="1"/>
  <c r="L67" i="24" s="1"/>
  <c r="W25" i="27"/>
  <c r="W31" i="27" s="1"/>
  <c r="W32" i="27" s="1"/>
  <c r="M25" i="27"/>
  <c r="M31" i="27" s="1"/>
  <c r="M32" i="27" s="1"/>
  <c r="L25" i="27"/>
  <c r="L31" i="27" s="1"/>
  <c r="L32" i="27" s="1"/>
  <c r="S23" i="27"/>
  <c r="T17" i="27"/>
  <c r="U17" i="27" s="1"/>
  <c r="V17" i="27" s="1"/>
  <c r="V15" i="27"/>
  <c r="U15" i="27"/>
  <c r="U25" i="27" s="1"/>
  <c r="U31" i="27" s="1"/>
  <c r="U32" i="27" s="1"/>
  <c r="T15" i="27"/>
  <c r="S15" i="27"/>
  <c r="R15" i="27"/>
  <c r="Q15" i="27"/>
  <c r="P15" i="27"/>
  <c r="O15" i="27"/>
  <c r="N15" i="27"/>
  <c r="O14" i="27"/>
  <c r="O25" i="27" s="1"/>
  <c r="O31" i="27" s="1"/>
  <c r="O32" i="27" s="1"/>
  <c r="N14" i="27"/>
  <c r="S12" i="27"/>
  <c r="R12" i="27"/>
  <c r="Q12" i="27"/>
  <c r="P12" i="27"/>
  <c r="N8" i="27"/>
  <c r="N25" i="27" s="1"/>
  <c r="N31" i="27" s="1"/>
  <c r="N32" i="27" s="1"/>
  <c r="W67" i="26"/>
  <c r="V67" i="26"/>
  <c r="U67" i="26"/>
  <c r="T67" i="26"/>
  <c r="S67" i="26"/>
  <c r="R67" i="26"/>
  <c r="Q67" i="26"/>
  <c r="P67" i="26"/>
  <c r="O67" i="26"/>
  <c r="N67" i="26"/>
  <c r="M67" i="26"/>
  <c r="L67" i="26"/>
  <c r="W64" i="26"/>
  <c r="V64" i="26"/>
  <c r="U64" i="26"/>
  <c r="T64" i="26"/>
  <c r="S64" i="26"/>
  <c r="R64" i="26"/>
  <c r="Q64" i="26"/>
  <c r="P64" i="26"/>
  <c r="O64" i="26"/>
  <c r="N64" i="26"/>
  <c r="M64" i="26"/>
  <c r="L64" i="26"/>
  <c r="W56" i="26"/>
  <c r="V56" i="26"/>
  <c r="U56" i="26"/>
  <c r="T56" i="26"/>
  <c r="S56" i="26"/>
  <c r="R56" i="26"/>
  <c r="Q56" i="26"/>
  <c r="P56" i="26"/>
  <c r="O56" i="26"/>
  <c r="N56" i="26"/>
  <c r="M56" i="26"/>
  <c r="L56" i="26"/>
  <c r="L50" i="26"/>
  <c r="M50" i="26" s="1"/>
  <c r="N50" i="26" s="1"/>
  <c r="O50" i="26" s="1"/>
  <c r="P50" i="26" s="1"/>
  <c r="W48" i="26"/>
  <c r="V48" i="26"/>
  <c r="U48" i="26"/>
  <c r="T48" i="26"/>
  <c r="S48" i="26"/>
  <c r="R48" i="26"/>
  <c r="Q48" i="26"/>
  <c r="Q50" i="26" s="1"/>
  <c r="W46" i="26"/>
  <c r="W52" i="26" s="1"/>
  <c r="W53" i="26" s="1"/>
  <c r="V46" i="26"/>
  <c r="V52" i="26" s="1"/>
  <c r="V53" i="26" s="1"/>
  <c r="U46" i="26"/>
  <c r="U52" i="26" s="1"/>
  <c r="U53" i="26" s="1"/>
  <c r="T46" i="26"/>
  <c r="T52" i="26" s="1"/>
  <c r="T53" i="26" s="1"/>
  <c r="S46" i="26"/>
  <c r="S52" i="26" s="1"/>
  <c r="S53" i="26" s="1"/>
  <c r="R46" i="26"/>
  <c r="R52" i="26" s="1"/>
  <c r="R53" i="26" s="1"/>
  <c r="Q46" i="26"/>
  <c r="Q52" i="26" s="1"/>
  <c r="Q53" i="26" s="1"/>
  <c r="P46" i="26"/>
  <c r="P52" i="26" s="1"/>
  <c r="P53" i="26" s="1"/>
  <c r="O36" i="26"/>
  <c r="N36" i="26"/>
  <c r="M36" i="26"/>
  <c r="L36" i="26"/>
  <c r="O35" i="26"/>
  <c r="O46" i="26" s="1"/>
  <c r="O52" i="26" s="1"/>
  <c r="O53" i="26" s="1"/>
  <c r="N35" i="26"/>
  <c r="N46" i="26" s="1"/>
  <c r="N52" i="26" s="1"/>
  <c r="N53" i="26" s="1"/>
  <c r="M35" i="26"/>
  <c r="M46" i="26" s="1"/>
  <c r="M52" i="26" s="1"/>
  <c r="M53" i="26" s="1"/>
  <c r="L35" i="26"/>
  <c r="L46" i="26" s="1"/>
  <c r="L52" i="26" s="1"/>
  <c r="L53" i="26" s="1"/>
  <c r="W11" i="26"/>
  <c r="W10" i="26"/>
  <c r="O9" i="26"/>
  <c r="N9" i="26"/>
  <c r="N27" i="26" s="1"/>
  <c r="M9" i="26"/>
  <c r="M27" i="26" s="1"/>
  <c r="L9" i="26"/>
  <c r="L27" i="26" s="1"/>
  <c r="L29" i="26" s="1"/>
  <c r="L62" i="26" s="1"/>
  <c r="L65" i="24" s="1"/>
  <c r="S8" i="26"/>
  <c r="T8" i="26" s="1"/>
  <c r="U8" i="26" s="1"/>
  <c r="V8" i="26" s="1"/>
  <c r="W8" i="26" s="1"/>
  <c r="R8" i="26"/>
  <c r="Q8" i="26"/>
  <c r="P8" i="26"/>
  <c r="O8" i="26"/>
  <c r="N8" i="26"/>
  <c r="M8" i="26"/>
  <c r="L8" i="26"/>
  <c r="O7" i="26"/>
  <c r="P7" i="26" s="1"/>
  <c r="N7" i="26"/>
  <c r="M7" i="26"/>
  <c r="L7" i="26"/>
  <c r="S6" i="26"/>
  <c r="R6" i="26"/>
  <c r="Q6" i="26"/>
  <c r="P6" i="26"/>
  <c r="O6" i="26"/>
  <c r="O25" i="26" s="1"/>
  <c r="N6" i="26"/>
  <c r="N25" i="26" s="1"/>
  <c r="N31" i="26" s="1"/>
  <c r="N32" i="26" s="1"/>
  <c r="M6" i="26"/>
  <c r="M25" i="26" s="1"/>
  <c r="M31" i="26" s="1"/>
  <c r="M32" i="26" s="1"/>
  <c r="L6" i="26"/>
  <c r="L25" i="26" s="1"/>
  <c r="L31" i="26" s="1"/>
  <c r="L32" i="26" s="1"/>
  <c r="E16" i="25"/>
  <c r="E12" i="25"/>
  <c r="E9" i="25"/>
  <c r="E8" i="25"/>
  <c r="E7" i="25"/>
  <c r="E6" i="25"/>
  <c r="J54" i="22"/>
  <c r="J58" i="22" s="1"/>
  <c r="I54" i="22"/>
  <c r="I58" i="22" s="1"/>
  <c r="H54" i="22"/>
  <c r="H58" i="22" s="1"/>
  <c r="G54" i="22"/>
  <c r="G58" i="22" s="1"/>
  <c r="F54" i="22"/>
  <c r="F58" i="22" s="1"/>
  <c r="E54" i="22"/>
  <c r="E58" i="22" s="1"/>
  <c r="D54" i="22"/>
  <c r="D58" i="22" s="1"/>
  <c r="C54" i="22"/>
  <c r="C58" i="22" s="1"/>
  <c r="B54" i="22"/>
  <c r="B58" i="22" s="1"/>
  <c r="Q36" i="22"/>
  <c r="C33" i="22"/>
  <c r="D33" i="22" s="1"/>
  <c r="C30" i="22"/>
  <c r="D30" i="22" s="1"/>
  <c r="E30" i="22" s="1"/>
  <c r="F30" i="22" s="1"/>
  <c r="G30" i="22" s="1"/>
  <c r="H30" i="22" s="1"/>
  <c r="I30" i="22" s="1"/>
  <c r="J30" i="22" s="1"/>
  <c r="K30" i="22" s="1"/>
  <c r="L30" i="22" s="1"/>
  <c r="M30" i="22" s="1"/>
  <c r="N30" i="22" s="1"/>
  <c r="P28" i="22"/>
  <c r="N24" i="22"/>
  <c r="N26" i="22" s="1"/>
  <c r="M24" i="22"/>
  <c r="M26" i="22" s="1"/>
  <c r="K24" i="22"/>
  <c r="J24" i="22"/>
  <c r="J26" i="22" s="1"/>
  <c r="I24" i="22"/>
  <c r="I26" i="22" s="1"/>
  <c r="H24" i="22"/>
  <c r="H26" i="22" s="1"/>
  <c r="G24" i="22"/>
  <c r="G26" i="22" s="1"/>
  <c r="F24" i="22"/>
  <c r="F26" i="22" s="1"/>
  <c r="E24" i="22"/>
  <c r="E26" i="22" s="1"/>
  <c r="D24" i="22"/>
  <c r="D26" i="22" s="1"/>
  <c r="C24" i="22"/>
  <c r="C26" i="22" s="1"/>
  <c r="B24" i="22"/>
  <c r="Q18" i="22"/>
  <c r="Q20" i="22" s="1"/>
  <c r="Q28" i="22" s="1"/>
  <c r="N17" i="22"/>
  <c r="M17" i="22"/>
  <c r="L17" i="22"/>
  <c r="J17" i="22"/>
  <c r="I17" i="22"/>
  <c r="H17" i="22"/>
  <c r="G17" i="22"/>
  <c r="F17" i="22"/>
  <c r="E17" i="22"/>
  <c r="D17" i="22"/>
  <c r="C17" i="22"/>
  <c r="B17" i="22"/>
  <c r="K13" i="22"/>
  <c r="K17" i="22" s="1"/>
  <c r="K37" i="1" s="1"/>
  <c r="K42" i="9" s="1"/>
  <c r="G8" i="22"/>
  <c r="G9" i="22" s="1"/>
  <c r="N6" i="22"/>
  <c r="N8" i="22" s="1"/>
  <c r="M6" i="22"/>
  <c r="M8" i="22" s="1"/>
  <c r="L6" i="22"/>
  <c r="L8" i="22" s="1"/>
  <c r="K6" i="22"/>
  <c r="K8" i="22" s="1"/>
  <c r="J6" i="22"/>
  <c r="J8" i="22" s="1"/>
  <c r="I6" i="22"/>
  <c r="I8" i="22" s="1"/>
  <c r="F6" i="22"/>
  <c r="F8" i="22" s="1"/>
  <c r="E6" i="22"/>
  <c r="E8" i="22" s="1"/>
  <c r="D6" i="22"/>
  <c r="D8" i="22" s="1"/>
  <c r="C6" i="22"/>
  <c r="C8" i="22" s="1"/>
  <c r="B6" i="22"/>
  <c r="B8" i="22" s="1"/>
  <c r="F68" i="21"/>
  <c r="G68" i="21" s="1"/>
  <c r="C68" i="21"/>
  <c r="F64" i="21"/>
  <c r="F63" i="21"/>
  <c r="Q62" i="21"/>
  <c r="P62" i="21"/>
  <c r="O62" i="21"/>
  <c r="N62" i="21"/>
  <c r="M62" i="21"/>
  <c r="L62" i="21"/>
  <c r="K62" i="21"/>
  <c r="J62" i="21"/>
  <c r="I62" i="21"/>
  <c r="H62" i="21"/>
  <c r="G62" i="21"/>
  <c r="N60" i="21"/>
  <c r="M60" i="21"/>
  <c r="L60" i="21"/>
  <c r="K60" i="21"/>
  <c r="J60" i="21"/>
  <c r="N52" i="21"/>
  <c r="N53" i="21" s="1"/>
  <c r="M52" i="21"/>
  <c r="M53" i="21" s="1"/>
  <c r="L52" i="21"/>
  <c r="L53" i="21" s="1"/>
  <c r="K52" i="21"/>
  <c r="C52" i="21"/>
  <c r="G44" i="21"/>
  <c r="C42" i="21"/>
  <c r="C54" i="21" s="1"/>
  <c r="C58" i="21" s="1"/>
  <c r="N41" i="21"/>
  <c r="M41" i="21"/>
  <c r="L41" i="21"/>
  <c r="K41" i="21"/>
  <c r="J41" i="21"/>
  <c r="I41" i="21"/>
  <c r="H41" i="21"/>
  <c r="G41" i="21"/>
  <c r="F41" i="21"/>
  <c r="E41" i="21"/>
  <c r="D41" i="21"/>
  <c r="E38" i="21"/>
  <c r="E42" i="21" s="1"/>
  <c r="D38" i="21"/>
  <c r="D42" i="21" s="1"/>
  <c r="I36" i="21"/>
  <c r="J36" i="21" s="1"/>
  <c r="J35" i="21"/>
  <c r="F34" i="21"/>
  <c r="J33" i="21"/>
  <c r="C30" i="21"/>
  <c r="D30" i="21" s="1"/>
  <c r="E30" i="21" s="1"/>
  <c r="F30" i="21" s="1"/>
  <c r="G30" i="21" s="1"/>
  <c r="H30" i="21" s="1"/>
  <c r="I30" i="21" s="1"/>
  <c r="J30" i="21" s="1"/>
  <c r="K30" i="21" s="1"/>
  <c r="L30" i="21" s="1"/>
  <c r="M30" i="21" s="1"/>
  <c r="N30" i="21" s="1"/>
  <c r="N24" i="21"/>
  <c r="M24" i="21"/>
  <c r="L24" i="21"/>
  <c r="K24" i="21"/>
  <c r="J24" i="21"/>
  <c r="I24" i="21"/>
  <c r="H24" i="21"/>
  <c r="G24" i="21"/>
  <c r="F24" i="21"/>
  <c r="E24" i="21"/>
  <c r="D24" i="21"/>
  <c r="C24" i="21"/>
  <c r="N17" i="21"/>
  <c r="N26" i="21" s="1"/>
  <c r="M17" i="21"/>
  <c r="M26" i="21" s="1"/>
  <c r="L17" i="21"/>
  <c r="L26" i="21" s="1"/>
  <c r="K17" i="21"/>
  <c r="K26" i="21" s="1"/>
  <c r="I17" i="21"/>
  <c r="I26" i="21" s="1"/>
  <c r="H17" i="21"/>
  <c r="H26" i="21" s="1"/>
  <c r="G17" i="21"/>
  <c r="G26" i="21" s="1"/>
  <c r="F17" i="21"/>
  <c r="F26" i="21" s="1"/>
  <c r="E17" i="21"/>
  <c r="E26" i="21" s="1"/>
  <c r="D17" i="21"/>
  <c r="D26" i="21" s="1"/>
  <c r="C17" i="21"/>
  <c r="C26" i="21" s="1"/>
  <c r="N6" i="21"/>
  <c r="N8" i="21" s="1"/>
  <c r="M6" i="21"/>
  <c r="M8" i="21" s="1"/>
  <c r="L6" i="21"/>
  <c r="L8" i="21" s="1"/>
  <c r="K6" i="21"/>
  <c r="K8" i="21" s="1"/>
  <c r="J6" i="21"/>
  <c r="J8" i="21" s="1"/>
  <c r="I6" i="21"/>
  <c r="I8" i="21" s="1"/>
  <c r="F6" i="21"/>
  <c r="F8" i="21" s="1"/>
  <c r="E6" i="21"/>
  <c r="E8" i="21" s="1"/>
  <c r="D6" i="21"/>
  <c r="D8" i="21" s="1"/>
  <c r="C6" i="21"/>
  <c r="C8" i="21" s="1"/>
  <c r="C9" i="21" s="1"/>
  <c r="H5" i="21"/>
  <c r="H6" i="21" s="1"/>
  <c r="H8" i="21" s="1"/>
  <c r="G5" i="21"/>
  <c r="G6" i="21" s="1"/>
  <c r="G8" i="21" s="1"/>
  <c r="F103" i="20"/>
  <c r="I99" i="20"/>
  <c r="F98" i="20"/>
  <c r="F100" i="20" s="1"/>
  <c r="J92" i="20"/>
  <c r="I92" i="20"/>
  <c r="H92" i="20"/>
  <c r="G92" i="20"/>
  <c r="F92" i="20"/>
  <c r="E88" i="20"/>
  <c r="E92" i="20" s="1"/>
  <c r="D88" i="20"/>
  <c r="D92" i="20" s="1"/>
  <c r="C88" i="20"/>
  <c r="C92" i="20" s="1"/>
  <c r="B88" i="20"/>
  <c r="B92" i="20" s="1"/>
  <c r="J84" i="20"/>
  <c r="J89" i="20" s="1"/>
  <c r="I84" i="20"/>
  <c r="I89" i="20" s="1"/>
  <c r="H84" i="20"/>
  <c r="H89" i="20" s="1"/>
  <c r="G84" i="20"/>
  <c r="G89" i="20" s="1"/>
  <c r="F84" i="20"/>
  <c r="E84" i="20"/>
  <c r="E89" i="20" s="1"/>
  <c r="D84" i="20"/>
  <c r="D89" i="20" s="1"/>
  <c r="C84" i="20"/>
  <c r="C89" i="20" s="1"/>
  <c r="B84" i="20"/>
  <c r="B89" i="20" s="1"/>
  <c r="N83" i="20"/>
  <c r="M83" i="20"/>
  <c r="L83" i="20"/>
  <c r="K83" i="20"/>
  <c r="J83" i="20"/>
  <c r="I83" i="20"/>
  <c r="H83" i="20"/>
  <c r="G83" i="20"/>
  <c r="F83" i="20"/>
  <c r="E83" i="20"/>
  <c r="D83" i="20"/>
  <c r="C83" i="20"/>
  <c r="B83" i="20"/>
  <c r="N82" i="20"/>
  <c r="M82" i="20"/>
  <c r="L82" i="20"/>
  <c r="K82" i="20"/>
  <c r="J82" i="20"/>
  <c r="I82" i="20"/>
  <c r="H82" i="20"/>
  <c r="G82" i="20"/>
  <c r="F82" i="20"/>
  <c r="E82" i="20"/>
  <c r="D82" i="20"/>
  <c r="C82" i="20"/>
  <c r="B82" i="20"/>
  <c r="C66" i="20"/>
  <c r="B66" i="20"/>
  <c r="G65" i="20"/>
  <c r="H65" i="20" s="1"/>
  <c r="I65" i="20" s="1"/>
  <c r="J65" i="20" s="1"/>
  <c r="K65" i="20" s="1"/>
  <c r="L65" i="20" s="1"/>
  <c r="M65" i="20" s="1"/>
  <c r="N65" i="20" s="1"/>
  <c r="D64" i="20"/>
  <c r="N55" i="20"/>
  <c r="N56" i="20" s="1"/>
  <c r="N17" i="20" s="1"/>
  <c r="M55" i="20"/>
  <c r="M56" i="20" s="1"/>
  <c r="L55" i="20"/>
  <c r="L56" i="20" s="1"/>
  <c r="K55" i="20"/>
  <c r="K56" i="20" s="1"/>
  <c r="K17" i="20" s="1"/>
  <c r="J55" i="20"/>
  <c r="I55" i="20"/>
  <c r="H55" i="20"/>
  <c r="G55" i="20"/>
  <c r="F55" i="20"/>
  <c r="E55" i="20"/>
  <c r="D55" i="20"/>
  <c r="C55" i="20"/>
  <c r="N50" i="20"/>
  <c r="M50" i="20"/>
  <c r="L50" i="20"/>
  <c r="K50" i="20"/>
  <c r="J50" i="20"/>
  <c r="J75" i="20" s="1"/>
  <c r="I50" i="20"/>
  <c r="I75" i="20" s="1"/>
  <c r="H50" i="20"/>
  <c r="H75" i="20" s="1"/>
  <c r="G50" i="20"/>
  <c r="G75" i="20" s="1"/>
  <c r="F50" i="20"/>
  <c r="F75" i="20" s="1"/>
  <c r="E50" i="20"/>
  <c r="D50" i="20"/>
  <c r="C50" i="20"/>
  <c r="B50" i="20"/>
  <c r="N42" i="20"/>
  <c r="M42" i="20"/>
  <c r="L42" i="20"/>
  <c r="K42" i="20"/>
  <c r="K41" i="20"/>
  <c r="L41" i="20" s="1"/>
  <c r="M41" i="20" s="1"/>
  <c r="C41" i="20"/>
  <c r="N36" i="20"/>
  <c r="K36" i="20"/>
  <c r="N35" i="20"/>
  <c r="M35" i="20"/>
  <c r="C33" i="20"/>
  <c r="D33" i="20" s="1"/>
  <c r="E33" i="20" s="1"/>
  <c r="F33" i="20" s="1"/>
  <c r="G33" i="20" s="1"/>
  <c r="H33" i="20" s="1"/>
  <c r="I33" i="20" s="1"/>
  <c r="J33" i="20" s="1"/>
  <c r="K33" i="20" s="1"/>
  <c r="L33" i="20" s="1"/>
  <c r="M33" i="20" s="1"/>
  <c r="N33" i="20" s="1"/>
  <c r="N27" i="20"/>
  <c r="M27" i="20"/>
  <c r="L27" i="20"/>
  <c r="J27" i="20"/>
  <c r="I27" i="20"/>
  <c r="H27" i="20"/>
  <c r="G27" i="20"/>
  <c r="F27" i="20"/>
  <c r="E27" i="20"/>
  <c r="D27" i="20"/>
  <c r="C27" i="20"/>
  <c r="B27" i="20"/>
  <c r="K16" i="20"/>
  <c r="L15" i="20"/>
  <c r="L20" i="20" s="1"/>
  <c r="K15" i="20"/>
  <c r="K20" i="20" s="1"/>
  <c r="J15" i="20"/>
  <c r="J20" i="20" s="1"/>
  <c r="I15" i="20"/>
  <c r="I20" i="20" s="1"/>
  <c r="H15" i="20"/>
  <c r="H20" i="20" s="1"/>
  <c r="G15" i="20"/>
  <c r="G20" i="20" s="1"/>
  <c r="F15" i="20"/>
  <c r="F20" i="20" s="1"/>
  <c r="E15" i="20"/>
  <c r="E20" i="20" s="1"/>
  <c r="D15" i="20"/>
  <c r="D20" i="20" s="1"/>
  <c r="C15" i="20"/>
  <c r="C20" i="20" s="1"/>
  <c r="B15" i="20"/>
  <c r="B20" i="20" s="1"/>
  <c r="J8" i="20"/>
  <c r="J10" i="20" s="1"/>
  <c r="I8" i="20"/>
  <c r="I10" i="20" s="1"/>
  <c r="H8" i="20"/>
  <c r="H10" i="20" s="1"/>
  <c r="G8" i="20"/>
  <c r="G10" i="20" s="1"/>
  <c r="F8" i="20"/>
  <c r="F10" i="20" s="1"/>
  <c r="E8" i="20"/>
  <c r="E10" i="20" s="1"/>
  <c r="D8" i="20"/>
  <c r="D10" i="20" s="1"/>
  <c r="C8" i="20"/>
  <c r="C10" i="20" s="1"/>
  <c r="C11" i="20" s="1"/>
  <c r="D11" i="20" s="1"/>
  <c r="E11" i="20" s="1"/>
  <c r="F11" i="20" s="1"/>
  <c r="G11" i="20" s="1"/>
  <c r="H11" i="20" s="1"/>
  <c r="I11" i="20" s="1"/>
  <c r="J11" i="20" s="1"/>
  <c r="B8" i="20"/>
  <c r="B10" i="20" s="1"/>
  <c r="N6" i="20"/>
  <c r="N8" i="20" s="1"/>
  <c r="M6" i="20"/>
  <c r="M8" i="20" s="1"/>
  <c r="L6" i="20"/>
  <c r="L8" i="20" s="1"/>
  <c r="L10" i="20" s="1"/>
  <c r="K6" i="20"/>
  <c r="K8" i="20" s="1"/>
  <c r="F126" i="19"/>
  <c r="G126" i="19" s="1"/>
  <c r="H126" i="19" s="1"/>
  <c r="I126" i="19" s="1"/>
  <c r="J126" i="19" s="1"/>
  <c r="K126" i="19" s="1"/>
  <c r="L126" i="19" s="1"/>
  <c r="M126" i="19" s="1"/>
  <c r="N126" i="19" s="1"/>
  <c r="O126" i="19" s="1"/>
  <c r="P126" i="19" s="1"/>
  <c r="Q126" i="19" s="1"/>
  <c r="F125" i="19"/>
  <c r="G125" i="19" s="1"/>
  <c r="H125" i="19" s="1"/>
  <c r="I125" i="19" s="1"/>
  <c r="J125" i="19" s="1"/>
  <c r="K125" i="19" s="1"/>
  <c r="L125" i="19" s="1"/>
  <c r="M125" i="19" s="1"/>
  <c r="N125" i="19" s="1"/>
  <c r="O125" i="19" s="1"/>
  <c r="P125" i="19" s="1"/>
  <c r="Q125" i="19" s="1"/>
  <c r="F124" i="19"/>
  <c r="G124" i="19" s="1"/>
  <c r="F123" i="19"/>
  <c r="B123" i="19"/>
  <c r="Q122" i="19"/>
  <c r="P122" i="19"/>
  <c r="O122" i="19"/>
  <c r="N122" i="19"/>
  <c r="M122" i="19"/>
  <c r="L122" i="19"/>
  <c r="K122" i="19"/>
  <c r="J122" i="19"/>
  <c r="I122" i="19"/>
  <c r="H122" i="19"/>
  <c r="G122" i="19"/>
  <c r="F122" i="19"/>
  <c r="F118" i="19"/>
  <c r="G118" i="19" s="1"/>
  <c r="H118" i="19" s="1"/>
  <c r="I118" i="19" s="1"/>
  <c r="J118" i="19" s="1"/>
  <c r="K118" i="19" s="1"/>
  <c r="L118" i="19" s="1"/>
  <c r="M118" i="19" s="1"/>
  <c r="N118" i="19" s="1"/>
  <c r="O118" i="19" s="1"/>
  <c r="P118" i="19" s="1"/>
  <c r="Q118" i="19" s="1"/>
  <c r="Q117" i="19"/>
  <c r="P117" i="19"/>
  <c r="O117" i="19"/>
  <c r="N117" i="19"/>
  <c r="M117" i="19"/>
  <c r="L117" i="19"/>
  <c r="K117" i="19"/>
  <c r="J117" i="19"/>
  <c r="I117" i="19"/>
  <c r="H117" i="19"/>
  <c r="G117" i="19"/>
  <c r="F117" i="19"/>
  <c r="F112" i="19"/>
  <c r="G112" i="19" s="1"/>
  <c r="Q111" i="19"/>
  <c r="Q114" i="19" s="1"/>
  <c r="P111" i="19"/>
  <c r="P114" i="19" s="1"/>
  <c r="O111" i="19"/>
  <c r="O114" i="19" s="1"/>
  <c r="N111" i="19"/>
  <c r="N114" i="19" s="1"/>
  <c r="M111" i="19"/>
  <c r="M114" i="19" s="1"/>
  <c r="L111" i="19"/>
  <c r="L114" i="19" s="1"/>
  <c r="K111" i="19"/>
  <c r="K114" i="19" s="1"/>
  <c r="J111" i="19"/>
  <c r="J114" i="19" s="1"/>
  <c r="I111" i="19"/>
  <c r="I114" i="19" s="1"/>
  <c r="H111" i="19"/>
  <c r="H114" i="19" s="1"/>
  <c r="G111" i="19"/>
  <c r="G114" i="19" s="1"/>
  <c r="F111" i="19"/>
  <c r="F114" i="19" s="1"/>
  <c r="D101" i="19"/>
  <c r="D104" i="19" s="1"/>
  <c r="D105" i="19" s="1"/>
  <c r="E100" i="19"/>
  <c r="F100" i="19" s="1"/>
  <c r="G100" i="19" s="1"/>
  <c r="H100" i="19" s="1"/>
  <c r="I100" i="19" s="1"/>
  <c r="J100" i="19" s="1"/>
  <c r="K100" i="19" s="1"/>
  <c r="L100" i="19" s="1"/>
  <c r="M100" i="19" s="1"/>
  <c r="N100" i="19" s="1"/>
  <c r="C100" i="19"/>
  <c r="E99" i="19"/>
  <c r="F99" i="19" s="1"/>
  <c r="G99" i="19" s="1"/>
  <c r="H99" i="19" s="1"/>
  <c r="I99" i="19" s="1"/>
  <c r="J99" i="19" s="1"/>
  <c r="K99" i="19" s="1"/>
  <c r="L99" i="19" s="1"/>
  <c r="M99" i="19" s="1"/>
  <c r="N99" i="19" s="1"/>
  <c r="C99" i="19"/>
  <c r="E98" i="19"/>
  <c r="F98" i="19" s="1"/>
  <c r="G98" i="19" s="1"/>
  <c r="H98" i="19" s="1"/>
  <c r="I98" i="19" s="1"/>
  <c r="J98" i="19" s="1"/>
  <c r="K98" i="19" s="1"/>
  <c r="L98" i="19" s="1"/>
  <c r="M98" i="19" s="1"/>
  <c r="N98" i="19" s="1"/>
  <c r="C98" i="19"/>
  <c r="E97" i="19"/>
  <c r="F97" i="19" s="1"/>
  <c r="G97" i="19" s="1"/>
  <c r="H97" i="19" s="1"/>
  <c r="I97" i="19" s="1"/>
  <c r="J97" i="19" s="1"/>
  <c r="K97" i="19" s="1"/>
  <c r="L97" i="19" s="1"/>
  <c r="M97" i="19" s="1"/>
  <c r="N97" i="19" s="1"/>
  <c r="N90" i="19" s="1"/>
  <c r="O90" i="19" s="1"/>
  <c r="C97" i="19"/>
  <c r="P96" i="19"/>
  <c r="E96" i="19"/>
  <c r="F96" i="19" s="1"/>
  <c r="C96" i="19"/>
  <c r="E95" i="19"/>
  <c r="M79" i="19"/>
  <c r="L79" i="19"/>
  <c r="J64" i="19"/>
  <c r="K64" i="19" s="1"/>
  <c r="G64" i="19"/>
  <c r="J63" i="19"/>
  <c r="K63" i="19" s="1"/>
  <c r="L63" i="19" s="1"/>
  <c r="F62" i="19"/>
  <c r="K56" i="19"/>
  <c r="P55" i="19"/>
  <c r="L52" i="19"/>
  <c r="K52" i="19"/>
  <c r="J52" i="19"/>
  <c r="I52" i="19"/>
  <c r="H52" i="19"/>
  <c r="G52" i="19"/>
  <c r="F52" i="19"/>
  <c r="M51" i="19"/>
  <c r="I49" i="19"/>
  <c r="I54" i="19" s="1"/>
  <c r="J46" i="19"/>
  <c r="K46" i="19" s="1"/>
  <c r="L46" i="19" s="1"/>
  <c r="M46" i="19" s="1"/>
  <c r="N46" i="19" s="1"/>
  <c r="O46" i="19" s="1"/>
  <c r="P46" i="19" s="1"/>
  <c r="Q46" i="19" s="1"/>
  <c r="H46" i="19"/>
  <c r="H49" i="19" s="1"/>
  <c r="H54" i="19" s="1"/>
  <c r="G46" i="19"/>
  <c r="G49" i="19" s="1"/>
  <c r="G54" i="19" s="1"/>
  <c r="F46" i="19"/>
  <c r="F49" i="19" s="1"/>
  <c r="F54" i="19" s="1"/>
  <c r="J45" i="19"/>
  <c r="N44" i="19"/>
  <c r="K44" i="19"/>
  <c r="N40" i="19"/>
  <c r="N41" i="19" s="1"/>
  <c r="I39" i="19"/>
  <c r="H39" i="19"/>
  <c r="G39" i="19"/>
  <c r="F39" i="19"/>
  <c r="F34" i="19"/>
  <c r="G34" i="19" s="1"/>
  <c r="H34" i="19" s="1"/>
  <c r="I34" i="19" s="1"/>
  <c r="J34" i="19" s="1"/>
  <c r="K34" i="19" s="1"/>
  <c r="L34" i="19" s="1"/>
  <c r="M34" i="19" s="1"/>
  <c r="N34" i="19" s="1"/>
  <c r="O34" i="19" s="1"/>
  <c r="P34" i="19" s="1"/>
  <c r="Q34" i="19" s="1"/>
  <c r="Q28" i="19"/>
  <c r="P28" i="19"/>
  <c r="N28" i="19"/>
  <c r="M28" i="19"/>
  <c r="L28" i="19"/>
  <c r="K28" i="19"/>
  <c r="J28" i="19"/>
  <c r="I28" i="19"/>
  <c r="H28" i="19"/>
  <c r="G28" i="19"/>
  <c r="F28" i="19"/>
  <c r="Q19" i="19"/>
  <c r="Q30" i="19" s="1"/>
  <c r="P19" i="19"/>
  <c r="P30" i="19" s="1"/>
  <c r="O19" i="19"/>
  <c r="N8" i="19"/>
  <c r="M6" i="19"/>
  <c r="L6" i="19"/>
  <c r="K6" i="19"/>
  <c r="J6" i="19"/>
  <c r="Q4" i="19"/>
  <c r="P4" i="19"/>
  <c r="O4" i="19"/>
  <c r="M4" i="19"/>
  <c r="L4" i="19"/>
  <c r="K4" i="19"/>
  <c r="J4" i="19"/>
  <c r="I4" i="19"/>
  <c r="H4" i="19"/>
  <c r="G4" i="19"/>
  <c r="F4" i="19"/>
  <c r="Q3" i="19"/>
  <c r="P3" i="19"/>
  <c r="O3" i="19"/>
  <c r="N3" i="19"/>
  <c r="M76" i="18"/>
  <c r="L76" i="18"/>
  <c r="K76" i="18"/>
  <c r="J76" i="18"/>
  <c r="J78" i="18" s="1"/>
  <c r="J37" i="18" s="1"/>
  <c r="I76" i="18"/>
  <c r="I78" i="18" s="1"/>
  <c r="I37" i="18" s="1"/>
  <c r="H76" i="18"/>
  <c r="H78" i="18" s="1"/>
  <c r="H37" i="18" s="1"/>
  <c r="G76" i="18"/>
  <c r="G78" i="18" s="1"/>
  <c r="G37" i="18" s="1"/>
  <c r="F76" i="18"/>
  <c r="F78" i="18" s="1"/>
  <c r="F37" i="18" s="1"/>
  <c r="E76" i="18"/>
  <c r="E78" i="18" s="1"/>
  <c r="E37" i="18" s="1"/>
  <c r="D76" i="18"/>
  <c r="D78" i="18" s="1"/>
  <c r="D37" i="18" s="1"/>
  <c r="C76" i="18"/>
  <c r="C78" i="18" s="1"/>
  <c r="C37" i="18" s="1"/>
  <c r="J73" i="18"/>
  <c r="I73" i="18"/>
  <c r="H73" i="18"/>
  <c r="G73" i="18"/>
  <c r="F73" i="18"/>
  <c r="E73" i="18"/>
  <c r="D73" i="18"/>
  <c r="C73" i="18"/>
  <c r="K69" i="18"/>
  <c r="N66" i="18"/>
  <c r="M66" i="18"/>
  <c r="L66" i="18"/>
  <c r="K66" i="18"/>
  <c r="J66" i="18"/>
  <c r="I66" i="18"/>
  <c r="H66" i="18"/>
  <c r="G66" i="18"/>
  <c r="F66" i="18"/>
  <c r="E66" i="18"/>
  <c r="D66" i="18"/>
  <c r="C66" i="18"/>
  <c r="N65" i="18"/>
  <c r="M65" i="18"/>
  <c r="L65" i="18"/>
  <c r="K65" i="18"/>
  <c r="J65" i="18"/>
  <c r="I65" i="18"/>
  <c r="H65" i="18"/>
  <c r="G65" i="18"/>
  <c r="F65" i="18"/>
  <c r="E65" i="18"/>
  <c r="D65" i="18"/>
  <c r="C65" i="18"/>
  <c r="M51" i="18"/>
  <c r="L51" i="18"/>
  <c r="K51" i="18"/>
  <c r="J51" i="18"/>
  <c r="I51" i="18"/>
  <c r="H51" i="18"/>
  <c r="G51" i="18"/>
  <c r="F51" i="18"/>
  <c r="E51" i="18"/>
  <c r="D51" i="18"/>
  <c r="C51" i="18"/>
  <c r="N44" i="18"/>
  <c r="M44" i="18"/>
  <c r="L44" i="18"/>
  <c r="K44" i="18"/>
  <c r="J44" i="18"/>
  <c r="I44" i="18"/>
  <c r="H44" i="18"/>
  <c r="G44" i="18"/>
  <c r="F44" i="18"/>
  <c r="E44" i="18"/>
  <c r="D44" i="18"/>
  <c r="C44" i="18"/>
  <c r="N37" i="18"/>
  <c r="M33" i="18"/>
  <c r="C30" i="18"/>
  <c r="D30" i="18" s="1"/>
  <c r="E30" i="18" s="1"/>
  <c r="F30" i="18" s="1"/>
  <c r="G30" i="18" s="1"/>
  <c r="H30" i="18" s="1"/>
  <c r="I30" i="18" s="1"/>
  <c r="J30" i="18" s="1"/>
  <c r="K30" i="18" s="1"/>
  <c r="L30" i="18" s="1"/>
  <c r="M30" i="18" s="1"/>
  <c r="N30" i="18" s="1"/>
  <c r="N24" i="18"/>
  <c r="N32" i="1" s="1"/>
  <c r="N43" i="9" s="1"/>
  <c r="M24" i="18"/>
  <c r="M32" i="1" s="1"/>
  <c r="M43" i="9" s="1"/>
  <c r="L24" i="18"/>
  <c r="L32" i="1" s="1"/>
  <c r="L43" i="9" s="1"/>
  <c r="K24" i="18"/>
  <c r="K32" i="1" s="1"/>
  <c r="K43" i="9" s="1"/>
  <c r="J24" i="18"/>
  <c r="J32" i="1" s="1"/>
  <c r="J43" i="9" s="1"/>
  <c r="I24" i="18"/>
  <c r="I32" i="1" s="1"/>
  <c r="I43" i="9" s="1"/>
  <c r="G24" i="18"/>
  <c r="G32" i="1" s="1"/>
  <c r="G43" i="9" s="1"/>
  <c r="F24" i="18"/>
  <c r="F32" i="1" s="1"/>
  <c r="F43" i="9" s="1"/>
  <c r="E24" i="18"/>
  <c r="E32" i="1" s="1"/>
  <c r="E43" i="9" s="1"/>
  <c r="D24" i="18"/>
  <c r="D32" i="1" s="1"/>
  <c r="D43" i="9" s="1"/>
  <c r="C24" i="18"/>
  <c r="C32" i="1" s="1"/>
  <c r="C43" i="9" s="1"/>
  <c r="H22" i="18"/>
  <c r="N18" i="18"/>
  <c r="M18" i="18"/>
  <c r="L18" i="18"/>
  <c r="K18" i="18"/>
  <c r="J18" i="18"/>
  <c r="I18" i="18"/>
  <c r="H18" i="18"/>
  <c r="G18" i="18"/>
  <c r="E18" i="18"/>
  <c r="D18" i="18"/>
  <c r="C18" i="18"/>
  <c r="F15" i="18"/>
  <c r="F18" i="18" s="1"/>
  <c r="N8" i="18"/>
  <c r="N10" i="18" s="1"/>
  <c r="M8" i="18"/>
  <c r="M10" i="18" s="1"/>
  <c r="L8" i="18"/>
  <c r="L10" i="18" s="1"/>
  <c r="K8" i="18"/>
  <c r="K10" i="18" s="1"/>
  <c r="J8" i="18"/>
  <c r="J10" i="18" s="1"/>
  <c r="I8" i="18"/>
  <c r="I10" i="18" s="1"/>
  <c r="H8" i="18"/>
  <c r="H10" i="18" s="1"/>
  <c r="G8" i="18"/>
  <c r="G10" i="18" s="1"/>
  <c r="F8" i="18"/>
  <c r="F10" i="18" s="1"/>
  <c r="E8" i="18"/>
  <c r="E10" i="18" s="1"/>
  <c r="D8" i="18"/>
  <c r="D10" i="18" s="1"/>
  <c r="C8" i="18"/>
  <c r="C10" i="18" s="1"/>
  <c r="C11" i="18" s="1"/>
  <c r="D11" i="18" s="1"/>
  <c r="E11" i="18" s="1"/>
  <c r="C94" i="17"/>
  <c r="C93" i="17"/>
  <c r="C92" i="17"/>
  <c r="C91" i="17"/>
  <c r="D87" i="17"/>
  <c r="B84" i="17"/>
  <c r="H83" i="17"/>
  <c r="H82" i="17"/>
  <c r="C82" i="17"/>
  <c r="H81" i="17"/>
  <c r="D81" i="17"/>
  <c r="M80" i="17"/>
  <c r="L80" i="17"/>
  <c r="K80" i="17"/>
  <c r="J80" i="17"/>
  <c r="H80" i="17"/>
  <c r="C80" i="17"/>
  <c r="D80" i="17" s="1"/>
  <c r="B75" i="17"/>
  <c r="C72" i="17"/>
  <c r="D72" i="17" s="1"/>
  <c r="D70" i="17"/>
  <c r="C69" i="17"/>
  <c r="C71" i="17" s="1"/>
  <c r="H68" i="17"/>
  <c r="D68" i="17"/>
  <c r="D74" i="17" s="1"/>
  <c r="M55" i="17"/>
  <c r="M56" i="17" s="1"/>
  <c r="M16" i="17" s="1"/>
  <c r="L55" i="17"/>
  <c r="K55" i="17"/>
  <c r="J55" i="17"/>
  <c r="F53" i="17"/>
  <c r="E53" i="17"/>
  <c r="D53" i="17"/>
  <c r="C53" i="17"/>
  <c r="G52" i="17"/>
  <c r="G51" i="17"/>
  <c r="N49" i="17"/>
  <c r="D48" i="17"/>
  <c r="J44" i="17"/>
  <c r="K44" i="17" s="1"/>
  <c r="L44" i="17" s="1"/>
  <c r="M44" i="17" s="1"/>
  <c r="N44" i="17" s="1"/>
  <c r="I44" i="17"/>
  <c r="K43" i="17"/>
  <c r="L43" i="17" s="1"/>
  <c r="M43" i="17" s="1"/>
  <c r="N43" i="17" s="1"/>
  <c r="G43" i="17"/>
  <c r="C43" i="17"/>
  <c r="C45" i="17" s="1"/>
  <c r="F42" i="17"/>
  <c r="F43" i="17" s="1"/>
  <c r="E42" i="17"/>
  <c r="E43" i="17" s="1"/>
  <c r="D42" i="17"/>
  <c r="D43" i="17" s="1"/>
  <c r="F39" i="17"/>
  <c r="G38" i="17"/>
  <c r="H38" i="17" s="1"/>
  <c r="I38" i="17" s="1"/>
  <c r="J38" i="17" s="1"/>
  <c r="K38" i="17" s="1"/>
  <c r="L38" i="17" s="1"/>
  <c r="M38" i="17" s="1"/>
  <c r="N38" i="17" s="1"/>
  <c r="O37" i="17"/>
  <c r="O38" i="17" s="1"/>
  <c r="J37" i="17" s="1"/>
  <c r="G37" i="17"/>
  <c r="E37" i="17"/>
  <c r="E45" i="17" s="1"/>
  <c r="D37" i="17"/>
  <c r="D45" i="17" s="1"/>
  <c r="C32" i="17"/>
  <c r="N25" i="17"/>
  <c r="N6" i="1" s="1"/>
  <c r="N38" i="9" s="1"/>
  <c r="M25" i="17"/>
  <c r="M6" i="1" s="1"/>
  <c r="M38" i="9" s="1"/>
  <c r="L25" i="17"/>
  <c r="L6" i="1" s="1"/>
  <c r="L38" i="9" s="1"/>
  <c r="K25" i="17"/>
  <c r="K6" i="1" s="1"/>
  <c r="K38" i="9" s="1"/>
  <c r="H25" i="17"/>
  <c r="H6" i="1" s="1"/>
  <c r="H38" i="9" s="1"/>
  <c r="G25" i="17"/>
  <c r="G6" i="1" s="1"/>
  <c r="G38" i="9" s="1"/>
  <c r="F25" i="17"/>
  <c r="F6" i="1" s="1"/>
  <c r="F38" i="9" s="1"/>
  <c r="D25" i="17"/>
  <c r="D6" i="1" s="1"/>
  <c r="D38" i="9" s="1"/>
  <c r="C25" i="17"/>
  <c r="C6" i="1" s="1"/>
  <c r="C38" i="9" s="1"/>
  <c r="E20" i="17"/>
  <c r="E25" i="17" s="1"/>
  <c r="E6" i="1" s="1"/>
  <c r="E38" i="9" s="1"/>
  <c r="J17" i="17"/>
  <c r="I17" i="17"/>
  <c r="H17" i="17"/>
  <c r="G17" i="17"/>
  <c r="F17" i="17"/>
  <c r="N16" i="17"/>
  <c r="L16" i="17"/>
  <c r="K16" i="17"/>
  <c r="J16" i="17"/>
  <c r="I16" i="17"/>
  <c r="H16" i="17"/>
  <c r="G16" i="17"/>
  <c r="F16" i="17"/>
  <c r="C16" i="17"/>
  <c r="J12" i="17"/>
  <c r="I12" i="17"/>
  <c r="H12" i="17"/>
  <c r="G12" i="17"/>
  <c r="F12" i="17"/>
  <c r="E12" i="17"/>
  <c r="E17" i="17" s="1"/>
  <c r="D12" i="17"/>
  <c r="D17" i="17" s="1"/>
  <c r="C12" i="17"/>
  <c r="C17" i="17" s="1"/>
  <c r="M5" i="17"/>
  <c r="M8" i="17" s="1"/>
  <c r="L5" i="17"/>
  <c r="L8" i="17" s="1"/>
  <c r="K5" i="17"/>
  <c r="K8" i="17" s="1"/>
  <c r="J5" i="17"/>
  <c r="I5" i="17"/>
  <c r="H5" i="17"/>
  <c r="G5" i="17"/>
  <c r="F5" i="17"/>
  <c r="E5" i="17"/>
  <c r="D5" i="17"/>
  <c r="C5" i="17"/>
  <c r="N4" i="17"/>
  <c r="J4" i="17"/>
  <c r="J8" i="17" s="1"/>
  <c r="J10" i="17" s="1"/>
  <c r="I4" i="17"/>
  <c r="I8" i="17" s="1"/>
  <c r="I10" i="17" s="1"/>
  <c r="H4" i="17"/>
  <c r="H8" i="17" s="1"/>
  <c r="H10" i="17" s="1"/>
  <c r="G4" i="17"/>
  <c r="G8" i="17" s="1"/>
  <c r="G10" i="17" s="1"/>
  <c r="F4" i="17"/>
  <c r="F8" i="17" s="1"/>
  <c r="F10" i="17" s="1"/>
  <c r="E4" i="17"/>
  <c r="E8" i="17" s="1"/>
  <c r="E10" i="17" s="1"/>
  <c r="D4" i="17"/>
  <c r="D8" i="17" s="1"/>
  <c r="D10" i="17" s="1"/>
  <c r="C4" i="17"/>
  <c r="C8" i="17" s="1"/>
  <c r="C10" i="17" s="1"/>
  <c r="C28" i="17" s="1"/>
  <c r="N3" i="17"/>
  <c r="M7" i="16"/>
  <c r="N7" i="16" s="1"/>
  <c r="K6" i="16"/>
  <c r="L6" i="16" s="1"/>
  <c r="M6" i="16" s="1"/>
  <c r="N6" i="16" s="1"/>
  <c r="O6" i="16" s="1"/>
  <c r="N5" i="16"/>
  <c r="O5" i="16" s="1"/>
  <c r="H5" i="16"/>
  <c r="I5" i="16" s="1"/>
  <c r="J5" i="16" s="1"/>
  <c r="K5" i="16" s="1"/>
  <c r="L5" i="16" s="1"/>
  <c r="D4" i="16"/>
  <c r="O2" i="16"/>
  <c r="N2" i="16"/>
  <c r="M2" i="16"/>
  <c r="L2" i="16"/>
  <c r="K2" i="16"/>
  <c r="J2" i="16"/>
  <c r="I2" i="16"/>
  <c r="H2" i="16"/>
  <c r="G2" i="16"/>
  <c r="F2" i="16"/>
  <c r="E2" i="16"/>
  <c r="D2" i="16"/>
  <c r="O1" i="16"/>
  <c r="N1" i="16"/>
  <c r="M1" i="16"/>
  <c r="L1" i="16"/>
  <c r="K1" i="16"/>
  <c r="J1" i="16"/>
  <c r="I1" i="16"/>
  <c r="H1" i="16"/>
  <c r="G1" i="16"/>
  <c r="F1" i="16"/>
  <c r="E1" i="16"/>
  <c r="D1" i="16"/>
  <c r="B50" i="15"/>
  <c r="C50" i="15" s="1"/>
  <c r="D50" i="15" s="1"/>
  <c r="E50" i="15" s="1"/>
  <c r="F50" i="15" s="1"/>
  <c r="G50" i="15" s="1"/>
  <c r="H50" i="15" s="1"/>
  <c r="I50" i="15" s="1"/>
  <c r="J50" i="15" s="1"/>
  <c r="K50" i="15" s="1"/>
  <c r="L50" i="15" s="1"/>
  <c r="M50" i="15" s="1"/>
  <c r="N50" i="15" s="1"/>
  <c r="C40" i="15"/>
  <c r="D40" i="15" s="1"/>
  <c r="A40" i="15"/>
  <c r="C39" i="15"/>
  <c r="A39" i="15"/>
  <c r="C37" i="15"/>
  <c r="D37" i="15" s="1"/>
  <c r="E37" i="15" s="1"/>
  <c r="K35" i="15"/>
  <c r="J35" i="15"/>
  <c r="I35" i="15"/>
  <c r="H35" i="15"/>
  <c r="G35" i="15"/>
  <c r="F35" i="15"/>
  <c r="E35" i="15"/>
  <c r="D35" i="15"/>
  <c r="C35" i="15"/>
  <c r="L34" i="15"/>
  <c r="N32" i="15"/>
  <c r="M32" i="15"/>
  <c r="K32" i="15"/>
  <c r="J32" i="15"/>
  <c r="I32" i="15"/>
  <c r="H32" i="15"/>
  <c r="G32" i="15"/>
  <c r="F32" i="15"/>
  <c r="E32" i="15"/>
  <c r="D32" i="15"/>
  <c r="C32" i="15"/>
  <c r="L31" i="15"/>
  <c r="L32" i="15" s="1"/>
  <c r="A22" i="15"/>
  <c r="A21" i="15"/>
  <c r="A20" i="15"/>
  <c r="A19" i="15"/>
  <c r="N16" i="15"/>
  <c r="M16" i="15"/>
  <c r="L16" i="15"/>
  <c r="K16" i="15"/>
  <c r="J16" i="15"/>
  <c r="I16" i="15"/>
  <c r="H16" i="15"/>
  <c r="G16" i="15"/>
  <c r="F16" i="15"/>
  <c r="D16" i="15"/>
  <c r="C16" i="15"/>
  <c r="E11" i="15"/>
  <c r="E16" i="15" s="1"/>
  <c r="N8" i="15"/>
  <c r="M8" i="15"/>
  <c r="L8" i="15"/>
  <c r="K8" i="15"/>
  <c r="J8" i="15"/>
  <c r="I8" i="15"/>
  <c r="H8" i="15"/>
  <c r="G8" i="15"/>
  <c r="F8" i="15"/>
  <c r="E8" i="15"/>
  <c r="D8" i="15"/>
  <c r="C8" i="15"/>
  <c r="N3" i="15"/>
  <c r="M3" i="15"/>
  <c r="L3" i="15"/>
  <c r="K3" i="15"/>
  <c r="J3" i="15"/>
  <c r="I3" i="15"/>
  <c r="H3" i="15"/>
  <c r="G3" i="15"/>
  <c r="F3" i="15"/>
  <c r="E3" i="15"/>
  <c r="D3" i="15"/>
  <c r="C3" i="15"/>
  <c r="N2" i="15"/>
  <c r="M2" i="15"/>
  <c r="L2" i="15"/>
  <c r="K2" i="15"/>
  <c r="J2" i="15"/>
  <c r="I2" i="15"/>
  <c r="H2" i="15"/>
  <c r="G2" i="15"/>
  <c r="F2" i="15"/>
  <c r="E2" i="15"/>
  <c r="D2" i="15"/>
  <c r="C2" i="15"/>
  <c r="AE33" i="14"/>
  <c r="AC33" i="14"/>
  <c r="AA33" i="14"/>
  <c r="L73" i="1" s="1"/>
  <c r="L60" i="9" s="1"/>
  <c r="U33" i="14"/>
  <c r="I73" i="1" s="1"/>
  <c r="I60" i="9" s="1"/>
  <c r="M33" i="14"/>
  <c r="E73" i="1" s="1"/>
  <c r="E60" i="9" s="1"/>
  <c r="K33" i="14"/>
  <c r="D73" i="1" s="1"/>
  <c r="D60" i="9" s="1"/>
  <c r="I33" i="14"/>
  <c r="C73" i="1" s="1"/>
  <c r="C60" i="9" s="1"/>
  <c r="N28" i="14"/>
  <c r="C7" i="14"/>
  <c r="AD4" i="14"/>
  <c r="AE4" i="14" s="1"/>
  <c r="AB4" i="14"/>
  <c r="AC4" i="14" s="1"/>
  <c r="Z4" i="14"/>
  <c r="AA4" i="14" s="1"/>
  <c r="X4" i="14"/>
  <c r="Y4" i="14" s="1"/>
  <c r="V4" i="14"/>
  <c r="W4" i="14" s="1"/>
  <c r="T4" i="14"/>
  <c r="U4" i="14" s="1"/>
  <c r="R4" i="14"/>
  <c r="S4" i="14" s="1"/>
  <c r="P4" i="14"/>
  <c r="Q4" i="14" s="1"/>
  <c r="N4" i="14"/>
  <c r="O4" i="14" s="1"/>
  <c r="L4" i="14"/>
  <c r="M4" i="14" s="1"/>
  <c r="J4" i="14"/>
  <c r="K4" i="14" s="1"/>
  <c r="H4" i="14"/>
  <c r="I4" i="14" s="1"/>
  <c r="AD3" i="14"/>
  <c r="AB3" i="14"/>
  <c r="Z3" i="14"/>
  <c r="X3" i="14"/>
  <c r="V3" i="14"/>
  <c r="T3" i="14"/>
  <c r="R3" i="14"/>
  <c r="P3" i="14"/>
  <c r="N3" i="14"/>
  <c r="L3" i="14"/>
  <c r="J3" i="14"/>
  <c r="H3" i="14"/>
  <c r="AD43" i="13"/>
  <c r="AB43" i="13"/>
  <c r="M68" i="1" s="1"/>
  <c r="M59" i="9" s="1"/>
  <c r="T43" i="13"/>
  <c r="H68" i="1" s="1"/>
  <c r="H59" i="9" s="1"/>
  <c r="N43" i="13"/>
  <c r="E68" i="1" s="1"/>
  <c r="E59" i="9" s="1"/>
  <c r="L43" i="13"/>
  <c r="D68" i="1" s="1"/>
  <c r="D59" i="9" s="1"/>
  <c r="C33" i="13"/>
  <c r="R16" i="13"/>
  <c r="R15" i="13"/>
  <c r="AE3" i="13"/>
  <c r="AF3" i="13" s="1"/>
  <c r="AC3" i="13"/>
  <c r="AD3" i="13" s="1"/>
  <c r="AA3" i="13"/>
  <c r="AB3" i="13" s="1"/>
  <c r="Y3" i="13"/>
  <c r="Z3" i="13" s="1"/>
  <c r="W3" i="13"/>
  <c r="X3" i="13" s="1"/>
  <c r="U3" i="13"/>
  <c r="V3" i="13" s="1"/>
  <c r="S3" i="13"/>
  <c r="T3" i="13" s="1"/>
  <c r="Q3" i="13"/>
  <c r="R3" i="13" s="1"/>
  <c r="O3" i="13"/>
  <c r="P3" i="13" s="1"/>
  <c r="M3" i="13"/>
  <c r="N3" i="13" s="1"/>
  <c r="K3" i="13"/>
  <c r="L3" i="13" s="1"/>
  <c r="I3" i="13"/>
  <c r="J3" i="13" s="1"/>
  <c r="AE2" i="13"/>
  <c r="AC2" i="13"/>
  <c r="AA2" i="13"/>
  <c r="Y2" i="13"/>
  <c r="W2" i="13"/>
  <c r="U2" i="13"/>
  <c r="S2" i="13"/>
  <c r="Q2" i="13"/>
  <c r="O2" i="13"/>
  <c r="M2" i="13"/>
  <c r="K2" i="13"/>
  <c r="I2" i="13"/>
  <c r="H57" i="12"/>
  <c r="C49" i="12"/>
  <c r="C48" i="12"/>
  <c r="Y43" i="12"/>
  <c r="J43" i="12"/>
  <c r="K43" i="12" s="1"/>
  <c r="L43" i="12" s="1"/>
  <c r="M43" i="12" s="1"/>
  <c r="N43" i="12" s="1"/>
  <c r="O43" i="12" s="1"/>
  <c r="P43" i="12" s="1"/>
  <c r="Q43" i="12" s="1"/>
  <c r="R43" i="12" s="1"/>
  <c r="S43" i="12" s="1"/>
  <c r="T43" i="12" s="1"/>
  <c r="U43" i="12" s="1"/>
  <c r="V43" i="12" s="1"/>
  <c r="W43" i="12" s="1"/>
  <c r="X43" i="12" s="1"/>
  <c r="I43" i="12"/>
  <c r="G43" i="12"/>
  <c r="Y42" i="12"/>
  <c r="I42" i="12"/>
  <c r="J42" i="12" s="1"/>
  <c r="K42" i="12" s="1"/>
  <c r="L42" i="12" s="1"/>
  <c r="M42" i="12" s="1"/>
  <c r="N42" i="12" s="1"/>
  <c r="O42" i="12" s="1"/>
  <c r="P42" i="12" s="1"/>
  <c r="Q42" i="12" s="1"/>
  <c r="R42" i="12" s="1"/>
  <c r="S42" i="12" s="1"/>
  <c r="T42" i="12" s="1"/>
  <c r="U42" i="12" s="1"/>
  <c r="V42" i="12" s="1"/>
  <c r="W42" i="12" s="1"/>
  <c r="X42" i="12" s="1"/>
  <c r="G42" i="12"/>
  <c r="Y41" i="12"/>
  <c r="I41" i="12"/>
  <c r="J41" i="12" s="1"/>
  <c r="K41" i="12" s="1"/>
  <c r="L41" i="12" s="1"/>
  <c r="M41" i="12" s="1"/>
  <c r="N41" i="12" s="1"/>
  <c r="O41" i="12" s="1"/>
  <c r="P41" i="12" s="1"/>
  <c r="Q41" i="12" s="1"/>
  <c r="R41" i="12" s="1"/>
  <c r="S41" i="12" s="1"/>
  <c r="T41" i="12" s="1"/>
  <c r="U41" i="12" s="1"/>
  <c r="V41" i="12" s="1"/>
  <c r="W41" i="12" s="1"/>
  <c r="X41" i="12" s="1"/>
  <c r="G41" i="12"/>
  <c r="Y40" i="12"/>
  <c r="T40" i="12"/>
  <c r="U40" i="12" s="1"/>
  <c r="V40" i="12" s="1"/>
  <c r="W40" i="12" s="1"/>
  <c r="X40" i="12" s="1"/>
  <c r="J40" i="12"/>
  <c r="K40" i="12" s="1"/>
  <c r="L40" i="12" s="1"/>
  <c r="M40" i="12" s="1"/>
  <c r="N40" i="12" s="1"/>
  <c r="O40" i="12" s="1"/>
  <c r="P40" i="12" s="1"/>
  <c r="Q40" i="12" s="1"/>
  <c r="R40" i="12" s="1"/>
  <c r="S40" i="12" s="1"/>
  <c r="I40" i="12"/>
  <c r="G40" i="12"/>
  <c r="Y39" i="12"/>
  <c r="A95" i="12" s="1"/>
  <c r="R39" i="12"/>
  <c r="S39" i="12" s="1"/>
  <c r="T39" i="12" s="1"/>
  <c r="U39" i="12" s="1"/>
  <c r="V39" i="12" s="1"/>
  <c r="W39" i="12" s="1"/>
  <c r="X39" i="12" s="1"/>
  <c r="J39" i="12"/>
  <c r="K39" i="12" s="1"/>
  <c r="L39" i="12" s="1"/>
  <c r="M39" i="12" s="1"/>
  <c r="N39" i="12" s="1"/>
  <c r="O39" i="12" s="1"/>
  <c r="P39" i="12" s="1"/>
  <c r="Q39" i="12" s="1"/>
  <c r="I39" i="12"/>
  <c r="G39" i="12"/>
  <c r="Y38" i="12"/>
  <c r="A94" i="12" s="1"/>
  <c r="J38" i="12"/>
  <c r="K38" i="12" s="1"/>
  <c r="L38" i="12" s="1"/>
  <c r="M38" i="12" s="1"/>
  <c r="N38" i="12" s="1"/>
  <c r="O38" i="12" s="1"/>
  <c r="P38" i="12" s="1"/>
  <c r="Q38" i="12" s="1"/>
  <c r="R38" i="12" s="1"/>
  <c r="S38" i="12" s="1"/>
  <c r="T38" i="12" s="1"/>
  <c r="U38" i="12" s="1"/>
  <c r="V38" i="12" s="1"/>
  <c r="W38" i="12" s="1"/>
  <c r="X38" i="12" s="1"/>
  <c r="I38" i="12"/>
  <c r="G38" i="12"/>
  <c r="Y37" i="12"/>
  <c r="A93" i="12" s="1"/>
  <c r="C37" i="12"/>
  <c r="Y36" i="12"/>
  <c r="A92" i="12" s="1"/>
  <c r="Q36" i="12"/>
  <c r="R36" i="12" s="1"/>
  <c r="S36" i="12" s="1"/>
  <c r="T36" i="12" s="1"/>
  <c r="U36" i="12" s="1"/>
  <c r="V36" i="12" s="1"/>
  <c r="W36" i="12" s="1"/>
  <c r="X36" i="12" s="1"/>
  <c r="I36" i="12"/>
  <c r="J36" i="12" s="1"/>
  <c r="K36" i="12" s="1"/>
  <c r="L36" i="12" s="1"/>
  <c r="M36" i="12" s="1"/>
  <c r="N36" i="12" s="1"/>
  <c r="O36" i="12" s="1"/>
  <c r="P36" i="12" s="1"/>
  <c r="G36" i="12"/>
  <c r="Y35" i="12"/>
  <c r="A91" i="12" s="1"/>
  <c r="P35" i="12"/>
  <c r="Q35" i="12" s="1"/>
  <c r="R35" i="12" s="1"/>
  <c r="S35" i="12" s="1"/>
  <c r="T35" i="12" s="1"/>
  <c r="U35" i="12" s="1"/>
  <c r="V35" i="12" s="1"/>
  <c r="W35" i="12" s="1"/>
  <c r="X35" i="12" s="1"/>
  <c r="J35" i="12"/>
  <c r="K35" i="12" s="1"/>
  <c r="L35" i="12" s="1"/>
  <c r="M35" i="12" s="1"/>
  <c r="N35" i="12" s="1"/>
  <c r="O35" i="12" s="1"/>
  <c r="I35" i="12"/>
  <c r="G35" i="12"/>
  <c r="Y34" i="12"/>
  <c r="A90" i="12" s="1"/>
  <c r="O34" i="12"/>
  <c r="P34" i="12" s="1"/>
  <c r="Q34" i="12" s="1"/>
  <c r="R34" i="12" s="1"/>
  <c r="S34" i="12" s="1"/>
  <c r="T34" i="12" s="1"/>
  <c r="U34" i="12" s="1"/>
  <c r="V34" i="12" s="1"/>
  <c r="W34" i="12" s="1"/>
  <c r="X34" i="12" s="1"/>
  <c r="N34" i="12"/>
  <c r="M34" i="12"/>
  <c r="J34" i="12"/>
  <c r="K34" i="12" s="1"/>
  <c r="L34" i="12" s="1"/>
  <c r="I34" i="12"/>
  <c r="G34" i="12"/>
  <c r="Y33" i="12"/>
  <c r="A89" i="12" s="1"/>
  <c r="N33" i="12"/>
  <c r="O33" i="12" s="1"/>
  <c r="P33" i="12" s="1"/>
  <c r="Q33" i="12" s="1"/>
  <c r="R33" i="12" s="1"/>
  <c r="S33" i="12" s="1"/>
  <c r="T33" i="12" s="1"/>
  <c r="U33" i="12" s="1"/>
  <c r="V33" i="12" s="1"/>
  <c r="W33" i="12" s="1"/>
  <c r="X33" i="12" s="1"/>
  <c r="L33" i="12"/>
  <c r="J33" i="12"/>
  <c r="K33" i="12" s="1"/>
  <c r="I33" i="12"/>
  <c r="Y32" i="12"/>
  <c r="A88" i="12" s="1"/>
  <c r="N32" i="12"/>
  <c r="O32" i="12" s="1"/>
  <c r="P32" i="12" s="1"/>
  <c r="Q32" i="12" s="1"/>
  <c r="R32" i="12" s="1"/>
  <c r="S32" i="12" s="1"/>
  <c r="T32" i="12" s="1"/>
  <c r="U32" i="12" s="1"/>
  <c r="V32" i="12" s="1"/>
  <c r="W32" i="12" s="1"/>
  <c r="X32" i="12" s="1"/>
  <c r="L32" i="12"/>
  <c r="J32" i="12"/>
  <c r="K32" i="12" s="1"/>
  <c r="I32" i="12"/>
  <c r="Y31" i="12"/>
  <c r="A87" i="12" s="1"/>
  <c r="L31" i="12"/>
  <c r="M31" i="12" s="1"/>
  <c r="N31" i="12" s="1"/>
  <c r="O31" i="12" s="1"/>
  <c r="P31" i="12" s="1"/>
  <c r="Q31" i="12" s="1"/>
  <c r="R31" i="12" s="1"/>
  <c r="S31" i="12" s="1"/>
  <c r="T31" i="12" s="1"/>
  <c r="U31" i="12" s="1"/>
  <c r="V31" i="12" s="1"/>
  <c r="W31" i="12" s="1"/>
  <c r="X31" i="12" s="1"/>
  <c r="J31" i="12"/>
  <c r="K31" i="12" s="1"/>
  <c r="I31" i="12"/>
  <c r="Y30" i="12"/>
  <c r="A86" i="12" s="1"/>
  <c r="L30" i="12"/>
  <c r="M30" i="12" s="1"/>
  <c r="N30" i="12" s="1"/>
  <c r="O30" i="12" s="1"/>
  <c r="P30" i="12" s="1"/>
  <c r="Q30" i="12" s="1"/>
  <c r="R30" i="12" s="1"/>
  <c r="S30" i="12" s="1"/>
  <c r="T30" i="12" s="1"/>
  <c r="U30" i="12" s="1"/>
  <c r="V30" i="12" s="1"/>
  <c r="W30" i="12" s="1"/>
  <c r="X30" i="12" s="1"/>
  <c r="I30" i="12"/>
  <c r="J30" i="12" s="1"/>
  <c r="K30" i="12" s="1"/>
  <c r="G30" i="12"/>
  <c r="Y29" i="12"/>
  <c r="A85" i="12" s="1"/>
  <c r="L29" i="12"/>
  <c r="M29" i="12" s="1"/>
  <c r="N29" i="12" s="1"/>
  <c r="O29" i="12" s="1"/>
  <c r="P29" i="12" s="1"/>
  <c r="Q29" i="12" s="1"/>
  <c r="R29" i="12" s="1"/>
  <c r="S29" i="12" s="1"/>
  <c r="T29" i="12" s="1"/>
  <c r="U29" i="12" s="1"/>
  <c r="V29" i="12" s="1"/>
  <c r="W29" i="12" s="1"/>
  <c r="X29" i="12" s="1"/>
  <c r="I29" i="12"/>
  <c r="J29" i="12" s="1"/>
  <c r="K29" i="12" s="1"/>
  <c r="G29" i="12"/>
  <c r="Y28" i="12"/>
  <c r="A84" i="12" s="1"/>
  <c r="L28" i="12"/>
  <c r="M28" i="12" s="1"/>
  <c r="N28" i="12" s="1"/>
  <c r="O28" i="12" s="1"/>
  <c r="P28" i="12" s="1"/>
  <c r="Q28" i="12" s="1"/>
  <c r="R28" i="12" s="1"/>
  <c r="S28" i="12" s="1"/>
  <c r="T28" i="12" s="1"/>
  <c r="U28" i="12" s="1"/>
  <c r="V28" i="12" s="1"/>
  <c r="W28" i="12" s="1"/>
  <c r="X28" i="12" s="1"/>
  <c r="J28" i="12"/>
  <c r="K28" i="12" s="1"/>
  <c r="I28" i="12"/>
  <c r="G28" i="12"/>
  <c r="Y27" i="12"/>
  <c r="A83" i="12" s="1"/>
  <c r="K27" i="12"/>
  <c r="L27" i="12" s="1"/>
  <c r="M27" i="12" s="1"/>
  <c r="N27" i="12" s="1"/>
  <c r="O27" i="12" s="1"/>
  <c r="P27" i="12" s="1"/>
  <c r="Q27" i="12" s="1"/>
  <c r="R27" i="12" s="1"/>
  <c r="S27" i="12" s="1"/>
  <c r="T27" i="12" s="1"/>
  <c r="U27" i="12" s="1"/>
  <c r="V27" i="12" s="1"/>
  <c r="W27" i="12" s="1"/>
  <c r="X27" i="12" s="1"/>
  <c r="J27" i="12"/>
  <c r="I27" i="12"/>
  <c r="G27" i="12"/>
  <c r="Y26" i="12"/>
  <c r="A82" i="12" s="1"/>
  <c r="J26" i="12"/>
  <c r="K26" i="12" s="1"/>
  <c r="L26" i="12" s="1"/>
  <c r="M26" i="12" s="1"/>
  <c r="N26" i="12" s="1"/>
  <c r="O26" i="12" s="1"/>
  <c r="P26" i="12" s="1"/>
  <c r="Q26" i="12" s="1"/>
  <c r="R26" i="12" s="1"/>
  <c r="S26" i="12" s="1"/>
  <c r="T26" i="12" s="1"/>
  <c r="U26" i="12" s="1"/>
  <c r="V26" i="12" s="1"/>
  <c r="W26" i="12" s="1"/>
  <c r="X26" i="12" s="1"/>
  <c r="I26" i="12"/>
  <c r="G26" i="12"/>
  <c r="Y25" i="12"/>
  <c r="A81" i="12" s="1"/>
  <c r="J25" i="12"/>
  <c r="K25" i="12" s="1"/>
  <c r="L25" i="12" s="1"/>
  <c r="M25" i="12" s="1"/>
  <c r="N25" i="12" s="1"/>
  <c r="O25" i="12" s="1"/>
  <c r="P25" i="12" s="1"/>
  <c r="Q25" i="12" s="1"/>
  <c r="R25" i="12" s="1"/>
  <c r="S25" i="12" s="1"/>
  <c r="T25" i="12" s="1"/>
  <c r="U25" i="12" s="1"/>
  <c r="V25" i="12" s="1"/>
  <c r="W25" i="12" s="1"/>
  <c r="X25" i="12" s="1"/>
  <c r="I25" i="12"/>
  <c r="G25" i="12"/>
  <c r="Y24" i="12"/>
  <c r="A80" i="12" s="1"/>
  <c r="J24" i="12"/>
  <c r="K24" i="12" s="1"/>
  <c r="L24" i="12" s="1"/>
  <c r="M24" i="12" s="1"/>
  <c r="N24" i="12" s="1"/>
  <c r="O24" i="12" s="1"/>
  <c r="P24" i="12" s="1"/>
  <c r="Q24" i="12" s="1"/>
  <c r="R24" i="12" s="1"/>
  <c r="S24" i="12" s="1"/>
  <c r="T24" i="12" s="1"/>
  <c r="U24" i="12" s="1"/>
  <c r="V24" i="12" s="1"/>
  <c r="W24" i="12" s="1"/>
  <c r="X24" i="12" s="1"/>
  <c r="I24" i="12"/>
  <c r="G24" i="12"/>
  <c r="Y23" i="12"/>
  <c r="A79" i="12" s="1"/>
  <c r="K23" i="12"/>
  <c r="L23" i="12" s="1"/>
  <c r="M23" i="12" s="1"/>
  <c r="N23" i="12" s="1"/>
  <c r="O23" i="12" s="1"/>
  <c r="P23" i="12" s="1"/>
  <c r="Q23" i="12" s="1"/>
  <c r="R23" i="12" s="1"/>
  <c r="S23" i="12" s="1"/>
  <c r="T23" i="12" s="1"/>
  <c r="U23" i="12" s="1"/>
  <c r="V23" i="12" s="1"/>
  <c r="W23" i="12" s="1"/>
  <c r="X23" i="12" s="1"/>
  <c r="J23" i="12"/>
  <c r="I23" i="12"/>
  <c r="G23" i="12"/>
  <c r="Y22" i="12"/>
  <c r="A78" i="12" s="1"/>
  <c r="K22" i="12"/>
  <c r="L22" i="12" s="1"/>
  <c r="M22" i="12" s="1"/>
  <c r="N22" i="12" s="1"/>
  <c r="O22" i="12" s="1"/>
  <c r="P22" i="12" s="1"/>
  <c r="Q22" i="12" s="1"/>
  <c r="R22" i="12" s="1"/>
  <c r="S22" i="12" s="1"/>
  <c r="T22" i="12" s="1"/>
  <c r="U22" i="12" s="1"/>
  <c r="V22" i="12" s="1"/>
  <c r="W22" i="12" s="1"/>
  <c r="X22" i="12" s="1"/>
  <c r="J22" i="12"/>
  <c r="I22" i="12"/>
  <c r="G22" i="12"/>
  <c r="Y21" i="12"/>
  <c r="A77" i="12" s="1"/>
  <c r="J21" i="12"/>
  <c r="K21" i="12" s="1"/>
  <c r="L21" i="12" s="1"/>
  <c r="M21" i="12" s="1"/>
  <c r="N21" i="12" s="1"/>
  <c r="O21" i="12" s="1"/>
  <c r="P21" i="12" s="1"/>
  <c r="Q21" i="12" s="1"/>
  <c r="R21" i="12" s="1"/>
  <c r="S21" i="12" s="1"/>
  <c r="T21" i="12" s="1"/>
  <c r="U21" i="12" s="1"/>
  <c r="V21" i="12" s="1"/>
  <c r="W21" i="12" s="1"/>
  <c r="X21" i="12" s="1"/>
  <c r="I21" i="12"/>
  <c r="G21" i="12"/>
  <c r="Y20" i="12"/>
  <c r="A76" i="12" s="1"/>
  <c r="J20" i="12"/>
  <c r="K20" i="12" s="1"/>
  <c r="L20" i="12" s="1"/>
  <c r="M20" i="12" s="1"/>
  <c r="N20" i="12" s="1"/>
  <c r="O20" i="12" s="1"/>
  <c r="P20" i="12" s="1"/>
  <c r="Q20" i="12" s="1"/>
  <c r="R20" i="12" s="1"/>
  <c r="S20" i="12" s="1"/>
  <c r="T20" i="12" s="1"/>
  <c r="U20" i="12" s="1"/>
  <c r="V20" i="12" s="1"/>
  <c r="W20" i="12" s="1"/>
  <c r="X20" i="12" s="1"/>
  <c r="I20" i="12"/>
  <c r="G20" i="12"/>
  <c r="Y19" i="12"/>
  <c r="A75" i="12" s="1"/>
  <c r="J19" i="12"/>
  <c r="K19" i="12" s="1"/>
  <c r="L19" i="12" s="1"/>
  <c r="M19" i="12" s="1"/>
  <c r="N19" i="12" s="1"/>
  <c r="O19" i="12" s="1"/>
  <c r="P19" i="12" s="1"/>
  <c r="Q19" i="12" s="1"/>
  <c r="R19" i="12" s="1"/>
  <c r="S19" i="12" s="1"/>
  <c r="T19" i="12" s="1"/>
  <c r="U19" i="12" s="1"/>
  <c r="V19" i="12" s="1"/>
  <c r="W19" i="12" s="1"/>
  <c r="X19" i="12" s="1"/>
  <c r="I19" i="12"/>
  <c r="G19" i="12"/>
  <c r="Y18" i="12"/>
  <c r="A74" i="12" s="1"/>
  <c r="K18" i="12"/>
  <c r="L18" i="12" s="1"/>
  <c r="M18" i="12" s="1"/>
  <c r="N18" i="12" s="1"/>
  <c r="O18" i="12" s="1"/>
  <c r="P18" i="12" s="1"/>
  <c r="Q18" i="12" s="1"/>
  <c r="R18" i="12" s="1"/>
  <c r="S18" i="12" s="1"/>
  <c r="T18" i="12" s="1"/>
  <c r="U18" i="12" s="1"/>
  <c r="V18" i="12" s="1"/>
  <c r="W18" i="12" s="1"/>
  <c r="X18" i="12" s="1"/>
  <c r="J18" i="12"/>
  <c r="I18" i="12"/>
  <c r="G18" i="12"/>
  <c r="Y17" i="12"/>
  <c r="A73" i="12" s="1"/>
  <c r="L17" i="12"/>
  <c r="M17" i="12" s="1"/>
  <c r="N17" i="12" s="1"/>
  <c r="O17" i="12" s="1"/>
  <c r="P17" i="12" s="1"/>
  <c r="Q17" i="12" s="1"/>
  <c r="R17" i="12" s="1"/>
  <c r="S17" i="12" s="1"/>
  <c r="T17" i="12" s="1"/>
  <c r="U17" i="12" s="1"/>
  <c r="V17" i="12" s="1"/>
  <c r="W17" i="12" s="1"/>
  <c r="X17" i="12" s="1"/>
  <c r="K17" i="12"/>
  <c r="J17" i="12"/>
  <c r="I17" i="12"/>
  <c r="G17" i="12"/>
  <c r="Y16" i="12"/>
  <c r="A72" i="12" s="1"/>
  <c r="K16" i="12"/>
  <c r="L16" i="12" s="1"/>
  <c r="M16" i="12" s="1"/>
  <c r="N16" i="12" s="1"/>
  <c r="O16" i="12" s="1"/>
  <c r="P16" i="12" s="1"/>
  <c r="Q16" i="12" s="1"/>
  <c r="R16" i="12" s="1"/>
  <c r="S16" i="12" s="1"/>
  <c r="T16" i="12" s="1"/>
  <c r="U16" i="12" s="1"/>
  <c r="V16" i="12" s="1"/>
  <c r="W16" i="12" s="1"/>
  <c r="X16" i="12" s="1"/>
  <c r="I16" i="12"/>
  <c r="J16" i="12" s="1"/>
  <c r="G16" i="12"/>
  <c r="Y15" i="12"/>
  <c r="A71" i="12" s="1"/>
  <c r="K15" i="12"/>
  <c r="L15" i="12" s="1"/>
  <c r="M15" i="12" s="1"/>
  <c r="N15" i="12" s="1"/>
  <c r="O15" i="12" s="1"/>
  <c r="P15" i="12" s="1"/>
  <c r="Q15" i="12" s="1"/>
  <c r="R15" i="12" s="1"/>
  <c r="S15" i="12" s="1"/>
  <c r="T15" i="12" s="1"/>
  <c r="U15" i="12" s="1"/>
  <c r="V15" i="12" s="1"/>
  <c r="W15" i="12" s="1"/>
  <c r="X15" i="12" s="1"/>
  <c r="J15" i="12"/>
  <c r="I15" i="12"/>
  <c r="G15" i="12"/>
  <c r="Y14" i="12"/>
  <c r="A70" i="12" s="1"/>
  <c r="K14" i="12"/>
  <c r="L14" i="12" s="1"/>
  <c r="M14" i="12" s="1"/>
  <c r="N14" i="12" s="1"/>
  <c r="O14" i="12" s="1"/>
  <c r="P14" i="12" s="1"/>
  <c r="Q14" i="12" s="1"/>
  <c r="R14" i="12" s="1"/>
  <c r="S14" i="12" s="1"/>
  <c r="T14" i="12" s="1"/>
  <c r="U14" i="12" s="1"/>
  <c r="V14" i="12" s="1"/>
  <c r="W14" i="12" s="1"/>
  <c r="X14" i="12" s="1"/>
  <c r="J14" i="12"/>
  <c r="I14" i="12"/>
  <c r="G14" i="12"/>
  <c r="Y13" i="12"/>
  <c r="A69" i="12" s="1"/>
  <c r="L13" i="12"/>
  <c r="M13" i="12" s="1"/>
  <c r="N13" i="12" s="1"/>
  <c r="O13" i="12" s="1"/>
  <c r="P13" i="12" s="1"/>
  <c r="Q13" i="12" s="1"/>
  <c r="R13" i="12" s="1"/>
  <c r="S13" i="12" s="1"/>
  <c r="T13" i="12" s="1"/>
  <c r="U13" i="12" s="1"/>
  <c r="V13" i="12" s="1"/>
  <c r="W13" i="12" s="1"/>
  <c r="X13" i="12" s="1"/>
  <c r="K13" i="12"/>
  <c r="J13" i="12"/>
  <c r="I13" i="12"/>
  <c r="G13" i="12"/>
  <c r="Y12" i="12"/>
  <c r="A68" i="12" s="1"/>
  <c r="J12" i="12"/>
  <c r="K12" i="12" s="1"/>
  <c r="L12" i="12" s="1"/>
  <c r="M12" i="12" s="1"/>
  <c r="N12" i="12" s="1"/>
  <c r="O12" i="12" s="1"/>
  <c r="P12" i="12" s="1"/>
  <c r="Q12" i="12" s="1"/>
  <c r="R12" i="12" s="1"/>
  <c r="S12" i="12" s="1"/>
  <c r="T12" i="12" s="1"/>
  <c r="U12" i="12" s="1"/>
  <c r="V12" i="12" s="1"/>
  <c r="W12" i="12" s="1"/>
  <c r="X12" i="12" s="1"/>
  <c r="I12" i="12"/>
  <c r="G12" i="12"/>
  <c r="Y11" i="12"/>
  <c r="A67" i="12" s="1"/>
  <c r="J11" i="12"/>
  <c r="K11" i="12" s="1"/>
  <c r="L11" i="12" s="1"/>
  <c r="M11" i="12" s="1"/>
  <c r="N11" i="12" s="1"/>
  <c r="O11" i="12" s="1"/>
  <c r="P11" i="12" s="1"/>
  <c r="Q11" i="12" s="1"/>
  <c r="R11" i="12" s="1"/>
  <c r="S11" i="12" s="1"/>
  <c r="T11" i="12" s="1"/>
  <c r="U11" i="12" s="1"/>
  <c r="V11" i="12" s="1"/>
  <c r="W11" i="12" s="1"/>
  <c r="X11" i="12" s="1"/>
  <c r="I11" i="12"/>
  <c r="G11" i="12"/>
  <c r="Y10" i="12"/>
  <c r="A66" i="12" s="1"/>
  <c r="J10" i="12"/>
  <c r="K10" i="12" s="1"/>
  <c r="L10" i="12" s="1"/>
  <c r="M10" i="12" s="1"/>
  <c r="N10" i="12" s="1"/>
  <c r="O10" i="12" s="1"/>
  <c r="P10" i="12" s="1"/>
  <c r="Q10" i="12" s="1"/>
  <c r="R10" i="12" s="1"/>
  <c r="S10" i="12" s="1"/>
  <c r="T10" i="12" s="1"/>
  <c r="U10" i="12" s="1"/>
  <c r="V10" i="12" s="1"/>
  <c r="W10" i="12" s="1"/>
  <c r="X10" i="12" s="1"/>
  <c r="I10" i="12"/>
  <c r="G10" i="12"/>
  <c r="Y9" i="12"/>
  <c r="A65" i="12" s="1"/>
  <c r="K9" i="12"/>
  <c r="L9" i="12" s="1"/>
  <c r="M9" i="12" s="1"/>
  <c r="N9" i="12" s="1"/>
  <c r="O9" i="12" s="1"/>
  <c r="P9" i="12" s="1"/>
  <c r="Q9" i="12" s="1"/>
  <c r="R9" i="12" s="1"/>
  <c r="S9" i="12" s="1"/>
  <c r="T9" i="12" s="1"/>
  <c r="U9" i="12" s="1"/>
  <c r="V9" i="12" s="1"/>
  <c r="W9" i="12" s="1"/>
  <c r="X9" i="12" s="1"/>
  <c r="J9" i="12"/>
  <c r="I9" i="12"/>
  <c r="G9" i="12"/>
  <c r="Y8" i="12"/>
  <c r="A64" i="12" s="1"/>
  <c r="J8" i="12"/>
  <c r="K8" i="12" s="1"/>
  <c r="L8" i="12" s="1"/>
  <c r="M8" i="12" s="1"/>
  <c r="N8" i="12" s="1"/>
  <c r="O8" i="12" s="1"/>
  <c r="P8" i="12" s="1"/>
  <c r="Q8" i="12" s="1"/>
  <c r="R8" i="12" s="1"/>
  <c r="S8" i="12" s="1"/>
  <c r="T8" i="12" s="1"/>
  <c r="U8" i="12" s="1"/>
  <c r="V8" i="12" s="1"/>
  <c r="W8" i="12" s="1"/>
  <c r="X8" i="12" s="1"/>
  <c r="I8" i="12"/>
  <c r="G8" i="12"/>
  <c r="Y7" i="12"/>
  <c r="A63" i="12" s="1"/>
  <c r="K7" i="12"/>
  <c r="L7" i="12" s="1"/>
  <c r="M7" i="12" s="1"/>
  <c r="N7" i="12" s="1"/>
  <c r="O7" i="12" s="1"/>
  <c r="P7" i="12" s="1"/>
  <c r="Q7" i="12" s="1"/>
  <c r="R7" i="12" s="1"/>
  <c r="S7" i="12" s="1"/>
  <c r="T7" i="12" s="1"/>
  <c r="U7" i="12" s="1"/>
  <c r="V7" i="12" s="1"/>
  <c r="W7" i="12" s="1"/>
  <c r="X7" i="12" s="1"/>
  <c r="J7" i="12"/>
  <c r="I7" i="12"/>
  <c r="G7" i="12"/>
  <c r="Y6" i="12"/>
  <c r="A62" i="12" s="1"/>
  <c r="J6" i="12"/>
  <c r="K6" i="12" s="1"/>
  <c r="L6" i="12" s="1"/>
  <c r="M6" i="12" s="1"/>
  <c r="N6" i="12" s="1"/>
  <c r="O6" i="12" s="1"/>
  <c r="P6" i="12" s="1"/>
  <c r="Q6" i="12" s="1"/>
  <c r="R6" i="12" s="1"/>
  <c r="S6" i="12" s="1"/>
  <c r="T6" i="12" s="1"/>
  <c r="U6" i="12" s="1"/>
  <c r="V6" i="12" s="1"/>
  <c r="W6" i="12" s="1"/>
  <c r="X6" i="12" s="1"/>
  <c r="I6" i="12"/>
  <c r="G6" i="12"/>
  <c r="Y5" i="12"/>
  <c r="A61" i="12" s="1"/>
  <c r="C5" i="12"/>
  <c r="A45" i="11"/>
  <c r="C45" i="11" s="1" a="1"/>
  <c r="C45" i="11" s="1"/>
  <c r="D45" i="11" s="1" a="1"/>
  <c r="D45" i="11" s="1"/>
  <c r="E45" i="11" s="1" a="1"/>
  <c r="E45" i="11" s="1"/>
  <c r="F45" i="11" s="1" a="1"/>
  <c r="F45" i="11" s="1"/>
  <c r="G45" i="11" s="1" a="1"/>
  <c r="G45" i="11" s="1"/>
  <c r="H45" i="11" s="1" a="1"/>
  <c r="H45" i="11" s="1"/>
  <c r="I45" i="11" s="1" a="1"/>
  <c r="I45" i="11" s="1"/>
  <c r="J45" i="11" s="1" a="1"/>
  <c r="J45" i="11" s="1"/>
  <c r="K45" i="11" s="1" a="1"/>
  <c r="K45" i="11" s="1"/>
  <c r="L45" i="11" s="1" a="1"/>
  <c r="L45" i="11" s="1"/>
  <c r="M45" i="11" s="1" a="1"/>
  <c r="M45" i="11" s="1"/>
  <c r="N45" i="11" s="1" a="1"/>
  <c r="N45" i="11" s="1"/>
  <c r="A44" i="11"/>
  <c r="C44" i="11" s="1" a="1"/>
  <c r="C44" i="11" s="1"/>
  <c r="D44" i="11" s="1" a="1"/>
  <c r="D44" i="11" s="1"/>
  <c r="E44" i="11" s="1" a="1"/>
  <c r="E44" i="11" s="1"/>
  <c r="F44" i="11" s="1" a="1"/>
  <c r="F44" i="11" s="1"/>
  <c r="G44" i="11" s="1" a="1"/>
  <c r="G44" i="11" s="1"/>
  <c r="H44" i="11" s="1" a="1"/>
  <c r="H44" i="11" s="1"/>
  <c r="I44" i="11" s="1" a="1"/>
  <c r="I44" i="11" s="1"/>
  <c r="J44" i="11" s="1" a="1"/>
  <c r="J44" i="11" s="1"/>
  <c r="K44" i="11" s="1" a="1"/>
  <c r="K44" i="11" s="1"/>
  <c r="L44" i="11" s="1" a="1"/>
  <c r="L44" i="11" s="1"/>
  <c r="M44" i="11" s="1" a="1"/>
  <c r="M44" i="11" s="1"/>
  <c r="N44" i="11" s="1" a="1"/>
  <c r="N44" i="11" s="1"/>
  <c r="A43" i="11"/>
  <c r="C43" i="11" s="1" a="1"/>
  <c r="C43" i="11" s="1"/>
  <c r="D43" i="11" s="1" a="1"/>
  <c r="D43" i="11" s="1"/>
  <c r="E43" i="11" s="1" a="1"/>
  <c r="E43" i="11" s="1"/>
  <c r="F43" i="11" s="1" a="1"/>
  <c r="F43" i="11" s="1"/>
  <c r="G43" i="11" s="1" a="1"/>
  <c r="G43" i="11" s="1"/>
  <c r="H43" i="11" s="1" a="1"/>
  <c r="H43" i="11" s="1"/>
  <c r="I43" i="11" s="1" a="1"/>
  <c r="I43" i="11" s="1"/>
  <c r="J43" i="11" s="1" a="1"/>
  <c r="J43" i="11" s="1"/>
  <c r="K43" i="11" s="1" a="1"/>
  <c r="K43" i="11" s="1"/>
  <c r="L43" i="11" s="1" a="1"/>
  <c r="L43" i="11" s="1"/>
  <c r="M43" i="11" s="1" a="1"/>
  <c r="M43" i="11" s="1"/>
  <c r="N43" i="11" s="1" a="1"/>
  <c r="N43" i="11" s="1"/>
  <c r="A42" i="11"/>
  <c r="A41" i="11"/>
  <c r="A40" i="11"/>
  <c r="N38" i="11"/>
  <c r="M38" i="11"/>
  <c r="L38" i="11"/>
  <c r="K38" i="11"/>
  <c r="J38" i="11"/>
  <c r="I38" i="11"/>
  <c r="H38" i="11"/>
  <c r="G38" i="11"/>
  <c r="F38" i="11"/>
  <c r="E38" i="11"/>
  <c r="D38" i="11"/>
  <c r="C38" i="11"/>
  <c r="N24" i="11"/>
  <c r="M24" i="11"/>
  <c r="L24" i="11"/>
  <c r="K24" i="11"/>
  <c r="J24" i="11"/>
  <c r="I24" i="11"/>
  <c r="H24" i="11"/>
  <c r="G24" i="11"/>
  <c r="F24" i="11"/>
  <c r="E24" i="11"/>
  <c r="D24" i="11"/>
  <c r="C24" i="11"/>
  <c r="N18" i="11"/>
  <c r="M18" i="11"/>
  <c r="L18" i="11"/>
  <c r="K18" i="11"/>
  <c r="J18" i="11"/>
  <c r="I18" i="11"/>
  <c r="H18" i="11"/>
  <c r="G18" i="11"/>
  <c r="F18" i="11"/>
  <c r="F98" i="1" s="1"/>
  <c r="F58" i="9" s="1"/>
  <c r="E18" i="11"/>
  <c r="D18" i="11"/>
  <c r="C18" i="11"/>
  <c r="N13" i="11"/>
  <c r="N14" i="11" s="1"/>
  <c r="N97" i="1" s="1"/>
  <c r="N51" i="9" s="1"/>
  <c r="M13" i="11"/>
  <c r="M14" i="11" s="1"/>
  <c r="M97" i="1" s="1"/>
  <c r="M51" i="9" s="1"/>
  <c r="L13" i="11"/>
  <c r="L14" i="11" s="1"/>
  <c r="L97" i="1" s="1"/>
  <c r="L51" i="9" s="1"/>
  <c r="K13" i="11"/>
  <c r="K14" i="11" s="1"/>
  <c r="K97" i="1" s="1"/>
  <c r="K51" i="9" s="1"/>
  <c r="J13" i="11"/>
  <c r="J14" i="11" s="1"/>
  <c r="J97" i="1" s="1"/>
  <c r="J51" i="9" s="1"/>
  <c r="I13" i="11"/>
  <c r="I14" i="11" s="1"/>
  <c r="I97" i="1" s="1"/>
  <c r="I51" i="9" s="1"/>
  <c r="H13" i="11"/>
  <c r="H14" i="11" s="1"/>
  <c r="H97" i="1" s="1"/>
  <c r="H51" i="9" s="1"/>
  <c r="N10" i="11"/>
  <c r="M10" i="11"/>
  <c r="L10" i="11"/>
  <c r="K10" i="11"/>
  <c r="J10" i="11"/>
  <c r="I10" i="11"/>
  <c r="H10" i="11"/>
  <c r="G10" i="11"/>
  <c r="G13" i="11" s="1"/>
  <c r="G14" i="11" s="1"/>
  <c r="G97" i="1" s="1"/>
  <c r="G51" i="9" s="1"/>
  <c r="E10" i="11"/>
  <c r="E13" i="11" s="1"/>
  <c r="E14" i="11" s="1"/>
  <c r="E97" i="1" s="1"/>
  <c r="E51" i="9" s="1"/>
  <c r="D10" i="11"/>
  <c r="D13" i="11" s="1"/>
  <c r="D14" i="11" s="1"/>
  <c r="D97" i="1" s="1"/>
  <c r="D51" i="9" s="1"/>
  <c r="C10" i="11"/>
  <c r="C13" i="11" s="1"/>
  <c r="C14" i="11" s="1"/>
  <c r="C97" i="1" s="1"/>
  <c r="C51" i="9" s="1"/>
  <c r="F7" i="11"/>
  <c r="F10" i="11" s="1"/>
  <c r="N3" i="11"/>
  <c r="M3" i="11"/>
  <c r="L3" i="11"/>
  <c r="K3" i="11"/>
  <c r="J3" i="11"/>
  <c r="I3" i="11"/>
  <c r="H3" i="11"/>
  <c r="G3" i="11"/>
  <c r="F3" i="11"/>
  <c r="E3" i="11"/>
  <c r="D3" i="11"/>
  <c r="C3" i="11"/>
  <c r="N2" i="11"/>
  <c r="M2" i="11"/>
  <c r="L2" i="11"/>
  <c r="K2" i="11"/>
  <c r="J2" i="11"/>
  <c r="I2" i="11"/>
  <c r="H2" i="11"/>
  <c r="G2" i="11"/>
  <c r="F2" i="11"/>
  <c r="E2" i="11"/>
  <c r="D2" i="11"/>
  <c r="C2" i="11"/>
  <c r="N19" i="10"/>
  <c r="M19" i="10"/>
  <c r="L19" i="10"/>
  <c r="K19" i="10"/>
  <c r="J19" i="10"/>
  <c r="I19" i="10"/>
  <c r="H19" i="10"/>
  <c r="G19" i="10"/>
  <c r="F19" i="10"/>
  <c r="E19" i="10"/>
  <c r="D19" i="10"/>
  <c r="N10" i="10"/>
  <c r="M10" i="10"/>
  <c r="L10" i="10"/>
  <c r="K10" i="10"/>
  <c r="J10" i="10"/>
  <c r="I10" i="10"/>
  <c r="H10" i="10"/>
  <c r="G10" i="10"/>
  <c r="F10" i="10"/>
  <c r="E10" i="10"/>
  <c r="D10" i="10"/>
  <c r="C9" i="10"/>
  <c r="C6" i="10"/>
  <c r="C19" i="10" s="1"/>
  <c r="C99" i="1" s="1"/>
  <c r="C61" i="9" s="1"/>
  <c r="C5" i="10"/>
  <c r="C10" i="10" s="1"/>
  <c r="C11" i="10" s="1"/>
  <c r="N3" i="10"/>
  <c r="M3" i="10"/>
  <c r="L3" i="10"/>
  <c r="K3" i="10"/>
  <c r="J3" i="10"/>
  <c r="I3" i="10"/>
  <c r="H3" i="10"/>
  <c r="G3" i="10"/>
  <c r="F3" i="10"/>
  <c r="E3" i="10"/>
  <c r="D3" i="10"/>
  <c r="C3" i="10"/>
  <c r="N2" i="10"/>
  <c r="M2" i="10"/>
  <c r="L2" i="10"/>
  <c r="K2" i="10"/>
  <c r="J2" i="10"/>
  <c r="I2" i="10"/>
  <c r="H2" i="10"/>
  <c r="G2" i="10"/>
  <c r="F2" i="10"/>
  <c r="E2" i="10"/>
  <c r="D2" i="10"/>
  <c r="C2" i="10"/>
  <c r="B26" i="9"/>
  <c r="N9" i="9"/>
  <c r="M9" i="9"/>
  <c r="L9" i="9"/>
  <c r="K9" i="9"/>
  <c r="J9" i="9"/>
  <c r="I9" i="9"/>
  <c r="H9" i="9"/>
  <c r="G9" i="9"/>
  <c r="F9" i="9"/>
  <c r="E9" i="9"/>
  <c r="D9" i="9"/>
  <c r="C9" i="9"/>
  <c r="N3" i="9"/>
  <c r="M3" i="9"/>
  <c r="L3" i="9"/>
  <c r="K3" i="9"/>
  <c r="J3" i="9"/>
  <c r="I3" i="9"/>
  <c r="H3" i="9"/>
  <c r="G3" i="9"/>
  <c r="F3" i="9"/>
  <c r="E3" i="9"/>
  <c r="D3" i="9"/>
  <c r="C3" i="9"/>
  <c r="N2" i="9"/>
  <c r="M2" i="9"/>
  <c r="L2" i="9"/>
  <c r="K2" i="9"/>
  <c r="J2" i="9"/>
  <c r="I2" i="9"/>
  <c r="H2" i="9"/>
  <c r="G2" i="9"/>
  <c r="F2" i="9"/>
  <c r="E2" i="9"/>
  <c r="D2" i="9"/>
  <c r="C2" i="9"/>
  <c r="A1" i="9" a="1"/>
  <c r="A1" i="9" s="1"/>
  <c r="N14" i="8"/>
  <c r="M14" i="8"/>
  <c r="L14" i="8"/>
  <c r="K14" i="8"/>
  <c r="J14" i="8"/>
  <c r="I14" i="8"/>
  <c r="H14" i="8"/>
  <c r="G14" i="8"/>
  <c r="F14" i="8"/>
  <c r="E14" i="8"/>
  <c r="D14" i="8"/>
  <c r="C14" i="8"/>
  <c r="N13" i="8"/>
  <c r="M13" i="8"/>
  <c r="L13" i="8"/>
  <c r="K13" i="8"/>
  <c r="J13" i="8"/>
  <c r="I13" i="8"/>
  <c r="H13" i="8"/>
  <c r="G13" i="8"/>
  <c r="F13" i="8"/>
  <c r="E13" i="8"/>
  <c r="D13" i="8"/>
  <c r="C13" i="8"/>
  <c r="N9" i="8"/>
  <c r="M9" i="8"/>
  <c r="L9" i="8"/>
  <c r="K9" i="8"/>
  <c r="J9" i="8"/>
  <c r="I9" i="8"/>
  <c r="H9" i="8"/>
  <c r="G9" i="8"/>
  <c r="F9" i="8"/>
  <c r="E9" i="8"/>
  <c r="D9" i="8"/>
  <c r="C9" i="8"/>
  <c r="N8" i="8"/>
  <c r="M8" i="8"/>
  <c r="L8" i="8"/>
  <c r="K8" i="8"/>
  <c r="J8" i="8"/>
  <c r="I8" i="8"/>
  <c r="H8" i="8"/>
  <c r="G8" i="8"/>
  <c r="F8" i="8"/>
  <c r="E8" i="8"/>
  <c r="D8" i="8"/>
  <c r="C8" i="8"/>
  <c r="N3" i="8"/>
  <c r="M3" i="8"/>
  <c r="L3" i="8"/>
  <c r="K3" i="8"/>
  <c r="J3" i="8"/>
  <c r="I3" i="8"/>
  <c r="H3" i="8"/>
  <c r="G3" i="8"/>
  <c r="F3" i="8"/>
  <c r="E3" i="8"/>
  <c r="D3" i="8"/>
  <c r="C3" i="8"/>
  <c r="N2" i="8"/>
  <c r="M2" i="8"/>
  <c r="L2" i="8"/>
  <c r="K2" i="8"/>
  <c r="J2" i="8"/>
  <c r="I2" i="8"/>
  <c r="H2" i="8"/>
  <c r="G2" i="8"/>
  <c r="F2" i="8"/>
  <c r="E2" i="8"/>
  <c r="D2" i="8"/>
  <c r="C2" i="8"/>
  <c r="A1" i="8" a="1"/>
  <c r="A1" i="8" s="1"/>
  <c r="C23" i="5"/>
  <c r="C21" i="5"/>
  <c r="C19" i="5"/>
  <c r="C1" i="5" a="1"/>
  <c r="C1" i="5" s="1"/>
  <c r="L34" i="4"/>
  <c r="K34" i="4"/>
  <c r="J34" i="4"/>
  <c r="I34" i="4"/>
  <c r="H34" i="4"/>
  <c r="G34" i="4"/>
  <c r="F34" i="4"/>
  <c r="E34" i="4"/>
  <c r="D34" i="4"/>
  <c r="L28" i="4"/>
  <c r="K28" i="4"/>
  <c r="J28" i="4"/>
  <c r="I28" i="4"/>
  <c r="H28" i="4"/>
  <c r="G28" i="4"/>
  <c r="F28" i="4"/>
  <c r="E28" i="4"/>
  <c r="D28" i="4"/>
  <c r="X23" i="4"/>
  <c r="C23" i="4"/>
  <c r="X21" i="4"/>
  <c r="C21" i="4"/>
  <c r="X19" i="4"/>
  <c r="C19" i="4"/>
  <c r="X1" i="4" a="1"/>
  <c r="X1" i="4" s="1"/>
  <c r="C1" i="4" a="1"/>
  <c r="C1" i="4" s="1"/>
  <c r="L4" i="2"/>
  <c r="E4" i="2"/>
  <c r="B106" i="1"/>
  <c r="B44" i="15" s="1"/>
  <c r="B47" i="15" s="1"/>
  <c r="B105" i="1"/>
  <c r="B42" i="15" s="1"/>
  <c r="B104" i="1"/>
  <c r="B43" i="15" s="1"/>
  <c r="N102" i="1"/>
  <c r="M102" i="1"/>
  <c r="L102" i="1"/>
  <c r="K102" i="1"/>
  <c r="J102" i="1"/>
  <c r="I102" i="1"/>
  <c r="H102" i="1"/>
  <c r="G102" i="1"/>
  <c r="F102" i="1"/>
  <c r="E102" i="1"/>
  <c r="D102" i="1"/>
  <c r="C102" i="1"/>
  <c r="B102" i="1"/>
  <c r="B101" i="1"/>
  <c r="N100" i="1"/>
  <c r="N55" i="9" s="1"/>
  <c r="M100" i="1"/>
  <c r="M55" i="9" s="1"/>
  <c r="L100" i="1"/>
  <c r="L55" i="9" s="1"/>
  <c r="K100" i="1"/>
  <c r="K55" i="9" s="1"/>
  <c r="J100" i="1"/>
  <c r="J55" i="9" s="1"/>
  <c r="I100" i="1"/>
  <c r="I55" i="9" s="1"/>
  <c r="H100" i="1"/>
  <c r="H55" i="9" s="1"/>
  <c r="G100" i="1"/>
  <c r="G55" i="9" s="1"/>
  <c r="F100" i="1"/>
  <c r="F55" i="9" s="1"/>
  <c r="E100" i="1"/>
  <c r="E55" i="9" s="1"/>
  <c r="D100" i="1"/>
  <c r="D55" i="9" s="1"/>
  <c r="C100" i="1"/>
  <c r="C55" i="9" s="1"/>
  <c r="B100" i="1"/>
  <c r="N99" i="1"/>
  <c r="N61" i="9" s="1"/>
  <c r="M99" i="1"/>
  <c r="M61" i="9" s="1"/>
  <c r="L99" i="1"/>
  <c r="L61" i="9" s="1"/>
  <c r="K99" i="1"/>
  <c r="K61" i="9" s="1"/>
  <c r="J99" i="1"/>
  <c r="J61" i="9" s="1"/>
  <c r="I99" i="1"/>
  <c r="I61" i="9" s="1"/>
  <c r="H99" i="1"/>
  <c r="H61" i="9" s="1"/>
  <c r="G99" i="1"/>
  <c r="G61" i="9" s="1"/>
  <c r="F99" i="1"/>
  <c r="F61" i="9" s="1"/>
  <c r="E99" i="1"/>
  <c r="E61" i="9" s="1"/>
  <c r="D99" i="1"/>
  <c r="D61" i="9" s="1"/>
  <c r="B99" i="1"/>
  <c r="B98" i="1"/>
  <c r="B97" i="1"/>
  <c r="B96" i="1"/>
  <c r="B24" i="9" s="1"/>
  <c r="B95" i="1"/>
  <c r="B16" i="9" s="1"/>
  <c r="N94" i="1"/>
  <c r="P37" i="5" s="1"/>
  <c r="M94" i="1"/>
  <c r="O37" i="5" s="1"/>
  <c r="L94" i="1"/>
  <c r="N37" i="5" s="1"/>
  <c r="K94" i="1"/>
  <c r="M37" i="5" s="1"/>
  <c r="J94" i="1"/>
  <c r="L37" i="5" s="1"/>
  <c r="I94" i="1"/>
  <c r="K37" i="5" s="1"/>
  <c r="H94" i="1"/>
  <c r="J37" i="5" s="1"/>
  <c r="G94" i="1"/>
  <c r="I37" i="5" s="1"/>
  <c r="F94" i="1"/>
  <c r="H37" i="5" s="1"/>
  <c r="E94" i="1"/>
  <c r="G37" i="5" s="1"/>
  <c r="G48" i="5" s="1"/>
  <c r="D94" i="1"/>
  <c r="F37" i="5" s="1"/>
  <c r="F48" i="5" s="1"/>
  <c r="C94" i="1"/>
  <c r="E37" i="5" s="1"/>
  <c r="E48" i="5" s="1"/>
  <c r="B94" i="1"/>
  <c r="B93" i="1"/>
  <c r="B49" i="15" s="1"/>
  <c r="K91" i="1"/>
  <c r="M30" i="5" s="1"/>
  <c r="I30" i="4" s="1"/>
  <c r="J91" i="1"/>
  <c r="L30" i="5" s="1"/>
  <c r="H30" i="4" s="1"/>
  <c r="I91" i="1"/>
  <c r="K30" i="5" s="1"/>
  <c r="G30" i="4" s="1"/>
  <c r="H91" i="1"/>
  <c r="J30" i="5" s="1"/>
  <c r="F30" i="4" s="1"/>
  <c r="G91" i="1"/>
  <c r="I30" i="5" s="1"/>
  <c r="E30" i="4" s="1"/>
  <c r="F91" i="1"/>
  <c r="H30" i="5" s="1"/>
  <c r="D30" i="4" s="1"/>
  <c r="E91" i="1"/>
  <c r="G30" i="5" s="1"/>
  <c r="D91" i="1"/>
  <c r="F30" i="5" s="1"/>
  <c r="C91" i="1"/>
  <c r="E30" i="5" s="1"/>
  <c r="B91" i="1"/>
  <c r="B87" i="1"/>
  <c r="B86" i="1"/>
  <c r="N83" i="1"/>
  <c r="M83" i="1"/>
  <c r="L83" i="1"/>
  <c r="K83" i="1"/>
  <c r="J83" i="1"/>
  <c r="I83" i="1"/>
  <c r="H83" i="1"/>
  <c r="G83" i="1"/>
  <c r="F83" i="1"/>
  <c r="E83" i="1"/>
  <c r="D83" i="1"/>
  <c r="C83" i="1"/>
  <c r="B83" i="1"/>
  <c r="B82" i="1"/>
  <c r="N79" i="1"/>
  <c r="P22" i="5" s="1"/>
  <c r="M79" i="1"/>
  <c r="O22" i="5" s="1"/>
  <c r="L79" i="1"/>
  <c r="N22" i="5" s="1"/>
  <c r="K79" i="1"/>
  <c r="M22" i="5" s="1"/>
  <c r="J79" i="1"/>
  <c r="L22" i="5" s="1"/>
  <c r="I79" i="1"/>
  <c r="K22" i="5" s="1"/>
  <c r="H79" i="1"/>
  <c r="J22" i="5" s="1"/>
  <c r="G79" i="1"/>
  <c r="I22" i="5" s="1"/>
  <c r="F79" i="1"/>
  <c r="H22" i="5" s="1"/>
  <c r="E79" i="1"/>
  <c r="G22" i="5" s="1"/>
  <c r="G21" i="5" s="1"/>
  <c r="D79" i="1"/>
  <c r="F22" i="5" s="1"/>
  <c r="F21" i="5" s="1"/>
  <c r="C79" i="1"/>
  <c r="E22" i="5" s="1"/>
  <c r="E21" i="5" s="1"/>
  <c r="B79" i="1"/>
  <c r="I78" i="1"/>
  <c r="K20" i="5" s="1"/>
  <c r="H78" i="1"/>
  <c r="J20" i="5" s="1"/>
  <c r="C78" i="1"/>
  <c r="E20" i="5" s="1"/>
  <c r="E19" i="5" s="1"/>
  <c r="B78" i="1"/>
  <c r="B77" i="1"/>
  <c r="N73" i="1"/>
  <c r="N60" i="9" s="1"/>
  <c r="M73" i="1"/>
  <c r="M60" i="9" s="1"/>
  <c r="B73" i="1"/>
  <c r="B72" i="1"/>
  <c r="B71" i="1"/>
  <c r="N68" i="1"/>
  <c r="N59" i="9" s="1"/>
  <c r="L68" i="1"/>
  <c r="L59" i="9" s="1"/>
  <c r="B68" i="1"/>
  <c r="N67" i="1"/>
  <c r="N53" i="9" s="1"/>
  <c r="L67" i="1"/>
  <c r="L53" i="9" s="1"/>
  <c r="B67" i="1"/>
  <c r="B66" i="1"/>
  <c r="N60" i="1"/>
  <c r="M60" i="1"/>
  <c r="L60" i="1"/>
  <c r="K60" i="1"/>
  <c r="J60" i="1"/>
  <c r="I60" i="1"/>
  <c r="H60" i="1"/>
  <c r="G60" i="1"/>
  <c r="F60" i="1"/>
  <c r="E60" i="1"/>
  <c r="D60" i="1"/>
  <c r="C60" i="1"/>
  <c r="L54" i="24" s="1"/>
  <c r="B60" i="1"/>
  <c r="B59" i="1"/>
  <c r="B5" i="9" s="1"/>
  <c r="B11" i="9" s="1"/>
  <c r="B20" i="9" s="1"/>
  <c r="B58" i="1"/>
  <c r="B14" i="9" s="1"/>
  <c r="B56" i="1"/>
  <c r="B55" i="1"/>
  <c r="N51" i="1"/>
  <c r="P43" i="5" s="1"/>
  <c r="L43" i="4" s="1"/>
  <c r="M51" i="1"/>
  <c r="O43" i="5" s="1"/>
  <c r="K43" i="4" s="1"/>
  <c r="L51" i="1"/>
  <c r="N43" i="5" s="1"/>
  <c r="J43" i="4" s="1"/>
  <c r="K51" i="1"/>
  <c r="M43" i="5" s="1"/>
  <c r="I43" i="4" s="1"/>
  <c r="J51" i="1"/>
  <c r="L43" i="5" s="1"/>
  <c r="H43" i="4" s="1"/>
  <c r="I51" i="1"/>
  <c r="K43" i="5" s="1"/>
  <c r="G43" i="4" s="1"/>
  <c r="H51" i="1"/>
  <c r="J43" i="5" s="1"/>
  <c r="F43" i="4" s="1"/>
  <c r="G51" i="1"/>
  <c r="I43" i="5" s="1"/>
  <c r="E43" i="4" s="1"/>
  <c r="F51" i="1"/>
  <c r="H43" i="5" s="1"/>
  <c r="D43" i="4" s="1"/>
  <c r="E51" i="1"/>
  <c r="G43" i="5" s="1"/>
  <c r="D51" i="1"/>
  <c r="F43" i="5" s="1"/>
  <c r="C51" i="1"/>
  <c r="E43" i="5" s="1"/>
  <c r="B51" i="1"/>
  <c r="B50" i="1"/>
  <c r="B49" i="1"/>
  <c r="B47" i="1"/>
  <c r="B46" i="1"/>
  <c r="N43" i="1"/>
  <c r="N23" i="9" s="1"/>
  <c r="N26" i="9" s="1"/>
  <c r="M43" i="1"/>
  <c r="M23" i="9" s="1"/>
  <c r="M26" i="9" s="1"/>
  <c r="L43" i="1"/>
  <c r="L23" i="9" s="1"/>
  <c r="L26" i="9" s="1"/>
  <c r="K43" i="1"/>
  <c r="K23" i="9" s="1"/>
  <c r="K26" i="9" s="1"/>
  <c r="J43" i="1"/>
  <c r="J23" i="9" s="1"/>
  <c r="J26" i="9" s="1"/>
  <c r="I43" i="1"/>
  <c r="I23" i="9" s="1"/>
  <c r="I26" i="9" s="1"/>
  <c r="H43" i="1"/>
  <c r="H23" i="9" s="1"/>
  <c r="H26" i="9" s="1"/>
  <c r="G43" i="1"/>
  <c r="G23" i="9" s="1"/>
  <c r="G26" i="9" s="1"/>
  <c r="F43" i="1"/>
  <c r="F23" i="9" s="1"/>
  <c r="F26" i="9" s="1"/>
  <c r="E43" i="1"/>
  <c r="E23" i="9" s="1"/>
  <c r="E26" i="9" s="1"/>
  <c r="D43" i="1"/>
  <c r="D23" i="9" s="1"/>
  <c r="D26" i="9" s="1"/>
  <c r="C43" i="1"/>
  <c r="C23" i="9" s="1"/>
  <c r="C26" i="9" s="1"/>
  <c r="B43" i="1"/>
  <c r="N37" i="1"/>
  <c r="N42" i="9" s="1"/>
  <c r="M37" i="1"/>
  <c r="M42" i="9" s="1"/>
  <c r="L37" i="1"/>
  <c r="L42" i="9" s="1"/>
  <c r="J37" i="1"/>
  <c r="J42" i="9" s="1"/>
  <c r="I37" i="1"/>
  <c r="I42" i="9" s="1"/>
  <c r="H37" i="1"/>
  <c r="H42" i="9" s="1"/>
  <c r="G37" i="1"/>
  <c r="G42" i="9" s="1"/>
  <c r="F37" i="1"/>
  <c r="F42" i="9" s="1"/>
  <c r="E37" i="1"/>
  <c r="E42" i="9" s="1"/>
  <c r="D37" i="1"/>
  <c r="D42" i="9" s="1"/>
  <c r="C37" i="1"/>
  <c r="C42" i="9" s="1"/>
  <c r="B37" i="1"/>
  <c r="B42" i="9" s="1"/>
  <c r="N36" i="1"/>
  <c r="N34" i="9" s="1"/>
  <c r="M36" i="1"/>
  <c r="M34" i="9" s="1"/>
  <c r="K36" i="1"/>
  <c r="K34" i="9" s="1"/>
  <c r="J36" i="1"/>
  <c r="J34" i="9" s="1"/>
  <c r="I36" i="1"/>
  <c r="I34" i="9" s="1"/>
  <c r="H36" i="1"/>
  <c r="H34" i="9" s="1"/>
  <c r="G36" i="1"/>
  <c r="G34" i="9" s="1"/>
  <c r="F36" i="1"/>
  <c r="F34" i="9" s="1"/>
  <c r="E36" i="1"/>
  <c r="E34" i="9" s="1"/>
  <c r="D36" i="1"/>
  <c r="D34" i="9" s="1"/>
  <c r="C36" i="1"/>
  <c r="C34" i="9" s="1"/>
  <c r="B36" i="1"/>
  <c r="B34" i="9" s="1"/>
  <c r="B33" i="1"/>
  <c r="B32" i="1"/>
  <c r="B31" i="1"/>
  <c r="N28" i="1"/>
  <c r="P18" i="5" s="1"/>
  <c r="M28" i="1"/>
  <c r="O18" i="5" s="1"/>
  <c r="L28" i="1"/>
  <c r="N18" i="5" s="1"/>
  <c r="K28" i="1"/>
  <c r="M18" i="5" s="1"/>
  <c r="J28" i="1"/>
  <c r="L18" i="5" s="1"/>
  <c r="B28" i="1"/>
  <c r="N27" i="1"/>
  <c r="N41" i="9" s="1"/>
  <c r="M27" i="1"/>
  <c r="M41" i="9" s="1"/>
  <c r="L27" i="1"/>
  <c r="L41" i="9" s="1"/>
  <c r="K27" i="1"/>
  <c r="K41" i="9" s="1"/>
  <c r="J27" i="1"/>
  <c r="J41" i="9" s="1"/>
  <c r="I27" i="1"/>
  <c r="I41" i="9" s="1"/>
  <c r="H27" i="1"/>
  <c r="H41" i="9" s="1"/>
  <c r="G27" i="1"/>
  <c r="G41" i="9" s="1"/>
  <c r="F27" i="1"/>
  <c r="F41" i="9" s="1"/>
  <c r="E27" i="1"/>
  <c r="E41" i="9" s="1"/>
  <c r="D27" i="1"/>
  <c r="D41" i="9" s="1"/>
  <c r="C27" i="1"/>
  <c r="C41" i="9" s="1"/>
  <c r="B27" i="1"/>
  <c r="N26" i="1"/>
  <c r="N33" i="9" s="1"/>
  <c r="M26" i="1"/>
  <c r="M33" i="9" s="1"/>
  <c r="L26" i="1"/>
  <c r="L33" i="9" s="1"/>
  <c r="K26" i="1"/>
  <c r="K33" i="9" s="1"/>
  <c r="I26" i="1"/>
  <c r="I33" i="9" s="1"/>
  <c r="H26" i="1"/>
  <c r="H33" i="9" s="1"/>
  <c r="G26" i="1"/>
  <c r="G33" i="9" s="1"/>
  <c r="F26" i="1"/>
  <c r="F33" i="9" s="1"/>
  <c r="E26" i="1"/>
  <c r="E33" i="9" s="1"/>
  <c r="D26" i="1"/>
  <c r="D33" i="9" s="1"/>
  <c r="C26" i="1"/>
  <c r="C33" i="9" s="1"/>
  <c r="B26" i="1"/>
  <c r="N22" i="1"/>
  <c r="N40" i="9" s="1"/>
  <c r="M22" i="1"/>
  <c r="M40" i="9" s="1"/>
  <c r="L22" i="1"/>
  <c r="L40" i="9" s="1"/>
  <c r="J22" i="1"/>
  <c r="J40" i="9" s="1"/>
  <c r="I22" i="1"/>
  <c r="I40" i="9" s="1"/>
  <c r="H22" i="1"/>
  <c r="H40" i="9" s="1"/>
  <c r="G22" i="1"/>
  <c r="G40" i="9" s="1"/>
  <c r="F22" i="1"/>
  <c r="F40" i="9" s="1"/>
  <c r="E22" i="1"/>
  <c r="E40" i="9" s="1"/>
  <c r="D22" i="1"/>
  <c r="D40" i="9" s="1"/>
  <c r="C22" i="1"/>
  <c r="C40" i="9" s="1"/>
  <c r="B22" i="1"/>
  <c r="N18" i="1"/>
  <c r="P12" i="5" s="1"/>
  <c r="L12" i="4" s="1"/>
  <c r="M18" i="1"/>
  <c r="O12" i="5" s="1"/>
  <c r="K12" i="4" s="1"/>
  <c r="G18" i="1"/>
  <c r="I12" i="5" s="1"/>
  <c r="E12" i="4" s="1"/>
  <c r="F18" i="1"/>
  <c r="H12" i="5" s="1"/>
  <c r="D12" i="4" s="1"/>
  <c r="E18" i="1"/>
  <c r="G12" i="5" s="1"/>
  <c r="D18" i="1"/>
  <c r="F12" i="5" s="1"/>
  <c r="C18" i="1"/>
  <c r="E12" i="5" s="1"/>
  <c r="B17" i="1"/>
  <c r="B16" i="1"/>
  <c r="B15" i="1"/>
  <c r="B14" i="1"/>
  <c r="B13" i="1"/>
  <c r="B12" i="1"/>
  <c r="N11" i="1"/>
  <c r="N39" i="9" s="1"/>
  <c r="M11" i="1"/>
  <c r="M39" i="9" s="1"/>
  <c r="K11" i="1"/>
  <c r="K39" i="9" s="1"/>
  <c r="J11" i="1"/>
  <c r="J39" i="9" s="1"/>
  <c r="I11" i="1"/>
  <c r="I39" i="9" s="1"/>
  <c r="H11" i="1"/>
  <c r="H39" i="9" s="1"/>
  <c r="G11" i="1"/>
  <c r="G39" i="9" s="1"/>
  <c r="F11" i="1"/>
  <c r="F39" i="9" s="1"/>
  <c r="E11" i="1"/>
  <c r="E39" i="9" s="1"/>
  <c r="D11" i="1"/>
  <c r="D39" i="9" s="1"/>
  <c r="C11" i="1"/>
  <c r="C39" i="9" s="1"/>
  <c r="B11" i="1"/>
  <c r="N10" i="1"/>
  <c r="N31" i="9" s="1"/>
  <c r="M10" i="1"/>
  <c r="M31" i="9" s="1"/>
  <c r="L10" i="1"/>
  <c r="L31" i="9" s="1"/>
  <c r="B10" i="1"/>
  <c r="B7" i="1"/>
  <c r="B6" i="1"/>
  <c r="B5" i="1"/>
  <c r="N2" i="1"/>
  <c r="M2" i="1"/>
  <c r="L2" i="1"/>
  <c r="K2" i="1"/>
  <c r="J2" i="1"/>
  <c r="I2" i="1"/>
  <c r="H2" i="1"/>
  <c r="G2" i="1"/>
  <c r="F2" i="1"/>
  <c r="E2" i="1"/>
  <c r="D2" i="1"/>
  <c r="C2" i="1"/>
  <c r="B2" i="1"/>
  <c r="N1" i="1"/>
  <c r="M1" i="1"/>
  <c r="L1" i="1"/>
  <c r="K1" i="1"/>
  <c r="J1" i="1"/>
  <c r="I1" i="1"/>
  <c r="H1" i="1"/>
  <c r="G1" i="1"/>
  <c r="F1" i="1"/>
  <c r="E1" i="1"/>
  <c r="D1" i="1"/>
  <c r="C1" i="1"/>
  <c r="B1" i="1"/>
  <c r="A81" i="24"/>
  <c r="A80" i="24"/>
  <c r="A79" i="24"/>
  <c r="A78" i="24"/>
  <c r="W58" i="24"/>
  <c r="V58" i="24"/>
  <c r="U58" i="24"/>
  <c r="T58" i="24"/>
  <c r="R58" i="24"/>
  <c r="P58" i="24"/>
  <c r="O58" i="24"/>
  <c r="N58" i="24"/>
  <c r="M58" i="24"/>
  <c r="W56" i="24"/>
  <c r="V56" i="24"/>
  <c r="U56" i="24"/>
  <c r="T56" i="24"/>
  <c r="S56" i="24"/>
  <c r="R56" i="24"/>
  <c r="Q56" i="24"/>
  <c r="P56" i="24"/>
  <c r="O56" i="24"/>
  <c r="N56" i="24"/>
  <c r="M56" i="24"/>
  <c r="L56" i="24"/>
  <c r="W55" i="24"/>
  <c r="V55" i="24"/>
  <c r="U55" i="24"/>
  <c r="T55" i="24"/>
  <c r="S55" i="24"/>
  <c r="R55" i="24"/>
  <c r="Q55" i="24"/>
  <c r="P55" i="24"/>
  <c r="O55" i="24"/>
  <c r="N55" i="24"/>
  <c r="M55" i="24"/>
  <c r="L55" i="24"/>
  <c r="W54" i="24"/>
  <c r="V54" i="24"/>
  <c r="U54" i="24"/>
  <c r="T54" i="24"/>
  <c r="S54" i="24"/>
  <c r="R54" i="24"/>
  <c r="Q54" i="24"/>
  <c r="P54" i="24"/>
  <c r="O54" i="24"/>
  <c r="N54" i="24"/>
  <c r="M54" i="24"/>
  <c r="W53" i="24"/>
  <c r="W59" i="24" s="1"/>
  <c r="W9" i="25" s="1"/>
  <c r="V53" i="24"/>
  <c r="V59" i="24" s="1"/>
  <c r="V9" i="25" s="1"/>
  <c r="U53" i="24"/>
  <c r="U59" i="24" s="1"/>
  <c r="U9" i="25" s="1"/>
  <c r="T53" i="24"/>
  <c r="T59" i="24" s="1"/>
  <c r="T9" i="25" s="1"/>
  <c r="S53" i="24"/>
  <c r="R53" i="24"/>
  <c r="Q53" i="24"/>
  <c r="P53" i="24"/>
  <c r="O53" i="24"/>
  <c r="N53" i="24"/>
  <c r="M53" i="24"/>
  <c r="L53" i="24"/>
  <c r="S52" i="24"/>
  <c r="S59" i="24" s="1"/>
  <c r="S9" i="25" s="1"/>
  <c r="R52" i="24"/>
  <c r="R59" i="24" s="1"/>
  <c r="R9" i="25" s="1"/>
  <c r="Q52" i="24"/>
  <c r="Q59" i="24" s="1"/>
  <c r="Q9" i="25" s="1"/>
  <c r="P52" i="24"/>
  <c r="P59" i="24" s="1"/>
  <c r="P9" i="25" s="1"/>
  <c r="L52" i="24"/>
  <c r="T35" i="24"/>
  <c r="S30" i="24"/>
  <c r="R30" i="24"/>
  <c r="Q30" i="24"/>
  <c r="P30" i="24"/>
  <c r="O30" i="24"/>
  <c r="N30" i="24"/>
  <c r="M30" i="24"/>
  <c r="L30" i="24"/>
  <c r="W18" i="24"/>
  <c r="W33" i="24" s="1"/>
  <c r="V18" i="24"/>
  <c r="V33" i="24" s="1"/>
  <c r="U18" i="24"/>
  <c r="U33" i="24" s="1"/>
  <c r="T18" i="24"/>
  <c r="T33" i="24" s="1"/>
  <c r="S18" i="24"/>
  <c r="S33" i="24" s="1"/>
  <c r="R18" i="24"/>
  <c r="R33" i="24" s="1"/>
  <c r="Q18" i="24"/>
  <c r="Q33" i="24" s="1"/>
  <c r="P18" i="24"/>
  <c r="P33" i="24" s="1"/>
  <c r="O18" i="24"/>
  <c r="O33" i="24" s="1"/>
  <c r="N18" i="24"/>
  <c r="N33" i="24" s="1"/>
  <c r="M18" i="24"/>
  <c r="M33" i="24" s="1"/>
  <c r="L18" i="24"/>
  <c r="L33" i="24" s="1"/>
  <c r="L37" i="4" l="1"/>
  <c r="P48" i="5"/>
  <c r="K37" i="4"/>
  <c r="O48" i="5"/>
  <c r="J37" i="4"/>
  <c r="N48" i="5"/>
  <c r="I37" i="4"/>
  <c r="M48" i="5"/>
  <c r="H37" i="4"/>
  <c r="L48" i="5"/>
  <c r="G37" i="4"/>
  <c r="K48" i="5"/>
  <c r="F37" i="4"/>
  <c r="J48" i="5"/>
  <c r="E37" i="4"/>
  <c r="I48" i="5"/>
  <c r="D37" i="4"/>
  <c r="H48" i="5"/>
  <c r="P21" i="5"/>
  <c r="L21" i="4" s="1"/>
  <c r="L22" i="4"/>
  <c r="O21" i="5"/>
  <c r="K21" i="4" s="1"/>
  <c r="K22" i="4"/>
  <c r="J22" i="4"/>
  <c r="N21" i="5"/>
  <c r="J21" i="4" s="1"/>
  <c r="M21" i="5"/>
  <c r="I21" i="4" s="1"/>
  <c r="I22" i="4"/>
  <c r="L21" i="5"/>
  <c r="H21" i="4" s="1"/>
  <c r="H22" i="4"/>
  <c r="K21" i="5"/>
  <c r="G21" i="4" s="1"/>
  <c r="G22" i="4"/>
  <c r="F22" i="4"/>
  <c r="J21" i="5"/>
  <c r="F21" i="4" s="1"/>
  <c r="E22" i="4"/>
  <c r="I21" i="5"/>
  <c r="E21" i="4" s="1"/>
  <c r="D22" i="4"/>
  <c r="H21" i="5"/>
  <c r="D21" i="4" s="1"/>
  <c r="K19" i="5"/>
  <c r="G19" i="4" s="1"/>
  <c r="G20" i="4"/>
  <c r="J19" i="5"/>
  <c r="F19" i="4" s="1"/>
  <c r="F20" i="4"/>
  <c r="P46" i="28"/>
  <c r="P52" i="28" s="1"/>
  <c r="P53" i="28" s="1"/>
  <c r="M50" i="27"/>
  <c r="T30" i="24"/>
  <c r="L59" i="24"/>
  <c r="L9" i="25" s="1"/>
  <c r="M52" i="24"/>
  <c r="E11" i="25"/>
  <c r="AA20" i="4"/>
  <c r="AV20" i="4"/>
  <c r="AB19" i="4"/>
  <c r="AW19" i="4"/>
  <c r="AA19" i="4"/>
  <c r="AV19" i="4"/>
  <c r="AG34" i="4"/>
  <c r="BB34" i="4"/>
  <c r="AF34" i="4"/>
  <c r="BA34" i="4"/>
  <c r="AE34" i="4"/>
  <c r="AZ34" i="4"/>
  <c r="AD34" i="4"/>
  <c r="AY34" i="4"/>
  <c r="AC34" i="4"/>
  <c r="AX34" i="4"/>
  <c r="AB34" i="4"/>
  <c r="AW34" i="4"/>
  <c r="AA34" i="4"/>
  <c r="AV34" i="4"/>
  <c r="Z34" i="4"/>
  <c r="AU34" i="4"/>
  <c r="Y34" i="4"/>
  <c r="AT34" i="4"/>
  <c r="AD30" i="4"/>
  <c r="AY30" i="4"/>
  <c r="AC30" i="4"/>
  <c r="AX30" i="4"/>
  <c r="AB30" i="4"/>
  <c r="AW30" i="4"/>
  <c r="AA30" i="4"/>
  <c r="AV30" i="4"/>
  <c r="Z30" i="4"/>
  <c r="AU30" i="4"/>
  <c r="Y30" i="4"/>
  <c r="AT30" i="4"/>
  <c r="AG28" i="4"/>
  <c r="BB28" i="4"/>
  <c r="AF28" i="4"/>
  <c r="BA28" i="4"/>
  <c r="AE28" i="4"/>
  <c r="AZ28" i="4"/>
  <c r="AD28" i="4"/>
  <c r="AY28" i="4"/>
  <c r="AC28" i="4"/>
  <c r="AX28" i="4"/>
  <c r="AB28" i="4"/>
  <c r="AW28" i="4"/>
  <c r="AA28" i="4"/>
  <c r="AV28" i="4"/>
  <c r="Z28" i="4"/>
  <c r="AU28" i="4"/>
  <c r="Y28" i="4"/>
  <c r="AT28" i="4"/>
  <c r="AG22" i="4"/>
  <c r="BB22" i="4"/>
  <c r="AF22" i="4"/>
  <c r="BA22" i="4"/>
  <c r="AE22" i="4"/>
  <c r="AZ22" i="4"/>
  <c r="AD22" i="4"/>
  <c r="AY22" i="4"/>
  <c r="AC22" i="4"/>
  <c r="AX22" i="4"/>
  <c r="AB22" i="4"/>
  <c r="AW22" i="4"/>
  <c r="AA22" i="4"/>
  <c r="AV22" i="4"/>
  <c r="Z22" i="4"/>
  <c r="AU22" i="4"/>
  <c r="Y22" i="4"/>
  <c r="AT22" i="4"/>
  <c r="AG21" i="4"/>
  <c r="BB21" i="4"/>
  <c r="AF21" i="4"/>
  <c r="BA21" i="4"/>
  <c r="AE21" i="4"/>
  <c r="AZ21" i="4"/>
  <c r="AD21" i="4"/>
  <c r="AY21" i="4"/>
  <c r="AC21" i="4"/>
  <c r="AX21" i="4"/>
  <c r="AB21" i="4"/>
  <c r="AW21" i="4"/>
  <c r="AA21" i="4"/>
  <c r="AV21" i="4"/>
  <c r="Z21" i="4"/>
  <c r="AU21" i="4"/>
  <c r="Y21" i="4"/>
  <c r="AT21" i="4"/>
  <c r="AG43" i="4"/>
  <c r="BB43" i="4"/>
  <c r="AF43" i="4"/>
  <c r="BA43" i="4"/>
  <c r="AE43" i="4"/>
  <c r="AZ43" i="4"/>
  <c r="AD43" i="4"/>
  <c r="AY43" i="4"/>
  <c r="AC43" i="4"/>
  <c r="AX43" i="4"/>
  <c r="AB43" i="4"/>
  <c r="AW43" i="4"/>
  <c r="AA43" i="4"/>
  <c r="AV43" i="4"/>
  <c r="Z43" i="4"/>
  <c r="AU43" i="4"/>
  <c r="Y43" i="4"/>
  <c r="AT43" i="4"/>
  <c r="AG12" i="4"/>
  <c r="BB12" i="4"/>
  <c r="AF12" i="4"/>
  <c r="BA12" i="4"/>
  <c r="Z12" i="4"/>
  <c r="AU12" i="4"/>
  <c r="Y12" i="4"/>
  <c r="AT12" i="4"/>
  <c r="W51" i="33"/>
  <c r="W80" i="28" s="1"/>
  <c r="W50" i="33"/>
  <c r="W79" i="28" s="1"/>
  <c r="W48" i="33"/>
  <c r="W77" i="28" s="1"/>
  <c r="W49" i="33"/>
  <c r="W78" i="28" s="1"/>
  <c r="V51" i="33"/>
  <c r="V80" i="28" s="1"/>
  <c r="V48" i="33"/>
  <c r="V77" i="28" s="1"/>
  <c r="V49" i="33"/>
  <c r="V78" i="28" s="1"/>
  <c r="V50" i="33"/>
  <c r="V79" i="28" s="1"/>
  <c r="U51" i="33"/>
  <c r="U80" i="28" s="1"/>
  <c r="U48" i="33"/>
  <c r="U77" i="28" s="1"/>
  <c r="U50" i="33"/>
  <c r="U79" i="28" s="1"/>
  <c r="U49" i="33"/>
  <c r="U78" i="28" s="1"/>
  <c r="T51" i="33"/>
  <c r="T80" i="28" s="1"/>
  <c r="T48" i="33"/>
  <c r="T77" i="28" s="1"/>
  <c r="T50" i="33"/>
  <c r="T79" i="28" s="1"/>
  <c r="T49" i="33"/>
  <c r="T78" i="28" s="1"/>
  <c r="S51" i="33"/>
  <c r="S80" i="28" s="1"/>
  <c r="S50" i="33"/>
  <c r="S79" i="28" s="1"/>
  <c r="S49" i="33"/>
  <c r="S78" i="28" s="1"/>
  <c r="S48" i="33"/>
  <c r="S77" i="28" s="1"/>
  <c r="R51" i="33"/>
  <c r="R80" i="28" s="1"/>
  <c r="R48" i="33"/>
  <c r="R77" i="28" s="1"/>
  <c r="R50" i="33"/>
  <c r="R79" i="28" s="1"/>
  <c r="R49" i="33"/>
  <c r="R78" i="28" s="1"/>
  <c r="Q50" i="33"/>
  <c r="Q79" i="28" s="1"/>
  <c r="Q49" i="33"/>
  <c r="Q78" i="28" s="1"/>
  <c r="Q51" i="33"/>
  <c r="Q80" i="28" s="1"/>
  <c r="Q48" i="33"/>
  <c r="Q77" i="28" s="1"/>
  <c r="P50" i="33"/>
  <c r="P79" i="28" s="1"/>
  <c r="P49" i="33"/>
  <c r="P78" i="28" s="1"/>
  <c r="P51" i="33"/>
  <c r="P80" i="28" s="1"/>
  <c r="P48" i="33"/>
  <c r="P77" i="28" s="1"/>
  <c r="O50" i="33"/>
  <c r="O79" i="28" s="1"/>
  <c r="O49" i="33"/>
  <c r="O78" i="28" s="1"/>
  <c r="O51" i="33"/>
  <c r="O80" i="28" s="1"/>
  <c r="O48" i="33"/>
  <c r="O77" i="28" s="1"/>
  <c r="N49" i="33"/>
  <c r="N78" i="28" s="1"/>
  <c r="N51" i="33"/>
  <c r="N80" i="28" s="1"/>
  <c r="N50" i="33"/>
  <c r="N79" i="28" s="1"/>
  <c r="N48" i="33"/>
  <c r="N77" i="28" s="1"/>
  <c r="M49" i="33"/>
  <c r="M78" i="28" s="1"/>
  <c r="M51" i="33"/>
  <c r="M80" i="28" s="1"/>
  <c r="M50" i="33"/>
  <c r="M79" i="28" s="1"/>
  <c r="M48" i="33"/>
  <c r="M77" i="28" s="1"/>
  <c r="L50" i="33"/>
  <c r="L79" i="28" s="1"/>
  <c r="L51" i="33"/>
  <c r="L80" i="28" s="1"/>
  <c r="L49" i="33"/>
  <c r="L78" i="28" s="1"/>
  <c r="L48" i="33"/>
  <c r="L77" i="28" s="1"/>
  <c r="W48" i="32"/>
  <c r="W80" i="27" s="1"/>
  <c r="W46" i="32"/>
  <c r="W78" i="27" s="1"/>
  <c r="W47" i="32"/>
  <c r="W79" i="27" s="1"/>
  <c r="W45" i="32"/>
  <c r="W77" i="27" s="1"/>
  <c r="V48" i="32"/>
  <c r="V80" i="27" s="1"/>
  <c r="V45" i="32"/>
  <c r="V77" i="27" s="1"/>
  <c r="V47" i="32"/>
  <c r="V79" i="27" s="1"/>
  <c r="V46" i="32"/>
  <c r="V78" i="27" s="1"/>
  <c r="U48" i="32"/>
  <c r="U80" i="27" s="1"/>
  <c r="U47" i="32"/>
  <c r="U79" i="27" s="1"/>
  <c r="U45" i="32"/>
  <c r="U77" i="27" s="1"/>
  <c r="U46" i="32"/>
  <c r="U78" i="27" s="1"/>
  <c r="T48" i="32"/>
  <c r="T80" i="27" s="1"/>
  <c r="T45" i="32"/>
  <c r="T77" i="27" s="1"/>
  <c r="T47" i="32"/>
  <c r="T79" i="27" s="1"/>
  <c r="T46" i="32"/>
  <c r="T78" i="27" s="1"/>
  <c r="S48" i="32"/>
  <c r="S80" i="27" s="1"/>
  <c r="S47" i="32"/>
  <c r="S79" i="27" s="1"/>
  <c r="S45" i="32"/>
  <c r="S77" i="27" s="1"/>
  <c r="S46" i="32"/>
  <c r="S78" i="27" s="1"/>
  <c r="R48" i="32"/>
  <c r="R80" i="27" s="1"/>
  <c r="R47" i="32"/>
  <c r="R79" i="27" s="1"/>
  <c r="R45" i="32"/>
  <c r="R77" i="27" s="1"/>
  <c r="R46" i="32"/>
  <c r="R78" i="27" s="1"/>
  <c r="Q48" i="32"/>
  <c r="Q80" i="27" s="1"/>
  <c r="Q47" i="32"/>
  <c r="Q79" i="27" s="1"/>
  <c r="Q45" i="32"/>
  <c r="Q77" i="27" s="1"/>
  <c r="Q46" i="32"/>
  <c r="Q78" i="27" s="1"/>
  <c r="P48" i="32"/>
  <c r="P80" i="27" s="1"/>
  <c r="P47" i="32"/>
  <c r="P79" i="27" s="1"/>
  <c r="P45" i="32"/>
  <c r="P77" i="27" s="1"/>
  <c r="P46" i="32"/>
  <c r="P78" i="27" s="1"/>
  <c r="O48" i="32"/>
  <c r="O80" i="27" s="1"/>
  <c r="O47" i="32"/>
  <c r="O79" i="27" s="1"/>
  <c r="O45" i="32"/>
  <c r="O77" i="27" s="1"/>
  <c r="O46" i="32"/>
  <c r="O78" i="27" s="1"/>
  <c r="N48" i="32"/>
  <c r="N80" i="27" s="1"/>
  <c r="N46" i="32"/>
  <c r="N78" i="27" s="1"/>
  <c r="N47" i="32"/>
  <c r="N79" i="27" s="1"/>
  <c r="N45" i="32"/>
  <c r="N77" i="27" s="1"/>
  <c r="M46" i="32"/>
  <c r="M78" i="27" s="1"/>
  <c r="M48" i="32"/>
  <c r="M80" i="27" s="1"/>
  <c r="M47" i="32"/>
  <c r="M79" i="27" s="1"/>
  <c r="M45" i="32"/>
  <c r="M77" i="27" s="1"/>
  <c r="L46" i="32"/>
  <c r="L78" i="27" s="1"/>
  <c r="L47" i="32"/>
  <c r="L79" i="27" s="1"/>
  <c r="L48" i="32"/>
  <c r="L80" i="27" s="1"/>
  <c r="L45" i="32"/>
  <c r="L77" i="27" s="1"/>
  <c r="W34" i="31"/>
  <c r="W80" i="26" s="1"/>
  <c r="W31" i="31"/>
  <c r="W77" i="26" s="1"/>
  <c r="W32" i="31"/>
  <c r="W78" i="26" s="1"/>
  <c r="W33" i="31"/>
  <c r="W79" i="26" s="1"/>
  <c r="V34" i="31"/>
  <c r="V80" i="26" s="1"/>
  <c r="V32" i="31"/>
  <c r="V78" i="26" s="1"/>
  <c r="V31" i="31"/>
  <c r="V77" i="26" s="1"/>
  <c r="V33" i="31"/>
  <c r="V79" i="26" s="1"/>
  <c r="U34" i="31"/>
  <c r="U80" i="26" s="1"/>
  <c r="U31" i="31"/>
  <c r="U77" i="26" s="1"/>
  <c r="U33" i="31"/>
  <c r="U79" i="26" s="1"/>
  <c r="U32" i="31"/>
  <c r="U78" i="26" s="1"/>
  <c r="T31" i="31"/>
  <c r="T77" i="26" s="1"/>
  <c r="T34" i="31"/>
  <c r="T80" i="26" s="1"/>
  <c r="T33" i="31"/>
  <c r="T79" i="26" s="1"/>
  <c r="T32" i="31"/>
  <c r="T78" i="26" s="1"/>
  <c r="S34" i="31"/>
  <c r="S80" i="26" s="1"/>
  <c r="S31" i="31"/>
  <c r="S77" i="26" s="1"/>
  <c r="S33" i="31"/>
  <c r="S79" i="26" s="1"/>
  <c r="S32" i="31"/>
  <c r="S78" i="26" s="1"/>
  <c r="R34" i="31"/>
  <c r="R80" i="26" s="1"/>
  <c r="R31" i="31"/>
  <c r="R77" i="26" s="1"/>
  <c r="R33" i="31"/>
  <c r="R79" i="26" s="1"/>
  <c r="R32" i="31"/>
  <c r="R78" i="26" s="1"/>
  <c r="Q34" i="31"/>
  <c r="Q80" i="26" s="1"/>
  <c r="Q31" i="31"/>
  <c r="Q77" i="26" s="1"/>
  <c r="Q32" i="31"/>
  <c r="Q78" i="26" s="1"/>
  <c r="Q33" i="31"/>
  <c r="Q79" i="26" s="1"/>
  <c r="P34" i="31"/>
  <c r="P80" i="26" s="1"/>
  <c r="P31" i="31"/>
  <c r="P77" i="26" s="1"/>
  <c r="P33" i="31"/>
  <c r="P79" i="26" s="1"/>
  <c r="P32" i="31"/>
  <c r="P78" i="26" s="1"/>
  <c r="O34" i="31"/>
  <c r="O80" i="26" s="1"/>
  <c r="O33" i="31"/>
  <c r="O79" i="26" s="1"/>
  <c r="O31" i="31"/>
  <c r="O77" i="26" s="1"/>
  <c r="O32" i="31"/>
  <c r="O78" i="26" s="1"/>
  <c r="N34" i="31"/>
  <c r="N80" i="26" s="1"/>
  <c r="N33" i="31"/>
  <c r="N79" i="26" s="1"/>
  <c r="N32" i="31"/>
  <c r="N78" i="26" s="1"/>
  <c r="N31" i="31"/>
  <c r="N77" i="26" s="1"/>
  <c r="M34" i="31"/>
  <c r="M80" i="26" s="1"/>
  <c r="M32" i="31"/>
  <c r="M78" i="26" s="1"/>
  <c r="M33" i="31"/>
  <c r="M79" i="26" s="1"/>
  <c r="M31" i="31"/>
  <c r="M77" i="26" s="1"/>
  <c r="L34" i="31"/>
  <c r="L80" i="26" s="1"/>
  <c r="L33" i="31"/>
  <c r="L79" i="26" s="1"/>
  <c r="L32" i="31"/>
  <c r="L78" i="26" s="1"/>
  <c r="L31" i="31"/>
  <c r="L77" i="26" s="1"/>
  <c r="W33" i="30"/>
  <c r="W81" i="24" s="1"/>
  <c r="W41" i="24" s="1"/>
  <c r="W43" i="24" s="1"/>
  <c r="W30" i="30"/>
  <c r="W78" i="24" s="1"/>
  <c r="W31" i="30"/>
  <c r="W79" i="24" s="1"/>
  <c r="W32" i="30"/>
  <c r="W80" i="24" s="1"/>
  <c r="V31" i="30"/>
  <c r="V79" i="24" s="1"/>
  <c r="V30" i="30"/>
  <c r="V78" i="24" s="1"/>
  <c r="V32" i="30"/>
  <c r="V80" i="24" s="1"/>
  <c r="V33" i="30"/>
  <c r="V81" i="24" s="1"/>
  <c r="V41" i="24" s="1"/>
  <c r="V43" i="24" s="1"/>
  <c r="U31" i="30"/>
  <c r="U79" i="24" s="1"/>
  <c r="U30" i="30"/>
  <c r="U78" i="24" s="1"/>
  <c r="U32" i="30"/>
  <c r="U80" i="24" s="1"/>
  <c r="U33" i="30"/>
  <c r="U81" i="24" s="1"/>
  <c r="U41" i="24" s="1"/>
  <c r="U43" i="24" s="1"/>
  <c r="T30" i="30"/>
  <c r="T78" i="24" s="1"/>
  <c r="T33" i="30"/>
  <c r="T81" i="24" s="1"/>
  <c r="T41" i="24" s="1"/>
  <c r="T43" i="24" s="1"/>
  <c r="T31" i="30"/>
  <c r="T79" i="24" s="1"/>
  <c r="T32" i="30"/>
  <c r="T80" i="24" s="1"/>
  <c r="S33" i="30"/>
  <c r="S81" i="24" s="1"/>
  <c r="S41" i="24" s="1"/>
  <c r="S43" i="24" s="1"/>
  <c r="S31" i="30"/>
  <c r="S79" i="24" s="1"/>
  <c r="S32" i="30"/>
  <c r="S80" i="24" s="1"/>
  <c r="S30" i="30"/>
  <c r="S78" i="24" s="1"/>
  <c r="R31" i="30"/>
  <c r="R79" i="24" s="1"/>
  <c r="R33" i="30"/>
  <c r="R81" i="24" s="1"/>
  <c r="R41" i="24" s="1"/>
  <c r="R43" i="24" s="1"/>
  <c r="R30" i="30"/>
  <c r="R78" i="24" s="1"/>
  <c r="R28" i="24" s="1"/>
  <c r="R32" i="30"/>
  <c r="R80" i="24" s="1"/>
  <c r="Q33" i="30"/>
  <c r="Q81" i="24" s="1"/>
  <c r="Q41" i="24" s="1"/>
  <c r="Q43" i="24" s="1"/>
  <c r="Q31" i="30"/>
  <c r="Q79" i="24" s="1"/>
  <c r="Q30" i="30"/>
  <c r="Q78" i="24" s="1"/>
  <c r="Q28" i="24" s="1"/>
  <c r="Q32" i="30"/>
  <c r="Q80" i="24" s="1"/>
  <c r="P33" i="30"/>
  <c r="P81" i="24" s="1"/>
  <c r="P41" i="24" s="1"/>
  <c r="P43" i="24" s="1"/>
  <c r="P31" i="30"/>
  <c r="P79" i="24" s="1"/>
  <c r="P30" i="30"/>
  <c r="P78" i="24" s="1"/>
  <c r="P28" i="24" s="1"/>
  <c r="P32" i="30"/>
  <c r="P80" i="24" s="1"/>
  <c r="O30" i="30"/>
  <c r="O78" i="24" s="1"/>
  <c r="O31" i="30"/>
  <c r="O79" i="24" s="1"/>
  <c r="O32" i="30"/>
  <c r="O80" i="24" s="1"/>
  <c r="O33" i="30"/>
  <c r="O81" i="24" s="1"/>
  <c r="O41" i="24" s="1"/>
  <c r="O43" i="24" s="1"/>
  <c r="N32" i="30"/>
  <c r="N80" i="24" s="1"/>
  <c r="N31" i="30"/>
  <c r="N79" i="24" s="1"/>
  <c r="N30" i="30"/>
  <c r="N78" i="24" s="1"/>
  <c r="N33" i="30"/>
  <c r="N81" i="24" s="1"/>
  <c r="N41" i="24" s="1"/>
  <c r="N43" i="24" s="1"/>
  <c r="M30" i="30"/>
  <c r="M78" i="24" s="1"/>
  <c r="M33" i="30"/>
  <c r="M81" i="24" s="1"/>
  <c r="M41" i="24" s="1"/>
  <c r="M43" i="24" s="1"/>
  <c r="M31" i="30"/>
  <c r="M79" i="24" s="1"/>
  <c r="M32" i="30"/>
  <c r="M80" i="24" s="1"/>
  <c r="L32" i="30"/>
  <c r="L80" i="24" s="1"/>
  <c r="L31" i="30"/>
  <c r="L79" i="24" s="1"/>
  <c r="L30" i="30"/>
  <c r="L78" i="24" s="1"/>
  <c r="L33" i="30"/>
  <c r="L81" i="24" s="1"/>
  <c r="L41" i="24" s="1"/>
  <c r="L43" i="24" s="1"/>
  <c r="W73" i="28"/>
  <c r="W72" i="28"/>
  <c r="V72" i="28"/>
  <c r="V73" i="28"/>
  <c r="U72" i="28"/>
  <c r="U73" i="28"/>
  <c r="T72" i="28"/>
  <c r="T73" i="28"/>
  <c r="S73" i="28"/>
  <c r="S72" i="28"/>
  <c r="R73" i="28"/>
  <c r="R72" i="28"/>
  <c r="Q73" i="28"/>
  <c r="Q72" i="28"/>
  <c r="P72" i="28"/>
  <c r="P73" i="28"/>
  <c r="O72" i="28"/>
  <c r="O73" i="28"/>
  <c r="N73" i="28"/>
  <c r="N72" i="28"/>
  <c r="M72" i="28"/>
  <c r="M73" i="28"/>
  <c r="L73" i="28"/>
  <c r="L68" i="28"/>
  <c r="L72" i="28"/>
  <c r="L74" i="28" s="1"/>
  <c r="V39" i="28"/>
  <c r="U46" i="28"/>
  <c r="U52" i="28" s="1"/>
  <c r="L62" i="28"/>
  <c r="L66" i="24" s="1"/>
  <c r="L68" i="24" s="1"/>
  <c r="C105" i="1" s="1"/>
  <c r="C42" i="15" s="1"/>
  <c r="M29" i="28"/>
  <c r="M68" i="28" s="1"/>
  <c r="W68" i="27"/>
  <c r="W72" i="27"/>
  <c r="W73" i="27"/>
  <c r="V72" i="27"/>
  <c r="V73" i="27"/>
  <c r="U72" i="27"/>
  <c r="U73" i="27"/>
  <c r="U68" i="27"/>
  <c r="T72" i="27"/>
  <c r="T73" i="27"/>
  <c r="S73" i="27"/>
  <c r="S72" i="27"/>
  <c r="R73" i="27"/>
  <c r="R72" i="27"/>
  <c r="Q73" i="27"/>
  <c r="Q72" i="27"/>
  <c r="P72" i="27"/>
  <c r="P73" i="27"/>
  <c r="O72" i="27"/>
  <c r="O73" i="27"/>
  <c r="O68" i="27"/>
  <c r="N73" i="27"/>
  <c r="N68" i="27"/>
  <c r="N72" i="27"/>
  <c r="M72" i="27"/>
  <c r="M68" i="27"/>
  <c r="M73" i="27"/>
  <c r="L72" i="27"/>
  <c r="L73" i="27"/>
  <c r="L68" i="27"/>
  <c r="S14" i="27"/>
  <c r="S25" i="27" s="1"/>
  <c r="S31" i="27" s="1"/>
  <c r="P14" i="27"/>
  <c r="R14" i="27"/>
  <c r="R25" i="27" s="1"/>
  <c r="R31" i="27" s="1"/>
  <c r="Q14" i="27"/>
  <c r="P25" i="27"/>
  <c r="P31" i="27" s="1"/>
  <c r="T12" i="27"/>
  <c r="W72" i="26"/>
  <c r="S73" i="26"/>
  <c r="R73" i="26"/>
  <c r="Q73" i="26"/>
  <c r="P73" i="26"/>
  <c r="O73" i="26"/>
  <c r="N73" i="26"/>
  <c r="N72" i="26"/>
  <c r="N68" i="26"/>
  <c r="M68" i="26"/>
  <c r="M72" i="26"/>
  <c r="M73" i="26"/>
  <c r="L73" i="26"/>
  <c r="L72" i="26"/>
  <c r="L74" i="26" s="1"/>
  <c r="L68" i="26"/>
  <c r="P9" i="26"/>
  <c r="O27" i="26"/>
  <c r="O72" i="26" s="1"/>
  <c r="Q7" i="26"/>
  <c r="T6" i="26"/>
  <c r="E33" i="22"/>
  <c r="D78" i="1"/>
  <c r="F20" i="5" s="1"/>
  <c r="G33" i="22"/>
  <c r="G78" i="1" s="1"/>
  <c r="I20" i="5" s="1"/>
  <c r="J33" i="22"/>
  <c r="R28" i="22"/>
  <c r="S28" i="22" s="1"/>
  <c r="Q29" i="22"/>
  <c r="Q26" i="22"/>
  <c r="Q27" i="22"/>
  <c r="Q30" i="22" s="1"/>
  <c r="H68" i="21"/>
  <c r="G70" i="21"/>
  <c r="G69" i="21" s="1"/>
  <c r="G63" i="21"/>
  <c r="F65" i="21"/>
  <c r="C60" i="21" s="1"/>
  <c r="C28" i="1" s="1"/>
  <c r="E18" i="5" s="1"/>
  <c r="G64" i="21"/>
  <c r="D48" i="21" s="1"/>
  <c r="H44" i="21"/>
  <c r="E17" i="5"/>
  <c r="F38" i="21"/>
  <c r="F42" i="21" s="1"/>
  <c r="G34" i="21"/>
  <c r="F102" i="20"/>
  <c r="F89" i="20"/>
  <c r="F94" i="20" s="1"/>
  <c r="F42" i="20" s="1"/>
  <c r="F46" i="20" s="1"/>
  <c r="F51" i="20" s="1"/>
  <c r="F58" i="20" s="1"/>
  <c r="F62" i="20" s="1"/>
  <c r="E64" i="20"/>
  <c r="D66" i="20"/>
  <c r="N41" i="20"/>
  <c r="N46" i="20" s="1"/>
  <c r="N51" i="20" s="1"/>
  <c r="N58" i="20" s="1"/>
  <c r="N62" i="20" s="1"/>
  <c r="M46" i="20"/>
  <c r="M51" i="20" s="1"/>
  <c r="M58" i="20" s="1"/>
  <c r="M62" i="20" s="1"/>
  <c r="L36" i="20"/>
  <c r="K46" i="20"/>
  <c r="L29" i="20"/>
  <c r="L21" i="1"/>
  <c r="L32" i="9" s="1"/>
  <c r="K21" i="1"/>
  <c r="K32" i="9" s="1"/>
  <c r="J29" i="20"/>
  <c r="J21" i="1"/>
  <c r="J32" i="9" s="1"/>
  <c r="I29" i="20"/>
  <c r="I21" i="1"/>
  <c r="I32" i="9" s="1"/>
  <c r="H29" i="20"/>
  <c r="H21" i="1"/>
  <c r="H32" i="9" s="1"/>
  <c r="G29" i="20"/>
  <c r="G21" i="1"/>
  <c r="G32" i="9" s="1"/>
  <c r="F29" i="20"/>
  <c r="F21" i="1"/>
  <c r="F32" i="9" s="1"/>
  <c r="E29" i="20"/>
  <c r="E21" i="1"/>
  <c r="E32" i="9" s="1"/>
  <c r="D29" i="20"/>
  <c r="D21" i="1"/>
  <c r="D32" i="9" s="1"/>
  <c r="C29" i="20"/>
  <c r="C21" i="1"/>
  <c r="C32" i="9" s="1"/>
  <c r="B29" i="20"/>
  <c r="B21" i="1"/>
  <c r="N9" i="20"/>
  <c r="N15" i="20" s="1"/>
  <c r="N20" i="20" s="1"/>
  <c r="N10" i="20"/>
  <c r="M9" i="20"/>
  <c r="M15" i="20" s="1"/>
  <c r="M20" i="20" s="1"/>
  <c r="M10" i="20"/>
  <c r="K10" i="20"/>
  <c r="K11" i="20" s="1"/>
  <c r="L11" i="20" s="1"/>
  <c r="M11" i="20" s="1"/>
  <c r="N11" i="20" s="1"/>
  <c r="K24" i="20"/>
  <c r="K27" i="20" s="1"/>
  <c r="H124" i="19"/>
  <c r="G123" i="19"/>
  <c r="Q130" i="19"/>
  <c r="Q131" i="19"/>
  <c r="Q120" i="19"/>
  <c r="Q119" i="19" s="1"/>
  <c r="P130" i="19"/>
  <c r="P131" i="19"/>
  <c r="P120" i="19"/>
  <c r="P119" i="19" s="1"/>
  <c r="O131" i="19"/>
  <c r="O130" i="19"/>
  <c r="O120" i="19"/>
  <c r="O119" i="19" s="1"/>
  <c r="N130" i="19"/>
  <c r="N120" i="19"/>
  <c r="N119" i="19" s="1"/>
  <c r="N131" i="19"/>
  <c r="M120" i="19"/>
  <c r="M119" i="19" s="1"/>
  <c r="M130" i="19"/>
  <c r="M131" i="19"/>
  <c r="L131" i="19"/>
  <c r="L120" i="19"/>
  <c r="L119" i="19" s="1"/>
  <c r="L130" i="19"/>
  <c r="K131" i="19"/>
  <c r="K120" i="19"/>
  <c r="K119" i="19" s="1"/>
  <c r="K130" i="19"/>
  <c r="J131" i="19"/>
  <c r="J120" i="19"/>
  <c r="J119" i="19" s="1"/>
  <c r="J130" i="19"/>
  <c r="I120" i="19"/>
  <c r="I119" i="19" s="1"/>
  <c r="I131" i="19"/>
  <c r="I130" i="19"/>
  <c r="H120" i="19"/>
  <c r="H119" i="19" s="1"/>
  <c r="H129" i="19"/>
  <c r="H130" i="19"/>
  <c r="H131" i="19"/>
  <c r="G120" i="19"/>
  <c r="G119" i="19" s="1"/>
  <c r="G129" i="19"/>
  <c r="G131" i="19"/>
  <c r="G130" i="19"/>
  <c r="F120" i="19"/>
  <c r="F119" i="19" s="1"/>
  <c r="F129" i="19"/>
  <c r="F130" i="19"/>
  <c r="F131" i="19"/>
  <c r="H112" i="19"/>
  <c r="G62" i="19"/>
  <c r="H113" i="19"/>
  <c r="G113" i="19"/>
  <c r="F113" i="19"/>
  <c r="G96" i="19"/>
  <c r="F95" i="19"/>
  <c r="E101" i="19"/>
  <c r="L64" i="19"/>
  <c r="H18" i="1"/>
  <c r="J12" i="5" s="1"/>
  <c r="F12" i="4" s="1"/>
  <c r="M52" i="19"/>
  <c r="N51" i="19"/>
  <c r="J49" i="19"/>
  <c r="J54" i="19" s="1"/>
  <c r="K45" i="19"/>
  <c r="N9" i="19"/>
  <c r="N10" i="19" s="1"/>
  <c r="Q40" i="19"/>
  <c r="Q41" i="19" s="1"/>
  <c r="Q44" i="19" s="1"/>
  <c r="P40" i="19"/>
  <c r="P41" i="19" s="1"/>
  <c r="P44" i="19" s="1"/>
  <c r="O40" i="19"/>
  <c r="O41" i="19" s="1"/>
  <c r="O44" i="19" s="1"/>
  <c r="O37" i="19" s="1"/>
  <c r="M40" i="19"/>
  <c r="M41" i="19" s="1"/>
  <c r="M8" i="19"/>
  <c r="L40" i="19"/>
  <c r="L41" i="19" s="1"/>
  <c r="L8" i="19"/>
  <c r="K8" i="19"/>
  <c r="K40" i="19"/>
  <c r="K41" i="19" s="1"/>
  <c r="J40" i="19"/>
  <c r="J8" i="19"/>
  <c r="I8" i="19"/>
  <c r="I40" i="19"/>
  <c r="H8" i="19"/>
  <c r="H40" i="19"/>
  <c r="G8" i="19"/>
  <c r="G40" i="19"/>
  <c r="F40" i="19"/>
  <c r="F8" i="19"/>
  <c r="L69" i="18"/>
  <c r="K73" i="18"/>
  <c r="K78" i="18" s="1"/>
  <c r="K37" i="18" s="1"/>
  <c r="N33" i="18"/>
  <c r="N40" i="18" s="1"/>
  <c r="N45" i="18" s="1"/>
  <c r="L33" i="18"/>
  <c r="H20" i="18"/>
  <c r="H24" i="18"/>
  <c r="H32" i="1" s="1"/>
  <c r="H43" i="9" s="1"/>
  <c r="N31" i="1"/>
  <c r="N35" i="9" s="1"/>
  <c r="N26" i="18"/>
  <c r="M31" i="1"/>
  <c r="M35" i="9" s="1"/>
  <c r="M26" i="18"/>
  <c r="L26" i="18"/>
  <c r="L31" i="1"/>
  <c r="L35" i="9" s="1"/>
  <c r="K31" i="1"/>
  <c r="K35" i="9" s="1"/>
  <c r="K26" i="18"/>
  <c r="J31" i="1"/>
  <c r="J35" i="9" s="1"/>
  <c r="J26" i="18"/>
  <c r="I31" i="1"/>
  <c r="I35" i="9" s="1"/>
  <c r="I26" i="18"/>
  <c r="H31" i="1"/>
  <c r="H35" i="9" s="1"/>
  <c r="H26" i="18"/>
  <c r="G26" i="18"/>
  <c r="G31" i="1"/>
  <c r="G35" i="9" s="1"/>
  <c r="E31" i="1"/>
  <c r="E35" i="9" s="1"/>
  <c r="E26" i="18"/>
  <c r="D31" i="1"/>
  <c r="D35" i="9" s="1"/>
  <c r="D26" i="18"/>
  <c r="C31" i="1"/>
  <c r="C35" i="9" s="1"/>
  <c r="C26" i="18"/>
  <c r="F31" i="1"/>
  <c r="F35" i="9" s="1"/>
  <c r="F26" i="18"/>
  <c r="C73" i="17"/>
  <c r="C74" i="17" s="1"/>
  <c r="C78" i="17" s="1"/>
  <c r="H69" i="17"/>
  <c r="H70" i="17" s="1"/>
  <c r="D78" i="17"/>
  <c r="D83" i="17" s="1"/>
  <c r="E75" i="17"/>
  <c r="N5" i="17"/>
  <c r="N8" i="17" s="1"/>
  <c r="N55" i="17"/>
  <c r="E48" i="17"/>
  <c r="G39" i="17"/>
  <c r="H39" i="17" s="1"/>
  <c r="I39" i="17" s="1"/>
  <c r="J39" i="17"/>
  <c r="K39" i="17" s="1"/>
  <c r="L39" i="17" s="1"/>
  <c r="M39" i="17" s="1"/>
  <c r="N39" i="17" s="1"/>
  <c r="F45" i="17"/>
  <c r="K37" i="17"/>
  <c r="J45" i="17"/>
  <c r="J60" i="17" s="1"/>
  <c r="G45" i="17"/>
  <c r="H37" i="17"/>
  <c r="C96" i="1"/>
  <c r="C24" i="9" s="1"/>
  <c r="D32" i="17"/>
  <c r="J5" i="1"/>
  <c r="J30" i="9" s="1"/>
  <c r="I19" i="17"/>
  <c r="I25" i="17" s="1"/>
  <c r="I5" i="1"/>
  <c r="I30" i="9" s="1"/>
  <c r="H27" i="17"/>
  <c r="H5" i="1"/>
  <c r="H30" i="9" s="1"/>
  <c r="G5" i="1"/>
  <c r="G30" i="9" s="1"/>
  <c r="G27" i="17"/>
  <c r="F27" i="17"/>
  <c r="F5" i="1"/>
  <c r="F30" i="9" s="1"/>
  <c r="E27" i="17"/>
  <c r="E5" i="1"/>
  <c r="E30" i="9" s="1"/>
  <c r="D27" i="17"/>
  <c r="D5" i="1"/>
  <c r="D30" i="9" s="1"/>
  <c r="C27" i="17"/>
  <c r="C5" i="1"/>
  <c r="C30" i="9" s="1"/>
  <c r="M9" i="17"/>
  <c r="M12" i="17" s="1"/>
  <c r="M17" i="17" s="1"/>
  <c r="M10" i="17"/>
  <c r="L9" i="17"/>
  <c r="L12" i="17" s="1"/>
  <c r="L17" i="17" s="1"/>
  <c r="L10" i="17"/>
  <c r="K9" i="17"/>
  <c r="K12" i="17" s="1"/>
  <c r="K17" i="17" s="1"/>
  <c r="K10" i="17"/>
  <c r="D8" i="16"/>
  <c r="E4" i="16"/>
  <c r="D39" i="15"/>
  <c r="F37" i="15"/>
  <c r="G37" i="15" s="1"/>
  <c r="H37" i="15" s="1"/>
  <c r="I37" i="15" s="1"/>
  <c r="J37" i="15" s="1"/>
  <c r="K37" i="15" s="1"/>
  <c r="L37" i="15" s="1"/>
  <c r="M37" i="15" s="1"/>
  <c r="N37" i="15" s="1"/>
  <c r="C19" i="14"/>
  <c r="L35" i="15"/>
  <c r="L91" i="1" s="1"/>
  <c r="N30" i="5" s="1"/>
  <c r="J30" i="4" s="1"/>
  <c r="M34" i="15"/>
  <c r="AE3" i="14"/>
  <c r="AD29" i="14" a="1"/>
  <c r="AD29" i="14" s="1"/>
  <c r="N72" i="1" s="1"/>
  <c r="N54" i="9" s="1"/>
  <c r="AC3" i="14"/>
  <c r="AB29" i="14" a="1"/>
  <c r="AB29" i="14" s="1"/>
  <c r="M72" i="1" s="1"/>
  <c r="M54" i="9" s="1"/>
  <c r="AA3" i="14"/>
  <c r="Z29" i="14" a="1"/>
  <c r="Z29" i="14" s="1"/>
  <c r="L72" i="1" s="1"/>
  <c r="L54" i="9" s="1"/>
  <c r="Y3" i="14"/>
  <c r="W3" i="14"/>
  <c r="V22" i="14"/>
  <c r="X22" i="14" s="1"/>
  <c r="Z22" i="14" s="1"/>
  <c r="AB22" i="14" s="1"/>
  <c r="AD22" i="14" s="1"/>
  <c r="T29" i="14" a="1"/>
  <c r="T29" i="14" s="1"/>
  <c r="I72" i="1" s="1"/>
  <c r="I54" i="9" s="1"/>
  <c r="T21" i="14"/>
  <c r="V21" i="14" s="1"/>
  <c r="X21" i="14" s="1"/>
  <c r="Z21" i="14" s="1"/>
  <c r="AB21" i="14" s="1"/>
  <c r="AD21" i="14" s="1"/>
  <c r="U3" i="14"/>
  <c r="R17" i="14"/>
  <c r="R12" i="14"/>
  <c r="T12" i="14" s="1"/>
  <c r="V12" i="14" s="1"/>
  <c r="X12" i="14" s="1"/>
  <c r="Z12" i="14" s="1"/>
  <c r="AB12" i="14" s="1"/>
  <c r="AD12" i="14" s="1"/>
  <c r="S3" i="14"/>
  <c r="R20" i="14"/>
  <c r="T20" i="14" s="1"/>
  <c r="V20" i="14" s="1"/>
  <c r="X20" i="14" s="1"/>
  <c r="Z20" i="14" s="1"/>
  <c r="AB20" i="14" s="1"/>
  <c r="AD20" i="14" s="1"/>
  <c r="Q3" i="14"/>
  <c r="P14" i="14"/>
  <c r="R14" i="14" s="1"/>
  <c r="T14" i="14" s="1"/>
  <c r="V14" i="14" s="1"/>
  <c r="P5" i="14"/>
  <c r="R5" i="14" s="1"/>
  <c r="T5" i="14" s="1"/>
  <c r="V5" i="14" s="1"/>
  <c r="X5" i="14" s="1"/>
  <c r="Z5" i="14" s="1"/>
  <c r="AB5" i="14" s="1"/>
  <c r="AD5" i="14" s="1"/>
  <c r="O3" i="14"/>
  <c r="N11" i="14"/>
  <c r="P11" i="14" s="1"/>
  <c r="R11" i="14" s="1"/>
  <c r="T11" i="14" s="1"/>
  <c r="V11" i="14" s="1"/>
  <c r="N13" i="14"/>
  <c r="P13" i="14" s="1"/>
  <c r="N18" i="14"/>
  <c r="P18" i="14" s="1"/>
  <c r="R18" i="14" s="1"/>
  <c r="T18" i="14" s="1"/>
  <c r="V18" i="14" s="1"/>
  <c r="L29" i="14" a="1"/>
  <c r="L29" i="14" s="1"/>
  <c r="E72" i="1" s="1"/>
  <c r="E54" i="9" s="1"/>
  <c r="M3" i="14"/>
  <c r="J29" i="14" a="1"/>
  <c r="J29" i="14" s="1"/>
  <c r="D72" i="1" s="1"/>
  <c r="D54" i="9" s="1"/>
  <c r="J19" i="14"/>
  <c r="L19" i="14" s="1"/>
  <c r="N19" i="14" s="1"/>
  <c r="P19" i="14" s="1"/>
  <c r="R19" i="14" s="1"/>
  <c r="T19" i="14" s="1"/>
  <c r="V19" i="14" s="1"/>
  <c r="K3" i="14"/>
  <c r="H21" i="14"/>
  <c r="J21" i="14" s="1"/>
  <c r="L21" i="14" s="1"/>
  <c r="N21" i="14" s="1"/>
  <c r="P21" i="14" s="1"/>
  <c r="R21" i="14" s="1"/>
  <c r="H16" i="14"/>
  <c r="J16" i="14" s="1"/>
  <c r="L16" i="14" s="1"/>
  <c r="N16" i="14" s="1"/>
  <c r="P16" i="14" s="1"/>
  <c r="R16" i="14" s="1"/>
  <c r="H29" i="14" a="1"/>
  <c r="H29" i="14" s="1"/>
  <c r="C72" i="1" s="1"/>
  <c r="C54" i="9" s="1"/>
  <c r="I3" i="14"/>
  <c r="H10" i="14"/>
  <c r="J10" i="14" s="1"/>
  <c r="L10" i="14" s="1"/>
  <c r="N10" i="14" s="1"/>
  <c r="P10" i="14" s="1"/>
  <c r="R10" i="14" s="1"/>
  <c r="T10" i="14" s="1"/>
  <c r="V10" i="14" s="1"/>
  <c r="H9" i="14"/>
  <c r="J9" i="14" s="1"/>
  <c r="L9" i="14" s="1"/>
  <c r="N9" i="14" s="1"/>
  <c r="P9" i="14" s="1"/>
  <c r="R9" i="14" s="1"/>
  <c r="T9" i="14" s="1"/>
  <c r="V9" i="14" s="1"/>
  <c r="X9" i="14" s="1"/>
  <c r="Z9" i="14" s="1"/>
  <c r="AB9" i="14" s="1"/>
  <c r="AD9" i="14" s="1"/>
  <c r="H6" i="14"/>
  <c r="J6" i="14" s="1"/>
  <c r="L6" i="14" s="1"/>
  <c r="N6" i="14" s="1"/>
  <c r="P6" i="14" s="1"/>
  <c r="R6" i="14" s="1"/>
  <c r="T6" i="14" s="1"/>
  <c r="V6" i="14" s="1"/>
  <c r="X6" i="14" s="1"/>
  <c r="Z6" i="14" s="1"/>
  <c r="AB6" i="14" s="1"/>
  <c r="AD6" i="14" s="1"/>
  <c r="H19" i="14"/>
  <c r="H20" i="14"/>
  <c r="J20" i="14" s="1"/>
  <c r="L20" i="14" s="1"/>
  <c r="N20" i="14" s="1"/>
  <c r="P20" i="14" s="1"/>
  <c r="H18" i="14"/>
  <c r="J18" i="14" s="1"/>
  <c r="L18" i="14" s="1"/>
  <c r="H5" i="14"/>
  <c r="J5" i="14" s="1"/>
  <c r="L5" i="14" s="1"/>
  <c r="N5" i="14" s="1"/>
  <c r="H15" i="14"/>
  <c r="J15" i="14" s="1"/>
  <c r="L15" i="14" s="1"/>
  <c r="N15" i="14" s="1"/>
  <c r="H7" i="14"/>
  <c r="J7" i="14" s="1"/>
  <c r="L7" i="14" s="1"/>
  <c r="N7" i="14" s="1"/>
  <c r="H8" i="14"/>
  <c r="J8" i="14" s="1"/>
  <c r="L8" i="14" s="1"/>
  <c r="N8" i="14" s="1"/>
  <c r="P8" i="14" s="1"/>
  <c r="R8" i="14" s="1"/>
  <c r="T8" i="14" s="1"/>
  <c r="V8" i="14" s="1"/>
  <c r="X8" i="14" s="1"/>
  <c r="Z8" i="14" s="1"/>
  <c r="AB8" i="14" s="1"/>
  <c r="AD8" i="14" s="1"/>
  <c r="H13" i="14"/>
  <c r="J13" i="14" s="1"/>
  <c r="L13" i="14" s="1"/>
  <c r="H12" i="14"/>
  <c r="J12" i="14" s="1"/>
  <c r="L12" i="14" s="1"/>
  <c r="N12" i="14" s="1"/>
  <c r="H22" i="14"/>
  <c r="J22" i="14" s="1"/>
  <c r="L22" i="14" s="1"/>
  <c r="N22" i="14" s="1"/>
  <c r="P22" i="14" s="1"/>
  <c r="R22" i="14" s="1"/>
  <c r="T22" i="14" s="1"/>
  <c r="H11" i="14"/>
  <c r="J11" i="14" s="1"/>
  <c r="L11" i="14" s="1"/>
  <c r="H14" i="14"/>
  <c r="J14" i="14" s="1"/>
  <c r="L14" i="14" s="1"/>
  <c r="N14" i="14" s="1"/>
  <c r="H17" i="14"/>
  <c r="J17" i="14" s="1"/>
  <c r="L17" i="14" s="1"/>
  <c r="N17" i="14" s="1"/>
  <c r="P17" i="14" s="1"/>
  <c r="AF2" i="13"/>
  <c r="AE39" i="13" a="1"/>
  <c r="AE39" i="13" s="1"/>
  <c r="AD2" i="13"/>
  <c r="AC39" i="13" a="1"/>
  <c r="AC39" i="13" s="1"/>
  <c r="AB2" i="13"/>
  <c r="AA39" i="13" a="1"/>
  <c r="AA39" i="13" s="1"/>
  <c r="M67" i="1" s="1"/>
  <c r="M53" i="9" s="1"/>
  <c r="Z2" i="13"/>
  <c r="Y39" i="13" a="1"/>
  <c r="Y39" i="13" s="1"/>
  <c r="K67" i="1" s="1"/>
  <c r="K53" i="9" s="1"/>
  <c r="W39" i="13" a="1"/>
  <c r="W39" i="13" s="1"/>
  <c r="J67" i="1" s="1"/>
  <c r="J53" i="9" s="1"/>
  <c r="X2" i="13"/>
  <c r="U39" i="13" a="1"/>
  <c r="U39" i="13" s="1"/>
  <c r="I67" i="1" s="1"/>
  <c r="I53" i="9" s="1"/>
  <c r="V2" i="13"/>
  <c r="S15" i="13"/>
  <c r="U15" i="13" s="1"/>
  <c r="W15" i="13" s="1"/>
  <c r="Y15" i="13" s="1"/>
  <c r="AA15" i="13" s="1"/>
  <c r="AC15" i="13" s="1"/>
  <c r="AE15" i="13" s="1"/>
  <c r="S10" i="13"/>
  <c r="U10" i="13" s="1"/>
  <c r="W10" i="13" s="1"/>
  <c r="Y10" i="13" s="1"/>
  <c r="AA10" i="13" s="1"/>
  <c r="AC10" i="13" s="1"/>
  <c r="AE10" i="13" s="1"/>
  <c r="S11" i="13"/>
  <c r="U11" i="13" s="1"/>
  <c r="W11" i="13" s="1"/>
  <c r="Y11" i="13" s="1"/>
  <c r="AA11" i="13" s="1"/>
  <c r="AC11" i="13" s="1"/>
  <c r="AE11" i="13" s="1"/>
  <c r="S16" i="13"/>
  <c r="U16" i="13" s="1"/>
  <c r="W16" i="13" s="1"/>
  <c r="Y16" i="13" s="1"/>
  <c r="AA16" i="13" s="1"/>
  <c r="AC16" i="13" s="1"/>
  <c r="AE16" i="13" s="1"/>
  <c r="S21" i="13"/>
  <c r="U21" i="13" s="1"/>
  <c r="W21" i="13" s="1"/>
  <c r="Y21" i="13" s="1"/>
  <c r="T2" i="13"/>
  <c r="S39" i="13" a="1"/>
  <c r="S39" i="13" s="1"/>
  <c r="H67" i="1" s="1"/>
  <c r="H53" i="9" s="1"/>
  <c r="Q18" i="13"/>
  <c r="S18" i="13" s="1"/>
  <c r="U18" i="13" s="1"/>
  <c r="R2" i="13"/>
  <c r="Q39" i="13" a="1"/>
  <c r="Q39" i="13" s="1"/>
  <c r="G67" i="1" s="1"/>
  <c r="G53" i="9" s="1"/>
  <c r="O17" i="13"/>
  <c r="Q17" i="13" s="1"/>
  <c r="S17" i="13" s="1"/>
  <c r="U17" i="13" s="1"/>
  <c r="O19" i="13"/>
  <c r="Q19" i="13" s="1"/>
  <c r="S19" i="13" s="1"/>
  <c r="U19" i="13" s="1"/>
  <c r="W19" i="13" s="1"/>
  <c r="O9" i="13"/>
  <c r="Q9" i="13" s="1"/>
  <c r="S9" i="13" s="1"/>
  <c r="U9" i="13" s="1"/>
  <c r="W9" i="13" s="1"/>
  <c r="Y9" i="13" s="1"/>
  <c r="AA9" i="13" s="1"/>
  <c r="AC9" i="13" s="1"/>
  <c r="AE9" i="13" s="1"/>
  <c r="O8" i="13"/>
  <c r="Q8" i="13" s="1"/>
  <c r="S8" i="13" s="1"/>
  <c r="U8" i="13" s="1"/>
  <c r="W8" i="13" s="1"/>
  <c r="Y8" i="13" s="1"/>
  <c r="AA8" i="13" s="1"/>
  <c r="AC8" i="13" s="1"/>
  <c r="AE8" i="13" s="1"/>
  <c r="O7" i="13"/>
  <c r="Q7" i="13" s="1"/>
  <c r="S7" i="13" s="1"/>
  <c r="U7" i="13" s="1"/>
  <c r="W7" i="13" s="1"/>
  <c r="Y7" i="13" s="1"/>
  <c r="AA7" i="13" s="1"/>
  <c r="AC7" i="13" s="1"/>
  <c r="AE7" i="13" s="1"/>
  <c r="P2" i="13"/>
  <c r="O5" i="13"/>
  <c r="Q5" i="13" s="1"/>
  <c r="S5" i="13" s="1"/>
  <c r="U5" i="13" s="1"/>
  <c r="W5" i="13" s="1"/>
  <c r="O39" i="13" a="1"/>
  <c r="O39" i="13" s="1"/>
  <c r="F67" i="1" s="1"/>
  <c r="F53" i="9" s="1"/>
  <c r="M39" i="13" a="1"/>
  <c r="M39" i="13" s="1"/>
  <c r="E67" i="1" s="1"/>
  <c r="E53" i="9" s="1"/>
  <c r="N2" i="13"/>
  <c r="K25" i="13"/>
  <c r="M25" i="13" s="1"/>
  <c r="O25" i="13" s="1"/>
  <c r="Q25" i="13" s="1"/>
  <c r="K39" i="13" a="1"/>
  <c r="K39" i="13" s="1"/>
  <c r="D67" i="1" s="1"/>
  <c r="D53" i="9" s="1"/>
  <c r="K16" i="13"/>
  <c r="M16" i="13" s="1"/>
  <c r="O16" i="13" s="1"/>
  <c r="L2" i="13"/>
  <c r="I29" i="13"/>
  <c r="K29" i="13" s="1"/>
  <c r="M29" i="13" s="1"/>
  <c r="O29" i="13" s="1"/>
  <c r="Q29" i="13" s="1"/>
  <c r="I26" i="13"/>
  <c r="K26" i="13" s="1"/>
  <c r="M26" i="13" s="1"/>
  <c r="O26" i="13" s="1"/>
  <c r="Q26" i="13" s="1"/>
  <c r="S26" i="13" s="1"/>
  <c r="U26" i="13" s="1"/>
  <c r="W26" i="13" s="1"/>
  <c r="Y26" i="13" s="1"/>
  <c r="I18" i="13"/>
  <c r="K18" i="13" s="1"/>
  <c r="M18" i="13" s="1"/>
  <c r="O18" i="13" s="1"/>
  <c r="I8" i="13"/>
  <c r="K8" i="13" s="1"/>
  <c r="I21" i="13"/>
  <c r="K21" i="13" s="1"/>
  <c r="M21" i="13" s="1"/>
  <c r="O21" i="13" s="1"/>
  <c r="Q21" i="13" s="1"/>
  <c r="R21" i="13" s="1"/>
  <c r="I10" i="13"/>
  <c r="K10" i="13" s="1"/>
  <c r="M10" i="13" s="1"/>
  <c r="O10" i="13" s="1"/>
  <c r="I22" i="13"/>
  <c r="K22" i="13" s="1"/>
  <c r="M22" i="13" s="1"/>
  <c r="O22" i="13" s="1"/>
  <c r="Q22" i="13" s="1"/>
  <c r="I4" i="13"/>
  <c r="K4" i="13" s="1"/>
  <c r="M4" i="13" s="1"/>
  <c r="O4" i="13" s="1"/>
  <c r="I5" i="13"/>
  <c r="K5" i="13" s="1"/>
  <c r="M5" i="13" s="1"/>
  <c r="I23" i="13"/>
  <c r="K23" i="13" s="1"/>
  <c r="M23" i="13" s="1"/>
  <c r="O23" i="13" s="1"/>
  <c r="Q23" i="13" s="1"/>
  <c r="I24" i="13"/>
  <c r="K24" i="13" s="1"/>
  <c r="M24" i="13" s="1"/>
  <c r="O24" i="13" s="1"/>
  <c r="Q24" i="13" s="1"/>
  <c r="I9" i="13"/>
  <c r="K9" i="13" s="1"/>
  <c r="I15" i="13"/>
  <c r="K15" i="13" s="1"/>
  <c r="M15" i="13" s="1"/>
  <c r="O15" i="13" s="1"/>
  <c r="I13" i="13"/>
  <c r="J2" i="13"/>
  <c r="I16" i="13"/>
  <c r="I27" i="13"/>
  <c r="K27" i="13" s="1"/>
  <c r="M27" i="13" s="1"/>
  <c r="O27" i="13" s="1"/>
  <c r="Q27" i="13" s="1"/>
  <c r="S27" i="13" s="1"/>
  <c r="U27" i="13" s="1"/>
  <c r="W27" i="13" s="1"/>
  <c r="Y27" i="13" s="1"/>
  <c r="AA27" i="13" s="1"/>
  <c r="AC27" i="13" s="1"/>
  <c r="AE27" i="13" s="1"/>
  <c r="AF27" i="13" s="1"/>
  <c r="I12" i="13"/>
  <c r="I19" i="13"/>
  <c r="K19" i="13" s="1"/>
  <c r="M19" i="13" s="1"/>
  <c r="I17" i="13"/>
  <c r="K17" i="13" s="1"/>
  <c r="M17" i="13" s="1"/>
  <c r="I20" i="13"/>
  <c r="K20" i="13" s="1"/>
  <c r="M20" i="13" s="1"/>
  <c r="O20" i="13" s="1"/>
  <c r="I28" i="13"/>
  <c r="K28" i="13" s="1"/>
  <c r="M28" i="13" s="1"/>
  <c r="O28" i="13" s="1"/>
  <c r="Q28" i="13" s="1"/>
  <c r="S28" i="13" s="1"/>
  <c r="U28" i="13" s="1"/>
  <c r="W28" i="13" s="1"/>
  <c r="Y28" i="13" s="1"/>
  <c r="AA28" i="13" s="1"/>
  <c r="AC28" i="13" s="1"/>
  <c r="AE28" i="13" s="1"/>
  <c r="AF28" i="13" s="1"/>
  <c r="I25" i="13"/>
  <c r="I6" i="13"/>
  <c r="K6" i="13" s="1"/>
  <c r="M6" i="13" s="1"/>
  <c r="O6" i="13" s="1"/>
  <c r="Q6" i="13" s="1"/>
  <c r="I11" i="13"/>
  <c r="K11" i="13" s="1"/>
  <c r="M11" i="13" s="1"/>
  <c r="O11" i="13" s="1"/>
  <c r="I39" i="13" a="1"/>
  <c r="I39" i="13" s="1"/>
  <c r="C67" i="1" s="1"/>
  <c r="C53" i="9" s="1"/>
  <c r="I7" i="13"/>
  <c r="K7" i="13" s="1"/>
  <c r="I14" i="13"/>
  <c r="D95" i="12"/>
  <c r="E95" i="12" a="1"/>
  <c r="E95" i="12" s="1"/>
  <c r="G95" i="12" s="1"/>
  <c r="H95" i="12" s="1"/>
  <c r="I95" i="12" a="1"/>
  <c r="I95" i="12" s="1"/>
  <c r="A136" i="12"/>
  <c r="D94" i="12"/>
  <c r="E94" i="12" a="1"/>
  <c r="E94" i="12" s="1"/>
  <c r="G94" i="12" s="1"/>
  <c r="I94" i="12" a="1"/>
  <c r="I94" i="12" s="1"/>
  <c r="A135" i="12"/>
  <c r="D93" i="12"/>
  <c r="E93" i="12" a="1"/>
  <c r="E93" i="12" s="1"/>
  <c r="I93" i="12" a="1"/>
  <c r="I93" i="12" s="1"/>
  <c r="A134" i="12"/>
  <c r="I37" i="12"/>
  <c r="J37" i="12" s="1"/>
  <c r="K37" i="12" s="1"/>
  <c r="L37" i="12" s="1"/>
  <c r="G37" i="12"/>
  <c r="D92" i="12"/>
  <c r="E92" i="12" a="1"/>
  <c r="E92" i="12" s="1"/>
  <c r="G92" i="12" s="1"/>
  <c r="H92" i="12" s="1"/>
  <c r="I92" i="12" a="1"/>
  <c r="I92" i="12" s="1"/>
  <c r="A133" i="12"/>
  <c r="D91" i="12"/>
  <c r="E91" i="12" a="1"/>
  <c r="E91" i="12" s="1"/>
  <c r="G91" i="12" s="1"/>
  <c r="I91" i="12" a="1"/>
  <c r="I91" i="12" s="1"/>
  <c r="A132" i="12"/>
  <c r="D90" i="12"/>
  <c r="E90" i="12" a="1"/>
  <c r="E90" i="12" s="1"/>
  <c r="G90" i="12" s="1"/>
  <c r="I90" i="12" a="1"/>
  <c r="I90" i="12" s="1"/>
  <c r="A131" i="12"/>
  <c r="D89" i="12"/>
  <c r="E89" i="12" a="1"/>
  <c r="E89" i="12" s="1"/>
  <c r="G89" i="12" s="1"/>
  <c r="I89" i="12" a="1"/>
  <c r="I89" i="12" s="1"/>
  <c r="A130" i="12"/>
  <c r="D88" i="12"/>
  <c r="E88" i="12" a="1"/>
  <c r="E88" i="12" s="1"/>
  <c r="G88" i="12" s="1"/>
  <c r="H88" i="12" s="1"/>
  <c r="I88" i="12" a="1"/>
  <c r="I88" i="12" s="1"/>
  <c r="A129" i="12"/>
  <c r="D87" i="12"/>
  <c r="E87" i="12" a="1"/>
  <c r="E87" i="12" s="1"/>
  <c r="G87" i="12" s="1"/>
  <c r="I87" i="12" a="1"/>
  <c r="I87" i="12" s="1"/>
  <c r="A128" i="12"/>
  <c r="D86" i="12"/>
  <c r="E86" i="12" a="1"/>
  <c r="E86" i="12" s="1"/>
  <c r="G86" i="12" s="1"/>
  <c r="H86" i="12" s="1"/>
  <c r="I86" i="12" a="1"/>
  <c r="I86" i="12" s="1"/>
  <c r="A127" i="12"/>
  <c r="D85" i="12"/>
  <c r="E85" i="12" a="1"/>
  <c r="E85" i="12" s="1"/>
  <c r="G85" i="12" s="1"/>
  <c r="I85" i="12" a="1"/>
  <c r="I85" i="12" s="1"/>
  <c r="A126" i="12"/>
  <c r="D84" i="12"/>
  <c r="E84" i="12" a="1"/>
  <c r="E84" i="12" s="1"/>
  <c r="G84" i="12" s="1"/>
  <c r="I84" i="12" a="1"/>
  <c r="I84" i="12" s="1"/>
  <c r="A125" i="12"/>
  <c r="D83" i="12"/>
  <c r="E83" i="12" a="1"/>
  <c r="E83" i="12" s="1"/>
  <c r="G83" i="12" s="1"/>
  <c r="H83" i="12" s="1"/>
  <c r="I83" i="12" a="1"/>
  <c r="I83" i="12" s="1"/>
  <c r="A124" i="12"/>
  <c r="D82" i="12"/>
  <c r="E82" i="12" a="1"/>
  <c r="E82" i="12" s="1"/>
  <c r="G82" i="12" s="1"/>
  <c r="I82" i="12" a="1"/>
  <c r="I82" i="12" s="1"/>
  <c r="A123" i="12"/>
  <c r="D81" i="12"/>
  <c r="E81" i="12" a="1"/>
  <c r="E81" i="12" s="1"/>
  <c r="G81" i="12" s="1"/>
  <c r="H81" i="12" s="1"/>
  <c r="I81" i="12" a="1"/>
  <c r="I81" i="12" s="1"/>
  <c r="A122" i="12"/>
  <c r="D80" i="12"/>
  <c r="E80" i="12" a="1"/>
  <c r="E80" i="12" s="1"/>
  <c r="G80" i="12" s="1"/>
  <c r="I80" i="12" a="1"/>
  <c r="I80" i="12" s="1"/>
  <c r="A121" i="12"/>
  <c r="D79" i="12"/>
  <c r="E79" i="12" a="1"/>
  <c r="E79" i="12" s="1"/>
  <c r="G79" i="12" s="1"/>
  <c r="H79" i="12" s="1"/>
  <c r="I79" i="12" a="1"/>
  <c r="I79" i="12" s="1"/>
  <c r="A120" i="12"/>
  <c r="D78" i="12"/>
  <c r="E78" i="12" a="1"/>
  <c r="E78" i="12" s="1"/>
  <c r="G78" i="12" s="1"/>
  <c r="H78" i="12" s="1"/>
  <c r="I78" i="12" a="1"/>
  <c r="I78" i="12" s="1"/>
  <c r="A119" i="12"/>
  <c r="D77" i="12"/>
  <c r="E77" i="12" a="1"/>
  <c r="E77" i="12" s="1"/>
  <c r="G77" i="12" s="1"/>
  <c r="I77" i="12" a="1"/>
  <c r="I77" i="12" s="1"/>
  <c r="A118" i="12"/>
  <c r="D76" i="12"/>
  <c r="E76" i="12" a="1"/>
  <c r="E76" i="12" s="1"/>
  <c r="G76" i="12" s="1"/>
  <c r="I76" i="12" a="1"/>
  <c r="I76" i="12" s="1"/>
  <c r="A117" i="12"/>
  <c r="D75" i="12"/>
  <c r="E75" i="12" a="1"/>
  <c r="E75" i="12" s="1"/>
  <c r="G75" i="12" s="1"/>
  <c r="I75" i="12" a="1"/>
  <c r="I75" i="12" s="1"/>
  <c r="A116" i="12"/>
  <c r="D74" i="12"/>
  <c r="E74" i="12" a="1"/>
  <c r="E74" i="12" s="1"/>
  <c r="G74" i="12" s="1"/>
  <c r="I74" i="12" a="1"/>
  <c r="I74" i="12" s="1"/>
  <c r="A115" i="12"/>
  <c r="D73" i="12"/>
  <c r="E73" i="12" a="1"/>
  <c r="E73" i="12" s="1"/>
  <c r="G73" i="12"/>
  <c r="I73" i="12" a="1"/>
  <c r="I73" i="12" s="1"/>
  <c r="A114" i="12"/>
  <c r="D72" i="12"/>
  <c r="E72" i="12" a="1"/>
  <c r="E72" i="12" s="1"/>
  <c r="G72" i="12" s="1"/>
  <c r="H72" i="12" s="1"/>
  <c r="I72" i="12" a="1"/>
  <c r="I72" i="12" s="1"/>
  <c r="A113" i="12"/>
  <c r="D71" i="12"/>
  <c r="E71" i="12" a="1"/>
  <c r="E71" i="12" s="1"/>
  <c r="G71" i="12" s="1"/>
  <c r="I71" i="12" a="1"/>
  <c r="I71" i="12" s="1"/>
  <c r="A112" i="12"/>
  <c r="D70" i="12"/>
  <c r="E70" i="12" a="1"/>
  <c r="E70" i="12" s="1"/>
  <c r="G70" i="12" s="1"/>
  <c r="H70" i="12" s="1"/>
  <c r="I70" i="12" a="1"/>
  <c r="I70" i="12" s="1"/>
  <c r="A111" i="12"/>
  <c r="D69" i="12"/>
  <c r="E69" i="12" a="1"/>
  <c r="E69" i="12" s="1"/>
  <c r="G69" i="12" s="1"/>
  <c r="H69" i="12" s="1"/>
  <c r="I69" i="12" a="1"/>
  <c r="I69" i="12" s="1"/>
  <c r="A110" i="12"/>
  <c r="D68" i="12"/>
  <c r="E68" i="12" a="1"/>
  <c r="E68" i="12" s="1"/>
  <c r="G68" i="12" s="1"/>
  <c r="H68" i="12" s="1"/>
  <c r="I68" i="12" a="1"/>
  <c r="I68" i="12" s="1"/>
  <c r="A109" i="12"/>
  <c r="D67" i="12"/>
  <c r="E67" i="12" a="1"/>
  <c r="E67" i="12" s="1"/>
  <c r="G67" i="12" s="1"/>
  <c r="H67" i="12" s="1"/>
  <c r="I67" i="12" a="1"/>
  <c r="I67" i="12" s="1"/>
  <c r="A108" i="12"/>
  <c r="D66" i="12"/>
  <c r="E66" i="12" a="1"/>
  <c r="E66" i="12" s="1"/>
  <c r="G66" i="12" s="1"/>
  <c r="H66" i="12" s="1"/>
  <c r="I66" i="12" a="1"/>
  <c r="I66" i="12" s="1"/>
  <c r="A107" i="12"/>
  <c r="D65" i="12"/>
  <c r="E65" i="12" a="1"/>
  <c r="E65" i="12" s="1"/>
  <c r="G65" i="12" s="1"/>
  <c r="H65" i="12" s="1"/>
  <c r="I65" i="12" a="1"/>
  <c r="I65" i="12" s="1"/>
  <c r="A106" i="12"/>
  <c r="D64" i="12"/>
  <c r="E64" i="12" a="1"/>
  <c r="E64" i="12" s="1"/>
  <c r="G64" i="12" s="1"/>
  <c r="I64" i="12" a="1"/>
  <c r="I64" i="12" s="1"/>
  <c r="A105" i="12"/>
  <c r="D63" i="12"/>
  <c r="E63" i="12" a="1"/>
  <c r="E63" i="12" s="1"/>
  <c r="G63" i="12" s="1"/>
  <c r="H63" i="12" s="1"/>
  <c r="I63" i="12" a="1"/>
  <c r="I63" i="12" s="1"/>
  <c r="A104" i="12"/>
  <c r="D62" i="12"/>
  <c r="E62" i="12" a="1"/>
  <c r="E62" i="12" s="1"/>
  <c r="G62" i="12" s="1"/>
  <c r="H62" i="12" s="1"/>
  <c r="I62" i="12" a="1"/>
  <c r="I62" i="12" s="1"/>
  <c r="A103" i="12"/>
  <c r="D61" i="12"/>
  <c r="E61" i="12" a="1"/>
  <c r="E61" i="12" s="1"/>
  <c r="I61" i="12" a="1"/>
  <c r="I61" i="12" s="1"/>
  <c r="A102" i="12"/>
  <c r="N55" i="12" a="1"/>
  <c r="N55" i="12" s="1"/>
  <c r="D63" i="1" s="1"/>
  <c r="D52" i="9" s="1"/>
  <c r="I5" i="12"/>
  <c r="G5" i="12"/>
  <c r="C47" i="12"/>
  <c r="O55" i="12" a="1"/>
  <c r="O55" i="12" s="1"/>
  <c r="E63" i="1" s="1"/>
  <c r="E52" i="9" s="1"/>
  <c r="C50" i="12"/>
  <c r="X55" i="12" a="1"/>
  <c r="X55" i="12" s="1"/>
  <c r="N63" i="1" s="1"/>
  <c r="N52" i="9" s="1"/>
  <c r="W55" i="12" a="1"/>
  <c r="W55" i="12" s="1"/>
  <c r="M63" i="1" s="1"/>
  <c r="M52" i="9" s="1"/>
  <c r="V55" i="12" a="1"/>
  <c r="V55" i="12" s="1"/>
  <c r="L63" i="1" s="1"/>
  <c r="L52" i="9" s="1"/>
  <c r="U55" i="12" a="1"/>
  <c r="U55" i="12" s="1"/>
  <c r="K63" i="1" s="1"/>
  <c r="K52" i="9" s="1"/>
  <c r="E97" i="12" a="1"/>
  <c r="E97" i="12" s="1"/>
  <c r="T55" i="12" a="1"/>
  <c r="T55" i="12" s="1"/>
  <c r="J63" i="1" s="1"/>
  <c r="J52" i="9" s="1"/>
  <c r="S55" i="12" a="1"/>
  <c r="S55" i="12" s="1"/>
  <c r="I63" i="1" s="1"/>
  <c r="I52" i="9" s="1"/>
  <c r="R55" i="12" a="1"/>
  <c r="R55" i="12" s="1"/>
  <c r="H63" i="1" s="1"/>
  <c r="H52" i="9" s="1"/>
  <c r="Q55" i="12" a="1"/>
  <c r="Q55" i="12" s="1"/>
  <c r="G63" i="1" s="1"/>
  <c r="G52" i="9" s="1"/>
  <c r="P55" i="12" a="1"/>
  <c r="P55" i="12" s="1"/>
  <c r="F63" i="1" s="1"/>
  <c r="F52" i="9" s="1"/>
  <c r="C44" i="12"/>
  <c r="K55" i="12" a="1"/>
  <c r="K55" i="12" s="1"/>
  <c r="I55" i="12" a="1"/>
  <c r="I55" i="12" s="1"/>
  <c r="J55" i="12" a="1"/>
  <c r="J55" i="12" s="1"/>
  <c r="L55" i="12" a="1"/>
  <c r="L55" i="12" s="1"/>
  <c r="B63" i="1" s="1"/>
  <c r="M55" i="12" a="1"/>
  <c r="M55" i="12" s="1"/>
  <c r="C63" i="1" s="1"/>
  <c r="C52" i="9" s="1"/>
  <c r="D49" i="11"/>
  <c r="C140" i="12"/>
  <c r="C25" i="11"/>
  <c r="D25" i="11" s="1"/>
  <c r="E25" i="11" s="1"/>
  <c r="F25" i="11" s="1"/>
  <c r="G25" i="11" s="1"/>
  <c r="H25" i="11" s="1"/>
  <c r="I25" i="11" s="1"/>
  <c r="J25" i="11" s="1"/>
  <c r="K25" i="11" s="1"/>
  <c r="L25" i="11" s="1"/>
  <c r="M25" i="11" s="1"/>
  <c r="N25" i="11" s="1"/>
  <c r="C26" i="11"/>
  <c r="C51" i="11"/>
  <c r="C41" i="11" a="1"/>
  <c r="C41" i="11" s="1"/>
  <c r="D41" i="11" s="1" a="1"/>
  <c r="D41" i="11" s="1"/>
  <c r="E41" i="11" s="1" a="1"/>
  <c r="E41" i="11" s="1"/>
  <c r="F41" i="11" s="1" a="1"/>
  <c r="F41" i="11" s="1"/>
  <c r="G41" i="11" s="1" a="1"/>
  <c r="G41" i="11" s="1"/>
  <c r="H41" i="11" s="1" a="1"/>
  <c r="H41" i="11" s="1"/>
  <c r="I41" i="11" s="1" a="1"/>
  <c r="I41" i="11" s="1"/>
  <c r="J41" i="11" s="1" a="1"/>
  <c r="J41" i="11" s="1"/>
  <c r="K41" i="11" s="1" a="1"/>
  <c r="K41" i="11" s="1"/>
  <c r="L41" i="11" s="1" a="1"/>
  <c r="L41" i="11" s="1"/>
  <c r="M41" i="11" s="1" a="1"/>
  <c r="M41" i="11" s="1"/>
  <c r="N41" i="11" s="1" a="1"/>
  <c r="N41" i="11" s="1"/>
  <c r="C42" i="11" a="1"/>
  <c r="C42" i="11" s="1"/>
  <c r="D42" i="11" s="1" a="1"/>
  <c r="D42" i="11" s="1"/>
  <c r="E42" i="11" s="1" a="1"/>
  <c r="E42" i="11" s="1"/>
  <c r="F42" i="11" s="1" a="1"/>
  <c r="F42" i="11" s="1"/>
  <c r="G42" i="11" s="1" a="1"/>
  <c r="G42" i="11" s="1"/>
  <c r="H42" i="11" s="1" a="1"/>
  <c r="H42" i="11" s="1"/>
  <c r="I42" i="11" s="1" a="1"/>
  <c r="I42" i="11" s="1"/>
  <c r="J42" i="11" s="1" a="1"/>
  <c r="J42" i="11" s="1"/>
  <c r="K42" i="11" s="1" a="1"/>
  <c r="K42" i="11" s="1"/>
  <c r="L42" i="11" s="1" a="1"/>
  <c r="L42" i="11" s="1"/>
  <c r="M42" i="11" s="1" a="1"/>
  <c r="M42" i="11" s="1"/>
  <c r="N42" i="11" s="1" a="1"/>
  <c r="N42" i="11" s="1"/>
  <c r="N20" i="11"/>
  <c r="N98" i="1"/>
  <c r="N58" i="9" s="1"/>
  <c r="N62" i="9" s="1"/>
  <c r="M98" i="1"/>
  <c r="M58" i="9" s="1"/>
  <c r="M62" i="9" s="1"/>
  <c r="M20" i="11"/>
  <c r="L98" i="1"/>
  <c r="L58" i="9" s="1"/>
  <c r="L62" i="9" s="1"/>
  <c r="L20" i="11"/>
  <c r="K20" i="11"/>
  <c r="K98" i="1"/>
  <c r="K58" i="9" s="1"/>
  <c r="J98" i="1"/>
  <c r="J58" i="9" s="1"/>
  <c r="J20" i="11"/>
  <c r="I20" i="11"/>
  <c r="I98" i="1"/>
  <c r="I58" i="9" s="1"/>
  <c r="H98" i="1"/>
  <c r="H58" i="9" s="1"/>
  <c r="H20" i="11"/>
  <c r="G98" i="1"/>
  <c r="G58" i="9" s="1"/>
  <c r="G20" i="11"/>
  <c r="E20" i="11"/>
  <c r="E98" i="1"/>
  <c r="E58" i="9" s="1"/>
  <c r="E62" i="9" s="1"/>
  <c r="D20" i="11"/>
  <c r="D98" i="1"/>
  <c r="D58" i="9" s="1"/>
  <c r="D62" i="9" s="1"/>
  <c r="C20" i="11"/>
  <c r="C98" i="1"/>
  <c r="C58" i="9" s="1"/>
  <c r="F13" i="11"/>
  <c r="F14" i="11" s="1"/>
  <c r="F97" i="1" s="1"/>
  <c r="F51" i="9" s="1"/>
  <c r="F20" i="11"/>
  <c r="D11" i="10"/>
  <c r="C93" i="1"/>
  <c r="C49" i="15" s="1"/>
  <c r="L48" i="4"/>
  <c r="K48" i="4"/>
  <c r="J48" i="4"/>
  <c r="I48" i="4"/>
  <c r="H48" i="4"/>
  <c r="G48" i="4"/>
  <c r="F48" i="4"/>
  <c r="E48" i="4"/>
  <c r="D48" i="4"/>
  <c r="L18" i="4"/>
  <c r="P17" i="5"/>
  <c r="L17" i="4" s="1"/>
  <c r="K18" i="4"/>
  <c r="O17" i="5"/>
  <c r="K17" i="4" s="1"/>
  <c r="J18" i="4"/>
  <c r="N17" i="5"/>
  <c r="J17" i="4" s="1"/>
  <c r="I18" i="4"/>
  <c r="M17" i="5"/>
  <c r="I17" i="4" s="1"/>
  <c r="H18" i="4"/>
  <c r="L17" i="5"/>
  <c r="H17" i="4" s="1"/>
  <c r="U35" i="24"/>
  <c r="R50" i="26"/>
  <c r="S50" i="26" s="1"/>
  <c r="T50" i="26" s="1"/>
  <c r="U50" i="26" s="1"/>
  <c r="V50" i="26" s="1"/>
  <c r="W50" i="26" s="1"/>
  <c r="K26" i="22"/>
  <c r="F11" i="18"/>
  <c r="G11" i="18" s="1"/>
  <c r="H11" i="18" s="1"/>
  <c r="I11" i="18" s="1"/>
  <c r="J11" i="18" s="1"/>
  <c r="K11" i="18" s="1"/>
  <c r="L11" i="18" s="1"/>
  <c r="M11" i="18" s="1"/>
  <c r="N11" i="18" s="1"/>
  <c r="N44" i="9"/>
  <c r="M44" i="9"/>
  <c r="H44" i="9"/>
  <c r="G44" i="9"/>
  <c r="F44" i="9"/>
  <c r="D44" i="9"/>
  <c r="C44" i="9"/>
  <c r="E44" i="9"/>
  <c r="D28" i="17"/>
  <c r="E28" i="17" s="1"/>
  <c r="F28" i="17" s="1"/>
  <c r="G28" i="17" s="1"/>
  <c r="H28" i="17" s="1"/>
  <c r="I28" i="17" s="1"/>
  <c r="J28" i="17" s="1"/>
  <c r="B51" i="15"/>
  <c r="I94" i="20"/>
  <c r="I42" i="20" s="1"/>
  <c r="I46" i="20" s="1"/>
  <c r="I51" i="20" s="1"/>
  <c r="I58" i="20" s="1"/>
  <c r="I62" i="20" s="1"/>
  <c r="E94" i="20"/>
  <c r="E42" i="20" s="1"/>
  <c r="E46" i="20" s="1"/>
  <c r="E51" i="20" s="1"/>
  <c r="E58" i="20" s="1"/>
  <c r="E62" i="20" s="1"/>
  <c r="W53" i="27"/>
  <c r="D9" i="21"/>
  <c r="E9" i="21" s="1"/>
  <c r="F9" i="21" s="1"/>
  <c r="G9" i="21" s="1"/>
  <c r="H9" i="21" s="1"/>
  <c r="I9" i="21" s="1"/>
  <c r="J9" i="21" s="1"/>
  <c r="K9" i="21" s="1"/>
  <c r="L9" i="21" s="1"/>
  <c r="M9" i="21" s="1"/>
  <c r="N9" i="21" s="1"/>
  <c r="C94" i="20"/>
  <c r="C42" i="20" s="1"/>
  <c r="C46" i="20" s="1"/>
  <c r="C51" i="20" s="1"/>
  <c r="C58" i="20" s="1"/>
  <c r="C62" i="20" s="1"/>
  <c r="C70" i="20" s="1"/>
  <c r="C23" i="1" s="1"/>
  <c r="E14" i="5" s="1"/>
  <c r="M29" i="26"/>
  <c r="B94" i="20"/>
  <c r="B42" i="20" s="1"/>
  <c r="B46" i="20" s="1"/>
  <c r="B51" i="20" s="1"/>
  <c r="B58" i="20" s="1"/>
  <c r="B62" i="20" s="1"/>
  <c r="B70" i="20" s="1"/>
  <c r="B23" i="1" s="1"/>
  <c r="V53" i="27"/>
  <c r="U53" i="27"/>
  <c r="T53" i="27"/>
  <c r="N50" i="27"/>
  <c r="O50" i="27" s="1"/>
  <c r="P50" i="27" s="1"/>
  <c r="Q50" i="27" s="1"/>
  <c r="R50" i="27" s="1"/>
  <c r="S50" i="27" s="1"/>
  <c r="T50" i="27" s="1"/>
  <c r="U50" i="27" s="1"/>
  <c r="V50" i="27" s="1"/>
  <c r="W50" i="27" s="1"/>
  <c r="M29" i="27"/>
  <c r="V25" i="27"/>
  <c r="V31" i="27" s="1"/>
  <c r="J94" i="20"/>
  <c r="J42" i="20" s="1"/>
  <c r="J46" i="20" s="1"/>
  <c r="J51" i="20" s="1"/>
  <c r="J58" i="20" s="1"/>
  <c r="J62" i="20" s="1"/>
  <c r="H94" i="20"/>
  <c r="H42" i="20" s="1"/>
  <c r="H46" i="20" s="1"/>
  <c r="H51" i="20" s="1"/>
  <c r="H58" i="20" s="1"/>
  <c r="H62" i="20" s="1"/>
  <c r="G94" i="20"/>
  <c r="G42" i="20" s="1"/>
  <c r="G46" i="20" s="1"/>
  <c r="G51" i="20" s="1"/>
  <c r="G58" i="20" s="1"/>
  <c r="G62" i="20" s="1"/>
  <c r="D94" i="20"/>
  <c r="D42" i="20" s="1"/>
  <c r="D46" i="20" s="1"/>
  <c r="D51" i="20" s="1"/>
  <c r="D58" i="20" s="1"/>
  <c r="D62" i="20" s="1"/>
  <c r="D70" i="20" s="1"/>
  <c r="D23" i="1" s="1"/>
  <c r="F14" i="5" s="1"/>
  <c r="BB37" i="4" l="1"/>
  <c r="AG37" i="4"/>
  <c r="BA37" i="4"/>
  <c r="AF37" i="4"/>
  <c r="AZ37" i="4"/>
  <c r="AE37" i="4"/>
  <c r="AY37" i="4"/>
  <c r="AD37" i="4"/>
  <c r="AX37" i="4"/>
  <c r="AC37" i="4"/>
  <c r="AW37" i="4"/>
  <c r="AB37" i="4"/>
  <c r="AV37" i="4"/>
  <c r="AA37" i="4"/>
  <c r="AU37" i="4"/>
  <c r="Z37" i="4"/>
  <c r="AT37" i="4"/>
  <c r="Y37" i="4"/>
  <c r="AW20" i="4"/>
  <c r="AB20" i="4"/>
  <c r="D56" i="9"/>
  <c r="D64" i="9" s="1"/>
  <c r="E56" i="9"/>
  <c r="E64" i="9" s="1"/>
  <c r="N56" i="9"/>
  <c r="N64" i="9" s="1"/>
  <c r="M56" i="9"/>
  <c r="M64" i="9" s="1"/>
  <c r="E13" i="25"/>
  <c r="E18" i="25" s="1"/>
  <c r="L6" i="25"/>
  <c r="W28" i="24"/>
  <c r="Q9" i="26"/>
  <c r="R9" i="26" s="1"/>
  <c r="S9" i="26" s="1"/>
  <c r="T9" i="26" s="1"/>
  <c r="U9" i="26" s="1"/>
  <c r="V9" i="26" s="1"/>
  <c r="W9" i="26" s="1"/>
  <c r="P25" i="26"/>
  <c r="P27" i="26" s="1"/>
  <c r="P31" i="26" s="1"/>
  <c r="U30" i="24"/>
  <c r="T28" i="24"/>
  <c r="S28" i="24"/>
  <c r="N52" i="24"/>
  <c r="M59" i="24"/>
  <c r="M9" i="25" s="1"/>
  <c r="U28" i="24"/>
  <c r="O28" i="24"/>
  <c r="M28" i="24"/>
  <c r="AA12" i="4"/>
  <c r="AV12" i="4"/>
  <c r="AE30" i="4"/>
  <c r="AZ30" i="4"/>
  <c r="AG48" i="4"/>
  <c r="BB48" i="4"/>
  <c r="AF48" i="4"/>
  <c r="BA48" i="4"/>
  <c r="AE48" i="4"/>
  <c r="AZ48" i="4"/>
  <c r="AD48" i="4"/>
  <c r="AY48" i="4"/>
  <c r="AC48" i="4"/>
  <c r="AX48" i="4"/>
  <c r="AB48" i="4"/>
  <c r="AW48" i="4"/>
  <c r="AA48" i="4"/>
  <c r="AV48" i="4"/>
  <c r="Z48" i="4"/>
  <c r="AU48" i="4"/>
  <c r="Y48" i="4"/>
  <c r="AT48" i="4"/>
  <c r="AG18" i="4"/>
  <c r="BB18" i="4"/>
  <c r="AG17" i="4"/>
  <c r="BB17" i="4"/>
  <c r="AF18" i="4"/>
  <c r="BA18" i="4"/>
  <c r="AF17" i="4"/>
  <c r="BA17" i="4"/>
  <c r="AE18" i="4"/>
  <c r="AZ18" i="4"/>
  <c r="AE17" i="4"/>
  <c r="AZ17" i="4"/>
  <c r="AD18" i="4"/>
  <c r="AY18" i="4"/>
  <c r="AD17" i="4"/>
  <c r="AY17" i="4"/>
  <c r="AC18" i="4"/>
  <c r="AX18" i="4"/>
  <c r="AC17" i="4"/>
  <c r="AX17" i="4"/>
  <c r="W58" i="28"/>
  <c r="W69" i="28" s="1"/>
  <c r="W26" i="24"/>
  <c r="V26" i="24"/>
  <c r="V58" i="28"/>
  <c r="V69" i="28" s="1"/>
  <c r="U26" i="24"/>
  <c r="U58" i="28"/>
  <c r="T26" i="24"/>
  <c r="T58" i="28"/>
  <c r="S26" i="24"/>
  <c r="S58" i="28"/>
  <c r="R58" i="28"/>
  <c r="R26" i="24"/>
  <c r="Q26" i="24"/>
  <c r="Q58" i="28"/>
  <c r="P26" i="24"/>
  <c r="P58" i="28"/>
  <c r="O26" i="24"/>
  <c r="O58" i="28"/>
  <c r="N58" i="28"/>
  <c r="N26" i="24"/>
  <c r="M58" i="28"/>
  <c r="M26" i="24"/>
  <c r="L26" i="24"/>
  <c r="L58" i="28"/>
  <c r="W58" i="27"/>
  <c r="W27" i="24"/>
  <c r="V27" i="24"/>
  <c r="V58" i="27"/>
  <c r="V69" i="27" s="1"/>
  <c r="U27" i="24"/>
  <c r="U58" i="27"/>
  <c r="T58" i="27"/>
  <c r="T69" i="27" s="1"/>
  <c r="T27" i="24"/>
  <c r="S27" i="24"/>
  <c r="S58" i="27"/>
  <c r="R58" i="27"/>
  <c r="R27" i="24"/>
  <c r="Q58" i="27"/>
  <c r="Q27" i="24"/>
  <c r="P27" i="24"/>
  <c r="P58" i="27"/>
  <c r="O58" i="27"/>
  <c r="O27" i="24"/>
  <c r="N27" i="24"/>
  <c r="N58" i="27"/>
  <c r="M27" i="24"/>
  <c r="M58" i="27"/>
  <c r="L27" i="24"/>
  <c r="L58" i="27"/>
  <c r="W25" i="24"/>
  <c r="W58" i="26"/>
  <c r="W69" i="26" s="1"/>
  <c r="V25" i="24"/>
  <c r="V58" i="26"/>
  <c r="V69" i="26" s="1"/>
  <c r="U25" i="24"/>
  <c r="U58" i="26"/>
  <c r="U69" i="26" s="1"/>
  <c r="T25" i="24"/>
  <c r="T58" i="26"/>
  <c r="T69" i="26" s="1"/>
  <c r="S58" i="26"/>
  <c r="S69" i="26" s="1"/>
  <c r="S25" i="24"/>
  <c r="S37" i="24" s="1"/>
  <c r="R25" i="24"/>
  <c r="R37" i="24" s="1"/>
  <c r="R58" i="26"/>
  <c r="R69" i="26" s="1"/>
  <c r="Q58" i="26"/>
  <c r="Q69" i="26" s="1"/>
  <c r="Q25" i="24"/>
  <c r="Q37" i="24" s="1"/>
  <c r="W37" i="24" s="1"/>
  <c r="P25" i="24"/>
  <c r="P37" i="24" s="1"/>
  <c r="V37" i="24" s="1"/>
  <c r="P58" i="26"/>
  <c r="P69" i="26" s="1"/>
  <c r="O25" i="24"/>
  <c r="O58" i="26"/>
  <c r="O69" i="26" s="1"/>
  <c r="N58" i="26"/>
  <c r="N25" i="24"/>
  <c r="M25" i="24"/>
  <c r="M58" i="26"/>
  <c r="L25" i="24"/>
  <c r="L58" i="26"/>
  <c r="M74" i="28"/>
  <c r="L72" i="24"/>
  <c r="W39" i="28"/>
  <c r="W46" i="28" s="1"/>
  <c r="W52" i="28" s="1"/>
  <c r="V46" i="28"/>
  <c r="V52" i="28" s="1"/>
  <c r="N29" i="28"/>
  <c r="M62" i="28"/>
  <c r="M66" i="24" s="1"/>
  <c r="M74" i="26"/>
  <c r="L71" i="24"/>
  <c r="O31" i="26"/>
  <c r="Q25" i="26"/>
  <c r="R7" i="26"/>
  <c r="Q27" i="26"/>
  <c r="V13" i="26"/>
  <c r="U6" i="26"/>
  <c r="F33" i="22"/>
  <c r="F78" i="1" s="1"/>
  <c r="H20" i="5" s="1"/>
  <c r="E78" i="1"/>
  <c r="G20" i="5" s="1"/>
  <c r="F19" i="5"/>
  <c r="E20" i="4"/>
  <c r="I19" i="5"/>
  <c r="E19" i="4" s="1"/>
  <c r="K33" i="22"/>
  <c r="J78" i="1"/>
  <c r="L20" i="5" s="1"/>
  <c r="I68" i="21"/>
  <c r="H70" i="21"/>
  <c r="H69" i="21" s="1"/>
  <c r="H63" i="21"/>
  <c r="H64" i="21"/>
  <c r="G65" i="21"/>
  <c r="D47" i="21"/>
  <c r="D52" i="21" s="1"/>
  <c r="D54" i="21" s="1"/>
  <c r="D58" i="21" s="1"/>
  <c r="D60" i="21" s="1"/>
  <c r="D28" i="1" s="1"/>
  <c r="F18" i="5" s="1"/>
  <c r="I44" i="21"/>
  <c r="H34" i="21"/>
  <c r="G38" i="21"/>
  <c r="G42" i="21" s="1"/>
  <c r="F64" i="20"/>
  <c r="E66" i="20"/>
  <c r="E70" i="20" s="1"/>
  <c r="E23" i="1" s="1"/>
  <c r="G14" i="5" s="1"/>
  <c r="L46" i="20"/>
  <c r="L35" i="20"/>
  <c r="K51" i="20"/>
  <c r="K58" i="20" s="1"/>
  <c r="K62" i="20" s="1"/>
  <c r="K53" i="20"/>
  <c r="N29" i="20"/>
  <c r="N21" i="1"/>
  <c r="N32" i="9" s="1"/>
  <c r="M29" i="20"/>
  <c r="M21" i="1"/>
  <c r="M32" i="9" s="1"/>
  <c r="I124" i="19"/>
  <c r="H123" i="19"/>
  <c r="I112" i="19"/>
  <c r="H62" i="19"/>
  <c r="H96" i="19"/>
  <c r="I96" i="19" s="1"/>
  <c r="F101" i="19"/>
  <c r="G95" i="19"/>
  <c r="F59" i="19"/>
  <c r="E104" i="19"/>
  <c r="E105" i="19" s="1"/>
  <c r="I18" i="1"/>
  <c r="K12" i="5" s="1"/>
  <c r="G12" i="4" s="1"/>
  <c r="M64" i="19"/>
  <c r="O51" i="19"/>
  <c r="N52" i="19"/>
  <c r="K49" i="19"/>
  <c r="K54" i="19" s="1"/>
  <c r="L45" i="19"/>
  <c r="O43" i="19"/>
  <c r="O49" i="19"/>
  <c r="M9" i="19"/>
  <c r="L9" i="19"/>
  <c r="K9" i="19"/>
  <c r="K15" i="19" s="1"/>
  <c r="K10" i="19"/>
  <c r="F41" i="19"/>
  <c r="H41" i="19"/>
  <c r="J41" i="19"/>
  <c r="G41" i="19"/>
  <c r="I41" i="19"/>
  <c r="J9" i="19"/>
  <c r="I9" i="19"/>
  <c r="I10" i="19" s="1"/>
  <c r="H9" i="19"/>
  <c r="G9" i="19"/>
  <c r="F9" i="19"/>
  <c r="F15" i="19" s="1"/>
  <c r="F19" i="19" s="1"/>
  <c r="F10" i="19"/>
  <c r="F11" i="19" s="1"/>
  <c r="L73" i="18"/>
  <c r="L78" i="18" s="1"/>
  <c r="L37" i="18" s="1"/>
  <c r="M69" i="18"/>
  <c r="M73" i="18" s="1"/>
  <c r="M78" i="18" s="1"/>
  <c r="M37" i="18" s="1"/>
  <c r="K33" i="18"/>
  <c r="L40" i="18"/>
  <c r="L45" i="18" s="1"/>
  <c r="L53" i="18" s="1"/>
  <c r="C79" i="17"/>
  <c r="C83" i="17"/>
  <c r="J74" i="17"/>
  <c r="J85" i="17" s="1"/>
  <c r="G54" i="17" s="1"/>
  <c r="G55" i="17" s="1"/>
  <c r="G60" i="17" s="1"/>
  <c r="L74" i="17"/>
  <c r="L85" i="17" s="1"/>
  <c r="I54" i="17" s="1"/>
  <c r="H76" i="17"/>
  <c r="H85" i="17" s="1"/>
  <c r="F54" i="17" s="1"/>
  <c r="H73" i="17"/>
  <c r="C54" i="17" s="1"/>
  <c r="C55" i="17" s="1"/>
  <c r="C60" i="17" s="1"/>
  <c r="C7" i="1" s="1"/>
  <c r="E7" i="5" s="1"/>
  <c r="H74" i="17"/>
  <c r="D54" i="17" s="1"/>
  <c r="D55" i="17" s="1"/>
  <c r="D60" i="17" s="1"/>
  <c r="D7" i="1" s="1"/>
  <c r="F7" i="5" s="1"/>
  <c r="H75" i="17"/>
  <c r="E54" i="17" s="1"/>
  <c r="K74" i="17"/>
  <c r="K85" i="17" s="1"/>
  <c r="H54" i="17" s="1"/>
  <c r="H55" i="17" s="1"/>
  <c r="M74" i="17"/>
  <c r="M85" i="17" s="1"/>
  <c r="E84" i="17"/>
  <c r="D86" i="17"/>
  <c r="D89" i="17" s="1"/>
  <c r="E90" i="17" s="1"/>
  <c r="F48" i="17"/>
  <c r="F55" i="17" s="1"/>
  <c r="F60" i="17" s="1"/>
  <c r="E55" i="17"/>
  <c r="E60" i="17" s="1"/>
  <c r="E7" i="1" s="1"/>
  <c r="G7" i="5" s="1"/>
  <c r="L64" i="17"/>
  <c r="F7" i="1"/>
  <c r="H7" i="5" s="1"/>
  <c r="L37" i="17"/>
  <c r="K45" i="17"/>
  <c r="K60" i="17" s="1"/>
  <c r="J7" i="1"/>
  <c r="L7" i="5" s="1"/>
  <c r="G7" i="1"/>
  <c r="I7" i="5" s="1"/>
  <c r="H45" i="17"/>
  <c r="H60" i="17" s="1"/>
  <c r="H7" i="1" s="1"/>
  <c r="J7" i="5" s="1"/>
  <c r="I37" i="17"/>
  <c r="I45" i="17" s="1"/>
  <c r="E32" i="17"/>
  <c r="D96" i="1"/>
  <c r="D24" i="9" s="1"/>
  <c r="M27" i="17"/>
  <c r="M5" i="1"/>
  <c r="M30" i="9" s="1"/>
  <c r="M36" i="9" s="1"/>
  <c r="M46" i="9" s="1"/>
  <c r="L27" i="17"/>
  <c r="L5" i="1"/>
  <c r="L30" i="9" s="1"/>
  <c r="K27" i="17"/>
  <c r="K5" i="1"/>
  <c r="K30" i="9" s="1"/>
  <c r="D10" i="16"/>
  <c r="C49" i="1"/>
  <c r="E24" i="5" s="1"/>
  <c r="F4" i="16"/>
  <c r="E8" i="16"/>
  <c r="N34" i="15"/>
  <c r="N35" i="15" s="1"/>
  <c r="N91" i="1" s="1"/>
  <c r="P30" i="5" s="1"/>
  <c r="L30" i="4" s="1"/>
  <c r="M35" i="15"/>
  <c r="M91" i="1" s="1"/>
  <c r="O30" i="5" s="1"/>
  <c r="K30" i="4" s="1"/>
  <c r="P28" i="14"/>
  <c r="N24" i="14"/>
  <c r="L23" i="14"/>
  <c r="E71" i="1" s="1"/>
  <c r="G31" i="5" s="1"/>
  <c r="L24" i="14"/>
  <c r="J23" i="14"/>
  <c r="D71" i="1" s="1"/>
  <c r="F31" i="5" s="1"/>
  <c r="J24" i="14"/>
  <c r="H23" i="14"/>
  <c r="C71" i="1" s="1"/>
  <c r="E31" i="5" s="1"/>
  <c r="H24" i="14"/>
  <c r="Z26" i="13"/>
  <c r="AA26" i="13"/>
  <c r="AC26" i="13" s="1"/>
  <c r="AE26" i="13" s="1"/>
  <c r="P4" i="13"/>
  <c r="O33" i="13" s="1"/>
  <c r="F66" i="1" s="1"/>
  <c r="H29" i="5" s="1"/>
  <c r="I33" i="13"/>
  <c r="C66" i="1" s="1"/>
  <c r="E29" i="5" s="1"/>
  <c r="I34" i="13"/>
  <c r="I136" i="12" a="1"/>
  <c r="I136" i="12" s="1"/>
  <c r="C136" i="12" a="1"/>
  <c r="C136" i="12" s="1"/>
  <c r="D136" i="12" s="1" a="1"/>
  <c r="D136" i="12" s="1"/>
  <c r="G136" i="12" a="1"/>
  <c r="G136" i="12" s="1"/>
  <c r="H136" i="12" a="1"/>
  <c r="H136" i="12" s="1"/>
  <c r="J136" i="12" a="1"/>
  <c r="J136" i="12" s="1"/>
  <c r="K136" i="12" s="1" a="1"/>
  <c r="K136" i="12" s="1"/>
  <c r="A182" i="12"/>
  <c r="J94" i="12"/>
  <c r="A181" i="12"/>
  <c r="C135" i="12" a="1"/>
  <c r="C135" i="12" s="1"/>
  <c r="D135" i="12" s="1" a="1"/>
  <c r="D135" i="12" s="1"/>
  <c r="J93" i="12"/>
  <c r="K93" i="12"/>
  <c r="A180" i="12"/>
  <c r="C134" i="12" a="1"/>
  <c r="C134" i="12" s="1"/>
  <c r="D134" i="12" a="1"/>
  <c r="D134" i="12" s="1"/>
  <c r="E134" i="12" s="1" a="1"/>
  <c r="E134" i="12" s="1"/>
  <c r="J92" i="12"/>
  <c r="K92" i="12" s="1"/>
  <c r="I133" i="12" a="1"/>
  <c r="I133" i="12" s="1"/>
  <c r="A179" i="12"/>
  <c r="C133" i="12" a="1"/>
  <c r="C133" i="12" s="1"/>
  <c r="D133" i="12" s="1" a="1"/>
  <c r="D133" i="12" s="1"/>
  <c r="H133" i="12" a="1"/>
  <c r="H133" i="12" s="1"/>
  <c r="J133" i="12" a="1"/>
  <c r="J133" i="12" s="1"/>
  <c r="K133" i="12" s="1" a="1"/>
  <c r="K133" i="12" s="1"/>
  <c r="G133" i="12" a="1"/>
  <c r="G133" i="12" s="1"/>
  <c r="J91" i="12"/>
  <c r="K91" i="12"/>
  <c r="E132" i="12" a="1"/>
  <c r="E132" i="12" s="1"/>
  <c r="A178" i="12"/>
  <c r="C132" i="12" a="1"/>
  <c r="C132" i="12" s="1"/>
  <c r="D132" i="12" a="1"/>
  <c r="D132" i="12" s="1"/>
  <c r="F132" i="12" a="1"/>
  <c r="F132" i="12" s="1"/>
  <c r="G132" i="12" s="1" a="1"/>
  <c r="G132" i="12" s="1"/>
  <c r="J90" i="12"/>
  <c r="K90" i="12"/>
  <c r="D131" i="12" a="1"/>
  <c r="D131" i="12" s="1"/>
  <c r="F131" i="12" a="1"/>
  <c r="F131" i="12" s="1"/>
  <c r="A177" i="12"/>
  <c r="C131" i="12" a="1"/>
  <c r="C131" i="12" s="1"/>
  <c r="E131" i="12" a="1"/>
  <c r="E131" i="12" s="1"/>
  <c r="G131" i="12" a="1"/>
  <c r="G131" i="12" s="1"/>
  <c r="H131" i="12" s="1" a="1"/>
  <c r="H131" i="12" s="1"/>
  <c r="J89" i="12"/>
  <c r="K89" i="12"/>
  <c r="C130" i="12" a="1"/>
  <c r="C130" i="12" s="1"/>
  <c r="D130" i="12" s="1" a="1"/>
  <c r="D130" i="12" s="1"/>
  <c r="A176" i="12"/>
  <c r="J88" i="12"/>
  <c r="K88" i="12"/>
  <c r="C129" i="12" a="1"/>
  <c r="C129" i="12" s="1"/>
  <c r="A175" i="12"/>
  <c r="D129" i="12" a="1"/>
  <c r="D129" i="12" s="1"/>
  <c r="E129" i="12" s="1" a="1"/>
  <c r="E129" i="12" s="1"/>
  <c r="J87" i="12"/>
  <c r="K87" i="12"/>
  <c r="C128" i="12" a="1"/>
  <c r="C128" i="12" s="1"/>
  <c r="D128" i="12" s="1" a="1"/>
  <c r="D128" i="12" s="1"/>
  <c r="A174" i="12"/>
  <c r="J86" i="12"/>
  <c r="K86" i="12"/>
  <c r="C127" i="12" a="1"/>
  <c r="C127" i="12" s="1"/>
  <c r="D127" i="12" a="1"/>
  <c r="D127" i="12" s="1"/>
  <c r="A173" i="12"/>
  <c r="E127" i="12" a="1"/>
  <c r="E127" i="12" s="1"/>
  <c r="F127" i="12" s="1" a="1"/>
  <c r="F127" i="12" s="1"/>
  <c r="C126" i="12" a="1"/>
  <c r="C126" i="12" s="1"/>
  <c r="D126" i="12" a="1"/>
  <c r="D126" i="12" s="1"/>
  <c r="E126" i="12" a="1"/>
  <c r="E126" i="12" s="1"/>
  <c r="F126" i="12" a="1"/>
  <c r="F126" i="12" s="1"/>
  <c r="G126" i="12" a="1"/>
  <c r="G126" i="12" s="1"/>
  <c r="H126" i="12" a="1"/>
  <c r="H126" i="12" s="1"/>
  <c r="I126" i="12" a="1"/>
  <c r="I126" i="12" s="1"/>
  <c r="J126" i="12" s="1" a="1"/>
  <c r="J126" i="12" s="1"/>
  <c r="A172" i="12"/>
  <c r="C125" i="12" a="1"/>
  <c r="C125" i="12" s="1"/>
  <c r="D125" i="12" a="1"/>
  <c r="D125" i="12" s="1"/>
  <c r="E125" i="12" a="1"/>
  <c r="E125" i="12" s="1"/>
  <c r="F125" i="12" a="1"/>
  <c r="F125" i="12" s="1"/>
  <c r="A171" i="12"/>
  <c r="G125" i="12" a="1"/>
  <c r="G125" i="12" s="1"/>
  <c r="H125" i="12" s="1" a="1"/>
  <c r="H125" i="12" s="1"/>
  <c r="C124" i="12" a="1"/>
  <c r="C124" i="12" s="1"/>
  <c r="D124" i="12" a="1"/>
  <c r="D124" i="12" s="1"/>
  <c r="E124" i="12" a="1"/>
  <c r="E124" i="12" s="1"/>
  <c r="A170" i="12"/>
  <c r="F124" i="12" a="1"/>
  <c r="F124" i="12" s="1"/>
  <c r="G124" i="12" a="1"/>
  <c r="G124" i="12" s="1"/>
  <c r="H124" i="12" s="1" a="1"/>
  <c r="H124" i="12" s="1"/>
  <c r="C123" i="12" a="1"/>
  <c r="C123" i="12" s="1"/>
  <c r="D123" i="12" a="1"/>
  <c r="D123" i="12" s="1"/>
  <c r="E123" i="12" a="1"/>
  <c r="E123" i="12" s="1"/>
  <c r="F123" i="12" a="1"/>
  <c r="F123" i="12" s="1"/>
  <c r="G123" i="12" a="1"/>
  <c r="G123" i="12" s="1"/>
  <c r="H123" i="12" a="1"/>
  <c r="H123" i="12" s="1"/>
  <c r="I123" i="12" a="1"/>
  <c r="I123" i="12" s="1"/>
  <c r="J123" i="12" a="1"/>
  <c r="J123" i="12" s="1"/>
  <c r="K123" i="12" a="1"/>
  <c r="K123" i="12" s="1"/>
  <c r="L123" i="12" a="1"/>
  <c r="L123" i="12" s="1"/>
  <c r="M123" i="12" a="1"/>
  <c r="M123" i="12" s="1"/>
  <c r="N123" i="12" a="1"/>
  <c r="N123" i="12" s="1"/>
  <c r="A169" i="12"/>
  <c r="J81" i="12"/>
  <c r="K81" i="12"/>
  <c r="C122" i="12" a="1"/>
  <c r="C122" i="12" s="1"/>
  <c r="D122" i="12" a="1"/>
  <c r="D122" i="12" s="1"/>
  <c r="E122" i="12" a="1"/>
  <c r="E122" i="12" s="1"/>
  <c r="F122" i="12" a="1"/>
  <c r="F122" i="12" s="1"/>
  <c r="G122" i="12" a="1"/>
  <c r="G122" i="12" s="1"/>
  <c r="H122" i="12" a="1"/>
  <c r="H122" i="12" s="1"/>
  <c r="I122" i="12" a="1"/>
  <c r="I122" i="12" s="1"/>
  <c r="J122" i="12" a="1"/>
  <c r="J122" i="12" s="1"/>
  <c r="K122" i="12" a="1"/>
  <c r="K122" i="12" s="1"/>
  <c r="L122" i="12" a="1"/>
  <c r="L122" i="12" s="1"/>
  <c r="M122" i="12" a="1"/>
  <c r="M122" i="12" s="1"/>
  <c r="N122" i="12" a="1"/>
  <c r="N122" i="12" s="1"/>
  <c r="A168" i="12"/>
  <c r="J80" i="12"/>
  <c r="K80" i="12"/>
  <c r="C121" i="12" a="1"/>
  <c r="C121" i="12" s="1"/>
  <c r="D121" i="12" a="1"/>
  <c r="D121" i="12" s="1"/>
  <c r="E121" i="12" a="1"/>
  <c r="E121" i="12" s="1"/>
  <c r="F121" i="12" a="1"/>
  <c r="F121" i="12" s="1"/>
  <c r="G121" i="12" a="1"/>
  <c r="G121" i="12" s="1"/>
  <c r="H121" i="12" a="1"/>
  <c r="H121" i="12" s="1"/>
  <c r="I121" i="12" a="1"/>
  <c r="I121" i="12" s="1"/>
  <c r="J121" i="12" a="1"/>
  <c r="J121" i="12" s="1"/>
  <c r="K121" i="12" a="1"/>
  <c r="K121" i="12" s="1"/>
  <c r="L121" i="12" a="1"/>
  <c r="L121" i="12" s="1"/>
  <c r="M121" i="12" a="1"/>
  <c r="M121" i="12" s="1"/>
  <c r="N121" i="12" a="1"/>
  <c r="N121" i="12" s="1"/>
  <c r="A167" i="12"/>
  <c r="J79" i="12"/>
  <c r="K79" i="12"/>
  <c r="C120" i="12" a="1"/>
  <c r="C120" i="12" s="1"/>
  <c r="D120" i="12" a="1"/>
  <c r="D120" i="12" s="1"/>
  <c r="E120" i="12" a="1"/>
  <c r="E120" i="12" s="1"/>
  <c r="F120" i="12" a="1"/>
  <c r="F120" i="12" s="1"/>
  <c r="G120" i="12" a="1"/>
  <c r="G120" i="12" s="1"/>
  <c r="H120" i="12" a="1"/>
  <c r="H120" i="12" s="1"/>
  <c r="I120" i="12" s="1" a="1"/>
  <c r="I120" i="12" s="1"/>
  <c r="A166" i="12"/>
  <c r="J78" i="12"/>
  <c r="K78" i="12"/>
  <c r="C119" i="12" a="1"/>
  <c r="C119" i="12" s="1"/>
  <c r="D119" i="12" a="1"/>
  <c r="D119" i="12" s="1"/>
  <c r="E119" i="12" a="1"/>
  <c r="E119" i="12" s="1"/>
  <c r="F119" i="12" s="1" a="1"/>
  <c r="F119" i="12" s="1"/>
  <c r="A165" i="12"/>
  <c r="J77" i="12"/>
  <c r="K77" i="12"/>
  <c r="C118" i="12" a="1"/>
  <c r="C118" i="12" s="1"/>
  <c r="D118" i="12" s="1" a="1"/>
  <c r="D118" i="12" s="1"/>
  <c r="A164" i="12"/>
  <c r="J76" i="12"/>
  <c r="K76" i="12"/>
  <c r="C117" i="12" a="1"/>
  <c r="C117" i="12" s="1"/>
  <c r="D117" i="12" s="1" a="1"/>
  <c r="D117" i="12" s="1"/>
  <c r="A163" i="12"/>
  <c r="J75" i="12"/>
  <c r="K75" i="12"/>
  <c r="C116" i="12" a="1"/>
  <c r="C116" i="12" s="1"/>
  <c r="D116" i="12" s="1" a="1"/>
  <c r="D116" i="12" s="1"/>
  <c r="A162" i="12"/>
  <c r="C115" i="12" a="1"/>
  <c r="C115" i="12" s="1"/>
  <c r="D115" i="12" a="1"/>
  <c r="D115" i="12" s="1"/>
  <c r="E115" i="12" a="1"/>
  <c r="E115" i="12" s="1"/>
  <c r="F115" i="12" a="1"/>
  <c r="F115" i="12" s="1"/>
  <c r="G115" i="12" a="1"/>
  <c r="G115" i="12" s="1"/>
  <c r="H115" i="12" a="1"/>
  <c r="H115" i="12" s="1"/>
  <c r="I115" i="12" a="1"/>
  <c r="I115" i="12" s="1"/>
  <c r="J115" i="12" a="1"/>
  <c r="J115" i="12" s="1"/>
  <c r="K115" i="12" a="1"/>
  <c r="K115" i="12" s="1"/>
  <c r="L115" i="12" a="1"/>
  <c r="L115" i="12" s="1"/>
  <c r="M115" i="12" a="1"/>
  <c r="M115" i="12" s="1"/>
  <c r="N115" i="12" a="1"/>
  <c r="N115" i="12" s="1"/>
  <c r="A161" i="12"/>
  <c r="C114" i="12" a="1"/>
  <c r="C114" i="12" s="1"/>
  <c r="D114" i="12" a="1"/>
  <c r="D114" i="12" s="1"/>
  <c r="E114" i="12" a="1"/>
  <c r="E114" i="12" s="1"/>
  <c r="F114" i="12" a="1"/>
  <c r="F114" i="12" s="1"/>
  <c r="G114" i="12" a="1"/>
  <c r="G114" i="12" s="1"/>
  <c r="H114" i="12" a="1"/>
  <c r="H114" i="12" s="1"/>
  <c r="I114" i="12" a="1"/>
  <c r="I114" i="12" s="1"/>
  <c r="J114" i="12" a="1"/>
  <c r="J114" i="12" s="1"/>
  <c r="K114" i="12" a="1"/>
  <c r="K114" i="12" s="1"/>
  <c r="L114" i="12" a="1"/>
  <c r="L114" i="12" s="1"/>
  <c r="M114" i="12" a="1"/>
  <c r="M114" i="12" s="1"/>
  <c r="N114" i="12" a="1"/>
  <c r="N114" i="12" s="1"/>
  <c r="A160" i="12"/>
  <c r="C113" i="12" a="1"/>
  <c r="C113" i="12" s="1"/>
  <c r="D113" i="12" a="1"/>
  <c r="D113" i="12" s="1"/>
  <c r="E113" i="12" a="1"/>
  <c r="E113" i="12" s="1"/>
  <c r="F113" i="12" a="1"/>
  <c r="F113" i="12" s="1"/>
  <c r="G113" i="12" a="1"/>
  <c r="G113" i="12" s="1"/>
  <c r="H113" i="12" a="1"/>
  <c r="H113" i="12" s="1"/>
  <c r="I113" i="12" a="1"/>
  <c r="I113" i="12" s="1"/>
  <c r="J113" i="12" a="1"/>
  <c r="J113" i="12" s="1"/>
  <c r="K113" i="12" a="1"/>
  <c r="K113" i="12" s="1"/>
  <c r="L113" i="12" a="1"/>
  <c r="L113" i="12" s="1"/>
  <c r="M113" i="12" a="1"/>
  <c r="M113" i="12" s="1"/>
  <c r="N113" i="12" a="1"/>
  <c r="N113" i="12" s="1"/>
  <c r="A159" i="12"/>
  <c r="C112" i="12" a="1"/>
  <c r="C112" i="12" s="1"/>
  <c r="D112" i="12" a="1"/>
  <c r="D112" i="12" s="1"/>
  <c r="E112" i="12" a="1"/>
  <c r="E112" i="12" s="1"/>
  <c r="F112" i="12" a="1"/>
  <c r="F112" i="12" s="1"/>
  <c r="G112" i="12" a="1"/>
  <c r="G112" i="12" s="1"/>
  <c r="H112" i="12" a="1"/>
  <c r="H112" i="12" s="1"/>
  <c r="I112" i="12" a="1"/>
  <c r="I112" i="12" s="1"/>
  <c r="J112" i="12" a="1"/>
  <c r="J112" i="12" s="1"/>
  <c r="K112" i="12" a="1"/>
  <c r="K112" i="12" s="1"/>
  <c r="L112" i="12" a="1"/>
  <c r="L112" i="12" s="1"/>
  <c r="M112" i="12" a="1"/>
  <c r="M112" i="12" s="1"/>
  <c r="N112" i="12" a="1"/>
  <c r="N112" i="12" s="1"/>
  <c r="A158" i="12"/>
  <c r="J70" i="12"/>
  <c r="K70" i="12"/>
  <c r="C111" i="12" a="1"/>
  <c r="C111" i="12" s="1"/>
  <c r="D111" i="12" a="1"/>
  <c r="D111" i="12" s="1"/>
  <c r="E111" i="12" a="1"/>
  <c r="E111" i="12" s="1"/>
  <c r="F111" i="12" a="1"/>
  <c r="F111" i="12" s="1"/>
  <c r="G111" i="12" a="1"/>
  <c r="G111" i="12" s="1"/>
  <c r="H111" i="12" a="1"/>
  <c r="H111" i="12" s="1"/>
  <c r="I111" i="12" a="1"/>
  <c r="I111" i="12" s="1"/>
  <c r="J111" i="12" a="1"/>
  <c r="J111" i="12" s="1"/>
  <c r="K111" i="12" a="1"/>
  <c r="K111" i="12" s="1"/>
  <c r="L111" i="12" a="1"/>
  <c r="L111" i="12" s="1"/>
  <c r="M111" i="12" a="1"/>
  <c r="M111" i="12" s="1"/>
  <c r="N111" i="12" a="1"/>
  <c r="N111" i="12" s="1"/>
  <c r="A157" i="12"/>
  <c r="J69" i="12"/>
  <c r="K69" i="12"/>
  <c r="C110" i="12" a="1"/>
  <c r="C110" i="12" s="1"/>
  <c r="D110" i="12" a="1"/>
  <c r="D110" i="12" s="1"/>
  <c r="E110" i="12" a="1"/>
  <c r="E110" i="12" s="1"/>
  <c r="F110" i="12" a="1"/>
  <c r="F110" i="12" s="1"/>
  <c r="G110" i="12" a="1"/>
  <c r="G110" i="12" s="1"/>
  <c r="H110" i="12" a="1"/>
  <c r="H110" i="12" s="1"/>
  <c r="I110" i="12" a="1"/>
  <c r="I110" i="12" s="1"/>
  <c r="J110" i="12" a="1"/>
  <c r="J110" i="12" s="1"/>
  <c r="K110" i="12" a="1"/>
  <c r="K110" i="12" s="1"/>
  <c r="L110" i="12" a="1"/>
  <c r="L110" i="12" s="1"/>
  <c r="M110" i="12" a="1"/>
  <c r="M110" i="12" s="1"/>
  <c r="N110" i="12" a="1"/>
  <c r="N110" i="12" s="1"/>
  <c r="A156" i="12"/>
  <c r="J68" i="12"/>
  <c r="K68" i="12"/>
  <c r="C109" i="12" a="1"/>
  <c r="C109" i="12" s="1"/>
  <c r="D109" i="12" a="1"/>
  <c r="D109" i="12" s="1"/>
  <c r="E109" i="12" a="1"/>
  <c r="E109" i="12" s="1"/>
  <c r="F109" i="12" a="1"/>
  <c r="F109" i="12" s="1"/>
  <c r="G109" i="12" a="1"/>
  <c r="G109" i="12" s="1"/>
  <c r="H109" i="12" a="1"/>
  <c r="H109" i="12" s="1"/>
  <c r="I109" i="12" a="1"/>
  <c r="I109" i="12" s="1"/>
  <c r="J109" i="12" a="1"/>
  <c r="J109" i="12" s="1"/>
  <c r="K109" i="12" a="1"/>
  <c r="K109" i="12" s="1"/>
  <c r="L109" i="12" a="1"/>
  <c r="L109" i="12" s="1"/>
  <c r="M109" i="12" a="1"/>
  <c r="M109" i="12" s="1"/>
  <c r="N109" i="12" a="1"/>
  <c r="N109" i="12" s="1"/>
  <c r="A155" i="12"/>
  <c r="J67" i="12"/>
  <c r="K67" i="12"/>
  <c r="C108" i="12" a="1"/>
  <c r="C108" i="12" s="1"/>
  <c r="D108" i="12" a="1"/>
  <c r="D108" i="12" s="1"/>
  <c r="E108" i="12" a="1"/>
  <c r="E108" i="12" s="1"/>
  <c r="F108" i="12" a="1"/>
  <c r="F108" i="12" s="1"/>
  <c r="G108" i="12" a="1"/>
  <c r="G108" i="12" s="1"/>
  <c r="H108" i="12" a="1"/>
  <c r="H108" i="12" s="1"/>
  <c r="I108" i="12" a="1"/>
  <c r="I108" i="12" s="1"/>
  <c r="J108" i="12" a="1"/>
  <c r="J108" i="12" s="1"/>
  <c r="K108" i="12" a="1"/>
  <c r="K108" i="12" s="1"/>
  <c r="L108" i="12" a="1"/>
  <c r="L108" i="12" s="1"/>
  <c r="M108" i="12" a="1"/>
  <c r="M108" i="12" s="1"/>
  <c r="N108" i="12" a="1"/>
  <c r="N108" i="12" s="1"/>
  <c r="A154" i="12"/>
  <c r="J66" i="12"/>
  <c r="K66" i="12"/>
  <c r="C107" i="12" a="1"/>
  <c r="C107" i="12" s="1"/>
  <c r="D107" i="12" a="1"/>
  <c r="D107" i="12" s="1"/>
  <c r="E107" i="12" a="1"/>
  <c r="E107" i="12" s="1"/>
  <c r="F107" i="12" a="1"/>
  <c r="F107" i="12" s="1"/>
  <c r="G107" i="12" a="1"/>
  <c r="G107" i="12" s="1"/>
  <c r="H107" i="12" a="1"/>
  <c r="H107" i="12" s="1"/>
  <c r="I107" i="12" a="1"/>
  <c r="I107" i="12" s="1"/>
  <c r="J107" i="12" a="1"/>
  <c r="J107" i="12" s="1"/>
  <c r="K107" i="12" a="1"/>
  <c r="K107" i="12" s="1"/>
  <c r="L107" i="12" a="1"/>
  <c r="L107" i="12" s="1"/>
  <c r="M107" i="12" a="1"/>
  <c r="M107" i="12" s="1"/>
  <c r="N107" i="12" a="1"/>
  <c r="N107" i="12" s="1"/>
  <c r="A153" i="12"/>
  <c r="J65" i="12"/>
  <c r="K65" i="12"/>
  <c r="C106" i="12" a="1"/>
  <c r="C106" i="12" s="1"/>
  <c r="D106" i="12" s="1" a="1"/>
  <c r="D106" i="12" s="1"/>
  <c r="A152" i="12"/>
  <c r="J64" i="12"/>
  <c r="K64" i="12"/>
  <c r="C105" i="12" a="1"/>
  <c r="C105" i="12" s="1"/>
  <c r="D105" i="12" s="1" a="1"/>
  <c r="D105" i="12" s="1"/>
  <c r="A151" i="12"/>
  <c r="C104" i="12" a="1"/>
  <c r="C104" i="12" s="1"/>
  <c r="D104" i="12" a="1"/>
  <c r="D104" i="12" s="1"/>
  <c r="E104" i="12" a="1"/>
  <c r="E104" i="12" s="1"/>
  <c r="F104" i="12" a="1"/>
  <c r="F104" i="12" s="1"/>
  <c r="G104" i="12" a="1"/>
  <c r="G104" i="12" s="1"/>
  <c r="H104" i="12" a="1"/>
  <c r="H104" i="12" s="1"/>
  <c r="I104" i="12" a="1"/>
  <c r="I104" i="12" s="1"/>
  <c r="J104" i="12" a="1"/>
  <c r="J104" i="12" s="1"/>
  <c r="K104" i="12" a="1"/>
  <c r="K104" i="12" s="1"/>
  <c r="L104" i="12" a="1"/>
  <c r="L104" i="12" s="1"/>
  <c r="M104" i="12" a="1"/>
  <c r="M104" i="12" s="1"/>
  <c r="N104" i="12" a="1"/>
  <c r="N104" i="12" s="1"/>
  <c r="A150" i="12"/>
  <c r="C103" i="12" a="1"/>
  <c r="C103" i="12" s="1"/>
  <c r="D103" i="12" a="1"/>
  <c r="D103" i="12" s="1"/>
  <c r="E103" i="12" a="1"/>
  <c r="E103" i="12" s="1"/>
  <c r="F103" i="12" a="1"/>
  <c r="F103" i="12" s="1"/>
  <c r="G103" i="12" a="1"/>
  <c r="G103" i="12" s="1"/>
  <c r="H103" i="12" a="1"/>
  <c r="H103" i="12" s="1"/>
  <c r="I103" i="12" a="1"/>
  <c r="I103" i="12" s="1"/>
  <c r="J103" i="12" a="1"/>
  <c r="J103" i="12" s="1"/>
  <c r="K103" i="12" a="1"/>
  <c r="K103" i="12" s="1"/>
  <c r="L103" i="12" a="1"/>
  <c r="L103" i="12" s="1"/>
  <c r="M103" i="12" a="1"/>
  <c r="M103" i="12" s="1"/>
  <c r="N103" i="12" a="1"/>
  <c r="N103" i="12" s="1"/>
  <c r="A149" i="12"/>
  <c r="C102" i="12" a="1"/>
  <c r="C102" i="12" s="1"/>
  <c r="D102" i="12" a="1"/>
  <c r="D102" i="12" s="1"/>
  <c r="E102" i="12" a="1"/>
  <c r="E102" i="12" s="1"/>
  <c r="F102" i="12" a="1"/>
  <c r="F102" i="12" s="1"/>
  <c r="G102" i="12" a="1"/>
  <c r="G102" i="12" s="1"/>
  <c r="H102" i="12" a="1"/>
  <c r="H102" i="12" s="1"/>
  <c r="I102" i="12" a="1"/>
  <c r="I102" i="12" s="1"/>
  <c r="J102" i="12" a="1"/>
  <c r="J102" i="12" s="1"/>
  <c r="K102" i="12" a="1"/>
  <c r="K102" i="12" s="1"/>
  <c r="L102" i="12" a="1"/>
  <c r="L102" i="12" s="1"/>
  <c r="M102" i="12" a="1"/>
  <c r="M102" i="12" s="1"/>
  <c r="N102" i="12" a="1"/>
  <c r="N102" i="12" s="1"/>
  <c r="A148" i="12"/>
  <c r="I47" i="12"/>
  <c r="I48" i="12"/>
  <c r="J5" i="12"/>
  <c r="G44" i="12"/>
  <c r="F97" i="12" a="1"/>
  <c r="F97" i="12" s="1"/>
  <c r="D26" i="11"/>
  <c r="E11" i="10"/>
  <c r="D93" i="1"/>
  <c r="D49" i="15" s="1"/>
  <c r="V35" i="24"/>
  <c r="B53" i="15"/>
  <c r="B52" i="15"/>
  <c r="G13" i="5"/>
  <c r="E13" i="5"/>
  <c r="N29" i="26"/>
  <c r="M62" i="26"/>
  <c r="M65" i="24" s="1"/>
  <c r="M62" i="27"/>
  <c r="M67" i="24" s="1"/>
  <c r="N29" i="27"/>
  <c r="F13" i="5"/>
  <c r="H89" i="12"/>
  <c r="H87" i="12"/>
  <c r="H84" i="12"/>
  <c r="H80" i="12"/>
  <c r="H77" i="12"/>
  <c r="H64" i="12"/>
  <c r="Q31" i="22"/>
  <c r="H128" i="19"/>
  <c r="G128" i="19"/>
  <c r="F128" i="19"/>
  <c r="H94" i="12"/>
  <c r="H91" i="12"/>
  <c r="H90" i="12"/>
  <c r="K28" i="17"/>
  <c r="L28" i="17" s="1"/>
  <c r="M28" i="17" s="1"/>
  <c r="H76" i="12"/>
  <c r="H74" i="12"/>
  <c r="L56" i="9"/>
  <c r="L64" i="9" s="1"/>
  <c r="I56" i="9"/>
  <c r="C56" i="9"/>
  <c r="H82" i="12"/>
  <c r="H75" i="12"/>
  <c r="H71" i="12"/>
  <c r="H73" i="12"/>
  <c r="V28" i="24"/>
  <c r="N28" i="24"/>
  <c r="L28" i="24"/>
  <c r="L74" i="27"/>
  <c r="H85" i="12"/>
  <c r="U53" i="28"/>
  <c r="S32" i="27"/>
  <c r="S68" i="27"/>
  <c r="R32" i="27"/>
  <c r="R68" i="27"/>
  <c r="Q25" i="27"/>
  <c r="Q31" i="27" s="1"/>
  <c r="T14" i="27"/>
  <c r="T25" i="27" s="1"/>
  <c r="T31" i="27" s="1"/>
  <c r="P32" i="27"/>
  <c r="P68" i="27"/>
  <c r="K22" i="1"/>
  <c r="K40" i="9" s="1"/>
  <c r="K44" i="9" s="1"/>
  <c r="K29" i="20"/>
  <c r="Q49" i="19"/>
  <c r="Q54" i="19" s="1"/>
  <c r="Q37" i="19"/>
  <c r="P49" i="19"/>
  <c r="P54" i="19" s="1"/>
  <c r="P37" i="19"/>
  <c r="N9" i="17"/>
  <c r="N12" i="17" s="1"/>
  <c r="N17" i="17" s="1"/>
  <c r="N10" i="17"/>
  <c r="N28" i="17" s="1"/>
  <c r="I6" i="1"/>
  <c r="I38" i="9" s="1"/>
  <c r="I44" i="9" s="1"/>
  <c r="I27" i="17"/>
  <c r="R28" i="14"/>
  <c r="T17" i="14"/>
  <c r="V17" i="14" s="1"/>
  <c r="X17" i="14" s="1"/>
  <c r="Z17" i="14" s="1"/>
  <c r="AB17" i="14" s="1"/>
  <c r="AD17" i="14" s="1"/>
  <c r="W14" i="14"/>
  <c r="X14" i="14" s="1"/>
  <c r="Z14" i="14" s="1"/>
  <c r="AB14" i="14" s="1"/>
  <c r="AD14" i="14" s="1"/>
  <c r="W11" i="14"/>
  <c r="X11" i="14" s="1"/>
  <c r="Q13" i="14"/>
  <c r="R13" i="14" s="1"/>
  <c r="T13" i="14" s="1"/>
  <c r="V13" i="14" s="1"/>
  <c r="X13" i="14" s="1"/>
  <c r="W18" i="14"/>
  <c r="X18" i="14" s="1"/>
  <c r="Z18" i="14" s="1"/>
  <c r="AB18" i="14" s="1"/>
  <c r="AD18" i="14" s="1"/>
  <c r="W19" i="14"/>
  <c r="X19" i="14" s="1"/>
  <c r="Z19" i="14" s="1"/>
  <c r="AB19" i="14" s="1"/>
  <c r="AD19" i="14" s="1"/>
  <c r="S16" i="14"/>
  <c r="T16" i="14" s="1"/>
  <c r="V16" i="14" s="1"/>
  <c r="X16" i="14" s="1"/>
  <c r="W10" i="14"/>
  <c r="X10" i="14" s="1"/>
  <c r="Z10" i="14" s="1"/>
  <c r="AB10" i="14" s="1"/>
  <c r="AD10" i="14" s="1"/>
  <c r="O15" i="14"/>
  <c r="P15" i="14" s="1"/>
  <c r="R15" i="14" s="1"/>
  <c r="T15" i="14" s="1"/>
  <c r="V15" i="14" s="1"/>
  <c r="X15" i="14" s="1"/>
  <c r="Z15" i="14" s="1"/>
  <c r="AB15" i="14" s="1"/>
  <c r="AD15" i="14" s="1"/>
  <c r="O7" i="14"/>
  <c r="Z21" i="13"/>
  <c r="V18" i="13"/>
  <c r="W18" i="13" s="1"/>
  <c r="V17" i="13"/>
  <c r="X19" i="13"/>
  <c r="Y19" i="13" s="1"/>
  <c r="AA19" i="13" s="1"/>
  <c r="AC19" i="13" s="1"/>
  <c r="AE19" i="13" s="1"/>
  <c r="X5" i="13"/>
  <c r="Y5" i="13" s="1"/>
  <c r="AA5" i="13" s="1"/>
  <c r="AC5" i="13" s="1"/>
  <c r="AE5" i="13" s="1"/>
  <c r="R25" i="13"/>
  <c r="S25" i="13" s="1"/>
  <c r="U25" i="13" s="1"/>
  <c r="W25" i="13" s="1"/>
  <c r="Y25" i="13" s="1"/>
  <c r="AA25" i="13" s="1"/>
  <c r="AC25" i="13" s="1"/>
  <c r="AE25" i="13" s="1"/>
  <c r="R29" i="13"/>
  <c r="S29" i="13" s="1"/>
  <c r="U29" i="13" s="1"/>
  <c r="W29" i="13" s="1"/>
  <c r="Y29" i="13" s="1"/>
  <c r="AA29" i="13" s="1"/>
  <c r="AC29" i="13" s="1"/>
  <c r="AE29" i="13" s="1"/>
  <c r="AF29" i="13" s="1"/>
  <c r="AF43" i="13" s="1"/>
  <c r="R22" i="13"/>
  <c r="S22" i="13" s="1"/>
  <c r="U22" i="13" s="1"/>
  <c r="W22" i="13" s="1"/>
  <c r="Y22" i="13" s="1"/>
  <c r="AA22" i="13" s="1"/>
  <c r="AC22" i="13" s="1"/>
  <c r="AE22" i="13" s="1"/>
  <c r="R23" i="13"/>
  <c r="S23" i="13" s="1"/>
  <c r="U23" i="13" s="1"/>
  <c r="W23" i="13" s="1"/>
  <c r="Y23" i="13" s="1"/>
  <c r="AA23" i="13" s="1"/>
  <c r="AC23" i="13" s="1"/>
  <c r="AE23" i="13" s="1"/>
  <c r="R24" i="13"/>
  <c r="S24" i="13" s="1"/>
  <c r="U24" i="13" s="1"/>
  <c r="W24" i="13" s="1"/>
  <c r="Y24" i="13" s="1"/>
  <c r="AA24" i="13" s="1"/>
  <c r="AC24" i="13" s="1"/>
  <c r="AE24" i="13" s="1"/>
  <c r="J13" i="13"/>
  <c r="K13" i="13"/>
  <c r="M13" i="13" s="1"/>
  <c r="O13" i="13" s="1"/>
  <c r="Q13" i="13" s="1"/>
  <c r="S13" i="13" s="1"/>
  <c r="U13" i="13" s="1"/>
  <c r="W13" i="13" s="1"/>
  <c r="Y13" i="13" s="1"/>
  <c r="AA13" i="13" s="1"/>
  <c r="AC13" i="13" s="1"/>
  <c r="AE13" i="13" s="1"/>
  <c r="J12" i="13"/>
  <c r="K12" i="13"/>
  <c r="P20" i="13"/>
  <c r="Q20" i="13" s="1"/>
  <c r="S20" i="13" s="1"/>
  <c r="U20" i="13" s="1"/>
  <c r="W20" i="13" s="1"/>
  <c r="R6" i="13"/>
  <c r="S6" i="13" s="1"/>
  <c r="U6" i="13" s="1"/>
  <c r="W6" i="13" s="1"/>
  <c r="Y6" i="13" s="1"/>
  <c r="AA6" i="13" s="1"/>
  <c r="AC6" i="13" s="1"/>
  <c r="AE6" i="13" s="1"/>
  <c r="J14" i="13"/>
  <c r="J43" i="13" s="1"/>
  <c r="C68" i="1" s="1"/>
  <c r="C59" i="9" s="1"/>
  <c r="C62" i="9" s="1"/>
  <c r="K14" i="13"/>
  <c r="M14" i="13" s="1"/>
  <c r="O14" i="13" s="1"/>
  <c r="Q14" i="13" s="1"/>
  <c r="S14" i="13" s="1"/>
  <c r="U14" i="13" s="1"/>
  <c r="W14" i="13" s="1"/>
  <c r="Y14" i="13" s="1"/>
  <c r="AA14" i="13" s="1"/>
  <c r="AC14" i="13" s="1"/>
  <c r="AE14" i="13" s="1"/>
  <c r="M37" i="12"/>
  <c r="N37" i="12" s="1"/>
  <c r="O37" i="12" s="1"/>
  <c r="P37" i="12" s="1"/>
  <c r="Q37" i="12" s="1"/>
  <c r="R37" i="12" s="1"/>
  <c r="S37" i="12" s="1"/>
  <c r="T37" i="12" s="1"/>
  <c r="U37" i="12" s="1"/>
  <c r="V37" i="12" s="1"/>
  <c r="W37" i="12" s="1"/>
  <c r="X37" i="12" s="1"/>
  <c r="G93" i="12"/>
  <c r="H93" i="12" s="1"/>
  <c r="F85" i="12" a="1"/>
  <c r="F85" i="12" s="1"/>
  <c r="J85" i="12" s="1"/>
  <c r="F81" i="12" a="1"/>
  <c r="F81" i="12" s="1"/>
  <c r="F92" i="12" a="1"/>
  <c r="F92" i="12" s="1"/>
  <c r="F80" i="12" a="1"/>
  <c r="F80" i="12" s="1"/>
  <c r="F89" i="12" a="1"/>
  <c r="F89" i="12" s="1"/>
  <c r="F87" i="12" a="1"/>
  <c r="F87" i="12" s="1"/>
  <c r="F84" i="12" a="1"/>
  <c r="F84" i="12" s="1"/>
  <c r="F76" i="12" a="1"/>
  <c r="F76" i="12" s="1"/>
  <c r="F72" i="12" a="1"/>
  <c r="F72" i="12" s="1"/>
  <c r="F79" i="12" a="1"/>
  <c r="F79" i="12" s="1"/>
  <c r="F78" i="12" a="1"/>
  <c r="F78" i="12" s="1"/>
  <c r="F94" i="12" a="1"/>
  <c r="F94" i="12" s="1"/>
  <c r="F64" i="12" a="1"/>
  <c r="F64" i="12" s="1"/>
  <c r="F74" i="12" a="1"/>
  <c r="F74" i="12" s="1"/>
  <c r="J74" i="12" s="1"/>
  <c r="F73" i="12" a="1"/>
  <c r="F73" i="12" s="1"/>
  <c r="J73" i="12" s="1"/>
  <c r="F68" i="12" a="1"/>
  <c r="F68" i="12" s="1"/>
  <c r="F69" i="12" a="1"/>
  <c r="F69" i="12" s="1"/>
  <c r="F66" i="12" a="1"/>
  <c r="F66" i="12" s="1"/>
  <c r="F71" i="12" a="1"/>
  <c r="F71" i="12" s="1"/>
  <c r="F83" i="12" a="1"/>
  <c r="F83" i="12" s="1"/>
  <c r="F61" i="12" a="1"/>
  <c r="F61" i="12" s="1"/>
  <c r="F65" i="12" a="1"/>
  <c r="F65" i="12" s="1"/>
  <c r="F82" i="12" a="1"/>
  <c r="F82" i="12" s="1"/>
  <c r="F95" i="12" a="1"/>
  <c r="F95" i="12" s="1"/>
  <c r="J95" i="12" s="1"/>
  <c r="F93" i="12" a="1"/>
  <c r="F93" i="12" s="1"/>
  <c r="F67" i="12" a="1"/>
  <c r="F67" i="12" s="1"/>
  <c r="F88" i="12" a="1"/>
  <c r="F88" i="12" s="1"/>
  <c r="F70" i="12" a="1"/>
  <c r="F70" i="12" s="1"/>
  <c r="F86" i="12" a="1"/>
  <c r="F86" i="12" s="1"/>
  <c r="F63" i="12" a="1"/>
  <c r="F63" i="12" s="1"/>
  <c r="J63" i="12" s="1"/>
  <c r="F91" i="12" a="1"/>
  <c r="F91" i="12" s="1"/>
  <c r="F77" i="12" a="1"/>
  <c r="F77" i="12" s="1"/>
  <c r="F90" i="12" a="1"/>
  <c r="F90" i="12" s="1"/>
  <c r="F75" i="12" a="1"/>
  <c r="F75" i="12" s="1"/>
  <c r="F62" i="12" a="1"/>
  <c r="F62" i="12" s="1"/>
  <c r="J62" i="12" s="1"/>
  <c r="V32" i="27"/>
  <c r="V68" i="27"/>
  <c r="V60" i="27" l="1"/>
  <c r="Q31" i="26"/>
  <c r="U36" i="24"/>
  <c r="U37" i="24"/>
  <c r="T36" i="24"/>
  <c r="T37" i="24"/>
  <c r="T39" i="24" s="1"/>
  <c r="V30" i="24"/>
  <c r="L36" i="24"/>
  <c r="L39" i="24" s="1"/>
  <c r="O52" i="24"/>
  <c r="O59" i="24" s="1"/>
  <c r="O9" i="25" s="1"/>
  <c r="N59" i="24"/>
  <c r="N9" i="25" s="1"/>
  <c r="Z20" i="4"/>
  <c r="AU20" i="4"/>
  <c r="Z19" i="4"/>
  <c r="AU19" i="4"/>
  <c r="AB12" i="4"/>
  <c r="AW12" i="4"/>
  <c r="AG30" i="4"/>
  <c r="BB30" i="4"/>
  <c r="AF30" i="4"/>
  <c r="BA30" i="4"/>
  <c r="U60" i="28"/>
  <c r="U86" i="24" s="1"/>
  <c r="U69" i="28"/>
  <c r="T60" i="28"/>
  <c r="T86" i="24" s="1"/>
  <c r="T69" i="28"/>
  <c r="S60" i="28"/>
  <c r="S86" i="24" s="1"/>
  <c r="S69" i="28"/>
  <c r="R60" i="28"/>
  <c r="R86" i="24" s="1"/>
  <c r="R69" i="28"/>
  <c r="Q60" i="28"/>
  <c r="Q86" i="24" s="1"/>
  <c r="Q69" i="28"/>
  <c r="P60" i="28"/>
  <c r="P86" i="24" s="1"/>
  <c r="P69" i="28"/>
  <c r="O60" i="28"/>
  <c r="O86" i="24" s="1"/>
  <c r="O69" i="28"/>
  <c r="N60" i="28"/>
  <c r="N86" i="24" s="1"/>
  <c r="N69" i="28"/>
  <c r="M60" i="28"/>
  <c r="M86" i="24" s="1"/>
  <c r="M69" i="28"/>
  <c r="M70" i="28" s="1"/>
  <c r="M7" i="24" s="1"/>
  <c r="L60" i="28"/>
  <c r="L86" i="24" s="1"/>
  <c r="L69" i="28"/>
  <c r="L70" i="28" s="1"/>
  <c r="L7" i="24" s="1"/>
  <c r="W60" i="27"/>
  <c r="W69" i="27"/>
  <c r="W70" i="27" s="1"/>
  <c r="U60" i="27"/>
  <c r="U69" i="27"/>
  <c r="U70" i="27" s="1"/>
  <c r="S60" i="27"/>
  <c r="S69" i="27"/>
  <c r="S70" i="27" s="1"/>
  <c r="R60" i="27"/>
  <c r="R69" i="27"/>
  <c r="R70" i="27" s="1"/>
  <c r="Q60" i="27"/>
  <c r="Q69" i="27"/>
  <c r="Q70" i="27" s="1"/>
  <c r="P60" i="27"/>
  <c r="P69" i="27"/>
  <c r="P70" i="27" s="1"/>
  <c r="O60" i="27"/>
  <c r="O69" i="27"/>
  <c r="O70" i="27" s="1"/>
  <c r="N60" i="27"/>
  <c r="N69" i="27"/>
  <c r="N70" i="27" s="1"/>
  <c r="M60" i="27"/>
  <c r="M69" i="27"/>
  <c r="M70" i="27" s="1"/>
  <c r="L60" i="27"/>
  <c r="L69" i="27"/>
  <c r="L70" i="27" s="1"/>
  <c r="S36" i="24"/>
  <c r="S39" i="24" s="1"/>
  <c r="R36" i="24"/>
  <c r="R39" i="24" s="1"/>
  <c r="Q36" i="24"/>
  <c r="Q39" i="24" s="1"/>
  <c r="P36" i="24"/>
  <c r="P39" i="24" s="1"/>
  <c r="O36" i="24"/>
  <c r="O39" i="24" s="1"/>
  <c r="N60" i="26"/>
  <c r="N69" i="26"/>
  <c r="N70" i="26" s="1"/>
  <c r="N36" i="24"/>
  <c r="N39" i="24" s="1"/>
  <c r="M36" i="24"/>
  <c r="M39" i="24" s="1"/>
  <c r="M60" i="26"/>
  <c r="M69" i="26"/>
  <c r="M70" i="26" s="1"/>
  <c r="L60" i="26"/>
  <c r="L69" i="26"/>
  <c r="L70" i="26" s="1"/>
  <c r="M72" i="24"/>
  <c r="N74" i="28"/>
  <c r="W53" i="28"/>
  <c r="W60" i="28" s="1"/>
  <c r="W86" i="24" s="1"/>
  <c r="V53" i="28"/>
  <c r="V60" i="28" s="1"/>
  <c r="V86" i="24" s="1"/>
  <c r="N68" i="28"/>
  <c r="O29" i="28"/>
  <c r="N62" i="28"/>
  <c r="N66" i="24" s="1"/>
  <c r="M71" i="24"/>
  <c r="N74" i="26"/>
  <c r="O68" i="26"/>
  <c r="O70" i="26" s="1"/>
  <c r="O32" i="26"/>
  <c r="O60" i="26" s="1"/>
  <c r="R25" i="26"/>
  <c r="S7" i="26"/>
  <c r="T28" i="26" s="1"/>
  <c r="R27" i="26"/>
  <c r="Q72" i="26"/>
  <c r="V6" i="26"/>
  <c r="W13" i="26"/>
  <c r="D20" i="4"/>
  <c r="H19" i="5"/>
  <c r="D19" i="4" s="1"/>
  <c r="G19" i="5"/>
  <c r="L33" i="22"/>
  <c r="K78" i="1"/>
  <c r="M20" i="5" s="1"/>
  <c r="H20" i="4"/>
  <c r="L19" i="5"/>
  <c r="H19" i="4" s="1"/>
  <c r="J68" i="21"/>
  <c r="I70" i="21"/>
  <c r="I69" i="21" s="1"/>
  <c r="I63" i="21"/>
  <c r="I64" i="21"/>
  <c r="F48" i="21" s="1"/>
  <c r="H65" i="21"/>
  <c r="E47" i="21"/>
  <c r="F17" i="5"/>
  <c r="J44" i="21"/>
  <c r="I34" i="21"/>
  <c r="H38" i="21"/>
  <c r="H42" i="21" s="1"/>
  <c r="G64" i="20"/>
  <c r="F66" i="20"/>
  <c r="F70" i="20" s="1"/>
  <c r="F23" i="1" s="1"/>
  <c r="H14" i="5" s="1"/>
  <c r="F104" i="20"/>
  <c r="F105" i="20" s="1"/>
  <c r="L51" i="20"/>
  <c r="L58" i="20" s="1"/>
  <c r="L62" i="20" s="1"/>
  <c r="L53" i="20"/>
  <c r="I129" i="19"/>
  <c r="I128" i="19" s="1"/>
  <c r="J124" i="19"/>
  <c r="I123" i="19"/>
  <c r="I109" i="19" s="1"/>
  <c r="I113" i="19"/>
  <c r="I61" i="19" s="1"/>
  <c r="J112" i="19"/>
  <c r="I62" i="19"/>
  <c r="J96" i="19"/>
  <c r="K96" i="19" s="1"/>
  <c r="L96" i="19" s="1"/>
  <c r="M96" i="19" s="1"/>
  <c r="N96" i="19" s="1"/>
  <c r="F104" i="19"/>
  <c r="F105" i="19" s="1"/>
  <c r="G59" i="19"/>
  <c r="H95" i="19"/>
  <c r="G101" i="19"/>
  <c r="F65" i="19"/>
  <c r="F68" i="19" s="1"/>
  <c r="F75" i="19" s="1"/>
  <c r="F71" i="19"/>
  <c r="N64" i="19"/>
  <c r="J18" i="1"/>
  <c r="L12" i="5" s="1"/>
  <c r="H12" i="4" s="1"/>
  <c r="P51" i="19"/>
  <c r="O52" i="19"/>
  <c r="M45" i="19"/>
  <c r="L49" i="19"/>
  <c r="L54" i="19" s="1"/>
  <c r="O54" i="19"/>
  <c r="O57" i="19"/>
  <c r="F30" i="19"/>
  <c r="C10" i="1"/>
  <c r="C31" i="9" s="1"/>
  <c r="C36" i="9" s="1"/>
  <c r="C46" i="9" s="1"/>
  <c r="M40" i="18"/>
  <c r="M45" i="18" s="1"/>
  <c r="M53" i="18" s="1"/>
  <c r="N48" i="18"/>
  <c r="K40" i="18"/>
  <c r="K45" i="18" s="1"/>
  <c r="K53" i="18" s="1"/>
  <c r="J33" i="18"/>
  <c r="L33" i="1"/>
  <c r="N16" i="5" s="1"/>
  <c r="L56" i="18"/>
  <c r="L61" i="18" s="1"/>
  <c r="I55" i="17"/>
  <c r="I60" i="17" s="1"/>
  <c r="I7" i="1" s="1"/>
  <c r="K7" i="5" s="1"/>
  <c r="J21" i="17"/>
  <c r="J25" i="17" s="1"/>
  <c r="E6" i="5"/>
  <c r="F6" i="5"/>
  <c r="G6" i="5"/>
  <c r="D7" i="4"/>
  <c r="H6" i="5"/>
  <c r="D6" i="4" s="1"/>
  <c r="L45" i="17"/>
  <c r="L60" i="17" s="1"/>
  <c r="M37" i="17"/>
  <c r="K61" i="17"/>
  <c r="K7" i="1"/>
  <c r="M7" i="5" s="1"/>
  <c r="H7" i="4"/>
  <c r="L6" i="5"/>
  <c r="H6" i="4" s="1"/>
  <c r="E7" i="4"/>
  <c r="I6" i="5"/>
  <c r="E6" i="4" s="1"/>
  <c r="F7" i="4"/>
  <c r="J6" i="5"/>
  <c r="F6" i="4" s="1"/>
  <c r="G7" i="4"/>
  <c r="K6" i="5"/>
  <c r="G6" i="4" s="1"/>
  <c r="F32" i="17"/>
  <c r="E96" i="1"/>
  <c r="E24" i="9" s="1"/>
  <c r="E23" i="5"/>
  <c r="G4" i="16"/>
  <c r="F8" i="16"/>
  <c r="E10" i="16"/>
  <c r="D49" i="1"/>
  <c r="F24" i="5" s="1"/>
  <c r="D29" i="4"/>
  <c r="Q4" i="13"/>
  <c r="P43" i="13"/>
  <c r="F68" i="1" s="1"/>
  <c r="F59" i="9" s="1"/>
  <c r="E32" i="5"/>
  <c r="D138" i="12"/>
  <c r="C139" i="12" a="1"/>
  <c r="C139" i="12" s="1"/>
  <c r="D139" i="12" a="1"/>
  <c r="D139" i="12" s="1"/>
  <c r="K5" i="12"/>
  <c r="J47" i="12"/>
  <c r="J45" i="12" s="1"/>
  <c r="J48" i="12"/>
  <c r="E26" i="11"/>
  <c r="F11" i="10"/>
  <c r="E93" i="1"/>
  <c r="E49" i="15" s="1"/>
  <c r="V36" i="24"/>
  <c r="W35" i="24"/>
  <c r="O29" i="27"/>
  <c r="N62" i="27"/>
  <c r="N67" i="24" s="1"/>
  <c r="P68" i="26"/>
  <c r="P70" i="26" s="1"/>
  <c r="P32" i="26"/>
  <c r="P60" i="26" s="1"/>
  <c r="P72" i="26"/>
  <c r="H61" i="19"/>
  <c r="H132" i="19"/>
  <c r="G61" i="19"/>
  <c r="G109" i="19"/>
  <c r="G132" i="19"/>
  <c r="F61" i="19"/>
  <c r="F109" i="19"/>
  <c r="F132" i="19"/>
  <c r="M74" i="27"/>
  <c r="L73" i="24"/>
  <c r="L74" i="24" s="1"/>
  <c r="Q68" i="27"/>
  <c r="Q32" i="27"/>
  <c r="T68" i="27"/>
  <c r="T70" i="27" s="1"/>
  <c r="T32" i="27"/>
  <c r="T60" i="27" s="1"/>
  <c r="N5" i="1"/>
  <c r="N30" i="9" s="1"/>
  <c r="N36" i="9" s="1"/>
  <c r="N46" i="9" s="1"/>
  <c r="N27" i="17"/>
  <c r="Y11" i="14"/>
  <c r="Z11" i="14" s="1"/>
  <c r="AB11" i="14" s="1"/>
  <c r="AD11" i="14" s="1"/>
  <c r="Y13" i="14"/>
  <c r="Z13" i="14" s="1"/>
  <c r="AB13" i="14" s="1"/>
  <c r="AD13" i="14" s="1"/>
  <c r="P29" i="14" a="1"/>
  <c r="P29" i="14" s="1"/>
  <c r="G72" i="1" s="1"/>
  <c r="G54" i="9" s="1"/>
  <c r="G56" i="9" s="1"/>
  <c r="Q33" i="14"/>
  <c r="G73" i="1" s="1"/>
  <c r="G60" i="9" s="1"/>
  <c r="Y16" i="14"/>
  <c r="Z16" i="14" s="1"/>
  <c r="AB16" i="14" s="1"/>
  <c r="AD16" i="14" s="1"/>
  <c r="R29" i="14" a="1"/>
  <c r="R29" i="14" s="1"/>
  <c r="H72" i="1" s="1"/>
  <c r="H54" i="9" s="1"/>
  <c r="H56" i="9" s="1"/>
  <c r="S33" i="14"/>
  <c r="H73" i="1" s="1"/>
  <c r="H60" i="9" s="1"/>
  <c r="H62" i="9" s="1"/>
  <c r="V29" i="14" a="1"/>
  <c r="V29" i="14" s="1"/>
  <c r="J72" i="1" s="1"/>
  <c r="J54" i="9" s="1"/>
  <c r="J56" i="9" s="1"/>
  <c r="W33" i="14"/>
  <c r="J73" i="1" s="1"/>
  <c r="J60" i="9" s="1"/>
  <c r="N29" i="14" a="1"/>
  <c r="N29" i="14" s="1"/>
  <c r="F72" i="1" s="1"/>
  <c r="F54" i="9" s="1"/>
  <c r="F56" i="9" s="1"/>
  <c r="O33" i="14"/>
  <c r="F73" i="1" s="1"/>
  <c r="F60" i="9" s="1"/>
  <c r="X18" i="13"/>
  <c r="Y18" i="13" s="1"/>
  <c r="AA18" i="13" s="1"/>
  <c r="AC18" i="13" s="1"/>
  <c r="AE18" i="13" s="1"/>
  <c r="X20" i="13"/>
  <c r="Y20" i="13" s="1"/>
  <c r="AA20" i="13" s="1"/>
  <c r="AC20" i="13" s="1"/>
  <c r="AE20" i="13" s="1"/>
  <c r="M68" i="24"/>
  <c r="D105" i="1" s="1"/>
  <c r="D42" i="15" s="1"/>
  <c r="C64" i="9"/>
  <c r="V70" i="27"/>
  <c r="E48" i="21"/>
  <c r="H109" i="19"/>
  <c r="F60" i="19"/>
  <c r="F79" i="19"/>
  <c r="M15" i="19"/>
  <c r="M10" i="19"/>
  <c r="L15" i="19"/>
  <c r="L10" i="19"/>
  <c r="J15" i="19"/>
  <c r="J10" i="19"/>
  <c r="H15" i="19"/>
  <c r="H19" i="19" s="1"/>
  <c r="H10" i="19"/>
  <c r="G15" i="19"/>
  <c r="G10" i="19"/>
  <c r="G11" i="19" s="1"/>
  <c r="H11" i="19" s="1"/>
  <c r="I11" i="19" s="1"/>
  <c r="J11" i="19" s="1"/>
  <c r="K11" i="19" s="1"/>
  <c r="L11" i="19" s="1"/>
  <c r="M11" i="19" s="1"/>
  <c r="N11" i="19" s="1"/>
  <c r="P64" i="17"/>
  <c r="O64" i="17"/>
  <c r="N64" i="17"/>
  <c r="C50" i="1"/>
  <c r="E42" i="5" s="1"/>
  <c r="D12" i="16"/>
  <c r="E136" i="12" a="1"/>
  <c r="E136" i="12" s="1"/>
  <c r="L136" i="12" a="1"/>
  <c r="L136" i="12" s="1"/>
  <c r="E135" i="12" a="1"/>
  <c r="E135" i="12" s="1"/>
  <c r="F134" i="12" a="1"/>
  <c r="F134" i="12" s="1"/>
  <c r="E133" i="12" a="1"/>
  <c r="E133" i="12" s="1"/>
  <c r="L133" i="12" a="1"/>
  <c r="L133" i="12" s="1"/>
  <c r="H132" i="12" a="1"/>
  <c r="H132" i="12" s="1"/>
  <c r="I131" i="12" a="1"/>
  <c r="I131" i="12" s="1"/>
  <c r="E130" i="12" a="1"/>
  <c r="E130" i="12" s="1"/>
  <c r="F129" i="12" a="1"/>
  <c r="F129" i="12" s="1"/>
  <c r="G127" i="12" a="1"/>
  <c r="G127" i="12" s="1"/>
  <c r="K126" i="12" a="1"/>
  <c r="K126" i="12" s="1"/>
  <c r="I125" i="12" a="1"/>
  <c r="I125" i="12" s="1"/>
  <c r="I124" i="12" a="1"/>
  <c r="I124" i="12" s="1"/>
  <c r="J120" i="12" a="1"/>
  <c r="J120" i="12" s="1"/>
  <c r="G119" i="12" a="1"/>
  <c r="G119" i="12" s="1"/>
  <c r="E118" i="12" a="1"/>
  <c r="E118" i="12" s="1"/>
  <c r="E117" i="12" a="1"/>
  <c r="E117" i="12" s="1"/>
  <c r="E116" i="12" a="1"/>
  <c r="E116" i="12" s="1"/>
  <c r="E106" i="12" a="1"/>
  <c r="E106" i="12" s="1"/>
  <c r="E105" i="12" a="1"/>
  <c r="E105" i="12" s="1"/>
  <c r="K74" i="12"/>
  <c r="K73" i="12"/>
  <c r="J72" i="12"/>
  <c r="K72" i="12"/>
  <c r="J71" i="12"/>
  <c r="K71" i="12" s="1"/>
  <c r="K63" i="12"/>
  <c r="K62" i="12"/>
  <c r="J61" i="12"/>
  <c r="K61" i="12" s="1"/>
  <c r="K95" i="12"/>
  <c r="K94" i="12"/>
  <c r="K85" i="12"/>
  <c r="J84" i="12"/>
  <c r="K84" i="12"/>
  <c r="J83" i="12"/>
  <c r="K83" i="12"/>
  <c r="J82" i="12"/>
  <c r="K82" i="12" s="1"/>
  <c r="N62" i="26"/>
  <c r="N65" i="24" s="1"/>
  <c r="O29" i="26"/>
  <c r="N23" i="14"/>
  <c r="F71" i="1" s="1"/>
  <c r="H31" i="5" s="1"/>
  <c r="P7" i="14"/>
  <c r="Z43" i="13"/>
  <c r="K68" i="1" s="1"/>
  <c r="K59" i="9" s="1"/>
  <c r="AA21" i="13"/>
  <c r="AC21" i="13" s="1"/>
  <c r="AE21" i="13" s="1"/>
  <c r="V43" i="13"/>
  <c r="I68" i="1" s="1"/>
  <c r="I59" i="9" s="1"/>
  <c r="I62" i="9" s="1"/>
  <c r="I64" i="9" s="1"/>
  <c r="W17" i="13"/>
  <c r="M12" i="13"/>
  <c r="K34" i="13"/>
  <c r="K33" i="13"/>
  <c r="D66" i="1" s="1"/>
  <c r="F29" i="5" s="1"/>
  <c r="U39" i="24" l="1"/>
  <c r="U45" i="24" s="1"/>
  <c r="V85" i="24"/>
  <c r="M55" i="1"/>
  <c r="Q68" i="26"/>
  <c r="Q70" i="26" s="1"/>
  <c r="Q32" i="26"/>
  <c r="Q60" i="26" s="1"/>
  <c r="R31" i="26"/>
  <c r="V39" i="24"/>
  <c r="V45" i="24" s="1"/>
  <c r="W30" i="24"/>
  <c r="Y20" i="4"/>
  <c r="AT20" i="4"/>
  <c r="Y19" i="4"/>
  <c r="AT19" i="4"/>
  <c r="AC20" i="4"/>
  <c r="AX20" i="4"/>
  <c r="AC19" i="4"/>
  <c r="AX19" i="4"/>
  <c r="AC12" i="4"/>
  <c r="AX12" i="4"/>
  <c r="Y7" i="4"/>
  <c r="AT7" i="4"/>
  <c r="Y6" i="4"/>
  <c r="AT6" i="4"/>
  <c r="AC7" i="4"/>
  <c r="AX7" i="4"/>
  <c r="AC6" i="4"/>
  <c r="AX6" i="4"/>
  <c r="Z7" i="4"/>
  <c r="AU7" i="4"/>
  <c r="Z6" i="4"/>
  <c r="AU6" i="4"/>
  <c r="AA7" i="4"/>
  <c r="AV7" i="4"/>
  <c r="AA6" i="4"/>
  <c r="AV6" i="4"/>
  <c r="AB7" i="4"/>
  <c r="AW7" i="4"/>
  <c r="AB6" i="4"/>
  <c r="AW6" i="4"/>
  <c r="Y29" i="4"/>
  <c r="AT29" i="4"/>
  <c r="W85" i="24"/>
  <c r="N55" i="1"/>
  <c r="N56" i="1"/>
  <c r="W8" i="24"/>
  <c r="U85" i="24"/>
  <c r="L55" i="1"/>
  <c r="L56" i="1"/>
  <c r="U8" i="24"/>
  <c r="S85" i="24"/>
  <c r="J55" i="1"/>
  <c r="J56" i="1"/>
  <c r="S8" i="24"/>
  <c r="R85" i="24"/>
  <c r="I55" i="1"/>
  <c r="I56" i="1"/>
  <c r="R8" i="24"/>
  <c r="Q85" i="24"/>
  <c r="H55" i="1"/>
  <c r="H56" i="1"/>
  <c r="Q8" i="24"/>
  <c r="P85" i="24"/>
  <c r="G55" i="1"/>
  <c r="G56" i="1"/>
  <c r="P8" i="24"/>
  <c r="F55" i="1"/>
  <c r="O85" i="24"/>
  <c r="F56" i="1"/>
  <c r="O8" i="24"/>
  <c r="N85" i="24"/>
  <c r="E55" i="1"/>
  <c r="E56" i="1"/>
  <c r="N8" i="24"/>
  <c r="M85" i="24"/>
  <c r="D55" i="1"/>
  <c r="D56" i="1"/>
  <c r="M8" i="24"/>
  <c r="L85" i="24"/>
  <c r="C55" i="1"/>
  <c r="C56" i="1"/>
  <c r="L8" i="24"/>
  <c r="T45" i="24"/>
  <c r="T20" i="24"/>
  <c r="K95" i="1"/>
  <c r="K16" i="9" s="1"/>
  <c r="S45" i="24"/>
  <c r="S20" i="24"/>
  <c r="J95" i="1"/>
  <c r="J16" i="9" s="1"/>
  <c r="R45" i="24"/>
  <c r="R20" i="24"/>
  <c r="I95" i="1"/>
  <c r="I16" i="9" s="1"/>
  <c r="Q45" i="24"/>
  <c r="Q20" i="24"/>
  <c r="H95" i="1"/>
  <c r="H16" i="9" s="1"/>
  <c r="P45" i="24"/>
  <c r="P20" i="24"/>
  <c r="G95" i="1"/>
  <c r="G16" i="9" s="1"/>
  <c r="O45" i="24"/>
  <c r="O20" i="24"/>
  <c r="F95" i="1"/>
  <c r="F16" i="9" s="1"/>
  <c r="N84" i="24"/>
  <c r="N87" i="24" s="1"/>
  <c r="E59" i="1" s="1"/>
  <c r="E5" i="9" s="1"/>
  <c r="E11" i="9" s="1"/>
  <c r="E46" i="1"/>
  <c r="E47" i="1"/>
  <c r="N6" i="24"/>
  <c r="N45" i="24"/>
  <c r="E95" i="1"/>
  <c r="E16" i="9" s="1"/>
  <c r="N20" i="24"/>
  <c r="M45" i="24"/>
  <c r="D95" i="1"/>
  <c r="D16" i="9" s="1"/>
  <c r="M20" i="24"/>
  <c r="M84" i="24"/>
  <c r="D46" i="1"/>
  <c r="D47" i="1"/>
  <c r="M6" i="24"/>
  <c r="L45" i="24"/>
  <c r="C95" i="1"/>
  <c r="C16" i="9" s="1"/>
  <c r="L20" i="24"/>
  <c r="L84" i="24"/>
  <c r="C46" i="1"/>
  <c r="C47" i="1"/>
  <c r="L6" i="24"/>
  <c r="O74" i="28"/>
  <c r="N72" i="24"/>
  <c r="O68" i="28"/>
  <c r="O70" i="28" s="1"/>
  <c r="O7" i="24" s="1"/>
  <c r="P29" i="28"/>
  <c r="O62" i="28"/>
  <c r="O66" i="24" s="1"/>
  <c r="O74" i="26"/>
  <c r="N71" i="24"/>
  <c r="O6" i="24"/>
  <c r="F47" i="1"/>
  <c r="F46" i="1"/>
  <c r="O84" i="24"/>
  <c r="Q6" i="24"/>
  <c r="H47" i="1"/>
  <c r="H46" i="1"/>
  <c r="Q84" i="24"/>
  <c r="T73" i="26"/>
  <c r="R68" i="26"/>
  <c r="R70" i="26" s="1"/>
  <c r="R32" i="26"/>
  <c r="R60" i="26" s="1"/>
  <c r="S25" i="26"/>
  <c r="S27" i="26"/>
  <c r="T7" i="26"/>
  <c r="R72" i="26"/>
  <c r="W6" i="26"/>
  <c r="M33" i="22"/>
  <c r="M78" i="1" s="1"/>
  <c r="O20" i="5" s="1"/>
  <c r="P35" i="22"/>
  <c r="L78" i="1"/>
  <c r="N20" i="5" s="1"/>
  <c r="I20" i="4"/>
  <c r="M19" i="5"/>
  <c r="I19" i="4" s="1"/>
  <c r="K68" i="21"/>
  <c r="J70" i="21"/>
  <c r="J69" i="21" s="1"/>
  <c r="J63" i="21"/>
  <c r="J64" i="21"/>
  <c r="G48" i="21" s="1"/>
  <c r="I65" i="21"/>
  <c r="F47" i="21"/>
  <c r="F52" i="21" s="1"/>
  <c r="F54" i="21" s="1"/>
  <c r="F58" i="21" s="1"/>
  <c r="F60" i="21" s="1"/>
  <c r="F28" i="1" s="1"/>
  <c r="H18" i="5" s="1"/>
  <c r="J34" i="21"/>
  <c r="J38" i="21" s="1"/>
  <c r="J42" i="21" s="1"/>
  <c r="I38" i="21"/>
  <c r="I42" i="21" s="1"/>
  <c r="H64" i="20"/>
  <c r="G66" i="20"/>
  <c r="G70" i="20" s="1"/>
  <c r="D14" i="4"/>
  <c r="H13" i="5"/>
  <c r="D13" i="4" s="1"/>
  <c r="J129" i="19"/>
  <c r="J128" i="19" s="1"/>
  <c r="K124" i="19"/>
  <c r="J123" i="19"/>
  <c r="I82" i="19"/>
  <c r="J113" i="19"/>
  <c r="K112" i="19"/>
  <c r="G65" i="19"/>
  <c r="G68" i="19" s="1"/>
  <c r="G75" i="19" s="1"/>
  <c r="G71" i="19"/>
  <c r="H101" i="19"/>
  <c r="I95" i="19"/>
  <c r="C95" i="19"/>
  <c r="C101" i="19" s="1"/>
  <c r="G104" i="19"/>
  <c r="G105" i="19" s="1"/>
  <c r="H59" i="19"/>
  <c r="C12" i="1"/>
  <c r="E9" i="5" s="1"/>
  <c r="F76" i="19"/>
  <c r="C17" i="1" s="1"/>
  <c r="E41" i="5" s="1"/>
  <c r="O64" i="19"/>
  <c r="L18" i="1" s="1"/>
  <c r="N12" i="5" s="1"/>
  <c r="J12" i="4" s="1"/>
  <c r="K18" i="1"/>
  <c r="M12" i="5" s="1"/>
  <c r="I12" i="4" s="1"/>
  <c r="P52" i="19"/>
  <c r="Q51" i="19"/>
  <c r="Q52" i="19" s="1"/>
  <c r="N45" i="19"/>
  <c r="N49" i="19" s="1"/>
  <c r="M49" i="19"/>
  <c r="M54" i="19" s="1"/>
  <c r="O56" i="19"/>
  <c r="P57" i="19"/>
  <c r="Q57" i="19"/>
  <c r="O6" i="19"/>
  <c r="O8" i="19" s="1"/>
  <c r="O55" i="19"/>
  <c r="N103" i="19" s="1"/>
  <c r="O91" i="19" s="1"/>
  <c r="O25" i="19" s="1"/>
  <c r="O28" i="19" s="1"/>
  <c r="M33" i="1"/>
  <c r="O16" i="5" s="1"/>
  <c r="M56" i="18"/>
  <c r="M61" i="18" s="1"/>
  <c r="M62" i="18" s="1"/>
  <c r="N51" i="18"/>
  <c r="N53" i="18" s="1"/>
  <c r="N47" i="18"/>
  <c r="K56" i="18"/>
  <c r="K61" i="18" s="1"/>
  <c r="K33" i="1"/>
  <c r="M16" i="5" s="1"/>
  <c r="J40" i="18"/>
  <c r="J45" i="18" s="1"/>
  <c r="J53" i="18" s="1"/>
  <c r="I33" i="18"/>
  <c r="J16" i="4"/>
  <c r="N15" i="5"/>
  <c r="J15" i="4" s="1"/>
  <c r="J27" i="17"/>
  <c r="J6" i="1"/>
  <c r="J38" i="9" s="1"/>
  <c r="J44" i="9" s="1"/>
  <c r="L7" i="1"/>
  <c r="N7" i="5" s="1"/>
  <c r="L61" i="17"/>
  <c r="N37" i="17"/>
  <c r="N45" i="17" s="1"/>
  <c r="N60" i="17" s="1"/>
  <c r="M45" i="17"/>
  <c r="M60" i="17" s="1"/>
  <c r="I7" i="4"/>
  <c r="M6" i="5"/>
  <c r="I6" i="4" s="1"/>
  <c r="F96" i="1"/>
  <c r="F24" i="9" s="1"/>
  <c r="G32" i="17"/>
  <c r="H4" i="16"/>
  <c r="G8" i="16"/>
  <c r="F10" i="16"/>
  <c r="E50" i="1" s="1"/>
  <c r="G42" i="5" s="1"/>
  <c r="F12" i="16"/>
  <c r="E49" i="1"/>
  <c r="G24" i="5" s="1"/>
  <c r="F23" i="5"/>
  <c r="Q34" i="13"/>
  <c r="R4" i="13"/>
  <c r="S4" i="13"/>
  <c r="D140" i="12"/>
  <c r="C50" i="11"/>
  <c r="C142" i="12"/>
  <c r="E140" i="12"/>
  <c r="D142" i="12"/>
  <c r="D50" i="11"/>
  <c r="K47" i="12"/>
  <c r="K45" i="12" s="1"/>
  <c r="K48" i="12"/>
  <c r="L5" i="12"/>
  <c r="F26" i="11"/>
  <c r="G11" i="10"/>
  <c r="F93" i="1"/>
  <c r="F49" i="15" s="1"/>
  <c r="W36" i="24"/>
  <c r="P29" i="27"/>
  <c r="O62" i="27"/>
  <c r="O67" i="24" s="1"/>
  <c r="P6" i="24"/>
  <c r="G47" i="1"/>
  <c r="G46" i="1"/>
  <c r="P84" i="24"/>
  <c r="H82" i="19"/>
  <c r="G82" i="19"/>
  <c r="G69" i="19"/>
  <c r="G70" i="19" s="1"/>
  <c r="G84" i="19" s="1"/>
  <c r="F82" i="19"/>
  <c r="F69" i="19"/>
  <c r="F70" i="19" s="1"/>
  <c r="F84" i="19" s="1"/>
  <c r="M73" i="24"/>
  <c r="M74" i="24" s="1"/>
  <c r="N74" i="27"/>
  <c r="L12" i="25"/>
  <c r="C106" i="1"/>
  <c r="C44" i="15" s="1"/>
  <c r="C47" i="15" s="1"/>
  <c r="C51" i="15" s="1"/>
  <c r="T8" i="24"/>
  <c r="K56" i="1"/>
  <c r="T85" i="24"/>
  <c r="K55" i="1"/>
  <c r="X29" i="14" a="1"/>
  <c r="X29" i="14" s="1"/>
  <c r="K72" i="1" s="1"/>
  <c r="K54" i="9" s="1"/>
  <c r="K56" i="9" s="1"/>
  <c r="Y33" i="14"/>
  <c r="K73" i="1" s="1"/>
  <c r="K60" i="9" s="1"/>
  <c r="K62" i="9" s="1"/>
  <c r="V8" i="24"/>
  <c r="M56" i="1"/>
  <c r="E10" i="1"/>
  <c r="E31" i="9" s="1"/>
  <c r="E36" i="9" s="1"/>
  <c r="E46" i="9" s="1"/>
  <c r="H30" i="19"/>
  <c r="F136" i="12" a="1"/>
  <c r="F136" i="12" s="1"/>
  <c r="M136" i="12" a="1"/>
  <c r="M136" i="12" s="1"/>
  <c r="F135" i="12" a="1"/>
  <c r="F135" i="12" s="1"/>
  <c r="G134" i="12" a="1"/>
  <c r="G134" i="12" s="1"/>
  <c r="F133" i="12" a="1"/>
  <c r="F133" i="12" s="1"/>
  <c r="M133" i="12" a="1"/>
  <c r="M133" i="12" s="1"/>
  <c r="I132" i="12" a="1"/>
  <c r="I132" i="12" s="1"/>
  <c r="J131" i="12" a="1"/>
  <c r="J131" i="12" s="1"/>
  <c r="F130" i="12" a="1"/>
  <c r="F130" i="12" s="1"/>
  <c r="G129" i="12" a="1"/>
  <c r="G129" i="12" s="1"/>
  <c r="H127" i="12" a="1"/>
  <c r="H127" i="12" s="1"/>
  <c r="L126" i="12" a="1"/>
  <c r="L126" i="12" s="1"/>
  <c r="J125" i="12" a="1"/>
  <c r="J125" i="12" s="1"/>
  <c r="J124" i="12" a="1"/>
  <c r="J124" i="12" s="1"/>
  <c r="K120" i="12" a="1"/>
  <c r="K120" i="12" s="1"/>
  <c r="H119" i="12" a="1"/>
  <c r="H119" i="12" s="1"/>
  <c r="F118" i="12" a="1"/>
  <c r="F118" i="12" s="1"/>
  <c r="F117" i="12" a="1"/>
  <c r="F117" i="12" s="1"/>
  <c r="F116" i="12" a="1"/>
  <c r="F116" i="12" s="1"/>
  <c r="F106" i="12" a="1"/>
  <c r="F106" i="12" s="1"/>
  <c r="F105" i="12" a="1"/>
  <c r="F105" i="12" s="1"/>
  <c r="P24" i="14"/>
  <c r="P23" i="14"/>
  <c r="G71" i="1" s="1"/>
  <c r="I31" i="5" s="1"/>
  <c r="E31" i="4" s="1"/>
  <c r="R7" i="14"/>
  <c r="X17" i="13"/>
  <c r="X43" i="13" s="1"/>
  <c r="J68" i="1" s="1"/>
  <c r="J59" i="9" s="1"/>
  <c r="J62" i="9" s="1"/>
  <c r="J64" i="9" s="1"/>
  <c r="Y17" i="13"/>
  <c r="AA17" i="13" s="1"/>
  <c r="AC17" i="13" s="1"/>
  <c r="AE17" i="13" s="1"/>
  <c r="M34" i="13"/>
  <c r="M33" i="13"/>
  <c r="E66" i="1" s="1"/>
  <c r="G29" i="5" s="1"/>
  <c r="O12" i="13"/>
  <c r="F32" i="5"/>
  <c r="F80" i="19"/>
  <c r="H64" i="9"/>
  <c r="N68" i="24"/>
  <c r="E105" i="1" s="1"/>
  <c r="E42" i="15" s="1"/>
  <c r="I132" i="19"/>
  <c r="N70" i="28"/>
  <c r="N7" i="24" s="1"/>
  <c r="E52" i="21"/>
  <c r="E54" i="21" s="1"/>
  <c r="E58" i="21" s="1"/>
  <c r="E60" i="21" s="1"/>
  <c r="E28" i="1" s="1"/>
  <c r="G18" i="5" s="1"/>
  <c r="F62" i="9"/>
  <c r="F64" i="9" s="1"/>
  <c r="G60" i="19"/>
  <c r="G79" i="19"/>
  <c r="D50" i="1"/>
  <c r="F42" i="5" s="1"/>
  <c r="E12" i="16"/>
  <c r="E139" i="12" a="1"/>
  <c r="E139" i="12" s="1"/>
  <c r="O62" i="26"/>
  <c r="O65" i="24" s="1"/>
  <c r="P29" i="26"/>
  <c r="D31" i="4"/>
  <c r="H32" i="5"/>
  <c r="D32" i="4" s="1"/>
  <c r="K97" i="12" a="1"/>
  <c r="K97" i="12" s="1"/>
  <c r="K64" i="9" l="1"/>
  <c r="L95" i="1"/>
  <c r="L16" i="9" s="1"/>
  <c r="U20" i="24"/>
  <c r="M87" i="24"/>
  <c r="D59" i="1" s="1"/>
  <c r="D5" i="9" s="1"/>
  <c r="D11" i="9" s="1"/>
  <c r="L87" i="24"/>
  <c r="C59" i="1" s="1"/>
  <c r="C5" i="9" s="1"/>
  <c r="C11" i="9" s="1"/>
  <c r="L10" i="24"/>
  <c r="Q87" i="24"/>
  <c r="H59" i="1" s="1"/>
  <c r="H5" i="9" s="1"/>
  <c r="H11" i="9" s="1"/>
  <c r="M10" i="24"/>
  <c r="V20" i="24"/>
  <c r="M95" i="1"/>
  <c r="M16" i="9" s="1"/>
  <c r="W39" i="24"/>
  <c r="P87" i="24"/>
  <c r="G59" i="1" s="1"/>
  <c r="G5" i="9" s="1"/>
  <c r="G11" i="9" s="1"/>
  <c r="AD20" i="4"/>
  <c r="AY20" i="4"/>
  <c r="AD19" i="4"/>
  <c r="AY19" i="4"/>
  <c r="Y14" i="4"/>
  <c r="AT14" i="4"/>
  <c r="Y13" i="4"/>
  <c r="AT13" i="4"/>
  <c r="AE12" i="4"/>
  <c r="AZ12" i="4"/>
  <c r="AD12" i="4"/>
  <c r="AY12" i="4"/>
  <c r="AE16" i="4"/>
  <c r="AZ16" i="4"/>
  <c r="AE15" i="4"/>
  <c r="AZ15" i="4"/>
  <c r="AD7" i="4"/>
  <c r="AY7" i="4"/>
  <c r="AD6" i="4"/>
  <c r="AY6" i="4"/>
  <c r="Z31" i="4"/>
  <c r="AU31" i="4"/>
  <c r="Y31" i="4"/>
  <c r="AT31" i="4"/>
  <c r="Y32" i="4"/>
  <c r="AT32" i="4"/>
  <c r="P74" i="28"/>
  <c r="O72" i="24"/>
  <c r="P68" i="28"/>
  <c r="P70" i="28" s="1"/>
  <c r="P7" i="24" s="1"/>
  <c r="P10" i="24" s="1"/>
  <c r="P62" i="28"/>
  <c r="P66" i="24" s="1"/>
  <c r="Q29" i="28"/>
  <c r="O71" i="24"/>
  <c r="P74" i="26"/>
  <c r="R6" i="24"/>
  <c r="I47" i="1"/>
  <c r="I46" i="1"/>
  <c r="R84" i="24"/>
  <c r="R87" i="24" s="1"/>
  <c r="I59" i="1" s="1"/>
  <c r="I5" i="9" s="1"/>
  <c r="I11" i="9" s="1"/>
  <c r="S72" i="26"/>
  <c r="T25" i="26"/>
  <c r="U7" i="26"/>
  <c r="T27" i="26"/>
  <c r="U28" i="26"/>
  <c r="K20" i="4"/>
  <c r="O19" i="5"/>
  <c r="K19" i="4" s="1"/>
  <c r="N33" i="22"/>
  <c r="N78" i="1" s="1"/>
  <c r="P20" i="5" s="1"/>
  <c r="P36" i="22"/>
  <c r="L23" i="22" s="1"/>
  <c r="L24" i="22" s="1"/>
  <c r="P34" i="22"/>
  <c r="J20" i="4"/>
  <c r="N19" i="5"/>
  <c r="J19" i="4" s="1"/>
  <c r="L68" i="21"/>
  <c r="K70" i="21"/>
  <c r="K69" i="21" s="1"/>
  <c r="K63" i="21"/>
  <c r="K64" i="21"/>
  <c r="J65" i="21"/>
  <c r="G47" i="21"/>
  <c r="G52" i="21" s="1"/>
  <c r="G54" i="21" s="1"/>
  <c r="G58" i="21" s="1"/>
  <c r="G60" i="21" s="1"/>
  <c r="G28" i="1" s="1"/>
  <c r="I18" i="5" s="1"/>
  <c r="H17" i="5"/>
  <c r="D17" i="4" s="1"/>
  <c r="D18" i="4"/>
  <c r="I64" i="20"/>
  <c r="H66" i="20"/>
  <c r="H70" i="20" s="1"/>
  <c r="H23" i="1" s="1"/>
  <c r="J14" i="5" s="1"/>
  <c r="G23" i="1"/>
  <c r="I14" i="5" s="1"/>
  <c r="K129" i="19"/>
  <c r="K128" i="19" s="1"/>
  <c r="K132" i="19" s="1"/>
  <c r="L124" i="19"/>
  <c r="K123" i="19"/>
  <c r="K113" i="19"/>
  <c r="L112" i="19"/>
  <c r="K62" i="19"/>
  <c r="G76" i="19"/>
  <c r="D17" i="1" s="1"/>
  <c r="F41" i="5" s="1"/>
  <c r="D12" i="1"/>
  <c r="F9" i="5" s="1"/>
  <c r="H104" i="19"/>
  <c r="H105" i="19" s="1"/>
  <c r="I60" i="19" s="1"/>
  <c r="I59" i="19"/>
  <c r="J95" i="19"/>
  <c r="I101" i="19"/>
  <c r="H65" i="19"/>
  <c r="H68" i="19" s="1"/>
  <c r="H71" i="19"/>
  <c r="H80" i="19" s="1"/>
  <c r="N54" i="19"/>
  <c r="N56" i="19"/>
  <c r="P6" i="19"/>
  <c r="P8" i="19" s="1"/>
  <c r="P56" i="19"/>
  <c r="Q6" i="19"/>
  <c r="Q8" i="19" s="1"/>
  <c r="Q56" i="19"/>
  <c r="O9" i="19"/>
  <c r="O10" i="19" s="1"/>
  <c r="O11" i="19" s="1"/>
  <c r="O30" i="19"/>
  <c r="L11" i="1"/>
  <c r="L39" i="9" s="1"/>
  <c r="L44" i="9" s="1"/>
  <c r="K16" i="4"/>
  <c r="O15" i="5"/>
  <c r="K15" i="4" s="1"/>
  <c r="N33" i="1"/>
  <c r="P16" i="5" s="1"/>
  <c r="N56" i="18"/>
  <c r="N61" i="18" s="1"/>
  <c r="N62" i="18" s="1"/>
  <c r="L62" i="18"/>
  <c r="I16" i="4"/>
  <c r="M15" i="5"/>
  <c r="I15" i="4" s="1"/>
  <c r="J56" i="18"/>
  <c r="J61" i="18" s="1"/>
  <c r="K62" i="18" s="1"/>
  <c r="J33" i="1"/>
  <c r="L16" i="5" s="1"/>
  <c r="I40" i="18"/>
  <c r="I45" i="18" s="1"/>
  <c r="I53" i="18" s="1"/>
  <c r="H33" i="18"/>
  <c r="L62" i="17"/>
  <c r="K62" i="17"/>
  <c r="J61" i="17"/>
  <c r="J62" i="17"/>
  <c r="M64" i="17"/>
  <c r="J7" i="4"/>
  <c r="N6" i="5"/>
  <c r="J6" i="4" s="1"/>
  <c r="N61" i="17"/>
  <c r="N7" i="1"/>
  <c r="P7" i="5" s="1"/>
  <c r="M62" i="17"/>
  <c r="M61" i="17"/>
  <c r="M7" i="1"/>
  <c r="O7" i="5" s="1"/>
  <c r="H32" i="17"/>
  <c r="G96" i="1"/>
  <c r="G24" i="9" s="1"/>
  <c r="I4" i="16"/>
  <c r="H8" i="16"/>
  <c r="G10" i="16"/>
  <c r="F50" i="1" s="1"/>
  <c r="H42" i="5" s="1"/>
  <c r="D42" i="4" s="1"/>
  <c r="G12" i="16"/>
  <c r="F49" i="1"/>
  <c r="H24" i="5" s="1"/>
  <c r="G23" i="5"/>
  <c r="S34" i="13"/>
  <c r="S33" i="13"/>
  <c r="H66" i="1" s="1"/>
  <c r="J29" i="5" s="1"/>
  <c r="U4" i="13"/>
  <c r="D51" i="11"/>
  <c r="C27" i="11"/>
  <c r="C28" i="11" s="1"/>
  <c r="C186" i="12"/>
  <c r="C52" i="11"/>
  <c r="D52" i="11"/>
  <c r="D186" i="12"/>
  <c r="E51" i="11"/>
  <c r="D27" i="11"/>
  <c r="G61" i="12"/>
  <c r="H61" i="12" s="1"/>
  <c r="L47" i="12"/>
  <c r="L48" i="12"/>
  <c r="M5" i="12"/>
  <c r="G26" i="11"/>
  <c r="H11" i="10"/>
  <c r="G93" i="1"/>
  <c r="G49" i="15" s="1"/>
  <c r="Q29" i="27"/>
  <c r="P62" i="27"/>
  <c r="P67" i="24" s="1"/>
  <c r="D16" i="1"/>
  <c r="F40" i="5" s="1"/>
  <c r="G85" i="19"/>
  <c r="D15" i="1" s="1"/>
  <c r="C16" i="1"/>
  <c r="E40" i="5" s="1"/>
  <c r="F85" i="19"/>
  <c r="C15" i="1" s="1"/>
  <c r="M12" i="25"/>
  <c r="D106" i="1"/>
  <c r="D44" i="15" s="1"/>
  <c r="D47" i="15" s="1"/>
  <c r="D51" i="15" s="1"/>
  <c r="O74" i="27"/>
  <c r="N73" i="24"/>
  <c r="N74" i="24" s="1"/>
  <c r="N136" i="12" a="1"/>
  <c r="N136" i="12" s="1"/>
  <c r="G135" i="12" a="1"/>
  <c r="G135" i="12" s="1"/>
  <c r="H134" i="12" a="1"/>
  <c r="H134" i="12" s="1"/>
  <c r="N133" i="12" a="1"/>
  <c r="N133" i="12" s="1"/>
  <c r="J132" i="12" a="1"/>
  <c r="J132" i="12" s="1"/>
  <c r="K131" i="12" a="1"/>
  <c r="K131" i="12" s="1"/>
  <c r="G130" i="12" a="1"/>
  <c r="G130" i="12" s="1"/>
  <c r="H129" i="12" a="1"/>
  <c r="H129" i="12" s="1"/>
  <c r="I127" i="12" a="1"/>
  <c r="I127" i="12" s="1"/>
  <c r="M126" i="12" a="1"/>
  <c r="M126" i="12" s="1"/>
  <c r="K125" i="12" a="1"/>
  <c r="K125" i="12" s="1"/>
  <c r="K124" i="12" a="1"/>
  <c r="K124" i="12" s="1"/>
  <c r="L120" i="12" a="1"/>
  <c r="L120" i="12" s="1"/>
  <c r="I119" i="12" a="1"/>
  <c r="I119" i="12" s="1"/>
  <c r="G118" i="12" a="1"/>
  <c r="G118" i="12" s="1"/>
  <c r="G117" i="12" a="1"/>
  <c r="G117" i="12" s="1"/>
  <c r="G116" i="12" a="1"/>
  <c r="G116" i="12" s="1"/>
  <c r="G106" i="12" a="1"/>
  <c r="G106" i="12" s="1"/>
  <c r="F139" i="12" a="1"/>
  <c r="F139" i="12" s="1"/>
  <c r="G105" i="12" a="1"/>
  <c r="G105" i="12" s="1"/>
  <c r="R24" i="14"/>
  <c r="R23" i="14"/>
  <c r="H71" i="1" s="1"/>
  <c r="J31" i="5" s="1"/>
  <c r="F31" i="4" s="1"/>
  <c r="T7" i="14"/>
  <c r="G32" i="5"/>
  <c r="O34" i="13"/>
  <c r="Q12" i="13"/>
  <c r="S12" i="13" s="1"/>
  <c r="U12" i="13" s="1"/>
  <c r="W12" i="13" s="1"/>
  <c r="Y12" i="13" s="1"/>
  <c r="AA12" i="13" s="1"/>
  <c r="AC12" i="13" s="1"/>
  <c r="AE12" i="13" s="1"/>
  <c r="F78" i="19"/>
  <c r="C13" i="1"/>
  <c r="E11" i="5" s="1"/>
  <c r="G17" i="5"/>
  <c r="E50" i="11"/>
  <c r="E142" i="12"/>
  <c r="F140" i="12"/>
  <c r="Q29" i="26"/>
  <c r="P62" i="26"/>
  <c r="P65" i="24" s="1"/>
  <c r="O68" i="24"/>
  <c r="F105" i="1" s="1"/>
  <c r="F42" i="15" s="1"/>
  <c r="O10" i="24"/>
  <c r="O87" i="24"/>
  <c r="F59" i="1" s="1"/>
  <c r="F5" i="9" s="1"/>
  <c r="F11" i="9" s="1"/>
  <c r="S31" i="26"/>
  <c r="J132" i="19"/>
  <c r="J61" i="19"/>
  <c r="G80" i="19"/>
  <c r="G83" i="19"/>
  <c r="D14" i="1" s="1"/>
  <c r="F10" i="5" s="1"/>
  <c r="F83" i="19"/>
  <c r="C14" i="1" s="1"/>
  <c r="E10" i="5" s="1"/>
  <c r="N10" i="24"/>
  <c r="J109" i="19"/>
  <c r="J62" i="19"/>
  <c r="H60" i="19"/>
  <c r="H79" i="19"/>
  <c r="N62" i="17"/>
  <c r="Q64" i="17"/>
  <c r="R43" i="13"/>
  <c r="G68" i="1" s="1"/>
  <c r="G59" i="9" s="1"/>
  <c r="G62" i="9" s="1"/>
  <c r="G64" i="9" s="1"/>
  <c r="Q33" i="13"/>
  <c r="G66" i="1" s="1"/>
  <c r="I29" i="5" s="1"/>
  <c r="C58" i="1" l="1"/>
  <c r="C14" i="9" s="1"/>
  <c r="C18" i="9" s="1"/>
  <c r="C20" i="9" s="1"/>
  <c r="L22" i="24"/>
  <c r="L47" i="24" s="1"/>
  <c r="L48" i="24" s="1"/>
  <c r="D58" i="1"/>
  <c r="D14" i="9" s="1"/>
  <c r="D18" i="9" s="1"/>
  <c r="D20" i="9" s="1"/>
  <c r="M22" i="24"/>
  <c r="M47" i="24" s="1"/>
  <c r="N95" i="1"/>
  <c r="N16" i="9" s="1"/>
  <c r="W20" i="24"/>
  <c r="W45" i="24"/>
  <c r="P68" i="24"/>
  <c r="G105" i="1" s="1"/>
  <c r="G42" i="15" s="1"/>
  <c r="AF20" i="4"/>
  <c r="BA20" i="4"/>
  <c r="AF19" i="4"/>
  <c r="BA19" i="4"/>
  <c r="AE20" i="4"/>
  <c r="AZ20" i="4"/>
  <c r="AE19" i="4"/>
  <c r="AZ19" i="4"/>
  <c r="Y17" i="4"/>
  <c r="AT17" i="4"/>
  <c r="Y18" i="4"/>
  <c r="AT18" i="4"/>
  <c r="AF16" i="4"/>
  <c r="BA16" i="4"/>
  <c r="AF15" i="4"/>
  <c r="BA15" i="4"/>
  <c r="AD16" i="4"/>
  <c r="AY16" i="4"/>
  <c r="AD15" i="4"/>
  <c r="AY15" i="4"/>
  <c r="AE7" i="4"/>
  <c r="AZ7" i="4"/>
  <c r="AE6" i="4"/>
  <c r="AZ6" i="4"/>
  <c r="Y42" i="4"/>
  <c r="AT42" i="4"/>
  <c r="AA31" i="4"/>
  <c r="AV31" i="4"/>
  <c r="Q74" i="28"/>
  <c r="P72" i="24"/>
  <c r="Q68" i="28"/>
  <c r="Q70" i="28" s="1"/>
  <c r="Q7" i="24" s="1"/>
  <c r="Q10" i="24" s="1"/>
  <c r="Q62" i="28"/>
  <c r="Q66" i="24" s="1"/>
  <c r="R29" i="28"/>
  <c r="Q74" i="26"/>
  <c r="P71" i="24"/>
  <c r="U25" i="26"/>
  <c r="U27" i="26"/>
  <c r="V28" i="26"/>
  <c r="V7" i="26"/>
  <c r="T72" i="26"/>
  <c r="U73" i="26"/>
  <c r="P19" i="5"/>
  <c r="L19" i="4" s="1"/>
  <c r="L20" i="4"/>
  <c r="L26" i="22"/>
  <c r="L36" i="1"/>
  <c r="L34" i="9" s="1"/>
  <c r="L36" i="9" s="1"/>
  <c r="L46" i="9" s="1"/>
  <c r="M68" i="21"/>
  <c r="L70" i="21"/>
  <c r="L69" i="21" s="1"/>
  <c r="L63" i="21"/>
  <c r="L64" i="21"/>
  <c r="I48" i="21" s="1"/>
  <c r="K65" i="21"/>
  <c r="H47" i="21"/>
  <c r="I17" i="5"/>
  <c r="E17" i="4" s="1"/>
  <c r="E18" i="4"/>
  <c r="J64" i="20"/>
  <c r="I66" i="20"/>
  <c r="I70" i="20" s="1"/>
  <c r="I23" i="1" s="1"/>
  <c r="K14" i="5" s="1"/>
  <c r="F14" i="4"/>
  <c r="J13" i="5"/>
  <c r="F13" i="4" s="1"/>
  <c r="E14" i="4"/>
  <c r="I13" i="5"/>
  <c r="E13" i="4" s="1"/>
  <c r="L129" i="19"/>
  <c r="L128" i="19" s="1"/>
  <c r="L132" i="19" s="1"/>
  <c r="M124" i="19"/>
  <c r="L123" i="19"/>
  <c r="L113" i="19"/>
  <c r="L61" i="19" s="1"/>
  <c r="M112" i="19"/>
  <c r="L62" i="19"/>
  <c r="I65" i="19"/>
  <c r="I68" i="19" s="1"/>
  <c r="I71" i="19" s="1"/>
  <c r="I80" i="19" s="1"/>
  <c r="K95" i="19"/>
  <c r="J101" i="19"/>
  <c r="I104" i="19"/>
  <c r="I105" i="19" s="1"/>
  <c r="J59" i="19"/>
  <c r="H69" i="19"/>
  <c r="H75" i="19"/>
  <c r="E13" i="1"/>
  <c r="G11" i="5" s="1"/>
  <c r="H78" i="19"/>
  <c r="P9" i="19"/>
  <c r="P10" i="19" s="1"/>
  <c r="P11" i="19" s="1"/>
  <c r="Q9" i="19"/>
  <c r="Q10" i="19" s="1"/>
  <c r="L16" i="4"/>
  <c r="P15" i="5"/>
  <c r="L15" i="4" s="1"/>
  <c r="H16" i="4"/>
  <c r="L15" i="5"/>
  <c r="H15" i="4" s="1"/>
  <c r="I56" i="18"/>
  <c r="I61" i="18" s="1"/>
  <c r="I33" i="1"/>
  <c r="K16" i="5" s="1"/>
  <c r="H40" i="18"/>
  <c r="H45" i="18" s="1"/>
  <c r="H53" i="18" s="1"/>
  <c r="G33" i="18"/>
  <c r="L7" i="4"/>
  <c r="P6" i="5"/>
  <c r="L6" i="4" s="1"/>
  <c r="K7" i="4"/>
  <c r="O6" i="5"/>
  <c r="K6" i="4" s="1"/>
  <c r="I32" i="17"/>
  <c r="H96" i="1"/>
  <c r="H24" i="9" s="1"/>
  <c r="J4" i="16"/>
  <c r="I8" i="16"/>
  <c r="H10" i="16"/>
  <c r="G50" i="1" s="1"/>
  <c r="I42" i="5" s="1"/>
  <c r="E42" i="4" s="1"/>
  <c r="H12" i="16"/>
  <c r="G49" i="1"/>
  <c r="I24" i="5" s="1"/>
  <c r="D24" i="4"/>
  <c r="H23" i="5"/>
  <c r="D23" i="4" s="1"/>
  <c r="J32" i="5"/>
  <c r="F32" i="4" s="1"/>
  <c r="F29" i="4"/>
  <c r="U34" i="13"/>
  <c r="U33" i="13"/>
  <c r="I66" i="1" s="1"/>
  <c r="K29" i="5" s="1"/>
  <c r="W4" i="13"/>
  <c r="C29" i="11"/>
  <c r="C40" i="11" s="1"/>
  <c r="C47" i="11" s="1"/>
  <c r="C53" i="11" s="1"/>
  <c r="D28" i="11"/>
  <c r="B62" i="1"/>
  <c r="L45" i="12"/>
  <c r="L49" i="12" s="1"/>
  <c r="M47" i="12"/>
  <c r="C62" i="1" s="1"/>
  <c r="E36" i="5" s="1"/>
  <c r="M48" i="12"/>
  <c r="N5" i="12"/>
  <c r="H26" i="11"/>
  <c r="I11" i="10"/>
  <c r="H93" i="1"/>
  <c r="H49" i="15" s="1"/>
  <c r="Q62" i="27"/>
  <c r="Q67" i="24" s="1"/>
  <c r="R29" i="27"/>
  <c r="P74" i="27"/>
  <c r="O73" i="24"/>
  <c r="O74" i="24" s="1"/>
  <c r="N12" i="25"/>
  <c r="E106" i="1"/>
  <c r="E44" i="15" s="1"/>
  <c r="E47" i="15" s="1"/>
  <c r="E51" i="15" s="1"/>
  <c r="H135" i="12" a="1"/>
  <c r="H135" i="12" s="1"/>
  <c r="I134" i="12" a="1"/>
  <c r="I134" i="12" s="1"/>
  <c r="K132" i="12" a="1"/>
  <c r="K132" i="12" s="1"/>
  <c r="L131" i="12" a="1"/>
  <c r="L131" i="12" s="1"/>
  <c r="H130" i="12" a="1"/>
  <c r="H130" i="12" s="1"/>
  <c r="I129" i="12" a="1"/>
  <c r="I129" i="12" s="1"/>
  <c r="J127" i="12" a="1"/>
  <c r="J127" i="12" s="1"/>
  <c r="N126" i="12" a="1"/>
  <c r="N126" i="12" s="1"/>
  <c r="L125" i="12" a="1"/>
  <c r="L125" i="12" s="1"/>
  <c r="L124" i="12" a="1"/>
  <c r="L124" i="12" s="1"/>
  <c r="M120" i="12" a="1"/>
  <c r="M120" i="12" s="1"/>
  <c r="J119" i="12" a="1"/>
  <c r="J119" i="12" s="1"/>
  <c r="H118" i="12" a="1"/>
  <c r="H118" i="12" s="1"/>
  <c r="H117" i="12" a="1"/>
  <c r="H117" i="12" s="1"/>
  <c r="H116" i="12" a="1"/>
  <c r="H116" i="12" s="1"/>
  <c r="H106" i="12" a="1"/>
  <c r="H106" i="12" s="1"/>
  <c r="F142" i="12"/>
  <c r="F50" i="11"/>
  <c r="G140" i="12"/>
  <c r="G139" i="12" a="1"/>
  <c r="G139" i="12" s="1"/>
  <c r="H105" i="12" a="1"/>
  <c r="H105" i="12" s="1"/>
  <c r="T24" i="14"/>
  <c r="T23" i="14"/>
  <c r="I71" i="1" s="1"/>
  <c r="K31" i="5" s="1"/>
  <c r="G31" i="4" s="1"/>
  <c r="V7" i="14"/>
  <c r="F51" i="11"/>
  <c r="E27" i="11"/>
  <c r="E186" i="12"/>
  <c r="E52" i="11"/>
  <c r="R29" i="26"/>
  <c r="Q62" i="26"/>
  <c r="Q65" i="24" s="1"/>
  <c r="O22" i="24"/>
  <c r="O47" i="24" s="1"/>
  <c r="F58" i="1"/>
  <c r="F14" i="9" s="1"/>
  <c r="F18" i="9" s="1"/>
  <c r="F20" i="9" s="1"/>
  <c r="S32" i="26"/>
  <c r="S60" i="26" s="1"/>
  <c r="S68" i="26"/>
  <c r="S70" i="26" s="1"/>
  <c r="J82" i="19"/>
  <c r="D13" i="1"/>
  <c r="F11" i="5" s="1"/>
  <c r="G78" i="19"/>
  <c r="G16" i="19" s="1"/>
  <c r="G19" i="19" s="1"/>
  <c r="N22" i="24"/>
  <c r="N47" i="24" s="1"/>
  <c r="E58" i="1"/>
  <c r="E14" i="9" s="1"/>
  <c r="E18" i="9" s="1"/>
  <c r="E20" i="9" s="1"/>
  <c r="E29" i="4"/>
  <c r="I32" i="5"/>
  <c r="E32" i="4" s="1"/>
  <c r="T31" i="26"/>
  <c r="K109" i="19"/>
  <c r="K64" i="17"/>
  <c r="H48" i="21"/>
  <c r="K61" i="19"/>
  <c r="G58" i="1"/>
  <c r="G14" i="9" s="1"/>
  <c r="G18" i="9" s="1"/>
  <c r="G20" i="9" s="1"/>
  <c r="P22" i="24"/>
  <c r="P47" i="24" s="1"/>
  <c r="E8" i="5"/>
  <c r="L7" i="25" l="1"/>
  <c r="L60" i="24"/>
  <c r="L62" i="24" s="1"/>
  <c r="M7" i="25"/>
  <c r="M60" i="24"/>
  <c r="M48" i="24"/>
  <c r="U31" i="26"/>
  <c r="Q68" i="24"/>
  <c r="H105" i="1" s="1"/>
  <c r="H42" i="15" s="1"/>
  <c r="AG19" i="4"/>
  <c r="BB19" i="4"/>
  <c r="AG20" i="4"/>
  <c r="BB20" i="4"/>
  <c r="Z17" i="4"/>
  <c r="AU17" i="4"/>
  <c r="Z18" i="4"/>
  <c r="AU18" i="4"/>
  <c r="AA14" i="4"/>
  <c r="AV14" i="4"/>
  <c r="AA13" i="4"/>
  <c r="AV13" i="4"/>
  <c r="Z14" i="4"/>
  <c r="AU14" i="4"/>
  <c r="Z13" i="4"/>
  <c r="AU13" i="4"/>
  <c r="AG16" i="4"/>
  <c r="BB16" i="4"/>
  <c r="AG15" i="4"/>
  <c r="BB15" i="4"/>
  <c r="AC16" i="4"/>
  <c r="AX16" i="4"/>
  <c r="AC15" i="4"/>
  <c r="AX15" i="4"/>
  <c r="AG7" i="4"/>
  <c r="BB7" i="4"/>
  <c r="AG6" i="4"/>
  <c r="BB6" i="4"/>
  <c r="AF7" i="4"/>
  <c r="BA7" i="4"/>
  <c r="AF6" i="4"/>
  <c r="BA6" i="4"/>
  <c r="Z42" i="4"/>
  <c r="AU42" i="4"/>
  <c r="Y24" i="4"/>
  <c r="AT24" i="4"/>
  <c r="Y23" i="4"/>
  <c r="AT23" i="4"/>
  <c r="AA32" i="4"/>
  <c r="AV32" i="4"/>
  <c r="AA29" i="4"/>
  <c r="AV29" i="4"/>
  <c r="AB31" i="4"/>
  <c r="AW31" i="4"/>
  <c r="Z29" i="4"/>
  <c r="AU29" i="4"/>
  <c r="Z32" i="4"/>
  <c r="AU32" i="4"/>
  <c r="Q72" i="24"/>
  <c r="R74" i="28"/>
  <c r="Q22" i="24"/>
  <c r="Q47" i="24" s="1"/>
  <c r="H58" i="1"/>
  <c r="H14" i="9" s="1"/>
  <c r="H18" i="9" s="1"/>
  <c r="H20" i="9" s="1"/>
  <c r="R68" i="28"/>
  <c r="R70" i="28" s="1"/>
  <c r="R7" i="24" s="1"/>
  <c r="R10" i="24" s="1"/>
  <c r="R62" i="28"/>
  <c r="R66" i="24" s="1"/>
  <c r="S29" i="28"/>
  <c r="R74" i="26"/>
  <c r="Q71" i="24"/>
  <c r="U72" i="26"/>
  <c r="V73" i="26"/>
  <c r="V25" i="26"/>
  <c r="W7" i="26"/>
  <c r="W25" i="26" s="1"/>
  <c r="W31" i="26" s="1"/>
  <c r="V27" i="26"/>
  <c r="N68" i="21"/>
  <c r="M70" i="21"/>
  <c r="M69" i="21" s="1"/>
  <c r="M63" i="21"/>
  <c r="M64" i="21"/>
  <c r="J48" i="21" s="1"/>
  <c r="L65" i="21"/>
  <c r="I47" i="21"/>
  <c r="I52" i="21" s="1"/>
  <c r="I54" i="21" s="1"/>
  <c r="I58" i="21" s="1"/>
  <c r="I60" i="21" s="1"/>
  <c r="I28" i="1" s="1"/>
  <c r="K18" i="5" s="1"/>
  <c r="K64" i="20"/>
  <c r="J66" i="20"/>
  <c r="J70" i="20" s="1"/>
  <c r="G14" i="4"/>
  <c r="K13" i="5"/>
  <c r="G13" i="4" s="1"/>
  <c r="M129" i="19"/>
  <c r="M128" i="19" s="1"/>
  <c r="N124" i="19"/>
  <c r="M123" i="19"/>
  <c r="M109" i="19" s="1"/>
  <c r="L82" i="19"/>
  <c r="M113" i="19"/>
  <c r="M61" i="19" s="1"/>
  <c r="N112" i="19"/>
  <c r="M62" i="19"/>
  <c r="F13" i="1"/>
  <c r="H11" i="5" s="1"/>
  <c r="D11" i="4" s="1"/>
  <c r="I78" i="19"/>
  <c r="I16" i="19" s="1"/>
  <c r="I19" i="19" s="1"/>
  <c r="I69" i="19"/>
  <c r="I75" i="19"/>
  <c r="K101" i="19"/>
  <c r="L95" i="19"/>
  <c r="J104" i="19"/>
  <c r="J105" i="19" s="1"/>
  <c r="K60" i="19" s="1"/>
  <c r="K59" i="19"/>
  <c r="J65" i="19"/>
  <c r="J68" i="19" s="1"/>
  <c r="J71" i="19"/>
  <c r="J80" i="19" s="1"/>
  <c r="H83" i="19"/>
  <c r="E14" i="1" s="1"/>
  <c r="G10" i="5" s="1"/>
  <c r="H70" i="19"/>
  <c r="H84" i="19" s="1"/>
  <c r="E12" i="1"/>
  <c r="G9" i="5" s="1"/>
  <c r="H76" i="19"/>
  <c r="E17" i="1" s="1"/>
  <c r="G41" i="5" s="1"/>
  <c r="G16" i="4"/>
  <c r="K15" i="5"/>
  <c r="G15" i="4" s="1"/>
  <c r="H56" i="18"/>
  <c r="H61" i="18" s="1"/>
  <c r="H33" i="1"/>
  <c r="J16" i="5" s="1"/>
  <c r="F33" i="18"/>
  <c r="G40" i="18"/>
  <c r="G45" i="18" s="1"/>
  <c r="G53" i="18" s="1"/>
  <c r="I96" i="1"/>
  <c r="I24" i="9" s="1"/>
  <c r="J32" i="17"/>
  <c r="K4" i="16"/>
  <c r="J8" i="16"/>
  <c r="I10" i="16"/>
  <c r="H49" i="1"/>
  <c r="J24" i="5" s="1"/>
  <c r="E24" i="4"/>
  <c r="I23" i="5"/>
  <c r="E23" i="4" s="1"/>
  <c r="K32" i="5"/>
  <c r="G32" i="4" s="1"/>
  <c r="G29" i="4"/>
  <c r="W34" i="13"/>
  <c r="W33" i="13"/>
  <c r="J66" i="1" s="1"/>
  <c r="L29" i="5" s="1"/>
  <c r="Y4" i="13"/>
  <c r="D29" i="11"/>
  <c r="D40" i="11" s="1"/>
  <c r="D47" i="11" s="1"/>
  <c r="D53" i="11" s="1"/>
  <c r="E28" i="11"/>
  <c r="E46" i="5"/>
  <c r="O5" i="12"/>
  <c r="N47" i="12"/>
  <c r="D62" i="1" s="1"/>
  <c r="F36" i="5" s="1"/>
  <c r="N48" i="12"/>
  <c r="I26" i="11"/>
  <c r="J11" i="10"/>
  <c r="I93" i="1"/>
  <c r="I49" i="15" s="1"/>
  <c r="S29" i="27"/>
  <c r="R62" i="27"/>
  <c r="R67" i="24" s="1"/>
  <c r="P73" i="24"/>
  <c r="P74" i="24" s="1"/>
  <c r="Q74" i="27"/>
  <c r="O12" i="25"/>
  <c r="F106" i="1"/>
  <c r="F44" i="15" s="1"/>
  <c r="F47" i="15" s="1"/>
  <c r="F51" i="15" s="1"/>
  <c r="I135" i="12" a="1"/>
  <c r="I135" i="12" s="1"/>
  <c r="J134" i="12" a="1"/>
  <c r="J134" i="12" s="1"/>
  <c r="L132" i="12" a="1"/>
  <c r="L132" i="12" s="1"/>
  <c r="M131" i="12" a="1"/>
  <c r="M131" i="12" s="1"/>
  <c r="I130" i="12" a="1"/>
  <c r="I130" i="12" s="1"/>
  <c r="J129" i="12" a="1"/>
  <c r="J129" i="12" s="1"/>
  <c r="K127" i="12" a="1"/>
  <c r="K127" i="12" s="1"/>
  <c r="M125" i="12" a="1"/>
  <c r="M125" i="12" s="1"/>
  <c r="M124" i="12" a="1"/>
  <c r="M124" i="12" s="1"/>
  <c r="N120" i="12" a="1"/>
  <c r="N120" i="12" s="1"/>
  <c r="K119" i="12" a="1"/>
  <c r="K119" i="12" s="1"/>
  <c r="I118" i="12" a="1"/>
  <c r="I118" i="12" s="1"/>
  <c r="I117" i="12" a="1"/>
  <c r="I117" i="12" s="1"/>
  <c r="I116" i="12" a="1"/>
  <c r="I116" i="12" s="1"/>
  <c r="I106" i="12" a="1"/>
  <c r="I106" i="12" s="1"/>
  <c r="F186" i="12"/>
  <c r="F52" i="11"/>
  <c r="G51" i="11"/>
  <c r="F27" i="11"/>
  <c r="G142" i="12"/>
  <c r="G50" i="11"/>
  <c r="H140" i="12"/>
  <c r="H139" i="12" a="1"/>
  <c r="H139" i="12" s="1"/>
  <c r="I105" i="12" a="1"/>
  <c r="I105" i="12" s="1"/>
  <c r="V24" i="14"/>
  <c r="V23" i="14"/>
  <c r="J71" i="1" s="1"/>
  <c r="L31" i="5" s="1"/>
  <c r="H31" i="4" s="1"/>
  <c r="X7" i="14"/>
  <c r="S29" i="26"/>
  <c r="R62" i="26"/>
  <c r="R65" i="24" s="1"/>
  <c r="O48" i="24"/>
  <c r="O7" i="25"/>
  <c r="O60" i="24"/>
  <c r="S84" i="24"/>
  <c r="S87" i="24" s="1"/>
  <c r="J59" i="1" s="1"/>
  <c r="J5" i="9" s="1"/>
  <c r="J11" i="9" s="1"/>
  <c r="J46" i="1"/>
  <c r="S6" i="24"/>
  <c r="J47" i="1"/>
  <c r="D10" i="1"/>
  <c r="D31" i="9" s="1"/>
  <c r="D36" i="9" s="1"/>
  <c r="D46" i="9" s="1"/>
  <c r="G30" i="19"/>
  <c r="N7" i="25"/>
  <c r="N48" i="24"/>
  <c r="N60" i="24"/>
  <c r="T68" i="26"/>
  <c r="T70" i="26" s="1"/>
  <c r="T32" i="26"/>
  <c r="T60" i="26" s="1"/>
  <c r="K82" i="19"/>
  <c r="P60" i="24"/>
  <c r="P48" i="24"/>
  <c r="P7" i="25"/>
  <c r="H52" i="21"/>
  <c r="H54" i="21" s="1"/>
  <c r="H58" i="21" s="1"/>
  <c r="H60" i="21" s="1"/>
  <c r="H28" i="1" s="1"/>
  <c r="J18" i="5" s="1"/>
  <c r="L109" i="19"/>
  <c r="J60" i="19"/>
  <c r="I102" i="19"/>
  <c r="F8" i="5"/>
  <c r="Q11" i="19"/>
  <c r="M62" i="24" l="1"/>
  <c r="N62" i="24" s="1"/>
  <c r="C104" i="1"/>
  <c r="C43" i="15" s="1"/>
  <c r="L8" i="25"/>
  <c r="L11" i="25" s="1"/>
  <c r="L16" i="25"/>
  <c r="U68" i="26"/>
  <c r="U70" i="26" s="1"/>
  <c r="U32" i="26"/>
  <c r="U60" i="26" s="1"/>
  <c r="R68" i="24"/>
  <c r="I105" i="1" s="1"/>
  <c r="I42" i="15" s="1"/>
  <c r="AB14" i="4"/>
  <c r="AW14" i="4"/>
  <c r="AB13" i="4"/>
  <c r="AW13" i="4"/>
  <c r="Y11" i="4"/>
  <c r="AT11" i="4"/>
  <c r="AB16" i="4"/>
  <c r="AW16" i="4"/>
  <c r="AB15" i="4"/>
  <c r="AW15" i="4"/>
  <c r="Z24" i="4"/>
  <c r="AU24" i="4"/>
  <c r="Z23" i="4"/>
  <c r="AU23" i="4"/>
  <c r="AB32" i="4"/>
  <c r="AW32" i="4"/>
  <c r="AB29" i="4"/>
  <c r="AW29" i="4"/>
  <c r="AC31" i="4"/>
  <c r="AX31" i="4"/>
  <c r="S74" i="28"/>
  <c r="R72" i="24"/>
  <c r="Q7" i="25"/>
  <c r="Q60" i="24"/>
  <c r="Q48" i="24"/>
  <c r="I58" i="1"/>
  <c r="I14" i="9" s="1"/>
  <c r="I18" i="9" s="1"/>
  <c r="I20" i="9" s="1"/>
  <c r="R22" i="24"/>
  <c r="R47" i="24" s="1"/>
  <c r="S68" i="28"/>
  <c r="S70" i="28" s="1"/>
  <c r="S7" i="24" s="1"/>
  <c r="S10" i="24" s="1"/>
  <c r="T29" i="28"/>
  <c r="S62" i="28"/>
  <c r="S66" i="24" s="1"/>
  <c r="R71" i="24"/>
  <c r="S74" i="26"/>
  <c r="V72" i="26"/>
  <c r="O68" i="21"/>
  <c r="N70" i="21"/>
  <c r="N69" i="21" s="1"/>
  <c r="N63" i="21"/>
  <c r="N64" i="21"/>
  <c r="J47" i="21"/>
  <c r="K17" i="5"/>
  <c r="G17" i="4" s="1"/>
  <c r="G18" i="4"/>
  <c r="L64" i="20"/>
  <c r="K66" i="20"/>
  <c r="K70" i="20" s="1"/>
  <c r="J72" i="20"/>
  <c r="J71" i="20"/>
  <c r="J23" i="1"/>
  <c r="L14" i="5" s="1"/>
  <c r="N129" i="19"/>
  <c r="N128" i="19" s="1"/>
  <c r="O124" i="19"/>
  <c r="N123" i="19"/>
  <c r="N109" i="19" s="1"/>
  <c r="M82" i="19"/>
  <c r="N113" i="19"/>
  <c r="N61" i="19" s="1"/>
  <c r="O112" i="19"/>
  <c r="N62" i="19"/>
  <c r="F10" i="1"/>
  <c r="F31" i="9" s="1"/>
  <c r="F36" i="9" s="1"/>
  <c r="F46" i="9" s="1"/>
  <c r="I30" i="19"/>
  <c r="I83" i="19"/>
  <c r="F14" i="1" s="1"/>
  <c r="H10" i="5" s="1"/>
  <c r="D10" i="4" s="1"/>
  <c r="F12" i="1"/>
  <c r="H9" i="5" s="1"/>
  <c r="K104" i="19"/>
  <c r="K105" i="19" s="1"/>
  <c r="L60" i="19" s="1"/>
  <c r="L59" i="19"/>
  <c r="M95" i="19"/>
  <c r="L101" i="19"/>
  <c r="K65" i="19"/>
  <c r="K68" i="19" s="1"/>
  <c r="K71" i="19" s="1"/>
  <c r="K80" i="19" s="1"/>
  <c r="J69" i="19"/>
  <c r="J75" i="19"/>
  <c r="J78" i="19"/>
  <c r="J16" i="19" s="1"/>
  <c r="J19" i="19" s="1"/>
  <c r="G13" i="1"/>
  <c r="I11" i="5" s="1"/>
  <c r="E11" i="4" s="1"/>
  <c r="E16" i="1"/>
  <c r="G40" i="5" s="1"/>
  <c r="H85" i="19"/>
  <c r="E15" i="1" s="1"/>
  <c r="G8" i="5"/>
  <c r="F16" i="4"/>
  <c r="J15" i="5"/>
  <c r="F15" i="4" s="1"/>
  <c r="E33" i="18"/>
  <c r="F40" i="18"/>
  <c r="F45" i="18" s="1"/>
  <c r="F53" i="18" s="1"/>
  <c r="G33" i="1"/>
  <c r="I16" i="5" s="1"/>
  <c r="G56" i="18"/>
  <c r="G61" i="18" s="1"/>
  <c r="K32" i="17"/>
  <c r="J96" i="1"/>
  <c r="J24" i="9" s="1"/>
  <c r="L4" i="16"/>
  <c r="K8" i="16"/>
  <c r="J10" i="16"/>
  <c r="I50" i="1" s="1"/>
  <c r="K42" i="5" s="1"/>
  <c r="G42" i="4" s="1"/>
  <c r="J12" i="16"/>
  <c r="I49" i="1"/>
  <c r="K24" i="5" s="1"/>
  <c r="F24" i="4"/>
  <c r="J23" i="5"/>
  <c r="F23" i="4" s="1"/>
  <c r="L32" i="5"/>
  <c r="H32" i="4" s="1"/>
  <c r="H29" i="4"/>
  <c r="Y34" i="13"/>
  <c r="Y33" i="13"/>
  <c r="K66" i="1" s="1"/>
  <c r="M29" i="5" s="1"/>
  <c r="AA4" i="13"/>
  <c r="E29" i="11"/>
  <c r="E40" i="11" s="1"/>
  <c r="E47" i="11" s="1"/>
  <c r="E53" i="11" s="1"/>
  <c r="F28" i="11"/>
  <c r="O47" i="12"/>
  <c r="E62" i="1" s="1"/>
  <c r="G36" i="5" s="1"/>
  <c r="O48" i="12"/>
  <c r="P5" i="12"/>
  <c r="F46" i="5"/>
  <c r="J26" i="11"/>
  <c r="K11" i="10"/>
  <c r="J93" i="1"/>
  <c r="J49" i="15" s="1"/>
  <c r="T29" i="27"/>
  <c r="S62" i="27"/>
  <c r="S67" i="24" s="1"/>
  <c r="P12" i="25"/>
  <c r="G106" i="1"/>
  <c r="G44" i="15" s="1"/>
  <c r="G47" i="15" s="1"/>
  <c r="G51" i="15" s="1"/>
  <c r="R74" i="27"/>
  <c r="Q73" i="24"/>
  <c r="Q74" i="24" s="1"/>
  <c r="J135" i="12" a="1"/>
  <c r="J135" i="12" s="1"/>
  <c r="K134" i="12" a="1"/>
  <c r="K134" i="12" s="1"/>
  <c r="M132" i="12" a="1"/>
  <c r="M132" i="12" s="1"/>
  <c r="N131" i="12" a="1"/>
  <c r="N131" i="12" s="1"/>
  <c r="J130" i="12" a="1"/>
  <c r="J130" i="12" s="1"/>
  <c r="K129" i="12" a="1"/>
  <c r="K129" i="12" s="1"/>
  <c r="L127" i="12" a="1"/>
  <c r="L127" i="12" s="1"/>
  <c r="N125" i="12" a="1"/>
  <c r="N125" i="12" s="1"/>
  <c r="N124" i="12" a="1"/>
  <c r="N124" i="12" s="1"/>
  <c r="L119" i="12" a="1"/>
  <c r="L119" i="12" s="1"/>
  <c r="J118" i="12" a="1"/>
  <c r="J118" i="12" s="1"/>
  <c r="J117" i="12" a="1"/>
  <c r="J117" i="12" s="1"/>
  <c r="J116" i="12" a="1"/>
  <c r="J116" i="12" s="1"/>
  <c r="J106" i="12" a="1"/>
  <c r="J106" i="12" s="1"/>
  <c r="G186" i="12"/>
  <c r="G52" i="11"/>
  <c r="H51" i="11"/>
  <c r="G27" i="11"/>
  <c r="H50" i="11"/>
  <c r="H142" i="12"/>
  <c r="I140" i="12"/>
  <c r="I139" i="12" a="1"/>
  <c r="I139" i="12" s="1"/>
  <c r="J105" i="12" a="1"/>
  <c r="J105" i="12" s="1"/>
  <c r="X24" i="14"/>
  <c r="X23" i="14"/>
  <c r="K71" i="1" s="1"/>
  <c r="M31" i="5" s="1"/>
  <c r="I31" i="4" s="1"/>
  <c r="Z7" i="14"/>
  <c r="T29" i="26"/>
  <c r="S62" i="26"/>
  <c r="S65" i="24" s="1"/>
  <c r="T6" i="24"/>
  <c r="K47" i="1"/>
  <c r="K46" i="1"/>
  <c r="T84" i="24"/>
  <c r="T87" i="24" s="1"/>
  <c r="K59" i="1" s="1"/>
  <c r="K5" i="9" s="1"/>
  <c r="K11" i="9" s="1"/>
  <c r="F18" i="4"/>
  <c r="J17" i="5"/>
  <c r="F17" i="4" s="1"/>
  <c r="V31" i="26"/>
  <c r="M132" i="19"/>
  <c r="H50" i="1"/>
  <c r="J42" i="5" s="1"/>
  <c r="F42" i="4" s="1"/>
  <c r="I12" i="16"/>
  <c r="E49" i="5"/>
  <c r="D104" i="1" l="1"/>
  <c r="D43" i="15" s="1"/>
  <c r="M8" i="25"/>
  <c r="M16" i="25"/>
  <c r="C52" i="15"/>
  <c r="C45" i="15"/>
  <c r="C77" i="1" s="1"/>
  <c r="E26" i="5" s="1"/>
  <c r="E25" i="5" s="1"/>
  <c r="C53" i="15"/>
  <c r="C23" i="15"/>
  <c r="C24" i="15" s="1"/>
  <c r="C26" i="15" s="1"/>
  <c r="C101" i="1" s="1"/>
  <c r="C68" i="9" s="1"/>
  <c r="C70" i="9" s="1"/>
  <c r="C73" i="9" s="1"/>
  <c r="C82" i="1" s="1"/>
  <c r="E5" i="5" s="1"/>
  <c r="M6" i="25"/>
  <c r="M11" i="25" s="1"/>
  <c r="L13" i="25"/>
  <c r="L18" i="25" s="1"/>
  <c r="U6" i="24"/>
  <c r="L47" i="1"/>
  <c r="U84" i="24"/>
  <c r="U87" i="24" s="1"/>
  <c r="L59" i="1" s="1"/>
  <c r="L5" i="9" s="1"/>
  <c r="L11" i="9" s="1"/>
  <c r="L46" i="1"/>
  <c r="S68" i="24"/>
  <c r="J105" i="1" s="1"/>
  <c r="J42" i="15" s="1"/>
  <c r="S22" i="24"/>
  <c r="S47" i="24" s="1"/>
  <c r="J58" i="1"/>
  <c r="J14" i="9" s="1"/>
  <c r="J18" i="9" s="1"/>
  <c r="J20" i="9" s="1"/>
  <c r="E104" i="1"/>
  <c r="E43" i="15" s="1"/>
  <c r="N8" i="25"/>
  <c r="O62" i="24"/>
  <c r="P62" i="24" s="1"/>
  <c r="N16" i="25"/>
  <c r="AB17" i="4"/>
  <c r="AW17" i="4"/>
  <c r="AB18" i="4"/>
  <c r="AW18" i="4"/>
  <c r="Y10" i="4"/>
  <c r="AT10" i="4"/>
  <c r="Z11" i="4"/>
  <c r="AU11" i="4"/>
  <c r="AA16" i="4"/>
  <c r="AV16" i="4"/>
  <c r="AA15" i="4"/>
  <c r="AV15" i="4"/>
  <c r="AB42" i="4"/>
  <c r="AW42" i="4"/>
  <c r="AA24" i="4"/>
  <c r="AV24" i="4"/>
  <c r="AA23" i="4"/>
  <c r="AV23" i="4"/>
  <c r="AC32" i="4"/>
  <c r="AX32" i="4"/>
  <c r="AC29" i="4"/>
  <c r="AX29" i="4"/>
  <c r="AD31" i="4"/>
  <c r="AY31" i="4"/>
  <c r="AA18" i="4"/>
  <c r="AV18" i="4"/>
  <c r="AA17" i="4"/>
  <c r="AV17" i="4"/>
  <c r="AA42" i="4"/>
  <c r="AV42" i="4"/>
  <c r="S72" i="24"/>
  <c r="T74" i="28"/>
  <c r="R48" i="24"/>
  <c r="R7" i="25"/>
  <c r="R60" i="24"/>
  <c r="T68" i="28"/>
  <c r="T70" i="28" s="1"/>
  <c r="T7" i="24" s="1"/>
  <c r="T10" i="24" s="1"/>
  <c r="U29" i="28"/>
  <c r="T62" i="28"/>
  <c r="T66" i="24" s="1"/>
  <c r="T74" i="26"/>
  <c r="S71" i="24"/>
  <c r="P68" i="21"/>
  <c r="O70" i="21"/>
  <c r="O69" i="21" s="1"/>
  <c r="O63" i="21"/>
  <c r="J52" i="21"/>
  <c r="J54" i="21" s="1"/>
  <c r="J58" i="21" s="1"/>
  <c r="O47" i="21"/>
  <c r="J14" i="21" s="1"/>
  <c r="J17" i="21" s="1"/>
  <c r="M64" i="20"/>
  <c r="L66" i="20"/>
  <c r="L70" i="20" s="1"/>
  <c r="K72" i="20"/>
  <c r="K23" i="1"/>
  <c r="M14" i="5" s="1"/>
  <c r="K71" i="20"/>
  <c r="H14" i="4"/>
  <c r="L13" i="5"/>
  <c r="H13" i="4" s="1"/>
  <c r="O129" i="19"/>
  <c r="O128" i="19" s="1"/>
  <c r="P124" i="19"/>
  <c r="O123" i="19"/>
  <c r="O109" i="19" s="1"/>
  <c r="N82" i="19"/>
  <c r="O113" i="19"/>
  <c r="O61" i="19" s="1"/>
  <c r="P112" i="19"/>
  <c r="O62" i="19"/>
  <c r="D9" i="4"/>
  <c r="H8" i="5"/>
  <c r="D8" i="4" s="1"/>
  <c r="L65" i="19"/>
  <c r="L68" i="19" s="1"/>
  <c r="L71" i="19"/>
  <c r="L80" i="19" s="1"/>
  <c r="M101" i="19"/>
  <c r="N95" i="19"/>
  <c r="L104" i="19"/>
  <c r="L105" i="19" s="1"/>
  <c r="M60" i="19" s="1"/>
  <c r="M59" i="19"/>
  <c r="K69" i="19"/>
  <c r="K75" i="19"/>
  <c r="H13" i="1"/>
  <c r="J11" i="5" s="1"/>
  <c r="F11" i="4" s="1"/>
  <c r="K78" i="19"/>
  <c r="K16" i="19" s="1"/>
  <c r="K19" i="19" s="1"/>
  <c r="J83" i="19"/>
  <c r="G14" i="1" s="1"/>
  <c r="I10" i="5" s="1"/>
  <c r="E10" i="4" s="1"/>
  <c r="G12" i="1"/>
  <c r="I9" i="5" s="1"/>
  <c r="G10" i="1"/>
  <c r="G31" i="9" s="1"/>
  <c r="G36" i="9" s="1"/>
  <c r="G46" i="9" s="1"/>
  <c r="J30" i="19"/>
  <c r="E40" i="18"/>
  <c r="E45" i="18" s="1"/>
  <c r="E53" i="18" s="1"/>
  <c r="D33" i="18"/>
  <c r="F56" i="18"/>
  <c r="F61" i="18" s="1"/>
  <c r="F33" i="1"/>
  <c r="H16" i="5" s="1"/>
  <c r="E16" i="4"/>
  <c r="I15" i="5"/>
  <c r="E15" i="4" s="1"/>
  <c r="J62" i="18"/>
  <c r="J63" i="18"/>
  <c r="K63" i="18"/>
  <c r="N63" i="18"/>
  <c r="M63" i="18"/>
  <c r="L63" i="18"/>
  <c r="K96" i="1"/>
  <c r="K24" i="9" s="1"/>
  <c r="L32" i="17"/>
  <c r="M4" i="16"/>
  <c r="L8" i="16"/>
  <c r="K10" i="16"/>
  <c r="J50" i="1" s="1"/>
  <c r="L42" i="5" s="1"/>
  <c r="H42" i="4" s="1"/>
  <c r="K12" i="16"/>
  <c r="J49" i="1"/>
  <c r="L24" i="5" s="1"/>
  <c r="G24" i="4"/>
  <c r="K23" i="5"/>
  <c r="G23" i="4" s="1"/>
  <c r="M32" i="5"/>
  <c r="I32" i="4" s="1"/>
  <c r="I29" i="4"/>
  <c r="AA34" i="13"/>
  <c r="AA33" i="13"/>
  <c r="L66" i="1" s="1"/>
  <c r="N29" i="5" s="1"/>
  <c r="AC4" i="13"/>
  <c r="F29" i="11"/>
  <c r="F40" i="11" s="1"/>
  <c r="F47" i="11" s="1"/>
  <c r="F53" i="11" s="1"/>
  <c r="G28" i="11"/>
  <c r="G46" i="5"/>
  <c r="G49" i="5"/>
  <c r="P47" i="12"/>
  <c r="F62" i="1" s="1"/>
  <c r="H36" i="5" s="1"/>
  <c r="P48" i="12"/>
  <c r="Q5" i="12"/>
  <c r="K26" i="11"/>
  <c r="L11" i="10"/>
  <c r="K93" i="1"/>
  <c r="K49" i="15" s="1"/>
  <c r="U29" i="27"/>
  <c r="T62" i="27"/>
  <c r="T67" i="24" s="1"/>
  <c r="S74" i="27"/>
  <c r="R73" i="24"/>
  <c r="R74" i="24" s="1"/>
  <c r="Q12" i="25"/>
  <c r="H106" i="1"/>
  <c r="H44" i="15" s="1"/>
  <c r="H47" i="15" s="1"/>
  <c r="H51" i="15" s="1"/>
  <c r="K135" i="12" a="1"/>
  <c r="K135" i="12" s="1"/>
  <c r="L134" i="12" a="1"/>
  <c r="L134" i="12" s="1"/>
  <c r="N132" i="12" a="1"/>
  <c r="N132" i="12" s="1"/>
  <c r="K130" i="12" a="1"/>
  <c r="K130" i="12" s="1"/>
  <c r="L129" i="12" a="1"/>
  <c r="L129" i="12" s="1"/>
  <c r="M127" i="12" a="1"/>
  <c r="M127" i="12" s="1"/>
  <c r="M119" i="12" a="1"/>
  <c r="M119" i="12" s="1"/>
  <c r="K118" i="12" a="1"/>
  <c r="K118" i="12" s="1"/>
  <c r="K117" i="12" a="1"/>
  <c r="K117" i="12" s="1"/>
  <c r="K116" i="12" a="1"/>
  <c r="K116" i="12" s="1"/>
  <c r="K106" i="12" a="1"/>
  <c r="K106" i="12" s="1"/>
  <c r="I51" i="11"/>
  <c r="H27" i="11"/>
  <c r="H52" i="11"/>
  <c r="H186" i="12"/>
  <c r="I142" i="12"/>
  <c r="I50" i="11"/>
  <c r="J140" i="12"/>
  <c r="J139" i="12" a="1"/>
  <c r="J139" i="12" s="1"/>
  <c r="K105" i="12" a="1"/>
  <c r="K105" i="12" s="1"/>
  <c r="Z23" i="14"/>
  <c r="L71" i="1" s="1"/>
  <c r="N31" i="5" s="1"/>
  <c r="J31" i="4" s="1"/>
  <c r="Z24" i="14"/>
  <c r="AB7" i="14"/>
  <c r="U29" i="26"/>
  <c r="T62" i="26"/>
  <c r="T65" i="24" s="1"/>
  <c r="V32" i="26"/>
  <c r="V60" i="26" s="1"/>
  <c r="V68" i="26"/>
  <c r="V70" i="26" s="1"/>
  <c r="N132" i="19"/>
  <c r="O64" i="21"/>
  <c r="F49" i="5"/>
  <c r="D52" i="15" l="1"/>
  <c r="D45" i="15"/>
  <c r="D77" i="1" s="1"/>
  <c r="F26" i="5" s="1"/>
  <c r="F25" i="5" s="1"/>
  <c r="D53" i="15"/>
  <c r="D23" i="15"/>
  <c r="D24" i="15" s="1"/>
  <c r="D26" i="15" s="1"/>
  <c r="D101" i="1" s="1"/>
  <c r="D68" i="9" s="1"/>
  <c r="D70" i="9" s="1"/>
  <c r="D73" i="9" s="1"/>
  <c r="T68" i="24"/>
  <c r="K105" i="1" s="1"/>
  <c r="K42" i="15" s="1"/>
  <c r="S7" i="25"/>
  <c r="S60" i="24"/>
  <c r="S48" i="24"/>
  <c r="T22" i="24"/>
  <c r="T47" i="24" s="1"/>
  <c r="K58" i="1"/>
  <c r="K14" i="9" s="1"/>
  <c r="K18" i="9" s="1"/>
  <c r="K20" i="9" s="1"/>
  <c r="E52" i="15"/>
  <c r="E45" i="15"/>
  <c r="E77" i="1" s="1"/>
  <c r="G26" i="5" s="1"/>
  <c r="G25" i="5" s="1"/>
  <c r="E53" i="15"/>
  <c r="E23" i="15"/>
  <c r="E24" i="15" s="1"/>
  <c r="E26" i="15" s="1"/>
  <c r="E101" i="1" s="1"/>
  <c r="E68" i="9" s="1"/>
  <c r="E70" i="9" s="1"/>
  <c r="O8" i="25"/>
  <c r="O16" i="25"/>
  <c r="F104" i="1"/>
  <c r="F43" i="15" s="1"/>
  <c r="AC14" i="4"/>
  <c r="AX14" i="4"/>
  <c r="AC13" i="4"/>
  <c r="AX13" i="4"/>
  <c r="Y9" i="4"/>
  <c r="AT9" i="4"/>
  <c r="Y8" i="4"/>
  <c r="AT8" i="4"/>
  <c r="AA11" i="4"/>
  <c r="AV11" i="4"/>
  <c r="Z10" i="4"/>
  <c r="AU10" i="4"/>
  <c r="Z16" i="4"/>
  <c r="AU16" i="4"/>
  <c r="Z15" i="4"/>
  <c r="AU15" i="4"/>
  <c r="AC42" i="4"/>
  <c r="AX42" i="4"/>
  <c r="AB24" i="4"/>
  <c r="AW24" i="4"/>
  <c r="AB23" i="4"/>
  <c r="AW23" i="4"/>
  <c r="AD32" i="4"/>
  <c r="AY32" i="4"/>
  <c r="AD29" i="4"/>
  <c r="AY29" i="4"/>
  <c r="AE31" i="4"/>
  <c r="AZ31" i="4"/>
  <c r="U74" i="28"/>
  <c r="T72" i="24"/>
  <c r="U68" i="28"/>
  <c r="U70" i="28" s="1"/>
  <c r="U7" i="24" s="1"/>
  <c r="U10" i="24" s="1"/>
  <c r="V29" i="28"/>
  <c r="U62" i="28"/>
  <c r="U66" i="24" s="1"/>
  <c r="U74" i="26"/>
  <c r="T71" i="24"/>
  <c r="Q68" i="21"/>
  <c r="P70" i="21"/>
  <c r="P69" i="21" s="1"/>
  <c r="P63" i="21"/>
  <c r="J26" i="21"/>
  <c r="J26" i="1"/>
  <c r="J33" i="9" s="1"/>
  <c r="N64" i="20"/>
  <c r="N66" i="20" s="1"/>
  <c r="N70" i="20" s="1"/>
  <c r="M66" i="20"/>
  <c r="M70" i="20" s="1"/>
  <c r="L72" i="20"/>
  <c r="L23" i="1"/>
  <c r="N14" i="5" s="1"/>
  <c r="L71" i="20"/>
  <c r="I14" i="4"/>
  <c r="M13" i="5"/>
  <c r="I13" i="4" s="1"/>
  <c r="P129" i="19"/>
  <c r="P128" i="19" s="1"/>
  <c r="P132" i="19" s="1"/>
  <c r="Q124" i="19"/>
  <c r="P123" i="19"/>
  <c r="O82" i="19"/>
  <c r="P113" i="19"/>
  <c r="P61" i="19" s="1"/>
  <c r="Q112" i="19"/>
  <c r="P62" i="19"/>
  <c r="L69" i="19"/>
  <c r="L75" i="19"/>
  <c r="L78" i="19"/>
  <c r="L16" i="19" s="1"/>
  <c r="L19" i="19" s="1"/>
  <c r="I13" i="1"/>
  <c r="K11" i="5" s="1"/>
  <c r="G11" i="4" s="1"/>
  <c r="M104" i="19"/>
  <c r="M105" i="19" s="1"/>
  <c r="N60" i="19" s="1"/>
  <c r="N59" i="19"/>
  <c r="O95" i="19"/>
  <c r="N101" i="19"/>
  <c r="M65" i="19"/>
  <c r="M68" i="19" s="1"/>
  <c r="M71" i="19" s="1"/>
  <c r="M80" i="19" s="1"/>
  <c r="K83" i="19"/>
  <c r="H14" i="1" s="1"/>
  <c r="J10" i="5" s="1"/>
  <c r="F10" i="4" s="1"/>
  <c r="H12" i="1"/>
  <c r="J9" i="5" s="1"/>
  <c r="H10" i="1"/>
  <c r="H31" i="9" s="1"/>
  <c r="H36" i="9" s="1"/>
  <c r="H46" i="9" s="1"/>
  <c r="K30" i="19"/>
  <c r="E9" i="4"/>
  <c r="I8" i="5"/>
  <c r="E8" i="4" s="1"/>
  <c r="E33" i="1"/>
  <c r="G16" i="5" s="1"/>
  <c r="E56" i="18"/>
  <c r="E61" i="18" s="1"/>
  <c r="D40" i="18"/>
  <c r="D45" i="18" s="1"/>
  <c r="D53" i="18" s="1"/>
  <c r="C33" i="18"/>
  <c r="C40" i="18" s="1"/>
  <c r="C45" i="18" s="1"/>
  <c r="C53" i="18" s="1"/>
  <c r="D16" i="4"/>
  <c r="H15" i="5"/>
  <c r="D15" i="4" s="1"/>
  <c r="M32" i="17"/>
  <c r="L96" i="1"/>
  <c r="L24" i="9" s="1"/>
  <c r="N4" i="16"/>
  <c r="M8" i="16"/>
  <c r="L10" i="16"/>
  <c r="K49" i="1"/>
  <c r="M24" i="5" s="1"/>
  <c r="H24" i="4"/>
  <c r="L23" i="5"/>
  <c r="H23" i="4" s="1"/>
  <c r="N32" i="5"/>
  <c r="J32" i="4" s="1"/>
  <c r="J29" i="4"/>
  <c r="AC34" i="13"/>
  <c r="AC33" i="13"/>
  <c r="M66" i="1" s="1"/>
  <c r="O29" i="5" s="1"/>
  <c r="AE4" i="13"/>
  <c r="G29" i="11"/>
  <c r="G40" i="11" s="1"/>
  <c r="G47" i="11" s="1"/>
  <c r="G53" i="11" s="1"/>
  <c r="H28" i="11"/>
  <c r="H46" i="5"/>
  <c r="D46" i="4" s="1"/>
  <c r="H49" i="5"/>
  <c r="D36" i="4"/>
  <c r="Q47" i="12"/>
  <c r="G62" i="1" s="1"/>
  <c r="I36" i="5" s="1"/>
  <c r="Q48" i="12"/>
  <c r="R5" i="12"/>
  <c r="L26" i="11"/>
  <c r="M11" i="10"/>
  <c r="L93" i="1"/>
  <c r="L49" i="15" s="1"/>
  <c r="V29" i="27"/>
  <c r="U62" i="27"/>
  <c r="U67" i="24" s="1"/>
  <c r="S73" i="24"/>
  <c r="S74" i="24" s="1"/>
  <c r="T74" i="27"/>
  <c r="R12" i="25"/>
  <c r="I106" i="1"/>
  <c r="I44" i="15" s="1"/>
  <c r="I47" i="15" s="1"/>
  <c r="I51" i="15" s="1"/>
  <c r="L135" i="12" a="1"/>
  <c r="L135" i="12" s="1"/>
  <c r="M134" i="12" a="1"/>
  <c r="M134" i="12" s="1"/>
  <c r="L130" i="12" a="1"/>
  <c r="L130" i="12" s="1"/>
  <c r="M129" i="12" a="1"/>
  <c r="M129" i="12" s="1"/>
  <c r="N127" i="12" a="1"/>
  <c r="N127" i="12" s="1"/>
  <c r="N119" i="12" a="1"/>
  <c r="N119" i="12" s="1"/>
  <c r="L118" i="12" a="1"/>
  <c r="L118" i="12" s="1"/>
  <c r="L117" i="12" a="1"/>
  <c r="L117" i="12" s="1"/>
  <c r="L116" i="12" a="1"/>
  <c r="L116" i="12" s="1"/>
  <c r="L106" i="12" a="1"/>
  <c r="L106" i="12" s="1"/>
  <c r="I186" i="12"/>
  <c r="I52" i="11"/>
  <c r="J51" i="11"/>
  <c r="I27" i="11"/>
  <c r="J142" i="12"/>
  <c r="J50" i="11"/>
  <c r="K140" i="12"/>
  <c r="K139" i="12" a="1"/>
  <c r="K139" i="12" s="1"/>
  <c r="L105" i="12" a="1"/>
  <c r="L105" i="12" s="1"/>
  <c r="AB24" i="14"/>
  <c r="AB23" i="14"/>
  <c r="M71" i="1" s="1"/>
  <c r="O31" i="5" s="1"/>
  <c r="K31" i="4" s="1"/>
  <c r="AD7" i="14"/>
  <c r="V29" i="26"/>
  <c r="U62" i="26"/>
  <c r="U65" i="24" s="1"/>
  <c r="V84" i="24"/>
  <c r="V87" i="24" s="1"/>
  <c r="M59" i="1" s="1"/>
  <c r="M5" i="9" s="1"/>
  <c r="M11" i="9" s="1"/>
  <c r="M46" i="1"/>
  <c r="V6" i="24"/>
  <c r="M47" i="1"/>
  <c r="N6" i="25"/>
  <c r="N11" i="25" s="1"/>
  <c r="M13" i="25"/>
  <c r="M18" i="25" s="1"/>
  <c r="P64" i="21"/>
  <c r="O132" i="19"/>
  <c r="E73" i="9" l="1"/>
  <c r="E82" i="1" s="1"/>
  <c r="G5" i="5" s="1"/>
  <c r="D82" i="1"/>
  <c r="F5" i="5" s="1"/>
  <c r="U68" i="24"/>
  <c r="L105" i="1" s="1"/>
  <c r="L42" i="15" s="1"/>
  <c r="T7" i="25"/>
  <c r="T48" i="24"/>
  <c r="T60" i="24"/>
  <c r="F52" i="15"/>
  <c r="F45" i="15"/>
  <c r="F77" i="1" s="1"/>
  <c r="H26" i="5" s="1"/>
  <c r="F53" i="15"/>
  <c r="F23" i="15"/>
  <c r="F24" i="15" s="1"/>
  <c r="F26" i="15" s="1"/>
  <c r="F101" i="1" s="1"/>
  <c r="F68" i="9" s="1"/>
  <c r="F70" i="9" s="1"/>
  <c r="F73" i="9" s="1"/>
  <c r="G72" i="9" s="1"/>
  <c r="Q62" i="24"/>
  <c r="P16" i="25"/>
  <c r="P8" i="25"/>
  <c r="G104" i="1"/>
  <c r="G43" i="15" s="1"/>
  <c r="AD14" i="4"/>
  <c r="AY14" i="4"/>
  <c r="AD13" i="4"/>
  <c r="AY13" i="4"/>
  <c r="AB11" i="4"/>
  <c r="AW11" i="4"/>
  <c r="AA10" i="4"/>
  <c r="AV10" i="4"/>
  <c r="Z9" i="4"/>
  <c r="AU9" i="4"/>
  <c r="Z8" i="4"/>
  <c r="AU8" i="4"/>
  <c r="Y16" i="4"/>
  <c r="AT16" i="4"/>
  <c r="Y15" i="4"/>
  <c r="AT15" i="4"/>
  <c r="AC24" i="4"/>
  <c r="AX24" i="4"/>
  <c r="AC23" i="4"/>
  <c r="AX23" i="4"/>
  <c r="AE32" i="4"/>
  <c r="AZ32" i="4"/>
  <c r="AE29" i="4"/>
  <c r="AZ29" i="4"/>
  <c r="Y46" i="4"/>
  <c r="AT46" i="4"/>
  <c r="Y36" i="4"/>
  <c r="AT36" i="4"/>
  <c r="AF31" i="4"/>
  <c r="BA31" i="4"/>
  <c r="U72" i="24"/>
  <c r="V74" i="28"/>
  <c r="L58" i="1"/>
  <c r="L14" i="9" s="1"/>
  <c r="L18" i="9" s="1"/>
  <c r="L20" i="9" s="1"/>
  <c r="U22" i="24"/>
  <c r="U47" i="24" s="1"/>
  <c r="V68" i="28"/>
  <c r="V70" i="28" s="1"/>
  <c r="V7" i="24" s="1"/>
  <c r="V10" i="24" s="1"/>
  <c r="W29" i="28"/>
  <c r="V62" i="28"/>
  <c r="V66" i="24" s="1"/>
  <c r="U71" i="24"/>
  <c r="V74" i="26"/>
  <c r="Q70" i="21"/>
  <c r="Q69" i="21" s="1"/>
  <c r="Q63" i="21"/>
  <c r="N72" i="20"/>
  <c r="N23" i="1"/>
  <c r="P14" i="5" s="1"/>
  <c r="N71" i="20"/>
  <c r="M72" i="20"/>
  <c r="M23" i="1"/>
  <c r="O14" i="5" s="1"/>
  <c r="M71" i="20"/>
  <c r="J14" i="4"/>
  <c r="N13" i="5"/>
  <c r="J13" i="4" s="1"/>
  <c r="Q129" i="19"/>
  <c r="Q128" i="19" s="1"/>
  <c r="Q123" i="19"/>
  <c r="Q109" i="19" s="1"/>
  <c r="P82" i="19"/>
  <c r="Q113" i="19"/>
  <c r="Q61" i="19" s="1"/>
  <c r="Q62" i="19"/>
  <c r="L83" i="19"/>
  <c r="I14" i="1" s="1"/>
  <c r="K10" i="5" s="1"/>
  <c r="G10" i="4" s="1"/>
  <c r="I12" i="1"/>
  <c r="K9" i="5" s="1"/>
  <c r="I10" i="1"/>
  <c r="I31" i="9" s="1"/>
  <c r="I36" i="9" s="1"/>
  <c r="I46" i="9" s="1"/>
  <c r="L30" i="19"/>
  <c r="N65" i="19"/>
  <c r="N68" i="19" s="1"/>
  <c r="N71" i="19"/>
  <c r="N80" i="19" s="1"/>
  <c r="P95" i="19"/>
  <c r="P101" i="19" s="1"/>
  <c r="Q59" i="19" s="1"/>
  <c r="O101" i="19"/>
  <c r="P59" i="19" s="1"/>
  <c r="N102" i="19"/>
  <c r="N104" i="19"/>
  <c r="O59" i="19"/>
  <c r="M69" i="19"/>
  <c r="M75" i="19"/>
  <c r="M78" i="19"/>
  <c r="M16" i="19" s="1"/>
  <c r="M19" i="19" s="1"/>
  <c r="J13" i="1"/>
  <c r="L11" i="5" s="1"/>
  <c r="H11" i="4" s="1"/>
  <c r="F9" i="4"/>
  <c r="J8" i="5"/>
  <c r="F8" i="4" s="1"/>
  <c r="G15" i="5"/>
  <c r="D56" i="18"/>
  <c r="D61" i="18" s="1"/>
  <c r="D33" i="1"/>
  <c r="F16" i="5" s="1"/>
  <c r="C56" i="18"/>
  <c r="C61" i="18" s="1"/>
  <c r="C33" i="1"/>
  <c r="E16" i="5" s="1"/>
  <c r="N32" i="17"/>
  <c r="N96" i="1" s="1"/>
  <c r="N24" i="9" s="1"/>
  <c r="M96" i="1"/>
  <c r="M24" i="9" s="1"/>
  <c r="O4" i="16"/>
  <c r="O8" i="16" s="1"/>
  <c r="N8" i="16"/>
  <c r="M10" i="16"/>
  <c r="L49" i="1"/>
  <c r="N24" i="5" s="1"/>
  <c r="I24" i="4"/>
  <c r="M23" i="5"/>
  <c r="I23" i="4" s="1"/>
  <c r="O32" i="5"/>
  <c r="K32" i="4" s="1"/>
  <c r="K29" i="4"/>
  <c r="AE34" i="13"/>
  <c r="AE33" i="13"/>
  <c r="N66" i="1" s="1"/>
  <c r="P29" i="5" s="1"/>
  <c r="H29" i="11"/>
  <c r="H40" i="11" s="1"/>
  <c r="H47" i="11" s="1"/>
  <c r="H53" i="11" s="1"/>
  <c r="I28" i="11"/>
  <c r="D49" i="4"/>
  <c r="I46" i="5"/>
  <c r="E36" i="4"/>
  <c r="S5" i="12"/>
  <c r="R47" i="12"/>
  <c r="H62" i="1" s="1"/>
  <c r="J36" i="5" s="1"/>
  <c r="R48" i="12"/>
  <c r="M26" i="11"/>
  <c r="N11" i="10"/>
  <c r="N93" i="1" s="1"/>
  <c r="N49" i="15" s="1"/>
  <c r="M93" i="1"/>
  <c r="M49" i="15" s="1"/>
  <c r="V62" i="27"/>
  <c r="V67" i="24" s="1"/>
  <c r="W29" i="27"/>
  <c r="W62" i="27" s="1"/>
  <c r="W67" i="24" s="1"/>
  <c r="S12" i="25"/>
  <c r="J106" i="1"/>
  <c r="J44" i="15" s="1"/>
  <c r="J47" i="15" s="1"/>
  <c r="J51" i="15" s="1"/>
  <c r="U74" i="27"/>
  <c r="T73" i="24"/>
  <c r="T74" i="24" s="1"/>
  <c r="M135" i="12" a="1"/>
  <c r="M135" i="12" s="1"/>
  <c r="N134" i="12" a="1"/>
  <c r="N134" i="12" s="1"/>
  <c r="M130" i="12" a="1"/>
  <c r="M130" i="12" s="1"/>
  <c r="N129" i="12" a="1"/>
  <c r="N129" i="12" s="1"/>
  <c r="M118" i="12" a="1"/>
  <c r="M118" i="12" s="1"/>
  <c r="M117" i="12" a="1"/>
  <c r="M117" i="12" s="1"/>
  <c r="M116" i="12" a="1"/>
  <c r="M116" i="12" s="1"/>
  <c r="M106" i="12" a="1"/>
  <c r="M106" i="12" s="1"/>
  <c r="J186" i="12"/>
  <c r="J52" i="11"/>
  <c r="K51" i="11"/>
  <c r="J27" i="11"/>
  <c r="K50" i="11"/>
  <c r="K142" i="12"/>
  <c r="L140" i="12"/>
  <c r="L139" i="12" a="1"/>
  <c r="L139" i="12" s="1"/>
  <c r="M105" i="12" a="1"/>
  <c r="M105" i="12" s="1"/>
  <c r="AD24" i="14"/>
  <c r="AD23" i="14"/>
  <c r="N71" i="1" s="1"/>
  <c r="P31" i="5" s="1"/>
  <c r="L31" i="4" s="1"/>
  <c r="W28" i="26"/>
  <c r="V62" i="26"/>
  <c r="V65" i="24" s="1"/>
  <c r="W29" i="26"/>
  <c r="W62" i="26" s="1"/>
  <c r="W65" i="24" s="1"/>
  <c r="N13" i="25"/>
  <c r="N18" i="25" s="1"/>
  <c r="O6" i="25"/>
  <c r="O11" i="25" s="1"/>
  <c r="P109" i="19"/>
  <c r="Q64" i="21"/>
  <c r="K50" i="1"/>
  <c r="M42" i="5" s="1"/>
  <c r="I42" i="4" s="1"/>
  <c r="L12" i="16"/>
  <c r="L50" i="1" l="1"/>
  <c r="N42" i="5" s="1"/>
  <c r="J42" i="4" s="1"/>
  <c r="M12" i="16"/>
  <c r="E46" i="4"/>
  <c r="I49" i="5"/>
  <c r="E49" i="4" s="1"/>
  <c r="V68" i="24"/>
  <c r="M105" i="1" s="1"/>
  <c r="M42" i="15" s="1"/>
  <c r="V22" i="24"/>
  <c r="V47" i="24" s="1"/>
  <c r="M58" i="1"/>
  <c r="M14" i="9" s="1"/>
  <c r="M18" i="9" s="1"/>
  <c r="M20" i="9" s="1"/>
  <c r="D26" i="4"/>
  <c r="H25" i="5"/>
  <c r="D25" i="4" s="1"/>
  <c r="R62" i="24"/>
  <c r="H104" i="1"/>
  <c r="H43" i="15" s="1"/>
  <c r="Q16" i="25"/>
  <c r="Q8" i="25"/>
  <c r="G52" i="15"/>
  <c r="G45" i="15"/>
  <c r="G77" i="1" s="1"/>
  <c r="I26" i="5" s="1"/>
  <c r="G53" i="15"/>
  <c r="G23" i="15"/>
  <c r="G24" i="15" s="1"/>
  <c r="G26" i="15" s="1"/>
  <c r="G101" i="1" s="1"/>
  <c r="G68" i="9" s="1"/>
  <c r="G70" i="9" s="1"/>
  <c r="AE14" i="4"/>
  <c r="AZ14" i="4"/>
  <c r="AE13" i="4"/>
  <c r="AZ13" i="4"/>
  <c r="AB10" i="4"/>
  <c r="AW10" i="4"/>
  <c r="AC11" i="4"/>
  <c r="AX11" i="4"/>
  <c r="AA9" i="4"/>
  <c r="AV9" i="4"/>
  <c r="AA8" i="4"/>
  <c r="AV8" i="4"/>
  <c r="AE42" i="4"/>
  <c r="AZ42" i="4"/>
  <c r="AD24" i="4"/>
  <c r="AY24" i="4"/>
  <c r="AD23" i="4"/>
  <c r="AY23" i="4"/>
  <c r="AF32" i="4"/>
  <c r="BA32" i="4"/>
  <c r="AF29" i="4"/>
  <c r="BA29" i="4"/>
  <c r="Y49" i="4"/>
  <c r="AT49" i="4"/>
  <c r="Z46" i="4"/>
  <c r="AU46" i="4"/>
  <c r="Z36" i="4"/>
  <c r="AU36" i="4"/>
  <c r="AG31" i="4"/>
  <c r="BB31" i="4"/>
  <c r="AD42" i="4"/>
  <c r="AY42" i="4"/>
  <c r="W74" i="28"/>
  <c r="W72" i="24" s="1"/>
  <c r="V72" i="24"/>
  <c r="U7" i="25"/>
  <c r="U60" i="24"/>
  <c r="U48" i="24"/>
  <c r="W68" i="28"/>
  <c r="W70" i="28" s="1"/>
  <c r="W7" i="24" s="1"/>
  <c r="W62" i="28"/>
  <c r="W66" i="24" s="1"/>
  <c r="W68" i="24" s="1"/>
  <c r="N105" i="1" s="1"/>
  <c r="N42" i="15" s="1"/>
  <c r="V71" i="24"/>
  <c r="P13" i="5"/>
  <c r="L13" i="4" s="1"/>
  <c r="L14" i="4"/>
  <c r="K14" i="4"/>
  <c r="O13" i="5"/>
  <c r="K13" i="4" s="1"/>
  <c r="Q82" i="19"/>
  <c r="G9" i="4"/>
  <c r="K8" i="5"/>
  <c r="G8" i="4" s="1"/>
  <c r="N69" i="19"/>
  <c r="N75" i="19"/>
  <c r="K13" i="1"/>
  <c r="M11" i="5" s="1"/>
  <c r="I11" i="4" s="1"/>
  <c r="N78" i="19"/>
  <c r="N16" i="19" s="1"/>
  <c r="N19" i="19" s="1"/>
  <c r="O104" i="19"/>
  <c r="N105" i="19"/>
  <c r="O60" i="19" s="1"/>
  <c r="O65" i="19"/>
  <c r="O68" i="19" s="1"/>
  <c r="O71" i="19"/>
  <c r="O80" i="19" s="1"/>
  <c r="M83" i="19"/>
  <c r="J14" i="1" s="1"/>
  <c r="L10" i="5" s="1"/>
  <c r="H10" i="4" s="1"/>
  <c r="J12" i="1"/>
  <c r="L9" i="5" s="1"/>
  <c r="J10" i="1"/>
  <c r="J31" i="9" s="1"/>
  <c r="J36" i="9" s="1"/>
  <c r="J46" i="9" s="1"/>
  <c r="M30" i="19"/>
  <c r="F15" i="5"/>
  <c r="E15" i="5"/>
  <c r="O10" i="16"/>
  <c r="N49" i="1"/>
  <c r="P24" i="5" s="1"/>
  <c r="N10" i="16"/>
  <c r="M49" i="1"/>
  <c r="O24" i="5" s="1"/>
  <c r="J24" i="4"/>
  <c r="N23" i="5"/>
  <c r="J23" i="4" s="1"/>
  <c r="P32" i="5"/>
  <c r="L32" i="4" s="1"/>
  <c r="L29" i="4"/>
  <c r="I29" i="11"/>
  <c r="I40" i="11" s="1"/>
  <c r="I47" i="11" s="1"/>
  <c r="I53" i="11" s="1"/>
  <c r="J28" i="11"/>
  <c r="S47" i="12"/>
  <c r="I62" i="1" s="1"/>
  <c r="K36" i="5" s="1"/>
  <c r="S48" i="12"/>
  <c r="T5" i="12"/>
  <c r="J46" i="5"/>
  <c r="F36" i="4"/>
  <c r="N26" i="11"/>
  <c r="U73" i="24"/>
  <c r="U74" i="24" s="1"/>
  <c r="V74" i="27"/>
  <c r="T12" i="25"/>
  <c r="K106" i="1"/>
  <c r="K44" i="15" s="1"/>
  <c r="K47" i="15" s="1"/>
  <c r="K51" i="15" s="1"/>
  <c r="N135" i="12" a="1"/>
  <c r="N135" i="12" s="1"/>
  <c r="N130" i="12" a="1"/>
  <c r="N130" i="12" s="1"/>
  <c r="N118" i="12" a="1"/>
  <c r="N118" i="12" s="1"/>
  <c r="N117" i="12" a="1"/>
  <c r="N117" i="12" s="1"/>
  <c r="N116" i="12" a="1"/>
  <c r="N116" i="12" s="1"/>
  <c r="N106" i="12" a="1"/>
  <c r="N106" i="12" s="1"/>
  <c r="L51" i="11"/>
  <c r="K27" i="11"/>
  <c r="K186" i="12"/>
  <c r="K52" i="11"/>
  <c r="L50" i="11"/>
  <c r="L142" i="12"/>
  <c r="M140" i="12"/>
  <c r="M139" i="12" a="1"/>
  <c r="M139" i="12" s="1"/>
  <c r="N105" i="12" a="1"/>
  <c r="N105" i="12" s="1"/>
  <c r="W68" i="26"/>
  <c r="W70" i="26" s="1"/>
  <c r="W73" i="26"/>
  <c r="W74" i="26" s="1"/>
  <c r="W71" i="24" s="1"/>
  <c r="W32" i="26"/>
  <c r="W60" i="26" s="1"/>
  <c r="F82" i="1"/>
  <c r="H5" i="5" s="1"/>
  <c r="G27" i="5"/>
  <c r="P6" i="25"/>
  <c r="P11" i="25" s="1"/>
  <c r="O13" i="25"/>
  <c r="O18" i="25" s="1"/>
  <c r="Q132" i="19"/>
  <c r="M50" i="1" l="1"/>
  <c r="O42" i="5" s="1"/>
  <c r="K42" i="4" s="1"/>
  <c r="N12" i="16"/>
  <c r="Y25" i="4"/>
  <c r="AT25" i="4"/>
  <c r="Y26" i="4"/>
  <c r="AT26" i="4"/>
  <c r="V48" i="24"/>
  <c r="V7" i="25"/>
  <c r="V60" i="24"/>
  <c r="H52" i="15"/>
  <c r="H45" i="15"/>
  <c r="H77" i="1" s="1"/>
  <c r="J26" i="5" s="1"/>
  <c r="H53" i="15"/>
  <c r="H23" i="15"/>
  <c r="H24" i="15" s="1"/>
  <c r="H26" i="15" s="1"/>
  <c r="H101" i="1" s="1"/>
  <c r="H68" i="9" s="1"/>
  <c r="H70" i="9" s="1"/>
  <c r="E26" i="4"/>
  <c r="I25" i="5"/>
  <c r="E25" i="4" s="1"/>
  <c r="S62" i="24"/>
  <c r="R16" i="25"/>
  <c r="R8" i="25"/>
  <c r="I104" i="1"/>
  <c r="I43" i="15" s="1"/>
  <c r="I52" i="15" s="1"/>
  <c r="G73" i="9"/>
  <c r="AG13" i="4"/>
  <c r="BB13" i="4"/>
  <c r="AG14" i="4"/>
  <c r="BB14" i="4"/>
  <c r="AF14" i="4"/>
  <c r="BA14" i="4"/>
  <c r="AF13" i="4"/>
  <c r="BA13" i="4"/>
  <c r="AB9" i="4"/>
  <c r="AW9" i="4"/>
  <c r="AB8" i="4"/>
  <c r="AW8" i="4"/>
  <c r="AD11" i="4"/>
  <c r="AY11" i="4"/>
  <c r="AC10" i="4"/>
  <c r="AX10" i="4"/>
  <c r="AF42" i="4"/>
  <c r="BA42" i="4"/>
  <c r="AE24" i="4"/>
  <c r="AZ24" i="4"/>
  <c r="AE23" i="4"/>
  <c r="AZ23" i="4"/>
  <c r="AG32" i="4"/>
  <c r="BB32" i="4"/>
  <c r="AG29" i="4"/>
  <c r="BB29" i="4"/>
  <c r="Z49" i="4"/>
  <c r="AU49" i="4"/>
  <c r="AA36" i="4"/>
  <c r="AV36" i="4"/>
  <c r="N83" i="19"/>
  <c r="K14" i="1" s="1"/>
  <c r="M10" i="5" s="1"/>
  <c r="I10" i="4" s="1"/>
  <c r="K12" i="1"/>
  <c r="M9" i="5" s="1"/>
  <c r="N30" i="19"/>
  <c r="K10" i="1"/>
  <c r="K31" i="9" s="1"/>
  <c r="K36" i="9" s="1"/>
  <c r="K46" i="9" s="1"/>
  <c r="P104" i="19"/>
  <c r="P105" i="19" s="1"/>
  <c r="Q60" i="19" s="1"/>
  <c r="O105" i="19"/>
  <c r="P60" i="19" s="1"/>
  <c r="O69" i="19"/>
  <c r="O75" i="19"/>
  <c r="L13" i="1"/>
  <c r="N11" i="5" s="1"/>
  <c r="J11" i="4" s="1"/>
  <c r="O78" i="19"/>
  <c r="H9" i="4"/>
  <c r="L8" i="5"/>
  <c r="H8" i="4" s="1"/>
  <c r="F27" i="5"/>
  <c r="E27" i="5"/>
  <c r="L24" i="4"/>
  <c r="P23" i="5"/>
  <c r="L23" i="4" s="1"/>
  <c r="K24" i="4"/>
  <c r="O23" i="5"/>
  <c r="K23" i="4" s="1"/>
  <c r="J29" i="11"/>
  <c r="J40" i="11" s="1"/>
  <c r="J47" i="11" s="1"/>
  <c r="J53" i="11" s="1"/>
  <c r="K28" i="11"/>
  <c r="K46" i="5"/>
  <c r="G36" i="4"/>
  <c r="U5" i="12"/>
  <c r="T47" i="12"/>
  <c r="J62" i="1" s="1"/>
  <c r="L36" i="5" s="1"/>
  <c r="T48" i="12"/>
  <c r="U12" i="25"/>
  <c r="L106" i="1"/>
  <c r="L44" i="15" s="1"/>
  <c r="L47" i="15" s="1"/>
  <c r="L51" i="15" s="1"/>
  <c r="V73" i="24"/>
  <c r="V74" i="24" s="1"/>
  <c r="W74" i="27"/>
  <c r="W73" i="24" s="1"/>
  <c r="W74" i="24" s="1"/>
  <c r="M51" i="11"/>
  <c r="L27" i="11"/>
  <c r="L186" i="12"/>
  <c r="L52" i="11"/>
  <c r="M50" i="11"/>
  <c r="M142" i="12"/>
  <c r="N140" i="12"/>
  <c r="N139" i="12" a="1"/>
  <c r="N139" i="12" s="1"/>
  <c r="W6" i="24"/>
  <c r="W10" i="24" s="1"/>
  <c r="N47" i="1"/>
  <c r="N46" i="1"/>
  <c r="W84" i="24"/>
  <c r="W87" i="24" s="1"/>
  <c r="N59" i="1" s="1"/>
  <c r="N5" i="9" s="1"/>
  <c r="N11" i="9" s="1"/>
  <c r="H27" i="5"/>
  <c r="D5" i="4"/>
  <c r="G33" i="5"/>
  <c r="P13" i="25"/>
  <c r="P18" i="25" s="1"/>
  <c r="Q6" i="25"/>
  <c r="Q11" i="25" s="1"/>
  <c r="N50" i="1"/>
  <c r="P42" i="5" s="1"/>
  <c r="L42" i="4" s="1"/>
  <c r="O12" i="16"/>
  <c r="F46" i="4"/>
  <c r="J49" i="5"/>
  <c r="Z26" i="4" l="1"/>
  <c r="AU26" i="4"/>
  <c r="Z25" i="4"/>
  <c r="AU25" i="4"/>
  <c r="F26" i="4"/>
  <c r="J25" i="5"/>
  <c r="F25" i="4" s="1"/>
  <c r="S16" i="25"/>
  <c r="T62" i="24"/>
  <c r="S8" i="25"/>
  <c r="J104" i="1"/>
  <c r="J43" i="15" s="1"/>
  <c r="I45" i="15"/>
  <c r="I77" i="1" s="1"/>
  <c r="K26" i="5" s="1"/>
  <c r="I53" i="15"/>
  <c r="I23" i="15"/>
  <c r="I24" i="15" s="1"/>
  <c r="I26" i="15" s="1"/>
  <c r="I101" i="1" s="1"/>
  <c r="I68" i="9" s="1"/>
  <c r="I70" i="9" s="1"/>
  <c r="G82" i="1"/>
  <c r="I5" i="5" s="1"/>
  <c r="H72" i="9"/>
  <c r="H73" i="9" s="1"/>
  <c r="AD10" i="4"/>
  <c r="AY10" i="4"/>
  <c r="AE11" i="4"/>
  <c r="AZ11" i="4"/>
  <c r="AC9" i="4"/>
  <c r="AX9" i="4"/>
  <c r="AC8" i="4"/>
  <c r="AX8" i="4"/>
  <c r="AG24" i="4"/>
  <c r="BB24" i="4"/>
  <c r="AG23" i="4"/>
  <c r="BB23" i="4"/>
  <c r="AF24" i="4"/>
  <c r="BA24" i="4"/>
  <c r="AF23" i="4"/>
  <c r="BA23" i="4"/>
  <c r="AB36" i="4"/>
  <c r="AW36" i="4"/>
  <c r="Y5" i="4"/>
  <c r="AT5" i="4"/>
  <c r="AG42" i="4"/>
  <c r="BB42" i="4"/>
  <c r="AA46" i="4"/>
  <c r="AV46" i="4"/>
  <c r="I9" i="4"/>
  <c r="M8" i="5"/>
  <c r="I8" i="4" s="1"/>
  <c r="Q65" i="19"/>
  <c r="Q68" i="19" s="1"/>
  <c r="Q71" i="19" s="1"/>
  <c r="Q80" i="19" s="1"/>
  <c r="P65" i="19"/>
  <c r="P68" i="19" s="1"/>
  <c r="P71" i="19"/>
  <c r="P80" i="19" s="1"/>
  <c r="O83" i="19"/>
  <c r="L14" i="1" s="1"/>
  <c r="N10" i="5" s="1"/>
  <c r="J10" i="4" s="1"/>
  <c r="L12" i="1"/>
  <c r="N9" i="5" s="1"/>
  <c r="F33" i="5"/>
  <c r="E33" i="5"/>
  <c r="K29" i="11"/>
  <c r="K40" i="11" s="1"/>
  <c r="K47" i="11" s="1"/>
  <c r="K53" i="11" s="1"/>
  <c r="L28" i="11"/>
  <c r="U47" i="12"/>
  <c r="K62" i="1" s="1"/>
  <c r="M36" i="5" s="1"/>
  <c r="U48" i="12"/>
  <c r="V5" i="12"/>
  <c r="L46" i="5"/>
  <c r="H36" i="4"/>
  <c r="M106" i="1"/>
  <c r="M44" i="15" s="1"/>
  <c r="M47" i="15" s="1"/>
  <c r="M51" i="15" s="1"/>
  <c r="V12" i="25"/>
  <c r="W12" i="25"/>
  <c r="N106" i="1"/>
  <c r="N44" i="15" s="1"/>
  <c r="N47" i="15" s="1"/>
  <c r="N51" i="15" s="1"/>
  <c r="N51" i="11"/>
  <c r="M27" i="11"/>
  <c r="M186" i="12"/>
  <c r="M52" i="11"/>
  <c r="N50" i="11"/>
  <c r="N27" i="11" s="1"/>
  <c r="N142" i="12"/>
  <c r="W22" i="24"/>
  <c r="W47" i="24" s="1"/>
  <c r="N58" i="1"/>
  <c r="N14" i="9" s="1"/>
  <c r="N18" i="9" s="1"/>
  <c r="N20" i="9" s="1"/>
  <c r="H33" i="5"/>
  <c r="D27" i="4"/>
  <c r="E161" i="12"/>
  <c r="E171" i="12"/>
  <c r="E149" i="12"/>
  <c r="E179" i="12"/>
  <c r="E181" i="12"/>
  <c r="E168" i="12"/>
  <c r="E166" i="12"/>
  <c r="E157" i="12"/>
  <c r="E154" i="12"/>
  <c r="E148" i="12"/>
  <c r="E162" i="12"/>
  <c r="E164" i="12"/>
  <c r="E150" i="12"/>
  <c r="E160" i="12"/>
  <c r="E172" i="12"/>
  <c r="E159" i="12"/>
  <c r="E163" i="12"/>
  <c r="E180" i="12"/>
  <c r="E170" i="12"/>
  <c r="E151" i="12"/>
  <c r="E165" i="12"/>
  <c r="E178" i="12"/>
  <c r="E177" i="12"/>
  <c r="E173" i="12"/>
  <c r="E169" i="12"/>
  <c r="E167" i="12"/>
  <c r="E158" i="12"/>
  <c r="E156" i="12"/>
  <c r="E155" i="12"/>
  <c r="E153" i="12"/>
  <c r="E152" i="12"/>
  <c r="E176" i="12"/>
  <c r="E182" i="12"/>
  <c r="E175" i="12"/>
  <c r="E4" i="8"/>
  <c r="E10" i="8" s="1"/>
  <c r="E11" i="8" s="1"/>
  <c r="E86" i="1" s="1"/>
  <c r="G35" i="5" s="1"/>
  <c r="G38" i="5" s="1"/>
  <c r="E174" i="12"/>
  <c r="E185" i="12"/>
  <c r="E187" i="12" s="1"/>
  <c r="Q13" i="25"/>
  <c r="Q18" i="25" s="1"/>
  <c r="R6" i="25"/>
  <c r="R11" i="25" s="1"/>
  <c r="F49" i="4"/>
  <c r="G46" i="4"/>
  <c r="K49" i="5"/>
  <c r="H46" i="4" l="1"/>
  <c r="L49" i="5"/>
  <c r="H49" i="4" s="1"/>
  <c r="AA26" i="4"/>
  <c r="AV26" i="4"/>
  <c r="AA25" i="4"/>
  <c r="AV25" i="4"/>
  <c r="U62" i="24"/>
  <c r="T16" i="25"/>
  <c r="T8" i="25"/>
  <c r="K104" i="1"/>
  <c r="K43" i="15" s="1"/>
  <c r="J52" i="15"/>
  <c r="J45" i="15"/>
  <c r="J77" i="1" s="1"/>
  <c r="L26" i="5" s="1"/>
  <c r="J53" i="15"/>
  <c r="J23" i="15"/>
  <c r="J24" i="15" s="1"/>
  <c r="J26" i="15" s="1"/>
  <c r="J101" i="1" s="1"/>
  <c r="J68" i="9" s="1"/>
  <c r="J70" i="9" s="1"/>
  <c r="G26" i="4"/>
  <c r="K25" i="5"/>
  <c r="G25" i="4" s="1"/>
  <c r="I27" i="5"/>
  <c r="E5" i="4"/>
  <c r="H82" i="1"/>
  <c r="J5" i="5" s="1"/>
  <c r="I72" i="9"/>
  <c r="I73" i="9" s="1"/>
  <c r="AD9" i="4"/>
  <c r="AY9" i="4"/>
  <c r="AD8" i="4"/>
  <c r="AY8" i="4"/>
  <c r="AE10" i="4"/>
  <c r="AZ10" i="4"/>
  <c r="AC36" i="4"/>
  <c r="AX36" i="4"/>
  <c r="Z5" i="4"/>
  <c r="AU5" i="4"/>
  <c r="Y27" i="4"/>
  <c r="AT27" i="4"/>
  <c r="AB26" i="4"/>
  <c r="AW26" i="4"/>
  <c r="AB25" i="4"/>
  <c r="AW25" i="4"/>
  <c r="AA49" i="4"/>
  <c r="AV49" i="4"/>
  <c r="AB46" i="4"/>
  <c r="AW46" i="4"/>
  <c r="N13" i="1"/>
  <c r="P11" i="5" s="1"/>
  <c r="L11" i="4" s="1"/>
  <c r="Q78" i="19"/>
  <c r="Q69" i="19"/>
  <c r="Q75" i="19"/>
  <c r="P75" i="19"/>
  <c r="P69" i="19"/>
  <c r="P78" i="19"/>
  <c r="M13" i="1"/>
  <c r="O11" i="5" s="1"/>
  <c r="K11" i="4" s="1"/>
  <c r="J9" i="4"/>
  <c r="N8" i="5"/>
  <c r="J8" i="4" s="1"/>
  <c r="D157" i="12"/>
  <c r="D155" i="12"/>
  <c r="D153" i="12"/>
  <c r="D180" i="12"/>
  <c r="D173" i="12"/>
  <c r="D152" i="12"/>
  <c r="D167" i="12"/>
  <c r="D161" i="12"/>
  <c r="D158" i="12"/>
  <c r="D162" i="12"/>
  <c r="D176" i="12"/>
  <c r="D160" i="12"/>
  <c r="D166" i="12"/>
  <c r="D175" i="12"/>
  <c r="D165" i="12"/>
  <c r="D179" i="12"/>
  <c r="D181" i="12"/>
  <c r="D182" i="12"/>
  <c r="D151" i="12"/>
  <c r="D156" i="12"/>
  <c r="D154" i="12"/>
  <c r="D177" i="12"/>
  <c r="D163" i="12"/>
  <c r="D164" i="12"/>
  <c r="D149" i="12"/>
  <c r="D150" i="12"/>
  <c r="D159" i="12"/>
  <c r="D168" i="12"/>
  <c r="D169" i="12"/>
  <c r="D170" i="12"/>
  <c r="D171" i="12"/>
  <c r="D172" i="12"/>
  <c r="D178" i="12"/>
  <c r="D148" i="12"/>
  <c r="D174" i="12"/>
  <c r="D4" i="8"/>
  <c r="D10" i="8" s="1"/>
  <c r="D11" i="8" s="1"/>
  <c r="D86" i="1" s="1"/>
  <c r="F35" i="5" s="1"/>
  <c r="F38" i="5" s="1"/>
  <c r="D185" i="12"/>
  <c r="D187" i="12" s="1"/>
  <c r="C178" i="12"/>
  <c r="C173" i="12"/>
  <c r="C167" i="12"/>
  <c r="C148" i="12"/>
  <c r="C149" i="12"/>
  <c r="C150" i="12"/>
  <c r="C154" i="12"/>
  <c r="C158" i="12"/>
  <c r="C156" i="12"/>
  <c r="C181" i="12"/>
  <c r="C165" i="12"/>
  <c r="C153" i="12"/>
  <c r="C155" i="12"/>
  <c r="C157" i="12"/>
  <c r="C159" i="12"/>
  <c r="C168" i="12"/>
  <c r="C177" i="12"/>
  <c r="C163" i="12"/>
  <c r="C179" i="12"/>
  <c r="C160" i="12"/>
  <c r="C161" i="12"/>
  <c r="C166" i="12"/>
  <c r="C169" i="12"/>
  <c r="C170" i="12"/>
  <c r="C171" i="12"/>
  <c r="C172" i="12"/>
  <c r="C151" i="12"/>
  <c r="C152" i="12"/>
  <c r="C164" i="12"/>
  <c r="C174" i="12"/>
  <c r="C175" i="12"/>
  <c r="C180" i="12"/>
  <c r="C182" i="12"/>
  <c r="C176" i="12"/>
  <c r="C162" i="12"/>
  <c r="C4" i="8"/>
  <c r="C10" i="8" s="1"/>
  <c r="C11" i="8" s="1"/>
  <c r="C86" i="1" s="1"/>
  <c r="E35" i="5" s="1"/>
  <c r="E38" i="5" s="1"/>
  <c r="C185" i="12"/>
  <c r="C187" i="12" s="1"/>
  <c r="L29" i="11"/>
  <c r="L40" i="11" s="1"/>
  <c r="L47" i="11" s="1"/>
  <c r="L53" i="11" s="1"/>
  <c r="M28" i="11"/>
  <c r="M46" i="5"/>
  <c r="I36" i="4"/>
  <c r="V47" i="12"/>
  <c r="L62" i="1" s="1"/>
  <c r="N36" i="5" s="1"/>
  <c r="V48" i="12"/>
  <c r="W5" i="12"/>
  <c r="N52" i="11"/>
  <c r="N186" i="12"/>
  <c r="W7" i="25"/>
  <c r="W60" i="24"/>
  <c r="W48" i="24"/>
  <c r="F178" i="12"/>
  <c r="F170" i="12"/>
  <c r="F167" i="12"/>
  <c r="F157" i="12"/>
  <c r="F154" i="12"/>
  <c r="F172" i="12"/>
  <c r="F149" i="12"/>
  <c r="F160" i="12"/>
  <c r="F165" i="12"/>
  <c r="F162" i="12"/>
  <c r="F163" i="12"/>
  <c r="F161" i="12"/>
  <c r="F173" i="12"/>
  <c r="F150" i="12"/>
  <c r="F177" i="12"/>
  <c r="F168" i="12"/>
  <c r="F158" i="12"/>
  <c r="F155" i="12"/>
  <c r="F171" i="12"/>
  <c r="F148" i="12"/>
  <c r="F159" i="12"/>
  <c r="F152" i="12"/>
  <c r="F181" i="12"/>
  <c r="F180" i="12"/>
  <c r="F175" i="12"/>
  <c r="F179" i="12"/>
  <c r="F182" i="12"/>
  <c r="F151" i="12"/>
  <c r="F156" i="12"/>
  <c r="F176" i="12"/>
  <c r="F169" i="12"/>
  <c r="F166" i="12"/>
  <c r="F153" i="12"/>
  <c r="F164" i="12"/>
  <c r="F4" i="8"/>
  <c r="F10" i="8" s="1"/>
  <c r="F11" i="8" s="1"/>
  <c r="F86" i="1" s="1"/>
  <c r="H35" i="5" s="1"/>
  <c r="H38" i="5" s="1"/>
  <c r="F174" i="12"/>
  <c r="F185" i="12"/>
  <c r="F187" i="12" s="1"/>
  <c r="D33" i="4"/>
  <c r="G39" i="5"/>
  <c r="S6" i="25"/>
  <c r="S11" i="25" s="1"/>
  <c r="R13" i="25"/>
  <c r="R18" i="25" s="1"/>
  <c r="G49" i="4"/>
  <c r="E184" i="12"/>
  <c r="G47" i="5" s="1"/>
  <c r="AC46" i="4" l="1"/>
  <c r="AX46" i="4"/>
  <c r="I46" i="4"/>
  <c r="M49" i="5"/>
  <c r="I49" i="4" s="1"/>
  <c r="V62" i="24"/>
  <c r="U16" i="25"/>
  <c r="U8" i="25"/>
  <c r="L104" i="1"/>
  <c r="L43" i="15" s="1"/>
  <c r="K52" i="15"/>
  <c r="K45" i="15"/>
  <c r="K77" i="1" s="1"/>
  <c r="M26" i="5" s="1"/>
  <c r="K53" i="15"/>
  <c r="K23" i="15"/>
  <c r="K24" i="15" s="1"/>
  <c r="K26" i="15" s="1"/>
  <c r="K101" i="1" s="1"/>
  <c r="K68" i="9" s="1"/>
  <c r="K70" i="9" s="1"/>
  <c r="H26" i="4"/>
  <c r="L25" i="5"/>
  <c r="H25" i="4" s="1"/>
  <c r="I33" i="5"/>
  <c r="E27" i="4"/>
  <c r="J27" i="5"/>
  <c r="F5" i="4"/>
  <c r="I82" i="1"/>
  <c r="K5" i="5" s="1"/>
  <c r="J72" i="9"/>
  <c r="J73" i="9" s="1"/>
  <c r="AG11" i="4"/>
  <c r="BB11" i="4"/>
  <c r="AF11" i="4"/>
  <c r="BA11" i="4"/>
  <c r="AE9" i="4"/>
  <c r="AZ9" i="4"/>
  <c r="AE8" i="4"/>
  <c r="AZ8" i="4"/>
  <c r="AD36" i="4"/>
  <c r="AY36" i="4"/>
  <c r="AC49" i="4"/>
  <c r="AX49" i="4"/>
  <c r="Y33" i="4"/>
  <c r="AT33" i="4"/>
  <c r="AB49" i="4"/>
  <c r="AW49" i="4"/>
  <c r="K70" i="19"/>
  <c r="K84" i="19" s="1"/>
  <c r="Q83" i="19"/>
  <c r="N14" i="1" s="1"/>
  <c r="P10" i="5" s="1"/>
  <c r="L10" i="4" s="1"/>
  <c r="Q70" i="19"/>
  <c r="Q84" i="19" s="1"/>
  <c r="I70" i="19"/>
  <c r="I84" i="19" s="1"/>
  <c r="J70" i="19"/>
  <c r="J84" i="19" s="1"/>
  <c r="N12" i="1"/>
  <c r="P9" i="5" s="1"/>
  <c r="Q76" i="19"/>
  <c r="N17" i="1" s="1"/>
  <c r="P41" i="5" s="1"/>
  <c r="L41" i="4" s="1"/>
  <c r="J76" i="19"/>
  <c r="G17" i="1" s="1"/>
  <c r="I41" i="5" s="1"/>
  <c r="E41" i="4" s="1"/>
  <c r="I76" i="19"/>
  <c r="F17" i="1" s="1"/>
  <c r="H41" i="5" s="1"/>
  <c r="D41" i="4" s="1"/>
  <c r="O76" i="19"/>
  <c r="L17" i="1" s="1"/>
  <c r="N41" i="5" s="1"/>
  <c r="J41" i="4" s="1"/>
  <c r="L76" i="19"/>
  <c r="I17" i="1" s="1"/>
  <c r="K41" i="5" s="1"/>
  <c r="G41" i="4" s="1"/>
  <c r="K76" i="19"/>
  <c r="H17" i="1" s="1"/>
  <c r="J41" i="5" s="1"/>
  <c r="F41" i="4" s="1"/>
  <c r="M76" i="19"/>
  <c r="J17" i="1" s="1"/>
  <c r="L41" i="5" s="1"/>
  <c r="H41" i="4" s="1"/>
  <c r="N76" i="19"/>
  <c r="K17" i="1" s="1"/>
  <c r="M41" i="5" s="1"/>
  <c r="I41" i="4" s="1"/>
  <c r="M12" i="1"/>
  <c r="O9" i="5" s="1"/>
  <c r="P76" i="19"/>
  <c r="M17" i="1" s="1"/>
  <c r="O41" i="5" s="1"/>
  <c r="K41" i="4" s="1"/>
  <c r="O70" i="19"/>
  <c r="O84" i="19" s="1"/>
  <c r="M70" i="19"/>
  <c r="M84" i="19" s="1"/>
  <c r="L70" i="19"/>
  <c r="L84" i="19" s="1"/>
  <c r="N70" i="19"/>
  <c r="N84" i="19" s="1"/>
  <c r="P83" i="19"/>
  <c r="M14" i="1" s="1"/>
  <c r="O10" i="5" s="1"/>
  <c r="K10" i="4" s="1"/>
  <c r="P70" i="19"/>
  <c r="P84" i="19" s="1"/>
  <c r="F39" i="5"/>
  <c r="E39" i="5"/>
  <c r="M29" i="11"/>
  <c r="M40" i="11" s="1"/>
  <c r="M47" i="11" s="1"/>
  <c r="M53" i="11" s="1"/>
  <c r="N28" i="11"/>
  <c r="N29" i="11" s="1"/>
  <c r="N40" i="11" s="1"/>
  <c r="N47" i="11" s="1"/>
  <c r="N53" i="11" s="1"/>
  <c r="N46" i="5"/>
  <c r="J36" i="4"/>
  <c r="X5" i="12"/>
  <c r="W47" i="12"/>
  <c r="M62" i="1" s="1"/>
  <c r="O36" i="5" s="1"/>
  <c r="W48" i="12"/>
  <c r="D38" i="4"/>
  <c r="H39" i="5"/>
  <c r="D35" i="4"/>
  <c r="G44" i="5"/>
  <c r="S13" i="25"/>
  <c r="S18" i="25" s="1"/>
  <c r="T6" i="25"/>
  <c r="T11" i="25" s="1"/>
  <c r="D184" i="12"/>
  <c r="F47" i="5" s="1"/>
  <c r="F184" i="12"/>
  <c r="H47" i="5" s="1"/>
  <c r="D47" i="4" s="1"/>
  <c r="C184" i="12"/>
  <c r="E47" i="5" s="1"/>
  <c r="AY46" i="4" l="1"/>
  <c r="AD46" i="4"/>
  <c r="AC26" i="4"/>
  <c r="AX26" i="4"/>
  <c r="AC25" i="4"/>
  <c r="AX25" i="4"/>
  <c r="Z27" i="4"/>
  <c r="AU27" i="4"/>
  <c r="AA5" i="4"/>
  <c r="AV5" i="4"/>
  <c r="W62" i="24"/>
  <c r="V8" i="25"/>
  <c r="V16" i="25"/>
  <c r="M104" i="1"/>
  <c r="M43" i="15" s="1"/>
  <c r="L53" i="15"/>
  <c r="L45" i="15"/>
  <c r="L77" i="1" s="1"/>
  <c r="N26" i="5" s="1"/>
  <c r="L52" i="15"/>
  <c r="L23" i="15"/>
  <c r="L24" i="15" s="1"/>
  <c r="L26" i="15" s="1"/>
  <c r="L101" i="1" s="1"/>
  <c r="L68" i="9" s="1"/>
  <c r="L70" i="9" s="1"/>
  <c r="I26" i="4"/>
  <c r="M25" i="5"/>
  <c r="I25" i="4" s="1"/>
  <c r="G159" i="12"/>
  <c r="G160" i="12"/>
  <c r="G173" i="12"/>
  <c r="G152" i="12"/>
  <c r="G176" i="12"/>
  <c r="G156" i="12"/>
  <c r="G162" i="12"/>
  <c r="G158" i="12"/>
  <c r="G154" i="12"/>
  <c r="G172" i="12"/>
  <c r="G163" i="12"/>
  <c r="G180" i="12"/>
  <c r="G175" i="12"/>
  <c r="G151" i="12"/>
  <c r="G179" i="12"/>
  <c r="G177" i="12"/>
  <c r="G170" i="12"/>
  <c r="G165" i="12"/>
  <c r="G168" i="12"/>
  <c r="G167" i="12"/>
  <c r="G157" i="12"/>
  <c r="G153" i="12"/>
  <c r="G149" i="12"/>
  <c r="G161" i="12"/>
  <c r="G150" i="12"/>
  <c r="G178" i="12"/>
  <c r="G182" i="12"/>
  <c r="G148" i="12"/>
  <c r="G164" i="12"/>
  <c r="G181" i="12"/>
  <c r="G4" i="8"/>
  <c r="G10" i="8" s="1"/>
  <c r="G11" i="8" s="1"/>
  <c r="G86" i="1" s="1"/>
  <c r="I35" i="5" s="1"/>
  <c r="G185" i="12"/>
  <c r="G187" i="12" s="1"/>
  <c r="E33" i="4"/>
  <c r="G169" i="12"/>
  <c r="G155" i="12"/>
  <c r="G166" i="12"/>
  <c r="G171" i="12"/>
  <c r="G174" i="12"/>
  <c r="F27" i="4"/>
  <c r="J33" i="5"/>
  <c r="K27" i="5"/>
  <c r="G5" i="4"/>
  <c r="K72" i="9"/>
  <c r="K73" i="9" s="1"/>
  <c r="J82" i="1"/>
  <c r="L5" i="5" s="1"/>
  <c r="AG10" i="4"/>
  <c r="BB10" i="4"/>
  <c r="AG41" i="4"/>
  <c r="BB41" i="4"/>
  <c r="Z41" i="4"/>
  <c r="AU41" i="4"/>
  <c r="Y41" i="4"/>
  <c r="AT41" i="4"/>
  <c r="AE41" i="4"/>
  <c r="AZ41" i="4"/>
  <c r="AB41" i="4"/>
  <c r="AW41" i="4"/>
  <c r="AA41" i="4"/>
  <c r="AV41" i="4"/>
  <c r="AC41" i="4"/>
  <c r="AX41" i="4"/>
  <c r="AD41" i="4"/>
  <c r="AY41" i="4"/>
  <c r="AF41" i="4"/>
  <c r="BA41" i="4"/>
  <c r="AF10" i="4"/>
  <c r="BA10" i="4"/>
  <c r="AD49" i="4"/>
  <c r="AY49" i="4"/>
  <c r="AE36" i="4"/>
  <c r="AZ36" i="4"/>
  <c r="Y38" i="4"/>
  <c r="AT38" i="4"/>
  <c r="Y35" i="4"/>
  <c r="AT35" i="4"/>
  <c r="Y47" i="4"/>
  <c r="AT47" i="4"/>
  <c r="K85" i="19"/>
  <c r="H15" i="1" s="1"/>
  <c r="H16" i="1"/>
  <c r="J40" i="5" s="1"/>
  <c r="F40" i="4" s="1"/>
  <c r="Q85" i="19"/>
  <c r="N16" i="1"/>
  <c r="P40" i="5" s="1"/>
  <c r="L40" i="4" s="1"/>
  <c r="I85" i="19"/>
  <c r="F15" i="1" s="1"/>
  <c r="F16" i="1"/>
  <c r="H40" i="5" s="1"/>
  <c r="H44" i="5" s="1"/>
  <c r="G16" i="1"/>
  <c r="I40" i="5" s="1"/>
  <c r="E40" i="4" s="1"/>
  <c r="J85" i="19"/>
  <c r="L9" i="4"/>
  <c r="P8" i="5"/>
  <c r="L8" i="4" s="1"/>
  <c r="K9" i="4"/>
  <c r="O8" i="5"/>
  <c r="K8" i="4" s="1"/>
  <c r="O85" i="19"/>
  <c r="L16" i="1"/>
  <c r="N40" i="5" s="1"/>
  <c r="J40" i="4" s="1"/>
  <c r="M85" i="19"/>
  <c r="J16" i="1"/>
  <c r="L40" i="5" s="1"/>
  <c r="H40" i="4" s="1"/>
  <c r="I16" i="1"/>
  <c r="K40" i="5" s="1"/>
  <c r="G40" i="4" s="1"/>
  <c r="L85" i="19"/>
  <c r="I15" i="1" s="1"/>
  <c r="N85" i="19"/>
  <c r="K16" i="1"/>
  <c r="M40" i="5" s="1"/>
  <c r="I40" i="4" s="1"/>
  <c r="P85" i="19"/>
  <c r="M16" i="1"/>
  <c r="O40" i="5" s="1"/>
  <c r="K40" i="4" s="1"/>
  <c r="F44" i="5"/>
  <c r="E44" i="5"/>
  <c r="X47" i="12"/>
  <c r="N62" i="1" s="1"/>
  <c r="P36" i="5" s="1"/>
  <c r="X48" i="12"/>
  <c r="O46" i="5"/>
  <c r="K46" i="4" s="1"/>
  <c r="O49" i="5"/>
  <c r="K36" i="4"/>
  <c r="D39" i="4"/>
  <c r="E5" i="8"/>
  <c r="E15" i="8" s="1"/>
  <c r="E87" i="1" s="1"/>
  <c r="G45" i="5" s="1"/>
  <c r="U6" i="25"/>
  <c r="U11" i="25" s="1"/>
  <c r="T13" i="25"/>
  <c r="T18" i="25" s="1"/>
  <c r="J46" i="4"/>
  <c r="N49" i="5"/>
  <c r="G184" i="12" l="1"/>
  <c r="I47" i="5" s="1"/>
  <c r="E47" i="4" s="1"/>
  <c r="W8" i="25"/>
  <c r="W16" i="25"/>
  <c r="N104" i="1"/>
  <c r="N43" i="15" s="1"/>
  <c r="M52" i="15"/>
  <c r="M45" i="15"/>
  <c r="M77" i="1" s="1"/>
  <c r="O26" i="5" s="1"/>
  <c r="M53" i="15"/>
  <c r="M23" i="15"/>
  <c r="M24" i="15" s="1"/>
  <c r="M26" i="15" s="1"/>
  <c r="M101" i="1" s="1"/>
  <c r="M68" i="9" s="1"/>
  <c r="M70" i="9" s="1"/>
  <c r="J26" i="4"/>
  <c r="N25" i="5"/>
  <c r="J25" i="4" s="1"/>
  <c r="AY26" i="4"/>
  <c r="AD26" i="4"/>
  <c r="AD25" i="4"/>
  <c r="AY25" i="4"/>
  <c r="I38" i="5"/>
  <c r="E38" i="4" s="1"/>
  <c r="E35" i="4"/>
  <c r="I39" i="5"/>
  <c r="Z33" i="4"/>
  <c r="AU33" i="4"/>
  <c r="AA27" i="4"/>
  <c r="AV27" i="4"/>
  <c r="H185" i="12"/>
  <c r="H187" i="12" s="1"/>
  <c r="H180" i="12"/>
  <c r="H174" i="12"/>
  <c r="F33" i="4"/>
  <c r="H181" i="12"/>
  <c r="H164" i="12"/>
  <c r="H176" i="12"/>
  <c r="H149" i="12"/>
  <c r="H148" i="12"/>
  <c r="H159" i="12"/>
  <c r="H150" i="12"/>
  <c r="H171" i="12"/>
  <c r="H178" i="12"/>
  <c r="H173" i="12"/>
  <c r="H165" i="12"/>
  <c r="H152" i="12"/>
  <c r="H162" i="12"/>
  <c r="H167" i="12"/>
  <c r="H175" i="12"/>
  <c r="H163" i="12"/>
  <c r="H151" i="12"/>
  <c r="H158" i="12"/>
  <c r="H157" i="12"/>
  <c r="H156" i="12"/>
  <c r="H155" i="12"/>
  <c r="H154" i="12"/>
  <c r="H153" i="12"/>
  <c r="H179" i="12"/>
  <c r="H166" i="12"/>
  <c r="H169" i="12"/>
  <c r="H168" i="12"/>
  <c r="H182" i="12"/>
  <c r="H172" i="12"/>
  <c r="H177" i="12"/>
  <c r="H170" i="12"/>
  <c r="H160" i="12"/>
  <c r="H161" i="12"/>
  <c r="H4" i="8"/>
  <c r="H10" i="8" s="1"/>
  <c r="H11" i="8" s="1"/>
  <c r="H86" i="1" s="1"/>
  <c r="J35" i="5" s="1"/>
  <c r="K33" i="5"/>
  <c r="G27" i="4"/>
  <c r="AW5" i="4"/>
  <c r="AB5" i="4"/>
  <c r="K82" i="1"/>
  <c r="M5" i="5" s="1"/>
  <c r="L72" i="9"/>
  <c r="L73" i="9" s="1"/>
  <c r="L27" i="5"/>
  <c r="H5" i="4"/>
  <c r="AA40" i="4"/>
  <c r="AV40" i="4"/>
  <c r="AG40" i="4"/>
  <c r="BB40" i="4"/>
  <c r="Z40" i="4"/>
  <c r="AU40" i="4"/>
  <c r="AG9" i="4"/>
  <c r="BB9" i="4"/>
  <c r="AG8" i="4"/>
  <c r="BB8" i="4"/>
  <c r="AF9" i="4"/>
  <c r="BA9" i="4"/>
  <c r="AF8" i="4"/>
  <c r="BA8" i="4"/>
  <c r="AE40" i="4"/>
  <c r="AZ40" i="4"/>
  <c r="AC40" i="4"/>
  <c r="AX40" i="4"/>
  <c r="AB40" i="4"/>
  <c r="AW40" i="4"/>
  <c r="AD40" i="4"/>
  <c r="AY40" i="4"/>
  <c r="AF40" i="4"/>
  <c r="BA40" i="4"/>
  <c r="AF46" i="4"/>
  <c r="BA46" i="4"/>
  <c r="AF36" i="4"/>
  <c r="BA36" i="4"/>
  <c r="Y39" i="4"/>
  <c r="AT39" i="4"/>
  <c r="AE46" i="4"/>
  <c r="AZ46" i="4"/>
  <c r="Q86" i="19"/>
  <c r="N15" i="1"/>
  <c r="D40" i="4"/>
  <c r="O87" i="19"/>
  <c r="G15" i="1"/>
  <c r="N87" i="19"/>
  <c r="Q87" i="19"/>
  <c r="M87" i="19"/>
  <c r="P87" i="19"/>
  <c r="O86" i="19"/>
  <c r="L15" i="1"/>
  <c r="M86" i="19"/>
  <c r="J15" i="1"/>
  <c r="N86" i="19"/>
  <c r="K15" i="1"/>
  <c r="M15" i="1"/>
  <c r="P86" i="19"/>
  <c r="D5" i="8"/>
  <c r="D15" i="8" s="1"/>
  <c r="D87" i="1" s="1"/>
  <c r="F45" i="5" s="1"/>
  <c r="C5" i="8"/>
  <c r="C15" i="8" s="1"/>
  <c r="C87" i="1" s="1"/>
  <c r="E45" i="5" s="1"/>
  <c r="P46" i="5"/>
  <c r="L36" i="4"/>
  <c r="K49" i="4"/>
  <c r="F5" i="8"/>
  <c r="F15" i="8" s="1"/>
  <c r="F87" i="1" s="1"/>
  <c r="H45" i="5" s="1"/>
  <c r="H51" i="5" s="1"/>
  <c r="D51" i="4" s="1"/>
  <c r="F21" i="9"/>
  <c r="D44" i="4"/>
  <c r="G50" i="5"/>
  <c r="G51" i="5"/>
  <c r="U13" i="25"/>
  <c r="U18" i="25" s="1"/>
  <c r="V6" i="25"/>
  <c r="V11" i="25" s="1"/>
  <c r="J49" i="4"/>
  <c r="L46" i="4" l="1"/>
  <c r="P49" i="5"/>
  <c r="L49" i="4" s="1"/>
  <c r="Z47" i="4"/>
  <c r="AU47" i="4"/>
  <c r="N52" i="15"/>
  <c r="N45" i="15"/>
  <c r="N77" i="1" s="1"/>
  <c r="P26" i="5" s="1"/>
  <c r="N53" i="15"/>
  <c r="N23" i="15"/>
  <c r="N24" i="15" s="1"/>
  <c r="N26" i="15" s="1"/>
  <c r="N101" i="1" s="1"/>
  <c r="N68" i="9" s="1"/>
  <c r="N70" i="9" s="1"/>
  <c r="O25" i="5"/>
  <c r="K25" i="4" s="1"/>
  <c r="K26" i="4"/>
  <c r="AE26" i="4"/>
  <c r="AZ26" i="4"/>
  <c r="AE25" i="4"/>
  <c r="AZ25" i="4"/>
  <c r="J38" i="5"/>
  <c r="F35" i="4"/>
  <c r="I152" i="12"/>
  <c r="I176" i="12"/>
  <c r="I175" i="12"/>
  <c r="I180" i="12"/>
  <c r="I179" i="12"/>
  <c r="I169" i="12"/>
  <c r="I168" i="12"/>
  <c r="I167" i="12"/>
  <c r="I158" i="12"/>
  <c r="I157" i="12"/>
  <c r="I156" i="12"/>
  <c r="I155" i="12"/>
  <c r="I154" i="12"/>
  <c r="I153" i="12"/>
  <c r="I172" i="12"/>
  <c r="I161" i="12"/>
  <c r="I160" i="12"/>
  <c r="I181" i="12"/>
  <c r="I166" i="12"/>
  <c r="I150" i="12"/>
  <c r="I149" i="12"/>
  <c r="I148" i="12"/>
  <c r="I170" i="12"/>
  <c r="I177" i="12"/>
  <c r="I171" i="12"/>
  <c r="I178" i="12"/>
  <c r="I173" i="12"/>
  <c r="I165" i="12"/>
  <c r="I162" i="12"/>
  <c r="I163" i="12"/>
  <c r="I164" i="12"/>
  <c r="I4" i="8"/>
  <c r="I10" i="8" s="1"/>
  <c r="I11" i="8" s="1"/>
  <c r="I86" i="1" s="1"/>
  <c r="K35" i="5" s="1"/>
  <c r="I174" i="12"/>
  <c r="I185" i="12"/>
  <c r="I187" i="12" s="1"/>
  <c r="G33" i="4"/>
  <c r="I151" i="12"/>
  <c r="I182" i="12"/>
  <c r="I159" i="12"/>
  <c r="H184" i="12"/>
  <c r="J47" i="5" s="1"/>
  <c r="F47" i="4" s="1"/>
  <c r="Z38" i="4"/>
  <c r="AU38" i="4"/>
  <c r="Z35" i="4"/>
  <c r="AU35" i="4"/>
  <c r="E39" i="4"/>
  <c r="I44" i="5"/>
  <c r="AA33" i="4"/>
  <c r="AV33" i="4"/>
  <c r="AB27" i="4"/>
  <c r="AW27" i="4"/>
  <c r="M27" i="5"/>
  <c r="I5" i="4"/>
  <c r="L82" i="1"/>
  <c r="N5" i="5" s="1"/>
  <c r="M72" i="9"/>
  <c r="M73" i="9" s="1"/>
  <c r="L33" i="5"/>
  <c r="H27" i="4"/>
  <c r="AC5" i="4"/>
  <c r="AX5" i="4"/>
  <c r="Y40" i="4"/>
  <c r="AT40" i="4"/>
  <c r="AG36" i="4"/>
  <c r="BB36" i="4"/>
  <c r="AF49" i="4"/>
  <c r="BA49" i="4"/>
  <c r="AC27" i="4"/>
  <c r="AX27" i="4"/>
  <c r="Y51" i="4"/>
  <c r="AT51" i="4"/>
  <c r="Y44" i="4"/>
  <c r="AT44" i="4"/>
  <c r="AE49" i="4"/>
  <c r="AZ49" i="4"/>
  <c r="F50" i="5"/>
  <c r="F51" i="5"/>
  <c r="E50" i="5"/>
  <c r="E51" i="5"/>
  <c r="H50" i="5"/>
  <c r="D45" i="4"/>
  <c r="G52" i="5"/>
  <c r="W6" i="25"/>
  <c r="W11" i="25" s="1"/>
  <c r="W13" i="25" s="1"/>
  <c r="W18" i="25" s="1"/>
  <c r="V13" i="25"/>
  <c r="V18" i="25" s="1"/>
  <c r="AG46" i="4" l="1"/>
  <c r="BB46" i="4"/>
  <c r="F38" i="4"/>
  <c r="J39" i="5"/>
  <c r="AB33" i="4"/>
  <c r="AW33" i="4"/>
  <c r="AA38" i="4"/>
  <c r="AV38" i="4"/>
  <c r="AA35" i="4"/>
  <c r="AV35" i="4"/>
  <c r="Z39" i="4"/>
  <c r="AU39" i="4"/>
  <c r="BA25" i="4"/>
  <c r="AF25" i="4"/>
  <c r="AF26" i="4"/>
  <c r="BA26" i="4"/>
  <c r="J44" i="5"/>
  <c r="F39" i="4"/>
  <c r="K38" i="5"/>
  <c r="G35" i="4"/>
  <c r="AA47" i="4"/>
  <c r="AV47" i="4"/>
  <c r="J165" i="12"/>
  <c r="J152" i="12"/>
  <c r="J176" i="12"/>
  <c r="J4" i="8"/>
  <c r="J10" i="8" s="1"/>
  <c r="J11" i="8" s="1"/>
  <c r="J86" i="1" s="1"/>
  <c r="L35" i="5" s="1"/>
  <c r="I184" i="12"/>
  <c r="K47" i="5" s="1"/>
  <c r="G47" i="4" s="1"/>
  <c r="P25" i="5"/>
  <c r="L25" i="4" s="1"/>
  <c r="L26" i="4"/>
  <c r="G5" i="8"/>
  <c r="G15" i="8" s="1"/>
  <c r="G87" i="1" s="1"/>
  <c r="I45" i="5" s="1"/>
  <c r="E44" i="4"/>
  <c r="AD5" i="4"/>
  <c r="AY5" i="4"/>
  <c r="J174" i="12"/>
  <c r="J185" i="12"/>
  <c r="J187" i="12" s="1"/>
  <c r="H33" i="4"/>
  <c r="M33" i="5"/>
  <c r="I27" i="4"/>
  <c r="N27" i="5"/>
  <c r="J5" i="4"/>
  <c r="M82" i="1"/>
  <c r="O5" i="5" s="1"/>
  <c r="N72" i="9"/>
  <c r="N73" i="9" s="1"/>
  <c r="N82" i="1" s="1"/>
  <c r="P5" i="5" s="1"/>
  <c r="J164" i="12"/>
  <c r="J163" i="12"/>
  <c r="J175" i="12"/>
  <c r="J180" i="12"/>
  <c r="J151" i="12"/>
  <c r="J179" i="12"/>
  <c r="J182" i="12"/>
  <c r="J169" i="12"/>
  <c r="J168" i="12"/>
  <c r="J167" i="12"/>
  <c r="J158" i="12"/>
  <c r="J157" i="12"/>
  <c r="J156" i="12"/>
  <c r="J155" i="12"/>
  <c r="J154" i="12"/>
  <c r="J153" i="12"/>
  <c r="J150" i="12"/>
  <c r="J149" i="12"/>
  <c r="J148" i="12"/>
  <c r="J160" i="12"/>
  <c r="J161" i="12"/>
  <c r="J159" i="12"/>
  <c r="J172" i="12"/>
  <c r="J166" i="12"/>
  <c r="J170" i="12"/>
  <c r="J178" i="12"/>
  <c r="J162" i="12"/>
  <c r="J181" i="12"/>
  <c r="J171" i="12"/>
  <c r="J177" i="12"/>
  <c r="J173" i="12"/>
  <c r="AG49" i="4"/>
  <c r="BB49" i="4"/>
  <c r="Y45" i="4"/>
  <c r="AT45" i="4"/>
  <c r="F52" i="5"/>
  <c r="E52" i="5"/>
  <c r="D50" i="4"/>
  <c r="H52" i="5"/>
  <c r="G38" i="4" l="1"/>
  <c r="AW38" i="4" s="1"/>
  <c r="K39" i="5"/>
  <c r="AB38" i="4"/>
  <c r="AB35" i="4"/>
  <c r="AW35" i="4"/>
  <c r="AA39" i="4"/>
  <c r="AV39" i="4"/>
  <c r="AG25" i="4"/>
  <c r="BB25" i="4"/>
  <c r="BB26" i="4"/>
  <c r="AG26" i="4"/>
  <c r="H5" i="8"/>
  <c r="H15" i="8" s="1"/>
  <c r="H87" i="1" s="1"/>
  <c r="J45" i="5" s="1"/>
  <c r="F44" i="4"/>
  <c r="L38" i="5"/>
  <c r="L39" i="5" s="1"/>
  <c r="H35" i="4"/>
  <c r="AB47" i="4"/>
  <c r="AW47" i="4"/>
  <c r="J184" i="12"/>
  <c r="L47" i="5" s="1"/>
  <c r="H47" i="4" s="1"/>
  <c r="I51" i="5"/>
  <c r="I50" i="5"/>
  <c r="E45" i="4"/>
  <c r="Z44" i="4"/>
  <c r="AU44" i="4"/>
  <c r="AC33" i="4"/>
  <c r="AX33" i="4"/>
  <c r="K181" i="12"/>
  <c r="K4" i="8"/>
  <c r="K10" i="8" s="1"/>
  <c r="K11" i="8" s="1"/>
  <c r="K86" i="1" s="1"/>
  <c r="M35" i="5" s="1"/>
  <c r="K174" i="12"/>
  <c r="K163" i="12"/>
  <c r="K185" i="12"/>
  <c r="K187" i="12" s="1"/>
  <c r="I33" i="4"/>
  <c r="K164" i="12"/>
  <c r="K176" i="12"/>
  <c r="K175" i="12"/>
  <c r="K180" i="12"/>
  <c r="K151" i="12"/>
  <c r="K169" i="12"/>
  <c r="K168" i="12"/>
  <c r="K167" i="12"/>
  <c r="K158" i="12"/>
  <c r="K157" i="12"/>
  <c r="K156" i="12"/>
  <c r="K155" i="12"/>
  <c r="K154" i="12"/>
  <c r="K153" i="12"/>
  <c r="K161" i="12"/>
  <c r="K160" i="12"/>
  <c r="K159" i="12"/>
  <c r="K182" i="12"/>
  <c r="K179" i="12"/>
  <c r="K148" i="12"/>
  <c r="K149" i="12"/>
  <c r="K150" i="12"/>
  <c r="K172" i="12"/>
  <c r="K166" i="12"/>
  <c r="K171" i="12"/>
  <c r="K170" i="12"/>
  <c r="K177" i="12"/>
  <c r="K178" i="12"/>
  <c r="K165" i="12"/>
  <c r="K173" i="12"/>
  <c r="K152" i="12"/>
  <c r="K162" i="12"/>
  <c r="AD27" i="4"/>
  <c r="AY27" i="4"/>
  <c r="J27" i="4"/>
  <c r="N33" i="5"/>
  <c r="AZ5" i="4"/>
  <c r="AE5" i="4"/>
  <c r="O27" i="5"/>
  <c r="K5" i="4"/>
  <c r="P27" i="5"/>
  <c r="L5" i="4"/>
  <c r="Y50" i="4"/>
  <c r="AT50" i="4"/>
  <c r="D53" i="4"/>
  <c r="D52" i="4"/>
  <c r="G39" i="4" l="1"/>
  <c r="K44" i="5"/>
  <c r="AA44" i="4"/>
  <c r="AV44" i="4"/>
  <c r="AC35" i="4"/>
  <c r="AX35" i="4"/>
  <c r="L167" i="12"/>
  <c r="L158" i="12"/>
  <c r="L157" i="12"/>
  <c r="L156" i="12"/>
  <c r="L155" i="12"/>
  <c r="L154" i="12"/>
  <c r="L153" i="12"/>
  <c r="L148" i="12"/>
  <c r="L150" i="12"/>
  <c r="H38" i="4"/>
  <c r="C11" i="2"/>
  <c r="F45" i="4"/>
  <c r="J51" i="5"/>
  <c r="F51" i="4" s="1"/>
  <c r="J50" i="5"/>
  <c r="H39" i="4"/>
  <c r="J11" i="2"/>
  <c r="J17" i="2" s="1"/>
  <c r="L44" i="5"/>
  <c r="AE27" i="4"/>
  <c r="AZ27" i="4"/>
  <c r="L179" i="12"/>
  <c r="L182" i="12"/>
  <c r="L172" i="12"/>
  <c r="L166" i="12"/>
  <c r="L170" i="12"/>
  <c r="L177" i="12"/>
  <c r="L171" i="12"/>
  <c r="L178" i="12"/>
  <c r="L173" i="12"/>
  <c r="L165" i="12"/>
  <c r="L176" i="12"/>
  <c r="L181" i="12"/>
  <c r="L163" i="12"/>
  <c r="L4" i="8"/>
  <c r="L10" i="8" s="1"/>
  <c r="L11" i="8" s="1"/>
  <c r="L86" i="1" s="1"/>
  <c r="N35" i="5" s="1"/>
  <c r="L185" i="12"/>
  <c r="L187" i="12" s="1"/>
  <c r="L149" i="12"/>
  <c r="L160" i="12"/>
  <c r="L159" i="12"/>
  <c r="L161" i="12"/>
  <c r="AF5" i="4"/>
  <c r="BA5" i="4"/>
  <c r="BB5" i="4"/>
  <c r="AG5" i="4"/>
  <c r="AC47" i="4"/>
  <c r="AX47" i="4"/>
  <c r="L152" i="12"/>
  <c r="L162" i="12"/>
  <c r="L180" i="12"/>
  <c r="L175" i="12"/>
  <c r="L164" i="12"/>
  <c r="L151" i="12"/>
  <c r="L169" i="12"/>
  <c r="L168" i="12"/>
  <c r="O33" i="5"/>
  <c r="K27" i="4"/>
  <c r="P33" i="5"/>
  <c r="L27" i="4"/>
  <c r="K184" i="12"/>
  <c r="M47" i="5" s="1"/>
  <c r="I47" i="4" s="1"/>
  <c r="L174" i="12"/>
  <c r="J33" i="4"/>
  <c r="E51" i="4"/>
  <c r="E3" i="2"/>
  <c r="E50" i="4"/>
  <c r="I52" i="5"/>
  <c r="Z45" i="4"/>
  <c r="AU45" i="4"/>
  <c r="M38" i="5"/>
  <c r="M39" i="5" s="1"/>
  <c r="I35" i="4"/>
  <c r="AD33" i="4"/>
  <c r="AY33" i="4"/>
  <c r="Y53" i="4"/>
  <c r="AT53" i="4"/>
  <c r="Y52" i="4"/>
  <c r="AT52" i="4"/>
  <c r="AB39" i="4" l="1"/>
  <c r="AW39" i="4"/>
  <c r="I5" i="8"/>
  <c r="I15" i="8" s="1"/>
  <c r="I87" i="1" s="1"/>
  <c r="K45" i="5" s="1"/>
  <c r="G44" i="4"/>
  <c r="AF27" i="4"/>
  <c r="BA27" i="4"/>
  <c r="AG27" i="4"/>
  <c r="BB27" i="4"/>
  <c r="C17" i="2"/>
  <c r="C12" i="2"/>
  <c r="C13" i="2"/>
  <c r="C14" i="2"/>
  <c r="F50" i="4"/>
  <c r="J52" i="5"/>
  <c r="K51" i="5"/>
  <c r="G51" i="4" s="1"/>
  <c r="K50" i="5"/>
  <c r="G45" i="4"/>
  <c r="J5" i="8"/>
  <c r="J15" i="8" s="1"/>
  <c r="J87" i="1" s="1"/>
  <c r="L45" i="5" s="1"/>
  <c r="J21" i="9"/>
  <c r="H44" i="4"/>
  <c r="L184" i="12"/>
  <c r="N47" i="5" s="1"/>
  <c r="J47" i="4" s="1"/>
  <c r="AX38" i="4"/>
  <c r="AC38" i="4"/>
  <c r="AA45" i="4"/>
  <c r="AV45" i="4"/>
  <c r="AA51" i="4"/>
  <c r="AV51" i="4"/>
  <c r="AC39" i="4"/>
  <c r="AX39" i="4"/>
  <c r="N38" i="5"/>
  <c r="N39" i="5" s="1"/>
  <c r="J35" i="4"/>
  <c r="K33" i="4"/>
  <c r="M185" i="12"/>
  <c r="M187" i="12" s="1"/>
  <c r="M174" i="12"/>
  <c r="M4" i="8"/>
  <c r="M10" i="8" s="1"/>
  <c r="M11" i="8" s="1"/>
  <c r="M86" i="1" s="1"/>
  <c r="O35" i="5" s="1"/>
  <c r="N150" i="12"/>
  <c r="N163" i="12"/>
  <c r="N176" i="12"/>
  <c r="N151" i="12"/>
  <c r="N167" i="12"/>
  <c r="N157" i="12"/>
  <c r="N155" i="12"/>
  <c r="N153" i="12"/>
  <c r="N148" i="12"/>
  <c r="N182" i="12"/>
  <c r="N172" i="12"/>
  <c r="N170" i="12"/>
  <c r="N165" i="12"/>
  <c r="N161" i="12"/>
  <c r="N166" i="12"/>
  <c r="N162" i="12"/>
  <c r="N168" i="12"/>
  <c r="N158" i="12"/>
  <c r="N156" i="12"/>
  <c r="N154" i="12"/>
  <c r="N149" i="12"/>
  <c r="N159" i="12"/>
  <c r="N171" i="12"/>
  <c r="N178" i="12"/>
  <c r="N173" i="12"/>
  <c r="N181" i="12"/>
  <c r="N169" i="12"/>
  <c r="N179" i="12"/>
  <c r="N164" i="12"/>
  <c r="N177" i="12"/>
  <c r="AD47" i="4"/>
  <c r="AY47" i="4"/>
  <c r="AE33" i="4"/>
  <c r="AZ33" i="4"/>
  <c r="AY35" i="4"/>
  <c r="AD35" i="4"/>
  <c r="M158" i="12"/>
  <c r="M175" i="12"/>
  <c r="M180" i="12"/>
  <c r="M182" i="12"/>
  <c r="M166" i="12"/>
  <c r="M169" i="12"/>
  <c r="M170" i="12"/>
  <c r="M173" i="12"/>
  <c r="M151" i="12"/>
  <c r="M168" i="12"/>
  <c r="M152" i="12"/>
  <c r="M156" i="12"/>
  <c r="M154" i="12"/>
  <c r="M148" i="12"/>
  <c r="M160" i="12"/>
  <c r="M159" i="12"/>
  <c r="M179" i="12"/>
  <c r="M171" i="12"/>
  <c r="M164" i="12"/>
  <c r="M176" i="12"/>
  <c r="M181" i="12"/>
  <c r="M162" i="12"/>
  <c r="M167" i="12"/>
  <c r="M157" i="12"/>
  <c r="M155" i="12"/>
  <c r="M153" i="12"/>
  <c r="M161" i="12"/>
  <c r="M150" i="12"/>
  <c r="M149" i="12"/>
  <c r="M172" i="12"/>
  <c r="M177" i="12"/>
  <c r="M178" i="12"/>
  <c r="M165" i="12"/>
  <c r="M163" i="12"/>
  <c r="N175" i="12"/>
  <c r="N160" i="12"/>
  <c r="N152" i="12"/>
  <c r="N4" i="8"/>
  <c r="N10" i="8" s="1"/>
  <c r="N11" i="8" s="1"/>
  <c r="N86" i="1" s="1"/>
  <c r="P35" i="5" s="1"/>
  <c r="N185" i="12"/>
  <c r="N187" i="12" s="1"/>
  <c r="L33" i="4"/>
  <c r="N174" i="12"/>
  <c r="N180" i="12"/>
  <c r="I38" i="4"/>
  <c r="D11" i="2"/>
  <c r="Z51" i="4"/>
  <c r="AU51" i="4"/>
  <c r="Z50" i="4"/>
  <c r="AU50" i="4"/>
  <c r="I53" i="5"/>
  <c r="E52" i="4"/>
  <c r="M44" i="5"/>
  <c r="K11" i="2"/>
  <c r="I39" i="4"/>
  <c r="AW44" i="4" l="1"/>
  <c r="AB44" i="4"/>
  <c r="AE35" i="4"/>
  <c r="AZ35" i="4"/>
  <c r="AF33" i="4"/>
  <c r="BA33" i="4"/>
  <c r="AG33" i="4"/>
  <c r="BB33" i="4"/>
  <c r="C18" i="2"/>
  <c r="C19" i="2"/>
  <c r="C20" i="2"/>
  <c r="AA50" i="4"/>
  <c r="AV50" i="4"/>
  <c r="J53" i="5"/>
  <c r="F53" i="4" s="1"/>
  <c r="F52" i="4"/>
  <c r="AB51" i="4"/>
  <c r="AW51" i="4"/>
  <c r="G50" i="4"/>
  <c r="K52" i="5"/>
  <c r="AB45" i="4"/>
  <c r="AW45" i="4"/>
  <c r="L51" i="5"/>
  <c r="L50" i="5"/>
  <c r="H45" i="4"/>
  <c r="AC44" i="4"/>
  <c r="AX44" i="4"/>
  <c r="AE47" i="4"/>
  <c r="AZ47" i="4"/>
  <c r="N44" i="5"/>
  <c r="L11" i="2"/>
  <c r="J39" i="4"/>
  <c r="O38" i="5"/>
  <c r="O39" i="5" s="1"/>
  <c r="K35" i="4"/>
  <c r="P38" i="5"/>
  <c r="L35" i="4"/>
  <c r="N184" i="12"/>
  <c r="P47" i="5" s="1"/>
  <c r="L47" i="4" s="1"/>
  <c r="M184" i="12"/>
  <c r="O47" i="5" s="1"/>
  <c r="K47" i="4" s="1"/>
  <c r="J38" i="4"/>
  <c r="E11" i="2"/>
  <c r="AY38" i="4"/>
  <c r="AD38" i="4"/>
  <c r="D17" i="2"/>
  <c r="D14" i="2"/>
  <c r="D13" i="2"/>
  <c r="D12" i="2"/>
  <c r="L3" i="2"/>
  <c r="E53" i="4"/>
  <c r="Z52" i="4"/>
  <c r="AU52" i="4"/>
  <c r="K21" i="9"/>
  <c r="K5" i="8"/>
  <c r="K15" i="8" s="1"/>
  <c r="K87" i="1" s="1"/>
  <c r="M45" i="5" s="1"/>
  <c r="I44" i="4"/>
  <c r="K13" i="2"/>
  <c r="K17" i="2"/>
  <c r="AD39" i="4"/>
  <c r="AY39" i="4"/>
  <c r="AW50" i="4" l="1"/>
  <c r="AB50" i="4"/>
  <c r="K53" i="5"/>
  <c r="G53" i="4" s="1"/>
  <c r="G52" i="4"/>
  <c r="AC45" i="4"/>
  <c r="AX45" i="4"/>
  <c r="AA53" i="4"/>
  <c r="AV53" i="4"/>
  <c r="AA52" i="4"/>
  <c r="AV52" i="4"/>
  <c r="H51" i="4"/>
  <c r="C23" i="2"/>
  <c r="H50" i="4"/>
  <c r="L52" i="5"/>
  <c r="O44" i="5"/>
  <c r="M11" i="2"/>
  <c r="K39" i="4"/>
  <c r="G11" i="2"/>
  <c r="L38" i="4"/>
  <c r="P39" i="5"/>
  <c r="K38" i="4"/>
  <c r="F11" i="2"/>
  <c r="L21" i="9"/>
  <c r="L5" i="8"/>
  <c r="L15" i="8" s="1"/>
  <c r="L87" i="1" s="1"/>
  <c r="N45" i="5" s="1"/>
  <c r="J44" i="4"/>
  <c r="L13" i="2"/>
  <c r="L17" i="2"/>
  <c r="AE39" i="4"/>
  <c r="AZ39" i="4"/>
  <c r="AF35" i="4"/>
  <c r="BA35" i="4"/>
  <c r="AG35" i="4"/>
  <c r="BB35" i="4"/>
  <c r="AG47" i="4"/>
  <c r="BB47" i="4"/>
  <c r="AF47" i="4"/>
  <c r="BA47" i="4"/>
  <c r="AE38" i="4"/>
  <c r="AZ38" i="4"/>
  <c r="E13" i="2"/>
  <c r="E17" i="2"/>
  <c r="E14" i="2"/>
  <c r="E12" i="2"/>
  <c r="D20" i="2"/>
  <c r="D19" i="2"/>
  <c r="D18" i="2"/>
  <c r="L12" i="2"/>
  <c r="L14" i="2"/>
  <c r="J13" i="2"/>
  <c r="J12" i="2"/>
  <c r="J14" i="2"/>
  <c r="K12" i="2"/>
  <c r="J19" i="2"/>
  <c r="J20" i="2"/>
  <c r="K14" i="2"/>
  <c r="J18" i="2"/>
  <c r="Z53" i="4"/>
  <c r="AU53" i="4"/>
  <c r="M51" i="5"/>
  <c r="M50" i="5"/>
  <c r="I50" i="4" s="1"/>
  <c r="I45" i="4"/>
  <c r="AD44" i="4"/>
  <c r="AY44" i="4"/>
  <c r="K18" i="2"/>
  <c r="K19" i="2"/>
  <c r="K20" i="2"/>
  <c r="AC51" i="4" l="1"/>
  <c r="AX51" i="4"/>
  <c r="AC50" i="4"/>
  <c r="AX50" i="4"/>
  <c r="AF39" i="4"/>
  <c r="BA39" i="4"/>
  <c r="AB53" i="4"/>
  <c r="AW53" i="4"/>
  <c r="AB52" i="4"/>
  <c r="AW52" i="4"/>
  <c r="C24" i="2"/>
  <c r="C25" i="2"/>
  <c r="C26" i="2"/>
  <c r="L53" i="5"/>
  <c r="H52" i="4"/>
  <c r="M21" i="9"/>
  <c r="M5" i="8"/>
  <c r="M15" i="8" s="1"/>
  <c r="M87" i="1" s="1"/>
  <c r="O45" i="5" s="1"/>
  <c r="O50" i="5" s="1"/>
  <c r="K44" i="4"/>
  <c r="M12" i="2"/>
  <c r="M13" i="2"/>
  <c r="M14" i="2"/>
  <c r="M17" i="2"/>
  <c r="N50" i="5"/>
  <c r="N51" i="5"/>
  <c r="J45" i="4"/>
  <c r="L18" i="2"/>
  <c r="L19" i="2"/>
  <c r="L20" i="2"/>
  <c r="AE44" i="4"/>
  <c r="AZ44" i="4"/>
  <c r="G12" i="2"/>
  <c r="G14" i="2"/>
  <c r="G17" i="2"/>
  <c r="BB38" i="4"/>
  <c r="AG38" i="4"/>
  <c r="L39" i="4"/>
  <c r="N11" i="2"/>
  <c r="P44" i="5"/>
  <c r="BA38" i="4"/>
  <c r="AF38" i="4"/>
  <c r="F17" i="2"/>
  <c r="F14" i="2"/>
  <c r="F13" i="2"/>
  <c r="F12" i="2"/>
  <c r="G13" i="2"/>
  <c r="E20" i="2"/>
  <c r="E18" i="2"/>
  <c r="E19" i="2"/>
  <c r="AD45" i="4"/>
  <c r="AY45" i="4"/>
  <c r="I51" i="4"/>
  <c r="D23" i="2"/>
  <c r="M52" i="5"/>
  <c r="AD50" i="4"/>
  <c r="AY50" i="4"/>
  <c r="AF44" i="4" l="1"/>
  <c r="BA44" i="4"/>
  <c r="J23" i="2"/>
  <c r="H53" i="4"/>
  <c r="AC52" i="4"/>
  <c r="AX52" i="4"/>
  <c r="AE45" i="4"/>
  <c r="AZ45" i="4"/>
  <c r="O51" i="5"/>
  <c r="K45" i="4"/>
  <c r="M18" i="2"/>
  <c r="M19" i="2"/>
  <c r="M20" i="2"/>
  <c r="J50" i="4"/>
  <c r="N52" i="5"/>
  <c r="J51" i="4"/>
  <c r="E23" i="2"/>
  <c r="G18" i="2"/>
  <c r="G20" i="2"/>
  <c r="BB39" i="4"/>
  <c r="AG39" i="4"/>
  <c r="N17" i="2"/>
  <c r="N14" i="2"/>
  <c r="N13" i="2"/>
  <c r="N12" i="2"/>
  <c r="L44" i="4"/>
  <c r="N5" i="8"/>
  <c r="N15" i="8" s="1"/>
  <c r="N87" i="1" s="1"/>
  <c r="P45" i="5" s="1"/>
  <c r="N21" i="9"/>
  <c r="F20" i="2"/>
  <c r="F18" i="2"/>
  <c r="G19" i="2"/>
  <c r="F19" i="2"/>
  <c r="AY51" i="4"/>
  <c r="AD51" i="4"/>
  <c r="D24" i="2"/>
  <c r="D25" i="2"/>
  <c r="D26" i="2"/>
  <c r="M53" i="5"/>
  <c r="I52" i="4"/>
  <c r="K50" i="4"/>
  <c r="J24" i="2" l="1"/>
  <c r="J25" i="2"/>
  <c r="J26" i="2"/>
  <c r="AC53" i="4"/>
  <c r="AX53" i="4"/>
  <c r="O52" i="5"/>
  <c r="K51" i="4"/>
  <c r="F23" i="2"/>
  <c r="N53" i="5"/>
  <c r="J52" i="4"/>
  <c r="E24" i="2"/>
  <c r="E25" i="2"/>
  <c r="E26" i="2"/>
  <c r="BA45" i="4"/>
  <c r="AF45" i="4"/>
  <c r="AZ50" i="4"/>
  <c r="AE50" i="4"/>
  <c r="AZ51" i="4"/>
  <c r="AE51" i="4"/>
  <c r="N20" i="2"/>
  <c r="N19" i="2"/>
  <c r="N18" i="2"/>
  <c r="BB44" i="4"/>
  <c r="AG44" i="4"/>
  <c r="L45" i="4"/>
  <c r="P51" i="5"/>
  <c r="P50" i="5"/>
  <c r="K23" i="2"/>
  <c r="I53" i="4"/>
  <c r="AD52" i="4"/>
  <c r="AY52" i="4"/>
  <c r="AF50" i="4"/>
  <c r="BA50" i="4"/>
  <c r="O53" i="5" l="1"/>
  <c r="K52" i="4"/>
  <c r="BA51" i="4"/>
  <c r="AF51" i="4"/>
  <c r="F24" i="2"/>
  <c r="F25" i="2"/>
  <c r="F26" i="2"/>
  <c r="J53" i="4"/>
  <c r="L23" i="2"/>
  <c r="AE52" i="4"/>
  <c r="AZ52" i="4"/>
  <c r="BB45" i="4"/>
  <c r="AG45" i="4"/>
  <c r="G23" i="2"/>
  <c r="L51" i="4"/>
  <c r="P52" i="5"/>
  <c r="L50" i="4"/>
  <c r="K24" i="2"/>
  <c r="K25" i="2"/>
  <c r="K26" i="2"/>
  <c r="AD53" i="4"/>
  <c r="AY53" i="4"/>
  <c r="M23" i="2" l="1"/>
  <c r="K53" i="4"/>
  <c r="AF52" i="4"/>
  <c r="BA52" i="4"/>
  <c r="AE53" i="4"/>
  <c r="AZ53" i="4"/>
  <c r="L24" i="2"/>
  <c r="L25" i="2"/>
  <c r="L26" i="2"/>
  <c r="G26" i="2"/>
  <c r="G25" i="2"/>
  <c r="G24" i="2"/>
  <c r="BB51" i="4"/>
  <c r="AG51" i="4"/>
  <c r="L52" i="4"/>
  <c r="P53" i="5"/>
  <c r="BB50" i="4"/>
  <c r="AG50" i="4"/>
  <c r="M25" i="2" l="1"/>
  <c r="M26" i="2"/>
  <c r="M24" i="2"/>
  <c r="BA53" i="4"/>
  <c r="AF53" i="4"/>
  <c r="BB52" i="4"/>
  <c r="AG52" i="4"/>
  <c r="L53" i="4"/>
  <c r="N23" i="2"/>
  <c r="BB53" i="4" l="1"/>
  <c r="AG53" i="4"/>
  <c r="N26" i="2"/>
  <c r="N25" i="2"/>
  <c r="N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Thomas_work</author>
  </authors>
  <commentList>
    <comment ref="D4" authorId="0" shapeId="0" xr:uid="{00000000-0006-0000-0200-000001000000}">
      <text>
        <r>
          <rPr>
            <sz val="11"/>
            <color theme="1"/>
            <rFont val="Calibri"/>
            <family val="2"/>
            <scheme val="minor"/>
          </rPr>
          <t>Thomas_work:
Carried Interest participation rate. Used in levered Tier 2/3 returns: exit value subtracts CI's share of EV adjustments at this rate.</t>
        </r>
      </text>
    </comment>
    <comment ref="D6" authorId="0" shapeId="0" xr:uid="{00000000-0006-0000-0200-000002000000}">
      <text>
        <r>
          <rPr>
            <sz val="11"/>
            <color theme="1"/>
            <rFont val="Calibri"/>
            <family val="2"/>
            <scheme val="minor"/>
          </rPr>
          <t>Thomas_work:
Discount rate for marking preferred equity to market (row 45). Higher rate = larger MTM adjustment. Historical periods (D-G) use hardcoded 16% instead of this cell — see Audit Finding #3.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Thomas_work</author>
  </authors>
  <commentList>
    <comment ref="A37" authorId="0" shapeId="0" xr:uid="{00000000-0006-0000-1700-000001000000}">
      <text>
        <r>
          <rPr>
            <sz val="11"/>
            <color theme="1"/>
            <rFont val="Calibri"/>
            <family val="2"/>
            <scheme val="minor"/>
          </rPr>
          <t>Thomas_work:
Hardcoded actual salary figures. These override the budgeted amounts in rows 25-27 when the flag in row 36 = 1. Source should be payroll records or audited financials.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Thomas_work</author>
  </authors>
  <commentList>
    <comment ref="Z6" authorId="0" shapeId="0" xr:uid="{00000000-0006-0000-1900-000001000000}">
      <text>
        <r>
          <rPr>
            <sz val="11"/>
            <color theme="1"/>
            <rFont val="Calibri"/>
            <family val="2"/>
            <scheme val="minor"/>
          </rPr>
          <t>Thomas_work:
Capped at $2M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Thomas_work</author>
  </authors>
  <commentList>
    <comment ref="E5" authorId="0" shapeId="0" xr:uid="{00000000-0006-0000-1C00-000001000000}">
      <text>
        <r>
          <rPr>
            <sz val="11"/>
            <color theme="1"/>
            <rFont val="Calibri"/>
            <family val="2"/>
            <scheme val="minor"/>
          </rPr>
          <t>Thomas_work:
7.04% for benefits and 7.48% for taxes (TM)</t>
        </r>
      </text>
    </comment>
    <comment ref="E6" authorId="0" shapeId="0" xr:uid="{00000000-0006-0000-1C00-000002000000}">
      <text>
        <r>
          <rPr>
            <sz val="11"/>
            <color theme="1"/>
            <rFont val="Calibri"/>
            <family val="2"/>
            <scheme val="minor"/>
          </rPr>
          <t xml:space="preserve">Thomas_work:
Per Charity email 2.17.26
</t>
        </r>
      </text>
    </comment>
    <comment ref="E9" authorId="0" shapeId="0" xr:uid="{00000000-0006-0000-1C00-000003000000}">
      <text>
        <r>
          <rPr>
            <sz val="11"/>
            <color theme="1"/>
            <rFont val="Calibri"/>
            <family val="2"/>
            <scheme val="minor"/>
          </rPr>
          <t>Thomas_work:
7.04% for benefits and 7.48% for taxes (TM)</t>
        </r>
      </text>
    </comment>
    <comment ref="E20" authorId="0" shapeId="0" xr:uid="{00000000-0006-0000-1C00-000004000000}">
      <text>
        <r>
          <rPr>
            <sz val="11"/>
            <color theme="1"/>
            <rFont val="Calibri"/>
            <family val="2"/>
            <scheme val="minor"/>
          </rPr>
          <t>Thomas_work:
CI hurdle participation rate. Separate from U35 to allow different hurdle vs. catch-up rates.</t>
        </r>
      </text>
    </comment>
  </commentList>
</comments>
</file>

<file path=xl/sharedStrings.xml><?xml version="1.0" encoding="utf-8"?>
<sst xmlns="http://schemas.openxmlformats.org/spreadsheetml/2006/main" count="3267" uniqueCount="1193">
  <si>
    <t>Year</t>
  </si>
  <si>
    <t>Period</t>
  </si>
  <si>
    <t>Q4</t>
  </si>
  <si>
    <t>Q1</t>
  </si>
  <si>
    <t>Q2</t>
  </si>
  <si>
    <t>Q3</t>
  </si>
  <si>
    <t>i/o</t>
  </si>
  <si>
    <t>field_name</t>
  </si>
  <si>
    <t>index</t>
  </si>
  <si>
    <t>C12 Participation Revenue (not c/b reimb)</t>
  </si>
  <si>
    <t>HM Fees</t>
  </si>
  <si>
    <t>BI&amp;F Fees</t>
  </si>
  <si>
    <t>DS Fees</t>
  </si>
  <si>
    <t>total participation revenue</t>
  </si>
  <si>
    <t>o</t>
  </si>
  <si>
    <t>total_participation_revenue_actual</t>
  </si>
  <si>
    <t>revenues in nominal dollars</t>
  </si>
  <si>
    <t>Infrastructure</t>
  </si>
  <si>
    <t>i</t>
  </si>
  <si>
    <t>nonrecur_exp</t>
  </si>
  <si>
    <t>infrastructure</t>
  </si>
  <si>
    <t>this now two people in bi&amp;f</t>
  </si>
  <si>
    <t>Professional services</t>
  </si>
  <si>
    <t>professional_services</t>
  </si>
  <si>
    <t>Hiring Costs</t>
  </si>
  <si>
    <t>hiring_costs</t>
  </si>
  <si>
    <t>signing bonuses</t>
  </si>
  <si>
    <t>signing_bonus</t>
  </si>
  <si>
    <t>Restructuring</t>
  </si>
  <si>
    <t>restructuring</t>
  </si>
  <si>
    <t>put this in c12_oc_hr costs</t>
  </si>
  <si>
    <t>housing</t>
  </si>
  <si>
    <t>I think this is in oop cos paid by me</t>
  </si>
  <si>
    <t>Total</t>
  </si>
  <si>
    <t>c</t>
  </si>
  <si>
    <t>total_nonrecur_exp</t>
  </si>
  <si>
    <t>Reimbursable Operating Expenses (inc holtel)</t>
  </si>
  <si>
    <t xml:space="preserve">revenue from lgh </t>
  </si>
  <si>
    <t>compensation</t>
  </si>
  <si>
    <t>Hotel Management</t>
  </si>
  <si>
    <t>Business Infrastructure &amp; Finance</t>
  </si>
  <si>
    <t xml:space="preserve">Development &amp; Structuring </t>
  </si>
  <si>
    <t>C12 headoffice</t>
  </si>
  <si>
    <t>this was double counting sk, deleted 1.5m</t>
  </si>
  <si>
    <t>Head office expenses</t>
  </si>
  <si>
    <t>office costs (rent &amp; reoccuring)</t>
  </si>
  <si>
    <t>ho_exp</t>
  </si>
  <si>
    <t>office_costs</t>
  </si>
  <si>
    <t>is this updated?</t>
  </si>
  <si>
    <t>Departmental OOP paid via sk</t>
  </si>
  <si>
    <t>dept_oop_via_sk</t>
  </si>
  <si>
    <t>should come from danielle</t>
  </si>
  <si>
    <t>Departmental OOP not paid via sk</t>
  </si>
  <si>
    <t>dept_oop_not_via_sk</t>
  </si>
  <si>
    <t>added mastercard cos not all paid by sk</t>
  </si>
  <si>
    <t>Non-recurring Items paid by LGH</t>
  </si>
  <si>
    <t>nonrecur_paid_by_lgh</t>
  </si>
  <si>
    <t>C12 Accounts Payable</t>
  </si>
  <si>
    <t>accounts_payable</t>
  </si>
  <si>
    <t>WHAT IS THIS? Not double counting?</t>
  </si>
  <si>
    <t>inflation multiplier</t>
  </si>
  <si>
    <t>inflation_multiplier</t>
  </si>
  <si>
    <t>Inflation</t>
  </si>
  <si>
    <t>inflation</t>
  </si>
  <si>
    <t>revs in nominal dollars cos business forecast nominal, but personnel costs real</t>
  </si>
  <si>
    <t>Total c12 Expenses paid by LGH</t>
  </si>
  <si>
    <t>total_c12_exp_lgh_actual</t>
  </si>
  <si>
    <t>C12 H/O compensation not paid by lgh</t>
  </si>
  <si>
    <t>Roots donation by c12</t>
  </si>
  <si>
    <t>roots_donation</t>
  </si>
  <si>
    <t>Total c12 Expenses Not paid by lgh</t>
  </si>
  <si>
    <t>total_c12_exp_not_lgh</t>
  </si>
  <si>
    <t>total costs</t>
  </si>
  <si>
    <t>total_c12_costs</t>
  </si>
  <si>
    <t>Total C12 Profit</t>
  </si>
  <si>
    <t>total_c12_profit_actual</t>
  </si>
  <si>
    <t>c12 profit margin</t>
  </si>
  <si>
    <t>c12_profit_margin</t>
  </si>
  <si>
    <t>Bank transfers (actual or danielle)</t>
  </si>
  <si>
    <t>Bank transfers</t>
  </si>
  <si>
    <t>actual_bank_transfers</t>
  </si>
  <si>
    <t>oop</t>
  </si>
  <si>
    <t>art</t>
  </si>
  <si>
    <t>pay</t>
  </si>
  <si>
    <t>guarantess</t>
  </si>
  <si>
    <t>cuda buy back</t>
  </si>
  <si>
    <t>Distributions</t>
  </si>
  <si>
    <t>sk_dist_required_actual</t>
  </si>
  <si>
    <t>Distribution after c12 profit</t>
  </si>
  <si>
    <t>sk_dist_top_up_actual</t>
  </si>
  <si>
    <t>2024LOC writeoff</t>
  </si>
  <si>
    <t>loc_writeoff</t>
  </si>
  <si>
    <t>Balance of  c12 LOC</t>
  </si>
  <si>
    <t>loc_balance</t>
  </si>
  <si>
    <t>LGH Accounts Receivable</t>
  </si>
  <si>
    <t>Development &amp; Structuring</t>
  </si>
  <si>
    <t>total_lgh_acc_rec</t>
  </si>
  <si>
    <t>C12 Accounts Receivable</t>
  </si>
  <si>
    <t>BI&amp;f</t>
  </si>
  <si>
    <t>total_c12_acc_rec</t>
  </si>
  <si>
    <t>C12 oc compensation expense (not divisons)</t>
  </si>
  <si>
    <t>lgh revenue</t>
  </si>
  <si>
    <t>hm</t>
  </si>
  <si>
    <t>d&amp;s</t>
  </si>
  <si>
    <t>bif</t>
  </si>
  <si>
    <t>total rev attributable to lgh</t>
  </si>
  <si>
    <t>total_lgh_revenue</t>
  </si>
  <si>
    <t>subcategory</t>
  </si>
  <si>
    <t>Cash Inflows</t>
  </si>
  <si>
    <t>Cash Outflows</t>
  </si>
  <si>
    <t>Net Asset Value (NAV)</t>
  </si>
  <si>
    <t>LGH NAV</t>
  </si>
  <si>
    <t>Mezz Owned</t>
  </si>
  <si>
    <t>Pref Owned</t>
  </si>
  <si>
    <t>Pref Liquidation adj.</t>
  </si>
  <si>
    <t>Equity Liquidation adj.</t>
  </si>
  <si>
    <t>Division Expenses</t>
  </si>
  <si>
    <t>Guarentee Fees</t>
  </si>
  <si>
    <t>Total LGH HM Fees</t>
  </si>
  <si>
    <t>c12 Participation</t>
  </si>
  <si>
    <t>PV Loren fees (Key money)</t>
  </si>
  <si>
    <t>Enterprise value</t>
  </si>
  <si>
    <t>Other EV</t>
  </si>
  <si>
    <t>Total LGH D&amp;s Fees</t>
  </si>
  <si>
    <t>c12 D&amp;s Participation</t>
  </si>
  <si>
    <t>total c12 participation</t>
  </si>
  <si>
    <t>total lgh revenue</t>
  </si>
  <si>
    <t>art leases</t>
  </si>
  <si>
    <t>balance</t>
  </si>
  <si>
    <t>Total Sources/In from Pref</t>
  </si>
  <si>
    <t>Balance: Principal and interest</t>
  </si>
  <si>
    <t>Sources Table: Capital Inflows</t>
  </si>
  <si>
    <t>Sources Table: Capital outflows</t>
  </si>
  <si>
    <t>Total Sources/In</t>
  </si>
  <si>
    <t>Total Uses/Out</t>
  </si>
  <si>
    <t>Balance</t>
  </si>
  <si>
    <t>[SAT] Balance Sheet</t>
  </si>
  <si>
    <t>[WC] Balance Sheet</t>
  </si>
  <si>
    <t>Cumm cash balance</t>
  </si>
  <si>
    <t>guarantee payments</t>
  </si>
  <si>
    <t>total</t>
  </si>
  <si>
    <t>additional</t>
  </si>
  <si>
    <t>Total Capital Raised Other Projects</t>
  </si>
  <si>
    <t>Distribution (cuda for pref)</t>
  </si>
  <si>
    <t>Total c12 Operating Expenses</t>
  </si>
  <si>
    <t>Guarentee Fees Accrued Cumm</t>
  </si>
  <si>
    <t>Sources/In</t>
  </si>
  <si>
    <t>Uses/Out</t>
  </si>
  <si>
    <t>CUDA Cash Outflows</t>
  </si>
  <si>
    <t>CUDA Cash inflows</t>
  </si>
  <si>
    <t>CF from Other Assets</t>
  </si>
  <si>
    <t>lgh cuda buy back</t>
  </si>
  <si>
    <t>c12 Advanced</t>
  </si>
  <si>
    <t>LGH Fee AR/AP</t>
  </si>
  <si>
    <t>C12 Fee Particpiation AR/AP</t>
  </si>
  <si>
    <t>LEVERED RETURN ANCHORS</t>
  </si>
  <si>
    <t>UNLEVERED RETURN ANCHORS</t>
  </si>
  <si>
    <t>Initial Adj. Common (Q1 2026)</t>
  </si>
  <si>
    <t>Initial Adj. Unlevered Equity (Q1 2026)</t>
  </si>
  <si>
    <t>Discount Factor (1.0 = no discount)</t>
  </si>
  <si>
    <t>Applied Discount</t>
  </si>
  <si>
    <t>Levered Return Metrics</t>
  </si>
  <si>
    <t>Unlevered Return Metrics</t>
  </si>
  <si>
    <t>Common Equity</t>
  </si>
  <si>
    <t>Total Shareholder's Equity (SE) + Reserve - C/I</t>
  </si>
  <si>
    <t>Mult</t>
  </si>
  <si>
    <t>YoY</t>
  </si>
  <si>
    <t>Q1 2026</t>
  </si>
  <si>
    <t>Common + Pref MTM + Austin Adj. + Loren EV</t>
  </si>
  <si>
    <t>Total SE + Reserve - C/I + Loren EV</t>
  </si>
  <si>
    <t>Common + Pref MTM + Austin Adj. + Loren EV + Other EV</t>
  </si>
  <si>
    <t>Total SE + Reserve - C/I + Loren EV + Other EV</t>
  </si>
  <si>
    <t>* Unlevered Equity is the sum of Common and Preferred Equity</t>
  </si>
  <si>
    <t>ASSUMPTION INPUTS from lgh_returns page</t>
  </si>
  <si>
    <t>CI  %</t>
  </si>
  <si>
    <t>Pref MTM Discount Rate</t>
  </si>
  <si>
    <t>return on cash balances (lgh_oc)</t>
  </si>
  <si>
    <t>pref unit size in dollars</t>
  </si>
  <si>
    <t>from pref page</t>
  </si>
  <si>
    <t>Valuation Assumptions</t>
  </si>
  <si>
    <t>from lgh_manco</t>
  </si>
  <si>
    <t>Entity</t>
  </si>
  <si>
    <t>Subcategory</t>
  </si>
  <si>
    <t>Assets</t>
  </si>
  <si>
    <t>lgh_oc</t>
  </si>
  <si>
    <t>Cash</t>
  </si>
  <si>
    <t>Bermuda</t>
  </si>
  <si>
    <t>Bermuda Pink Beach</t>
  </si>
  <si>
    <t>Level 1</t>
  </si>
  <si>
    <t>Equity</t>
  </si>
  <si>
    <t>Austin</t>
  </si>
  <si>
    <t>Austin Lady Bird Lake</t>
  </si>
  <si>
    <t>Preferred Equity</t>
  </si>
  <si>
    <t>Mezz Loan</t>
  </si>
  <si>
    <t>STL</t>
  </si>
  <si>
    <t>Turks</t>
  </si>
  <si>
    <t>Turks &amp; Caicos</t>
  </si>
  <si>
    <t>Elbow</t>
  </si>
  <si>
    <t>Bermuda: Elbow Beach</t>
  </si>
  <si>
    <t>Elbow Beach</t>
  </si>
  <si>
    <t>Fritholme</t>
  </si>
  <si>
    <t>lgh_other_assets</t>
  </si>
  <si>
    <t>[LSAT]</t>
  </si>
  <si>
    <t>[L4]</t>
  </si>
  <si>
    <t>c12_hm_oc</t>
  </si>
  <si>
    <t>Other</t>
  </si>
  <si>
    <t>Other Assets</t>
  </si>
  <si>
    <t>Total assets incl. Cash</t>
  </si>
  <si>
    <t>Liabilities</t>
  </si>
  <si>
    <t>lgh_debt</t>
  </si>
  <si>
    <t>LGH Debt</t>
  </si>
  <si>
    <t>Other Project Capital needs</t>
  </si>
  <si>
    <t>lgh_other_liabs</t>
  </si>
  <si>
    <t>LGH other</t>
  </si>
  <si>
    <t>Total Liabilities</t>
  </si>
  <si>
    <t>Shareholders' Equity</t>
  </si>
  <si>
    <t>lgh_ci</t>
  </si>
  <si>
    <t>Carried Interest</t>
  </si>
  <si>
    <t>lgh_pref</t>
  </si>
  <si>
    <t>cuda</t>
  </si>
  <si>
    <t>CUDA</t>
  </si>
  <si>
    <t>Total Shareholder's Equity</t>
  </si>
  <si>
    <t>Austin Pref Liquidation adj.</t>
  </si>
  <si>
    <t>Austin Equity Liquidation adj.</t>
  </si>
  <si>
    <t>Enterprise value Loren</t>
  </si>
  <si>
    <t>Other EV Value</t>
  </si>
  <si>
    <t>Adjusted NAV</t>
  </si>
  <si>
    <t>Add. Carried Interest Val.</t>
  </si>
  <si>
    <t>LGH Pref MTM</t>
  </si>
  <si>
    <t>Pref participation</t>
  </si>
  <si>
    <t>Adj. Pref</t>
  </si>
  <si>
    <t>Adj. CI</t>
  </si>
  <si>
    <t>Adj. Common Equity</t>
  </si>
  <si>
    <t>Adjusted Shareholder's Equity</t>
  </si>
  <si>
    <t>Adj. Unlevered Equity</t>
  </si>
  <si>
    <t>NAV</t>
  </si>
  <si>
    <t>adjusted NAV</t>
  </si>
  <si>
    <t>Common carried interest</t>
  </si>
  <si>
    <t>Additional CI Val.</t>
  </si>
  <si>
    <t>fee, service, and charge backs</t>
  </si>
  <si>
    <t>Total Revenue</t>
  </si>
  <si>
    <t>Other Income</t>
  </si>
  <si>
    <t>Art Leases</t>
  </si>
  <si>
    <t>Total Other Income</t>
  </si>
  <si>
    <t>total lgh operating revenue</t>
  </si>
  <si>
    <t>C12 Participation Expense</t>
  </si>
  <si>
    <t>Total C12 Participation (inc 5% for c/bs)</t>
  </si>
  <si>
    <t>Total LGH Expenses</t>
  </si>
  <si>
    <t>Total LGH Operating Profit</t>
  </si>
  <si>
    <t>LGH opprofit / bs-1</t>
  </si>
  <si>
    <t>Guarantee Fees Received</t>
  </si>
  <si>
    <t>need to be reflected in cs2s</t>
  </si>
  <si>
    <t>Guarentee Fees accrued cumm (PIK)</t>
  </si>
  <si>
    <t>Guarentee Fees Expense</t>
  </si>
  <si>
    <t>net guarantee fees</t>
  </si>
  <si>
    <t>Cash Flow from Properties</t>
  </si>
  <si>
    <t>Bermuda PB</t>
  </si>
  <si>
    <t>Frithholme</t>
  </si>
  <si>
    <t>SAT</t>
  </si>
  <si>
    <t>Bermuda Elbow</t>
  </si>
  <si>
    <t>Total Sources</t>
  </si>
  <si>
    <t>Uses/out</t>
  </si>
  <si>
    <t>Total Uses</t>
  </si>
  <si>
    <t>Total CF from Property Distributions</t>
  </si>
  <si>
    <t>LGH DEPO Cash Flow</t>
  </si>
  <si>
    <t>lgh equity</t>
  </si>
  <si>
    <t>lgh pref</t>
  </si>
  <si>
    <t>lgh debt</t>
  </si>
  <si>
    <t>lgh other</t>
  </si>
  <si>
    <t>Total CF from LGH DEPO</t>
  </si>
  <si>
    <t>LGH Other Assets</t>
  </si>
  <si>
    <t>Total CF from Other Assets</t>
  </si>
  <si>
    <t>LGH Cash Flow</t>
  </si>
  <si>
    <t>Bank Statement Cash Flow</t>
  </si>
  <si>
    <t>yield on cash balance</t>
  </si>
  <si>
    <t>Cumm cash balance (Balance Sheet)</t>
  </si>
  <si>
    <t>adj. to match bank statement</t>
  </si>
  <si>
    <t>manual adjustment by sk to keep 2025 cash equal. Thomas to evaluate historicals to end q1.</t>
  </si>
  <si>
    <t>CUDA (liability)</t>
  </si>
  <si>
    <t>Common Unit Distribution Amount (partner participation)</t>
  </si>
  <si>
    <t>Increase per LLC agreement</t>
  </si>
  <si>
    <t>Distribution (cash payout to Managing Member)</t>
  </si>
  <si>
    <t xml:space="preserve">cuda writeoff for discount </t>
  </si>
  <si>
    <t>Distribution (kind within other against art)</t>
  </si>
  <si>
    <t>Cashflows sources and uses</t>
  </si>
  <si>
    <t>Sources (cash)</t>
  </si>
  <si>
    <t>Total LGH Other Liabs in(source) after (assets and cuda)</t>
  </si>
  <si>
    <t>Uses (cash)</t>
  </si>
  <si>
    <t>Total LGH Other Liabs Cashflow out (flow) (assets and cuda)</t>
  </si>
  <si>
    <t>LGH Equity</t>
  </si>
  <si>
    <t>EQUITY OWNERSHIP (and percent)</t>
  </si>
  <si>
    <t>Phil Potter</t>
  </si>
  <si>
    <t>Cambrian</t>
  </si>
  <si>
    <t>Arik</t>
  </si>
  <si>
    <t>Scott</t>
  </si>
  <si>
    <t>Total sources in</t>
  </si>
  <si>
    <t>LGH Cash Flow Total</t>
  </si>
  <si>
    <t>EQUITY PERCENTAGE</t>
  </si>
  <si>
    <t>Dilution Calculation</t>
  </si>
  <si>
    <t>new equity raised</t>
  </si>
  <si>
    <t>Issued Share %</t>
  </si>
  <si>
    <t>Unissued Share %</t>
  </si>
  <si>
    <t>pref raised</t>
  </si>
  <si>
    <t>Pref Share %</t>
  </si>
  <si>
    <t>New Equity Issued</t>
  </si>
  <si>
    <t>Sk</t>
  </si>
  <si>
    <t>Huston</t>
  </si>
  <si>
    <t>potter</t>
  </si>
  <si>
    <t>PFNGT LLC Pref Transfer</t>
  </si>
  <si>
    <t>Scott Bruner</t>
  </si>
  <si>
    <t>Common Equity Position</t>
  </si>
  <si>
    <t>Total Common Equity</t>
  </si>
  <si>
    <t>Transfer of Pref to Common</t>
  </si>
  <si>
    <t>New Pref Issued</t>
  </si>
  <si>
    <t>Prev. Shares Diluted Value</t>
  </si>
  <si>
    <t>Total % Preferred Equity Participation</t>
  </si>
  <si>
    <t>DEBT INFORMATION</t>
  </si>
  <si>
    <t>Pref Equity ID</t>
  </si>
  <si>
    <t>Investor Name</t>
  </si>
  <si>
    <t>Principal ($)</t>
  </si>
  <si>
    <t>Rate (%)</t>
  </si>
  <si>
    <t>Gross Part.</t>
  </si>
  <si>
    <t>Start Date</t>
  </si>
  <si>
    <t>Units</t>
  </si>
  <si>
    <t>Side letter Part ∆</t>
  </si>
  <si>
    <t>PE ID + Name</t>
  </si>
  <si>
    <t>PE001</t>
  </si>
  <si>
    <t>PFNGT LLC</t>
  </si>
  <si>
    <t>PE002</t>
  </si>
  <si>
    <t>Derivee Capital Advisors, LLC</t>
  </si>
  <si>
    <t>PE003</t>
  </si>
  <si>
    <t>PE004</t>
  </si>
  <si>
    <t>DCAPP Hotel Ventures LLC</t>
  </si>
  <si>
    <t>PE005</t>
  </si>
  <si>
    <t>PE006</t>
  </si>
  <si>
    <t>PE007</t>
  </si>
  <si>
    <t>La Pointe Investments LLC</t>
  </si>
  <si>
    <t>PE008</t>
  </si>
  <si>
    <t>PE009</t>
  </si>
  <si>
    <t>PE010</t>
  </si>
  <si>
    <t>Benjamin Rego Jr.</t>
  </si>
  <si>
    <t>PE011</t>
  </si>
  <si>
    <t>PE012</t>
  </si>
  <si>
    <t>Benjamin Rego Jr._1</t>
  </si>
  <si>
    <t>PE013</t>
  </si>
  <si>
    <t>PE014</t>
  </si>
  <si>
    <t>PE015</t>
  </si>
  <si>
    <t>LBCW Holdings, LP</t>
  </si>
  <si>
    <t>PE016</t>
  </si>
  <si>
    <t>PE017</t>
  </si>
  <si>
    <t>Arbor Green II LP</t>
  </si>
  <si>
    <t>PE018</t>
  </si>
  <si>
    <t>Todd &amp; Stephanie Routh</t>
  </si>
  <si>
    <t>PE019</t>
  </si>
  <si>
    <t>PE020</t>
  </si>
  <si>
    <t>PE021</t>
  </si>
  <si>
    <t>PE022</t>
  </si>
  <si>
    <t>Huston Street</t>
  </si>
  <si>
    <t>PE023</t>
  </si>
  <si>
    <t>Bruner Interests LLC</t>
  </si>
  <si>
    <t>PE024</t>
  </si>
  <si>
    <t>PE025</t>
  </si>
  <si>
    <t>Sandollar Holdings Limited</t>
  </si>
  <si>
    <t>PE026</t>
  </si>
  <si>
    <t>James Neuhauser (Jim)</t>
  </si>
  <si>
    <t>PE027</t>
  </si>
  <si>
    <t>PFNGT LLC_side letter part % adj.</t>
  </si>
  <si>
    <t>PE028</t>
  </si>
  <si>
    <t>PE029</t>
  </si>
  <si>
    <t>PE030</t>
  </si>
  <si>
    <t>King Partner Pref convert</t>
  </si>
  <si>
    <t>PE031</t>
  </si>
  <si>
    <t>Edwin2 convert</t>
  </si>
  <si>
    <t>PE032</t>
  </si>
  <si>
    <t>Buddy</t>
  </si>
  <si>
    <t>PE033</t>
  </si>
  <si>
    <t>PE034</t>
  </si>
  <si>
    <t>PE035</t>
  </si>
  <si>
    <t>guy</t>
  </si>
  <si>
    <t>PE036</t>
  </si>
  <si>
    <t>PE037</t>
  </si>
  <si>
    <t>PE038</t>
  </si>
  <si>
    <t>QUARTERLY TOTALS:</t>
  </si>
  <si>
    <t>Accrued Interest</t>
  </si>
  <si>
    <t>adj. for previous reporting</t>
  </si>
  <si>
    <t>Number of Active Debts:</t>
  </si>
  <si>
    <t>Average Interest Rate:</t>
  </si>
  <si>
    <t>WACC</t>
  </si>
  <si>
    <t>Cashflows  Sources and Uses</t>
  </si>
  <si>
    <t>Sources/In (cash)</t>
  </si>
  <si>
    <t>adj. for previous reporting (previous fundings)</t>
  </si>
  <si>
    <t>Total LGH Debt sources (money to LGH)</t>
  </si>
  <si>
    <t>Dollars</t>
  </si>
  <si>
    <t>Summary Table</t>
  </si>
  <si>
    <t>Date:</t>
  </si>
  <si>
    <t>Max Issuance :</t>
  </si>
  <si>
    <t>Individual</t>
  </si>
  <si>
    <t>Notional</t>
  </si>
  <si>
    <t>Intereset</t>
  </si>
  <si>
    <t>Gross Participation</t>
  </si>
  <si>
    <t>Share</t>
  </si>
  <si>
    <t>Net Participation (non-diluted)</t>
  </si>
  <si>
    <t>Pref Investor Participation in Equity</t>
  </si>
  <si>
    <t>Transfer to Common</t>
  </si>
  <si>
    <t>Total Pref shares diluted %</t>
  </si>
  <si>
    <t>Pref Investor Equity Participation ($)</t>
  </si>
  <si>
    <t>Total Pref Equity Participation ($)</t>
  </si>
  <si>
    <t>Total Pref % (check)</t>
  </si>
  <si>
    <t>Implied Pref Equity $ (check)</t>
  </si>
  <si>
    <t>Payment</t>
  </si>
  <si>
    <t>PAYMENT SCHEDULE</t>
  </si>
  <si>
    <t>Debt ID</t>
  </si>
  <si>
    <t>Maturity Date</t>
  </si>
  <si>
    <t>Payment Schedule</t>
  </si>
  <si>
    <t>DEBT001</t>
  </si>
  <si>
    <t>GD</t>
  </si>
  <si>
    <t>Moved to Bermuda BS</t>
  </si>
  <si>
    <t>DEBT002</t>
  </si>
  <si>
    <t>GM</t>
  </si>
  <si>
    <t>Moved from Bermuda Cap stack</t>
  </si>
  <si>
    <t>DEBT003</t>
  </si>
  <si>
    <t>CP(1&amp;2)</t>
  </si>
  <si>
    <t>Moved to Austin Mezz</t>
  </si>
  <si>
    <t>DEBT004</t>
  </si>
  <si>
    <t>PFNGT_1</t>
  </si>
  <si>
    <t>DEBT005</t>
  </si>
  <si>
    <t>PFNGT_2</t>
  </si>
  <si>
    <t>DEBT006</t>
  </si>
  <si>
    <t>PFNGT_3</t>
  </si>
  <si>
    <t>DEBT007</t>
  </si>
  <si>
    <t>Phil Bekhazi</t>
  </si>
  <si>
    <t>DEBT008</t>
  </si>
  <si>
    <t>AK</t>
  </si>
  <si>
    <t>DEBT009</t>
  </si>
  <si>
    <t>Todd Routh</t>
  </si>
  <si>
    <t>DEBT010</t>
  </si>
  <si>
    <t>DEBT011</t>
  </si>
  <si>
    <t>DEBT012</t>
  </si>
  <si>
    <t>AK2</t>
  </si>
  <si>
    <t>DEBT013</t>
  </si>
  <si>
    <t>AK3</t>
  </si>
  <si>
    <t>DEBT014</t>
  </si>
  <si>
    <t>kraus</t>
  </si>
  <si>
    <t>DEBT015</t>
  </si>
  <si>
    <t>DEBT017</t>
  </si>
  <si>
    <t>GD_new</t>
  </si>
  <si>
    <t>DEBT018</t>
  </si>
  <si>
    <t>Partner Loan (GL2016)</t>
  </si>
  <si>
    <t>DEBT020</t>
  </si>
  <si>
    <t>working capital</t>
  </si>
  <si>
    <t>DEBT021</t>
  </si>
  <si>
    <t>DEBT022</t>
  </si>
  <si>
    <t>DEBT023</t>
  </si>
  <si>
    <t>DEBT024</t>
  </si>
  <si>
    <t>DEBT025</t>
  </si>
  <si>
    <t>La Pointe (Temp hold)</t>
  </si>
  <si>
    <t>DEBT026</t>
  </si>
  <si>
    <t>DEBT027</t>
  </si>
  <si>
    <t>DEBT###</t>
  </si>
  <si>
    <t>Uses/Out (cash)</t>
  </si>
  <si>
    <t>Total LGH Debt Uses (money from LGH)</t>
  </si>
  <si>
    <t>Payment/Adj.</t>
  </si>
  <si>
    <t>Other Liability ID</t>
  </si>
  <si>
    <t>Liability</t>
  </si>
  <si>
    <t>OL001</t>
  </si>
  <si>
    <t>partner liability RE</t>
  </si>
  <si>
    <t>OL002</t>
  </si>
  <si>
    <t>Accrued Expenses (gl2000)</t>
  </si>
  <si>
    <t>OL003</t>
  </si>
  <si>
    <t>tom and ryan</t>
  </si>
  <si>
    <t>OL006</t>
  </si>
  <si>
    <t>Other Priority (AP)</t>
  </si>
  <si>
    <t>OL007</t>
  </si>
  <si>
    <t>Nonpartner Bonuses '24</t>
  </si>
  <si>
    <t>OL008</t>
  </si>
  <si>
    <t>Edwin loan (consultant)</t>
  </si>
  <si>
    <t>OL009</t>
  </si>
  <si>
    <t>frith capex loan</t>
  </si>
  <si>
    <t>OL010</t>
  </si>
  <si>
    <t>Akerwood (chang)</t>
  </si>
  <si>
    <t>OL011</t>
  </si>
  <si>
    <t>xxxx (Austin Cash acct.)</t>
  </si>
  <si>
    <t>OL012</t>
  </si>
  <si>
    <t>partner liability</t>
  </si>
  <si>
    <t>OL013</t>
  </si>
  <si>
    <t>edwin loan</t>
  </si>
  <si>
    <t>OL014</t>
  </si>
  <si>
    <t>Accounts Payable (2022)</t>
  </si>
  <si>
    <t>OL015</t>
  </si>
  <si>
    <t>decommission</t>
  </si>
  <si>
    <t>OL016</t>
  </si>
  <si>
    <t>partner facility</t>
  </si>
  <si>
    <t>OL017</t>
  </si>
  <si>
    <t>Roots loan</t>
  </si>
  <si>
    <t>LSAT Capital</t>
  </si>
  <si>
    <t>OL018</t>
  </si>
  <si>
    <t>BLOCK no source of funds</t>
  </si>
  <si>
    <t>Notes:</t>
  </si>
  <si>
    <t>- allowed to increase/decrease specific lines for inflows and outflows of cash</t>
  </si>
  <si>
    <t>- Need to confirm Ap position prior to finalizing</t>
  </si>
  <si>
    <t>Other Assets &amp; [New Projects]</t>
  </si>
  <si>
    <t>comments</t>
  </si>
  <si>
    <t>Cash Flows [New Projects]</t>
  </si>
  <si>
    <t>[WC]</t>
  </si>
  <si>
    <t>[L4] capex</t>
  </si>
  <si>
    <t>Net Cash Flow</t>
  </si>
  <si>
    <t>Cash Flows Other Assets</t>
  </si>
  <si>
    <t>Sources</t>
  </si>
  <si>
    <t>7e Condo (Sardis Lone Star III LLC)</t>
  </si>
  <si>
    <t>7e condo escrow</t>
  </si>
  <si>
    <t>Austin STL repay</t>
  </si>
  <si>
    <t>art (write down to zero against cuda)</t>
  </si>
  <si>
    <t>Due to Related Party (Roots GL 2021)</t>
  </si>
  <si>
    <t>Uses</t>
  </si>
  <si>
    <t>Balance Sheet</t>
  </si>
  <si>
    <t>debt</t>
  </si>
  <si>
    <t>equity</t>
  </si>
  <si>
    <t>Total Future Assets</t>
  </si>
  <si>
    <t>L4 Capital</t>
  </si>
  <si>
    <t>Due to Related Party (Roots GL 2021) appears in other liabilities</t>
  </si>
  <si>
    <t>Total Othe Assets</t>
  </si>
  <si>
    <t>c12loc borrow base from participation</t>
  </si>
  <si>
    <t>guarantee borrow base@0%</t>
  </si>
  <si>
    <t>cuda borrow base @50%</t>
  </si>
  <si>
    <t>art borrow base @100</t>
  </si>
  <si>
    <t>net borrow base</t>
  </si>
  <si>
    <t>net borrow base %</t>
  </si>
  <si>
    <t>Valuation</t>
  </si>
  <si>
    <t>Existing Key money valuation</t>
  </si>
  <si>
    <t>elbow</t>
  </si>
  <si>
    <t>[project SAT]</t>
  </si>
  <si>
    <t>[project wc]</t>
  </si>
  <si>
    <t>Total key money</t>
  </si>
  <si>
    <t>multiple</t>
  </si>
  <si>
    <t>Loren Enterprise Value</t>
  </si>
  <si>
    <t>Enterprise Value Other</t>
  </si>
  <si>
    <t>TOTAL EV/MC VALUE</t>
  </si>
  <si>
    <t>Sardis Holdings Ltd - Inv</t>
  </si>
  <si>
    <t>Hotel Cash Flow</t>
  </si>
  <si>
    <t>Property NOI after FF&amp;E</t>
  </si>
  <si>
    <t>NOI provided by Ops 4.16.6</t>
  </si>
  <si>
    <t>Debt Service</t>
  </si>
  <si>
    <t>BLOCK CASH (capex)</t>
  </si>
  <si>
    <t>Mezz Debt Service</t>
  </si>
  <si>
    <t>Net Cash After Debt Service</t>
  </si>
  <si>
    <t>Total Distribution</t>
  </si>
  <si>
    <t>Net Cash Flow in Period</t>
  </si>
  <si>
    <t>Cash Flows (Sources)</t>
  </si>
  <si>
    <t>From distributions (equity)</t>
  </si>
  <si>
    <t>Greg M Liability</t>
  </si>
  <si>
    <t>PhilB Note</t>
  </si>
  <si>
    <t>GD lgh note</t>
  </si>
  <si>
    <t>From debt (equity)</t>
  </si>
  <si>
    <t>Cash Flows (uses)</t>
  </si>
  <si>
    <t>Debt proceeds</t>
  </si>
  <si>
    <t>gd liab pay-off</t>
  </si>
  <si>
    <t>GM pay off</t>
  </si>
  <si>
    <t>Capex</t>
  </si>
  <si>
    <t>Deal expense</t>
  </si>
  <si>
    <t>PhilB pay-off</t>
  </si>
  <si>
    <t>Retained Earnings @ Property</t>
  </si>
  <si>
    <t>Guarantee Fee Accrued</t>
  </si>
  <si>
    <t>Guarantee Fee Paid</t>
  </si>
  <si>
    <t>Accrued Unpaid Guarantee Fee</t>
  </si>
  <si>
    <t>Hotel Valuation</t>
  </si>
  <si>
    <t>Appraisals</t>
  </si>
  <si>
    <t>implied NOI</t>
  </si>
  <si>
    <t>Hotel Value (Appraisal)</t>
  </si>
  <si>
    <t>Hotel Growth Rate</t>
  </si>
  <si>
    <t>Residence</t>
  </si>
  <si>
    <t>Talbots</t>
  </si>
  <si>
    <t>PHC 3rd Party Valuation</t>
  </si>
  <si>
    <t>Art</t>
  </si>
  <si>
    <t>Add Existing Tax Value</t>
  </si>
  <si>
    <t>3rd Party Concession extension</t>
  </si>
  <si>
    <t>Add Membership (level 2)</t>
  </si>
  <si>
    <t>Asset Value</t>
  </si>
  <si>
    <t>Debt</t>
  </si>
  <si>
    <t>Senior Debt</t>
  </si>
  <si>
    <t>rate</t>
  </si>
  <si>
    <t>Senior Debt refi</t>
  </si>
  <si>
    <t>assumed rate</t>
  </si>
  <si>
    <t>PhilB(xbto)</t>
  </si>
  <si>
    <t>Accrued Unpaid Fees (BTNB)</t>
  </si>
  <si>
    <t>Accrued Unpaid Fees (c12)</t>
  </si>
  <si>
    <t>Greg Dwyer Note</t>
  </si>
  <si>
    <t>Greg Morrison Note</t>
  </si>
  <si>
    <t>Total Debt</t>
  </si>
  <si>
    <t xml:space="preserve">Net Cash From Debt </t>
  </si>
  <si>
    <t>Asset Ownership</t>
  </si>
  <si>
    <t>LGH Equity @ Base</t>
  </si>
  <si>
    <t>YoY return</t>
  </si>
  <si>
    <t>Q1 2026 ROI</t>
  </si>
  <si>
    <t>Other Project Liabilities</t>
  </si>
  <si>
    <t>Greg D</t>
  </si>
  <si>
    <t>Greg M</t>
  </si>
  <si>
    <t>Interest Rate</t>
  </si>
  <si>
    <t>Balance 12/31/23</t>
  </si>
  <si>
    <t>Starting Balance 3/29/21</t>
  </si>
  <si>
    <t>Recorded interest 2024</t>
  </si>
  <si>
    <t>Interest</t>
  </si>
  <si>
    <t>Recorded Interest paid</t>
  </si>
  <si>
    <t>Rent Paid</t>
  </si>
  <si>
    <t>Outstanding Loan Balance</t>
  </si>
  <si>
    <t>principal + interest</t>
  </si>
  <si>
    <t>Per Support 12/31/2022</t>
  </si>
  <si>
    <t>Balance 1/1/2023</t>
  </si>
  <si>
    <t>Capital Inflow</t>
  </si>
  <si>
    <t>New Loan</t>
  </si>
  <si>
    <t>Per Support 12/31/2023</t>
  </si>
  <si>
    <t>Total Balance</t>
  </si>
  <si>
    <t>Per Support 12/31/2024</t>
  </si>
  <si>
    <t>Balance YE 2024</t>
  </si>
  <si>
    <t>Repayment</t>
  </si>
  <si>
    <t>Bermuda Elbow Beach</t>
  </si>
  <si>
    <t>Sardis 3T Holdings, llc</t>
  </si>
  <si>
    <t>Property Cash Flow</t>
  </si>
  <si>
    <t>Hotel/Property NOI</t>
  </si>
  <si>
    <t>Net Cash after debt service</t>
  </si>
  <si>
    <t>Distribution</t>
  </si>
  <si>
    <t>Cumm. Cash Balance</t>
  </si>
  <si>
    <t>Cash Flows</t>
  </si>
  <si>
    <t>Source</t>
  </si>
  <si>
    <t>deposits received</t>
  </si>
  <si>
    <t>clarien</t>
  </si>
  <si>
    <t>Use</t>
  </si>
  <si>
    <t>chk</t>
  </si>
  <si>
    <t>refi proceeds from PB</t>
  </si>
  <si>
    <t>preconstruction</t>
  </si>
  <si>
    <t>deposit</t>
  </si>
  <si>
    <t>Property Valuation</t>
  </si>
  <si>
    <t>Hotel Value (appraisal)</t>
  </si>
  <si>
    <t>Tax Concession</t>
  </si>
  <si>
    <t>Hotel Opening Date</t>
  </si>
  <si>
    <t>Membership</t>
  </si>
  <si>
    <t>Deposits Outstanding</t>
  </si>
  <si>
    <t>Real Estate Sales Profit (loan calc)</t>
  </si>
  <si>
    <t>[capital raise_pref]</t>
  </si>
  <si>
    <t>guarantees Fees</t>
  </si>
  <si>
    <t>Total Asset Value</t>
  </si>
  <si>
    <t>Discount to Open</t>
  </si>
  <si>
    <t>Discount Rate</t>
  </si>
  <si>
    <t>Time (Construction Schedule)</t>
  </si>
  <si>
    <t>LTV perm.</t>
  </si>
  <si>
    <t>construction/perm loan</t>
  </si>
  <si>
    <t>[clarien]</t>
  </si>
  <si>
    <t>Guarantees</t>
  </si>
  <si>
    <t>Net Asset Value</t>
  </si>
  <si>
    <t>% Ownership</t>
  </si>
  <si>
    <t>LGH Equity Ownership</t>
  </si>
  <si>
    <t>Equity Requirement</t>
  </si>
  <si>
    <t>Equity Funded</t>
  </si>
  <si>
    <t>LGH Final NAV</t>
  </si>
  <si>
    <t>Ending Equity Calc.</t>
  </si>
  <si>
    <t>Cost to Build</t>
  </si>
  <si>
    <t>Retention</t>
  </si>
  <si>
    <t>[Add'l pref equity raise]</t>
  </si>
  <si>
    <t>Land Contribution</t>
  </si>
  <si>
    <t>Req Deposits</t>
  </si>
  <si>
    <t>Deposits Received</t>
  </si>
  <si>
    <t>Expected Loan</t>
  </si>
  <si>
    <t>Expected Sales</t>
  </si>
  <si>
    <t>Net of Deposits</t>
  </si>
  <si>
    <t>End Equity Position</t>
  </si>
  <si>
    <t>Austin: Lady Bird Lake</t>
  </si>
  <si>
    <t>The Loren Group AH, llc - Inv</t>
  </si>
  <si>
    <t>yoy increase</t>
  </si>
  <si>
    <t>28&amp;30 growing by inflation + $1M in additional for capex. Numbers provided by Ops 4.26</t>
  </si>
  <si>
    <t>guarantee fee</t>
  </si>
  <si>
    <t>From distributions (mezz)</t>
  </si>
  <si>
    <t>Austin lend to lgh</t>
  </si>
  <si>
    <t>Huston Loan</t>
  </si>
  <si>
    <t>Huston loan payments</t>
  </si>
  <si>
    <t>Cosmo payment</t>
  </si>
  <si>
    <t>capex &amp; AP catch-up</t>
  </si>
  <si>
    <t>Refi proceeds from SAT</t>
  </si>
  <si>
    <t>LGH STL</t>
  </si>
  <si>
    <t>SRT Interest Shortfall</t>
  </si>
  <si>
    <t>Uses Total</t>
  </si>
  <si>
    <t>Cash Flow</t>
  </si>
  <si>
    <t>implied cap rate from provided NOI</t>
  </si>
  <si>
    <t>CAP Rate</t>
  </si>
  <si>
    <t>Less Retail Rent</t>
  </si>
  <si>
    <t>Net NOI</t>
  </si>
  <si>
    <t>Hotel Value Income</t>
  </si>
  <si>
    <t>Appraisal</t>
  </si>
  <si>
    <t>Hotel Valuation (appraisal)</t>
  </si>
  <si>
    <t>Add Retail 3rd pty Value</t>
  </si>
  <si>
    <t>Retail Growth Rate</t>
  </si>
  <si>
    <t>Add Paggi Value</t>
  </si>
  <si>
    <t>Condo 7e</t>
  </si>
  <si>
    <t>M&amp;H loan</t>
  </si>
  <si>
    <t>Valuation Value 3rd party</t>
  </si>
  <si>
    <t>Hotel PPK Override $$</t>
  </si>
  <si>
    <t>Hotel Value</t>
  </si>
  <si>
    <t>Hotel Value PPK</t>
  </si>
  <si>
    <t>LTV</t>
  </si>
  <si>
    <t>Refi Loan</t>
  </si>
  <si>
    <t>Mezz</t>
  </si>
  <si>
    <t>Mezz interest</t>
  </si>
  <si>
    <t>Pref interest</t>
  </si>
  <si>
    <t>Pref</t>
  </si>
  <si>
    <t>Debt STL (LGH owned)</t>
  </si>
  <si>
    <t>STL Rate</t>
  </si>
  <si>
    <t>FTI ADJ</t>
  </si>
  <si>
    <t>Adj. Pref Outstanding</t>
  </si>
  <si>
    <t>Adj. Pref PV</t>
  </si>
  <si>
    <t>Pref PV Disc. Rate</t>
  </si>
  <si>
    <t>Adj. Mezz Outstanding</t>
  </si>
  <si>
    <t>Net Assets Ownership %</t>
  </si>
  <si>
    <t>LGH Common Equity</t>
  </si>
  <si>
    <t>PV Discount Rate</t>
  </si>
  <si>
    <t>LGH CE PV</t>
  </si>
  <si>
    <t>Debt (LGH owned)</t>
  </si>
  <si>
    <t>Mezz Owned %</t>
  </si>
  <si>
    <t>Cosmo Promissory Note</t>
  </si>
  <si>
    <t>Mezz Owned $</t>
  </si>
  <si>
    <t>Huston Pref</t>
  </si>
  <si>
    <t>Pref Owned %</t>
  </si>
  <si>
    <t>Pref Owned $</t>
  </si>
  <si>
    <t>Pref adj.</t>
  </si>
  <si>
    <t>btjh principal outstanding</t>
  </si>
  <si>
    <t>btjh P&amp;I $ total buyout</t>
  </si>
  <si>
    <t>BTJH Buyout Balance</t>
  </si>
  <si>
    <t>commitment date</t>
  </si>
  <si>
    <t>removed but checked</t>
  </si>
  <si>
    <t>chk cash available for SAT</t>
  </si>
  <si>
    <t>Mezz Financing</t>
  </si>
  <si>
    <t>Ownership %</t>
  </si>
  <si>
    <t>The Loren Group Holdings, LLC
c/o C12 Capital Management</t>
  </si>
  <si>
    <t>SLSH HoldCo II LLC
c/o C12 Capital Management principal</t>
  </si>
  <si>
    <t>Todd Routh principal</t>
  </si>
  <si>
    <t>Southern Sky Ventures LLC principal</t>
  </si>
  <si>
    <t>JK Freedom Ventures Ltd. principal</t>
  </si>
  <si>
    <t>Huston Street principal</t>
  </si>
  <si>
    <t>Total Principal Outstanding</t>
  </si>
  <si>
    <t>BTJH %</t>
  </si>
  <si>
    <t>BTJH $ buy out</t>
  </si>
  <si>
    <t>Total Investment Outstanding</t>
  </si>
  <si>
    <t>Initial Maturity Date</t>
  </si>
  <si>
    <t>Total Interest Outstanding</t>
  </si>
  <si>
    <t>Total Outstanding</t>
  </si>
  <si>
    <t>pref $ Outstanding</t>
  </si>
  <si>
    <t>Interest (14%)</t>
  </si>
  <si>
    <t>SOLD</t>
  </si>
  <si>
    <t>Principal sold</t>
  </si>
  <si>
    <t>Southern Sky Ventures llc</t>
  </si>
  <si>
    <t>JK Freedom ventures llc</t>
  </si>
  <si>
    <t>Interest Sold</t>
  </si>
  <si>
    <t>Sardis 3T Holdings, llc -  Inv.</t>
  </si>
  <si>
    <t>provied by ops 4.26</t>
  </si>
  <si>
    <t>proposed interest rate</t>
  </si>
  <si>
    <t>distributions</t>
  </si>
  <si>
    <t>refi cash proceeds</t>
  </si>
  <si>
    <t>pop-up reimbursement</t>
  </si>
  <si>
    <t>arik</t>
  </si>
  <si>
    <t>Deal expenses</t>
  </si>
  <si>
    <t>hotel carry</t>
  </si>
  <si>
    <t>Uses (hotel equity)</t>
  </si>
  <si>
    <t>uses (Pop-up)</t>
  </si>
  <si>
    <t>implied cap</t>
  </si>
  <si>
    <t>Phase 2 Hotel Value</t>
  </si>
  <si>
    <t>Hotel Openining</t>
  </si>
  <si>
    <t>Phase 2 F&amp;B Value</t>
  </si>
  <si>
    <t>Phase 2 Event Value</t>
  </si>
  <si>
    <t>Phase 2 Sports Value</t>
  </si>
  <si>
    <t>Phase 2 Land</t>
  </si>
  <si>
    <t>arik liab</t>
  </si>
  <si>
    <t>charity</t>
  </si>
  <si>
    <t>Implied Asset Value</t>
  </si>
  <si>
    <t>Loan</t>
  </si>
  <si>
    <t>Net Cash Flow from Debt</t>
  </si>
  <si>
    <t>Linx Liability</t>
  </si>
  <si>
    <t>Unfunded Equity</t>
  </si>
  <si>
    <t xml:space="preserve">accrued unpaid </t>
  </si>
  <si>
    <t>Arik/lgh unfunded equity</t>
  </si>
  <si>
    <t>guarentees Fees</t>
  </si>
  <si>
    <t>asset of lgh</t>
  </si>
  <si>
    <t>discounted</t>
  </si>
  <si>
    <t>Land</t>
  </si>
  <si>
    <t>remaining sales</t>
  </si>
  <si>
    <t>% of remaining sales</t>
  </si>
  <si>
    <t>contracted sales to date</t>
  </si>
  <si>
    <t>$ of sales after refi</t>
  </si>
  <si>
    <t>total projected sales</t>
  </si>
  <si>
    <t>balance fund</t>
  </si>
  <si>
    <t>land</t>
  </si>
  <si>
    <t>draw on loan facility</t>
  </si>
  <si>
    <t>FRITHOLME</t>
  </si>
  <si>
    <t>Sardis Holdings II Ltd. - Inv.</t>
  </si>
  <si>
    <t>Pref Sales</t>
  </si>
  <si>
    <t>S&amp;U</t>
  </si>
  <si>
    <t>Asset Sale (Blue Unit)</t>
  </si>
  <si>
    <t>Butterfield loan</t>
  </si>
  <si>
    <t>Unit Sales</t>
  </si>
  <si>
    <t>Phil Bekazi</t>
  </si>
  <si>
    <t>repay debt</t>
  </si>
  <si>
    <t>c12 fees paid</t>
  </si>
  <si>
    <t>deal expense WQ</t>
  </si>
  <si>
    <t>frith capex</t>
  </si>
  <si>
    <t>Net Cash Flows</t>
  </si>
  <si>
    <t>Property Value (Frith/commercial)</t>
  </si>
  <si>
    <t>Property Value (Blue Units)</t>
  </si>
  <si>
    <t>Property Value (Hibiscus)</t>
  </si>
  <si>
    <t>Property Value (Mansion)</t>
  </si>
  <si>
    <t>ICLoan to lgh</t>
  </si>
  <si>
    <t>Discount to Sale</t>
  </si>
  <si>
    <t>Discount Period</t>
  </si>
  <si>
    <t>Purchase</t>
  </si>
  <si>
    <t>Asset Sale</t>
  </si>
  <si>
    <t>Loan (Butterfield)</t>
  </si>
  <si>
    <t>Loan (Clarion)</t>
  </si>
  <si>
    <t>Loan #3</t>
  </si>
  <si>
    <t>Pref Equity</t>
  </si>
  <si>
    <t>lgh ownership of pref</t>
  </si>
  <si>
    <t>Pref Interest</t>
  </si>
  <si>
    <t>Accrued Unpaid (Acq. Fee)</t>
  </si>
  <si>
    <t>Accrued Unpaid (disposition Fee)</t>
  </si>
  <si>
    <t>Total NAV</t>
  </si>
  <si>
    <t>Total LGH NAV</t>
  </si>
  <si>
    <t>Pref $ Investments</t>
  </si>
  <si>
    <t>Principal Contr.</t>
  </si>
  <si>
    <t>Date</t>
  </si>
  <si>
    <t>LGH  $ outstanding</t>
  </si>
  <si>
    <t>Interest accrued</t>
  </si>
  <si>
    <t>Buddy1 deposit</t>
  </si>
  <si>
    <t>Buddy accrued interest</t>
  </si>
  <si>
    <t>San antonio</t>
  </si>
  <si>
    <t>SAT working valuation</t>
  </si>
  <si>
    <t>NOI after FFE pre leasse 2030</t>
  </si>
  <si>
    <t>[lghsat] capital raised</t>
  </si>
  <si>
    <t>750k fees inside capex</t>
  </si>
  <si>
    <t>[  ]</t>
  </si>
  <si>
    <t>cap rate</t>
  </si>
  <si>
    <t>hotel valuation</t>
  </si>
  <si>
    <t>value of lease</t>
  </si>
  <si>
    <t>[lghsat] debt service</t>
  </si>
  <si>
    <t>[lghsat] cash</t>
  </si>
  <si>
    <t>1.5M cash less 500k tax</t>
  </si>
  <si>
    <t>[lghsat] div</t>
  </si>
  <si>
    <t>[lghsat] refi</t>
  </si>
  <si>
    <t>project value</t>
  </si>
  <si>
    <t>debt on asset</t>
  </si>
  <si>
    <t xml:space="preserve">cost inflation </t>
  </si>
  <si>
    <t>cost_inflation_rate_actual</t>
  </si>
  <si>
    <t>Charge Back Percentage</t>
  </si>
  <si>
    <t>chargeback_pct_actual</t>
  </si>
  <si>
    <t>participation%</t>
  </si>
  <si>
    <t>participation_pct_actual</t>
  </si>
  <si>
    <t>assets</t>
  </si>
  <si>
    <t>cash open</t>
  </si>
  <si>
    <t>c12 profit</t>
  </si>
  <si>
    <t>borrow from c12 loc</t>
  </si>
  <si>
    <t>LGH to sk (from danielle)</t>
  </si>
  <si>
    <t>c12 to sk (jp dist)</t>
  </si>
  <si>
    <t>cash close</t>
  </si>
  <si>
    <t>participation accrual</t>
  </si>
  <si>
    <t>total assets</t>
  </si>
  <si>
    <t>liabilities</t>
  </si>
  <si>
    <t>c12loc</t>
  </si>
  <si>
    <t>LGH Fee Revenue</t>
  </si>
  <si>
    <t>lgh_fee_revenue_section</t>
  </si>
  <si>
    <t>Bermuda PB Mgt</t>
  </si>
  <si>
    <t>mgmt_fee_actual</t>
  </si>
  <si>
    <t>bermuda_pb</t>
  </si>
  <si>
    <t>INPUT</t>
  </si>
  <si>
    <t>Bermuda PB Inc</t>
  </si>
  <si>
    <t>incentive_fee_actual</t>
  </si>
  <si>
    <t>Austin Mgt</t>
  </si>
  <si>
    <t>austin</t>
  </si>
  <si>
    <t>Austin Inc</t>
  </si>
  <si>
    <t>incentive_fee</t>
  </si>
  <si>
    <t>Turks Mgt</t>
  </si>
  <si>
    <t>mgmt_fee</t>
  </si>
  <si>
    <t>turks</t>
  </si>
  <si>
    <t>Turks Inc</t>
  </si>
  <si>
    <t>fritholme</t>
  </si>
  <si>
    <t>lsat</t>
  </si>
  <si>
    <t>[blank]</t>
  </si>
  <si>
    <t>l4</t>
  </si>
  <si>
    <t>Total LGH Fees Earned</t>
  </si>
  <si>
    <t>total_fees_earned</t>
  </si>
  <si>
    <t>Deferred Period Fee</t>
  </si>
  <si>
    <t>deferred_fee</t>
  </si>
  <si>
    <t>Paid Fee Accruals</t>
  </si>
  <si>
    <t>paid_fee_accruals</t>
  </si>
  <si>
    <t>Cumm. Balance Accrued Fee</t>
  </si>
  <si>
    <t>cumm_accrued_fee</t>
  </si>
  <si>
    <t>Paid Current Fees</t>
  </si>
  <si>
    <t>paid_current_fees</t>
  </si>
  <si>
    <t>Total Fees Paid</t>
  </si>
  <si>
    <t>total_fees_paid</t>
  </si>
  <si>
    <t>LGH Service Revenue</t>
  </si>
  <si>
    <t>lgh_service_revenue_section</t>
  </si>
  <si>
    <t>service_fee</t>
  </si>
  <si>
    <t>Frith</t>
  </si>
  <si>
    <t>Total LGH HM Service Revenue</t>
  </si>
  <si>
    <t>total_service_revenue</t>
  </si>
  <si>
    <t>deferred_service_fee</t>
  </si>
  <si>
    <t>Paid Service Accruals</t>
  </si>
  <si>
    <t>paid_service_accruals</t>
  </si>
  <si>
    <t>Cumm. Balance Accrued Service Fee</t>
  </si>
  <si>
    <t>cumm_accrued_service_fee</t>
  </si>
  <si>
    <t>Paid Current Service Fees</t>
  </si>
  <si>
    <t>paid_current_service_fees</t>
  </si>
  <si>
    <t>Total Service Revenue Paid</t>
  </si>
  <si>
    <t>total_service_revenue_paid</t>
  </si>
  <si>
    <t>LGH Chargebacks</t>
  </si>
  <si>
    <t>lgh_chargebacks_section</t>
  </si>
  <si>
    <t>chargeback fee</t>
  </si>
  <si>
    <t>chargeback_multiplier</t>
  </si>
  <si>
    <t>reimbursable by hotels to LGH</t>
  </si>
  <si>
    <t>reimbursable_by_hotels</t>
  </si>
  <si>
    <t>Total LGH HM Charge Back</t>
  </si>
  <si>
    <t>total_chargeback</t>
  </si>
  <si>
    <t>total LGH HM revenue</t>
  </si>
  <si>
    <t>total_lgh_hm_revenue</t>
  </si>
  <si>
    <t>LGH Accounts Receivable Cumm.</t>
  </si>
  <si>
    <t>lgh_ar_cumm</t>
  </si>
  <si>
    <t>C12 Participation %</t>
  </si>
  <si>
    <t>c12_participation_pct</t>
  </si>
  <si>
    <t>pre-modification extra</t>
  </si>
  <si>
    <t>pre_mod_extra_pct</t>
  </si>
  <si>
    <t>catchup extra%</t>
  </si>
  <si>
    <t>catchup_extra_pct</t>
  </si>
  <si>
    <t>charge back percentrage</t>
  </si>
  <si>
    <t>chargeback_pct</t>
  </si>
  <si>
    <t>C12 Participation $</t>
  </si>
  <si>
    <t>c12_participation_amt</t>
  </si>
  <si>
    <t>chargebacks fees</t>
  </si>
  <si>
    <t>chargeback_fees</t>
  </si>
  <si>
    <t>Total C12 HM revenue</t>
  </si>
  <si>
    <t>total_c12_hm_revenue</t>
  </si>
  <si>
    <t>increase in accrued participation</t>
  </si>
  <si>
    <t>increase_accrued_participation</t>
  </si>
  <si>
    <t>decrease in accrued partipation</t>
  </si>
  <si>
    <t>decrease_accrued_participation</t>
  </si>
  <si>
    <t>Cumm. Total Accrued Participation</t>
  </si>
  <si>
    <t>cumm_accrued_participation</t>
  </si>
  <si>
    <t>if paydown % were correct then this last number would be zeri</t>
  </si>
  <si>
    <t>from HR sheet</t>
  </si>
  <si>
    <t>Grand Total</t>
  </si>
  <si>
    <t>hr_grand_total</t>
  </si>
  <si>
    <t>reimbersable to hotel</t>
  </si>
  <si>
    <t>hr_reimbursable</t>
  </si>
  <si>
    <t>not reimbersable by hotel, but paid by lgh</t>
  </si>
  <si>
    <t>hr_not_reimbursable</t>
  </si>
  <si>
    <t>only paid by c12</t>
  </si>
  <si>
    <t>hr_only_c12</t>
  </si>
  <si>
    <t xml:space="preserve"> </t>
  </si>
  <si>
    <t>Pink Beach Design Fee</t>
  </si>
  <si>
    <t>design_fee</t>
  </si>
  <si>
    <t>Pink Beach Development Fee</t>
  </si>
  <si>
    <t>development_fee</t>
  </si>
  <si>
    <t>Pink Beach Structuring Fee</t>
  </si>
  <si>
    <t>structuring_fee</t>
  </si>
  <si>
    <t>Austin Design Fee</t>
  </si>
  <si>
    <t>Austin Development Fee</t>
  </si>
  <si>
    <t>Turks Design Fee</t>
  </si>
  <si>
    <t>Turks Development Fee</t>
  </si>
  <si>
    <t>development_fee_actual</t>
  </si>
  <si>
    <t>Turks Structuring Fee</t>
  </si>
  <si>
    <t>Elbow Design Fee</t>
  </si>
  <si>
    <t>Elbow Development Fee</t>
  </si>
  <si>
    <t>Elbow Structuring Fee</t>
  </si>
  <si>
    <t>Elbow Construction Fee</t>
  </si>
  <si>
    <t>construction_fee</t>
  </si>
  <si>
    <t>Elbow Acquisition Fee</t>
  </si>
  <si>
    <t>acquisition_fee</t>
  </si>
  <si>
    <t>Frith Sale Fees</t>
  </si>
  <si>
    <t>sale_fee</t>
  </si>
  <si>
    <t>Frith Acq Fee</t>
  </si>
  <si>
    <t>Frith Real Estate Fee</t>
  </si>
  <si>
    <t>real_estate_fee</t>
  </si>
  <si>
    <t>Frith Disposition fee</t>
  </si>
  <si>
    <t>disposition_fee</t>
  </si>
  <si>
    <t>fee_unknown</t>
  </si>
  <si>
    <t>Bermuda PB Design Services</t>
  </si>
  <si>
    <t>design_service_fee</t>
  </si>
  <si>
    <t>Austin Design Services</t>
  </si>
  <si>
    <t>design_service_fee_actual</t>
  </si>
  <si>
    <t>Turks Design Services</t>
  </si>
  <si>
    <t>Elbow Design Services</t>
  </si>
  <si>
    <t>Elbow AM</t>
  </si>
  <si>
    <t>am_fee</t>
  </si>
  <si>
    <t>Frith Design Services</t>
  </si>
  <si>
    <t>Frith AM</t>
  </si>
  <si>
    <t>Bermuda PB AM</t>
  </si>
  <si>
    <t>AustinAM</t>
  </si>
  <si>
    <t>Paid Accruals</t>
  </si>
  <si>
    <t>Total LGH D&amp;S Charge Back chk</t>
  </si>
  <si>
    <t>total LGH D&amp;S revenue</t>
  </si>
  <si>
    <t>total_lgh_ds_revenue</t>
  </si>
  <si>
    <t>pre_mod_extra_pct_actual</t>
  </si>
  <si>
    <t>catchup_extra_pct_actual</t>
  </si>
  <si>
    <t>Total C12 D&amp;S revenue</t>
  </si>
  <si>
    <t>total_c12_ds_revenue</t>
  </si>
  <si>
    <t>7f</t>
  </si>
  <si>
    <t>Total LGH Bi&amp;F Service Revenue</t>
  </si>
  <si>
    <t>Total LGH Bi&amp;F Charge Back chk</t>
  </si>
  <si>
    <t>total LGH Bi&amp;F revenue</t>
  </si>
  <si>
    <t>total_lgh_bif_revenue</t>
  </si>
  <si>
    <t>chargebacks</t>
  </si>
  <si>
    <t>Total C12 Bi&amp;f revenue</t>
  </si>
  <si>
    <t>total_c12_bif_revenue</t>
  </si>
  <si>
    <t>ocBenefits</t>
  </si>
  <si>
    <t>benefits_rate</t>
  </si>
  <si>
    <t>oc</t>
  </si>
  <si>
    <t>adjusted down to assume sk doesn’t pay</t>
  </si>
  <si>
    <t>ocBonus Tax</t>
  </si>
  <si>
    <t>bonus_tax_rate_actual</t>
  </si>
  <si>
    <t>hmBenefits</t>
  </si>
  <si>
    <t>benefits_rate_actual</t>
  </si>
  <si>
    <t>hmBonus Tax</t>
  </si>
  <si>
    <t>bfBenefits</t>
  </si>
  <si>
    <t>bfBonus Tax</t>
  </si>
  <si>
    <t>dsBenefits</t>
  </si>
  <si>
    <t>ds</t>
  </si>
  <si>
    <t>dsBonus Tax</t>
  </si>
  <si>
    <t>Base</t>
  </si>
  <si>
    <t>Managing Member (SK)</t>
  </si>
  <si>
    <t>base_salary</t>
  </si>
  <si>
    <t>sk</t>
  </si>
  <si>
    <t>Philanropy senior exec (LM) (100%roots)</t>
  </si>
  <si>
    <t>lm</t>
  </si>
  <si>
    <t>Bookkeeper (DD)</t>
  </si>
  <si>
    <t>dd</t>
  </si>
  <si>
    <t>Personal Assistant (CD)</t>
  </si>
  <si>
    <t>cd</t>
  </si>
  <si>
    <t>philanthropy assist (100%roots)</t>
  </si>
  <si>
    <t>philanthropy</t>
  </si>
  <si>
    <t>TM (gone)</t>
  </si>
  <si>
    <t>tm</t>
  </si>
  <si>
    <t>Bonus</t>
  </si>
  <si>
    <t>bonus</t>
  </si>
  <si>
    <t>total_salary</t>
  </si>
  <si>
    <t>base</t>
  </si>
  <si>
    <t>ACEO Loren Hotels (CE)</t>
  </si>
  <si>
    <t>ce</t>
  </si>
  <si>
    <t>VP Operations (WS)</t>
  </si>
  <si>
    <t>ws</t>
  </si>
  <si>
    <t>seniorS&amp;Mexe (CL)</t>
  </si>
  <si>
    <t>cl</t>
  </si>
  <si>
    <t>Senior Associate (RF)</t>
  </si>
  <si>
    <t>rf</t>
  </si>
  <si>
    <t>associate (MT)</t>
  </si>
  <si>
    <t>mt</t>
  </si>
  <si>
    <t>project manager</t>
  </si>
  <si>
    <t>project</t>
  </si>
  <si>
    <t>Total Salaries</t>
  </si>
  <si>
    <t>HODS  (RB)</t>
  </si>
  <si>
    <t>rb</t>
  </si>
  <si>
    <t>Project Executive  (LS) (100%)</t>
  </si>
  <si>
    <t>ls</t>
  </si>
  <si>
    <t>Project Manager (BD) (100%)</t>
  </si>
  <si>
    <t>bd</t>
  </si>
  <si>
    <t>Counsel (KT)</t>
  </si>
  <si>
    <t>kt</t>
  </si>
  <si>
    <t>Development Manager??? (alexi?)</t>
  </si>
  <si>
    <t>development</t>
  </si>
  <si>
    <t>Banker (tBD)</t>
  </si>
  <si>
    <t>banker</t>
  </si>
  <si>
    <t>Senior Design Manager (AM)</t>
  </si>
  <si>
    <t>am</t>
  </si>
  <si>
    <t>Design Manager (AL) (gone)</t>
  </si>
  <si>
    <t>al</t>
  </si>
  <si>
    <t>new design manager (TBD)</t>
  </si>
  <si>
    <t>tbd</t>
  </si>
  <si>
    <t>FF&amp;E (SB)</t>
  </si>
  <si>
    <t>sb</t>
  </si>
  <si>
    <t>Senior Financial Analyst (KS)</t>
  </si>
  <si>
    <t>ks</t>
  </si>
  <si>
    <t>Bi&amp;F</t>
  </si>
  <si>
    <t>HOBI (CW)</t>
  </si>
  <si>
    <t>cw</t>
  </si>
  <si>
    <t xml:space="preserve">CFO (ZS) </t>
  </si>
  <si>
    <t>zs</t>
  </si>
  <si>
    <t xml:space="preserve">Financial Analyst (NR) </t>
  </si>
  <si>
    <t>nr</t>
  </si>
  <si>
    <t>Fin Controls (TB) - 100%</t>
  </si>
  <si>
    <t>tb</t>
  </si>
  <si>
    <t>Administrative Assistant (AM)</t>
  </si>
  <si>
    <t>Administrative Assistant (PT)</t>
  </si>
  <si>
    <t>pt</t>
  </si>
  <si>
    <t>Financial Director (DV) - 100%</t>
  </si>
  <si>
    <t>dv</t>
  </si>
  <si>
    <t>IM (TW)</t>
  </si>
  <si>
    <t>tw</t>
  </si>
  <si>
    <t>HR (100%)</t>
  </si>
  <si>
    <t>hr</t>
  </si>
  <si>
    <t>Legal (100%)</t>
  </si>
  <si>
    <t>legal</t>
  </si>
  <si>
    <t>Tech1</t>
  </si>
  <si>
    <t>tech1</t>
  </si>
  <si>
    <t>Tech2</t>
  </si>
  <si>
    <t>tech2</t>
  </si>
  <si>
    <t>CY Project Time Allocation</t>
  </si>
  <si>
    <t>HO</t>
  </si>
  <si>
    <t>unalloc</t>
  </si>
  <si>
    <t>alloc</t>
  </si>
  <si>
    <t>lgh</t>
  </si>
  <si>
    <t>reimb</t>
  </si>
  <si>
    <t>BDA</t>
  </si>
  <si>
    <t>Aus</t>
  </si>
  <si>
    <t>ELBOW</t>
  </si>
  <si>
    <t>sat</t>
  </si>
  <si>
    <t>ROOTS</t>
  </si>
  <si>
    <t>FO</t>
  </si>
  <si>
    <t>time_alloc</t>
  </si>
  <si>
    <t>hm_sk</t>
  </si>
  <si>
    <t>hm_lm</t>
  </si>
  <si>
    <t>hm_dd</t>
  </si>
  <si>
    <t>hm_cd</t>
  </si>
  <si>
    <t>hm_philanthropy</t>
  </si>
  <si>
    <t>hm_tm</t>
  </si>
  <si>
    <t>hm_ce</t>
  </si>
  <si>
    <t>hm_ws</t>
  </si>
  <si>
    <t>hm_cl</t>
  </si>
  <si>
    <t>hm_rf</t>
  </si>
  <si>
    <t>hm_mt</t>
  </si>
  <si>
    <t>hm_project</t>
  </si>
  <si>
    <t>D&amp;S</t>
  </si>
  <si>
    <t>ds_rb</t>
  </si>
  <si>
    <t>ds_ls</t>
  </si>
  <si>
    <t>ds_bd</t>
  </si>
  <si>
    <t>ds_kt</t>
  </si>
  <si>
    <t>ds_development</t>
  </si>
  <si>
    <t>ds_banker</t>
  </si>
  <si>
    <t>ds_am</t>
  </si>
  <si>
    <t>ds_al</t>
  </si>
  <si>
    <t>ds_tbd</t>
  </si>
  <si>
    <t>ds_sb</t>
  </si>
  <si>
    <t>ds_ks</t>
  </si>
  <si>
    <t>bif_cw</t>
  </si>
  <si>
    <t>bif_zs</t>
  </si>
  <si>
    <t>bif_nr</t>
  </si>
  <si>
    <t>bif_tb</t>
  </si>
  <si>
    <t>bif_am</t>
  </si>
  <si>
    <t>bif_pt</t>
  </si>
  <si>
    <t>bif_dv</t>
  </si>
  <si>
    <t>bif_tw</t>
  </si>
  <si>
    <t>bif_hr</t>
  </si>
  <si>
    <t>bif_legal</t>
  </si>
  <si>
    <t>bif_tech1</t>
  </si>
  <si>
    <t>bif_tech2</t>
  </si>
  <si>
    <t>VERSUS QE REPORT</t>
  </si>
  <si>
    <t>actual</t>
  </si>
  <si>
    <t>modelled</t>
  </si>
  <si>
    <t>Compensation - total</t>
  </si>
  <si>
    <t>compensation_total</t>
  </si>
  <si>
    <t>Direct compensation not via trinet</t>
  </si>
  <si>
    <t>compensation_direct</t>
  </si>
  <si>
    <t>LGH Balance Sheet</t>
  </si>
  <si>
    <t>Reported Audited Financials</t>
  </si>
  <si>
    <t>Signed Audited
 Financials</t>
  </si>
  <si>
    <t>∆</t>
  </si>
  <si>
    <t>COMMENTS 2024</t>
  </si>
  <si>
    <t>Reported
 Q4</t>
  </si>
  <si>
    <t>Restated
 Q4</t>
  </si>
  <si>
    <t>COMMENTS 2025</t>
  </si>
  <si>
    <t>Reported
 Q1</t>
  </si>
  <si>
    <t>Restated
 Q1</t>
  </si>
  <si>
    <t>Comments</t>
  </si>
  <si>
    <t>Pink Beach</t>
  </si>
  <si>
    <t>valuation increased +.7M, added 3.3M of debt (net between adj. to acrrued unpaid fees, GM note)</t>
  </si>
  <si>
    <t>reduced unpaid accrued fees as liability</t>
  </si>
  <si>
    <t>Mezz &amp; Preferred &amp; STL</t>
  </si>
  <si>
    <t>rounding</t>
  </si>
  <si>
    <t>loan closed in Jan. PV impact to liabs</t>
  </si>
  <si>
    <t>adjustment to appraised stabalized hotel valuation</t>
  </si>
  <si>
    <t>Ocean Hills</t>
  </si>
  <si>
    <t>difference in accrued unpaid fees</t>
  </si>
  <si>
    <t>Net Accrued Unpaid Fees</t>
  </si>
  <si>
    <t>$1.8M,+$0.7M, +$0.4M adj to fee liabilities held at properties</t>
  </si>
  <si>
    <t>PV Loren fees (Key Money)</t>
  </si>
  <si>
    <t>reduction to audited key money</t>
  </si>
  <si>
    <t>carried through from 2024 reduction. Plus removal of 2.5M previously stated</t>
  </si>
  <si>
    <t>adj of pre equity moved to lgh debt, and lgh debt moved to property(Bermuda), Kraus note</t>
  </si>
  <si>
    <t>additional year end debt and intercompany balances not previously disclosed. 1.4M roots loan</t>
  </si>
  <si>
    <t>Shareholder's Equity</t>
  </si>
  <si>
    <t>3.7 key money reduction in 2024 + another 2.5M reduction for YE 2025, 5M in debt moved from pref equity. 2.1 roots adjustment from 700k receivable to 1.4 payable. 3.1M in accured fees removed. Additional YE debt now carried on BS.</t>
  </si>
  <si>
    <t>reduced from 37.5% to 30%</t>
  </si>
  <si>
    <t>only moved $4M or $8M of La pointe + previously forecasted conversions not closed and accrued principal</t>
  </si>
  <si>
    <t>adj. to key money per audit</t>
  </si>
  <si>
    <t>0.5x multiple from key money calc and audit adjustment</t>
  </si>
  <si>
    <t>1x multiple of key money</t>
  </si>
  <si>
    <t>Reserve</t>
  </si>
  <si>
    <t>Prefer Equity Audit adj.</t>
  </si>
  <si>
    <t>NAV after EV and LIQ adj.</t>
  </si>
  <si>
    <t>reduced CI from 37.5% to 30%</t>
  </si>
  <si>
    <t>5.25 instead of 6 years discount applied</t>
  </si>
  <si>
    <t>MTM reduced 16% to 12%</t>
  </si>
  <si>
    <t>Adj. Carried 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</si>
</sst>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4" formatCode="_(&quot;$&quot;* #,##0.00_);_(&quot;$&quot;* \(#,##0.00\);_(&quot;$&quot;* &quot;-&quot;??_);_(@_)"/>
    <numFmt numFmtId="43" formatCode="_(* #,##0.00_);_(* \(#,##0.00\);_(* &quot;-&quot;??_);_(@_)"/>
    <numFmt numFmtId="164" formatCode="_(* #,##0_);_(* \(#,##0\);_(* &quot;-&quot;??_);_(@_)"/>
    <numFmt numFmtId="165" formatCode="yyyy"/>
    <numFmt numFmtId="166" formatCode="_(&quot;$&quot;* #,##0_);_(&quot;$&quot;* \(#,##0\);_(&quot;$&quot;* &quot;-&quot;??_);_(@_)"/>
    <numFmt numFmtId="167" formatCode="_([$$-409]* #,##0_);_([$$-409]* \(#,##0\);_([$$-409]* &quot;-&quot;??_);_(@_)"/>
    <numFmt numFmtId="168" formatCode="0.0%"/>
    <numFmt numFmtId="169" formatCode="_(* #,##0.0_);_(* \(#,##0.0\);_(* &quot;-&quot;??_);_(@_)"/>
    <numFmt numFmtId="170" formatCode="_(&quot;$&quot;* #,##0.0_);_(&quot;$&quot;* \(#,##0.0\);_(&quot;$&quot;* &quot;-&quot;??_);_(@_)"/>
    <numFmt numFmtId="171" formatCode="&quot;$&quot;#,##0"/>
    <numFmt numFmtId="172" formatCode="0.00\x"/>
    <numFmt numFmtId="173" formatCode="\+0.0%;\-0.0%"/>
    <numFmt numFmtId="174" formatCode="&quot;Year&quot;\ 0"/>
    <numFmt numFmtId="175" formatCode="0.00%;\-0.00%;&quot;-&quot;;@"/>
    <numFmt numFmtId="176" formatCode="_(* #,##0_);_(* \(#,##0\);_(* \-??_);_(@_)"/>
    <numFmt numFmtId="177" formatCode="_(* #,##0.00_);_(* \(#,##0.00\);_(* &quot;   -&quot;?_);_(@_)"/>
    <numFmt numFmtId="178" formatCode="_(* #,##0_);_(* \(#,##0\);_(* &quot;   -&quot;?_);_(@_)"/>
    <numFmt numFmtId="179" formatCode="_(* #,##0.0_);_(* \(#,##0.0\);_(* &quot;-&quot;?_);_(@_)"/>
    <numFmt numFmtId="180" formatCode="0.000"/>
    <numFmt numFmtId="181" formatCode="_-* #,##0.00_-;\-* #,##0.00_-;_-* &quot;-&quot;??_-;_-@_-"/>
  </numFmts>
  <fonts count="45">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sz val="12"/>
      <color theme="1"/>
      <name val="Calibri"/>
      <family val="2"/>
      <scheme val="minor"/>
    </font>
    <font>
      <sz val="10"/>
      <name val="Arial"/>
      <family val="2"/>
    </font>
    <font>
      <sz val="12"/>
      <name val="Arial MT"/>
    </font>
    <font>
      <sz val="12"/>
      <name val="Times New Roman"/>
      <family val="1"/>
    </font>
    <font>
      <sz val="11"/>
      <name val="Calibri"/>
      <family val="2"/>
      <scheme val="minor"/>
    </font>
    <font>
      <b/>
      <sz val="11"/>
      <name val="Calibri"/>
      <family val="2"/>
      <scheme val="minor"/>
    </font>
    <font>
      <sz val="11"/>
      <color theme="1"/>
      <name val="Calibri Light"/>
      <family val="2"/>
      <scheme val="major"/>
    </font>
    <font>
      <i/>
      <sz val="11"/>
      <color theme="1"/>
      <name val="Calibri"/>
      <family val="2"/>
      <scheme val="minor"/>
    </font>
    <font>
      <sz val="10"/>
      <color theme="1"/>
      <name val="Calibri"/>
      <family val="2"/>
      <scheme val="minor"/>
    </font>
    <font>
      <b/>
      <sz val="11"/>
      <color rgb="FF000000"/>
      <name val="Calibri"/>
      <family val="2"/>
    </font>
    <font>
      <sz val="9"/>
      <color theme="1"/>
      <name val="Calibri"/>
      <family val="2"/>
      <scheme val="minor"/>
    </font>
    <font>
      <b/>
      <sz val="12"/>
      <color theme="1"/>
      <name val="Calibri"/>
      <family val="2"/>
      <scheme val="minor"/>
    </font>
    <font>
      <u/>
      <sz val="11"/>
      <color theme="10"/>
      <name val="Calibri"/>
      <family val="2"/>
      <scheme val="minor"/>
    </font>
    <font>
      <sz val="11"/>
      <name val="Calibri"/>
      <family val="2"/>
      <charset val="1"/>
    </font>
    <font>
      <b/>
      <sz val="11"/>
      <color theme="1"/>
      <name val="Calibri"/>
      <family val="2"/>
      <charset val="1"/>
    </font>
    <font>
      <sz val="11"/>
      <color rgb="FF000000"/>
      <name val="Calibri"/>
      <family val="2"/>
    </font>
    <font>
      <sz val="11"/>
      <color rgb="FF000000"/>
      <name val="Calibri Light"/>
      <family val="2"/>
    </font>
    <font>
      <i/>
      <sz val="10"/>
      <color theme="1"/>
      <name val="Calibri"/>
      <family val="2"/>
      <scheme val="minor"/>
    </font>
    <font>
      <sz val="11"/>
      <color rgb="FF000000"/>
      <name val="Calibri"/>
      <family val="2"/>
    </font>
    <font>
      <sz val="10"/>
      <color rgb="FF000000"/>
      <name val="Calibri"/>
      <family val="2"/>
    </font>
    <font>
      <sz val="9"/>
      <color rgb="FF000000"/>
      <name val="Calibri"/>
      <family val="2"/>
    </font>
    <font>
      <sz val="12"/>
      <color rgb="FF000000"/>
      <name val="Calibri"/>
      <family val="2"/>
    </font>
    <font>
      <sz val="11"/>
      <color rgb="FF000000"/>
      <name val="Aptos Narrow"/>
      <family val="2"/>
    </font>
    <font>
      <b/>
      <sz val="11"/>
      <color rgb="FF000000"/>
      <name val="Calibri"/>
      <family val="2"/>
    </font>
    <font>
      <sz val="14"/>
      <color rgb="FF000000"/>
      <name val="Calibri"/>
      <family val="2"/>
    </font>
    <font>
      <sz val="11"/>
      <color rgb="FF000000"/>
      <name val="Calibri Light"/>
      <family val="2"/>
    </font>
    <font>
      <b/>
      <sz val="12"/>
      <color rgb="FF000000"/>
      <name val="Calibri"/>
      <family val="2"/>
    </font>
    <font>
      <b/>
      <sz val="10"/>
      <color rgb="FF000000"/>
      <name val="Calibri"/>
      <family val="2"/>
    </font>
    <font>
      <sz val="11"/>
      <color rgb="FF000000"/>
      <name val="Calibri Light"/>
      <family val="2"/>
    </font>
    <font>
      <sz val="14"/>
      <color rgb="FF000000"/>
      <name val="Calibri Light"/>
      <family val="2"/>
    </font>
    <font>
      <sz val="11"/>
      <color rgb="FF000000"/>
      <name val="Aptos Narrow"/>
      <family val="2"/>
    </font>
    <font>
      <sz val="11"/>
      <color rgb="FF000000"/>
      <name val="Calibri"/>
      <family val="2"/>
    </font>
    <font>
      <sz val="14"/>
      <color rgb="FF000000"/>
      <name val="Calibri"/>
      <family val="2"/>
    </font>
    <font>
      <sz val="10"/>
      <color rgb="FF000000"/>
      <name val="Calibri"/>
      <family val="2"/>
    </font>
    <font>
      <b/>
      <sz val="11"/>
      <color theme="0"/>
      <name val="Calibri"/>
      <family val="2"/>
      <scheme val="minor"/>
    </font>
    <font>
      <b/>
      <sz val="12"/>
      <color theme="0"/>
      <name val="Calibri"/>
      <family val="2"/>
      <scheme val="minor"/>
    </font>
    <font>
      <b/>
      <sz val="12"/>
      <name val="Calibri"/>
      <family val="2"/>
      <scheme val="minor"/>
    </font>
    <font>
      <b/>
      <u/>
      <sz val="11"/>
      <color theme="1"/>
      <name val="Calibri"/>
      <family val="2"/>
      <scheme val="minor"/>
    </font>
    <font>
      <b/>
      <sz val="14"/>
      <name val="Aptos Narrow"/>
      <family val="2"/>
    </font>
    <font>
      <i/>
      <sz val="11"/>
      <name val="Calibri"/>
      <family val="2"/>
      <scheme val="minor"/>
    </font>
    <font>
      <b/>
      <sz val="9"/>
      <color theme="1"/>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patternFill>
    </fill>
    <fill>
      <patternFill patternType="solid">
        <fgColor theme="0"/>
        <bgColor indexed="64"/>
      </patternFill>
    </fill>
    <fill>
      <patternFill patternType="solid">
        <fgColor rgb="FFFFC000"/>
        <bgColor indexed="64"/>
      </patternFill>
    </fill>
    <fill>
      <patternFill patternType="solid">
        <fgColor theme="7" tint="0.79998168889431442"/>
        <bgColor indexed="64"/>
      </patternFill>
    </fill>
    <fill>
      <patternFill patternType="solid">
        <fgColor rgb="FFFFFFFF"/>
      </patternFill>
    </fill>
    <fill>
      <patternFill patternType="solid">
        <fgColor rgb="FF90EE90"/>
      </patternFill>
    </fill>
    <fill>
      <patternFill patternType="solid">
        <fgColor rgb="FFADD8E6"/>
      </patternFill>
    </fill>
    <fill>
      <patternFill patternType="solid">
        <fgColor rgb="FFFFFF00"/>
      </patternFill>
    </fill>
    <fill>
      <patternFill patternType="solid">
        <fgColor rgb="FFFFFFCC"/>
      </patternFill>
    </fill>
    <fill>
      <patternFill patternType="solid">
        <fgColor rgb="FFD3D3D3"/>
      </patternFill>
    </fill>
    <fill>
      <patternFill patternType="solid">
        <fgColor rgb="FF00B0F0"/>
        <bgColor indexed="64"/>
      </patternFill>
    </fill>
    <fill>
      <patternFill patternType="solid">
        <fgColor rgb="FFCC9966"/>
      </patternFill>
    </fill>
    <fill>
      <patternFill patternType="solid">
        <fgColor rgb="FF00B050"/>
        <bgColor indexed="64"/>
      </patternFill>
    </fill>
    <fill>
      <patternFill patternType="solid">
        <fgColor theme="3" tint="0.249977111117893"/>
        <bgColor indexed="64"/>
      </patternFill>
    </fill>
    <fill>
      <patternFill patternType="solid">
        <fgColor theme="0" tint="-0.14999847407452621"/>
        <bgColor indexed="64"/>
      </patternFill>
    </fill>
    <fill>
      <patternFill patternType="solid">
        <fgColor theme="3" tint="0.749992370372631"/>
        <bgColor indexed="64"/>
      </patternFill>
    </fill>
  </fills>
  <borders count="17">
    <border>
      <left/>
      <right/>
      <top/>
      <bottom/>
      <diagonal/>
    </border>
    <border>
      <left/>
      <right/>
      <top/>
      <bottom/>
      <diagonal/>
    </border>
    <border>
      <left/>
      <right/>
      <top/>
      <bottom/>
      <diagonal/>
    </border>
    <border>
      <left style="thick">
        <color auto="1"/>
      </left>
      <right style="thick">
        <color auto="1"/>
      </right>
      <top style="thick">
        <color auto="1"/>
      </top>
      <bottom style="thick">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ck">
        <color auto="1"/>
      </left>
      <right style="thick">
        <color auto="1"/>
      </right>
      <top style="thick">
        <color auto="1"/>
      </top>
      <bottom style="thick">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20">
    <xf numFmtId="0" fontId="0" fillId="0" borderId="8"/>
    <xf numFmtId="43" fontId="1" fillId="0" borderId="8"/>
    <xf numFmtId="44" fontId="1" fillId="0" borderId="8"/>
    <xf numFmtId="9" fontId="1" fillId="0" borderId="8"/>
    <xf numFmtId="0" fontId="1" fillId="0" borderId="8"/>
    <xf numFmtId="181" fontId="1" fillId="0" borderId="8"/>
    <xf numFmtId="43" fontId="4" fillId="0" borderId="8"/>
    <xf numFmtId="43" fontId="1" fillId="0" borderId="8"/>
    <xf numFmtId="0" fontId="4" fillId="0" borderId="8"/>
    <xf numFmtId="37" fontId="6" fillId="0" borderId="8"/>
    <xf numFmtId="43" fontId="7" fillId="0" borderId="8"/>
    <xf numFmtId="9" fontId="7" fillId="0" borderId="8"/>
    <xf numFmtId="44" fontId="7" fillId="0" borderId="8"/>
    <xf numFmtId="0" fontId="5" fillId="0" borderId="8"/>
    <xf numFmtId="43" fontId="5" fillId="0" borderId="8"/>
    <xf numFmtId="0" fontId="4" fillId="0" borderId="8"/>
    <xf numFmtId="0" fontId="1" fillId="0" borderId="8"/>
    <xf numFmtId="0" fontId="12" fillId="0" borderId="8"/>
    <xf numFmtId="44" fontId="3" fillId="0" borderId="8"/>
    <xf numFmtId="0" fontId="16" fillId="0" borderId="8"/>
  </cellStyleXfs>
  <cellXfs count="762">
    <xf numFmtId="0" fontId="0" fillId="0" borderId="0" xfId="0" applyBorder="1"/>
    <xf numFmtId="4" fontId="0" fillId="0" borderId="0" xfId="0" applyNumberFormat="1" applyBorder="1"/>
    <xf numFmtId="0" fontId="2" fillId="0" borderId="0" xfId="0" applyFont="1" applyBorder="1"/>
    <xf numFmtId="0" fontId="0" fillId="0" borderId="0" xfId="0" applyBorder="1" applyAlignment="1">
      <alignment horizontal="left"/>
    </xf>
    <xf numFmtId="0" fontId="8" fillId="0" borderId="0" xfId="0" applyFont="1" applyBorder="1"/>
    <xf numFmtId="0" fontId="10" fillId="0" borderId="0" xfId="0" applyFont="1" applyBorder="1"/>
    <xf numFmtId="164" fontId="1" fillId="0" borderId="0" xfId="1" applyNumberFormat="1" applyBorder="1"/>
    <xf numFmtId="43" fontId="0" fillId="0" borderId="0" xfId="1" applyFont="1" applyBorder="1"/>
    <xf numFmtId="164" fontId="13" fillId="0" borderId="0" xfId="0" applyNumberFormat="1" applyFont="1" applyBorder="1"/>
    <xf numFmtId="0" fontId="11" fillId="0" borderId="0" xfId="0" applyFont="1" applyBorder="1"/>
    <xf numFmtId="10" fontId="0" fillId="0" borderId="0" xfId="0" applyNumberFormat="1" applyBorder="1"/>
    <xf numFmtId="0" fontId="4" fillId="0" borderId="0" xfId="8" applyBorder="1"/>
    <xf numFmtId="0" fontId="15" fillId="0" borderId="0" xfId="8" applyFont="1" applyBorder="1"/>
    <xf numFmtId="0" fontId="17" fillId="0" borderId="0" xfId="0" applyFont="1" applyBorder="1"/>
    <xf numFmtId="0" fontId="18" fillId="0" borderId="0" xfId="0" applyFont="1" applyBorder="1"/>
    <xf numFmtId="4" fontId="18" fillId="0" borderId="0" xfId="0" applyNumberFormat="1" applyFont="1" applyBorder="1"/>
    <xf numFmtId="0" fontId="12" fillId="0" borderId="0" xfId="0" applyFont="1" applyBorder="1"/>
    <xf numFmtId="0" fontId="1" fillId="0" borderId="0" xfId="0" applyFont="1" applyBorder="1"/>
    <xf numFmtId="0" fontId="0" fillId="2" borderId="0" xfId="0" applyFill="1" applyBorder="1"/>
    <xf numFmtId="0" fontId="14" fillId="0" borderId="0" xfId="0" applyFont="1" applyBorder="1"/>
    <xf numFmtId="0" fontId="0" fillId="3" borderId="0" xfId="0" applyFill="1" applyBorder="1"/>
    <xf numFmtId="0" fontId="4" fillId="2" borderId="0" xfId="8" applyFill="1" applyBorder="1"/>
    <xf numFmtId="0" fontId="0" fillId="4" borderId="0" xfId="0" applyFill="1" applyBorder="1"/>
    <xf numFmtId="0" fontId="9" fillId="4" borderId="0" xfId="0" applyFont="1" applyFill="1" applyBorder="1"/>
    <xf numFmtId="0" fontId="4" fillId="4" borderId="0" xfId="8" applyFill="1" applyBorder="1"/>
    <xf numFmtId="0" fontId="15" fillId="4" borderId="0" xfId="8" applyFont="1" applyFill="1" applyBorder="1"/>
    <xf numFmtId="0" fontId="8" fillId="4" borderId="0" xfId="0" applyFont="1" applyFill="1" applyBorder="1"/>
    <xf numFmtId="0" fontId="17" fillId="4" borderId="0" xfId="0" applyFont="1" applyFill="1" applyBorder="1"/>
    <xf numFmtId="0" fontId="0" fillId="6" borderId="0" xfId="0" applyFill="1" applyBorder="1"/>
    <xf numFmtId="0" fontId="12" fillId="6" borderId="0" xfId="0" applyFont="1" applyFill="1" applyBorder="1"/>
    <xf numFmtId="0" fontId="0" fillId="7" borderId="0" xfId="0" applyFill="1" applyBorder="1"/>
    <xf numFmtId="0" fontId="0" fillId="8" borderId="0" xfId="0" applyFill="1" applyBorder="1"/>
    <xf numFmtId="164" fontId="1" fillId="7" borderId="0" xfId="1" applyNumberFormat="1" applyFill="1" applyBorder="1"/>
    <xf numFmtId="0" fontId="12" fillId="7" borderId="0" xfId="0" applyFont="1" applyFill="1" applyBorder="1"/>
    <xf numFmtId="0" fontId="10" fillId="7" borderId="0" xfId="0" applyFont="1" applyFill="1" applyBorder="1"/>
    <xf numFmtId="0" fontId="20" fillId="12" borderId="1" xfId="13" applyFont="1" applyFill="1" applyBorder="1" applyAlignment="1">
      <alignment vertical="center"/>
    </xf>
    <xf numFmtId="43" fontId="1" fillId="0" borderId="1" xfId="1" applyBorder="1"/>
    <xf numFmtId="164" fontId="1" fillId="0" borderId="1" xfId="1" applyNumberFormat="1" applyBorder="1"/>
    <xf numFmtId="0" fontId="21" fillId="0" borderId="0" xfId="0" applyFont="1" applyBorder="1"/>
    <xf numFmtId="0" fontId="21" fillId="7" borderId="0" xfId="0" applyFont="1" applyFill="1" applyBorder="1"/>
    <xf numFmtId="9" fontId="1" fillId="0" borderId="1" xfId="3" applyBorder="1"/>
    <xf numFmtId="0" fontId="10" fillId="0" borderId="1" xfId="0" applyFont="1" applyBorder="1"/>
    <xf numFmtId="0" fontId="0" fillId="0" borderId="1" xfId="0" applyBorder="1"/>
    <xf numFmtId="0" fontId="22" fillId="9" borderId="2" xfId="0" applyFont="1" applyFill="1" applyBorder="1"/>
    <xf numFmtId="0" fontId="22" fillId="12" borderId="2" xfId="13" applyFont="1" applyFill="1" applyBorder="1" applyAlignment="1">
      <alignment vertical="center"/>
    </xf>
    <xf numFmtId="165" fontId="22" fillId="9" borderId="2" xfId="1" applyNumberFormat="1" applyFont="1" applyFill="1" applyBorder="1" applyAlignment="1">
      <alignment horizontal="center"/>
    </xf>
    <xf numFmtId="0" fontId="22" fillId="12" borderId="2" xfId="0" applyFont="1" applyFill="1" applyBorder="1"/>
    <xf numFmtId="164" fontId="22" fillId="13" borderId="2" xfId="1" applyNumberFormat="1" applyFont="1" applyFill="1" applyBorder="1" applyAlignment="1">
      <alignment horizontal="center"/>
    </xf>
    <xf numFmtId="10" fontId="22" fillId="13" borderId="2" xfId="3" applyNumberFormat="1" applyFont="1" applyFill="1" applyBorder="1" applyAlignment="1">
      <alignment horizontal="center"/>
    </xf>
    <xf numFmtId="0" fontId="22" fillId="9" borderId="2" xfId="13" applyFont="1" applyFill="1" applyBorder="1" applyAlignment="1">
      <alignment vertical="center"/>
    </xf>
    <xf numFmtId="164" fontId="22" fillId="9" borderId="2" xfId="1" applyNumberFormat="1" applyFont="1" applyFill="1" applyBorder="1"/>
    <xf numFmtId="164" fontId="22" fillId="9" borderId="2" xfId="1" applyNumberFormat="1" applyFont="1" applyFill="1" applyBorder="1" applyAlignment="1">
      <alignment horizontal="center"/>
    </xf>
    <xf numFmtId="10" fontId="22" fillId="9" borderId="2" xfId="3" applyNumberFormat="1" applyFont="1" applyFill="1" applyBorder="1" applyAlignment="1">
      <alignment horizontal="center"/>
    </xf>
    <xf numFmtId="10" fontId="22" fillId="9" borderId="2" xfId="3" applyNumberFormat="1" applyFont="1" applyFill="1" applyBorder="1"/>
    <xf numFmtId="9" fontId="22" fillId="9" borderId="2" xfId="3" applyFont="1" applyFill="1" applyBorder="1"/>
    <xf numFmtId="164" fontId="22" fillId="9" borderId="2" xfId="0" applyNumberFormat="1" applyFont="1" applyFill="1" applyBorder="1"/>
    <xf numFmtId="0" fontId="23" fillId="12" borderId="2" xfId="0" applyFont="1" applyFill="1" applyBorder="1"/>
    <xf numFmtId="0" fontId="22" fillId="9" borderId="2" xfId="0" quotePrefix="1" applyFont="1" applyFill="1" applyBorder="1" applyAlignment="1">
      <alignment horizontal="right"/>
    </xf>
    <xf numFmtId="3" fontId="22" fillId="5" borderId="2" xfId="0" applyNumberFormat="1" applyFont="1" applyFill="1" applyBorder="1"/>
    <xf numFmtId="3" fontId="22" fillId="9" borderId="2" xfId="0" applyNumberFormat="1" applyFont="1" applyFill="1" applyBorder="1"/>
    <xf numFmtId="9" fontId="22" fillId="12" borderId="2" xfId="3" applyFont="1" applyFill="1" applyBorder="1"/>
    <xf numFmtId="166" fontId="22" fillId="9" borderId="2" xfId="2" applyNumberFormat="1" applyFont="1" applyFill="1" applyBorder="1"/>
    <xf numFmtId="0" fontId="22" fillId="9" borderId="2" xfId="0" applyFont="1" applyFill="1" applyBorder="1" applyAlignment="1">
      <alignment horizontal="center"/>
    </xf>
    <xf numFmtId="0" fontId="22" fillId="12" borderId="2" xfId="13" applyFont="1" applyFill="1" applyBorder="1" applyAlignment="1">
      <alignment horizontal="left" indent="1"/>
    </xf>
    <xf numFmtId="4" fontId="22" fillId="9" borderId="2" xfId="0" applyNumberFormat="1" applyFont="1" applyFill="1" applyBorder="1"/>
    <xf numFmtId="167" fontId="22" fillId="9" borderId="2" xfId="13" applyNumberFormat="1" applyFont="1" applyFill="1" applyBorder="1" applyAlignment="1">
      <alignment vertical="center"/>
    </xf>
    <xf numFmtId="43" fontId="22" fillId="9" borderId="2" xfId="1" applyFont="1" applyFill="1" applyBorder="1"/>
    <xf numFmtId="164" fontId="22" fillId="12" borderId="2" xfId="1" applyNumberFormat="1" applyFont="1" applyFill="1" applyBorder="1"/>
    <xf numFmtId="164" fontId="22" fillId="5" borderId="2" xfId="1" applyNumberFormat="1" applyFont="1" applyFill="1" applyBorder="1"/>
    <xf numFmtId="9" fontId="22" fillId="9" borderId="2" xfId="0" applyNumberFormat="1" applyFont="1" applyFill="1" applyBorder="1" applyAlignment="1">
      <alignment horizontal="center"/>
    </xf>
    <xf numFmtId="10" fontId="22" fillId="9" borderId="2" xfId="0" applyNumberFormat="1" applyFont="1" applyFill="1" applyBorder="1" applyAlignment="1">
      <alignment horizontal="center"/>
    </xf>
    <xf numFmtId="44" fontId="22" fillId="9" borderId="2" xfId="0" applyNumberFormat="1" applyFont="1" applyFill="1" applyBorder="1"/>
    <xf numFmtId="0" fontId="22" fillId="9" borderId="2" xfId="0" applyFont="1" applyFill="1" applyBorder="1" applyAlignment="1">
      <alignment horizontal="right"/>
    </xf>
    <xf numFmtId="164" fontId="24" fillId="12" borderId="2" xfId="1" applyNumberFormat="1" applyFont="1" applyFill="1" applyBorder="1"/>
    <xf numFmtId="14" fontId="22" fillId="9" borderId="2" xfId="0" applyNumberFormat="1" applyFont="1" applyFill="1" applyBorder="1" applyAlignment="1">
      <alignment horizontal="center"/>
    </xf>
    <xf numFmtId="168" fontId="22" fillId="9" borderId="2" xfId="0" applyNumberFormat="1" applyFont="1" applyFill="1" applyBorder="1"/>
    <xf numFmtId="9" fontId="22" fillId="9" borderId="2" xfId="0" applyNumberFormat="1" applyFont="1" applyFill="1" applyBorder="1"/>
    <xf numFmtId="168" fontId="22" fillId="5" borderId="2" xfId="0" applyNumberFormat="1" applyFont="1" applyFill="1" applyBorder="1" applyAlignment="1">
      <alignment horizontal="center"/>
    </xf>
    <xf numFmtId="9" fontId="22" fillId="5" borderId="2" xfId="0" applyNumberFormat="1" applyFont="1" applyFill="1" applyBorder="1" applyAlignment="1">
      <alignment horizontal="center"/>
    </xf>
    <xf numFmtId="10" fontId="22" fillId="5" borderId="2" xfId="0" applyNumberFormat="1" applyFont="1" applyFill="1" applyBorder="1"/>
    <xf numFmtId="0" fontId="25" fillId="5" borderId="2" xfId="8" applyFont="1" applyFill="1" applyBorder="1"/>
    <xf numFmtId="0" fontId="22" fillId="12" borderId="2" xfId="0" applyFont="1" applyFill="1" applyBorder="1" applyAlignment="1">
      <alignment horizontal="centerContinuous"/>
    </xf>
    <xf numFmtId="0" fontId="22" fillId="9" borderId="2" xfId="0" applyFont="1" applyFill="1" applyBorder="1" applyAlignment="1">
      <alignment horizontal="centerContinuous"/>
    </xf>
    <xf numFmtId="0" fontId="22" fillId="12" borderId="2" xfId="0" applyFont="1" applyFill="1" applyBorder="1" applyAlignment="1">
      <alignment horizontal="left"/>
    </xf>
    <xf numFmtId="0" fontId="26" fillId="12" borderId="2" xfId="0" applyFont="1" applyFill="1" applyBorder="1" applyAlignment="1">
      <alignment horizontal="center"/>
    </xf>
    <xf numFmtId="0" fontId="26" fillId="9" borderId="2" xfId="0" applyFont="1" applyFill="1" applyBorder="1" applyAlignment="1">
      <alignment horizontal="center"/>
    </xf>
    <xf numFmtId="164" fontId="24" fillId="12" borderId="2" xfId="1" applyNumberFormat="1" applyFont="1" applyFill="1" applyBorder="1" applyAlignment="1">
      <alignment horizontal="right"/>
    </xf>
    <xf numFmtId="0" fontId="24" fillId="12" borderId="2" xfId="0" applyFont="1" applyFill="1" applyBorder="1" applyAlignment="1">
      <alignment horizontal="right"/>
    </xf>
    <xf numFmtId="164" fontId="24" fillId="11" borderId="2" xfId="1" applyNumberFormat="1" applyFont="1" applyFill="1" applyBorder="1" applyAlignment="1">
      <alignment horizontal="right"/>
    </xf>
    <xf numFmtId="169" fontId="22" fillId="10" borderId="2" xfId="1" applyNumberFormat="1" applyFont="1" applyFill="1" applyBorder="1"/>
    <xf numFmtId="169" fontId="22" fillId="5" borderId="2" xfId="1" applyNumberFormat="1" applyFont="1" applyFill="1" applyBorder="1"/>
    <xf numFmtId="43" fontId="22" fillId="10" borderId="2" xfId="1" applyFont="1" applyFill="1" applyBorder="1" applyAlignment="1">
      <alignment horizontal="center"/>
    </xf>
    <xf numFmtId="43" fontId="24" fillId="12" borderId="2" xfId="0" applyNumberFormat="1" applyFont="1" applyFill="1" applyBorder="1" applyAlignment="1">
      <alignment horizontal="right"/>
    </xf>
    <xf numFmtId="43" fontId="22" fillId="5" borderId="2" xfId="1" applyFont="1" applyFill="1" applyBorder="1" applyAlignment="1">
      <alignment horizontal="center"/>
    </xf>
    <xf numFmtId="168" fontId="24" fillId="12" borderId="2" xfId="0" applyNumberFormat="1" applyFont="1" applyFill="1" applyBorder="1" applyAlignment="1">
      <alignment horizontal="right"/>
    </xf>
    <xf numFmtId="0" fontId="22" fillId="12" borderId="2" xfId="0" applyFont="1" applyFill="1" applyBorder="1" applyAlignment="1">
      <alignment horizontal="center"/>
    </xf>
    <xf numFmtId="0" fontId="22" fillId="11" borderId="2" xfId="0" applyFont="1" applyFill="1" applyBorder="1" applyAlignment="1">
      <alignment horizontal="center"/>
    </xf>
    <xf numFmtId="168" fontId="22" fillId="12" borderId="2" xfId="3" applyNumberFormat="1" applyFont="1" applyFill="1" applyBorder="1" applyAlignment="1">
      <alignment horizontal="centerContinuous"/>
    </xf>
    <xf numFmtId="9" fontId="22" fillId="9" borderId="2" xfId="0" applyNumberFormat="1" applyFont="1" applyFill="1" applyBorder="1" applyAlignment="1">
      <alignment horizontal="centerContinuous"/>
    </xf>
    <xf numFmtId="170" fontId="22" fillId="10" borderId="2" xfId="2" applyNumberFormat="1" applyFont="1" applyFill="1" applyBorder="1"/>
    <xf numFmtId="170" fontId="22" fillId="5" borderId="2" xfId="2" applyNumberFormat="1" applyFont="1" applyFill="1" applyBorder="1"/>
    <xf numFmtId="0" fontId="22" fillId="12" borderId="2" xfId="0" applyFont="1" applyFill="1" applyBorder="1" applyAlignment="1">
      <alignment horizontal="right"/>
    </xf>
    <xf numFmtId="2" fontId="22" fillId="9" borderId="2" xfId="0" applyNumberFormat="1" applyFont="1" applyFill="1" applyBorder="1"/>
    <xf numFmtId="2" fontId="22" fillId="5" borderId="2" xfId="0" applyNumberFormat="1" applyFont="1" applyFill="1" applyBorder="1"/>
    <xf numFmtId="168" fontId="22" fillId="10" borderId="2" xfId="0" applyNumberFormat="1" applyFont="1" applyFill="1" applyBorder="1"/>
    <xf numFmtId="168" fontId="22" fillId="5" borderId="2" xfId="0" applyNumberFormat="1" applyFont="1" applyFill="1" applyBorder="1"/>
    <xf numFmtId="0" fontId="22" fillId="11" borderId="2" xfId="0" applyFont="1" applyFill="1" applyBorder="1" applyAlignment="1">
      <alignment horizontal="right"/>
    </xf>
    <xf numFmtId="164" fontId="22" fillId="9" borderId="2" xfId="1" applyNumberFormat="1" applyFont="1" applyFill="1" applyBorder="1" applyAlignment="1">
      <alignment horizontal="centerContinuous"/>
    </xf>
    <xf numFmtId="43" fontId="22" fillId="9" borderId="2" xfId="0" applyNumberFormat="1" applyFont="1" applyFill="1" applyBorder="1"/>
    <xf numFmtId="43" fontId="22" fillId="5" borderId="2" xfId="0" applyNumberFormat="1" applyFont="1" applyFill="1" applyBorder="1"/>
    <xf numFmtId="171" fontId="24" fillId="9" borderId="2" xfId="0" applyNumberFormat="1" applyFont="1" applyFill="1" applyBorder="1"/>
    <xf numFmtId="0" fontId="22" fillId="9" borderId="2" xfId="0" applyFont="1" applyFill="1" applyBorder="1" applyAlignment="1">
      <alignment horizontal="left"/>
    </xf>
    <xf numFmtId="165" fontId="22" fillId="11" borderId="2" xfId="0" applyNumberFormat="1" applyFont="1" applyFill="1" applyBorder="1" applyAlignment="1">
      <alignment horizontal="center"/>
    </xf>
    <xf numFmtId="165" fontId="22" fillId="9" borderId="2" xfId="0" applyNumberFormat="1" applyFont="1" applyFill="1" applyBorder="1" applyAlignment="1">
      <alignment horizontal="center"/>
    </xf>
    <xf numFmtId="44" fontId="22" fillId="11" borderId="2" xfId="2" applyFont="1" applyFill="1" applyBorder="1" applyAlignment="1">
      <alignment horizontal="center"/>
    </xf>
    <xf numFmtId="44" fontId="22" fillId="9" borderId="2" xfId="2" applyFont="1" applyFill="1" applyBorder="1" applyAlignment="1">
      <alignment horizontal="center"/>
    </xf>
    <xf numFmtId="164" fontId="22" fillId="9" borderId="2" xfId="0" applyNumberFormat="1" applyFont="1" applyFill="1" applyBorder="1" applyAlignment="1">
      <alignment horizontal="center"/>
    </xf>
    <xf numFmtId="0" fontId="22" fillId="13" borderId="2" xfId="0" applyFont="1" applyFill="1" applyBorder="1"/>
    <xf numFmtId="0" fontId="22" fillId="5" borderId="2" xfId="0" applyFont="1" applyFill="1" applyBorder="1" applyAlignment="1">
      <alignment horizontal="center"/>
    </xf>
    <xf numFmtId="164" fontId="22" fillId="5" borderId="2" xfId="0" applyNumberFormat="1" applyFont="1" applyFill="1" applyBorder="1"/>
    <xf numFmtId="0" fontId="22" fillId="5" borderId="2" xfId="0" applyFont="1" applyFill="1" applyBorder="1"/>
    <xf numFmtId="10" fontId="22" fillId="9" borderId="2" xfId="0" applyNumberFormat="1" applyFont="1" applyFill="1" applyBorder="1"/>
    <xf numFmtId="0" fontId="25" fillId="9" borderId="2" xfId="0" applyFont="1" applyFill="1" applyBorder="1"/>
    <xf numFmtId="0" fontId="24" fillId="9" borderId="2" xfId="0" applyFont="1" applyFill="1" applyBorder="1"/>
    <xf numFmtId="9" fontId="22" fillId="9" borderId="2" xfId="0" applyNumberFormat="1" applyFont="1" applyFill="1" applyBorder="1" applyAlignment="1">
      <alignment horizontal="right"/>
    </xf>
    <xf numFmtId="0" fontId="24" fillId="9" borderId="2" xfId="0" applyFont="1" applyFill="1" applyBorder="1" applyAlignment="1">
      <alignment horizontal="center"/>
    </xf>
    <xf numFmtId="0" fontId="24" fillId="9" borderId="2" xfId="0" applyFont="1" applyFill="1" applyBorder="1" applyAlignment="1">
      <alignment wrapText="1"/>
    </xf>
    <xf numFmtId="9" fontId="24" fillId="9" borderId="2" xfId="0" applyNumberFormat="1" applyFont="1" applyFill="1" applyBorder="1" applyAlignment="1">
      <alignment horizontal="right" wrapText="1"/>
    </xf>
    <xf numFmtId="0" fontId="24" fillId="9" borderId="2" xfId="0" applyFont="1" applyFill="1" applyBorder="1" applyAlignment="1">
      <alignment horizontal="right" wrapText="1"/>
    </xf>
    <xf numFmtId="0" fontId="22" fillId="9" borderId="2" xfId="0" applyFont="1" applyFill="1" applyBorder="1" applyAlignment="1">
      <alignment horizontal="right" wrapText="1"/>
    </xf>
    <xf numFmtId="0" fontId="22" fillId="9" borderId="2" xfId="0" applyFont="1" applyFill="1" applyBorder="1" applyAlignment="1">
      <alignment wrapText="1"/>
    </xf>
    <xf numFmtId="172" fontId="24" fillId="9" borderId="2" xfId="0" applyNumberFormat="1" applyFont="1" applyFill="1" applyBorder="1"/>
    <xf numFmtId="168" fontId="24" fillId="9" borderId="2" xfId="0" applyNumberFormat="1" applyFont="1" applyFill="1" applyBorder="1"/>
    <xf numFmtId="173" fontId="24" fillId="9" borderId="2" xfId="0" applyNumberFormat="1" applyFont="1" applyFill="1" applyBorder="1"/>
    <xf numFmtId="165" fontId="27" fillId="11" borderId="3" xfId="0" applyNumberFormat="1" applyFont="1" applyFill="1" applyBorder="1" applyAlignment="1">
      <alignment horizontal="center"/>
    </xf>
    <xf numFmtId="44" fontId="27" fillId="11" borderId="3" xfId="2" applyFont="1" applyFill="1" applyBorder="1" applyAlignment="1">
      <alignment horizontal="center"/>
    </xf>
    <xf numFmtId="164" fontId="22" fillId="14" borderId="2" xfId="1" applyNumberFormat="1" applyFont="1" applyFill="1" applyBorder="1"/>
    <xf numFmtId="164" fontId="22" fillId="10" borderId="2" xfId="1" applyNumberFormat="1" applyFont="1" applyFill="1" applyBorder="1"/>
    <xf numFmtId="10" fontId="22" fillId="14" borderId="2" xfId="0" applyNumberFormat="1" applyFont="1" applyFill="1" applyBorder="1"/>
    <xf numFmtId="44" fontId="22" fillId="13" borderId="2" xfId="2" applyFont="1" applyFill="1" applyBorder="1" applyAlignment="1">
      <alignment horizontal="center"/>
    </xf>
    <xf numFmtId="164" fontId="27" fillId="5" borderId="3" xfId="1" applyNumberFormat="1" applyFont="1" applyFill="1" applyBorder="1"/>
    <xf numFmtId="164" fontId="27" fillId="9" borderId="3" xfId="1" applyNumberFormat="1" applyFont="1" applyFill="1" applyBorder="1"/>
    <xf numFmtId="168" fontId="22" fillId="5" borderId="2" xfId="1" applyNumberFormat="1" applyFont="1" applyFill="1" applyBorder="1"/>
    <xf numFmtId="168" fontId="22" fillId="9" borderId="2" xfId="1" applyNumberFormat="1" applyFont="1" applyFill="1" applyBorder="1"/>
    <xf numFmtId="168" fontId="28" fillId="9" borderId="2" xfId="3" applyNumberFormat="1" applyFont="1" applyFill="1" applyBorder="1" applyAlignment="1">
      <alignment horizontal="left" vertical="center"/>
    </xf>
    <xf numFmtId="168" fontId="28" fillId="9" borderId="2" xfId="3" applyNumberFormat="1" applyFont="1" applyFill="1" applyBorder="1" applyAlignment="1">
      <alignment horizontal="center" vertical="center"/>
    </xf>
    <xf numFmtId="0" fontId="22" fillId="12" borderId="2" xfId="13" applyFont="1" applyFill="1" applyBorder="1" applyAlignment="1">
      <alignment horizontal="right" vertical="center"/>
    </xf>
    <xf numFmtId="165" fontId="22" fillId="11" borderId="2" xfId="13" applyNumberFormat="1" applyFont="1" applyFill="1" applyBorder="1" applyAlignment="1">
      <alignment horizontal="center" vertical="center"/>
    </xf>
    <xf numFmtId="165" fontId="22" fillId="9" borderId="2" xfId="13" applyNumberFormat="1" applyFont="1" applyFill="1" applyBorder="1" applyAlignment="1">
      <alignment horizontal="center" vertical="center"/>
    </xf>
    <xf numFmtId="43" fontId="22" fillId="9" borderId="2" xfId="1" applyFont="1" applyFill="1" applyBorder="1" applyAlignment="1">
      <alignment horizontal="centerContinuous"/>
    </xf>
    <xf numFmtId="44" fontId="22" fillId="11" borderId="2" xfId="13" applyNumberFormat="1" applyFont="1" applyFill="1" applyBorder="1" applyAlignment="1">
      <alignment horizontal="center" vertical="center"/>
    </xf>
    <xf numFmtId="44" fontId="22" fillId="13" borderId="2" xfId="13" applyNumberFormat="1" applyFont="1" applyFill="1" applyBorder="1" applyAlignment="1">
      <alignment horizontal="center" vertical="center"/>
    </xf>
    <xf numFmtId="174" fontId="22" fillId="13" borderId="2" xfId="13" applyNumberFormat="1" applyFont="1" applyFill="1" applyBorder="1" applyAlignment="1">
      <alignment horizontal="center" vertical="center"/>
    </xf>
    <xf numFmtId="43" fontId="22" fillId="9" borderId="2" xfId="1" applyFont="1" applyFill="1" applyBorder="1" applyAlignment="1">
      <alignment horizontal="center" wrapText="1"/>
    </xf>
    <xf numFmtId="164" fontId="22" fillId="9" borderId="2" xfId="1" applyNumberFormat="1" applyFont="1" applyFill="1" applyBorder="1" applyAlignment="1">
      <alignment vertical="center"/>
    </xf>
    <xf numFmtId="167" fontId="24" fillId="9" borderId="2" xfId="13" applyNumberFormat="1" applyFont="1" applyFill="1" applyBorder="1" applyAlignment="1">
      <alignment vertical="center"/>
    </xf>
    <xf numFmtId="10" fontId="24" fillId="9" borderId="2" xfId="3" applyNumberFormat="1" applyFont="1" applyFill="1" applyBorder="1" applyAlignment="1">
      <alignment vertical="center"/>
    </xf>
    <xf numFmtId="10" fontId="24" fillId="9" borderId="2" xfId="0" applyNumberFormat="1" applyFont="1" applyFill="1" applyBorder="1"/>
    <xf numFmtId="43" fontId="24" fillId="9" borderId="2" xfId="1" applyFont="1" applyFill="1" applyBorder="1"/>
    <xf numFmtId="43" fontId="24" fillId="9" borderId="2" xfId="1" applyFont="1" applyFill="1" applyBorder="1" applyAlignment="1">
      <alignment horizontal="centerContinuous"/>
    </xf>
    <xf numFmtId="0" fontId="24" fillId="9" borderId="2" xfId="0" applyFont="1" applyFill="1" applyBorder="1" applyAlignment="1">
      <alignment horizontal="centerContinuous"/>
    </xf>
    <xf numFmtId="164" fontId="22" fillId="5" borderId="2" xfId="1" applyNumberFormat="1" applyFont="1" applyFill="1" applyBorder="1" applyAlignment="1">
      <alignment vertical="center"/>
    </xf>
    <xf numFmtId="164" fontId="22" fillId="14" borderId="2" xfId="1" applyNumberFormat="1" applyFont="1" applyFill="1" applyBorder="1" applyAlignment="1">
      <alignment vertical="center"/>
    </xf>
    <xf numFmtId="0" fontId="22" fillId="9" borderId="2" xfId="13" applyFont="1" applyFill="1" applyBorder="1" applyAlignment="1">
      <alignment horizontal="left" vertical="center" indent="1"/>
    </xf>
    <xf numFmtId="0" fontId="22" fillId="12" borderId="2" xfId="13" applyFont="1" applyFill="1" applyBorder="1" applyAlignment="1">
      <alignment horizontal="left" vertical="center" indent="1"/>
    </xf>
    <xf numFmtId="0" fontId="22" fillId="12" borderId="2" xfId="13" applyFont="1" applyFill="1" applyBorder="1" applyAlignment="1">
      <alignment horizontal="left" vertical="center"/>
    </xf>
    <xf numFmtId="4" fontId="24" fillId="9" borderId="2" xfId="0" applyNumberFormat="1" applyFont="1" applyFill="1" applyBorder="1"/>
    <xf numFmtId="0" fontId="22" fillId="9" borderId="2" xfId="13" applyFont="1" applyFill="1" applyBorder="1" applyAlignment="1">
      <alignment horizontal="right" vertical="center"/>
    </xf>
    <xf numFmtId="167" fontId="22" fillId="9" borderId="2" xfId="0" applyNumberFormat="1" applyFont="1" applyFill="1" applyBorder="1"/>
    <xf numFmtId="0" fontId="22" fillId="9" borderId="2" xfId="13" applyFont="1" applyFill="1" applyBorder="1" applyAlignment="1">
      <alignment horizontal="left" vertical="center"/>
    </xf>
    <xf numFmtId="0" fontId="24" fillId="12" borderId="2" xfId="13" applyFont="1" applyFill="1" applyBorder="1" applyAlignment="1">
      <alignment vertical="center"/>
    </xf>
    <xf numFmtId="10" fontId="24" fillId="14" borderId="2" xfId="3" applyNumberFormat="1" applyFont="1" applyFill="1" applyBorder="1" applyAlignment="1">
      <alignment vertical="center"/>
    </xf>
    <xf numFmtId="0" fontId="24" fillId="9" borderId="2" xfId="13" applyFont="1" applyFill="1" applyBorder="1" applyAlignment="1">
      <alignment vertical="center"/>
    </xf>
    <xf numFmtId="0" fontId="22" fillId="12" borderId="2" xfId="13" applyFont="1" applyFill="1" applyBorder="1" applyAlignment="1">
      <alignment horizontal="center" vertical="center"/>
    </xf>
    <xf numFmtId="0" fontId="22" fillId="9" borderId="2" xfId="13" applyFont="1" applyFill="1" applyBorder="1" applyAlignment="1">
      <alignment horizontal="center" vertical="center"/>
    </xf>
    <xf numFmtId="0" fontId="29" fillId="12" borderId="2" xfId="0" applyFont="1" applyFill="1" applyBorder="1" applyAlignment="1">
      <alignment horizontal="right"/>
    </xf>
    <xf numFmtId="164" fontId="29" fillId="9" borderId="2" xfId="1" applyNumberFormat="1" applyFont="1" applyFill="1" applyBorder="1"/>
    <xf numFmtId="164" fontId="29" fillId="10" borderId="2" xfId="1" applyNumberFormat="1" applyFont="1" applyFill="1" applyBorder="1"/>
    <xf numFmtId="164" fontId="29" fillId="11" borderId="2" xfId="1" applyNumberFormat="1" applyFont="1" applyFill="1" applyBorder="1"/>
    <xf numFmtId="0" fontId="29" fillId="9" borderId="2" xfId="0" applyFont="1" applyFill="1" applyBorder="1"/>
    <xf numFmtId="164" fontId="29" fillId="9" borderId="2" xfId="0" applyNumberFormat="1" applyFont="1" applyFill="1" applyBorder="1"/>
    <xf numFmtId="0" fontId="29" fillId="9" borderId="2" xfId="0" quotePrefix="1" applyFont="1" applyFill="1" applyBorder="1"/>
    <xf numFmtId="0" fontId="29" fillId="9" borderId="2" xfId="0" quotePrefix="1" applyFont="1" applyFill="1" applyBorder="1" applyAlignment="1">
      <alignment wrapText="1"/>
    </xf>
    <xf numFmtId="0" fontId="22" fillId="11" borderId="2" xfId="13" applyFont="1" applyFill="1" applyBorder="1" applyAlignment="1">
      <alignment horizontal="center" vertical="center"/>
    </xf>
    <xf numFmtId="0" fontId="22" fillId="13" borderId="2" xfId="13" applyFont="1" applyFill="1" applyBorder="1" applyAlignment="1">
      <alignment horizontal="center" vertical="center"/>
    </xf>
    <xf numFmtId="3" fontId="22" fillId="10" borderId="2" xfId="0" applyNumberFormat="1" applyFont="1" applyFill="1" applyBorder="1"/>
    <xf numFmtId="3" fontId="27" fillId="5" borderId="3" xfId="0" applyNumberFormat="1" applyFont="1" applyFill="1" applyBorder="1"/>
    <xf numFmtId="3" fontId="27" fillId="10" borderId="3" xfId="0" applyNumberFormat="1" applyFont="1" applyFill="1" applyBorder="1"/>
    <xf numFmtId="3" fontId="27" fillId="9" borderId="3" xfId="0" applyNumberFormat="1" applyFont="1" applyFill="1" applyBorder="1"/>
    <xf numFmtId="0" fontId="27" fillId="9" borderId="3" xfId="0" applyFont="1" applyFill="1" applyBorder="1"/>
    <xf numFmtId="166" fontId="22" fillId="5" borderId="2" xfId="2" applyNumberFormat="1" applyFont="1" applyFill="1" applyBorder="1"/>
    <xf numFmtId="166" fontId="22" fillId="14" borderId="2" xfId="2" applyNumberFormat="1" applyFont="1" applyFill="1" applyBorder="1"/>
    <xf numFmtId="166" fontId="27" fillId="5" borderId="3" xfId="2" applyNumberFormat="1" applyFont="1" applyFill="1" applyBorder="1"/>
    <xf numFmtId="166" fontId="27" fillId="9" borderId="3" xfId="2" applyNumberFormat="1" applyFont="1" applyFill="1" applyBorder="1"/>
    <xf numFmtId="164" fontId="27" fillId="14" borderId="3" xfId="1" applyNumberFormat="1" applyFont="1" applyFill="1" applyBorder="1"/>
    <xf numFmtId="1" fontId="22" fillId="9" borderId="2" xfId="1" applyNumberFormat="1" applyFont="1" applyFill="1" applyBorder="1"/>
    <xf numFmtId="1" fontId="22" fillId="9" borderId="2" xfId="0" applyNumberFormat="1" applyFont="1" applyFill="1" applyBorder="1"/>
    <xf numFmtId="10" fontId="22" fillId="10" borderId="2" xfId="0" applyNumberFormat="1" applyFont="1" applyFill="1" applyBorder="1"/>
    <xf numFmtId="9" fontId="22" fillId="12" borderId="2" xfId="0" applyNumberFormat="1" applyFont="1" applyFill="1" applyBorder="1"/>
    <xf numFmtId="10" fontId="22" fillId="12" borderId="2" xfId="0" applyNumberFormat="1" applyFont="1" applyFill="1" applyBorder="1"/>
    <xf numFmtId="9" fontId="22" fillId="14" borderId="2" xfId="0" applyNumberFormat="1" applyFont="1" applyFill="1" applyBorder="1"/>
    <xf numFmtId="0" fontId="22" fillId="14" borderId="2" xfId="0" applyFont="1" applyFill="1" applyBorder="1"/>
    <xf numFmtId="175" fontId="22" fillId="5" borderId="2" xfId="0" applyNumberFormat="1" applyFont="1" applyFill="1" applyBorder="1"/>
    <xf numFmtId="175" fontId="22" fillId="9" borderId="2" xfId="0" applyNumberFormat="1" applyFont="1" applyFill="1" applyBorder="1"/>
    <xf numFmtId="43" fontId="22" fillId="9" borderId="2" xfId="6" applyFont="1" applyFill="1" applyBorder="1"/>
    <xf numFmtId="0" fontId="25" fillId="12" borderId="2" xfId="8" applyFont="1" applyFill="1" applyBorder="1"/>
    <xf numFmtId="0" fontId="25" fillId="9" borderId="2" xfId="8" applyFont="1" applyFill="1" applyBorder="1" applyAlignment="1">
      <alignment horizontal="centerContinuous"/>
    </xf>
    <xf numFmtId="165" fontId="25" fillId="11" borderId="2" xfId="8" applyNumberFormat="1" applyFont="1" applyFill="1" applyBorder="1" applyAlignment="1">
      <alignment horizontal="center"/>
    </xf>
    <xf numFmtId="0" fontId="25" fillId="12" borderId="2" xfId="8" applyFont="1" applyFill="1" applyBorder="1" applyAlignment="1">
      <alignment horizontal="center"/>
    </xf>
    <xf numFmtId="0" fontId="25" fillId="5" borderId="2" xfId="8" applyFont="1" applyFill="1" applyBorder="1" applyAlignment="1">
      <alignment horizontal="center"/>
    </xf>
    <xf numFmtId="164" fontId="22" fillId="9" borderId="2" xfId="6" applyNumberFormat="1" applyFont="1" applyFill="1" applyBorder="1"/>
    <xf numFmtId="9" fontId="25" fillId="5" borderId="2" xfId="8" applyNumberFormat="1" applyFont="1" applyFill="1" applyBorder="1"/>
    <xf numFmtId="168" fontId="25" fillId="5" borderId="2" xfId="8" applyNumberFormat="1" applyFont="1" applyFill="1" applyBorder="1"/>
    <xf numFmtId="14" fontId="25" fillId="11" borderId="2" xfId="8" applyNumberFormat="1" applyFont="1" applyFill="1" applyBorder="1"/>
    <xf numFmtId="164" fontId="25" fillId="9" borderId="2" xfId="1" applyNumberFormat="1" applyFont="1" applyFill="1" applyBorder="1"/>
    <xf numFmtId="14" fontId="25" fillId="9" borderId="2" xfId="8" applyNumberFormat="1" applyFont="1" applyFill="1" applyBorder="1"/>
    <xf numFmtId="164" fontId="22" fillId="10" borderId="2" xfId="6" applyNumberFormat="1" applyFont="1" applyFill="1" applyBorder="1"/>
    <xf numFmtId="164" fontId="22" fillId="5" borderId="2" xfId="6" applyNumberFormat="1" applyFont="1" applyFill="1" applyBorder="1"/>
    <xf numFmtId="3" fontId="25" fillId="9" borderId="2" xfId="1" applyNumberFormat="1" applyFont="1" applyFill="1" applyBorder="1"/>
    <xf numFmtId="9" fontId="25" fillId="9" borderId="2" xfId="8" applyNumberFormat="1" applyFont="1" applyFill="1" applyBorder="1"/>
    <xf numFmtId="3" fontId="25" fillId="5" borderId="2" xfId="1" applyNumberFormat="1" applyFont="1" applyFill="1" applyBorder="1"/>
    <xf numFmtId="164" fontId="25" fillId="5" borderId="2" xfId="1" applyNumberFormat="1" applyFont="1" applyFill="1" applyBorder="1"/>
    <xf numFmtId="0" fontId="25" fillId="12" borderId="2" xfId="0" applyFont="1" applyFill="1" applyBorder="1"/>
    <xf numFmtId="176" fontId="22" fillId="5" borderId="2" xfId="0" applyNumberFormat="1" applyFont="1" applyFill="1" applyBorder="1"/>
    <xf numFmtId="9" fontId="25" fillId="5" borderId="2" xfId="0" applyNumberFormat="1" applyFont="1" applyFill="1" applyBorder="1"/>
    <xf numFmtId="168" fontId="25" fillId="5" borderId="2" xfId="0" applyNumberFormat="1" applyFont="1" applyFill="1" applyBorder="1"/>
    <xf numFmtId="14" fontId="25" fillId="11" borderId="2" xfId="0" applyNumberFormat="1" applyFont="1" applyFill="1" applyBorder="1"/>
    <xf numFmtId="176" fontId="22" fillId="9" borderId="2" xfId="0" applyNumberFormat="1" applyFont="1" applyFill="1" applyBorder="1"/>
    <xf numFmtId="9" fontId="25" fillId="9" borderId="2" xfId="0" applyNumberFormat="1" applyFont="1" applyFill="1" applyBorder="1"/>
    <xf numFmtId="14" fontId="25" fillId="9" borderId="2" xfId="0" applyNumberFormat="1" applyFont="1" applyFill="1" applyBorder="1"/>
    <xf numFmtId="164" fontId="25" fillId="14" borderId="2" xfId="8" applyNumberFormat="1" applyFont="1" applyFill="1" applyBorder="1"/>
    <xf numFmtId="164" fontId="25" fillId="14" borderId="2" xfId="1" applyNumberFormat="1" applyFont="1" applyFill="1" applyBorder="1"/>
    <xf numFmtId="0" fontId="25" fillId="9" borderId="2" xfId="8" applyFont="1" applyFill="1" applyBorder="1"/>
    <xf numFmtId="10" fontId="25" fillId="9" borderId="2" xfId="8" applyNumberFormat="1" applyFont="1" applyFill="1" applyBorder="1"/>
    <xf numFmtId="164" fontId="25" fillId="9" borderId="2" xfId="8" applyNumberFormat="1" applyFont="1" applyFill="1" applyBorder="1"/>
    <xf numFmtId="0" fontId="25" fillId="12" borderId="2" xfId="8" applyFont="1" applyFill="1" applyBorder="1" applyAlignment="1">
      <alignment horizontal="right"/>
    </xf>
    <xf numFmtId="164" fontId="22" fillId="14" borderId="2" xfId="6" applyNumberFormat="1" applyFont="1" applyFill="1" applyBorder="1"/>
    <xf numFmtId="164" fontId="25" fillId="14" borderId="2" xfId="6" applyNumberFormat="1" applyFont="1" applyFill="1" applyBorder="1"/>
    <xf numFmtId="164" fontId="27" fillId="14" borderId="3" xfId="6" applyNumberFormat="1" applyFont="1" applyFill="1" applyBorder="1"/>
    <xf numFmtId="0" fontId="25" fillId="13" borderId="2" xfId="8" applyFont="1" applyFill="1" applyBorder="1"/>
    <xf numFmtId="168" fontId="25" fillId="9" borderId="2" xfId="8" applyNumberFormat="1" applyFont="1" applyFill="1" applyBorder="1"/>
    <xf numFmtId="43" fontId="25" fillId="9" borderId="2" xfId="8" applyNumberFormat="1" applyFont="1" applyFill="1" applyBorder="1"/>
    <xf numFmtId="164" fontId="27" fillId="9" borderId="3" xfId="6" applyNumberFormat="1" applyFont="1" applyFill="1" applyBorder="1"/>
    <xf numFmtId="14" fontId="25" fillId="13" borderId="2" xfId="8" applyNumberFormat="1" applyFont="1" applyFill="1" applyBorder="1"/>
    <xf numFmtId="0" fontId="25" fillId="12" borderId="2" xfId="8" applyFont="1" applyFill="1" applyBorder="1" applyAlignment="1">
      <alignment horizontal="center" wrapText="1"/>
    </xf>
    <xf numFmtId="175" fontId="25" fillId="9" borderId="2" xfId="8" applyNumberFormat="1" applyFont="1" applyFill="1" applyBorder="1"/>
    <xf numFmtId="175" fontId="25" fillId="10" borderId="2" xfId="8" applyNumberFormat="1" applyFont="1" applyFill="1" applyBorder="1"/>
    <xf numFmtId="4" fontId="25" fillId="9" borderId="2" xfId="8" applyNumberFormat="1" applyFont="1" applyFill="1" applyBorder="1"/>
    <xf numFmtId="10" fontId="25" fillId="5" borderId="2" xfId="8" applyNumberFormat="1" applyFont="1" applyFill="1" applyBorder="1"/>
    <xf numFmtId="10" fontId="25" fillId="14" borderId="2" xfId="8" applyNumberFormat="1" applyFont="1" applyFill="1" applyBorder="1"/>
    <xf numFmtId="0" fontId="25" fillId="11" borderId="2" xfId="8" applyFont="1" applyFill="1" applyBorder="1" applyAlignment="1">
      <alignment horizontal="center"/>
    </xf>
    <xf numFmtId="10" fontId="25" fillId="11" borderId="2" xfId="8" applyNumberFormat="1" applyFont="1" applyFill="1" applyBorder="1" applyAlignment="1">
      <alignment horizontal="center"/>
    </xf>
    <xf numFmtId="171" fontId="25" fillId="5" borderId="2" xfId="8" applyNumberFormat="1" applyFont="1" applyFill="1" applyBorder="1"/>
    <xf numFmtId="171" fontId="25" fillId="9" borderId="2" xfId="8" applyNumberFormat="1" applyFont="1" applyFill="1" applyBorder="1"/>
    <xf numFmtId="171" fontId="25" fillId="14" borderId="2" xfId="8" applyNumberFormat="1" applyFont="1" applyFill="1" applyBorder="1"/>
    <xf numFmtId="165" fontId="25" fillId="9" borderId="2" xfId="8" applyNumberFormat="1" applyFont="1" applyFill="1" applyBorder="1" applyAlignment="1">
      <alignment horizontal="center"/>
    </xf>
    <xf numFmtId="0" fontId="25" fillId="9" borderId="2" xfId="8" applyFont="1" applyFill="1" applyBorder="1" applyAlignment="1">
      <alignment horizontal="center"/>
    </xf>
    <xf numFmtId="164" fontId="22" fillId="11" borderId="2" xfId="6" applyNumberFormat="1" applyFont="1" applyFill="1" applyBorder="1"/>
    <xf numFmtId="164" fontId="25" fillId="5" borderId="2" xfId="8" applyNumberFormat="1" applyFont="1" applyFill="1" applyBorder="1"/>
    <xf numFmtId="164" fontId="30" fillId="5" borderId="3" xfId="6" applyNumberFormat="1" applyFont="1" applyFill="1" applyBorder="1"/>
    <xf numFmtId="164" fontId="30" fillId="14" borderId="3" xfId="6" applyNumberFormat="1" applyFont="1" applyFill="1" applyBorder="1"/>
    <xf numFmtId="164" fontId="30" fillId="11" borderId="3" xfId="6" applyNumberFormat="1" applyFont="1" applyFill="1" applyBorder="1"/>
    <xf numFmtId="0" fontId="25" fillId="11" borderId="2" xfId="8" applyFont="1" applyFill="1" applyBorder="1"/>
    <xf numFmtId="164" fontId="27" fillId="5" borderId="3" xfId="6" applyNumberFormat="1" applyFont="1" applyFill="1" applyBorder="1"/>
    <xf numFmtId="164" fontId="30" fillId="9" borderId="3" xfId="8" applyNumberFormat="1" applyFont="1" applyFill="1" applyBorder="1"/>
    <xf numFmtId="0" fontId="25" fillId="9" borderId="2" xfId="8" quotePrefix="1" applyFont="1" applyFill="1" applyBorder="1"/>
    <xf numFmtId="43" fontId="25" fillId="9" borderId="2" xfId="1" applyFont="1" applyFill="1" applyBorder="1"/>
    <xf numFmtId="11" fontId="25" fillId="12" borderId="2" xfId="8" applyNumberFormat="1" applyFont="1" applyFill="1" applyBorder="1"/>
    <xf numFmtId="164" fontId="25" fillId="10" borderId="2" xfId="1" applyNumberFormat="1" applyFont="1" applyFill="1" applyBorder="1"/>
    <xf numFmtId="164" fontId="30" fillId="5" borderId="3" xfId="8" applyNumberFormat="1" applyFont="1" applyFill="1" applyBorder="1"/>
    <xf numFmtId="0" fontId="25" fillId="12" borderId="2" xfId="8" quotePrefix="1" applyFont="1" applyFill="1" applyBorder="1"/>
    <xf numFmtId="165" fontId="22" fillId="13" borderId="2" xfId="13" applyNumberFormat="1" applyFont="1" applyFill="1" applyBorder="1" applyAlignment="1">
      <alignment horizontal="center" vertical="center"/>
    </xf>
    <xf numFmtId="164" fontId="22" fillId="13" borderId="2" xfId="1" applyNumberFormat="1" applyFont="1" applyFill="1" applyBorder="1"/>
    <xf numFmtId="167" fontId="22" fillId="11" borderId="2" xfId="0" applyNumberFormat="1" applyFont="1" applyFill="1" applyBorder="1" applyAlignment="1">
      <alignment horizontal="center"/>
    </xf>
    <xf numFmtId="167" fontId="22" fillId="13" borderId="2" xfId="0" applyNumberFormat="1" applyFont="1" applyFill="1" applyBorder="1" applyAlignment="1">
      <alignment horizontal="center"/>
    </xf>
    <xf numFmtId="167" fontId="22" fillId="9" borderId="2" xfId="2" applyNumberFormat="1" applyFont="1" applyFill="1" applyBorder="1"/>
    <xf numFmtId="3" fontId="29" fillId="9" borderId="2" xfId="0" applyNumberFormat="1" applyFont="1" applyFill="1" applyBorder="1"/>
    <xf numFmtId="0" fontId="28" fillId="12" borderId="2" xfId="0" applyFont="1" applyFill="1" applyBorder="1" applyAlignment="1">
      <alignment horizontal="left"/>
    </xf>
    <xf numFmtId="165" fontId="22" fillId="11" borderId="2" xfId="1" applyNumberFormat="1" applyFont="1" applyFill="1" applyBorder="1" applyAlignment="1">
      <alignment horizontal="center"/>
    </xf>
    <xf numFmtId="0" fontId="22" fillId="9" borderId="2" xfId="1" applyNumberFormat="1" applyFont="1" applyFill="1" applyBorder="1" applyAlignment="1">
      <alignment horizontal="center"/>
    </xf>
    <xf numFmtId="0" fontId="25" fillId="12" borderId="2" xfId="0" applyFont="1" applyFill="1" applyBorder="1" applyAlignment="1">
      <alignment horizontal="left"/>
    </xf>
    <xf numFmtId="0" fontId="28" fillId="12" borderId="2" xfId="0" applyFont="1" applyFill="1" applyBorder="1"/>
    <xf numFmtId="9" fontId="22" fillId="9" borderId="2" xfId="1" applyNumberFormat="1" applyFont="1" applyFill="1" applyBorder="1"/>
    <xf numFmtId="14" fontId="22" fillId="9" borderId="2" xfId="0" applyNumberFormat="1" applyFont="1" applyFill="1" applyBorder="1"/>
    <xf numFmtId="4" fontId="23" fillId="12" borderId="2" xfId="0" applyNumberFormat="1" applyFont="1" applyFill="1" applyBorder="1"/>
    <xf numFmtId="164" fontId="23" fillId="10" borderId="2" xfId="1" applyNumberFormat="1" applyFont="1" applyFill="1" applyBorder="1"/>
    <xf numFmtId="164" fontId="23" fillId="14" borderId="2" xfId="1" applyNumberFormat="1" applyFont="1" applyFill="1" applyBorder="1"/>
    <xf numFmtId="164" fontId="23" fillId="9" borderId="2" xfId="1" applyNumberFormat="1" applyFont="1" applyFill="1" applyBorder="1"/>
    <xf numFmtId="168" fontId="22" fillId="9" borderId="2" xfId="0" applyNumberFormat="1" applyFont="1" applyFill="1" applyBorder="1" applyAlignment="1">
      <alignment horizontal="center"/>
    </xf>
    <xf numFmtId="9" fontId="29" fillId="9" borderId="2" xfId="0" applyNumberFormat="1" applyFont="1" applyFill="1" applyBorder="1"/>
    <xf numFmtId="164" fontId="23" fillId="5" borderId="2" xfId="1" applyNumberFormat="1" applyFont="1" applyFill="1" applyBorder="1"/>
    <xf numFmtId="164" fontId="27" fillId="9" borderId="3" xfId="0" applyNumberFormat="1" applyFont="1" applyFill="1" applyBorder="1"/>
    <xf numFmtId="0" fontId="23" fillId="9" borderId="2" xfId="0" applyFont="1" applyFill="1" applyBorder="1"/>
    <xf numFmtId="168" fontId="22" fillId="10" borderId="2" xfId="1" applyNumberFormat="1" applyFont="1" applyFill="1" applyBorder="1"/>
    <xf numFmtId="0" fontId="23" fillId="12" borderId="2" xfId="0" applyFont="1" applyFill="1" applyBorder="1" applyAlignment="1">
      <alignment horizontal="right"/>
    </xf>
    <xf numFmtId="164" fontId="23" fillId="12" borderId="2" xfId="1" applyNumberFormat="1" applyFont="1" applyFill="1" applyBorder="1"/>
    <xf numFmtId="10" fontId="22" fillId="5" borderId="2" xfId="0" applyNumberFormat="1" applyFont="1" applyFill="1" applyBorder="1" applyAlignment="1">
      <alignment horizontal="center"/>
    </xf>
    <xf numFmtId="9" fontId="22" fillId="5" borderId="2" xfId="1" applyNumberFormat="1" applyFont="1" applyFill="1" applyBorder="1"/>
    <xf numFmtId="9" fontId="22" fillId="10" borderId="2" xfId="1" applyNumberFormat="1" applyFont="1" applyFill="1" applyBorder="1" applyAlignment="1">
      <alignment horizontal="center"/>
    </xf>
    <xf numFmtId="168" fontId="22" fillId="10" borderId="2" xfId="1" applyNumberFormat="1" applyFont="1" applyFill="1" applyBorder="1" applyAlignment="1">
      <alignment horizontal="center"/>
    </xf>
    <xf numFmtId="0" fontId="22" fillId="11" borderId="2" xfId="0" applyFont="1" applyFill="1" applyBorder="1"/>
    <xf numFmtId="9" fontId="22" fillId="9" borderId="2" xfId="1" applyNumberFormat="1" applyFont="1" applyFill="1" applyBorder="1" applyAlignment="1">
      <alignment horizontal="center"/>
    </xf>
    <xf numFmtId="168" fontId="22" fillId="9" borderId="2" xfId="1" applyNumberFormat="1" applyFont="1" applyFill="1" applyBorder="1" applyAlignment="1">
      <alignment horizontal="center"/>
    </xf>
    <xf numFmtId="3" fontId="25" fillId="9" borderId="2" xfId="8" applyNumberFormat="1" applyFont="1" applyFill="1" applyBorder="1"/>
    <xf numFmtId="0" fontId="22" fillId="9" borderId="2" xfId="19" applyFont="1" applyFill="1" applyBorder="1"/>
    <xf numFmtId="3" fontId="25" fillId="5" borderId="2" xfId="8" applyNumberFormat="1" applyFont="1" applyFill="1" applyBorder="1"/>
    <xf numFmtId="3" fontId="25" fillId="10" borderId="2" xfId="8" applyNumberFormat="1" applyFont="1" applyFill="1" applyBorder="1"/>
    <xf numFmtId="3" fontId="25" fillId="14" borderId="2" xfId="8" applyNumberFormat="1" applyFont="1" applyFill="1" applyBorder="1"/>
    <xf numFmtId="14" fontId="25" fillId="12" borderId="2" xfId="8" applyNumberFormat="1" applyFont="1" applyFill="1" applyBorder="1"/>
    <xf numFmtId="0" fontId="25" fillId="12" borderId="2" xfId="8" applyFont="1" applyFill="1" applyBorder="1" applyAlignment="1">
      <alignment horizontal="centerContinuous"/>
    </xf>
    <xf numFmtId="14" fontId="22" fillId="11" borderId="2" xfId="0" applyNumberFormat="1" applyFont="1" applyFill="1" applyBorder="1"/>
    <xf numFmtId="43" fontId="22" fillId="10" borderId="2" xfId="1" applyFont="1" applyFill="1" applyBorder="1"/>
    <xf numFmtId="14" fontId="22" fillId="11" borderId="2" xfId="1" applyNumberFormat="1" applyFont="1" applyFill="1" applyBorder="1"/>
    <xf numFmtId="177" fontId="25" fillId="5" borderId="2" xfId="8" applyNumberFormat="1" applyFont="1" applyFill="1" applyBorder="1"/>
    <xf numFmtId="4" fontId="25" fillId="10" borderId="2" xfId="8" applyNumberFormat="1" applyFont="1" applyFill="1" applyBorder="1"/>
    <xf numFmtId="14" fontId="22" fillId="9" borderId="2" xfId="1" applyNumberFormat="1" applyFont="1" applyFill="1" applyBorder="1"/>
    <xf numFmtId="0" fontId="25" fillId="5" borderId="2" xfId="8" applyFont="1" applyFill="1" applyBorder="1" applyAlignment="1">
      <alignment horizontal="left"/>
    </xf>
    <xf numFmtId="178" fontId="25" fillId="9" borderId="2" xfId="8" applyNumberFormat="1" applyFont="1" applyFill="1" applyBorder="1"/>
    <xf numFmtId="0" fontId="25" fillId="11" borderId="2" xfId="8" applyFont="1" applyFill="1" applyBorder="1" applyAlignment="1">
      <alignment horizontal="left"/>
    </xf>
    <xf numFmtId="178" fontId="25" fillId="5" borderId="2" xfId="8" applyNumberFormat="1" applyFont="1" applyFill="1" applyBorder="1"/>
    <xf numFmtId="164" fontId="22" fillId="5" borderId="2" xfId="1" applyNumberFormat="1" applyFont="1" applyFill="1" applyBorder="1" applyAlignment="1">
      <alignment horizontal="center"/>
    </xf>
    <xf numFmtId="3" fontId="22" fillId="9" borderId="2" xfId="1" applyNumberFormat="1" applyFont="1" applyFill="1" applyBorder="1"/>
    <xf numFmtId="164" fontId="22" fillId="14" borderId="2" xfId="1" applyNumberFormat="1" applyFont="1" applyFill="1" applyBorder="1" applyAlignment="1">
      <alignment horizontal="center"/>
    </xf>
    <xf numFmtId="166" fontId="22" fillId="9" borderId="2" xfId="0" applyNumberFormat="1" applyFont="1" applyFill="1" applyBorder="1"/>
    <xf numFmtId="179" fontId="22" fillId="9" borderId="2" xfId="0" applyNumberFormat="1" applyFont="1" applyFill="1" applyBorder="1"/>
    <xf numFmtId="4" fontId="23" fillId="9" borderId="2" xfId="0" applyNumberFormat="1" applyFont="1" applyFill="1" applyBorder="1"/>
    <xf numFmtId="164" fontId="31" fillId="14" borderId="3" xfId="1" applyNumberFormat="1" applyFont="1" applyFill="1" applyBorder="1"/>
    <xf numFmtId="43" fontId="22" fillId="9" borderId="2" xfId="1" applyFont="1" applyFill="1" applyBorder="1" applyAlignment="1">
      <alignment horizontal="center"/>
    </xf>
    <xf numFmtId="43" fontId="22" fillId="5" borderId="2" xfId="1" applyFont="1" applyFill="1" applyBorder="1"/>
    <xf numFmtId="4" fontId="22" fillId="10" borderId="2" xfId="1" applyNumberFormat="1" applyFont="1" applyFill="1" applyBorder="1"/>
    <xf numFmtId="4" fontId="23" fillId="12" borderId="2" xfId="0" applyNumberFormat="1" applyFont="1" applyFill="1" applyBorder="1" applyAlignment="1">
      <alignment horizontal="right"/>
    </xf>
    <xf numFmtId="9" fontId="22" fillId="5" borderId="2" xfId="2" applyNumberFormat="1" applyFont="1" applyFill="1" applyBorder="1"/>
    <xf numFmtId="9" fontId="22" fillId="9" borderId="2" xfId="2" applyNumberFormat="1" applyFont="1" applyFill="1" applyBorder="1"/>
    <xf numFmtId="165" fontId="25" fillId="11" borderId="2" xfId="0" quotePrefix="1" applyNumberFormat="1" applyFont="1" applyFill="1" applyBorder="1" applyAlignment="1">
      <alignment horizontal="center"/>
    </xf>
    <xf numFmtId="165" fontId="25" fillId="9" borderId="2" xfId="0" quotePrefix="1" applyNumberFormat="1" applyFont="1" applyFill="1" applyBorder="1" applyAlignment="1">
      <alignment horizontal="center"/>
    </xf>
    <xf numFmtId="165" fontId="25" fillId="13" borderId="2" xfId="0" quotePrefix="1" applyNumberFormat="1" applyFont="1" applyFill="1" applyBorder="1" applyAlignment="1">
      <alignment horizontal="center"/>
    </xf>
    <xf numFmtId="0" fontId="28" fillId="9" borderId="2" xfId="0" applyFont="1" applyFill="1" applyBorder="1" applyAlignment="1">
      <alignment horizontal="left"/>
    </xf>
    <xf numFmtId="0" fontId="25" fillId="9" borderId="2" xfId="0" applyFont="1" applyFill="1" applyBorder="1" applyAlignment="1">
      <alignment horizontal="left"/>
    </xf>
    <xf numFmtId="164" fontId="22" fillId="12" borderId="2" xfId="1" applyNumberFormat="1" applyFont="1" applyFill="1" applyBorder="1" applyAlignment="1">
      <alignment horizontal="right"/>
    </xf>
    <xf numFmtId="4" fontId="22" fillId="9" borderId="2" xfId="1" applyNumberFormat="1" applyFont="1" applyFill="1" applyBorder="1"/>
    <xf numFmtId="4" fontId="22" fillId="11" borderId="2" xfId="1" applyNumberFormat="1" applyFont="1" applyFill="1" applyBorder="1"/>
    <xf numFmtId="164" fontId="22" fillId="5" borderId="2" xfId="1" applyNumberFormat="1" applyFont="1" applyFill="1" applyBorder="1" applyAlignment="1">
      <alignment wrapText="1"/>
    </xf>
    <xf numFmtId="164" fontId="22" fillId="10" borderId="2" xfId="1" applyNumberFormat="1" applyFont="1" applyFill="1" applyBorder="1" applyAlignment="1">
      <alignment wrapText="1"/>
    </xf>
    <xf numFmtId="164" fontId="22" fillId="9" borderId="2" xfId="1" applyNumberFormat="1" applyFont="1" applyFill="1" applyBorder="1" applyAlignment="1">
      <alignment wrapText="1"/>
    </xf>
    <xf numFmtId="164" fontId="22" fillId="11" borderId="2" xfId="1" applyNumberFormat="1" applyFont="1" applyFill="1" applyBorder="1"/>
    <xf numFmtId="3" fontId="22" fillId="9" borderId="2" xfId="0" applyNumberFormat="1" applyFont="1" applyFill="1" applyBorder="1" applyAlignment="1">
      <alignment horizontal="center"/>
    </xf>
    <xf numFmtId="15" fontId="22" fillId="9" borderId="2" xfId="0" applyNumberFormat="1" applyFont="1" applyFill="1" applyBorder="1"/>
    <xf numFmtId="168" fontId="22" fillId="9" borderId="2" xfId="3" applyNumberFormat="1" applyFont="1" applyFill="1" applyBorder="1"/>
    <xf numFmtId="10" fontId="22" fillId="9" borderId="2" xfId="2" applyNumberFormat="1" applyFont="1" applyFill="1" applyBorder="1"/>
    <xf numFmtId="10" fontId="22" fillId="11" borderId="2" xfId="2" applyNumberFormat="1" applyFont="1" applyFill="1" applyBorder="1"/>
    <xf numFmtId="166" fontId="22" fillId="12" borderId="2" xfId="2" applyNumberFormat="1" applyFont="1" applyFill="1" applyBorder="1"/>
    <xf numFmtId="168" fontId="22" fillId="5" borderId="2" xfId="3" applyNumberFormat="1" applyFont="1" applyFill="1" applyBorder="1"/>
    <xf numFmtId="10" fontId="22" fillId="9" borderId="2" xfId="1" applyNumberFormat="1" applyFont="1" applyFill="1" applyBorder="1"/>
    <xf numFmtId="168" fontId="23" fillId="5" borderId="2" xfId="1" applyNumberFormat="1" applyFont="1" applyFill="1" applyBorder="1"/>
    <xf numFmtId="43" fontId="22" fillId="9" borderId="2" xfId="0" applyNumberFormat="1" applyFont="1" applyFill="1" applyBorder="1" applyAlignment="1">
      <alignment horizontal="left"/>
    </xf>
    <xf numFmtId="10" fontId="22" fillId="9" borderId="2" xfId="0" applyNumberFormat="1" applyFont="1" applyFill="1" applyBorder="1" applyAlignment="1">
      <alignment horizontal="right"/>
    </xf>
    <xf numFmtId="0" fontId="23" fillId="9" borderId="2" xfId="0" applyFont="1" applyFill="1" applyBorder="1" applyAlignment="1">
      <alignment horizontal="center"/>
    </xf>
    <xf numFmtId="164" fontId="23" fillId="9" borderId="2" xfId="1" applyNumberFormat="1" applyFont="1" applyFill="1" applyBorder="1" applyAlignment="1">
      <alignment horizontal="center"/>
    </xf>
    <xf numFmtId="168" fontId="23" fillId="9" borderId="2" xfId="3" applyNumberFormat="1" applyFont="1" applyFill="1" applyBorder="1"/>
    <xf numFmtId="164" fontId="23" fillId="9" borderId="2" xfId="0" applyNumberFormat="1" applyFont="1" applyFill="1" applyBorder="1"/>
    <xf numFmtId="164" fontId="27" fillId="10" borderId="3" xfId="1" applyNumberFormat="1" applyFont="1" applyFill="1" applyBorder="1"/>
    <xf numFmtId="9" fontId="22" fillId="5" borderId="2" xfId="3" applyFont="1" applyFill="1" applyBorder="1"/>
    <xf numFmtId="164" fontId="27" fillId="11" borderId="3" xfId="1" applyNumberFormat="1" applyFont="1" applyFill="1" applyBorder="1"/>
    <xf numFmtId="10" fontId="22" fillId="5" borderId="2" xfId="1" applyNumberFormat="1" applyFont="1" applyFill="1" applyBorder="1"/>
    <xf numFmtId="166" fontId="23" fillId="9" borderId="2" xfId="2" applyNumberFormat="1" applyFont="1" applyFill="1" applyBorder="1"/>
    <xf numFmtId="168" fontId="22" fillId="11" borderId="2" xfId="1" applyNumberFormat="1" applyFont="1" applyFill="1" applyBorder="1" applyAlignment="1">
      <alignment horizontal="center"/>
    </xf>
    <xf numFmtId="164" fontId="22" fillId="14" borderId="2" xfId="0" applyNumberFormat="1" applyFont="1" applyFill="1" applyBorder="1"/>
    <xf numFmtId="164" fontId="22" fillId="10" borderId="2" xfId="0" applyNumberFormat="1" applyFont="1" applyFill="1" applyBorder="1"/>
    <xf numFmtId="164" fontId="22" fillId="12" borderId="2" xfId="0" applyNumberFormat="1" applyFont="1" applyFill="1" applyBorder="1" applyAlignment="1">
      <alignment horizontal="left"/>
    </xf>
    <xf numFmtId="14" fontId="22" fillId="11" borderId="2" xfId="0" applyNumberFormat="1" applyFont="1" applyFill="1" applyBorder="1" applyAlignment="1">
      <alignment horizontal="center"/>
    </xf>
    <xf numFmtId="164" fontId="22" fillId="12" borderId="2" xfId="0" applyNumberFormat="1" applyFont="1" applyFill="1" applyBorder="1"/>
    <xf numFmtId="166" fontId="22" fillId="10" borderId="2" xfId="0" applyNumberFormat="1" applyFont="1" applyFill="1" applyBorder="1"/>
    <xf numFmtId="166" fontId="22" fillId="5" borderId="2" xfId="0" applyNumberFormat="1" applyFont="1" applyFill="1" applyBorder="1"/>
    <xf numFmtId="166" fontId="22" fillId="14" borderId="2" xfId="0" applyNumberFormat="1" applyFont="1" applyFill="1" applyBorder="1"/>
    <xf numFmtId="9" fontId="22" fillId="12" borderId="2" xfId="0" applyNumberFormat="1" applyFont="1" applyFill="1" applyBorder="1" applyAlignment="1">
      <alignment horizontal="right"/>
    </xf>
    <xf numFmtId="164" fontId="22" fillId="11" borderId="2" xfId="1" applyNumberFormat="1" applyFont="1" applyFill="1" applyBorder="1" applyAlignment="1">
      <alignment horizontal="center"/>
    </xf>
    <xf numFmtId="176" fontId="22" fillId="9" borderId="2" xfId="1" applyNumberFormat="1" applyFont="1" applyFill="1" applyBorder="1"/>
    <xf numFmtId="9" fontId="22" fillId="5" borderId="2" xfId="0" applyNumberFormat="1" applyFont="1" applyFill="1" applyBorder="1"/>
    <xf numFmtId="176" fontId="22" fillId="5" borderId="2" xfId="1" applyNumberFormat="1" applyFont="1" applyFill="1" applyBorder="1"/>
    <xf numFmtId="43" fontId="22" fillId="10" borderId="2" xfId="0" applyNumberFormat="1" applyFont="1" applyFill="1" applyBorder="1"/>
    <xf numFmtId="176" fontId="22" fillId="14" borderId="2" xfId="0" applyNumberFormat="1" applyFont="1" applyFill="1" applyBorder="1"/>
    <xf numFmtId="176" fontId="22" fillId="9" borderId="2" xfId="15" applyNumberFormat="1" applyFont="1" applyFill="1" applyBorder="1"/>
    <xf numFmtId="176" fontId="22" fillId="9" borderId="2" xfId="15" applyNumberFormat="1" applyFont="1" applyFill="1" applyBorder="1" applyAlignment="1">
      <alignment horizontal="center"/>
    </xf>
    <xf numFmtId="176" fontId="22" fillId="5" borderId="2" xfId="15" applyNumberFormat="1" applyFont="1" applyFill="1" applyBorder="1" applyAlignment="1">
      <alignment horizontal="center"/>
    </xf>
    <xf numFmtId="176" fontId="22" fillId="5" borderId="2" xfId="15" applyNumberFormat="1" applyFont="1" applyFill="1" applyBorder="1"/>
    <xf numFmtId="176" fontId="22" fillId="10" borderId="2" xfId="15" applyNumberFormat="1" applyFont="1" applyFill="1" applyBorder="1"/>
    <xf numFmtId="176" fontId="22" fillId="14" borderId="2" xfId="15" applyNumberFormat="1" applyFont="1" applyFill="1" applyBorder="1"/>
    <xf numFmtId="176" fontId="27" fillId="5" borderId="3" xfId="15" applyNumberFormat="1" applyFont="1" applyFill="1" applyBorder="1"/>
    <xf numFmtId="176" fontId="27" fillId="14" borderId="3" xfId="15" applyNumberFormat="1" applyFont="1" applyFill="1" applyBorder="1"/>
    <xf numFmtId="4" fontId="23" fillId="12" borderId="2" xfId="0" applyNumberFormat="1" applyFont="1" applyFill="1" applyBorder="1" applyAlignment="1">
      <alignment horizontal="left"/>
    </xf>
    <xf numFmtId="164" fontId="22" fillId="9" borderId="2" xfId="15" applyNumberFormat="1" applyFont="1" applyFill="1" applyBorder="1"/>
    <xf numFmtId="168" fontId="22" fillId="9" borderId="2" xfId="15" applyNumberFormat="1" applyFont="1" applyFill="1" applyBorder="1"/>
    <xf numFmtId="9" fontId="22" fillId="9" borderId="2" xfId="17" applyNumberFormat="1" applyFont="1" applyFill="1" applyBorder="1"/>
    <xf numFmtId="9" fontId="22" fillId="5" borderId="2" xfId="17" applyNumberFormat="1" applyFont="1" applyFill="1" applyBorder="1"/>
    <xf numFmtId="4" fontId="22" fillId="12" borderId="2" xfId="0" applyNumberFormat="1" applyFont="1" applyFill="1" applyBorder="1"/>
    <xf numFmtId="4" fontId="22" fillId="9" borderId="2" xfId="17" applyNumberFormat="1" applyFont="1" applyFill="1" applyBorder="1"/>
    <xf numFmtId="4" fontId="22" fillId="10" borderId="2" xfId="17" applyNumberFormat="1" applyFont="1" applyFill="1" applyBorder="1"/>
    <xf numFmtId="4" fontId="22" fillId="12" borderId="2" xfId="0" applyNumberFormat="1" applyFont="1" applyFill="1" applyBorder="1" applyAlignment="1">
      <alignment horizontal="right"/>
    </xf>
    <xf numFmtId="4" fontId="22" fillId="5" borderId="2" xfId="17" applyNumberFormat="1" applyFont="1" applyFill="1" applyBorder="1"/>
    <xf numFmtId="3" fontId="22" fillId="10" borderId="2" xfId="17" applyNumberFormat="1" applyFont="1" applyFill="1" applyBorder="1"/>
    <xf numFmtId="14" fontId="22" fillId="11" borderId="2" xfId="15" applyNumberFormat="1" applyFont="1" applyFill="1" applyBorder="1" applyAlignment="1">
      <alignment horizontal="center"/>
    </xf>
    <xf numFmtId="4" fontId="22" fillId="9" borderId="2" xfId="0" applyNumberFormat="1" applyFont="1" applyFill="1" applyBorder="1" applyAlignment="1">
      <alignment horizontal="right"/>
    </xf>
    <xf numFmtId="176" fontId="23" fillId="9" borderId="2" xfId="15" applyNumberFormat="1" applyFont="1" applyFill="1" applyBorder="1"/>
    <xf numFmtId="176" fontId="23" fillId="5" borderId="2" xfId="15" applyNumberFormat="1" applyFont="1" applyFill="1" applyBorder="1"/>
    <xf numFmtId="176" fontId="23" fillId="10" borderId="2" xfId="15" applyNumberFormat="1" applyFont="1" applyFill="1" applyBorder="1"/>
    <xf numFmtId="9" fontId="22" fillId="10" borderId="2" xfId="0" applyNumberFormat="1" applyFont="1" applyFill="1" applyBorder="1" applyAlignment="1">
      <alignment horizontal="center"/>
    </xf>
    <xf numFmtId="176" fontId="22" fillId="12" borderId="2" xfId="15" applyNumberFormat="1" applyFont="1" applyFill="1" applyBorder="1"/>
    <xf numFmtId="0" fontId="27" fillId="5" borderId="3" xfId="0" applyFont="1" applyFill="1" applyBorder="1"/>
    <xf numFmtId="176" fontId="27" fillId="9" borderId="3" xfId="0" applyNumberFormat="1" applyFont="1" applyFill="1" applyBorder="1"/>
    <xf numFmtId="176" fontId="27" fillId="9" borderId="3" xfId="15" applyNumberFormat="1" applyFont="1" applyFill="1" applyBorder="1"/>
    <xf numFmtId="176" fontId="22" fillId="10" borderId="2" xfId="0" applyNumberFormat="1" applyFont="1" applyFill="1" applyBorder="1"/>
    <xf numFmtId="11" fontId="22" fillId="9" borderId="2" xfId="1" applyNumberFormat="1" applyFont="1" applyFill="1" applyBorder="1"/>
    <xf numFmtId="0" fontId="22" fillId="10" borderId="2" xfId="0" applyFont="1" applyFill="1" applyBorder="1"/>
    <xf numFmtId="3" fontId="27" fillId="14" borderId="3" xfId="0" applyNumberFormat="1" applyFont="1" applyFill="1" applyBorder="1"/>
    <xf numFmtId="180" fontId="22" fillId="5" borderId="2" xfId="0" applyNumberFormat="1" applyFont="1" applyFill="1" applyBorder="1"/>
    <xf numFmtId="0" fontId="23" fillId="9" borderId="2" xfId="0" applyFont="1" applyFill="1" applyBorder="1" applyAlignment="1">
      <alignment horizontal="right"/>
    </xf>
    <xf numFmtId="3" fontId="22" fillId="9" borderId="2" xfId="17" applyNumberFormat="1" applyFont="1" applyFill="1" applyBorder="1"/>
    <xf numFmtId="0" fontId="0" fillId="0" borderId="2" xfId="0" applyBorder="1"/>
    <xf numFmtId="0" fontId="10" fillId="0" borderId="2" xfId="0" applyFont="1" applyBorder="1"/>
    <xf numFmtId="0" fontId="12" fillId="0" borderId="2" xfId="0" applyFont="1" applyBorder="1"/>
    <xf numFmtId="164" fontId="27" fillId="5" borderId="2" xfId="1" applyNumberFormat="1" applyFont="1" applyFill="1" applyBorder="1" applyAlignment="1">
      <alignment vertical="center"/>
    </xf>
    <xf numFmtId="164" fontId="19" fillId="5" borderId="2" xfId="1" applyNumberFormat="1" applyFont="1" applyFill="1" applyBorder="1"/>
    <xf numFmtId="0" fontId="0" fillId="7" borderId="2" xfId="0" applyFill="1" applyBorder="1"/>
    <xf numFmtId="0" fontId="10" fillId="15" borderId="0" xfId="0" applyFont="1" applyFill="1" applyBorder="1"/>
    <xf numFmtId="0" fontId="10" fillId="0" borderId="2" xfId="0" applyFont="1" applyBorder="1" applyAlignment="1">
      <alignment horizontal="left"/>
    </xf>
    <xf numFmtId="164" fontId="1" fillId="0" borderId="4" xfId="1" applyNumberFormat="1" applyBorder="1"/>
    <xf numFmtId="0" fontId="0" fillId="0" borderId="4" xfId="0" applyBorder="1"/>
    <xf numFmtId="0" fontId="0" fillId="0" borderId="5" xfId="0" applyBorder="1"/>
    <xf numFmtId="0" fontId="0" fillId="0" borderId="6" xfId="0" applyBorder="1"/>
    <xf numFmtId="0" fontId="0" fillId="0" borderId="7" xfId="0" applyBorder="1"/>
    <xf numFmtId="0" fontId="35" fillId="9" borderId="9" xfId="0" applyFont="1" applyFill="1" applyBorder="1"/>
    <xf numFmtId="0" fontId="32" fillId="9" borderId="9" xfId="0" applyFont="1" applyFill="1" applyBorder="1" applyAlignment="1">
      <alignment horizontal="left"/>
    </xf>
    <xf numFmtId="0" fontId="32" fillId="9" borderId="9" xfId="0" applyFont="1" applyFill="1" applyBorder="1"/>
    <xf numFmtId="0" fontId="35" fillId="16" borderId="9" xfId="13" applyFont="1" applyFill="1" applyBorder="1" applyAlignment="1">
      <alignment vertical="center"/>
    </xf>
    <xf numFmtId="0" fontId="35" fillId="16" borderId="9" xfId="13" applyFont="1" applyFill="1" applyBorder="1" applyAlignment="1">
      <alignment horizontal="left" vertical="center"/>
    </xf>
    <xf numFmtId="165" fontId="35" fillId="16" borderId="9" xfId="13" applyNumberFormat="1" applyFont="1" applyFill="1" applyBorder="1" applyAlignment="1">
      <alignment horizontal="right" vertical="center"/>
    </xf>
    <xf numFmtId="165" fontId="35" fillId="16" borderId="9" xfId="13" applyNumberFormat="1" applyFont="1" applyFill="1" applyBorder="1" applyAlignment="1">
      <alignment horizontal="center" vertical="center"/>
    </xf>
    <xf numFmtId="0" fontId="35" fillId="16" borderId="9" xfId="0" applyFont="1" applyFill="1" applyBorder="1"/>
    <xf numFmtId="0" fontId="35" fillId="16" borderId="9" xfId="13" applyFont="1" applyFill="1" applyBorder="1" applyAlignment="1">
      <alignment horizontal="right" vertical="center"/>
    </xf>
    <xf numFmtId="0" fontId="35" fillId="16" borderId="9" xfId="13" applyFont="1" applyFill="1" applyBorder="1" applyAlignment="1">
      <alignment horizontal="center" vertical="center"/>
    </xf>
    <xf numFmtId="168" fontId="36" fillId="12" borderId="9" xfId="3" applyNumberFormat="1" applyFont="1" applyFill="1" applyBorder="1" applyAlignment="1">
      <alignment horizontal="left" vertical="center"/>
    </xf>
    <xf numFmtId="168" fontId="36" fillId="12" borderId="9" xfId="3" applyNumberFormat="1" applyFont="1" applyFill="1" applyBorder="1" applyAlignment="1">
      <alignment vertical="center"/>
    </xf>
    <xf numFmtId="0" fontId="35" fillId="12" borderId="9" xfId="0" applyFont="1" applyFill="1" applyBorder="1"/>
    <xf numFmtId="0" fontId="35" fillId="12" borderId="9" xfId="13" applyFont="1" applyFill="1" applyBorder="1" applyAlignment="1">
      <alignment horizontal="left" vertical="center"/>
    </xf>
    <xf numFmtId="0" fontId="35" fillId="12" borderId="9" xfId="13" applyFont="1" applyFill="1" applyBorder="1" applyAlignment="1">
      <alignment vertical="center"/>
    </xf>
    <xf numFmtId="0" fontId="35" fillId="9" borderId="9" xfId="13" applyFont="1" applyFill="1" applyBorder="1" applyAlignment="1">
      <alignment horizontal="left" vertical="center"/>
    </xf>
    <xf numFmtId="9" fontId="35" fillId="5" borderId="9" xfId="3" applyFont="1" applyFill="1" applyBorder="1"/>
    <xf numFmtId="0" fontId="35" fillId="9" borderId="9" xfId="13" applyFont="1" applyFill="1" applyBorder="1" applyAlignment="1">
      <alignment vertical="center"/>
    </xf>
    <xf numFmtId="0" fontId="35" fillId="9" borderId="9" xfId="13" applyFont="1" applyFill="1" applyBorder="1" applyAlignment="1">
      <alignment horizontal="left" vertical="center" indent="1"/>
    </xf>
    <xf numFmtId="168" fontId="35" fillId="5" borderId="9" xfId="0" applyNumberFormat="1" applyFont="1" applyFill="1" applyBorder="1"/>
    <xf numFmtId="9" fontId="35" fillId="5" borderId="9" xfId="0" applyNumberFormat="1" applyFont="1" applyFill="1" applyBorder="1"/>
    <xf numFmtId="0" fontId="35" fillId="9" borderId="9" xfId="0" applyFont="1" applyFill="1" applyBorder="1" applyAlignment="1">
      <alignment horizontal="left"/>
    </xf>
    <xf numFmtId="168" fontId="36" fillId="9" borderId="9" xfId="3" applyNumberFormat="1" applyFont="1" applyFill="1" applyBorder="1" applyAlignment="1">
      <alignment horizontal="left" vertical="center"/>
    </xf>
    <xf numFmtId="168" fontId="36" fillId="9" borderId="9" xfId="3" applyNumberFormat="1" applyFont="1" applyFill="1" applyBorder="1" applyAlignment="1">
      <alignment horizontal="center" vertical="center"/>
    </xf>
    <xf numFmtId="0" fontId="35" fillId="9" borderId="9" xfId="0" applyFont="1" applyFill="1" applyBorder="1" applyAlignment="1">
      <alignment horizontal="center"/>
    </xf>
    <xf numFmtId="165" fontId="32" fillId="16" borderId="9" xfId="13" applyNumberFormat="1" applyFont="1" applyFill="1" applyBorder="1" applyAlignment="1">
      <alignment horizontal="center" vertical="center"/>
    </xf>
    <xf numFmtId="0" fontId="32" fillId="16" borderId="9" xfId="13" applyFont="1" applyFill="1" applyBorder="1" applyAlignment="1">
      <alignment horizontal="center" vertical="center"/>
    </xf>
    <xf numFmtId="0" fontId="35" fillId="9" borderId="9" xfId="13" applyFont="1" applyFill="1" applyBorder="1" applyAlignment="1">
      <alignment horizontal="center" vertical="center"/>
    </xf>
    <xf numFmtId="0" fontId="35" fillId="9" borderId="9" xfId="13" applyFont="1" applyFill="1" applyBorder="1" applyAlignment="1">
      <alignment horizontal="right" vertical="center"/>
    </xf>
    <xf numFmtId="174" fontId="35" fillId="9" borderId="9" xfId="13" applyNumberFormat="1" applyFont="1" applyFill="1" applyBorder="1" applyAlignment="1">
      <alignment horizontal="right" vertical="center"/>
    </xf>
    <xf numFmtId="0" fontId="35" fillId="12" borderId="9" xfId="13" applyFont="1" applyFill="1" applyBorder="1" applyAlignment="1">
      <alignment horizontal="left" vertical="center" indent="1"/>
    </xf>
    <xf numFmtId="164" fontId="35" fillId="9" borderId="9" xfId="1" applyNumberFormat="1" applyFont="1" applyFill="1" applyBorder="1" applyAlignment="1">
      <alignment vertical="center"/>
    </xf>
    <xf numFmtId="0" fontId="35" fillId="12" borderId="9" xfId="13" applyFont="1" applyFill="1" applyBorder="1" applyAlignment="1">
      <alignment horizontal="right" vertical="center"/>
    </xf>
    <xf numFmtId="164" fontId="35" fillId="11" borderId="10" xfId="1" applyNumberFormat="1" applyFont="1" applyFill="1" applyBorder="1" applyAlignment="1">
      <alignment vertical="center"/>
    </xf>
    <xf numFmtId="3" fontId="35" fillId="9" borderId="9" xfId="0" applyNumberFormat="1" applyFont="1" applyFill="1" applyBorder="1"/>
    <xf numFmtId="164" fontId="35" fillId="14" borderId="10" xfId="1" applyNumberFormat="1" applyFont="1" applyFill="1" applyBorder="1" applyAlignment="1">
      <alignment vertical="center"/>
    </xf>
    <xf numFmtId="164" fontId="35" fillId="9" borderId="10" xfId="1" applyNumberFormat="1" applyFont="1" applyFill="1" applyBorder="1" applyAlignment="1">
      <alignment vertical="center"/>
    </xf>
    <xf numFmtId="0" fontId="35" fillId="12" borderId="9" xfId="0" applyFont="1" applyFill="1" applyBorder="1" applyAlignment="1">
      <alignment horizontal="left"/>
    </xf>
    <xf numFmtId="164" fontId="35" fillId="9" borderId="9" xfId="1" applyNumberFormat="1" applyFont="1" applyFill="1" applyBorder="1" applyAlignment="1">
      <alignment horizontal="center"/>
    </xf>
    <xf numFmtId="44" fontId="35" fillId="9" borderId="9" xfId="2" applyFont="1" applyFill="1" applyBorder="1" applyAlignment="1">
      <alignment horizontal="right" vertical="top" wrapText="1"/>
    </xf>
    <xf numFmtId="0" fontId="35" fillId="5" borderId="9" xfId="0" applyFont="1" applyFill="1" applyBorder="1" applyAlignment="1">
      <alignment horizontal="center"/>
    </xf>
    <xf numFmtId="164" fontId="35" fillId="5" borderId="9" xfId="1" applyNumberFormat="1" applyFont="1" applyFill="1" applyBorder="1" applyAlignment="1">
      <alignment horizontal="center"/>
    </xf>
    <xf numFmtId="11" fontId="35" fillId="5" borderId="9" xfId="0" applyNumberFormat="1" applyFont="1" applyFill="1" applyBorder="1" applyAlignment="1">
      <alignment horizontal="center"/>
    </xf>
    <xf numFmtId="1" fontId="35" fillId="9" borderId="9" xfId="0" applyNumberFormat="1" applyFont="1" applyFill="1" applyBorder="1"/>
    <xf numFmtId="0" fontId="35" fillId="12" borderId="9" xfId="0" applyFont="1" applyFill="1" applyBorder="1" applyAlignment="1">
      <alignment horizontal="right"/>
    </xf>
    <xf numFmtId="0" fontId="35" fillId="9" borderId="9" xfId="13" applyFont="1" applyFill="1" applyBorder="1" applyAlignment="1">
      <alignment horizontal="right" indent="1"/>
    </xf>
    <xf numFmtId="0" fontId="35" fillId="9" borderId="9" xfId="13" applyFont="1" applyFill="1" applyBorder="1" applyAlignment="1">
      <alignment horizontal="left"/>
    </xf>
    <xf numFmtId="0" fontId="35" fillId="9" borderId="9" xfId="13" applyFont="1" applyFill="1" applyBorder="1" applyAlignment="1">
      <alignment horizontal="left" indent="1"/>
    </xf>
    <xf numFmtId="4" fontId="35" fillId="9" borderId="9" xfId="0" applyNumberFormat="1" applyFont="1" applyFill="1" applyBorder="1"/>
    <xf numFmtId="0" fontId="35" fillId="12" borderId="9" xfId="13" applyFont="1" applyFill="1" applyBorder="1" applyAlignment="1">
      <alignment horizontal="left" indent="1"/>
    </xf>
    <xf numFmtId="0" fontId="35" fillId="12" borderId="9" xfId="13" applyFont="1" applyFill="1" applyBorder="1" applyAlignment="1">
      <alignment horizontal="left"/>
    </xf>
    <xf numFmtId="164" fontId="35" fillId="5" borderId="9" xfId="1" applyNumberFormat="1" applyFont="1" applyFill="1" applyBorder="1" applyAlignment="1">
      <alignment vertical="center"/>
    </xf>
    <xf numFmtId="0" fontId="35" fillId="12" borderId="9" xfId="0" applyFont="1" applyFill="1" applyBorder="1" applyAlignment="1">
      <alignment horizontal="left" indent="1"/>
    </xf>
    <xf numFmtId="164" fontId="35" fillId="5" borderId="9" xfId="0" applyNumberFormat="1" applyFont="1" applyFill="1" applyBorder="1"/>
    <xf numFmtId="164" fontId="35" fillId="9" borderId="9" xfId="0" applyNumberFormat="1" applyFont="1" applyFill="1" applyBorder="1"/>
    <xf numFmtId="43" fontId="35" fillId="12" borderId="9" xfId="1" applyFont="1" applyFill="1" applyBorder="1"/>
    <xf numFmtId="43" fontId="35" fillId="12" borderId="9" xfId="1" applyFont="1" applyFill="1" applyBorder="1" applyAlignment="1">
      <alignment horizontal="left"/>
    </xf>
    <xf numFmtId="43" fontId="35" fillId="9" borderId="9" xfId="1" applyFont="1" applyFill="1" applyBorder="1" applyAlignment="1">
      <alignment horizontal="left"/>
    </xf>
    <xf numFmtId="43" fontId="35" fillId="9" borderId="9" xfId="1" applyFont="1" applyFill="1" applyBorder="1"/>
    <xf numFmtId="43" fontId="35" fillId="5" borderId="9" xfId="1" applyFont="1" applyFill="1" applyBorder="1"/>
    <xf numFmtId="3" fontId="32" fillId="9" borderId="9" xfId="0" applyNumberFormat="1" applyFont="1" applyFill="1" applyBorder="1"/>
    <xf numFmtId="164" fontId="35" fillId="11" borderId="9" xfId="1" applyNumberFormat="1" applyFont="1" applyFill="1" applyBorder="1" applyAlignment="1">
      <alignment vertical="center"/>
    </xf>
    <xf numFmtId="164" fontId="35" fillId="9" borderId="9" xfId="1" applyNumberFormat="1" applyFont="1" applyFill="1" applyBorder="1"/>
    <xf numFmtId="164" fontId="35" fillId="11" borderId="9" xfId="1" applyNumberFormat="1" applyFont="1" applyFill="1" applyBorder="1" applyAlignment="1">
      <alignment horizontal="right" vertical="center"/>
    </xf>
    <xf numFmtId="164" fontId="35" fillId="14" borderId="9" xfId="1" applyNumberFormat="1" applyFont="1" applyFill="1" applyBorder="1" applyAlignment="1">
      <alignment horizontal="right" vertical="center"/>
    </xf>
    <xf numFmtId="164" fontId="35" fillId="9" borderId="9" xfId="1" applyNumberFormat="1" applyFont="1" applyFill="1" applyBorder="1" applyAlignment="1">
      <alignment horizontal="right" vertical="center"/>
    </xf>
    <xf numFmtId="4" fontId="35" fillId="9" borderId="9" xfId="1" applyNumberFormat="1" applyFont="1" applyFill="1" applyBorder="1" applyAlignment="1">
      <alignment horizontal="center"/>
    </xf>
    <xf numFmtId="9" fontId="35" fillId="9" borderId="9" xfId="3" applyFont="1" applyFill="1" applyBorder="1" applyAlignment="1">
      <alignment horizontal="center"/>
    </xf>
    <xf numFmtId="0" fontId="37" fillId="12" borderId="9" xfId="0" applyFont="1" applyFill="1" applyBorder="1"/>
    <xf numFmtId="0" fontId="37" fillId="12" borderId="9" xfId="0" applyFont="1" applyFill="1" applyBorder="1" applyAlignment="1">
      <alignment horizontal="left"/>
    </xf>
    <xf numFmtId="0" fontId="37" fillId="9" borderId="9" xfId="0" applyFont="1" applyFill="1" applyBorder="1" applyAlignment="1">
      <alignment horizontal="left"/>
    </xf>
    <xf numFmtId="164" fontId="32" fillId="9" borderId="9" xfId="1" applyNumberFormat="1" applyFont="1" applyFill="1" applyBorder="1" applyAlignment="1">
      <alignment vertical="center"/>
    </xf>
    <xf numFmtId="9" fontId="37" fillId="9" borderId="9" xfId="3" applyFont="1" applyFill="1" applyBorder="1"/>
    <xf numFmtId="9" fontId="37" fillId="9" borderId="9" xfId="3" applyFont="1" applyFill="1" applyBorder="1" applyAlignment="1">
      <alignment horizontal="center"/>
    </xf>
    <xf numFmtId="9" fontId="37" fillId="9" borderId="9" xfId="0" applyNumberFormat="1" applyFont="1" applyFill="1" applyBorder="1" applyAlignment="1">
      <alignment horizontal="center"/>
    </xf>
    <xf numFmtId="9" fontId="37" fillId="9" borderId="9" xfId="0" applyNumberFormat="1" applyFont="1" applyFill="1" applyBorder="1"/>
    <xf numFmtId="0" fontId="37" fillId="9" borderId="9" xfId="0" applyFont="1" applyFill="1" applyBorder="1"/>
    <xf numFmtId="10" fontId="37" fillId="9" borderId="9" xfId="1" applyNumberFormat="1" applyFont="1" applyFill="1" applyBorder="1"/>
    <xf numFmtId="4" fontId="37" fillId="9" borderId="9" xfId="3" applyNumberFormat="1" applyFont="1" applyFill="1" applyBorder="1"/>
    <xf numFmtId="164" fontId="35" fillId="12" borderId="9" xfId="1" applyNumberFormat="1" applyFont="1" applyFill="1" applyBorder="1" applyAlignment="1">
      <alignment horizontal="right"/>
    </xf>
    <xf numFmtId="164" fontId="35" fillId="12" borderId="9" xfId="1" applyNumberFormat="1" applyFont="1" applyFill="1" applyBorder="1"/>
    <xf numFmtId="164" fontId="35" fillId="5" borderId="9" xfId="1" applyNumberFormat="1" applyFont="1" applyFill="1" applyBorder="1"/>
    <xf numFmtId="0" fontId="37" fillId="9" borderId="9" xfId="0" applyFont="1" applyFill="1" applyBorder="1" applyAlignment="1">
      <alignment horizontal="right"/>
    </xf>
    <xf numFmtId="164" fontId="37" fillId="9" borderId="9" xfId="3" applyNumberFormat="1" applyFont="1" applyFill="1" applyBorder="1"/>
    <xf numFmtId="3" fontId="37" fillId="9" borderId="9" xfId="3" applyNumberFormat="1" applyFont="1" applyFill="1" applyBorder="1"/>
    <xf numFmtId="0" fontId="37" fillId="12" borderId="9" xfId="0" applyFont="1" applyFill="1" applyBorder="1" applyAlignment="1">
      <alignment horizontal="right"/>
    </xf>
    <xf numFmtId="164" fontId="37" fillId="11" borderId="9" xfId="1" applyNumberFormat="1" applyFont="1" applyFill="1" applyBorder="1"/>
    <xf numFmtId="164" fontId="37" fillId="14" borderId="9" xfId="1" applyNumberFormat="1" applyFont="1" applyFill="1" applyBorder="1"/>
    <xf numFmtId="164" fontId="37" fillId="9" borderId="9" xfId="1" applyNumberFormat="1" applyFont="1" applyFill="1" applyBorder="1"/>
    <xf numFmtId="164" fontId="37" fillId="5" borderId="9" xfId="1" applyNumberFormat="1" applyFont="1" applyFill="1" applyBorder="1"/>
    <xf numFmtId="164" fontId="37" fillId="11" borderId="10" xfId="3" applyNumberFormat="1" applyFont="1" applyFill="1" applyBorder="1"/>
    <xf numFmtId="164" fontId="37" fillId="14" borderId="10" xfId="3" applyNumberFormat="1" applyFont="1" applyFill="1" applyBorder="1"/>
    <xf numFmtId="164" fontId="37" fillId="9" borderId="10" xfId="3" applyNumberFormat="1" applyFont="1" applyFill="1" applyBorder="1"/>
    <xf numFmtId="9" fontId="35" fillId="9" borderId="9" xfId="3" applyFont="1" applyFill="1" applyBorder="1"/>
    <xf numFmtId="9" fontId="35" fillId="9" borderId="9" xfId="0" applyNumberFormat="1" applyFont="1" applyFill="1" applyBorder="1" applyAlignment="1">
      <alignment horizontal="center"/>
    </xf>
    <xf numFmtId="9" fontId="35" fillId="9" borderId="9" xfId="0" applyNumberFormat="1" applyFont="1" applyFill="1" applyBorder="1"/>
    <xf numFmtId="164" fontId="35" fillId="9" borderId="10" xfId="1" applyNumberFormat="1" applyFont="1" applyFill="1" applyBorder="1"/>
    <xf numFmtId="164" fontId="35" fillId="14" borderId="10" xfId="1" applyNumberFormat="1" applyFont="1" applyFill="1" applyBorder="1"/>
    <xf numFmtId="0" fontId="35" fillId="9" borderId="9" xfId="0" applyFont="1" applyFill="1" applyBorder="1" applyAlignment="1">
      <alignment horizontal="right"/>
    </xf>
    <xf numFmtId="164" fontId="35" fillId="9" borderId="10" xfId="0" applyNumberFormat="1" applyFont="1" applyFill="1" applyBorder="1"/>
    <xf numFmtId="164" fontId="35" fillId="14" borderId="10" xfId="0" applyNumberFormat="1" applyFont="1" applyFill="1" applyBorder="1"/>
    <xf numFmtId="164" fontId="35" fillId="9" borderId="9" xfId="1" applyNumberFormat="1" applyFont="1" applyFill="1" applyBorder="1" applyAlignment="1">
      <alignment horizontal="left"/>
    </xf>
    <xf numFmtId="0" fontId="34" fillId="9" borderId="9" xfId="0" applyFont="1" applyFill="1" applyBorder="1" applyAlignment="1">
      <alignment horizontal="center"/>
    </xf>
    <xf numFmtId="0" fontId="32" fillId="12" borderId="9" xfId="0" applyFont="1" applyFill="1" applyBorder="1"/>
    <xf numFmtId="164" fontId="35" fillId="11" borderId="9" xfId="1" applyNumberFormat="1" applyFont="1" applyFill="1" applyBorder="1"/>
    <xf numFmtId="0" fontId="32" fillId="12" borderId="9" xfId="0" applyFont="1" applyFill="1" applyBorder="1" applyAlignment="1">
      <alignment horizontal="left"/>
    </xf>
    <xf numFmtId="164" fontId="32" fillId="9" borderId="10" xfId="0" applyNumberFormat="1" applyFont="1" applyFill="1" applyBorder="1"/>
    <xf numFmtId="164" fontId="32" fillId="14" borderId="10" xfId="0" applyNumberFormat="1" applyFont="1" applyFill="1" applyBorder="1"/>
    <xf numFmtId="164" fontId="35" fillId="12" borderId="9" xfId="1" applyNumberFormat="1" applyFont="1" applyFill="1" applyBorder="1" applyAlignment="1">
      <alignment horizontal="left" indent="2"/>
    </xf>
    <xf numFmtId="0" fontId="35" fillId="5" borderId="9" xfId="0" applyFont="1" applyFill="1" applyBorder="1"/>
    <xf numFmtId="0" fontId="32" fillId="9" borderId="9" xfId="13" applyFont="1" applyFill="1" applyBorder="1" applyAlignment="1">
      <alignment vertical="center"/>
    </xf>
    <xf numFmtId="168" fontId="33" fillId="9" borderId="9" xfId="3" applyNumberFormat="1" applyFont="1" applyFill="1" applyBorder="1" applyAlignment="1">
      <alignment horizontal="center" vertical="center"/>
    </xf>
    <xf numFmtId="0" fontId="32" fillId="16" borderId="9" xfId="13" applyFont="1" applyFill="1" applyBorder="1" applyAlignment="1">
      <alignment vertical="center"/>
    </xf>
    <xf numFmtId="174" fontId="32" fillId="16" borderId="9" xfId="13" applyNumberFormat="1" applyFont="1" applyFill="1" applyBorder="1" applyAlignment="1">
      <alignment horizontal="center" vertical="center"/>
    </xf>
    <xf numFmtId="174" fontId="32" fillId="16" borderId="9" xfId="13" applyNumberFormat="1" applyFont="1" applyFill="1" applyBorder="1" applyAlignment="1">
      <alignment horizontal="right" vertical="center"/>
    </xf>
    <xf numFmtId="0" fontId="32" fillId="9" borderId="9" xfId="13" applyFont="1" applyFill="1" applyBorder="1" applyAlignment="1">
      <alignment horizontal="center" vertical="center"/>
    </xf>
    <xf numFmtId="174" fontId="32" fillId="9" borderId="9" xfId="13" applyNumberFormat="1" applyFont="1" applyFill="1" applyBorder="1" applyAlignment="1">
      <alignment horizontal="center" vertical="center"/>
    </xf>
    <xf numFmtId="174" fontId="32" fillId="9" borderId="9" xfId="13" applyNumberFormat="1" applyFont="1" applyFill="1" applyBorder="1" applyAlignment="1">
      <alignment horizontal="right" vertical="center"/>
    </xf>
    <xf numFmtId="0" fontId="32" fillId="12" borderId="9" xfId="13" applyFont="1" applyFill="1" applyBorder="1" applyAlignment="1">
      <alignment vertical="center"/>
    </xf>
    <xf numFmtId="164" fontId="32" fillId="9" borderId="9" xfId="13" applyNumberFormat="1" applyFont="1" applyFill="1" applyBorder="1" applyAlignment="1">
      <alignment vertical="center"/>
    </xf>
    <xf numFmtId="164" fontId="32" fillId="11" borderId="9" xfId="1" applyNumberFormat="1" applyFont="1" applyFill="1" applyBorder="1" applyAlignment="1">
      <alignment vertical="center"/>
    </xf>
    <xf numFmtId="164" fontId="32" fillId="5" borderId="9" xfId="1" applyNumberFormat="1" applyFont="1" applyFill="1" applyBorder="1" applyAlignment="1">
      <alignment vertical="center"/>
    </xf>
    <xf numFmtId="164" fontId="32" fillId="12" borderId="9" xfId="1" applyNumberFormat="1" applyFont="1" applyFill="1" applyBorder="1" applyAlignment="1">
      <alignment vertical="center"/>
    </xf>
    <xf numFmtId="168" fontId="35" fillId="9" borderId="9" xfId="0" applyNumberFormat="1" applyFont="1" applyFill="1" applyBorder="1" applyAlignment="1">
      <alignment horizontal="center"/>
    </xf>
    <xf numFmtId="9" fontId="32" fillId="9" borderId="9" xfId="0" applyNumberFormat="1" applyFont="1" applyFill="1" applyBorder="1"/>
    <xf numFmtId="10" fontId="32" fillId="9" borderId="9" xfId="0" applyNumberFormat="1" applyFont="1" applyFill="1" applyBorder="1"/>
    <xf numFmtId="43" fontId="32" fillId="9" borderId="9" xfId="1" applyFont="1" applyFill="1" applyBorder="1" applyAlignment="1">
      <alignment vertical="center"/>
    </xf>
    <xf numFmtId="168" fontId="32" fillId="9" borderId="9" xfId="0" applyNumberFormat="1" applyFont="1" applyFill="1" applyBorder="1"/>
    <xf numFmtId="0" fontId="32" fillId="12" borderId="9" xfId="13" applyFont="1" applyFill="1" applyBorder="1" applyAlignment="1">
      <alignment horizontal="right" vertical="center"/>
    </xf>
    <xf numFmtId="4" fontId="34" fillId="9" borderId="9" xfId="0" applyNumberFormat="1" applyFont="1" applyFill="1" applyBorder="1" applyAlignment="1">
      <alignment horizontal="center"/>
    </xf>
    <xf numFmtId="0" fontId="32" fillId="5" borderId="9" xfId="0" applyFont="1" applyFill="1" applyBorder="1"/>
    <xf numFmtId="164" fontId="32" fillId="5" borderId="9" xfId="1" applyNumberFormat="1" applyFont="1" applyFill="1" applyBorder="1"/>
    <xf numFmtId="164" fontId="32" fillId="9" borderId="9" xfId="1" applyNumberFormat="1" applyFont="1" applyFill="1" applyBorder="1"/>
    <xf numFmtId="10" fontId="34" fillId="9" borderId="9" xfId="0" applyNumberFormat="1" applyFont="1" applyFill="1" applyBorder="1" applyAlignment="1">
      <alignment horizontal="center"/>
    </xf>
    <xf numFmtId="9" fontId="32" fillId="9" borderId="9" xfId="1" applyNumberFormat="1" applyFont="1" applyFill="1" applyBorder="1" applyAlignment="1">
      <alignment vertical="center"/>
    </xf>
    <xf numFmtId="0" fontId="35" fillId="9" borderId="9" xfId="0" applyFont="1" applyFill="1" applyBorder="1" applyAlignment="1">
      <alignment horizontal="centerContinuous"/>
    </xf>
    <xf numFmtId="164" fontId="32" fillId="9" borderId="9" xfId="0" applyNumberFormat="1" applyFont="1" applyFill="1" applyBorder="1"/>
    <xf numFmtId="43" fontId="32" fillId="9" borderId="9" xfId="0" applyNumberFormat="1" applyFont="1" applyFill="1" applyBorder="1"/>
    <xf numFmtId="164" fontId="32" fillId="9" borderId="10" xfId="1" applyNumberFormat="1" applyFont="1" applyFill="1" applyBorder="1" applyAlignment="1">
      <alignment vertical="center"/>
    </xf>
    <xf numFmtId="164" fontId="32" fillId="14" borderId="10" xfId="1" applyNumberFormat="1" applyFont="1" applyFill="1" applyBorder="1" applyAlignment="1">
      <alignment vertical="center"/>
    </xf>
    <xf numFmtId="0" fontId="32" fillId="9" borderId="9" xfId="13" applyFont="1" applyFill="1" applyBorder="1" applyAlignment="1">
      <alignment horizontal="right" vertical="center"/>
    </xf>
    <xf numFmtId="164" fontId="32" fillId="14" borderId="9" xfId="1" applyNumberFormat="1" applyFont="1" applyFill="1" applyBorder="1" applyAlignment="1">
      <alignment vertical="center"/>
    </xf>
    <xf numFmtId="168" fontId="32" fillId="9" borderId="9" xfId="1" applyNumberFormat="1" applyFont="1" applyFill="1" applyBorder="1" applyAlignment="1">
      <alignment vertical="center"/>
    </xf>
    <xf numFmtId="164" fontId="35" fillId="14" borderId="9" xfId="1" applyNumberFormat="1" applyFont="1" applyFill="1" applyBorder="1"/>
    <xf numFmtId="0" fontId="32" fillId="12" borderId="9" xfId="13" applyFont="1" applyFill="1" applyBorder="1" applyAlignment="1">
      <alignment horizontal="left" vertical="center" indent="1"/>
    </xf>
    <xf numFmtId="0" fontId="32" fillId="12" borderId="9" xfId="13" applyFont="1" applyFill="1" applyBorder="1" applyAlignment="1">
      <alignment horizontal="left" vertical="center"/>
    </xf>
    <xf numFmtId="4" fontId="35" fillId="9" borderId="9" xfId="1" applyNumberFormat="1" applyFont="1" applyFill="1" applyBorder="1" applyAlignment="1">
      <alignment horizontal="centerContinuous"/>
    </xf>
    <xf numFmtId="4" fontId="35" fillId="9" borderId="9" xfId="1" applyNumberFormat="1" applyFont="1" applyFill="1" applyBorder="1"/>
    <xf numFmtId="10" fontId="35" fillId="9" borderId="9" xfId="0" applyNumberFormat="1" applyFont="1" applyFill="1" applyBorder="1"/>
    <xf numFmtId="168" fontId="35" fillId="9" borderId="9" xfId="0" applyNumberFormat="1" applyFont="1" applyFill="1" applyBorder="1"/>
    <xf numFmtId="0" fontId="35" fillId="16" borderId="9" xfId="0" applyFont="1" applyFill="1" applyBorder="1" applyAlignment="1">
      <alignment horizontal="center"/>
    </xf>
    <xf numFmtId="4" fontId="35" fillId="16" borderId="9" xfId="0" applyNumberFormat="1" applyFont="1" applyFill="1" applyBorder="1"/>
    <xf numFmtId="174" fontId="35" fillId="16" borderId="9" xfId="13" applyNumberFormat="1" applyFont="1" applyFill="1" applyBorder="1" applyAlignment="1">
      <alignment horizontal="center" vertical="center"/>
    </xf>
    <xf numFmtId="174" fontId="35" fillId="16" borderId="9" xfId="13" applyNumberFormat="1" applyFont="1" applyFill="1" applyBorder="1" applyAlignment="1">
      <alignment horizontal="right" vertical="center"/>
    </xf>
    <xf numFmtId="174" fontId="35" fillId="9" borderId="9" xfId="13" applyNumberFormat="1" applyFont="1" applyFill="1" applyBorder="1" applyAlignment="1">
      <alignment horizontal="center" vertical="center"/>
    </xf>
    <xf numFmtId="4" fontId="35" fillId="12" borderId="9" xfId="0" applyNumberFormat="1" applyFont="1" applyFill="1" applyBorder="1"/>
    <xf numFmtId="0" fontId="35" fillId="12" borderId="9" xfId="0" applyFont="1" applyFill="1" applyBorder="1" applyAlignment="1">
      <alignment vertical="top" wrapText="1"/>
    </xf>
    <xf numFmtId="3" fontId="35" fillId="5" borderId="9" xfId="0" applyNumberFormat="1" applyFont="1" applyFill="1" applyBorder="1"/>
    <xf numFmtId="44" fontId="35" fillId="5" borderId="9" xfId="2" applyFont="1" applyFill="1" applyBorder="1" applyAlignment="1">
      <alignment horizontal="right" vertical="top" wrapText="1"/>
    </xf>
    <xf numFmtId="164" fontId="35" fillId="5" borderId="9" xfId="1" applyNumberFormat="1" applyFont="1" applyFill="1" applyBorder="1" applyAlignment="1">
      <alignment horizontal="right" vertical="top" wrapText="1"/>
    </xf>
    <xf numFmtId="0" fontId="34" fillId="16" borderId="9" xfId="0" applyFont="1" applyFill="1" applyBorder="1" applyAlignment="1">
      <alignment horizontal="center"/>
    </xf>
    <xf numFmtId="168" fontId="32" fillId="12" borderId="9" xfId="0" applyNumberFormat="1" applyFont="1" applyFill="1" applyBorder="1"/>
    <xf numFmtId="166" fontId="35" fillId="5" borderId="9" xfId="2" applyNumberFormat="1" applyFont="1" applyFill="1" applyBorder="1" applyAlignment="1">
      <alignment horizontal="right" vertical="top" wrapText="1"/>
    </xf>
    <xf numFmtId="0" fontId="32" fillId="12" borderId="9" xfId="0" applyFont="1" applyFill="1" applyBorder="1" applyAlignment="1">
      <alignment horizontal="right"/>
    </xf>
    <xf numFmtId="0" fontId="32" fillId="9" borderId="9" xfId="0" applyFont="1" applyFill="1" applyBorder="1" applyAlignment="1">
      <alignment horizontal="right"/>
    </xf>
    <xf numFmtId="3" fontId="35" fillId="5" borderId="9" xfId="1" applyNumberFormat="1" applyFont="1" applyFill="1" applyBorder="1"/>
    <xf numFmtId="3" fontId="32" fillId="14" borderId="9" xfId="0" applyNumberFormat="1" applyFont="1" applyFill="1" applyBorder="1"/>
    <xf numFmtId="0" fontId="32" fillId="9" borderId="9" xfId="0" applyFont="1" applyFill="1" applyBorder="1" applyAlignment="1">
      <alignment horizontal="centerContinuous"/>
    </xf>
    <xf numFmtId="3" fontId="35" fillId="9" borderId="9" xfId="1" applyNumberFormat="1" applyFont="1" applyFill="1" applyBorder="1"/>
    <xf numFmtId="0" fontId="32" fillId="9" borderId="9" xfId="13" applyFont="1" applyFill="1" applyBorder="1" applyAlignment="1">
      <alignment horizontal="left" vertical="center" indent="1"/>
    </xf>
    <xf numFmtId="3" fontId="35" fillId="9" borderId="9" xfId="0" applyNumberFormat="1" applyFont="1" applyFill="1" applyBorder="1" applyAlignment="1">
      <alignment horizontal="center"/>
    </xf>
    <xf numFmtId="164" fontId="35" fillId="9" borderId="9" xfId="0" applyNumberFormat="1" applyFont="1" applyFill="1" applyBorder="1" applyAlignment="1">
      <alignment horizontal="center"/>
    </xf>
    <xf numFmtId="166" fontId="35" fillId="9" borderId="9" xfId="2" applyNumberFormat="1" applyFont="1" applyFill="1" applyBorder="1" applyAlignment="1">
      <alignment horizontal="right" vertical="top" wrapText="1"/>
    </xf>
    <xf numFmtId="0" fontId="32" fillId="9" borderId="9" xfId="13" applyFont="1" applyFill="1" applyBorder="1" applyAlignment="1">
      <alignment horizontal="right" vertical="center" indent="1"/>
    </xf>
    <xf numFmtId="168" fontId="36" fillId="16" borderId="9" xfId="3" applyNumberFormat="1" applyFont="1" applyFill="1" applyBorder="1" applyAlignment="1">
      <alignment horizontal="left" vertical="center"/>
    </xf>
    <xf numFmtId="168" fontId="36" fillId="16" borderId="9" xfId="3" applyNumberFormat="1" applyFont="1" applyFill="1" applyBorder="1" applyAlignment="1">
      <alignment vertical="center"/>
    </xf>
    <xf numFmtId="0" fontId="32" fillId="16" borderId="9" xfId="0" applyFont="1" applyFill="1" applyBorder="1" applyAlignment="1">
      <alignment horizontal="left"/>
    </xf>
    <xf numFmtId="0" fontId="32" fillId="16" borderId="9" xfId="0" applyFont="1" applyFill="1" applyBorder="1"/>
    <xf numFmtId="4" fontId="35" fillId="16" borderId="9" xfId="0" applyNumberFormat="1" applyFont="1" applyFill="1" applyBorder="1" applyAlignment="1">
      <alignment horizontal="centerContinuous"/>
    </xf>
    <xf numFmtId="0" fontId="35" fillId="16" borderId="9" xfId="0" applyFont="1" applyFill="1" applyBorder="1" applyAlignment="1">
      <alignment horizontal="centerContinuous"/>
    </xf>
    <xf numFmtId="4" fontId="35" fillId="16" borderId="9" xfId="1" applyNumberFormat="1" applyFont="1" applyFill="1" applyBorder="1" applyAlignment="1">
      <alignment horizontal="center"/>
    </xf>
    <xf numFmtId="9" fontId="35" fillId="16" borderId="9" xfId="3" applyFont="1" applyFill="1" applyBorder="1" applyAlignment="1">
      <alignment horizontal="center"/>
    </xf>
    <xf numFmtId="9" fontId="35" fillId="5" borderId="9" xfId="1" applyNumberFormat="1" applyFont="1" applyFill="1" applyBorder="1" applyAlignment="1">
      <alignment horizontal="center"/>
    </xf>
    <xf numFmtId="9" fontId="35" fillId="5" borderId="9" xfId="0" applyNumberFormat="1" applyFont="1" applyFill="1" applyBorder="1" applyAlignment="1">
      <alignment horizontal="center"/>
    </xf>
    <xf numFmtId="4" fontId="35" fillId="12" borderId="9" xfId="1" applyNumberFormat="1" applyFont="1" applyFill="1" applyBorder="1" applyAlignment="1">
      <alignment horizontal="center"/>
    </xf>
    <xf numFmtId="9" fontId="35" fillId="12" borderId="9" xfId="3" applyFont="1" applyFill="1" applyBorder="1" applyAlignment="1">
      <alignment horizontal="center"/>
    </xf>
    <xf numFmtId="0" fontId="13" fillId="9" borderId="2" xfId="0" applyFont="1" applyFill="1" applyBorder="1" applyAlignment="1">
      <alignment horizontal="left"/>
    </xf>
    <xf numFmtId="0" fontId="35" fillId="9" borderId="9" xfId="0" applyFont="1" applyFill="1" applyBorder="1" applyAlignment="1">
      <alignment horizontal="center"/>
    </xf>
    <xf numFmtId="0" fontId="35" fillId="9" borderId="9" xfId="0" applyFont="1" applyFill="1" applyBorder="1"/>
    <xf numFmtId="168" fontId="28" fillId="9" borderId="9" xfId="3" applyNumberFormat="1" applyFont="1" applyFill="1" applyBorder="1" applyAlignment="1">
      <alignment horizontal="left" vertical="center"/>
    </xf>
    <xf numFmtId="43" fontId="1" fillId="0" borderId="9" xfId="1" applyBorder="1"/>
    <xf numFmtId="0" fontId="19" fillId="9" borderId="9" xfId="13" applyFont="1" applyFill="1" applyBorder="1" applyAlignment="1">
      <alignment horizontal="left" vertical="center" indent="1"/>
    </xf>
    <xf numFmtId="0" fontId="19" fillId="12" borderId="9" xfId="13" applyFont="1" applyFill="1" applyBorder="1" applyAlignment="1">
      <alignment horizontal="left" indent="1"/>
    </xf>
    <xf numFmtId="0" fontId="19" fillId="9" borderId="9" xfId="13" applyFont="1" applyFill="1" applyBorder="1" applyAlignment="1">
      <alignment horizontal="left" vertical="center"/>
    </xf>
    <xf numFmtId="0" fontId="0" fillId="0" borderId="9" xfId="0" applyBorder="1"/>
    <xf numFmtId="0" fontId="19" fillId="16" borderId="9" xfId="13" applyFont="1" applyFill="1" applyBorder="1" applyAlignment="1">
      <alignment horizontal="center" vertical="center"/>
    </xf>
    <xf numFmtId="164" fontId="1" fillId="17" borderId="9" xfId="1" applyNumberFormat="1" applyFill="1" applyBorder="1"/>
    <xf numFmtId="164" fontId="35" fillId="7" borderId="9" xfId="1" applyNumberFormat="1" applyFont="1" applyFill="1" applyBorder="1" applyAlignment="1">
      <alignment vertical="center"/>
    </xf>
    <xf numFmtId="164" fontId="19" fillId="17" borderId="2" xfId="1" applyNumberFormat="1" applyFont="1" applyFill="1" applyBorder="1"/>
    <xf numFmtId="164" fontId="22" fillId="17" borderId="2" xfId="1" applyNumberFormat="1" applyFont="1" applyFill="1" applyBorder="1"/>
    <xf numFmtId="0" fontId="22" fillId="17" borderId="2" xfId="0" applyFont="1" applyFill="1" applyBorder="1" applyAlignment="1">
      <alignment horizontal="center"/>
    </xf>
    <xf numFmtId="164" fontId="22" fillId="17" borderId="2" xfId="0" applyNumberFormat="1" applyFont="1" applyFill="1" applyBorder="1"/>
    <xf numFmtId="0" fontId="19" fillId="12" borderId="9" xfId="13" applyFont="1" applyFill="1" applyBorder="1" applyAlignment="1">
      <alignment horizontal="left"/>
    </xf>
    <xf numFmtId="0" fontId="19" fillId="12" borderId="9" xfId="0" applyFont="1" applyFill="1" applyBorder="1"/>
    <xf numFmtId="4" fontId="39" fillId="18" borderId="11" xfId="0" applyNumberFormat="1" applyFont="1" applyFill="1" applyBorder="1"/>
    <xf numFmtId="4" fontId="39" fillId="18" borderId="12" xfId="0" applyNumberFormat="1" applyFont="1" applyFill="1" applyBorder="1" applyAlignment="1">
      <alignment horizontal="centerContinuous"/>
    </xf>
    <xf numFmtId="4" fontId="38" fillId="18" borderId="12" xfId="1" applyNumberFormat="1" applyFont="1" applyFill="1" applyBorder="1" applyAlignment="1">
      <alignment horizontal="centerContinuous" vertical="center"/>
    </xf>
    <xf numFmtId="4" fontId="38" fillId="18" borderId="12" xfId="1" applyNumberFormat="1" applyFont="1" applyFill="1" applyBorder="1" applyAlignment="1">
      <alignment horizontal="centerContinuous" vertical="center" wrapText="1"/>
    </xf>
    <xf numFmtId="4" fontId="38" fillId="18" borderId="12" xfId="0" applyNumberFormat="1" applyFont="1" applyFill="1" applyBorder="1" applyAlignment="1">
      <alignment horizontal="centerContinuous" vertical="center"/>
    </xf>
    <xf numFmtId="0" fontId="0" fillId="0" borderId="8" xfId="0"/>
    <xf numFmtId="4" fontId="40" fillId="0" borderId="13" xfId="0" applyNumberFormat="1" applyFont="1" applyBorder="1"/>
    <xf numFmtId="0" fontId="40" fillId="0" borderId="12" xfId="0" applyFont="1" applyBorder="1" applyAlignment="1">
      <alignment horizontal="centerContinuous"/>
    </xf>
    <xf numFmtId="4" fontId="9" fillId="0" borderId="12" xfId="1" applyNumberFormat="1" applyFont="1" applyBorder="1" applyAlignment="1">
      <alignment horizontal="centerContinuous" vertical="center"/>
    </xf>
    <xf numFmtId="4" fontId="9" fillId="0" borderId="12" xfId="1" applyNumberFormat="1" applyFont="1" applyBorder="1" applyAlignment="1">
      <alignment vertical="center" wrapText="1"/>
    </xf>
    <xf numFmtId="0" fontId="9" fillId="0" borderId="12" xfId="0" applyFont="1" applyBorder="1" applyAlignment="1">
      <alignment horizontal="centerContinuous" vertical="center"/>
    </xf>
    <xf numFmtId="4" fontId="9" fillId="0" borderId="12" xfId="0" applyNumberFormat="1" applyFont="1" applyBorder="1" applyAlignment="1">
      <alignment horizontal="centerContinuous" vertical="center"/>
    </xf>
    <xf numFmtId="4" fontId="9" fillId="0" borderId="14" xfId="1" applyNumberFormat="1" applyFont="1" applyBorder="1" applyAlignment="1">
      <alignment vertical="center" wrapText="1"/>
    </xf>
    <xf numFmtId="4" fontId="9" fillId="0" borderId="14" xfId="1" applyNumberFormat="1" applyFont="1" applyBorder="1" applyAlignment="1">
      <alignment vertical="center"/>
    </xf>
    <xf numFmtId="0" fontId="8" fillId="0" borderId="8" xfId="0" applyFont="1"/>
    <xf numFmtId="0" fontId="41" fillId="0" borderId="15" xfId="0" applyFont="1" applyBorder="1" applyAlignment="1">
      <alignment horizontal="left"/>
    </xf>
    <xf numFmtId="0" fontId="2" fillId="0" borderId="14" xfId="0" applyFont="1" applyBorder="1" applyAlignment="1">
      <alignment horizontal="center" vertical="center" wrapText="1"/>
    </xf>
    <xf numFmtId="164" fontId="9" fillId="0" borderId="16" xfId="1" applyNumberFormat="1" applyFont="1" applyBorder="1" applyAlignment="1">
      <alignment horizontal="center" vertical="center" wrapText="1"/>
    </xf>
    <xf numFmtId="164" fontId="42" fillId="0" borderId="16" xfId="1" applyNumberFormat="1" applyFont="1" applyBorder="1" applyAlignment="1">
      <alignment horizontal="center" vertical="center" wrapText="1"/>
    </xf>
    <xf numFmtId="164" fontId="9" fillId="19" borderId="16" xfId="1" applyNumberFormat="1" applyFont="1" applyFill="1" applyBorder="1" applyAlignment="1">
      <alignment horizontal="center" vertical="center" wrapText="1"/>
    </xf>
    <xf numFmtId="0" fontId="9" fillId="0" borderId="16" xfId="0" applyFont="1" applyBorder="1" applyAlignment="1">
      <alignment horizontal="center" vertical="center" wrapText="1"/>
    </xf>
    <xf numFmtId="164" fontId="9" fillId="19" borderId="16" xfId="1" applyNumberFormat="1" applyFont="1" applyFill="1" applyBorder="1" applyAlignment="1">
      <alignment horizontal="center" vertical="center"/>
    </xf>
    <xf numFmtId="0" fontId="2" fillId="19" borderId="14" xfId="0" applyFont="1" applyFill="1" applyBorder="1"/>
    <xf numFmtId="169" fontId="0" fillId="19" borderId="14" xfId="1" applyNumberFormat="1" applyFont="1" applyFill="1" applyBorder="1" applyAlignment="1">
      <alignment horizontal="center" vertical="center"/>
    </xf>
    <xf numFmtId="169" fontId="0" fillId="0" borderId="14" xfId="1" applyNumberFormat="1" applyFont="1" applyBorder="1" applyAlignment="1">
      <alignment horizontal="center" vertical="center" wrapText="1"/>
    </xf>
    <xf numFmtId="164" fontId="11" fillId="0" borderId="14" xfId="1" applyNumberFormat="1" applyFont="1" applyBorder="1" applyAlignment="1">
      <alignment wrapText="1"/>
    </xf>
    <xf numFmtId="164" fontId="11" fillId="0" borderId="14" xfId="1" applyNumberFormat="1" applyFont="1" applyBorder="1"/>
    <xf numFmtId="0" fontId="0" fillId="0" borderId="14" xfId="0" applyBorder="1"/>
    <xf numFmtId="169" fontId="0" fillId="0" borderId="14" xfId="1" applyNumberFormat="1" applyFont="1" applyBorder="1" applyAlignment="1">
      <alignment horizontal="center" vertical="center"/>
    </xf>
    <xf numFmtId="169" fontId="8" fillId="0" borderId="14" xfId="1" applyNumberFormat="1" applyFont="1" applyBorder="1" applyAlignment="1">
      <alignment horizontal="center" vertical="center"/>
    </xf>
    <xf numFmtId="169" fontId="43" fillId="0" borderId="14" xfId="1" applyNumberFormat="1" applyFont="1" applyBorder="1" applyAlignment="1">
      <alignment horizontal="center" vertical="center" wrapText="1"/>
    </xf>
    <xf numFmtId="164" fontId="8" fillId="0" borderId="14" xfId="1" applyNumberFormat="1" applyFont="1" applyBorder="1" applyAlignment="1">
      <alignment wrapText="1"/>
    </xf>
    <xf numFmtId="164" fontId="8" fillId="0" borderId="14" xfId="1" applyNumberFormat="1" applyFont="1" applyBorder="1"/>
    <xf numFmtId="43" fontId="0" fillId="0" borderId="14" xfId="1" applyFont="1" applyBorder="1" applyAlignment="1">
      <alignment horizontal="center" vertical="center" wrapText="1"/>
    </xf>
    <xf numFmtId="164" fontId="0" fillId="0" borderId="14" xfId="1" applyNumberFormat="1" applyFont="1" applyBorder="1" applyAlignment="1">
      <alignment wrapText="1"/>
    </xf>
    <xf numFmtId="164" fontId="0" fillId="0" borderId="14" xfId="1" applyNumberFormat="1" applyFont="1" applyBorder="1"/>
    <xf numFmtId="43" fontId="8" fillId="0" borderId="14" xfId="1" applyFont="1" applyBorder="1" applyAlignment="1">
      <alignment horizontal="center" vertical="center" wrapText="1"/>
    </xf>
    <xf numFmtId="169" fontId="8" fillId="0" borderId="14" xfId="1" applyNumberFormat="1" applyFont="1" applyBorder="1" applyAlignment="1">
      <alignment horizontal="center" vertical="center" wrapText="1"/>
    </xf>
    <xf numFmtId="164" fontId="43" fillId="0" borderId="14" xfId="1" applyNumberFormat="1" applyFont="1" applyBorder="1" applyAlignment="1">
      <alignment wrapText="1"/>
    </xf>
    <xf numFmtId="164" fontId="43" fillId="0" borderId="14" xfId="1" applyNumberFormat="1" applyFont="1" applyBorder="1"/>
    <xf numFmtId="169" fontId="43" fillId="0" borderId="14" xfId="1" quotePrefix="1" applyNumberFormat="1" applyFont="1" applyBorder="1" applyAlignment="1">
      <alignment wrapText="1"/>
    </xf>
    <xf numFmtId="169" fontId="43" fillId="0" borderId="14" xfId="1" quotePrefix="1" applyNumberFormat="1" applyFont="1" applyBorder="1"/>
    <xf numFmtId="0" fontId="9" fillId="20" borderId="14" xfId="0" applyFont="1" applyFill="1" applyBorder="1"/>
    <xf numFmtId="169" fontId="9" fillId="20" borderId="14" xfId="1" applyNumberFormat="1" applyFont="1" applyFill="1" applyBorder="1" applyAlignment="1">
      <alignment horizontal="center" vertical="center"/>
    </xf>
    <xf numFmtId="169" fontId="9" fillId="20" borderId="14" xfId="1" applyNumberFormat="1" applyFont="1" applyFill="1" applyBorder="1" applyAlignment="1">
      <alignment horizontal="center" vertical="center" wrapText="1"/>
    </xf>
    <xf numFmtId="0" fontId="41" fillId="0" borderId="14" xfId="0" applyFont="1" applyBorder="1" applyAlignment="1">
      <alignment horizontal="left"/>
    </xf>
    <xf numFmtId="169" fontId="2" fillId="0" borderId="14" xfId="1" applyNumberFormat="1" applyFont="1" applyBorder="1" applyAlignment="1">
      <alignment horizontal="center" vertical="center"/>
    </xf>
    <xf numFmtId="164" fontId="2" fillId="0" borderId="9" xfId="1" applyNumberFormat="1" applyFont="1" applyBorder="1" applyAlignment="1">
      <alignment horizontal="center" vertical="center" wrapText="1"/>
    </xf>
    <xf numFmtId="169" fontId="2" fillId="0" borderId="14" xfId="0" applyNumberFormat="1" applyFont="1" applyBorder="1" applyAlignment="1">
      <alignment horizontal="center" vertical="center"/>
    </xf>
    <xf numFmtId="0" fontId="2" fillId="0" borderId="14" xfId="0" applyFont="1" applyBorder="1" applyAlignment="1">
      <alignment horizontal="center" wrapText="1"/>
    </xf>
    <xf numFmtId="0" fontId="2" fillId="0" borderId="14" xfId="0" applyFont="1" applyBorder="1" applyAlignment="1">
      <alignment horizontal="center"/>
    </xf>
    <xf numFmtId="0" fontId="2" fillId="0" borderId="8" xfId="0" applyFont="1"/>
    <xf numFmtId="169" fontId="8" fillId="19" borderId="14" xfId="1" applyNumberFormat="1" applyFont="1" applyFill="1" applyBorder="1" applyAlignment="1">
      <alignment horizontal="center" vertical="center"/>
    </xf>
    <xf numFmtId="43" fontId="9" fillId="0" borderId="9" xfId="1" applyFont="1" applyBorder="1" applyAlignment="1">
      <alignment horizontal="center" vertical="center" wrapText="1"/>
    </xf>
    <xf numFmtId="43" fontId="9" fillId="0" borderId="14" xfId="1" applyFont="1" applyBorder="1" applyAlignment="1">
      <alignment horizontal="center" vertical="center" wrapText="1"/>
    </xf>
    <xf numFmtId="43" fontId="9" fillId="20" borderId="14" xfId="1" applyFont="1" applyFill="1" applyBorder="1" applyAlignment="1">
      <alignment horizontal="center" vertical="center"/>
    </xf>
    <xf numFmtId="4" fontId="39" fillId="18" borderId="14" xfId="0" applyNumberFormat="1" applyFont="1" applyFill="1" applyBorder="1"/>
    <xf numFmtId="169" fontId="39" fillId="18" borderId="14" xfId="1" applyNumberFormat="1" applyFont="1" applyFill="1" applyBorder="1" applyAlignment="1">
      <alignment horizontal="right"/>
    </xf>
    <xf numFmtId="169" fontId="39" fillId="18" borderId="14" xfId="0" applyNumberFormat="1" applyFont="1" applyFill="1" applyBorder="1" applyAlignment="1">
      <alignment horizontal="right"/>
    </xf>
    <xf numFmtId="169" fontId="39" fillId="18" borderId="14" xfId="1" applyNumberFormat="1" applyFont="1" applyFill="1" applyBorder="1" applyAlignment="1">
      <alignment horizontal="right" wrapText="1"/>
    </xf>
    <xf numFmtId="164" fontId="8" fillId="0" borderId="14" xfId="1" applyNumberFormat="1" applyFont="1" applyBorder="1" applyAlignment="1">
      <alignment horizontal="left" wrapText="1"/>
    </xf>
    <xf numFmtId="0" fontId="2" fillId="0" borderId="14" xfId="0" applyFont="1" applyBorder="1"/>
    <xf numFmtId="169" fontId="11" fillId="0" borderId="14" xfId="1" applyNumberFormat="1" applyFont="1" applyBorder="1" applyAlignment="1">
      <alignment horizontal="center" vertical="center" wrapText="1"/>
    </xf>
    <xf numFmtId="169" fontId="11" fillId="0" borderId="14" xfId="1" applyNumberFormat="1" applyFont="1" applyBorder="1" applyAlignment="1">
      <alignment horizontal="left" vertical="center" wrapText="1"/>
    </xf>
    <xf numFmtId="169" fontId="11" fillId="0" borderId="14" xfId="1" applyNumberFormat="1" applyFont="1" applyBorder="1" applyAlignment="1">
      <alignment horizontal="left" vertical="center"/>
    </xf>
    <xf numFmtId="169" fontId="9" fillId="20" borderId="9" xfId="1" applyNumberFormat="1" applyFont="1" applyFill="1" applyBorder="1" applyAlignment="1">
      <alignment horizontal="center" vertical="center" wrapText="1"/>
    </xf>
    <xf numFmtId="169" fontId="11" fillId="0" borderId="14" xfId="1" applyNumberFormat="1" applyFont="1" applyBorder="1" applyAlignment="1">
      <alignment horizontal="center" vertical="center"/>
    </xf>
    <xf numFmtId="43" fontId="11" fillId="0" borderId="9" xfId="1" applyFont="1" applyBorder="1" applyAlignment="1">
      <alignment horizontal="center" vertical="center" wrapText="1"/>
    </xf>
    <xf numFmtId="0" fontId="11" fillId="0" borderId="8" xfId="0" applyFont="1"/>
    <xf numFmtId="43" fontId="11" fillId="0" borderId="14" xfId="1" applyFont="1" applyBorder="1" applyAlignment="1">
      <alignment horizontal="center" vertical="center" wrapText="1"/>
    </xf>
    <xf numFmtId="169" fontId="1" fillId="0" borderId="14" xfId="1" applyNumberFormat="1" applyBorder="1" applyAlignment="1">
      <alignment horizontal="center" vertical="center"/>
    </xf>
    <xf numFmtId="169" fontId="1" fillId="0" borderId="14" xfId="1" applyNumberFormat="1" applyBorder="1" applyAlignment="1">
      <alignment horizontal="center" vertical="center" wrapText="1"/>
    </xf>
    <xf numFmtId="164" fontId="1" fillId="0" borderId="14" xfId="1" applyNumberFormat="1" applyBorder="1" applyAlignment="1">
      <alignment wrapText="1"/>
    </xf>
    <xf numFmtId="164" fontId="1" fillId="0" borderId="14" xfId="1" applyNumberFormat="1" applyBorder="1"/>
    <xf numFmtId="169" fontId="39" fillId="18" borderId="12" xfId="1" applyNumberFormat="1" applyFont="1" applyFill="1" applyBorder="1" applyAlignment="1">
      <alignment horizontal="right" wrapText="1"/>
    </xf>
    <xf numFmtId="0" fontId="44" fillId="0" borderId="8" xfId="0" quotePrefix="1" applyFont="1" applyAlignment="1">
      <alignment horizontal="right"/>
    </xf>
    <xf numFmtId="169" fontId="44" fillId="0" borderId="8" xfId="0" quotePrefix="1" applyNumberFormat="1" applyFont="1"/>
    <xf numFmtId="169" fontId="2" fillId="0" borderId="8" xfId="1" applyNumberFormat="1" applyFont="1" applyAlignment="1">
      <alignment horizontal="center" vertical="center"/>
    </xf>
    <xf numFmtId="169" fontId="2" fillId="0" borderId="8" xfId="1" applyNumberFormat="1" applyFont="1" applyAlignment="1">
      <alignment horizontal="center" vertical="center" wrapText="1"/>
    </xf>
    <xf numFmtId="169" fontId="2" fillId="0" borderId="8" xfId="0" applyNumberFormat="1" applyFont="1" applyAlignment="1">
      <alignment horizontal="center" vertical="center"/>
    </xf>
    <xf numFmtId="0" fontId="0" fillId="0" borderId="8" xfId="0" applyAlignment="1">
      <alignment wrapText="1"/>
    </xf>
    <xf numFmtId="0" fontId="14" fillId="0" borderId="8" xfId="0" quotePrefix="1" applyFont="1"/>
    <xf numFmtId="164" fontId="0" fillId="0" borderId="8" xfId="1" applyNumberFormat="1" applyFont="1" applyAlignment="1">
      <alignment horizontal="center" vertical="center"/>
    </xf>
    <xf numFmtId="164" fontId="0" fillId="0" borderId="8" xfId="1" applyNumberFormat="1" applyFont="1" applyAlignment="1">
      <alignment horizontal="center" vertical="center" wrapText="1"/>
    </xf>
    <xf numFmtId="0" fontId="0" fillId="0" borderId="8" xfId="0" applyAlignment="1">
      <alignment horizontal="center" vertical="center"/>
    </xf>
    <xf numFmtId="164" fontId="0" fillId="0" borderId="8" xfId="1" applyNumberFormat="1" applyFont="1"/>
    <xf numFmtId="43" fontId="0" fillId="0" borderId="8" xfId="0" applyNumberFormat="1" applyAlignment="1">
      <alignment horizontal="center" vertical="center"/>
    </xf>
    <xf numFmtId="43" fontId="0" fillId="0" borderId="8" xfId="0" applyNumberFormat="1" applyAlignment="1">
      <alignment wrapText="1"/>
    </xf>
    <xf numFmtId="43" fontId="0" fillId="0" borderId="8" xfId="0" applyNumberFormat="1"/>
    <xf numFmtId="168" fontId="0" fillId="0" borderId="9" xfId="3" applyNumberFormat="1" applyFont="1" applyBorder="1"/>
    <xf numFmtId="0" fontId="19" fillId="12" borderId="8" xfId="0" applyFont="1" applyFill="1" applyAlignment="1">
      <alignment horizontal="left"/>
    </xf>
    <xf numFmtId="0" fontId="19" fillId="9" borderId="8" xfId="0" applyFont="1" applyFill="1" applyAlignment="1">
      <alignment horizontal="left"/>
    </xf>
    <xf numFmtId="0" fontId="0" fillId="0" borderId="9" xfId="0" applyBorder="1" applyAlignment="1">
      <alignment horizontal="left"/>
    </xf>
    <xf numFmtId="0" fontId="19" fillId="9" borderId="8" xfId="0" applyFont="1" applyFill="1"/>
    <xf numFmtId="0" fontId="19" fillId="12" borderId="8" xfId="0" applyFont="1" applyFill="1" applyAlignment="1">
      <alignment horizontal="right"/>
    </xf>
    <xf numFmtId="165" fontId="13" fillId="11" borderId="10" xfId="0" applyNumberFormat="1" applyFont="1" applyFill="1" applyBorder="1" applyAlignment="1">
      <alignment horizontal="center"/>
    </xf>
    <xf numFmtId="44" fontId="13" fillId="11" borderId="10" xfId="2" applyFont="1" applyFill="1" applyBorder="1" applyAlignment="1">
      <alignment horizontal="center"/>
    </xf>
    <xf numFmtId="166" fontId="19" fillId="9" borderId="8" xfId="2" applyNumberFormat="1" applyFont="1" applyFill="1"/>
    <xf numFmtId="164" fontId="19" fillId="9" borderId="8" xfId="0" applyNumberFormat="1" applyFont="1" applyFill="1"/>
    <xf numFmtId="164" fontId="19" fillId="9" borderId="8" xfId="0" applyNumberFormat="1" applyFont="1" applyFill="1" applyAlignment="1">
      <alignment horizontal="center"/>
    </xf>
    <xf numFmtId="0" fontId="19" fillId="12" borderId="8" xfId="0" applyFont="1" applyFill="1"/>
    <xf numFmtId="43" fontId="19" fillId="5" borderId="8" xfId="1" applyFont="1" applyFill="1"/>
    <xf numFmtId="43" fontId="19" fillId="9" borderId="8" xfId="1" applyFont="1" applyFill="1"/>
    <xf numFmtId="11" fontId="0" fillId="0" borderId="9" xfId="0" applyNumberFormat="1" applyBorder="1"/>
    <xf numFmtId="43" fontId="19" fillId="14" borderId="8" xfId="1" applyFont="1" applyFill="1"/>
    <xf numFmtId="0" fontId="19" fillId="13" borderId="8" xfId="0" applyFont="1" applyFill="1"/>
    <xf numFmtId="0" fontId="2" fillId="0" borderId="9" xfId="0" applyFont="1" applyBorder="1"/>
    <xf numFmtId="43" fontId="19" fillId="9" borderId="8" xfId="0" applyNumberFormat="1" applyFont="1" applyFill="1" applyAlignment="1">
      <alignment horizontal="center"/>
    </xf>
    <xf numFmtId="43" fontId="19" fillId="10" borderId="8" xfId="1" applyFont="1" applyFill="1"/>
    <xf numFmtId="43" fontId="19" fillId="5" borderId="8" xfId="0" applyNumberFormat="1" applyFont="1" applyFill="1"/>
    <xf numFmtId="43" fontId="19" fillId="9" borderId="8" xfId="0" applyNumberFormat="1" applyFont="1" applyFill="1"/>
    <xf numFmtId="0" fontId="19" fillId="9" borderId="8" xfId="0" applyFont="1" applyFill="1" applyAlignment="1">
      <alignment horizontal="right"/>
    </xf>
    <xf numFmtId="168" fontId="19" fillId="9" borderId="8" xfId="0" applyNumberFormat="1" applyFont="1" applyFill="1"/>
    <xf numFmtId="0" fontId="25" fillId="9" borderId="8" xfId="0" applyFont="1" applyFill="1"/>
    <xf numFmtId="0" fontId="24" fillId="9" borderId="8" xfId="0" applyFont="1" applyFill="1"/>
    <xf numFmtId="9" fontId="19" fillId="9" borderId="8" xfId="0" applyNumberFormat="1" applyFont="1" applyFill="1" applyAlignment="1">
      <alignment horizontal="right"/>
    </xf>
    <xf numFmtId="0" fontId="19" fillId="9" borderId="8" xfId="0" applyFont="1" applyFill="1" applyAlignment="1">
      <alignment horizontal="center"/>
    </xf>
    <xf numFmtId="0" fontId="24" fillId="9" borderId="8" xfId="0" applyFont="1" applyFill="1" applyAlignment="1">
      <alignment horizontal="center"/>
    </xf>
    <xf numFmtId="0" fontId="24" fillId="9" borderId="8" xfId="0" applyFont="1" applyFill="1" applyAlignment="1">
      <alignment wrapText="1"/>
    </xf>
    <xf numFmtId="171" fontId="24" fillId="9" borderId="8" xfId="0" applyNumberFormat="1" applyFont="1" applyFill="1"/>
    <xf numFmtId="9" fontId="24" fillId="9" borderId="8" xfId="0" applyNumberFormat="1" applyFont="1" applyFill="1" applyAlignment="1">
      <alignment horizontal="right" wrapText="1"/>
    </xf>
    <xf numFmtId="0" fontId="24" fillId="9" borderId="8" xfId="0" applyFont="1" applyFill="1" applyAlignment="1">
      <alignment horizontal="right" wrapText="1"/>
    </xf>
    <xf numFmtId="0" fontId="19" fillId="9" borderId="8" xfId="0" applyFont="1" applyFill="1" applyAlignment="1">
      <alignment horizontal="right" wrapText="1"/>
    </xf>
    <xf numFmtId="0" fontId="19" fillId="9" borderId="8" xfId="0" applyFont="1" applyFill="1" applyAlignment="1">
      <alignment wrapText="1"/>
    </xf>
    <xf numFmtId="172" fontId="24" fillId="9" borderId="8" xfId="0" applyNumberFormat="1" applyFont="1" applyFill="1"/>
    <xf numFmtId="168" fontId="24" fillId="9" borderId="8" xfId="0" applyNumberFormat="1" applyFont="1" applyFill="1"/>
    <xf numFmtId="173" fontId="24" fillId="9" borderId="8" xfId="0" applyNumberFormat="1" applyFont="1" applyFill="1"/>
    <xf numFmtId="0" fontId="8" fillId="0" borderId="9" xfId="0" applyFont="1" applyBorder="1"/>
  </cellXfs>
  <cellStyles count="20">
    <cellStyle name="Comma" xfId="1" builtinId="3"/>
    <cellStyle name="Comma 2" xfId="5" xr:uid="{00000000-0005-0000-0000-000005000000}"/>
    <cellStyle name="Comma 2 2" xfId="6" xr:uid="{00000000-0005-0000-0000-000006000000}"/>
    <cellStyle name="Comma 2 2 2" xfId="7" xr:uid="{00000000-0005-0000-0000-000007000000}"/>
    <cellStyle name="Comma 3" xfId="14" xr:uid="{00000000-0005-0000-0000-00000E000000}"/>
    <cellStyle name="Comma 3 2" xfId="10" xr:uid="{00000000-0005-0000-0000-00000A000000}"/>
    <cellStyle name="Currency" xfId="2" builtinId="4"/>
    <cellStyle name="Currency 2" xfId="18" xr:uid="{00000000-0005-0000-0000-000012000000}"/>
    <cellStyle name="Currency 2 2 6" xfId="12" xr:uid="{00000000-0005-0000-0000-00000C000000}"/>
    <cellStyle name="Hyperlink" xfId="19" builtinId="8"/>
    <cellStyle name="Normal" xfId="0" builtinId="0"/>
    <cellStyle name="Normal 2" xfId="8" xr:uid="{00000000-0005-0000-0000-000008000000}"/>
    <cellStyle name="Normal 2 2" xfId="15" xr:uid="{00000000-0005-0000-0000-00000F000000}"/>
    <cellStyle name="Normal 2 3" xfId="13" xr:uid="{00000000-0005-0000-0000-00000D000000}"/>
    <cellStyle name="Normal 3" xfId="4" xr:uid="{00000000-0005-0000-0000-000004000000}"/>
    <cellStyle name="Normal 3 3" xfId="9" xr:uid="{00000000-0005-0000-0000-000009000000}"/>
    <cellStyle name="Normal 4" xfId="17" xr:uid="{00000000-0005-0000-0000-000011000000}"/>
    <cellStyle name="Normal 7 13" xfId="16" xr:uid="{00000000-0005-0000-0000-000010000000}"/>
    <cellStyle name="Percent" xfId="3" builtinId="5"/>
    <cellStyle name="Percent 3 7" xfId="11"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tabColor rgb="FFFF0000"/>
    <pageSetUpPr fitToPage="1"/>
  </sheetPr>
  <dimension ref="A1:Y195"/>
  <sheetViews>
    <sheetView showGridLines="0" zoomScale="87" zoomScaleNormal="85" workbookViewId="0">
      <pane xSplit="1" ySplit="2" topLeftCell="B81" activePane="bottomRight" state="frozen"/>
      <selection pane="topRight" activeCell="B1" sqref="B1"/>
      <selection pane="bottomLeft" activeCell="A3" sqref="A3"/>
      <selection pane="bottomRight" activeCell="A105" sqref="A105"/>
    </sheetView>
  </sheetViews>
  <sheetFormatPr defaultColWidth="12.6328125" defaultRowHeight="14.5"/>
  <cols>
    <col min="1" max="1" width="33.6328125" customWidth="1"/>
    <col min="2" max="2" width="18.54296875" style="6" bestFit="1" customWidth="1"/>
    <col min="3" max="5" width="19.26953125" style="6" bestFit="1" customWidth="1"/>
    <col min="6" max="7" width="18.54296875" style="6" bestFit="1" customWidth="1"/>
    <col min="8" max="10" width="19.26953125" style="6" bestFit="1" customWidth="1"/>
    <col min="11" max="14" width="18.54296875" bestFit="1" customWidth="1"/>
    <col min="24" max="24" width="6.453125" bestFit="1" customWidth="1"/>
    <col min="25" max="25" width="5.6328125" bestFit="1" customWidth="1"/>
  </cols>
  <sheetData>
    <row r="1" spans="1:25" s="23" customFormat="1">
      <c r="A1" s="44" t="s">
        <v>0</v>
      </c>
      <c r="B1" s="45">
        <f>+lgh_bs!D2</f>
        <v>45657</v>
      </c>
      <c r="C1" s="45">
        <f>+lgh_bs!E2</f>
        <v>45747</v>
      </c>
      <c r="D1" s="45">
        <f>+lgh_bs!F2</f>
        <v>45838</v>
      </c>
      <c r="E1" s="45">
        <f>+lgh_bs!G2</f>
        <v>45930</v>
      </c>
      <c r="F1" s="45">
        <f>+lgh_bs!H2</f>
        <v>46022</v>
      </c>
      <c r="G1" s="45">
        <f>+lgh_bs!I2</f>
        <v>46112</v>
      </c>
      <c r="H1" s="45">
        <f>+lgh_bs!J2</f>
        <v>46203</v>
      </c>
      <c r="I1" s="45">
        <f>+lgh_bs!K2</f>
        <v>46295</v>
      </c>
      <c r="J1" s="45">
        <f>+lgh_bs!L2</f>
        <v>46387</v>
      </c>
      <c r="K1" s="45">
        <f>+lgh_bs!M2</f>
        <v>46752</v>
      </c>
      <c r="L1" s="45">
        <f>+lgh_bs!N2</f>
        <v>47118</v>
      </c>
      <c r="M1" s="45">
        <f>+lgh_bs!O2</f>
        <v>47483</v>
      </c>
      <c r="N1" s="45">
        <f>+lgh_bs!P2</f>
        <v>47848</v>
      </c>
      <c r="O1" s="43"/>
      <c r="P1" s="43"/>
      <c r="Q1" s="43"/>
      <c r="R1" s="43"/>
      <c r="S1" s="43"/>
      <c r="T1" s="43"/>
      <c r="U1" s="43"/>
      <c r="V1" s="43"/>
      <c r="W1" s="43"/>
      <c r="X1" s="43"/>
      <c r="Y1" s="43"/>
    </row>
    <row r="2" spans="1:25" s="22" customFormat="1">
      <c r="A2" s="44" t="s">
        <v>107</v>
      </c>
      <c r="B2" s="47" t="str">
        <f>+lgh_bs!D3</f>
        <v>Q4</v>
      </c>
      <c r="C2" s="47" t="str">
        <f>+lgh_bs!E3</f>
        <v>Q1</v>
      </c>
      <c r="D2" s="47" t="str">
        <f>+lgh_bs!F3</f>
        <v>Q2</v>
      </c>
      <c r="E2" s="47" t="str">
        <f>+lgh_bs!G3</f>
        <v>Q3</v>
      </c>
      <c r="F2" s="48" t="str">
        <f>+lgh_bs!H3</f>
        <v>Q4</v>
      </c>
      <c r="G2" s="48" t="str">
        <f>+lgh_bs!I3</f>
        <v>Q1</v>
      </c>
      <c r="H2" s="48" t="str">
        <f>+lgh_bs!J3</f>
        <v>Q2</v>
      </c>
      <c r="I2" s="48" t="str">
        <f>+lgh_bs!K3</f>
        <v>Q3</v>
      </c>
      <c r="J2" s="47" t="str">
        <f>+lgh_bs!L3</f>
        <v>Q4</v>
      </c>
      <c r="K2" s="47" t="str">
        <f>+lgh_bs!M3</f>
        <v>Q4</v>
      </c>
      <c r="L2" s="47" t="str">
        <f>+lgh_bs!N3</f>
        <v>Q4</v>
      </c>
      <c r="M2" s="47" t="str">
        <f>+lgh_bs!O3</f>
        <v>Q4</v>
      </c>
      <c r="N2" s="47" t="str">
        <f>+lgh_bs!P3</f>
        <v>Q4</v>
      </c>
      <c r="O2" s="43"/>
      <c r="P2" s="43"/>
      <c r="Q2" s="43"/>
      <c r="R2" s="43"/>
      <c r="S2" s="43"/>
      <c r="T2" s="43"/>
      <c r="U2" s="43"/>
      <c r="V2" s="43"/>
      <c r="W2" s="43"/>
      <c r="X2" s="43"/>
      <c r="Y2" s="43"/>
    </row>
    <row r="3" spans="1:25" s="2" customFormat="1">
      <c r="A3" s="49"/>
      <c r="B3" s="50"/>
      <c r="C3" s="51"/>
      <c r="D3" s="51"/>
      <c r="E3" s="51"/>
      <c r="F3" s="52"/>
      <c r="G3" s="53"/>
      <c r="H3" s="53"/>
      <c r="I3" s="53"/>
      <c r="J3" s="50"/>
      <c r="K3" s="50"/>
      <c r="L3" s="50"/>
      <c r="M3" s="50"/>
      <c r="N3" s="50"/>
      <c r="O3" s="43"/>
      <c r="P3" s="43"/>
      <c r="Q3" s="43"/>
      <c r="R3" s="43"/>
      <c r="S3" s="43"/>
      <c r="T3" s="43"/>
      <c r="U3" s="43"/>
      <c r="V3" s="43"/>
      <c r="W3" s="43"/>
      <c r="X3" s="43"/>
      <c r="Y3" s="43"/>
    </row>
    <row r="4" spans="1:25">
      <c r="A4" s="43"/>
      <c r="B4" s="54"/>
      <c r="C4" s="54"/>
      <c r="D4" s="54"/>
      <c r="E4" s="54"/>
      <c r="F4" s="54"/>
      <c r="G4" s="54"/>
      <c r="H4" s="54"/>
      <c r="I4" s="54"/>
      <c r="J4" s="54"/>
      <c r="K4" s="54"/>
      <c r="L4" s="54"/>
      <c r="M4" s="54"/>
      <c r="N4" s="54"/>
      <c r="O4" s="43"/>
      <c r="P4" s="43"/>
      <c r="Q4" s="43"/>
      <c r="R4" s="43"/>
      <c r="S4" s="43"/>
      <c r="T4" s="43"/>
      <c r="U4" s="43"/>
      <c r="V4" s="43"/>
      <c r="W4" s="43"/>
      <c r="X4" s="43"/>
      <c r="Y4" s="43"/>
    </row>
    <row r="5" spans="1:25">
      <c r="A5" s="46" t="s">
        <v>108</v>
      </c>
      <c r="B5" s="50">
        <f>+pink_cs2!B17</f>
        <v>1562074</v>
      </c>
      <c r="C5" s="50">
        <f>+pink_cs2!C17</f>
        <v>3250000</v>
      </c>
      <c r="D5" s="50">
        <f>+pink_cs2!D17</f>
        <v>3388588</v>
      </c>
      <c r="E5" s="50">
        <f>+pink_cs2!E17</f>
        <v>1475962</v>
      </c>
      <c r="F5" s="50">
        <f>+pink_cs2!F17</f>
        <v>8336733</v>
      </c>
      <c r="G5" s="50">
        <f>+pink_cs2!G17</f>
        <v>0</v>
      </c>
      <c r="H5" s="50">
        <f>+pink_cs2!H17</f>
        <v>0</v>
      </c>
      <c r="I5" s="50">
        <f>+pink_cs2!I17</f>
        <v>0</v>
      </c>
      <c r="J5" s="50">
        <f>+pink_cs2!J17</f>
        <v>0</v>
      </c>
      <c r="K5" s="50">
        <f>+pink_cs2!K17</f>
        <v>664696</v>
      </c>
      <c r="L5" s="50">
        <f>+pink_cs2!L17</f>
        <v>3762565</v>
      </c>
      <c r="M5" s="50">
        <f>+pink_cs2!M17</f>
        <v>20842800</v>
      </c>
      <c r="N5" s="50">
        <f>+pink_cs2!N17</f>
        <v>4123684</v>
      </c>
      <c r="O5" s="43"/>
      <c r="P5" s="43"/>
      <c r="Q5" s="43"/>
      <c r="R5" s="43"/>
      <c r="S5" s="43"/>
      <c r="T5" s="43"/>
      <c r="U5" s="43"/>
      <c r="V5" s="43"/>
      <c r="W5" s="43"/>
      <c r="X5" s="43"/>
      <c r="Y5" s="50"/>
    </row>
    <row r="6" spans="1:25">
      <c r="A6" s="46" t="s">
        <v>109</v>
      </c>
      <c r="B6" s="50">
        <f>+pink_cs2!B25</f>
        <v>0</v>
      </c>
      <c r="C6" s="50">
        <f>+pink_cs2!C25</f>
        <v>-125000</v>
      </c>
      <c r="D6" s="50">
        <f>+pink_cs2!D25</f>
        <v>-3717883</v>
      </c>
      <c r="E6" s="50">
        <f>+pink_cs2!E25</f>
        <v>-3472013.2675276021</v>
      </c>
      <c r="F6" s="50">
        <f>+pink_cs2!F25</f>
        <v>0</v>
      </c>
      <c r="G6" s="50">
        <f>+pink_cs2!G25</f>
        <v>0</v>
      </c>
      <c r="H6" s="50">
        <f>+pink_cs2!H25</f>
        <v>0</v>
      </c>
      <c r="I6" s="50">
        <f>+pink_cs2!I25</f>
        <v>0</v>
      </c>
      <c r="J6" s="50">
        <f>+pink_cs2!J25</f>
        <v>-4604401.1674821461</v>
      </c>
      <c r="K6" s="50">
        <f>+pink_cs2!K25</f>
        <v>0</v>
      </c>
      <c r="L6" s="50">
        <f>+pink_cs2!L25</f>
        <v>0</v>
      </c>
      <c r="M6" s="50">
        <f>+pink_cs2!M25</f>
        <v>-2000000</v>
      </c>
      <c r="N6" s="50">
        <f>+pink_cs2!N25</f>
        <v>0</v>
      </c>
      <c r="O6" s="43"/>
      <c r="P6" s="43"/>
      <c r="Q6" s="43"/>
      <c r="R6" s="43"/>
      <c r="S6" s="43"/>
      <c r="T6" s="43"/>
      <c r="U6" s="43"/>
      <c r="V6" s="43"/>
      <c r="W6" s="43"/>
      <c r="X6" s="43"/>
      <c r="Y6" s="50"/>
    </row>
    <row r="7" spans="1:25">
      <c r="A7" s="46" t="s">
        <v>110</v>
      </c>
      <c r="B7" s="50">
        <f>+pink_cs2!B60</f>
        <v>56391898.801753417</v>
      </c>
      <c r="C7" s="50">
        <f>+pink_cs2!C60</f>
        <v>48342875.134681299</v>
      </c>
      <c r="D7" s="50">
        <f>+pink_cs2!D60</f>
        <v>49230679.602836721</v>
      </c>
      <c r="E7" s="50">
        <f>+pink_cs2!E60</f>
        <v>51936302.561434597</v>
      </c>
      <c r="F7" s="50">
        <f>+pink_cs2!F60</f>
        <v>46803856.975500621</v>
      </c>
      <c r="G7" s="50">
        <f>+pink_cs2!G60</f>
        <v>46688396.145441398</v>
      </c>
      <c r="H7" s="50">
        <f>+pink_cs2!H60</f>
        <v>47318458.658028975</v>
      </c>
      <c r="I7" s="50">
        <f>+pink_cs2!I60</f>
        <v>47193848.832517855</v>
      </c>
      <c r="J7" s="50">
        <f>+pink_cs2!J60</f>
        <v>60232309.356816709</v>
      </c>
      <c r="K7" s="50">
        <f>+pink_cs2!K60</f>
        <v>68658852.64218013</v>
      </c>
      <c r="L7" s="50">
        <f>+pink_cs2!L60</f>
        <v>78031616.129979655</v>
      </c>
      <c r="M7" s="50">
        <f>+pink_cs2!M60</f>
        <v>73752764.644625396</v>
      </c>
      <c r="N7" s="50">
        <f>+pink_cs2!N60</f>
        <v>85421359.86438784</v>
      </c>
      <c r="O7" s="43"/>
      <c r="P7" s="43"/>
      <c r="Q7" s="43"/>
      <c r="R7" s="43"/>
      <c r="S7" s="43"/>
      <c r="T7" s="43"/>
      <c r="U7" s="43"/>
      <c r="V7" s="43"/>
      <c r="W7" s="43"/>
      <c r="X7" s="43"/>
      <c r="Y7" s="43"/>
    </row>
    <row r="8" spans="1:25">
      <c r="A8" s="43"/>
      <c r="B8" s="43"/>
      <c r="C8" s="43"/>
      <c r="D8" s="43"/>
      <c r="E8" s="43"/>
      <c r="F8" s="43"/>
      <c r="G8" s="43"/>
      <c r="H8" s="43"/>
      <c r="I8" s="43"/>
      <c r="J8" s="43"/>
      <c r="K8" s="50"/>
      <c r="L8" s="50"/>
      <c r="M8" s="50"/>
      <c r="N8" s="50"/>
      <c r="O8" s="43"/>
      <c r="P8" s="43"/>
      <c r="Q8" s="43"/>
      <c r="R8" s="43"/>
      <c r="S8" s="43"/>
      <c r="T8" s="43"/>
      <c r="U8" s="43"/>
      <c r="V8" s="43"/>
      <c r="W8" s="43"/>
      <c r="X8" s="43"/>
      <c r="Y8" s="55"/>
    </row>
    <row r="9" spans="1:25">
      <c r="A9" s="43"/>
      <c r="B9" s="54"/>
      <c r="C9" s="54"/>
      <c r="D9" s="54"/>
      <c r="E9" s="54"/>
      <c r="F9" s="54"/>
      <c r="G9" s="54"/>
      <c r="H9" s="54"/>
      <c r="I9" s="54"/>
      <c r="J9" s="54"/>
      <c r="K9" s="54"/>
      <c r="L9" s="54"/>
      <c r="M9" s="54"/>
      <c r="N9" s="54"/>
      <c r="O9" s="43"/>
      <c r="P9" s="43"/>
      <c r="Q9" s="43"/>
      <c r="R9" s="43"/>
      <c r="S9" s="43"/>
      <c r="T9" s="43"/>
      <c r="U9" s="43"/>
      <c r="V9" s="43"/>
      <c r="W9" s="43"/>
      <c r="X9" s="43"/>
      <c r="Y9" s="43"/>
    </row>
    <row r="10" spans="1:25">
      <c r="A10" s="46" t="s">
        <v>108</v>
      </c>
      <c r="B10" s="50">
        <f>+aus_cs2!E19</f>
        <v>814451.63400000008</v>
      </c>
      <c r="C10" s="50">
        <f>+aus_cs2!F19</f>
        <v>5515000</v>
      </c>
      <c r="D10" s="50">
        <f>+aus_cs2!G19</f>
        <v>0</v>
      </c>
      <c r="E10" s="50">
        <f>+aus_cs2!H19</f>
        <v>525000</v>
      </c>
      <c r="F10" s="50">
        <f>+aus_cs2!I19</f>
        <v>0</v>
      </c>
      <c r="G10" s="50">
        <f>+aus_cs2!J19</f>
        <v>0</v>
      </c>
      <c r="H10" s="50">
        <f>+aus_cs2!K19</f>
        <v>0</v>
      </c>
      <c r="I10" s="50">
        <f>+aus_cs2!L19</f>
        <v>0</v>
      </c>
      <c r="J10" s="50">
        <f>+aus_cs2!M19</f>
        <v>0</v>
      </c>
      <c r="K10" s="50">
        <f>+aus_cs2!N19</f>
        <v>0</v>
      </c>
      <c r="L10" s="50">
        <f>+aus_cs2!O19</f>
        <v>0</v>
      </c>
      <c r="M10" s="50">
        <f>+aus_cs2!P19</f>
        <v>0</v>
      </c>
      <c r="N10" s="50">
        <f>+aus_cs2!Q19</f>
        <v>0</v>
      </c>
      <c r="O10" s="43"/>
      <c r="P10" s="43"/>
      <c r="Q10" s="43"/>
      <c r="R10" s="43"/>
      <c r="S10" s="43"/>
      <c r="T10" s="43"/>
      <c r="U10" s="43"/>
      <c r="V10" s="43"/>
      <c r="W10" s="43"/>
      <c r="X10" s="43"/>
      <c r="Y10" s="43"/>
    </row>
    <row r="11" spans="1:25">
      <c r="A11" s="46" t="s">
        <v>109</v>
      </c>
      <c r="B11" s="50">
        <f>+aus_cs2!E28</f>
        <v>0</v>
      </c>
      <c r="C11" s="50">
        <f>+aus_cs2!F28</f>
        <v>-50000</v>
      </c>
      <c r="D11" s="50">
        <f>+aus_cs2!G28</f>
        <v>-2025000</v>
      </c>
      <c r="E11" s="50">
        <f>+aus_cs2!H28</f>
        <v>-230000</v>
      </c>
      <c r="F11" s="50">
        <f>+aus_cs2!I28</f>
        <v>-289495</v>
      </c>
      <c r="G11" s="50">
        <f>+aus_cs2!J28</f>
        <v>-1750000</v>
      </c>
      <c r="H11" s="50">
        <f>+aus_cs2!K28</f>
        <v>-3420000</v>
      </c>
      <c r="I11" s="50">
        <f>+aus_cs2!L28</f>
        <v>0</v>
      </c>
      <c r="J11" s="50">
        <f>+aus_cs2!M28</f>
        <v>-750000</v>
      </c>
      <c r="K11" s="50">
        <f>+aus_cs2!N28</f>
        <v>0</v>
      </c>
      <c r="L11" s="50">
        <f>+aus_cs2!O28</f>
        <v>-15106831.160182964</v>
      </c>
      <c r="M11" s="50">
        <f>+aus_cs2!P28</f>
        <v>0</v>
      </c>
      <c r="N11" s="50">
        <f>+aus_cs2!Q28</f>
        <v>0</v>
      </c>
      <c r="O11" s="43"/>
      <c r="P11" s="43"/>
      <c r="Q11" s="43"/>
      <c r="R11" s="43"/>
      <c r="S11" s="43"/>
      <c r="T11" s="43"/>
      <c r="U11" s="43"/>
      <c r="V11" s="43"/>
      <c r="W11" s="43"/>
      <c r="X11" s="43"/>
      <c r="Y11" s="55"/>
    </row>
    <row r="12" spans="1:25">
      <c r="A12" s="46" t="s">
        <v>111</v>
      </c>
      <c r="B12" s="50">
        <f>+aus_cs2!E75</f>
        <v>15926855.202205271</v>
      </c>
      <c r="C12" s="50">
        <f>+aus_cs2!F75</f>
        <v>18088592.03096962</v>
      </c>
      <c r="D12" s="50">
        <f>+aus_cs2!G75</f>
        <v>17359150.428619672</v>
      </c>
      <c r="E12" s="50">
        <f>+aus_cs2!H75</f>
        <v>15109714.093862126</v>
      </c>
      <c r="F12" s="50">
        <f>+aus_cs2!I75</f>
        <v>7753407.414941581</v>
      </c>
      <c r="G12" s="50">
        <f>+aus_cs2!J75</f>
        <v>6038275.3593691019</v>
      </c>
      <c r="H12" s="50">
        <f>+aus_cs2!K75</f>
        <v>4849926.1457863338</v>
      </c>
      <c r="I12" s="50">
        <f>+aus_cs2!L75</f>
        <v>3974250.1732844282</v>
      </c>
      <c r="J12" s="50">
        <f>+aus_cs2!M75</f>
        <v>3116853.7677923306</v>
      </c>
      <c r="K12" s="50">
        <f>+aus_cs2!N75</f>
        <v>0</v>
      </c>
      <c r="L12" s="50">
        <f>+aus_cs2!O75</f>
        <v>0</v>
      </c>
      <c r="M12" s="50">
        <f>+aus_cs2!P75</f>
        <v>0</v>
      </c>
      <c r="N12" s="50">
        <f>+aus_cs2!Q75</f>
        <v>0</v>
      </c>
      <c r="O12" s="43"/>
      <c r="P12" s="43"/>
      <c r="Q12" s="43"/>
      <c r="R12" s="43"/>
      <c r="S12" s="43"/>
      <c r="T12" s="43"/>
      <c r="U12" s="43"/>
      <c r="V12" s="43"/>
      <c r="W12" s="43"/>
      <c r="X12" s="43"/>
      <c r="Y12" s="43"/>
    </row>
    <row r="13" spans="1:25">
      <c r="A13" s="46" t="s">
        <v>112</v>
      </c>
      <c r="B13" s="50">
        <f>+aus_cs2!E80</f>
        <v>8621252.7177088577</v>
      </c>
      <c r="C13" s="50">
        <f>+aus_cs2!F80</f>
        <v>2691709.0714328461</v>
      </c>
      <c r="D13" s="50">
        <f>+aus_cs2!G80</f>
        <v>2849464.9505663249</v>
      </c>
      <c r="E13" s="50">
        <f>+aus_cs2!H80</f>
        <v>3017222.776343931</v>
      </c>
      <c r="F13" s="50">
        <f>+aus_cs2!I80</f>
        <v>4124556.903744827</v>
      </c>
      <c r="G13" s="50">
        <f>+aus_cs2!J80</f>
        <v>4237689.3351938138</v>
      </c>
      <c r="H13" s="50">
        <f>+aus_cs2!K80</f>
        <v>6873678.2404489974</v>
      </c>
      <c r="I13" s="50">
        <f>+aus_cs2!L80</f>
        <v>7084139.3901415551</v>
      </c>
      <c r="J13" s="50">
        <f>+aus_cs2!M80</f>
        <v>7315998.2081489582</v>
      </c>
      <c r="K13" s="50">
        <f>+aus_cs2!N80</f>
        <v>10662926.241002446</v>
      </c>
      <c r="L13" s="50">
        <f>+aus_cs2!O80</f>
        <v>9864765.5848319475</v>
      </c>
      <c r="M13" s="50">
        <f>+aus_cs2!P80</f>
        <v>34687482.435074754</v>
      </c>
      <c r="N13" s="50">
        <f>+aus_cs2!Q80</f>
        <v>42318728.5707912</v>
      </c>
      <c r="O13" s="43"/>
      <c r="P13" s="43"/>
      <c r="Q13" s="43"/>
      <c r="R13" s="43"/>
      <c r="S13" s="43"/>
      <c r="T13" s="43"/>
      <c r="U13" s="43"/>
      <c r="V13" s="43"/>
      <c r="W13" s="43"/>
      <c r="X13" s="43"/>
      <c r="Y13" s="43"/>
    </row>
    <row r="14" spans="1:25">
      <c r="A14" s="46" t="s">
        <v>113</v>
      </c>
      <c r="B14" s="50">
        <f>+aus_cs2!E83</f>
        <v>5608281.3808370735</v>
      </c>
      <c r="C14" s="50">
        <f>+aus_cs2!F83</f>
        <v>5792434.4566366132</v>
      </c>
      <c r="D14" s="50">
        <f>+aus_cs2!G83</f>
        <v>5984782.4088378381</v>
      </c>
      <c r="E14" s="50">
        <f>+aus_cs2!H83</f>
        <v>6185737.7795300223</v>
      </c>
      <c r="F14" s="50">
        <f>+aus_cs2!I83</f>
        <v>6393440.7741542654</v>
      </c>
      <c r="G14" s="50">
        <f>+aus_cs2!J83</f>
        <v>6603375.2805657405</v>
      </c>
      <c r="H14" s="50">
        <f>+aus_cs2!K83</f>
        <v>6822651.9460751358</v>
      </c>
      <c r="I14" s="50">
        <f>+aus_cs2!L83</f>
        <v>7051741.0686642267</v>
      </c>
      <c r="J14" s="50">
        <f>+aus_cs2!M83</f>
        <v>7288522.4825358614</v>
      </c>
      <c r="K14" s="50">
        <f>+aus_cs2!N83</f>
        <v>6806296.4560152246</v>
      </c>
      <c r="L14" s="50">
        <f>+aus_cs2!O83</f>
        <v>4230778.4205505513</v>
      </c>
      <c r="M14" s="50">
        <f>+aus_cs2!P83</f>
        <v>4951306.8763720598</v>
      </c>
      <c r="N14" s="50">
        <f>+aus_cs2!Q83</f>
        <v>4764456.7915576464</v>
      </c>
      <c r="O14" s="43"/>
      <c r="P14" s="43"/>
      <c r="Q14" s="43"/>
      <c r="R14" s="43"/>
      <c r="S14" s="43"/>
      <c r="T14" s="43"/>
      <c r="U14" s="43"/>
      <c r="V14" s="43"/>
      <c r="W14" s="43"/>
      <c r="X14" s="43"/>
      <c r="Y14" s="43"/>
    </row>
    <row r="15" spans="1:25">
      <c r="A15" s="46" t="s">
        <v>110</v>
      </c>
      <c r="B15" s="50">
        <f>+aus_cs2!E85</f>
        <v>30156389.300751202</v>
      </c>
      <c r="C15" s="50">
        <f>+aus_cs2!F85</f>
        <v>26572735.559039079</v>
      </c>
      <c r="D15" s="50">
        <f>+aus_cs2!G85</f>
        <v>26193397.788023837</v>
      </c>
      <c r="E15" s="50">
        <f>+aus_cs2!H85</f>
        <v>24312674.649736077</v>
      </c>
      <c r="F15" s="50">
        <f>+aus_cs2!I85</f>
        <v>6321101.9805434588</v>
      </c>
      <c r="G15" s="50">
        <f>+aus_cs2!J85</f>
        <v>6506359.9892516285</v>
      </c>
      <c r="H15" s="50">
        <f>+aus_cs2!K85</f>
        <v>9217684.0852273684</v>
      </c>
      <c r="I15" s="50">
        <f>+aus_cs2!L85</f>
        <v>9506851.6157478206</v>
      </c>
      <c r="J15" s="50">
        <f>+aus_cs2!M85</f>
        <v>9820059.5956993978</v>
      </c>
      <c r="K15" s="50">
        <f>+aus_cs2!N85</f>
        <v>13517556.222809948</v>
      </c>
      <c r="L15" s="50">
        <f>+aus_cs2!O85</f>
        <v>13120212.199598452</v>
      </c>
      <c r="M15" s="50">
        <f>+aus_cs2!P85</f>
        <v>38866830.497844622</v>
      </c>
      <c r="N15" s="50">
        <f>+aus_cs2!Q85</f>
        <v>47083185.362348847</v>
      </c>
      <c r="O15" s="43"/>
      <c r="P15" s="43"/>
      <c r="Q15" s="43"/>
      <c r="R15" s="43"/>
      <c r="S15" s="43"/>
      <c r="T15" s="43"/>
      <c r="U15" s="43"/>
      <c r="V15" s="43"/>
      <c r="W15" s="43"/>
      <c r="X15" s="43"/>
      <c r="Y15" s="43"/>
    </row>
    <row r="16" spans="1:25">
      <c r="A16" s="56" t="s">
        <v>114</v>
      </c>
      <c r="B16" s="50">
        <f>+aus_cs2!E84-aus_cs2!E83</f>
        <v>0</v>
      </c>
      <c r="C16" s="50">
        <f>+aus_cs2!F84-aus_cs2!F83</f>
        <v>0</v>
      </c>
      <c r="D16" s="50">
        <f>+aus_cs2!G84-aus_cs2!G83</f>
        <v>0</v>
      </c>
      <c r="E16" s="50">
        <f>+aus_cs2!H84-aus_cs2!H83</f>
        <v>0</v>
      </c>
      <c r="F16" s="50">
        <f>+aus_cs2!I84-aus_cs2!I83</f>
        <v>-4196895.6973556336</v>
      </c>
      <c r="G16" s="50">
        <f>+aus_cs2!J84-aus_cs2!J83</f>
        <v>-4334704.6265079249</v>
      </c>
      <c r="H16" s="50">
        <f>+aus_cs2!K84-aus_cs2!K83</f>
        <v>-4478646.1012967657</v>
      </c>
      <c r="I16" s="50">
        <f>+aus_cs2!L84-aus_cs2!L83</f>
        <v>-4629028.8430579603</v>
      </c>
      <c r="J16" s="50">
        <f>+aus_cs2!M84-aus_cs2!M83</f>
        <v>-4784461.0949854217</v>
      </c>
      <c r="K16" s="50">
        <f>+aus_cs2!N84-aus_cs2!N83</f>
        <v>-3951666.4742077221</v>
      </c>
      <c r="L16" s="50">
        <f>+aus_cs2!O84-aus_cs2!O83</f>
        <v>-975331.80578404618</v>
      </c>
      <c r="M16" s="50">
        <f>+aus_cs2!P84-aus_cs2!P83</f>
        <v>-771958.81360219419</v>
      </c>
      <c r="N16" s="50">
        <f>+aus_cs2!Q84-aus_cs2!Q83</f>
        <v>0</v>
      </c>
      <c r="O16" s="43"/>
      <c r="P16" s="43"/>
      <c r="Q16" s="43"/>
      <c r="R16" s="43"/>
      <c r="S16" s="43"/>
      <c r="T16" s="43"/>
      <c r="U16" s="43"/>
      <c r="V16" s="43"/>
      <c r="W16" s="43"/>
      <c r="X16" s="43"/>
      <c r="Y16" s="57"/>
    </row>
    <row r="17" spans="1:25">
      <c r="A17" s="56" t="s">
        <v>115</v>
      </c>
      <c r="B17" s="50">
        <f>+aus_cs2!E76-aus_cs2!E75</f>
        <v>0</v>
      </c>
      <c r="C17" s="50">
        <f>+aus_cs2!F76-aus_cs2!F75</f>
        <v>0</v>
      </c>
      <c r="D17" s="50">
        <f>+aus_cs2!G76-aus_cs2!G75</f>
        <v>0</v>
      </c>
      <c r="E17" s="50">
        <f>+aus_cs2!H76-aus_cs2!H75</f>
        <v>0</v>
      </c>
      <c r="F17" s="50">
        <f>+aus_cs2!I76-aus_cs2!I75</f>
        <v>-7753407.414941581</v>
      </c>
      <c r="G17" s="50">
        <f>+aus_cs2!J76-aus_cs2!J75</f>
        <v>-6038275.3593691019</v>
      </c>
      <c r="H17" s="50">
        <f>+aus_cs2!K76-aus_cs2!K75</f>
        <v>-4849926.1457863338</v>
      </c>
      <c r="I17" s="50">
        <f>+aus_cs2!L76-aus_cs2!L75</f>
        <v>-3974250.1732844282</v>
      </c>
      <c r="J17" s="50">
        <f>+aus_cs2!M76-aus_cs2!M75</f>
        <v>-3116853.7677923306</v>
      </c>
      <c r="K17" s="50">
        <f>+aus_cs2!N76-aus_cs2!N75</f>
        <v>0</v>
      </c>
      <c r="L17" s="50">
        <f>+aus_cs2!O76-aus_cs2!O75</f>
        <v>0</v>
      </c>
      <c r="M17" s="50">
        <f>+aus_cs2!P76-aus_cs2!P75</f>
        <v>0</v>
      </c>
      <c r="N17" s="50">
        <f>+aus_cs2!Q76-aus_cs2!Q75</f>
        <v>0</v>
      </c>
      <c r="O17" s="43"/>
      <c r="P17" s="43"/>
      <c r="Q17" s="43"/>
      <c r="R17" s="43"/>
      <c r="S17" s="43"/>
      <c r="T17" s="43"/>
      <c r="U17" s="43"/>
      <c r="V17" s="43"/>
      <c r="W17" s="43"/>
      <c r="X17" s="43"/>
      <c r="Y17" s="57"/>
    </row>
    <row r="18" spans="1:25" s="28" customFormat="1">
      <c r="A18" s="43"/>
      <c r="B18" s="59">
        <f>-aus_cs2!E64</f>
        <v>0</v>
      </c>
      <c r="C18" s="59">
        <f>-aus_cs2!F64</f>
        <v>215000</v>
      </c>
      <c r="D18" s="59">
        <f>-aus_cs2!G64</f>
        <v>289000</v>
      </c>
      <c r="E18" s="59">
        <f>-aus_cs2!H64</f>
        <v>0</v>
      </c>
      <c r="F18" s="59">
        <f>-aus_cs2!I64</f>
        <v>289495</v>
      </c>
      <c r="G18" s="59">
        <f>-aus_cs2!J64</f>
        <v>1289495</v>
      </c>
      <c r="H18" s="59">
        <f>-aus_cs2!K64</f>
        <v>1909495</v>
      </c>
      <c r="I18" s="59">
        <f>-aus_cs2!L64</f>
        <v>1909495</v>
      </c>
      <c r="J18" s="59">
        <f>-aus_cs2!M64</f>
        <v>2659495</v>
      </c>
      <c r="K18" s="59">
        <f>-aus_cs2!N64</f>
        <v>3058419.2499999995</v>
      </c>
      <c r="L18" s="59">
        <f>-aus_cs2!O64</f>
        <v>3517182.1374999993</v>
      </c>
      <c r="M18" s="59">
        <f>-aus_cs2!P64</f>
        <v>0</v>
      </c>
      <c r="N18" s="59">
        <f>-aus_cs2!Q64</f>
        <v>0</v>
      </c>
      <c r="O18" s="43"/>
      <c r="P18" s="43"/>
      <c r="Q18" s="43"/>
      <c r="R18" s="43"/>
      <c r="S18" s="43"/>
      <c r="T18" s="43"/>
      <c r="U18" s="43"/>
      <c r="V18" s="43"/>
      <c r="W18" s="43"/>
      <c r="X18" s="43"/>
      <c r="Y18" s="43"/>
    </row>
    <row r="19" spans="1:25">
      <c r="A19" s="43"/>
      <c r="B19" s="43"/>
      <c r="C19" s="43"/>
      <c r="D19" s="43"/>
      <c r="E19" s="43"/>
      <c r="F19" s="43"/>
      <c r="G19" s="43"/>
      <c r="H19" s="43"/>
      <c r="I19" s="43"/>
      <c r="J19" s="43"/>
      <c r="K19" s="43"/>
      <c r="L19" s="43"/>
      <c r="M19" s="43"/>
      <c r="N19" s="43"/>
      <c r="O19" s="43"/>
      <c r="P19" s="43"/>
      <c r="Q19" s="43"/>
      <c r="R19" s="43"/>
      <c r="S19" s="43"/>
      <c r="T19" s="43"/>
      <c r="U19" s="43"/>
      <c r="V19" s="43"/>
      <c r="W19" s="43"/>
      <c r="X19" s="43"/>
      <c r="Y19" s="43"/>
    </row>
    <row r="20" spans="1:25">
      <c r="A20" s="43"/>
      <c r="B20" s="54"/>
      <c r="C20" s="54"/>
      <c r="D20" s="54"/>
      <c r="E20" s="54"/>
      <c r="F20" s="54"/>
      <c r="G20" s="54"/>
      <c r="H20" s="54"/>
      <c r="I20" s="54"/>
      <c r="J20" s="54"/>
      <c r="K20" s="54"/>
      <c r="L20" s="54"/>
      <c r="M20" s="54"/>
      <c r="N20" s="54"/>
      <c r="O20" s="43"/>
      <c r="P20" s="43"/>
      <c r="Q20" s="43"/>
      <c r="R20" s="43"/>
      <c r="S20" s="43"/>
      <c r="T20" s="43"/>
      <c r="U20" s="43"/>
      <c r="V20" s="43"/>
      <c r="W20" s="43"/>
      <c r="X20" s="43"/>
      <c r="Y20" s="43"/>
    </row>
    <row r="21" spans="1:25">
      <c r="A21" s="46" t="s">
        <v>108</v>
      </c>
      <c r="B21" s="50">
        <f>+turks_cs2!B20</f>
        <v>0</v>
      </c>
      <c r="C21" s="50">
        <f>+turks_cs2!C20</f>
        <v>0</v>
      </c>
      <c r="D21" s="50">
        <f>+turks_cs2!D20</f>
        <v>0</v>
      </c>
      <c r="E21" s="50">
        <f>+turks_cs2!E20</f>
        <v>0</v>
      </c>
      <c r="F21" s="50">
        <f>+turks_cs2!F20</f>
        <v>350000</v>
      </c>
      <c r="G21" s="50">
        <f>+turks_cs2!G20</f>
        <v>0</v>
      </c>
      <c r="H21" s="50">
        <f>+turks_cs2!H20</f>
        <v>350000</v>
      </c>
      <c r="I21" s="50">
        <f>+turks_cs2!I20</f>
        <v>0</v>
      </c>
      <c r="J21" s="50">
        <f>+turks_cs2!J20</f>
        <v>0</v>
      </c>
      <c r="K21" s="50">
        <f>+turks_cs2!K20</f>
        <v>22075000</v>
      </c>
      <c r="L21" s="50">
        <f>+turks_cs2!L20</f>
        <v>0</v>
      </c>
      <c r="M21" s="50">
        <f>+turks_cs2!M20</f>
        <v>986337.26881601196</v>
      </c>
      <c r="N21" s="50">
        <f>+turks_cs2!N20</f>
        <v>1371287</v>
      </c>
      <c r="O21" s="43"/>
      <c r="P21" s="43"/>
      <c r="Q21" s="43"/>
      <c r="R21" s="43"/>
      <c r="S21" s="43"/>
      <c r="T21" s="43"/>
      <c r="U21" s="43"/>
      <c r="V21" s="43"/>
      <c r="W21" s="43"/>
      <c r="X21" s="43"/>
      <c r="Y21" s="43"/>
    </row>
    <row r="22" spans="1:25">
      <c r="A22" s="46" t="s">
        <v>109</v>
      </c>
      <c r="B22" s="50">
        <f>+turks_cs2!B27</f>
        <v>0</v>
      </c>
      <c r="C22" s="50">
        <f>+turks_cs2!C27</f>
        <v>-382967</v>
      </c>
      <c r="D22" s="50">
        <f>+turks_cs2!D27</f>
        <v>-2326328</v>
      </c>
      <c r="E22" s="50">
        <f>+turks_cs2!E27</f>
        <v>-3292886</v>
      </c>
      <c r="F22" s="50">
        <f>+turks_cs2!F27</f>
        <v>-5106622</v>
      </c>
      <c r="G22" s="50">
        <f>+turks_cs2!G27</f>
        <v>-420000</v>
      </c>
      <c r="H22" s="50">
        <f>+turks_cs2!H27</f>
        <v>-200000</v>
      </c>
      <c r="I22" s="50">
        <f>+turks_cs2!I27</f>
        <v>-150000</v>
      </c>
      <c r="J22" s="50">
        <f>+turks_cs2!J27</f>
        <v>-550000</v>
      </c>
      <c r="K22" s="50">
        <f>+turks_cs2!K27</f>
        <v>-1361095.8904109588</v>
      </c>
      <c r="L22" s="50">
        <f>+turks_cs2!L27</f>
        <v>0</v>
      </c>
      <c r="M22" s="50">
        <f>+turks_cs2!M27</f>
        <v>0</v>
      </c>
      <c r="N22" s="50">
        <f>+turks_cs2!N27</f>
        <v>0</v>
      </c>
      <c r="O22" s="43"/>
      <c r="P22" s="43"/>
      <c r="Q22" s="43"/>
      <c r="R22" s="43"/>
      <c r="S22" s="43"/>
      <c r="T22" s="43"/>
      <c r="U22" s="43"/>
      <c r="V22" s="43"/>
      <c r="W22" s="43"/>
      <c r="X22" s="43"/>
      <c r="Y22" s="43"/>
    </row>
    <row r="23" spans="1:25">
      <c r="A23" s="46" t="s">
        <v>111</v>
      </c>
      <c r="B23" s="50">
        <f>+turks_cs2!B70</f>
        <v>30602658.149102613</v>
      </c>
      <c r="C23" s="50">
        <f>+turks_cs2!C70</f>
        <v>35723216.42177093</v>
      </c>
      <c r="D23" s="50">
        <f>+turks_cs2!D70</f>
        <v>38565928.424821809</v>
      </c>
      <c r="E23" s="50">
        <f>+turks_cs2!E70</f>
        <v>40379580.576386034</v>
      </c>
      <c r="F23" s="50">
        <f>+turks_cs2!F70</f>
        <v>40032700.798691444</v>
      </c>
      <c r="G23" s="50">
        <f>+turks_cs2!G70</f>
        <v>36265000.089758396</v>
      </c>
      <c r="H23" s="50">
        <f>+turks_cs2!H70</f>
        <v>38900747.169811323</v>
      </c>
      <c r="I23" s="50">
        <f>+turks_cs2!I70</f>
        <v>41760245.297078438</v>
      </c>
      <c r="J23" s="50">
        <f>+turks_cs2!J70</f>
        <v>50265874.093843371</v>
      </c>
      <c r="K23" s="50">
        <f>+turks_cs2!K70</f>
        <v>32637075</v>
      </c>
      <c r="L23" s="50">
        <f>+turks_cs2!L70</f>
        <v>33952187.25</v>
      </c>
      <c r="M23" s="50">
        <f>+turks_cs2!M70</f>
        <v>35273002.8675</v>
      </c>
      <c r="N23" s="50">
        <f>+turks_cs2!N70</f>
        <v>37231192.953525007</v>
      </c>
      <c r="O23" s="43"/>
      <c r="P23" s="43"/>
      <c r="Q23" s="43"/>
      <c r="R23" s="43"/>
      <c r="S23" s="43"/>
      <c r="T23" s="43"/>
      <c r="U23" s="43"/>
      <c r="V23" s="43"/>
      <c r="W23" s="43"/>
      <c r="X23" s="43"/>
      <c r="Y23" s="43"/>
    </row>
    <row r="24" spans="1:25">
      <c r="A24" s="43"/>
      <c r="B24" s="43"/>
      <c r="C24" s="43"/>
      <c r="D24" s="43"/>
      <c r="E24" s="43"/>
      <c r="F24" s="43"/>
      <c r="G24" s="43"/>
      <c r="H24" s="43"/>
      <c r="I24" s="43"/>
      <c r="J24" s="43"/>
      <c r="K24" s="43"/>
      <c r="L24" s="43"/>
      <c r="M24" s="43"/>
      <c r="N24" s="43"/>
      <c r="O24" s="43"/>
      <c r="P24" s="43"/>
      <c r="Q24" s="43"/>
      <c r="R24" s="43"/>
      <c r="S24" s="43"/>
      <c r="T24" s="43"/>
      <c r="U24" s="43"/>
      <c r="V24" s="43"/>
      <c r="W24" s="43"/>
      <c r="X24" s="43"/>
      <c r="Y24" s="43"/>
    </row>
    <row r="25" spans="1:25">
      <c r="A25" s="43"/>
      <c r="B25" s="54"/>
      <c r="C25" s="54"/>
      <c r="D25" s="54"/>
      <c r="E25" s="54"/>
      <c r="F25" s="54"/>
      <c r="G25" s="54"/>
      <c r="H25" s="54"/>
      <c r="I25" s="54"/>
      <c r="J25" s="54"/>
      <c r="K25" s="54"/>
      <c r="L25" s="54"/>
      <c r="M25" s="54"/>
      <c r="N25" s="54"/>
      <c r="O25" s="43"/>
      <c r="P25" s="43"/>
      <c r="Q25" s="43"/>
      <c r="R25" s="43"/>
      <c r="S25" s="43"/>
      <c r="T25" s="43"/>
      <c r="U25" s="43"/>
      <c r="V25" s="43"/>
      <c r="W25" s="43"/>
      <c r="X25" s="43"/>
      <c r="Y25" s="43"/>
    </row>
    <row r="26" spans="1:25">
      <c r="A26" s="46" t="s">
        <v>108</v>
      </c>
      <c r="B26" s="50">
        <f>+frith_cs2!B17</f>
        <v>0</v>
      </c>
      <c r="C26" s="50">
        <f>+frith_cs2!C17</f>
        <v>0</v>
      </c>
      <c r="D26" s="50">
        <f>+frith_cs2!D17</f>
        <v>0</v>
      </c>
      <c r="E26" s="50">
        <f>+frith_cs2!E17</f>
        <v>0</v>
      </c>
      <c r="F26" s="50">
        <f>+frith_cs2!F17</f>
        <v>0</v>
      </c>
      <c r="G26" s="50">
        <f>+frith_cs2!G17</f>
        <v>2400000</v>
      </c>
      <c r="H26" s="50">
        <f>+frith_cs2!H17</f>
        <v>3600000</v>
      </c>
      <c r="I26" s="50">
        <f>+frith_cs2!I17</f>
        <v>0</v>
      </c>
      <c r="J26" s="50">
        <f>+frith_cs2!J17</f>
        <v>16900000</v>
      </c>
      <c r="K26" s="50">
        <f>+frith_cs2!K17</f>
        <v>0</v>
      </c>
      <c r="L26" s="50">
        <f>+frith_cs2!L17</f>
        <v>0</v>
      </c>
      <c r="M26" s="50">
        <f>+frith_cs2!M17</f>
        <v>0</v>
      </c>
      <c r="N26" s="50">
        <f>+frith_cs2!N17</f>
        <v>0</v>
      </c>
      <c r="O26" s="43"/>
      <c r="P26" s="43"/>
      <c r="Q26" s="43"/>
      <c r="R26" s="43"/>
      <c r="S26" s="43"/>
      <c r="T26" s="43"/>
      <c r="U26" s="43"/>
      <c r="V26" s="43"/>
      <c r="W26" s="43"/>
      <c r="X26" s="43"/>
      <c r="Y26" s="43"/>
    </row>
    <row r="27" spans="1:25">
      <c r="A27" s="60" t="s">
        <v>109</v>
      </c>
      <c r="B27" s="50">
        <f>+frith_cs2!B24</f>
        <v>0</v>
      </c>
      <c r="C27" s="50">
        <f>+frith_cs2!C24</f>
        <v>0</v>
      </c>
      <c r="D27" s="50">
        <f>+frith_cs2!D24</f>
        <v>0</v>
      </c>
      <c r="E27" s="50">
        <f>+frith_cs2!E24</f>
        <v>0</v>
      </c>
      <c r="F27" s="50">
        <f>+frith_cs2!F24</f>
        <v>-860000</v>
      </c>
      <c r="G27" s="50">
        <f>+frith_cs2!G24</f>
        <v>0</v>
      </c>
      <c r="H27" s="50">
        <f>+frith_cs2!H24</f>
        <v>-1750000</v>
      </c>
      <c r="I27" s="50">
        <f>+frith_cs2!I24</f>
        <v>0</v>
      </c>
      <c r="J27" s="50">
        <f>+frith_cs2!J24</f>
        <v>0</v>
      </c>
      <c r="K27" s="50">
        <f>+frith_cs2!K24</f>
        <v>0</v>
      </c>
      <c r="L27" s="50">
        <f>+frith_cs2!L24</f>
        <v>0</v>
      </c>
      <c r="M27" s="50">
        <f>+frith_cs2!M24</f>
        <v>0</v>
      </c>
      <c r="N27" s="50">
        <f>+frith_cs2!N24</f>
        <v>0</v>
      </c>
      <c r="O27" s="43"/>
      <c r="P27" s="43"/>
      <c r="Q27" s="43"/>
      <c r="R27" s="43"/>
      <c r="S27" s="43"/>
      <c r="T27" s="43"/>
      <c r="U27" s="43"/>
      <c r="V27" s="43"/>
      <c r="W27" s="43"/>
      <c r="X27" s="43"/>
      <c r="Y27" s="43"/>
    </row>
    <row r="28" spans="1:25">
      <c r="A28" s="46" t="s">
        <v>111</v>
      </c>
      <c r="B28" s="50">
        <f>+frith_cs2!B60</f>
        <v>0</v>
      </c>
      <c r="C28" s="50">
        <f>+frith_cs2!C60</f>
        <v>11353679.54322795</v>
      </c>
      <c r="D28" s="50">
        <f>+frith_cs2!D60</f>
        <v>13799239.652720192</v>
      </c>
      <c r="E28" s="50">
        <f>+frith_cs2!E60</f>
        <v>15549102.824653054</v>
      </c>
      <c r="F28" s="50">
        <f>+frith_cs2!F60</f>
        <v>15839974.24952361</v>
      </c>
      <c r="G28" s="50">
        <f>+frith_cs2!G60</f>
        <v>15929659.409396553</v>
      </c>
      <c r="H28" s="50">
        <f>+frith_cs2!H60</f>
        <v>15182357.230999554</v>
      </c>
      <c r="I28" s="50">
        <f>+frith_cs2!I60</f>
        <v>17072719.878932104</v>
      </c>
      <c r="J28" s="50">
        <f>+frith_cs2!J60</f>
        <v>0</v>
      </c>
      <c r="K28" s="50">
        <f>+frith_cs2!K60</f>
        <v>0</v>
      </c>
      <c r="L28" s="50">
        <f>+frith_cs2!L60</f>
        <v>0</v>
      </c>
      <c r="M28" s="50">
        <f>+frith_cs2!M60</f>
        <v>0</v>
      </c>
      <c r="N28" s="50">
        <f>+frith_cs2!N60</f>
        <v>0</v>
      </c>
      <c r="O28" s="43"/>
      <c r="P28" s="43"/>
      <c r="Q28" s="43"/>
      <c r="R28" s="43"/>
      <c r="S28" s="43"/>
      <c r="T28" s="43"/>
      <c r="U28" s="43"/>
      <c r="V28" s="43"/>
      <c r="W28" s="43"/>
      <c r="X28" s="43"/>
      <c r="Y28" s="43"/>
    </row>
    <row r="29" spans="1:25">
      <c r="A29" s="43"/>
      <c r="B29" s="61"/>
      <c r="C29" s="61"/>
      <c r="D29" s="61"/>
      <c r="E29" s="61"/>
      <c r="F29" s="61"/>
      <c r="G29" s="61"/>
      <c r="H29" s="61"/>
      <c r="I29" s="61"/>
      <c r="J29" s="61"/>
      <c r="K29" s="61"/>
      <c r="L29" s="61"/>
      <c r="M29" s="61"/>
      <c r="N29" s="61"/>
      <c r="O29" s="43"/>
      <c r="P29" s="43"/>
      <c r="Q29" s="43"/>
      <c r="R29" s="43"/>
      <c r="S29" s="43"/>
      <c r="T29" s="43"/>
      <c r="U29" s="43"/>
      <c r="V29" s="43"/>
      <c r="W29" s="43"/>
      <c r="X29" s="43"/>
      <c r="Y29" s="43"/>
    </row>
    <row r="30" spans="1:25">
      <c r="A30" s="43"/>
      <c r="B30" s="54"/>
      <c r="C30" s="54"/>
      <c r="D30" s="54"/>
      <c r="E30" s="54"/>
      <c r="F30" s="54"/>
      <c r="G30" s="54"/>
      <c r="H30" s="54"/>
      <c r="I30" s="54"/>
      <c r="J30" s="54"/>
      <c r="K30" s="54"/>
      <c r="L30" s="54"/>
      <c r="M30" s="54"/>
      <c r="N30" s="54"/>
      <c r="O30" s="43"/>
      <c r="P30" s="43"/>
      <c r="Q30" s="43"/>
      <c r="R30" s="43"/>
      <c r="S30" s="43"/>
      <c r="T30" s="43"/>
      <c r="U30" s="43"/>
      <c r="V30" s="43"/>
      <c r="W30" s="43"/>
      <c r="X30" s="43"/>
      <c r="Y30" s="43"/>
    </row>
    <row r="31" spans="1:25">
      <c r="A31" s="46" t="s">
        <v>108</v>
      </c>
      <c r="B31" s="50">
        <f>+elbow_cs2!B18</f>
        <v>0</v>
      </c>
      <c r="C31" s="50">
        <f>+elbow_cs2!C18</f>
        <v>0</v>
      </c>
      <c r="D31" s="50">
        <f>+elbow_cs2!D18</f>
        <v>2500000</v>
      </c>
      <c r="E31" s="50">
        <f>+elbow_cs2!E18</f>
        <v>2500000</v>
      </c>
      <c r="F31" s="50">
        <f>+elbow_cs2!F18</f>
        <v>6137500</v>
      </c>
      <c r="G31" s="50">
        <f>+elbow_cs2!G18</f>
        <v>5640000</v>
      </c>
      <c r="H31" s="50">
        <f>+elbow_cs2!H18</f>
        <v>7300000</v>
      </c>
      <c r="I31" s="50">
        <f>+elbow_cs2!I18</f>
        <v>0</v>
      </c>
      <c r="J31" s="50">
        <f>+elbow_cs2!J18</f>
        <v>0</v>
      </c>
      <c r="K31" s="50">
        <f>+elbow_cs2!K18</f>
        <v>0</v>
      </c>
      <c r="L31" s="50">
        <f>+elbow_cs2!L18</f>
        <v>0</v>
      </c>
      <c r="M31" s="50">
        <f>+elbow_cs2!M18</f>
        <v>0</v>
      </c>
      <c r="N31" s="50">
        <f>+elbow_cs2!N18</f>
        <v>0</v>
      </c>
      <c r="O31" s="43"/>
      <c r="P31" s="43"/>
      <c r="Q31" s="43"/>
      <c r="R31" s="43"/>
      <c r="S31" s="43"/>
      <c r="T31" s="43"/>
      <c r="U31" s="43"/>
      <c r="V31" s="43"/>
      <c r="W31" s="43"/>
      <c r="X31" s="43"/>
      <c r="Y31" s="43"/>
    </row>
    <row r="32" spans="1:25">
      <c r="A32" s="46" t="s">
        <v>109</v>
      </c>
      <c r="B32" s="50">
        <f>+elbow_cs2!B24</f>
        <v>0</v>
      </c>
      <c r="C32" s="50">
        <f>+elbow_cs2!C24</f>
        <v>-2500000</v>
      </c>
      <c r="D32" s="50">
        <f>+elbow_cs2!D24</f>
        <v>0</v>
      </c>
      <c r="E32" s="50">
        <f>+elbow_cs2!E24</f>
        <v>0</v>
      </c>
      <c r="F32" s="50">
        <f>+elbow_cs2!F24</f>
        <v>0</v>
      </c>
      <c r="G32" s="50">
        <f>+elbow_cs2!G24</f>
        <v>-1000000</v>
      </c>
      <c r="H32" s="50">
        <f>+elbow_cs2!H24</f>
        <v>-2040000</v>
      </c>
      <c r="I32" s="50">
        <f>+elbow_cs2!I24</f>
        <v>-2000000</v>
      </c>
      <c r="J32" s="50">
        <f>+elbow_cs2!J24</f>
        <v>-8250000</v>
      </c>
      <c r="K32" s="50">
        <f>+elbow_cs2!K24</f>
        <v>0</v>
      </c>
      <c r="L32" s="50">
        <f>+elbow_cs2!L24</f>
        <v>0</v>
      </c>
      <c r="M32" s="50">
        <f>+elbow_cs2!M24</f>
        <v>-15000000</v>
      </c>
      <c r="N32" s="50">
        <f>+elbow_cs2!N24</f>
        <v>0</v>
      </c>
      <c r="O32" s="43"/>
      <c r="P32" s="43"/>
      <c r="Q32" s="43"/>
      <c r="R32" s="43"/>
      <c r="S32" s="43"/>
      <c r="T32" s="43"/>
      <c r="U32" s="43"/>
      <c r="V32" s="43"/>
      <c r="W32" s="43"/>
      <c r="X32" s="43"/>
      <c r="Y32" s="43"/>
    </row>
    <row r="33" spans="1:25">
      <c r="A33" s="46" t="s">
        <v>111</v>
      </c>
      <c r="B33" s="50">
        <f>+elbow_cs2!B53</f>
        <v>5000000</v>
      </c>
      <c r="C33" s="50">
        <f>+elbow_cs2!C53</f>
        <v>17383391.370336019</v>
      </c>
      <c r="D33" s="50">
        <f>+elbow_cs2!D53</f>
        <v>19070671.377654947</v>
      </c>
      <c r="E33" s="50">
        <f>+elbow_cs2!E53</f>
        <v>20943032.234737165</v>
      </c>
      <c r="F33" s="50">
        <f>+elbow_cs2!F53</f>
        <v>22999221.710629381</v>
      </c>
      <c r="G33" s="50">
        <f>+elbow_cs2!G53</f>
        <v>28009536.136664666</v>
      </c>
      <c r="H33" s="50">
        <f>+elbow_cs2!H53</f>
        <v>30460556.806394603</v>
      </c>
      <c r="I33" s="50">
        <f>+elbow_cs2!I53</f>
        <v>33156609.146139551</v>
      </c>
      <c r="J33" s="50">
        <f>+elbow_cs2!J53</f>
        <v>36091288.056792036</v>
      </c>
      <c r="K33" s="50">
        <f>+elbow_cs2!K53</f>
        <v>56628545.428496853</v>
      </c>
      <c r="L33" s="50">
        <f>+elbow_cs2!L53</f>
        <v>76968139.315230623</v>
      </c>
      <c r="M33" s="50">
        <f>+elbow_cs2!M53</f>
        <v>97729625</v>
      </c>
      <c r="N33" s="50">
        <f>+elbow_cs2!N53</f>
        <v>104879625</v>
      </c>
      <c r="O33" s="43"/>
      <c r="P33" s="43"/>
      <c r="Q33" s="43"/>
      <c r="R33" s="43"/>
      <c r="S33" s="43"/>
      <c r="T33" s="43"/>
      <c r="U33" s="43"/>
      <c r="V33" s="43"/>
      <c r="W33" s="43"/>
      <c r="X33" s="43"/>
      <c r="Y33" s="43"/>
    </row>
    <row r="34" spans="1:25">
      <c r="A34" s="43"/>
      <c r="B34" s="50"/>
      <c r="C34" s="43"/>
      <c r="D34" s="43"/>
      <c r="E34" s="43"/>
      <c r="F34" s="43"/>
      <c r="G34" s="43"/>
      <c r="H34" s="43"/>
      <c r="I34" s="43"/>
      <c r="J34" s="43"/>
      <c r="K34" s="50"/>
      <c r="L34" s="50"/>
      <c r="M34" s="50"/>
      <c r="N34" s="50"/>
      <c r="O34" s="43"/>
      <c r="P34" s="43"/>
      <c r="Q34" s="43"/>
      <c r="R34" s="43"/>
      <c r="S34" s="43"/>
      <c r="T34" s="43"/>
      <c r="U34" s="43"/>
      <c r="V34" s="43"/>
      <c r="W34" s="43"/>
      <c r="X34" s="43"/>
      <c r="Y34" s="43"/>
    </row>
    <row r="35" spans="1:25">
      <c r="A35" s="43"/>
      <c r="B35" s="50"/>
      <c r="C35" s="43"/>
      <c r="D35" s="43"/>
      <c r="E35" s="43"/>
      <c r="F35" s="43"/>
      <c r="G35" s="43"/>
      <c r="H35" s="43"/>
      <c r="I35" s="43"/>
      <c r="J35" s="43"/>
      <c r="K35" s="50"/>
      <c r="L35" s="50"/>
      <c r="M35" s="50"/>
      <c r="N35" s="50"/>
      <c r="O35" s="43"/>
      <c r="P35" s="43"/>
      <c r="Q35" s="43"/>
      <c r="R35" s="43"/>
      <c r="S35" s="43"/>
      <c r="T35" s="43"/>
      <c r="U35" s="43"/>
      <c r="V35" s="43"/>
      <c r="W35" s="43"/>
      <c r="X35" s="43"/>
      <c r="Y35" s="43"/>
    </row>
    <row r="36" spans="1:25" s="28" customFormat="1">
      <c r="A36" s="43"/>
      <c r="B36" s="50">
        <f>sat_cs2!B24</f>
        <v>0</v>
      </c>
      <c r="C36" s="50">
        <f>sat_cs2!C24</f>
        <v>0</v>
      </c>
      <c r="D36" s="50">
        <f>sat_cs2!D24</f>
        <v>0</v>
      </c>
      <c r="E36" s="50">
        <f>sat_cs2!E24</f>
        <v>0</v>
      </c>
      <c r="F36" s="50">
        <f>sat_cs2!F24</f>
        <v>0</v>
      </c>
      <c r="G36" s="50">
        <f>sat_cs2!G24</f>
        <v>0</v>
      </c>
      <c r="H36" s="50">
        <f>sat_cs2!H24</f>
        <v>0</v>
      </c>
      <c r="I36" s="50">
        <f>sat_cs2!I24</f>
        <v>0</v>
      </c>
      <c r="J36" s="50">
        <f>sat_cs2!J24</f>
        <v>0</v>
      </c>
      <c r="K36" s="50">
        <f>sat_cs2!K24</f>
        <v>0</v>
      </c>
      <c r="L36" s="50">
        <f>sat_cs2!L24</f>
        <v>20862012.987012967</v>
      </c>
      <c r="M36" s="50">
        <f>sat_cs2!M24</f>
        <v>0</v>
      </c>
      <c r="N36" s="50">
        <f>sat_cs2!N24</f>
        <v>1750000</v>
      </c>
      <c r="O36" s="43"/>
      <c r="P36" s="43"/>
      <c r="Q36" s="43"/>
      <c r="R36" s="43"/>
      <c r="S36" s="43"/>
      <c r="T36" s="43"/>
      <c r="U36" s="43"/>
      <c r="V36" s="43"/>
      <c r="W36" s="43"/>
      <c r="X36" s="43"/>
      <c r="Y36" s="43"/>
    </row>
    <row r="37" spans="1:25" s="28" customFormat="1">
      <c r="A37" s="43"/>
      <c r="B37" s="50">
        <f>sat_cs2!B17</f>
        <v>0</v>
      </c>
      <c r="C37" s="50">
        <f>sat_cs2!C17</f>
        <v>0</v>
      </c>
      <c r="D37" s="50">
        <f>sat_cs2!D17</f>
        <v>0</v>
      </c>
      <c r="E37" s="50">
        <f>sat_cs2!E17</f>
        <v>0</v>
      </c>
      <c r="F37" s="50">
        <f>sat_cs2!F17</f>
        <v>0</v>
      </c>
      <c r="G37" s="50">
        <f>sat_cs2!G17</f>
        <v>0</v>
      </c>
      <c r="H37" s="50">
        <f>sat_cs2!H17</f>
        <v>0</v>
      </c>
      <c r="I37" s="50">
        <f>sat_cs2!I17</f>
        <v>0</v>
      </c>
      <c r="J37" s="50">
        <f>sat_cs2!J17</f>
        <v>-16000000</v>
      </c>
      <c r="K37" s="50">
        <f>sat_cs2!K17</f>
        <v>0</v>
      </c>
      <c r="L37" s="50">
        <f>sat_cs2!L17</f>
        <v>0</v>
      </c>
      <c r="M37" s="50">
        <f>sat_cs2!M17</f>
        <v>0</v>
      </c>
      <c r="N37" s="50">
        <f>sat_cs2!N17</f>
        <v>0</v>
      </c>
      <c r="O37" s="43"/>
      <c r="P37" s="43"/>
      <c r="Q37" s="43"/>
      <c r="R37" s="43"/>
      <c r="S37" s="43"/>
      <c r="T37" s="43"/>
      <c r="U37" s="43"/>
      <c r="V37" s="43"/>
      <c r="W37" s="43"/>
      <c r="X37" s="43"/>
      <c r="Y37" s="43"/>
    </row>
    <row r="38" spans="1:25">
      <c r="A38" s="43"/>
      <c r="B38" s="43"/>
      <c r="C38" s="43"/>
      <c r="D38" s="43"/>
      <c r="E38" s="43"/>
      <c r="F38" s="43"/>
      <c r="G38" s="43"/>
      <c r="H38" s="43"/>
      <c r="I38" s="43"/>
      <c r="J38" s="62"/>
      <c r="K38" s="43"/>
      <c r="L38" s="43"/>
      <c r="M38" s="43"/>
      <c r="N38" s="43"/>
      <c r="O38" s="43"/>
      <c r="P38" s="43"/>
      <c r="Q38" s="43"/>
      <c r="R38" s="43"/>
      <c r="S38" s="43"/>
      <c r="T38" s="43"/>
      <c r="U38" s="43"/>
      <c r="V38" s="43"/>
      <c r="W38" s="43"/>
      <c r="X38" s="43"/>
      <c r="Y38" s="43"/>
    </row>
    <row r="39" spans="1:25">
      <c r="A39" s="43"/>
      <c r="B39" s="54"/>
      <c r="C39" s="54"/>
      <c r="D39" s="54"/>
      <c r="E39" s="54"/>
      <c r="F39" s="54"/>
      <c r="G39" s="54"/>
      <c r="H39" s="54"/>
      <c r="I39" s="54"/>
      <c r="J39" s="54"/>
      <c r="K39" s="54"/>
      <c r="L39" s="54"/>
      <c r="M39" s="54"/>
      <c r="N39" s="54"/>
      <c r="O39" s="43"/>
      <c r="P39" s="43"/>
      <c r="Q39" s="43"/>
      <c r="R39" s="43"/>
      <c r="S39" s="43"/>
      <c r="T39" s="43"/>
      <c r="U39" s="43"/>
      <c r="V39" s="43"/>
      <c r="W39" s="43"/>
      <c r="X39" s="43"/>
      <c r="Y39" s="43"/>
    </row>
    <row r="40" spans="1:25">
      <c r="A40" s="43"/>
      <c r="B40" s="43"/>
      <c r="C40" s="43"/>
      <c r="D40" s="43"/>
      <c r="E40" s="43"/>
      <c r="F40" s="43"/>
      <c r="G40" s="43"/>
      <c r="H40" s="43"/>
      <c r="I40" s="43"/>
      <c r="J40" s="62"/>
      <c r="K40" s="43"/>
      <c r="L40" s="43"/>
      <c r="M40" s="43"/>
      <c r="N40" s="43"/>
      <c r="O40" s="43"/>
      <c r="P40" s="43"/>
      <c r="Q40" s="43"/>
      <c r="R40" s="43"/>
      <c r="S40" s="43"/>
      <c r="T40" s="43"/>
      <c r="U40" s="43"/>
      <c r="V40" s="43"/>
      <c r="W40" s="43"/>
      <c r="X40" s="43"/>
      <c r="Y40" s="43"/>
    </row>
    <row r="41" spans="1:25">
      <c r="A41" s="43"/>
      <c r="B41" s="54"/>
      <c r="C41" s="54"/>
      <c r="D41" s="54"/>
      <c r="E41" s="54"/>
      <c r="F41" s="54"/>
      <c r="G41" s="54"/>
      <c r="H41" s="54"/>
      <c r="I41" s="54"/>
      <c r="J41" s="54"/>
      <c r="K41" s="54"/>
      <c r="L41" s="54"/>
      <c r="M41" s="54"/>
      <c r="N41" s="54"/>
      <c r="O41" s="43"/>
      <c r="P41" s="43"/>
      <c r="Q41" s="43"/>
      <c r="R41" s="43"/>
      <c r="S41" s="43"/>
      <c r="T41" s="43"/>
      <c r="U41" s="43"/>
      <c r="V41" s="43"/>
      <c r="W41" s="43"/>
      <c r="X41" s="43"/>
      <c r="Y41" s="43"/>
    </row>
    <row r="42" spans="1:25">
      <c r="A42" s="44" t="s">
        <v>116</v>
      </c>
      <c r="B42" s="43"/>
      <c r="C42" s="43"/>
      <c r="D42" s="43"/>
      <c r="E42" s="43"/>
      <c r="F42" s="43"/>
      <c r="G42" s="43"/>
      <c r="H42" s="43"/>
      <c r="I42" s="43"/>
      <c r="J42" s="43"/>
      <c r="K42" s="43"/>
      <c r="L42" s="43"/>
      <c r="M42" s="43"/>
      <c r="N42" s="43"/>
      <c r="O42" s="43"/>
      <c r="P42" s="43"/>
      <c r="Q42" s="43"/>
      <c r="R42" s="43"/>
      <c r="S42" s="43"/>
      <c r="T42" s="43"/>
      <c r="U42" s="43"/>
      <c r="V42" s="43"/>
      <c r="W42" s="43"/>
      <c r="X42" s="43"/>
      <c r="Y42" s="43"/>
    </row>
    <row r="43" spans="1:25">
      <c r="A43" s="63" t="s">
        <v>117</v>
      </c>
      <c r="B43" s="50">
        <f>-(+pink_cs2!B$31+elbow_cs2!B$29+aus_cs2!E$33+turks_cs2!B$32+frith_cs2!B$29)</f>
        <v>0</v>
      </c>
      <c r="C43" s="50">
        <f>-(+pink_cs2!C$31+elbow_cs2!C$29+aus_cs2!F$33+turks_cs2!C$32+frith_cs2!C$29)</f>
        <v>0</v>
      </c>
      <c r="D43" s="50">
        <f>-(+pink_cs2!D$31+elbow_cs2!D$29+aus_cs2!G$33+turks_cs2!D$32+frith_cs2!D$29)</f>
        <v>0</v>
      </c>
      <c r="E43" s="50">
        <f>-(+pink_cs2!E$31+elbow_cs2!E$29+aus_cs2!H$33+turks_cs2!E$32+frith_cs2!E$29)</f>
        <v>0</v>
      </c>
      <c r="F43" s="50">
        <f>-(+pink_cs2!F$31+elbow_cs2!F$29+aus_cs2!I$33+turks_cs2!F$32+frith_cs2!F$29)</f>
        <v>0</v>
      </c>
      <c r="G43" s="50">
        <f>-(+pink_cs2!G$31+elbow_cs2!G$29+aus_cs2!J$33+turks_cs2!G$32+frith_cs2!G$29)</f>
        <v>0</v>
      </c>
      <c r="H43" s="50">
        <f>-(+pink_cs2!H$31+elbow_cs2!H$29+aus_cs2!K$33+turks_cs2!H$32+frith_cs2!H$29)</f>
        <v>0</v>
      </c>
      <c r="I43" s="50">
        <f>-(+pink_cs2!I$31+elbow_cs2!I$29+aus_cs2!L$33+turks_cs2!I$32+frith_cs2!I$29)</f>
        <v>0</v>
      </c>
      <c r="J43" s="50">
        <f>-(+pink_cs2!J$31+elbow_cs2!J$29+aus_cs2!M$33+turks_cs2!J$32+frith_cs2!J$29)</f>
        <v>1000000</v>
      </c>
      <c r="K43" s="50">
        <f>-(+pink_cs2!K$31+elbow_cs2!K$29+aus_cs2!N$33+turks_cs2!K$32+frith_cs2!K$29)</f>
        <v>2300000</v>
      </c>
      <c r="L43" s="50">
        <f>-(+pink_cs2!L$31+elbow_cs2!L$29+aus_cs2!O$33+turks_cs2!L$32+frith_cs2!L$29)</f>
        <v>0</v>
      </c>
      <c r="M43" s="50">
        <f>-(+pink_cs2!M$31+elbow_cs2!M$29+aus_cs2!P$33+turks_cs2!M$32+frith_cs2!M$29)</f>
        <v>3500000</v>
      </c>
      <c r="N43" s="50">
        <f>-(+pink_cs2!N$31+elbow_cs2!N$29+aus_cs2!Q$33+turks_cs2!N$32+frith_cs2!N$29)</f>
        <v>0</v>
      </c>
      <c r="O43" s="43"/>
      <c r="P43" s="43"/>
      <c r="Q43" s="43"/>
      <c r="R43" s="43"/>
      <c r="S43" s="43"/>
      <c r="T43" s="43"/>
      <c r="U43" s="43"/>
      <c r="V43" s="43"/>
      <c r="W43" s="43"/>
      <c r="X43" s="43"/>
      <c r="Y43" s="43"/>
    </row>
    <row r="44" spans="1:25">
      <c r="A44" s="43"/>
      <c r="B44" s="43"/>
      <c r="C44" s="43"/>
      <c r="D44" s="43"/>
      <c r="E44" s="43"/>
      <c r="F44" s="43"/>
      <c r="G44" s="43"/>
      <c r="H44" s="43"/>
      <c r="I44" s="43"/>
      <c r="J44" s="43"/>
      <c r="K44" s="43"/>
      <c r="L44" s="43"/>
      <c r="M44" s="43"/>
      <c r="N44" s="43"/>
      <c r="O44" s="43"/>
      <c r="P44" s="43"/>
      <c r="Q44" s="43"/>
      <c r="R44" s="43"/>
      <c r="S44" s="43"/>
      <c r="T44" s="43"/>
      <c r="U44" s="43"/>
      <c r="V44" s="43"/>
      <c r="W44" s="43"/>
      <c r="X44" s="43"/>
      <c r="Y44" s="43"/>
    </row>
    <row r="45" spans="1:25">
      <c r="A45" s="43"/>
      <c r="B45" s="54"/>
      <c r="C45" s="54"/>
      <c r="D45" s="54"/>
      <c r="E45" s="54"/>
      <c r="F45" s="54"/>
      <c r="G45" s="54"/>
      <c r="H45" s="54"/>
      <c r="I45" s="54"/>
      <c r="J45" s="54"/>
      <c r="K45" s="54"/>
      <c r="L45" s="54"/>
      <c r="M45" s="54"/>
      <c r="N45" s="54"/>
      <c r="O45" s="43"/>
      <c r="P45" s="43"/>
      <c r="Q45" s="43"/>
      <c r="R45" s="43"/>
      <c r="S45" s="43"/>
      <c r="T45" s="43"/>
      <c r="U45" s="43"/>
      <c r="V45" s="43"/>
      <c r="W45" s="43"/>
      <c r="X45" s="43"/>
      <c r="Y45" s="43"/>
    </row>
    <row r="46" spans="1:25">
      <c r="A46" s="44" t="s">
        <v>118</v>
      </c>
      <c r="B46" s="50">
        <f>+'c12_hm'!E60</f>
        <v>0</v>
      </c>
      <c r="C46" s="51">
        <f>+'c12_hm'!L60</f>
        <v>558947</v>
      </c>
      <c r="D46" s="51">
        <f>+'c12_hm'!M60</f>
        <v>558947</v>
      </c>
      <c r="E46" s="51">
        <f>+'c12_hm'!N60</f>
        <v>558947</v>
      </c>
      <c r="F46" s="51">
        <f>+'c12_hm'!O60</f>
        <v>447597</v>
      </c>
      <c r="G46" s="50">
        <f>+'c12_hm'!P60</f>
        <v>310715.78947368416</v>
      </c>
      <c r="H46" s="50">
        <f>+'c12_hm'!Q60</f>
        <v>902637.28947368416</v>
      </c>
      <c r="I46" s="50">
        <f>+'c12_hm'!R60</f>
        <v>948110.97368421056</v>
      </c>
      <c r="J46" s="50">
        <f>+'c12_hm'!S60</f>
        <v>2385063.6052631577</v>
      </c>
      <c r="K46" s="50">
        <f>+'c12_hm'!T60</f>
        <v>4592895.5273684207</v>
      </c>
      <c r="L46" s="50">
        <f>+'c12_hm'!U60</f>
        <v>6222237.0247684205</v>
      </c>
      <c r="M46" s="50">
        <f>+'c12_hm'!V60</f>
        <v>8981799.0470904205</v>
      </c>
      <c r="N46" s="50">
        <f>+'c12_hm'!W60</f>
        <v>8232869.9536977708</v>
      </c>
      <c r="O46" s="43"/>
      <c r="P46" s="43"/>
      <c r="Q46" s="43"/>
      <c r="R46" s="43"/>
      <c r="S46" s="43"/>
      <c r="T46" s="43"/>
      <c r="U46" s="43"/>
      <c r="V46" s="43"/>
      <c r="W46" s="43"/>
      <c r="X46" s="43"/>
      <c r="Y46" s="43"/>
    </row>
    <row r="47" spans="1:25">
      <c r="A47" s="44" t="s">
        <v>119</v>
      </c>
      <c r="B47" s="50">
        <f>+'c12_hm'!E70</f>
        <v>0</v>
      </c>
      <c r="C47" s="51">
        <f>+'c12_hm'!L70</f>
        <v>558947</v>
      </c>
      <c r="D47" s="51">
        <f>+'c12_hm'!M70</f>
        <v>558947</v>
      </c>
      <c r="E47" s="51">
        <f>+'c12_hm'!N70</f>
        <v>558947</v>
      </c>
      <c r="F47" s="51">
        <f>+'c12_hm'!O70</f>
        <v>447597</v>
      </c>
      <c r="G47" s="50">
        <f>+'c12_hm'!P70</f>
        <v>63035.789473684214</v>
      </c>
      <c r="H47" s="50">
        <f>+'c12_hm'!Q70</f>
        <v>398173.6519736842</v>
      </c>
      <c r="I47" s="50">
        <f>+'c12_hm'!R70</f>
        <v>400447.33618421049</v>
      </c>
      <c r="J47" s="50">
        <f>+'c12_hm'!S70</f>
        <v>662529.63026315777</v>
      </c>
      <c r="K47" s="50">
        <f>+'c12_hm'!T70</f>
        <v>1158059.7503684212</v>
      </c>
      <c r="L47" s="50">
        <f>+'c12_hm'!U70</f>
        <v>1728329.2744584209</v>
      </c>
      <c r="M47" s="50">
        <f>+'c12_hm'!V70</f>
        <v>2694175.9822711209</v>
      </c>
      <c r="N47" s="50">
        <f>+'c12_hm'!W70</f>
        <v>2432050.7995836935</v>
      </c>
      <c r="O47" s="43"/>
      <c r="P47" s="43"/>
      <c r="Q47" s="43"/>
      <c r="R47" s="43"/>
      <c r="S47" s="43"/>
      <c r="T47" s="43"/>
      <c r="U47" s="43"/>
      <c r="V47" s="43"/>
      <c r="W47" s="43"/>
      <c r="X47" s="43"/>
      <c r="Y47" s="43"/>
    </row>
    <row r="48" spans="1:25">
      <c r="A48" s="49"/>
      <c r="B48" s="43"/>
      <c r="C48" s="51"/>
      <c r="D48" s="51"/>
      <c r="E48" s="51"/>
      <c r="F48" s="51"/>
      <c r="G48" s="43"/>
      <c r="H48" s="43"/>
      <c r="I48" s="43"/>
      <c r="J48" s="43"/>
      <c r="K48" s="50"/>
      <c r="L48" s="50"/>
      <c r="M48" s="50"/>
      <c r="N48" s="50"/>
      <c r="O48" s="43"/>
      <c r="P48" s="43"/>
      <c r="Q48" s="43"/>
      <c r="R48" s="43"/>
      <c r="S48" s="43"/>
      <c r="T48" s="43"/>
      <c r="U48" s="43"/>
      <c r="V48" s="43"/>
      <c r="W48" s="43"/>
      <c r="X48" s="43"/>
      <c r="Y48" s="43"/>
    </row>
    <row r="49" spans="1:25">
      <c r="A49" s="46" t="s">
        <v>120</v>
      </c>
      <c r="B49" s="50">
        <f>+lgh_manco!C8</f>
        <v>20000000</v>
      </c>
      <c r="C49" s="50">
        <f>+lgh_manco!D8</f>
        <v>20000000</v>
      </c>
      <c r="D49" s="50">
        <f>+lgh_manco!E8</f>
        <v>20000000</v>
      </c>
      <c r="E49" s="50">
        <f>+lgh_manco!F8</f>
        <v>20000000</v>
      </c>
      <c r="F49" s="50">
        <f>+lgh_manco!G8</f>
        <v>20000000</v>
      </c>
      <c r="G49" s="50">
        <f>+lgh_manco!H8</f>
        <v>20000000</v>
      </c>
      <c r="H49" s="50">
        <f>+lgh_manco!I8</f>
        <v>20000000</v>
      </c>
      <c r="I49" s="50">
        <f>+lgh_manco!J8</f>
        <v>25000000</v>
      </c>
      <c r="J49" s="50">
        <f>+lgh_manco!K8</f>
        <v>25000000</v>
      </c>
      <c r="K49" s="64">
        <f>+lgh_manco!L8</f>
        <v>25000000</v>
      </c>
      <c r="L49" s="64">
        <f>+lgh_manco!M8</f>
        <v>30000000</v>
      </c>
      <c r="M49" s="64">
        <f>+lgh_manco!N8</f>
        <v>30000000</v>
      </c>
      <c r="N49" s="64">
        <f>+lgh_manco!O8</f>
        <v>35000000</v>
      </c>
      <c r="O49" s="43"/>
      <c r="P49" s="43"/>
      <c r="Q49" s="43"/>
      <c r="R49" s="43"/>
      <c r="S49" s="43"/>
      <c r="T49" s="43"/>
      <c r="U49" s="43"/>
      <c r="V49" s="43"/>
      <c r="W49" s="43"/>
      <c r="X49" s="43"/>
      <c r="Y49" s="43"/>
    </row>
    <row r="50" spans="1:25">
      <c r="A50" s="46" t="s">
        <v>121</v>
      </c>
      <c r="B50" s="50">
        <f>+lgh_manco!C10</f>
        <v>10000000</v>
      </c>
      <c r="C50" s="50">
        <f>+lgh_manco!D10</f>
        <v>10000000</v>
      </c>
      <c r="D50" s="50">
        <f>+lgh_manco!E10</f>
        <v>10000000</v>
      </c>
      <c r="E50" s="50">
        <f>+lgh_manco!F10</f>
        <v>10000000</v>
      </c>
      <c r="F50" s="50">
        <f>+lgh_manco!G10</f>
        <v>10000000</v>
      </c>
      <c r="G50" s="50">
        <f>+lgh_manco!H10</f>
        <v>10000000</v>
      </c>
      <c r="H50" s="50">
        <f>+lgh_manco!I10</f>
        <v>12000000</v>
      </c>
      <c r="I50" s="50">
        <f>+lgh_manco!J10</f>
        <v>17500000</v>
      </c>
      <c r="J50" s="50">
        <f>+lgh_manco!K10</f>
        <v>20000000</v>
      </c>
      <c r="K50" s="43">
        <f>+lgh_manco!L10</f>
        <v>27500000.000000004</v>
      </c>
      <c r="L50" s="43">
        <f>+lgh_manco!M10</f>
        <v>42000000</v>
      </c>
      <c r="M50" s="43">
        <f>+lgh_manco!N10</f>
        <v>51000000</v>
      </c>
      <c r="N50" s="43">
        <f>+lgh_manco!O10</f>
        <v>70000000</v>
      </c>
      <c r="O50" s="43"/>
      <c r="P50" s="43"/>
      <c r="Q50" s="43"/>
      <c r="R50" s="43"/>
      <c r="S50" s="43"/>
      <c r="T50" s="43"/>
      <c r="U50" s="43"/>
      <c r="V50" s="43"/>
      <c r="W50" s="43"/>
      <c r="X50" s="43"/>
      <c r="Y50" s="43"/>
    </row>
    <row r="51" spans="1:25">
      <c r="A51" s="44" t="s">
        <v>122</v>
      </c>
      <c r="B51" s="50">
        <f>+lgh_manco!C11</f>
        <v>0</v>
      </c>
      <c r="C51" s="50">
        <f>+lgh_manco!D11</f>
        <v>0</v>
      </c>
      <c r="D51" s="50">
        <f>+lgh_manco!E11</f>
        <v>0</v>
      </c>
      <c r="E51" s="50">
        <f>+lgh_manco!F11</f>
        <v>0</v>
      </c>
      <c r="F51" s="50">
        <f>+lgh_manco!G11</f>
        <v>0</v>
      </c>
      <c r="G51" s="50">
        <f>+lgh_manco!H11</f>
        <v>0</v>
      </c>
      <c r="H51" s="50">
        <f>+lgh_manco!I11</f>
        <v>0</v>
      </c>
      <c r="I51" s="50">
        <f>+lgh_manco!J11</f>
        <v>0</v>
      </c>
      <c r="J51" s="50">
        <f>+lgh_manco!K11</f>
        <v>0</v>
      </c>
      <c r="K51" s="50">
        <f>+lgh_manco!L11</f>
        <v>0</v>
      </c>
      <c r="L51" s="50">
        <f>+lgh_manco!M11</f>
        <v>25000000</v>
      </c>
      <c r="M51" s="50">
        <f>+lgh_manco!N11</f>
        <v>50000000</v>
      </c>
      <c r="N51" s="50">
        <f>+lgh_manco!O11</f>
        <v>100000000</v>
      </c>
      <c r="O51" s="43"/>
      <c r="P51" s="43"/>
      <c r="Q51" s="43"/>
      <c r="R51" s="43"/>
      <c r="S51" s="43"/>
      <c r="T51" s="43"/>
      <c r="U51" s="43"/>
      <c r="V51" s="43"/>
      <c r="W51" s="43"/>
      <c r="X51" s="43"/>
      <c r="Y51" s="43"/>
    </row>
    <row r="52" spans="1:25">
      <c r="A52" s="43"/>
      <c r="B52" s="43"/>
      <c r="C52" s="43"/>
      <c r="D52" s="43"/>
      <c r="E52" s="43"/>
      <c r="F52" s="43"/>
      <c r="G52" s="43"/>
      <c r="H52" s="43"/>
      <c r="I52" s="43"/>
      <c r="J52" s="43"/>
      <c r="K52" s="43"/>
      <c r="L52" s="43"/>
      <c r="M52" s="43"/>
      <c r="N52" s="43"/>
      <c r="O52" s="43"/>
      <c r="P52" s="43"/>
      <c r="Q52" s="43"/>
      <c r="R52" s="43"/>
      <c r="S52" s="43"/>
      <c r="T52" s="43"/>
      <c r="U52" s="43"/>
      <c r="V52" s="43"/>
      <c r="W52" s="43"/>
      <c r="X52" s="43"/>
      <c r="Y52" s="43"/>
    </row>
    <row r="53" spans="1:25">
      <c r="A53" s="43"/>
      <c r="B53" s="43"/>
      <c r="C53" s="43"/>
      <c r="D53" s="43"/>
      <c r="E53" s="43"/>
      <c r="F53" s="43"/>
      <c r="G53" s="43"/>
      <c r="H53" s="43"/>
      <c r="I53" s="43"/>
      <c r="J53" s="43"/>
      <c r="K53" s="43"/>
      <c r="L53" s="43"/>
      <c r="M53" s="43"/>
      <c r="N53" s="43"/>
      <c r="O53" s="43"/>
      <c r="P53" s="43"/>
      <c r="Q53" s="43"/>
      <c r="R53" s="43"/>
      <c r="S53" s="43"/>
      <c r="T53" s="43"/>
      <c r="U53" s="43"/>
      <c r="V53" s="43"/>
      <c r="W53" s="43"/>
      <c r="X53" s="43"/>
      <c r="Y53" s="43"/>
    </row>
    <row r="54" spans="1:25">
      <c r="A54" s="43"/>
      <c r="B54" s="54"/>
      <c r="C54" s="54"/>
      <c r="D54" s="54"/>
      <c r="E54" s="54"/>
      <c r="F54" s="54"/>
      <c r="G54" s="54"/>
      <c r="H54" s="54"/>
      <c r="I54" s="54"/>
      <c r="J54" s="54"/>
      <c r="K54" s="54"/>
      <c r="L54" s="54"/>
      <c r="M54" s="54"/>
      <c r="N54" s="54"/>
      <c r="O54" s="43"/>
      <c r="P54" s="43"/>
      <c r="Q54" s="43"/>
      <c r="R54" s="43"/>
      <c r="S54" s="43"/>
      <c r="T54" s="43"/>
      <c r="U54" s="43"/>
      <c r="V54" s="43"/>
      <c r="W54" s="43"/>
      <c r="X54" s="43"/>
      <c r="Y54" s="43"/>
    </row>
    <row r="55" spans="1:25">
      <c r="A55" s="44" t="s">
        <v>123</v>
      </c>
      <c r="B55" s="50">
        <f>'c12_d&amp;s'!E60</f>
        <v>0</v>
      </c>
      <c r="C55" s="50">
        <f>'c12_d&amp;s'!L60</f>
        <v>128735.5</v>
      </c>
      <c r="D55" s="50">
        <f>'c12_d&amp;s'!M60</f>
        <v>128735.5</v>
      </c>
      <c r="E55" s="50">
        <f>'c12_d&amp;s'!N60</f>
        <v>699135.5</v>
      </c>
      <c r="F55" s="50">
        <f>'c12_d&amp;s'!O60</f>
        <v>911235.5</v>
      </c>
      <c r="G55" s="50">
        <f>'c12_d&amp;s'!P60</f>
        <v>1735259.1270175439</v>
      </c>
      <c r="H55" s="50">
        <f>'c12_d&amp;s'!Q60</f>
        <v>2473819.8070175434</v>
      </c>
      <c r="I55" s="50">
        <f>'c12_d&amp;s'!R60</f>
        <v>2205638.8070175434</v>
      </c>
      <c r="J55" s="50">
        <f>'c12_d&amp;s'!S60</f>
        <v>5828630.333333333</v>
      </c>
      <c r="K55" s="50">
        <f>'c12_d&amp;s'!T60</f>
        <v>10772271.074385963</v>
      </c>
      <c r="L55" s="50">
        <f>'c12_d&amp;s'!U60</f>
        <v>7224030.4869192978</v>
      </c>
      <c r="M55" s="50">
        <f>'c12_d&amp;s'!V60</f>
        <v>4401398.0988952974</v>
      </c>
      <c r="N55" s="50">
        <f>'c12_d&amp;s'!W60</f>
        <v>4361744.7392305788</v>
      </c>
      <c r="O55" s="43"/>
      <c r="P55" s="43"/>
      <c r="Q55" s="43"/>
      <c r="R55" s="43"/>
      <c r="S55" s="43"/>
      <c r="T55" s="43"/>
      <c r="U55" s="43"/>
      <c r="V55" s="43"/>
      <c r="W55" s="43"/>
      <c r="X55" s="43"/>
      <c r="Y55" s="43"/>
    </row>
    <row r="56" spans="1:25">
      <c r="A56" s="44" t="s">
        <v>124</v>
      </c>
      <c r="B56" s="50">
        <f>'c12_d&amp;s'!E70</f>
        <v>0</v>
      </c>
      <c r="C56" s="50">
        <f>'c12_d&amp;s'!L70</f>
        <v>64367.75</v>
      </c>
      <c r="D56" s="50">
        <f>'c12_d&amp;s'!M70</f>
        <v>64367.75</v>
      </c>
      <c r="E56" s="50">
        <f>'c12_d&amp;s'!N70</f>
        <v>349567.75</v>
      </c>
      <c r="F56" s="50">
        <f>'c12_d&amp;s'!O70</f>
        <v>455617.75</v>
      </c>
      <c r="G56" s="50">
        <f>'c12_d&amp;s'!P70</f>
        <v>806580.95035087725</v>
      </c>
      <c r="H56" s="50">
        <f>'c12_d&amp;s'!Q70</f>
        <v>1015405.0903508773</v>
      </c>
      <c r="I56" s="50">
        <f>'c12_d&amp;s'!R70</f>
        <v>935314.59035087726</v>
      </c>
      <c r="J56" s="50">
        <f>'c12_d&amp;s'!S70</f>
        <v>2208920.6166666662</v>
      </c>
      <c r="K56" s="50">
        <f>'c12_d&amp;s'!T70</f>
        <v>3652224.3497192976</v>
      </c>
      <c r="L56" s="50">
        <f>'c12_d&amp;s'!U70</f>
        <v>2410340.1441059648</v>
      </c>
      <c r="M56" s="50">
        <f>'c12_d&amp;s'!V70</f>
        <v>1422418.8082975647</v>
      </c>
      <c r="N56" s="50">
        <f>'c12_d&amp;s'!W70</f>
        <v>1408540.132414913</v>
      </c>
      <c r="O56" s="43"/>
      <c r="P56" s="43"/>
      <c r="Q56" s="43"/>
      <c r="R56" s="43"/>
      <c r="S56" s="43"/>
      <c r="T56" s="43"/>
      <c r="U56" s="43"/>
      <c r="V56" s="43"/>
      <c r="W56" s="43"/>
      <c r="X56" s="43"/>
      <c r="Y56" s="43"/>
    </row>
    <row r="57" spans="1:25">
      <c r="A57" s="49"/>
      <c r="B57" s="50"/>
      <c r="C57" s="50"/>
      <c r="D57" s="50"/>
      <c r="E57" s="50"/>
      <c r="F57" s="50"/>
      <c r="G57" s="50"/>
      <c r="H57" s="50"/>
      <c r="I57" s="50"/>
      <c r="J57" s="50"/>
      <c r="K57" s="50"/>
      <c r="L57" s="50"/>
      <c r="M57" s="50"/>
      <c r="N57" s="50"/>
      <c r="O57" s="43"/>
      <c r="P57" s="43"/>
      <c r="Q57" s="43"/>
      <c r="R57" s="43"/>
      <c r="S57" s="43"/>
      <c r="T57" s="43"/>
      <c r="U57" s="43"/>
      <c r="V57" s="43"/>
      <c r="W57" s="43"/>
      <c r="X57" s="43"/>
      <c r="Y57" s="43"/>
    </row>
    <row r="58" spans="1:25">
      <c r="A58" s="44" t="s">
        <v>125</v>
      </c>
      <c r="B58" s="50">
        <f>'c12_oc'!E10</f>
        <v>2452451</v>
      </c>
      <c r="C58" s="50">
        <f>'c12_oc'!L10</f>
        <v>623314.75</v>
      </c>
      <c r="D58" s="50">
        <f>'c12_oc'!M10</f>
        <v>623314.75</v>
      </c>
      <c r="E58" s="50">
        <f>'c12_oc'!N10</f>
        <v>908514.75</v>
      </c>
      <c r="F58" s="50">
        <f>'c12_oc'!O10</f>
        <v>903214.75</v>
      </c>
      <c r="G58" s="50">
        <f>'c12_oc'!P10</f>
        <v>886331.47666666668</v>
      </c>
      <c r="H58" s="50">
        <f>'c12_oc'!Q10</f>
        <v>1430293.4791666667</v>
      </c>
      <c r="I58" s="50">
        <f>'c12_oc'!R10</f>
        <v>1358160.8739035088</v>
      </c>
      <c r="J58" s="50">
        <f>'c12_oc'!S10</f>
        <v>2898497.3521929821</v>
      </c>
      <c r="K58" s="50">
        <f>'c12_oc'!T10</f>
        <v>4916121.7316666665</v>
      </c>
      <c r="L58" s="50">
        <f>'c12_oc'!U10</f>
        <v>4276007.0501433332</v>
      </c>
      <c r="M58" s="50">
        <f>'c12_oc'!V10</f>
        <v>4253932.4221476335</v>
      </c>
      <c r="N58" s="50">
        <f>'c12_oc'!W10</f>
        <v>3977928.5635775542</v>
      </c>
      <c r="O58" s="43"/>
      <c r="P58" s="43"/>
      <c r="Q58" s="43"/>
      <c r="R58" s="43"/>
      <c r="S58" s="43"/>
      <c r="T58" s="43"/>
      <c r="U58" s="43"/>
      <c r="V58" s="43"/>
      <c r="W58" s="43"/>
      <c r="X58" s="43"/>
      <c r="Y58" s="43"/>
    </row>
    <row r="59" spans="1:25" s="30" customFormat="1">
      <c r="A59" s="46" t="s">
        <v>126</v>
      </c>
      <c r="B59" s="65">
        <f>'c12_oc'!E87</f>
        <v>0</v>
      </c>
      <c r="C59" s="65">
        <f>'c12_oc'!L87</f>
        <v>687682.5</v>
      </c>
      <c r="D59" s="65">
        <f>'c12_oc'!M87</f>
        <v>687682.5</v>
      </c>
      <c r="E59" s="65">
        <f>'c12_oc'!N87</f>
        <v>1258082.5</v>
      </c>
      <c r="F59" s="65">
        <f>'c12_oc'!O87</f>
        <v>1358832.5</v>
      </c>
      <c r="G59" s="65">
        <f>'c12_oc'!P87</f>
        <v>2200269.6533333333</v>
      </c>
      <c r="H59" s="65">
        <f>'c12_oc'!Q87</f>
        <v>3530751.8333333326</v>
      </c>
      <c r="I59" s="65">
        <f>'c12_oc'!R87</f>
        <v>3421728.7280701748</v>
      </c>
      <c r="J59" s="65">
        <f>'c12_oc'!S87</f>
        <v>8574636.0438596494</v>
      </c>
      <c r="K59" s="65">
        <f>'c12_oc'!T87</f>
        <v>16581919.233333331</v>
      </c>
      <c r="L59" s="65">
        <f>'c12_oc'!U87</f>
        <v>14753020.143266667</v>
      </c>
      <c r="M59" s="65">
        <f>'c12_oc'!V87</f>
        <v>14689949.777564667</v>
      </c>
      <c r="N59" s="65">
        <f>'c12_oc'!W87</f>
        <v>13901367.324507296</v>
      </c>
      <c r="O59" s="43"/>
      <c r="P59" s="43"/>
      <c r="Q59" s="43"/>
      <c r="R59" s="43"/>
      <c r="S59" s="43"/>
      <c r="T59" s="43"/>
      <c r="U59" s="43"/>
      <c r="V59" s="43"/>
      <c r="W59" s="43"/>
      <c r="X59" s="43"/>
      <c r="Y59" s="43"/>
    </row>
    <row r="60" spans="1:25" s="30" customFormat="1">
      <c r="A60" s="46" t="s">
        <v>127</v>
      </c>
      <c r="B60" s="65">
        <f>lgh_oc!B8</f>
        <v>0</v>
      </c>
      <c r="C60" s="65">
        <f>lgh_oc!C8</f>
        <v>0</v>
      </c>
      <c r="D60" s="65">
        <f>lgh_oc!D8</f>
        <v>0</v>
      </c>
      <c r="E60" s="65">
        <f>lgh_oc!E8</f>
        <v>0</v>
      </c>
      <c r="F60" s="65">
        <f>lgh_oc!F8</f>
        <v>0</v>
      </c>
      <c r="G60" s="65">
        <f>lgh_oc!G8</f>
        <v>50000</v>
      </c>
      <c r="H60" s="65">
        <f>lgh_oc!H8</f>
        <v>50000</v>
      </c>
      <c r="I60" s="65">
        <f>lgh_oc!I8</f>
        <v>50000</v>
      </c>
      <c r="J60" s="65">
        <f>lgh_oc!J8</f>
        <v>50000</v>
      </c>
      <c r="K60" s="65">
        <f>lgh_oc!K8</f>
        <v>250000</v>
      </c>
      <c r="L60" s="65">
        <f>lgh_oc!L8</f>
        <v>250000</v>
      </c>
      <c r="M60" s="65">
        <f>lgh_oc!M8</f>
        <v>250000</v>
      </c>
      <c r="N60" s="65">
        <f>lgh_oc!N8</f>
        <v>250000</v>
      </c>
      <c r="O60" s="43"/>
      <c r="P60" s="43"/>
      <c r="Q60" s="43"/>
      <c r="R60" s="43"/>
      <c r="S60" s="43"/>
      <c r="T60" s="43"/>
      <c r="U60" s="43"/>
      <c r="V60" s="43"/>
      <c r="W60" s="43"/>
      <c r="X60" s="43"/>
      <c r="Y60" s="43"/>
    </row>
    <row r="61" spans="1:25">
      <c r="A61" s="49"/>
      <c r="B61" s="43"/>
      <c r="C61" s="43"/>
      <c r="D61" s="43"/>
      <c r="E61" s="43"/>
      <c r="F61" s="43"/>
      <c r="G61" s="43"/>
      <c r="H61" s="43"/>
      <c r="I61" s="43"/>
      <c r="J61" s="43"/>
      <c r="K61" s="43"/>
      <c r="L61" s="43"/>
      <c r="M61" s="43"/>
      <c r="N61" s="43"/>
      <c r="O61" s="43"/>
      <c r="P61" s="43"/>
      <c r="Q61" s="43"/>
      <c r="R61" s="43"/>
      <c r="S61" s="43"/>
      <c r="T61" s="43"/>
      <c r="U61" s="43"/>
      <c r="V61" s="43"/>
      <c r="W61" s="43"/>
      <c r="X61" s="43"/>
      <c r="Y61" s="43"/>
    </row>
    <row r="62" spans="1:25">
      <c r="A62" s="44" t="s">
        <v>128</v>
      </c>
      <c r="B62" s="50">
        <f>+lgh_pref_equity!L47</f>
        <v>51080209.386136912</v>
      </c>
      <c r="C62" s="50">
        <f>+lgh_pref_equity!M47</f>
        <v>49890886.391148508</v>
      </c>
      <c r="D62" s="50">
        <f>+lgh_pref_equity!N47</f>
        <v>50888704.118971482</v>
      </c>
      <c r="E62" s="50">
        <f>+lgh_pref_equity!O47</f>
        <v>51906478.20135092</v>
      </c>
      <c r="F62" s="50">
        <f>+lgh_pref_equity!P47</f>
        <v>54144868.927339561</v>
      </c>
      <c r="G62" s="50">
        <f>+lgh_pref_equity!Q47</f>
        <v>56742197.629923344</v>
      </c>
      <c r="H62" s="50">
        <f>+lgh_pref_equity!R47</f>
        <v>58896375.909288213</v>
      </c>
      <c r="I62" s="50">
        <f>+lgh_pref_equity!S47</f>
        <v>60074303.427473977</v>
      </c>
      <c r="J62" s="50">
        <f>+lgh_pref_equity!T47</f>
        <v>64275789.496023461</v>
      </c>
      <c r="K62" s="50">
        <f>+lgh_pref_equity!U47</f>
        <v>69417852.655705363</v>
      </c>
      <c r="L62" s="50">
        <f>+lgh_pref_equity!V47</f>
        <v>74971280.868161783</v>
      </c>
      <c r="M62" s="50">
        <f>+lgh_pref_equity!W47</f>
        <v>80968983.337614715</v>
      </c>
      <c r="N62" s="50">
        <f>+lgh_pref_equity!X47</f>
        <v>87446502.004623935</v>
      </c>
      <c r="O62" s="43"/>
      <c r="P62" s="43"/>
      <c r="Q62" s="43"/>
      <c r="R62" s="43"/>
      <c r="S62" s="43"/>
      <c r="T62" s="43"/>
      <c r="U62" s="43"/>
      <c r="V62" s="43"/>
      <c r="W62" s="43"/>
      <c r="X62" s="43"/>
      <c r="Y62" s="43"/>
    </row>
    <row r="63" spans="1:25">
      <c r="A63" s="46" t="s">
        <v>129</v>
      </c>
      <c r="B63" s="66">
        <f>+lgh_pref_equity!L55</f>
        <v>0</v>
      </c>
      <c r="C63" s="66">
        <f>+lgh_pref_equity!M55</f>
        <v>6050000</v>
      </c>
      <c r="D63" s="66">
        <f>+lgh_pref_equity!N55</f>
        <v>0</v>
      </c>
      <c r="E63" s="66">
        <f>+lgh_pref_equity!O55</f>
        <v>0</v>
      </c>
      <c r="F63" s="66">
        <f>+lgh_pref_equity!P55</f>
        <v>1200000</v>
      </c>
      <c r="G63" s="66">
        <f>+lgh_pref_equity!Q55</f>
        <v>1500000</v>
      </c>
      <c r="H63" s="66">
        <f>+lgh_pref_equity!R55</f>
        <v>1000000</v>
      </c>
      <c r="I63" s="66">
        <f>+lgh_pref_equity!S55</f>
        <v>0</v>
      </c>
      <c r="J63" s="66">
        <f>+lgh_pref_equity!T55</f>
        <v>3000000</v>
      </c>
      <c r="K63" s="66">
        <f>+lgh_pref_equity!U55</f>
        <v>0</v>
      </c>
      <c r="L63" s="66">
        <f>+lgh_pref_equity!V55</f>
        <v>0</v>
      </c>
      <c r="M63" s="66">
        <f>+lgh_pref_equity!W55</f>
        <v>0</v>
      </c>
      <c r="N63" s="66">
        <f>+lgh_pref_equity!X55</f>
        <v>0</v>
      </c>
      <c r="O63" s="43"/>
      <c r="P63" s="43"/>
      <c r="Q63" s="43"/>
      <c r="R63" s="43"/>
      <c r="S63" s="43"/>
      <c r="T63" s="43"/>
      <c r="U63" s="43"/>
      <c r="V63" s="43"/>
      <c r="W63" s="43"/>
      <c r="X63" s="43"/>
      <c r="Y63" s="43"/>
    </row>
    <row r="64" spans="1:25">
      <c r="A64" s="43"/>
      <c r="B64" s="43"/>
      <c r="C64" s="43"/>
      <c r="D64" s="43"/>
      <c r="E64" s="43"/>
      <c r="F64" s="43"/>
      <c r="G64" s="43"/>
      <c r="H64" s="43"/>
      <c r="I64" s="43"/>
      <c r="J64" s="43"/>
      <c r="K64" s="43"/>
      <c r="L64" s="43"/>
      <c r="M64" s="43"/>
      <c r="N64" s="43"/>
      <c r="O64" s="43"/>
      <c r="P64" s="43"/>
      <c r="Q64" s="43"/>
      <c r="R64" s="43"/>
      <c r="S64" s="43"/>
      <c r="T64" s="43"/>
      <c r="U64" s="43"/>
      <c r="V64" s="43"/>
      <c r="W64" s="43"/>
      <c r="X64" s="43"/>
      <c r="Y64" s="43"/>
    </row>
    <row r="65" spans="1:25">
      <c r="A65" s="43"/>
      <c r="B65" s="43"/>
      <c r="C65" s="43"/>
      <c r="D65" s="43"/>
      <c r="E65" s="43"/>
      <c r="F65" s="43"/>
      <c r="G65" s="43"/>
      <c r="H65" s="43"/>
      <c r="I65" s="43"/>
      <c r="J65" s="43"/>
      <c r="K65" s="43"/>
      <c r="L65" s="43"/>
      <c r="M65" s="43"/>
      <c r="N65" s="43"/>
      <c r="O65" s="43"/>
      <c r="P65" s="43"/>
      <c r="Q65" s="43"/>
      <c r="R65" s="43"/>
      <c r="S65" s="43"/>
      <c r="T65" s="43"/>
      <c r="U65" s="43"/>
      <c r="V65" s="43"/>
      <c r="W65" s="43"/>
      <c r="X65" s="43"/>
      <c r="Y65" s="43"/>
    </row>
    <row r="66" spans="1:25">
      <c r="A66" s="46" t="s">
        <v>130</v>
      </c>
      <c r="B66" s="50">
        <f>+lgh_debt!G33</f>
        <v>25387076.966665421</v>
      </c>
      <c r="C66" s="50">
        <f>+lgh_debt!I33</f>
        <v>29007182.318074383</v>
      </c>
      <c r="D66" s="50">
        <f>+lgh_debt!K33</f>
        <v>30149897.034891989</v>
      </c>
      <c r="E66" s="50">
        <f>+lgh_debt!M33</f>
        <v>9136912.2028022707</v>
      </c>
      <c r="F66" s="50">
        <f>+lgh_debt!O33</f>
        <v>8575632.538205862</v>
      </c>
      <c r="G66" s="50">
        <f>+lgh_debt!Q33</f>
        <v>7900128.8430335149</v>
      </c>
      <c r="H66" s="50">
        <f>+lgh_debt!S33</f>
        <v>12239223.025316527</v>
      </c>
      <c r="I66" s="50">
        <f>+lgh_debt!U33</f>
        <v>12195991.877848445</v>
      </c>
      <c r="J66" s="50">
        <f>+lgh_debt!W33</f>
        <v>7400513.4327920657</v>
      </c>
      <c r="K66" s="50">
        <f>+lgh_debt!Y33</f>
        <v>0</v>
      </c>
      <c r="L66" s="50">
        <f>+lgh_debt!AA33</f>
        <v>0</v>
      </c>
      <c r="M66" s="50">
        <f>+lgh_debt!AC33</f>
        <v>0</v>
      </c>
      <c r="N66" s="50">
        <f>+lgh_debt!AE33</f>
        <v>0</v>
      </c>
      <c r="O66" s="43"/>
      <c r="P66" s="43"/>
      <c r="Q66" s="43"/>
      <c r="R66" s="43"/>
      <c r="S66" s="43"/>
      <c r="T66" s="43"/>
      <c r="U66" s="43"/>
      <c r="V66" s="43"/>
      <c r="W66" s="43"/>
      <c r="X66" s="43"/>
      <c r="Y66" s="43"/>
    </row>
    <row r="67" spans="1:25">
      <c r="A67" s="46" t="s">
        <v>131</v>
      </c>
      <c r="B67" s="50">
        <f>+lgh_debt!G39</f>
        <v>23600000</v>
      </c>
      <c r="C67" s="50">
        <f>+lgh_debt!I39</f>
        <v>500000</v>
      </c>
      <c r="D67" s="50">
        <f>+lgh_debt!K39</f>
        <v>100000</v>
      </c>
      <c r="E67" s="50">
        <f>+lgh_debt!M39</f>
        <v>0</v>
      </c>
      <c r="F67" s="50">
        <f>+lgh_debt!O39</f>
        <v>2250000</v>
      </c>
      <c r="G67" s="50">
        <f>+lgh_debt!Q39</f>
        <v>250000</v>
      </c>
      <c r="H67" s="50">
        <f>+lgh_debt!S39</f>
        <v>4000000</v>
      </c>
      <c r="I67" s="50">
        <f>+lgh_debt!U39</f>
        <v>0</v>
      </c>
      <c r="J67" s="50">
        <f>+lgh_debt!W39</f>
        <v>0</v>
      </c>
      <c r="K67" s="50">
        <f>+lgh_debt!Y39</f>
        <v>0</v>
      </c>
      <c r="L67" s="50">
        <f>+lgh_debt!Z39</f>
        <v>0</v>
      </c>
      <c r="M67" s="50">
        <f>+lgh_debt!AA39</f>
        <v>0</v>
      </c>
      <c r="N67" s="50">
        <f>+lgh_debt!AB39</f>
        <v>0</v>
      </c>
      <c r="O67" s="43"/>
      <c r="P67" s="43"/>
      <c r="Q67" s="43"/>
      <c r="R67" s="43"/>
      <c r="S67" s="43"/>
      <c r="T67" s="43"/>
      <c r="U67" s="43"/>
      <c r="V67" s="43"/>
      <c r="W67" s="43"/>
      <c r="X67" s="43"/>
      <c r="Y67" s="43"/>
    </row>
    <row r="68" spans="1:25">
      <c r="A68" s="46" t="s">
        <v>132</v>
      </c>
      <c r="B68" s="50">
        <f>+lgh_debt!H43</f>
        <v>0</v>
      </c>
      <c r="C68" s="50">
        <f>+lgh_debt!J43</f>
        <v>-2098064.6920041367</v>
      </c>
      <c r="D68" s="50">
        <f>+lgh_debt!L43</f>
        <v>0</v>
      </c>
      <c r="E68" s="50">
        <f>+lgh_debt!N43</f>
        <v>0</v>
      </c>
      <c r="F68" s="50">
        <f>+lgh_debt!P43</f>
        <v>-3200000</v>
      </c>
      <c r="G68" s="50">
        <f>+lgh_debt!R43</f>
        <v>0</v>
      </c>
      <c r="H68" s="50">
        <f>+lgh_debt!T43</f>
        <v>0</v>
      </c>
      <c r="I68" s="50">
        <f>+lgh_debt!V43</f>
        <v>-517878.33639449568</v>
      </c>
      <c r="J68" s="50">
        <f>+lgh_debt!X43</f>
        <v>-5284163.4049663218</v>
      </c>
      <c r="K68" s="50">
        <f>+lgh_debt!Z43</f>
        <v>-8541128.1193504781</v>
      </c>
      <c r="L68" s="50">
        <f>+lgh_debt!AA43</f>
        <v>0</v>
      </c>
      <c r="M68" s="50">
        <f>+lgh_debt!AB43</f>
        <v>0</v>
      </c>
      <c r="N68" s="50">
        <f>+lgh_debt!AC43</f>
        <v>0</v>
      </c>
      <c r="O68" s="43"/>
      <c r="P68" s="43"/>
      <c r="Q68" s="43"/>
      <c r="R68" s="43"/>
      <c r="S68" s="43"/>
      <c r="T68" s="43"/>
      <c r="U68" s="43"/>
      <c r="V68" s="43"/>
      <c r="W68" s="43"/>
      <c r="X68" s="43"/>
      <c r="Y68" s="43"/>
    </row>
    <row r="69" spans="1:25">
      <c r="A69" s="43"/>
      <c r="B69" s="43"/>
      <c r="C69" s="43"/>
      <c r="D69" s="43"/>
      <c r="E69" s="43"/>
      <c r="F69" s="43"/>
      <c r="G69" s="43"/>
      <c r="H69" s="43"/>
      <c r="I69" s="43"/>
      <c r="J69" s="43"/>
      <c r="K69" s="43"/>
      <c r="L69" s="43"/>
      <c r="M69" s="43"/>
      <c r="N69" s="43"/>
      <c r="O69" s="43"/>
      <c r="P69" s="43"/>
      <c r="Q69" s="43"/>
      <c r="R69" s="43"/>
      <c r="S69" s="43"/>
      <c r="T69" s="43"/>
      <c r="U69" s="43"/>
      <c r="V69" s="43"/>
      <c r="W69" s="43"/>
      <c r="X69" s="43"/>
      <c r="Y69" s="43"/>
    </row>
    <row r="70" spans="1:25">
      <c r="A70" s="43"/>
      <c r="B70" s="43"/>
      <c r="C70" s="43"/>
      <c r="D70" s="43"/>
      <c r="E70" s="43"/>
      <c r="F70" s="43"/>
      <c r="G70" s="43"/>
      <c r="H70" s="43"/>
      <c r="I70" s="43"/>
      <c r="J70" s="43"/>
      <c r="K70" s="43"/>
      <c r="L70" s="43"/>
      <c r="M70" s="43"/>
      <c r="N70" s="43"/>
      <c r="O70" s="43"/>
      <c r="P70" s="43"/>
      <c r="Q70" s="43"/>
      <c r="R70" s="43"/>
      <c r="S70" s="43"/>
      <c r="T70" s="43"/>
      <c r="U70" s="43"/>
      <c r="V70" s="43"/>
      <c r="W70" s="43"/>
      <c r="X70" s="43"/>
      <c r="Y70" s="43"/>
    </row>
    <row r="71" spans="1:25">
      <c r="A71" s="46" t="s">
        <v>128</v>
      </c>
      <c r="B71" s="50">
        <f>+lgh_other_liabs!F23</f>
        <v>812241.1</v>
      </c>
      <c r="C71" s="50">
        <f>+lgh_other_liabs!H23</f>
        <v>3383115.7765908856</v>
      </c>
      <c r="D71" s="50">
        <f>+lgh_other_liabs!J23</f>
        <v>5020671.3604204301</v>
      </c>
      <c r="E71" s="50">
        <f>+lgh_other_liabs!L23</f>
        <v>5081889.2059414517</v>
      </c>
      <c r="F71" s="50">
        <f>+lgh_other_liabs!N23</f>
        <v>6989833.6678437497</v>
      </c>
      <c r="G71" s="50">
        <f>+lgh_other_liabs!P23</f>
        <v>8001344.413481757</v>
      </c>
      <c r="H71" s="50">
        <f>+lgh_other_liabs!R23</f>
        <v>8575801.243056858</v>
      </c>
      <c r="I71" s="50">
        <f>+lgh_other_liabs!T23</f>
        <v>8582691.7381072436</v>
      </c>
      <c r="J71" s="50">
        <f>+lgh_other_liabs!V23</f>
        <v>17286474.095939837</v>
      </c>
      <c r="K71" s="50">
        <f>+lgh_other_liabs!X23</f>
        <v>18797445.210330814</v>
      </c>
      <c r="L71" s="50">
        <f>+lgh_other_liabs!Z23</f>
        <v>21168561.991880435</v>
      </c>
      <c r="M71" s="50">
        <f>+lgh_other_liabs!AB23</f>
        <v>24343846.290662497</v>
      </c>
      <c r="N71" s="50">
        <f>+lgh_other_liabs!AD23</f>
        <v>27995423.23426187</v>
      </c>
      <c r="O71" s="43"/>
      <c r="P71" s="43"/>
      <c r="Q71" s="43"/>
      <c r="R71" s="43"/>
      <c r="S71" s="43"/>
      <c r="T71" s="43"/>
      <c r="U71" s="43"/>
      <c r="V71" s="43"/>
      <c r="W71" s="43"/>
      <c r="X71" s="43"/>
      <c r="Y71" s="43"/>
    </row>
    <row r="72" spans="1:25">
      <c r="A72" s="46" t="s">
        <v>133</v>
      </c>
      <c r="B72" s="50">
        <f>+lgh_other_liabs!F29</f>
        <v>62241.099999999977</v>
      </c>
      <c r="C72" s="50">
        <f>+lgh_other_liabs!H29</f>
        <v>-86000</v>
      </c>
      <c r="D72" s="50">
        <f>+lgh_other_liabs!J29</f>
        <v>142999.85000000009</v>
      </c>
      <c r="E72" s="50">
        <f>+lgh_other_liabs!L29</f>
        <v>0</v>
      </c>
      <c r="F72" s="50">
        <f>+lgh_other_liabs!N29</f>
        <v>1625000</v>
      </c>
      <c r="G72" s="50">
        <f>+lgh_other_liabs!P29</f>
        <v>0</v>
      </c>
      <c r="H72" s="50">
        <f>+lgh_other_liabs!R29</f>
        <v>0</v>
      </c>
      <c r="I72" s="50">
        <f>+lgh_other_liabs!T29</f>
        <v>0</v>
      </c>
      <c r="J72" s="50">
        <f>+lgh_other_liabs!V29</f>
        <v>16000000</v>
      </c>
      <c r="K72" s="50">
        <f>+lgh_other_liabs!X29</f>
        <v>0</v>
      </c>
      <c r="L72" s="50">
        <f>+lgh_other_liabs!Z29</f>
        <v>0</v>
      </c>
      <c r="M72" s="50">
        <f>+lgh_other_liabs!AB29</f>
        <v>0</v>
      </c>
      <c r="N72" s="50">
        <f>+lgh_other_liabs!AD29</f>
        <v>0</v>
      </c>
      <c r="O72" s="43"/>
      <c r="P72" s="43"/>
      <c r="Q72" s="43"/>
      <c r="R72" s="43"/>
      <c r="S72" s="43"/>
      <c r="T72" s="43"/>
      <c r="U72" s="43"/>
      <c r="V72" s="43"/>
      <c r="W72" s="43"/>
      <c r="X72" s="43"/>
      <c r="Y72" s="43"/>
    </row>
    <row r="73" spans="1:25">
      <c r="A73" s="46" t="s">
        <v>134</v>
      </c>
      <c r="B73" s="50">
        <f>+lgh_other_liabs!G33</f>
        <v>0</v>
      </c>
      <c r="C73" s="50">
        <f>+lgh_other_liabs!I33</f>
        <v>0</v>
      </c>
      <c r="D73" s="50">
        <f>+lgh_other_liabs!K33</f>
        <v>0</v>
      </c>
      <c r="E73" s="50">
        <f>+lgh_other_liabs!M33</f>
        <v>0</v>
      </c>
      <c r="F73" s="50">
        <f>+lgh_other_liabs!O33</f>
        <v>-2671203.5474885241</v>
      </c>
      <c r="G73" s="50">
        <f>+lgh_other_liabs!Q33</f>
        <v>-435000</v>
      </c>
      <c r="H73" s="50">
        <f>+lgh_other_liabs!S33</f>
        <v>-1052241.1000000001</v>
      </c>
      <c r="I73" s="50">
        <f>+lgh_other_liabs!U33</f>
        <v>0</v>
      </c>
      <c r="J73" s="50">
        <f>+lgh_other_liabs!W33</f>
        <v>-7309780.3348903265</v>
      </c>
      <c r="K73" s="50">
        <f>+lgh_other_liabs!Y33</f>
        <v>-890000</v>
      </c>
      <c r="L73" s="50">
        <f>+lgh_other_liabs!AA33</f>
        <v>-390000</v>
      </c>
      <c r="M73" s="50">
        <f>+lgh_other_liabs!AC33</f>
        <v>0</v>
      </c>
      <c r="N73" s="50">
        <f>+lgh_other_liabs!AE33</f>
        <v>0</v>
      </c>
      <c r="O73" s="43"/>
      <c r="P73" s="43"/>
      <c r="Q73" s="43"/>
      <c r="R73" s="43"/>
      <c r="S73" s="43"/>
      <c r="T73" s="43"/>
      <c r="U73" s="43"/>
      <c r="V73" s="43"/>
      <c r="W73" s="43"/>
      <c r="X73" s="43"/>
      <c r="Y73" s="43"/>
    </row>
    <row r="74" spans="1:25">
      <c r="A74" s="43"/>
      <c r="B74" s="43"/>
      <c r="C74" s="43"/>
      <c r="D74" s="43"/>
      <c r="E74" s="43"/>
      <c r="F74" s="43"/>
      <c r="G74" s="43"/>
      <c r="H74" s="43"/>
      <c r="I74" s="43"/>
      <c r="J74" s="43"/>
      <c r="K74" s="50"/>
      <c r="L74" s="50"/>
      <c r="M74" s="50"/>
      <c r="N74" s="50"/>
      <c r="O74" s="43"/>
      <c r="P74" s="43"/>
      <c r="Q74" s="43"/>
      <c r="R74" s="43"/>
      <c r="S74" s="43"/>
      <c r="T74" s="43"/>
      <c r="U74" s="43"/>
      <c r="V74" s="43"/>
      <c r="W74" s="43"/>
      <c r="X74" s="43"/>
      <c r="Y74" s="43"/>
    </row>
    <row r="75" spans="1:25">
      <c r="A75" s="43"/>
      <c r="B75" s="43"/>
      <c r="C75" s="43"/>
      <c r="D75" s="43"/>
      <c r="E75" s="43"/>
      <c r="F75" s="43"/>
      <c r="G75" s="43"/>
      <c r="H75" s="43"/>
      <c r="I75" s="43"/>
      <c r="J75" s="43"/>
      <c r="K75" s="43"/>
      <c r="L75" s="43"/>
      <c r="M75" s="43"/>
      <c r="N75" s="43"/>
      <c r="O75" s="43"/>
      <c r="P75" s="43"/>
      <c r="Q75" s="43"/>
      <c r="R75" s="43"/>
      <c r="S75" s="43"/>
      <c r="T75" s="43"/>
      <c r="U75" s="43"/>
      <c r="V75" s="43"/>
      <c r="W75" s="43"/>
      <c r="X75" s="43"/>
      <c r="Y75" s="43"/>
    </row>
    <row r="76" spans="1:25">
      <c r="A76" s="43"/>
      <c r="B76" s="43"/>
      <c r="C76" s="43"/>
      <c r="D76" s="43"/>
      <c r="E76" s="43"/>
      <c r="F76" s="43"/>
      <c r="G76" s="43"/>
      <c r="H76" s="43"/>
      <c r="I76" s="43"/>
      <c r="J76" s="43"/>
      <c r="K76" s="43"/>
      <c r="L76" s="43"/>
      <c r="M76" s="43"/>
      <c r="N76" s="43"/>
      <c r="O76" s="43"/>
      <c r="P76" s="43"/>
      <c r="Q76" s="43"/>
      <c r="R76" s="43"/>
      <c r="S76" s="43"/>
      <c r="T76" s="43"/>
      <c r="U76" s="43"/>
      <c r="V76" s="43"/>
      <c r="W76" s="43"/>
      <c r="X76" s="43"/>
      <c r="Y76" s="43"/>
    </row>
    <row r="77" spans="1:25">
      <c r="A77" s="46" t="s">
        <v>135</v>
      </c>
      <c r="B77" s="50">
        <f>+lgh_other_assets!B45</f>
        <v>3570254</v>
      </c>
      <c r="C77" s="50">
        <f>+lgh_other_assets!C45</f>
        <v>4318174.1939285714</v>
      </c>
      <c r="D77" s="50">
        <f>+lgh_other_assets!D45</f>
        <v>6116942.3878571428</v>
      </c>
      <c r="E77" s="50">
        <f>+lgh_other_assets!E45</f>
        <v>4951761.5817857143</v>
      </c>
      <c r="F77" s="50">
        <f>+lgh_other_assets!F45</f>
        <v>4325793.7757142857</v>
      </c>
      <c r="G77" s="50">
        <f>+lgh_other_assets!G45</f>
        <v>3150708.9751250003</v>
      </c>
      <c r="H77" s="50">
        <f>+lgh_other_assets!H45</f>
        <v>3175738.2727500005</v>
      </c>
      <c r="I77" s="50">
        <f>+lgh_other_assets!I45</f>
        <v>3356358.0703750001</v>
      </c>
      <c r="J77" s="50">
        <f>+lgh_other_assets!J45</f>
        <v>3280322.0305000003</v>
      </c>
      <c r="K77" s="50">
        <f>+lgh_other_assets!K45</f>
        <v>3183766.1042149998</v>
      </c>
      <c r="L77" s="50">
        <f>+lgh_other_assets!L45</f>
        <v>2489194.6254014503</v>
      </c>
      <c r="M77" s="50">
        <f>+lgh_other_assets!M45</f>
        <v>4037736.0022234935</v>
      </c>
      <c r="N77" s="50">
        <f>+lgh_other_assets!N45</f>
        <v>5265898.3396666665</v>
      </c>
      <c r="O77" s="43"/>
      <c r="P77" s="43"/>
      <c r="Q77" s="43"/>
      <c r="R77" s="43"/>
      <c r="S77" s="43"/>
      <c r="T77" s="43"/>
      <c r="U77" s="43"/>
      <c r="V77" s="43"/>
      <c r="W77" s="43"/>
      <c r="X77" s="43"/>
      <c r="Y77" s="43"/>
    </row>
    <row r="78" spans="1:25">
      <c r="A78" s="46" t="s">
        <v>136</v>
      </c>
      <c r="B78" s="50">
        <f>+sat_cs2!B33</f>
        <v>0</v>
      </c>
      <c r="C78" s="50">
        <f>+sat_cs2!C33</f>
        <v>0</v>
      </c>
      <c r="D78" s="50">
        <f>+sat_cs2!D33</f>
        <v>0</v>
      </c>
      <c r="E78" s="50">
        <f>+sat_cs2!E33</f>
        <v>0</v>
      </c>
      <c r="F78" s="50">
        <f>+sat_cs2!F33</f>
        <v>0</v>
      </c>
      <c r="G78" s="50">
        <f>+sat_cs2!G33</f>
        <v>0</v>
      </c>
      <c r="H78" s="50">
        <f>+sat_cs2!H33</f>
        <v>0</v>
      </c>
      <c r="I78" s="50">
        <f>+sat_cs2!I33</f>
        <v>0</v>
      </c>
      <c r="J78" s="50">
        <f>+sat_cs2!J33</f>
        <v>16000000</v>
      </c>
      <c r="K78" s="50">
        <f>+sat_cs2!K33</f>
        <v>16000000</v>
      </c>
      <c r="L78" s="50">
        <f>+sat_cs2!L33</f>
        <v>20333333.333333332</v>
      </c>
      <c r="M78" s="50">
        <f>+sat_cs2!M33</f>
        <v>22077380.952380951</v>
      </c>
      <c r="N78" s="50">
        <f>+sat_cs2!N33</f>
        <v>21709415.5844156</v>
      </c>
      <c r="O78" s="43"/>
      <c r="P78" s="43"/>
      <c r="Q78" s="43"/>
      <c r="R78" s="43"/>
      <c r="S78" s="43"/>
      <c r="T78" s="43"/>
      <c r="U78" s="43"/>
      <c r="V78" s="43"/>
      <c r="W78" s="43"/>
      <c r="X78" s="43"/>
      <c r="Y78" s="43"/>
    </row>
    <row r="79" spans="1:25">
      <c r="A79" s="46" t="s">
        <v>137</v>
      </c>
      <c r="B79" s="50">
        <f>+lgh_other_assets!B31</f>
        <v>0</v>
      </c>
      <c r="C79" s="50">
        <f>+lgh_other_assets!C31</f>
        <v>0</v>
      </c>
      <c r="D79" s="50">
        <f>+lgh_other_assets!D31</f>
        <v>0</v>
      </c>
      <c r="E79" s="50">
        <f>+lgh_other_assets!E31</f>
        <v>0</v>
      </c>
      <c r="F79" s="50">
        <f>+lgh_other_assets!F31</f>
        <v>0</v>
      </c>
      <c r="G79" s="50">
        <f>+lgh_other_assets!G31</f>
        <v>0</v>
      </c>
      <c r="H79" s="50">
        <f>+lgh_other_assets!H31</f>
        <v>0</v>
      </c>
      <c r="I79" s="50">
        <f>+lgh_other_assets!I31</f>
        <v>0</v>
      </c>
      <c r="J79" s="50">
        <f>+lgh_other_assets!J31</f>
        <v>0</v>
      </c>
      <c r="K79" s="50">
        <f>+lgh_other_assets!K31</f>
        <v>12500000</v>
      </c>
      <c r="L79" s="50">
        <f>+lgh_other_assets!L31</f>
        <v>18750000</v>
      </c>
      <c r="M79" s="50">
        <f>+lgh_other_assets!M31</f>
        <v>25000000</v>
      </c>
      <c r="N79" s="50">
        <f>+lgh_other_assets!N31</f>
        <v>45000000</v>
      </c>
      <c r="O79" s="43"/>
      <c r="P79" s="43"/>
      <c r="Q79" s="43"/>
      <c r="R79" s="43"/>
      <c r="S79" s="43"/>
      <c r="T79" s="43"/>
      <c r="U79" s="43"/>
      <c r="V79" s="43"/>
      <c r="W79" s="43"/>
      <c r="X79" s="43"/>
      <c r="Y79" s="43"/>
    </row>
    <row r="80" spans="1:25">
      <c r="A80" s="43"/>
      <c r="B80" s="43"/>
      <c r="C80" s="43"/>
      <c r="D80" s="43"/>
      <c r="E80" s="43"/>
      <c r="F80" s="43"/>
      <c r="G80" s="43"/>
      <c r="H80" s="43"/>
      <c r="I80" s="43"/>
      <c r="J80" s="43"/>
      <c r="K80" s="50"/>
      <c r="L80" s="50"/>
      <c r="M80" s="50"/>
      <c r="N80" s="50"/>
      <c r="O80" s="43"/>
      <c r="P80" s="43"/>
      <c r="Q80" s="43"/>
      <c r="R80" s="43"/>
      <c r="S80" s="43"/>
      <c r="T80" s="43"/>
      <c r="U80" s="43"/>
      <c r="V80" s="43"/>
      <c r="W80" s="43"/>
      <c r="X80" s="43"/>
      <c r="Y80" s="43"/>
    </row>
    <row r="81" spans="1:25">
      <c r="A81" s="43"/>
      <c r="B81" s="43"/>
      <c r="C81" s="43"/>
      <c r="D81" s="43"/>
      <c r="E81" s="43"/>
      <c r="F81" s="43"/>
      <c r="G81" s="43"/>
      <c r="H81" s="43"/>
      <c r="I81" s="43"/>
      <c r="J81" s="43"/>
      <c r="K81" s="50"/>
      <c r="L81" s="50"/>
      <c r="M81" s="50"/>
      <c r="N81" s="50"/>
      <c r="O81" s="43"/>
      <c r="P81" s="43"/>
      <c r="Q81" s="43"/>
      <c r="R81" s="43"/>
      <c r="S81" s="43"/>
      <c r="T81" s="43"/>
      <c r="U81" s="43"/>
      <c r="V81" s="43"/>
      <c r="W81" s="43"/>
      <c r="X81" s="43"/>
      <c r="Y81" s="43"/>
    </row>
    <row r="82" spans="1:25">
      <c r="A82" s="46" t="s">
        <v>138</v>
      </c>
      <c r="B82" s="50">
        <f>lgh_oc!B73</f>
        <v>251128</v>
      </c>
      <c r="C82" s="50">
        <f>lgh_oc!C73</f>
        <v>1854835.2390672918</v>
      </c>
      <c r="D82" s="50">
        <f>lgh_oc!D73</f>
        <v>-2432355.9798612781</v>
      </c>
      <c r="E82" s="50">
        <f>lgh_oc!E73</f>
        <v>-5195946.3163174521</v>
      </c>
      <c r="F82" s="50">
        <f>lgh_oc!F73</f>
        <v>421256.06726545282</v>
      </c>
      <c r="G82" s="50">
        <f>lgh_oc!G73</f>
        <v>5590388.0830080388</v>
      </c>
      <c r="H82" s="50">
        <f>lgh_oc!H73</f>
        <v>10863126.247797264</v>
      </c>
      <c r="I82" s="50">
        <f>lgh_oc!I73</f>
        <v>7305682.2124279132</v>
      </c>
      <c r="J82" s="50">
        <f>lgh_oc!J73</f>
        <v>3057475.3633489949</v>
      </c>
      <c r="K82" s="50">
        <f>lgh_oc!K73</f>
        <v>6085325.9761546906</v>
      </c>
      <c r="L82" s="50">
        <f>lgh_oc!L73</f>
        <v>13391915.791192669</v>
      </c>
      <c r="M82" s="50">
        <f>lgh_oc!M73</f>
        <v>23226176.108435497</v>
      </c>
      <c r="N82" s="50">
        <f>lgh_oc!N73</f>
        <v>27896239.818470523</v>
      </c>
      <c r="O82" s="43"/>
      <c r="P82" s="43"/>
      <c r="Q82" s="43"/>
      <c r="R82" s="43"/>
      <c r="S82" s="43"/>
      <c r="T82" s="43"/>
      <c r="U82" s="43"/>
      <c r="V82" s="43"/>
      <c r="W82" s="43"/>
      <c r="X82" s="43"/>
      <c r="Y82" s="43"/>
    </row>
    <row r="83" spans="1:25" s="28" customFormat="1">
      <c r="A83" s="46" t="s">
        <v>139</v>
      </c>
      <c r="B83" s="50">
        <f>lgh_oc!B25</f>
        <v>0</v>
      </c>
      <c r="C83" s="50">
        <f>lgh_oc!C25</f>
        <v>-250000</v>
      </c>
      <c r="D83" s="50">
        <f>lgh_oc!D25</f>
        <v>-250000</v>
      </c>
      <c r="E83" s="50">
        <f>lgh_oc!E25</f>
        <v>-250000</v>
      </c>
      <c r="F83" s="50">
        <f>lgh_oc!F25</f>
        <v>-250000</v>
      </c>
      <c r="G83" s="50">
        <f>lgh_oc!G25</f>
        <v>-250000</v>
      </c>
      <c r="H83" s="50">
        <f>lgh_oc!H25</f>
        <v>-250000</v>
      </c>
      <c r="I83" s="50">
        <f>lgh_oc!I25</f>
        <v>-250000</v>
      </c>
      <c r="J83" s="50">
        <f>lgh_oc!J25</f>
        <v>-250000</v>
      </c>
      <c r="K83" s="50">
        <f>lgh_oc!K25</f>
        <v>-1000000</v>
      </c>
      <c r="L83" s="50">
        <f>lgh_oc!L25</f>
        <v>-1000000</v>
      </c>
      <c r="M83" s="50">
        <f>lgh_oc!M25</f>
        <v>-1000000</v>
      </c>
      <c r="N83" s="50">
        <f>lgh_oc!N25</f>
        <v>-1000000</v>
      </c>
      <c r="O83" s="43"/>
      <c r="P83" s="43"/>
      <c r="Q83" s="43"/>
      <c r="R83" s="43"/>
      <c r="S83" s="43"/>
      <c r="T83" s="43"/>
      <c r="U83" s="43"/>
      <c r="V83" s="43"/>
      <c r="W83" s="43"/>
      <c r="X83" s="43"/>
      <c r="Y83" s="43"/>
    </row>
    <row r="84" spans="1:25">
      <c r="A84" s="43"/>
      <c r="B84" s="43"/>
      <c r="C84" s="43"/>
      <c r="D84" s="43"/>
      <c r="E84" s="43"/>
      <c r="F84" s="43"/>
      <c r="G84" s="43"/>
      <c r="H84" s="43"/>
      <c r="I84" s="43"/>
      <c r="J84" s="43"/>
      <c r="K84" s="43"/>
      <c r="L84" s="43"/>
      <c r="M84" s="43"/>
      <c r="N84" s="43"/>
      <c r="O84" s="43"/>
      <c r="P84" s="43"/>
      <c r="Q84" s="43"/>
      <c r="R84" s="43"/>
      <c r="S84" s="43"/>
      <c r="T84" s="43"/>
      <c r="U84" s="43"/>
      <c r="V84" s="43"/>
      <c r="W84" s="43"/>
      <c r="X84" s="43"/>
      <c r="Y84" s="43"/>
    </row>
    <row r="85" spans="1:25">
      <c r="A85" s="43"/>
      <c r="B85" s="43"/>
      <c r="C85" s="43"/>
      <c r="D85" s="43"/>
      <c r="E85" s="43"/>
      <c r="F85" s="43"/>
      <c r="G85" s="43"/>
      <c r="H85" s="43"/>
      <c r="I85" s="43"/>
      <c r="J85" s="62"/>
      <c r="K85" s="43"/>
      <c r="L85" s="43"/>
      <c r="M85" s="43"/>
      <c r="N85" s="43"/>
      <c r="O85" s="43"/>
      <c r="P85" s="43"/>
      <c r="Q85" s="43"/>
      <c r="R85" s="43"/>
      <c r="S85" s="43"/>
      <c r="T85" s="43"/>
      <c r="U85" s="43"/>
      <c r="V85" s="43"/>
      <c r="W85" s="43"/>
      <c r="X85" s="43"/>
      <c r="Y85" s="43"/>
    </row>
    <row r="86" spans="1:25">
      <c r="A86" s="46" t="s">
        <v>140</v>
      </c>
      <c r="B86" s="50">
        <f>+lgh_ci!B11</f>
        <v>0</v>
      </c>
      <c r="C86" s="50">
        <f>+lgh_ci!C11</f>
        <v>0</v>
      </c>
      <c r="D86" s="50">
        <f>+lgh_ci!D11</f>
        <v>0</v>
      </c>
      <c r="E86" s="50">
        <f>+lgh_ci!E11</f>
        <v>3030197.3462850195</v>
      </c>
      <c r="F86" s="50">
        <f>+lgh_ci!F11</f>
        <v>1196383.1124405398</v>
      </c>
      <c r="G86" s="50">
        <f>+lgh_ci!G11</f>
        <v>2765367.695302607</v>
      </c>
      <c r="H86" s="50">
        <f>+lgh_ci!H11</f>
        <v>5439599.0074015707</v>
      </c>
      <c r="I86" s="50">
        <f>+lgh_ci!I11</f>
        <v>8430241.9087618943</v>
      </c>
      <c r="J86" s="50">
        <f>+lgh_ci!J11</f>
        <v>13867402.790866219</v>
      </c>
      <c r="K86" s="50">
        <f>+lgh_ci!K11</f>
        <v>25348316.660706729</v>
      </c>
      <c r="L86" s="50">
        <f>+lgh_ci!L11</f>
        <v>42126192.708648942</v>
      </c>
      <c r="M86" s="50">
        <f>+lgh_ci!M11</f>
        <v>61737070.008582376</v>
      </c>
      <c r="N86" s="50">
        <f>+lgh_ci!N11</f>
        <v>81022022.790993407</v>
      </c>
      <c r="O86" s="43"/>
      <c r="P86" s="43"/>
      <c r="Q86" s="43"/>
      <c r="R86" s="43"/>
      <c r="S86" s="43"/>
      <c r="T86" s="43"/>
      <c r="U86" s="43"/>
      <c r="V86" s="43"/>
      <c r="W86" s="43"/>
      <c r="X86" s="43"/>
      <c r="Y86" s="43"/>
    </row>
    <row r="87" spans="1:25">
      <c r="A87" s="46" t="s">
        <v>141</v>
      </c>
      <c r="B87" s="50">
        <f>+lgh_ci!B15</f>
        <v>0</v>
      </c>
      <c r="C87" s="50">
        <f>+lgh_ci!C15</f>
        <v>0</v>
      </c>
      <c r="D87" s="50">
        <f>+lgh_ci!D15</f>
        <v>0</v>
      </c>
      <c r="E87" s="50">
        <f>+lgh_ci!E15</f>
        <v>3499999.9999999995</v>
      </c>
      <c r="F87" s="50">
        <f>+lgh_ci!F15</f>
        <v>-682606.08930401201</v>
      </c>
      <c r="G87" s="50">
        <f>+lgh_ci!G15</f>
        <v>-130542.99505696306</v>
      </c>
      <c r="H87" s="50">
        <f>+lgh_ci!H15</f>
        <v>934999.71352091525</v>
      </c>
      <c r="I87" s="50">
        <f>+lgh_ci!I15</f>
        <v>3113852.3442801591</v>
      </c>
      <c r="J87" s="50">
        <f>+lgh_ci!J15</f>
        <v>4234539.7980277799</v>
      </c>
      <c r="K87" s="50">
        <f>+lgh_ci!K15</f>
        <v>8241916.7340272963</v>
      </c>
      <c r="L87" s="50">
        <f>+lgh_ci!L15</f>
        <v>23108633.867975585</v>
      </c>
      <c r="M87" s="50">
        <f>+lgh_ci!M15</f>
        <v>35079814.415239222</v>
      </c>
      <c r="N87" s="50">
        <f>+lgh_ci!N15</f>
        <v>59500000.000000015</v>
      </c>
      <c r="O87" s="50"/>
      <c r="P87" s="43"/>
      <c r="Q87" s="43"/>
      <c r="R87" s="43"/>
      <c r="S87" s="43"/>
      <c r="T87" s="43"/>
      <c r="U87" s="43"/>
      <c r="V87" s="43"/>
      <c r="W87" s="43"/>
      <c r="X87" s="43"/>
      <c r="Y87" s="43"/>
    </row>
    <row r="88" spans="1:25">
      <c r="A88" s="43"/>
      <c r="B88" s="43"/>
      <c r="C88" s="43"/>
      <c r="D88" s="43"/>
      <c r="E88" s="43"/>
      <c r="F88" s="43"/>
      <c r="G88" s="43"/>
      <c r="H88" s="43"/>
      <c r="I88" s="43"/>
      <c r="J88" s="62"/>
      <c r="K88" s="43"/>
      <c r="L88" s="43"/>
      <c r="M88" s="43"/>
      <c r="N88" s="43"/>
      <c r="O88" s="43"/>
      <c r="P88" s="43"/>
      <c r="Q88" s="43"/>
      <c r="R88" s="43"/>
      <c r="S88" s="43"/>
      <c r="T88" s="43"/>
      <c r="U88" s="43"/>
      <c r="V88" s="43"/>
      <c r="W88" s="43"/>
      <c r="X88" s="43"/>
      <c r="Y88" s="43"/>
    </row>
    <row r="89" spans="1:25">
      <c r="A89" s="43"/>
      <c r="B89" s="43"/>
      <c r="C89" s="43"/>
      <c r="D89" s="43"/>
      <c r="E89" s="43"/>
      <c r="F89" s="43"/>
      <c r="G89" s="43"/>
      <c r="H89" s="43"/>
      <c r="I89" s="43"/>
      <c r="J89" s="62"/>
      <c r="K89" s="43"/>
      <c r="L89" s="43"/>
      <c r="M89" s="43"/>
      <c r="N89" s="43"/>
      <c r="O89" s="43"/>
      <c r="P89" s="43"/>
      <c r="Q89" s="43"/>
      <c r="R89" s="43"/>
      <c r="S89" s="43"/>
      <c r="T89" s="43"/>
      <c r="U89" s="43"/>
      <c r="V89" s="43"/>
      <c r="W89" s="43"/>
      <c r="X89" s="43"/>
      <c r="Y89" s="43"/>
    </row>
    <row r="90" spans="1:25">
      <c r="A90" s="43"/>
      <c r="B90" s="43"/>
      <c r="C90" s="43"/>
      <c r="D90" s="43"/>
      <c r="E90" s="43"/>
      <c r="F90" s="43"/>
      <c r="G90" s="43"/>
      <c r="H90" s="43"/>
      <c r="I90" s="43"/>
      <c r="J90" s="62"/>
      <c r="K90" s="43"/>
      <c r="L90" s="43"/>
      <c r="M90" s="43"/>
      <c r="N90" s="43"/>
      <c r="O90" s="43"/>
      <c r="P90" s="43"/>
      <c r="Q90" s="43"/>
      <c r="R90" s="43"/>
      <c r="S90" s="43"/>
      <c r="T90" s="43"/>
      <c r="U90" s="43"/>
      <c r="V90" s="43"/>
      <c r="W90" s="43"/>
      <c r="X90" s="43"/>
      <c r="Y90" s="43"/>
    </row>
    <row r="91" spans="1:25">
      <c r="A91" s="46" t="s">
        <v>142</v>
      </c>
      <c r="B91" s="50">
        <f>+lgh_other_assets!B35</f>
        <v>0</v>
      </c>
      <c r="C91" s="50">
        <f>+lgh_other_assets!C35</f>
        <v>0</v>
      </c>
      <c r="D91" s="50">
        <f>+lgh_other_assets!D35</f>
        <v>0</v>
      </c>
      <c r="E91" s="50">
        <f>+lgh_other_assets!E35</f>
        <v>0</v>
      </c>
      <c r="F91" s="50">
        <f>+lgh_other_assets!F35</f>
        <v>0</v>
      </c>
      <c r="G91" s="50">
        <f>+lgh_other_assets!G35</f>
        <v>0</v>
      </c>
      <c r="H91" s="50">
        <f>+lgh_other_assets!H35</f>
        <v>0</v>
      </c>
      <c r="I91" s="50">
        <f>+lgh_other_assets!I35</f>
        <v>0</v>
      </c>
      <c r="J91" s="62">
        <f>+lgh_other_assets!J35</f>
        <v>0</v>
      </c>
      <c r="K91" s="43">
        <f>+lgh_other_assets!K35</f>
        <v>0</v>
      </c>
      <c r="L91" s="43">
        <f>+lgh_other_assets!L35</f>
        <v>0</v>
      </c>
      <c r="M91" s="43">
        <f>+lgh_other_assets!M35</f>
        <v>0</v>
      </c>
      <c r="N91" s="43">
        <f>+lgh_other_assets!N35</f>
        <v>0</v>
      </c>
      <c r="O91" s="43"/>
      <c r="P91" s="43"/>
      <c r="Q91" s="43"/>
      <c r="R91" s="43"/>
      <c r="S91" s="43"/>
      <c r="T91" s="43"/>
      <c r="U91" s="43"/>
      <c r="V91" s="43"/>
      <c r="W91" s="43"/>
      <c r="X91" s="43"/>
      <c r="Y91" s="43"/>
    </row>
    <row r="92" spans="1:25">
      <c r="A92" s="43"/>
      <c r="B92" s="43"/>
      <c r="C92" s="43"/>
      <c r="D92" s="43"/>
      <c r="E92" s="43"/>
      <c r="F92" s="43"/>
      <c r="G92" s="43"/>
      <c r="H92" s="43"/>
      <c r="I92" s="43"/>
      <c r="J92" s="62"/>
      <c r="K92" s="43"/>
      <c r="L92" s="43"/>
      <c r="M92" s="43"/>
      <c r="N92" s="43"/>
      <c r="O92" s="43"/>
      <c r="P92" s="43"/>
      <c r="Q92" s="43"/>
      <c r="R92" s="43"/>
      <c r="S92" s="43"/>
      <c r="T92" s="43"/>
      <c r="U92" s="43"/>
      <c r="V92" s="43"/>
      <c r="W92" s="43"/>
      <c r="X92" s="43"/>
      <c r="Y92" s="43"/>
    </row>
    <row r="93" spans="1:25">
      <c r="A93" s="43"/>
      <c r="B93" s="43">
        <f>lgh_cuda!B11</f>
        <v>9000000</v>
      </c>
      <c r="C93" s="43">
        <f>lgh_cuda!C11</f>
        <v>1550000</v>
      </c>
      <c r="D93" s="43">
        <f>lgh_cuda!D11</f>
        <v>0</v>
      </c>
      <c r="E93" s="43">
        <f>lgh_cuda!E11</f>
        <v>0</v>
      </c>
      <c r="F93" s="43">
        <f>lgh_cuda!F11</f>
        <v>0</v>
      </c>
      <c r="G93" s="43">
        <f>lgh_cuda!G11</f>
        <v>0</v>
      </c>
      <c r="H93" s="43">
        <f>lgh_cuda!H11</f>
        <v>0</v>
      </c>
      <c r="I93" s="43">
        <f>lgh_cuda!I11</f>
        <v>0</v>
      </c>
      <c r="J93" s="43">
        <f>lgh_cuda!J11</f>
        <v>0</v>
      </c>
      <c r="K93" s="43">
        <f>lgh_cuda!K11</f>
        <v>0</v>
      </c>
      <c r="L93" s="43">
        <f>lgh_cuda!L11</f>
        <v>0</v>
      </c>
      <c r="M93" s="43">
        <f>lgh_cuda!M11</f>
        <v>0</v>
      </c>
      <c r="N93" s="43">
        <f>lgh_cuda!N11</f>
        <v>0</v>
      </c>
      <c r="O93" s="43"/>
      <c r="P93" s="43"/>
      <c r="Q93" s="43"/>
      <c r="R93" s="43"/>
      <c r="S93" s="43"/>
      <c r="T93" s="43"/>
      <c r="U93" s="43"/>
      <c r="V93" s="43"/>
      <c r="W93" s="43"/>
      <c r="X93" s="43"/>
      <c r="Y93" s="43"/>
    </row>
    <row r="94" spans="1:25">
      <c r="A94" s="46" t="s">
        <v>143</v>
      </c>
      <c r="B94" s="50">
        <f>+lgh_cuda!B6</f>
        <v>6000000</v>
      </c>
      <c r="C94" s="50">
        <f>+lgh_cuda!C6</f>
        <v>-6050000</v>
      </c>
      <c r="D94" s="50">
        <f>+lgh_cuda!D6</f>
        <v>0</v>
      </c>
      <c r="E94" s="50">
        <f>+lgh_cuda!E6</f>
        <v>0</v>
      </c>
      <c r="F94" s="50">
        <f>+lgh_cuda!F6</f>
        <v>0</v>
      </c>
      <c r="G94" s="50">
        <f>+lgh_cuda!G6</f>
        <v>0</v>
      </c>
      <c r="H94" s="50">
        <f>+lgh_cuda!H6</f>
        <v>0</v>
      </c>
      <c r="I94" s="50">
        <f>+lgh_cuda!I6</f>
        <v>0</v>
      </c>
      <c r="J94" s="62">
        <f>+lgh_cuda!J6</f>
        <v>0</v>
      </c>
      <c r="K94" s="43">
        <f>+lgh_cuda!K6</f>
        <v>0</v>
      </c>
      <c r="L94" s="43">
        <f>+lgh_cuda!L6</f>
        <v>0</v>
      </c>
      <c r="M94" s="43">
        <f>+lgh_cuda!M6</f>
        <v>0</v>
      </c>
      <c r="N94" s="43">
        <f>+lgh_cuda!N6</f>
        <v>0</v>
      </c>
      <c r="O94" s="43"/>
      <c r="P94" s="43"/>
      <c r="Q94" s="43"/>
      <c r="R94" s="43"/>
      <c r="S94" s="43"/>
      <c r="T94" s="43"/>
      <c r="U94" s="43"/>
      <c r="V94" s="43"/>
      <c r="W94" s="43"/>
      <c r="X94" s="43"/>
      <c r="Y94" s="43"/>
    </row>
    <row r="95" spans="1:25" s="37" customFormat="1">
      <c r="A95" s="67" t="s">
        <v>144</v>
      </c>
      <c r="B95" s="50">
        <f>+'c12_oc'!E39</f>
        <v>-5450569</v>
      </c>
      <c r="C95" s="50">
        <f>+'c12_oc'!L39</f>
        <v>-1637186</v>
      </c>
      <c r="D95" s="50">
        <f>+'c12_oc'!M39</f>
        <v>-1733477</v>
      </c>
      <c r="E95" s="50">
        <f>+'c12_oc'!N39</f>
        <v>-1694124</v>
      </c>
      <c r="F95" s="50">
        <f>+'c12_oc'!O39</f>
        <v>-2917273</v>
      </c>
      <c r="G95" s="50">
        <f>+'c12_oc'!P39</f>
        <v>-4057849.8571428573</v>
      </c>
      <c r="H95" s="50">
        <f>+'c12_oc'!Q39</f>
        <v>-4457407</v>
      </c>
      <c r="I95" s="50">
        <f>+'c12_oc'!R39</f>
        <v>-2834607</v>
      </c>
      <c r="J95" s="50">
        <f>+'c12_oc'!S39</f>
        <v>-4930793.25</v>
      </c>
      <c r="K95" s="50">
        <f>+'c12_oc'!T39</f>
        <v>-12027143.140000001</v>
      </c>
      <c r="L95" s="50">
        <f>+'c12_oc'!U39</f>
        <v>-11730729.884199999</v>
      </c>
      <c r="M95" s="50">
        <f>+'c12_oc'!V39</f>
        <v>-12082651.780726001</v>
      </c>
      <c r="N95" s="50">
        <f>+'c12_oc'!W39</f>
        <v>-12445131.334147781</v>
      </c>
      <c r="O95" s="43"/>
      <c r="P95" s="43"/>
      <c r="Q95" s="43"/>
      <c r="R95" s="43"/>
      <c r="S95" s="43"/>
      <c r="T95" s="43"/>
      <c r="U95" s="43"/>
      <c r="V95" s="43"/>
      <c r="W95" s="43"/>
      <c r="X95" s="43"/>
      <c r="Y95" s="43"/>
    </row>
    <row r="96" spans="1:25" s="37" customFormat="1">
      <c r="A96" s="67" t="s">
        <v>145</v>
      </c>
      <c r="B96" s="50">
        <f>+pink_cs2!B$32+elbow_cs2!B$30+aus_cs2!E$34+turks_cs2!B$33+frith_cs2!B$30</f>
        <v>0</v>
      </c>
      <c r="C96" s="50">
        <f>+pink_cs2!C$32+elbow_cs2!C$30+aus_cs2!F$34+turks_cs2!C$33+frith_cs2!C$30</f>
        <v>350000</v>
      </c>
      <c r="D96" s="50">
        <f>+pink_cs2!D$32+elbow_cs2!D$30+aus_cs2!G$34+turks_cs2!D$33+frith_cs2!D$30</f>
        <v>700000</v>
      </c>
      <c r="E96" s="50">
        <f>+pink_cs2!E$32+elbow_cs2!E$30+aus_cs2!H$34+turks_cs2!E$33+frith_cs2!E$30</f>
        <v>1050000</v>
      </c>
      <c r="F96" s="50">
        <f>+pink_cs2!F$32+elbow_cs2!F$30+aus_cs2!I$34+turks_cs2!F$33+frith_cs2!F$30</f>
        <v>1600000</v>
      </c>
      <c r="G96" s="50">
        <f>+pink_cs2!G$32+elbow_cs2!G$30+aus_cs2!J$34+turks_cs2!G$33+frith_cs2!G$30</f>
        <v>2150000</v>
      </c>
      <c r="H96" s="50">
        <f>+pink_cs2!H$32+elbow_cs2!H$30+aus_cs2!K$34+turks_cs2!H$33+frith_cs2!H$30</f>
        <v>2700000</v>
      </c>
      <c r="I96" s="50">
        <f>+pink_cs2!I$32+elbow_cs2!I$30+aus_cs2!L$34+turks_cs2!I$33+frith_cs2!I$30</f>
        <v>3250000</v>
      </c>
      <c r="J96" s="50">
        <f>+pink_cs2!J$32+elbow_cs2!J$30+aus_cs2!M$34+turks_cs2!J$33+frith_cs2!J$30</f>
        <v>2800000</v>
      </c>
      <c r="K96" s="50">
        <f>+pink_cs2!K$32+elbow_cs2!K$30+aus_cs2!N$34+turks_cs2!K$33+frith_cs2!K$30</f>
        <v>1700000</v>
      </c>
      <c r="L96" s="50">
        <f>+pink_cs2!L$32+elbow_cs2!L$30+aus_cs2!O$34+turks_cs2!L$33+frith_cs2!L$30</f>
        <v>2600000</v>
      </c>
      <c r="M96" s="50">
        <f>+pink_cs2!M$32+elbow_cs2!M$30+aus_cs2!P$34+turks_cs2!M$33+frith_cs2!M$30</f>
        <v>500000</v>
      </c>
      <c r="N96" s="50">
        <f>+pink_cs2!N$32+elbow_cs2!N$30+aus_cs2!Q$34+turks_cs2!N$33+frith_cs2!N$30</f>
        <v>1900000</v>
      </c>
      <c r="O96" s="43"/>
      <c r="P96" s="43"/>
      <c r="Q96" s="43"/>
      <c r="R96" s="43"/>
      <c r="S96" s="43"/>
      <c r="T96" s="43"/>
      <c r="U96" s="43"/>
      <c r="V96" s="43"/>
      <c r="W96" s="43"/>
      <c r="X96" s="43"/>
      <c r="Y96" s="43"/>
    </row>
    <row r="97" spans="1:25">
      <c r="A97" s="46" t="s">
        <v>146</v>
      </c>
      <c r="B97" s="50">
        <f>+lgh_equity!B14</f>
        <v>0</v>
      </c>
      <c r="C97" s="50">
        <f>+lgh_equity!C14</f>
        <v>0</v>
      </c>
      <c r="D97" s="50">
        <f>+lgh_equity!D14</f>
        <v>23600000</v>
      </c>
      <c r="E97" s="50">
        <f>+lgh_equity!E14</f>
        <v>200000</v>
      </c>
      <c r="F97" s="50">
        <f>+lgh_equity!F14</f>
        <v>0</v>
      </c>
      <c r="G97" s="50">
        <f>+lgh_equity!G14</f>
        <v>0</v>
      </c>
      <c r="H97" s="50">
        <f>+lgh_equity!H14</f>
        <v>0</v>
      </c>
      <c r="I97" s="50">
        <f>+lgh_equity!I14</f>
        <v>0</v>
      </c>
      <c r="J97" s="62">
        <f>+lgh_equity!J14</f>
        <v>0</v>
      </c>
      <c r="K97" s="43">
        <f>+lgh_equity!K14</f>
        <v>0</v>
      </c>
      <c r="L97" s="43">
        <f>+lgh_equity!L14</f>
        <v>0</v>
      </c>
      <c r="M97" s="43">
        <f>+lgh_equity!M14</f>
        <v>0</v>
      </c>
      <c r="N97" s="43">
        <f>+lgh_equity!N14</f>
        <v>0</v>
      </c>
      <c r="O97" s="43"/>
      <c r="P97" s="43"/>
      <c r="Q97" s="43"/>
      <c r="R97" s="43"/>
      <c r="S97" s="43"/>
      <c r="T97" s="43"/>
      <c r="U97" s="43"/>
      <c r="V97" s="43"/>
      <c r="W97" s="43"/>
      <c r="X97" s="43"/>
      <c r="Y97" s="43"/>
    </row>
    <row r="98" spans="1:25">
      <c r="A98" s="46" t="s">
        <v>147</v>
      </c>
      <c r="B98" s="50">
        <f>+lgh_equity!B18</f>
        <v>0</v>
      </c>
      <c r="C98" s="50">
        <f>+lgh_equity!C18</f>
        <v>0</v>
      </c>
      <c r="D98" s="50">
        <f>+lgh_equity!D18</f>
        <v>-23600000</v>
      </c>
      <c r="E98" s="50">
        <f>+lgh_equity!E18</f>
        <v>0</v>
      </c>
      <c r="F98" s="50">
        <f>+lgh_equity!F18</f>
        <v>0</v>
      </c>
      <c r="G98" s="50">
        <f>+lgh_equity!G18</f>
        <v>0</v>
      </c>
      <c r="H98" s="50">
        <f>+lgh_equity!H18</f>
        <v>0</v>
      </c>
      <c r="I98" s="50">
        <f>+lgh_equity!I18</f>
        <v>0</v>
      </c>
      <c r="J98" s="62">
        <f>+lgh_equity!J18</f>
        <v>0</v>
      </c>
      <c r="K98" s="43">
        <f>+lgh_equity!K18</f>
        <v>0</v>
      </c>
      <c r="L98" s="43">
        <f>+lgh_equity!L18</f>
        <v>0</v>
      </c>
      <c r="M98" s="43">
        <f>+lgh_equity!M18</f>
        <v>0</v>
      </c>
      <c r="N98" s="43">
        <f>+lgh_equity!N18</f>
        <v>0</v>
      </c>
      <c r="O98" s="43"/>
      <c r="P98" s="43"/>
      <c r="Q98" s="43"/>
      <c r="R98" s="43"/>
      <c r="S98" s="43"/>
      <c r="T98" s="43"/>
      <c r="U98" s="43"/>
      <c r="V98" s="43"/>
      <c r="W98" s="43"/>
      <c r="X98" s="43"/>
      <c r="Y98" s="43"/>
    </row>
    <row r="99" spans="1:25">
      <c r="A99" s="46" t="s">
        <v>148</v>
      </c>
      <c r="B99" s="50">
        <f>+lgh_cuda!B19</f>
        <v>0</v>
      </c>
      <c r="C99" s="50">
        <f>+lgh_cuda!C19</f>
        <v>-6050000</v>
      </c>
      <c r="D99" s="50">
        <f>+lgh_cuda!D19</f>
        <v>-1200000</v>
      </c>
      <c r="E99" s="50">
        <f>+lgh_cuda!E19</f>
        <v>0</v>
      </c>
      <c r="F99" s="50">
        <f>+lgh_cuda!F19</f>
        <v>0</v>
      </c>
      <c r="G99" s="50">
        <f>+lgh_cuda!G19</f>
        <v>0</v>
      </c>
      <c r="H99" s="50">
        <f>+lgh_cuda!H19</f>
        <v>0</v>
      </c>
      <c r="I99" s="50">
        <f>+lgh_cuda!I19</f>
        <v>0</v>
      </c>
      <c r="J99" s="62">
        <f>+lgh_cuda!J19</f>
        <v>0</v>
      </c>
      <c r="K99" s="43">
        <f>+lgh_cuda!K19</f>
        <v>0</v>
      </c>
      <c r="L99" s="43">
        <f>+lgh_cuda!L19</f>
        <v>0</v>
      </c>
      <c r="M99" s="43">
        <f>+lgh_cuda!M19</f>
        <v>0</v>
      </c>
      <c r="N99" s="43">
        <f>+lgh_cuda!N19</f>
        <v>0</v>
      </c>
      <c r="O99" s="43"/>
      <c r="P99" s="43"/>
      <c r="Q99" s="43"/>
      <c r="R99" s="43"/>
      <c r="S99" s="43"/>
      <c r="T99" s="43"/>
      <c r="U99" s="43"/>
      <c r="V99" s="43"/>
      <c r="W99" s="43"/>
      <c r="X99" s="43"/>
      <c r="Y99" s="43"/>
    </row>
    <row r="100" spans="1:25">
      <c r="A100" s="46" t="s">
        <v>149</v>
      </c>
      <c r="B100" s="50">
        <f>+lgh_cuda!B16</f>
        <v>6000000</v>
      </c>
      <c r="C100" s="50">
        <f>+lgh_cuda!C16</f>
        <v>0</v>
      </c>
      <c r="D100" s="50">
        <f>+lgh_cuda!D16</f>
        <v>0</v>
      </c>
      <c r="E100" s="50">
        <f>+lgh_cuda!E16</f>
        <v>0</v>
      </c>
      <c r="F100" s="50">
        <f>+lgh_cuda!F16</f>
        <v>0</v>
      </c>
      <c r="G100" s="50">
        <f>+lgh_cuda!G16</f>
        <v>0</v>
      </c>
      <c r="H100" s="50">
        <f>+lgh_cuda!H16</f>
        <v>0</v>
      </c>
      <c r="I100" s="50">
        <f>+lgh_cuda!I16</f>
        <v>0</v>
      </c>
      <c r="J100" s="50">
        <f>+lgh_cuda!J16</f>
        <v>0</v>
      </c>
      <c r="K100" s="50">
        <f>+lgh_cuda!K16</f>
        <v>0</v>
      </c>
      <c r="L100" s="50">
        <f>+lgh_cuda!L16</f>
        <v>0</v>
      </c>
      <c r="M100" s="50">
        <f>+lgh_cuda!M16</f>
        <v>0</v>
      </c>
      <c r="N100" s="50">
        <f>+lgh_cuda!N16</f>
        <v>0</v>
      </c>
      <c r="O100" s="43"/>
      <c r="P100" s="43"/>
      <c r="Q100" s="43"/>
      <c r="R100" s="43"/>
      <c r="S100" s="43"/>
      <c r="T100" s="43"/>
      <c r="U100" s="43"/>
      <c r="V100" s="43"/>
      <c r="W100" s="43"/>
      <c r="X100" s="43"/>
      <c r="Y100" s="43"/>
    </row>
    <row r="101" spans="1:25">
      <c r="A101" s="46" t="s">
        <v>150</v>
      </c>
      <c r="B101" s="50">
        <f>+lgh_other_assets!B26</f>
        <v>-1540999</v>
      </c>
      <c r="C101" s="50">
        <f>+lgh_other_assets!C26</f>
        <v>-596442.81892857142</v>
      </c>
      <c r="D101" s="50">
        <f>+lgh_other_assets!D26</f>
        <v>769541.18107142858</v>
      </c>
      <c r="E101" s="50">
        <f>+lgh_other_assets!E26</f>
        <v>1124903.1810714286</v>
      </c>
      <c r="F101" s="50">
        <f>+lgh_other_assets!F26</f>
        <v>1009945.1810714286</v>
      </c>
      <c r="G101" s="50">
        <f>+lgh_other_assets!G26</f>
        <v>1924884.2757142857</v>
      </c>
      <c r="H101" s="50">
        <f>+lgh_other_assets!H26</f>
        <v>0</v>
      </c>
      <c r="I101" s="50">
        <f>+lgh_other_assets!I26</f>
        <v>0</v>
      </c>
      <c r="J101" s="62">
        <f>+lgh_other_assets!J26</f>
        <v>0</v>
      </c>
      <c r="K101" s="43">
        <f>+lgh_other_assets!K26</f>
        <v>-12500000</v>
      </c>
      <c r="L101" s="43">
        <f>+lgh_other_assets!L26</f>
        <v>0</v>
      </c>
      <c r="M101" s="43">
        <f>+lgh_other_assets!M26</f>
        <v>0</v>
      </c>
      <c r="N101" s="43">
        <f>+lgh_other_assets!N26</f>
        <v>0</v>
      </c>
      <c r="O101" s="43"/>
      <c r="P101" s="43"/>
      <c r="Q101" s="43"/>
      <c r="R101" s="43"/>
      <c r="S101" s="43"/>
      <c r="T101" s="43"/>
      <c r="U101" s="43"/>
      <c r="V101" s="43"/>
      <c r="W101" s="43"/>
      <c r="X101" s="43"/>
      <c r="Y101" s="43"/>
    </row>
    <row r="102" spans="1:25">
      <c r="A102" s="46" t="s">
        <v>151</v>
      </c>
      <c r="B102" s="50">
        <f>lgh_cuda!B7</f>
        <v>0</v>
      </c>
      <c r="C102" s="50">
        <f>lgh_cuda!C7</f>
        <v>0</v>
      </c>
      <c r="D102" s="50">
        <f>lgh_cuda!D7</f>
        <v>-1200000</v>
      </c>
      <c r="E102" s="50">
        <f>lgh_cuda!E7</f>
        <v>0</v>
      </c>
      <c r="F102" s="50">
        <f>lgh_cuda!F7</f>
        <v>0</v>
      </c>
      <c r="G102" s="50">
        <f>lgh_cuda!G7</f>
        <v>0</v>
      </c>
      <c r="H102" s="50">
        <f>lgh_cuda!H7</f>
        <v>0</v>
      </c>
      <c r="I102" s="50">
        <f>lgh_cuda!I7</f>
        <v>0</v>
      </c>
      <c r="J102" s="50">
        <f>lgh_cuda!J7</f>
        <v>0</v>
      </c>
      <c r="K102" s="50">
        <f>lgh_cuda!K7</f>
        <v>0</v>
      </c>
      <c r="L102" s="50">
        <f>lgh_cuda!L7</f>
        <v>0</v>
      </c>
      <c r="M102" s="50">
        <f>lgh_cuda!M7</f>
        <v>0</v>
      </c>
      <c r="N102" s="50">
        <f>lgh_cuda!N7</f>
        <v>0</v>
      </c>
      <c r="O102" s="43"/>
      <c r="P102" s="43"/>
      <c r="Q102" s="43"/>
      <c r="R102" s="43"/>
      <c r="S102" s="43"/>
      <c r="T102" s="43"/>
      <c r="U102" s="43"/>
      <c r="V102" s="43"/>
      <c r="W102" s="43"/>
      <c r="X102" s="43"/>
      <c r="Y102" s="43"/>
    </row>
    <row r="103" spans="1:25">
      <c r="A103" s="43"/>
      <c r="B103" s="43"/>
      <c r="C103" s="43"/>
      <c r="D103" s="43"/>
      <c r="E103" s="43"/>
      <c r="F103" s="43"/>
      <c r="G103" s="43"/>
      <c r="H103" s="43"/>
      <c r="I103" s="43"/>
      <c r="J103" s="62"/>
      <c r="K103" s="43"/>
      <c r="L103" s="43"/>
      <c r="M103" s="43"/>
      <c r="N103" s="43"/>
      <c r="O103" s="43"/>
      <c r="P103" s="43"/>
      <c r="Q103" s="43"/>
      <c r="R103" s="43"/>
      <c r="S103" s="43"/>
      <c r="T103" s="43"/>
      <c r="U103" s="43"/>
      <c r="V103" s="43"/>
      <c r="W103" s="43"/>
      <c r="X103" s="43"/>
      <c r="Y103" s="43"/>
    </row>
    <row r="104" spans="1:25">
      <c r="A104" s="46" t="s">
        <v>152</v>
      </c>
      <c r="B104" s="59">
        <f>-'c12_oc'!E62</f>
        <v>1540999</v>
      </c>
      <c r="C104" s="59">
        <f>-'c12_oc'!L62</f>
        <v>2137441.8189285714</v>
      </c>
      <c r="D104" s="59">
        <f>-'c12_oc'!M62</f>
        <v>2659732.6378571428</v>
      </c>
      <c r="E104" s="59">
        <f>-'c12_oc'!N62</f>
        <v>2934829.4567857143</v>
      </c>
      <c r="F104" s="59">
        <f>-'c12_oc'!O62</f>
        <v>1924884.2757142857</v>
      </c>
      <c r="G104" s="59">
        <f>-'c12_oc'!P62</f>
        <v>0</v>
      </c>
      <c r="H104" s="59">
        <f>-'c12_oc'!Q62</f>
        <v>0</v>
      </c>
      <c r="I104" s="59">
        <f>-'c12_oc'!R62</f>
        <v>0</v>
      </c>
      <c r="J104" s="59">
        <f>-'c12_oc'!S62</f>
        <v>0</v>
      </c>
      <c r="K104" s="59">
        <f>-'c12_oc'!T62</f>
        <v>0</v>
      </c>
      <c r="L104" s="59">
        <f>-'c12_oc'!U62</f>
        <v>0</v>
      </c>
      <c r="M104" s="59">
        <f>-'c12_oc'!V62</f>
        <v>0</v>
      </c>
      <c r="N104" s="59">
        <f>-'c12_oc'!W62</f>
        <v>0</v>
      </c>
      <c r="O104" s="43"/>
      <c r="P104" s="43"/>
      <c r="Q104" s="43"/>
      <c r="R104" s="43"/>
      <c r="S104" s="43"/>
      <c r="T104" s="43"/>
      <c r="U104" s="43"/>
      <c r="V104" s="43"/>
      <c r="W104" s="43"/>
      <c r="X104" s="43"/>
      <c r="Y104" s="43"/>
    </row>
    <row r="105" spans="1:25">
      <c r="A105" s="46" t="s">
        <v>153</v>
      </c>
      <c r="B105" s="50">
        <f>+'c12_oc'!E68</f>
        <v>0</v>
      </c>
      <c r="C105" s="50">
        <f>+'c12_oc'!L68</f>
        <v>416032.5</v>
      </c>
      <c r="D105" s="50">
        <f>+'c12_oc'!M68</f>
        <v>3082065</v>
      </c>
      <c r="E105" s="50">
        <f>+'c12_oc'!N68</f>
        <v>4373097.5</v>
      </c>
      <c r="F105" s="50">
        <f>+'c12_oc'!O68</f>
        <v>5365480</v>
      </c>
      <c r="G105" s="50">
        <f>+'c12_oc'!P68</f>
        <v>6120868.2725</v>
      </c>
      <c r="H105" s="50">
        <f>+'c12_oc'!Q68</f>
        <v>5640774.3650000002</v>
      </c>
      <c r="I105" s="50">
        <f>+'c12_oc'!R68</f>
        <v>5378861.4574999996</v>
      </c>
      <c r="J105" s="50">
        <f>+'c12_oc'!S68</f>
        <v>4945267.55</v>
      </c>
      <c r="K105" s="50">
        <f>+'c12_oc'!T68</f>
        <v>4796719.9710999997</v>
      </c>
      <c r="L105" s="50">
        <f>+'c12_oc'!U68</f>
        <v>3728148.465233</v>
      </c>
      <c r="M105" s="50">
        <f>+'c12_oc'!V68</f>
        <v>6110519.8141899901</v>
      </c>
      <c r="N105" s="50">
        <f>+'c12_oc'!W68</f>
        <v>8000000.333333333</v>
      </c>
      <c r="O105" s="43"/>
      <c r="P105" s="43"/>
      <c r="Q105" s="43"/>
      <c r="R105" s="43"/>
      <c r="S105" s="43"/>
      <c r="T105" s="43"/>
      <c r="U105" s="43"/>
      <c r="V105" s="43"/>
      <c r="W105" s="43"/>
      <c r="X105" s="43"/>
      <c r="Y105" s="43"/>
    </row>
    <row r="106" spans="1:25">
      <c r="A106" s="46" t="s">
        <v>154</v>
      </c>
      <c r="B106" s="50">
        <f>-'c12_oc'!E74</f>
        <v>0</v>
      </c>
      <c r="C106" s="50">
        <f>-'c12_oc'!L74</f>
        <v>-264555.125</v>
      </c>
      <c r="D106" s="50">
        <f>-'c12_oc'!M74</f>
        <v>-1654110.25</v>
      </c>
      <c r="E106" s="50">
        <f>-'c12_oc'!N74</f>
        <v>-2356165.375</v>
      </c>
      <c r="F106" s="50">
        <f>-'c12_oc'!O74</f>
        <v>-2964570.5</v>
      </c>
      <c r="G106" s="50">
        <f>-'c12_oc'!P74</f>
        <v>-2970159.2973749996</v>
      </c>
      <c r="H106" s="50">
        <f>-'c12_oc'!Q74</f>
        <v>-2465036.0922499998</v>
      </c>
      <c r="I106" s="50">
        <f>-'c12_oc'!R74</f>
        <v>-2022503.3871249997</v>
      </c>
      <c r="J106" s="50">
        <f>-'c12_oc'!S74</f>
        <v>-1664945.5194999997</v>
      </c>
      <c r="K106" s="50">
        <f>-'c12_oc'!T74</f>
        <v>-1612953.8668849997</v>
      </c>
      <c r="L106" s="50">
        <f>-'c12_oc'!U74</f>
        <v>-1238953.8398315497</v>
      </c>
      <c r="M106" s="50">
        <f>-'c12_oc'!V74</f>
        <v>-2072783.8119664963</v>
      </c>
      <c r="N106" s="50">
        <f>-'c12_oc'!W74</f>
        <v>-2734101.9936666666</v>
      </c>
      <c r="O106" s="43"/>
      <c r="P106" s="43"/>
      <c r="Q106" s="43"/>
      <c r="R106" s="43"/>
      <c r="S106" s="43"/>
      <c r="T106" s="43"/>
      <c r="U106" s="43"/>
      <c r="V106" s="43"/>
      <c r="W106" s="43"/>
      <c r="X106" s="43"/>
      <c r="Y106" s="43"/>
    </row>
    <row r="107" spans="1:25">
      <c r="A107" s="43"/>
      <c r="B107" s="43"/>
      <c r="C107" s="43"/>
      <c r="D107" s="43"/>
      <c r="E107" s="43"/>
      <c r="F107" s="43"/>
      <c r="G107" s="43"/>
      <c r="H107" s="43"/>
      <c r="I107" s="43"/>
      <c r="J107" s="62"/>
      <c r="K107" s="43"/>
      <c r="L107" s="43"/>
      <c r="M107" s="43"/>
      <c r="N107" s="43"/>
      <c r="O107" s="43"/>
      <c r="P107" s="43"/>
      <c r="Q107" s="43"/>
      <c r="R107" s="43"/>
      <c r="S107" s="43"/>
      <c r="T107" s="43"/>
      <c r="U107" s="43"/>
      <c r="V107" s="43"/>
      <c r="W107" s="43"/>
      <c r="X107" s="43"/>
      <c r="Y107" s="43"/>
    </row>
    <row r="108" spans="1:25">
      <c r="A108" s="43"/>
      <c r="B108" s="43"/>
      <c r="C108" s="43"/>
      <c r="D108" s="43"/>
      <c r="E108" s="43"/>
      <c r="F108" s="43"/>
      <c r="G108" s="43"/>
      <c r="H108" s="43"/>
      <c r="I108" s="43"/>
      <c r="J108" s="70"/>
      <c r="K108" s="43"/>
      <c r="L108" s="43"/>
      <c r="M108" s="43"/>
      <c r="N108" s="43"/>
      <c r="O108" s="43"/>
      <c r="P108" s="43"/>
      <c r="Q108" s="43"/>
      <c r="R108" s="43"/>
      <c r="S108" s="43"/>
      <c r="T108" s="43"/>
      <c r="U108" s="43"/>
      <c r="V108" s="43"/>
      <c r="W108" s="43"/>
      <c r="X108" s="43"/>
      <c r="Y108" s="43"/>
    </row>
    <row r="109" spans="1:25">
      <c r="A109" s="43"/>
      <c r="B109" s="43"/>
      <c r="C109" s="43"/>
      <c r="D109" s="43"/>
      <c r="E109" s="43"/>
      <c r="F109" s="43"/>
      <c r="G109" s="43"/>
      <c r="H109" s="43"/>
      <c r="I109" s="43"/>
      <c r="J109" s="62"/>
      <c r="K109" s="43"/>
      <c r="L109" s="43"/>
      <c r="M109" s="43"/>
      <c r="N109" s="43"/>
      <c r="O109" s="43"/>
      <c r="P109" s="43"/>
      <c r="Q109" s="43"/>
      <c r="R109" s="43"/>
      <c r="S109" s="43"/>
      <c r="T109" s="43"/>
      <c r="U109" s="43"/>
      <c r="V109" s="43"/>
      <c r="W109" s="43"/>
      <c r="X109" s="43"/>
      <c r="Y109" s="43"/>
    </row>
    <row r="110" spans="1:25">
      <c r="A110" s="43"/>
      <c r="B110" s="43"/>
      <c r="C110" s="43"/>
      <c r="D110" s="43"/>
      <c r="E110" s="43"/>
      <c r="F110" s="43"/>
      <c r="G110" s="43"/>
      <c r="H110" s="43"/>
      <c r="I110" s="43"/>
      <c r="J110" s="62"/>
      <c r="K110" s="43"/>
      <c r="L110" s="43"/>
      <c r="M110" s="43"/>
      <c r="N110" s="43"/>
      <c r="O110" s="43"/>
      <c r="P110" s="43"/>
      <c r="Q110" s="43"/>
      <c r="R110" s="43"/>
      <c r="S110" s="43"/>
      <c r="T110" s="43"/>
      <c r="U110" s="43"/>
      <c r="V110" s="43"/>
      <c r="W110" s="43"/>
      <c r="X110" s="43"/>
      <c r="Y110" s="43"/>
    </row>
    <row r="111" spans="1:25">
      <c r="A111" s="43"/>
      <c r="B111" s="43"/>
      <c r="C111" s="43"/>
      <c r="D111" s="43"/>
      <c r="E111" s="43"/>
      <c r="F111" s="43"/>
      <c r="G111" s="43"/>
      <c r="H111" s="43"/>
      <c r="I111" s="43"/>
      <c r="J111" s="70"/>
      <c r="K111" s="43"/>
      <c r="L111" s="43"/>
      <c r="M111" s="43"/>
      <c r="N111" s="43"/>
      <c r="O111" s="43"/>
      <c r="P111" s="43"/>
      <c r="Q111" s="43"/>
      <c r="R111" s="43"/>
      <c r="S111" s="43"/>
      <c r="T111" s="43"/>
      <c r="U111" s="43"/>
      <c r="V111" s="43"/>
      <c r="W111" s="43"/>
      <c r="X111" s="43"/>
      <c r="Y111" s="43"/>
    </row>
    <row r="112" spans="1:25">
      <c r="A112" s="43"/>
      <c r="B112" s="43"/>
      <c r="C112" s="43"/>
      <c r="D112" s="43"/>
      <c r="E112" s="43"/>
      <c r="F112" s="43"/>
      <c r="G112" s="43"/>
      <c r="H112" s="43"/>
      <c r="I112" s="43"/>
      <c r="J112" s="62"/>
      <c r="K112" s="43"/>
      <c r="L112" s="43"/>
      <c r="M112" s="43"/>
      <c r="N112" s="43"/>
      <c r="O112" s="43"/>
      <c r="P112" s="43"/>
      <c r="Q112" s="43"/>
      <c r="R112" s="43"/>
      <c r="S112" s="43"/>
      <c r="T112" s="43"/>
      <c r="U112" s="43"/>
      <c r="V112" s="43"/>
      <c r="W112" s="43"/>
      <c r="X112" s="43"/>
      <c r="Y112" s="43"/>
    </row>
    <row r="113" spans="1:25">
      <c r="A113" s="43"/>
      <c r="B113" s="43"/>
      <c r="C113" s="43"/>
      <c r="D113" s="43"/>
      <c r="E113" s="43"/>
      <c r="F113" s="43"/>
      <c r="G113" s="43"/>
      <c r="H113" s="43"/>
      <c r="I113" s="43"/>
      <c r="J113" s="62"/>
      <c r="K113" s="43"/>
      <c r="L113" s="43"/>
      <c r="M113" s="43"/>
      <c r="N113" s="43"/>
      <c r="O113" s="43"/>
      <c r="P113" s="43"/>
      <c r="Q113" s="43"/>
      <c r="R113" s="43"/>
      <c r="S113" s="43"/>
      <c r="T113" s="43"/>
      <c r="U113" s="43"/>
      <c r="V113" s="43"/>
      <c r="W113" s="43"/>
      <c r="X113" s="43"/>
      <c r="Y113" s="43"/>
    </row>
    <row r="114" spans="1:25">
      <c r="A114" s="43"/>
      <c r="B114" s="43"/>
      <c r="C114" s="43"/>
      <c r="D114" s="43"/>
      <c r="E114" s="43"/>
      <c r="F114" s="43"/>
      <c r="G114" s="43"/>
      <c r="H114" s="43"/>
      <c r="I114" s="43"/>
      <c r="J114" s="62"/>
      <c r="K114" s="43"/>
      <c r="L114" s="43"/>
      <c r="M114" s="43"/>
      <c r="N114" s="43"/>
      <c r="O114" s="43"/>
      <c r="P114" s="43"/>
      <c r="Q114" s="43"/>
      <c r="R114" s="43"/>
      <c r="S114" s="43"/>
      <c r="T114" s="43"/>
      <c r="U114" s="43"/>
      <c r="V114" s="43"/>
      <c r="W114" s="43"/>
      <c r="X114" s="43"/>
      <c r="Y114" s="43"/>
    </row>
    <row r="115" spans="1:2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row>
    <row r="116" spans="1:25">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row>
    <row r="117" spans="1:25">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row>
    <row r="118" spans="1:25">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row>
    <row r="119" spans="1:25">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row>
    <row r="120" spans="1:25">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row>
    <row r="121" spans="1:25">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row>
    <row r="122" spans="1:25">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row>
    <row r="123" spans="1:25">
      <c r="A123" s="43"/>
      <c r="B123" s="43"/>
      <c r="C123" s="43"/>
      <c r="D123" s="43"/>
      <c r="E123" s="43"/>
      <c r="F123" s="43"/>
      <c r="G123" s="43"/>
      <c r="H123" s="43"/>
      <c r="I123" s="43"/>
      <c r="J123" s="71"/>
      <c r="K123" s="43"/>
      <c r="L123" s="43"/>
      <c r="M123" s="43"/>
      <c r="N123" s="43"/>
      <c r="O123" s="43"/>
      <c r="P123" s="43"/>
      <c r="Q123" s="43"/>
      <c r="R123" s="43"/>
      <c r="S123" s="43"/>
      <c r="T123" s="43"/>
      <c r="U123" s="43"/>
      <c r="V123" s="43"/>
      <c r="W123" s="43"/>
      <c r="X123" s="43"/>
      <c r="Y123" s="43"/>
    </row>
    <row r="124" spans="1:25">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row>
    <row r="125" spans="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row>
    <row r="126" spans="1:25">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row>
    <row r="127" spans="1:25">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row>
    <row r="128" spans="1:25">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row>
    <row r="129" spans="1:25">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row>
    <row r="130" spans="1:25">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row>
    <row r="131" spans="1:25">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row>
    <row r="132" spans="1:25">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row>
    <row r="133" spans="1:25">
      <c r="A133" s="43"/>
      <c r="B133" s="43"/>
      <c r="C133" s="43"/>
      <c r="D133" s="43"/>
      <c r="E133" s="43"/>
      <c r="F133" s="43"/>
      <c r="G133" s="43"/>
      <c r="H133" s="43"/>
      <c r="I133" s="43"/>
      <c r="J133" s="69"/>
      <c r="K133" s="43"/>
      <c r="L133" s="43"/>
      <c r="M133" s="43"/>
      <c r="N133" s="43"/>
      <c r="O133" s="43"/>
      <c r="P133" s="43"/>
      <c r="Q133" s="43"/>
      <c r="R133" s="43"/>
      <c r="S133" s="43"/>
      <c r="T133" s="43"/>
      <c r="U133" s="43"/>
      <c r="V133" s="43"/>
      <c r="W133" s="43"/>
      <c r="X133" s="43"/>
      <c r="Y133" s="43"/>
    </row>
    <row r="134" spans="1:25">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row>
    <row r="135" spans="1:2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row>
    <row r="136" spans="1:25">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row>
    <row r="137" spans="1:25">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row>
    <row r="138" spans="1:25">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row>
    <row r="139" spans="1:25">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row>
    <row r="140" spans="1:25">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row>
    <row r="141" spans="1:25">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row>
    <row r="142" spans="1:25">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row>
    <row r="143" spans="1:25">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row>
    <row r="144" spans="1:25">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row>
    <row r="145" spans="1:2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row>
    <row r="146" spans="1:25">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row>
    <row r="147" spans="1:25">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row>
    <row r="148" spans="1:25">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row>
    <row r="149" spans="1:25">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row>
    <row r="150" spans="1:25">
      <c r="A150" s="43"/>
      <c r="B150" s="43"/>
      <c r="C150" s="43"/>
      <c r="D150" s="43"/>
      <c r="E150" s="43"/>
      <c r="F150" s="43"/>
      <c r="G150" s="43"/>
      <c r="H150" s="43"/>
      <c r="I150" s="43"/>
      <c r="J150" s="70"/>
      <c r="K150" s="43"/>
      <c r="L150" s="43"/>
      <c r="M150" s="43"/>
      <c r="N150" s="43"/>
      <c r="O150" s="43"/>
      <c r="P150" s="43"/>
      <c r="Q150" s="43"/>
      <c r="R150" s="43"/>
      <c r="S150" s="43"/>
      <c r="T150" s="43"/>
      <c r="U150" s="43"/>
      <c r="V150" s="43"/>
      <c r="W150" s="43"/>
      <c r="X150" s="43"/>
      <c r="Y150" s="43"/>
    </row>
    <row r="151" spans="1:25">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row>
    <row r="152" spans="1:25">
      <c r="A152" s="43"/>
      <c r="B152" s="43"/>
      <c r="C152" s="43"/>
      <c r="D152" s="43"/>
      <c r="E152" s="43"/>
      <c r="F152" s="43"/>
      <c r="G152" s="43"/>
      <c r="H152" s="43"/>
      <c r="I152" s="43"/>
      <c r="J152" s="70"/>
      <c r="K152" s="43"/>
      <c r="L152" s="43"/>
      <c r="M152" s="43"/>
      <c r="N152" s="43"/>
      <c r="O152" s="43"/>
      <c r="P152" s="43"/>
      <c r="Q152" s="43"/>
      <c r="R152" s="43"/>
      <c r="S152" s="43"/>
      <c r="T152" s="43"/>
      <c r="U152" s="43"/>
      <c r="V152" s="43"/>
      <c r="W152" s="43"/>
      <c r="X152" s="43"/>
      <c r="Y152" s="43"/>
    </row>
    <row r="153" spans="1:25">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row>
    <row r="154" spans="1:25">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row>
    <row r="155" spans="1:2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row>
    <row r="156" spans="1:25">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row>
    <row r="157" spans="1:25">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row>
    <row r="158" spans="1:25">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row>
    <row r="159" spans="1:25">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row>
    <row r="160" spans="1:25">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row>
    <row r="161" spans="1:25">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row>
    <row r="162" spans="1:25">
      <c r="A162" s="43"/>
      <c r="B162" s="43"/>
      <c r="C162" s="43"/>
      <c r="D162" s="43"/>
      <c r="E162" s="43"/>
      <c r="F162" s="43"/>
      <c r="G162" s="43"/>
      <c r="H162" s="43"/>
      <c r="I162" s="43"/>
      <c r="J162" s="71"/>
      <c r="K162" s="43"/>
      <c r="L162" s="43"/>
      <c r="M162" s="43"/>
      <c r="N162" s="43"/>
      <c r="O162" s="43"/>
      <c r="P162" s="43"/>
      <c r="Q162" s="43"/>
      <c r="R162" s="43"/>
      <c r="S162" s="43"/>
      <c r="T162" s="43"/>
      <c r="U162" s="43"/>
      <c r="V162" s="43"/>
      <c r="W162" s="43"/>
      <c r="X162" s="43"/>
      <c r="Y162" s="43"/>
    </row>
    <row r="163" spans="1:25">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row>
    <row r="164" spans="1:25">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row>
    <row r="165" spans="1:2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row>
    <row r="166" spans="1:25">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row>
    <row r="167" spans="1:25">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row>
    <row r="168" spans="1:25">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row>
    <row r="169" spans="1:25">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row>
    <row r="170" spans="1:25">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row>
    <row r="171" spans="1:25">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row>
    <row r="172" spans="1:25">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row>
    <row r="173" spans="1:25">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row>
    <row r="174" spans="1:25">
      <c r="A174" s="43"/>
      <c r="B174" s="43"/>
      <c r="C174" s="43"/>
      <c r="D174" s="43"/>
      <c r="E174" s="43"/>
      <c r="F174" s="43"/>
      <c r="G174" s="43"/>
      <c r="H174" s="43"/>
      <c r="I174" s="43"/>
      <c r="J174" s="69"/>
      <c r="K174" s="43"/>
      <c r="L174" s="43"/>
      <c r="M174" s="43"/>
      <c r="N174" s="43"/>
      <c r="O174" s="43"/>
      <c r="P174" s="43"/>
      <c r="Q174" s="43"/>
      <c r="R174" s="43"/>
      <c r="S174" s="43"/>
      <c r="T174" s="43"/>
      <c r="U174" s="43"/>
      <c r="V174" s="43"/>
      <c r="W174" s="43"/>
      <c r="X174" s="43"/>
      <c r="Y174" s="43"/>
    </row>
    <row r="175" spans="1:2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row>
    <row r="176" spans="1:25">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row>
    <row r="177" spans="1:25">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row>
    <row r="178" spans="1:25">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row>
    <row r="179" spans="1:25">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row>
    <row r="180" spans="1:25">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row>
    <row r="181" spans="1:25">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row>
    <row r="182" spans="1:25">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row>
    <row r="183" spans="1:25">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row>
    <row r="184" spans="1:25">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row>
    <row r="185" spans="1:2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row>
    <row r="186" spans="1:25">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row>
    <row r="187" spans="1:25">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row>
    <row r="188" spans="1:25">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row>
    <row r="189" spans="1:25">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row>
    <row r="190" spans="1:25">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row>
    <row r="191" spans="1:25">
      <c r="A191" s="43"/>
      <c r="B191" s="43"/>
      <c r="C191" s="43"/>
      <c r="D191" s="43"/>
      <c r="E191" s="43"/>
      <c r="F191" s="43"/>
      <c r="G191" s="43"/>
      <c r="H191" s="43"/>
      <c r="I191" s="43"/>
      <c r="J191" s="70"/>
      <c r="K191" s="43"/>
      <c r="L191" s="43"/>
      <c r="M191" s="43"/>
      <c r="N191" s="43"/>
      <c r="O191" s="43"/>
      <c r="P191" s="43"/>
      <c r="Q191" s="43"/>
      <c r="R191" s="43"/>
      <c r="S191" s="43"/>
      <c r="T191" s="43"/>
      <c r="U191" s="43"/>
      <c r="V191" s="43"/>
      <c r="W191" s="43"/>
      <c r="X191" s="43"/>
      <c r="Y191" s="43"/>
    </row>
    <row r="192" spans="1:25">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row>
    <row r="193" spans="1:25">
      <c r="A193" s="43"/>
      <c r="B193" s="43"/>
      <c r="C193" s="43"/>
      <c r="D193" s="43"/>
      <c r="E193" s="43"/>
      <c r="F193" s="43"/>
      <c r="G193" s="43"/>
      <c r="H193" s="43"/>
      <c r="I193" s="43"/>
      <c r="J193" s="70"/>
      <c r="K193" s="43"/>
      <c r="L193" s="43"/>
      <c r="M193" s="43"/>
      <c r="N193" s="43"/>
      <c r="O193" s="43"/>
      <c r="P193" s="43"/>
      <c r="Q193" s="43"/>
      <c r="R193" s="43"/>
      <c r="S193" s="43"/>
      <c r="T193" s="43"/>
      <c r="U193" s="43"/>
      <c r="V193" s="43"/>
      <c r="W193" s="43"/>
      <c r="X193" s="43"/>
      <c r="Y193" s="43"/>
    </row>
    <row r="194" spans="1:25" hidden="1"/>
    <row r="195" spans="1:25" hidden="1"/>
  </sheetData>
  <pageMargins left="0.7" right="0.7" top="0.75" bottom="0.75" header="0.3" footer="0.3"/>
  <pageSetup scale="73"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9E1F2"/>
  </sheetPr>
  <dimension ref="A1:U42"/>
  <sheetViews>
    <sheetView topLeftCell="F1" zoomScale="105" workbookViewId="0">
      <selection activeCell="F43" sqref="F43"/>
    </sheetView>
  </sheetViews>
  <sheetFormatPr defaultRowHeight="14.5"/>
  <cols>
    <col min="1" max="1" width="6.54296875" bestFit="1" customWidth="1"/>
    <col min="2" max="2" width="8.54296875" bestFit="1" customWidth="1"/>
    <col min="3" max="7" width="13.81640625" customWidth="1"/>
    <col min="8" max="8" width="13.26953125" customWidth="1"/>
    <col min="9" max="9" width="8.54296875" bestFit="1" customWidth="1"/>
    <col min="10" max="14" width="13.81640625" customWidth="1"/>
    <col min="15" max="15" width="25.26953125" bestFit="1" customWidth="1"/>
    <col min="16" max="17" width="14" bestFit="1" customWidth="1"/>
    <col min="18" max="18" width="8.81640625" customWidth="1"/>
  </cols>
  <sheetData>
    <row r="1" spans="1:21">
      <c r="A1" s="43"/>
      <c r="B1" s="43"/>
      <c r="C1" s="43"/>
      <c r="D1" s="43"/>
      <c r="E1" s="43"/>
      <c r="F1" s="43"/>
      <c r="G1" s="43"/>
      <c r="H1" s="43"/>
      <c r="I1" s="43"/>
      <c r="J1" s="43"/>
      <c r="K1" s="43"/>
      <c r="L1" s="43"/>
      <c r="M1" s="43"/>
      <c r="N1" s="43"/>
      <c r="O1" s="43"/>
      <c r="P1" s="43"/>
      <c r="Q1" s="43"/>
      <c r="R1" s="43"/>
      <c r="S1" s="43"/>
      <c r="T1" s="43"/>
      <c r="U1" s="43"/>
    </row>
    <row r="2" spans="1:21">
      <c r="A2" s="43"/>
      <c r="B2" s="43"/>
      <c r="C2" s="43"/>
      <c r="D2" s="86" t="s">
        <v>155</v>
      </c>
      <c r="E2" s="62"/>
      <c r="F2" s="43"/>
      <c r="G2" s="43"/>
      <c r="H2" s="43"/>
      <c r="I2" s="43"/>
      <c r="J2" s="43"/>
      <c r="K2" s="87" t="s">
        <v>156</v>
      </c>
      <c r="L2" s="62"/>
      <c r="M2" s="43"/>
      <c r="N2" s="43"/>
      <c r="O2" s="43"/>
      <c r="P2" s="43"/>
      <c r="Q2" s="43"/>
      <c r="R2" s="87" t="s">
        <v>156</v>
      </c>
      <c r="S2" s="62"/>
      <c r="T2" s="43"/>
      <c r="U2" s="43"/>
    </row>
    <row r="3" spans="1:21">
      <c r="A3" s="43"/>
      <c r="B3" s="43"/>
      <c r="C3" s="43"/>
      <c r="D3" s="88" t="s">
        <v>157</v>
      </c>
      <c r="E3" s="89">
        <f>(lgh_bs!I51*E4)/1000000</f>
        <v>107.16384080952022</v>
      </c>
      <c r="F3" s="43"/>
      <c r="G3" s="43"/>
      <c r="H3" s="43"/>
      <c r="I3" s="43"/>
      <c r="J3" s="43"/>
      <c r="K3" s="88" t="s">
        <v>158</v>
      </c>
      <c r="L3" s="89">
        <f>(lgh_bs!I53*$L$4)/1000000</f>
        <v>154.89324587188477</v>
      </c>
      <c r="M3" s="43"/>
      <c r="N3" s="43"/>
      <c r="O3" s="43"/>
      <c r="P3" s="43"/>
      <c r="Q3" s="43"/>
      <c r="R3" s="88" t="s">
        <v>158</v>
      </c>
      <c r="S3" s="90">
        <v>154.4599119321139</v>
      </c>
      <c r="T3" s="43"/>
      <c r="U3" s="43"/>
    </row>
    <row r="4" spans="1:21">
      <c r="A4" s="43"/>
      <c r="B4" s="43"/>
      <c r="C4" s="43"/>
      <c r="D4" s="86" t="s">
        <v>159</v>
      </c>
      <c r="E4" s="91">
        <f>1-E5</f>
        <v>1</v>
      </c>
      <c r="F4" s="43"/>
      <c r="G4" s="43"/>
      <c r="H4" s="43"/>
      <c r="I4" s="43"/>
      <c r="J4" s="43"/>
      <c r="K4" s="92" t="s">
        <v>159</v>
      </c>
      <c r="L4" s="91">
        <f>1-L5</f>
        <v>1</v>
      </c>
      <c r="M4" s="43"/>
      <c r="N4" s="43"/>
      <c r="O4" s="43"/>
      <c r="P4" s="43"/>
      <c r="Q4" s="43"/>
      <c r="R4" s="92" t="s">
        <v>159</v>
      </c>
      <c r="S4" s="93">
        <v>1</v>
      </c>
      <c r="T4" s="43"/>
      <c r="U4" s="43"/>
    </row>
    <row r="5" spans="1:21">
      <c r="A5" s="43"/>
      <c r="B5" s="43"/>
      <c r="C5" s="43"/>
      <c r="D5" s="86" t="s">
        <v>160</v>
      </c>
      <c r="E5" s="78">
        <v>0</v>
      </c>
      <c r="F5" s="43"/>
      <c r="G5" s="43"/>
      <c r="H5" s="43"/>
      <c r="I5" s="43"/>
      <c r="J5" s="43"/>
      <c r="K5" s="94" t="s">
        <v>160</v>
      </c>
      <c r="L5" s="78">
        <v>0</v>
      </c>
      <c r="M5" s="43"/>
      <c r="N5" s="43"/>
      <c r="O5" s="43"/>
      <c r="P5" s="43"/>
      <c r="Q5" s="43"/>
      <c r="R5" s="94" t="s">
        <v>160</v>
      </c>
      <c r="S5" s="78">
        <v>0</v>
      </c>
      <c r="T5" s="43"/>
      <c r="U5" s="43"/>
    </row>
    <row r="6" spans="1:21">
      <c r="A6" s="43"/>
      <c r="B6" s="43"/>
      <c r="C6" s="43"/>
      <c r="D6" s="43"/>
      <c r="E6" s="43"/>
      <c r="F6" s="43"/>
      <c r="G6" s="43"/>
      <c r="H6" s="43"/>
      <c r="I6" s="43"/>
      <c r="J6" s="43"/>
      <c r="K6" s="43"/>
      <c r="L6" s="43"/>
      <c r="M6" s="43"/>
      <c r="N6" s="43"/>
      <c r="O6" s="43"/>
      <c r="P6" s="43"/>
      <c r="Q6" s="43"/>
      <c r="R6" s="43"/>
      <c r="S6" s="43"/>
      <c r="T6" s="43"/>
      <c r="U6" s="43"/>
    </row>
    <row r="7" spans="1:21">
      <c r="A7" s="43"/>
      <c r="B7" s="43"/>
      <c r="C7" s="43"/>
      <c r="D7" s="43"/>
      <c r="E7" s="43"/>
      <c r="F7" s="43"/>
      <c r="G7" s="43"/>
      <c r="H7" s="43"/>
      <c r="I7" s="43"/>
      <c r="J7" s="43"/>
      <c r="K7" s="43"/>
      <c r="L7" s="43"/>
      <c r="M7" s="43"/>
      <c r="N7" s="43"/>
      <c r="O7" s="43"/>
      <c r="P7" s="43"/>
      <c r="Q7" s="43"/>
      <c r="R7" s="43"/>
      <c r="S7" s="43"/>
      <c r="T7" s="43"/>
      <c r="U7" s="43"/>
    </row>
    <row r="8" spans="1:21">
      <c r="A8" s="43"/>
      <c r="B8" s="43"/>
      <c r="C8" s="43"/>
      <c r="D8" s="43"/>
      <c r="E8" s="95" t="s">
        <v>161</v>
      </c>
      <c r="F8" s="43"/>
      <c r="G8" s="43"/>
      <c r="H8" s="43"/>
      <c r="I8" s="43"/>
      <c r="J8" s="43"/>
      <c r="K8" s="43"/>
      <c r="L8" s="95" t="s">
        <v>162</v>
      </c>
      <c r="M8" s="43"/>
      <c r="N8" s="43"/>
      <c r="O8" s="43"/>
      <c r="P8" s="43"/>
      <c r="Q8" s="43"/>
      <c r="R8" s="43"/>
      <c r="S8" s="95" t="s">
        <v>162</v>
      </c>
      <c r="T8" s="43"/>
      <c r="U8" s="43"/>
    </row>
    <row r="9" spans="1:21">
      <c r="A9" s="43"/>
      <c r="B9" s="43"/>
      <c r="C9" s="96">
        <v>2026</v>
      </c>
      <c r="D9" s="96">
        <v>2027</v>
      </c>
      <c r="E9" s="96">
        <v>2028</v>
      </c>
      <c r="F9" s="96">
        <v>2029</v>
      </c>
      <c r="G9" s="96">
        <v>2030</v>
      </c>
      <c r="H9" s="43"/>
      <c r="I9" s="43"/>
      <c r="J9" s="96">
        <v>2026</v>
      </c>
      <c r="K9" s="96">
        <v>2027</v>
      </c>
      <c r="L9" s="96">
        <v>2028</v>
      </c>
      <c r="M9" s="96">
        <v>2029</v>
      </c>
      <c r="N9" s="96">
        <v>2030</v>
      </c>
      <c r="O9" s="43"/>
      <c r="P9" s="43"/>
      <c r="Q9" s="96">
        <v>2026</v>
      </c>
      <c r="R9" s="96">
        <v>2027</v>
      </c>
      <c r="S9" s="96">
        <v>2028</v>
      </c>
      <c r="T9" s="96">
        <v>2029</v>
      </c>
      <c r="U9" s="96">
        <v>2030</v>
      </c>
    </row>
    <row r="10" spans="1:21">
      <c r="A10" s="43"/>
      <c r="B10" s="43"/>
      <c r="C10" s="97" t="s">
        <v>163</v>
      </c>
      <c r="D10" s="98"/>
      <c r="E10" s="98"/>
      <c r="F10" s="98"/>
      <c r="G10" s="98"/>
      <c r="H10" s="43"/>
      <c r="I10" s="43"/>
      <c r="J10" s="97" t="s">
        <v>164</v>
      </c>
      <c r="K10" s="98"/>
      <c r="L10" s="98"/>
      <c r="M10" s="98"/>
      <c r="N10" s="98"/>
      <c r="O10" s="43"/>
      <c r="P10" s="43"/>
      <c r="Q10" s="97" t="s">
        <v>164</v>
      </c>
      <c r="R10" s="98"/>
      <c r="S10" s="98"/>
      <c r="T10" s="98"/>
      <c r="U10" s="98"/>
    </row>
    <row r="11" spans="1:21" ht="14.65" customHeight="1" thickBot="1">
      <c r="A11" s="43"/>
      <c r="B11" s="43"/>
      <c r="C11" s="99">
        <f>(+lgh_bs!L38)/1000000</f>
        <v>111.47795854415665</v>
      </c>
      <c r="D11" s="99">
        <f>(+lgh_bs!M38)/1000000</f>
        <v>127.65759257132143</v>
      </c>
      <c r="E11" s="99">
        <f>(+lgh_bs!N38)/1000000</f>
        <v>153.26307701932913</v>
      </c>
      <c r="F11" s="99">
        <f>(+lgh_bs!O38)/1000000</f>
        <v>183.68557524975256</v>
      </c>
      <c r="G11" s="99">
        <f>(+lgh_bs!P38)/1000000</f>
        <v>213.02296889293527</v>
      </c>
      <c r="H11" s="43"/>
      <c r="I11" s="43"/>
      <c r="J11" s="99">
        <f>(lgh_bs!L39-lgh_bs!L35+lgh_bs!L41+lgh_bs!L40)/1000000</f>
        <v>167.85243317740236</v>
      </c>
      <c r="K11" s="99">
        <f>(lgh_bs!M39-lgh_bs!M35+lgh_bs!M41+lgh_bs!M40)/1000000</f>
        <v>193.12377875281905</v>
      </c>
      <c r="L11" s="99">
        <f>(lgh_bs!N39-lgh_bs!N35+lgh_bs!N41+lgh_bs!N40)/1000000</f>
        <v>227.25902608170685</v>
      </c>
      <c r="M11" s="99">
        <f>(lgh_bs!O39-lgh_bs!O35+lgh_bs!O41+lgh_bs!O40)/1000000</f>
        <v>263.88259977376509</v>
      </c>
      <c r="N11" s="99">
        <f>(lgh_bs!P39-lgh_bs!P35+lgh_bs!P41+lgh_bs!P40)/1000000</f>
        <v>300.46947089755923</v>
      </c>
      <c r="O11" s="43"/>
      <c r="P11" s="43"/>
      <c r="Q11" s="100">
        <v>168.53976388122831</v>
      </c>
      <c r="R11" s="100">
        <v>194.24565263233441</v>
      </c>
      <c r="S11" s="100">
        <v>228.88667087648329</v>
      </c>
      <c r="T11" s="100">
        <v>266.12868863194802</v>
      </c>
      <c r="U11" s="100">
        <v>303.35255716235889</v>
      </c>
    </row>
    <row r="12" spans="1:21">
      <c r="A12" s="43"/>
      <c r="B12" s="101" t="s">
        <v>165</v>
      </c>
      <c r="C12" s="102">
        <f>+C11/$E3</f>
        <v>1.040257214579539</v>
      </c>
      <c r="D12" s="102">
        <f>+D11/$E3</f>
        <v>1.1912375630342338</v>
      </c>
      <c r="E12" s="102">
        <f>+E11/$E3</f>
        <v>1.4301752891793846</v>
      </c>
      <c r="F12" s="102">
        <f>+F11/$E3</f>
        <v>1.714063007281037</v>
      </c>
      <c r="G12" s="102">
        <f>+G11/$E3</f>
        <v>1.9878250656541485</v>
      </c>
      <c r="H12" s="43"/>
      <c r="I12" s="101" t="s">
        <v>165</v>
      </c>
      <c r="J12" s="102">
        <f>+J11/$L$3</f>
        <v>1.0836652833541649</v>
      </c>
      <c r="K12" s="102">
        <f>+K11/$L$3</f>
        <v>1.2468185921583403</v>
      </c>
      <c r="L12" s="102">
        <f>+L11/$L$3</f>
        <v>1.4671977774271527</v>
      </c>
      <c r="M12" s="102">
        <f>+M11/$L$3</f>
        <v>1.7036417455673152</v>
      </c>
      <c r="N12" s="102">
        <f>+N11/$L$3</f>
        <v>1.9398487597456857</v>
      </c>
      <c r="O12" s="43"/>
      <c r="P12" s="101" t="s">
        <v>165</v>
      </c>
      <c r="Q12" s="103">
        <v>1.091155379884605</v>
      </c>
      <c r="R12" s="103">
        <v>1.2575797189221929</v>
      </c>
      <c r="S12" s="103">
        <v>1.4818516210023509</v>
      </c>
      <c r="T12" s="103">
        <v>1.7229628406684141</v>
      </c>
      <c r="U12" s="103">
        <v>1.963956559134155</v>
      </c>
    </row>
    <row r="13" spans="1:21">
      <c r="A13" s="43"/>
      <c r="B13" s="101" t="s">
        <v>166</v>
      </c>
      <c r="C13" s="104">
        <f>+C11/E3-1</f>
        <v>4.0257214579539013E-2</v>
      </c>
      <c r="D13" s="104">
        <f>+D11/C11-1</f>
        <v>0.14513751631678828</v>
      </c>
      <c r="E13" s="104">
        <f>+E11/D11-1</f>
        <v>0.20057940880956293</v>
      </c>
      <c r="F13" s="104">
        <f>+F11/E11-1</f>
        <v>0.19849854786999099</v>
      </c>
      <c r="G13" s="104">
        <f>+G11/F11-1</f>
        <v>0.15971528304981719</v>
      </c>
      <c r="H13" s="43"/>
      <c r="I13" s="101" t="s">
        <v>166</v>
      </c>
      <c r="J13" s="104">
        <f>+J11/L3-1</f>
        <v>8.3665283354164899E-2</v>
      </c>
      <c r="K13" s="104">
        <f>+K11/J11-1</f>
        <v>0.15055692132092924</v>
      </c>
      <c r="L13" s="104">
        <f>+L11/K11-1</f>
        <v>0.17675320744721867</v>
      </c>
      <c r="M13" s="104">
        <f>+M11/L11-1</f>
        <v>0.16115343941890736</v>
      </c>
      <c r="N13" s="104">
        <f>+N11/M11-1</f>
        <v>0.138648289637745</v>
      </c>
      <c r="O13" s="43"/>
      <c r="P13" s="101" t="s">
        <v>166</v>
      </c>
      <c r="Q13" s="105">
        <v>9.1155379884604537E-2</v>
      </c>
      <c r="R13" s="105">
        <v>0.1525212101829059</v>
      </c>
      <c r="S13" s="105">
        <v>0.17833613146399149</v>
      </c>
      <c r="T13" s="105">
        <v>0.16270942127321189</v>
      </c>
      <c r="U13" s="105">
        <v>0.13987168659554411</v>
      </c>
    </row>
    <row r="14" spans="1:21">
      <c r="A14" s="43"/>
      <c r="B14" s="106" t="s">
        <v>167</v>
      </c>
      <c r="C14" s="104">
        <f>(C11/$E3)^(1/((lgh_bs!L$2-lgh_bs!$I$2)/365))-1</f>
        <v>5.3781165490110361E-2</v>
      </c>
      <c r="D14" s="104">
        <f>(D11/$E3)^(1/((lgh_bs!M$2-lgh_bs!$I$2)/365))-1</f>
        <v>0.10495050770557013</v>
      </c>
      <c r="E14" s="104">
        <f>($E$11/$E$3)^(1/((lgh_bs!$N$2-lgh_bs!$I$2)/365))-1</f>
        <v>0.13862000705382771</v>
      </c>
      <c r="F14" s="104">
        <f>(F11/$E3)^(1/((lgh_bs!O$2-lgh_bs!$I$2)/365))-1</f>
        <v>0.15426286349907148</v>
      </c>
      <c r="G14" s="104">
        <f>($G$11/$E$3)^(1/((lgh_bs!$P$2-lgh_bs!$I$2)/365))-1</f>
        <v>0.15540712123079192</v>
      </c>
      <c r="H14" s="43"/>
      <c r="I14" s="106" t="s">
        <v>167</v>
      </c>
      <c r="J14" s="104">
        <f>+(J11/$L$3)^(1/((lgh_bs!L$2-lgh_bs!$I$2)/365))-1</f>
        <v>0.1125393858296484</v>
      </c>
      <c r="K14" s="104">
        <f>+(K11/$L$3)^(1/((lgh_bs!M$2-lgh_bs!$I$2)/365))-1</f>
        <v>0.13406462134333341</v>
      </c>
      <c r="L14" s="104">
        <f>+(L11/$L$3)^(1/((lgh_bs!N$2-lgh_bs!$I$2)/365))-1</f>
        <v>0.14922727713537776</v>
      </c>
      <c r="M14" s="104">
        <f>+(M11/$L$3)^(1/((lgh_bs!O$2-lgh_bs!$I$2)/365))-1</f>
        <v>0.15239035099048426</v>
      </c>
      <c r="N14" s="104">
        <f>+(N11/$L$3)^(1/((lgh_bs!P$2-lgh_bs!$I$2)/365))-1</f>
        <v>0.14948733229051503</v>
      </c>
      <c r="O14" s="43"/>
      <c r="P14" s="106" t="s">
        <v>167</v>
      </c>
      <c r="Q14" s="105">
        <v>0.1227571995694703</v>
      </c>
      <c r="R14" s="105">
        <v>0.13963650984083159</v>
      </c>
      <c r="S14" s="105">
        <v>0.15337860563960051</v>
      </c>
      <c r="T14" s="105">
        <v>0.15585540076357279</v>
      </c>
      <c r="U14" s="105">
        <v>0.15247626604461401</v>
      </c>
    </row>
    <row r="15" spans="1:21">
      <c r="A15" s="43"/>
      <c r="B15" s="43"/>
      <c r="C15" s="50"/>
      <c r="D15" s="50"/>
      <c r="E15" s="50"/>
      <c r="F15" s="50"/>
      <c r="G15" s="50"/>
      <c r="H15" s="43"/>
      <c r="I15" s="50"/>
      <c r="J15" s="50"/>
      <c r="K15" s="50"/>
      <c r="L15" s="50"/>
      <c r="M15" s="50"/>
      <c r="N15" s="50"/>
      <c r="O15" s="43"/>
      <c r="P15" s="50"/>
      <c r="Q15" s="50"/>
      <c r="R15" s="50"/>
      <c r="S15" s="50"/>
      <c r="T15" s="50"/>
      <c r="U15" s="50"/>
    </row>
    <row r="16" spans="1:21">
      <c r="A16" s="43"/>
      <c r="B16" s="43"/>
      <c r="C16" s="97" t="s">
        <v>168</v>
      </c>
      <c r="D16" s="98"/>
      <c r="E16" s="98"/>
      <c r="F16" s="98"/>
      <c r="G16" s="98"/>
      <c r="H16" s="43"/>
      <c r="I16" s="43"/>
      <c r="J16" s="97" t="s">
        <v>169</v>
      </c>
      <c r="K16" s="107"/>
      <c r="L16" s="107"/>
      <c r="M16" s="107"/>
      <c r="N16" s="107"/>
      <c r="O16" s="43"/>
      <c r="P16" s="43"/>
      <c r="Q16" s="97" t="s">
        <v>169</v>
      </c>
      <c r="R16" s="107"/>
      <c r="S16" s="107"/>
      <c r="T16" s="107"/>
      <c r="U16" s="107"/>
    </row>
    <row r="17" spans="1:21" ht="14.65" customHeight="1" thickBot="1">
      <c r="A17" s="43"/>
      <c r="B17" s="43"/>
      <c r="C17" s="99">
        <f>C11+(SUM(lgh_bs!L40:L42)/1000000)*(1-lgh_inputs!$D$4)+(lgh_bs!L46/1000000)</f>
        <v>128.04959741750343</v>
      </c>
      <c r="D17" s="99">
        <f>D11+(SUM(lgh_bs!M40:M42)/1000000)*(1-lgh_inputs!$D$4)+(lgh_bs!M46/1000000)</f>
        <v>150.14537054149608</v>
      </c>
      <c r="E17" s="99">
        <f>E11+(SUM(lgh_bs!N40:N42)/1000000)*(1-lgh_inputs!$D$4)+(lgh_bs!N46/1000000)</f>
        <v>185.18857620239208</v>
      </c>
      <c r="F17" s="99">
        <f>F11+(SUM(lgh_bs!O40:O42)/1000000)*(1-lgh_inputs!$D$4)+(lgh_bs!O46/1000000)</f>
        <v>219.22555142582596</v>
      </c>
      <c r="G17" s="99">
        <f>G11+(SUM(lgh_bs!P40:P42)/1000000)*(1-lgh_inputs!$D$4)+(lgh_bs!P46/1000000)</f>
        <v>258.5229688929353</v>
      </c>
      <c r="H17" s="43"/>
      <c r="I17" s="43"/>
      <c r="J17" s="99">
        <f>J11+(lgh_bs!L42/1000000)*(1-lgh_inputs!$D$4)</f>
        <v>180.85243317740236</v>
      </c>
      <c r="K17" s="99">
        <f>K11+(lgh_bs!M42/1000000)*(1-lgh_inputs!$D$4)</f>
        <v>210.99877875281905</v>
      </c>
      <c r="L17" s="99">
        <f>L11+(lgh_bs!N42/1000000)*(1-lgh_inputs!$D$4)</f>
        <v>254.55902608170686</v>
      </c>
      <c r="M17" s="99">
        <f>M11+(lgh_bs!O42/1000000)*(1-lgh_inputs!$D$4)</f>
        <v>297.03259977376507</v>
      </c>
      <c r="N17" s="99">
        <f>N11+(lgh_bs!P42/1000000)*(1-lgh_inputs!$D$4)</f>
        <v>345.96947089755923</v>
      </c>
      <c r="O17" s="43"/>
      <c r="P17" s="43"/>
      <c r="Q17" s="100">
        <v>182.92305550522829</v>
      </c>
      <c r="R17" s="100">
        <v>214.61598939482451</v>
      </c>
      <c r="S17" s="100">
        <v>260.14033052331109</v>
      </c>
      <c r="T17" s="100">
        <v>305.2180872330876</v>
      </c>
      <c r="U17" s="100">
        <v>357.21971076138698</v>
      </c>
    </row>
    <row r="18" spans="1:21">
      <c r="A18" s="43"/>
      <c r="B18" s="101" t="s">
        <v>165</v>
      </c>
      <c r="C18" s="102">
        <f>+C17/$E$3</f>
        <v>1.1948955585224579</v>
      </c>
      <c r="D18" s="102">
        <f>+D17/$E$3</f>
        <v>1.401082393158845</v>
      </c>
      <c r="E18" s="102">
        <f>+E17/$E$3</f>
        <v>1.7280882693590458</v>
      </c>
      <c r="F18" s="102">
        <f>+F17/$E$3</f>
        <v>2.0457045004153156</v>
      </c>
      <c r="G18" s="102">
        <f>+G17/$E$3</f>
        <v>2.4124085786776748</v>
      </c>
      <c r="H18" s="43"/>
      <c r="I18" s="101" t="s">
        <v>165</v>
      </c>
      <c r="J18" s="108">
        <f>+J17/$L$3</f>
        <v>1.1675940558892344</v>
      </c>
      <c r="K18" s="108">
        <f>+K17/$L$3</f>
        <v>1.3622206543940609</v>
      </c>
      <c r="L18" s="108">
        <f>+L17/$L$3</f>
        <v>1.6434481997507986</v>
      </c>
      <c r="M18" s="108">
        <f>+M17/$L$3</f>
        <v>1.9176601155317421</v>
      </c>
      <c r="N18" s="108">
        <f>+N17/$L$3</f>
        <v>2.2335994636184289</v>
      </c>
      <c r="O18" s="43"/>
      <c r="P18" s="101" t="s">
        <v>165</v>
      </c>
      <c r="Q18" s="109">
        <v>1.1842752803434471</v>
      </c>
      <c r="R18" s="109">
        <v>1.389460777947028</v>
      </c>
      <c r="S18" s="109">
        <v>1.684193181708173</v>
      </c>
      <c r="T18" s="109">
        <v>1.97603432123691</v>
      </c>
      <c r="U18" s="109">
        <v>2.3127017637973748</v>
      </c>
    </row>
    <row r="19" spans="1:21">
      <c r="A19" s="43"/>
      <c r="B19" s="101" t="s">
        <v>166</v>
      </c>
      <c r="C19" s="104">
        <f>+C17/E3-1</f>
        <v>0.19489555852245788</v>
      </c>
      <c r="D19" s="104">
        <f>+D17/C17-1</f>
        <v>0.17255636542104669</v>
      </c>
      <c r="E19" s="104">
        <f>+E17/D17-1</f>
        <v>0.23339517918210495</v>
      </c>
      <c r="F19" s="104">
        <f>+F17/E17-1</f>
        <v>0.1837963006218859</v>
      </c>
      <c r="G19" s="104">
        <f>+G17/F17-1</f>
        <v>0.17925564429657936</v>
      </c>
      <c r="H19" s="43"/>
      <c r="I19" s="101" t="s">
        <v>166</v>
      </c>
      <c r="J19" s="104">
        <f>+J17/L3-1</f>
        <v>0.16759405588923437</v>
      </c>
      <c r="K19" s="104">
        <f>+K17/J17-1</f>
        <v>0.16669029576088379</v>
      </c>
      <c r="L19" s="104">
        <f>+L17/K17-1</f>
        <v>0.20644786470502652</v>
      </c>
      <c r="M19" s="104">
        <f>+M17/L17-1</f>
        <v>0.16685157209245949</v>
      </c>
      <c r="N19" s="104">
        <f>+N17/M17-1</f>
        <v>0.16475252602262147</v>
      </c>
      <c r="O19" s="43"/>
      <c r="P19" s="101" t="s">
        <v>166</v>
      </c>
      <c r="Q19" s="105">
        <v>0.18427528034344709</v>
      </c>
      <c r="R19" s="105">
        <v>0.1732582795649307</v>
      </c>
      <c r="S19" s="105">
        <v>0.21211998815585201</v>
      </c>
      <c r="T19" s="105">
        <v>0.1732824611204877</v>
      </c>
      <c r="U19" s="105">
        <v>0.17037530114847679</v>
      </c>
    </row>
    <row r="20" spans="1:21">
      <c r="A20" s="43"/>
      <c r="B20" s="106" t="s">
        <v>167</v>
      </c>
      <c r="C20" s="104">
        <f>(C17/$E$3)^(1/((lgh_bs!L$2-lgh_bs!$I$2)/365))-1</f>
        <v>0.26659546711531856</v>
      </c>
      <c r="D20" s="104">
        <f>(D17/$E$3)^(1/((lgh_bs!M$2-lgh_bs!$I$2)/365))-1</f>
        <v>0.21207659438154547</v>
      </c>
      <c r="E20" s="104">
        <f>(E17/$E$3)^(1/((lgh_bs!N$2-lgh_bs!$I$2)/365))-1</f>
        <v>0.21953535481894337</v>
      </c>
      <c r="F20" s="104">
        <f>(F17/$E$3)^(1/((lgh_bs!O$2-lgh_bs!$I$2)/365))-1</f>
        <v>0.20991651254145904</v>
      </c>
      <c r="G20" s="104">
        <f>(G17/$E$3)^(1/((lgh_bs!P$2-lgh_bs!$I$2)/365))-1</f>
        <v>0.20340445808434549</v>
      </c>
      <c r="H20" s="43"/>
      <c r="I20" s="106" t="s">
        <v>167</v>
      </c>
      <c r="J20" s="104">
        <f>(J17/$L3)^(1/((lgh_bs!L$2-lgh_bs!$I$2)/365))-1</f>
        <v>0.22832890265756101</v>
      </c>
      <c r="K20" s="104">
        <f>(K17/$L3)^(1/((lgh_bs!M$2-lgh_bs!$I$2)/365))-1</f>
        <v>0.1927872962942434</v>
      </c>
      <c r="L20" s="104">
        <f>(L17/$L3)^(1/((lgh_bs!N$2-lgh_bs!$I$2)/365))-1</f>
        <v>0.19751582080088026</v>
      </c>
      <c r="M20" s="104">
        <f>(M17/$L3)^(1/((lgh_bs!O$2-lgh_bs!$I$2)/365))-1</f>
        <v>0.1892742569732051</v>
      </c>
      <c r="N20" s="104">
        <f>(N17/$L3)^(1/((lgh_bs!P$2-lgh_bs!$I$2)/365))-1</f>
        <v>0.18407597643650431</v>
      </c>
      <c r="O20" s="43"/>
      <c r="P20" s="106" t="s">
        <v>167</v>
      </c>
      <c r="Q20" s="105">
        <v>0.25167540333040322</v>
      </c>
      <c r="R20" s="105">
        <v>0.20633249299222919</v>
      </c>
      <c r="S20" s="105">
        <v>0.2082038186749893</v>
      </c>
      <c r="T20" s="105">
        <v>0.19880647055909459</v>
      </c>
      <c r="U20" s="105">
        <v>0.19277193244956889</v>
      </c>
    </row>
    <row r="21" spans="1:21">
      <c r="A21" s="43"/>
      <c r="B21" s="72"/>
      <c r="C21" s="75"/>
      <c r="D21" s="75"/>
      <c r="E21" s="75"/>
      <c r="F21" s="75"/>
      <c r="G21" s="75"/>
      <c r="H21" s="43"/>
      <c r="I21" s="72"/>
      <c r="J21" s="75"/>
      <c r="K21" s="75"/>
      <c r="L21" s="75"/>
      <c r="M21" s="75"/>
      <c r="N21" s="75"/>
      <c r="O21" s="43"/>
      <c r="P21" s="72"/>
      <c r="Q21" s="75"/>
      <c r="R21" s="75"/>
      <c r="S21" s="75"/>
      <c r="T21" s="75"/>
      <c r="U21" s="75"/>
    </row>
    <row r="22" spans="1:21">
      <c r="A22" s="43"/>
      <c r="B22" s="72"/>
      <c r="C22" s="97" t="s">
        <v>170</v>
      </c>
      <c r="D22" s="98"/>
      <c r="E22" s="98"/>
      <c r="F22" s="98"/>
      <c r="G22" s="98"/>
      <c r="H22" s="43"/>
      <c r="I22" s="72"/>
      <c r="J22" s="97" t="s">
        <v>171</v>
      </c>
      <c r="K22" s="82"/>
      <c r="L22" s="82"/>
      <c r="M22" s="82"/>
      <c r="N22" s="82"/>
      <c r="O22" s="43"/>
      <c r="P22" s="72"/>
      <c r="Q22" s="97" t="s">
        <v>171</v>
      </c>
      <c r="R22" s="82"/>
      <c r="S22" s="82"/>
      <c r="T22" s="82"/>
      <c r="U22" s="82"/>
    </row>
    <row r="23" spans="1:21" ht="14.65" customHeight="1" thickBot="1">
      <c r="A23" s="43"/>
      <c r="B23" s="72"/>
      <c r="C23" s="99">
        <f>(+lgh_bs!L51)/1000000</f>
        <v>128.04959741750343</v>
      </c>
      <c r="D23" s="99">
        <f>(+lgh_bs!M51)/1000000</f>
        <v>150.14537054149608</v>
      </c>
      <c r="E23" s="99">
        <f>(+lgh_bs!N51)/1000000</f>
        <v>201.43857620239208</v>
      </c>
      <c r="F23" s="99">
        <f>(+lgh_bs!O51)/1000000</f>
        <v>251.72555142582596</v>
      </c>
      <c r="G23" s="99">
        <f>(+lgh_bs!P51)/1000000</f>
        <v>323.5229688929353</v>
      </c>
      <c r="H23" s="43"/>
      <c r="I23" s="72"/>
      <c r="J23" s="99">
        <f>+lgh_bs!L53/1000000</f>
        <v>183.61789337937455</v>
      </c>
      <c r="K23" s="99">
        <f>+lgh_bs!M53/1000000</f>
        <v>212.38186201879174</v>
      </c>
      <c r="L23" s="99">
        <f>+lgh_bs!N53/1000000</f>
        <v>271.15039221373127</v>
      </c>
      <c r="M23" s="99">
        <f>+lgh_bs!O53/1000000</f>
        <v>329.80278535852585</v>
      </c>
      <c r="N23" s="99">
        <f>+lgh_bs!P53/1000000</f>
        <v>410.96947089755918</v>
      </c>
      <c r="O23" s="43"/>
      <c r="P23" s="72"/>
      <c r="Q23" s="100">
        <v>185.68851570720051</v>
      </c>
      <c r="R23" s="100">
        <v>215.99907266079711</v>
      </c>
      <c r="S23" s="100">
        <v>276.73169665533538</v>
      </c>
      <c r="T23" s="100">
        <v>337.98827281784833</v>
      </c>
      <c r="U23" s="100">
        <v>422.21971076138692</v>
      </c>
    </row>
    <row r="24" spans="1:21">
      <c r="A24" s="43"/>
      <c r="B24" s="101" t="s">
        <v>165</v>
      </c>
      <c r="C24" s="102">
        <f>+C23/$E3</f>
        <v>1.1948955585224579</v>
      </c>
      <c r="D24" s="102">
        <f>+D23/$E3</f>
        <v>1.401082393158845</v>
      </c>
      <c r="E24" s="102">
        <f>+E23/$E3</f>
        <v>1.8797252382960195</v>
      </c>
      <c r="F24" s="102">
        <f>+F23/$E3</f>
        <v>2.3489784382892624</v>
      </c>
      <c r="G24" s="102">
        <f>+G23/$E3</f>
        <v>3.0189564544255694</v>
      </c>
      <c r="H24" s="43"/>
      <c r="I24" s="101" t="s">
        <v>165</v>
      </c>
      <c r="J24" s="108">
        <f>+J23/$L3</f>
        <v>1.1854480312927815</v>
      </c>
      <c r="K24" s="108">
        <f>+K23/$L3</f>
        <v>1.371149922149975</v>
      </c>
      <c r="L24" s="108">
        <f>+L23/$L3</f>
        <v>1.7505630454539318</v>
      </c>
      <c r="M24" s="108">
        <f>+M23/$L3</f>
        <v>2.1292263810606187</v>
      </c>
      <c r="N24" s="108">
        <f>+N23/$L3</f>
        <v>2.6532433262937758</v>
      </c>
      <c r="O24" s="43"/>
      <c r="P24" s="101" t="s">
        <v>165</v>
      </c>
      <c r="Q24" s="109">
        <v>1.2021793446885549</v>
      </c>
      <c r="R24" s="109">
        <v>1.398415096570365</v>
      </c>
      <c r="S24" s="109">
        <v>1.791608535792516</v>
      </c>
      <c r="T24" s="109">
        <v>2.188194131344555</v>
      </c>
      <c r="U24" s="109">
        <v>2.7335229282466189</v>
      </c>
    </row>
    <row r="25" spans="1:21">
      <c r="A25" s="43"/>
      <c r="B25" s="101" t="s">
        <v>166</v>
      </c>
      <c r="C25" s="104">
        <f>+C23/E3-1</f>
        <v>0.19489555852245788</v>
      </c>
      <c r="D25" s="104">
        <f>+D23/C23-1</f>
        <v>0.17255636542104669</v>
      </c>
      <c r="E25" s="104">
        <f>+E23/D23-1</f>
        <v>0.34162362433092786</v>
      </c>
      <c r="F25" s="104">
        <f>+F23/E23-1</f>
        <v>0.24963925069103388</v>
      </c>
      <c r="G25" s="104">
        <f>+G23/F23-1</f>
        <v>0.28522101574684733</v>
      </c>
      <c r="H25" s="43"/>
      <c r="I25" s="101" t="s">
        <v>166</v>
      </c>
      <c r="J25" s="104">
        <f>+J23/L3-1</f>
        <v>0.18544803129278153</v>
      </c>
      <c r="K25" s="104">
        <f>+K23/J23-1</f>
        <v>0.15665122886464933</v>
      </c>
      <c r="L25" s="104">
        <f>+L23/K23-1</f>
        <v>0.27671162516571046</v>
      </c>
      <c r="M25" s="104">
        <f>+M23/L23-1</f>
        <v>0.21630945345844266</v>
      </c>
      <c r="N25" s="104">
        <f>+N23/M23-1</f>
        <v>0.24610673148438611</v>
      </c>
      <c r="O25" s="43"/>
      <c r="P25" s="101" t="s">
        <v>166</v>
      </c>
      <c r="Q25" s="105">
        <v>0.2021793446885547</v>
      </c>
      <c r="R25" s="105">
        <v>0.16323334180446181</v>
      </c>
      <c r="S25" s="105">
        <v>0.28117076266300561</v>
      </c>
      <c r="T25" s="105">
        <v>0.2213572818107892</v>
      </c>
      <c r="U25" s="105">
        <v>0.2492140843860973</v>
      </c>
    </row>
    <row r="26" spans="1:21">
      <c r="A26" s="43"/>
      <c r="B26" s="106" t="s">
        <v>167</v>
      </c>
      <c r="C26" s="104">
        <f>(C23/$E3)^(1/((lgh_bs!L$2-lgh_bs!$I$2)/365))-1</f>
        <v>0.26659546711531856</v>
      </c>
      <c r="D26" s="104">
        <f>(D23/$E3)^(1/((lgh_bs!M$2-lgh_bs!$I$2)/365))-1</f>
        <v>0.21207659438154547</v>
      </c>
      <c r="E26" s="104">
        <f>(E23/$E3)^(1/((lgh_bs!N$2-lgh_bs!$I$2)/365))-1</f>
        <v>0.25732560362732659</v>
      </c>
      <c r="F26" s="104">
        <f>(F23/$E3)^(1/((lgh_bs!O$2-lgh_bs!$I$2)/365))-1</f>
        <v>0.25527466741620097</v>
      </c>
      <c r="G26" s="104">
        <f>(G23/$E3)^(1/((lgh_bs!P$2-lgh_bs!$I$2)/365))-1</f>
        <v>0.26151250802267922</v>
      </c>
      <c r="H26" s="43"/>
      <c r="I26" s="106" t="s">
        <v>167</v>
      </c>
      <c r="J26" s="104">
        <f>(J23/$L3)^(1/((lgh_bs!L$2-lgh_bs!$I$2)/365))-1</f>
        <v>0.25332081802325046</v>
      </c>
      <c r="K26" s="104">
        <f>(K23/$L3)^(1/((lgh_bs!M$2-lgh_bs!$I$2)/365))-1</f>
        <v>0.19724010608693354</v>
      </c>
      <c r="L26" s="104">
        <f>(L23/$L3)^(1/((lgh_bs!N$2-lgh_bs!$I$2)/365))-1</f>
        <v>0.22526632622031606</v>
      </c>
      <c r="M26" s="104">
        <f>(M23/$L3)^(1/((lgh_bs!O$2-lgh_bs!$I$2)/365))-1</f>
        <v>0.22287532411156219</v>
      </c>
      <c r="N26" s="104">
        <f>(N23/$L3)^(1/((lgh_bs!P$2-lgh_bs!$I$2)/365))-1</f>
        <v>0.22772357644871466</v>
      </c>
      <c r="O26" s="43"/>
      <c r="P26" s="106" t="s">
        <v>167</v>
      </c>
      <c r="Q26" s="105">
        <v>0.27685335003061978</v>
      </c>
      <c r="R26" s="105">
        <v>0.21076007170608671</v>
      </c>
      <c r="S26" s="105">
        <v>0.2356129325114471</v>
      </c>
      <c r="T26" s="105">
        <v>0.2318014916035038</v>
      </c>
      <c r="U26" s="105">
        <v>0.23544228449082899</v>
      </c>
    </row>
    <row r="27" spans="1:21" ht="16.5" customHeight="1">
      <c r="A27" s="43"/>
      <c r="B27" s="72"/>
      <c r="C27" s="75"/>
      <c r="D27" s="75"/>
      <c r="E27" s="75"/>
      <c r="F27" s="75"/>
      <c r="G27" s="75"/>
      <c r="H27" s="43"/>
      <c r="I27" s="43"/>
      <c r="J27" s="46" t="s">
        <v>172</v>
      </c>
      <c r="K27" s="75"/>
      <c r="L27" s="75"/>
      <c r="M27" s="75"/>
      <c r="N27" s="75"/>
      <c r="O27" s="43"/>
      <c r="P27" s="43"/>
      <c r="Q27" s="46" t="s">
        <v>172</v>
      </c>
      <c r="R27" s="75"/>
      <c r="S27" s="75"/>
      <c r="T27" s="75"/>
      <c r="U27" s="75"/>
    </row>
    <row r="28" spans="1:21">
      <c r="A28" s="43"/>
      <c r="B28" s="72"/>
      <c r="C28" s="75"/>
      <c r="D28" s="75"/>
      <c r="E28" s="75"/>
      <c r="F28" s="75"/>
      <c r="G28" s="75"/>
      <c r="H28" s="43"/>
      <c r="I28" s="43"/>
      <c r="J28" s="43"/>
      <c r="K28" s="43"/>
      <c r="L28" s="43"/>
      <c r="M28" s="43"/>
      <c r="N28" s="43"/>
      <c r="O28" s="43"/>
      <c r="P28" s="43"/>
      <c r="Q28" s="43"/>
      <c r="R28" s="43"/>
      <c r="S28" s="43"/>
      <c r="T28" s="43"/>
      <c r="U28" s="43"/>
    </row>
    <row r="29" spans="1:21">
      <c r="A29" s="43"/>
      <c r="B29" s="43"/>
      <c r="C29" s="43"/>
      <c r="D29" s="43"/>
      <c r="E29" s="43"/>
      <c r="F29" s="43"/>
      <c r="G29" s="43"/>
      <c r="H29" s="43"/>
      <c r="I29" s="43"/>
      <c r="J29" s="43"/>
      <c r="K29" s="43"/>
      <c r="L29" s="43"/>
      <c r="M29" s="43"/>
      <c r="N29" s="43"/>
      <c r="O29" s="43"/>
      <c r="P29" s="43"/>
      <c r="Q29" s="43"/>
      <c r="R29" s="43"/>
      <c r="S29" s="43"/>
      <c r="T29" s="43"/>
      <c r="U29" s="43"/>
    </row>
    <row r="30" spans="1:21">
      <c r="A30" s="43"/>
      <c r="B30" s="43"/>
      <c r="C30" s="43"/>
      <c r="D30" s="110"/>
      <c r="E30" s="76"/>
      <c r="F30" s="76"/>
      <c r="G30" s="76"/>
      <c r="H30" s="76"/>
      <c r="I30" s="76"/>
      <c r="J30" s="76"/>
      <c r="K30" s="76"/>
      <c r="L30" s="76"/>
      <c r="M30" s="43"/>
      <c r="N30" s="43"/>
      <c r="O30" s="43"/>
      <c r="P30" s="43"/>
      <c r="Q30" s="43"/>
      <c r="R30" s="43"/>
      <c r="S30" s="43"/>
      <c r="T30" s="43"/>
      <c r="U30" s="43"/>
    </row>
    <row r="31" spans="1:21">
      <c r="A31" s="43"/>
      <c r="B31" s="43"/>
      <c r="C31" s="43"/>
      <c r="D31" s="110"/>
      <c r="E31" s="110"/>
      <c r="F31" s="110"/>
      <c r="G31" s="110"/>
      <c r="H31" s="110"/>
      <c r="I31" s="110"/>
      <c r="J31" s="110"/>
      <c r="K31" s="110"/>
      <c r="L31" s="110"/>
      <c r="M31" s="43"/>
      <c r="N31" s="43"/>
      <c r="O31" s="43"/>
      <c r="P31" s="43"/>
      <c r="Q31" s="43"/>
      <c r="R31" s="43"/>
      <c r="S31" s="43"/>
      <c r="T31" s="43"/>
      <c r="U31" s="43"/>
    </row>
    <row r="32" spans="1:21">
      <c r="A32" s="43"/>
      <c r="B32" s="43"/>
      <c r="C32" s="43"/>
      <c r="D32" s="110"/>
      <c r="E32" s="110"/>
      <c r="F32" s="110"/>
      <c r="G32" s="110"/>
      <c r="H32" s="110"/>
      <c r="I32" s="110"/>
      <c r="J32" s="110"/>
      <c r="K32" s="110"/>
      <c r="L32" s="110"/>
      <c r="M32" s="43"/>
      <c r="N32" s="43"/>
      <c r="O32" s="43"/>
      <c r="P32" s="43"/>
      <c r="Q32" s="43"/>
      <c r="R32" s="43"/>
      <c r="S32" s="43"/>
      <c r="T32" s="43"/>
      <c r="U32" s="43"/>
    </row>
    <row r="33" spans="1:21">
      <c r="A33" s="43"/>
      <c r="B33" s="43"/>
      <c r="C33" s="43"/>
      <c r="D33" s="110"/>
      <c r="E33" s="110"/>
      <c r="F33" s="110"/>
      <c r="G33" s="110"/>
      <c r="H33" s="110"/>
      <c r="I33" s="110"/>
      <c r="J33" s="110"/>
      <c r="K33" s="110"/>
      <c r="L33" s="110"/>
      <c r="M33" s="43"/>
      <c r="N33" s="43"/>
      <c r="O33" s="43"/>
      <c r="P33" s="43"/>
      <c r="Q33" s="43"/>
      <c r="R33" s="43"/>
      <c r="S33" s="43"/>
      <c r="T33" s="43"/>
      <c r="U33" s="43"/>
    </row>
    <row r="34" spans="1:21">
      <c r="A34" s="43"/>
      <c r="B34" s="43"/>
      <c r="C34" s="43"/>
      <c r="D34" s="110"/>
      <c r="E34" s="110"/>
      <c r="F34" s="110"/>
      <c r="G34" s="110"/>
      <c r="H34" s="110"/>
      <c r="I34" s="110"/>
      <c r="J34" s="110"/>
      <c r="K34" s="110"/>
      <c r="L34" s="110"/>
      <c r="M34" s="43"/>
      <c r="N34" s="43"/>
      <c r="O34" s="43"/>
      <c r="P34" s="43"/>
      <c r="Q34" s="43"/>
      <c r="R34" s="43"/>
      <c r="S34" s="43"/>
      <c r="T34" s="43"/>
      <c r="U34" s="43"/>
    </row>
    <row r="35" spans="1:21">
      <c r="A35" s="43"/>
      <c r="B35" s="43"/>
      <c r="C35" s="43"/>
      <c r="D35" s="110"/>
      <c r="E35" s="110"/>
      <c r="F35" s="110"/>
      <c r="G35" s="110"/>
      <c r="H35" s="110"/>
      <c r="I35" s="110"/>
      <c r="J35" s="110"/>
      <c r="K35" s="110"/>
      <c r="L35" s="110"/>
      <c r="M35" s="43"/>
      <c r="N35" s="43"/>
      <c r="O35" s="43"/>
      <c r="P35" s="43"/>
      <c r="Q35" s="43"/>
      <c r="R35" s="43"/>
      <c r="S35" s="43"/>
      <c r="T35" s="43"/>
      <c r="U35" s="43"/>
    </row>
    <row r="36" spans="1:21">
      <c r="A36" s="43"/>
      <c r="B36" s="43"/>
      <c r="C36" s="43"/>
      <c r="D36" s="110"/>
      <c r="E36" s="110"/>
      <c r="F36" s="110"/>
      <c r="G36" s="110"/>
      <c r="H36" s="110"/>
      <c r="I36" s="110"/>
      <c r="J36" s="110"/>
      <c r="K36" s="110"/>
      <c r="L36" s="110"/>
      <c r="M36" s="43"/>
      <c r="N36" s="43"/>
      <c r="O36" s="43"/>
      <c r="P36" s="43"/>
      <c r="Q36" s="43"/>
      <c r="R36" s="43"/>
      <c r="S36" s="43"/>
      <c r="T36" s="43"/>
      <c r="U36" s="43"/>
    </row>
    <row r="37" spans="1:21">
      <c r="A37" s="43"/>
      <c r="B37" s="43"/>
      <c r="C37" s="43"/>
      <c r="D37" s="110"/>
      <c r="E37" s="110"/>
      <c r="F37" s="110"/>
      <c r="G37" s="110"/>
      <c r="H37" s="110"/>
      <c r="I37" s="110"/>
      <c r="J37" s="110"/>
      <c r="K37" s="110"/>
      <c r="L37" s="110"/>
      <c r="M37" s="43"/>
      <c r="N37" s="43"/>
      <c r="O37" s="43"/>
      <c r="P37" s="43"/>
      <c r="Q37" s="43"/>
      <c r="R37" s="43"/>
      <c r="S37" s="43"/>
      <c r="T37" s="43"/>
      <c r="U37" s="43"/>
    </row>
    <row r="38" spans="1:21">
      <c r="A38" s="43"/>
      <c r="B38" s="43"/>
      <c r="C38" s="43"/>
      <c r="D38" s="110"/>
      <c r="E38" s="110"/>
      <c r="F38" s="110"/>
      <c r="G38" s="110"/>
      <c r="H38" s="110"/>
      <c r="I38" s="110"/>
      <c r="J38" s="110"/>
      <c r="K38" s="110"/>
      <c r="L38" s="110"/>
      <c r="M38" s="43"/>
      <c r="N38" s="43"/>
      <c r="O38" s="43"/>
      <c r="P38" s="43"/>
      <c r="Q38" s="43"/>
      <c r="R38" s="43"/>
      <c r="S38" s="43"/>
      <c r="T38" s="43"/>
      <c r="U38" s="43"/>
    </row>
    <row r="39" spans="1:21">
      <c r="A39" s="43"/>
      <c r="B39" s="43"/>
      <c r="C39" s="43"/>
      <c r="D39" s="110"/>
      <c r="E39" s="110"/>
      <c r="F39" s="110"/>
      <c r="G39" s="110"/>
      <c r="H39" s="110"/>
      <c r="I39" s="110"/>
      <c r="J39" s="110"/>
      <c r="K39" s="110"/>
      <c r="L39" s="110"/>
      <c r="M39" s="43"/>
      <c r="N39" s="43"/>
      <c r="O39" s="43"/>
      <c r="P39" s="43"/>
      <c r="Q39" s="43"/>
      <c r="R39" s="43"/>
      <c r="S39" s="43"/>
      <c r="T39" s="43"/>
      <c r="U39" s="43"/>
    </row>
    <row r="40" spans="1:21">
      <c r="A40" s="43"/>
      <c r="B40" s="43"/>
      <c r="C40" s="43"/>
      <c r="D40" s="110"/>
      <c r="E40" s="110"/>
      <c r="F40" s="110"/>
      <c r="G40" s="110"/>
      <c r="H40" s="110"/>
      <c r="I40" s="110"/>
      <c r="J40" s="110"/>
      <c r="K40" s="110"/>
      <c r="L40" s="110"/>
      <c r="M40" s="43"/>
      <c r="N40" s="43"/>
      <c r="O40" s="43"/>
      <c r="P40" s="43"/>
      <c r="Q40" s="43"/>
      <c r="R40" s="43"/>
      <c r="S40" s="43"/>
      <c r="T40" s="43"/>
      <c r="U40" s="43"/>
    </row>
    <row r="41" spans="1:21">
      <c r="A41" s="43"/>
      <c r="B41" s="43"/>
      <c r="C41" s="43"/>
      <c r="D41" s="110"/>
      <c r="E41" s="110"/>
      <c r="F41" s="110"/>
      <c r="G41" s="110"/>
      <c r="H41" s="110"/>
      <c r="I41" s="110"/>
      <c r="J41" s="110"/>
      <c r="K41" s="110"/>
      <c r="L41" s="110"/>
      <c r="M41" s="43"/>
      <c r="N41" s="43"/>
      <c r="O41" s="43"/>
      <c r="P41" s="43"/>
      <c r="Q41" s="43"/>
      <c r="R41" s="43"/>
      <c r="S41" s="43"/>
      <c r="T41" s="43"/>
      <c r="U41" s="43"/>
    </row>
    <row r="42" spans="1:21">
      <c r="A42" s="43"/>
      <c r="B42" s="43"/>
      <c r="C42" s="43"/>
      <c r="D42" s="110"/>
      <c r="E42" s="110"/>
      <c r="F42" s="110"/>
      <c r="G42" s="110"/>
      <c r="H42" s="110"/>
      <c r="I42" s="110"/>
      <c r="J42" s="110"/>
      <c r="K42" s="110"/>
      <c r="L42" s="110"/>
      <c r="M42" s="43"/>
      <c r="N42" s="43"/>
      <c r="O42" s="43"/>
      <c r="P42" s="43"/>
      <c r="Q42" s="43"/>
      <c r="R42" s="43"/>
      <c r="S42" s="43"/>
      <c r="T42" s="43"/>
      <c r="U42" s="4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1F2"/>
  </sheetPr>
  <dimension ref="A1:K16"/>
  <sheetViews>
    <sheetView zoomScale="85" workbookViewId="0">
      <selection activeCell="E14" sqref="E14"/>
    </sheetView>
  </sheetViews>
  <sheetFormatPr defaultRowHeight="14.5"/>
  <cols>
    <col min="3" max="3" width="43.54296875" customWidth="1"/>
  </cols>
  <sheetData>
    <row r="1" spans="1:11">
      <c r="A1" s="43"/>
      <c r="B1" s="72"/>
      <c r="E1" s="43"/>
      <c r="F1" s="43"/>
      <c r="G1" s="43"/>
      <c r="H1" s="43"/>
      <c r="I1" s="75"/>
      <c r="J1" s="76"/>
      <c r="K1" s="76"/>
    </row>
    <row r="2" spans="1:11">
      <c r="A2" s="43"/>
      <c r="B2" s="72"/>
      <c r="E2" s="43"/>
      <c r="F2" s="43"/>
      <c r="G2" s="43"/>
      <c r="H2" s="43"/>
      <c r="I2" s="43"/>
      <c r="J2" s="43"/>
      <c r="K2" s="76"/>
    </row>
    <row r="3" spans="1:11">
      <c r="A3" s="43"/>
      <c r="B3" s="72"/>
      <c r="C3" s="73" t="s">
        <v>173</v>
      </c>
      <c r="D3" s="74"/>
      <c r="E3" s="43"/>
      <c r="F3" s="43"/>
      <c r="G3" s="43"/>
      <c r="H3" s="43"/>
      <c r="I3" s="75"/>
      <c r="J3" s="76"/>
      <c r="K3" s="43"/>
    </row>
    <row r="4" spans="1:11">
      <c r="A4" s="43"/>
      <c r="B4" s="43"/>
      <c r="C4" s="73" t="s">
        <v>174</v>
      </c>
      <c r="D4" s="77">
        <v>0.35</v>
      </c>
      <c r="E4" s="43"/>
      <c r="F4" s="43"/>
      <c r="G4" s="43"/>
      <c r="H4" s="43"/>
      <c r="I4" s="75"/>
      <c r="J4" s="76"/>
      <c r="K4" s="76"/>
    </row>
    <row r="5" spans="1:11">
      <c r="A5" s="43"/>
      <c r="B5" s="72"/>
      <c r="C5" s="50"/>
      <c r="D5" s="43"/>
      <c r="E5" s="43"/>
      <c r="F5" s="43"/>
      <c r="G5" s="43"/>
      <c r="H5" s="43"/>
      <c r="I5" s="75"/>
      <c r="J5" s="76"/>
      <c r="K5" s="76"/>
    </row>
    <row r="6" spans="1:11">
      <c r="A6" s="43"/>
      <c r="B6" s="72"/>
      <c r="C6" s="73" t="s">
        <v>175</v>
      </c>
      <c r="D6" s="78">
        <v>0.12</v>
      </c>
      <c r="E6" s="43"/>
      <c r="F6" s="43"/>
      <c r="G6" s="43"/>
      <c r="H6" s="43"/>
      <c r="I6" s="76"/>
      <c r="J6" s="76"/>
      <c r="K6" s="76"/>
    </row>
    <row r="7" spans="1:11">
      <c r="A7" s="43"/>
      <c r="B7" s="72"/>
      <c r="C7" s="50"/>
      <c r="D7" s="43"/>
      <c r="E7" s="43"/>
      <c r="F7" s="43"/>
      <c r="G7" s="43"/>
      <c r="H7" s="43"/>
      <c r="I7" s="43"/>
      <c r="J7" s="43"/>
      <c r="K7" s="43"/>
    </row>
    <row r="8" spans="1:11">
      <c r="A8" s="43"/>
      <c r="B8" s="72"/>
      <c r="C8" s="46" t="s">
        <v>176</v>
      </c>
      <c r="D8" s="79">
        <v>0.03</v>
      </c>
      <c r="E8" s="43"/>
      <c r="F8" s="43"/>
      <c r="G8" s="43"/>
      <c r="H8" s="43"/>
      <c r="I8" s="76"/>
      <c r="J8" s="43"/>
      <c r="K8" s="76"/>
    </row>
    <row r="9" spans="1:11">
      <c r="A9" s="43"/>
      <c r="B9" s="43"/>
      <c r="C9" s="43"/>
      <c r="D9" s="43"/>
      <c r="E9" s="43"/>
      <c r="F9" s="43"/>
      <c r="G9" s="43"/>
      <c r="H9" s="43"/>
      <c r="I9" s="43"/>
      <c r="J9" s="43"/>
      <c r="K9" s="43"/>
    </row>
    <row r="10" spans="1:11" ht="15.65" customHeight="1">
      <c r="A10" s="43"/>
      <c r="B10" s="43"/>
      <c r="C10" s="46" t="s">
        <v>177</v>
      </c>
      <c r="D10" s="80">
        <v>25</v>
      </c>
      <c r="E10" s="43"/>
      <c r="F10" s="43"/>
      <c r="G10" s="43"/>
      <c r="H10" s="43"/>
      <c r="I10" s="43"/>
      <c r="J10" s="43"/>
      <c r="K10" s="43"/>
    </row>
    <row r="11" spans="1:11">
      <c r="A11" s="43"/>
      <c r="B11" s="43"/>
      <c r="C11" s="46" t="s">
        <v>178</v>
      </c>
      <c r="D11" s="43"/>
      <c r="E11" s="43"/>
      <c r="F11" s="43"/>
      <c r="G11" s="43"/>
      <c r="H11" s="43"/>
      <c r="I11" s="43"/>
      <c r="J11" s="43"/>
      <c r="K11" s="43"/>
    </row>
    <row r="12" spans="1:11" ht="14.65" customHeight="1" thickBot="1">
      <c r="A12" s="43"/>
      <c r="B12" s="43"/>
      <c r="C12" s="43"/>
      <c r="D12" s="43"/>
      <c r="E12" s="43"/>
      <c r="F12" s="43"/>
      <c r="G12" s="43"/>
      <c r="H12" s="43"/>
      <c r="I12" s="43"/>
      <c r="J12" s="43"/>
      <c r="K12" s="43"/>
    </row>
    <row r="13" spans="1:11" ht="14.65" customHeight="1" thickBot="1">
      <c r="A13" s="43"/>
      <c r="B13" s="43"/>
      <c r="C13" s="81" t="s">
        <v>179</v>
      </c>
      <c r="D13" s="82"/>
      <c r="E13" s="43"/>
      <c r="F13" s="43"/>
      <c r="G13" s="43"/>
      <c r="H13" s="43"/>
      <c r="I13" s="43"/>
      <c r="J13" s="43"/>
      <c r="K13" s="43"/>
    </row>
    <row r="14" spans="1:11">
      <c r="A14" s="43"/>
      <c r="B14" s="43"/>
      <c r="C14" s="83" t="s">
        <v>62</v>
      </c>
      <c r="D14" s="78">
        <v>0</v>
      </c>
      <c r="E14" s="43"/>
      <c r="F14" s="43"/>
      <c r="G14" s="43"/>
      <c r="H14" s="43"/>
      <c r="I14" s="43"/>
      <c r="J14" s="43"/>
      <c r="K14" s="43"/>
    </row>
    <row r="15" spans="1:11">
      <c r="A15" s="43"/>
      <c r="B15" s="43"/>
      <c r="C15" s="84" t="s">
        <v>180</v>
      </c>
      <c r="D15" s="85"/>
      <c r="E15" s="43"/>
      <c r="F15" s="43"/>
      <c r="G15" s="43"/>
      <c r="H15" s="43"/>
      <c r="I15" s="43"/>
      <c r="J15" s="43"/>
      <c r="K15" s="43"/>
    </row>
    <row r="16" spans="1:11">
      <c r="A16" s="43"/>
      <c r="B16" s="43"/>
      <c r="C16" s="85"/>
      <c r="D16" s="85"/>
      <c r="E16" s="43"/>
      <c r="F16" s="43"/>
      <c r="G16" s="43"/>
      <c r="H16" s="43"/>
      <c r="I16" s="43"/>
      <c r="J16" s="43"/>
      <c r="K16" s="43"/>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D9E1F2"/>
    <outlinePr summaryBelow="0"/>
  </sheetPr>
  <dimension ref="A1:P124"/>
  <sheetViews>
    <sheetView showGridLines="0" zoomScale="75" zoomScaleNormal="80" workbookViewId="0">
      <pane xSplit="3" ySplit="3" topLeftCell="D18" activePane="bottomRight" state="frozen"/>
      <selection pane="topRight" activeCell="B1" sqref="B1"/>
      <selection pane="bottomLeft" activeCell="A4" sqref="A4"/>
      <selection pane="bottomRight" activeCell="P53" sqref="P53"/>
    </sheetView>
  </sheetViews>
  <sheetFormatPr defaultColWidth="9.26953125" defaultRowHeight="14.5"/>
  <cols>
    <col min="1" max="2" width="3.54296875" style="4" customWidth="1"/>
    <col min="3" max="3" width="35" bestFit="1" customWidth="1"/>
    <col min="4" max="4" width="16.26953125" style="18" bestFit="1" customWidth="1"/>
    <col min="5" max="7" width="16.26953125" customWidth="1"/>
    <col min="8" max="8" width="16.26953125" bestFit="1" customWidth="1"/>
    <col min="9" max="9" width="17.26953125" customWidth="1"/>
    <col min="10" max="11" width="16.26953125" customWidth="1"/>
    <col min="12" max="16" width="16.26953125" bestFit="1" customWidth="1"/>
  </cols>
  <sheetData>
    <row r="1" spans="1:16" s="3" customFormat="1" ht="14.65" customHeight="1" thickBot="1">
      <c r="A1" s="83" t="s">
        <v>181</v>
      </c>
      <c r="B1" s="83" t="s">
        <v>182</v>
      </c>
      <c r="C1" s="111" t="str">
        <f t="array" aca="1" ref="C1" ca="1">_xlfn.TEXTAFTER(CELL("filename",C1),"]")</f>
        <v>lgh_bs</v>
      </c>
      <c r="D1" s="111"/>
      <c r="E1" s="111"/>
      <c r="F1" s="111"/>
      <c r="G1" s="111"/>
      <c r="H1" s="111"/>
      <c r="I1" s="111"/>
      <c r="J1" s="111"/>
      <c r="K1" s="111"/>
      <c r="L1" s="111"/>
      <c r="M1" s="111"/>
      <c r="N1" s="111"/>
      <c r="O1" s="111"/>
      <c r="P1" s="111"/>
    </row>
    <row r="2" spans="1:16" ht="15.5" thickTop="1" thickBot="1">
      <c r="A2" s="43"/>
      <c r="B2" s="43"/>
      <c r="C2" s="101" t="s">
        <v>0</v>
      </c>
      <c r="D2" s="134">
        <v>45657</v>
      </c>
      <c r="E2" s="134">
        <v>45747</v>
      </c>
      <c r="F2" s="134">
        <v>45838</v>
      </c>
      <c r="G2" s="134">
        <v>45930</v>
      </c>
      <c r="H2" s="134">
        <v>46022</v>
      </c>
      <c r="I2" s="134">
        <v>46112</v>
      </c>
      <c r="J2" s="134">
        <v>46203</v>
      </c>
      <c r="K2" s="134">
        <v>46295</v>
      </c>
      <c r="L2" s="134">
        <v>46387</v>
      </c>
      <c r="M2" s="134">
        <v>46752</v>
      </c>
      <c r="N2" s="134">
        <v>47118</v>
      </c>
      <c r="O2" s="134">
        <v>47483</v>
      </c>
      <c r="P2" s="134">
        <v>47848</v>
      </c>
    </row>
    <row r="3" spans="1:16" ht="15.5" thickTop="1" thickBot="1">
      <c r="A3" s="43"/>
      <c r="B3" s="43"/>
      <c r="C3" s="101" t="s">
        <v>1</v>
      </c>
      <c r="D3" s="135" t="s">
        <v>2</v>
      </c>
      <c r="E3" s="135" t="s">
        <v>3</v>
      </c>
      <c r="F3" s="135" t="s">
        <v>4</v>
      </c>
      <c r="G3" s="135" t="s">
        <v>5</v>
      </c>
      <c r="H3" s="135" t="s">
        <v>2</v>
      </c>
      <c r="I3" s="135" t="s">
        <v>3</v>
      </c>
      <c r="J3" s="135" t="s">
        <v>4</v>
      </c>
      <c r="K3" s="135" t="s">
        <v>5</v>
      </c>
      <c r="L3" s="135" t="s">
        <v>2</v>
      </c>
      <c r="M3" s="135" t="s">
        <v>2</v>
      </c>
      <c r="N3" s="135" t="s">
        <v>2</v>
      </c>
      <c r="O3" s="135" t="s">
        <v>2</v>
      </c>
      <c r="P3" s="135" t="s">
        <v>2</v>
      </c>
    </row>
    <row r="4" spans="1:16" ht="15" thickTop="1">
      <c r="A4" s="43"/>
      <c r="B4" s="43"/>
      <c r="C4" s="83" t="s">
        <v>183</v>
      </c>
      <c r="D4" s="61"/>
      <c r="E4" s="55"/>
      <c r="F4" s="55"/>
      <c r="G4" s="116"/>
      <c r="H4" s="116"/>
      <c r="I4" s="116"/>
      <c r="J4" s="61"/>
      <c r="K4" s="61"/>
      <c r="L4" s="61"/>
      <c r="M4" s="61"/>
      <c r="N4" s="61"/>
      <c r="O4" s="61"/>
      <c r="P4" s="61"/>
    </row>
    <row r="5" spans="1:16">
      <c r="A5" s="46" t="s">
        <v>184</v>
      </c>
      <c r="B5" s="46" t="s">
        <v>138</v>
      </c>
      <c r="C5" s="46" t="s">
        <v>185</v>
      </c>
      <c r="D5" s="68">
        <v>251128</v>
      </c>
      <c r="E5" s="50">
        <f>+registry!C82</f>
        <v>1854835.2390672918</v>
      </c>
      <c r="F5" s="50">
        <f>+registry!D82</f>
        <v>-2432355.9798612781</v>
      </c>
      <c r="G5" s="50">
        <f>+registry!E82</f>
        <v>-5195946.3163174521</v>
      </c>
      <c r="H5" s="50">
        <f>+registry!F82</f>
        <v>421256.06726545282</v>
      </c>
      <c r="I5" s="50">
        <f>+registry!G82</f>
        <v>5590388.0830080388</v>
      </c>
      <c r="J5" s="50">
        <f>+registry!H82</f>
        <v>10863126.247797264</v>
      </c>
      <c r="K5" s="50">
        <f>+registry!I82</f>
        <v>7305682.2124279132</v>
      </c>
      <c r="L5" s="50">
        <f>+registry!J82</f>
        <v>3057475.3633489949</v>
      </c>
      <c r="M5" s="50">
        <f>+registry!K82</f>
        <v>6085325.9761546906</v>
      </c>
      <c r="N5" s="50">
        <f>+registry!L82</f>
        <v>13391915.791192669</v>
      </c>
      <c r="O5" s="50">
        <f>+registry!M82</f>
        <v>23226176.108435497</v>
      </c>
      <c r="P5" s="50">
        <f>+registry!N82</f>
        <v>27896239.818470523</v>
      </c>
    </row>
    <row r="6" spans="1:16">
      <c r="A6" s="43"/>
      <c r="B6" s="43"/>
      <c r="C6" s="46" t="s">
        <v>186</v>
      </c>
      <c r="D6" s="68">
        <v>56391898.801753417</v>
      </c>
      <c r="E6" s="136">
        <f t="shared" ref="E6:P6" si="0">SUM(E7:E7)</f>
        <v>48342875.134681299</v>
      </c>
      <c r="F6" s="136">
        <f t="shared" si="0"/>
        <v>49230679.602836721</v>
      </c>
      <c r="G6" s="136">
        <f t="shared" si="0"/>
        <v>51936302.561434597</v>
      </c>
      <c r="H6" s="136">
        <f t="shared" si="0"/>
        <v>46803856.975500621</v>
      </c>
      <c r="I6" s="136">
        <f t="shared" si="0"/>
        <v>46688396.145441398</v>
      </c>
      <c r="J6" s="136">
        <f t="shared" si="0"/>
        <v>47318458.658028975</v>
      </c>
      <c r="K6" s="136">
        <f t="shared" si="0"/>
        <v>47193848.832517855</v>
      </c>
      <c r="L6" s="136">
        <f t="shared" si="0"/>
        <v>60232309.356816709</v>
      </c>
      <c r="M6" s="136">
        <f t="shared" si="0"/>
        <v>68658852.64218013</v>
      </c>
      <c r="N6" s="136">
        <f t="shared" si="0"/>
        <v>78031616.129979655</v>
      </c>
      <c r="O6" s="136">
        <f t="shared" si="0"/>
        <v>73752764.644625396</v>
      </c>
      <c r="P6" s="136">
        <f t="shared" si="0"/>
        <v>85421359.86438784</v>
      </c>
    </row>
    <row r="7" spans="1:16">
      <c r="A7" s="46" t="s">
        <v>187</v>
      </c>
      <c r="B7" s="46" t="s">
        <v>188</v>
      </c>
      <c r="C7" s="46" t="s">
        <v>189</v>
      </c>
      <c r="D7" s="68">
        <v>56391898.801753417</v>
      </c>
      <c r="E7" s="50">
        <f>+registry!C7</f>
        <v>48342875.134681299</v>
      </c>
      <c r="F7" s="50">
        <f>+registry!D7</f>
        <v>49230679.602836721</v>
      </c>
      <c r="G7" s="50">
        <f>+registry!E7</f>
        <v>51936302.561434597</v>
      </c>
      <c r="H7" s="50">
        <f>+registry!F7</f>
        <v>46803856.975500621</v>
      </c>
      <c r="I7" s="50">
        <f>+registry!G7</f>
        <v>46688396.145441398</v>
      </c>
      <c r="J7" s="50">
        <f>+registry!H7</f>
        <v>47318458.658028975</v>
      </c>
      <c r="K7" s="50">
        <f>+registry!I7</f>
        <v>47193848.832517855</v>
      </c>
      <c r="L7" s="50">
        <f>+registry!J7</f>
        <v>60232309.356816709</v>
      </c>
      <c r="M7" s="50">
        <f>+registry!K7</f>
        <v>68658852.64218013</v>
      </c>
      <c r="N7" s="50">
        <f>+registry!L7</f>
        <v>78031616.129979655</v>
      </c>
      <c r="O7" s="50">
        <f>+registry!M7</f>
        <v>73752764.644625396</v>
      </c>
      <c r="P7" s="50">
        <f>+registry!N7</f>
        <v>85421359.86438784</v>
      </c>
    </row>
    <row r="8" spans="1:16">
      <c r="A8" s="43"/>
      <c r="B8" s="43"/>
      <c r="C8" s="46" t="s">
        <v>190</v>
      </c>
      <c r="D8" s="68">
        <v>30156389.300751191</v>
      </c>
      <c r="E8" s="136">
        <f t="shared" ref="E8:P8" si="1">SUM(E9:E12)</f>
        <v>26787735.559039082</v>
      </c>
      <c r="F8" s="136">
        <f t="shared" si="1"/>
        <v>26482397.788023833</v>
      </c>
      <c r="G8" s="136">
        <f t="shared" si="1"/>
        <v>24312674.64973608</v>
      </c>
      <c r="H8" s="136">
        <f t="shared" si="1"/>
        <v>18560900.092840675</v>
      </c>
      <c r="I8" s="136">
        <f t="shared" si="1"/>
        <v>18168834.975128654</v>
      </c>
      <c r="J8" s="136">
        <f t="shared" si="1"/>
        <v>20455751.332310468</v>
      </c>
      <c r="K8" s="136">
        <f t="shared" si="1"/>
        <v>20019625.632090211</v>
      </c>
      <c r="L8" s="136">
        <f t="shared" si="1"/>
        <v>20380869.458477151</v>
      </c>
      <c r="M8" s="136">
        <f t="shared" si="1"/>
        <v>20527641.94701767</v>
      </c>
      <c r="N8" s="136">
        <f t="shared" si="1"/>
        <v>17612726.142882496</v>
      </c>
      <c r="O8" s="136">
        <f t="shared" si="1"/>
        <v>39638789.311446816</v>
      </c>
      <c r="P8" s="136">
        <f t="shared" si="1"/>
        <v>47083185.362348847</v>
      </c>
    </row>
    <row r="9" spans="1:16">
      <c r="A9" s="46" t="s">
        <v>191</v>
      </c>
      <c r="B9" s="46" t="s">
        <v>111</v>
      </c>
      <c r="C9" s="46" t="s">
        <v>189</v>
      </c>
      <c r="D9" s="68">
        <v>15926855.202205271</v>
      </c>
      <c r="E9" s="50">
        <f>+registry!C12</f>
        <v>18088592.03096962</v>
      </c>
      <c r="F9" s="50">
        <f>+registry!D12</f>
        <v>17359150.428619672</v>
      </c>
      <c r="G9" s="50">
        <f>+registry!E12</f>
        <v>15109714.093862126</v>
      </c>
      <c r="H9" s="50">
        <f>+registry!F12</f>
        <v>7753407.414941581</v>
      </c>
      <c r="I9" s="50">
        <f>+registry!G12</f>
        <v>6038275.3593691019</v>
      </c>
      <c r="J9" s="50">
        <f>+registry!H12</f>
        <v>4849926.1457863338</v>
      </c>
      <c r="K9" s="50">
        <f>+registry!I12</f>
        <v>3974250.1732844282</v>
      </c>
      <c r="L9" s="50">
        <f>+registry!J12</f>
        <v>3116853.7677923306</v>
      </c>
      <c r="M9" s="50">
        <f>+registry!K12</f>
        <v>0</v>
      </c>
      <c r="N9" s="50">
        <f>+registry!L12</f>
        <v>0</v>
      </c>
      <c r="O9" s="50">
        <f>+registry!M12</f>
        <v>0</v>
      </c>
      <c r="P9" s="50">
        <f>+registry!N12</f>
        <v>0</v>
      </c>
    </row>
    <row r="10" spans="1:16">
      <c r="A10" s="46" t="s">
        <v>191</v>
      </c>
      <c r="B10" s="46" t="s">
        <v>113</v>
      </c>
      <c r="C10" s="46" t="s">
        <v>192</v>
      </c>
      <c r="D10" s="68">
        <v>5608281.3808370735</v>
      </c>
      <c r="E10" s="50">
        <f>+registry!C14</f>
        <v>5792434.4566366132</v>
      </c>
      <c r="F10" s="50">
        <f>+registry!D14</f>
        <v>5984782.4088378381</v>
      </c>
      <c r="G10" s="50">
        <f>+registry!E14</f>
        <v>6185737.7795300223</v>
      </c>
      <c r="H10" s="50">
        <f>+registry!F14</f>
        <v>6393440.7741542654</v>
      </c>
      <c r="I10" s="50">
        <f>+registry!G14</f>
        <v>6603375.2805657405</v>
      </c>
      <c r="J10" s="50">
        <f>+registry!H14</f>
        <v>6822651.9460751358</v>
      </c>
      <c r="K10" s="50">
        <f>+registry!I14</f>
        <v>7051741.0686642267</v>
      </c>
      <c r="L10" s="50">
        <f>+registry!J14</f>
        <v>7288522.4825358614</v>
      </c>
      <c r="M10" s="50">
        <f>+registry!K14</f>
        <v>6806296.4560152246</v>
      </c>
      <c r="N10" s="50">
        <f>+registry!L14</f>
        <v>4230778.4205505513</v>
      </c>
      <c r="O10" s="50">
        <f>+registry!M14</f>
        <v>4951306.8763720598</v>
      </c>
      <c r="P10" s="50">
        <f>+registry!N14</f>
        <v>4764456.7915576464</v>
      </c>
    </row>
    <row r="11" spans="1:16">
      <c r="A11" s="46" t="s">
        <v>191</v>
      </c>
      <c r="B11" s="46" t="s">
        <v>112</v>
      </c>
      <c r="C11" s="46" t="s">
        <v>193</v>
      </c>
      <c r="D11" s="68">
        <v>8621252.7177088577</v>
      </c>
      <c r="E11" s="50">
        <f>+registry!C13</f>
        <v>2691709.0714328461</v>
      </c>
      <c r="F11" s="50">
        <f>+registry!D13</f>
        <v>2849464.9505663249</v>
      </c>
      <c r="G11" s="50">
        <f>+registry!E13</f>
        <v>3017222.776343931</v>
      </c>
      <c r="H11" s="50">
        <f>+registry!F13</f>
        <v>4124556.903744827</v>
      </c>
      <c r="I11" s="50">
        <f>+registry!G13</f>
        <v>4237689.3351938138</v>
      </c>
      <c r="J11" s="50">
        <f>+registry!H13</f>
        <v>6873678.2404489974</v>
      </c>
      <c r="K11" s="50">
        <f>+registry!I13</f>
        <v>7084139.3901415551</v>
      </c>
      <c r="L11" s="50">
        <f>+registry!J13</f>
        <v>7315998.2081489582</v>
      </c>
      <c r="M11" s="50">
        <f>+registry!K13</f>
        <v>10662926.241002446</v>
      </c>
      <c r="N11" s="50">
        <f>+registry!L13</f>
        <v>9864765.5848319475</v>
      </c>
      <c r="O11" s="50">
        <f>+registry!M13</f>
        <v>34687482.435074754</v>
      </c>
      <c r="P11" s="50">
        <f>+registry!N13</f>
        <v>42318728.5707912</v>
      </c>
    </row>
    <row r="12" spans="1:16">
      <c r="A12" s="43"/>
      <c r="B12" s="43"/>
      <c r="C12" s="46" t="s">
        <v>194</v>
      </c>
      <c r="D12" s="50">
        <f>registry!B18</f>
        <v>0</v>
      </c>
      <c r="E12" s="50">
        <f>registry!C18</f>
        <v>215000</v>
      </c>
      <c r="F12" s="50">
        <f>registry!D18</f>
        <v>289000</v>
      </c>
      <c r="G12" s="50">
        <f>registry!E18</f>
        <v>0</v>
      </c>
      <c r="H12" s="50">
        <f>registry!F18</f>
        <v>289495</v>
      </c>
      <c r="I12" s="50">
        <f>registry!G18</f>
        <v>1289495</v>
      </c>
      <c r="J12" s="50">
        <f>registry!H18</f>
        <v>1909495</v>
      </c>
      <c r="K12" s="50">
        <f>registry!I18</f>
        <v>1909495</v>
      </c>
      <c r="L12" s="50">
        <f>registry!J18</f>
        <v>2659495</v>
      </c>
      <c r="M12" s="50">
        <f>registry!K18</f>
        <v>3058419.2499999995</v>
      </c>
      <c r="N12" s="50">
        <f>registry!L18</f>
        <v>3517182.1374999993</v>
      </c>
      <c r="O12" s="50">
        <f>registry!M18</f>
        <v>0</v>
      </c>
      <c r="P12" s="50">
        <f>registry!N18</f>
        <v>0</v>
      </c>
    </row>
    <row r="13" spans="1:16">
      <c r="A13" s="43"/>
      <c r="B13" s="43"/>
      <c r="C13" s="46" t="s">
        <v>195</v>
      </c>
      <c r="D13" s="68">
        <v>30602658.149102628</v>
      </c>
      <c r="E13" s="136">
        <f t="shared" ref="E13:P13" si="2">SUM(E14)</f>
        <v>35723216.42177093</v>
      </c>
      <c r="F13" s="136">
        <f t="shared" si="2"/>
        <v>38565928.424821809</v>
      </c>
      <c r="G13" s="136">
        <f t="shared" si="2"/>
        <v>40379580.576386034</v>
      </c>
      <c r="H13" s="136">
        <f t="shared" si="2"/>
        <v>40032700.798691444</v>
      </c>
      <c r="I13" s="136">
        <f t="shared" si="2"/>
        <v>36265000.089758396</v>
      </c>
      <c r="J13" s="136">
        <f t="shared" si="2"/>
        <v>38900747.169811323</v>
      </c>
      <c r="K13" s="136">
        <f t="shared" si="2"/>
        <v>41760245.297078438</v>
      </c>
      <c r="L13" s="136">
        <f t="shared" si="2"/>
        <v>50265874.093843371</v>
      </c>
      <c r="M13" s="136">
        <f t="shared" si="2"/>
        <v>32637075</v>
      </c>
      <c r="N13" s="136">
        <f t="shared" si="2"/>
        <v>33952187.25</v>
      </c>
      <c r="O13" s="136">
        <f t="shared" si="2"/>
        <v>35273002.8675</v>
      </c>
      <c r="P13" s="136">
        <f t="shared" si="2"/>
        <v>37231192.953525007</v>
      </c>
    </row>
    <row r="14" spans="1:16">
      <c r="A14" s="46" t="s">
        <v>196</v>
      </c>
      <c r="B14" s="46" t="s">
        <v>111</v>
      </c>
      <c r="C14" s="46" t="s">
        <v>189</v>
      </c>
      <c r="D14" s="68">
        <v>30602658.149102628</v>
      </c>
      <c r="E14" s="50">
        <f>+registry!C23</f>
        <v>35723216.42177093</v>
      </c>
      <c r="F14" s="50">
        <f>+registry!D23</f>
        <v>38565928.424821809</v>
      </c>
      <c r="G14" s="50">
        <f>+registry!E23</f>
        <v>40379580.576386034</v>
      </c>
      <c r="H14" s="50">
        <f>+registry!F23</f>
        <v>40032700.798691444</v>
      </c>
      <c r="I14" s="50">
        <f>+registry!G23</f>
        <v>36265000.089758396</v>
      </c>
      <c r="J14" s="50">
        <f>+registry!H23</f>
        <v>38900747.169811323</v>
      </c>
      <c r="K14" s="50">
        <f>+registry!I23</f>
        <v>41760245.297078438</v>
      </c>
      <c r="L14" s="50">
        <f>+registry!J23</f>
        <v>50265874.093843371</v>
      </c>
      <c r="M14" s="50">
        <f>+registry!K23</f>
        <v>32637075</v>
      </c>
      <c r="N14" s="50">
        <f>+registry!L23</f>
        <v>33952187.25</v>
      </c>
      <c r="O14" s="50">
        <f>+registry!M23</f>
        <v>35273002.8675</v>
      </c>
      <c r="P14" s="50">
        <f>+registry!N23</f>
        <v>37231192.953525007</v>
      </c>
    </row>
    <row r="15" spans="1:16">
      <c r="A15" s="43"/>
      <c r="B15" s="43"/>
      <c r="C15" s="46" t="s">
        <v>197</v>
      </c>
      <c r="D15" s="68">
        <v>5000000</v>
      </c>
      <c r="E15" s="136">
        <f t="shared" ref="E15:P15" si="3">SUM(E16)</f>
        <v>17383391.370336019</v>
      </c>
      <c r="F15" s="136">
        <f t="shared" si="3"/>
        <v>19070671.377654947</v>
      </c>
      <c r="G15" s="136">
        <f t="shared" si="3"/>
        <v>20943032.234737165</v>
      </c>
      <c r="H15" s="136">
        <f t="shared" si="3"/>
        <v>22999221.710629381</v>
      </c>
      <c r="I15" s="136">
        <f t="shared" si="3"/>
        <v>28009536.136664666</v>
      </c>
      <c r="J15" s="136">
        <f t="shared" si="3"/>
        <v>30460556.806394603</v>
      </c>
      <c r="K15" s="136">
        <f t="shared" si="3"/>
        <v>33156609.146139551</v>
      </c>
      <c r="L15" s="136">
        <f t="shared" si="3"/>
        <v>36091288.056792036</v>
      </c>
      <c r="M15" s="136">
        <f t="shared" si="3"/>
        <v>56628545.428496853</v>
      </c>
      <c r="N15" s="136">
        <f t="shared" si="3"/>
        <v>76968139.315230623</v>
      </c>
      <c r="O15" s="136">
        <f t="shared" si="3"/>
        <v>97729625</v>
      </c>
      <c r="P15" s="136">
        <f t="shared" si="3"/>
        <v>104879625</v>
      </c>
    </row>
    <row r="16" spans="1:16">
      <c r="A16" s="46" t="s">
        <v>198</v>
      </c>
      <c r="B16" s="46" t="s">
        <v>111</v>
      </c>
      <c r="C16" s="46" t="s">
        <v>199</v>
      </c>
      <c r="D16" s="68">
        <v>5000000</v>
      </c>
      <c r="E16" s="50">
        <f>+registry!C33</f>
        <v>17383391.370336019</v>
      </c>
      <c r="F16" s="50">
        <f>+registry!D33</f>
        <v>19070671.377654947</v>
      </c>
      <c r="G16" s="50">
        <f>+registry!E33</f>
        <v>20943032.234737165</v>
      </c>
      <c r="H16" s="50">
        <f>+registry!F33</f>
        <v>22999221.710629381</v>
      </c>
      <c r="I16" s="50">
        <f>+registry!G33</f>
        <v>28009536.136664666</v>
      </c>
      <c r="J16" s="50">
        <f>+registry!H33</f>
        <v>30460556.806394603</v>
      </c>
      <c r="K16" s="50">
        <f>+registry!I33</f>
        <v>33156609.146139551</v>
      </c>
      <c r="L16" s="50">
        <f>+registry!J33</f>
        <v>36091288.056792036</v>
      </c>
      <c r="M16" s="50">
        <f>+registry!K33</f>
        <v>56628545.428496853</v>
      </c>
      <c r="N16" s="50">
        <f>+registry!L33</f>
        <v>76968139.315230623</v>
      </c>
      <c r="O16" s="50">
        <f>+registry!M33</f>
        <v>97729625</v>
      </c>
      <c r="P16" s="50">
        <f>+registry!N33</f>
        <v>104879625</v>
      </c>
    </row>
    <row r="17" spans="1:16">
      <c r="A17" s="43"/>
      <c r="B17" s="43"/>
      <c r="C17" s="46" t="s">
        <v>200</v>
      </c>
      <c r="D17" s="68">
        <v>0</v>
      </c>
      <c r="E17" s="136">
        <f t="shared" ref="E17:P17" si="4">SUM(E18)</f>
        <v>11353679.54322795</v>
      </c>
      <c r="F17" s="136">
        <f t="shared" si="4"/>
        <v>13799239.652720192</v>
      </c>
      <c r="G17" s="136">
        <f t="shared" si="4"/>
        <v>15549102.824653054</v>
      </c>
      <c r="H17" s="136">
        <f t="shared" si="4"/>
        <v>15839974.24952361</v>
      </c>
      <c r="I17" s="136">
        <f t="shared" si="4"/>
        <v>15929659.409396553</v>
      </c>
      <c r="J17" s="136">
        <f t="shared" si="4"/>
        <v>15182357.230999554</v>
      </c>
      <c r="K17" s="136">
        <f t="shared" si="4"/>
        <v>17072719.878932104</v>
      </c>
      <c r="L17" s="136">
        <f t="shared" si="4"/>
        <v>0</v>
      </c>
      <c r="M17" s="136">
        <f t="shared" si="4"/>
        <v>0</v>
      </c>
      <c r="N17" s="136">
        <f t="shared" si="4"/>
        <v>0</v>
      </c>
      <c r="O17" s="136">
        <f t="shared" si="4"/>
        <v>0</v>
      </c>
      <c r="P17" s="136">
        <f t="shared" si="4"/>
        <v>0</v>
      </c>
    </row>
    <row r="18" spans="1:16">
      <c r="A18" s="46" t="s">
        <v>200</v>
      </c>
      <c r="B18" s="46" t="s">
        <v>111</v>
      </c>
      <c r="C18" s="46" t="s">
        <v>200</v>
      </c>
      <c r="D18" s="68">
        <v>0</v>
      </c>
      <c r="E18" s="50">
        <f>+registry!C28</f>
        <v>11353679.54322795</v>
      </c>
      <c r="F18" s="50">
        <f>+registry!D28</f>
        <v>13799239.652720192</v>
      </c>
      <c r="G18" s="50">
        <f>+registry!E28</f>
        <v>15549102.824653054</v>
      </c>
      <c r="H18" s="50">
        <f>+registry!F28</f>
        <v>15839974.24952361</v>
      </c>
      <c r="I18" s="50">
        <f>+registry!G28</f>
        <v>15929659.409396553</v>
      </c>
      <c r="J18" s="50">
        <f>+registry!H28</f>
        <v>15182357.230999554</v>
      </c>
      <c r="K18" s="50">
        <f>+registry!I28</f>
        <v>17072719.878932104</v>
      </c>
      <c r="L18" s="50">
        <f>+registry!J28</f>
        <v>0</v>
      </c>
      <c r="M18" s="50">
        <f>+registry!K28</f>
        <v>0</v>
      </c>
      <c r="N18" s="50">
        <f>+registry!L28</f>
        <v>0</v>
      </c>
      <c r="O18" s="50">
        <f>+registry!M28</f>
        <v>0</v>
      </c>
      <c r="P18" s="50">
        <f>+registry!N28</f>
        <v>0</v>
      </c>
    </row>
    <row r="19" spans="1:16">
      <c r="A19" s="43"/>
      <c r="B19" s="43"/>
      <c r="C19" s="117" t="str">
        <f>+C20</f>
        <v>[LSAT]</v>
      </c>
      <c r="D19" s="68">
        <v>0</v>
      </c>
      <c r="E19" s="136">
        <f t="shared" ref="E19:P19" si="5">SUM(E20)</f>
        <v>0</v>
      </c>
      <c r="F19" s="136">
        <f t="shared" si="5"/>
        <v>0</v>
      </c>
      <c r="G19" s="136">
        <f t="shared" si="5"/>
        <v>0</v>
      </c>
      <c r="H19" s="136">
        <f t="shared" si="5"/>
        <v>0</v>
      </c>
      <c r="I19" s="136">
        <f t="shared" si="5"/>
        <v>0</v>
      </c>
      <c r="J19" s="136">
        <f t="shared" si="5"/>
        <v>0</v>
      </c>
      <c r="K19" s="136">
        <f t="shared" si="5"/>
        <v>0</v>
      </c>
      <c r="L19" s="136">
        <f t="shared" si="5"/>
        <v>16000000</v>
      </c>
      <c r="M19" s="136">
        <f t="shared" si="5"/>
        <v>16000000</v>
      </c>
      <c r="N19" s="136">
        <f t="shared" si="5"/>
        <v>20333333.333333332</v>
      </c>
      <c r="O19" s="136">
        <f t="shared" si="5"/>
        <v>22077380.952380951</v>
      </c>
      <c r="P19" s="136">
        <f t="shared" si="5"/>
        <v>21709415.5844156</v>
      </c>
    </row>
    <row r="20" spans="1:16">
      <c r="A20" s="46" t="s">
        <v>201</v>
      </c>
      <c r="B20" s="46" t="s">
        <v>136</v>
      </c>
      <c r="C20" s="46" t="s">
        <v>202</v>
      </c>
      <c r="D20" s="68">
        <v>0</v>
      </c>
      <c r="E20" s="50">
        <f>+registry!C78</f>
        <v>0</v>
      </c>
      <c r="F20" s="50">
        <f>+registry!D78</f>
        <v>0</v>
      </c>
      <c r="G20" s="50">
        <f>+registry!E78</f>
        <v>0</v>
      </c>
      <c r="H20" s="50">
        <f>+registry!F78</f>
        <v>0</v>
      </c>
      <c r="I20" s="50">
        <f>+registry!G78</f>
        <v>0</v>
      </c>
      <c r="J20" s="50">
        <f>+registry!H78</f>
        <v>0</v>
      </c>
      <c r="K20" s="50">
        <f>+registry!I78</f>
        <v>0</v>
      </c>
      <c r="L20" s="50">
        <f>+registry!J78</f>
        <v>16000000</v>
      </c>
      <c r="M20" s="50">
        <f>+registry!K78</f>
        <v>16000000</v>
      </c>
      <c r="N20" s="50">
        <f>+registry!L78</f>
        <v>20333333.333333332</v>
      </c>
      <c r="O20" s="50">
        <f>+registry!M78</f>
        <v>22077380.952380951</v>
      </c>
      <c r="P20" s="50">
        <f>+registry!N78</f>
        <v>21709415.5844156</v>
      </c>
    </row>
    <row r="21" spans="1:16">
      <c r="A21" s="43"/>
      <c r="B21" s="43"/>
      <c r="C21" s="117" t="str">
        <f>+C22</f>
        <v>[L4]</v>
      </c>
      <c r="D21" s="68">
        <v>0</v>
      </c>
      <c r="E21" s="136">
        <f t="shared" ref="E21:P21" si="6">SUM(E22)</f>
        <v>0</v>
      </c>
      <c r="F21" s="136">
        <f t="shared" si="6"/>
        <v>0</v>
      </c>
      <c r="G21" s="136">
        <f t="shared" si="6"/>
        <v>0</v>
      </c>
      <c r="H21" s="136">
        <f t="shared" si="6"/>
        <v>0</v>
      </c>
      <c r="I21" s="136">
        <f t="shared" si="6"/>
        <v>0</v>
      </c>
      <c r="J21" s="136">
        <f t="shared" si="6"/>
        <v>0</v>
      </c>
      <c r="K21" s="136">
        <f t="shared" si="6"/>
        <v>0</v>
      </c>
      <c r="L21" s="136">
        <f t="shared" si="6"/>
        <v>0</v>
      </c>
      <c r="M21" s="136">
        <f t="shared" si="6"/>
        <v>12500000</v>
      </c>
      <c r="N21" s="136">
        <f t="shared" si="6"/>
        <v>18750000</v>
      </c>
      <c r="O21" s="136">
        <f t="shared" si="6"/>
        <v>25000000</v>
      </c>
      <c r="P21" s="136">
        <f t="shared" si="6"/>
        <v>45000000</v>
      </c>
    </row>
    <row r="22" spans="1:16">
      <c r="A22" s="46" t="s">
        <v>201</v>
      </c>
      <c r="B22" s="46" t="s">
        <v>137</v>
      </c>
      <c r="C22" s="46" t="s">
        <v>203</v>
      </c>
      <c r="D22" s="68">
        <v>0</v>
      </c>
      <c r="E22" s="50">
        <f>+registry!C79</f>
        <v>0</v>
      </c>
      <c r="F22" s="50">
        <f>+registry!D79</f>
        <v>0</v>
      </c>
      <c r="G22" s="50">
        <f>+registry!E79</f>
        <v>0</v>
      </c>
      <c r="H22" s="50">
        <f>+registry!F79</f>
        <v>0</v>
      </c>
      <c r="I22" s="50">
        <f>+registry!G79</f>
        <v>0</v>
      </c>
      <c r="J22" s="50">
        <f>+registry!H79</f>
        <v>0</v>
      </c>
      <c r="K22" s="50">
        <f>+registry!I79</f>
        <v>0</v>
      </c>
      <c r="L22" s="50">
        <f>+registry!J79</f>
        <v>0</v>
      </c>
      <c r="M22" s="50">
        <f>+registry!K79</f>
        <v>12500000</v>
      </c>
      <c r="N22" s="50">
        <f>+registry!L79</f>
        <v>18750000</v>
      </c>
      <c r="O22" s="50">
        <f>+registry!M79</f>
        <v>25000000</v>
      </c>
      <c r="P22" s="50">
        <f>+registry!N79</f>
        <v>45000000</v>
      </c>
    </row>
    <row r="23" spans="1:16">
      <c r="A23" s="43"/>
      <c r="B23" s="43"/>
      <c r="C23" s="117" t="str">
        <f>+C24</f>
        <v>PV Loren fees (Key money)</v>
      </c>
      <c r="D23" s="68">
        <v>20000000</v>
      </c>
      <c r="E23" s="136">
        <f t="shared" ref="E23:P23" si="7">SUM(E24)</f>
        <v>20000000</v>
      </c>
      <c r="F23" s="136">
        <f t="shared" si="7"/>
        <v>20000000</v>
      </c>
      <c r="G23" s="136">
        <f t="shared" si="7"/>
        <v>20000000</v>
      </c>
      <c r="H23" s="136">
        <f t="shared" si="7"/>
        <v>20000000</v>
      </c>
      <c r="I23" s="136">
        <f t="shared" si="7"/>
        <v>20000000</v>
      </c>
      <c r="J23" s="136">
        <f t="shared" si="7"/>
        <v>20000000</v>
      </c>
      <c r="K23" s="136">
        <f t="shared" si="7"/>
        <v>25000000</v>
      </c>
      <c r="L23" s="136">
        <f t="shared" si="7"/>
        <v>25000000</v>
      </c>
      <c r="M23" s="136">
        <f t="shared" si="7"/>
        <v>25000000</v>
      </c>
      <c r="N23" s="136">
        <f t="shared" si="7"/>
        <v>30000000</v>
      </c>
      <c r="O23" s="136">
        <f t="shared" si="7"/>
        <v>30000000</v>
      </c>
      <c r="P23" s="136">
        <f t="shared" si="7"/>
        <v>35000000</v>
      </c>
    </row>
    <row r="24" spans="1:16">
      <c r="A24" s="46" t="s">
        <v>204</v>
      </c>
      <c r="B24" s="46" t="s">
        <v>120</v>
      </c>
      <c r="C24" s="46" t="s">
        <v>120</v>
      </c>
      <c r="D24" s="68">
        <v>20000000</v>
      </c>
      <c r="E24" s="50">
        <f>+registry!C49</f>
        <v>20000000</v>
      </c>
      <c r="F24" s="50">
        <f>+registry!D49</f>
        <v>20000000</v>
      </c>
      <c r="G24" s="50">
        <f>+registry!E49</f>
        <v>20000000</v>
      </c>
      <c r="H24" s="50">
        <f>+registry!F49</f>
        <v>20000000</v>
      </c>
      <c r="I24" s="50">
        <f>+registry!G49</f>
        <v>20000000</v>
      </c>
      <c r="J24" s="50">
        <f>+registry!H49</f>
        <v>20000000</v>
      </c>
      <c r="K24" s="50">
        <f>+registry!I49</f>
        <v>25000000</v>
      </c>
      <c r="L24" s="50">
        <f>+registry!J49</f>
        <v>25000000</v>
      </c>
      <c r="M24" s="50">
        <f>+registry!K49</f>
        <v>25000000</v>
      </c>
      <c r="N24" s="50">
        <f>+registry!L49</f>
        <v>30000000</v>
      </c>
      <c r="O24" s="50">
        <f>+registry!M49</f>
        <v>30000000</v>
      </c>
      <c r="P24" s="50">
        <f>+registry!N49</f>
        <v>35000000</v>
      </c>
    </row>
    <row r="25" spans="1:16">
      <c r="A25" s="43"/>
      <c r="B25" s="43"/>
      <c r="C25" s="46" t="s">
        <v>205</v>
      </c>
      <c r="D25" s="68">
        <v>3570254</v>
      </c>
      <c r="E25" s="136">
        <f t="shared" ref="E25:P25" si="8">SUM(E26:E26)</f>
        <v>4318174.1939285714</v>
      </c>
      <c r="F25" s="136">
        <f t="shared" si="8"/>
        <v>6116942.3878571428</v>
      </c>
      <c r="G25" s="136">
        <f t="shared" si="8"/>
        <v>4951761.5817857143</v>
      </c>
      <c r="H25" s="136">
        <f t="shared" si="8"/>
        <v>4325793.7757142857</v>
      </c>
      <c r="I25" s="136">
        <f t="shared" si="8"/>
        <v>3150708.9751250003</v>
      </c>
      <c r="J25" s="136">
        <f t="shared" si="8"/>
        <v>3175738.2727500005</v>
      </c>
      <c r="K25" s="136">
        <f t="shared" si="8"/>
        <v>3356358.0703750001</v>
      </c>
      <c r="L25" s="136">
        <f t="shared" si="8"/>
        <v>3280322.0305000003</v>
      </c>
      <c r="M25" s="136">
        <f t="shared" si="8"/>
        <v>3183766.1042149998</v>
      </c>
      <c r="N25" s="136">
        <f t="shared" si="8"/>
        <v>2489194.6254014503</v>
      </c>
      <c r="O25" s="136">
        <f t="shared" si="8"/>
        <v>4037736.0022234935</v>
      </c>
      <c r="P25" s="136">
        <f t="shared" si="8"/>
        <v>5265898.3396666665</v>
      </c>
    </row>
    <row r="26" spans="1:16">
      <c r="A26" s="46" t="s">
        <v>201</v>
      </c>
      <c r="B26" s="46" t="s">
        <v>135</v>
      </c>
      <c r="C26" s="46" t="s">
        <v>206</v>
      </c>
      <c r="D26" s="68">
        <v>3570254</v>
      </c>
      <c r="E26" s="50">
        <f>+registry!C77</f>
        <v>4318174.1939285714</v>
      </c>
      <c r="F26" s="50">
        <f>+registry!D77</f>
        <v>6116942.3878571428</v>
      </c>
      <c r="G26" s="50">
        <f>+registry!E77</f>
        <v>4951761.5817857143</v>
      </c>
      <c r="H26" s="50">
        <f>+registry!F77</f>
        <v>4325793.7757142857</v>
      </c>
      <c r="I26" s="50">
        <f>+registry!G77</f>
        <v>3150708.9751250003</v>
      </c>
      <c r="J26" s="50">
        <f>+registry!H77</f>
        <v>3175738.2727500005</v>
      </c>
      <c r="K26" s="50">
        <f>+registry!I77</f>
        <v>3356358.0703750001</v>
      </c>
      <c r="L26" s="50">
        <f>+registry!J77</f>
        <v>3280322.0305000003</v>
      </c>
      <c r="M26" s="50">
        <f>+registry!K77</f>
        <v>3183766.1042149998</v>
      </c>
      <c r="N26" s="50">
        <f>+registry!L77</f>
        <v>2489194.6254014503</v>
      </c>
      <c r="O26" s="50">
        <f>+registry!M77</f>
        <v>4037736.0022234935</v>
      </c>
      <c r="P26" s="50">
        <f>+registry!N77</f>
        <v>5265898.3396666665</v>
      </c>
    </row>
    <row r="27" spans="1:16" s="2" customFormat="1">
      <c r="A27" s="43"/>
      <c r="B27" s="43"/>
      <c r="C27" s="46" t="s">
        <v>207</v>
      </c>
      <c r="D27" s="68">
        <v>145972328.25160721</v>
      </c>
      <c r="E27" s="136">
        <f t="shared" ref="E27:P27" si="9">SUM(E5,E6,E8,E13,E15,E17,E19,E21,E23,E25)</f>
        <v>165763907.46205112</v>
      </c>
      <c r="F27" s="136">
        <f t="shared" si="9"/>
        <v>170833503.25405335</v>
      </c>
      <c r="G27" s="136">
        <f t="shared" si="9"/>
        <v>172876508.11241519</v>
      </c>
      <c r="H27" s="136">
        <f t="shared" si="9"/>
        <v>168983703.67016545</v>
      </c>
      <c r="I27" s="136">
        <f t="shared" si="9"/>
        <v>173802523.81452271</v>
      </c>
      <c r="J27" s="136">
        <f t="shared" si="9"/>
        <v>186356735.71809217</v>
      </c>
      <c r="K27" s="136">
        <f t="shared" si="9"/>
        <v>194865089.06956109</v>
      </c>
      <c r="L27" s="136">
        <f t="shared" si="9"/>
        <v>214308138.35977826</v>
      </c>
      <c r="M27" s="136">
        <f t="shared" si="9"/>
        <v>241221207.09806433</v>
      </c>
      <c r="N27" s="136">
        <f t="shared" si="9"/>
        <v>291529112.58802027</v>
      </c>
      <c r="O27" s="136">
        <f t="shared" si="9"/>
        <v>350735474.88661218</v>
      </c>
      <c r="P27" s="136">
        <f t="shared" si="9"/>
        <v>409486916.92281449</v>
      </c>
    </row>
    <row r="28" spans="1:16">
      <c r="A28" s="43"/>
      <c r="B28" s="43"/>
      <c r="C28" s="83" t="s">
        <v>208</v>
      </c>
      <c r="D28" s="62"/>
      <c r="E28" s="62"/>
      <c r="F28" s="62"/>
      <c r="G28" s="62"/>
      <c r="H28" s="62"/>
      <c r="I28" s="62"/>
      <c r="J28" s="62"/>
      <c r="K28" s="62"/>
      <c r="L28" s="62"/>
      <c r="M28" s="62"/>
      <c r="N28" s="62"/>
      <c r="O28" s="62"/>
      <c r="P28" s="62"/>
    </row>
    <row r="29" spans="1:16">
      <c r="A29" s="46" t="s">
        <v>209</v>
      </c>
      <c r="B29" s="46" t="s">
        <v>130</v>
      </c>
      <c r="C29" s="46" t="s">
        <v>210</v>
      </c>
      <c r="D29" s="68">
        <v>25387076.966665421</v>
      </c>
      <c r="E29" s="50">
        <f>+registry!C66</f>
        <v>29007182.318074383</v>
      </c>
      <c r="F29" s="50">
        <f>+registry!D66</f>
        <v>30149897.034891989</v>
      </c>
      <c r="G29" s="50">
        <f>+registry!E66</f>
        <v>9136912.2028022707</v>
      </c>
      <c r="H29" s="50">
        <f>+registry!F66</f>
        <v>8575632.538205862</v>
      </c>
      <c r="I29" s="50">
        <f>+registry!G66</f>
        <v>7900128.8430335149</v>
      </c>
      <c r="J29" s="50">
        <f>+registry!H66</f>
        <v>12239223.025316527</v>
      </c>
      <c r="K29" s="50">
        <f>+registry!I66</f>
        <v>12195991.877848445</v>
      </c>
      <c r="L29" s="50">
        <f>+registry!J66</f>
        <v>7400513.4327920657</v>
      </c>
      <c r="M29" s="50">
        <f>+registry!K66</f>
        <v>0</v>
      </c>
      <c r="N29" s="50">
        <f>+registry!L66</f>
        <v>0</v>
      </c>
      <c r="O29" s="50">
        <f>+registry!M66</f>
        <v>0</v>
      </c>
      <c r="P29" s="50">
        <f>+registry!N66</f>
        <v>0</v>
      </c>
    </row>
    <row r="30" spans="1:16">
      <c r="A30" s="46" t="s">
        <v>201</v>
      </c>
      <c r="B30" s="46" t="s">
        <v>142</v>
      </c>
      <c r="C30" s="46" t="s">
        <v>211</v>
      </c>
      <c r="D30" s="68">
        <v>0</v>
      </c>
      <c r="E30" s="50">
        <f>+registry!C91</f>
        <v>0</v>
      </c>
      <c r="F30" s="50">
        <f>+registry!D91</f>
        <v>0</v>
      </c>
      <c r="G30" s="50">
        <f>+registry!E91</f>
        <v>0</v>
      </c>
      <c r="H30" s="50">
        <f>+registry!F91</f>
        <v>0</v>
      </c>
      <c r="I30" s="50">
        <f>+registry!G91</f>
        <v>0</v>
      </c>
      <c r="J30" s="50">
        <f>+registry!H91</f>
        <v>0</v>
      </c>
      <c r="K30" s="50">
        <f>+registry!I91</f>
        <v>0</v>
      </c>
      <c r="L30" s="50">
        <f>+registry!J91</f>
        <v>0</v>
      </c>
      <c r="M30" s="50">
        <f>+registry!K91</f>
        <v>0</v>
      </c>
      <c r="N30" s="50">
        <f>+registry!L91</f>
        <v>0</v>
      </c>
      <c r="O30" s="50">
        <f>+registry!M91</f>
        <v>0</v>
      </c>
      <c r="P30" s="50">
        <f>+registry!N91</f>
        <v>0</v>
      </c>
    </row>
    <row r="31" spans="1:16">
      <c r="A31" s="46" t="s">
        <v>212</v>
      </c>
      <c r="B31" s="46" t="s">
        <v>128</v>
      </c>
      <c r="C31" s="46" t="s">
        <v>213</v>
      </c>
      <c r="D31" s="68">
        <v>812241.1</v>
      </c>
      <c r="E31" s="50">
        <f>+registry!C71</f>
        <v>3383115.7765908856</v>
      </c>
      <c r="F31" s="50">
        <f>+registry!D71</f>
        <v>5020671.3604204301</v>
      </c>
      <c r="G31" s="50">
        <f>+registry!E71</f>
        <v>5081889.2059414517</v>
      </c>
      <c r="H31" s="50">
        <f>+registry!F71</f>
        <v>6989833.6678437497</v>
      </c>
      <c r="I31" s="50">
        <f>+registry!G71</f>
        <v>8001344.413481757</v>
      </c>
      <c r="J31" s="50">
        <f>+registry!H71</f>
        <v>8575801.243056858</v>
      </c>
      <c r="K31" s="50">
        <f>+registry!I71</f>
        <v>8582691.7381072436</v>
      </c>
      <c r="L31" s="50">
        <f>+registry!J71</f>
        <v>17286474.095939837</v>
      </c>
      <c r="M31" s="50">
        <f>+registry!K71</f>
        <v>18797445.210330814</v>
      </c>
      <c r="N31" s="50">
        <f>+registry!L71</f>
        <v>21168561.991880435</v>
      </c>
      <c r="O31" s="50">
        <f>+registry!M71</f>
        <v>24343846.290662497</v>
      </c>
      <c r="P31" s="50">
        <f>+registry!N71</f>
        <v>27995423.23426187</v>
      </c>
    </row>
    <row r="32" spans="1:16">
      <c r="A32" s="43"/>
      <c r="B32" s="43"/>
      <c r="C32" s="46" t="s">
        <v>214</v>
      </c>
      <c r="D32" s="68">
        <v>26199318.066665418</v>
      </c>
      <c r="E32" s="136">
        <f t="shared" ref="E32:P32" si="10">SUM(E29:E31)</f>
        <v>32390298.094665267</v>
      </c>
      <c r="F32" s="136">
        <f t="shared" si="10"/>
        <v>35170568.395312421</v>
      </c>
      <c r="G32" s="136">
        <f t="shared" si="10"/>
        <v>14218801.408743722</v>
      </c>
      <c r="H32" s="136">
        <f t="shared" si="10"/>
        <v>15565466.206049612</v>
      </c>
      <c r="I32" s="136">
        <f t="shared" si="10"/>
        <v>15901473.256515272</v>
      </c>
      <c r="J32" s="136">
        <f t="shared" si="10"/>
        <v>20815024.268373385</v>
      </c>
      <c r="K32" s="136">
        <f t="shared" si="10"/>
        <v>20778683.615955688</v>
      </c>
      <c r="L32" s="136">
        <f t="shared" si="10"/>
        <v>24686987.528731905</v>
      </c>
      <c r="M32" s="136">
        <f t="shared" si="10"/>
        <v>18797445.210330814</v>
      </c>
      <c r="N32" s="136">
        <f t="shared" si="10"/>
        <v>21168561.991880435</v>
      </c>
      <c r="O32" s="136">
        <f t="shared" si="10"/>
        <v>24343846.290662497</v>
      </c>
      <c r="P32" s="136">
        <f t="shared" si="10"/>
        <v>27995423.23426187</v>
      </c>
    </row>
    <row r="33" spans="1:16">
      <c r="A33" s="43"/>
      <c r="B33" s="43"/>
      <c r="C33" s="46" t="s">
        <v>110</v>
      </c>
      <c r="D33" s="68">
        <v>119773010.1849418</v>
      </c>
      <c r="E33" s="50">
        <f t="shared" ref="E33:P33" si="11">+E27-E32</f>
        <v>133373609.36738586</v>
      </c>
      <c r="F33" s="50">
        <f t="shared" si="11"/>
        <v>135662934.85874093</v>
      </c>
      <c r="G33" s="50">
        <f t="shared" si="11"/>
        <v>158657706.70367149</v>
      </c>
      <c r="H33" s="50">
        <f t="shared" si="11"/>
        <v>153418237.46411583</v>
      </c>
      <c r="I33" s="50">
        <f t="shared" si="11"/>
        <v>157901050.55800745</v>
      </c>
      <c r="J33" s="50">
        <f t="shared" si="11"/>
        <v>165541711.44971877</v>
      </c>
      <c r="K33" s="50">
        <f t="shared" si="11"/>
        <v>174086405.45360541</v>
      </c>
      <c r="L33" s="50">
        <f t="shared" si="11"/>
        <v>189621150.83104634</v>
      </c>
      <c r="M33" s="50">
        <f t="shared" si="11"/>
        <v>222423761.88773352</v>
      </c>
      <c r="N33" s="50">
        <f t="shared" si="11"/>
        <v>270360550.59613985</v>
      </c>
      <c r="O33" s="50">
        <f t="shared" si="11"/>
        <v>326391628.59594965</v>
      </c>
      <c r="P33" s="50">
        <f t="shared" si="11"/>
        <v>381491493.68855262</v>
      </c>
    </row>
    <row r="34" spans="1:16">
      <c r="A34" s="43"/>
      <c r="B34" s="43"/>
      <c r="C34" s="83" t="s">
        <v>215</v>
      </c>
      <c r="D34" s="50"/>
      <c r="E34" s="50"/>
      <c r="F34" s="50"/>
      <c r="G34" s="50"/>
      <c r="H34" s="50"/>
      <c r="I34" s="50"/>
      <c r="J34" s="50"/>
      <c r="K34" s="50"/>
      <c r="L34" s="50"/>
      <c r="M34" s="50"/>
      <c r="N34" s="50"/>
      <c r="O34" s="50"/>
      <c r="P34" s="50"/>
    </row>
    <row r="35" spans="1:16">
      <c r="A35" s="46" t="s">
        <v>216</v>
      </c>
      <c r="B35" s="46" t="s">
        <v>140</v>
      </c>
      <c r="C35" s="83" t="s">
        <v>217</v>
      </c>
      <c r="D35" s="68">
        <v>0</v>
      </c>
      <c r="E35" s="50">
        <f>+registry!C86</f>
        <v>0</v>
      </c>
      <c r="F35" s="50">
        <f>+registry!D86</f>
        <v>0</v>
      </c>
      <c r="G35" s="50">
        <f>+registry!E86</f>
        <v>3030197.3462850195</v>
      </c>
      <c r="H35" s="50">
        <f>+registry!F86</f>
        <v>1196383.1124405398</v>
      </c>
      <c r="I35" s="50">
        <f>+registry!G86</f>
        <v>2765367.695302607</v>
      </c>
      <c r="J35" s="50">
        <f>+registry!H86</f>
        <v>5439599.0074015707</v>
      </c>
      <c r="K35" s="50">
        <f>+registry!I86</f>
        <v>8430241.9087618943</v>
      </c>
      <c r="L35" s="50">
        <f>+registry!J86</f>
        <v>13867402.790866219</v>
      </c>
      <c r="M35" s="50">
        <f>+registry!K86</f>
        <v>25348316.660706729</v>
      </c>
      <c r="N35" s="50">
        <f>+registry!L86</f>
        <v>42126192.708648942</v>
      </c>
      <c r="O35" s="50">
        <f>+registry!M86</f>
        <v>61737070.008582376</v>
      </c>
      <c r="P35" s="50">
        <f>+registry!N86</f>
        <v>81022022.790993407</v>
      </c>
    </row>
    <row r="36" spans="1:16">
      <c r="A36" s="46" t="s">
        <v>218</v>
      </c>
      <c r="B36" s="46" t="s">
        <v>128</v>
      </c>
      <c r="C36" s="83" t="s">
        <v>192</v>
      </c>
      <c r="D36" s="68">
        <v>51080209.386136912</v>
      </c>
      <c r="E36" s="50">
        <f>+registry!C62</f>
        <v>49890886.391148508</v>
      </c>
      <c r="F36" s="50">
        <f>+registry!D62</f>
        <v>50888704.118971482</v>
      </c>
      <c r="G36" s="50">
        <f>+registry!E62</f>
        <v>51906478.20135092</v>
      </c>
      <c r="H36" s="50">
        <f>+registry!F62</f>
        <v>54144868.927339561</v>
      </c>
      <c r="I36" s="50">
        <f>+registry!G62</f>
        <v>56742197.629923344</v>
      </c>
      <c r="J36" s="50">
        <f>+registry!H62</f>
        <v>58896375.909288213</v>
      </c>
      <c r="K36" s="50">
        <f>+registry!I62</f>
        <v>60074303.427473977</v>
      </c>
      <c r="L36" s="50">
        <f>+registry!J62</f>
        <v>64275789.496023461</v>
      </c>
      <c r="M36" s="50">
        <f>+registry!K62</f>
        <v>69417852.655705363</v>
      </c>
      <c r="N36" s="50">
        <f>+registry!L62</f>
        <v>74971280.868161783</v>
      </c>
      <c r="O36" s="50">
        <f>+registry!M62</f>
        <v>80968983.337614715</v>
      </c>
      <c r="P36" s="50">
        <f>+registry!N62</f>
        <v>87446502.004623935</v>
      </c>
    </row>
    <row r="37" spans="1:16">
      <c r="A37" s="46" t="s">
        <v>219</v>
      </c>
      <c r="B37" s="46" t="s">
        <v>143</v>
      </c>
      <c r="C37" s="83" t="s">
        <v>220</v>
      </c>
      <c r="D37" s="68">
        <v>-6000000</v>
      </c>
      <c r="E37" s="50">
        <f>-registry!C94</f>
        <v>6050000</v>
      </c>
      <c r="F37" s="50">
        <f>-registry!D94</f>
        <v>0</v>
      </c>
      <c r="G37" s="50">
        <f>-registry!E94</f>
        <v>0</v>
      </c>
      <c r="H37" s="50">
        <f>-registry!F94</f>
        <v>0</v>
      </c>
      <c r="I37" s="50">
        <f>-registry!G94</f>
        <v>0</v>
      </c>
      <c r="J37" s="50">
        <f>-registry!H94</f>
        <v>0</v>
      </c>
      <c r="K37" s="50">
        <f>-registry!I94</f>
        <v>0</v>
      </c>
      <c r="L37" s="50">
        <f>-registry!J94</f>
        <v>0</v>
      </c>
      <c r="M37" s="50">
        <f>-registry!K94</f>
        <v>0</v>
      </c>
      <c r="N37" s="50">
        <f>-registry!L94</f>
        <v>0</v>
      </c>
      <c r="O37" s="50">
        <f>-registry!M94</f>
        <v>0</v>
      </c>
      <c r="P37" s="50">
        <f>-registry!N94</f>
        <v>0</v>
      </c>
    </row>
    <row r="38" spans="1:16">
      <c r="A38" s="43"/>
      <c r="B38" s="43"/>
      <c r="C38" s="83" t="s">
        <v>163</v>
      </c>
      <c r="D38" s="68">
        <v>74692800.798804909</v>
      </c>
      <c r="E38" s="50">
        <f t="shared" ref="E38:P38" si="12">+E33-E35-E36-E37</f>
        <v>77432722.976237357</v>
      </c>
      <c r="F38" s="50">
        <f t="shared" si="12"/>
        <v>84774230.739769444</v>
      </c>
      <c r="G38" s="50">
        <f t="shared" si="12"/>
        <v>103721031.15603554</v>
      </c>
      <c r="H38" s="50">
        <f t="shared" si="12"/>
        <v>98076985.424335748</v>
      </c>
      <c r="I38" s="50">
        <f t="shared" si="12"/>
        <v>98393485.2327815</v>
      </c>
      <c r="J38" s="50">
        <f t="shared" si="12"/>
        <v>101205736.53302898</v>
      </c>
      <c r="K38" s="50">
        <f t="shared" si="12"/>
        <v>105581860.11736955</v>
      </c>
      <c r="L38" s="50">
        <f t="shared" si="12"/>
        <v>111477958.54415666</v>
      </c>
      <c r="M38" s="50">
        <f t="shared" si="12"/>
        <v>127657592.57132143</v>
      </c>
      <c r="N38" s="50">
        <f t="shared" si="12"/>
        <v>153263077.01932913</v>
      </c>
      <c r="O38" s="50">
        <f t="shared" si="12"/>
        <v>183685575.24975255</v>
      </c>
      <c r="P38" s="50">
        <f t="shared" si="12"/>
        <v>213022968.89293528</v>
      </c>
    </row>
    <row r="39" spans="1:16">
      <c r="A39" s="43"/>
      <c r="B39" s="43"/>
      <c r="C39" s="46" t="s">
        <v>221</v>
      </c>
      <c r="D39" s="68">
        <v>119773010.1849418</v>
      </c>
      <c r="E39" s="136">
        <f t="shared" ref="E39:P39" si="13">SUM(E35:E38)</f>
        <v>133373609.36738586</v>
      </c>
      <c r="F39" s="136">
        <f t="shared" si="13"/>
        <v>135662934.85874093</v>
      </c>
      <c r="G39" s="136">
        <f t="shared" si="13"/>
        <v>158657706.70367149</v>
      </c>
      <c r="H39" s="136">
        <f t="shared" si="13"/>
        <v>153418237.46411586</v>
      </c>
      <c r="I39" s="136">
        <f t="shared" si="13"/>
        <v>157901050.55800745</v>
      </c>
      <c r="J39" s="136">
        <f t="shared" si="13"/>
        <v>165541711.44971877</v>
      </c>
      <c r="K39" s="136">
        <f t="shared" si="13"/>
        <v>174086405.45360541</v>
      </c>
      <c r="L39" s="136">
        <f t="shared" si="13"/>
        <v>189621150.83104634</v>
      </c>
      <c r="M39" s="136">
        <f t="shared" si="13"/>
        <v>222423761.88773352</v>
      </c>
      <c r="N39" s="136">
        <f t="shared" si="13"/>
        <v>270360550.59613985</v>
      </c>
      <c r="O39" s="136">
        <f t="shared" si="13"/>
        <v>326391628.59594965</v>
      </c>
      <c r="P39" s="136">
        <f t="shared" si="13"/>
        <v>381491493.68855262</v>
      </c>
    </row>
    <row r="40" spans="1:16">
      <c r="A40" s="46" t="s">
        <v>191</v>
      </c>
      <c r="B40" s="46" t="s">
        <v>114</v>
      </c>
      <c r="C40" s="46" t="s">
        <v>222</v>
      </c>
      <c r="D40" s="68">
        <v>0</v>
      </c>
      <c r="E40" s="50">
        <f>+registry!C16</f>
        <v>0</v>
      </c>
      <c r="F40" s="50">
        <f>+registry!D16</f>
        <v>0</v>
      </c>
      <c r="G40" s="50">
        <f>+registry!E16</f>
        <v>0</v>
      </c>
      <c r="H40" s="50">
        <f>+registry!F16</f>
        <v>-4196895.6973556336</v>
      </c>
      <c r="I40" s="50">
        <f>+registry!G16</f>
        <v>-4334704.6265079249</v>
      </c>
      <c r="J40" s="50">
        <f>+registry!H16</f>
        <v>-4478646.1012967657</v>
      </c>
      <c r="K40" s="50">
        <f>+registry!I16</f>
        <v>-4629028.8430579603</v>
      </c>
      <c r="L40" s="50">
        <f>+registry!J16</f>
        <v>-4784461.0949854217</v>
      </c>
      <c r="M40" s="50">
        <f>+registry!K16</f>
        <v>-3951666.4742077221</v>
      </c>
      <c r="N40" s="50">
        <f>+registry!L16</f>
        <v>-975331.80578404618</v>
      </c>
      <c r="O40" s="50">
        <f>+registry!M16</f>
        <v>-771958.81360219419</v>
      </c>
      <c r="P40" s="50">
        <f>+registry!N16</f>
        <v>0</v>
      </c>
    </row>
    <row r="41" spans="1:16">
      <c r="A41" s="46" t="s">
        <v>191</v>
      </c>
      <c r="B41" s="46" t="s">
        <v>115</v>
      </c>
      <c r="C41" s="46" t="s">
        <v>223</v>
      </c>
      <c r="D41" s="68">
        <v>0</v>
      </c>
      <c r="E41" s="50">
        <f>+registry!C17</f>
        <v>0</v>
      </c>
      <c r="F41" s="50">
        <f>+registry!D17</f>
        <v>0</v>
      </c>
      <c r="G41" s="50">
        <f>+registry!E17</f>
        <v>0</v>
      </c>
      <c r="H41" s="50">
        <f>+registry!F17</f>
        <v>-7753407.414941581</v>
      </c>
      <c r="I41" s="50">
        <f>+registry!G17</f>
        <v>-6038275.3593691019</v>
      </c>
      <c r="J41" s="50">
        <f>+registry!H17</f>
        <v>-4849926.1457863338</v>
      </c>
      <c r="K41" s="50">
        <f>+registry!I17</f>
        <v>-3974250.1732844282</v>
      </c>
      <c r="L41" s="50">
        <f>+registry!J17</f>
        <v>-3116853.7677923306</v>
      </c>
      <c r="M41" s="50">
        <f>+registry!K17</f>
        <v>0</v>
      </c>
      <c r="N41" s="50">
        <f>+registry!L17</f>
        <v>0</v>
      </c>
      <c r="O41" s="50">
        <f>+registry!M17</f>
        <v>0</v>
      </c>
      <c r="P41" s="50">
        <f>+registry!N17</f>
        <v>0</v>
      </c>
    </row>
    <row r="42" spans="1:16">
      <c r="A42" s="46" t="s">
        <v>204</v>
      </c>
      <c r="B42" s="46" t="s">
        <v>121</v>
      </c>
      <c r="C42" s="46" t="s">
        <v>224</v>
      </c>
      <c r="D42" s="68">
        <v>10000000</v>
      </c>
      <c r="E42" s="50">
        <f>+registry!C50</f>
        <v>10000000</v>
      </c>
      <c r="F42" s="50">
        <f>+registry!D50</f>
        <v>10000000</v>
      </c>
      <c r="G42" s="50">
        <f>+registry!E50</f>
        <v>10000000</v>
      </c>
      <c r="H42" s="50">
        <f>+registry!F50</f>
        <v>10000000</v>
      </c>
      <c r="I42" s="50">
        <f>+registry!G50</f>
        <v>10000000</v>
      </c>
      <c r="J42" s="50">
        <f>+registry!H50</f>
        <v>12000000</v>
      </c>
      <c r="K42" s="50">
        <f>+registry!I50</f>
        <v>17500000</v>
      </c>
      <c r="L42" s="50">
        <f>+registry!J50</f>
        <v>20000000</v>
      </c>
      <c r="M42" s="50">
        <f>+registry!K50</f>
        <v>27500000.000000004</v>
      </c>
      <c r="N42" s="50">
        <f>+registry!L50</f>
        <v>42000000</v>
      </c>
      <c r="O42" s="50">
        <f>+registry!M50</f>
        <v>51000000</v>
      </c>
      <c r="P42" s="50">
        <f>+registry!N50</f>
        <v>70000000</v>
      </c>
    </row>
    <row r="43" spans="1:16">
      <c r="A43" s="46" t="s">
        <v>204</v>
      </c>
      <c r="B43" s="46" t="s">
        <v>122</v>
      </c>
      <c r="C43" s="46" t="s">
        <v>225</v>
      </c>
      <c r="D43" s="68">
        <v>0</v>
      </c>
      <c r="E43" s="50">
        <f>+registry!C51</f>
        <v>0</v>
      </c>
      <c r="F43" s="50">
        <f>+registry!D51</f>
        <v>0</v>
      </c>
      <c r="G43" s="50">
        <f>+registry!E51</f>
        <v>0</v>
      </c>
      <c r="H43" s="50">
        <f>+registry!F51</f>
        <v>0</v>
      </c>
      <c r="I43" s="50">
        <f>+registry!G51</f>
        <v>0</v>
      </c>
      <c r="J43" s="50">
        <f>+registry!H51</f>
        <v>0</v>
      </c>
      <c r="K43" s="50">
        <f>+registry!I51</f>
        <v>0</v>
      </c>
      <c r="L43" s="50">
        <f>+registry!J51</f>
        <v>0</v>
      </c>
      <c r="M43" s="50">
        <f>+registry!K51</f>
        <v>0</v>
      </c>
      <c r="N43" s="50">
        <f>+registry!L51</f>
        <v>25000000</v>
      </c>
      <c r="O43" s="50">
        <f>+registry!M51</f>
        <v>50000000</v>
      </c>
      <c r="P43" s="50">
        <f>+registry!N51</f>
        <v>100000000</v>
      </c>
    </row>
    <row r="44" spans="1:16">
      <c r="A44" s="43"/>
      <c r="B44" s="43"/>
      <c r="C44" s="46" t="s">
        <v>226</v>
      </c>
      <c r="D44" s="68">
        <v>129773010.1849418</v>
      </c>
      <c r="E44" s="136">
        <f t="shared" ref="E44:P44" si="14">SUM(E39:E43)</f>
        <v>143373609.36738586</v>
      </c>
      <c r="F44" s="136">
        <f t="shared" si="14"/>
        <v>145662934.85874093</v>
      </c>
      <c r="G44" s="136">
        <f t="shared" si="14"/>
        <v>168657706.70367149</v>
      </c>
      <c r="H44" s="136">
        <f t="shared" si="14"/>
        <v>151467934.35181865</v>
      </c>
      <c r="I44" s="136">
        <f t="shared" si="14"/>
        <v>157528070.57213041</v>
      </c>
      <c r="J44" s="136">
        <f t="shared" si="14"/>
        <v>168213139.20263568</v>
      </c>
      <c r="K44" s="136">
        <f t="shared" si="14"/>
        <v>182983126.43726301</v>
      </c>
      <c r="L44" s="136">
        <f t="shared" si="14"/>
        <v>201719835.96826857</v>
      </c>
      <c r="M44" s="136">
        <f t="shared" si="14"/>
        <v>245972095.41352579</v>
      </c>
      <c r="N44" s="136">
        <f t="shared" si="14"/>
        <v>336385218.7903558</v>
      </c>
      <c r="O44" s="136">
        <f t="shared" si="14"/>
        <v>426619669.78234744</v>
      </c>
      <c r="P44" s="136">
        <f t="shared" si="14"/>
        <v>551491493.68855262</v>
      </c>
    </row>
    <row r="45" spans="1:16">
      <c r="A45" s="43"/>
      <c r="B45" s="43"/>
      <c r="C45" s="46" t="s">
        <v>227</v>
      </c>
      <c r="D45" s="68">
        <v>0</v>
      </c>
      <c r="E45" s="50">
        <f>+registry!C87</f>
        <v>0</v>
      </c>
      <c r="F45" s="50">
        <f>+registry!D87</f>
        <v>0</v>
      </c>
      <c r="G45" s="50">
        <f>+registry!E87</f>
        <v>3499999.9999999995</v>
      </c>
      <c r="H45" s="50">
        <f>+registry!F87</f>
        <v>-682606.08930401201</v>
      </c>
      <c r="I45" s="50">
        <f>+registry!G87</f>
        <v>-130542.99505696306</v>
      </c>
      <c r="J45" s="50">
        <f>+registry!H87</f>
        <v>934999.71352091525</v>
      </c>
      <c r="K45" s="50">
        <f>+registry!I87</f>
        <v>3113852.3442801591</v>
      </c>
      <c r="L45" s="50">
        <f>+registry!J87</f>
        <v>4234539.7980277799</v>
      </c>
      <c r="M45" s="50">
        <f>+registry!K87</f>
        <v>8241916.7340272963</v>
      </c>
      <c r="N45" s="50">
        <f>+registry!L87</f>
        <v>23108633.867975585</v>
      </c>
      <c r="O45" s="50">
        <f>+registry!M87</f>
        <v>35079814.415239222</v>
      </c>
      <c r="P45" s="50">
        <f>+registry!N87</f>
        <v>59500000.000000015</v>
      </c>
    </row>
    <row r="46" spans="1:16">
      <c r="A46" s="43"/>
      <c r="B46" s="43"/>
      <c r="C46" s="46" t="s">
        <v>228</v>
      </c>
      <c r="D46" s="68">
        <v>17817146.175523531</v>
      </c>
      <c r="E46" s="137">
        <f>+E36*(1-((1+lgh_pref_equity!$C$49)/(1+lgh_inputs!$D$6))^(($P$2-E2)/365))</f>
        <v>9423344.8023181409</v>
      </c>
      <c r="F46" s="137">
        <f>+F36*(1-((1+lgh_pref_equity!$C$49)/(1+lgh_inputs!$D$6))^(($P$2-F2)/365))</f>
        <v>9235852.2077021915</v>
      </c>
      <c r="G46" s="137">
        <f>+G36*(1-((1+lgh_pref_equity!$C$49)/(1+lgh_inputs!$D$6))^(($P$2-G2)/365))</f>
        <v>9029325.8044385687</v>
      </c>
      <c r="H46" s="137">
        <f>+H36*(1-((1+lgh_pref_equity!$C$49)/(1+lgh_inputs!$D$6))^(($P$2-H2)/365))</f>
        <v>9006828.7425699625</v>
      </c>
      <c r="I46" s="137">
        <f>+I36*(1-((1+lgh_pref_equity!$C$49)/(1+lgh_inputs!$D$6))^(($P$2-I2)/365))</f>
        <v>9012792.5675587952</v>
      </c>
      <c r="J46" s="137">
        <f>+J36*(1-((1+lgh_pref_equity!$C$49)/(1+lgh_inputs!$D$6))^(($P$2-J2)/365))</f>
        <v>8903722.2915154323</v>
      </c>
      <c r="K46" s="137">
        <f>+K36*(1-((1+lgh_pref_equity!$C$49)/(1+lgh_inputs!$D$6))^(($P$2-K2)/365))</f>
        <v>8612217.8910127003</v>
      </c>
      <c r="L46" s="137">
        <f>+L36*(1-((1+lgh_pref_equity!$C$49)/(1+lgh_inputs!$D$6))^(($P$2-L2)/365))</f>
        <v>8707493.5341523308</v>
      </c>
      <c r="M46" s="137">
        <f>+M36*(1-((1+lgh_pref_equity!$C$49)/(1+lgh_inputs!$D$6))^(($P$2-M2)/365))</f>
        <v>7181361.1784096779</v>
      </c>
      <c r="N46" s="137">
        <f>+N36*(1-((1+lgh_pref_equity!$C$49)/(1+lgh_inputs!$D$6))^(($P$2-N2)/365))</f>
        <v>5259464.856822568</v>
      </c>
      <c r="O46" s="137">
        <f>+O36*(1-((1+lgh_pref_equity!$C$49)/(1+lgh_inputs!$D$6))^(($P$2-O2)/365))</f>
        <v>2891749.4049148099</v>
      </c>
      <c r="P46" s="137">
        <f>+P36*(1-((1+lgh_pref_equity!$C$49)/(1+lgh_inputs!$D$6))^(($P$2-P2)/365))</f>
        <v>0</v>
      </c>
    </row>
    <row r="47" spans="1:16">
      <c r="A47" s="43"/>
      <c r="B47" s="43"/>
      <c r="C47" s="46" t="s">
        <v>229</v>
      </c>
      <c r="D47" s="68">
        <v>43497765.475407854</v>
      </c>
      <c r="E47" s="50">
        <f>+lgh_pref_equity!C184</f>
        <v>49462048.713035241</v>
      </c>
      <c r="F47" s="50">
        <f>+lgh_pref_equity!D184</f>
        <v>13264821.202906832</v>
      </c>
      <c r="G47" s="50">
        <f>+lgh_pref_equity!E184</f>
        <v>15463715.159400947</v>
      </c>
      <c r="H47" s="50">
        <f>+lgh_pref_equity!F184</f>
        <v>14953045.608010937</v>
      </c>
      <c r="I47" s="50">
        <f>+lgh_pref_equity!G184</f>
        <v>15808404.77599936</v>
      </c>
      <c r="J47" s="50">
        <f>+lgh_pref_equity!H184</f>
        <v>16573356.36881949</v>
      </c>
      <c r="K47" s="50">
        <f>+lgh_pref_equity!I184</f>
        <v>17428816.044503361</v>
      </c>
      <c r="L47" s="50">
        <f>+lgh_pref_equity!J184</f>
        <v>18984090.959716503</v>
      </c>
      <c r="M47" s="50">
        <f>+lgh_pref_equity!K184</f>
        <v>22268153.677863412</v>
      </c>
      <c r="N47" s="50">
        <f>+lgh_pref_equity!L184</f>
        <v>27067388.115418028</v>
      </c>
      <c r="O47" s="50">
        <f>+lgh_pref_equity!M184</f>
        <v>32676989.558387451</v>
      </c>
      <c r="P47" s="50">
        <f>+lgh_pref_equity!N184</f>
        <v>38193361.78902588</v>
      </c>
    </row>
    <row r="48" spans="1:16">
      <c r="A48" s="43"/>
      <c r="B48" s="43"/>
      <c r="C48" s="46" t="s">
        <v>220</v>
      </c>
      <c r="D48" s="68">
        <v>-6000000</v>
      </c>
      <c r="E48" s="50">
        <f t="shared" ref="E48:P48" si="15">+E37</f>
        <v>6050000</v>
      </c>
      <c r="F48" s="50">
        <f t="shared" si="15"/>
        <v>0</v>
      </c>
      <c r="G48" s="50">
        <f t="shared" si="15"/>
        <v>0</v>
      </c>
      <c r="H48" s="50">
        <f t="shared" si="15"/>
        <v>0</v>
      </c>
      <c r="I48" s="50">
        <f t="shared" si="15"/>
        <v>0</v>
      </c>
      <c r="J48" s="50">
        <f t="shared" si="15"/>
        <v>0</v>
      </c>
      <c r="K48" s="50">
        <f t="shared" si="15"/>
        <v>0</v>
      </c>
      <c r="L48" s="50">
        <f t="shared" si="15"/>
        <v>0</v>
      </c>
      <c r="M48" s="50">
        <f t="shared" si="15"/>
        <v>0</v>
      </c>
      <c r="N48" s="50">
        <f t="shared" si="15"/>
        <v>0</v>
      </c>
      <c r="O48" s="50">
        <f t="shared" si="15"/>
        <v>0</v>
      </c>
      <c r="P48" s="50">
        <f t="shared" si="15"/>
        <v>0</v>
      </c>
    </row>
    <row r="49" spans="1:16">
      <c r="A49" s="43"/>
      <c r="B49" s="43"/>
      <c r="C49" s="46" t="s">
        <v>230</v>
      </c>
      <c r="D49" s="119">
        <v>33263063.210613381</v>
      </c>
      <c r="E49" s="55">
        <f t="shared" ref="E49:P49" si="16">+E36-E46</f>
        <v>40467541.588830367</v>
      </c>
      <c r="F49" s="55">
        <f t="shared" si="16"/>
        <v>41652851.911269292</v>
      </c>
      <c r="G49" s="55">
        <f t="shared" si="16"/>
        <v>42877152.396912351</v>
      </c>
      <c r="H49" s="55">
        <f t="shared" si="16"/>
        <v>45138040.184769601</v>
      </c>
      <c r="I49" s="55">
        <f t="shared" si="16"/>
        <v>47729405.062364548</v>
      </c>
      <c r="J49" s="55">
        <f t="shared" si="16"/>
        <v>49992653.61777278</v>
      </c>
      <c r="K49" s="55">
        <f t="shared" si="16"/>
        <v>51462085.536461279</v>
      </c>
      <c r="L49" s="55">
        <f t="shared" si="16"/>
        <v>55568295.961871132</v>
      </c>
      <c r="M49" s="55">
        <f t="shared" si="16"/>
        <v>62236491.477295682</v>
      </c>
      <c r="N49" s="55">
        <f t="shared" si="16"/>
        <v>69711816.011339217</v>
      </c>
      <c r="O49" s="55">
        <f t="shared" si="16"/>
        <v>78077233.932699904</v>
      </c>
      <c r="P49" s="55">
        <f t="shared" si="16"/>
        <v>87446502.004623935</v>
      </c>
    </row>
    <row r="50" spans="1:16">
      <c r="A50" s="43"/>
      <c r="B50" s="43"/>
      <c r="C50" s="46" t="s">
        <v>231</v>
      </c>
      <c r="D50" s="119">
        <v>0</v>
      </c>
      <c r="E50" s="55">
        <f t="shared" ref="E50:P50" si="17">+E35+E45</f>
        <v>0</v>
      </c>
      <c r="F50" s="55">
        <f t="shared" si="17"/>
        <v>0</v>
      </c>
      <c r="G50" s="55">
        <f t="shared" si="17"/>
        <v>6530197.3462850191</v>
      </c>
      <c r="H50" s="55">
        <f t="shared" si="17"/>
        <v>513777.02313652774</v>
      </c>
      <c r="I50" s="55">
        <f t="shared" si="17"/>
        <v>2634824.700245644</v>
      </c>
      <c r="J50" s="55">
        <f t="shared" si="17"/>
        <v>6374598.7209224859</v>
      </c>
      <c r="K50" s="55">
        <f t="shared" si="17"/>
        <v>11544094.253042053</v>
      </c>
      <c r="L50" s="55">
        <f t="shared" si="17"/>
        <v>18101942.588893998</v>
      </c>
      <c r="M50" s="55">
        <f t="shared" si="17"/>
        <v>33590233.394734025</v>
      </c>
      <c r="N50" s="55">
        <f t="shared" si="17"/>
        <v>65234826.576624528</v>
      </c>
      <c r="O50" s="55">
        <f t="shared" si="17"/>
        <v>96816884.423821598</v>
      </c>
      <c r="P50" s="55">
        <f t="shared" si="17"/>
        <v>140522022.79099342</v>
      </c>
    </row>
    <row r="51" spans="1:16">
      <c r="A51" s="43"/>
      <c r="B51" s="43"/>
      <c r="C51" s="46" t="s">
        <v>232</v>
      </c>
      <c r="D51" s="68">
        <v>102509946.9743284</v>
      </c>
      <c r="E51" s="50">
        <f t="shared" ref="E51:P51" si="18">E38+SUM(E40:E43)+E46-E45</f>
        <v>96856067.778555498</v>
      </c>
      <c r="F51" s="50">
        <f t="shared" si="18"/>
        <v>104010082.94747163</v>
      </c>
      <c r="G51" s="50">
        <f t="shared" si="18"/>
        <v>119250356.9604741</v>
      </c>
      <c r="H51" s="50">
        <f t="shared" si="18"/>
        <v>105816117.14391252</v>
      </c>
      <c r="I51" s="50">
        <f t="shared" si="18"/>
        <v>107163840.80952023</v>
      </c>
      <c r="J51" s="50">
        <f t="shared" si="18"/>
        <v>111845886.86394039</v>
      </c>
      <c r="K51" s="50">
        <f t="shared" si="18"/>
        <v>119976946.64775971</v>
      </c>
      <c r="L51" s="50">
        <f t="shared" si="18"/>
        <v>128049597.41750345</v>
      </c>
      <c r="M51" s="50">
        <f t="shared" si="18"/>
        <v>150145370.54149607</v>
      </c>
      <c r="N51" s="50">
        <f t="shared" si="18"/>
        <v>201438576.20239207</v>
      </c>
      <c r="O51" s="50">
        <f t="shared" si="18"/>
        <v>251725551.42582595</v>
      </c>
      <c r="P51" s="50">
        <f t="shared" si="18"/>
        <v>323522968.89293528</v>
      </c>
    </row>
    <row r="52" spans="1:16">
      <c r="A52" s="43"/>
      <c r="B52" s="43"/>
      <c r="C52" s="46" t="s">
        <v>233</v>
      </c>
      <c r="D52" s="68">
        <v>129773010.1849418</v>
      </c>
      <c r="E52" s="136">
        <f t="shared" ref="E52:P52" si="19">SUM(E48:E51)</f>
        <v>143373609.36738586</v>
      </c>
      <c r="F52" s="136">
        <f t="shared" si="19"/>
        <v>145662934.85874093</v>
      </c>
      <c r="G52" s="136">
        <f t="shared" si="19"/>
        <v>168657706.70367146</v>
      </c>
      <c r="H52" s="136">
        <f t="shared" si="19"/>
        <v>151467934.35181865</v>
      </c>
      <c r="I52" s="136">
        <f t="shared" si="19"/>
        <v>157528070.57213041</v>
      </c>
      <c r="J52" s="136">
        <f t="shared" si="19"/>
        <v>168213139.20263565</v>
      </c>
      <c r="K52" s="136">
        <f t="shared" si="19"/>
        <v>182983126.43726304</v>
      </c>
      <c r="L52" s="136">
        <f t="shared" si="19"/>
        <v>201719835.96826857</v>
      </c>
      <c r="M52" s="136">
        <f t="shared" si="19"/>
        <v>245972095.41352576</v>
      </c>
      <c r="N52" s="136">
        <f t="shared" si="19"/>
        <v>336385218.7903558</v>
      </c>
      <c r="O52" s="136">
        <f t="shared" si="19"/>
        <v>426619669.78234744</v>
      </c>
      <c r="P52" s="136">
        <f t="shared" si="19"/>
        <v>551491493.68855262</v>
      </c>
    </row>
    <row r="53" spans="1:16">
      <c r="A53" s="43"/>
      <c r="B53" s="43"/>
      <c r="C53" s="46" t="s">
        <v>234</v>
      </c>
      <c r="D53" s="68">
        <v>129773010.1849418</v>
      </c>
      <c r="E53" s="50">
        <f>+E52-E50</f>
        <v>143373609.36738586</v>
      </c>
      <c r="F53" s="50">
        <f>+F52-F50</f>
        <v>145662934.85874093</v>
      </c>
      <c r="G53" s="50">
        <f>+G52-G50</f>
        <v>162127509.35738644</v>
      </c>
      <c r="H53" s="50">
        <f>+H52-H50</f>
        <v>150954157.32868212</v>
      </c>
      <c r="I53" s="50">
        <f t="shared" ref="H53:P53" si="20">+I52-I50</f>
        <v>154893245.87188476</v>
      </c>
      <c r="J53" s="50">
        <f t="shared" si="20"/>
        <v>161838540.48171315</v>
      </c>
      <c r="K53" s="50">
        <f t="shared" si="20"/>
        <v>171439032.184221</v>
      </c>
      <c r="L53" s="50">
        <f t="shared" si="20"/>
        <v>183617893.37937456</v>
      </c>
      <c r="M53" s="50">
        <f t="shared" si="20"/>
        <v>212381862.01879174</v>
      </c>
      <c r="N53" s="50">
        <f t="shared" si="20"/>
        <v>271150392.21373129</v>
      </c>
      <c r="O53" s="50">
        <f t="shared" si="20"/>
        <v>329802785.35852587</v>
      </c>
      <c r="P53" s="50">
        <f t="shared" si="20"/>
        <v>410969470.89755917</v>
      </c>
    </row>
    <row r="54" spans="1:16">
      <c r="A54" s="43"/>
      <c r="B54" s="43"/>
      <c r="C54" s="72"/>
      <c r="D54" s="43"/>
      <c r="E54" s="43"/>
      <c r="F54" s="43"/>
      <c r="G54" s="43"/>
      <c r="H54" s="43"/>
      <c r="I54" s="55"/>
      <c r="J54" s="43"/>
      <c r="K54" s="43"/>
      <c r="L54" s="75"/>
      <c r="M54" s="75"/>
      <c r="N54" s="75"/>
      <c r="O54" s="75"/>
      <c r="P54" s="75"/>
    </row>
    <row r="55" spans="1:16">
      <c r="A55" s="43"/>
      <c r="B55" s="43"/>
      <c r="C55" s="43"/>
      <c r="D55" s="43"/>
      <c r="E55" s="43"/>
      <c r="F55" s="43"/>
      <c r="G55" s="43"/>
      <c r="H55" s="43"/>
      <c r="I55" s="43"/>
      <c r="J55" s="43"/>
      <c r="K55" s="43"/>
      <c r="L55" s="43"/>
      <c r="M55" s="43"/>
      <c r="N55" s="43"/>
      <c r="O55" s="43"/>
      <c r="P55" s="43"/>
    </row>
    <row r="56" spans="1:16">
      <c r="A56" s="43"/>
      <c r="B56" s="43"/>
      <c r="C56" s="43"/>
      <c r="D56" s="43"/>
      <c r="E56" s="43"/>
      <c r="F56" s="43"/>
      <c r="G56" s="43"/>
      <c r="H56" s="43"/>
      <c r="I56" s="43"/>
      <c r="J56" s="43"/>
      <c r="K56" s="43"/>
      <c r="L56" s="43"/>
      <c r="M56" s="43"/>
      <c r="N56" s="43"/>
      <c r="O56" s="43"/>
      <c r="P56" s="43"/>
    </row>
    <row r="57" spans="1:16">
      <c r="A57" s="43"/>
      <c r="B57" s="43"/>
      <c r="C57" s="43"/>
      <c r="D57" s="43"/>
      <c r="E57" s="43"/>
      <c r="F57" s="43"/>
      <c r="G57" s="43"/>
      <c r="H57" s="43"/>
      <c r="I57" s="43"/>
      <c r="J57" s="43"/>
      <c r="K57" s="43"/>
      <c r="L57" s="43"/>
      <c r="M57" s="43"/>
      <c r="N57" s="43"/>
      <c r="O57" s="43"/>
      <c r="P57" s="43"/>
    </row>
    <row r="58" spans="1:16">
      <c r="A58" s="43"/>
      <c r="B58" s="43"/>
      <c r="C58" s="43"/>
      <c r="D58" s="43"/>
      <c r="E58" s="43"/>
      <c r="F58" s="43"/>
      <c r="G58" s="43"/>
      <c r="H58" s="43"/>
      <c r="I58" s="43"/>
      <c r="J58" s="43"/>
      <c r="K58" s="43"/>
      <c r="L58" s="43"/>
      <c r="M58" s="43"/>
      <c r="N58" s="43"/>
      <c r="O58" s="43"/>
      <c r="P58" s="43"/>
    </row>
    <row r="59" spans="1:16">
      <c r="A59" s="43"/>
      <c r="B59" s="43"/>
      <c r="C59" s="43"/>
      <c r="D59" s="43"/>
      <c r="E59" s="43"/>
      <c r="F59" s="43"/>
      <c r="G59" s="43"/>
      <c r="H59" s="43"/>
      <c r="I59" s="43"/>
      <c r="J59" s="43"/>
      <c r="K59" s="43"/>
      <c r="L59" s="43"/>
      <c r="M59" s="43"/>
      <c r="N59" s="43"/>
      <c r="O59" s="43"/>
      <c r="P59" s="43"/>
    </row>
    <row r="60" spans="1:16">
      <c r="A60" s="43"/>
      <c r="B60" s="43"/>
      <c r="C60" s="43"/>
      <c r="D60" s="43"/>
      <c r="E60" s="43"/>
      <c r="F60" s="43"/>
      <c r="G60" s="43"/>
      <c r="H60" s="43"/>
      <c r="I60" s="43"/>
      <c r="J60" s="43"/>
      <c r="K60" s="43"/>
      <c r="L60" s="43"/>
      <c r="M60" s="43"/>
      <c r="N60" s="43"/>
      <c r="O60" s="43"/>
      <c r="P60" s="43"/>
    </row>
    <row r="61" spans="1:16">
      <c r="A61" s="43"/>
      <c r="B61" s="43"/>
      <c r="C61" s="43"/>
      <c r="D61" s="43"/>
      <c r="E61" s="43"/>
      <c r="F61" s="43"/>
      <c r="G61" s="43"/>
      <c r="H61" s="43"/>
      <c r="I61" s="43"/>
      <c r="J61" s="43"/>
      <c r="K61" s="43"/>
      <c r="L61" s="43"/>
      <c r="M61" s="43"/>
      <c r="N61" s="43"/>
      <c r="O61" s="43"/>
      <c r="P61" s="43"/>
    </row>
    <row r="62" spans="1:16">
      <c r="A62" s="43"/>
      <c r="B62" s="43"/>
      <c r="C62" s="43"/>
      <c r="D62" s="43"/>
      <c r="E62" s="43"/>
      <c r="F62" s="43"/>
      <c r="G62" s="43"/>
      <c r="H62" s="43"/>
      <c r="I62" s="43"/>
      <c r="J62" s="43"/>
      <c r="K62" s="43"/>
      <c r="L62" s="43"/>
      <c r="M62" s="43"/>
      <c r="N62" s="43"/>
      <c r="O62" s="43"/>
      <c r="P62" s="43"/>
    </row>
    <row r="63" spans="1:16">
      <c r="A63" s="43"/>
      <c r="B63" s="43"/>
      <c r="C63" s="43"/>
      <c r="D63" s="43"/>
      <c r="E63" s="43"/>
      <c r="F63" s="43"/>
      <c r="G63" s="43"/>
      <c r="H63" s="43"/>
      <c r="I63" s="43"/>
      <c r="J63" s="43"/>
      <c r="K63" s="43"/>
      <c r="L63" s="43"/>
      <c r="M63" s="43"/>
      <c r="N63" s="43"/>
      <c r="O63" s="43"/>
      <c r="P63" s="43"/>
    </row>
    <row r="64" spans="1:16">
      <c r="A64" s="43"/>
      <c r="B64" s="43"/>
      <c r="C64" s="43"/>
      <c r="D64" s="43"/>
      <c r="E64" s="43"/>
      <c r="F64" s="43"/>
      <c r="G64" s="43"/>
      <c r="H64" s="43"/>
      <c r="I64" s="43"/>
      <c r="J64" s="43"/>
      <c r="K64" s="43"/>
      <c r="L64" s="43"/>
      <c r="M64" s="43"/>
      <c r="N64" s="43"/>
      <c r="O64" s="43"/>
      <c r="P64" s="43"/>
    </row>
    <row r="65" spans="1:16">
      <c r="A65" s="43"/>
      <c r="B65" s="43"/>
      <c r="C65" s="43"/>
      <c r="D65" s="43"/>
      <c r="E65" s="43"/>
      <c r="F65" s="43"/>
      <c r="G65" s="43"/>
      <c r="H65" s="43"/>
      <c r="I65" s="43"/>
      <c r="J65" s="43"/>
      <c r="K65" s="43"/>
      <c r="L65" s="43"/>
      <c r="M65" s="43"/>
      <c r="N65" s="43"/>
      <c r="O65" s="43"/>
      <c r="P65" s="43"/>
    </row>
    <row r="66" spans="1:16">
      <c r="A66" s="43"/>
      <c r="B66" s="43"/>
      <c r="C66" s="43"/>
      <c r="D66" s="43"/>
      <c r="E66" s="43"/>
      <c r="F66" s="43"/>
      <c r="G66" s="43"/>
      <c r="H66" s="43"/>
      <c r="I66" s="43"/>
      <c r="J66" s="43"/>
      <c r="K66" s="43"/>
      <c r="L66" s="43"/>
      <c r="M66" s="43"/>
      <c r="N66" s="43"/>
      <c r="O66" s="43"/>
      <c r="P66" s="43"/>
    </row>
    <row r="67" spans="1:16">
      <c r="A67" s="43"/>
      <c r="B67" s="43"/>
      <c r="C67" s="43"/>
      <c r="D67" s="43"/>
      <c r="E67" s="43"/>
      <c r="F67" s="43"/>
      <c r="G67" s="43"/>
      <c r="H67" s="43"/>
      <c r="I67" s="43"/>
      <c r="J67" s="43"/>
      <c r="K67" s="43"/>
      <c r="L67" s="43"/>
      <c r="M67" s="43"/>
      <c r="N67" s="43"/>
      <c r="O67" s="43"/>
      <c r="P67" s="43"/>
    </row>
    <row r="68" spans="1:16">
      <c r="A68" s="43"/>
      <c r="B68" s="43"/>
      <c r="C68" s="43"/>
      <c r="D68" s="43"/>
      <c r="E68" s="43"/>
      <c r="F68" s="43"/>
      <c r="G68" s="43"/>
      <c r="H68" s="43"/>
      <c r="I68" s="43"/>
      <c r="J68" s="43"/>
      <c r="K68" s="43"/>
      <c r="L68" s="43"/>
      <c r="M68" s="43"/>
      <c r="N68" s="43"/>
      <c r="O68" s="43"/>
      <c r="P68" s="43"/>
    </row>
    <row r="69" spans="1:16">
      <c r="A69" s="43"/>
      <c r="B69" s="43"/>
      <c r="C69" s="43"/>
      <c r="D69" s="43"/>
      <c r="E69" s="43"/>
      <c r="F69" s="43"/>
      <c r="G69" s="43"/>
      <c r="H69" s="43"/>
      <c r="I69" s="43"/>
      <c r="J69" s="43"/>
      <c r="K69" s="43"/>
      <c r="L69" s="43"/>
      <c r="M69" s="43"/>
      <c r="N69" s="43"/>
      <c r="O69" s="43"/>
      <c r="P69" s="43"/>
    </row>
    <row r="70" spans="1:16">
      <c r="A70" s="43"/>
      <c r="B70" s="43"/>
      <c r="C70" s="43"/>
      <c r="D70" s="43"/>
      <c r="E70" s="43"/>
      <c r="F70" s="43"/>
      <c r="G70" s="43"/>
      <c r="H70" s="43"/>
      <c r="I70" s="43"/>
      <c r="J70" s="43"/>
      <c r="K70" s="43"/>
      <c r="L70" s="43"/>
      <c r="M70" s="43"/>
      <c r="N70" s="43"/>
      <c r="O70" s="43"/>
      <c r="P70" s="43"/>
    </row>
    <row r="71" spans="1:16">
      <c r="A71" s="43"/>
      <c r="B71" s="43"/>
      <c r="C71" s="43"/>
      <c r="D71" s="43"/>
      <c r="E71" s="43"/>
      <c r="F71" s="43"/>
      <c r="G71" s="43"/>
      <c r="H71" s="43"/>
      <c r="I71" s="43"/>
      <c r="J71" s="43"/>
      <c r="K71" s="43"/>
      <c r="L71" s="43"/>
      <c r="M71" s="43"/>
      <c r="N71" s="43"/>
      <c r="O71" s="43"/>
      <c r="P71" s="43"/>
    </row>
    <row r="72" spans="1:16">
      <c r="A72" s="43"/>
      <c r="B72" s="43"/>
      <c r="C72" s="43"/>
      <c r="D72" s="43"/>
      <c r="E72" s="43"/>
      <c r="F72" s="43"/>
      <c r="G72" s="43"/>
      <c r="H72" s="43"/>
      <c r="I72" s="43"/>
      <c r="J72" s="43"/>
      <c r="K72" s="43"/>
      <c r="L72" s="43"/>
      <c r="M72" s="43"/>
      <c r="N72" s="43"/>
      <c r="O72" s="43"/>
      <c r="P72" s="43"/>
    </row>
    <row r="73" spans="1:16">
      <c r="A73" s="43"/>
      <c r="B73" s="43"/>
      <c r="C73" s="43"/>
      <c r="D73" s="43"/>
      <c r="E73" s="43"/>
      <c r="F73" s="43"/>
      <c r="G73" s="43"/>
      <c r="H73" s="43"/>
      <c r="I73" s="43"/>
      <c r="J73" s="43"/>
      <c r="K73" s="43"/>
      <c r="L73" s="43"/>
      <c r="M73" s="43"/>
      <c r="N73" s="43"/>
      <c r="O73" s="43"/>
      <c r="P73" s="43"/>
    </row>
    <row r="74" spans="1:16">
      <c r="A74" s="43"/>
      <c r="B74" s="43"/>
      <c r="C74" s="43"/>
      <c r="D74" s="43"/>
      <c r="E74" s="43"/>
      <c r="F74" s="43"/>
      <c r="G74" s="43"/>
      <c r="H74" s="43"/>
      <c r="I74" s="43"/>
      <c r="J74" s="43"/>
      <c r="K74" s="43"/>
      <c r="L74" s="43"/>
      <c r="M74" s="43"/>
      <c r="N74" s="43"/>
      <c r="O74" s="43"/>
      <c r="P74" s="43"/>
    </row>
    <row r="75" spans="1:16">
      <c r="A75" s="43"/>
      <c r="B75" s="43"/>
      <c r="C75" s="43"/>
      <c r="D75" s="43"/>
      <c r="E75" s="43"/>
      <c r="F75" s="43"/>
      <c r="G75" s="43"/>
      <c r="H75" s="43"/>
      <c r="I75" s="43"/>
      <c r="J75" s="43"/>
      <c r="K75" s="43"/>
      <c r="L75" s="43"/>
      <c r="M75" s="43"/>
      <c r="N75" s="43"/>
      <c r="O75" s="43"/>
      <c r="P75" s="43"/>
    </row>
    <row r="76" spans="1:16">
      <c r="A76" s="43"/>
      <c r="B76" s="43"/>
      <c r="C76" s="43"/>
      <c r="D76" s="43"/>
      <c r="E76" s="43"/>
      <c r="F76" s="43"/>
      <c r="G76" s="43"/>
      <c r="H76" s="43"/>
      <c r="I76" s="43"/>
      <c r="J76" s="43"/>
      <c r="K76" s="43"/>
      <c r="L76" s="43"/>
      <c r="M76" s="43"/>
      <c r="N76" s="43"/>
      <c r="O76" s="43"/>
      <c r="P76" s="43"/>
    </row>
    <row r="77" spans="1:16">
      <c r="A77" s="43"/>
      <c r="B77" s="43"/>
      <c r="C77" s="43"/>
      <c r="D77" s="43"/>
      <c r="E77" s="43"/>
      <c r="F77" s="43"/>
      <c r="G77" s="43"/>
      <c r="H77" s="43"/>
      <c r="I77" s="43"/>
      <c r="J77" s="43"/>
      <c r="K77" s="43"/>
      <c r="L77" s="43"/>
      <c r="M77" s="43"/>
      <c r="N77" s="43"/>
      <c r="O77" s="43"/>
      <c r="P77" s="43"/>
    </row>
    <row r="78" spans="1:16">
      <c r="A78" s="43"/>
      <c r="B78" s="43"/>
      <c r="C78" s="43"/>
      <c r="D78" s="43"/>
      <c r="E78" s="43"/>
      <c r="F78" s="43"/>
      <c r="G78" s="43"/>
      <c r="H78" s="43"/>
      <c r="I78" s="43"/>
      <c r="J78" s="43"/>
      <c r="K78" s="43"/>
      <c r="L78" s="43"/>
      <c r="M78" s="43"/>
      <c r="N78" s="43"/>
      <c r="O78" s="43"/>
      <c r="P78" s="43"/>
    </row>
    <row r="79" spans="1:16">
      <c r="A79" s="43"/>
      <c r="B79" s="43"/>
      <c r="C79" s="43"/>
      <c r="D79" s="43"/>
      <c r="E79" s="43"/>
      <c r="F79" s="43"/>
      <c r="G79" s="43"/>
      <c r="H79" s="43"/>
      <c r="I79" s="43"/>
      <c r="J79" s="43"/>
      <c r="K79" s="43"/>
      <c r="L79" s="43"/>
      <c r="M79" s="43"/>
      <c r="N79" s="43"/>
      <c r="O79" s="43"/>
      <c r="P79" s="43"/>
    </row>
    <row r="80" spans="1:16">
      <c r="A80" s="43"/>
      <c r="B80" s="43"/>
      <c r="C80" s="43"/>
      <c r="D80" s="43"/>
      <c r="E80" s="43"/>
      <c r="F80" s="43"/>
      <c r="G80" s="43"/>
      <c r="H80" s="43"/>
      <c r="I80" s="43"/>
      <c r="J80" s="43"/>
      <c r="K80" s="43"/>
      <c r="L80" s="43"/>
      <c r="M80" s="43"/>
      <c r="N80" s="43"/>
      <c r="O80" s="43"/>
      <c r="P80" s="43"/>
    </row>
    <row r="81" spans="1:16">
      <c r="A81" s="43"/>
      <c r="B81" s="43"/>
      <c r="C81" s="43"/>
      <c r="D81" s="43"/>
      <c r="E81" s="43"/>
      <c r="F81" s="43"/>
      <c r="G81" s="43"/>
      <c r="H81" s="43"/>
      <c r="I81" s="43"/>
      <c r="J81" s="43"/>
      <c r="K81" s="43"/>
      <c r="L81" s="43"/>
      <c r="M81" s="43"/>
      <c r="N81" s="43"/>
      <c r="O81" s="43"/>
      <c r="P81" s="43"/>
    </row>
    <row r="82" spans="1:16">
      <c r="A82" s="43"/>
      <c r="B82" s="43"/>
      <c r="C82" s="43"/>
      <c r="D82" s="43"/>
      <c r="E82" s="43"/>
      <c r="F82" s="43"/>
      <c r="G82" s="43"/>
      <c r="H82" s="43"/>
      <c r="I82" s="43"/>
      <c r="J82" s="43"/>
      <c r="K82" s="43"/>
      <c r="L82" s="43"/>
      <c r="M82" s="43"/>
      <c r="N82" s="43"/>
      <c r="O82" s="43"/>
      <c r="P82" s="43"/>
    </row>
    <row r="83" spans="1:16">
      <c r="A83" s="43"/>
      <c r="B83" s="43"/>
      <c r="C83" s="43"/>
      <c r="D83" s="43"/>
      <c r="E83" s="43"/>
      <c r="F83" s="43"/>
      <c r="G83" s="43"/>
      <c r="H83" s="43"/>
      <c r="I83" s="43"/>
      <c r="J83" s="43"/>
      <c r="K83" s="43"/>
      <c r="L83" s="43"/>
      <c r="M83" s="43"/>
      <c r="N83" s="43"/>
      <c r="O83" s="43"/>
      <c r="P83" s="43"/>
    </row>
    <row r="84" spans="1:16">
      <c r="A84" s="43"/>
      <c r="B84" s="43"/>
      <c r="C84" s="43"/>
      <c r="D84" s="43"/>
      <c r="E84" s="43"/>
      <c r="F84" s="43"/>
      <c r="G84" s="43"/>
      <c r="H84" s="43"/>
      <c r="I84" s="43"/>
      <c r="J84" s="43"/>
      <c r="K84" s="43"/>
      <c r="L84" s="43"/>
      <c r="M84" s="43"/>
      <c r="N84" s="43"/>
      <c r="O84" s="43"/>
      <c r="P84" s="43"/>
    </row>
    <row r="85" spans="1:16">
      <c r="A85" s="43"/>
      <c r="B85" s="43"/>
      <c r="C85" s="43"/>
      <c r="D85" s="43"/>
      <c r="E85" s="43"/>
      <c r="F85" s="43"/>
      <c r="G85" s="43"/>
      <c r="H85" s="43"/>
      <c r="I85" s="43"/>
      <c r="J85" s="43"/>
      <c r="K85" s="43"/>
      <c r="L85" s="43"/>
      <c r="M85" s="43"/>
      <c r="N85" s="43"/>
      <c r="O85" s="43"/>
      <c r="P85" s="43"/>
    </row>
    <row r="86" spans="1:16">
      <c r="A86" s="43"/>
      <c r="B86" s="43"/>
      <c r="C86" s="43"/>
      <c r="D86" s="43"/>
      <c r="E86" s="43"/>
      <c r="F86" s="43"/>
      <c r="G86" s="43"/>
      <c r="H86" s="43"/>
      <c r="I86" s="43"/>
      <c r="J86" s="43"/>
      <c r="K86" s="43"/>
      <c r="L86" s="43"/>
      <c r="M86" s="43"/>
      <c r="N86" s="43"/>
      <c r="O86" s="43"/>
      <c r="P86" s="43"/>
    </row>
    <row r="87" spans="1:16">
      <c r="A87" s="43"/>
      <c r="B87" s="43"/>
      <c r="C87" s="43"/>
      <c r="D87" s="43"/>
      <c r="E87" s="43"/>
      <c r="F87" s="43"/>
      <c r="G87" s="43"/>
      <c r="H87" s="43"/>
      <c r="I87" s="43"/>
      <c r="J87" s="43"/>
      <c r="K87" s="43"/>
      <c r="L87" s="43"/>
      <c r="M87" s="43"/>
      <c r="N87" s="43"/>
      <c r="O87" s="43"/>
      <c r="P87" s="43"/>
    </row>
    <row r="88" spans="1:16">
      <c r="A88" s="43"/>
      <c r="B88" s="43"/>
      <c r="C88" s="43"/>
      <c r="D88" s="43"/>
      <c r="E88" s="43"/>
      <c r="F88" s="43"/>
      <c r="G88" s="43"/>
      <c r="H88" s="43"/>
      <c r="I88" s="43"/>
      <c r="J88" s="43"/>
      <c r="K88" s="43"/>
      <c r="L88" s="43"/>
      <c r="M88" s="43"/>
      <c r="N88" s="43"/>
      <c r="O88" s="43"/>
      <c r="P88" s="43"/>
    </row>
    <row r="89" spans="1:16">
      <c r="A89" s="43"/>
      <c r="B89" s="43"/>
      <c r="C89" s="43"/>
      <c r="D89" s="43"/>
      <c r="E89" s="43"/>
      <c r="F89" s="43"/>
      <c r="G89" s="43"/>
      <c r="H89" s="43"/>
      <c r="I89" s="43"/>
      <c r="J89" s="43"/>
      <c r="K89" s="43"/>
      <c r="L89" s="43"/>
      <c r="M89" s="43"/>
      <c r="N89" s="43"/>
      <c r="O89" s="43"/>
      <c r="P89" s="43"/>
    </row>
    <row r="90" spans="1:16">
      <c r="A90" s="43"/>
      <c r="B90" s="43"/>
      <c r="C90" s="43"/>
      <c r="D90" s="43"/>
      <c r="E90" s="43"/>
      <c r="F90" s="43"/>
      <c r="G90" s="43"/>
      <c r="H90" s="43"/>
      <c r="I90" s="43"/>
      <c r="J90" s="43"/>
      <c r="K90" s="43"/>
      <c r="L90" s="43"/>
      <c r="M90" s="43"/>
      <c r="N90" s="43"/>
      <c r="O90" s="43"/>
      <c r="P90" s="43"/>
    </row>
    <row r="91" spans="1:16">
      <c r="A91" s="43"/>
      <c r="B91" s="43"/>
      <c r="C91" s="43"/>
      <c r="D91" s="43"/>
      <c r="E91" s="43"/>
      <c r="F91" s="43"/>
      <c r="G91" s="43"/>
      <c r="H91" s="43"/>
      <c r="I91" s="43"/>
      <c r="J91" s="43"/>
      <c r="K91" s="43"/>
      <c r="L91" s="43"/>
      <c r="M91" s="43"/>
      <c r="N91" s="43"/>
      <c r="O91" s="43"/>
      <c r="P91" s="43"/>
    </row>
    <row r="92" spans="1:16" ht="15.65" customHeight="1">
      <c r="A92" s="43"/>
      <c r="B92" s="122"/>
      <c r="C92" s="43"/>
      <c r="D92" s="43"/>
      <c r="E92" s="43"/>
      <c r="F92" s="43"/>
      <c r="G92" s="43"/>
      <c r="H92" s="43"/>
      <c r="I92" s="43"/>
      <c r="J92" s="43"/>
      <c r="K92" s="43"/>
      <c r="L92" s="43"/>
      <c r="M92" s="43"/>
      <c r="N92" s="43"/>
      <c r="O92" s="43"/>
      <c r="P92" s="43"/>
    </row>
    <row r="93" spans="1:16">
      <c r="A93" s="43"/>
      <c r="B93" s="123"/>
      <c r="C93" s="124"/>
      <c r="D93" s="43"/>
      <c r="E93" s="43"/>
      <c r="F93" s="43"/>
      <c r="G93" s="43"/>
      <c r="H93" s="43"/>
      <c r="I93" s="43"/>
      <c r="J93" s="43"/>
      <c r="K93" s="43"/>
      <c r="L93" s="43"/>
      <c r="M93" s="43"/>
      <c r="N93" s="43"/>
      <c r="O93" s="43"/>
      <c r="P93" s="43"/>
    </row>
    <row r="94" spans="1:16">
      <c r="A94" s="43"/>
      <c r="B94" s="43"/>
      <c r="C94" s="72"/>
      <c r="D94" s="43"/>
      <c r="E94" s="43"/>
      <c r="F94" s="43"/>
      <c r="G94" s="43"/>
      <c r="H94" s="43"/>
      <c r="I94" s="43"/>
      <c r="J94" s="43"/>
      <c r="K94" s="43"/>
      <c r="L94" s="43"/>
      <c r="M94" s="43"/>
      <c r="N94" s="43"/>
      <c r="O94" s="43"/>
      <c r="P94" s="43"/>
    </row>
    <row r="95" spans="1:16">
      <c r="A95" s="43"/>
      <c r="B95" s="43"/>
      <c r="C95" s="72"/>
      <c r="D95" s="43"/>
      <c r="E95" s="62"/>
      <c r="F95" s="43"/>
      <c r="G95" s="62"/>
      <c r="H95" s="43"/>
      <c r="I95" s="43"/>
      <c r="J95" s="43"/>
      <c r="K95" s="43"/>
      <c r="L95" s="43"/>
      <c r="M95" s="43"/>
      <c r="N95" s="43"/>
      <c r="O95" s="43"/>
      <c r="P95" s="43"/>
    </row>
    <row r="96" spans="1:16">
      <c r="A96" s="43"/>
      <c r="B96" s="43"/>
      <c r="C96" s="72"/>
      <c r="D96" s="125"/>
      <c r="E96" s="125"/>
      <c r="F96" s="125"/>
      <c r="G96" s="125"/>
      <c r="H96" s="125"/>
      <c r="I96" s="43"/>
      <c r="J96" s="43"/>
      <c r="K96" s="43"/>
      <c r="L96" s="43"/>
      <c r="M96" s="43"/>
      <c r="N96" s="43"/>
      <c r="O96" s="43"/>
      <c r="P96" s="43"/>
    </row>
    <row r="97" spans="1:16">
      <c r="A97" s="43"/>
      <c r="B97" s="123"/>
      <c r="C97" s="72"/>
      <c r="D97" s="43"/>
      <c r="E97" s="43"/>
      <c r="F97" s="43"/>
      <c r="G97" s="43"/>
      <c r="H97" s="43"/>
      <c r="I97" s="43"/>
      <c r="J97" s="43"/>
      <c r="K97" s="43"/>
      <c r="L97" s="43"/>
      <c r="M97" s="43"/>
      <c r="N97" s="43"/>
      <c r="O97" s="43"/>
      <c r="P97" s="43"/>
    </row>
    <row r="98" spans="1:16">
      <c r="A98" s="43"/>
      <c r="B98" s="43"/>
      <c r="C98" s="126"/>
      <c r="D98" s="110"/>
      <c r="E98" s="110"/>
      <c r="F98" s="110"/>
      <c r="G98" s="110"/>
      <c r="H98" s="110"/>
      <c r="I98" s="43"/>
      <c r="J98" s="43"/>
      <c r="K98" s="43"/>
      <c r="L98" s="43"/>
      <c r="M98" s="43"/>
      <c r="N98" s="43"/>
      <c r="O98" s="43"/>
      <c r="P98" s="43"/>
    </row>
    <row r="99" spans="1:16">
      <c r="A99" s="43"/>
      <c r="B99" s="43"/>
      <c r="C99" s="127"/>
      <c r="D99" s="110"/>
      <c r="E99" s="123"/>
      <c r="F99" s="110"/>
      <c r="G99" s="123"/>
      <c r="H99" s="110"/>
      <c r="I99" s="43"/>
      <c r="J99" s="43"/>
      <c r="K99" s="43"/>
      <c r="L99" s="43"/>
      <c r="M99" s="43"/>
      <c r="N99" s="43"/>
      <c r="O99" s="43"/>
      <c r="P99" s="43"/>
    </row>
    <row r="100" spans="1:16">
      <c r="A100" s="43"/>
      <c r="B100" s="43"/>
      <c r="C100" s="128"/>
      <c r="D100" s="110"/>
      <c r="E100" s="123"/>
      <c r="F100" s="110"/>
      <c r="G100" s="123"/>
      <c r="H100" s="110"/>
      <c r="I100" s="43"/>
      <c r="J100" s="43"/>
      <c r="K100" s="43"/>
      <c r="L100" s="43"/>
      <c r="M100" s="43"/>
      <c r="N100" s="43"/>
      <c r="O100" s="43"/>
      <c r="P100" s="43"/>
    </row>
    <row r="101" spans="1:16">
      <c r="A101" s="43"/>
      <c r="B101" s="43"/>
      <c r="C101" s="128"/>
      <c r="D101" s="110"/>
      <c r="E101" s="123"/>
      <c r="F101" s="110"/>
      <c r="G101" s="123"/>
      <c r="H101" s="110"/>
      <c r="I101" s="43"/>
      <c r="J101" s="43"/>
      <c r="K101" s="43"/>
      <c r="L101" s="43"/>
      <c r="M101" s="43"/>
      <c r="N101" s="43"/>
      <c r="O101" s="43"/>
      <c r="P101" s="43"/>
    </row>
    <row r="102" spans="1:16">
      <c r="A102" s="43"/>
      <c r="B102" s="43"/>
      <c r="C102" s="128"/>
      <c r="D102" s="110"/>
      <c r="E102" s="110"/>
      <c r="F102" s="110"/>
      <c r="G102" s="110"/>
      <c r="H102" s="110"/>
      <c r="I102" s="43"/>
      <c r="J102" s="43"/>
      <c r="K102" s="43"/>
      <c r="L102" s="43"/>
      <c r="M102" s="43"/>
      <c r="N102" s="43"/>
      <c r="O102" s="43"/>
      <c r="P102" s="43"/>
    </row>
    <row r="103" spans="1:16">
      <c r="A103" s="43"/>
      <c r="B103" s="43"/>
      <c r="C103" s="129"/>
      <c r="D103" s="43"/>
      <c r="E103" s="43"/>
      <c r="F103" s="43"/>
      <c r="G103" s="43"/>
      <c r="H103" s="43"/>
      <c r="I103" s="43"/>
      <c r="J103" s="43"/>
      <c r="K103" s="43"/>
      <c r="L103" s="43"/>
      <c r="M103" s="43"/>
      <c r="N103" s="43"/>
      <c r="O103" s="43"/>
      <c r="P103" s="43"/>
    </row>
    <row r="104" spans="1:16">
      <c r="A104" s="43"/>
      <c r="B104" s="123"/>
      <c r="C104" s="130"/>
      <c r="D104" s="43"/>
      <c r="E104" s="43"/>
      <c r="F104" s="43"/>
      <c r="G104" s="43"/>
      <c r="H104" s="43"/>
      <c r="I104" s="43"/>
      <c r="J104" s="43"/>
      <c r="K104" s="43"/>
      <c r="L104" s="43"/>
      <c r="M104" s="43"/>
      <c r="N104" s="43"/>
      <c r="O104" s="43"/>
      <c r="P104" s="43"/>
    </row>
    <row r="105" spans="1:16">
      <c r="A105" s="43"/>
      <c r="B105" s="123"/>
      <c r="C105" s="130"/>
      <c r="D105" s="43"/>
      <c r="E105" s="43"/>
      <c r="F105" s="43"/>
      <c r="G105" s="43"/>
      <c r="H105" s="43"/>
      <c r="I105" s="43"/>
      <c r="J105" s="43"/>
      <c r="K105" s="43"/>
      <c r="L105" s="43"/>
      <c r="M105" s="43"/>
      <c r="N105" s="43"/>
      <c r="O105" s="43"/>
      <c r="P105" s="43"/>
    </row>
    <row r="106" spans="1:16">
      <c r="A106" s="43"/>
      <c r="B106" s="43"/>
      <c r="C106" s="126"/>
      <c r="D106" s="43"/>
      <c r="E106" s="110"/>
      <c r="F106" s="43"/>
      <c r="G106" s="110"/>
      <c r="H106" s="43"/>
      <c r="I106" s="43"/>
      <c r="J106" s="43"/>
      <c r="K106" s="43"/>
      <c r="L106" s="43"/>
      <c r="M106" s="43"/>
      <c r="N106" s="43"/>
      <c r="O106" s="43"/>
      <c r="P106" s="43"/>
    </row>
    <row r="107" spans="1:16">
      <c r="A107" s="43"/>
      <c r="B107" s="43"/>
      <c r="C107" s="128"/>
      <c r="D107" s="110"/>
      <c r="E107" s="43"/>
      <c r="F107" s="110"/>
      <c r="G107" s="43"/>
      <c r="H107" s="110"/>
      <c r="I107" s="43"/>
      <c r="J107" s="43"/>
      <c r="K107" s="43"/>
      <c r="L107" s="43"/>
      <c r="M107" s="43"/>
      <c r="N107" s="43"/>
      <c r="O107" s="43"/>
      <c r="P107" s="43"/>
    </row>
    <row r="108" spans="1:16">
      <c r="A108" s="43"/>
      <c r="B108" s="43"/>
      <c r="C108" s="126"/>
      <c r="D108" s="110"/>
      <c r="E108" s="110"/>
      <c r="F108" s="110"/>
      <c r="G108" s="110"/>
      <c r="H108" s="110"/>
      <c r="I108" s="43"/>
      <c r="J108" s="43"/>
      <c r="K108" s="43"/>
      <c r="L108" s="43"/>
      <c r="M108" s="43"/>
      <c r="N108" s="43"/>
      <c r="O108" s="43"/>
      <c r="P108" s="43"/>
    </row>
    <row r="109" spans="1:16">
      <c r="A109" s="43"/>
      <c r="B109" s="43"/>
      <c r="C109" s="126"/>
      <c r="D109" s="131"/>
      <c r="E109" s="131"/>
      <c r="F109" s="131"/>
      <c r="G109" s="131"/>
      <c r="H109" s="131"/>
      <c r="I109" s="43"/>
      <c r="J109" s="43"/>
      <c r="K109" s="43"/>
      <c r="L109" s="43"/>
      <c r="M109" s="43"/>
      <c r="N109" s="43"/>
      <c r="O109" s="43"/>
      <c r="P109" s="43"/>
    </row>
    <row r="110" spans="1:16">
      <c r="A110" s="43"/>
      <c r="B110" s="43"/>
      <c r="C110" s="126"/>
      <c r="D110" s="132"/>
      <c r="E110" s="132"/>
      <c r="F110" s="132"/>
      <c r="G110" s="132"/>
      <c r="H110" s="132"/>
      <c r="I110" s="43"/>
      <c r="J110" s="43"/>
      <c r="K110" s="43"/>
      <c r="L110" s="43"/>
      <c r="M110" s="43"/>
      <c r="N110" s="43"/>
      <c r="O110" s="43"/>
      <c r="P110" s="43"/>
    </row>
    <row r="111" spans="1:16">
      <c r="A111" s="43"/>
      <c r="B111" s="43"/>
      <c r="C111" s="130"/>
      <c r="D111" s="43"/>
      <c r="E111" s="43"/>
      <c r="F111" s="43"/>
      <c r="G111" s="43"/>
      <c r="H111" s="43"/>
      <c r="I111" s="43"/>
      <c r="J111" s="43"/>
      <c r="K111" s="43"/>
      <c r="L111" s="43"/>
      <c r="M111" s="43"/>
      <c r="N111" s="43"/>
      <c r="O111" s="43"/>
      <c r="P111" s="43"/>
    </row>
    <row r="112" spans="1:16">
      <c r="A112" s="43"/>
      <c r="B112" s="123"/>
      <c r="C112" s="130"/>
      <c r="D112" s="43"/>
      <c r="E112" s="43"/>
      <c r="F112" s="43"/>
      <c r="G112" s="43"/>
      <c r="H112" s="43"/>
      <c r="I112" s="43"/>
      <c r="J112" s="43"/>
      <c r="K112" s="43"/>
      <c r="L112" s="43"/>
      <c r="M112" s="43"/>
      <c r="N112" s="43"/>
      <c r="O112" s="43"/>
      <c r="P112" s="43"/>
    </row>
    <row r="113" spans="1:16">
      <c r="A113" s="43"/>
      <c r="B113" s="43"/>
      <c r="C113" s="126"/>
      <c r="D113" s="110"/>
      <c r="E113" s="110"/>
      <c r="F113" s="110"/>
      <c r="G113" s="110"/>
      <c r="H113" s="110"/>
      <c r="I113" s="43"/>
      <c r="J113" s="43"/>
      <c r="K113" s="43"/>
      <c r="L113" s="43"/>
      <c r="M113" s="43"/>
      <c r="N113" s="43"/>
      <c r="O113" s="43"/>
      <c r="P113" s="43"/>
    </row>
    <row r="114" spans="1:16">
      <c r="A114" s="43"/>
      <c r="B114" s="43"/>
      <c r="C114" s="126"/>
      <c r="D114" s="110"/>
      <c r="E114" s="110"/>
      <c r="F114" s="110"/>
      <c r="G114" s="110"/>
      <c r="H114" s="110"/>
      <c r="I114" s="43"/>
      <c r="J114" s="43"/>
      <c r="K114" s="43"/>
      <c r="L114" s="43"/>
      <c r="M114" s="43"/>
      <c r="N114" s="43"/>
      <c r="O114" s="43"/>
      <c r="P114" s="43"/>
    </row>
    <row r="115" spans="1:16">
      <c r="A115" s="43"/>
      <c r="B115" s="43"/>
      <c r="C115" s="126"/>
      <c r="D115" s="110"/>
      <c r="E115" s="110"/>
      <c r="F115" s="110"/>
      <c r="G115" s="110"/>
      <c r="H115" s="110"/>
      <c r="I115" s="43"/>
      <c r="J115" s="43"/>
      <c r="K115" s="43"/>
      <c r="L115" s="43"/>
      <c r="M115" s="43"/>
      <c r="N115" s="43"/>
      <c r="O115" s="43"/>
      <c r="P115" s="43"/>
    </row>
    <row r="116" spans="1:16">
      <c r="A116" s="43"/>
      <c r="B116" s="43"/>
      <c r="C116" s="126"/>
      <c r="D116" s="110"/>
      <c r="E116" s="110"/>
      <c r="F116" s="110"/>
      <c r="G116" s="110"/>
      <c r="H116" s="110"/>
      <c r="I116" s="43"/>
      <c r="J116" s="43"/>
      <c r="K116" s="43"/>
      <c r="L116" s="43"/>
      <c r="M116" s="43"/>
      <c r="N116" s="43"/>
      <c r="O116" s="43"/>
      <c r="P116" s="43"/>
    </row>
    <row r="117" spans="1:16">
      <c r="A117" s="43"/>
      <c r="B117" s="43"/>
      <c r="C117" s="126"/>
      <c r="D117" s="125"/>
      <c r="E117" s="110"/>
      <c r="F117" s="125"/>
      <c r="G117" s="110"/>
      <c r="H117" s="125"/>
      <c r="I117" s="43"/>
      <c r="J117" s="43"/>
      <c r="K117" s="43"/>
      <c r="L117" s="43"/>
      <c r="M117" s="43"/>
      <c r="N117" s="43"/>
      <c r="O117" s="43"/>
      <c r="P117" s="43"/>
    </row>
    <row r="118" spans="1:16">
      <c r="A118" s="43"/>
      <c r="B118" s="43"/>
      <c r="C118" s="126"/>
      <c r="D118" s="125"/>
      <c r="E118" s="110"/>
      <c r="F118" s="125"/>
      <c r="G118" s="110"/>
      <c r="H118" s="125"/>
      <c r="I118" s="43"/>
      <c r="J118" s="43"/>
      <c r="K118" s="43"/>
      <c r="L118" s="43"/>
      <c r="M118" s="43"/>
      <c r="N118" s="43"/>
      <c r="O118" s="43"/>
      <c r="P118" s="43"/>
    </row>
    <row r="119" spans="1:16">
      <c r="A119" s="43"/>
      <c r="B119" s="43"/>
      <c r="C119" s="126"/>
      <c r="D119" s="125"/>
      <c r="E119" s="110"/>
      <c r="F119" s="125"/>
      <c r="G119" s="110"/>
      <c r="H119" s="125"/>
      <c r="I119" s="43"/>
      <c r="J119" s="43"/>
      <c r="K119" s="43"/>
      <c r="L119" s="43"/>
      <c r="M119" s="43"/>
      <c r="N119" s="43"/>
      <c r="O119" s="43"/>
      <c r="P119" s="43"/>
    </row>
    <row r="120" spans="1:16">
      <c r="A120" s="43"/>
      <c r="B120" s="43"/>
      <c r="C120" s="126"/>
      <c r="D120" s="110"/>
      <c r="E120" s="110"/>
      <c r="F120" s="110"/>
      <c r="G120" s="110"/>
      <c r="H120" s="110"/>
      <c r="I120" s="43"/>
      <c r="J120" s="43"/>
      <c r="K120" s="43"/>
      <c r="L120" s="43"/>
      <c r="M120" s="43"/>
      <c r="N120" s="43"/>
      <c r="O120" s="43"/>
      <c r="P120" s="43"/>
    </row>
    <row r="121" spans="1:16">
      <c r="A121" s="43"/>
      <c r="B121" s="43"/>
      <c r="C121" s="126"/>
      <c r="D121" s="131"/>
      <c r="E121" s="131"/>
      <c r="F121" s="131"/>
      <c r="G121" s="131"/>
      <c r="H121" s="131"/>
      <c r="I121" s="43"/>
      <c r="J121" s="43"/>
      <c r="K121" s="43"/>
      <c r="L121" s="43"/>
      <c r="M121" s="43"/>
      <c r="N121" s="43"/>
      <c r="O121" s="43"/>
      <c r="P121" s="43"/>
    </row>
    <row r="122" spans="1:16">
      <c r="A122" s="43"/>
      <c r="B122" s="43"/>
      <c r="C122" s="126"/>
      <c r="D122" s="132"/>
      <c r="E122" s="132"/>
      <c r="F122" s="132"/>
      <c r="G122" s="132"/>
      <c r="H122" s="132"/>
      <c r="I122" s="43"/>
      <c r="J122" s="43"/>
      <c r="K122" s="43"/>
      <c r="L122" s="43"/>
      <c r="M122" s="43"/>
      <c r="N122" s="43"/>
      <c r="O122" s="43"/>
      <c r="P122" s="43"/>
    </row>
    <row r="123" spans="1:16">
      <c r="A123" s="43"/>
      <c r="B123" s="43"/>
      <c r="C123" s="130"/>
      <c r="D123" s="43"/>
      <c r="E123" s="43"/>
      <c r="F123" s="43"/>
      <c r="G123" s="43"/>
      <c r="H123" s="43"/>
      <c r="I123" s="43"/>
      <c r="J123" s="43"/>
      <c r="K123" s="43"/>
      <c r="L123" s="43"/>
      <c r="M123" s="43"/>
      <c r="N123" s="43"/>
      <c r="O123" s="43"/>
      <c r="P123" s="43"/>
    </row>
    <row r="124" spans="1:16">
      <c r="A124" s="43"/>
      <c r="B124" s="43"/>
      <c r="C124" s="126"/>
      <c r="D124" s="43"/>
      <c r="E124" s="133"/>
      <c r="F124" s="43"/>
      <c r="G124" s="133"/>
      <c r="H124" s="43"/>
      <c r="I124" s="43"/>
      <c r="J124" s="43"/>
      <c r="K124" s="43"/>
      <c r="L124" s="43"/>
      <c r="M124" s="43"/>
      <c r="N124" s="43"/>
      <c r="O124" s="43"/>
      <c r="P124" s="4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1F2"/>
  </sheetPr>
  <dimension ref="A1:M54"/>
  <sheetViews>
    <sheetView workbookViewId="0">
      <selection activeCell="I8" sqref="I8"/>
    </sheetView>
  </sheetViews>
  <sheetFormatPr defaultColWidth="9.26953125" defaultRowHeight="14.5" outlineLevelRow="1"/>
  <cols>
    <col min="1" max="1" width="31.26953125" style="639" bestFit="1" customWidth="1"/>
    <col min="2" max="2" width="13.26953125" style="639" customWidth="1"/>
    <col min="3" max="3" width="13.26953125" style="716" customWidth="1"/>
    <col min="4" max="4" width="7.1796875" style="716" bestFit="1" customWidth="1"/>
    <col min="5" max="5" width="27.26953125" style="717" customWidth="1"/>
    <col min="6" max="6" width="9.26953125" style="718"/>
    <col min="7" max="7" width="9" style="718" bestFit="1" customWidth="1"/>
    <col min="8" max="8" width="7.453125" style="718" bestFit="1" customWidth="1"/>
    <col min="9" max="9" width="40.54296875" style="714" customWidth="1"/>
    <col min="10" max="10" width="9.26953125" style="718"/>
    <col min="11" max="11" width="9" style="718" bestFit="1" customWidth="1"/>
    <col min="12" max="12" width="7.453125" style="718" bestFit="1" customWidth="1"/>
    <col min="13" max="13" width="40.54296875" style="639" customWidth="1"/>
    <col min="14" max="16384" width="9.26953125" style="639"/>
  </cols>
  <sheetData>
    <row r="1" spans="1:13" ht="15.5">
      <c r="A1" s="634" t="s">
        <v>1152</v>
      </c>
      <c r="B1" s="635"/>
      <c r="C1" s="636"/>
      <c r="D1" s="636"/>
      <c r="E1" s="637"/>
      <c r="F1" s="638"/>
      <c r="G1" s="638"/>
      <c r="H1" s="638"/>
      <c r="I1" s="637"/>
      <c r="J1" s="638"/>
      <c r="K1" s="638"/>
      <c r="L1" s="638"/>
      <c r="M1" s="636"/>
    </row>
    <row r="2" spans="1:13" s="648" customFormat="1" ht="15.5">
      <c r="A2" s="640"/>
      <c r="B2" s="641">
        <v>2024</v>
      </c>
      <c r="C2" s="642"/>
      <c r="D2" s="642"/>
      <c r="E2" s="643"/>
      <c r="F2" s="644">
        <v>2025</v>
      </c>
      <c r="G2" s="645"/>
      <c r="H2" s="645"/>
      <c r="I2" s="646"/>
      <c r="J2" s="644">
        <v>2026</v>
      </c>
      <c r="K2" s="645"/>
      <c r="L2" s="645"/>
      <c r="M2" s="647"/>
    </row>
    <row r="3" spans="1:13" ht="43.5">
      <c r="A3" s="649" t="s">
        <v>183</v>
      </c>
      <c r="B3" s="650" t="s">
        <v>1153</v>
      </c>
      <c r="C3" s="651" t="s">
        <v>1154</v>
      </c>
      <c r="D3" s="652" t="s">
        <v>1155</v>
      </c>
      <c r="E3" s="653" t="s">
        <v>1156</v>
      </c>
      <c r="F3" s="654" t="s">
        <v>1157</v>
      </c>
      <c r="G3" s="654" t="s">
        <v>1158</v>
      </c>
      <c r="H3" s="652" t="s">
        <v>1155</v>
      </c>
      <c r="I3" s="653" t="s">
        <v>1159</v>
      </c>
      <c r="J3" s="654" t="s">
        <v>1160</v>
      </c>
      <c r="K3" s="654" t="s">
        <v>1161</v>
      </c>
      <c r="L3" s="652" t="s">
        <v>1155</v>
      </c>
      <c r="M3" s="655" t="s">
        <v>1162</v>
      </c>
    </row>
    <row r="4" spans="1:13">
      <c r="A4" s="656" t="s">
        <v>185</v>
      </c>
      <c r="B4" s="657"/>
      <c r="C4" s="657"/>
      <c r="D4" s="657"/>
      <c r="E4" s="658"/>
      <c r="F4" s="657"/>
      <c r="G4" s="657"/>
      <c r="H4" s="657"/>
      <c r="I4" s="658"/>
      <c r="J4" s="657"/>
      <c r="K4" s="657"/>
      <c r="L4" s="657"/>
      <c r="M4" s="657"/>
    </row>
    <row r="5" spans="1:13" ht="43.5">
      <c r="A5" s="656" t="s">
        <v>1163</v>
      </c>
      <c r="B5" s="657"/>
      <c r="C5" s="657"/>
      <c r="D5" s="657"/>
      <c r="E5" s="658"/>
      <c r="F5" s="657"/>
      <c r="G5" s="657"/>
      <c r="H5" s="657"/>
      <c r="I5" s="659" t="s">
        <v>1164</v>
      </c>
      <c r="J5" s="657"/>
      <c r="K5" s="657"/>
      <c r="L5" s="657"/>
      <c r="M5" s="660"/>
    </row>
    <row r="6" spans="1:13" outlineLevel="1">
      <c r="A6" s="661" t="s">
        <v>189</v>
      </c>
      <c r="B6" s="662"/>
      <c r="C6" s="662"/>
      <c r="D6" s="662"/>
      <c r="E6" s="658"/>
      <c r="F6" s="662"/>
      <c r="G6" s="662"/>
      <c r="H6" s="662"/>
      <c r="I6" s="659"/>
      <c r="J6" s="662"/>
      <c r="K6" s="662"/>
      <c r="L6" s="662"/>
      <c r="M6" s="660"/>
    </row>
    <row r="7" spans="1:13">
      <c r="A7" s="656" t="s">
        <v>190</v>
      </c>
      <c r="B7" s="657"/>
      <c r="C7" s="657"/>
      <c r="D7" s="657"/>
      <c r="E7" s="658"/>
      <c r="F7" s="657"/>
      <c r="G7" s="657"/>
      <c r="H7" s="657"/>
      <c r="I7" s="659" t="s">
        <v>1165</v>
      </c>
      <c r="J7" s="657"/>
      <c r="K7" s="657"/>
      <c r="L7" s="657"/>
      <c r="M7" s="660"/>
    </row>
    <row r="8" spans="1:13" outlineLevel="1">
      <c r="A8" s="661" t="s">
        <v>189</v>
      </c>
      <c r="B8" s="662"/>
      <c r="C8" s="662"/>
      <c r="D8" s="662"/>
      <c r="E8" s="658"/>
      <c r="F8" s="662"/>
      <c r="G8" s="662"/>
      <c r="H8" s="662"/>
      <c r="I8" s="659"/>
      <c r="J8" s="662"/>
      <c r="K8" s="662"/>
      <c r="L8" s="662"/>
      <c r="M8" s="660"/>
    </row>
    <row r="9" spans="1:13" outlineLevel="1">
      <c r="A9" s="661" t="s">
        <v>1166</v>
      </c>
      <c r="B9" s="663"/>
      <c r="C9" s="662"/>
      <c r="D9" s="663"/>
      <c r="E9" s="664" t="s">
        <v>1167</v>
      </c>
      <c r="F9" s="663"/>
      <c r="G9" s="663"/>
      <c r="H9" s="663"/>
      <c r="I9" s="665"/>
      <c r="J9" s="663"/>
      <c r="K9" s="663"/>
      <c r="L9" s="663"/>
      <c r="M9" s="666"/>
    </row>
    <row r="10" spans="1:13">
      <c r="A10" s="656" t="s">
        <v>195</v>
      </c>
      <c r="B10" s="657"/>
      <c r="C10" s="657"/>
      <c r="D10" s="657"/>
      <c r="E10" s="658"/>
      <c r="F10" s="657"/>
      <c r="G10" s="657"/>
      <c r="H10" s="657"/>
      <c r="I10" s="659" t="s">
        <v>1168</v>
      </c>
      <c r="J10" s="657"/>
      <c r="K10" s="657"/>
      <c r="L10" s="657"/>
      <c r="M10" s="660"/>
    </row>
    <row r="11" spans="1:13" outlineLevel="1">
      <c r="A11" s="661" t="s">
        <v>189</v>
      </c>
      <c r="B11" s="662"/>
      <c r="C11" s="662"/>
      <c r="D11" s="662"/>
      <c r="E11" s="667"/>
      <c r="F11" s="663"/>
      <c r="G11" s="663"/>
      <c r="H11" s="663"/>
      <c r="I11" s="659"/>
      <c r="J11" s="663"/>
      <c r="K11" s="663"/>
      <c r="L11" s="663"/>
      <c r="M11" s="660"/>
    </row>
    <row r="12" spans="1:13" ht="29">
      <c r="A12" s="656" t="s">
        <v>197</v>
      </c>
      <c r="B12" s="657"/>
      <c r="C12" s="657"/>
      <c r="D12" s="657"/>
      <c r="E12" s="658"/>
      <c r="F12" s="657"/>
      <c r="G12" s="657"/>
      <c r="H12" s="657"/>
      <c r="I12" s="659" t="s">
        <v>1169</v>
      </c>
      <c r="J12" s="657"/>
      <c r="K12" s="657"/>
      <c r="L12" s="657"/>
      <c r="M12" s="660"/>
    </row>
    <row r="13" spans="1:13" outlineLevel="1">
      <c r="A13" s="661" t="s">
        <v>199</v>
      </c>
      <c r="B13" s="662"/>
      <c r="C13" s="662"/>
      <c r="D13" s="662"/>
      <c r="E13" s="667"/>
      <c r="F13" s="662"/>
      <c r="G13" s="662"/>
      <c r="H13" s="662"/>
      <c r="I13" s="659"/>
      <c r="J13" s="662"/>
      <c r="K13" s="662"/>
      <c r="L13" s="662"/>
      <c r="M13" s="660"/>
    </row>
    <row r="14" spans="1:13">
      <c r="A14" s="656" t="s">
        <v>1170</v>
      </c>
      <c r="B14" s="657"/>
      <c r="C14" s="657"/>
      <c r="D14" s="657"/>
      <c r="E14" s="658"/>
      <c r="F14" s="657"/>
      <c r="G14" s="657"/>
      <c r="H14" s="657"/>
      <c r="I14" s="668" t="s">
        <v>1171</v>
      </c>
      <c r="J14" s="657"/>
      <c r="K14" s="657"/>
      <c r="L14" s="657"/>
      <c r="M14" s="669"/>
    </row>
    <row r="15" spans="1:13" outlineLevel="1">
      <c r="A15" s="661" t="s">
        <v>200</v>
      </c>
      <c r="B15" s="663"/>
      <c r="C15" s="663"/>
      <c r="D15" s="663"/>
      <c r="E15" s="670"/>
      <c r="F15" s="662"/>
      <c r="G15" s="662"/>
      <c r="H15" s="662"/>
      <c r="I15" s="668"/>
      <c r="J15" s="662"/>
      <c r="K15" s="662"/>
      <c r="L15" s="662"/>
      <c r="M15" s="669"/>
    </row>
    <row r="16" spans="1:13">
      <c r="A16" s="656" t="s">
        <v>205</v>
      </c>
      <c r="B16" s="657"/>
      <c r="C16" s="657"/>
      <c r="D16" s="657"/>
      <c r="E16" s="658"/>
      <c r="F16" s="657"/>
      <c r="G16" s="657"/>
      <c r="H16" s="657"/>
      <c r="I16" s="658"/>
      <c r="J16" s="657"/>
      <c r="K16" s="657"/>
      <c r="L16" s="657"/>
      <c r="M16" s="657"/>
    </row>
    <row r="17" spans="1:13">
      <c r="A17" s="661" t="s">
        <v>206</v>
      </c>
      <c r="B17" s="663"/>
      <c r="C17" s="663"/>
      <c r="D17" s="663"/>
      <c r="E17" s="671"/>
      <c r="F17" s="663"/>
      <c r="G17" s="663"/>
      <c r="H17" s="663"/>
      <c r="I17" s="672"/>
      <c r="J17" s="663"/>
      <c r="K17" s="663"/>
      <c r="L17" s="663"/>
      <c r="M17" s="673"/>
    </row>
    <row r="18" spans="1:13" ht="29">
      <c r="A18" s="661" t="s">
        <v>1172</v>
      </c>
      <c r="B18" s="663"/>
      <c r="C18" s="663"/>
      <c r="D18" s="663"/>
      <c r="E18" s="670"/>
      <c r="F18" s="663"/>
      <c r="G18" s="663"/>
      <c r="H18" s="663"/>
      <c r="I18" s="674" t="s">
        <v>1173</v>
      </c>
      <c r="J18" s="663"/>
      <c r="K18" s="663"/>
      <c r="L18" s="663"/>
      <c r="M18" s="675"/>
    </row>
    <row r="19" spans="1:13" ht="29">
      <c r="A19" s="661" t="s">
        <v>1174</v>
      </c>
      <c r="B19" s="663"/>
      <c r="C19" s="663"/>
      <c r="D19" s="663"/>
      <c r="E19" s="664" t="s">
        <v>1175</v>
      </c>
      <c r="F19" s="663"/>
      <c r="G19" s="663"/>
      <c r="H19" s="663"/>
      <c r="I19" s="672" t="s">
        <v>1176</v>
      </c>
      <c r="J19" s="663"/>
      <c r="K19" s="663"/>
      <c r="L19" s="663"/>
      <c r="M19" s="673"/>
    </row>
    <row r="20" spans="1:13">
      <c r="A20" s="676" t="s">
        <v>207</v>
      </c>
      <c r="B20" s="677"/>
      <c r="C20" s="677"/>
      <c r="D20" s="677"/>
      <c r="E20" s="678"/>
      <c r="F20" s="677"/>
      <c r="G20" s="677"/>
      <c r="H20" s="677"/>
      <c r="I20" s="678"/>
      <c r="J20" s="677"/>
      <c r="K20" s="677"/>
      <c r="L20" s="677"/>
      <c r="M20" s="677"/>
    </row>
    <row r="21" spans="1:13" s="685" customFormat="1">
      <c r="A21" s="679" t="s">
        <v>208</v>
      </c>
      <c r="B21" s="680"/>
      <c r="C21" s="680"/>
      <c r="D21" s="680"/>
      <c r="E21" s="681"/>
      <c r="F21" s="682"/>
      <c r="G21" s="682"/>
      <c r="H21" s="682"/>
      <c r="I21" s="683"/>
      <c r="J21" s="682"/>
      <c r="K21" s="682"/>
      <c r="L21" s="682"/>
      <c r="M21" s="684"/>
    </row>
    <row r="22" spans="1:13" ht="29">
      <c r="A22" s="656" t="s">
        <v>210</v>
      </c>
      <c r="B22" s="686"/>
      <c r="C22" s="686"/>
      <c r="D22" s="686"/>
      <c r="E22" s="663"/>
      <c r="F22" s="686"/>
      <c r="G22" s="686"/>
      <c r="H22" s="686"/>
      <c r="I22" s="672" t="s">
        <v>1177</v>
      </c>
      <c r="J22" s="686"/>
      <c r="K22" s="686"/>
      <c r="L22" s="686"/>
      <c r="M22" s="673"/>
    </row>
    <row r="23" spans="1:13" ht="43.5">
      <c r="A23" s="656" t="s">
        <v>213</v>
      </c>
      <c r="B23" s="686"/>
      <c r="C23" s="686"/>
      <c r="D23" s="686"/>
      <c r="E23" s="663"/>
      <c r="F23" s="686"/>
      <c r="G23" s="686"/>
      <c r="H23" s="686"/>
      <c r="I23" s="672" t="s">
        <v>1178</v>
      </c>
      <c r="J23" s="686"/>
      <c r="K23" s="686"/>
      <c r="L23" s="686"/>
      <c r="M23" s="673"/>
    </row>
    <row r="24" spans="1:13">
      <c r="A24" s="676" t="s">
        <v>214</v>
      </c>
      <c r="B24" s="677"/>
      <c r="C24" s="677"/>
      <c r="D24" s="677"/>
      <c r="E24" s="687"/>
      <c r="F24" s="677"/>
      <c r="G24" s="677"/>
      <c r="H24" s="677"/>
      <c r="I24" s="688"/>
      <c r="J24" s="677"/>
      <c r="K24" s="677"/>
      <c r="L24" s="677"/>
      <c r="M24" s="689"/>
    </row>
    <row r="25" spans="1:13" s="648" customFormat="1" ht="15.5">
      <c r="A25" s="690" t="s">
        <v>647</v>
      </c>
      <c r="B25" s="691"/>
      <c r="C25" s="691"/>
      <c r="D25" s="691"/>
      <c r="E25" s="691"/>
      <c r="F25" s="692"/>
      <c r="G25" s="692"/>
      <c r="H25" s="692"/>
      <c r="I25" s="693"/>
      <c r="J25" s="691"/>
      <c r="K25" s="691"/>
      <c r="L25" s="691"/>
      <c r="M25" s="691"/>
    </row>
    <row r="26" spans="1:13" s="685" customFormat="1" ht="87">
      <c r="A26" s="679" t="s">
        <v>1179</v>
      </c>
      <c r="B26" s="680"/>
      <c r="C26" s="680"/>
      <c r="D26" s="680"/>
      <c r="E26" s="681"/>
      <c r="F26" s="682"/>
      <c r="G26" s="682"/>
      <c r="H26" s="682"/>
      <c r="I26" s="694" t="s">
        <v>1180</v>
      </c>
      <c r="J26" s="682"/>
      <c r="K26" s="682"/>
      <c r="L26" s="682"/>
      <c r="M26" s="684"/>
    </row>
    <row r="27" spans="1:13">
      <c r="A27" s="695" t="s">
        <v>217</v>
      </c>
      <c r="B27" s="663"/>
      <c r="C27" s="663"/>
      <c r="D27" s="663"/>
      <c r="E27" s="663"/>
      <c r="F27" s="663"/>
      <c r="G27" s="663"/>
      <c r="H27" s="663"/>
      <c r="I27" s="672" t="s">
        <v>1181</v>
      </c>
      <c r="J27" s="663"/>
      <c r="K27" s="663"/>
      <c r="L27" s="663"/>
      <c r="M27" s="673"/>
    </row>
    <row r="28" spans="1:13" ht="43.5">
      <c r="A28" s="695" t="s">
        <v>192</v>
      </c>
      <c r="B28" s="662"/>
      <c r="C28" s="662"/>
      <c r="D28" s="662"/>
      <c r="E28" s="662"/>
      <c r="F28" s="662"/>
      <c r="G28" s="662"/>
      <c r="H28" s="662"/>
      <c r="I28" s="659" t="s">
        <v>1182</v>
      </c>
      <c r="J28" s="662"/>
      <c r="K28" s="662"/>
      <c r="L28" s="662"/>
      <c r="M28" s="660"/>
    </row>
    <row r="29" spans="1:13">
      <c r="A29" s="695" t="s">
        <v>220</v>
      </c>
      <c r="B29" s="663"/>
      <c r="C29" s="663"/>
      <c r="D29" s="663"/>
      <c r="E29" s="663"/>
      <c r="F29" s="663"/>
      <c r="G29" s="663"/>
      <c r="H29" s="663"/>
      <c r="I29" s="665"/>
      <c r="J29" s="663"/>
      <c r="K29" s="663"/>
      <c r="L29" s="663"/>
      <c r="M29" s="666"/>
    </row>
    <row r="30" spans="1:13">
      <c r="A30" s="695" t="s">
        <v>163</v>
      </c>
      <c r="B30" s="662"/>
      <c r="C30" s="662"/>
      <c r="D30" s="662"/>
      <c r="E30" s="696" t="s">
        <v>1183</v>
      </c>
      <c r="F30" s="662"/>
      <c r="G30" s="662"/>
      <c r="H30" s="662"/>
      <c r="I30" s="697" t="s">
        <v>1183</v>
      </c>
      <c r="J30" s="662"/>
      <c r="K30" s="662"/>
      <c r="L30" s="662"/>
      <c r="M30" s="698"/>
    </row>
    <row r="31" spans="1:13">
      <c r="A31" s="676" t="s">
        <v>221</v>
      </c>
      <c r="B31" s="677"/>
      <c r="C31" s="677"/>
      <c r="D31" s="677"/>
      <c r="E31" s="699"/>
      <c r="F31" s="677"/>
      <c r="G31" s="677"/>
      <c r="H31" s="677"/>
      <c r="I31" s="678"/>
      <c r="J31" s="677"/>
      <c r="K31" s="677"/>
      <c r="L31" s="677"/>
      <c r="M31" s="677"/>
    </row>
    <row r="32" spans="1:13" ht="29">
      <c r="A32" s="661" t="s">
        <v>121</v>
      </c>
      <c r="B32" s="663"/>
      <c r="C32" s="663"/>
      <c r="D32" s="663"/>
      <c r="E32" s="664" t="s">
        <v>1184</v>
      </c>
      <c r="F32" s="663"/>
      <c r="G32" s="663"/>
      <c r="H32" s="663"/>
      <c r="I32" s="665" t="s">
        <v>1185</v>
      </c>
      <c r="J32" s="663"/>
      <c r="K32" s="663"/>
      <c r="L32" s="663"/>
      <c r="M32" s="666"/>
    </row>
    <row r="33" spans="1:13">
      <c r="A33" s="661" t="s">
        <v>1186</v>
      </c>
      <c r="B33" s="663"/>
      <c r="C33" s="663"/>
      <c r="D33" s="663"/>
      <c r="E33" s="663"/>
      <c r="F33" s="663"/>
      <c r="G33" s="663"/>
      <c r="H33" s="663"/>
      <c r="I33" s="665"/>
      <c r="J33" s="663"/>
      <c r="K33" s="663"/>
      <c r="L33" s="663"/>
      <c r="M33" s="666"/>
    </row>
    <row r="34" spans="1:13">
      <c r="A34" s="661" t="s">
        <v>1187</v>
      </c>
      <c r="B34" s="662"/>
      <c r="C34" s="662"/>
      <c r="D34" s="662"/>
      <c r="E34" s="662"/>
      <c r="F34" s="662"/>
      <c r="G34" s="662"/>
      <c r="H34" s="662"/>
      <c r="I34" s="668"/>
      <c r="J34" s="662"/>
      <c r="K34" s="662"/>
      <c r="L34" s="662"/>
      <c r="M34" s="669"/>
    </row>
    <row r="35" spans="1:13" ht="15.5">
      <c r="A35" s="690" t="s">
        <v>1188</v>
      </c>
      <c r="B35" s="691"/>
      <c r="C35" s="691"/>
      <c r="D35" s="691"/>
      <c r="E35" s="693"/>
      <c r="F35" s="691"/>
      <c r="G35" s="691"/>
      <c r="H35" s="691"/>
      <c r="I35" s="693"/>
      <c r="J35" s="691"/>
      <c r="K35" s="691"/>
      <c r="L35" s="691"/>
      <c r="M35" s="691"/>
    </row>
    <row r="36" spans="1:13" s="702" customFormat="1">
      <c r="A36" s="661" t="s">
        <v>227</v>
      </c>
      <c r="B36" s="700"/>
      <c r="C36" s="700"/>
      <c r="D36" s="700"/>
      <c r="E36" s="701"/>
      <c r="F36" s="700"/>
      <c r="G36" s="700"/>
      <c r="H36" s="700"/>
      <c r="I36" s="659" t="s">
        <v>1189</v>
      </c>
      <c r="J36" s="700"/>
      <c r="K36" s="700"/>
      <c r="L36" s="700"/>
      <c r="M36" s="660"/>
    </row>
    <row r="37" spans="1:13" s="702" customFormat="1" ht="29">
      <c r="A37" s="661" t="s">
        <v>228</v>
      </c>
      <c r="B37" s="700"/>
      <c r="C37" s="700"/>
      <c r="D37" s="700"/>
      <c r="E37" s="703" t="s">
        <v>1190</v>
      </c>
      <c r="F37" s="700"/>
      <c r="G37" s="700"/>
      <c r="H37" s="700"/>
      <c r="I37" s="659" t="s">
        <v>1191</v>
      </c>
      <c r="J37" s="700"/>
      <c r="K37" s="700"/>
      <c r="L37" s="700"/>
      <c r="M37" s="660"/>
    </row>
    <row r="38" spans="1:13">
      <c r="A38" s="661" t="s">
        <v>220</v>
      </c>
      <c r="B38" s="704"/>
      <c r="C38" s="704"/>
      <c r="D38" s="704"/>
      <c r="E38" s="705">
        <f t="shared" ref="B38:H38" si="0">E29</f>
        <v>0</v>
      </c>
      <c r="F38" s="704"/>
      <c r="G38" s="704"/>
      <c r="H38" s="704"/>
      <c r="I38" s="706"/>
      <c r="J38" s="704"/>
      <c r="K38" s="704"/>
      <c r="L38" s="704"/>
      <c r="M38" s="707"/>
    </row>
    <row r="39" spans="1:13">
      <c r="A39" s="661" t="s">
        <v>230</v>
      </c>
      <c r="B39" s="662"/>
      <c r="C39" s="662"/>
      <c r="D39" s="662"/>
      <c r="E39" s="658"/>
      <c r="F39" s="662"/>
      <c r="G39" s="662"/>
      <c r="H39" s="662"/>
      <c r="I39" s="668"/>
      <c r="J39" s="662"/>
      <c r="K39" s="662"/>
      <c r="L39" s="662"/>
      <c r="M39" s="669"/>
    </row>
    <row r="40" spans="1:13">
      <c r="A40" s="661" t="s">
        <v>1192</v>
      </c>
      <c r="B40" s="662"/>
      <c r="C40" s="662"/>
      <c r="D40" s="662"/>
      <c r="E40" s="658">
        <f t="shared" ref="B40:H40" si="1">E27+E36</f>
        <v>0</v>
      </c>
      <c r="F40" s="662"/>
      <c r="G40" s="662"/>
      <c r="H40" s="662"/>
      <c r="I40" s="668"/>
      <c r="J40" s="662"/>
      <c r="K40" s="662"/>
      <c r="L40" s="662"/>
      <c r="M40" s="669"/>
    </row>
    <row r="41" spans="1:13">
      <c r="A41" s="661" t="s">
        <v>232</v>
      </c>
      <c r="B41" s="662"/>
      <c r="C41" s="662"/>
      <c r="D41" s="662"/>
      <c r="E41" s="658"/>
      <c r="F41" s="662"/>
      <c r="G41" s="662"/>
      <c r="H41" s="662"/>
      <c r="I41" s="668"/>
      <c r="J41" s="662"/>
      <c r="K41" s="662"/>
      <c r="L41" s="662"/>
      <c r="M41" s="669"/>
    </row>
    <row r="42" spans="1:13" ht="15.5">
      <c r="A42" s="690" t="s">
        <v>233</v>
      </c>
      <c r="B42" s="691"/>
      <c r="C42" s="691"/>
      <c r="D42" s="691"/>
      <c r="E42" s="708"/>
      <c r="F42" s="692"/>
      <c r="G42" s="692"/>
      <c r="H42" s="692"/>
      <c r="I42" s="693"/>
      <c r="J42" s="692"/>
      <c r="K42" s="692"/>
      <c r="L42" s="692"/>
      <c r="M42" s="691"/>
    </row>
    <row r="43" spans="1:13">
      <c r="A43" s="661" t="s">
        <v>234</v>
      </c>
      <c r="B43" s="704"/>
      <c r="C43" s="704"/>
      <c r="D43" s="704"/>
      <c r="E43" s="705"/>
      <c r="F43" s="704"/>
      <c r="G43" s="704"/>
      <c r="H43" s="704"/>
      <c r="I43" s="706"/>
      <c r="J43" s="704"/>
      <c r="K43" s="704"/>
      <c r="L43" s="704"/>
      <c r="M43" s="707"/>
    </row>
    <row r="44" spans="1:13" ht="13.15" customHeight="1">
      <c r="A44" s="709" t="s">
        <v>626</v>
      </c>
      <c r="B44" s="710"/>
      <c r="C44" s="711"/>
      <c r="D44" s="711"/>
      <c r="E44" s="712"/>
      <c r="F44" s="713"/>
      <c r="G44" s="713"/>
      <c r="H44" s="713"/>
      <c r="J44" s="713"/>
      <c r="K44" s="713"/>
      <c r="L44" s="713"/>
    </row>
    <row r="45" spans="1:13" ht="13.15" customHeight="1">
      <c r="A45" s="715"/>
      <c r="B45" s="715"/>
    </row>
    <row r="46" spans="1:13">
      <c r="A46" s="719"/>
      <c r="B46" s="719"/>
    </row>
    <row r="47" spans="1:13">
      <c r="F47" s="720"/>
      <c r="G47" s="720"/>
      <c r="H47" s="720"/>
      <c r="I47" s="721"/>
      <c r="J47" s="720"/>
      <c r="K47" s="720"/>
      <c r="L47" s="720"/>
      <c r="M47" s="722"/>
    </row>
    <row r="48" spans="1:13">
      <c r="F48" s="720"/>
      <c r="G48" s="720"/>
      <c r="H48" s="720"/>
      <c r="I48" s="721"/>
      <c r="J48" s="720"/>
      <c r="K48" s="720"/>
      <c r="L48" s="720"/>
      <c r="M48" s="722"/>
    </row>
    <row r="49" spans="1:13">
      <c r="F49" s="720"/>
      <c r="G49" s="720"/>
      <c r="H49" s="720"/>
      <c r="I49" s="721"/>
      <c r="J49" s="720"/>
      <c r="K49" s="720"/>
      <c r="L49" s="720"/>
      <c r="M49" s="722"/>
    </row>
    <row r="50" spans="1:13">
      <c r="F50" s="720"/>
      <c r="G50" s="720"/>
      <c r="H50" s="720"/>
      <c r="I50" s="721"/>
      <c r="J50" s="720"/>
      <c r="K50" s="720"/>
      <c r="L50" s="720"/>
      <c r="M50" s="722"/>
    </row>
    <row r="52" spans="1:13">
      <c r="A52" s="723"/>
      <c r="B52" s="723"/>
      <c r="F52" s="720"/>
      <c r="G52" s="720"/>
      <c r="H52" s="720"/>
      <c r="I52" s="721"/>
      <c r="J52" s="720"/>
      <c r="K52" s="720"/>
      <c r="L52" s="720"/>
      <c r="M52" s="722"/>
    </row>
    <row r="53" spans="1:13">
      <c r="A53" s="723"/>
      <c r="B53" s="723"/>
    </row>
    <row r="54" spans="1:13">
      <c r="A54" s="723"/>
      <c r="B54" s="72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9E1F2"/>
  </sheetPr>
  <dimension ref="A1:R124"/>
  <sheetViews>
    <sheetView workbookViewId="0">
      <selection activeCell="K16" sqref="K16"/>
    </sheetView>
  </sheetViews>
  <sheetFormatPr defaultColWidth="9.26953125" defaultRowHeight="14.5" outlineLevelRow="1" outlineLevelCol="1"/>
  <cols>
    <col min="1" max="2" width="3.54296875" style="761" customWidth="1"/>
    <col min="3" max="3" width="35" style="624" bestFit="1" customWidth="1"/>
    <col min="4" max="4" width="8" style="624" bestFit="1" customWidth="1"/>
    <col min="5" max="7" width="8" style="624" customWidth="1" outlineLevel="1"/>
    <col min="8" max="16" width="8" style="624" bestFit="1" customWidth="1"/>
    <col min="17" max="16384" width="9.26953125" style="624"/>
  </cols>
  <sheetData>
    <row r="1" spans="1:18" s="726" customFormat="1" ht="14.65" customHeight="1" thickBot="1">
      <c r="A1" s="724" t="s">
        <v>181</v>
      </c>
      <c r="B1" s="724" t="s">
        <v>182</v>
      </c>
      <c r="C1" s="725" t="str">
        <f t="array" aca="1" ref="C1" ca="1">_xlfn.TEXTAFTER(CELL("filename",C1),"]")</f>
        <v>lgh_bs_qr</v>
      </c>
      <c r="D1" s="725"/>
      <c r="E1" s="725"/>
      <c r="F1" s="725"/>
      <c r="G1" s="725"/>
      <c r="H1" s="725"/>
      <c r="I1" s="725"/>
      <c r="J1" s="725"/>
      <c r="K1" s="725"/>
      <c r="L1" s="725"/>
      <c r="M1" s="725"/>
      <c r="N1" s="725"/>
      <c r="O1" s="725"/>
      <c r="P1" s="725"/>
    </row>
    <row r="2" spans="1:18" ht="15.5" thickTop="1" thickBot="1">
      <c r="A2" s="727"/>
      <c r="B2" s="727"/>
      <c r="C2" s="728" t="s">
        <v>0</v>
      </c>
      <c r="D2" s="729">
        <v>45657</v>
      </c>
      <c r="E2" s="729">
        <v>45747</v>
      </c>
      <c r="F2" s="729">
        <v>45838</v>
      </c>
      <c r="G2" s="729">
        <v>45930</v>
      </c>
      <c r="H2" s="729">
        <v>46022</v>
      </c>
      <c r="I2" s="729">
        <v>46112</v>
      </c>
      <c r="J2" s="729">
        <v>46203</v>
      </c>
      <c r="K2" s="729">
        <v>46295</v>
      </c>
      <c r="L2" s="729">
        <v>46387</v>
      </c>
      <c r="M2" s="729">
        <v>46752</v>
      </c>
      <c r="N2" s="729">
        <v>47118</v>
      </c>
      <c r="O2" s="729">
        <v>47483</v>
      </c>
      <c r="P2" s="729">
        <v>47848</v>
      </c>
    </row>
    <row r="3" spans="1:18" ht="15.5" thickTop="1" thickBot="1">
      <c r="A3" s="727"/>
      <c r="B3" s="727"/>
      <c r="C3" s="728" t="s">
        <v>1</v>
      </c>
      <c r="D3" s="730" t="s">
        <v>2</v>
      </c>
      <c r="E3" s="730" t="s">
        <v>3</v>
      </c>
      <c r="F3" s="730" t="s">
        <v>4</v>
      </c>
      <c r="G3" s="730" t="s">
        <v>5</v>
      </c>
      <c r="H3" s="730" t="s">
        <v>2</v>
      </c>
      <c r="I3" s="730" t="s">
        <v>3</v>
      </c>
      <c r="J3" s="730" t="s">
        <v>4</v>
      </c>
      <c r="K3" s="730" t="s">
        <v>5</v>
      </c>
      <c r="L3" s="730" t="s">
        <v>2</v>
      </c>
      <c r="M3" s="730" t="s">
        <v>2</v>
      </c>
      <c r="N3" s="730" t="s">
        <v>2</v>
      </c>
      <c r="O3" s="730" t="s">
        <v>2</v>
      </c>
      <c r="P3" s="730" t="s">
        <v>2</v>
      </c>
    </row>
    <row r="4" spans="1:18" ht="15" thickTop="1">
      <c r="A4" s="727"/>
      <c r="B4" s="727"/>
      <c r="C4" s="724" t="s">
        <v>183</v>
      </c>
      <c r="D4" s="731"/>
      <c r="E4" s="732"/>
      <c r="F4" s="732"/>
      <c r="G4" s="733"/>
      <c r="H4" s="733"/>
      <c r="I4" s="733"/>
      <c r="J4" s="731"/>
      <c r="K4" s="731"/>
      <c r="L4" s="731"/>
      <c r="M4" s="731"/>
      <c r="N4" s="731"/>
      <c r="O4" s="731"/>
      <c r="P4" s="731"/>
    </row>
    <row r="5" spans="1:18">
      <c r="A5" s="734" t="s">
        <v>184</v>
      </c>
      <c r="B5" s="734" t="s">
        <v>138</v>
      </c>
      <c r="C5" s="734" t="s">
        <v>185</v>
      </c>
      <c r="D5" s="735"/>
      <c r="E5" s="736"/>
      <c r="F5" s="736"/>
      <c r="G5" s="736"/>
      <c r="H5" s="736"/>
      <c r="I5" s="736"/>
      <c r="J5" s="736"/>
      <c r="K5" s="736"/>
      <c r="L5" s="736"/>
      <c r="M5" s="736"/>
      <c r="N5" s="736"/>
      <c r="O5" s="736"/>
      <c r="P5" s="736"/>
      <c r="R5" s="737"/>
    </row>
    <row r="6" spans="1:18">
      <c r="A6" s="727"/>
      <c r="B6" s="727"/>
      <c r="C6" s="734" t="s">
        <v>186</v>
      </c>
      <c r="D6" s="735"/>
      <c r="E6" s="738"/>
      <c r="F6" s="738"/>
      <c r="G6" s="738"/>
      <c r="H6" s="738"/>
      <c r="I6" s="738"/>
      <c r="J6" s="738"/>
      <c r="K6" s="738"/>
      <c r="L6" s="738"/>
      <c r="M6" s="738"/>
      <c r="N6" s="738"/>
      <c r="O6" s="738"/>
      <c r="P6" s="738"/>
    </row>
    <row r="7" spans="1:18">
      <c r="A7" s="734" t="s">
        <v>187</v>
      </c>
      <c r="B7" s="734" t="s">
        <v>188</v>
      </c>
      <c r="C7" s="734" t="s">
        <v>189</v>
      </c>
      <c r="D7" s="735"/>
      <c r="E7" s="736"/>
      <c r="F7" s="736"/>
      <c r="G7" s="736"/>
      <c r="H7" s="736"/>
      <c r="I7" s="736"/>
      <c r="J7" s="736"/>
      <c r="K7" s="736"/>
      <c r="L7" s="736"/>
      <c r="M7" s="736"/>
      <c r="N7" s="736"/>
      <c r="O7" s="736"/>
      <c r="P7" s="736"/>
    </row>
    <row r="8" spans="1:18">
      <c r="A8" s="727"/>
      <c r="B8" s="727"/>
      <c r="C8" s="734" t="s">
        <v>190</v>
      </c>
      <c r="D8" s="735"/>
      <c r="E8" s="738"/>
      <c r="F8" s="738"/>
      <c r="G8" s="738"/>
      <c r="H8" s="738"/>
      <c r="I8" s="738"/>
      <c r="J8" s="738"/>
      <c r="K8" s="738"/>
      <c r="L8" s="738"/>
      <c r="M8" s="738"/>
      <c r="N8" s="738"/>
      <c r="O8" s="738"/>
      <c r="P8" s="738"/>
    </row>
    <row r="9" spans="1:18">
      <c r="A9" s="734" t="s">
        <v>191</v>
      </c>
      <c r="B9" s="734" t="s">
        <v>111</v>
      </c>
      <c r="C9" s="734" t="s">
        <v>189</v>
      </c>
      <c r="D9" s="735"/>
      <c r="E9" s="736"/>
      <c r="F9" s="736"/>
      <c r="G9" s="736"/>
      <c r="H9" s="736"/>
      <c r="I9" s="736"/>
      <c r="J9" s="736"/>
      <c r="K9" s="736"/>
      <c r="L9" s="736"/>
      <c r="M9" s="736"/>
      <c r="N9" s="736"/>
      <c r="O9" s="736"/>
      <c r="P9" s="736"/>
    </row>
    <row r="10" spans="1:18">
      <c r="A10" s="734" t="s">
        <v>191</v>
      </c>
      <c r="B10" s="734" t="s">
        <v>113</v>
      </c>
      <c r="C10" s="734" t="s">
        <v>192</v>
      </c>
      <c r="D10" s="735"/>
      <c r="E10" s="736"/>
      <c r="F10" s="736"/>
      <c r="G10" s="736"/>
      <c r="H10" s="736"/>
      <c r="I10" s="736"/>
      <c r="J10" s="736"/>
      <c r="K10" s="736"/>
      <c r="L10" s="736"/>
      <c r="M10" s="736"/>
      <c r="N10" s="736"/>
      <c r="O10" s="736"/>
      <c r="P10" s="736"/>
    </row>
    <row r="11" spans="1:18">
      <c r="A11" s="734" t="s">
        <v>191</v>
      </c>
      <c r="B11" s="734" t="s">
        <v>112</v>
      </c>
      <c r="C11" s="734" t="s">
        <v>193</v>
      </c>
      <c r="D11" s="735"/>
      <c r="E11" s="736"/>
      <c r="F11" s="736"/>
      <c r="G11" s="736"/>
      <c r="H11" s="736"/>
      <c r="I11" s="736"/>
      <c r="J11" s="736"/>
      <c r="K11" s="736"/>
      <c r="L11" s="736"/>
      <c r="M11" s="736"/>
      <c r="N11" s="736"/>
      <c r="O11" s="736"/>
      <c r="P11" s="736"/>
    </row>
    <row r="12" spans="1:18">
      <c r="A12" s="727"/>
      <c r="B12" s="727"/>
      <c r="C12" s="734" t="s">
        <v>194</v>
      </c>
      <c r="D12" s="736"/>
      <c r="E12" s="736"/>
      <c r="F12" s="736"/>
      <c r="G12" s="736"/>
      <c r="H12" s="736"/>
      <c r="I12" s="736"/>
      <c r="J12" s="736"/>
      <c r="K12" s="736"/>
      <c r="L12" s="736"/>
      <c r="M12" s="736"/>
      <c r="N12" s="736"/>
      <c r="O12" s="736"/>
      <c r="P12" s="736"/>
    </row>
    <row r="13" spans="1:18">
      <c r="A13" s="727"/>
      <c r="B13" s="727"/>
      <c r="C13" s="734" t="s">
        <v>195</v>
      </c>
      <c r="D13" s="735"/>
      <c r="E13" s="738"/>
      <c r="F13" s="738"/>
      <c r="G13" s="738"/>
      <c r="H13" s="738"/>
      <c r="I13" s="738"/>
      <c r="J13" s="738"/>
      <c r="K13" s="738"/>
      <c r="L13" s="738"/>
      <c r="M13" s="738"/>
      <c r="N13" s="738"/>
      <c r="O13" s="738"/>
      <c r="P13" s="738"/>
    </row>
    <row r="14" spans="1:18">
      <c r="A14" s="734" t="s">
        <v>196</v>
      </c>
      <c r="B14" s="734" t="s">
        <v>111</v>
      </c>
      <c r="C14" s="734" t="s">
        <v>189</v>
      </c>
      <c r="D14" s="735"/>
      <c r="E14" s="736"/>
      <c r="F14" s="736"/>
      <c r="G14" s="736"/>
      <c r="H14" s="736"/>
      <c r="I14" s="736"/>
      <c r="J14" s="736"/>
      <c r="K14" s="736"/>
      <c r="L14" s="736"/>
      <c r="M14" s="736"/>
      <c r="N14" s="736"/>
      <c r="O14" s="736"/>
      <c r="P14" s="736"/>
    </row>
    <row r="15" spans="1:18">
      <c r="A15" s="727"/>
      <c r="B15" s="727"/>
      <c r="C15" s="734" t="s">
        <v>197</v>
      </c>
      <c r="D15" s="735"/>
      <c r="E15" s="738"/>
      <c r="F15" s="738"/>
      <c r="G15" s="738"/>
      <c r="H15" s="738"/>
      <c r="I15" s="738"/>
      <c r="J15" s="738"/>
      <c r="K15" s="738"/>
      <c r="L15" s="738"/>
      <c r="M15" s="738"/>
      <c r="N15" s="738"/>
      <c r="O15" s="738"/>
      <c r="P15" s="738"/>
    </row>
    <row r="16" spans="1:18">
      <c r="A16" s="734" t="s">
        <v>198</v>
      </c>
      <c r="B16" s="734" t="s">
        <v>111</v>
      </c>
      <c r="C16" s="734" t="s">
        <v>199</v>
      </c>
      <c r="D16" s="735"/>
      <c r="E16" s="736"/>
      <c r="F16" s="736"/>
      <c r="G16" s="736"/>
      <c r="H16" s="736"/>
      <c r="I16" s="736"/>
      <c r="J16" s="736"/>
      <c r="K16" s="736"/>
      <c r="L16" s="736"/>
      <c r="M16" s="736"/>
      <c r="N16" s="736"/>
      <c r="O16" s="736"/>
      <c r="P16" s="736"/>
    </row>
    <row r="17" spans="1:16">
      <c r="A17" s="727"/>
      <c r="B17" s="727"/>
      <c r="C17" s="734" t="s">
        <v>200</v>
      </c>
      <c r="D17" s="735"/>
      <c r="E17" s="738"/>
      <c r="F17" s="738"/>
      <c r="G17" s="738"/>
      <c r="H17" s="738"/>
      <c r="I17" s="738"/>
      <c r="J17" s="738"/>
      <c r="K17" s="738"/>
      <c r="L17" s="738"/>
      <c r="M17" s="738"/>
      <c r="N17" s="738"/>
      <c r="O17" s="738"/>
      <c r="P17" s="738"/>
    </row>
    <row r="18" spans="1:16">
      <c r="A18" s="734" t="s">
        <v>200</v>
      </c>
      <c r="B18" s="734" t="s">
        <v>111</v>
      </c>
      <c r="C18" s="734" t="s">
        <v>200</v>
      </c>
      <c r="D18" s="735"/>
      <c r="E18" s="736"/>
      <c r="F18" s="736"/>
      <c r="G18" s="736"/>
      <c r="H18" s="736"/>
      <c r="I18" s="736"/>
      <c r="J18" s="736"/>
      <c r="K18" s="736"/>
      <c r="L18" s="736"/>
      <c r="M18" s="736"/>
      <c r="N18" s="736"/>
      <c r="O18" s="736"/>
      <c r="P18" s="736"/>
    </row>
    <row r="19" spans="1:16">
      <c r="A19" s="727"/>
      <c r="B19" s="727"/>
      <c r="C19" s="739" t="str">
        <f>+C20</f>
        <v>[LSAT]</v>
      </c>
      <c r="D19" s="735"/>
      <c r="E19" s="738"/>
      <c r="F19" s="738"/>
      <c r="G19" s="738"/>
      <c r="H19" s="738"/>
      <c r="I19" s="738"/>
      <c r="J19" s="738"/>
      <c r="K19" s="738"/>
      <c r="L19" s="738"/>
      <c r="M19" s="738"/>
      <c r="N19" s="738"/>
      <c r="O19" s="738"/>
      <c r="P19" s="738"/>
    </row>
    <row r="20" spans="1:16">
      <c r="A20" s="734" t="s">
        <v>201</v>
      </c>
      <c r="B20" s="734" t="s">
        <v>136</v>
      </c>
      <c r="C20" s="734" t="s">
        <v>202</v>
      </c>
      <c r="D20" s="735"/>
      <c r="E20" s="736"/>
      <c r="F20" s="736"/>
      <c r="G20" s="736"/>
      <c r="H20" s="736"/>
      <c r="I20" s="736"/>
      <c r="J20" s="736"/>
      <c r="K20" s="736"/>
      <c r="L20" s="736"/>
      <c r="M20" s="736"/>
      <c r="N20" s="736"/>
      <c r="O20" s="736"/>
      <c r="P20" s="736"/>
    </row>
    <row r="21" spans="1:16">
      <c r="A21" s="727"/>
      <c r="B21" s="727"/>
      <c r="C21" s="739" t="str">
        <f>+C22</f>
        <v>[L4]</v>
      </c>
      <c r="D21" s="735"/>
      <c r="E21" s="738"/>
      <c r="F21" s="738"/>
      <c r="G21" s="738"/>
      <c r="H21" s="738"/>
      <c r="I21" s="738"/>
      <c r="J21" s="738"/>
      <c r="K21" s="738"/>
      <c r="L21" s="738"/>
      <c r="M21" s="738"/>
      <c r="N21" s="738"/>
      <c r="O21" s="738"/>
      <c r="P21" s="738"/>
    </row>
    <row r="22" spans="1:16">
      <c r="A22" s="734" t="s">
        <v>201</v>
      </c>
      <c r="B22" s="734" t="s">
        <v>137</v>
      </c>
      <c r="C22" s="734" t="s">
        <v>203</v>
      </c>
      <c r="D22" s="735"/>
      <c r="E22" s="736"/>
      <c r="F22" s="736"/>
      <c r="G22" s="736"/>
      <c r="H22" s="736"/>
      <c r="I22" s="736"/>
      <c r="J22" s="736"/>
      <c r="K22" s="736"/>
      <c r="L22" s="736"/>
      <c r="M22" s="736"/>
      <c r="N22" s="736"/>
      <c r="O22" s="736"/>
      <c r="P22" s="736"/>
    </row>
    <row r="23" spans="1:16">
      <c r="A23" s="727"/>
      <c r="B23" s="727"/>
      <c r="C23" s="739" t="str">
        <f>+C24</f>
        <v>PV Loren fees (Key money)</v>
      </c>
      <c r="D23" s="735"/>
      <c r="E23" s="738"/>
      <c r="F23" s="738"/>
      <c r="G23" s="738"/>
      <c r="H23" s="738"/>
      <c r="I23" s="738"/>
      <c r="J23" s="738"/>
      <c r="K23" s="738"/>
      <c r="L23" s="738"/>
      <c r="M23" s="738"/>
      <c r="N23" s="738"/>
      <c r="O23" s="738"/>
      <c r="P23" s="738"/>
    </row>
    <row r="24" spans="1:16">
      <c r="A24" s="734" t="s">
        <v>204</v>
      </c>
      <c r="B24" s="734" t="s">
        <v>120</v>
      </c>
      <c r="C24" s="734" t="s">
        <v>120</v>
      </c>
      <c r="D24" s="735"/>
      <c r="E24" s="736"/>
      <c r="F24" s="736"/>
      <c r="G24" s="736"/>
      <c r="H24" s="736"/>
      <c r="I24" s="736"/>
      <c r="J24" s="736"/>
      <c r="K24" s="736"/>
      <c r="L24" s="736"/>
      <c r="M24" s="736"/>
      <c r="N24" s="736"/>
      <c r="O24" s="736"/>
      <c r="P24" s="736"/>
    </row>
    <row r="25" spans="1:16">
      <c r="A25" s="727"/>
      <c r="B25" s="727"/>
      <c r="C25" s="734" t="s">
        <v>205</v>
      </c>
      <c r="D25" s="735"/>
      <c r="E25" s="738"/>
      <c r="F25" s="738"/>
      <c r="G25" s="738"/>
      <c r="H25" s="738"/>
      <c r="I25" s="738"/>
      <c r="J25" s="738"/>
      <c r="K25" s="738"/>
      <c r="L25" s="738"/>
      <c r="M25" s="738"/>
      <c r="N25" s="738"/>
      <c r="O25" s="738"/>
      <c r="P25" s="738"/>
    </row>
    <row r="26" spans="1:16">
      <c r="A26" s="734" t="s">
        <v>201</v>
      </c>
      <c r="B26" s="734" t="s">
        <v>135</v>
      </c>
      <c r="C26" s="734" t="s">
        <v>206</v>
      </c>
      <c r="D26" s="735"/>
      <c r="E26" s="736"/>
      <c r="F26" s="736"/>
      <c r="G26" s="736"/>
      <c r="H26" s="736"/>
      <c r="I26" s="736"/>
      <c r="J26" s="736"/>
      <c r="K26" s="736"/>
      <c r="L26" s="736"/>
      <c r="M26" s="736"/>
      <c r="N26" s="736"/>
      <c r="O26" s="736"/>
      <c r="P26" s="736"/>
    </row>
    <row r="27" spans="1:16" s="740" customFormat="1">
      <c r="A27" s="727"/>
      <c r="B27" s="727"/>
      <c r="C27" s="734" t="s">
        <v>207</v>
      </c>
      <c r="D27" s="735"/>
      <c r="E27" s="738"/>
      <c r="F27" s="738"/>
      <c r="G27" s="738"/>
      <c r="H27" s="738"/>
      <c r="I27" s="738"/>
      <c r="J27" s="738"/>
      <c r="K27" s="738"/>
      <c r="L27" s="738"/>
      <c r="M27" s="738"/>
      <c r="N27" s="738"/>
      <c r="O27" s="738"/>
      <c r="P27" s="738"/>
    </row>
    <row r="28" spans="1:16">
      <c r="A28" s="727"/>
      <c r="B28" s="727"/>
      <c r="C28" s="724" t="s">
        <v>208</v>
      </c>
      <c r="D28" s="741"/>
      <c r="E28" s="741"/>
      <c r="F28" s="741"/>
      <c r="G28" s="741"/>
      <c r="H28" s="741"/>
      <c r="I28" s="741"/>
      <c r="J28" s="741"/>
      <c r="K28" s="741"/>
      <c r="L28" s="741"/>
      <c r="M28" s="741"/>
      <c r="N28" s="741"/>
      <c r="O28" s="741"/>
      <c r="P28" s="741"/>
    </row>
    <row r="29" spans="1:16">
      <c r="A29" s="734" t="s">
        <v>209</v>
      </c>
      <c r="B29" s="734" t="s">
        <v>130</v>
      </c>
      <c r="C29" s="734" t="s">
        <v>210</v>
      </c>
      <c r="D29" s="735"/>
      <c r="E29" s="736"/>
      <c r="F29" s="736"/>
      <c r="G29" s="736"/>
      <c r="H29" s="736"/>
      <c r="I29" s="736"/>
      <c r="J29" s="736"/>
      <c r="K29" s="736"/>
      <c r="L29" s="736"/>
      <c r="M29" s="736"/>
      <c r="N29" s="736"/>
      <c r="O29" s="736"/>
      <c r="P29" s="736"/>
    </row>
    <row r="30" spans="1:16">
      <c r="A30" s="734" t="s">
        <v>201</v>
      </c>
      <c r="B30" s="734" t="s">
        <v>142</v>
      </c>
      <c r="C30" s="734" t="s">
        <v>211</v>
      </c>
      <c r="D30" s="735"/>
      <c r="E30" s="736"/>
      <c r="F30" s="736"/>
      <c r="G30" s="736"/>
      <c r="H30" s="736"/>
      <c r="I30" s="736"/>
      <c r="J30" s="736"/>
      <c r="K30" s="736"/>
      <c r="L30" s="736"/>
      <c r="M30" s="736"/>
      <c r="N30" s="736"/>
      <c r="O30" s="736"/>
      <c r="P30" s="736"/>
    </row>
    <row r="31" spans="1:16">
      <c r="A31" s="734" t="s">
        <v>212</v>
      </c>
      <c r="B31" s="734" t="s">
        <v>128</v>
      </c>
      <c r="C31" s="734" t="s">
        <v>213</v>
      </c>
      <c r="D31" s="735"/>
      <c r="E31" s="736"/>
      <c r="F31" s="736"/>
      <c r="G31" s="736"/>
      <c r="H31" s="736"/>
      <c r="I31" s="736"/>
      <c r="J31" s="736"/>
      <c r="K31" s="736"/>
      <c r="L31" s="736"/>
      <c r="M31" s="736"/>
      <c r="N31" s="736"/>
      <c r="O31" s="736"/>
      <c r="P31" s="736"/>
    </row>
    <row r="32" spans="1:16">
      <c r="A32" s="727"/>
      <c r="B32" s="727"/>
      <c r="C32" s="734" t="s">
        <v>214</v>
      </c>
      <c r="D32" s="735"/>
      <c r="E32" s="738"/>
      <c r="F32" s="738"/>
      <c r="G32" s="738"/>
      <c r="H32" s="738"/>
      <c r="I32" s="738"/>
      <c r="J32" s="738"/>
      <c r="K32" s="738"/>
      <c r="L32" s="738"/>
      <c r="M32" s="738"/>
      <c r="N32" s="738"/>
      <c r="O32" s="738"/>
      <c r="P32" s="738"/>
    </row>
    <row r="33" spans="1:16">
      <c r="A33" s="727"/>
      <c r="B33" s="727"/>
      <c r="C33" s="734" t="s">
        <v>110</v>
      </c>
      <c r="D33" s="735"/>
      <c r="E33" s="736"/>
      <c r="F33" s="736"/>
      <c r="G33" s="736"/>
      <c r="H33" s="736"/>
      <c r="I33" s="736"/>
      <c r="J33" s="736"/>
      <c r="K33" s="736"/>
      <c r="L33" s="736"/>
      <c r="M33" s="736"/>
      <c r="N33" s="736"/>
      <c r="O33" s="736"/>
      <c r="P33" s="736"/>
    </row>
    <row r="34" spans="1:16">
      <c r="A34" s="727"/>
      <c r="B34" s="727"/>
      <c r="C34" s="724" t="s">
        <v>215</v>
      </c>
      <c r="D34" s="736"/>
      <c r="E34" s="736"/>
      <c r="F34" s="736"/>
      <c r="G34" s="736"/>
      <c r="H34" s="736"/>
      <c r="I34" s="736"/>
      <c r="J34" s="736"/>
      <c r="K34" s="736"/>
      <c r="L34" s="736"/>
      <c r="M34" s="736"/>
      <c r="N34" s="736"/>
      <c r="O34" s="736"/>
      <c r="P34" s="736"/>
    </row>
    <row r="35" spans="1:16">
      <c r="A35" s="734" t="s">
        <v>216</v>
      </c>
      <c r="B35" s="734" t="s">
        <v>140</v>
      </c>
      <c r="C35" s="724" t="s">
        <v>217</v>
      </c>
      <c r="D35" s="735"/>
      <c r="E35" s="736"/>
      <c r="F35" s="736"/>
      <c r="G35" s="736"/>
      <c r="H35" s="736"/>
      <c r="I35" s="736"/>
      <c r="J35" s="736"/>
      <c r="K35" s="736"/>
      <c r="L35" s="736"/>
      <c r="M35" s="736"/>
      <c r="N35" s="736"/>
      <c r="O35" s="736"/>
      <c r="P35" s="736"/>
    </row>
    <row r="36" spans="1:16">
      <c r="A36" s="734" t="s">
        <v>218</v>
      </c>
      <c r="B36" s="734" t="s">
        <v>128</v>
      </c>
      <c r="C36" s="724" t="s">
        <v>192</v>
      </c>
      <c r="D36" s="735"/>
      <c r="E36" s="736"/>
      <c r="F36" s="736"/>
      <c r="G36" s="736"/>
      <c r="H36" s="736"/>
      <c r="I36" s="736"/>
      <c r="J36" s="736"/>
      <c r="K36" s="736"/>
      <c r="L36" s="736"/>
      <c r="M36" s="736"/>
      <c r="N36" s="736"/>
      <c r="O36" s="736"/>
      <c r="P36" s="736"/>
    </row>
    <row r="37" spans="1:16" outlineLevel="1">
      <c r="A37" s="734" t="s">
        <v>219</v>
      </c>
      <c r="B37" s="734" t="s">
        <v>143</v>
      </c>
      <c r="C37" s="724" t="s">
        <v>220</v>
      </c>
      <c r="D37" s="735"/>
      <c r="E37" s="736"/>
      <c r="F37" s="736"/>
      <c r="G37" s="736"/>
      <c r="H37" s="736"/>
      <c r="I37" s="736"/>
      <c r="J37" s="736"/>
      <c r="K37" s="736"/>
      <c r="L37" s="736"/>
      <c r="M37" s="736"/>
      <c r="N37" s="736"/>
      <c r="O37" s="736"/>
      <c r="P37" s="736"/>
    </row>
    <row r="38" spans="1:16" outlineLevel="1">
      <c r="A38" s="727"/>
      <c r="B38" s="727"/>
      <c r="C38" s="724" t="s">
        <v>163</v>
      </c>
      <c r="D38" s="735"/>
      <c r="E38" s="736"/>
      <c r="F38" s="736"/>
      <c r="G38" s="736"/>
      <c r="H38" s="736"/>
      <c r="I38" s="736"/>
      <c r="J38" s="736"/>
      <c r="K38" s="736"/>
      <c r="L38" s="736"/>
      <c r="M38" s="736"/>
      <c r="N38" s="736"/>
      <c r="O38" s="736"/>
      <c r="P38" s="736"/>
    </row>
    <row r="39" spans="1:16">
      <c r="A39" s="727"/>
      <c r="B39" s="727"/>
      <c r="C39" s="734" t="s">
        <v>221</v>
      </c>
      <c r="D39" s="735"/>
      <c r="E39" s="738"/>
      <c r="F39" s="738"/>
      <c r="G39" s="738"/>
      <c r="H39" s="738"/>
      <c r="I39" s="738"/>
      <c r="J39" s="738"/>
      <c r="K39" s="738"/>
      <c r="L39" s="738"/>
      <c r="M39" s="738"/>
      <c r="N39" s="738"/>
      <c r="O39" s="738"/>
      <c r="P39" s="738"/>
    </row>
    <row r="40" spans="1:16">
      <c r="A40" s="734" t="s">
        <v>191</v>
      </c>
      <c r="B40" s="734" t="s">
        <v>114</v>
      </c>
      <c r="C40" s="734" t="s">
        <v>222</v>
      </c>
      <c r="D40" s="735"/>
      <c r="E40" s="736"/>
      <c r="F40" s="736"/>
      <c r="G40" s="736"/>
      <c r="H40" s="736"/>
      <c r="I40" s="736"/>
      <c r="J40" s="736"/>
      <c r="K40" s="736"/>
      <c r="L40" s="736"/>
      <c r="M40" s="736"/>
      <c r="N40" s="736"/>
      <c r="O40" s="736"/>
      <c r="P40" s="736"/>
    </row>
    <row r="41" spans="1:16">
      <c r="A41" s="734" t="s">
        <v>191</v>
      </c>
      <c r="B41" s="734" t="s">
        <v>115</v>
      </c>
      <c r="C41" s="734" t="s">
        <v>223</v>
      </c>
      <c r="D41" s="735"/>
      <c r="E41" s="736"/>
      <c r="F41" s="736"/>
      <c r="G41" s="736"/>
      <c r="H41" s="736"/>
      <c r="I41" s="736"/>
      <c r="J41" s="736"/>
      <c r="K41" s="736"/>
      <c r="L41" s="736"/>
      <c r="M41" s="736"/>
      <c r="N41" s="736"/>
      <c r="O41" s="736"/>
      <c r="P41" s="736"/>
    </row>
    <row r="42" spans="1:16">
      <c r="A42" s="734" t="s">
        <v>204</v>
      </c>
      <c r="B42" s="734" t="s">
        <v>121</v>
      </c>
      <c r="C42" s="734" t="s">
        <v>224</v>
      </c>
      <c r="D42" s="735"/>
      <c r="E42" s="736"/>
      <c r="F42" s="736"/>
      <c r="G42" s="736"/>
      <c r="H42" s="736"/>
      <c r="I42" s="736"/>
      <c r="J42" s="736"/>
      <c r="K42" s="736"/>
      <c r="L42" s="736"/>
      <c r="M42" s="736"/>
      <c r="N42" s="736"/>
      <c r="O42" s="736"/>
      <c r="P42" s="736"/>
    </row>
    <row r="43" spans="1:16">
      <c r="A43" s="734" t="s">
        <v>204</v>
      </c>
      <c r="B43" s="734" t="s">
        <v>122</v>
      </c>
      <c r="C43" s="734" t="s">
        <v>225</v>
      </c>
      <c r="D43" s="735"/>
      <c r="E43" s="736"/>
      <c r="F43" s="736"/>
      <c r="G43" s="736"/>
      <c r="H43" s="736"/>
      <c r="I43" s="736"/>
      <c r="J43" s="736"/>
      <c r="K43" s="736"/>
      <c r="L43" s="736"/>
      <c r="M43" s="736"/>
      <c r="N43" s="736"/>
      <c r="O43" s="736"/>
      <c r="P43" s="736"/>
    </row>
    <row r="44" spans="1:16">
      <c r="A44" s="727"/>
      <c r="B44" s="727"/>
      <c r="C44" s="734" t="s">
        <v>226</v>
      </c>
      <c r="D44" s="735"/>
      <c r="E44" s="738"/>
      <c r="F44" s="738"/>
      <c r="G44" s="738"/>
      <c r="H44" s="738"/>
      <c r="I44" s="738"/>
      <c r="J44" s="738"/>
      <c r="K44" s="738"/>
      <c r="L44" s="738"/>
      <c r="M44" s="738"/>
      <c r="N44" s="738"/>
      <c r="O44" s="738"/>
      <c r="P44" s="738"/>
    </row>
    <row r="45" spans="1:16">
      <c r="A45" s="727"/>
      <c r="B45" s="727"/>
      <c r="C45" s="734" t="s">
        <v>227</v>
      </c>
      <c r="D45" s="735"/>
      <c r="E45" s="736"/>
      <c r="F45" s="736"/>
      <c r="G45" s="736"/>
      <c r="H45" s="736"/>
      <c r="I45" s="736"/>
      <c r="J45" s="736"/>
      <c r="K45" s="736"/>
      <c r="L45" s="736"/>
      <c r="M45" s="736"/>
      <c r="N45" s="736"/>
      <c r="O45" s="736"/>
      <c r="P45" s="736"/>
    </row>
    <row r="46" spans="1:16">
      <c r="A46" s="727"/>
      <c r="B46" s="727"/>
      <c r="C46" s="734" t="s">
        <v>228</v>
      </c>
      <c r="D46" s="735"/>
      <c r="E46" s="742"/>
      <c r="F46" s="742"/>
      <c r="G46" s="742"/>
      <c r="H46" s="742"/>
      <c r="I46" s="742"/>
      <c r="J46" s="742"/>
      <c r="K46" s="742"/>
      <c r="L46" s="742"/>
      <c r="M46" s="742"/>
      <c r="N46" s="742"/>
      <c r="O46" s="742"/>
      <c r="P46" s="742"/>
    </row>
    <row r="47" spans="1:16">
      <c r="A47" s="727"/>
      <c r="B47" s="727"/>
      <c r="C47" s="734" t="s">
        <v>229</v>
      </c>
      <c r="D47" s="735"/>
      <c r="E47" s="736"/>
      <c r="F47" s="736"/>
      <c r="G47" s="736"/>
      <c r="H47" s="736"/>
      <c r="I47" s="736"/>
      <c r="J47" s="736"/>
      <c r="K47" s="736"/>
      <c r="L47" s="736"/>
      <c r="M47" s="736"/>
      <c r="N47" s="736"/>
      <c r="O47" s="736"/>
      <c r="P47" s="736"/>
    </row>
    <row r="48" spans="1:16">
      <c r="A48" s="727"/>
      <c r="B48" s="727"/>
      <c r="C48" s="734" t="s">
        <v>220</v>
      </c>
      <c r="D48" s="735"/>
      <c r="E48" s="736"/>
      <c r="F48" s="736"/>
      <c r="G48" s="736"/>
      <c r="H48" s="736"/>
      <c r="I48" s="736"/>
      <c r="J48" s="736"/>
      <c r="K48" s="736"/>
      <c r="L48" s="736"/>
      <c r="M48" s="736"/>
      <c r="N48" s="736"/>
      <c r="O48" s="736"/>
      <c r="P48" s="736"/>
    </row>
    <row r="49" spans="1:16">
      <c r="A49" s="727"/>
      <c r="B49" s="727"/>
      <c r="C49" s="734" t="s">
        <v>230</v>
      </c>
      <c r="D49" s="743"/>
      <c r="E49" s="744"/>
      <c r="F49" s="744"/>
      <c r="G49" s="744"/>
      <c r="H49" s="744"/>
      <c r="I49" s="744"/>
      <c r="J49" s="744"/>
      <c r="K49" s="744"/>
      <c r="L49" s="744"/>
      <c r="M49" s="744"/>
      <c r="N49" s="744"/>
      <c r="O49" s="744"/>
      <c r="P49" s="744"/>
    </row>
    <row r="50" spans="1:16">
      <c r="A50" s="727"/>
      <c r="B50" s="727"/>
      <c r="C50" s="734" t="s">
        <v>231</v>
      </c>
      <c r="D50" s="743"/>
      <c r="E50" s="744"/>
      <c r="F50" s="744"/>
      <c r="G50" s="744"/>
      <c r="H50" s="744"/>
      <c r="I50" s="744"/>
      <c r="J50" s="744"/>
      <c r="K50" s="744"/>
      <c r="L50" s="744"/>
      <c r="M50" s="744"/>
      <c r="N50" s="744"/>
      <c r="O50" s="744"/>
      <c r="P50" s="744"/>
    </row>
    <row r="51" spans="1:16">
      <c r="A51" s="727"/>
      <c r="B51" s="727"/>
      <c r="C51" s="734" t="s">
        <v>232</v>
      </c>
      <c r="D51" s="735"/>
      <c r="E51" s="736"/>
      <c r="F51" s="736"/>
      <c r="G51" s="736"/>
      <c r="H51" s="736"/>
      <c r="I51" s="736"/>
      <c r="J51" s="736"/>
      <c r="K51" s="736"/>
      <c r="L51" s="736"/>
      <c r="M51" s="736"/>
      <c r="N51" s="736"/>
      <c r="O51" s="736"/>
      <c r="P51" s="736"/>
    </row>
    <row r="52" spans="1:16">
      <c r="A52" s="727"/>
      <c r="B52" s="727"/>
      <c r="C52" s="734" t="s">
        <v>233</v>
      </c>
      <c r="D52" s="735"/>
      <c r="E52" s="738"/>
      <c r="F52" s="738"/>
      <c r="G52" s="738"/>
      <c r="H52" s="738"/>
      <c r="I52" s="738"/>
      <c r="J52" s="738"/>
      <c r="K52" s="738"/>
      <c r="L52" s="738"/>
      <c r="M52" s="738"/>
      <c r="N52" s="738"/>
      <c r="O52" s="738"/>
      <c r="P52" s="738"/>
    </row>
    <row r="53" spans="1:16">
      <c r="A53" s="727"/>
      <c r="B53" s="727"/>
      <c r="C53" s="734" t="s">
        <v>234</v>
      </c>
      <c r="D53" s="735"/>
      <c r="E53" s="736"/>
      <c r="F53" s="736"/>
      <c r="G53" s="736"/>
      <c r="H53" s="736"/>
      <c r="I53" s="736"/>
      <c r="J53" s="736"/>
      <c r="K53" s="736"/>
      <c r="L53" s="736"/>
      <c r="M53" s="736"/>
      <c r="N53" s="736"/>
      <c r="O53" s="736"/>
      <c r="P53" s="736"/>
    </row>
    <row r="54" spans="1:16">
      <c r="A54" s="727"/>
      <c r="B54" s="727"/>
      <c r="C54" s="745"/>
      <c r="D54" s="727"/>
      <c r="E54" s="727"/>
      <c r="F54" s="727"/>
      <c r="G54" s="727"/>
      <c r="H54" s="727"/>
      <c r="I54" s="732"/>
      <c r="J54" s="727"/>
      <c r="K54" s="727"/>
      <c r="L54" s="746"/>
      <c r="M54" s="746"/>
      <c r="N54" s="746"/>
      <c r="O54" s="746"/>
      <c r="P54" s="746"/>
    </row>
    <row r="55" spans="1:16">
      <c r="A55" s="727"/>
      <c r="B55" s="727"/>
      <c r="C55" s="727"/>
      <c r="D55" s="727"/>
      <c r="E55" s="727"/>
      <c r="F55" s="727"/>
      <c r="G55" s="727"/>
      <c r="H55" s="727"/>
      <c r="I55" s="727"/>
      <c r="J55" s="727"/>
      <c r="K55" s="727"/>
      <c r="L55" s="727"/>
      <c r="M55" s="727"/>
      <c r="N55" s="727"/>
      <c r="O55" s="727"/>
      <c r="P55" s="727"/>
    </row>
    <row r="56" spans="1:16">
      <c r="A56" s="727"/>
      <c r="B56" s="727"/>
      <c r="C56" s="727"/>
      <c r="D56" s="727"/>
      <c r="E56" s="727"/>
      <c r="F56" s="727"/>
      <c r="G56" s="727"/>
      <c r="H56" s="727"/>
      <c r="I56" s="727"/>
      <c r="J56" s="727"/>
      <c r="K56" s="727"/>
      <c r="L56" s="727"/>
      <c r="M56" s="727"/>
      <c r="N56" s="727"/>
      <c r="O56" s="727"/>
      <c r="P56" s="727"/>
    </row>
    <row r="57" spans="1:16">
      <c r="A57" s="727"/>
      <c r="B57" s="727"/>
      <c r="C57" s="727"/>
      <c r="D57" s="727"/>
      <c r="E57" s="727"/>
      <c r="F57" s="727"/>
      <c r="G57" s="727"/>
      <c r="H57" s="727"/>
      <c r="I57" s="727"/>
      <c r="J57" s="727"/>
      <c r="K57" s="727"/>
      <c r="L57" s="727"/>
      <c r="M57" s="727"/>
      <c r="N57" s="727"/>
      <c r="O57" s="727"/>
      <c r="P57" s="727"/>
    </row>
    <row r="58" spans="1:16">
      <c r="A58" s="727"/>
      <c r="B58" s="727"/>
      <c r="C58" s="727"/>
      <c r="D58" s="727"/>
      <c r="E58" s="727"/>
      <c r="F58" s="727"/>
      <c r="G58" s="727"/>
      <c r="H58" s="727"/>
      <c r="I58" s="727"/>
      <c r="J58" s="727"/>
      <c r="K58" s="727"/>
      <c r="L58" s="727"/>
      <c r="M58" s="727"/>
      <c r="N58" s="727"/>
      <c r="O58" s="727"/>
      <c r="P58" s="727"/>
    </row>
    <row r="59" spans="1:16">
      <c r="A59" s="727"/>
      <c r="B59" s="727"/>
      <c r="C59" s="727"/>
      <c r="D59" s="727"/>
      <c r="E59" s="727"/>
      <c r="F59" s="727"/>
      <c r="G59" s="727"/>
      <c r="H59" s="727"/>
      <c r="I59" s="727"/>
      <c r="J59" s="727"/>
      <c r="K59" s="727"/>
      <c r="L59" s="727"/>
      <c r="M59" s="727"/>
      <c r="N59" s="727"/>
      <c r="O59" s="727"/>
      <c r="P59" s="727"/>
    </row>
    <row r="60" spans="1:16">
      <c r="A60" s="727"/>
      <c r="B60" s="727"/>
      <c r="C60" s="727"/>
      <c r="D60" s="727"/>
      <c r="E60" s="727"/>
      <c r="F60" s="727"/>
      <c r="G60" s="727"/>
      <c r="H60" s="727"/>
      <c r="I60" s="727"/>
      <c r="J60" s="727"/>
      <c r="K60" s="727"/>
      <c r="L60" s="727"/>
      <c r="M60" s="727"/>
      <c r="N60" s="727"/>
      <c r="O60" s="727"/>
      <c r="P60" s="727"/>
    </row>
    <row r="61" spans="1:16">
      <c r="A61" s="727"/>
      <c r="B61" s="727"/>
      <c r="C61" s="727"/>
      <c r="D61" s="727"/>
      <c r="E61" s="727"/>
      <c r="F61" s="727"/>
      <c r="G61" s="727"/>
      <c r="H61" s="727"/>
      <c r="I61" s="727"/>
      <c r="J61" s="727"/>
      <c r="K61" s="727"/>
      <c r="L61" s="727"/>
      <c r="M61" s="727"/>
      <c r="N61" s="727"/>
      <c r="O61" s="727"/>
      <c r="P61" s="727"/>
    </row>
    <row r="62" spans="1:16">
      <c r="A62" s="727"/>
      <c r="B62" s="727"/>
      <c r="C62" s="727"/>
      <c r="D62" s="727"/>
      <c r="E62" s="727"/>
      <c r="F62" s="727"/>
      <c r="G62" s="727"/>
      <c r="H62" s="727"/>
      <c r="I62" s="727"/>
      <c r="J62" s="727"/>
      <c r="K62" s="727"/>
      <c r="L62" s="727"/>
      <c r="M62" s="727"/>
      <c r="N62" s="727"/>
      <c r="O62" s="727"/>
      <c r="P62" s="727"/>
    </row>
    <row r="63" spans="1:16">
      <c r="A63" s="727"/>
      <c r="B63" s="727"/>
      <c r="C63" s="727"/>
      <c r="D63" s="727"/>
      <c r="E63" s="727"/>
      <c r="F63" s="727"/>
      <c r="G63" s="727"/>
      <c r="H63" s="727"/>
      <c r="I63" s="727"/>
      <c r="J63" s="727"/>
      <c r="K63" s="727"/>
      <c r="L63" s="727"/>
      <c r="M63" s="727"/>
      <c r="N63" s="727"/>
      <c r="O63" s="727"/>
      <c r="P63" s="727"/>
    </row>
    <row r="64" spans="1:16">
      <c r="A64" s="727"/>
      <c r="B64" s="727"/>
      <c r="C64" s="727"/>
      <c r="D64" s="727"/>
      <c r="E64" s="727"/>
      <c r="F64" s="727"/>
      <c r="G64" s="727"/>
      <c r="H64" s="727"/>
      <c r="I64" s="727"/>
      <c r="J64" s="727"/>
      <c r="K64" s="727"/>
      <c r="L64" s="727"/>
      <c r="M64" s="727"/>
      <c r="N64" s="727"/>
      <c r="O64" s="727"/>
      <c r="P64" s="727"/>
    </row>
    <row r="65" spans="1:16">
      <c r="A65" s="727"/>
      <c r="B65" s="727"/>
      <c r="C65" s="727"/>
      <c r="D65" s="727"/>
      <c r="E65" s="727"/>
      <c r="F65" s="727"/>
      <c r="G65" s="727"/>
      <c r="H65" s="727"/>
      <c r="I65" s="727"/>
      <c r="J65" s="727"/>
      <c r="K65" s="727"/>
      <c r="L65" s="727"/>
      <c r="M65" s="727"/>
      <c r="N65" s="727"/>
      <c r="O65" s="727"/>
      <c r="P65" s="727"/>
    </row>
    <row r="66" spans="1:16">
      <c r="A66" s="727"/>
      <c r="B66" s="727"/>
      <c r="C66" s="727"/>
      <c r="D66" s="727"/>
      <c r="E66" s="727"/>
      <c r="F66" s="727"/>
      <c r="G66" s="727"/>
      <c r="H66" s="727"/>
      <c r="I66" s="727"/>
      <c r="J66" s="727"/>
      <c r="K66" s="727"/>
      <c r="L66" s="727"/>
      <c r="M66" s="727"/>
      <c r="N66" s="727"/>
      <c r="O66" s="727"/>
      <c r="P66" s="727"/>
    </row>
    <row r="67" spans="1:16">
      <c r="A67" s="727"/>
      <c r="B67" s="727"/>
      <c r="C67" s="727"/>
      <c r="D67" s="727"/>
      <c r="E67" s="727"/>
      <c r="F67" s="727"/>
      <c r="G67" s="727"/>
      <c r="H67" s="727"/>
      <c r="I67" s="727"/>
      <c r="J67" s="727"/>
      <c r="K67" s="727"/>
      <c r="L67" s="727"/>
      <c r="M67" s="727"/>
      <c r="N67" s="727"/>
      <c r="O67" s="727"/>
      <c r="P67" s="727"/>
    </row>
    <row r="68" spans="1:16">
      <c r="A68" s="727"/>
      <c r="B68" s="727"/>
      <c r="C68" s="727"/>
      <c r="D68" s="727"/>
      <c r="E68" s="727"/>
      <c r="F68" s="727"/>
      <c r="G68" s="727"/>
      <c r="H68" s="727"/>
      <c r="I68" s="727"/>
      <c r="J68" s="727"/>
      <c r="K68" s="727"/>
      <c r="L68" s="727"/>
      <c r="M68" s="727"/>
      <c r="N68" s="727"/>
      <c r="O68" s="727"/>
      <c r="P68" s="727"/>
    </row>
    <row r="69" spans="1:16">
      <c r="A69" s="727"/>
      <c r="B69" s="727"/>
      <c r="C69" s="727"/>
      <c r="D69" s="727"/>
      <c r="E69" s="727"/>
      <c r="F69" s="727"/>
      <c r="G69" s="727"/>
      <c r="H69" s="727"/>
      <c r="I69" s="727"/>
      <c r="J69" s="727"/>
      <c r="K69" s="727"/>
      <c r="L69" s="727"/>
      <c r="M69" s="727"/>
      <c r="N69" s="727"/>
      <c r="O69" s="727"/>
      <c r="P69" s="727"/>
    </row>
    <row r="70" spans="1:16">
      <c r="A70" s="727"/>
      <c r="B70" s="727"/>
      <c r="C70" s="727"/>
      <c r="D70" s="727"/>
      <c r="E70" s="727"/>
      <c r="F70" s="727"/>
      <c r="G70" s="727"/>
      <c r="H70" s="727"/>
      <c r="I70" s="727"/>
      <c r="J70" s="727"/>
      <c r="K70" s="727"/>
      <c r="L70" s="727"/>
      <c r="M70" s="727"/>
      <c r="N70" s="727"/>
      <c r="O70" s="727"/>
      <c r="P70" s="727"/>
    </row>
    <row r="71" spans="1:16">
      <c r="A71" s="727"/>
      <c r="B71" s="727"/>
      <c r="C71" s="727"/>
      <c r="D71" s="727"/>
      <c r="E71" s="727"/>
      <c r="F71" s="727"/>
      <c r="G71" s="727"/>
      <c r="H71" s="727"/>
      <c r="I71" s="727"/>
      <c r="J71" s="727"/>
      <c r="K71" s="727"/>
      <c r="L71" s="727"/>
      <c r="M71" s="727"/>
      <c r="N71" s="727"/>
      <c r="O71" s="727"/>
      <c r="P71" s="727"/>
    </row>
    <row r="72" spans="1:16">
      <c r="A72" s="727"/>
      <c r="B72" s="727"/>
      <c r="C72" s="727"/>
      <c r="D72" s="727"/>
      <c r="E72" s="727"/>
      <c r="F72" s="727"/>
      <c r="G72" s="727"/>
      <c r="H72" s="727"/>
      <c r="I72" s="727"/>
      <c r="J72" s="727"/>
      <c r="K72" s="727"/>
      <c r="L72" s="727"/>
      <c r="M72" s="727"/>
      <c r="N72" s="727"/>
      <c r="O72" s="727"/>
      <c r="P72" s="727"/>
    </row>
    <row r="73" spans="1:16">
      <c r="A73" s="727"/>
      <c r="B73" s="727"/>
      <c r="C73" s="727"/>
      <c r="D73" s="727"/>
      <c r="E73" s="727"/>
      <c r="F73" s="727"/>
      <c r="G73" s="727"/>
      <c r="H73" s="727"/>
      <c r="I73" s="727"/>
      <c r="J73" s="727"/>
      <c r="K73" s="727"/>
      <c r="L73" s="727"/>
      <c r="M73" s="727"/>
      <c r="N73" s="727"/>
      <c r="O73" s="727"/>
      <c r="P73" s="727"/>
    </row>
    <row r="74" spans="1:16">
      <c r="A74" s="727"/>
      <c r="B74" s="727"/>
      <c r="C74" s="727"/>
      <c r="D74" s="727"/>
      <c r="E74" s="727"/>
      <c r="F74" s="727"/>
      <c r="G74" s="727"/>
      <c r="H74" s="727"/>
      <c r="I74" s="727"/>
      <c r="J74" s="727"/>
      <c r="K74" s="727"/>
      <c r="L74" s="727"/>
      <c r="M74" s="727"/>
      <c r="N74" s="727"/>
      <c r="O74" s="727"/>
      <c r="P74" s="727"/>
    </row>
    <row r="75" spans="1:16">
      <c r="A75" s="727"/>
      <c r="B75" s="727"/>
      <c r="C75" s="727"/>
      <c r="D75" s="727"/>
      <c r="E75" s="727"/>
      <c r="F75" s="727"/>
      <c r="G75" s="727"/>
      <c r="H75" s="727"/>
      <c r="I75" s="727"/>
      <c r="J75" s="727"/>
      <c r="K75" s="727"/>
      <c r="L75" s="727"/>
      <c r="M75" s="727"/>
      <c r="N75" s="727"/>
      <c r="O75" s="727"/>
      <c r="P75" s="727"/>
    </row>
    <row r="76" spans="1:16">
      <c r="A76" s="727"/>
      <c r="B76" s="727"/>
      <c r="C76" s="727"/>
      <c r="D76" s="727"/>
      <c r="E76" s="727"/>
      <c r="F76" s="727"/>
      <c r="G76" s="727"/>
      <c r="H76" s="727"/>
      <c r="I76" s="727"/>
      <c r="J76" s="727"/>
      <c r="K76" s="727"/>
      <c r="L76" s="727"/>
      <c r="M76" s="727"/>
      <c r="N76" s="727"/>
      <c r="O76" s="727"/>
      <c r="P76" s="727"/>
    </row>
    <row r="77" spans="1:16">
      <c r="A77" s="727"/>
      <c r="B77" s="727"/>
      <c r="C77" s="727"/>
      <c r="D77" s="727"/>
      <c r="E77" s="727"/>
      <c r="F77" s="727"/>
      <c r="G77" s="727"/>
      <c r="H77" s="727"/>
      <c r="I77" s="727"/>
      <c r="J77" s="727"/>
      <c r="K77" s="727"/>
      <c r="L77" s="727"/>
      <c r="M77" s="727"/>
      <c r="N77" s="727"/>
      <c r="O77" s="727"/>
      <c r="P77" s="727"/>
    </row>
    <row r="78" spans="1:16">
      <c r="A78" s="727"/>
      <c r="B78" s="727"/>
      <c r="C78" s="727"/>
      <c r="D78" s="727"/>
      <c r="E78" s="727"/>
      <c r="F78" s="727"/>
      <c r="G78" s="727"/>
      <c r="H78" s="727"/>
      <c r="I78" s="727"/>
      <c r="J78" s="727"/>
      <c r="K78" s="727"/>
      <c r="L78" s="727"/>
      <c r="M78" s="727"/>
      <c r="N78" s="727"/>
      <c r="O78" s="727"/>
      <c r="P78" s="727"/>
    </row>
    <row r="79" spans="1:16">
      <c r="A79" s="727"/>
      <c r="B79" s="727"/>
      <c r="C79" s="727"/>
      <c r="D79" s="727"/>
      <c r="E79" s="727"/>
      <c r="F79" s="727"/>
      <c r="G79" s="727"/>
      <c r="H79" s="727"/>
      <c r="I79" s="727"/>
      <c r="J79" s="727"/>
      <c r="K79" s="727"/>
      <c r="L79" s="727"/>
      <c r="M79" s="727"/>
      <c r="N79" s="727"/>
      <c r="O79" s="727"/>
      <c r="P79" s="727"/>
    </row>
    <row r="80" spans="1:16">
      <c r="A80" s="727"/>
      <c r="B80" s="727"/>
      <c r="C80" s="727"/>
      <c r="D80" s="727"/>
      <c r="E80" s="727"/>
      <c r="F80" s="727"/>
      <c r="G80" s="727"/>
      <c r="H80" s="727"/>
      <c r="I80" s="727"/>
      <c r="J80" s="727"/>
      <c r="K80" s="727"/>
      <c r="L80" s="727"/>
      <c r="M80" s="727"/>
      <c r="N80" s="727"/>
      <c r="O80" s="727"/>
      <c r="P80" s="727"/>
    </row>
    <row r="81" spans="1:16">
      <c r="A81" s="727"/>
      <c r="B81" s="727"/>
      <c r="C81" s="727"/>
      <c r="D81" s="727"/>
      <c r="E81" s="727"/>
      <c r="F81" s="727"/>
      <c r="G81" s="727"/>
      <c r="H81" s="727"/>
      <c r="I81" s="727"/>
      <c r="J81" s="727"/>
      <c r="K81" s="727"/>
      <c r="L81" s="727"/>
      <c r="M81" s="727"/>
      <c r="N81" s="727"/>
      <c r="O81" s="727"/>
      <c r="P81" s="727"/>
    </row>
    <row r="82" spans="1:16">
      <c r="A82" s="727"/>
      <c r="B82" s="727"/>
      <c r="C82" s="727"/>
      <c r="D82" s="727"/>
      <c r="E82" s="727"/>
      <c r="F82" s="727"/>
      <c r="G82" s="727"/>
      <c r="H82" s="727"/>
      <c r="I82" s="727"/>
      <c r="J82" s="727"/>
      <c r="K82" s="727"/>
      <c r="L82" s="727"/>
      <c r="M82" s="727"/>
      <c r="N82" s="727"/>
      <c r="O82" s="727"/>
      <c r="P82" s="727"/>
    </row>
    <row r="83" spans="1:16">
      <c r="A83" s="727"/>
      <c r="B83" s="727"/>
      <c r="C83" s="727"/>
      <c r="D83" s="727"/>
      <c r="E83" s="727"/>
      <c r="F83" s="727"/>
      <c r="G83" s="727"/>
      <c r="H83" s="727"/>
      <c r="I83" s="727"/>
      <c r="J83" s="727"/>
      <c r="K83" s="727"/>
      <c r="L83" s="727"/>
      <c r="M83" s="727"/>
      <c r="N83" s="727"/>
      <c r="O83" s="727"/>
      <c r="P83" s="727"/>
    </row>
    <row r="84" spans="1:16">
      <c r="A84" s="727"/>
      <c r="B84" s="727"/>
      <c r="C84" s="727"/>
      <c r="D84" s="727"/>
      <c r="E84" s="727"/>
      <c r="F84" s="727"/>
      <c r="G84" s="727"/>
      <c r="H84" s="727"/>
      <c r="I84" s="727"/>
      <c r="J84" s="727"/>
      <c r="K84" s="727"/>
      <c r="L84" s="727"/>
      <c r="M84" s="727"/>
      <c r="N84" s="727"/>
      <c r="O84" s="727"/>
      <c r="P84" s="727"/>
    </row>
    <row r="85" spans="1:16">
      <c r="A85" s="727"/>
      <c r="B85" s="727"/>
      <c r="C85" s="727"/>
      <c r="D85" s="727"/>
      <c r="E85" s="727"/>
      <c r="F85" s="727"/>
      <c r="G85" s="727"/>
      <c r="H85" s="727"/>
      <c r="I85" s="727"/>
      <c r="J85" s="727"/>
      <c r="K85" s="727"/>
      <c r="L85" s="727"/>
      <c r="M85" s="727"/>
      <c r="N85" s="727"/>
      <c r="O85" s="727"/>
      <c r="P85" s="727"/>
    </row>
    <row r="86" spans="1:16">
      <c r="A86" s="727"/>
      <c r="B86" s="727"/>
      <c r="C86" s="727"/>
      <c r="D86" s="727"/>
      <c r="E86" s="727"/>
      <c r="F86" s="727"/>
      <c r="G86" s="727"/>
      <c r="H86" s="727"/>
      <c r="I86" s="727"/>
      <c r="J86" s="727"/>
      <c r="K86" s="727"/>
      <c r="L86" s="727"/>
      <c r="M86" s="727"/>
      <c r="N86" s="727"/>
      <c r="O86" s="727"/>
      <c r="P86" s="727"/>
    </row>
    <row r="87" spans="1:16">
      <c r="A87" s="727"/>
      <c r="B87" s="727"/>
      <c r="C87" s="727"/>
      <c r="D87" s="727"/>
      <c r="E87" s="727"/>
      <c r="F87" s="727"/>
      <c r="G87" s="727"/>
      <c r="H87" s="727"/>
      <c r="I87" s="727"/>
      <c r="J87" s="727"/>
      <c r="K87" s="727"/>
      <c r="L87" s="727"/>
      <c r="M87" s="727"/>
      <c r="N87" s="727"/>
      <c r="O87" s="727"/>
      <c r="P87" s="727"/>
    </row>
    <row r="88" spans="1:16">
      <c r="A88" s="727"/>
      <c r="B88" s="727"/>
      <c r="C88" s="727"/>
      <c r="D88" s="727"/>
      <c r="E88" s="727"/>
      <c r="F88" s="727"/>
      <c r="G88" s="727"/>
      <c r="H88" s="727"/>
      <c r="I88" s="727"/>
      <c r="J88" s="727"/>
      <c r="K88" s="727"/>
      <c r="L88" s="727"/>
      <c r="M88" s="727"/>
      <c r="N88" s="727"/>
      <c r="O88" s="727"/>
      <c r="P88" s="727"/>
    </row>
    <row r="89" spans="1:16">
      <c r="A89" s="727"/>
      <c r="B89" s="727"/>
      <c r="C89" s="727"/>
      <c r="D89" s="727"/>
      <c r="E89" s="727"/>
      <c r="F89" s="727"/>
      <c r="G89" s="727"/>
      <c r="H89" s="727"/>
      <c r="I89" s="727"/>
      <c r="J89" s="727"/>
      <c r="K89" s="727"/>
      <c r="L89" s="727"/>
      <c r="M89" s="727"/>
      <c r="N89" s="727"/>
      <c r="O89" s="727"/>
      <c r="P89" s="727"/>
    </row>
    <row r="90" spans="1:16">
      <c r="A90" s="727"/>
      <c r="B90" s="727"/>
      <c r="C90" s="727"/>
      <c r="D90" s="727"/>
      <c r="E90" s="727"/>
      <c r="F90" s="727"/>
      <c r="G90" s="727"/>
      <c r="H90" s="727"/>
      <c r="I90" s="727"/>
      <c r="J90" s="727"/>
      <c r="K90" s="727"/>
      <c r="L90" s="727"/>
      <c r="M90" s="727"/>
      <c r="N90" s="727"/>
      <c r="O90" s="727"/>
      <c r="P90" s="727"/>
    </row>
    <row r="91" spans="1:16">
      <c r="A91" s="727"/>
      <c r="B91" s="727"/>
      <c r="C91" s="727"/>
      <c r="D91" s="727"/>
      <c r="E91" s="727"/>
      <c r="F91" s="727"/>
      <c r="G91" s="727"/>
      <c r="H91" s="727"/>
      <c r="I91" s="727"/>
      <c r="J91" s="727"/>
      <c r="K91" s="727"/>
      <c r="L91" s="727"/>
      <c r="M91" s="727"/>
      <c r="N91" s="727"/>
      <c r="O91" s="727"/>
      <c r="P91" s="727"/>
    </row>
    <row r="92" spans="1:16" ht="15.65" customHeight="1">
      <c r="A92" s="727"/>
      <c r="B92" s="747"/>
      <c r="C92" s="727"/>
      <c r="D92" s="727"/>
      <c r="E92" s="727"/>
      <c r="F92" s="727"/>
      <c r="G92" s="727"/>
      <c r="H92" s="727"/>
      <c r="I92" s="727"/>
      <c r="J92" s="727"/>
      <c r="K92" s="727"/>
      <c r="L92" s="727"/>
      <c r="M92" s="727"/>
      <c r="N92" s="727"/>
      <c r="O92" s="727"/>
      <c r="P92" s="727"/>
    </row>
    <row r="93" spans="1:16">
      <c r="A93" s="727"/>
      <c r="B93" s="748"/>
      <c r="C93" s="749"/>
      <c r="D93" s="727"/>
      <c r="E93" s="727"/>
      <c r="F93" s="727"/>
      <c r="G93" s="727"/>
      <c r="H93" s="727"/>
      <c r="I93" s="727"/>
      <c r="J93" s="727"/>
      <c r="K93" s="727"/>
      <c r="L93" s="727"/>
      <c r="M93" s="727"/>
      <c r="N93" s="727"/>
      <c r="O93" s="727"/>
      <c r="P93" s="727"/>
    </row>
    <row r="94" spans="1:16">
      <c r="A94" s="727"/>
      <c r="B94" s="727"/>
      <c r="C94" s="745"/>
      <c r="D94" s="727"/>
      <c r="E94" s="727"/>
      <c r="F94" s="727"/>
      <c r="G94" s="727"/>
      <c r="H94" s="727"/>
      <c r="I94" s="727"/>
      <c r="J94" s="727"/>
      <c r="K94" s="727"/>
      <c r="L94" s="727"/>
      <c r="M94" s="727"/>
      <c r="N94" s="727"/>
      <c r="O94" s="727"/>
      <c r="P94" s="727"/>
    </row>
    <row r="95" spans="1:16">
      <c r="A95" s="727"/>
      <c r="B95" s="727"/>
      <c r="C95" s="745"/>
      <c r="D95" s="727"/>
      <c r="E95" s="750"/>
      <c r="F95" s="727"/>
      <c r="G95" s="750"/>
      <c r="H95" s="727"/>
      <c r="I95" s="727"/>
      <c r="J95" s="727"/>
      <c r="K95" s="727"/>
      <c r="L95" s="727"/>
      <c r="M95" s="727"/>
      <c r="N95" s="727"/>
      <c r="O95" s="727"/>
      <c r="P95" s="727"/>
    </row>
    <row r="96" spans="1:16">
      <c r="A96" s="727"/>
      <c r="B96" s="727"/>
      <c r="C96" s="745"/>
      <c r="D96" s="751"/>
      <c r="E96" s="751"/>
      <c r="F96" s="751"/>
      <c r="G96" s="751"/>
      <c r="H96" s="751"/>
      <c r="I96" s="727"/>
      <c r="J96" s="727"/>
      <c r="K96" s="727"/>
      <c r="L96" s="727"/>
      <c r="M96" s="727"/>
      <c r="N96" s="727"/>
      <c r="O96" s="727"/>
      <c r="P96" s="727"/>
    </row>
    <row r="97" spans="1:16">
      <c r="A97" s="727"/>
      <c r="B97" s="748"/>
      <c r="C97" s="745"/>
      <c r="D97" s="727"/>
      <c r="E97" s="727"/>
      <c r="F97" s="727"/>
      <c r="G97" s="727"/>
      <c r="H97" s="727"/>
      <c r="I97" s="727"/>
      <c r="J97" s="727"/>
      <c r="K97" s="727"/>
      <c r="L97" s="727"/>
      <c r="M97" s="727"/>
      <c r="N97" s="727"/>
      <c r="O97" s="727"/>
      <c r="P97" s="727"/>
    </row>
    <row r="98" spans="1:16">
      <c r="A98" s="727"/>
      <c r="B98" s="727"/>
      <c r="C98" s="752"/>
      <c r="D98" s="753"/>
      <c r="E98" s="753"/>
      <c r="F98" s="753"/>
      <c r="G98" s="753"/>
      <c r="H98" s="753"/>
      <c r="I98" s="727"/>
      <c r="J98" s="727"/>
      <c r="K98" s="727"/>
      <c r="L98" s="727"/>
      <c r="M98" s="727"/>
      <c r="N98" s="727"/>
      <c r="O98" s="727"/>
      <c r="P98" s="727"/>
    </row>
    <row r="99" spans="1:16">
      <c r="A99" s="727"/>
      <c r="B99" s="727"/>
      <c r="C99" s="754"/>
      <c r="D99" s="753"/>
      <c r="E99" s="748"/>
      <c r="F99" s="753"/>
      <c r="G99" s="748"/>
      <c r="H99" s="753"/>
      <c r="I99" s="727"/>
      <c r="J99" s="727"/>
      <c r="K99" s="727"/>
      <c r="L99" s="727"/>
      <c r="M99" s="727"/>
      <c r="N99" s="727"/>
      <c r="O99" s="727"/>
      <c r="P99" s="727"/>
    </row>
    <row r="100" spans="1:16">
      <c r="A100" s="727"/>
      <c r="B100" s="727"/>
      <c r="C100" s="755"/>
      <c r="D100" s="753"/>
      <c r="E100" s="748"/>
      <c r="F100" s="753"/>
      <c r="G100" s="748"/>
      <c r="H100" s="753"/>
      <c r="I100" s="727"/>
      <c r="J100" s="727"/>
      <c r="K100" s="727"/>
      <c r="L100" s="727"/>
      <c r="M100" s="727"/>
      <c r="N100" s="727"/>
      <c r="O100" s="727"/>
      <c r="P100" s="727"/>
    </row>
    <row r="101" spans="1:16">
      <c r="A101" s="727"/>
      <c r="B101" s="727"/>
      <c r="C101" s="755"/>
      <c r="D101" s="753"/>
      <c r="E101" s="748"/>
      <c r="F101" s="753"/>
      <c r="G101" s="748"/>
      <c r="H101" s="753"/>
      <c r="I101" s="727"/>
      <c r="J101" s="727"/>
      <c r="K101" s="727"/>
      <c r="L101" s="727"/>
      <c r="M101" s="727"/>
      <c r="N101" s="727"/>
      <c r="O101" s="727"/>
      <c r="P101" s="727"/>
    </row>
    <row r="102" spans="1:16">
      <c r="A102" s="727"/>
      <c r="B102" s="727"/>
      <c r="C102" s="755"/>
      <c r="D102" s="753"/>
      <c r="E102" s="753"/>
      <c r="F102" s="753"/>
      <c r="G102" s="753"/>
      <c r="H102" s="753"/>
      <c r="I102" s="727"/>
      <c r="J102" s="727"/>
      <c r="K102" s="727"/>
      <c r="L102" s="727"/>
      <c r="M102" s="727"/>
      <c r="N102" s="727"/>
      <c r="O102" s="727"/>
      <c r="P102" s="727"/>
    </row>
    <row r="103" spans="1:16">
      <c r="A103" s="727"/>
      <c r="B103" s="727"/>
      <c r="C103" s="756"/>
      <c r="D103" s="727"/>
      <c r="E103" s="727"/>
      <c r="F103" s="727"/>
      <c r="G103" s="727"/>
      <c r="H103" s="727"/>
      <c r="I103" s="727"/>
      <c r="J103" s="727"/>
      <c r="K103" s="727"/>
      <c r="L103" s="727"/>
      <c r="M103" s="727"/>
      <c r="N103" s="727"/>
      <c r="O103" s="727"/>
      <c r="P103" s="727"/>
    </row>
    <row r="104" spans="1:16">
      <c r="A104" s="727"/>
      <c r="B104" s="748"/>
      <c r="C104" s="757"/>
      <c r="D104" s="727"/>
      <c r="E104" s="727"/>
      <c r="F104" s="727"/>
      <c r="G104" s="727"/>
      <c r="H104" s="727"/>
      <c r="I104" s="727"/>
      <c r="J104" s="727"/>
      <c r="K104" s="727"/>
      <c r="L104" s="727"/>
      <c r="M104" s="727"/>
      <c r="N104" s="727"/>
      <c r="O104" s="727"/>
      <c r="P104" s="727"/>
    </row>
    <row r="105" spans="1:16">
      <c r="A105" s="727"/>
      <c r="B105" s="748"/>
      <c r="C105" s="757"/>
      <c r="D105" s="727"/>
      <c r="E105" s="727"/>
      <c r="F105" s="727"/>
      <c r="G105" s="727"/>
      <c r="H105" s="727"/>
      <c r="I105" s="727"/>
      <c r="J105" s="727"/>
      <c r="K105" s="727"/>
      <c r="L105" s="727"/>
      <c r="M105" s="727"/>
      <c r="N105" s="727"/>
      <c r="O105" s="727"/>
      <c r="P105" s="727"/>
    </row>
    <row r="106" spans="1:16">
      <c r="A106" s="727"/>
      <c r="B106" s="727"/>
      <c r="C106" s="752"/>
      <c r="D106" s="727"/>
      <c r="E106" s="753"/>
      <c r="F106" s="727"/>
      <c r="G106" s="753"/>
      <c r="H106" s="727"/>
      <c r="I106" s="727"/>
      <c r="J106" s="727"/>
      <c r="K106" s="727"/>
      <c r="L106" s="727"/>
      <c r="M106" s="727"/>
      <c r="N106" s="727"/>
      <c r="O106" s="727"/>
      <c r="P106" s="727"/>
    </row>
    <row r="107" spans="1:16">
      <c r="A107" s="727"/>
      <c r="B107" s="727"/>
      <c r="C107" s="755"/>
      <c r="D107" s="753"/>
      <c r="E107" s="727"/>
      <c r="F107" s="753"/>
      <c r="G107" s="727"/>
      <c r="H107" s="753"/>
      <c r="I107" s="727"/>
      <c r="J107" s="727"/>
      <c r="K107" s="727"/>
      <c r="L107" s="727"/>
      <c r="M107" s="727"/>
      <c r="N107" s="727"/>
      <c r="O107" s="727"/>
      <c r="P107" s="727"/>
    </row>
    <row r="108" spans="1:16">
      <c r="A108" s="727"/>
      <c r="B108" s="727"/>
      <c r="C108" s="752"/>
      <c r="D108" s="753"/>
      <c r="E108" s="753"/>
      <c r="F108" s="753"/>
      <c r="G108" s="753"/>
      <c r="H108" s="753"/>
      <c r="I108" s="727"/>
      <c r="J108" s="727"/>
      <c r="K108" s="727"/>
      <c r="L108" s="727"/>
      <c r="M108" s="727"/>
      <c r="N108" s="727"/>
      <c r="O108" s="727"/>
      <c r="P108" s="727"/>
    </row>
    <row r="109" spans="1:16">
      <c r="A109" s="727"/>
      <c r="B109" s="727"/>
      <c r="C109" s="752"/>
      <c r="D109" s="758"/>
      <c r="E109" s="758"/>
      <c r="F109" s="758"/>
      <c r="G109" s="758"/>
      <c r="H109" s="758"/>
      <c r="I109" s="727"/>
      <c r="J109" s="727"/>
      <c r="K109" s="727"/>
      <c r="L109" s="727"/>
      <c r="M109" s="727"/>
      <c r="N109" s="727"/>
      <c r="O109" s="727"/>
      <c r="P109" s="727"/>
    </row>
    <row r="110" spans="1:16">
      <c r="A110" s="727"/>
      <c r="B110" s="727"/>
      <c r="C110" s="752"/>
      <c r="D110" s="759"/>
      <c r="E110" s="759"/>
      <c r="F110" s="759"/>
      <c r="G110" s="759"/>
      <c r="H110" s="759"/>
      <c r="I110" s="727"/>
      <c r="J110" s="727"/>
      <c r="K110" s="727"/>
      <c r="L110" s="727"/>
      <c r="M110" s="727"/>
      <c r="N110" s="727"/>
      <c r="O110" s="727"/>
      <c r="P110" s="727"/>
    </row>
    <row r="111" spans="1:16">
      <c r="A111" s="727"/>
      <c r="B111" s="727"/>
      <c r="C111" s="757"/>
      <c r="D111" s="727"/>
      <c r="E111" s="727"/>
      <c r="F111" s="727"/>
      <c r="G111" s="727"/>
      <c r="H111" s="727"/>
      <c r="I111" s="727"/>
      <c r="J111" s="727"/>
      <c r="K111" s="727"/>
      <c r="L111" s="727"/>
      <c r="M111" s="727"/>
      <c r="N111" s="727"/>
      <c r="O111" s="727"/>
      <c r="P111" s="727"/>
    </row>
    <row r="112" spans="1:16">
      <c r="A112" s="727"/>
      <c r="B112" s="748"/>
      <c r="C112" s="757"/>
      <c r="D112" s="727"/>
      <c r="E112" s="727"/>
      <c r="F112" s="727"/>
      <c r="G112" s="727"/>
      <c r="H112" s="727"/>
      <c r="I112" s="727"/>
      <c r="J112" s="727"/>
      <c r="K112" s="727"/>
      <c r="L112" s="727"/>
      <c r="M112" s="727"/>
      <c r="N112" s="727"/>
      <c r="O112" s="727"/>
      <c r="P112" s="727"/>
    </row>
    <row r="113" spans="1:16">
      <c r="A113" s="727"/>
      <c r="B113" s="727"/>
      <c r="C113" s="752"/>
      <c r="D113" s="753"/>
      <c r="E113" s="753"/>
      <c r="F113" s="753"/>
      <c r="G113" s="753"/>
      <c r="H113" s="753"/>
      <c r="I113" s="727"/>
      <c r="J113" s="727"/>
      <c r="K113" s="727"/>
      <c r="L113" s="727"/>
      <c r="M113" s="727"/>
      <c r="N113" s="727"/>
      <c r="O113" s="727"/>
      <c r="P113" s="727"/>
    </row>
    <row r="114" spans="1:16">
      <c r="A114" s="727"/>
      <c r="B114" s="727"/>
      <c r="C114" s="752"/>
      <c r="D114" s="753"/>
      <c r="E114" s="753"/>
      <c r="F114" s="753"/>
      <c r="G114" s="753"/>
      <c r="H114" s="753"/>
      <c r="I114" s="727"/>
      <c r="J114" s="727"/>
      <c r="K114" s="727"/>
      <c r="L114" s="727"/>
      <c r="M114" s="727"/>
      <c r="N114" s="727"/>
      <c r="O114" s="727"/>
      <c r="P114" s="727"/>
    </row>
    <row r="115" spans="1:16">
      <c r="A115" s="727"/>
      <c r="B115" s="727"/>
      <c r="C115" s="752"/>
      <c r="D115" s="753"/>
      <c r="E115" s="753"/>
      <c r="F115" s="753"/>
      <c r="G115" s="753"/>
      <c r="H115" s="753"/>
      <c r="I115" s="727"/>
      <c r="J115" s="727"/>
      <c r="K115" s="727"/>
      <c r="L115" s="727"/>
      <c r="M115" s="727"/>
      <c r="N115" s="727"/>
      <c r="O115" s="727"/>
      <c r="P115" s="727"/>
    </row>
    <row r="116" spans="1:16">
      <c r="A116" s="727"/>
      <c r="B116" s="727"/>
      <c r="C116" s="752"/>
      <c r="D116" s="753"/>
      <c r="E116" s="753"/>
      <c r="F116" s="753"/>
      <c r="G116" s="753"/>
      <c r="H116" s="753"/>
      <c r="I116" s="727"/>
      <c r="J116" s="727"/>
      <c r="K116" s="727"/>
      <c r="L116" s="727"/>
      <c r="M116" s="727"/>
      <c r="N116" s="727"/>
      <c r="O116" s="727"/>
      <c r="P116" s="727"/>
    </row>
    <row r="117" spans="1:16">
      <c r="A117" s="727"/>
      <c r="B117" s="727"/>
      <c r="C117" s="752"/>
      <c r="D117" s="751"/>
      <c r="E117" s="753"/>
      <c r="F117" s="751"/>
      <c r="G117" s="753"/>
      <c r="H117" s="751"/>
      <c r="I117" s="727"/>
      <c r="J117" s="727"/>
      <c r="K117" s="727"/>
      <c r="L117" s="727"/>
      <c r="M117" s="727"/>
      <c r="N117" s="727"/>
      <c r="O117" s="727"/>
      <c r="P117" s="727"/>
    </row>
    <row r="118" spans="1:16">
      <c r="A118" s="727"/>
      <c r="B118" s="727"/>
      <c r="C118" s="752"/>
      <c r="D118" s="751"/>
      <c r="E118" s="753"/>
      <c r="F118" s="751"/>
      <c r="G118" s="753"/>
      <c r="H118" s="751"/>
      <c r="I118" s="727"/>
      <c r="J118" s="727"/>
      <c r="K118" s="727"/>
      <c r="L118" s="727"/>
      <c r="M118" s="727"/>
      <c r="N118" s="727"/>
      <c r="O118" s="727"/>
      <c r="P118" s="727"/>
    </row>
    <row r="119" spans="1:16">
      <c r="A119" s="727"/>
      <c r="B119" s="727"/>
      <c r="C119" s="752"/>
      <c r="D119" s="751"/>
      <c r="E119" s="753"/>
      <c r="F119" s="751"/>
      <c r="G119" s="753"/>
      <c r="H119" s="751"/>
      <c r="I119" s="727"/>
      <c r="J119" s="727"/>
      <c r="K119" s="727"/>
      <c r="L119" s="727"/>
      <c r="M119" s="727"/>
      <c r="N119" s="727"/>
      <c r="O119" s="727"/>
      <c r="P119" s="727"/>
    </row>
    <row r="120" spans="1:16">
      <c r="A120" s="727"/>
      <c r="B120" s="727"/>
      <c r="C120" s="752"/>
      <c r="D120" s="753"/>
      <c r="E120" s="753"/>
      <c r="F120" s="753"/>
      <c r="G120" s="753"/>
      <c r="H120" s="753"/>
      <c r="I120" s="727"/>
      <c r="J120" s="727"/>
      <c r="K120" s="727"/>
      <c r="L120" s="727"/>
      <c r="M120" s="727"/>
      <c r="N120" s="727"/>
      <c r="O120" s="727"/>
      <c r="P120" s="727"/>
    </row>
    <row r="121" spans="1:16">
      <c r="A121" s="727"/>
      <c r="B121" s="727"/>
      <c r="C121" s="752"/>
      <c r="D121" s="758"/>
      <c r="E121" s="758"/>
      <c r="F121" s="758"/>
      <c r="G121" s="758"/>
      <c r="H121" s="758"/>
      <c r="I121" s="727"/>
      <c r="J121" s="727"/>
      <c r="K121" s="727"/>
      <c r="L121" s="727"/>
      <c r="M121" s="727"/>
      <c r="N121" s="727"/>
      <c r="O121" s="727"/>
      <c r="P121" s="727"/>
    </row>
    <row r="122" spans="1:16">
      <c r="A122" s="727"/>
      <c r="B122" s="727"/>
      <c r="C122" s="752"/>
      <c r="D122" s="759"/>
      <c r="E122" s="759"/>
      <c r="F122" s="759"/>
      <c r="G122" s="759"/>
      <c r="H122" s="759"/>
      <c r="I122" s="727"/>
      <c r="J122" s="727"/>
      <c r="K122" s="727"/>
      <c r="L122" s="727"/>
      <c r="M122" s="727"/>
      <c r="N122" s="727"/>
      <c r="O122" s="727"/>
      <c r="P122" s="727"/>
    </row>
    <row r="123" spans="1:16">
      <c r="A123" s="727"/>
      <c r="B123" s="727"/>
      <c r="C123" s="757"/>
      <c r="D123" s="727"/>
      <c r="E123" s="727"/>
      <c r="F123" s="727"/>
      <c r="G123" s="727"/>
      <c r="H123" s="727"/>
      <c r="I123" s="727"/>
      <c r="J123" s="727"/>
      <c r="K123" s="727"/>
      <c r="L123" s="727"/>
      <c r="M123" s="727"/>
      <c r="N123" s="727"/>
      <c r="O123" s="727"/>
      <c r="P123" s="727"/>
    </row>
    <row r="124" spans="1:16">
      <c r="A124" s="727"/>
      <c r="B124" s="727"/>
      <c r="C124" s="752"/>
      <c r="D124" s="727"/>
      <c r="E124" s="760"/>
      <c r="F124" s="727"/>
      <c r="G124" s="760"/>
      <c r="H124" s="727"/>
      <c r="I124" s="727"/>
      <c r="J124" s="727"/>
      <c r="K124" s="727"/>
      <c r="L124" s="727"/>
      <c r="M124" s="727"/>
      <c r="N124" s="727"/>
      <c r="O124" s="727"/>
      <c r="P124" s="72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
    <tabColor rgb="FFD9E1F2"/>
    <outlinePr summaryBelow="0"/>
  </sheetPr>
  <dimension ref="A1:AA90"/>
  <sheetViews>
    <sheetView showGridLines="0" zoomScale="129" zoomScaleNormal="85" workbookViewId="0">
      <pane xSplit="1" ySplit="3" topLeftCell="B4" activePane="bottomRight" state="frozen"/>
      <selection activeCell="G55" sqref="G55"/>
      <selection pane="topRight" activeCell="G55" sqref="G55"/>
      <selection pane="bottomLeft" activeCell="G55" sqref="G55"/>
      <selection pane="bottomRight" activeCell="F66" sqref="F66"/>
    </sheetView>
  </sheetViews>
  <sheetFormatPr defaultRowHeight="14.5"/>
  <cols>
    <col min="1" max="1" width="37.453125" style="5" bestFit="1" customWidth="1"/>
    <col min="2" max="5" width="13.6328125" style="5" bestFit="1" customWidth="1"/>
    <col min="6" max="6" width="16" style="5" bestFit="1" customWidth="1"/>
    <col min="7" max="7" width="13.6328125" style="5" bestFit="1" customWidth="1"/>
    <col min="8" max="8" width="14.54296875" style="5" bestFit="1" customWidth="1"/>
    <col min="9" max="9" width="13.6328125" style="5" bestFit="1" customWidth="1"/>
    <col min="10" max="10" width="14.26953125" style="5" bestFit="1" customWidth="1"/>
    <col min="11" max="14" width="15.26953125" bestFit="1" customWidth="1"/>
    <col min="15" max="15" width="26.6328125" bestFit="1" customWidth="1"/>
    <col min="16" max="16" width="24.26953125" bestFit="1" customWidth="1"/>
    <col min="17" max="17" width="17.6328125" style="7" bestFit="1" customWidth="1"/>
    <col min="18" max="18" width="21.54296875" style="7" bestFit="1" customWidth="1"/>
    <col min="19" max="19" width="17.453125" bestFit="1" customWidth="1"/>
    <col min="20" max="21" width="12.6328125" bestFit="1" customWidth="1"/>
    <col min="22" max="22" width="12.453125" bestFit="1" customWidth="1"/>
    <col min="23" max="23" width="14.26953125" bestFit="1" customWidth="1"/>
    <col min="24" max="24" width="13.26953125" style="1" bestFit="1" customWidth="1"/>
    <col min="25" max="25" width="13.453125" bestFit="1" customWidth="1"/>
    <col min="26" max="26" width="14.54296875" bestFit="1" customWidth="1"/>
    <col min="27" max="27" width="14.26953125" bestFit="1" customWidth="1"/>
  </cols>
  <sheetData>
    <row r="1" spans="1:27" s="4" customFormat="1" ht="18.399999999999999" customHeight="1">
      <c r="A1" s="144" t="str">
        <f t="array" aca="1" ref="A1" ca="1">_xlfn.TEXTAFTER(CELL("filename",A1),"]")</f>
        <v>lgh_oc</v>
      </c>
      <c r="B1" s="145"/>
      <c r="C1" s="145"/>
      <c r="D1" s="145"/>
      <c r="E1" s="145"/>
      <c r="F1" s="145"/>
      <c r="G1" s="145"/>
      <c r="H1" s="145"/>
      <c r="I1" s="145"/>
      <c r="J1" s="145"/>
      <c r="K1" s="145"/>
      <c r="L1" s="145"/>
      <c r="M1" s="145"/>
      <c r="N1" s="145"/>
      <c r="O1" s="43"/>
      <c r="P1" s="85"/>
      <c r="Q1" s="66"/>
      <c r="R1" s="66"/>
      <c r="S1" s="43"/>
      <c r="T1" s="43"/>
      <c r="U1" s="43"/>
      <c r="V1" s="43"/>
      <c r="W1" s="43"/>
      <c r="X1" s="64"/>
      <c r="Y1" s="43"/>
      <c r="Z1" s="43"/>
      <c r="AA1" s="43"/>
    </row>
    <row r="2" spans="1:27" s="17" customFormat="1">
      <c r="A2" s="146" t="s">
        <v>0</v>
      </c>
      <c r="B2" s="147">
        <v>45657</v>
      </c>
      <c r="C2" s="148">
        <f>+lgh_bs!E2</f>
        <v>45747</v>
      </c>
      <c r="D2" s="148">
        <f>+lgh_bs!F2</f>
        <v>45838</v>
      </c>
      <c r="E2" s="148">
        <f>+lgh_bs!G2</f>
        <v>45930</v>
      </c>
      <c r="F2" s="148">
        <f>+lgh_bs!H2</f>
        <v>46022</v>
      </c>
      <c r="G2" s="148">
        <f>+lgh_bs!I2</f>
        <v>46112</v>
      </c>
      <c r="H2" s="148">
        <f>+lgh_bs!J2</f>
        <v>46203</v>
      </c>
      <c r="I2" s="148">
        <f>+lgh_bs!K2</f>
        <v>46295</v>
      </c>
      <c r="J2" s="148">
        <f>+lgh_bs!L2</f>
        <v>46387</v>
      </c>
      <c r="K2" s="148">
        <f>+lgh_bs!M2</f>
        <v>46752</v>
      </c>
      <c r="L2" s="148">
        <f>+lgh_bs!N2</f>
        <v>47118</v>
      </c>
      <c r="M2" s="148">
        <f>+lgh_bs!O2</f>
        <v>47483</v>
      </c>
      <c r="N2" s="148">
        <f>+lgh_bs!P2</f>
        <v>47848</v>
      </c>
      <c r="O2" s="43"/>
      <c r="P2" s="85"/>
      <c r="Q2" s="149"/>
      <c r="R2" s="149"/>
      <c r="S2" s="82"/>
      <c r="T2" s="43"/>
      <c r="U2" s="43"/>
      <c r="V2" s="43"/>
      <c r="W2" s="43"/>
      <c r="X2" s="64"/>
      <c r="Y2" s="43"/>
      <c r="Z2" s="43"/>
      <c r="AA2" s="43"/>
    </row>
    <row r="3" spans="1:27">
      <c r="A3" s="146" t="s">
        <v>1</v>
      </c>
      <c r="B3" s="150" t="s">
        <v>2</v>
      </c>
      <c r="C3" s="151" t="str">
        <f>+lgh_bs!E3</f>
        <v>Q1</v>
      </c>
      <c r="D3" s="151" t="str">
        <f>+lgh_bs!F3</f>
        <v>Q2</v>
      </c>
      <c r="E3" s="151" t="str">
        <f>+lgh_bs!G3</f>
        <v>Q3</v>
      </c>
      <c r="F3" s="151" t="str">
        <f>+lgh_bs!H3</f>
        <v>Q4</v>
      </c>
      <c r="G3" s="151" t="str">
        <f>+lgh_bs!I3</f>
        <v>Q1</v>
      </c>
      <c r="H3" s="151" t="str">
        <f>+lgh_bs!J3</f>
        <v>Q2</v>
      </c>
      <c r="I3" s="151" t="str">
        <f>+lgh_bs!K3</f>
        <v>Q3</v>
      </c>
      <c r="J3" s="151" t="str">
        <f>+lgh_bs!L3</f>
        <v>Q4</v>
      </c>
      <c r="K3" s="152" t="str">
        <f>+lgh_bs!M3</f>
        <v>Q4</v>
      </c>
      <c r="L3" s="152" t="str">
        <f>+lgh_bs!N3</f>
        <v>Q4</v>
      </c>
      <c r="M3" s="152" t="str">
        <f>+lgh_bs!O3</f>
        <v>Q4</v>
      </c>
      <c r="N3" s="152" t="str">
        <f>+lgh_bs!P3</f>
        <v>Q4</v>
      </c>
      <c r="O3" s="43"/>
      <c r="P3" s="62"/>
      <c r="Q3" s="153"/>
      <c r="R3" s="153"/>
      <c r="S3" s="62"/>
      <c r="T3" s="43"/>
      <c r="U3" s="43"/>
      <c r="V3" s="43"/>
      <c r="W3" s="43"/>
      <c r="X3" s="43"/>
      <c r="Y3" s="43"/>
      <c r="Z3" s="43"/>
      <c r="AA3" s="43"/>
    </row>
    <row r="4" spans="1:27">
      <c r="A4" s="44" t="s">
        <v>239</v>
      </c>
      <c r="B4" s="49"/>
      <c r="C4" s="49"/>
      <c r="D4" s="49"/>
      <c r="E4" s="49"/>
      <c r="F4" s="49"/>
      <c r="G4" s="49"/>
      <c r="H4" s="49"/>
      <c r="I4" s="49"/>
      <c r="J4" s="49"/>
      <c r="K4" s="49"/>
      <c r="L4" s="49"/>
      <c r="M4" s="49"/>
      <c r="N4" s="49"/>
      <c r="O4" s="43"/>
      <c r="P4" s="85"/>
      <c r="Q4" s="43"/>
      <c r="R4" s="43"/>
      <c r="S4" s="43"/>
      <c r="T4" s="43"/>
      <c r="U4" s="43"/>
      <c r="V4" s="43"/>
      <c r="W4" s="43"/>
      <c r="X4" s="43"/>
      <c r="Y4" s="43"/>
      <c r="Z4" s="43"/>
      <c r="AA4" s="43"/>
    </row>
    <row r="5" spans="1:27" s="30" customFormat="1">
      <c r="A5" s="146" t="s">
        <v>240</v>
      </c>
      <c r="B5" s="154">
        <f>registry!B59</f>
        <v>0</v>
      </c>
      <c r="C5" s="154">
        <f>registry!C59</f>
        <v>687682.5</v>
      </c>
      <c r="D5" s="154">
        <f>registry!D59</f>
        <v>687682.5</v>
      </c>
      <c r="E5" s="154">
        <f>registry!E59</f>
        <v>1258082.5</v>
      </c>
      <c r="F5" s="154">
        <f>registry!F59</f>
        <v>1358832.5</v>
      </c>
      <c r="G5" s="154">
        <f>registry!G59</f>
        <v>2200269.6533333333</v>
      </c>
      <c r="H5" s="154">
        <f>registry!H59</f>
        <v>3530751.8333333326</v>
      </c>
      <c r="I5" s="154">
        <f>registry!I59</f>
        <v>3421728.7280701748</v>
      </c>
      <c r="J5" s="154">
        <f>registry!J59</f>
        <v>8574636.0438596494</v>
      </c>
      <c r="K5" s="154">
        <f>registry!K59</f>
        <v>16581919.233333331</v>
      </c>
      <c r="L5" s="154">
        <f>registry!L59</f>
        <v>14753020.143266667</v>
      </c>
      <c r="M5" s="154">
        <f>registry!M59</f>
        <v>14689949.777564667</v>
      </c>
      <c r="N5" s="154">
        <f>registry!N59</f>
        <v>13901367.324507296</v>
      </c>
      <c r="O5" s="55"/>
      <c r="P5" s="85"/>
      <c r="Q5" s="43"/>
      <c r="R5" s="43"/>
      <c r="S5" s="108"/>
      <c r="T5" s="43"/>
      <c r="U5" s="43"/>
      <c r="V5" s="43"/>
      <c r="W5" s="43"/>
      <c r="X5" s="43"/>
      <c r="Y5" s="43"/>
      <c r="Z5" s="43"/>
      <c r="AA5" s="43"/>
    </row>
    <row r="6" spans="1:27">
      <c r="A6" s="43"/>
      <c r="B6" s="43"/>
      <c r="C6" s="43"/>
      <c r="D6" s="43"/>
      <c r="E6" s="43"/>
      <c r="F6" s="43"/>
      <c r="G6" s="43"/>
      <c r="H6" s="43"/>
      <c r="I6" s="43"/>
      <c r="J6" s="43"/>
      <c r="K6" s="43"/>
      <c r="L6" s="43"/>
      <c r="M6" s="43"/>
      <c r="N6" s="43"/>
      <c r="O6" s="76"/>
      <c r="P6" s="85"/>
      <c r="Q6" s="66"/>
      <c r="R6" s="66"/>
      <c r="S6" s="43"/>
      <c r="T6" s="43"/>
      <c r="U6" s="43"/>
      <c r="V6" s="43"/>
      <c r="W6" s="43"/>
      <c r="X6" s="43"/>
      <c r="Y6" s="43"/>
      <c r="Z6" s="43"/>
      <c r="AA6" s="43"/>
    </row>
    <row r="7" spans="1:27">
      <c r="A7" s="44" t="s">
        <v>241</v>
      </c>
      <c r="B7" s="155"/>
      <c r="C7" s="155"/>
      <c r="D7" s="156"/>
      <c r="E7" s="156"/>
      <c r="F7" s="156"/>
      <c r="G7" s="156"/>
      <c r="H7" s="156"/>
      <c r="I7" s="156"/>
      <c r="J7" s="156"/>
      <c r="K7" s="156"/>
      <c r="L7" s="156"/>
      <c r="M7" s="156"/>
      <c r="N7" s="156"/>
      <c r="O7" s="157"/>
      <c r="P7" s="85"/>
      <c r="Q7" s="158"/>
      <c r="R7" s="159"/>
      <c r="S7" s="160"/>
      <c r="T7" s="43"/>
      <c r="U7" s="43"/>
      <c r="V7" s="43"/>
      <c r="W7" s="43"/>
      <c r="X7" s="43"/>
      <c r="Y7" s="43"/>
      <c r="Z7" s="43"/>
      <c r="AA7" s="43"/>
    </row>
    <row r="8" spans="1:27" s="422" customFormat="1">
      <c r="A8" s="44" t="s">
        <v>242</v>
      </c>
      <c r="B8" s="420">
        <v>0</v>
      </c>
      <c r="C8" s="420">
        <v>0</v>
      </c>
      <c r="D8" s="420">
        <v>0</v>
      </c>
      <c r="E8" s="420">
        <v>0</v>
      </c>
      <c r="F8" s="420">
        <v>0</v>
      </c>
      <c r="G8" s="420">
        <v>50000</v>
      </c>
      <c r="H8" s="420">
        <v>50000</v>
      </c>
      <c r="I8" s="420">
        <v>50000</v>
      </c>
      <c r="J8" s="420">
        <v>50000</v>
      </c>
      <c r="K8" s="420">
        <v>250000</v>
      </c>
      <c r="L8" s="420">
        <v>250000</v>
      </c>
      <c r="M8" s="420">
        <v>250000</v>
      </c>
      <c r="N8" s="420">
        <v>250000</v>
      </c>
      <c r="O8" s="43"/>
      <c r="P8" s="85"/>
      <c r="Q8" s="43"/>
      <c r="R8" s="43"/>
      <c r="S8" s="43"/>
      <c r="T8" s="43"/>
      <c r="U8" s="43"/>
      <c r="V8" s="43"/>
      <c r="W8" s="43"/>
      <c r="X8" s="43"/>
      <c r="Y8" s="43"/>
      <c r="Z8" s="43"/>
      <c r="AA8" s="43"/>
    </row>
    <row r="9" spans="1:27">
      <c r="A9" s="146" t="s">
        <v>243</v>
      </c>
      <c r="B9" s="161">
        <v>0</v>
      </c>
      <c r="C9" s="162">
        <f t="shared" ref="C9:N9" si="0">SUM(C8:C8)</f>
        <v>0</v>
      </c>
      <c r="D9" s="162">
        <f t="shared" si="0"/>
        <v>0</v>
      </c>
      <c r="E9" s="162">
        <f t="shared" si="0"/>
        <v>0</v>
      </c>
      <c r="F9" s="162">
        <f t="shared" si="0"/>
        <v>0</v>
      </c>
      <c r="G9" s="162">
        <f t="shared" si="0"/>
        <v>50000</v>
      </c>
      <c r="H9" s="162">
        <f t="shared" si="0"/>
        <v>50000</v>
      </c>
      <c r="I9" s="162">
        <f t="shared" si="0"/>
        <v>50000</v>
      </c>
      <c r="J9" s="162">
        <f t="shared" si="0"/>
        <v>50000</v>
      </c>
      <c r="K9" s="162">
        <f t="shared" si="0"/>
        <v>250000</v>
      </c>
      <c r="L9" s="162">
        <f t="shared" si="0"/>
        <v>250000</v>
      </c>
      <c r="M9" s="162">
        <f t="shared" si="0"/>
        <v>250000</v>
      </c>
      <c r="N9" s="162">
        <f t="shared" si="0"/>
        <v>250000</v>
      </c>
      <c r="O9" s="43"/>
      <c r="P9" s="85"/>
      <c r="Q9" s="43"/>
      <c r="R9" s="43"/>
      <c r="S9" s="43"/>
      <c r="T9" s="43"/>
      <c r="U9" s="43"/>
      <c r="V9" s="43"/>
      <c r="W9" s="43"/>
      <c r="X9" s="43"/>
      <c r="Y9" s="43"/>
      <c r="Z9" s="43"/>
      <c r="AA9" s="43"/>
    </row>
    <row r="10" spans="1:27">
      <c r="A10" s="163"/>
      <c r="B10" s="154"/>
      <c r="C10" s="154"/>
      <c r="D10" s="154"/>
      <c r="E10" s="154"/>
      <c r="F10" s="154"/>
      <c r="G10" s="154"/>
      <c r="H10" s="154"/>
      <c r="I10" s="154"/>
      <c r="J10" s="154"/>
      <c r="K10" s="154"/>
      <c r="L10" s="154"/>
      <c r="M10" s="154"/>
      <c r="N10" s="154"/>
      <c r="O10" s="43"/>
      <c r="P10" s="85"/>
      <c r="Q10" s="43"/>
      <c r="R10" s="43"/>
      <c r="S10" s="43"/>
      <c r="T10" s="43"/>
      <c r="U10" s="43"/>
      <c r="V10" s="43"/>
      <c r="W10" s="43"/>
      <c r="X10" s="43"/>
      <c r="Y10" s="43"/>
      <c r="Z10" s="43"/>
      <c r="AA10" s="43"/>
    </row>
    <row r="11" spans="1:27">
      <c r="A11" s="164" t="s">
        <v>244</v>
      </c>
      <c r="B11" s="154">
        <f t="shared" ref="B11:N11" si="1">B9+B5</f>
        <v>0</v>
      </c>
      <c r="C11" s="154">
        <f t="shared" si="1"/>
        <v>687682.5</v>
      </c>
      <c r="D11" s="154">
        <f t="shared" si="1"/>
        <v>687682.5</v>
      </c>
      <c r="E11" s="154">
        <f t="shared" si="1"/>
        <v>1258082.5</v>
      </c>
      <c r="F11" s="154">
        <f t="shared" si="1"/>
        <v>1358832.5</v>
      </c>
      <c r="G11" s="154">
        <f t="shared" si="1"/>
        <v>2250269.6533333333</v>
      </c>
      <c r="H11" s="154">
        <f t="shared" si="1"/>
        <v>3580751.8333333326</v>
      </c>
      <c r="I11" s="154">
        <f t="shared" si="1"/>
        <v>3471728.7280701748</v>
      </c>
      <c r="J11" s="154">
        <f t="shared" si="1"/>
        <v>8624636.0438596494</v>
      </c>
      <c r="K11" s="154">
        <f t="shared" si="1"/>
        <v>16831919.233333331</v>
      </c>
      <c r="L11" s="154">
        <f t="shared" si="1"/>
        <v>15003020.143266667</v>
      </c>
      <c r="M11" s="154">
        <f t="shared" si="1"/>
        <v>14939949.777564667</v>
      </c>
      <c r="N11" s="154">
        <f t="shared" si="1"/>
        <v>14151367.324507296</v>
      </c>
      <c r="O11" s="43"/>
      <c r="P11" s="85"/>
      <c r="Q11" s="43"/>
      <c r="R11" s="43"/>
      <c r="S11" s="43"/>
      <c r="T11" s="43"/>
      <c r="U11" s="43"/>
      <c r="V11" s="43"/>
      <c r="W11" s="43"/>
      <c r="X11" s="43"/>
      <c r="Y11" s="43"/>
      <c r="Z11" s="43"/>
      <c r="AA11" s="43"/>
    </row>
    <row r="12" spans="1:27">
      <c r="A12" s="163"/>
      <c r="B12" s="43"/>
      <c r="C12" s="43"/>
      <c r="D12" s="43"/>
      <c r="E12" s="43"/>
      <c r="F12" s="43"/>
      <c r="G12" s="43"/>
      <c r="H12" s="43"/>
      <c r="I12" s="43"/>
      <c r="J12" s="43"/>
      <c r="K12" s="43"/>
      <c r="L12" s="43"/>
      <c r="M12" s="43"/>
      <c r="N12" s="43"/>
      <c r="O12" s="43"/>
      <c r="P12" s="85"/>
      <c r="Q12" s="43"/>
      <c r="R12" s="43"/>
      <c r="S12" s="43"/>
      <c r="T12" s="43"/>
      <c r="U12" s="43"/>
      <c r="V12" s="43"/>
      <c r="W12" s="43"/>
      <c r="X12" s="43"/>
      <c r="Y12" s="43"/>
      <c r="Z12" s="43"/>
      <c r="AA12" s="43"/>
    </row>
    <row r="13" spans="1:27">
      <c r="A13" s="44" t="s">
        <v>245</v>
      </c>
      <c r="B13" s="65"/>
      <c r="C13" s="65"/>
      <c r="D13" s="65"/>
      <c r="E13" s="65"/>
      <c r="F13" s="65"/>
      <c r="G13" s="65"/>
      <c r="H13" s="65"/>
      <c r="I13" s="65"/>
      <c r="J13" s="65"/>
      <c r="K13" s="65"/>
      <c r="L13" s="65"/>
      <c r="M13" s="65"/>
      <c r="N13" s="65"/>
      <c r="O13" s="50"/>
      <c r="P13" s="85"/>
      <c r="Q13" s="43"/>
      <c r="R13" s="43"/>
      <c r="S13" s="43"/>
      <c r="T13" s="43"/>
      <c r="U13" s="43"/>
      <c r="V13" s="43"/>
      <c r="W13" s="43"/>
      <c r="X13" s="43"/>
      <c r="Y13" s="43"/>
      <c r="Z13" s="43"/>
      <c r="AA13" s="43"/>
    </row>
    <row r="14" spans="1:27" s="19" customFormat="1">
      <c r="A14" s="165" t="s">
        <v>246</v>
      </c>
      <c r="B14" s="154">
        <f>-registry!B58</f>
        <v>-2452451</v>
      </c>
      <c r="C14" s="154">
        <f>-registry!C58</f>
        <v>-623314.75</v>
      </c>
      <c r="D14" s="154">
        <f>-registry!D58</f>
        <v>-623314.75</v>
      </c>
      <c r="E14" s="154">
        <f>-registry!E58</f>
        <v>-908514.75</v>
      </c>
      <c r="F14" s="154">
        <f>-registry!F58</f>
        <v>-903214.75</v>
      </c>
      <c r="G14" s="154">
        <f>-registry!G58</f>
        <v>-886331.47666666668</v>
      </c>
      <c r="H14" s="154">
        <f>-registry!H58</f>
        <v>-1430293.4791666667</v>
      </c>
      <c r="I14" s="154">
        <f>-registry!I58</f>
        <v>-1358160.8739035088</v>
      </c>
      <c r="J14" s="154">
        <f>-registry!J58</f>
        <v>-2898497.3521929821</v>
      </c>
      <c r="K14" s="154">
        <f>-registry!K58</f>
        <v>-4916121.7316666665</v>
      </c>
      <c r="L14" s="154">
        <f>-registry!L58</f>
        <v>-4276007.0501433332</v>
      </c>
      <c r="M14" s="154">
        <f>-registry!M58</f>
        <v>-4253932.4221476335</v>
      </c>
      <c r="N14" s="154">
        <f>-registry!N58</f>
        <v>-3977928.5635775542</v>
      </c>
      <c r="O14" s="43"/>
      <c r="P14" s="85"/>
      <c r="Q14" s="66"/>
      <c r="R14" s="66"/>
      <c r="S14" s="108"/>
      <c r="T14" s="43"/>
      <c r="U14" s="43"/>
      <c r="V14" s="43"/>
      <c r="W14" s="43"/>
      <c r="X14" s="166"/>
      <c r="Y14" s="43"/>
      <c r="Z14" s="43"/>
      <c r="AA14" s="43"/>
    </row>
    <row r="15" spans="1:27">
      <c r="A15" s="167"/>
      <c r="B15" s="154"/>
      <c r="C15" s="154"/>
      <c r="D15" s="154"/>
      <c r="E15" s="154"/>
      <c r="F15" s="154"/>
      <c r="G15" s="154"/>
      <c r="H15" s="154"/>
      <c r="I15" s="154"/>
      <c r="J15" s="154"/>
      <c r="K15" s="154"/>
      <c r="L15" s="154"/>
      <c r="M15" s="154"/>
      <c r="N15" s="154"/>
      <c r="O15" s="43"/>
      <c r="P15" s="85"/>
      <c r="Q15" s="43"/>
      <c r="R15" s="43"/>
      <c r="S15" s="43"/>
      <c r="T15" s="43"/>
      <c r="U15" s="43"/>
      <c r="V15" s="43"/>
      <c r="W15" s="43"/>
      <c r="X15" s="43"/>
      <c r="Y15" s="43"/>
      <c r="Z15" s="43"/>
      <c r="AA15" s="43"/>
    </row>
    <row r="16" spans="1:27">
      <c r="A16" s="165" t="s">
        <v>144</v>
      </c>
      <c r="B16" s="154">
        <f>+registry!B95</f>
        <v>-5450569</v>
      </c>
      <c r="C16" s="154">
        <f>+registry!C95</f>
        <v>-1637186</v>
      </c>
      <c r="D16" s="154">
        <f>+registry!D95</f>
        <v>-1733477</v>
      </c>
      <c r="E16" s="154">
        <f>+registry!E95</f>
        <v>-1694124</v>
      </c>
      <c r="F16" s="154">
        <f>+registry!F95</f>
        <v>-2917273</v>
      </c>
      <c r="G16" s="154">
        <f>+registry!G95</f>
        <v>-4057849.8571428573</v>
      </c>
      <c r="H16" s="154">
        <f>+registry!H95</f>
        <v>-4457407</v>
      </c>
      <c r="I16" s="154">
        <f>+registry!I95</f>
        <v>-2834607</v>
      </c>
      <c r="J16" s="154">
        <f>+registry!J95</f>
        <v>-4930793.25</v>
      </c>
      <c r="K16" s="154">
        <f>+registry!K95</f>
        <v>-12027143.140000001</v>
      </c>
      <c r="L16" s="154">
        <f>+registry!L95</f>
        <v>-11730729.884199999</v>
      </c>
      <c r="M16" s="154">
        <f>+registry!M95</f>
        <v>-12082651.780726001</v>
      </c>
      <c r="N16" s="154">
        <f>+registry!N95</f>
        <v>-12445131.334147781</v>
      </c>
      <c r="O16" s="43"/>
      <c r="P16" s="85"/>
      <c r="Q16" s="43"/>
      <c r="R16" s="43"/>
      <c r="S16" s="43"/>
      <c r="T16" s="64"/>
      <c r="U16" s="64"/>
      <c r="V16" s="64"/>
      <c r="W16" s="64"/>
      <c r="X16" s="43"/>
      <c r="Y16" s="64"/>
      <c r="Z16" s="64"/>
      <c r="AA16" s="64"/>
    </row>
    <row r="17" spans="1:27">
      <c r="A17" s="167"/>
      <c r="B17" s="154"/>
      <c r="C17" s="154"/>
      <c r="D17" s="154"/>
      <c r="E17" s="154"/>
      <c r="F17" s="154"/>
      <c r="G17" s="154"/>
      <c r="H17" s="154"/>
      <c r="I17" s="154"/>
      <c r="J17" s="154"/>
      <c r="K17" s="154"/>
      <c r="L17" s="154"/>
      <c r="M17" s="154"/>
      <c r="N17" s="154"/>
      <c r="O17" s="43"/>
      <c r="P17" s="85"/>
      <c r="Q17" s="43"/>
      <c r="R17" s="43"/>
      <c r="S17" s="43"/>
      <c r="T17" s="168"/>
      <c r="U17" s="168"/>
      <c r="V17" s="168"/>
      <c r="W17" s="168"/>
      <c r="X17" s="168"/>
      <c r="Y17" s="168"/>
      <c r="Z17" s="168"/>
      <c r="AA17" s="168"/>
    </row>
    <row r="18" spans="1:27" s="19" customFormat="1">
      <c r="A18" s="165" t="s">
        <v>247</v>
      </c>
      <c r="B18" s="161">
        <v>-8570520</v>
      </c>
      <c r="C18" s="154">
        <f t="shared" ref="C18:N18" si="2">+C14+C16</f>
        <v>-2260500.75</v>
      </c>
      <c r="D18" s="154">
        <f t="shared" si="2"/>
        <v>-2356791.75</v>
      </c>
      <c r="E18" s="154">
        <f t="shared" si="2"/>
        <v>-2602638.75</v>
      </c>
      <c r="F18" s="154">
        <f t="shared" si="2"/>
        <v>-3820487.75</v>
      </c>
      <c r="G18" s="154">
        <f t="shared" si="2"/>
        <v>-4944181.3338095238</v>
      </c>
      <c r="H18" s="154">
        <f t="shared" si="2"/>
        <v>-5887700.479166667</v>
      </c>
      <c r="I18" s="154">
        <f t="shared" si="2"/>
        <v>-4192767.8739035088</v>
      </c>
      <c r="J18" s="154">
        <f t="shared" si="2"/>
        <v>-7829290.6021929821</v>
      </c>
      <c r="K18" s="154">
        <f t="shared" si="2"/>
        <v>-16943264.871666666</v>
      </c>
      <c r="L18" s="154">
        <f t="shared" si="2"/>
        <v>-16006736.934343332</v>
      </c>
      <c r="M18" s="154">
        <f t="shared" si="2"/>
        <v>-16336584.202873634</v>
      </c>
      <c r="N18" s="154">
        <f t="shared" si="2"/>
        <v>-16423059.897725336</v>
      </c>
      <c r="O18" s="43"/>
      <c r="P18" s="85"/>
      <c r="Q18" s="66"/>
      <c r="R18" s="66"/>
      <c r="S18" s="108"/>
      <c r="T18" s="43"/>
      <c r="U18" s="43"/>
      <c r="V18" s="43"/>
      <c r="W18" s="43"/>
      <c r="X18" s="166"/>
      <c r="Y18" s="43"/>
      <c r="Z18" s="43"/>
      <c r="AA18" s="43"/>
    </row>
    <row r="19" spans="1:27" s="19" customFormat="1">
      <c r="A19" s="169"/>
      <c r="B19" s="154"/>
      <c r="C19" s="154"/>
      <c r="D19" s="154"/>
      <c r="E19" s="154"/>
      <c r="F19" s="154"/>
      <c r="G19" s="154"/>
      <c r="H19" s="154"/>
      <c r="I19" s="154"/>
      <c r="J19" s="154"/>
      <c r="K19" s="154"/>
      <c r="L19" s="154"/>
      <c r="M19" s="154"/>
      <c r="N19" s="154"/>
      <c r="O19" s="43"/>
      <c r="P19" s="85"/>
      <c r="Q19" s="66"/>
      <c r="R19" s="66"/>
      <c r="S19" s="168"/>
      <c r="T19" s="43"/>
      <c r="U19" s="43"/>
      <c r="V19" s="43"/>
      <c r="W19" s="43"/>
      <c r="X19" s="166"/>
      <c r="Y19" s="43"/>
      <c r="Z19" s="43"/>
      <c r="AA19" s="43"/>
    </row>
    <row r="20" spans="1:27" ht="14.65" customHeight="1">
      <c r="A20" s="44" t="s">
        <v>248</v>
      </c>
      <c r="B20" s="154">
        <f t="shared" ref="B20:N20" si="3">+B11+B18+B23</f>
        <v>-8570520</v>
      </c>
      <c r="C20" s="154">
        <f t="shared" si="3"/>
        <v>-1572818.25</v>
      </c>
      <c r="D20" s="154">
        <f t="shared" si="3"/>
        <v>-1669109.25</v>
      </c>
      <c r="E20" s="154">
        <f t="shared" si="3"/>
        <v>-1344556.25</v>
      </c>
      <c r="F20" s="154">
        <f t="shared" si="3"/>
        <v>-2461655.25</v>
      </c>
      <c r="G20" s="154">
        <f t="shared" si="3"/>
        <v>-2693911.6804761905</v>
      </c>
      <c r="H20" s="154">
        <f t="shared" si="3"/>
        <v>-2306948.6458333344</v>
      </c>
      <c r="I20" s="154">
        <f t="shared" si="3"/>
        <v>-721039.14583333395</v>
      </c>
      <c r="J20" s="154">
        <f t="shared" si="3"/>
        <v>1795345.4416666673</v>
      </c>
      <c r="K20" s="154">
        <f t="shared" si="3"/>
        <v>2188654.3616666645</v>
      </c>
      <c r="L20" s="154">
        <f t="shared" si="3"/>
        <v>-1003716.7910766657</v>
      </c>
      <c r="M20" s="154">
        <f t="shared" si="3"/>
        <v>2103365.574691033</v>
      </c>
      <c r="N20" s="154">
        <f t="shared" si="3"/>
        <v>-2271692.5732180402</v>
      </c>
      <c r="O20" s="43"/>
      <c r="P20" s="85"/>
      <c r="Q20" s="43"/>
      <c r="R20" s="43"/>
      <c r="S20" s="108"/>
      <c r="T20" s="43"/>
      <c r="U20" s="43"/>
      <c r="V20" s="43"/>
      <c r="W20" s="43"/>
      <c r="X20" s="43"/>
      <c r="Y20" s="43"/>
      <c r="Z20" s="43"/>
      <c r="AA20" s="43"/>
    </row>
    <row r="21" spans="1:27">
      <c r="A21" s="170" t="s">
        <v>249</v>
      </c>
      <c r="B21" s="155"/>
      <c r="C21" s="155"/>
      <c r="D21" s="156"/>
      <c r="E21" s="156"/>
      <c r="F21" s="171">
        <f>-SUM(C20:F20)/lgh_bs!H44</f>
        <v>4.6532218387748639E-2</v>
      </c>
      <c r="G21" s="156"/>
      <c r="H21" s="156"/>
      <c r="I21" s="156"/>
      <c r="J21" s="171">
        <f>-SUM(G20:J20)/lgh_bs!L44</f>
        <v>1.9465383816264135E-2</v>
      </c>
      <c r="K21" s="156">
        <f>-K20/lgh_bs!M44</f>
        <v>-8.897978276711108E-3</v>
      </c>
      <c r="L21" s="156">
        <f>-L20/lgh_bs!N44</f>
        <v>2.9838314379152572E-3</v>
      </c>
      <c r="M21" s="156">
        <f>-M20/lgh_bs!O44</f>
        <v>-4.9303061337141975E-3</v>
      </c>
      <c r="N21" s="156">
        <f>-N20/lgh_bs!P44</f>
        <v>4.1191797139503075E-3</v>
      </c>
      <c r="O21" s="157"/>
      <c r="P21" s="85"/>
      <c r="Q21" s="158"/>
      <c r="R21" s="159"/>
      <c r="S21" s="160"/>
      <c r="T21" s="43"/>
      <c r="U21" s="43"/>
      <c r="V21" s="43"/>
      <c r="W21" s="43"/>
      <c r="X21" s="43"/>
      <c r="Y21" s="43"/>
      <c r="Z21" s="43"/>
      <c r="AA21" s="43"/>
    </row>
    <row r="22" spans="1:27">
      <c r="A22" s="172"/>
      <c r="B22" s="155"/>
      <c r="C22" s="155"/>
      <c r="D22" s="156"/>
      <c r="E22" s="156"/>
      <c r="F22" s="156"/>
      <c r="G22" s="156"/>
      <c r="H22" s="156"/>
      <c r="I22" s="156"/>
      <c r="J22" s="156"/>
      <c r="K22" s="156"/>
      <c r="L22" s="156"/>
      <c r="M22" s="156"/>
      <c r="N22" s="156"/>
      <c r="O22" s="157"/>
      <c r="P22" s="85"/>
      <c r="Q22" s="158"/>
      <c r="R22" s="159"/>
      <c r="S22" s="160"/>
      <c r="T22" s="43"/>
      <c r="U22" s="43"/>
      <c r="V22" s="43"/>
      <c r="W22" s="43"/>
      <c r="X22" s="43"/>
      <c r="Y22" s="43"/>
      <c r="Z22" s="43"/>
      <c r="AA22" s="43"/>
    </row>
    <row r="23" spans="1:27">
      <c r="A23" s="165" t="s">
        <v>250</v>
      </c>
      <c r="B23" s="161">
        <v>0</v>
      </c>
      <c r="C23" s="154">
        <f>+registry!C43</f>
        <v>0</v>
      </c>
      <c r="D23" s="154">
        <f>+registry!D43</f>
        <v>0</v>
      </c>
      <c r="E23" s="154">
        <f>+registry!E43</f>
        <v>0</v>
      </c>
      <c r="F23" s="154">
        <f>+registry!F43</f>
        <v>0</v>
      </c>
      <c r="G23" s="154">
        <f>+registry!G43</f>
        <v>0</v>
      </c>
      <c r="H23" s="154">
        <f>+registry!H43</f>
        <v>0</v>
      </c>
      <c r="I23" s="154">
        <f>+registry!I43</f>
        <v>0</v>
      </c>
      <c r="J23" s="154">
        <f>+registry!J43</f>
        <v>1000000</v>
      </c>
      <c r="K23" s="154">
        <f>+registry!K43</f>
        <v>2300000</v>
      </c>
      <c r="L23" s="154">
        <f>+registry!L43</f>
        <v>0</v>
      </c>
      <c r="M23" s="154">
        <f>+registry!M43</f>
        <v>3500000</v>
      </c>
      <c r="N23" s="154">
        <f>+registry!N43</f>
        <v>0</v>
      </c>
      <c r="O23" s="46" t="s">
        <v>251</v>
      </c>
      <c r="P23" s="85"/>
      <c r="Q23" s="43"/>
      <c r="R23" s="43"/>
      <c r="S23" s="43"/>
      <c r="T23" s="43"/>
      <c r="U23" s="43"/>
      <c r="V23" s="43"/>
      <c r="W23" s="43"/>
      <c r="X23" s="43"/>
      <c r="Y23" s="43"/>
      <c r="Z23" s="43"/>
      <c r="AA23" s="43"/>
    </row>
    <row r="24" spans="1:27" ht="15" customHeight="1">
      <c r="A24" s="165" t="s">
        <v>252</v>
      </c>
      <c r="B24" s="154">
        <f>+registry!B96</f>
        <v>0</v>
      </c>
      <c r="C24" s="154">
        <f>+registry!C96</f>
        <v>350000</v>
      </c>
      <c r="D24" s="154">
        <f>+registry!D96</f>
        <v>700000</v>
      </c>
      <c r="E24" s="154">
        <f>+registry!E96</f>
        <v>1050000</v>
      </c>
      <c r="F24" s="154">
        <f>+registry!F96</f>
        <v>1600000</v>
      </c>
      <c r="G24" s="154">
        <f>+registry!G96</f>
        <v>2150000</v>
      </c>
      <c r="H24" s="154">
        <f>+registry!H96</f>
        <v>2700000</v>
      </c>
      <c r="I24" s="154">
        <f>+registry!I96</f>
        <v>3250000</v>
      </c>
      <c r="J24" s="154">
        <f>+registry!J96</f>
        <v>2800000</v>
      </c>
      <c r="K24" s="154">
        <f>+registry!K96</f>
        <v>1700000</v>
      </c>
      <c r="L24" s="154">
        <f>+registry!L96</f>
        <v>2600000</v>
      </c>
      <c r="M24" s="154">
        <f>+registry!M96</f>
        <v>500000</v>
      </c>
      <c r="N24" s="154">
        <f>+registry!N96</f>
        <v>1900000</v>
      </c>
      <c r="O24" s="43"/>
      <c r="P24" s="85"/>
      <c r="Q24" s="43"/>
      <c r="R24" s="43"/>
      <c r="S24" s="43"/>
      <c r="T24" s="43"/>
      <c r="U24" s="43"/>
      <c r="V24" s="43"/>
      <c r="W24" s="43"/>
      <c r="X24" s="43"/>
      <c r="Y24" s="43"/>
      <c r="Z24" s="43"/>
      <c r="AA24" s="43"/>
    </row>
    <row r="25" spans="1:27" s="417" customFormat="1" ht="15.5" customHeight="1">
      <c r="A25" s="165" t="s">
        <v>253</v>
      </c>
      <c r="B25" s="420">
        <v>0</v>
      </c>
      <c r="C25" s="420">
        <v>-250000</v>
      </c>
      <c r="D25" s="420">
        <v>-250000</v>
      </c>
      <c r="E25" s="420">
        <v>-250000</v>
      </c>
      <c r="F25" s="420">
        <v>-250000</v>
      </c>
      <c r="G25" s="420">
        <v>-250000</v>
      </c>
      <c r="H25" s="420">
        <v>-250000</v>
      </c>
      <c r="I25" s="420">
        <v>-250000</v>
      </c>
      <c r="J25" s="420">
        <v>-250000</v>
      </c>
      <c r="K25" s="420">
        <v>-1000000</v>
      </c>
      <c r="L25" s="420">
        <v>-1000000</v>
      </c>
      <c r="M25" s="420">
        <v>-1000000</v>
      </c>
      <c r="N25" s="420">
        <v>-1000000</v>
      </c>
      <c r="O25" s="43"/>
      <c r="P25" s="85"/>
      <c r="Q25" s="43"/>
      <c r="R25" s="43"/>
      <c r="S25" s="43"/>
      <c r="T25" s="43"/>
      <c r="U25" s="43"/>
      <c r="V25" s="43"/>
      <c r="W25" s="43"/>
      <c r="X25" s="43"/>
      <c r="Y25" s="43"/>
      <c r="Z25" s="43"/>
      <c r="AA25" s="43"/>
    </row>
    <row r="26" spans="1:27" ht="15" customHeight="1">
      <c r="A26" s="165" t="s">
        <v>254</v>
      </c>
      <c r="B26" s="154">
        <f t="shared" ref="B26:N26" si="4">B23+B25</f>
        <v>0</v>
      </c>
      <c r="C26" s="154">
        <f t="shared" si="4"/>
        <v>-250000</v>
      </c>
      <c r="D26" s="154">
        <f t="shared" si="4"/>
        <v>-250000</v>
      </c>
      <c r="E26" s="154">
        <f t="shared" si="4"/>
        <v>-250000</v>
      </c>
      <c r="F26" s="154">
        <f t="shared" si="4"/>
        <v>-250000</v>
      </c>
      <c r="G26" s="154">
        <f t="shared" si="4"/>
        <v>-250000</v>
      </c>
      <c r="H26" s="154">
        <f t="shared" si="4"/>
        <v>-250000</v>
      </c>
      <c r="I26" s="154">
        <f t="shared" si="4"/>
        <v>-250000</v>
      </c>
      <c r="J26" s="154">
        <f t="shared" si="4"/>
        <v>750000</v>
      </c>
      <c r="K26" s="154">
        <f t="shared" si="4"/>
        <v>1300000</v>
      </c>
      <c r="L26" s="154">
        <f t="shared" si="4"/>
        <v>-1000000</v>
      </c>
      <c r="M26" s="154">
        <f t="shared" si="4"/>
        <v>2500000</v>
      </c>
      <c r="N26" s="154">
        <f t="shared" si="4"/>
        <v>-1000000</v>
      </c>
      <c r="O26" s="43"/>
      <c r="P26" s="85"/>
      <c r="Q26" s="43"/>
      <c r="R26" s="43"/>
      <c r="S26" s="43"/>
      <c r="T26" s="43"/>
      <c r="U26" s="43"/>
      <c r="V26" s="43"/>
      <c r="W26" s="43"/>
      <c r="X26" s="43"/>
      <c r="Y26" s="43"/>
      <c r="Z26" s="43"/>
      <c r="AA26" s="43"/>
    </row>
    <row r="27" spans="1:27">
      <c r="A27" s="169"/>
      <c r="B27" s="154"/>
      <c r="C27" s="154"/>
      <c r="D27" s="154"/>
      <c r="E27" s="154"/>
      <c r="F27" s="154"/>
      <c r="G27" s="154"/>
      <c r="H27" s="154"/>
      <c r="I27" s="154"/>
      <c r="J27" s="154"/>
      <c r="K27" s="154"/>
      <c r="L27" s="154"/>
      <c r="M27" s="154"/>
      <c r="N27" s="154"/>
      <c r="O27" s="43"/>
      <c r="P27" s="85"/>
      <c r="Q27" s="43"/>
      <c r="R27" s="43"/>
      <c r="S27" s="43"/>
      <c r="T27" s="43"/>
      <c r="U27" s="43"/>
      <c r="V27" s="43"/>
      <c r="W27" s="43"/>
      <c r="X27" s="43"/>
      <c r="Y27" s="43"/>
      <c r="Z27" s="43"/>
      <c r="AA27" s="43"/>
    </row>
    <row r="28" spans="1:27">
      <c r="A28" s="173" t="s">
        <v>255</v>
      </c>
      <c r="B28" s="49"/>
      <c r="C28" s="49"/>
      <c r="D28" s="49"/>
      <c r="E28" s="49"/>
      <c r="F28" s="49"/>
      <c r="G28" s="49"/>
      <c r="H28" s="49"/>
      <c r="I28" s="49"/>
      <c r="J28" s="49"/>
      <c r="K28" s="49"/>
      <c r="L28" s="49"/>
      <c r="M28" s="49"/>
      <c r="N28" s="49"/>
      <c r="O28" s="43"/>
      <c r="P28" s="85"/>
      <c r="Q28" s="43"/>
      <c r="R28" s="43"/>
      <c r="S28" s="43"/>
      <c r="T28" s="43"/>
      <c r="U28" s="43"/>
      <c r="V28" s="43"/>
      <c r="W28" s="43"/>
      <c r="X28" s="43"/>
      <c r="Y28" s="43"/>
      <c r="Z28" s="43"/>
      <c r="AA28" s="43"/>
    </row>
    <row r="29" spans="1:27">
      <c r="A29" s="46" t="s">
        <v>146</v>
      </c>
      <c r="B29" s="43"/>
      <c r="C29" s="43"/>
      <c r="D29" s="43"/>
      <c r="E29" s="50"/>
      <c r="F29" s="43"/>
      <c r="G29" s="50"/>
      <c r="H29" s="43"/>
      <c r="I29" s="43"/>
      <c r="J29" s="43"/>
      <c r="K29" s="43"/>
      <c r="L29" s="43"/>
      <c r="M29" s="43"/>
      <c r="N29" s="43"/>
      <c r="O29" s="43"/>
      <c r="P29" s="85"/>
      <c r="Q29" s="43"/>
      <c r="R29" s="43"/>
      <c r="S29" s="43"/>
      <c r="T29" s="43"/>
      <c r="U29" s="43"/>
      <c r="V29" s="43"/>
      <c r="W29" s="43"/>
      <c r="X29" s="43"/>
      <c r="Y29" s="43"/>
      <c r="Z29" s="43"/>
      <c r="AA29" s="43"/>
    </row>
    <row r="30" spans="1:27">
      <c r="A30" s="46" t="s">
        <v>256</v>
      </c>
      <c r="B30" s="68">
        <v>1562074</v>
      </c>
      <c r="C30" s="50">
        <f>+registry!C5</f>
        <v>3250000</v>
      </c>
      <c r="D30" s="50">
        <f>+registry!D5</f>
        <v>3388588</v>
      </c>
      <c r="E30" s="50">
        <f>+registry!E5</f>
        <v>1475962</v>
      </c>
      <c r="F30" s="50">
        <f>+registry!F5</f>
        <v>8336733</v>
      </c>
      <c r="G30" s="50">
        <f>+registry!G5</f>
        <v>0</v>
      </c>
      <c r="H30" s="50">
        <f>+registry!H5</f>
        <v>0</v>
      </c>
      <c r="I30" s="50">
        <f>+registry!I5</f>
        <v>0</v>
      </c>
      <c r="J30" s="50">
        <f>+registry!J5</f>
        <v>0</v>
      </c>
      <c r="K30" s="50">
        <f>+registry!K5</f>
        <v>664696</v>
      </c>
      <c r="L30" s="50">
        <f>+registry!L5</f>
        <v>3762565</v>
      </c>
      <c r="M30" s="50">
        <f>+registry!M5</f>
        <v>20842800</v>
      </c>
      <c r="N30" s="50">
        <f>+registry!N5</f>
        <v>4123684</v>
      </c>
      <c r="O30" s="43"/>
      <c r="P30" s="85"/>
      <c r="Q30" s="43"/>
      <c r="R30" s="43"/>
      <c r="S30" s="43"/>
      <c r="T30" s="43"/>
      <c r="U30" s="43"/>
      <c r="V30" s="43"/>
      <c r="W30" s="43"/>
      <c r="X30" s="43"/>
      <c r="Y30" s="43"/>
      <c r="Z30" s="43"/>
      <c r="AA30" s="43"/>
    </row>
    <row r="31" spans="1:27">
      <c r="A31" s="46" t="s">
        <v>190</v>
      </c>
      <c r="B31" s="68">
        <v>814451.63400000008</v>
      </c>
      <c r="C31" s="50">
        <f>+registry!C10</f>
        <v>5515000</v>
      </c>
      <c r="D31" s="50">
        <f>+registry!D10</f>
        <v>0</v>
      </c>
      <c r="E31" s="50">
        <f>+registry!E10</f>
        <v>525000</v>
      </c>
      <c r="F31" s="50">
        <f>+registry!F10</f>
        <v>0</v>
      </c>
      <c r="G31" s="50">
        <f>+registry!G10</f>
        <v>0</v>
      </c>
      <c r="H31" s="50">
        <f>+registry!H10</f>
        <v>0</v>
      </c>
      <c r="I31" s="50">
        <f>+registry!I10</f>
        <v>0</v>
      </c>
      <c r="J31" s="50">
        <f>+registry!J10</f>
        <v>0</v>
      </c>
      <c r="K31" s="50">
        <f>+registry!K10</f>
        <v>0</v>
      </c>
      <c r="L31" s="50">
        <f>+registry!L10</f>
        <v>0</v>
      </c>
      <c r="M31" s="50">
        <f>+registry!M10</f>
        <v>0</v>
      </c>
      <c r="N31" s="50">
        <f>+registry!N10</f>
        <v>0</v>
      </c>
      <c r="O31" s="43"/>
      <c r="P31" s="85"/>
      <c r="Q31" s="43"/>
      <c r="R31" s="43"/>
      <c r="S31" s="43"/>
      <c r="T31" s="43"/>
      <c r="U31" s="43"/>
      <c r="V31" s="43"/>
      <c r="W31" s="43"/>
      <c r="X31" s="43"/>
      <c r="Y31" s="43"/>
      <c r="Z31" s="43"/>
      <c r="AA31" s="43"/>
    </row>
    <row r="32" spans="1:27">
      <c r="A32" s="46" t="s">
        <v>195</v>
      </c>
      <c r="B32" s="68">
        <v>0</v>
      </c>
      <c r="C32" s="50">
        <f>+registry!C21</f>
        <v>0</v>
      </c>
      <c r="D32" s="50">
        <f>+registry!D21</f>
        <v>0</v>
      </c>
      <c r="E32" s="50">
        <f>+registry!E21</f>
        <v>0</v>
      </c>
      <c r="F32" s="50">
        <f>+registry!F21</f>
        <v>350000</v>
      </c>
      <c r="G32" s="50">
        <f>+registry!G21</f>
        <v>0</v>
      </c>
      <c r="H32" s="50">
        <f>+registry!H21</f>
        <v>350000</v>
      </c>
      <c r="I32" s="50">
        <f>+registry!I21</f>
        <v>0</v>
      </c>
      <c r="J32" s="50">
        <f>+registry!J21</f>
        <v>0</v>
      </c>
      <c r="K32" s="50">
        <f>+registry!K21</f>
        <v>22075000</v>
      </c>
      <c r="L32" s="50">
        <f>+registry!L21</f>
        <v>0</v>
      </c>
      <c r="M32" s="50">
        <f>+registry!M21</f>
        <v>986337.26881601196</v>
      </c>
      <c r="N32" s="50">
        <f>+registry!N21</f>
        <v>1371287</v>
      </c>
      <c r="O32" s="43"/>
      <c r="P32" s="85"/>
      <c r="Q32" s="43"/>
      <c r="R32" s="149"/>
      <c r="S32" s="82"/>
      <c r="T32" s="43"/>
      <c r="U32" s="43"/>
      <c r="V32" s="43"/>
      <c r="W32" s="43"/>
      <c r="X32" s="43"/>
      <c r="Y32" s="43"/>
      <c r="Z32" s="43"/>
      <c r="AA32" s="43"/>
    </row>
    <row r="33" spans="1:27">
      <c r="A33" s="46" t="s">
        <v>257</v>
      </c>
      <c r="B33" s="68">
        <v>0</v>
      </c>
      <c r="C33" s="50">
        <f>+registry!C26</f>
        <v>0</v>
      </c>
      <c r="D33" s="50">
        <f>+registry!D26</f>
        <v>0</v>
      </c>
      <c r="E33" s="50">
        <f>+registry!E26</f>
        <v>0</v>
      </c>
      <c r="F33" s="50">
        <f>+registry!F26</f>
        <v>0</v>
      </c>
      <c r="G33" s="50">
        <f>+registry!G26</f>
        <v>2400000</v>
      </c>
      <c r="H33" s="50">
        <f>+registry!H26</f>
        <v>3600000</v>
      </c>
      <c r="I33" s="50">
        <f>+registry!I26</f>
        <v>0</v>
      </c>
      <c r="J33" s="50">
        <f>+registry!J26</f>
        <v>16900000</v>
      </c>
      <c r="K33" s="50">
        <f>+registry!K26</f>
        <v>0</v>
      </c>
      <c r="L33" s="50">
        <f>+registry!L26</f>
        <v>0</v>
      </c>
      <c r="M33" s="50">
        <f>+registry!M26</f>
        <v>0</v>
      </c>
      <c r="N33" s="50">
        <f>+registry!N26</f>
        <v>0</v>
      </c>
      <c r="O33" s="43"/>
      <c r="P33" s="85"/>
      <c r="Q33" s="43"/>
      <c r="R33" s="149"/>
      <c r="S33" s="82"/>
      <c r="T33" s="43"/>
      <c r="U33" s="43"/>
      <c r="V33" s="43"/>
      <c r="W33" s="43"/>
      <c r="X33" s="43"/>
      <c r="Y33" s="43"/>
      <c r="Z33" s="43"/>
      <c r="AA33" s="43"/>
    </row>
    <row r="34" spans="1:27">
      <c r="A34" s="46" t="s">
        <v>258</v>
      </c>
      <c r="B34" s="50">
        <f>registry!B36</f>
        <v>0</v>
      </c>
      <c r="C34" s="50">
        <f>registry!C36</f>
        <v>0</v>
      </c>
      <c r="D34" s="50">
        <f>registry!D36</f>
        <v>0</v>
      </c>
      <c r="E34" s="50">
        <f>registry!E36</f>
        <v>0</v>
      </c>
      <c r="F34" s="50">
        <f>registry!F36</f>
        <v>0</v>
      </c>
      <c r="G34" s="50">
        <f>registry!G36</f>
        <v>0</v>
      </c>
      <c r="H34" s="50">
        <f>registry!H36</f>
        <v>0</v>
      </c>
      <c r="I34" s="50">
        <f>registry!I36</f>
        <v>0</v>
      </c>
      <c r="J34" s="50">
        <f>registry!J36</f>
        <v>0</v>
      </c>
      <c r="K34" s="50">
        <f>registry!K36</f>
        <v>0</v>
      </c>
      <c r="L34" s="50">
        <f>registry!L36</f>
        <v>20862012.987012967</v>
      </c>
      <c r="M34" s="50">
        <f>registry!M36</f>
        <v>0</v>
      </c>
      <c r="N34" s="50">
        <f>registry!N36</f>
        <v>1750000</v>
      </c>
      <c r="O34" s="43"/>
      <c r="P34" s="85"/>
      <c r="Q34" s="43"/>
      <c r="R34" s="149"/>
      <c r="S34" s="82"/>
      <c r="T34" s="43"/>
      <c r="U34" s="43"/>
      <c r="V34" s="43"/>
      <c r="W34" s="43"/>
      <c r="X34" s="43"/>
      <c r="Y34" s="43"/>
      <c r="Z34" s="43"/>
      <c r="AA34" s="43"/>
    </row>
    <row r="35" spans="1:27">
      <c r="A35" s="46" t="s">
        <v>259</v>
      </c>
      <c r="B35" s="68">
        <v>0</v>
      </c>
      <c r="C35" s="50">
        <f>+registry!C31</f>
        <v>0</v>
      </c>
      <c r="D35" s="50">
        <f>+registry!D31</f>
        <v>2500000</v>
      </c>
      <c r="E35" s="50">
        <f>+registry!E31</f>
        <v>2500000</v>
      </c>
      <c r="F35" s="50">
        <f>+registry!F31</f>
        <v>6137500</v>
      </c>
      <c r="G35" s="50">
        <f>+registry!G31</f>
        <v>5640000</v>
      </c>
      <c r="H35" s="50">
        <f>+registry!H31</f>
        <v>7300000</v>
      </c>
      <c r="I35" s="50">
        <f>+registry!I31</f>
        <v>0</v>
      </c>
      <c r="J35" s="50">
        <f>+registry!J31</f>
        <v>0</v>
      </c>
      <c r="K35" s="50">
        <f>+registry!K31</f>
        <v>0</v>
      </c>
      <c r="L35" s="50">
        <f>+registry!L31</f>
        <v>0</v>
      </c>
      <c r="M35" s="50">
        <f>+registry!M31</f>
        <v>0</v>
      </c>
      <c r="N35" s="50">
        <f>+registry!N31</f>
        <v>0</v>
      </c>
      <c r="O35" s="43"/>
      <c r="P35" s="85"/>
      <c r="Q35" s="43"/>
      <c r="R35" s="149"/>
      <c r="S35" s="82"/>
      <c r="T35" s="43"/>
      <c r="U35" s="43"/>
      <c r="V35" s="43"/>
      <c r="W35" s="43"/>
      <c r="X35" s="43"/>
      <c r="Y35" s="43"/>
      <c r="Z35" s="43"/>
      <c r="AA35" s="43"/>
    </row>
    <row r="36" spans="1:27">
      <c r="A36" s="101" t="s">
        <v>260</v>
      </c>
      <c r="B36" s="68">
        <v>2376525.6340000001</v>
      </c>
      <c r="C36" s="136">
        <f t="shared" ref="C36:N36" si="5">SUM(C30:C35)</f>
        <v>8765000</v>
      </c>
      <c r="D36" s="136">
        <f t="shared" si="5"/>
        <v>5888588</v>
      </c>
      <c r="E36" s="136">
        <f t="shared" si="5"/>
        <v>4500962</v>
      </c>
      <c r="F36" s="136">
        <f t="shared" si="5"/>
        <v>14824233</v>
      </c>
      <c r="G36" s="136">
        <f t="shared" si="5"/>
        <v>8040000</v>
      </c>
      <c r="H36" s="136">
        <f t="shared" si="5"/>
        <v>11250000</v>
      </c>
      <c r="I36" s="136">
        <f t="shared" si="5"/>
        <v>0</v>
      </c>
      <c r="J36" s="136">
        <f t="shared" si="5"/>
        <v>16900000</v>
      </c>
      <c r="K36" s="136">
        <f t="shared" si="5"/>
        <v>22739696</v>
      </c>
      <c r="L36" s="136">
        <f t="shared" si="5"/>
        <v>24624577.987012967</v>
      </c>
      <c r="M36" s="136">
        <f t="shared" si="5"/>
        <v>21829137.268816013</v>
      </c>
      <c r="N36" s="136">
        <f t="shared" si="5"/>
        <v>7244971</v>
      </c>
      <c r="O36" s="43"/>
      <c r="P36" s="85"/>
      <c r="Q36" s="43"/>
      <c r="R36" s="43"/>
      <c r="S36" s="108"/>
      <c r="T36" s="43"/>
      <c r="U36" s="43"/>
      <c r="V36" s="43"/>
      <c r="W36" s="43"/>
      <c r="X36" s="43"/>
      <c r="Y36" s="43"/>
      <c r="Z36" s="43"/>
      <c r="AA36" s="43"/>
    </row>
    <row r="37" spans="1:27">
      <c r="A37" s="46" t="s">
        <v>261</v>
      </c>
      <c r="B37" s="50"/>
      <c r="C37" s="50"/>
      <c r="D37" s="50"/>
      <c r="E37" s="50"/>
      <c r="F37" s="50"/>
      <c r="G37" s="50"/>
      <c r="H37" s="50"/>
      <c r="I37" s="50"/>
      <c r="J37" s="50"/>
      <c r="K37" s="50"/>
      <c r="L37" s="50"/>
      <c r="M37" s="50"/>
      <c r="N37" s="50"/>
      <c r="O37" s="43"/>
      <c r="P37" s="85"/>
      <c r="Q37" s="43"/>
      <c r="R37" s="43"/>
      <c r="S37" s="43"/>
      <c r="T37" s="43"/>
      <c r="U37" s="43"/>
      <c r="V37" s="43"/>
      <c r="W37" s="43"/>
      <c r="X37" s="43"/>
      <c r="Y37" s="43"/>
      <c r="Z37" s="43"/>
      <c r="AA37" s="43"/>
    </row>
    <row r="38" spans="1:27">
      <c r="A38" s="46" t="s">
        <v>256</v>
      </c>
      <c r="B38" s="68">
        <v>0</v>
      </c>
      <c r="C38" s="50">
        <f>+registry!C6</f>
        <v>-125000</v>
      </c>
      <c r="D38" s="50">
        <f>+registry!D6</f>
        <v>-3717883</v>
      </c>
      <c r="E38" s="50">
        <f>+registry!E6</f>
        <v>-3472013.2675276021</v>
      </c>
      <c r="F38" s="50">
        <f>+registry!F6</f>
        <v>0</v>
      </c>
      <c r="G38" s="50">
        <f>+registry!G6</f>
        <v>0</v>
      </c>
      <c r="H38" s="50">
        <f>+registry!H6</f>
        <v>0</v>
      </c>
      <c r="I38" s="50">
        <f>+registry!I6</f>
        <v>0</v>
      </c>
      <c r="J38" s="50">
        <f>+registry!J6</f>
        <v>-4604401.1674821461</v>
      </c>
      <c r="K38" s="50">
        <f>+registry!K6</f>
        <v>0</v>
      </c>
      <c r="L38" s="50">
        <f>+registry!L6</f>
        <v>0</v>
      </c>
      <c r="M38" s="50">
        <f>+registry!M6</f>
        <v>-2000000</v>
      </c>
      <c r="N38" s="50">
        <f>+registry!N6</f>
        <v>0</v>
      </c>
      <c r="O38" s="43"/>
      <c r="P38" s="85"/>
      <c r="Q38" s="43"/>
      <c r="R38" s="43"/>
      <c r="S38" s="43"/>
      <c r="T38" s="43"/>
      <c r="U38" s="43"/>
      <c r="V38" s="43"/>
      <c r="W38" s="43"/>
      <c r="X38" s="43"/>
      <c r="Y38" s="43"/>
      <c r="Z38" s="43"/>
      <c r="AA38" s="43"/>
    </row>
    <row r="39" spans="1:27">
      <c r="A39" s="46" t="s">
        <v>190</v>
      </c>
      <c r="B39" s="68">
        <v>0</v>
      </c>
      <c r="C39" s="50">
        <f>+registry!C11</f>
        <v>-50000</v>
      </c>
      <c r="D39" s="50">
        <f>+registry!D11</f>
        <v>-2025000</v>
      </c>
      <c r="E39" s="50">
        <f>+registry!E11</f>
        <v>-230000</v>
      </c>
      <c r="F39" s="50">
        <f>+registry!F11</f>
        <v>-289495</v>
      </c>
      <c r="G39" s="50">
        <f>+registry!G11</f>
        <v>-1750000</v>
      </c>
      <c r="H39" s="50">
        <f>+registry!H11</f>
        <v>-3420000</v>
      </c>
      <c r="I39" s="50">
        <f>+registry!I11</f>
        <v>0</v>
      </c>
      <c r="J39" s="50">
        <f>+registry!J11</f>
        <v>-750000</v>
      </c>
      <c r="K39" s="50">
        <f>+registry!K11</f>
        <v>0</v>
      </c>
      <c r="L39" s="50">
        <f>+registry!L11</f>
        <v>-15106831.160182964</v>
      </c>
      <c r="M39" s="50">
        <f>+registry!M11</f>
        <v>0</v>
      </c>
      <c r="N39" s="50">
        <f>+registry!N11</f>
        <v>0</v>
      </c>
      <c r="O39" s="43"/>
      <c r="P39" s="85"/>
      <c r="Q39" s="43"/>
      <c r="R39" s="43"/>
      <c r="S39" s="43"/>
      <c r="T39" s="43"/>
      <c r="U39" s="43"/>
      <c r="V39" s="43"/>
      <c r="W39" s="43"/>
      <c r="X39" s="43"/>
      <c r="Y39" s="43"/>
      <c r="Z39" s="43"/>
      <c r="AA39" s="43"/>
    </row>
    <row r="40" spans="1:27">
      <c r="A40" s="46" t="s">
        <v>195</v>
      </c>
      <c r="B40" s="68">
        <v>0</v>
      </c>
      <c r="C40" s="50">
        <f>+registry!C22</f>
        <v>-382967</v>
      </c>
      <c r="D40" s="50">
        <f>+registry!D22</f>
        <v>-2326328</v>
      </c>
      <c r="E40" s="50">
        <f>+registry!E22</f>
        <v>-3292886</v>
      </c>
      <c r="F40" s="50">
        <f>+registry!F22</f>
        <v>-5106622</v>
      </c>
      <c r="G40" s="50">
        <f>+registry!G22</f>
        <v>-420000</v>
      </c>
      <c r="H40" s="50">
        <f>+registry!H22</f>
        <v>-200000</v>
      </c>
      <c r="I40" s="50">
        <f>+registry!I22</f>
        <v>-150000</v>
      </c>
      <c r="J40" s="50">
        <f>+registry!J22</f>
        <v>-550000</v>
      </c>
      <c r="K40" s="50">
        <f>+registry!K22</f>
        <v>-1361095.8904109588</v>
      </c>
      <c r="L40" s="50">
        <f>+registry!L22</f>
        <v>0</v>
      </c>
      <c r="M40" s="50">
        <f>+registry!M22</f>
        <v>0</v>
      </c>
      <c r="N40" s="50">
        <f>+registry!N22</f>
        <v>0</v>
      </c>
      <c r="O40" s="43"/>
      <c r="P40" s="85"/>
      <c r="Q40" s="43"/>
      <c r="R40" s="43"/>
      <c r="S40" s="43"/>
      <c r="T40" s="43"/>
      <c r="U40" s="43"/>
      <c r="V40" s="43"/>
      <c r="W40" s="43"/>
      <c r="X40" s="43"/>
      <c r="Y40" s="43"/>
      <c r="Z40" s="43"/>
      <c r="AA40" s="43"/>
    </row>
    <row r="41" spans="1:27">
      <c r="A41" s="46" t="s">
        <v>257</v>
      </c>
      <c r="B41" s="68">
        <v>0</v>
      </c>
      <c r="C41" s="50">
        <f>+registry!C27</f>
        <v>0</v>
      </c>
      <c r="D41" s="50">
        <f>+registry!D27</f>
        <v>0</v>
      </c>
      <c r="E41" s="50">
        <f>+registry!E27</f>
        <v>0</v>
      </c>
      <c r="F41" s="50">
        <f>+registry!F27</f>
        <v>-860000</v>
      </c>
      <c r="G41" s="50">
        <f>+registry!G27</f>
        <v>0</v>
      </c>
      <c r="H41" s="50">
        <f>+registry!H27</f>
        <v>-1750000</v>
      </c>
      <c r="I41" s="50">
        <f>+registry!I27</f>
        <v>0</v>
      </c>
      <c r="J41" s="50">
        <f>+registry!J27</f>
        <v>0</v>
      </c>
      <c r="K41" s="50">
        <f>+registry!K27</f>
        <v>0</v>
      </c>
      <c r="L41" s="50">
        <f>+registry!L27</f>
        <v>0</v>
      </c>
      <c r="M41" s="50">
        <f>+registry!M27</f>
        <v>0</v>
      </c>
      <c r="N41" s="50">
        <f>+registry!N27</f>
        <v>0</v>
      </c>
      <c r="O41" s="43"/>
      <c r="P41" s="85"/>
      <c r="Q41" s="43"/>
      <c r="R41" s="43"/>
      <c r="S41" s="43"/>
      <c r="T41" s="43"/>
      <c r="U41" s="43"/>
      <c r="V41" s="43"/>
      <c r="W41" s="43"/>
      <c r="X41" s="43"/>
      <c r="Y41" s="43"/>
      <c r="Z41" s="43"/>
      <c r="AA41" s="43"/>
    </row>
    <row r="42" spans="1:27" s="28" customFormat="1">
      <c r="A42" s="46" t="s">
        <v>258</v>
      </c>
      <c r="B42" s="50">
        <f>registry!B37</f>
        <v>0</v>
      </c>
      <c r="C42" s="50">
        <f>registry!C37</f>
        <v>0</v>
      </c>
      <c r="D42" s="50">
        <f>registry!D37</f>
        <v>0</v>
      </c>
      <c r="E42" s="50">
        <f>registry!E37</f>
        <v>0</v>
      </c>
      <c r="F42" s="50">
        <f>registry!F37</f>
        <v>0</v>
      </c>
      <c r="G42" s="50">
        <f>registry!G37</f>
        <v>0</v>
      </c>
      <c r="H42" s="50">
        <f>registry!H37</f>
        <v>0</v>
      </c>
      <c r="I42" s="50">
        <f>registry!I37</f>
        <v>0</v>
      </c>
      <c r="J42" s="50">
        <f>registry!J37</f>
        <v>-16000000</v>
      </c>
      <c r="K42" s="50">
        <f>registry!K37</f>
        <v>0</v>
      </c>
      <c r="L42" s="50">
        <f>registry!L37</f>
        <v>0</v>
      </c>
      <c r="M42" s="50">
        <f>registry!M37</f>
        <v>0</v>
      </c>
      <c r="N42" s="50">
        <f>registry!N37</f>
        <v>0</v>
      </c>
      <c r="O42" s="43"/>
      <c r="P42" s="85"/>
      <c r="Q42" s="66"/>
      <c r="R42" s="66"/>
      <c r="S42" s="43"/>
      <c r="T42" s="43"/>
      <c r="U42" s="43"/>
      <c r="V42" s="43"/>
      <c r="W42" s="43"/>
      <c r="X42" s="64"/>
      <c r="Y42" s="43"/>
      <c r="Z42" s="43"/>
      <c r="AA42" s="43"/>
    </row>
    <row r="43" spans="1:27">
      <c r="A43" s="46" t="s">
        <v>259</v>
      </c>
      <c r="B43" s="68">
        <v>0</v>
      </c>
      <c r="C43" s="50">
        <f>+registry!C32</f>
        <v>-2500000</v>
      </c>
      <c r="D43" s="50">
        <f>+registry!D32</f>
        <v>0</v>
      </c>
      <c r="E43" s="50">
        <f>+registry!E32</f>
        <v>0</v>
      </c>
      <c r="F43" s="50">
        <f>+registry!F32</f>
        <v>0</v>
      </c>
      <c r="G43" s="50">
        <f>+registry!G32</f>
        <v>-1000000</v>
      </c>
      <c r="H43" s="50">
        <f>+registry!H32</f>
        <v>-2040000</v>
      </c>
      <c r="I43" s="50">
        <f>+registry!I32</f>
        <v>-2000000</v>
      </c>
      <c r="J43" s="50">
        <f>+registry!J32</f>
        <v>-8250000</v>
      </c>
      <c r="K43" s="50">
        <f>+registry!K32</f>
        <v>0</v>
      </c>
      <c r="L43" s="50">
        <f>+registry!L32</f>
        <v>0</v>
      </c>
      <c r="M43" s="50">
        <f>+registry!M32</f>
        <v>-15000000</v>
      </c>
      <c r="N43" s="50">
        <f>+registry!N32</f>
        <v>0</v>
      </c>
      <c r="O43" s="43"/>
      <c r="P43" s="85"/>
      <c r="Q43" s="43"/>
      <c r="R43" s="43"/>
      <c r="S43" s="43"/>
      <c r="T43" s="43"/>
      <c r="U43" s="43"/>
      <c r="V43" s="43"/>
      <c r="W43" s="43"/>
      <c r="X43" s="43"/>
      <c r="Y43" s="43"/>
      <c r="Z43" s="43"/>
      <c r="AA43" s="43"/>
    </row>
    <row r="44" spans="1:27">
      <c r="A44" s="101" t="s">
        <v>262</v>
      </c>
      <c r="B44" s="68">
        <v>0</v>
      </c>
      <c r="C44" s="136">
        <f t="shared" ref="C44:N44" si="6">SUM(C38:C43)</f>
        <v>-3057967</v>
      </c>
      <c r="D44" s="136">
        <f t="shared" si="6"/>
        <v>-8069211</v>
      </c>
      <c r="E44" s="136">
        <f t="shared" si="6"/>
        <v>-6994899.2675276026</v>
      </c>
      <c r="F44" s="136">
        <f t="shared" si="6"/>
        <v>-6256117</v>
      </c>
      <c r="G44" s="136">
        <f t="shared" si="6"/>
        <v>-3170000</v>
      </c>
      <c r="H44" s="136">
        <f t="shared" si="6"/>
        <v>-7410000</v>
      </c>
      <c r="I44" s="136">
        <f t="shared" si="6"/>
        <v>-2150000</v>
      </c>
      <c r="J44" s="136">
        <f t="shared" si="6"/>
        <v>-30154401.167482145</v>
      </c>
      <c r="K44" s="136">
        <f t="shared" si="6"/>
        <v>-1361095.8904109588</v>
      </c>
      <c r="L44" s="136">
        <f t="shared" si="6"/>
        <v>-15106831.160182964</v>
      </c>
      <c r="M44" s="136">
        <f t="shared" si="6"/>
        <v>-17000000</v>
      </c>
      <c r="N44" s="136">
        <f t="shared" si="6"/>
        <v>0</v>
      </c>
      <c r="O44" s="43"/>
      <c r="P44" s="85"/>
      <c r="Q44" s="43"/>
      <c r="R44" s="43"/>
      <c r="S44" s="108"/>
      <c r="T44" s="43"/>
      <c r="U44" s="43"/>
      <c r="V44" s="43"/>
      <c r="W44" s="43"/>
      <c r="X44" s="43"/>
      <c r="Y44" s="43"/>
      <c r="Z44" s="43"/>
      <c r="AA44" s="43"/>
    </row>
    <row r="45" spans="1:27">
      <c r="A45" s="43"/>
      <c r="B45" s="50"/>
      <c r="C45" s="50"/>
      <c r="D45" s="50"/>
      <c r="E45" s="50"/>
      <c r="F45" s="50"/>
      <c r="G45" s="50"/>
      <c r="H45" s="50"/>
      <c r="I45" s="50"/>
      <c r="J45" s="50"/>
      <c r="K45" s="50"/>
      <c r="L45" s="50"/>
      <c r="M45" s="50"/>
      <c r="N45" s="50"/>
      <c r="O45" s="43"/>
      <c r="P45" s="85"/>
      <c r="Q45" s="43"/>
      <c r="R45" s="43"/>
      <c r="S45" s="43"/>
      <c r="T45" s="43"/>
      <c r="U45" s="43"/>
      <c r="V45" s="43"/>
      <c r="W45" s="43"/>
      <c r="X45" s="43"/>
      <c r="Y45" s="43"/>
      <c r="Z45" s="43"/>
      <c r="AA45" s="43"/>
    </row>
    <row r="46" spans="1:27" ht="14.65" customHeight="1">
      <c r="A46" s="46" t="s">
        <v>263</v>
      </c>
      <c r="B46" s="68">
        <v>2376525.6340000001</v>
      </c>
      <c r="C46" s="50">
        <f t="shared" ref="C46:N46" si="7">+C36+C44</f>
        <v>5707033</v>
      </c>
      <c r="D46" s="50">
        <f t="shared" si="7"/>
        <v>-2180623</v>
      </c>
      <c r="E46" s="50">
        <f t="shared" si="7"/>
        <v>-2493937.2675276026</v>
      </c>
      <c r="F46" s="50">
        <f t="shared" si="7"/>
        <v>8568116</v>
      </c>
      <c r="G46" s="50">
        <f t="shared" si="7"/>
        <v>4870000</v>
      </c>
      <c r="H46" s="50">
        <f t="shared" si="7"/>
        <v>3840000</v>
      </c>
      <c r="I46" s="50">
        <f t="shared" si="7"/>
        <v>-2150000</v>
      </c>
      <c r="J46" s="50">
        <f t="shared" si="7"/>
        <v>-13254401.167482145</v>
      </c>
      <c r="K46" s="50">
        <f t="shared" si="7"/>
        <v>21378600.10958904</v>
      </c>
      <c r="L46" s="50">
        <f t="shared" si="7"/>
        <v>9517746.8268300034</v>
      </c>
      <c r="M46" s="50">
        <f t="shared" si="7"/>
        <v>4829137.2688160129</v>
      </c>
      <c r="N46" s="50">
        <f t="shared" si="7"/>
        <v>7244971</v>
      </c>
      <c r="O46" s="43"/>
      <c r="P46" s="85"/>
      <c r="Q46" s="43"/>
      <c r="R46" s="43"/>
      <c r="S46" s="108"/>
      <c r="T46" s="43"/>
      <c r="U46" s="43"/>
      <c r="V46" s="43"/>
      <c r="W46" s="43"/>
      <c r="X46" s="43"/>
      <c r="Y46" s="43"/>
      <c r="Z46" s="43"/>
      <c r="AA46" s="43"/>
    </row>
    <row r="47" spans="1:27">
      <c r="A47" s="43"/>
      <c r="B47" s="43"/>
      <c r="C47" s="43"/>
      <c r="D47" s="43"/>
      <c r="E47" s="43"/>
      <c r="F47" s="43"/>
      <c r="G47" s="43"/>
      <c r="H47" s="43"/>
      <c r="I47" s="43"/>
      <c r="J47" s="43"/>
      <c r="K47" s="43"/>
      <c r="L47" s="43"/>
      <c r="M47" s="43"/>
      <c r="N47" s="43"/>
      <c r="O47" s="43"/>
      <c r="P47" s="85"/>
      <c r="Q47" s="43"/>
      <c r="R47" s="43"/>
      <c r="S47" s="43"/>
      <c r="T47" s="43"/>
      <c r="U47" s="43"/>
      <c r="V47" s="43"/>
      <c r="W47" s="43"/>
      <c r="X47" s="43"/>
      <c r="Y47" s="43"/>
      <c r="Z47" s="43"/>
      <c r="AA47" s="43"/>
    </row>
    <row r="48" spans="1:27">
      <c r="A48" s="173" t="s">
        <v>264</v>
      </c>
      <c r="B48" s="49"/>
      <c r="C48" s="49"/>
      <c r="D48" s="49"/>
      <c r="E48" s="49"/>
      <c r="F48" s="49"/>
      <c r="G48" s="49"/>
      <c r="H48" s="49"/>
      <c r="I48" s="49"/>
      <c r="J48" s="49"/>
      <c r="K48" s="49"/>
      <c r="L48" s="49"/>
      <c r="M48" s="49"/>
      <c r="N48" s="49"/>
      <c r="O48" s="43"/>
      <c r="P48" s="85"/>
      <c r="Q48" s="43"/>
      <c r="R48" s="43"/>
      <c r="S48" s="43"/>
      <c r="T48" s="43"/>
      <c r="U48" s="43"/>
      <c r="V48" s="43"/>
      <c r="W48" s="43"/>
      <c r="X48" s="43"/>
      <c r="Y48" s="43"/>
      <c r="Z48" s="43"/>
      <c r="AA48" s="43"/>
    </row>
    <row r="49" spans="1:27">
      <c r="A49" s="49"/>
      <c r="B49" s="49"/>
      <c r="C49" s="49"/>
      <c r="D49" s="49"/>
      <c r="E49" s="49"/>
      <c r="F49" s="49"/>
      <c r="G49" s="49"/>
      <c r="H49" s="49"/>
      <c r="I49" s="49"/>
      <c r="J49" s="49"/>
      <c r="K49" s="49"/>
      <c r="L49" s="49"/>
      <c r="M49" s="49"/>
      <c r="N49" s="49"/>
      <c r="O49" s="43"/>
      <c r="P49" s="85"/>
      <c r="Q49" s="43"/>
      <c r="R49" s="43"/>
      <c r="S49" s="43"/>
      <c r="T49" s="43"/>
      <c r="U49" s="43"/>
      <c r="V49" s="43"/>
      <c r="W49" s="43"/>
      <c r="X49" s="43"/>
      <c r="Y49" s="43"/>
      <c r="Z49" s="43"/>
      <c r="AA49" s="43"/>
    </row>
    <row r="50" spans="1:27">
      <c r="A50" s="44" t="s">
        <v>146</v>
      </c>
      <c r="B50" s="49"/>
      <c r="C50" s="49"/>
      <c r="D50" s="49"/>
      <c r="E50" s="49"/>
      <c r="F50" s="49"/>
      <c r="G50" s="49"/>
      <c r="H50" s="49"/>
      <c r="I50" s="49"/>
      <c r="J50" s="49"/>
      <c r="K50" s="49"/>
      <c r="L50" s="49"/>
      <c r="M50" s="49"/>
      <c r="N50" s="49"/>
      <c r="O50" s="43"/>
      <c r="P50" s="85"/>
      <c r="Q50" s="43"/>
      <c r="R50" s="43"/>
      <c r="S50" s="43"/>
      <c r="T50" s="43"/>
      <c r="U50" s="43"/>
      <c r="V50" s="43"/>
      <c r="W50" s="43"/>
      <c r="X50" s="43"/>
      <c r="Y50" s="43"/>
      <c r="Z50" s="43"/>
      <c r="AA50" s="43"/>
    </row>
    <row r="51" spans="1:27">
      <c r="A51" s="46" t="s">
        <v>265</v>
      </c>
      <c r="B51" s="161">
        <v>0</v>
      </c>
      <c r="C51" s="154">
        <f>+registry!C97</f>
        <v>0</v>
      </c>
      <c r="D51" s="154">
        <f>+registry!D97</f>
        <v>23600000</v>
      </c>
      <c r="E51" s="154">
        <f>+registry!E97</f>
        <v>200000</v>
      </c>
      <c r="F51" s="154">
        <f>+registry!F97</f>
        <v>0</v>
      </c>
      <c r="G51" s="154">
        <f>+registry!G97</f>
        <v>0</v>
      </c>
      <c r="H51" s="154">
        <f>+registry!H97</f>
        <v>0</v>
      </c>
      <c r="I51" s="154">
        <f>+registry!I97</f>
        <v>0</v>
      </c>
      <c r="J51" s="154">
        <f>+registry!J97</f>
        <v>0</v>
      </c>
      <c r="K51" s="154">
        <f>+registry!K97</f>
        <v>0</v>
      </c>
      <c r="L51" s="154">
        <f>+registry!L97</f>
        <v>0</v>
      </c>
      <c r="M51" s="154">
        <f>+registry!M97</f>
        <v>0</v>
      </c>
      <c r="N51" s="154">
        <f>+registry!N97</f>
        <v>0</v>
      </c>
      <c r="O51" s="43"/>
      <c r="P51" s="85"/>
      <c r="Q51" s="43"/>
      <c r="R51" s="43"/>
      <c r="S51" s="43"/>
      <c r="T51" s="43"/>
      <c r="U51" s="43"/>
      <c r="V51" s="43"/>
      <c r="W51" s="43"/>
      <c r="X51" s="43"/>
      <c r="Y51" s="43"/>
      <c r="Z51" s="43"/>
      <c r="AA51" s="43"/>
    </row>
    <row r="52" spans="1:27">
      <c r="A52" s="46" t="s">
        <v>266</v>
      </c>
      <c r="B52" s="161">
        <v>0</v>
      </c>
      <c r="C52" s="154">
        <f>+registry!C63</f>
        <v>6050000</v>
      </c>
      <c r="D52" s="154">
        <f>+registry!D63</f>
        <v>0</v>
      </c>
      <c r="E52" s="154">
        <f>+registry!E63</f>
        <v>0</v>
      </c>
      <c r="F52" s="154">
        <f>+registry!F63</f>
        <v>1200000</v>
      </c>
      <c r="G52" s="154">
        <f>+registry!G63</f>
        <v>1500000</v>
      </c>
      <c r="H52" s="154">
        <f>+registry!H63</f>
        <v>1000000</v>
      </c>
      <c r="I52" s="154">
        <f>+registry!I63</f>
        <v>0</v>
      </c>
      <c r="J52" s="154">
        <f>+registry!J63</f>
        <v>3000000</v>
      </c>
      <c r="K52" s="154">
        <f>+registry!K63</f>
        <v>0</v>
      </c>
      <c r="L52" s="154">
        <f>+registry!L63</f>
        <v>0</v>
      </c>
      <c r="M52" s="154">
        <f>+registry!M63</f>
        <v>0</v>
      </c>
      <c r="N52" s="154">
        <f>+registry!N63</f>
        <v>0</v>
      </c>
      <c r="O52" s="43"/>
      <c r="P52" s="85"/>
      <c r="Q52" s="43"/>
      <c r="R52" s="43"/>
      <c r="S52" s="43"/>
      <c r="T52" s="43"/>
      <c r="U52" s="43"/>
      <c r="V52" s="43"/>
      <c r="W52" s="43"/>
      <c r="X52" s="43"/>
      <c r="Y52" s="43"/>
      <c r="Z52" s="43"/>
      <c r="AA52" s="43"/>
    </row>
    <row r="53" spans="1:27">
      <c r="A53" s="46" t="s">
        <v>267</v>
      </c>
      <c r="B53" s="161">
        <v>23600000</v>
      </c>
      <c r="C53" s="154">
        <f>+registry!C67</f>
        <v>500000</v>
      </c>
      <c r="D53" s="154">
        <f>+registry!D67</f>
        <v>100000</v>
      </c>
      <c r="E53" s="154">
        <f>+registry!E67</f>
        <v>0</v>
      </c>
      <c r="F53" s="154">
        <f>+registry!F67</f>
        <v>2250000</v>
      </c>
      <c r="G53" s="154">
        <f>+registry!G67</f>
        <v>250000</v>
      </c>
      <c r="H53" s="154">
        <f>+registry!H67</f>
        <v>4000000</v>
      </c>
      <c r="I53" s="154">
        <f>+registry!I67</f>
        <v>0</v>
      </c>
      <c r="J53" s="154">
        <f>+registry!J67</f>
        <v>0</v>
      </c>
      <c r="K53" s="154">
        <f>+registry!K67</f>
        <v>0</v>
      </c>
      <c r="L53" s="154">
        <f>+registry!L67</f>
        <v>0</v>
      </c>
      <c r="M53" s="154">
        <f>+registry!M67</f>
        <v>0</v>
      </c>
      <c r="N53" s="154">
        <f>+registry!N67</f>
        <v>0</v>
      </c>
      <c r="O53" s="43"/>
      <c r="P53" s="85"/>
      <c r="Q53" s="43"/>
      <c r="R53" s="43"/>
      <c r="S53" s="43"/>
      <c r="T53" s="43"/>
      <c r="U53" s="43"/>
      <c r="V53" s="43"/>
      <c r="W53" s="43"/>
      <c r="X53" s="43"/>
      <c r="Y53" s="43"/>
      <c r="Z53" s="43"/>
      <c r="AA53" s="43"/>
    </row>
    <row r="54" spans="1:27">
      <c r="A54" s="46" t="s">
        <v>268</v>
      </c>
      <c r="B54" s="161">
        <v>62241.099999999977</v>
      </c>
      <c r="C54" s="154">
        <f>+registry!C72</f>
        <v>-86000</v>
      </c>
      <c r="D54" s="154">
        <f>+registry!D72</f>
        <v>142999.85000000009</v>
      </c>
      <c r="E54" s="154">
        <f>+registry!E72</f>
        <v>0</v>
      </c>
      <c r="F54" s="154">
        <f>+registry!F72</f>
        <v>1625000</v>
      </c>
      <c r="G54" s="154">
        <f>+registry!G72</f>
        <v>0</v>
      </c>
      <c r="H54" s="154">
        <f>+registry!H72</f>
        <v>0</v>
      </c>
      <c r="I54" s="154">
        <f>+registry!I72</f>
        <v>0</v>
      </c>
      <c r="J54" s="154">
        <f>+registry!J72</f>
        <v>16000000</v>
      </c>
      <c r="K54" s="154">
        <f>+registry!K72</f>
        <v>0</v>
      </c>
      <c r="L54" s="154">
        <f>+registry!L72</f>
        <v>0</v>
      </c>
      <c r="M54" s="154">
        <f>+registry!M72</f>
        <v>0</v>
      </c>
      <c r="N54" s="154">
        <f>+registry!N72</f>
        <v>0</v>
      </c>
      <c r="O54" s="43"/>
      <c r="P54" s="85"/>
      <c r="Q54" s="43"/>
      <c r="R54" s="43"/>
      <c r="S54" s="43"/>
      <c r="T54" s="43"/>
      <c r="U54" s="43"/>
      <c r="V54" s="43"/>
      <c r="W54" s="43"/>
      <c r="X54" s="43"/>
      <c r="Y54" s="43"/>
      <c r="Z54" s="43"/>
      <c r="AA54" s="43"/>
    </row>
    <row r="55" spans="1:27">
      <c r="A55" s="46" t="s">
        <v>220</v>
      </c>
      <c r="B55" s="68">
        <v>6000000</v>
      </c>
      <c r="C55" s="50">
        <f>+registry!C100</f>
        <v>0</v>
      </c>
      <c r="D55" s="50">
        <f>+registry!D100</f>
        <v>0</v>
      </c>
      <c r="E55" s="50">
        <f>+registry!E100</f>
        <v>0</v>
      </c>
      <c r="F55" s="50">
        <f>+registry!F100</f>
        <v>0</v>
      </c>
      <c r="G55" s="50">
        <f>+registry!G100</f>
        <v>0</v>
      </c>
      <c r="H55" s="50">
        <f>+registry!H100</f>
        <v>0</v>
      </c>
      <c r="I55" s="50">
        <f>+registry!I100</f>
        <v>0</v>
      </c>
      <c r="J55" s="50">
        <f>+registry!J100</f>
        <v>0</v>
      </c>
      <c r="K55" s="50">
        <f>+registry!K100</f>
        <v>0</v>
      </c>
      <c r="L55" s="50">
        <f>+registry!L100</f>
        <v>0</v>
      </c>
      <c r="M55" s="50">
        <f>+registry!M100</f>
        <v>0</v>
      </c>
      <c r="N55" s="50">
        <f>+registry!N100</f>
        <v>0</v>
      </c>
      <c r="O55" s="43"/>
      <c r="P55" s="85"/>
      <c r="Q55" s="43"/>
      <c r="R55" s="43"/>
      <c r="S55" s="43"/>
      <c r="T55" s="43"/>
      <c r="U55" s="43"/>
      <c r="V55" s="43"/>
      <c r="W55" s="43"/>
      <c r="X55" s="43"/>
      <c r="Y55" s="43"/>
      <c r="Z55" s="43"/>
      <c r="AA55" s="43"/>
    </row>
    <row r="56" spans="1:27">
      <c r="A56" s="101" t="s">
        <v>260</v>
      </c>
      <c r="B56" s="161">
        <v>29662241.100000001</v>
      </c>
      <c r="C56" s="162">
        <f t="shared" ref="C56:N56" si="8">SUM(C51:C55)</f>
        <v>6464000</v>
      </c>
      <c r="D56" s="162">
        <f t="shared" si="8"/>
        <v>23842999.850000001</v>
      </c>
      <c r="E56" s="162">
        <f t="shared" si="8"/>
        <v>200000</v>
      </c>
      <c r="F56" s="162">
        <f t="shared" si="8"/>
        <v>5075000</v>
      </c>
      <c r="G56" s="162">
        <f t="shared" si="8"/>
        <v>1750000</v>
      </c>
      <c r="H56" s="162">
        <f t="shared" si="8"/>
        <v>5000000</v>
      </c>
      <c r="I56" s="162">
        <f t="shared" si="8"/>
        <v>0</v>
      </c>
      <c r="J56" s="162">
        <f t="shared" si="8"/>
        <v>19000000</v>
      </c>
      <c r="K56" s="162">
        <f t="shared" si="8"/>
        <v>0</v>
      </c>
      <c r="L56" s="162">
        <f t="shared" si="8"/>
        <v>0</v>
      </c>
      <c r="M56" s="162">
        <f t="shared" si="8"/>
        <v>0</v>
      </c>
      <c r="N56" s="162">
        <f t="shared" si="8"/>
        <v>0</v>
      </c>
      <c r="O56" s="43"/>
      <c r="P56" s="85"/>
      <c r="Q56" s="43"/>
      <c r="R56" s="43"/>
      <c r="S56" s="108"/>
      <c r="T56" s="43"/>
      <c r="U56" s="43"/>
      <c r="V56" s="43"/>
      <c r="W56" s="43"/>
      <c r="X56" s="43"/>
      <c r="Y56" s="43"/>
      <c r="Z56" s="43"/>
      <c r="AA56" s="43"/>
    </row>
    <row r="57" spans="1:27">
      <c r="A57" s="44" t="s">
        <v>147</v>
      </c>
      <c r="B57" s="154"/>
      <c r="C57" s="154"/>
      <c r="D57" s="154"/>
      <c r="E57" s="154"/>
      <c r="F57" s="154"/>
      <c r="G57" s="154"/>
      <c r="H57" s="154"/>
      <c r="I57" s="154"/>
      <c r="J57" s="154"/>
      <c r="K57" s="154"/>
      <c r="L57" s="154"/>
      <c r="M57" s="154"/>
      <c r="N57" s="154"/>
      <c r="O57" s="43"/>
      <c r="P57" s="85"/>
      <c r="Q57" s="43"/>
      <c r="R57" s="43"/>
      <c r="S57" s="43"/>
      <c r="T57" s="43"/>
      <c r="U57" s="43"/>
      <c r="V57" s="43"/>
      <c r="W57" s="43"/>
      <c r="X57" s="43"/>
      <c r="Y57" s="43"/>
      <c r="Z57" s="43"/>
      <c r="AA57" s="43"/>
    </row>
    <row r="58" spans="1:27">
      <c r="A58" s="46" t="s">
        <v>265</v>
      </c>
      <c r="B58" s="68">
        <v>0</v>
      </c>
      <c r="C58" s="50">
        <f>+registry!C98</f>
        <v>0</v>
      </c>
      <c r="D58" s="50">
        <f>+registry!D98</f>
        <v>-23600000</v>
      </c>
      <c r="E58" s="50">
        <f>+registry!E98</f>
        <v>0</v>
      </c>
      <c r="F58" s="50">
        <f>+registry!F98</f>
        <v>0</v>
      </c>
      <c r="G58" s="50">
        <f>+registry!G98</f>
        <v>0</v>
      </c>
      <c r="H58" s="50">
        <f>+registry!H98</f>
        <v>0</v>
      </c>
      <c r="I58" s="50">
        <f>+registry!I98</f>
        <v>0</v>
      </c>
      <c r="J58" s="50">
        <f>+registry!J98</f>
        <v>0</v>
      </c>
      <c r="K58" s="50">
        <f>+registry!K98</f>
        <v>0</v>
      </c>
      <c r="L58" s="50">
        <f>+registry!L98</f>
        <v>0</v>
      </c>
      <c r="M58" s="50">
        <f>+registry!M98</f>
        <v>0</v>
      </c>
      <c r="N58" s="50">
        <f>+registry!N98</f>
        <v>0</v>
      </c>
      <c r="O58" s="43"/>
      <c r="P58" s="85"/>
      <c r="Q58" s="43"/>
      <c r="R58" s="43"/>
      <c r="S58" s="43"/>
      <c r="T58" s="43"/>
      <c r="U58" s="43"/>
      <c r="V58" s="43"/>
      <c r="W58" s="43"/>
      <c r="X58" s="43"/>
      <c r="Y58" s="43"/>
      <c r="Z58" s="43"/>
      <c r="AA58" s="43"/>
    </row>
    <row r="59" spans="1:27">
      <c r="A59" s="46" t="s">
        <v>267</v>
      </c>
      <c r="B59" s="68">
        <v>0</v>
      </c>
      <c r="C59" s="50">
        <f>+registry!C68</f>
        <v>-2098064.6920041367</v>
      </c>
      <c r="D59" s="50">
        <f>+registry!D68</f>
        <v>0</v>
      </c>
      <c r="E59" s="50">
        <f>+registry!E68</f>
        <v>0</v>
      </c>
      <c r="F59" s="50">
        <f>+registry!F68</f>
        <v>-3200000</v>
      </c>
      <c r="G59" s="50">
        <f>+registry!G68</f>
        <v>0</v>
      </c>
      <c r="H59" s="50">
        <f>+registry!H68</f>
        <v>0</v>
      </c>
      <c r="I59" s="50">
        <f>+registry!I68</f>
        <v>-517878.33639449568</v>
      </c>
      <c r="J59" s="50">
        <f>+registry!J68</f>
        <v>-5284163.4049663218</v>
      </c>
      <c r="K59" s="50">
        <f>+registry!K68</f>
        <v>-8541128.1193504781</v>
      </c>
      <c r="L59" s="50">
        <f>+registry!L68</f>
        <v>0</v>
      </c>
      <c r="M59" s="50">
        <f>+registry!M68</f>
        <v>0</v>
      </c>
      <c r="N59" s="50">
        <f>+registry!N68</f>
        <v>0</v>
      </c>
      <c r="O59" s="43"/>
      <c r="P59" s="85"/>
      <c r="Q59" s="43"/>
      <c r="R59" s="43"/>
      <c r="S59" s="43"/>
      <c r="T59" s="43"/>
      <c r="U59" s="43"/>
      <c r="V59" s="43"/>
      <c r="W59" s="43"/>
      <c r="X59" s="43"/>
      <c r="Y59" s="43"/>
      <c r="Z59" s="43"/>
      <c r="AA59" s="43"/>
    </row>
    <row r="60" spans="1:27">
      <c r="A60" s="46" t="s">
        <v>268</v>
      </c>
      <c r="B60" s="68">
        <v>0</v>
      </c>
      <c r="C60" s="50">
        <f>+registry!C73</f>
        <v>0</v>
      </c>
      <c r="D60" s="50">
        <f>+registry!D73</f>
        <v>0</v>
      </c>
      <c r="E60" s="50">
        <f>+registry!E73</f>
        <v>0</v>
      </c>
      <c r="F60" s="50">
        <f>+registry!F73</f>
        <v>-2671203.5474885241</v>
      </c>
      <c r="G60" s="50">
        <f>+registry!G73</f>
        <v>-435000</v>
      </c>
      <c r="H60" s="50">
        <f>+registry!H73</f>
        <v>-1052241.1000000001</v>
      </c>
      <c r="I60" s="50">
        <f>+registry!I73</f>
        <v>0</v>
      </c>
      <c r="J60" s="50">
        <f>+registry!J73</f>
        <v>-7309780.3348903265</v>
      </c>
      <c r="K60" s="50">
        <f>+registry!K73</f>
        <v>-890000</v>
      </c>
      <c r="L60" s="50">
        <f>+registry!L73</f>
        <v>-390000</v>
      </c>
      <c r="M60" s="50">
        <f>+registry!M73</f>
        <v>0</v>
      </c>
      <c r="N60" s="50">
        <f>+registry!N73</f>
        <v>0</v>
      </c>
      <c r="O60" s="43"/>
      <c r="P60" s="85"/>
      <c r="Q60" s="43"/>
      <c r="R60" s="43"/>
      <c r="S60" s="43"/>
      <c r="T60" s="43"/>
      <c r="U60" s="43"/>
      <c r="V60" s="43"/>
      <c r="W60" s="43"/>
      <c r="X60" s="43"/>
      <c r="Y60" s="43"/>
      <c r="Z60" s="43"/>
      <c r="AA60" s="43"/>
    </row>
    <row r="61" spans="1:27">
      <c r="A61" s="46" t="s">
        <v>220</v>
      </c>
      <c r="B61" s="68">
        <v>0</v>
      </c>
      <c r="C61" s="50">
        <f>+registry!C99</f>
        <v>-6050000</v>
      </c>
      <c r="D61" s="50">
        <f>+registry!D99</f>
        <v>-1200000</v>
      </c>
      <c r="E61" s="50">
        <f>+registry!E99</f>
        <v>0</v>
      </c>
      <c r="F61" s="50">
        <f>+registry!F99</f>
        <v>0</v>
      </c>
      <c r="G61" s="50">
        <f>+registry!G99</f>
        <v>0</v>
      </c>
      <c r="H61" s="50">
        <f>+registry!H99</f>
        <v>0</v>
      </c>
      <c r="I61" s="50">
        <f>+registry!I99</f>
        <v>0</v>
      </c>
      <c r="J61" s="50">
        <f>+registry!J99</f>
        <v>0</v>
      </c>
      <c r="K61" s="50">
        <f>+registry!K99</f>
        <v>0</v>
      </c>
      <c r="L61" s="50">
        <f>+registry!L99</f>
        <v>0</v>
      </c>
      <c r="M61" s="50">
        <f>+registry!M99</f>
        <v>0</v>
      </c>
      <c r="N61" s="50">
        <f>+registry!N99</f>
        <v>0</v>
      </c>
      <c r="O61" s="43"/>
      <c r="P61" s="85"/>
      <c r="Q61" s="43"/>
      <c r="R61" s="43"/>
      <c r="S61" s="43"/>
      <c r="T61" s="43"/>
      <c r="U61" s="43"/>
      <c r="V61" s="43"/>
      <c r="W61" s="43"/>
      <c r="X61" s="43"/>
      <c r="Y61" s="43"/>
      <c r="Z61" s="43"/>
      <c r="AA61" s="43"/>
    </row>
    <row r="62" spans="1:27">
      <c r="A62" s="101" t="s">
        <v>262</v>
      </c>
      <c r="B62" s="68">
        <v>0</v>
      </c>
      <c r="C62" s="136">
        <f t="shared" ref="C62:N62" si="9">SUM(C58:C61)</f>
        <v>-8148064.6920041367</v>
      </c>
      <c r="D62" s="136">
        <f t="shared" si="9"/>
        <v>-24800000</v>
      </c>
      <c r="E62" s="136">
        <f t="shared" si="9"/>
        <v>0</v>
      </c>
      <c r="F62" s="136">
        <f t="shared" si="9"/>
        <v>-5871203.5474885236</v>
      </c>
      <c r="G62" s="136">
        <f t="shared" si="9"/>
        <v>-435000</v>
      </c>
      <c r="H62" s="136">
        <f t="shared" si="9"/>
        <v>-1052241.1000000001</v>
      </c>
      <c r="I62" s="136">
        <f t="shared" si="9"/>
        <v>-517878.33639449568</v>
      </c>
      <c r="J62" s="136">
        <f t="shared" si="9"/>
        <v>-12593943.739856649</v>
      </c>
      <c r="K62" s="136">
        <f t="shared" si="9"/>
        <v>-9431128.1193504781</v>
      </c>
      <c r="L62" s="136">
        <f t="shared" si="9"/>
        <v>-390000</v>
      </c>
      <c r="M62" s="136">
        <f t="shared" si="9"/>
        <v>0</v>
      </c>
      <c r="N62" s="136">
        <f t="shared" si="9"/>
        <v>0</v>
      </c>
      <c r="O62" s="43"/>
      <c r="P62" s="85"/>
      <c r="Q62" s="43"/>
      <c r="R62" s="43"/>
      <c r="S62" s="108"/>
      <c r="T62" s="43"/>
      <c r="U62" s="43"/>
      <c r="V62" s="43"/>
      <c r="W62" s="43"/>
      <c r="X62" s="43"/>
      <c r="Y62" s="43"/>
      <c r="Z62" s="43"/>
      <c r="AA62" s="43"/>
    </row>
    <row r="63" spans="1:27">
      <c r="A63" s="72"/>
      <c r="B63" s="50"/>
      <c r="C63" s="50"/>
      <c r="D63" s="50"/>
      <c r="E63" s="50"/>
      <c r="F63" s="50"/>
      <c r="G63" s="50"/>
      <c r="H63" s="50"/>
      <c r="I63" s="50"/>
      <c r="J63" s="50"/>
      <c r="K63" s="50"/>
      <c r="L63" s="50"/>
      <c r="M63" s="50"/>
      <c r="N63" s="50"/>
      <c r="O63" s="43"/>
      <c r="P63" s="85"/>
      <c r="Q63" s="43"/>
      <c r="R63" s="43"/>
      <c r="S63" s="43"/>
      <c r="T63" s="43"/>
      <c r="U63" s="43"/>
      <c r="V63" s="43"/>
      <c r="W63" s="43"/>
      <c r="X63" s="43"/>
      <c r="Y63" s="43"/>
      <c r="Z63" s="43"/>
      <c r="AA63" s="43"/>
    </row>
    <row r="64" spans="1:27" ht="14.65" customHeight="1">
      <c r="A64" s="101" t="s">
        <v>269</v>
      </c>
      <c r="B64" s="68">
        <v>29662241.100000001</v>
      </c>
      <c r="C64" s="50">
        <f t="shared" ref="C64:N64" si="10">+C56+C62</f>
        <v>-1684064.6920041367</v>
      </c>
      <c r="D64" s="50">
        <f t="shared" si="10"/>
        <v>-957000.14999999851</v>
      </c>
      <c r="E64" s="50">
        <f t="shared" si="10"/>
        <v>200000</v>
      </c>
      <c r="F64" s="50">
        <f t="shared" si="10"/>
        <v>-796203.54748852365</v>
      </c>
      <c r="G64" s="50">
        <f t="shared" si="10"/>
        <v>1315000</v>
      </c>
      <c r="H64" s="50">
        <f t="shared" si="10"/>
        <v>3947758.9</v>
      </c>
      <c r="I64" s="50">
        <f t="shared" si="10"/>
        <v>-517878.33639449568</v>
      </c>
      <c r="J64" s="50">
        <f t="shared" si="10"/>
        <v>6406056.2601433508</v>
      </c>
      <c r="K64" s="50">
        <f t="shared" si="10"/>
        <v>-9431128.1193504781</v>
      </c>
      <c r="L64" s="50">
        <f t="shared" si="10"/>
        <v>-390000</v>
      </c>
      <c r="M64" s="50">
        <f t="shared" si="10"/>
        <v>0</v>
      </c>
      <c r="N64" s="50">
        <f t="shared" si="10"/>
        <v>0</v>
      </c>
      <c r="O64" s="43"/>
      <c r="P64" s="85"/>
      <c r="Q64" s="43"/>
      <c r="R64" s="43"/>
      <c r="S64" s="108"/>
      <c r="T64" s="55"/>
      <c r="U64" s="43"/>
      <c r="V64" s="43"/>
      <c r="W64" s="43"/>
      <c r="X64" s="43"/>
      <c r="Y64" s="43"/>
      <c r="Z64" s="43"/>
      <c r="AA64" s="43"/>
    </row>
    <row r="65" spans="1:27">
      <c r="A65" s="72"/>
      <c r="B65" s="50"/>
      <c r="C65" s="50"/>
      <c r="D65" s="50"/>
      <c r="E65" s="50"/>
      <c r="F65" s="50"/>
      <c r="G65" s="50"/>
      <c r="H65" s="50"/>
      <c r="I65" s="50"/>
      <c r="J65" s="50"/>
      <c r="K65" s="50"/>
      <c r="L65" s="50"/>
      <c r="M65" s="50"/>
      <c r="N65" s="50"/>
      <c r="O65" s="43"/>
      <c r="P65" s="85"/>
      <c r="Q65" s="43"/>
      <c r="R65" s="43"/>
      <c r="S65" s="43"/>
      <c r="T65" s="43"/>
      <c r="U65" s="43"/>
      <c r="V65" s="43"/>
      <c r="W65" s="43"/>
      <c r="X65" s="43"/>
      <c r="Y65" s="43"/>
      <c r="Z65" s="43"/>
      <c r="AA65" s="43"/>
    </row>
    <row r="66" spans="1:27">
      <c r="A66" s="173" t="s">
        <v>270</v>
      </c>
      <c r="B66" s="49"/>
      <c r="C66" s="49"/>
      <c r="D66" s="49"/>
      <c r="E66" s="49"/>
      <c r="F66" s="49"/>
      <c r="G66" s="49"/>
      <c r="H66" s="49"/>
      <c r="I66" s="49"/>
      <c r="J66" s="49"/>
      <c r="K66" s="49"/>
      <c r="L66" s="49"/>
      <c r="M66" s="49"/>
      <c r="N66" s="49"/>
      <c r="O66" s="43"/>
      <c r="P66" s="85"/>
      <c r="Q66" s="43"/>
      <c r="R66" s="43"/>
      <c r="S66" s="43"/>
      <c r="T66" s="43"/>
      <c r="U66" s="43"/>
      <c r="V66" s="43"/>
      <c r="W66" s="43"/>
      <c r="X66" s="43"/>
      <c r="Y66" s="43"/>
      <c r="Z66" s="43"/>
      <c r="AA66" s="43"/>
    </row>
    <row r="67" spans="1:27">
      <c r="A67" s="174"/>
      <c r="B67" s="49"/>
      <c r="C67" s="49"/>
      <c r="D67" s="49"/>
      <c r="E67" s="49"/>
      <c r="F67" s="49"/>
      <c r="G67" s="49"/>
      <c r="H67" s="49"/>
      <c r="I67" s="49"/>
      <c r="J67" s="49"/>
      <c r="K67" s="49"/>
      <c r="L67" s="49"/>
      <c r="M67" s="49"/>
      <c r="N67" s="49"/>
      <c r="O67" s="43"/>
      <c r="P67" s="85"/>
      <c r="Q67" s="43"/>
      <c r="R67" s="43"/>
      <c r="S67" s="43"/>
      <c r="T67" s="43"/>
      <c r="U67" s="43"/>
      <c r="V67" s="43"/>
      <c r="W67" s="43"/>
      <c r="X67" s="43"/>
      <c r="Y67" s="43"/>
      <c r="Z67" s="43"/>
      <c r="AA67" s="43"/>
    </row>
    <row r="68" spans="1:27" ht="14.65" customHeight="1">
      <c r="A68" s="101" t="s">
        <v>271</v>
      </c>
      <c r="B68" s="68">
        <v>-1540999</v>
      </c>
      <c r="C68" s="50">
        <f>+registry!C101</f>
        <v>-596442.81892857142</v>
      </c>
      <c r="D68" s="50">
        <f>+registry!D101</f>
        <v>769541.18107142858</v>
      </c>
      <c r="E68" s="50">
        <f>+registry!E101</f>
        <v>1124903.1810714286</v>
      </c>
      <c r="F68" s="50">
        <f>+registry!F101</f>
        <v>1009945.1810714286</v>
      </c>
      <c r="G68" s="50">
        <f>+registry!G101</f>
        <v>1924884.2757142857</v>
      </c>
      <c r="H68" s="50">
        <f>+registry!H101</f>
        <v>0</v>
      </c>
      <c r="I68" s="50">
        <f>+registry!I101</f>
        <v>0</v>
      </c>
      <c r="J68" s="50">
        <f>+registry!J101</f>
        <v>0</v>
      </c>
      <c r="K68" s="50">
        <f>+registry!K101</f>
        <v>-12500000</v>
      </c>
      <c r="L68" s="50">
        <f>+registry!L101</f>
        <v>0</v>
      </c>
      <c r="M68" s="50">
        <f>+registry!M101</f>
        <v>0</v>
      </c>
      <c r="N68" s="50">
        <f>+registry!N101</f>
        <v>0</v>
      </c>
      <c r="O68" s="43"/>
      <c r="P68" s="85"/>
      <c r="Q68" s="43"/>
      <c r="R68" s="43"/>
      <c r="S68" s="108"/>
      <c r="T68" s="43"/>
      <c r="U68" s="43"/>
      <c r="V68" s="43"/>
      <c r="W68" s="43"/>
      <c r="X68" s="43"/>
      <c r="Y68" s="43"/>
      <c r="Z68" s="43"/>
      <c r="AA68" s="43"/>
    </row>
    <row r="69" spans="1:27">
      <c r="A69" s="43"/>
      <c r="B69" s="50"/>
      <c r="C69" s="50"/>
      <c r="D69" s="50"/>
      <c r="E69" s="50"/>
      <c r="F69" s="50"/>
      <c r="G69" s="50"/>
      <c r="H69" s="50"/>
      <c r="I69" s="50"/>
      <c r="J69" s="50"/>
      <c r="K69" s="50"/>
      <c r="L69" s="50"/>
      <c r="M69" s="50"/>
      <c r="N69" s="50"/>
      <c r="O69" s="43"/>
      <c r="P69" s="85"/>
      <c r="Q69" s="43"/>
      <c r="R69" s="43"/>
      <c r="S69" s="43"/>
      <c r="T69" s="43"/>
      <c r="U69" s="43"/>
      <c r="V69" s="43"/>
      <c r="W69" s="43"/>
      <c r="X69" s="43"/>
      <c r="Y69" s="43"/>
      <c r="Z69" s="43"/>
      <c r="AA69" s="43"/>
    </row>
    <row r="70" spans="1:27" ht="14.65" customHeight="1">
      <c r="A70" s="46" t="s">
        <v>272</v>
      </c>
      <c r="B70" s="68">
        <v>25047198.734000001</v>
      </c>
      <c r="C70" s="50">
        <f t="shared" ref="C70:N70" si="11">+C20+C26+C46+C64+C68</f>
        <v>1603707.2390672918</v>
      </c>
      <c r="D70" s="50">
        <f t="shared" si="11"/>
        <v>-4287191.2189285699</v>
      </c>
      <c r="E70" s="50">
        <f t="shared" si="11"/>
        <v>-2763590.336456174</v>
      </c>
      <c r="F70" s="50">
        <f t="shared" si="11"/>
        <v>6070202.3835829049</v>
      </c>
      <c r="G70" s="50">
        <f t="shared" si="11"/>
        <v>5165972.5952380951</v>
      </c>
      <c r="H70" s="50">
        <f t="shared" si="11"/>
        <v>5230810.2541666655</v>
      </c>
      <c r="I70" s="50">
        <f t="shared" si="11"/>
        <v>-3638917.4822278298</v>
      </c>
      <c r="J70" s="50">
        <f t="shared" si="11"/>
        <v>-4302999.4656721279</v>
      </c>
      <c r="K70" s="50">
        <f t="shared" si="11"/>
        <v>2936126.3519052267</v>
      </c>
      <c r="L70" s="50">
        <f t="shared" si="11"/>
        <v>7124030.0357533377</v>
      </c>
      <c r="M70" s="50">
        <f t="shared" si="11"/>
        <v>9432502.8435070459</v>
      </c>
      <c r="N70" s="50">
        <f t="shared" si="11"/>
        <v>3973278.4267819598</v>
      </c>
      <c r="O70" s="55"/>
      <c r="P70" s="85"/>
      <c r="Q70" s="43"/>
      <c r="R70" s="43"/>
      <c r="S70" s="108"/>
      <c r="T70" s="43"/>
      <c r="U70" s="43"/>
      <c r="V70" s="43"/>
      <c r="W70" s="43"/>
      <c r="X70" s="43"/>
      <c r="Y70" s="43"/>
      <c r="Z70" s="43"/>
      <c r="AA70" s="43"/>
    </row>
    <row r="71" spans="1:27" ht="14.65" customHeight="1">
      <c r="A71" s="46" t="s">
        <v>273</v>
      </c>
      <c r="B71" s="68">
        <v>251128</v>
      </c>
      <c r="C71" s="50"/>
      <c r="D71" s="50"/>
      <c r="E71" s="50"/>
      <c r="F71" s="68">
        <v>421309.52</v>
      </c>
      <c r="G71" s="50"/>
      <c r="H71" s="50"/>
      <c r="I71" s="50"/>
      <c r="J71" s="50"/>
      <c r="K71" s="50"/>
      <c r="L71" s="50"/>
      <c r="M71" s="50"/>
      <c r="N71" s="50"/>
      <c r="O71" s="43"/>
      <c r="P71" s="85"/>
      <c r="Q71" s="43"/>
      <c r="R71" s="43"/>
      <c r="S71" s="43"/>
      <c r="T71" s="43"/>
      <c r="U71" s="43"/>
      <c r="V71" s="43"/>
      <c r="W71" s="43"/>
      <c r="X71" s="43"/>
      <c r="Y71" s="43"/>
      <c r="Z71" s="43"/>
      <c r="AA71" s="43"/>
    </row>
    <row r="72" spans="1:27" ht="14.65" customHeight="1" thickBot="1">
      <c r="A72" s="46" t="s">
        <v>274</v>
      </c>
      <c r="B72" s="50"/>
      <c r="C72" s="50"/>
      <c r="D72" s="50"/>
      <c r="E72" s="50"/>
      <c r="F72" s="50"/>
      <c r="G72" s="137">
        <f>F73*lgh_inputs!$D$8/4</f>
        <v>3159.4205044908958</v>
      </c>
      <c r="H72" s="137">
        <f>G73*lgh_inputs!$D$8/4</f>
        <v>41927.910622560288</v>
      </c>
      <c r="I72" s="137">
        <f>H73*lgh_inputs!$D$8/4</f>
        <v>81473.446858479481</v>
      </c>
      <c r="J72" s="137">
        <f>I73*lgh_inputs!$D$8/4</f>
        <v>54792.61659320935</v>
      </c>
      <c r="K72" s="50">
        <f>J73*lgh_inputs!$D$8</f>
        <v>91724.260900469846</v>
      </c>
      <c r="L72" s="50">
        <f>K73*lgh_inputs!$D$8</f>
        <v>182559.77928464071</v>
      </c>
      <c r="M72" s="50">
        <f>L73*lgh_inputs!$D$8</f>
        <v>401757.47373578005</v>
      </c>
      <c r="N72" s="50">
        <f>M73*lgh_inputs!$D$8</f>
        <v>696785.28325306484</v>
      </c>
      <c r="O72" s="43"/>
      <c r="P72" s="85"/>
      <c r="Q72" s="43"/>
      <c r="R72" s="43"/>
      <c r="S72" s="43"/>
      <c r="T72" s="43"/>
      <c r="U72" s="43"/>
      <c r="V72" s="43"/>
      <c r="W72" s="43"/>
      <c r="X72" s="43"/>
      <c r="Y72" s="43"/>
      <c r="Z72" s="43"/>
      <c r="AA72" s="43"/>
    </row>
    <row r="73" spans="1:27" ht="15.5" customHeight="1" thickTop="1" thickBot="1">
      <c r="A73" s="46" t="s">
        <v>275</v>
      </c>
      <c r="B73" s="140">
        <v>251128</v>
      </c>
      <c r="C73" s="141">
        <f>+B73+C70</f>
        <v>1854835.2390672918</v>
      </c>
      <c r="D73" s="141">
        <f>+C73+D70</f>
        <v>-2432355.9798612781</v>
      </c>
      <c r="E73" s="141">
        <f>+D73+E70</f>
        <v>-5195946.3163174521</v>
      </c>
      <c r="F73" s="141">
        <f>+E73+F70-F74</f>
        <v>421256.06726545282</v>
      </c>
      <c r="G73" s="141">
        <f t="shared" ref="G73:N73" si="12">+F73+G70+G72</f>
        <v>5590388.0830080388</v>
      </c>
      <c r="H73" s="141">
        <f t="shared" si="12"/>
        <v>10863126.247797264</v>
      </c>
      <c r="I73" s="141">
        <f t="shared" si="12"/>
        <v>7305682.2124279132</v>
      </c>
      <c r="J73" s="141">
        <f t="shared" si="12"/>
        <v>3057475.3633489949</v>
      </c>
      <c r="K73" s="141">
        <f t="shared" si="12"/>
        <v>6085325.9761546906</v>
      </c>
      <c r="L73" s="141">
        <f t="shared" si="12"/>
        <v>13391915.791192669</v>
      </c>
      <c r="M73" s="141">
        <f t="shared" si="12"/>
        <v>23226176.108435497</v>
      </c>
      <c r="N73" s="141">
        <f t="shared" si="12"/>
        <v>27896239.818470523</v>
      </c>
      <c r="O73" s="43"/>
      <c r="P73" s="43"/>
      <c r="Q73" s="43"/>
      <c r="R73" s="43"/>
      <c r="S73" s="43"/>
      <c r="T73" s="43"/>
      <c r="U73" s="43"/>
      <c r="V73" s="43"/>
      <c r="W73" s="43"/>
      <c r="X73" s="43"/>
      <c r="Y73" s="43"/>
      <c r="Z73" s="43"/>
      <c r="AA73" s="43"/>
    </row>
    <row r="74" spans="1:27" ht="15" customHeight="1" thickTop="1">
      <c r="A74" s="175" t="s">
        <v>276</v>
      </c>
      <c r="B74" s="176"/>
      <c r="C74" s="176"/>
      <c r="D74" s="176"/>
      <c r="E74" s="176"/>
      <c r="F74" s="177">
        <v>453000</v>
      </c>
      <c r="G74" s="178" t="s">
        <v>277</v>
      </c>
      <c r="H74" s="176"/>
      <c r="I74" s="176"/>
      <c r="J74" s="176"/>
      <c r="K74" s="50"/>
      <c r="L74" s="50"/>
      <c r="M74" s="50"/>
      <c r="N74" s="50"/>
      <c r="O74" s="43"/>
      <c r="P74" s="43"/>
      <c r="Q74" s="43"/>
      <c r="R74" s="43"/>
      <c r="S74" s="43"/>
      <c r="T74" s="43"/>
      <c r="U74" s="43"/>
      <c r="V74" s="43"/>
      <c r="W74" s="43"/>
      <c r="X74" s="43"/>
      <c r="Y74" s="43"/>
      <c r="Z74" s="43"/>
      <c r="AA74" s="43"/>
    </row>
    <row r="75" spans="1:27">
      <c r="A75" s="43"/>
      <c r="B75" s="179"/>
      <c r="C75" s="43"/>
      <c r="D75" s="43"/>
      <c r="E75" s="43"/>
      <c r="F75" s="43"/>
      <c r="G75" s="43"/>
      <c r="H75" s="43"/>
      <c r="I75" s="43"/>
      <c r="J75" s="43"/>
      <c r="K75" s="43"/>
      <c r="L75" s="43"/>
      <c r="M75" s="43"/>
      <c r="N75" s="43"/>
      <c r="O75" s="43"/>
      <c r="P75" s="43"/>
      <c r="Q75" s="43"/>
      <c r="R75" s="43"/>
      <c r="S75" s="43"/>
      <c r="T75" s="43"/>
      <c r="U75" s="43"/>
      <c r="V75" s="43"/>
      <c r="W75" s="43"/>
      <c r="X75" s="43"/>
      <c r="Y75" s="43"/>
      <c r="Z75" s="43"/>
      <c r="AA75" s="43"/>
    </row>
    <row r="76" spans="1:27">
      <c r="A76" s="43"/>
      <c r="B76" s="179"/>
      <c r="C76" s="176"/>
      <c r="D76" s="180"/>
      <c r="E76" s="180"/>
      <c r="F76" s="180"/>
      <c r="G76" s="180"/>
      <c r="H76" s="180"/>
      <c r="I76" s="180"/>
      <c r="J76" s="180"/>
      <c r="K76" s="180"/>
      <c r="L76" s="180"/>
      <c r="M76" s="180"/>
      <c r="N76" s="180"/>
      <c r="O76" s="43"/>
      <c r="P76" s="43"/>
      <c r="Q76" s="43"/>
      <c r="R76" s="43"/>
      <c r="S76" s="43"/>
      <c r="T76" s="43"/>
      <c r="U76" s="43"/>
      <c r="V76" s="43"/>
      <c r="W76" s="43"/>
      <c r="X76" s="43"/>
      <c r="Y76" s="43"/>
      <c r="Z76" s="43"/>
      <c r="AA76" s="43"/>
    </row>
    <row r="77" spans="1:27">
      <c r="A77" s="43"/>
      <c r="B77" s="179"/>
      <c r="C77" s="181"/>
      <c r="D77" s="181"/>
      <c r="E77" s="43"/>
      <c r="F77" s="43"/>
      <c r="G77" s="43"/>
      <c r="H77" s="43"/>
      <c r="I77" s="43"/>
      <c r="J77" s="43"/>
      <c r="K77" s="50"/>
      <c r="L77" s="50"/>
      <c r="M77" s="50"/>
      <c r="N77" s="50"/>
      <c r="O77" s="43"/>
      <c r="P77" s="43"/>
      <c r="Q77" s="43"/>
      <c r="R77" s="43"/>
      <c r="S77" s="43"/>
      <c r="T77" s="43"/>
      <c r="U77" s="43"/>
      <c r="V77" s="43"/>
      <c r="W77" s="43"/>
      <c r="X77" s="43"/>
      <c r="Y77" s="43"/>
      <c r="Z77" s="43"/>
      <c r="AA77" s="43"/>
    </row>
    <row r="78" spans="1:27">
      <c r="A78" s="43"/>
      <c r="B78" s="179"/>
      <c r="C78" s="181"/>
      <c r="D78" s="181"/>
      <c r="E78" s="43"/>
      <c r="F78" s="43"/>
      <c r="G78" s="43"/>
      <c r="H78" s="43"/>
      <c r="I78" s="43"/>
      <c r="J78" s="43"/>
      <c r="K78" s="50"/>
      <c r="L78" s="50"/>
      <c r="M78" s="50"/>
      <c r="N78" s="50"/>
      <c r="O78" s="43"/>
      <c r="P78" s="43"/>
      <c r="Q78" s="43"/>
      <c r="R78" s="43"/>
      <c r="S78" s="43"/>
      <c r="T78" s="43"/>
      <c r="U78" s="43"/>
      <c r="V78" s="43"/>
      <c r="W78" s="43"/>
      <c r="X78" s="43"/>
      <c r="Y78" s="43"/>
      <c r="Z78" s="43"/>
      <c r="AA78" s="43"/>
    </row>
    <row r="79" spans="1:27">
      <c r="A79" s="43"/>
      <c r="B79" s="179"/>
      <c r="C79" s="181"/>
      <c r="D79" s="181"/>
      <c r="E79" s="43"/>
      <c r="F79" s="43"/>
      <c r="G79" s="43"/>
      <c r="H79" s="176"/>
      <c r="I79" s="176"/>
      <c r="J79" s="43"/>
      <c r="K79" s="43"/>
      <c r="L79" s="43"/>
      <c r="M79" s="43"/>
      <c r="N79" s="43"/>
      <c r="O79" s="43"/>
      <c r="P79" s="43"/>
      <c r="Q79" s="43"/>
      <c r="R79" s="43"/>
      <c r="S79" s="43"/>
      <c r="T79" s="43"/>
      <c r="U79" s="43"/>
      <c r="V79" s="43"/>
      <c r="W79" s="43"/>
      <c r="X79" s="43"/>
      <c r="Y79" s="43"/>
      <c r="Z79" s="43"/>
      <c r="AA79" s="43"/>
    </row>
    <row r="80" spans="1:27">
      <c r="A80" s="43"/>
      <c r="B80" s="179"/>
      <c r="C80" s="43"/>
      <c r="D80" s="181"/>
      <c r="E80" s="43"/>
      <c r="F80" s="43"/>
      <c r="G80" s="43"/>
      <c r="H80" s="43"/>
      <c r="I80" s="176"/>
      <c r="J80" s="43"/>
      <c r="K80" s="50"/>
      <c r="L80" s="50"/>
      <c r="M80" s="50"/>
      <c r="N80" s="50"/>
      <c r="O80" s="43"/>
      <c r="P80" s="43"/>
      <c r="Q80" s="43"/>
      <c r="R80" s="43"/>
      <c r="S80" s="43"/>
      <c r="T80" s="43"/>
      <c r="U80" s="43"/>
      <c r="V80" s="43"/>
      <c r="W80" s="43"/>
      <c r="X80" s="43"/>
      <c r="Y80" s="43"/>
      <c r="Z80" s="43"/>
      <c r="AA80" s="43"/>
    </row>
    <row r="81" spans="1:27">
      <c r="A81" s="43"/>
      <c r="B81" s="179"/>
      <c r="C81" s="43"/>
      <c r="D81" s="43"/>
      <c r="E81" s="43"/>
      <c r="F81" s="43"/>
      <c r="G81" s="43"/>
      <c r="H81" s="43"/>
      <c r="I81" s="176"/>
      <c r="J81" s="43"/>
      <c r="K81" s="50"/>
      <c r="L81" s="50"/>
      <c r="M81" s="50"/>
      <c r="N81" s="50"/>
      <c r="O81" s="43"/>
      <c r="P81" s="43"/>
      <c r="Q81" s="43"/>
      <c r="R81" s="43"/>
      <c r="S81" s="43"/>
      <c r="T81" s="43"/>
      <c r="U81" s="43"/>
      <c r="V81" s="43"/>
      <c r="W81" s="43"/>
      <c r="X81" s="43"/>
      <c r="Y81" s="43"/>
      <c r="Z81" s="43"/>
      <c r="AA81" s="43"/>
    </row>
    <row r="82" spans="1:27">
      <c r="A82" s="43"/>
      <c r="B82" s="179"/>
      <c r="C82" s="43"/>
      <c r="D82" s="43"/>
      <c r="E82" s="43"/>
      <c r="F82" s="43"/>
      <c r="G82" s="43"/>
      <c r="H82" s="43"/>
      <c r="I82" s="176"/>
      <c r="J82" s="43"/>
      <c r="K82" s="55"/>
      <c r="L82" s="55"/>
      <c r="M82" s="55"/>
      <c r="N82" s="55"/>
      <c r="O82" s="43"/>
      <c r="P82" s="43"/>
      <c r="Q82" s="43"/>
      <c r="R82" s="43"/>
      <c r="S82" s="43"/>
      <c r="T82" s="43"/>
      <c r="U82" s="43"/>
      <c r="V82" s="43"/>
      <c r="W82" s="43"/>
      <c r="X82" s="43"/>
      <c r="Y82" s="43"/>
      <c r="Z82" s="43"/>
      <c r="AA82" s="43"/>
    </row>
    <row r="83" spans="1:27">
      <c r="A83" s="43"/>
      <c r="B83" s="179"/>
      <c r="C83" s="43"/>
      <c r="D83" s="43"/>
      <c r="E83" s="43"/>
      <c r="F83" s="43"/>
      <c r="G83" s="43"/>
      <c r="H83" s="43"/>
      <c r="I83" s="176"/>
      <c r="J83" s="182"/>
      <c r="K83" s="55"/>
      <c r="L83" s="55"/>
      <c r="M83" s="55"/>
      <c r="N83" s="55"/>
      <c r="O83" s="43"/>
      <c r="P83" s="43"/>
      <c r="Q83" s="43"/>
      <c r="R83" s="43"/>
      <c r="S83" s="43"/>
      <c r="T83" s="43"/>
      <c r="U83" s="43"/>
      <c r="V83" s="43"/>
      <c r="W83" s="43"/>
      <c r="X83" s="43"/>
      <c r="Y83" s="43"/>
      <c r="Z83" s="43"/>
      <c r="AA83" s="43"/>
    </row>
    <row r="84" spans="1:27">
      <c r="A84" s="43"/>
      <c r="B84" s="179"/>
      <c r="C84" s="43"/>
      <c r="D84" s="43"/>
      <c r="E84" s="43"/>
      <c r="F84" s="43"/>
      <c r="G84" s="43"/>
      <c r="H84" s="180"/>
      <c r="I84" s="176"/>
      <c r="J84" s="180"/>
      <c r="K84" s="55"/>
      <c r="L84" s="55"/>
      <c r="M84" s="55"/>
      <c r="N84" s="55"/>
      <c r="O84" s="43"/>
      <c r="P84" s="43"/>
      <c r="Q84" s="43"/>
      <c r="R84" s="43"/>
      <c r="S84" s="43"/>
      <c r="T84" s="43"/>
      <c r="U84" s="43"/>
      <c r="V84" s="43"/>
      <c r="W84" s="43"/>
      <c r="X84" s="43"/>
      <c r="Y84" s="43"/>
      <c r="Z84" s="43"/>
      <c r="AA84" s="43"/>
    </row>
    <row r="85" spans="1:27">
      <c r="A85" s="43"/>
      <c r="B85" s="179"/>
      <c r="C85" s="43"/>
      <c r="D85" s="43"/>
      <c r="E85" s="43"/>
      <c r="F85" s="43"/>
      <c r="G85" s="43"/>
      <c r="H85" s="43"/>
      <c r="I85" s="43"/>
      <c r="J85" s="43"/>
      <c r="K85" s="55"/>
      <c r="L85" s="55"/>
      <c r="M85" s="55"/>
      <c r="N85" s="55"/>
      <c r="O85" s="43"/>
      <c r="P85" s="43"/>
      <c r="Q85" s="43"/>
      <c r="R85" s="43"/>
      <c r="S85" s="43"/>
      <c r="T85" s="43"/>
      <c r="U85" s="43"/>
      <c r="V85" s="43"/>
      <c r="W85" s="43"/>
      <c r="X85" s="43"/>
      <c r="Y85" s="43"/>
      <c r="Z85" s="43"/>
      <c r="AA85" s="43"/>
    </row>
    <row r="86" spans="1:27">
      <c r="A86" s="43"/>
      <c r="B86" s="179"/>
      <c r="C86" s="43"/>
      <c r="D86" s="43"/>
      <c r="E86" s="43"/>
      <c r="F86" s="43"/>
      <c r="G86" s="43"/>
      <c r="H86" s="43"/>
      <c r="I86" s="43"/>
      <c r="J86" s="43"/>
      <c r="K86" s="55"/>
      <c r="L86" s="55"/>
      <c r="M86" s="55"/>
      <c r="N86" s="55"/>
      <c r="O86" s="43"/>
      <c r="P86" s="43"/>
      <c r="Q86" s="43"/>
      <c r="R86" s="43"/>
      <c r="S86" s="43"/>
      <c r="T86" s="43"/>
      <c r="U86" s="43"/>
      <c r="V86" s="43"/>
      <c r="W86" s="43"/>
      <c r="X86" s="43"/>
      <c r="Y86" s="43"/>
      <c r="Z86" s="43"/>
      <c r="AA86" s="43"/>
    </row>
    <row r="87" spans="1:27">
      <c r="A87" s="43"/>
      <c r="B87" s="43"/>
      <c r="C87" s="43"/>
      <c r="D87" s="43"/>
      <c r="E87" s="43"/>
      <c r="F87" s="43"/>
      <c r="G87" s="43"/>
      <c r="H87" s="43"/>
      <c r="I87" s="43"/>
      <c r="J87" s="43"/>
      <c r="K87" s="55"/>
      <c r="L87" s="55"/>
      <c r="M87" s="55"/>
      <c r="N87" s="55"/>
      <c r="O87" s="43"/>
      <c r="P87" s="43"/>
      <c r="Q87" s="43"/>
      <c r="R87" s="43"/>
      <c r="S87" s="43"/>
      <c r="T87" s="43"/>
      <c r="U87" s="43"/>
      <c r="V87" s="43"/>
      <c r="W87" s="43"/>
      <c r="X87" s="43"/>
      <c r="Y87" s="43"/>
      <c r="Z87" s="43"/>
      <c r="AA87" s="43"/>
    </row>
    <row r="88" spans="1:27">
      <c r="A88" s="43"/>
      <c r="B88" s="43"/>
      <c r="C88" s="43"/>
      <c r="D88" s="43"/>
      <c r="E88" s="43"/>
      <c r="F88" s="43"/>
      <c r="G88" s="43"/>
      <c r="H88" s="43"/>
      <c r="I88" s="43"/>
      <c r="J88" s="43"/>
      <c r="K88" s="50"/>
      <c r="L88" s="50"/>
      <c r="M88" s="50"/>
      <c r="N88" s="50"/>
      <c r="O88" s="43"/>
      <c r="P88" s="43"/>
      <c r="Q88" s="43"/>
      <c r="R88" s="43"/>
      <c r="S88" s="43"/>
      <c r="T88" s="43"/>
      <c r="U88" s="43"/>
      <c r="V88" s="43"/>
      <c r="W88" s="43"/>
      <c r="X88" s="43"/>
      <c r="Y88" s="43"/>
      <c r="Z88" s="43"/>
      <c r="AA88" s="43"/>
    </row>
    <row r="89" spans="1:27">
      <c r="A89" s="43"/>
      <c r="B89" s="43"/>
      <c r="C89" s="43"/>
      <c r="D89" s="43"/>
      <c r="E89" s="43"/>
      <c r="F89" s="43"/>
      <c r="G89" s="43"/>
      <c r="H89" s="43"/>
      <c r="I89" s="43"/>
      <c r="J89" s="43"/>
      <c r="K89" s="55"/>
      <c r="L89" s="55"/>
      <c r="M89" s="55"/>
      <c r="N89" s="55"/>
      <c r="O89" s="43"/>
      <c r="P89" s="43"/>
      <c r="Q89" s="43"/>
      <c r="R89" s="43"/>
      <c r="S89" s="43"/>
      <c r="T89" s="43"/>
      <c r="U89" s="43"/>
      <c r="V89" s="43"/>
      <c r="W89" s="43"/>
      <c r="X89" s="43"/>
      <c r="Y89" s="43"/>
      <c r="Z89" s="43"/>
      <c r="AA89" s="43"/>
    </row>
    <row r="90" spans="1:27">
      <c r="A90" s="43"/>
      <c r="B90" s="43"/>
      <c r="C90" s="43"/>
      <c r="D90" s="43"/>
      <c r="E90" s="43"/>
      <c r="F90" s="43"/>
      <c r="G90" s="43"/>
      <c r="H90" s="43"/>
      <c r="I90" s="43"/>
      <c r="J90" s="43"/>
      <c r="K90" s="50"/>
      <c r="L90" s="50"/>
      <c r="M90" s="50"/>
      <c r="N90" s="50"/>
      <c r="O90" s="43"/>
      <c r="P90" s="43"/>
      <c r="Q90" s="43"/>
      <c r="R90" s="43"/>
      <c r="S90" s="43"/>
      <c r="T90" s="43"/>
      <c r="U90" s="43"/>
      <c r="V90" s="43"/>
      <c r="W90" s="43"/>
      <c r="X90" s="43"/>
      <c r="Y90" s="43"/>
      <c r="Z90" s="43"/>
      <c r="AA90" s="43"/>
    </row>
  </sheetData>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7">
    <tabColor rgb="FFD9E1F2"/>
  </sheetPr>
  <dimension ref="A1:N15"/>
  <sheetViews>
    <sheetView showGridLines="0" zoomScale="80" zoomScaleNormal="80" workbookViewId="0">
      <pane ySplit="3" topLeftCell="A4" activePane="bottomLeft" state="frozen"/>
      <selection activeCell="P6" sqref="P6"/>
      <selection pane="bottomLeft" activeCell="D21" sqref="D21"/>
    </sheetView>
  </sheetViews>
  <sheetFormatPr defaultRowHeight="14.5"/>
  <cols>
    <col min="1" max="1" width="27.453125" bestFit="1" customWidth="1"/>
    <col min="2" max="2" width="14.6328125" style="18" bestFit="1" customWidth="1"/>
    <col min="3" max="3" width="21.453125" bestFit="1" customWidth="1"/>
    <col min="4" max="6" width="15.6328125" bestFit="1" customWidth="1"/>
    <col min="7" max="14" width="15.54296875" bestFit="1" customWidth="1"/>
    <col min="15" max="15" width="16.453125" bestFit="1" customWidth="1"/>
  </cols>
  <sheetData>
    <row r="1" spans="1:14" s="22" customFormat="1">
      <c r="A1" s="111" t="str">
        <f t="array" aca="1" ref="A1" ca="1">_xlfn.TEXTAFTER(CELL("filename",A1),"]")</f>
        <v>lgh_ci</v>
      </c>
      <c r="B1" s="62"/>
      <c r="C1" s="62"/>
      <c r="D1" s="62"/>
      <c r="E1" s="62"/>
      <c r="F1" s="62"/>
      <c r="G1" s="62"/>
      <c r="H1" s="62"/>
      <c r="I1" s="62"/>
      <c r="J1" s="62"/>
      <c r="K1" s="62"/>
      <c r="L1" s="62"/>
      <c r="M1" s="62"/>
      <c r="N1" s="62"/>
    </row>
    <row r="2" spans="1:14" s="22" customFormat="1">
      <c r="A2" s="101" t="s">
        <v>0</v>
      </c>
      <c r="B2" s="112">
        <v>45657</v>
      </c>
      <c r="C2" s="113">
        <f>+lgh_bs!E2</f>
        <v>45747</v>
      </c>
      <c r="D2" s="113">
        <f>+lgh_bs!F2</f>
        <v>45838</v>
      </c>
      <c r="E2" s="113">
        <f>+lgh_bs!G2</f>
        <v>45930</v>
      </c>
      <c r="F2" s="113">
        <f>+lgh_bs!H2</f>
        <v>46022</v>
      </c>
      <c r="G2" s="113">
        <f>+lgh_bs!I2</f>
        <v>46112</v>
      </c>
      <c r="H2" s="113">
        <f>+lgh_bs!J2</f>
        <v>46203</v>
      </c>
      <c r="I2" s="113">
        <f>+lgh_bs!K2</f>
        <v>46295</v>
      </c>
      <c r="J2" s="113">
        <f>+lgh_bs!L2</f>
        <v>46387</v>
      </c>
      <c r="K2" s="113">
        <f>+lgh_bs!M2</f>
        <v>46752</v>
      </c>
      <c r="L2" s="113">
        <f>+lgh_bs!N2</f>
        <v>47118</v>
      </c>
      <c r="M2" s="113">
        <f>+lgh_bs!O2</f>
        <v>47483</v>
      </c>
      <c r="N2" s="113">
        <f>+lgh_bs!P2</f>
        <v>47848</v>
      </c>
    </row>
    <row r="3" spans="1:14" s="22" customFormat="1">
      <c r="A3" s="101" t="s">
        <v>1</v>
      </c>
      <c r="B3" s="114" t="s">
        <v>2</v>
      </c>
      <c r="C3" s="139" t="str">
        <f>+lgh_bs!E3</f>
        <v>Q1</v>
      </c>
      <c r="D3" s="139" t="str">
        <f>+lgh_bs!F3</f>
        <v>Q2</v>
      </c>
      <c r="E3" s="139" t="str">
        <f>+lgh_bs!G3</f>
        <v>Q3</v>
      </c>
      <c r="F3" s="139" t="str">
        <f>+lgh_bs!H3</f>
        <v>Q4</v>
      </c>
      <c r="G3" s="139" t="str">
        <f>+lgh_bs!I3</f>
        <v>Q1</v>
      </c>
      <c r="H3" s="139" t="str">
        <f>+lgh_bs!J3</f>
        <v>Q2</v>
      </c>
      <c r="I3" s="139" t="str">
        <f>+lgh_bs!K3</f>
        <v>Q3</v>
      </c>
      <c r="J3" s="139" t="str">
        <f>+lgh_bs!L3</f>
        <v>Q4</v>
      </c>
      <c r="K3" s="139" t="str">
        <f>+lgh_bs!M3</f>
        <v>Q4</v>
      </c>
      <c r="L3" s="139" t="str">
        <f>+lgh_bs!N3</f>
        <v>Q4</v>
      </c>
      <c r="M3" s="139" t="str">
        <f>+lgh_bs!O3</f>
        <v>Q4</v>
      </c>
      <c r="N3" s="139" t="str">
        <f>+lgh_bs!P3</f>
        <v>Q4</v>
      </c>
    </row>
    <row r="4" spans="1:14" s="4" customFormat="1">
      <c r="A4" s="46" t="s">
        <v>235</v>
      </c>
      <c r="B4" s="68">
        <v>119773010.1849418</v>
      </c>
      <c r="C4" s="50">
        <f>+lgh_bs!E33</f>
        <v>133373609.36738586</v>
      </c>
      <c r="D4" s="50">
        <f>+lgh_bs!F33</f>
        <v>135662934.85874093</v>
      </c>
      <c r="E4" s="50">
        <f>+lgh_bs!G33</f>
        <v>158657706.70367149</v>
      </c>
      <c r="F4" s="50">
        <f>+lgh_bs!H33</f>
        <v>153418237.46411583</v>
      </c>
      <c r="G4" s="50">
        <f>+lgh_bs!I33</f>
        <v>157901050.55800745</v>
      </c>
      <c r="H4" s="50">
        <f>+lgh_bs!J33</f>
        <v>165541711.44971877</v>
      </c>
      <c r="I4" s="50">
        <f>+lgh_bs!K33</f>
        <v>174086405.45360541</v>
      </c>
      <c r="J4" s="50">
        <f>+lgh_bs!L33</f>
        <v>189621150.83104634</v>
      </c>
      <c r="K4" s="50">
        <f>+lgh_bs!M33</f>
        <v>222423761.88773352</v>
      </c>
      <c r="L4" s="50">
        <f>+lgh_bs!N33</f>
        <v>270360550.59613985</v>
      </c>
      <c r="M4" s="50">
        <f>+lgh_bs!O33</f>
        <v>326391628.59594965</v>
      </c>
      <c r="N4" s="50">
        <f>+lgh_bs!P33</f>
        <v>381491493.68855262</v>
      </c>
    </row>
    <row r="5" spans="1:14" s="4" customFormat="1">
      <c r="A5" s="46" t="s">
        <v>236</v>
      </c>
      <c r="B5" s="68">
        <v>129773010.1849418</v>
      </c>
      <c r="C5" s="50">
        <f>lgh_bs!E44</f>
        <v>143373609.36738586</v>
      </c>
      <c r="D5" s="50">
        <f>lgh_bs!F44</f>
        <v>145662934.85874093</v>
      </c>
      <c r="E5" s="50">
        <f>lgh_bs!G44</f>
        <v>168657706.70367149</v>
      </c>
      <c r="F5" s="50">
        <f>lgh_bs!H44</f>
        <v>151467934.35181865</v>
      </c>
      <c r="G5" s="50">
        <f>lgh_bs!I44</f>
        <v>157528070.57213041</v>
      </c>
      <c r="H5" s="50">
        <f>lgh_bs!J44</f>
        <v>168213139.20263568</v>
      </c>
      <c r="I5" s="50">
        <f>lgh_bs!K44</f>
        <v>182983126.43726301</v>
      </c>
      <c r="J5" s="50">
        <f>lgh_bs!L44</f>
        <v>201719835.96826857</v>
      </c>
      <c r="K5" s="50">
        <f>lgh_bs!M44</f>
        <v>245972095.41352579</v>
      </c>
      <c r="L5" s="50">
        <f>lgh_bs!N44</f>
        <v>336385218.7903558</v>
      </c>
      <c r="M5" s="50">
        <f>lgh_bs!O44</f>
        <v>426619669.78234744</v>
      </c>
      <c r="N5" s="50">
        <f>lgh_bs!P44</f>
        <v>551491493.68855262</v>
      </c>
    </row>
    <row r="6" spans="1:14">
      <c r="A6" s="43"/>
      <c r="B6" s="50"/>
      <c r="C6" s="50"/>
      <c r="D6" s="50"/>
      <c r="E6" s="50"/>
      <c r="F6" s="50"/>
      <c r="G6" s="50"/>
      <c r="H6" s="50"/>
      <c r="I6" s="50"/>
      <c r="J6" s="50"/>
      <c r="K6" s="50"/>
      <c r="L6" s="50"/>
      <c r="M6" s="50"/>
      <c r="N6" s="50"/>
    </row>
    <row r="7" spans="1:14">
      <c r="A7" s="46" t="s">
        <v>237</v>
      </c>
      <c r="B7" s="50"/>
      <c r="C7" s="50"/>
      <c r="D7" s="50"/>
      <c r="E7" s="50"/>
      <c r="F7" s="50"/>
      <c r="G7" s="50"/>
      <c r="H7" s="50"/>
      <c r="I7" s="50"/>
      <c r="J7" s="50"/>
      <c r="K7" s="50"/>
      <c r="L7" s="50"/>
      <c r="M7" s="50"/>
      <c r="N7" s="50"/>
    </row>
    <row r="8" spans="1:14">
      <c r="A8" s="43"/>
      <c r="B8" s="105">
        <v>0</v>
      </c>
      <c r="C8" s="75">
        <f>+lgh_inputs!$D$4</f>
        <v>0.35</v>
      </c>
      <c r="D8" s="75">
        <f>+lgh_inputs!$D$4</f>
        <v>0.35</v>
      </c>
      <c r="E8" s="75">
        <f>+lgh_inputs!$D$4</f>
        <v>0.35</v>
      </c>
      <c r="F8" s="75">
        <f>+lgh_inputs!$D$4</f>
        <v>0.35</v>
      </c>
      <c r="G8" s="75">
        <f>+lgh_inputs!$D$4</f>
        <v>0.35</v>
      </c>
      <c r="H8" s="75">
        <f>+lgh_inputs!$D$4</f>
        <v>0.35</v>
      </c>
      <c r="I8" s="75">
        <f>+lgh_inputs!$D$4</f>
        <v>0.35</v>
      </c>
      <c r="J8" s="75">
        <f>+lgh_inputs!$D$4</f>
        <v>0.35</v>
      </c>
      <c r="K8" s="75">
        <f>+lgh_inputs!$D$4</f>
        <v>0.35</v>
      </c>
      <c r="L8" s="75">
        <f>+lgh_inputs!$D$4</f>
        <v>0.35</v>
      </c>
      <c r="M8" s="75">
        <f>+lgh_inputs!$D$4</f>
        <v>0.35</v>
      </c>
      <c r="N8" s="75">
        <f>+lgh_inputs!$D$4</f>
        <v>0.35</v>
      </c>
    </row>
    <row r="9" spans="1:14">
      <c r="A9" s="68">
        <v>150000000</v>
      </c>
      <c r="B9" s="68">
        <v>150000000</v>
      </c>
      <c r="C9" s="50">
        <f t="shared" ref="C9:N9" si="0">$A9</f>
        <v>150000000</v>
      </c>
      <c r="D9" s="50">
        <f t="shared" si="0"/>
        <v>150000000</v>
      </c>
      <c r="E9" s="50">
        <f t="shared" si="0"/>
        <v>150000000</v>
      </c>
      <c r="F9" s="50">
        <f t="shared" si="0"/>
        <v>150000000</v>
      </c>
      <c r="G9" s="50">
        <f t="shared" si="0"/>
        <v>150000000</v>
      </c>
      <c r="H9" s="50">
        <f t="shared" si="0"/>
        <v>150000000</v>
      </c>
      <c r="I9" s="50">
        <f t="shared" si="0"/>
        <v>150000000</v>
      </c>
      <c r="J9" s="50">
        <f t="shared" si="0"/>
        <v>150000000</v>
      </c>
      <c r="K9" s="50">
        <f t="shared" si="0"/>
        <v>150000000</v>
      </c>
      <c r="L9" s="50">
        <f t="shared" si="0"/>
        <v>150000000</v>
      </c>
      <c r="M9" s="50">
        <f t="shared" si="0"/>
        <v>150000000</v>
      </c>
      <c r="N9" s="50">
        <f t="shared" si="0"/>
        <v>150000000</v>
      </c>
    </row>
    <row r="10" spans="1:14">
      <c r="A10" s="43"/>
      <c r="B10" s="68">
        <v>0</v>
      </c>
      <c r="C10" s="50">
        <f t="shared" ref="C10:N10" si="1">MAX((C$4-C9)*C8,0)</f>
        <v>0</v>
      </c>
      <c r="D10" s="50">
        <f t="shared" si="1"/>
        <v>0</v>
      </c>
      <c r="E10" s="50">
        <f t="shared" si="1"/>
        <v>3030197.3462850195</v>
      </c>
      <c r="F10" s="50">
        <f t="shared" si="1"/>
        <v>1196383.1124405398</v>
      </c>
      <c r="G10" s="50">
        <f t="shared" si="1"/>
        <v>2765367.695302607</v>
      </c>
      <c r="H10" s="50">
        <f t="shared" si="1"/>
        <v>5439599.0074015707</v>
      </c>
      <c r="I10" s="50">
        <f t="shared" si="1"/>
        <v>8430241.9087618943</v>
      </c>
      <c r="J10" s="50">
        <f t="shared" si="1"/>
        <v>13867402.790866219</v>
      </c>
      <c r="K10" s="50">
        <f t="shared" si="1"/>
        <v>25348316.660706729</v>
      </c>
      <c r="L10" s="50">
        <f t="shared" si="1"/>
        <v>42126192.708648942</v>
      </c>
      <c r="M10" s="50">
        <f t="shared" si="1"/>
        <v>61737070.008582376</v>
      </c>
      <c r="N10" s="50">
        <f t="shared" si="1"/>
        <v>81022022.790993407</v>
      </c>
    </row>
    <row r="11" spans="1:14">
      <c r="A11" s="46" t="s">
        <v>140</v>
      </c>
      <c r="B11" s="140">
        <v>0</v>
      </c>
      <c r="C11" s="141">
        <f t="shared" ref="C11:N11" si="2">+C10</f>
        <v>0</v>
      </c>
      <c r="D11" s="141">
        <f t="shared" si="2"/>
        <v>0</v>
      </c>
      <c r="E11" s="141">
        <f t="shared" si="2"/>
        <v>3030197.3462850195</v>
      </c>
      <c r="F11" s="141">
        <f t="shared" si="2"/>
        <v>1196383.1124405398</v>
      </c>
      <c r="G11" s="141">
        <f t="shared" si="2"/>
        <v>2765367.695302607</v>
      </c>
      <c r="H11" s="141">
        <f t="shared" si="2"/>
        <v>5439599.0074015707</v>
      </c>
      <c r="I11" s="141">
        <f t="shared" si="2"/>
        <v>8430241.9087618943</v>
      </c>
      <c r="J11" s="141">
        <f t="shared" si="2"/>
        <v>13867402.790866219</v>
      </c>
      <c r="K11" s="141">
        <f t="shared" si="2"/>
        <v>25348316.660706729</v>
      </c>
      <c r="L11" s="141">
        <f t="shared" si="2"/>
        <v>42126192.708648942</v>
      </c>
      <c r="M11" s="141">
        <f t="shared" si="2"/>
        <v>61737070.008582376</v>
      </c>
      <c r="N11" s="141">
        <f t="shared" si="2"/>
        <v>81022022.790993407</v>
      </c>
    </row>
    <row r="12" spans="1:14">
      <c r="A12" s="46" t="s">
        <v>238</v>
      </c>
      <c r="B12" s="43"/>
      <c r="C12" s="108"/>
      <c r="D12" s="108"/>
      <c r="E12" s="108"/>
      <c r="F12" s="108"/>
      <c r="G12" s="108"/>
      <c r="H12" s="108"/>
      <c r="I12" s="108"/>
      <c r="J12" s="108"/>
      <c r="K12" s="108"/>
      <c r="L12" s="108"/>
      <c r="M12" s="108"/>
      <c r="N12" s="108"/>
    </row>
    <row r="13" spans="1:14">
      <c r="A13" s="43"/>
      <c r="B13" s="142">
        <v>0</v>
      </c>
      <c r="C13" s="143">
        <f>+lgh_inputs!$D$4</f>
        <v>0.35</v>
      </c>
      <c r="D13" s="143">
        <f>+lgh_inputs!$D$4</f>
        <v>0.35</v>
      </c>
      <c r="E13" s="143">
        <f>+lgh_inputs!$D$4</f>
        <v>0.35</v>
      </c>
      <c r="F13" s="143">
        <f>+lgh_inputs!$D$4</f>
        <v>0.35</v>
      </c>
      <c r="G13" s="143">
        <f>+lgh_inputs!$D$4</f>
        <v>0.35</v>
      </c>
      <c r="H13" s="143">
        <f>+lgh_inputs!$D$4</f>
        <v>0.35</v>
      </c>
      <c r="I13" s="143">
        <f>+lgh_inputs!$D$4</f>
        <v>0.35</v>
      </c>
      <c r="J13" s="143">
        <f>+lgh_inputs!$D$4</f>
        <v>0.35</v>
      </c>
      <c r="K13" s="143">
        <f>+lgh_inputs!$D$4</f>
        <v>0.35</v>
      </c>
      <c r="L13" s="143">
        <f>+lgh_inputs!$D$4</f>
        <v>0.35</v>
      </c>
      <c r="M13" s="143">
        <f>+lgh_inputs!$D$4</f>
        <v>0.35</v>
      </c>
      <c r="N13" s="143">
        <f>+lgh_inputs!$D$4</f>
        <v>0.35</v>
      </c>
    </row>
    <row r="14" spans="1:14">
      <c r="A14" s="68">
        <v>150000000</v>
      </c>
      <c r="B14" s="68">
        <v>150000000</v>
      </c>
      <c r="C14" s="50">
        <f t="shared" ref="C14:N14" si="3">$A14</f>
        <v>150000000</v>
      </c>
      <c r="D14" s="50">
        <f t="shared" si="3"/>
        <v>150000000</v>
      </c>
      <c r="E14" s="50">
        <f t="shared" si="3"/>
        <v>150000000</v>
      </c>
      <c r="F14" s="50">
        <f t="shared" si="3"/>
        <v>150000000</v>
      </c>
      <c r="G14" s="50">
        <f t="shared" si="3"/>
        <v>150000000</v>
      </c>
      <c r="H14" s="50">
        <f t="shared" si="3"/>
        <v>150000000</v>
      </c>
      <c r="I14" s="50">
        <f t="shared" si="3"/>
        <v>150000000</v>
      </c>
      <c r="J14" s="50">
        <f t="shared" si="3"/>
        <v>150000000</v>
      </c>
      <c r="K14" s="50">
        <f t="shared" si="3"/>
        <v>150000000</v>
      </c>
      <c r="L14" s="50">
        <f t="shared" si="3"/>
        <v>150000000</v>
      </c>
      <c r="M14" s="50">
        <f t="shared" si="3"/>
        <v>150000000</v>
      </c>
      <c r="N14" s="50">
        <f t="shared" si="3"/>
        <v>150000000</v>
      </c>
    </row>
    <row r="15" spans="1:14">
      <c r="A15" s="43"/>
      <c r="B15" s="140">
        <v>0</v>
      </c>
      <c r="C15" s="141">
        <f t="shared" ref="C15:N15" si="4">MAX((C$5-C14)*C13,0)-C10</f>
        <v>0</v>
      </c>
      <c r="D15" s="141">
        <f t="shared" si="4"/>
        <v>0</v>
      </c>
      <c r="E15" s="141">
        <f t="shared" si="4"/>
        <v>3499999.9999999995</v>
      </c>
      <c r="F15" s="141">
        <f t="shared" si="4"/>
        <v>-682606.08930401201</v>
      </c>
      <c r="G15" s="141">
        <f t="shared" si="4"/>
        <v>-130542.99505696306</v>
      </c>
      <c r="H15" s="141">
        <f t="shared" si="4"/>
        <v>934999.71352091525</v>
      </c>
      <c r="I15" s="141">
        <f t="shared" si="4"/>
        <v>3113852.3442801591</v>
      </c>
      <c r="J15" s="141">
        <f t="shared" si="4"/>
        <v>4234539.7980277799</v>
      </c>
      <c r="K15" s="141">
        <f t="shared" si="4"/>
        <v>8241916.7340272963</v>
      </c>
      <c r="L15" s="141">
        <f t="shared" si="4"/>
        <v>23108633.867975585</v>
      </c>
      <c r="M15" s="141">
        <f t="shared" si="4"/>
        <v>35079814.415239222</v>
      </c>
      <c r="N15" s="141">
        <f t="shared" si="4"/>
        <v>59500000.000000015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
    <tabColor rgb="FFD9E1F2"/>
  </sheetPr>
  <dimension ref="A1:N66"/>
  <sheetViews>
    <sheetView showGridLines="0" zoomScale="85" zoomScaleNormal="85" workbookViewId="0">
      <selection activeCell="D33" sqref="D33:E49"/>
    </sheetView>
  </sheetViews>
  <sheetFormatPr defaultRowHeight="14.5"/>
  <cols>
    <col min="1" max="1" width="53.26953125" bestFit="1" customWidth="1"/>
    <col min="2" max="2" width="16.54296875" style="18" bestFit="1" customWidth="1"/>
    <col min="3" max="3" width="14.26953125" bestFit="1" customWidth="1"/>
    <col min="4" max="5" width="16" bestFit="1" customWidth="1"/>
    <col min="6" max="8" width="16.54296875" bestFit="1" customWidth="1"/>
    <col min="9" max="14" width="17.54296875" bestFit="1" customWidth="1"/>
  </cols>
  <sheetData>
    <row r="1" spans="1:14" ht="14.65" customHeight="1" thickBot="1">
      <c r="A1" s="44" t="s">
        <v>278</v>
      </c>
      <c r="B1" s="49"/>
      <c r="C1" s="49"/>
      <c r="D1" s="49"/>
      <c r="E1" s="49"/>
      <c r="F1" s="49"/>
      <c r="G1" s="49"/>
      <c r="H1" s="49"/>
      <c r="I1" s="49"/>
      <c r="J1" s="43"/>
      <c r="K1" s="43"/>
      <c r="L1" s="43"/>
      <c r="M1" s="43"/>
      <c r="N1" s="43"/>
    </row>
    <row r="2" spans="1:14" s="22" customFormat="1">
      <c r="A2" s="44" t="s">
        <v>0</v>
      </c>
      <c r="B2" s="147">
        <v>45657</v>
      </c>
      <c r="C2" s="148">
        <f>+lgh_bs!E2</f>
        <v>45747</v>
      </c>
      <c r="D2" s="148">
        <f>+lgh_bs!F2</f>
        <v>45838</v>
      </c>
      <c r="E2" s="148">
        <f>+lgh_bs!G2</f>
        <v>45930</v>
      </c>
      <c r="F2" s="148">
        <f>+lgh_bs!H2</f>
        <v>46022</v>
      </c>
      <c r="G2" s="148">
        <f>+lgh_bs!I2</f>
        <v>46112</v>
      </c>
      <c r="H2" s="148">
        <f>+lgh_bs!J2</f>
        <v>46203</v>
      </c>
      <c r="I2" s="148">
        <f>+lgh_bs!K2</f>
        <v>46295</v>
      </c>
      <c r="J2" s="148">
        <f>+lgh_bs!L2</f>
        <v>46387</v>
      </c>
      <c r="K2" s="148">
        <f>+lgh_bs!M2</f>
        <v>46752</v>
      </c>
      <c r="L2" s="148">
        <f>+lgh_bs!N2</f>
        <v>47118</v>
      </c>
      <c r="M2" s="148">
        <f>+lgh_bs!O2</f>
        <v>47483</v>
      </c>
      <c r="N2" s="148">
        <f>+lgh_bs!P2</f>
        <v>47848</v>
      </c>
    </row>
    <row r="3" spans="1:14" s="22" customFormat="1">
      <c r="A3" s="44" t="s">
        <v>1</v>
      </c>
      <c r="B3" s="183" t="s">
        <v>2</v>
      </c>
      <c r="C3" s="184" t="str">
        <f>+lgh_bs!E3</f>
        <v>Q1</v>
      </c>
      <c r="D3" s="184" t="str">
        <f>+lgh_bs!F3</f>
        <v>Q2</v>
      </c>
      <c r="E3" s="184" t="str">
        <f>+lgh_bs!G3</f>
        <v>Q3</v>
      </c>
      <c r="F3" s="184" t="str">
        <f>+lgh_bs!H3</f>
        <v>Q4</v>
      </c>
      <c r="G3" s="184" t="str">
        <f>+lgh_bs!I3</f>
        <v>Q1</v>
      </c>
      <c r="H3" s="184" t="str">
        <f>+lgh_bs!J3</f>
        <v>Q2</v>
      </c>
      <c r="I3" s="184" t="str">
        <f>+lgh_bs!K3</f>
        <v>Q3</v>
      </c>
      <c r="J3" s="184" t="str">
        <f>+lgh_bs!L3</f>
        <v>Q4</v>
      </c>
      <c r="K3" s="152" t="str">
        <f>+lgh_bs!M3</f>
        <v>Q4</v>
      </c>
      <c r="L3" s="152" t="str">
        <f>+lgh_bs!N3</f>
        <v>Q4</v>
      </c>
      <c r="M3" s="152" t="str">
        <f>+lgh_bs!O3</f>
        <v>Q4</v>
      </c>
      <c r="N3" s="152" t="str">
        <f>+lgh_bs!P3</f>
        <v>Q4</v>
      </c>
    </row>
    <row r="4" spans="1:14">
      <c r="A4" s="46" t="s">
        <v>279</v>
      </c>
      <c r="B4" s="59"/>
      <c r="C4" s="59"/>
      <c r="D4" s="59"/>
      <c r="E4" s="59"/>
      <c r="F4" s="59"/>
      <c r="G4" s="59"/>
      <c r="H4" s="59"/>
      <c r="I4" s="59"/>
      <c r="J4" s="59"/>
      <c r="K4" s="59"/>
      <c r="L4" s="59"/>
      <c r="M4" s="59"/>
      <c r="N4" s="59"/>
    </row>
    <row r="5" spans="1:14">
      <c r="A5" s="46" t="s">
        <v>280</v>
      </c>
      <c r="B5" s="58">
        <v>3000000</v>
      </c>
      <c r="C5" s="185">
        <f>3000000/4</f>
        <v>750000</v>
      </c>
      <c r="D5" s="59"/>
      <c r="E5" s="59"/>
      <c r="F5" s="59"/>
      <c r="G5" s="59"/>
      <c r="H5" s="59"/>
      <c r="I5" s="59"/>
      <c r="J5" s="59"/>
      <c r="K5" s="59"/>
      <c r="L5" s="59"/>
      <c r="M5" s="59"/>
      <c r="N5" s="59"/>
    </row>
    <row r="6" spans="1:14">
      <c r="A6" s="46" t="s">
        <v>143</v>
      </c>
      <c r="B6" s="186">
        <v>6000000</v>
      </c>
      <c r="C6" s="187">
        <f>-6050000</f>
        <v>-6050000</v>
      </c>
      <c r="D6" s="188"/>
      <c r="E6" s="188"/>
      <c r="F6" s="188"/>
      <c r="G6" s="188"/>
      <c r="H6" s="188"/>
      <c r="I6" s="188"/>
      <c r="J6" s="188"/>
      <c r="K6" s="188"/>
      <c r="L6" s="188"/>
      <c r="M6" s="188"/>
      <c r="N6" s="188"/>
    </row>
    <row r="7" spans="1:14">
      <c r="A7" s="46" t="s">
        <v>281</v>
      </c>
      <c r="B7" s="188"/>
      <c r="C7" s="189"/>
      <c r="D7" s="186">
        <v>-1200000</v>
      </c>
      <c r="E7" s="188"/>
      <c r="F7" s="188"/>
      <c r="G7" s="188"/>
      <c r="H7" s="188"/>
      <c r="I7" s="188"/>
      <c r="J7" s="188"/>
      <c r="K7" s="188"/>
      <c r="L7" s="188"/>
      <c r="M7" s="188"/>
      <c r="N7" s="188"/>
    </row>
    <row r="8" spans="1:14">
      <c r="A8" s="46" t="s">
        <v>282</v>
      </c>
      <c r="B8" s="59"/>
      <c r="C8" s="43"/>
      <c r="D8" s="58">
        <v>-350000</v>
      </c>
      <c r="E8" s="59"/>
      <c r="F8" s="59"/>
      <c r="G8" s="59"/>
      <c r="H8" s="59"/>
      <c r="I8" s="59"/>
      <c r="J8" s="59"/>
      <c r="K8" s="59"/>
      <c r="L8" s="59"/>
      <c r="M8" s="59"/>
      <c r="N8" s="59"/>
    </row>
    <row r="9" spans="1:14" s="9" customFormat="1">
      <c r="A9" s="46" t="s">
        <v>283</v>
      </c>
      <c r="B9" s="59"/>
      <c r="C9" s="185">
        <f>-2150000</f>
        <v>-2150000</v>
      </c>
      <c r="D9" s="59"/>
      <c r="E9" s="59"/>
      <c r="F9" s="59"/>
      <c r="G9" s="59"/>
      <c r="H9" s="59"/>
      <c r="I9" s="59"/>
      <c r="J9" s="59"/>
      <c r="K9" s="59"/>
      <c r="L9" s="59"/>
      <c r="M9" s="59"/>
      <c r="N9" s="59"/>
    </row>
    <row r="10" spans="1:14">
      <c r="A10" s="46" t="s">
        <v>140</v>
      </c>
      <c r="B10" s="190">
        <v>9000000</v>
      </c>
      <c r="C10" s="191">
        <f t="shared" ref="C10:N10" si="0">SUM(C5:C9)</f>
        <v>-7450000</v>
      </c>
      <c r="D10" s="191">
        <f t="shared" si="0"/>
        <v>-1550000</v>
      </c>
      <c r="E10" s="191">
        <f t="shared" si="0"/>
        <v>0</v>
      </c>
      <c r="F10" s="191">
        <f t="shared" si="0"/>
        <v>0</v>
      </c>
      <c r="G10" s="191">
        <f t="shared" si="0"/>
        <v>0</v>
      </c>
      <c r="H10" s="191">
        <f t="shared" si="0"/>
        <v>0</v>
      </c>
      <c r="I10" s="191">
        <f t="shared" si="0"/>
        <v>0</v>
      </c>
      <c r="J10" s="191">
        <f t="shared" si="0"/>
        <v>0</v>
      </c>
      <c r="K10" s="191">
        <f t="shared" si="0"/>
        <v>0</v>
      </c>
      <c r="L10" s="191">
        <f t="shared" si="0"/>
        <v>0</v>
      </c>
      <c r="M10" s="191">
        <f t="shared" si="0"/>
        <v>0</v>
      </c>
      <c r="N10" s="191">
        <f t="shared" si="0"/>
        <v>0</v>
      </c>
    </row>
    <row r="11" spans="1:14">
      <c r="A11" s="46" t="s">
        <v>135</v>
      </c>
      <c r="B11" s="192">
        <v>9000000</v>
      </c>
      <c r="C11" s="193">
        <f t="shared" ref="C11:N11" si="1">+B11+C10</f>
        <v>1550000</v>
      </c>
      <c r="D11" s="193">
        <f t="shared" si="1"/>
        <v>0</v>
      </c>
      <c r="E11" s="193">
        <f t="shared" si="1"/>
        <v>0</v>
      </c>
      <c r="F11" s="193">
        <f t="shared" si="1"/>
        <v>0</v>
      </c>
      <c r="G11" s="193">
        <f t="shared" si="1"/>
        <v>0</v>
      </c>
      <c r="H11" s="193">
        <f t="shared" si="1"/>
        <v>0</v>
      </c>
      <c r="I11" s="193">
        <f t="shared" si="1"/>
        <v>0</v>
      </c>
      <c r="J11" s="193">
        <f t="shared" si="1"/>
        <v>0</v>
      </c>
      <c r="K11" s="193">
        <f t="shared" si="1"/>
        <v>0</v>
      </c>
      <c r="L11" s="193">
        <f t="shared" si="1"/>
        <v>0</v>
      </c>
      <c r="M11" s="193">
        <f t="shared" si="1"/>
        <v>0</v>
      </c>
      <c r="N11" s="193">
        <f t="shared" si="1"/>
        <v>0</v>
      </c>
    </row>
    <row r="12" spans="1:14" ht="14.65" customHeight="1" thickBot="1">
      <c r="A12" s="43"/>
      <c r="B12" s="59"/>
      <c r="C12" s="59"/>
      <c r="D12" s="59"/>
      <c r="E12" s="59"/>
      <c r="F12" s="59"/>
      <c r="G12" s="59"/>
      <c r="H12" s="59"/>
      <c r="I12" s="59"/>
      <c r="J12" s="59"/>
      <c r="K12" s="59"/>
      <c r="L12" s="59"/>
      <c r="M12" s="59"/>
      <c r="N12" s="59"/>
    </row>
    <row r="13" spans="1:14">
      <c r="A13" s="44" t="s">
        <v>284</v>
      </c>
      <c r="B13" s="49"/>
      <c r="C13" s="49"/>
      <c r="D13" s="49"/>
      <c r="E13" s="49"/>
      <c r="F13" s="49"/>
      <c r="G13" s="49"/>
      <c r="H13" s="49"/>
      <c r="I13" s="49"/>
      <c r="J13" s="43"/>
      <c r="K13" s="43"/>
      <c r="L13" s="43"/>
      <c r="M13" s="43"/>
      <c r="N13" s="43"/>
    </row>
    <row r="14" spans="1:14">
      <c r="A14" s="43"/>
      <c r="B14" s="59"/>
      <c r="C14" s="59"/>
      <c r="D14" s="59"/>
      <c r="E14" s="59"/>
      <c r="F14" s="59"/>
      <c r="G14" s="59"/>
      <c r="H14" s="59"/>
      <c r="I14" s="59"/>
      <c r="J14" s="59"/>
      <c r="K14" s="59"/>
      <c r="L14" s="59"/>
      <c r="M14" s="59"/>
      <c r="N14" s="59"/>
    </row>
    <row r="15" spans="1:14">
      <c r="A15" s="46" t="s">
        <v>285</v>
      </c>
      <c r="B15" s="59"/>
      <c r="C15" s="59"/>
      <c r="D15" s="59"/>
      <c r="E15" s="59"/>
      <c r="F15" s="59"/>
      <c r="G15" s="59"/>
      <c r="H15" s="59"/>
      <c r="I15" s="59"/>
      <c r="J15" s="59"/>
      <c r="K15" s="59"/>
      <c r="L15" s="59"/>
      <c r="M15" s="59"/>
      <c r="N15" s="59"/>
    </row>
    <row r="16" spans="1:14">
      <c r="A16" s="46" t="s">
        <v>286</v>
      </c>
      <c r="B16" s="140">
        <v>6000000</v>
      </c>
      <c r="C16" s="141"/>
      <c r="D16" s="141"/>
      <c r="E16" s="141"/>
      <c r="F16" s="141"/>
      <c r="G16" s="141"/>
      <c r="H16" s="141"/>
      <c r="I16" s="141"/>
      <c r="J16" s="141"/>
      <c r="K16" s="141"/>
      <c r="L16" s="141"/>
      <c r="M16" s="141"/>
      <c r="N16" s="141"/>
    </row>
    <row r="17" spans="1:14">
      <c r="A17" s="43"/>
      <c r="B17" s="50"/>
      <c r="C17" s="50"/>
      <c r="D17" s="50"/>
      <c r="E17" s="50"/>
      <c r="F17" s="50"/>
      <c r="G17" s="50"/>
      <c r="H17" s="50"/>
      <c r="I17" s="50"/>
      <c r="J17" s="50"/>
      <c r="K17" s="50"/>
      <c r="L17" s="50"/>
      <c r="M17" s="50"/>
      <c r="N17" s="50"/>
    </row>
    <row r="18" spans="1:14">
      <c r="A18" s="46" t="s">
        <v>287</v>
      </c>
      <c r="B18" s="50"/>
      <c r="C18" s="50"/>
      <c r="D18" s="50"/>
      <c r="E18" s="50"/>
      <c r="F18" s="50"/>
      <c r="G18" s="50"/>
      <c r="H18" s="50"/>
      <c r="I18" s="50"/>
      <c r="J18" s="50"/>
      <c r="K18" s="50"/>
      <c r="L18" s="50"/>
      <c r="M18" s="50"/>
      <c r="N18" s="50"/>
    </row>
    <row r="19" spans="1:14">
      <c r="A19" s="46" t="s">
        <v>288</v>
      </c>
      <c r="B19" s="140">
        <v>0</v>
      </c>
      <c r="C19" s="194">
        <f t="shared" ref="C19:N19" si="2">SUM(C6:C7)</f>
        <v>-6050000</v>
      </c>
      <c r="D19" s="194">
        <f t="shared" si="2"/>
        <v>-1200000</v>
      </c>
      <c r="E19" s="194">
        <f t="shared" si="2"/>
        <v>0</v>
      </c>
      <c r="F19" s="194">
        <f t="shared" si="2"/>
        <v>0</v>
      </c>
      <c r="G19" s="194">
        <f t="shared" si="2"/>
        <v>0</v>
      </c>
      <c r="H19" s="194">
        <f t="shared" si="2"/>
        <v>0</v>
      </c>
      <c r="I19" s="194">
        <f t="shared" si="2"/>
        <v>0</v>
      </c>
      <c r="J19" s="194">
        <f t="shared" si="2"/>
        <v>0</v>
      </c>
      <c r="K19" s="194">
        <f t="shared" si="2"/>
        <v>0</v>
      </c>
      <c r="L19" s="194">
        <f t="shared" si="2"/>
        <v>0</v>
      </c>
      <c r="M19" s="194">
        <f t="shared" si="2"/>
        <v>0</v>
      </c>
      <c r="N19" s="194">
        <f t="shared" si="2"/>
        <v>0</v>
      </c>
    </row>
    <row r="20" spans="1:14">
      <c r="A20" s="43"/>
      <c r="B20" s="59"/>
      <c r="C20" s="59"/>
      <c r="D20" s="59"/>
      <c r="E20" s="59"/>
      <c r="F20" s="59"/>
      <c r="G20" s="59"/>
      <c r="H20" s="59"/>
      <c r="I20" s="59"/>
      <c r="J20" s="59"/>
      <c r="K20" s="59"/>
      <c r="L20" s="59"/>
      <c r="M20" s="59"/>
      <c r="N20" s="59"/>
    </row>
    <row r="21" spans="1:14">
      <c r="A21" s="43"/>
      <c r="B21" s="59"/>
      <c r="C21" s="59"/>
      <c r="D21" s="59"/>
      <c r="E21" s="59"/>
      <c r="F21" s="59"/>
      <c r="G21" s="59"/>
      <c r="H21" s="59"/>
      <c r="I21" s="59"/>
      <c r="J21" s="59"/>
      <c r="K21" s="59"/>
      <c r="L21" s="59"/>
      <c r="M21" s="59"/>
      <c r="N21" s="59"/>
    </row>
    <row r="22" spans="1:14">
      <c r="A22" s="43"/>
      <c r="B22" s="59"/>
      <c r="C22" s="59"/>
      <c r="D22" s="59"/>
      <c r="E22" s="59"/>
      <c r="F22" s="59"/>
      <c r="G22" s="59"/>
      <c r="H22" s="59"/>
      <c r="I22" s="59"/>
      <c r="J22" s="59"/>
      <c r="K22" s="59"/>
      <c r="L22" s="59"/>
      <c r="M22" s="59"/>
      <c r="N22" s="59"/>
    </row>
    <row r="23" spans="1:14">
      <c r="A23" s="43"/>
      <c r="B23" s="59"/>
      <c r="C23" s="59"/>
      <c r="D23" s="59"/>
      <c r="E23" s="59"/>
      <c r="F23" s="59"/>
      <c r="G23" s="59"/>
      <c r="H23" s="59"/>
      <c r="I23" s="59"/>
      <c r="J23" s="59"/>
      <c r="K23" s="59"/>
      <c r="L23" s="59"/>
      <c r="M23" s="59"/>
      <c r="N23" s="59"/>
    </row>
    <row r="24" spans="1:14">
      <c r="A24" s="43"/>
      <c r="B24" s="59"/>
      <c r="C24" s="59"/>
      <c r="D24" s="59"/>
      <c r="E24" s="59"/>
      <c r="F24" s="59"/>
      <c r="G24" s="59"/>
      <c r="H24" s="59"/>
      <c r="I24" s="59"/>
      <c r="J24" s="59"/>
      <c r="K24" s="59"/>
      <c r="L24" s="59"/>
      <c r="M24" s="59"/>
      <c r="N24" s="59"/>
    </row>
    <row r="25" spans="1:14">
      <c r="A25" s="43"/>
      <c r="B25" s="59"/>
      <c r="C25" s="59"/>
      <c r="D25" s="59"/>
      <c r="E25" s="59"/>
      <c r="F25" s="59"/>
      <c r="G25" s="59"/>
      <c r="H25" s="59"/>
      <c r="I25" s="59"/>
      <c r="J25" s="59"/>
      <c r="K25" s="59"/>
      <c r="L25" s="59"/>
      <c r="M25" s="59"/>
      <c r="N25" s="59"/>
    </row>
    <row r="26" spans="1:14">
      <c r="A26" s="43"/>
      <c r="B26" s="59"/>
      <c r="C26" s="59"/>
      <c r="D26" s="59"/>
      <c r="E26" s="59"/>
      <c r="F26" s="59"/>
      <c r="G26" s="59"/>
      <c r="H26" s="59"/>
      <c r="I26" s="59"/>
      <c r="J26" s="59"/>
      <c r="K26" s="59"/>
      <c r="L26" s="59"/>
      <c r="M26" s="59"/>
      <c r="N26" s="59"/>
    </row>
    <row r="27" spans="1:14">
      <c r="A27" s="43"/>
      <c r="B27" s="59"/>
      <c r="C27" s="59"/>
      <c r="D27" s="59"/>
      <c r="E27" s="59"/>
      <c r="F27" s="59"/>
      <c r="G27" s="59"/>
      <c r="H27" s="59"/>
      <c r="I27" s="59"/>
      <c r="J27" s="59"/>
      <c r="K27" s="59"/>
      <c r="L27" s="59"/>
      <c r="M27" s="59"/>
      <c r="N27" s="59"/>
    </row>
    <row r="28" spans="1:14">
      <c r="A28" s="43"/>
      <c r="B28" s="59"/>
      <c r="C28" s="59"/>
      <c r="D28" s="59"/>
      <c r="E28" s="59"/>
      <c r="F28" s="59"/>
      <c r="G28" s="59"/>
      <c r="H28" s="59"/>
      <c r="I28" s="59"/>
      <c r="J28" s="59"/>
      <c r="K28" s="59"/>
      <c r="L28" s="59"/>
      <c r="M28" s="59"/>
      <c r="N28" s="59"/>
    </row>
    <row r="29" spans="1:14">
      <c r="A29" s="43"/>
      <c r="B29" s="59"/>
      <c r="C29" s="59"/>
      <c r="D29" s="59"/>
      <c r="E29" s="59"/>
      <c r="F29" s="59"/>
      <c r="G29" s="59"/>
      <c r="H29" s="59"/>
      <c r="I29" s="59"/>
      <c r="J29" s="59"/>
      <c r="K29" s="59"/>
      <c r="L29" s="59"/>
      <c r="M29" s="59"/>
      <c r="N29" s="59"/>
    </row>
    <row r="30" spans="1:14">
      <c r="A30" s="43"/>
      <c r="B30" s="59"/>
      <c r="C30" s="59"/>
      <c r="D30" s="59"/>
      <c r="E30" s="59"/>
      <c r="F30" s="59"/>
      <c r="G30" s="59"/>
      <c r="H30" s="59"/>
      <c r="I30" s="59"/>
      <c r="J30" s="59"/>
      <c r="K30" s="59"/>
      <c r="L30" s="59"/>
      <c r="M30" s="59"/>
      <c r="N30" s="59"/>
    </row>
    <row r="31" spans="1:14">
      <c r="A31" s="43"/>
      <c r="B31" s="59"/>
      <c r="C31" s="59"/>
      <c r="D31" s="59"/>
      <c r="E31" s="59"/>
      <c r="F31" s="59"/>
      <c r="G31" s="59"/>
      <c r="H31" s="59"/>
      <c r="I31" s="59"/>
      <c r="J31" s="59"/>
      <c r="K31" s="59"/>
      <c r="L31" s="59"/>
      <c r="M31" s="59"/>
      <c r="N31" s="59"/>
    </row>
    <row r="32" spans="1:14">
      <c r="A32" s="43"/>
      <c r="B32" s="43"/>
      <c r="C32" s="43"/>
      <c r="D32" s="43"/>
      <c r="E32" s="43"/>
      <c r="F32" s="50"/>
      <c r="G32" s="43"/>
      <c r="H32" s="50"/>
      <c r="I32" s="43"/>
      <c r="J32" s="43"/>
      <c r="K32" s="43"/>
      <c r="L32" s="43"/>
      <c r="M32" s="43"/>
      <c r="N32" s="43"/>
    </row>
    <row r="33" spans="1:14">
      <c r="A33" s="43"/>
      <c r="B33" s="43"/>
      <c r="C33" s="43"/>
      <c r="D33" s="43"/>
      <c r="E33" s="43"/>
      <c r="F33" s="43"/>
      <c r="G33" s="43"/>
      <c r="H33" s="50"/>
      <c r="I33" s="43"/>
      <c r="J33" s="43"/>
      <c r="K33" s="43"/>
      <c r="L33" s="43"/>
      <c r="M33" s="43"/>
      <c r="N33" s="43"/>
    </row>
    <row r="34" spans="1:14">
      <c r="A34" s="43"/>
      <c r="B34" s="195"/>
      <c r="C34" s="196"/>
      <c r="D34" s="195"/>
      <c r="E34" s="196"/>
      <c r="F34" s="195"/>
      <c r="G34" s="195"/>
      <c r="H34" s="195"/>
      <c r="I34" s="196"/>
      <c r="J34" s="43"/>
      <c r="K34" s="43"/>
      <c r="L34" s="43"/>
      <c r="M34" s="43"/>
      <c r="N34" s="43"/>
    </row>
    <row r="35" spans="1:14">
      <c r="A35" s="43"/>
      <c r="B35" s="72"/>
      <c r="C35" s="72"/>
      <c r="D35" s="72"/>
      <c r="E35" s="72"/>
      <c r="F35" s="72"/>
      <c r="G35" s="72"/>
      <c r="H35" s="72"/>
      <c r="I35" s="72"/>
      <c r="J35" s="43"/>
      <c r="K35" s="43"/>
      <c r="L35" s="43"/>
      <c r="M35" s="43"/>
      <c r="N35" s="43"/>
    </row>
    <row r="36" spans="1:14">
      <c r="A36" s="43"/>
      <c r="B36" s="50"/>
      <c r="C36" s="50"/>
      <c r="D36" s="50"/>
      <c r="E36" s="50"/>
      <c r="F36" s="50"/>
      <c r="G36" s="50"/>
      <c r="H36" s="50"/>
      <c r="I36" s="50"/>
      <c r="J36" s="43"/>
      <c r="K36" s="43"/>
      <c r="L36" s="43"/>
      <c r="M36" s="43"/>
      <c r="N36" s="43"/>
    </row>
    <row r="37" spans="1:14">
      <c r="A37" s="43"/>
      <c r="B37" s="50"/>
      <c r="C37" s="50"/>
      <c r="D37" s="50"/>
      <c r="E37" s="50"/>
      <c r="F37" s="50"/>
      <c r="G37" s="50"/>
      <c r="H37" s="50"/>
      <c r="I37" s="50"/>
      <c r="J37" s="43"/>
      <c r="K37" s="43"/>
      <c r="L37" s="43"/>
      <c r="M37" s="43"/>
      <c r="N37" s="43"/>
    </row>
    <row r="38" spans="1:14">
      <c r="A38" s="43"/>
      <c r="B38" s="50"/>
      <c r="C38" s="50"/>
      <c r="D38" s="50"/>
      <c r="E38" s="50"/>
      <c r="F38" s="50"/>
      <c r="G38" s="50"/>
      <c r="H38" s="50"/>
      <c r="I38" s="50"/>
      <c r="J38" s="43"/>
      <c r="K38" s="50"/>
      <c r="L38" s="50"/>
      <c r="M38" s="50"/>
      <c r="N38" s="50"/>
    </row>
    <row r="39" spans="1:14">
      <c r="A39" s="43"/>
      <c r="B39" s="50"/>
      <c r="C39" s="50"/>
      <c r="D39" s="50"/>
      <c r="E39" s="50"/>
      <c r="F39" s="50"/>
      <c r="G39" s="50"/>
      <c r="H39" s="50"/>
      <c r="I39" s="50"/>
      <c r="J39" s="43"/>
      <c r="K39" s="50"/>
      <c r="L39" s="50"/>
      <c r="M39" s="50"/>
      <c r="N39" s="50"/>
    </row>
    <row r="40" spans="1:14">
      <c r="A40" s="43"/>
      <c r="B40" s="50"/>
      <c r="C40" s="50"/>
      <c r="D40" s="50"/>
      <c r="E40" s="50"/>
      <c r="F40" s="50"/>
      <c r="G40" s="50"/>
      <c r="H40" s="50"/>
      <c r="I40" s="50"/>
      <c r="J40" s="43"/>
      <c r="K40" s="50"/>
      <c r="L40" s="50"/>
      <c r="M40" s="50"/>
      <c r="N40" s="50"/>
    </row>
    <row r="41" spans="1:14">
      <c r="A41" s="43"/>
      <c r="B41" s="50"/>
      <c r="C41" s="50"/>
      <c r="D41" s="50"/>
      <c r="E41" s="50"/>
      <c r="F41" s="50"/>
      <c r="G41" s="50"/>
      <c r="H41" s="50"/>
      <c r="I41" s="50"/>
      <c r="J41" s="43"/>
      <c r="K41" s="43"/>
      <c r="L41" s="43"/>
      <c r="M41" s="43"/>
      <c r="N41" s="43"/>
    </row>
    <row r="42" spans="1:14">
      <c r="A42" s="43"/>
      <c r="B42" s="50"/>
      <c r="C42" s="50"/>
      <c r="D42" s="50"/>
      <c r="E42" s="50"/>
      <c r="F42" s="50"/>
      <c r="G42" s="50"/>
      <c r="H42" s="50"/>
      <c r="I42" s="50"/>
      <c r="J42" s="43"/>
      <c r="K42" s="43"/>
      <c r="L42" s="43"/>
      <c r="M42" s="43"/>
      <c r="N42" s="43"/>
    </row>
    <row r="43" spans="1:14">
      <c r="A43" s="43"/>
      <c r="B43" s="50"/>
      <c r="C43" s="50"/>
      <c r="D43" s="50"/>
      <c r="E43" s="50"/>
      <c r="F43" s="50"/>
      <c r="G43" s="50"/>
      <c r="H43" s="50"/>
      <c r="I43" s="50"/>
      <c r="J43" s="43"/>
      <c r="K43" s="43"/>
      <c r="L43" s="43"/>
      <c r="M43" s="43"/>
      <c r="N43" s="43"/>
    </row>
    <row r="44" spans="1:14">
      <c r="A44" s="43"/>
      <c r="B44" s="50"/>
      <c r="C44" s="50"/>
      <c r="D44" s="50"/>
      <c r="E44" s="50"/>
      <c r="F44" s="50"/>
      <c r="G44" s="50"/>
      <c r="H44" s="50"/>
      <c r="I44" s="50"/>
      <c r="J44" s="43"/>
      <c r="K44" s="43"/>
      <c r="L44" s="43"/>
      <c r="M44" s="43"/>
      <c r="N44" s="43"/>
    </row>
    <row r="45" spans="1:14">
      <c r="A45" s="43"/>
      <c r="B45" s="55"/>
      <c r="C45" s="55"/>
      <c r="D45" s="55"/>
      <c r="E45" s="55"/>
      <c r="F45" s="55"/>
      <c r="G45" s="55"/>
      <c r="H45" s="55"/>
      <c r="I45" s="55"/>
      <c r="J45" s="55"/>
      <c r="K45" s="43"/>
      <c r="L45" s="43"/>
      <c r="M45" s="43"/>
      <c r="N45" s="43"/>
    </row>
    <row r="46" spans="1:14">
      <c r="A46" s="43"/>
      <c r="B46" s="43"/>
      <c r="C46" s="43"/>
      <c r="D46" s="43"/>
      <c r="E46" s="43"/>
      <c r="F46" s="43"/>
      <c r="G46" s="43"/>
      <c r="H46" s="43"/>
      <c r="I46" s="43"/>
      <c r="J46" s="43"/>
      <c r="K46" s="43"/>
      <c r="L46" s="43"/>
      <c r="M46" s="43"/>
      <c r="N46" s="43"/>
    </row>
    <row r="47" spans="1:14">
      <c r="A47" s="43"/>
      <c r="B47" s="55"/>
      <c r="C47" s="55"/>
      <c r="D47" s="55"/>
      <c r="E47" s="55"/>
      <c r="F47" s="55"/>
      <c r="G47" s="55"/>
      <c r="H47" s="55"/>
      <c r="I47" s="55"/>
      <c r="J47" s="50"/>
      <c r="K47" s="43"/>
      <c r="L47" s="43"/>
      <c r="M47" s="43"/>
      <c r="N47" s="43"/>
    </row>
    <row r="48" spans="1:14">
      <c r="A48" s="43"/>
      <c r="B48" s="55"/>
      <c r="C48" s="55"/>
      <c r="D48" s="55"/>
      <c r="E48" s="55"/>
      <c r="F48" s="55"/>
      <c r="G48" s="55"/>
      <c r="H48" s="55"/>
      <c r="I48" s="55"/>
      <c r="J48" s="50"/>
      <c r="K48" s="43"/>
      <c r="L48" s="43"/>
      <c r="M48" s="43"/>
      <c r="N48" s="43"/>
    </row>
    <row r="49" spans="1:14">
      <c r="A49" s="43"/>
      <c r="B49" s="55"/>
      <c r="C49" s="55"/>
      <c r="D49" s="55"/>
      <c r="E49" s="55"/>
      <c r="F49" s="55"/>
      <c r="G49" s="55"/>
      <c r="H49" s="55"/>
      <c r="I49" s="55"/>
      <c r="J49" s="50"/>
      <c r="K49" s="43"/>
      <c r="L49" s="43"/>
      <c r="M49" s="43"/>
      <c r="N49" s="43"/>
    </row>
    <row r="50" spans="1:14">
      <c r="A50" s="43"/>
      <c r="B50" s="43"/>
      <c r="C50" s="55"/>
      <c r="D50" s="43"/>
      <c r="E50" s="55"/>
      <c r="F50" s="43"/>
      <c r="G50" s="55"/>
      <c r="H50" s="43"/>
      <c r="I50" s="55"/>
      <c r="J50" s="43"/>
      <c r="K50" s="43"/>
      <c r="L50" s="43"/>
      <c r="M50" s="43"/>
      <c r="N50" s="43"/>
    </row>
    <row r="51" spans="1:14">
      <c r="A51" s="43"/>
      <c r="B51" s="43"/>
      <c r="C51" s="50"/>
      <c r="D51" s="50"/>
      <c r="E51" s="50"/>
      <c r="F51" s="50"/>
      <c r="G51" s="50"/>
      <c r="H51" s="50"/>
      <c r="I51" s="43"/>
      <c r="J51" s="43"/>
      <c r="K51" s="43"/>
      <c r="L51" s="43"/>
      <c r="M51" s="43"/>
      <c r="N51" s="43"/>
    </row>
    <row r="52" spans="1:14">
      <c r="A52" s="43"/>
      <c r="B52" s="50"/>
      <c r="C52" s="50"/>
      <c r="D52" s="50"/>
      <c r="E52" s="50"/>
      <c r="F52" s="50"/>
      <c r="G52" s="50"/>
      <c r="H52" s="50"/>
      <c r="I52" s="50"/>
      <c r="J52" s="43"/>
      <c r="K52" s="43"/>
      <c r="L52" s="43"/>
      <c r="M52" s="43"/>
      <c r="N52" s="43"/>
    </row>
    <row r="53" spans="1:14">
      <c r="A53" s="43"/>
      <c r="B53" s="50"/>
      <c r="C53" s="50"/>
      <c r="D53" s="50"/>
      <c r="E53" s="50"/>
      <c r="F53" s="50"/>
      <c r="G53" s="50"/>
      <c r="H53" s="50"/>
      <c r="I53" s="50"/>
      <c r="J53" s="43"/>
      <c r="K53" s="43"/>
      <c r="L53" s="43"/>
      <c r="M53" s="43"/>
      <c r="N53" s="43"/>
    </row>
    <row r="54" spans="1:14">
      <c r="A54" s="43"/>
      <c r="B54" s="179"/>
      <c r="C54" s="179"/>
      <c r="D54" s="179"/>
      <c r="E54" s="179"/>
      <c r="F54" s="179"/>
      <c r="G54" s="179"/>
      <c r="H54" s="179"/>
      <c r="I54" s="179"/>
      <c r="J54" s="43"/>
      <c r="K54" s="43"/>
      <c r="L54" s="43"/>
      <c r="M54" s="43"/>
      <c r="N54" s="43"/>
    </row>
    <row r="55" spans="1:14">
      <c r="A55" s="43"/>
      <c r="B55" s="43"/>
      <c r="C55" s="43"/>
      <c r="D55" s="43"/>
      <c r="E55" s="43"/>
      <c r="F55" s="43"/>
      <c r="G55" s="43"/>
      <c r="H55" s="43"/>
      <c r="I55" s="43"/>
      <c r="J55" s="43"/>
      <c r="K55" s="43"/>
      <c r="L55" s="43"/>
      <c r="M55" s="43"/>
      <c r="N55" s="43"/>
    </row>
    <row r="56" spans="1:14">
      <c r="A56" s="43"/>
      <c r="B56" s="43"/>
      <c r="C56" s="43"/>
      <c r="D56" s="43"/>
      <c r="E56" s="43"/>
      <c r="F56" s="43"/>
      <c r="G56" s="43"/>
      <c r="H56" s="43"/>
      <c r="I56" s="43"/>
      <c r="J56" s="43"/>
      <c r="K56" s="43"/>
      <c r="L56" s="43"/>
      <c r="M56" s="43"/>
      <c r="N56" s="43"/>
    </row>
    <row r="57" spans="1:14">
      <c r="A57" s="43"/>
      <c r="B57" s="55"/>
      <c r="C57" s="43"/>
      <c r="D57" s="55"/>
      <c r="E57" s="43"/>
      <c r="F57" s="55"/>
      <c r="G57" s="43"/>
      <c r="H57" s="55"/>
      <c r="I57" s="108"/>
      <c r="J57" s="43"/>
      <c r="K57" s="43"/>
      <c r="L57" s="43"/>
      <c r="M57" s="43"/>
      <c r="N57" s="43"/>
    </row>
    <row r="58" spans="1:14">
      <c r="A58" s="43"/>
      <c r="B58" s="43"/>
      <c r="C58" s="43"/>
      <c r="D58" s="43"/>
      <c r="E58" s="43"/>
      <c r="F58" s="43"/>
      <c r="G58" s="43"/>
      <c r="H58" s="43"/>
      <c r="I58" s="43"/>
      <c r="J58" s="43"/>
      <c r="K58" s="43"/>
      <c r="L58" s="43"/>
      <c r="M58" s="43"/>
      <c r="N58" s="43"/>
    </row>
    <row r="59" spans="1:14">
      <c r="A59" s="43"/>
      <c r="B59" s="43"/>
      <c r="C59" s="43"/>
      <c r="D59" s="43"/>
      <c r="E59" s="43"/>
      <c r="F59" s="43"/>
      <c r="G59" s="43"/>
      <c r="H59" s="43"/>
      <c r="I59" s="43"/>
      <c r="J59" s="43"/>
      <c r="K59" s="43"/>
      <c r="L59" s="43"/>
      <c r="M59" s="43"/>
      <c r="N59" s="43"/>
    </row>
    <row r="60" spans="1:14">
      <c r="A60" s="43"/>
      <c r="B60" s="43"/>
      <c r="C60" s="43"/>
      <c r="D60" s="43"/>
      <c r="E60" s="43"/>
      <c r="F60" s="43"/>
      <c r="G60" s="43"/>
      <c r="H60" s="43"/>
      <c r="I60" s="43"/>
      <c r="J60" s="43"/>
      <c r="K60" s="43"/>
      <c r="L60" s="43"/>
      <c r="M60" s="43"/>
      <c r="N60" s="43"/>
    </row>
    <row r="61" spans="1:14">
      <c r="A61" s="43"/>
      <c r="B61" s="50"/>
      <c r="C61" s="43"/>
      <c r="D61" s="50"/>
      <c r="E61" s="43"/>
      <c r="F61" s="50"/>
      <c r="G61" s="43"/>
      <c r="H61" s="50"/>
      <c r="I61" s="43"/>
      <c r="J61" s="43"/>
      <c r="K61" s="43"/>
      <c r="L61" s="43"/>
      <c r="M61" s="43"/>
      <c r="N61" s="43"/>
    </row>
    <row r="62" spans="1:14">
      <c r="A62" s="43"/>
      <c r="B62" s="108"/>
      <c r="C62" s="43"/>
      <c r="D62" s="108"/>
      <c r="E62" s="43"/>
      <c r="F62" s="108"/>
      <c r="G62" s="43"/>
      <c r="H62" s="108"/>
      <c r="I62" s="108"/>
      <c r="J62" s="43"/>
      <c r="K62" s="43"/>
      <c r="L62" s="43"/>
      <c r="M62" s="43"/>
      <c r="N62" s="43"/>
    </row>
    <row r="63" spans="1:14">
      <c r="A63" s="43"/>
      <c r="B63" s="55"/>
      <c r="C63" s="43"/>
      <c r="D63" s="55"/>
      <c r="E63" s="43"/>
      <c r="F63" s="55"/>
      <c r="G63" s="43"/>
      <c r="H63" s="55"/>
      <c r="I63" s="43"/>
      <c r="J63" s="43"/>
      <c r="K63" s="43"/>
      <c r="L63" s="43"/>
      <c r="M63" s="43"/>
      <c r="N63" s="43"/>
    </row>
    <row r="64" spans="1:14">
      <c r="A64" s="43"/>
      <c r="B64" s="108"/>
      <c r="C64" s="43"/>
      <c r="D64" s="108"/>
      <c r="E64" s="43"/>
      <c r="F64" s="108"/>
      <c r="G64" s="43"/>
      <c r="H64" s="108"/>
      <c r="I64" s="108"/>
      <c r="J64" s="43"/>
      <c r="K64" s="43"/>
      <c r="L64" s="43"/>
      <c r="M64" s="43"/>
      <c r="N64" s="43"/>
    </row>
    <row r="65" spans="1:14">
      <c r="A65" s="43"/>
      <c r="B65" s="108"/>
      <c r="C65" s="43"/>
      <c r="D65" s="108"/>
      <c r="E65" s="43"/>
      <c r="F65" s="108"/>
      <c r="G65" s="43"/>
      <c r="H65" s="108"/>
      <c r="I65" s="108"/>
      <c r="J65" s="43"/>
      <c r="K65" s="43"/>
      <c r="L65" s="43"/>
      <c r="M65" s="43"/>
      <c r="N65" s="43"/>
    </row>
    <row r="66" spans="1:14">
      <c r="A66" s="43"/>
      <c r="B66" s="43"/>
      <c r="C66" s="43"/>
      <c r="D66" s="43"/>
      <c r="E66" s="43"/>
      <c r="F66" s="43"/>
      <c r="G66" s="43"/>
      <c r="H66" s="43"/>
      <c r="I66" s="108"/>
      <c r="J66" s="43"/>
      <c r="K66" s="43"/>
      <c r="L66" s="43"/>
      <c r="M66" s="43"/>
      <c r="N66" s="4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tabColor rgb="FFD9E1F2"/>
  </sheetPr>
  <dimension ref="A1:T66"/>
  <sheetViews>
    <sheetView showGridLines="0" zoomScale="85" zoomScaleNormal="85" workbookViewId="0">
      <selection activeCell="O26" sqref="O26"/>
    </sheetView>
  </sheetViews>
  <sheetFormatPr defaultRowHeight="14.5"/>
  <cols>
    <col min="1" max="1" width="35" bestFit="1" customWidth="1"/>
    <col min="2" max="2" width="8.453125" style="18" bestFit="1" customWidth="1"/>
    <col min="3" max="3" width="8.453125" bestFit="1" customWidth="1"/>
    <col min="4" max="4" width="12.54296875" bestFit="1" customWidth="1"/>
    <col min="5" max="5" width="9.26953125" bestFit="1" customWidth="1"/>
    <col min="6" max="14" width="8.453125" bestFit="1" customWidth="1"/>
    <col min="16" max="16" width="11.26953125" bestFit="1" customWidth="1"/>
    <col min="17" max="17" width="6.6328125" bestFit="1" customWidth="1"/>
    <col min="18" max="19" width="7.26953125" bestFit="1" customWidth="1"/>
    <col min="20" max="20" width="8.453125" bestFit="1" customWidth="1"/>
  </cols>
  <sheetData>
    <row r="1" spans="1:20" ht="14.65" customHeight="1" thickBot="1">
      <c r="A1" s="44" t="s">
        <v>289</v>
      </c>
      <c r="B1" s="49"/>
      <c r="C1" s="49"/>
      <c r="D1" s="49"/>
      <c r="E1" s="49"/>
      <c r="F1" s="49"/>
      <c r="G1" s="49"/>
      <c r="H1" s="49"/>
      <c r="I1" s="49"/>
      <c r="J1" s="49"/>
      <c r="K1" s="49"/>
      <c r="L1" s="49"/>
      <c r="M1" s="49"/>
      <c r="N1" s="49"/>
      <c r="O1" s="43"/>
      <c r="P1" s="43"/>
      <c r="Q1" s="43"/>
      <c r="R1" s="43"/>
      <c r="S1" s="43"/>
      <c r="T1" s="43"/>
    </row>
    <row r="2" spans="1:20" s="22" customFormat="1">
      <c r="A2" s="44" t="s">
        <v>0</v>
      </c>
      <c r="B2" s="147">
        <v>45657</v>
      </c>
      <c r="C2" s="148">
        <f>+lgh_bs!E2</f>
        <v>45747</v>
      </c>
      <c r="D2" s="148">
        <f>+lgh_bs!F2</f>
        <v>45838</v>
      </c>
      <c r="E2" s="148">
        <f>+lgh_bs!G2</f>
        <v>45930</v>
      </c>
      <c r="F2" s="148">
        <f>+lgh_bs!H2</f>
        <v>46022</v>
      </c>
      <c r="G2" s="148">
        <f>+lgh_bs!I2</f>
        <v>46112</v>
      </c>
      <c r="H2" s="148">
        <f>+lgh_bs!J2</f>
        <v>46203</v>
      </c>
      <c r="I2" s="148">
        <f>+lgh_bs!K2</f>
        <v>46295</v>
      </c>
      <c r="J2" s="148">
        <f>+lgh_bs!L2</f>
        <v>46387</v>
      </c>
      <c r="K2" s="148">
        <f>+lgh_bs!M2</f>
        <v>46752</v>
      </c>
      <c r="L2" s="148">
        <f>+lgh_bs!N2</f>
        <v>47118</v>
      </c>
      <c r="M2" s="148">
        <f>+lgh_bs!O2</f>
        <v>47483</v>
      </c>
      <c r="N2" s="148">
        <f>+lgh_bs!P2</f>
        <v>47848</v>
      </c>
      <c r="O2" s="43"/>
      <c r="P2" s="43"/>
      <c r="Q2" s="43"/>
      <c r="R2" s="43"/>
      <c r="S2" s="43"/>
      <c r="T2" s="43"/>
    </row>
    <row r="3" spans="1:20" s="22" customFormat="1">
      <c r="A3" s="44" t="s">
        <v>1</v>
      </c>
      <c r="B3" s="183" t="s">
        <v>2</v>
      </c>
      <c r="C3" s="184" t="str">
        <f>+lgh_bs!E3</f>
        <v>Q1</v>
      </c>
      <c r="D3" s="184" t="str">
        <f>+lgh_bs!F3</f>
        <v>Q2</v>
      </c>
      <c r="E3" s="184" t="str">
        <f>+lgh_bs!G3</f>
        <v>Q3</v>
      </c>
      <c r="F3" s="184" t="str">
        <f>+lgh_bs!H3</f>
        <v>Q4</v>
      </c>
      <c r="G3" s="184" t="str">
        <f>+lgh_bs!I3</f>
        <v>Q1</v>
      </c>
      <c r="H3" s="184" t="str">
        <f>+lgh_bs!J3</f>
        <v>Q2</v>
      </c>
      <c r="I3" s="184" t="str">
        <f>+lgh_bs!K3</f>
        <v>Q3</v>
      </c>
      <c r="J3" s="184" t="str">
        <f>+lgh_bs!L3</f>
        <v>Q4</v>
      </c>
      <c r="K3" s="152" t="str">
        <f>+lgh_bs!M3</f>
        <v>Q4</v>
      </c>
      <c r="L3" s="152" t="str">
        <f>+lgh_bs!N3</f>
        <v>Q4</v>
      </c>
      <c r="M3" s="152" t="str">
        <f>+lgh_bs!O3</f>
        <v>Q4</v>
      </c>
      <c r="N3" s="152" t="str">
        <f>+lgh_bs!P3</f>
        <v>Q4</v>
      </c>
      <c r="O3" s="43"/>
      <c r="P3" s="43"/>
      <c r="Q3" s="43"/>
      <c r="R3" s="43"/>
      <c r="S3" s="43"/>
      <c r="T3" s="43"/>
    </row>
    <row r="4" spans="1:20">
      <c r="A4" s="43"/>
      <c r="B4" s="43"/>
      <c r="C4" s="43"/>
      <c r="D4" s="43"/>
      <c r="E4" s="43"/>
      <c r="F4" s="43"/>
      <c r="G4" s="43"/>
      <c r="H4" s="43"/>
      <c r="I4" s="43"/>
      <c r="J4" s="43"/>
      <c r="K4" s="43"/>
      <c r="L4" s="43"/>
      <c r="M4" s="43"/>
      <c r="N4" s="43"/>
      <c r="O4" s="43"/>
      <c r="P4" s="43"/>
      <c r="Q4" s="43"/>
      <c r="R4" s="43"/>
      <c r="S4" s="43"/>
      <c r="T4" s="43"/>
    </row>
    <row r="5" spans="1:20">
      <c r="A5" s="46" t="s">
        <v>290</v>
      </c>
      <c r="B5" s="43"/>
      <c r="C5" s="43"/>
      <c r="D5" s="43"/>
      <c r="E5" s="43"/>
      <c r="F5" s="43"/>
      <c r="G5" s="43"/>
      <c r="H5" s="43"/>
      <c r="I5" s="43"/>
      <c r="J5" s="43"/>
      <c r="K5" s="43"/>
      <c r="L5" s="43"/>
      <c r="M5" s="43"/>
      <c r="N5" s="43"/>
      <c r="O5" s="43"/>
      <c r="P5" s="43"/>
      <c r="Q5" s="43"/>
      <c r="R5" s="43"/>
      <c r="S5" s="43"/>
      <c r="T5" s="43"/>
    </row>
    <row r="6" spans="1:20" s="20" customFormat="1">
      <c r="A6" s="46" t="s">
        <v>291</v>
      </c>
      <c r="B6" s="43"/>
      <c r="C6" s="43"/>
      <c r="D6" s="43"/>
      <c r="E6" s="43"/>
      <c r="F6" s="43"/>
      <c r="G6" s="43"/>
      <c r="H6" s="43"/>
      <c r="I6" s="43"/>
      <c r="J6" s="43"/>
      <c r="K6" s="43"/>
      <c r="L6" s="43"/>
      <c r="M6" s="43"/>
      <c r="N6" s="43"/>
      <c r="O6" s="43"/>
      <c r="P6" s="43"/>
      <c r="Q6" s="43"/>
      <c r="R6" s="43"/>
      <c r="S6" s="43"/>
      <c r="T6" s="43"/>
    </row>
    <row r="7" spans="1:20" s="20" customFormat="1">
      <c r="A7" s="46" t="s">
        <v>292</v>
      </c>
      <c r="B7" s="68">
        <v>0</v>
      </c>
      <c r="C7" s="50"/>
      <c r="D7" s="68">
        <v>23600000</v>
      </c>
      <c r="E7" s="68">
        <v>0</v>
      </c>
      <c r="F7" s="137">
        <f>3000000*0</f>
        <v>0</v>
      </c>
      <c r="G7" s="68">
        <v>0</v>
      </c>
      <c r="H7" s="68">
        <v>0</v>
      </c>
      <c r="I7" s="68">
        <v>0</v>
      </c>
      <c r="J7" s="68">
        <v>0</v>
      </c>
      <c r="K7" s="68">
        <v>0</v>
      </c>
      <c r="L7" s="68">
        <v>0</v>
      </c>
      <c r="M7" s="68">
        <v>0</v>
      </c>
      <c r="N7" s="68">
        <v>0</v>
      </c>
      <c r="O7" s="43"/>
      <c r="P7" s="43"/>
      <c r="Q7" s="43"/>
      <c r="R7" s="43"/>
      <c r="S7" s="43"/>
      <c r="T7" s="43"/>
    </row>
    <row r="8" spans="1:20" s="20" customFormat="1">
      <c r="A8" s="46" t="s">
        <v>293</v>
      </c>
      <c r="B8" s="50"/>
      <c r="C8" s="50"/>
      <c r="D8" s="50"/>
      <c r="E8" s="50"/>
      <c r="F8" s="50"/>
      <c r="G8" s="50"/>
      <c r="H8" s="50"/>
      <c r="I8" s="50"/>
      <c r="J8" s="50"/>
      <c r="K8" s="50"/>
      <c r="L8" s="50"/>
      <c r="M8" s="50"/>
      <c r="N8" s="50"/>
      <c r="O8" s="43"/>
      <c r="P8" s="43"/>
      <c r="Q8" s="43"/>
      <c r="R8" s="43"/>
      <c r="S8" s="43"/>
      <c r="T8" s="43"/>
    </row>
    <row r="9" spans="1:20" s="20" customFormat="1">
      <c r="A9" s="46" t="s">
        <v>294</v>
      </c>
      <c r="B9" s="50"/>
      <c r="C9" s="50"/>
      <c r="D9" s="50"/>
      <c r="E9" s="68">
        <v>200000</v>
      </c>
      <c r="F9" s="50"/>
      <c r="G9" s="50"/>
      <c r="H9" s="50"/>
      <c r="I9" s="50"/>
      <c r="J9" s="50"/>
      <c r="K9" s="50"/>
      <c r="L9" s="50"/>
      <c r="M9" s="50"/>
      <c r="N9" s="50"/>
      <c r="O9" s="43"/>
      <c r="P9" s="43"/>
      <c r="Q9" s="43"/>
      <c r="R9" s="43"/>
      <c r="S9" s="43"/>
      <c r="T9" s="43"/>
    </row>
    <row r="10" spans="1:20">
      <c r="A10" s="46" t="s">
        <v>135</v>
      </c>
      <c r="B10" s="68">
        <v>0</v>
      </c>
      <c r="C10" s="136">
        <f t="shared" ref="C10:N10" si="0">SUM(C6:C9)</f>
        <v>0</v>
      </c>
      <c r="D10" s="136">
        <f t="shared" si="0"/>
        <v>23600000</v>
      </c>
      <c r="E10" s="136">
        <f t="shared" si="0"/>
        <v>200000</v>
      </c>
      <c r="F10" s="136">
        <f t="shared" si="0"/>
        <v>0</v>
      </c>
      <c r="G10" s="136">
        <f t="shared" si="0"/>
        <v>0</v>
      </c>
      <c r="H10" s="136">
        <f t="shared" si="0"/>
        <v>0</v>
      </c>
      <c r="I10" s="136">
        <f t="shared" si="0"/>
        <v>0</v>
      </c>
      <c r="J10" s="136">
        <f t="shared" si="0"/>
        <v>0</v>
      </c>
      <c r="K10" s="136">
        <f t="shared" si="0"/>
        <v>0</v>
      </c>
      <c r="L10" s="136">
        <f t="shared" si="0"/>
        <v>0</v>
      </c>
      <c r="M10" s="136">
        <f t="shared" si="0"/>
        <v>0</v>
      </c>
      <c r="N10" s="136">
        <f t="shared" si="0"/>
        <v>0</v>
      </c>
      <c r="O10" s="43"/>
      <c r="P10" s="43"/>
      <c r="Q10" s="43"/>
      <c r="R10" s="43"/>
      <c r="S10" s="43"/>
      <c r="T10" s="43"/>
    </row>
    <row r="11" spans="1:20">
      <c r="A11" s="43"/>
      <c r="B11" s="43"/>
      <c r="C11" s="43"/>
      <c r="D11" s="43"/>
      <c r="E11" s="43"/>
      <c r="F11" s="43"/>
      <c r="G11" s="43"/>
      <c r="H11" s="43"/>
      <c r="I11" s="43"/>
      <c r="J11" s="43"/>
      <c r="K11" s="43"/>
      <c r="L11" s="43"/>
      <c r="M11" s="43"/>
      <c r="N11" s="43"/>
      <c r="O11" s="43"/>
      <c r="P11" s="43"/>
      <c r="Q11" s="43"/>
      <c r="R11" s="43"/>
      <c r="S11" s="43"/>
      <c r="T11" s="43"/>
    </row>
    <row r="12" spans="1:20">
      <c r="A12" s="46" t="s">
        <v>146</v>
      </c>
      <c r="B12" s="50"/>
      <c r="C12" s="50"/>
      <c r="D12" s="50"/>
      <c r="E12" s="50"/>
      <c r="F12" s="50"/>
      <c r="G12" s="50"/>
      <c r="H12" s="50"/>
      <c r="I12" s="50"/>
      <c r="J12" s="50"/>
      <c r="K12" s="50"/>
      <c r="L12" s="50"/>
      <c r="M12" s="50"/>
      <c r="N12" s="50"/>
      <c r="O12" s="43"/>
      <c r="P12" s="43"/>
      <c r="Q12" s="43"/>
      <c r="R12" s="43"/>
      <c r="S12" s="43"/>
      <c r="T12" s="43"/>
    </row>
    <row r="13" spans="1:20" s="20" customFormat="1">
      <c r="A13" s="43"/>
      <c r="B13" s="68">
        <v>0</v>
      </c>
      <c r="C13" s="50">
        <f t="shared" ref="C13:N13" si="1">+C10</f>
        <v>0</v>
      </c>
      <c r="D13" s="50">
        <f t="shared" si="1"/>
        <v>23600000</v>
      </c>
      <c r="E13" s="50">
        <f t="shared" si="1"/>
        <v>200000</v>
      </c>
      <c r="F13" s="50">
        <f t="shared" si="1"/>
        <v>0</v>
      </c>
      <c r="G13" s="50">
        <f t="shared" si="1"/>
        <v>0</v>
      </c>
      <c r="H13" s="50">
        <f t="shared" si="1"/>
        <v>0</v>
      </c>
      <c r="I13" s="50">
        <f t="shared" si="1"/>
        <v>0</v>
      </c>
      <c r="J13" s="50">
        <f t="shared" si="1"/>
        <v>0</v>
      </c>
      <c r="K13" s="50">
        <f t="shared" si="1"/>
        <v>0</v>
      </c>
      <c r="L13" s="50">
        <f t="shared" si="1"/>
        <v>0</v>
      </c>
      <c r="M13" s="50">
        <f t="shared" si="1"/>
        <v>0</v>
      </c>
      <c r="N13" s="50">
        <f t="shared" si="1"/>
        <v>0</v>
      </c>
      <c r="O13" s="43"/>
      <c r="P13" s="43"/>
      <c r="Q13" s="43"/>
      <c r="R13" s="43"/>
      <c r="S13" s="43"/>
      <c r="T13" s="43"/>
    </row>
    <row r="14" spans="1:20">
      <c r="A14" s="46" t="s">
        <v>295</v>
      </c>
      <c r="B14" s="140">
        <v>0</v>
      </c>
      <c r="C14" s="194">
        <f t="shared" ref="C14:N14" si="2">SUM(C13)</f>
        <v>0</v>
      </c>
      <c r="D14" s="194">
        <f t="shared" si="2"/>
        <v>23600000</v>
      </c>
      <c r="E14" s="194">
        <f t="shared" si="2"/>
        <v>200000</v>
      </c>
      <c r="F14" s="194">
        <f t="shared" si="2"/>
        <v>0</v>
      </c>
      <c r="G14" s="194">
        <f t="shared" si="2"/>
        <v>0</v>
      </c>
      <c r="H14" s="194">
        <f t="shared" si="2"/>
        <v>0</v>
      </c>
      <c r="I14" s="194">
        <f t="shared" si="2"/>
        <v>0</v>
      </c>
      <c r="J14" s="194">
        <f t="shared" si="2"/>
        <v>0</v>
      </c>
      <c r="K14" s="194">
        <f t="shared" si="2"/>
        <v>0</v>
      </c>
      <c r="L14" s="194">
        <f t="shared" si="2"/>
        <v>0</v>
      </c>
      <c r="M14" s="194">
        <f t="shared" si="2"/>
        <v>0</v>
      </c>
      <c r="N14" s="194">
        <f t="shared" si="2"/>
        <v>0</v>
      </c>
      <c r="O14" s="43"/>
      <c r="P14" s="43"/>
      <c r="Q14" s="43"/>
      <c r="R14" s="43"/>
      <c r="S14" s="43"/>
      <c r="T14" s="43"/>
    </row>
    <row r="15" spans="1:20">
      <c r="A15" s="43"/>
      <c r="B15" s="50"/>
      <c r="C15" s="50"/>
      <c r="D15" s="50"/>
      <c r="E15" s="50"/>
      <c r="F15" s="50"/>
      <c r="G15" s="50"/>
      <c r="H15" s="50"/>
      <c r="I15" s="50"/>
      <c r="J15" s="50"/>
      <c r="K15" s="50"/>
      <c r="L15" s="50"/>
      <c r="M15" s="50"/>
      <c r="N15" s="50"/>
      <c r="O15" s="43"/>
      <c r="P15" s="43"/>
      <c r="Q15" s="43"/>
      <c r="R15" s="43"/>
      <c r="S15" s="43"/>
      <c r="T15" s="43"/>
    </row>
    <row r="16" spans="1:20">
      <c r="A16" s="46" t="s">
        <v>147</v>
      </c>
      <c r="B16" s="50"/>
      <c r="C16" s="50"/>
      <c r="D16" s="50"/>
      <c r="E16" s="50"/>
      <c r="F16" s="50"/>
      <c r="G16" s="50"/>
      <c r="H16" s="50"/>
      <c r="I16" s="50"/>
      <c r="J16" s="50"/>
      <c r="K16" s="50"/>
      <c r="L16" s="50"/>
      <c r="M16" s="50"/>
      <c r="N16" s="50"/>
      <c r="O16" s="43"/>
      <c r="P16" s="43"/>
      <c r="Q16" s="43"/>
      <c r="R16" s="43"/>
      <c r="S16" s="43"/>
      <c r="T16" s="43"/>
    </row>
    <row r="17" spans="1:20" s="20" customFormat="1">
      <c r="A17" s="43"/>
      <c r="B17" s="68">
        <v>0</v>
      </c>
      <c r="C17" s="68">
        <v>0</v>
      </c>
      <c r="D17" s="68">
        <v>-23600000</v>
      </c>
      <c r="E17" s="68">
        <v>0</v>
      </c>
      <c r="F17" s="68">
        <v>0</v>
      </c>
      <c r="G17" s="68">
        <v>0</v>
      </c>
      <c r="H17" s="68">
        <v>0</v>
      </c>
      <c r="I17" s="68">
        <v>0</v>
      </c>
      <c r="J17" s="68">
        <v>0</v>
      </c>
      <c r="K17" s="68">
        <v>0</v>
      </c>
      <c r="L17" s="68">
        <v>0</v>
      </c>
      <c r="M17" s="68">
        <v>0</v>
      </c>
      <c r="N17" s="68">
        <v>0</v>
      </c>
      <c r="O17" s="43"/>
      <c r="P17" s="43"/>
      <c r="Q17" s="43"/>
      <c r="R17" s="43"/>
      <c r="S17" s="43"/>
      <c r="T17" s="43"/>
    </row>
    <row r="18" spans="1:20">
      <c r="A18" s="46" t="s">
        <v>134</v>
      </c>
      <c r="B18" s="140">
        <v>0</v>
      </c>
      <c r="C18" s="194">
        <f t="shared" ref="C18:N18" si="3">SUM(C17)</f>
        <v>0</v>
      </c>
      <c r="D18" s="194">
        <f t="shared" si="3"/>
        <v>-23600000</v>
      </c>
      <c r="E18" s="194">
        <f t="shared" si="3"/>
        <v>0</v>
      </c>
      <c r="F18" s="194">
        <f t="shared" si="3"/>
        <v>0</v>
      </c>
      <c r="G18" s="194">
        <f t="shared" si="3"/>
        <v>0</v>
      </c>
      <c r="H18" s="194">
        <f t="shared" si="3"/>
        <v>0</v>
      </c>
      <c r="I18" s="194">
        <f t="shared" si="3"/>
        <v>0</v>
      </c>
      <c r="J18" s="194">
        <f t="shared" si="3"/>
        <v>0</v>
      </c>
      <c r="K18" s="194">
        <f t="shared" si="3"/>
        <v>0</v>
      </c>
      <c r="L18" s="194">
        <f t="shared" si="3"/>
        <v>0</v>
      </c>
      <c r="M18" s="194">
        <f t="shared" si="3"/>
        <v>0</v>
      </c>
      <c r="N18" s="194">
        <f t="shared" si="3"/>
        <v>0</v>
      </c>
      <c r="O18" s="43"/>
      <c r="P18" s="43"/>
      <c r="Q18" s="43"/>
      <c r="R18" s="43"/>
      <c r="S18" s="43"/>
      <c r="T18" s="43"/>
    </row>
    <row r="19" spans="1:20">
      <c r="A19" s="43"/>
      <c r="B19" s="50"/>
      <c r="C19" s="50"/>
      <c r="D19" s="50"/>
      <c r="E19" s="50"/>
      <c r="F19" s="50"/>
      <c r="G19" s="50"/>
      <c r="H19" s="50"/>
      <c r="I19" s="50"/>
      <c r="J19" s="50"/>
      <c r="K19" s="50"/>
      <c r="L19" s="50"/>
      <c r="M19" s="50"/>
      <c r="N19" s="50"/>
      <c r="O19" s="43"/>
      <c r="P19" s="43"/>
      <c r="Q19" s="43"/>
      <c r="R19" s="43"/>
      <c r="S19" s="43"/>
      <c r="T19" s="43"/>
    </row>
    <row r="20" spans="1:20">
      <c r="A20" s="46" t="s">
        <v>296</v>
      </c>
      <c r="B20" s="68">
        <v>0</v>
      </c>
      <c r="C20" s="50">
        <f t="shared" ref="C20:N20" si="4">+C10+C18</f>
        <v>0</v>
      </c>
      <c r="D20" s="50">
        <f t="shared" si="4"/>
        <v>0</v>
      </c>
      <c r="E20" s="50">
        <f t="shared" si="4"/>
        <v>200000</v>
      </c>
      <c r="F20" s="50">
        <f t="shared" si="4"/>
        <v>0</v>
      </c>
      <c r="G20" s="50">
        <f t="shared" si="4"/>
        <v>0</v>
      </c>
      <c r="H20" s="50">
        <f t="shared" si="4"/>
        <v>0</v>
      </c>
      <c r="I20" s="50">
        <f t="shared" si="4"/>
        <v>0</v>
      </c>
      <c r="J20" s="50">
        <f t="shared" si="4"/>
        <v>0</v>
      </c>
      <c r="K20" s="50">
        <f t="shared" si="4"/>
        <v>0</v>
      </c>
      <c r="L20" s="50">
        <f t="shared" si="4"/>
        <v>0</v>
      </c>
      <c r="M20" s="50">
        <f t="shared" si="4"/>
        <v>0</v>
      </c>
      <c r="N20" s="50">
        <f t="shared" si="4"/>
        <v>0</v>
      </c>
      <c r="O20" s="43"/>
      <c r="P20" s="43"/>
      <c r="Q20" s="43"/>
      <c r="R20" s="43"/>
      <c r="S20" s="43"/>
      <c r="T20" s="43"/>
    </row>
    <row r="21" spans="1:20">
      <c r="A21" s="43"/>
      <c r="B21" s="50"/>
      <c r="C21" s="50"/>
      <c r="D21" s="50"/>
      <c r="E21" s="50"/>
      <c r="F21" s="50"/>
      <c r="G21" s="50"/>
      <c r="H21" s="50"/>
      <c r="I21" s="50"/>
      <c r="J21" s="50"/>
      <c r="K21" s="50"/>
      <c r="L21" s="50"/>
      <c r="M21" s="50"/>
      <c r="N21" s="50"/>
      <c r="O21" s="43"/>
      <c r="P21" s="43"/>
      <c r="Q21" s="43"/>
      <c r="R21" s="43"/>
      <c r="S21" s="43"/>
      <c r="T21" s="43"/>
    </row>
    <row r="22" spans="1:20">
      <c r="A22" s="46" t="s">
        <v>297</v>
      </c>
      <c r="B22" s="43"/>
      <c r="C22" s="43"/>
      <c r="D22" s="43"/>
      <c r="E22" s="43"/>
      <c r="F22" s="43"/>
      <c r="G22" s="43"/>
      <c r="H22" s="43"/>
      <c r="I22" s="43"/>
      <c r="J22" s="43"/>
      <c r="K22" s="43"/>
      <c r="L22" s="43"/>
      <c r="M22" s="43"/>
      <c r="N22" s="43"/>
      <c r="O22" s="43"/>
      <c r="P22" s="43"/>
      <c r="Q22" s="43"/>
      <c r="R22" s="43"/>
      <c r="S22" s="43"/>
      <c r="T22" s="43"/>
    </row>
    <row r="23" spans="1:20">
      <c r="A23" s="46" t="s">
        <v>298</v>
      </c>
      <c r="B23" s="43"/>
      <c r="C23" s="76"/>
      <c r="D23" s="43"/>
      <c r="E23" s="43"/>
      <c r="F23" s="43"/>
      <c r="G23" s="43"/>
      <c r="H23" s="43"/>
      <c r="I23" s="43"/>
      <c r="J23" s="43"/>
      <c r="K23" s="43"/>
      <c r="L23" s="43"/>
      <c r="M23" s="43"/>
      <c r="N23" s="43"/>
      <c r="O23" s="43"/>
      <c r="P23" s="43"/>
      <c r="Q23" s="43"/>
      <c r="R23" s="43"/>
      <c r="S23" s="43"/>
      <c r="T23" s="43"/>
    </row>
    <row r="24" spans="1:20">
      <c r="A24" s="46" t="s">
        <v>299</v>
      </c>
      <c r="B24" s="79">
        <v>0</v>
      </c>
      <c r="C24" s="138">
        <f t="shared" ref="C24:N24" si="5">SUM(C32:C37)-C36</f>
        <v>0</v>
      </c>
      <c r="D24" s="138">
        <f t="shared" si="5"/>
        <v>0.23599999999999999</v>
      </c>
      <c r="E24" s="138">
        <f t="shared" si="5"/>
        <v>3.2000000000000002E-3</v>
      </c>
      <c r="F24" s="138">
        <f t="shared" si="5"/>
        <v>0</v>
      </c>
      <c r="G24" s="138">
        <f t="shared" si="5"/>
        <v>0</v>
      </c>
      <c r="H24" s="138">
        <f t="shared" si="5"/>
        <v>0</v>
      </c>
      <c r="I24" s="138">
        <f t="shared" si="5"/>
        <v>0</v>
      </c>
      <c r="J24" s="138">
        <f t="shared" si="5"/>
        <v>0</v>
      </c>
      <c r="K24" s="138">
        <f t="shared" si="5"/>
        <v>0</v>
      </c>
      <c r="L24" s="138">
        <f t="shared" si="5"/>
        <v>0</v>
      </c>
      <c r="M24" s="138">
        <f t="shared" si="5"/>
        <v>0</v>
      </c>
      <c r="N24" s="138">
        <f t="shared" si="5"/>
        <v>0</v>
      </c>
      <c r="O24" s="43"/>
      <c r="P24" s="43"/>
      <c r="Q24" s="43"/>
      <c r="R24" s="43"/>
      <c r="S24" s="43"/>
      <c r="T24" s="43"/>
    </row>
    <row r="25" spans="1:20">
      <c r="A25" s="46" t="s">
        <v>300</v>
      </c>
      <c r="B25" s="79">
        <v>9.9009900990099011E-3</v>
      </c>
      <c r="C25" s="197">
        <f t="shared" ref="C25:N25" si="6">(B25+C24)/(1+C24)</f>
        <v>9.9009900990099011E-3</v>
      </c>
      <c r="D25" s="197">
        <f t="shared" si="6"/>
        <v>0.19894902111570381</v>
      </c>
      <c r="E25" s="197">
        <f t="shared" si="6"/>
        <v>0.2015042076512199</v>
      </c>
      <c r="F25" s="197">
        <f t="shared" si="6"/>
        <v>0.2015042076512199</v>
      </c>
      <c r="G25" s="197">
        <f t="shared" si="6"/>
        <v>0.2015042076512199</v>
      </c>
      <c r="H25" s="197">
        <f t="shared" si="6"/>
        <v>0.2015042076512199</v>
      </c>
      <c r="I25" s="197">
        <f t="shared" si="6"/>
        <v>0.2015042076512199</v>
      </c>
      <c r="J25" s="197">
        <f t="shared" si="6"/>
        <v>0.2015042076512199</v>
      </c>
      <c r="K25" s="197">
        <f t="shared" si="6"/>
        <v>0.2015042076512199</v>
      </c>
      <c r="L25" s="197">
        <f t="shared" si="6"/>
        <v>0.2015042076512199</v>
      </c>
      <c r="M25" s="197">
        <f t="shared" si="6"/>
        <v>0.2015042076512199</v>
      </c>
      <c r="N25" s="197">
        <f t="shared" si="6"/>
        <v>0.2015042076512199</v>
      </c>
      <c r="O25" s="43"/>
      <c r="P25" s="43"/>
      <c r="Q25" s="43"/>
      <c r="R25" s="43"/>
      <c r="S25" s="43"/>
      <c r="T25" s="43"/>
    </row>
    <row r="26" spans="1:20">
      <c r="A26" s="198" t="s">
        <v>301</v>
      </c>
      <c r="B26" s="79">
        <v>0.98544554455445543</v>
      </c>
      <c r="C26" s="197">
        <f t="shared" ref="C26:N26" si="7">B26/(1+C24)</f>
        <v>0.98544554455445543</v>
      </c>
      <c r="D26" s="197">
        <f t="shared" si="7"/>
        <v>0.79728603928354003</v>
      </c>
      <c r="E26" s="197">
        <f t="shared" si="7"/>
        <v>0.79474286212474077</v>
      </c>
      <c r="F26" s="197">
        <f t="shared" si="7"/>
        <v>0.79474286212474077</v>
      </c>
      <c r="G26" s="197">
        <f t="shared" si="7"/>
        <v>0.79474286212474077</v>
      </c>
      <c r="H26" s="197">
        <f t="shared" si="7"/>
        <v>0.79474286212474077</v>
      </c>
      <c r="I26" s="197">
        <f t="shared" si="7"/>
        <v>0.79474286212474077</v>
      </c>
      <c r="J26" s="197">
        <f t="shared" si="7"/>
        <v>0.79474286212474077</v>
      </c>
      <c r="K26" s="197">
        <f t="shared" si="7"/>
        <v>0.79474286212474077</v>
      </c>
      <c r="L26" s="197">
        <f t="shared" si="7"/>
        <v>0.79474286212474077</v>
      </c>
      <c r="M26" s="197">
        <f t="shared" si="7"/>
        <v>0.79474286212474077</v>
      </c>
      <c r="N26" s="197">
        <f t="shared" si="7"/>
        <v>0.79474286212474077</v>
      </c>
      <c r="O26" s="43"/>
      <c r="P26" s="43"/>
      <c r="Q26" s="43"/>
      <c r="R26" s="43"/>
      <c r="S26" s="43"/>
      <c r="T26" s="43"/>
    </row>
    <row r="27" spans="1:20">
      <c r="A27" s="199" t="s">
        <v>302</v>
      </c>
      <c r="B27" s="79">
        <v>0.27066249999999997</v>
      </c>
      <c r="C27" s="121">
        <f t="shared" ref="C27:N27" si="8">+C50</f>
        <v>7.6849999999999991E-3</v>
      </c>
      <c r="D27" s="121">
        <f t="shared" si="8"/>
        <v>0</v>
      </c>
      <c r="E27" s="121">
        <f t="shared" si="8"/>
        <v>0</v>
      </c>
      <c r="F27" s="121">
        <f t="shared" si="8"/>
        <v>0</v>
      </c>
      <c r="G27" s="121">
        <f t="shared" si="8"/>
        <v>2.6499999999999996E-3</v>
      </c>
      <c r="H27" s="121">
        <f t="shared" si="8"/>
        <v>0</v>
      </c>
      <c r="I27" s="121">
        <f t="shared" si="8"/>
        <v>0</v>
      </c>
      <c r="J27" s="121">
        <f t="shared" si="8"/>
        <v>0</v>
      </c>
      <c r="K27" s="121">
        <f t="shared" si="8"/>
        <v>0</v>
      </c>
      <c r="L27" s="121">
        <f t="shared" si="8"/>
        <v>0</v>
      </c>
      <c r="M27" s="121">
        <f t="shared" si="8"/>
        <v>0</v>
      </c>
      <c r="N27" s="121">
        <f t="shared" si="8"/>
        <v>0</v>
      </c>
      <c r="O27" s="43"/>
      <c r="P27" s="43"/>
      <c r="Q27" s="43"/>
      <c r="R27" s="43"/>
      <c r="S27" s="43"/>
      <c r="T27" s="43"/>
    </row>
    <row r="28" spans="1:20">
      <c r="A28" s="199" t="s">
        <v>303</v>
      </c>
      <c r="B28" s="79">
        <v>0.36316834158415839</v>
      </c>
      <c r="C28" s="197">
        <f t="shared" ref="C28:N28" si="9">B28/(1+C24)+C27</f>
        <v>0.37085334158415839</v>
      </c>
      <c r="D28" s="197">
        <f t="shared" si="9"/>
        <v>0.30004315662148739</v>
      </c>
      <c r="E28" s="197">
        <f t="shared" si="9"/>
        <v>0.29908608116176971</v>
      </c>
      <c r="F28" s="197">
        <f t="shared" si="9"/>
        <v>0.29908608116176971</v>
      </c>
      <c r="G28" s="197">
        <f t="shared" si="9"/>
        <v>0.3017360811617697</v>
      </c>
      <c r="H28" s="197">
        <f t="shared" si="9"/>
        <v>0.3017360811617697</v>
      </c>
      <c r="I28" s="197">
        <f t="shared" si="9"/>
        <v>0.3017360811617697</v>
      </c>
      <c r="J28" s="197">
        <f t="shared" si="9"/>
        <v>0.3017360811617697</v>
      </c>
      <c r="K28" s="197">
        <f t="shared" si="9"/>
        <v>0.3017360811617697</v>
      </c>
      <c r="L28" s="197">
        <f t="shared" si="9"/>
        <v>0.3017360811617697</v>
      </c>
      <c r="M28" s="197">
        <f t="shared" si="9"/>
        <v>0.3017360811617697</v>
      </c>
      <c r="N28" s="197">
        <f t="shared" si="9"/>
        <v>0.3017360811617697</v>
      </c>
      <c r="O28" s="43"/>
      <c r="P28" s="43"/>
      <c r="Q28" s="43"/>
      <c r="R28" s="43"/>
      <c r="S28" s="43"/>
      <c r="T28" s="43"/>
    </row>
    <row r="29" spans="1:20">
      <c r="A29" s="198" t="s">
        <v>301</v>
      </c>
      <c r="B29" s="79">
        <v>0.62227720297029698</v>
      </c>
      <c r="C29" s="121">
        <f t="shared" ref="C29:N29" si="10">C26-C28</f>
        <v>0.61459220297029704</v>
      </c>
      <c r="D29" s="121">
        <f t="shared" si="10"/>
        <v>0.49724288266205263</v>
      </c>
      <c r="E29" s="121">
        <f t="shared" si="10"/>
        <v>0.49565678096297106</v>
      </c>
      <c r="F29" s="121">
        <f t="shared" si="10"/>
        <v>0.49565678096297106</v>
      </c>
      <c r="G29" s="121">
        <f t="shared" si="10"/>
        <v>0.49300678096297107</v>
      </c>
      <c r="H29" s="121">
        <f t="shared" si="10"/>
        <v>0.49300678096297107</v>
      </c>
      <c r="I29" s="121">
        <f t="shared" si="10"/>
        <v>0.49300678096297107</v>
      </c>
      <c r="J29" s="121">
        <f t="shared" si="10"/>
        <v>0.49300678096297107</v>
      </c>
      <c r="K29" s="121">
        <f t="shared" si="10"/>
        <v>0.49300678096297107</v>
      </c>
      <c r="L29" s="121">
        <f t="shared" si="10"/>
        <v>0.49300678096297107</v>
      </c>
      <c r="M29" s="121">
        <f t="shared" si="10"/>
        <v>0.49300678096297107</v>
      </c>
      <c r="N29" s="121">
        <f t="shared" si="10"/>
        <v>0.49300678096297107</v>
      </c>
      <c r="O29" s="43"/>
      <c r="P29" s="43"/>
      <c r="Q29" s="43"/>
      <c r="R29" s="43"/>
      <c r="S29" s="43"/>
      <c r="T29" s="43"/>
    </row>
    <row r="30" spans="1:20">
      <c r="A30" s="76"/>
      <c r="B30" s="121"/>
      <c r="C30" s="121"/>
      <c r="D30" s="121"/>
      <c r="E30" s="121"/>
      <c r="F30" s="121"/>
      <c r="G30" s="121"/>
      <c r="H30" s="121"/>
      <c r="I30" s="121"/>
      <c r="J30" s="121"/>
      <c r="K30" s="121"/>
      <c r="L30" s="121"/>
      <c r="M30" s="121"/>
      <c r="N30" s="121"/>
      <c r="O30" s="43"/>
      <c r="P30" s="43"/>
      <c r="Q30" s="43"/>
      <c r="R30" s="43"/>
      <c r="S30" s="43"/>
      <c r="T30" s="43"/>
    </row>
    <row r="31" spans="1:20">
      <c r="A31" s="46" t="s">
        <v>304</v>
      </c>
      <c r="B31" s="43"/>
      <c r="C31" s="43"/>
      <c r="D31" s="43"/>
      <c r="E31" s="43"/>
      <c r="F31" s="43"/>
      <c r="G31" s="43"/>
      <c r="H31" s="43"/>
      <c r="I31" s="43"/>
      <c r="J31" s="43"/>
      <c r="K31" s="43"/>
      <c r="L31" s="43"/>
      <c r="M31" s="43"/>
      <c r="N31" s="43"/>
      <c r="O31" s="43"/>
      <c r="P31" s="43"/>
      <c r="Q31" s="43"/>
      <c r="R31" s="43"/>
      <c r="S31" s="43"/>
      <c r="T31" s="43"/>
    </row>
    <row r="32" spans="1:20">
      <c r="A32" s="46" t="s">
        <v>305</v>
      </c>
      <c r="B32" s="43"/>
      <c r="C32" s="76"/>
      <c r="D32" s="43"/>
      <c r="E32" s="43"/>
      <c r="F32" s="43"/>
      <c r="G32" s="43"/>
      <c r="H32" s="43"/>
      <c r="I32" s="43"/>
      <c r="J32" s="43"/>
      <c r="K32" s="43"/>
      <c r="L32" s="43"/>
      <c r="M32" s="43"/>
      <c r="N32" s="43"/>
      <c r="O32" s="43"/>
      <c r="P32" s="43"/>
      <c r="Q32" s="43"/>
      <c r="R32" s="43"/>
      <c r="S32" s="43"/>
      <c r="T32" s="43"/>
    </row>
    <row r="33" spans="1:20">
      <c r="A33" s="46" t="s">
        <v>306</v>
      </c>
      <c r="B33" s="43"/>
      <c r="C33" s="43"/>
      <c r="D33" s="76"/>
      <c r="E33" s="76"/>
      <c r="F33" s="76"/>
      <c r="G33" s="43"/>
      <c r="H33" s="43"/>
      <c r="I33" s="43"/>
      <c r="J33" s="43"/>
      <c r="K33" s="43"/>
      <c r="L33" s="43"/>
      <c r="M33" s="43"/>
      <c r="N33" s="43"/>
      <c r="O33" s="43"/>
      <c r="P33" s="43"/>
      <c r="Q33" s="43"/>
      <c r="R33" s="43"/>
      <c r="S33" s="43"/>
      <c r="T33" s="43"/>
    </row>
    <row r="34" spans="1:20">
      <c r="A34" s="46" t="s">
        <v>307</v>
      </c>
      <c r="B34" s="76"/>
      <c r="C34" s="76"/>
      <c r="D34" s="76"/>
      <c r="E34" s="43"/>
      <c r="F34" s="43"/>
      <c r="G34" s="43"/>
      <c r="H34" s="43"/>
      <c r="I34" s="43"/>
      <c r="J34" s="43"/>
      <c r="K34" s="43"/>
      <c r="L34" s="43"/>
      <c r="M34" s="43"/>
      <c r="N34" s="43"/>
      <c r="O34" s="43"/>
      <c r="P34" s="43"/>
    </row>
    <row r="35" spans="1:20" s="10" customFormat="1">
      <c r="A35" s="46" t="s">
        <v>292</v>
      </c>
      <c r="B35" s="43"/>
      <c r="C35" s="43"/>
      <c r="D35" s="79">
        <v>0.23599999999999999</v>
      </c>
      <c r="E35" s="43"/>
      <c r="F35" s="43"/>
      <c r="G35" s="43"/>
      <c r="H35" s="43"/>
      <c r="I35" s="43"/>
      <c r="J35" s="43"/>
      <c r="K35" s="43"/>
      <c r="L35" s="43"/>
      <c r="M35" s="43"/>
      <c r="N35" s="43"/>
      <c r="O35" s="43"/>
      <c r="P35" s="43"/>
      <c r="Q35" s="43"/>
      <c r="R35" s="43"/>
      <c r="S35" s="43"/>
      <c r="T35" s="43"/>
    </row>
    <row r="36" spans="1:20" s="10" customFormat="1">
      <c r="A36" s="46" t="s">
        <v>308</v>
      </c>
      <c r="B36" s="43"/>
      <c r="C36" s="43"/>
      <c r="D36" s="79">
        <v>0.25</v>
      </c>
      <c r="E36" s="43"/>
      <c r="F36" s="43"/>
      <c r="G36" s="43"/>
      <c r="H36" s="43"/>
      <c r="I36" s="43"/>
      <c r="J36" s="43"/>
      <c r="K36" s="43"/>
      <c r="L36" s="43"/>
      <c r="M36" s="43"/>
      <c r="N36" s="43"/>
      <c r="O36" s="43"/>
      <c r="P36" s="43"/>
    </row>
    <row r="37" spans="1:20" s="10" customFormat="1">
      <c r="A37" s="46" t="s">
        <v>309</v>
      </c>
      <c r="B37" s="43"/>
      <c r="C37" s="43"/>
      <c r="D37" s="76"/>
      <c r="E37" s="79">
        <v>3.2000000000000002E-3</v>
      </c>
      <c r="F37" s="43"/>
      <c r="G37" s="43"/>
      <c r="H37" s="43"/>
      <c r="I37" s="43"/>
      <c r="J37" s="43"/>
      <c r="K37" s="43"/>
      <c r="L37" s="43"/>
      <c r="M37" s="43"/>
      <c r="N37" s="43"/>
      <c r="O37" s="43"/>
      <c r="P37" s="43"/>
    </row>
    <row r="38" spans="1:20">
      <c r="A38" s="101" t="s">
        <v>33</v>
      </c>
      <c r="B38" s="120">
        <v>0</v>
      </c>
      <c r="C38" s="200">
        <f t="shared" ref="C38:N38" si="11">SUM(C32:C37)</f>
        <v>0</v>
      </c>
      <c r="D38" s="200">
        <f t="shared" si="11"/>
        <v>0.48599999999999999</v>
      </c>
      <c r="E38" s="200">
        <f t="shared" si="11"/>
        <v>3.2000000000000002E-3</v>
      </c>
      <c r="F38" s="201">
        <f t="shared" si="11"/>
        <v>0</v>
      </c>
      <c r="G38" s="201">
        <f t="shared" si="11"/>
        <v>0</v>
      </c>
      <c r="H38" s="201">
        <f t="shared" si="11"/>
        <v>0</v>
      </c>
      <c r="I38" s="201">
        <f t="shared" si="11"/>
        <v>0</v>
      </c>
      <c r="J38" s="201">
        <f t="shared" si="11"/>
        <v>0</v>
      </c>
      <c r="K38" s="201">
        <f t="shared" si="11"/>
        <v>0</v>
      </c>
      <c r="L38" s="201">
        <f t="shared" si="11"/>
        <v>0</v>
      </c>
      <c r="M38" s="201">
        <f t="shared" si="11"/>
        <v>0</v>
      </c>
      <c r="N38" s="201">
        <f t="shared" si="11"/>
        <v>0</v>
      </c>
      <c r="O38" s="43"/>
      <c r="P38" s="43"/>
      <c r="Q38" s="10"/>
      <c r="R38" s="10"/>
      <c r="S38" s="10"/>
      <c r="T38" s="10"/>
    </row>
    <row r="39" spans="1:20">
      <c r="A39" s="46" t="s">
        <v>310</v>
      </c>
      <c r="B39" s="121"/>
      <c r="C39" s="121"/>
      <c r="D39" s="121"/>
      <c r="E39" s="43"/>
      <c r="F39" s="43"/>
      <c r="G39" s="43"/>
      <c r="H39" s="43"/>
      <c r="I39" s="43"/>
      <c r="J39" s="43"/>
      <c r="K39" s="43"/>
      <c r="L39" s="43"/>
      <c r="M39" s="43"/>
      <c r="N39" s="43"/>
      <c r="O39" s="43"/>
      <c r="P39" s="43"/>
      <c r="Q39" s="10"/>
      <c r="R39" s="10"/>
      <c r="S39" s="10"/>
      <c r="T39" s="10"/>
    </row>
    <row r="40" spans="1:20">
      <c r="A40" s="117" t="str">
        <f t="shared" ref="A40:A45" si="12">A32</f>
        <v>Sk</v>
      </c>
      <c r="B40" s="79">
        <v>0.62227720297029698</v>
      </c>
      <c r="C40" s="121">
        <f t="shared" ref="C40:N40" si="13">+C29</f>
        <v>0.61459220297029704</v>
      </c>
      <c r="D40" s="121">
        <f t="shared" si="13"/>
        <v>0.49724288266205263</v>
      </c>
      <c r="E40" s="121">
        <f t="shared" si="13"/>
        <v>0.49565678096297106</v>
      </c>
      <c r="F40" s="121">
        <f t="shared" si="13"/>
        <v>0.49565678096297106</v>
      </c>
      <c r="G40" s="121">
        <f t="shared" si="13"/>
        <v>0.49300678096297107</v>
      </c>
      <c r="H40" s="121">
        <f t="shared" si="13"/>
        <v>0.49300678096297107</v>
      </c>
      <c r="I40" s="121">
        <f t="shared" si="13"/>
        <v>0.49300678096297107</v>
      </c>
      <c r="J40" s="121">
        <f t="shared" si="13"/>
        <v>0.49300678096297107</v>
      </c>
      <c r="K40" s="121">
        <f t="shared" si="13"/>
        <v>0.49300678096297107</v>
      </c>
      <c r="L40" s="121">
        <f t="shared" si="13"/>
        <v>0.49300678096297107</v>
      </c>
      <c r="M40" s="121">
        <f t="shared" si="13"/>
        <v>0.49300678096297107</v>
      </c>
      <c r="N40" s="121">
        <f t="shared" si="13"/>
        <v>0.49300678096297107</v>
      </c>
      <c r="O40" s="43"/>
      <c r="P40" s="43"/>
      <c r="Q40" s="10"/>
      <c r="R40" s="10"/>
      <c r="S40" s="10"/>
      <c r="T40" s="10"/>
    </row>
    <row r="41" spans="1:20">
      <c r="A41" s="117" t="str">
        <f t="shared" si="12"/>
        <v>Huston</v>
      </c>
      <c r="B41" s="202">
        <v>4.6534653465346533E-3</v>
      </c>
      <c r="C41" s="203">
        <f t="array" ref="C41">IF(B41&gt;0,B41/(1+C$24),(SUMPRODUCT(($A41=$A$33:$A$37)*C$33:C$37))/(1+C$24))</f>
        <v>4.6534653465346533E-3</v>
      </c>
      <c r="D41" s="203">
        <f t="array" ref="D41">IF(C41&gt;0,C41/(1+D$24),(SUMPRODUCT(($A41=$A$33:$A$37)*D$33:D$37))/(1+D$24))</f>
        <v>3.7649396007561919E-3</v>
      </c>
      <c r="E41" s="203">
        <f t="array" ref="E41">IF(D41&gt;0,D41/(1+E$24),(SUMPRODUCT(($A41=$A$33:$A$37)*E$33:E$37))/(1+E$24))</f>
        <v>3.7529302240392657E-3</v>
      </c>
      <c r="F41" s="203">
        <f t="array" ref="F41">IF(E41&gt;0,E41/(1+F$24),(SUMPRODUCT(($A41=$A$33:$A$37)*F$33:F$37))/(1+F$24))</f>
        <v>3.7529302240392657E-3</v>
      </c>
      <c r="G41" s="203">
        <f t="array" ref="G41">IF(F41&gt;0,F41/(1+G$24),(SUMPRODUCT(($A41=$A$33:$A$37)*G$33:G$37))/(1+G$24))</f>
        <v>3.7529302240392657E-3</v>
      </c>
      <c r="H41" s="203">
        <f t="array" ref="H41">IF(G41&gt;0,G41/(1+H$24),(SUMPRODUCT(($A41=$A$33:$A$37)*H$33:H$37))/(1+H$24))</f>
        <v>3.7529302240392657E-3</v>
      </c>
      <c r="I41" s="203">
        <f t="array" ref="I41">IF(H41&gt;0,H41/(1+I$24),(SUMPRODUCT(($A41=$A$33:$A$37)*I$33:I$37))/(1+I$24))</f>
        <v>3.7529302240392657E-3</v>
      </c>
      <c r="J41" s="203">
        <f t="array" ref="J41">IF(I41&gt;0,I41/(1+J$24),(SUMPRODUCT(($A41=$A$33:$A$37)*J$33:J$37))/(1+J$24))</f>
        <v>3.7529302240392657E-3</v>
      </c>
      <c r="K41" s="203">
        <f t="array" ref="K41">IF(J41&gt;0,J41/(1+K$24),(SUMPRODUCT(($A41=$A$33:$A$37)*K$33:K$37))/(1+K$24))</f>
        <v>3.7529302240392657E-3</v>
      </c>
      <c r="L41" s="203">
        <f t="array" ref="L41">IF(K41&gt;0,K41/(1+L$24),(SUMPRODUCT(($A41=$A$33:$A$37)*L$33:L$37))/(1+L$24))</f>
        <v>3.7529302240392657E-3</v>
      </c>
      <c r="M41" s="203">
        <f t="array" ref="M41">IF(L41&gt;0,L41/(1+M$24),(SUMPRODUCT(($A41=$A$33:$A$37)*M$33:M$37))/(1+M$24))</f>
        <v>3.7529302240392657E-3</v>
      </c>
      <c r="N41" s="203">
        <f t="array" ref="N41">IF(M41&gt;0,M41/(1+N$24),(SUMPRODUCT(($A41=$A$33:$A$37)*N$33:N$37))/(1+N$24))</f>
        <v>3.7529302240392657E-3</v>
      </c>
      <c r="O41" s="43"/>
      <c r="P41" s="43"/>
      <c r="Q41" s="43"/>
      <c r="R41" s="43"/>
      <c r="S41" s="43"/>
      <c r="T41" s="43"/>
    </row>
    <row r="42" spans="1:20">
      <c r="A42" s="117" t="str">
        <f t="shared" si="12"/>
        <v>potter</v>
      </c>
      <c r="B42" s="202">
        <v>9.9009900990099011E-3</v>
      </c>
      <c r="C42" s="203">
        <f t="array" ref="C42">IF(B42&gt;0,B42/(1+C$24),(SUMPRODUCT(($A42=$A$33:$A$37)*C$33:C$37))/(1+C$24))</f>
        <v>9.9009900990099011E-3</v>
      </c>
      <c r="D42" s="203">
        <f t="array" ref="D42">IF(C42&gt;0,C42/(1+D$24),(SUMPRODUCT(($A42=$A$33:$A$37)*D$33:D$37))/(1+D$24))</f>
        <v>8.0105097888429622E-3</v>
      </c>
      <c r="E42" s="203">
        <f t="array" ref="E42">IF(D42&gt;0,D42/(1+E$24),(SUMPRODUCT(($A42=$A$33:$A$37)*E$33:E$37))/(1+E$24))</f>
        <v>7.984957923487801E-3</v>
      </c>
      <c r="F42" s="203">
        <f t="array" ref="F42">IF(E42&gt;0,E42/(1+F$24),(SUMPRODUCT(($A42=$A$33:$A$37)*F$33:F$37))/(1+F$24))</f>
        <v>7.984957923487801E-3</v>
      </c>
      <c r="G42" s="203">
        <f t="array" ref="G42">IF(F42&gt;0,F42/(1+G$24),(SUMPRODUCT(($A42=$A$33:$A$37)*G$33:G$37))/(1+G$24))</f>
        <v>7.984957923487801E-3</v>
      </c>
      <c r="H42" s="203">
        <f t="array" ref="H42">IF(G42&gt;0,G42/(1+H$24),(SUMPRODUCT(($A42=$A$33:$A$37)*H$33:H$37))/(1+H$24))</f>
        <v>7.984957923487801E-3</v>
      </c>
      <c r="I42" s="203">
        <f t="array" ref="I42">IF(H42&gt;0,H42/(1+I$24),(SUMPRODUCT(($A42=$A$33:$A$37)*I$33:I$37))/(1+I$24))</f>
        <v>7.984957923487801E-3</v>
      </c>
      <c r="J42" s="203">
        <f t="array" ref="J42">IF(I42&gt;0,I42/(1+J$24),(SUMPRODUCT(($A42=$A$33:$A$37)*J$33:J$37))/(1+J$24))</f>
        <v>7.984957923487801E-3</v>
      </c>
      <c r="K42" s="203">
        <f t="array" ref="K42">IF(J42&gt;0,J42/(1+K$24),(SUMPRODUCT(($A42=$A$33:$A$37)*K$33:K$37))/(1+K$24))</f>
        <v>7.984957923487801E-3</v>
      </c>
      <c r="L42" s="203">
        <f t="array" ref="L42">IF(K42&gt;0,K42/(1+L$24),(SUMPRODUCT(($A42=$A$33:$A$37)*L$33:L$37))/(1+L$24))</f>
        <v>7.984957923487801E-3</v>
      </c>
      <c r="M42" s="203">
        <f t="array" ref="M42">IF(L42&gt;0,L42/(1+M$24),(SUMPRODUCT(($A42=$A$33:$A$37)*M$33:M$37))/(1+M$24))</f>
        <v>7.984957923487801E-3</v>
      </c>
      <c r="N42" s="203">
        <f t="array" ref="N42">IF(M42&gt;0,M42/(1+N$24),(SUMPRODUCT(($A42=$A$33:$A$37)*N$33:N$37))/(1+N$24))</f>
        <v>7.984957923487801E-3</v>
      </c>
      <c r="O42" s="43"/>
      <c r="P42" s="43"/>
      <c r="Q42" s="43"/>
      <c r="R42" s="43"/>
      <c r="S42" s="43"/>
      <c r="T42" s="43"/>
    </row>
    <row r="43" spans="1:20">
      <c r="A43" s="117" t="str">
        <f t="shared" si="12"/>
        <v>Cambrian</v>
      </c>
      <c r="B43" s="202">
        <v>0</v>
      </c>
      <c r="C43" s="203">
        <f t="array" ref="C43">IF(B43&gt;0,B43/(1+C$24),(SUMPRODUCT(($A43=$A$33:$A$37)*C$33:C$37))/(1+C$24))</f>
        <v>0</v>
      </c>
      <c r="D43" s="203">
        <f t="array" ref="D43">IF(C43&gt;0,C43/(1+D$24),(SUMPRODUCT(($A43=$A$33:$A$37)*D$33:D$37))/(1+D$24))</f>
        <v>0.19093851132686082</v>
      </c>
      <c r="E43" s="203">
        <f t="array" ref="E43">IF(D43&gt;0,D43/(1+E$24),(SUMPRODUCT(($A43=$A$33:$A$37)*E$33:E$37))/(1+E$24))</f>
        <v>0.19032945706425519</v>
      </c>
      <c r="F43" s="203">
        <f t="array" ref="F43">IF(E43&gt;0,E43/(1+F$24),(SUMPRODUCT(($A43=$A$33:$A$37)*F$33:F$37))/(1+F$24))</f>
        <v>0.19032945706425519</v>
      </c>
      <c r="G43" s="203">
        <f t="array" ref="G43">IF(F43&gt;0,F43/(1+G$24),(SUMPRODUCT(($A43=$A$33:$A$37)*G$33:G$37))/(1+G$24))</f>
        <v>0.19032945706425519</v>
      </c>
      <c r="H43" s="203">
        <f t="array" ref="H43">IF(G43&gt;0,G43/(1+H$24),(SUMPRODUCT(($A43=$A$33:$A$37)*H$33:H$37))/(1+H$24))</f>
        <v>0.19032945706425519</v>
      </c>
      <c r="I43" s="203">
        <f t="array" ref="I43">IF(H43&gt;0,H43/(1+I$24),(SUMPRODUCT(($A43=$A$33:$A$37)*I$33:I$37))/(1+I$24))</f>
        <v>0.19032945706425519</v>
      </c>
      <c r="J43" s="203">
        <f t="array" ref="J43">IF(I43&gt;0,I43/(1+J$24),(SUMPRODUCT(($A43=$A$33:$A$37)*J$33:J$37))/(1+J$24))</f>
        <v>0.19032945706425519</v>
      </c>
      <c r="K43" s="203">
        <f t="array" ref="K43">IF(J43&gt;0,J43/(1+K$24),(SUMPRODUCT(($A43=$A$33:$A$37)*K$33:K$37))/(1+K$24))</f>
        <v>0.19032945706425519</v>
      </c>
      <c r="L43" s="203">
        <f t="array" ref="L43">IF(K43&gt;0,K43/(1+L$24),(SUMPRODUCT(($A43=$A$33:$A$37)*L$33:L$37))/(1+L$24))</f>
        <v>0.19032945706425519</v>
      </c>
      <c r="M43" s="203">
        <f t="array" ref="M43">IF(L43&gt;0,L43/(1+M$24),(SUMPRODUCT(($A43=$A$33:$A$37)*M$33:M$37))/(1+M$24))</f>
        <v>0.19032945706425519</v>
      </c>
      <c r="N43" s="203">
        <f t="array" ref="N43">IF(M43&gt;0,M43/(1+N$24),(SUMPRODUCT(($A43=$A$33:$A$37)*N$33:N$37))/(1+N$24))</f>
        <v>0.19032945706425519</v>
      </c>
      <c r="O43" s="43"/>
      <c r="P43" s="43"/>
      <c r="Q43" s="43"/>
      <c r="R43" s="43"/>
      <c r="S43" s="43"/>
      <c r="T43" s="43"/>
    </row>
    <row r="44" spans="1:20">
      <c r="A44" s="117" t="str">
        <f t="shared" si="12"/>
        <v>PFNGT LLC Pref Transfer</v>
      </c>
      <c r="B44" s="202">
        <v>0</v>
      </c>
      <c r="C44" s="203">
        <f t="array" ref="C44">IF(B44&gt;0,B44/(1+C$24),(SUMPRODUCT(($A44=$A$33:$A$37)*C$33:C$37))/(1+C$24))</f>
        <v>0</v>
      </c>
      <c r="D44" s="203">
        <f t="array" ref="D44">IF(C44&gt;0,C44/(1+D$24),(SUMPRODUCT(($A44=$A$33:$A$37)*D$33:D$37))/(1+D$24))</f>
        <v>0.2022653721682848</v>
      </c>
      <c r="E44" s="203">
        <f t="array" ref="E44">IF(D44&gt;0,D44/(1+E$24),(SUMPRODUCT(($A44=$A$33:$A$37)*E$33:E$37))/(1+E$24))</f>
        <v>0.20162018756806696</v>
      </c>
      <c r="F44" s="203">
        <f t="array" ref="F44">IF(E44&gt;0,E44/(1+F$24),(SUMPRODUCT(($A44=$A$33:$A$37)*F$33:F$37))/(1+F$24))</f>
        <v>0.20162018756806696</v>
      </c>
      <c r="G44" s="203">
        <f t="array" ref="G44">IF(F44&gt;0,F44/(1+G$24),(SUMPRODUCT(($A44=$A$33:$A$37)*G$33:G$37))/(1+G$24))</f>
        <v>0.20162018756806696</v>
      </c>
      <c r="H44" s="203">
        <f t="array" ref="H44">IF(G44&gt;0,G44/(1+H$24),(SUMPRODUCT(($A44=$A$33:$A$37)*H$33:H$37))/(1+H$24))</f>
        <v>0.20162018756806696</v>
      </c>
      <c r="I44" s="203">
        <f t="array" ref="I44">IF(H44&gt;0,H44/(1+I$24),(SUMPRODUCT(($A44=$A$33:$A$37)*I$33:I$37))/(1+I$24))</f>
        <v>0.20162018756806696</v>
      </c>
      <c r="J44" s="203">
        <f t="array" ref="J44">IF(I44&gt;0,I44/(1+J$24),(SUMPRODUCT(($A44=$A$33:$A$37)*J$33:J$37))/(1+J$24))</f>
        <v>0.20162018756806696</v>
      </c>
      <c r="K44" s="203">
        <f t="array" ref="K44">IF(J44&gt;0,J44/(1+K$24),(SUMPRODUCT(($A44=$A$33:$A$37)*K$33:K$37))/(1+K$24))</f>
        <v>0.20162018756806696</v>
      </c>
      <c r="L44" s="203">
        <f t="array" ref="L44">IF(K44&gt;0,K44/(1+L$24),(SUMPRODUCT(($A44=$A$33:$A$37)*L$33:L$37))/(1+L$24))</f>
        <v>0.20162018756806696</v>
      </c>
      <c r="M44" s="203">
        <f t="array" ref="M44">IF(L44&gt;0,L44/(1+M$24),(SUMPRODUCT(($A44=$A$33:$A$37)*M$33:M$37))/(1+M$24))</f>
        <v>0.20162018756806696</v>
      </c>
      <c r="N44" s="203">
        <f t="array" ref="N44">IF(M44&gt;0,M44/(1+N$24),(SUMPRODUCT(($A44=$A$33:$A$37)*N$33:N$37))/(1+N$24))</f>
        <v>0.20162018756806696</v>
      </c>
      <c r="O44" s="43"/>
      <c r="P44" s="43"/>
      <c r="Q44" s="43"/>
      <c r="R44" s="43"/>
      <c r="S44" s="43"/>
      <c r="T44" s="43"/>
    </row>
    <row r="45" spans="1:20">
      <c r="A45" s="117" t="str">
        <f t="shared" si="12"/>
        <v>Scott Bruner</v>
      </c>
      <c r="B45" s="202">
        <v>0</v>
      </c>
      <c r="C45" s="203">
        <f t="array" ref="C45">IF(B45&gt;0,B45/(1+C$24),(SUMPRODUCT(($A45=$A$33:$A$37)*C$33:C$37))/(1+C$24))</f>
        <v>0</v>
      </c>
      <c r="D45" s="203">
        <f t="array" ref="D45">IF(C45&gt;0,C45/(1+D$24),(SUMPRODUCT(($A45=$A$33:$A$37)*D$33:D$37))/(1+D$24))</f>
        <v>0</v>
      </c>
      <c r="E45" s="203">
        <f t="array" ref="E45">IF(D45&gt;0,D45/(1+E$24),(SUMPRODUCT(($A45=$A$33:$A$37)*E$33:E$37))/(1+E$24))</f>
        <v>3.189792663476874E-3</v>
      </c>
      <c r="F45" s="203">
        <f t="array" ref="F45">IF(E45&gt;0,E45/(1+F$24),(SUMPRODUCT(($A45=$A$33:$A$37)*F$33:F$37))/(1+F$24))</f>
        <v>3.189792663476874E-3</v>
      </c>
      <c r="G45" s="203">
        <f t="array" ref="G45">IF(F45&gt;0,F45/(1+G$24),(SUMPRODUCT(($A45=$A$33:$A$37)*G$33:G$37))/(1+G$24))</f>
        <v>3.189792663476874E-3</v>
      </c>
      <c r="H45" s="203">
        <f t="array" ref="H45">IF(G45&gt;0,G45/(1+H$24),(SUMPRODUCT(($A45=$A$33:$A$37)*H$33:H$37))/(1+H$24))</f>
        <v>3.189792663476874E-3</v>
      </c>
      <c r="I45" s="203">
        <f t="array" ref="I45">IF(H45&gt;0,H45/(1+I$24),(SUMPRODUCT(($A45=$A$33:$A$37)*I$33:I$37))/(1+I$24))</f>
        <v>3.189792663476874E-3</v>
      </c>
      <c r="J45" s="203">
        <f t="array" ref="J45">IF(I45&gt;0,I45/(1+J$24),(SUMPRODUCT(($A45=$A$33:$A$37)*J$33:J$37))/(1+J$24))</f>
        <v>3.189792663476874E-3</v>
      </c>
      <c r="K45" s="203">
        <f t="array" ref="K45">IF(J45&gt;0,J45/(1+K$24),(SUMPRODUCT(($A45=$A$33:$A$37)*K$33:K$37))/(1+K$24))</f>
        <v>3.189792663476874E-3</v>
      </c>
      <c r="L45" s="203">
        <f t="array" ref="L45">IF(K45&gt;0,K45/(1+L$24),(SUMPRODUCT(($A45=$A$33:$A$37)*L$33:L$37))/(1+L$24))</f>
        <v>3.189792663476874E-3</v>
      </c>
      <c r="M45" s="203">
        <f t="array" ref="M45">IF(L45&gt;0,L45/(1+M$24),(SUMPRODUCT(($A45=$A$33:$A$37)*M$33:M$37))/(1+M$24))</f>
        <v>3.189792663476874E-3</v>
      </c>
      <c r="N45" s="203">
        <f t="array" ref="N45">IF(M45&gt;0,M45/(1+N$24),(SUMPRODUCT(($A45=$A$33:$A$37)*N$33:N$37))/(1+N$24))</f>
        <v>3.189792663476874E-3</v>
      </c>
      <c r="O45" s="43"/>
      <c r="P45" s="43"/>
      <c r="Q45" s="43"/>
      <c r="R45" s="43"/>
      <c r="S45" s="43"/>
      <c r="T45" s="43"/>
    </row>
    <row r="46" spans="1:20">
      <c r="A46" s="43"/>
      <c r="B46" s="121"/>
      <c r="C46" s="121"/>
      <c r="D46" s="121"/>
      <c r="E46" s="43"/>
      <c r="F46" s="43"/>
      <c r="G46" s="43"/>
      <c r="H46" s="43"/>
      <c r="I46" s="43"/>
      <c r="J46" s="43"/>
      <c r="K46" s="43"/>
      <c r="L46" s="43"/>
      <c r="M46" s="43"/>
      <c r="N46" s="43"/>
      <c r="O46" s="43"/>
      <c r="P46" s="43"/>
      <c r="Q46" s="43"/>
      <c r="R46" s="43"/>
      <c r="S46" s="43"/>
      <c r="T46" s="43"/>
    </row>
    <row r="47" spans="1:20">
      <c r="A47" s="46" t="s">
        <v>311</v>
      </c>
      <c r="B47" s="79">
        <v>0.63683165841584155</v>
      </c>
      <c r="C47" s="138">
        <f t="shared" ref="C47:N47" si="14">SUM(C40:C45)</f>
        <v>0.62914665841584161</v>
      </c>
      <c r="D47" s="138">
        <f t="shared" si="14"/>
        <v>0.90222221554679738</v>
      </c>
      <c r="E47" s="138">
        <f t="shared" si="14"/>
        <v>0.90253410640629717</v>
      </c>
      <c r="F47" s="138">
        <f t="shared" si="14"/>
        <v>0.90253410640629717</v>
      </c>
      <c r="G47" s="138">
        <f t="shared" si="14"/>
        <v>0.89988410640629724</v>
      </c>
      <c r="H47" s="138">
        <f t="shared" si="14"/>
        <v>0.89988410640629724</v>
      </c>
      <c r="I47" s="138">
        <f t="shared" si="14"/>
        <v>0.89988410640629724</v>
      </c>
      <c r="J47" s="138">
        <f t="shared" si="14"/>
        <v>0.89988410640629724</v>
      </c>
      <c r="K47" s="138">
        <f t="shared" si="14"/>
        <v>0.89988410640629724</v>
      </c>
      <c r="L47" s="138">
        <f t="shared" si="14"/>
        <v>0.89988410640629724</v>
      </c>
      <c r="M47" s="138">
        <f t="shared" si="14"/>
        <v>0.89988410640629724</v>
      </c>
      <c r="N47" s="138">
        <f t="shared" si="14"/>
        <v>0.89988410640629724</v>
      </c>
      <c r="O47" s="43"/>
      <c r="P47" s="43"/>
      <c r="Q47" s="43"/>
      <c r="R47" s="43"/>
      <c r="S47" s="43"/>
      <c r="T47" s="43"/>
    </row>
    <row r="48" spans="1:20">
      <c r="A48" s="43"/>
      <c r="B48" s="121"/>
      <c r="C48" s="121"/>
      <c r="D48" s="121"/>
      <c r="E48" s="43"/>
      <c r="F48" s="43"/>
      <c r="G48" s="43"/>
      <c r="H48" s="43"/>
      <c r="I48" s="43"/>
      <c r="J48" s="43"/>
      <c r="K48" s="43"/>
      <c r="L48" s="43"/>
      <c r="M48" s="43"/>
      <c r="N48" s="43"/>
      <c r="O48" s="43"/>
      <c r="P48" s="43"/>
      <c r="Q48" s="43"/>
      <c r="R48" s="43"/>
      <c r="S48" s="43"/>
      <c r="T48" s="43"/>
    </row>
    <row r="49" spans="1:20">
      <c r="A49" s="46" t="s">
        <v>312</v>
      </c>
      <c r="B49" s="43"/>
      <c r="C49" s="43"/>
      <c r="D49" s="197">
        <f>-D36/(1+D24)</f>
        <v>-0.2022653721682848</v>
      </c>
      <c r="E49" s="43"/>
      <c r="F49" s="43"/>
      <c r="G49" s="43"/>
      <c r="H49" s="43"/>
      <c r="I49" s="43"/>
      <c r="J49" s="43"/>
      <c r="K49" s="43"/>
      <c r="L49" s="43"/>
      <c r="M49" s="43"/>
      <c r="N49" s="43"/>
      <c r="O49" s="43"/>
      <c r="P49" s="43"/>
      <c r="Q49" s="43"/>
      <c r="R49" s="43"/>
      <c r="S49" s="43"/>
      <c r="T49" s="43"/>
    </row>
    <row r="50" spans="1:20">
      <c r="A50" s="46" t="s">
        <v>313</v>
      </c>
      <c r="B50" s="79">
        <v>0.27066249999999997</v>
      </c>
      <c r="C50" s="121">
        <f>+lgh_pref_equity!C139</f>
        <v>7.6849999999999991E-3</v>
      </c>
      <c r="D50" s="121">
        <f>+lgh_pref_equity!D139</f>
        <v>0</v>
      </c>
      <c r="E50" s="121">
        <f>+lgh_pref_equity!E139</f>
        <v>0</v>
      </c>
      <c r="F50" s="121">
        <f>+lgh_pref_equity!F139</f>
        <v>0</v>
      </c>
      <c r="G50" s="121">
        <f>+lgh_pref_equity!G139</f>
        <v>2.6499999999999996E-3</v>
      </c>
      <c r="H50" s="121">
        <f>+lgh_pref_equity!H139</f>
        <v>0</v>
      </c>
      <c r="I50" s="121">
        <f>+lgh_pref_equity!I139</f>
        <v>0</v>
      </c>
      <c r="J50" s="121">
        <f>+lgh_pref_equity!J139</f>
        <v>0</v>
      </c>
      <c r="K50" s="121">
        <f>+lgh_pref_equity!K139</f>
        <v>0</v>
      </c>
      <c r="L50" s="121">
        <f>+lgh_pref_equity!L139</f>
        <v>0</v>
      </c>
      <c r="M50" s="121">
        <f>+lgh_pref_equity!M139</f>
        <v>0</v>
      </c>
      <c r="N50" s="121">
        <f>+lgh_pref_equity!N139</f>
        <v>0</v>
      </c>
      <c r="O50" s="43"/>
      <c r="P50" s="43"/>
      <c r="Q50" s="43"/>
      <c r="R50" s="43"/>
      <c r="S50" s="43"/>
      <c r="T50" s="43"/>
    </row>
    <row r="51" spans="1:20">
      <c r="A51" s="46" t="s">
        <v>314</v>
      </c>
      <c r="B51" s="79">
        <v>9.2505841584158394E-2</v>
      </c>
      <c r="C51" s="138">
        <f t="shared" ref="C51:N51" si="15">SUM(B50:B51)/(1+C$24)+C49</f>
        <v>0.36316834158415834</v>
      </c>
      <c r="D51" s="138">
        <f t="shared" si="15"/>
        <v>9.7777784453202538E-2</v>
      </c>
      <c r="E51" s="138">
        <f t="shared" si="15"/>
        <v>9.7465893593702682E-2</v>
      </c>
      <c r="F51" s="138">
        <f t="shared" si="15"/>
        <v>9.7465893593702682E-2</v>
      </c>
      <c r="G51" s="138">
        <f t="shared" si="15"/>
        <v>9.7465893593702682E-2</v>
      </c>
      <c r="H51" s="138">
        <f t="shared" si="15"/>
        <v>0.10011589359370268</v>
      </c>
      <c r="I51" s="138">
        <f t="shared" si="15"/>
        <v>0.10011589359370268</v>
      </c>
      <c r="J51" s="138">
        <f t="shared" si="15"/>
        <v>0.10011589359370268</v>
      </c>
      <c r="K51" s="138">
        <f t="shared" si="15"/>
        <v>0.10011589359370268</v>
      </c>
      <c r="L51" s="138">
        <f t="shared" si="15"/>
        <v>0.10011589359370268</v>
      </c>
      <c r="M51" s="138">
        <f t="shared" si="15"/>
        <v>0.10011589359370268</v>
      </c>
      <c r="N51" s="138">
        <f t="shared" si="15"/>
        <v>0.10011589359370268</v>
      </c>
      <c r="O51" s="43"/>
      <c r="P51" s="43"/>
      <c r="Q51" s="43"/>
      <c r="R51" s="43"/>
      <c r="S51" s="43"/>
      <c r="T51" s="43"/>
    </row>
    <row r="52" spans="1:20">
      <c r="A52" s="46" t="s">
        <v>315</v>
      </c>
      <c r="B52" s="79">
        <v>0.36316834158415839</v>
      </c>
      <c r="C52" s="121">
        <f>+lgh_pref_equity!C142</f>
        <v>0.37085334158415839</v>
      </c>
      <c r="D52" s="121">
        <f>+lgh_pref_equity!D142</f>
        <v>9.7777784453202593E-2</v>
      </c>
      <c r="E52" s="121">
        <f>+lgh_pref_equity!E142</f>
        <v>9.7465893593702738E-2</v>
      </c>
      <c r="F52" s="121">
        <f>+lgh_pref_equity!F142</f>
        <v>9.7465893593702738E-2</v>
      </c>
      <c r="G52" s="121">
        <f>+lgh_pref_equity!G142</f>
        <v>0.10011589359370274</v>
      </c>
      <c r="H52" s="121">
        <f>+lgh_pref_equity!H142</f>
        <v>0.10011589359370274</v>
      </c>
      <c r="I52" s="121">
        <f>+lgh_pref_equity!I142</f>
        <v>0.10011589359370274</v>
      </c>
      <c r="J52" s="121">
        <f>+lgh_pref_equity!J142</f>
        <v>0.10011589359370274</v>
      </c>
      <c r="K52" s="121">
        <f>+lgh_pref_equity!K142</f>
        <v>0.10011589359370274</v>
      </c>
      <c r="L52" s="121">
        <f>+lgh_pref_equity!L142</f>
        <v>0.10011589359370274</v>
      </c>
      <c r="M52" s="121">
        <f>+lgh_pref_equity!M142</f>
        <v>0.10011589359370274</v>
      </c>
      <c r="N52" s="121">
        <f>+lgh_pref_equity!N142</f>
        <v>0.10011589359370274</v>
      </c>
      <c r="O52" s="43"/>
      <c r="P52" s="43"/>
      <c r="Q52" s="43"/>
      <c r="R52" s="43"/>
      <c r="S52" s="43"/>
      <c r="T52" s="43"/>
    </row>
    <row r="53" spans="1:20">
      <c r="A53" s="46" t="s">
        <v>33</v>
      </c>
      <c r="B53" s="79">
        <v>1</v>
      </c>
      <c r="C53" s="121">
        <f t="shared" ref="C53:N53" si="16">+C47+C52</f>
        <v>1</v>
      </c>
      <c r="D53" s="121">
        <f t="shared" si="16"/>
        <v>1</v>
      </c>
      <c r="E53" s="121">
        <f t="shared" si="16"/>
        <v>0.99999999999999989</v>
      </c>
      <c r="F53" s="121">
        <f t="shared" si="16"/>
        <v>0.99999999999999989</v>
      </c>
      <c r="G53" s="121">
        <f t="shared" si="16"/>
        <v>1</v>
      </c>
      <c r="H53" s="121">
        <f t="shared" si="16"/>
        <v>1</v>
      </c>
      <c r="I53" s="121">
        <f t="shared" si="16"/>
        <v>1</v>
      </c>
      <c r="J53" s="121">
        <f t="shared" si="16"/>
        <v>1</v>
      </c>
      <c r="K53" s="121">
        <f t="shared" si="16"/>
        <v>1</v>
      </c>
      <c r="L53" s="121">
        <f t="shared" si="16"/>
        <v>1</v>
      </c>
      <c r="M53" s="121">
        <f t="shared" si="16"/>
        <v>1</v>
      </c>
      <c r="N53" s="121">
        <f t="shared" si="16"/>
        <v>1</v>
      </c>
      <c r="O53" s="43"/>
      <c r="P53" s="43"/>
      <c r="Q53" s="43"/>
      <c r="R53" s="43"/>
      <c r="S53" s="43"/>
      <c r="T53" s="43"/>
    </row>
    <row r="54" spans="1:20">
      <c r="A54" s="43"/>
      <c r="B54" s="121"/>
      <c r="C54" s="121"/>
      <c r="D54" s="121"/>
      <c r="E54" s="121"/>
      <c r="F54" s="121"/>
      <c r="G54" s="121"/>
      <c r="H54" s="121"/>
      <c r="I54" s="121"/>
      <c r="J54" s="121"/>
      <c r="K54" s="121"/>
      <c r="L54" s="121"/>
      <c r="M54" s="121"/>
      <c r="N54" s="121"/>
      <c r="O54" s="43"/>
      <c r="P54" s="43"/>
      <c r="Q54" s="43"/>
      <c r="R54" s="43"/>
      <c r="S54" s="43"/>
      <c r="T54" s="43"/>
    </row>
    <row r="55" spans="1:20">
      <c r="A55" s="43"/>
      <c r="B55" s="43"/>
      <c r="C55" s="43"/>
      <c r="D55" s="43"/>
      <c r="E55" s="43"/>
      <c r="F55" s="43"/>
      <c r="G55" s="43"/>
      <c r="H55" s="43"/>
      <c r="I55" s="43"/>
      <c r="J55" s="43"/>
      <c r="K55" s="43"/>
      <c r="L55" s="43"/>
      <c r="M55" s="43"/>
      <c r="N55" s="43"/>
      <c r="O55" s="43"/>
      <c r="P55" s="43"/>
      <c r="Q55" s="43"/>
      <c r="R55" s="43"/>
      <c r="S55" s="43"/>
      <c r="T55" s="43"/>
    </row>
    <row r="56" spans="1:20">
      <c r="A56" s="43"/>
      <c r="B56" s="121"/>
      <c r="C56" s="121"/>
      <c r="D56" s="121"/>
      <c r="E56" s="121"/>
      <c r="F56" s="121"/>
      <c r="G56" s="121"/>
      <c r="H56" s="121"/>
      <c r="I56" s="121"/>
      <c r="J56" s="121"/>
      <c r="K56" s="121"/>
      <c r="L56" s="121"/>
      <c r="M56" s="121"/>
      <c r="N56" s="121"/>
      <c r="O56" s="43"/>
      <c r="P56" s="43"/>
      <c r="Q56" s="43"/>
      <c r="R56" s="43"/>
      <c r="S56" s="43"/>
      <c r="T56" s="43"/>
    </row>
    <row r="57" spans="1:20">
      <c r="A57" s="43"/>
      <c r="B57" s="43"/>
      <c r="C57" s="43"/>
      <c r="D57" s="43"/>
      <c r="E57" s="43"/>
      <c r="F57" s="43"/>
      <c r="G57" s="43"/>
      <c r="H57" s="43"/>
      <c r="I57" s="43"/>
      <c r="J57" s="43"/>
      <c r="K57" s="43"/>
      <c r="L57" s="43"/>
      <c r="M57" s="43"/>
      <c r="N57" s="43"/>
      <c r="O57" s="43"/>
      <c r="P57" s="43"/>
      <c r="Q57" s="43"/>
      <c r="R57" s="43"/>
      <c r="S57" s="43"/>
      <c r="T57" s="43"/>
    </row>
    <row r="58" spans="1:20">
      <c r="A58" s="43"/>
      <c r="B58" s="43"/>
      <c r="C58" s="43"/>
      <c r="D58" s="43"/>
      <c r="E58" s="43"/>
      <c r="F58" s="43"/>
      <c r="G58" s="43"/>
      <c r="H58" s="43"/>
      <c r="I58" s="43"/>
      <c r="J58" s="43"/>
      <c r="K58" s="43"/>
      <c r="L58" s="43"/>
      <c r="M58" s="43"/>
      <c r="N58" s="43"/>
      <c r="O58" s="43"/>
      <c r="P58" s="43"/>
      <c r="Q58" s="43"/>
      <c r="R58" s="43"/>
      <c r="S58" s="43"/>
      <c r="T58" s="43"/>
    </row>
    <row r="59" spans="1:20">
      <c r="A59" s="43"/>
      <c r="B59" s="43"/>
      <c r="C59" s="43"/>
      <c r="D59" s="43"/>
      <c r="E59" s="43"/>
      <c r="F59" s="43"/>
      <c r="G59" s="43"/>
      <c r="H59" s="43"/>
      <c r="I59" s="43"/>
      <c r="J59" s="43"/>
      <c r="K59" s="43"/>
      <c r="L59" s="43"/>
      <c r="M59" s="43"/>
      <c r="N59" s="43"/>
      <c r="O59" s="43"/>
      <c r="P59" s="43"/>
      <c r="Q59" s="43"/>
      <c r="R59" s="43"/>
      <c r="S59" s="43"/>
      <c r="T59" s="43"/>
    </row>
    <row r="60" spans="1:20">
      <c r="A60" s="43"/>
      <c r="B60" s="43"/>
      <c r="C60" s="43"/>
      <c r="D60" s="43"/>
      <c r="E60" s="43"/>
      <c r="F60" s="43"/>
      <c r="G60" s="43"/>
      <c r="H60" s="43"/>
      <c r="I60" s="43"/>
      <c r="J60" s="43"/>
      <c r="K60" s="43"/>
      <c r="L60" s="43"/>
      <c r="M60" s="43"/>
      <c r="N60" s="43"/>
      <c r="O60" s="43"/>
      <c r="P60" s="43"/>
      <c r="Q60" s="43"/>
      <c r="R60" s="43"/>
      <c r="S60" s="43"/>
      <c r="T60" s="43"/>
    </row>
    <row r="61" spans="1:20">
      <c r="A61" s="43"/>
      <c r="B61" s="43"/>
      <c r="C61" s="43"/>
      <c r="D61" s="43"/>
      <c r="E61" s="43"/>
      <c r="F61" s="43"/>
      <c r="G61" s="43"/>
      <c r="H61" s="43"/>
      <c r="I61" s="43"/>
      <c r="J61" s="43"/>
      <c r="K61" s="43"/>
      <c r="L61" s="43"/>
      <c r="M61" s="43"/>
      <c r="N61" s="43"/>
      <c r="O61" s="43"/>
      <c r="P61" s="43"/>
      <c r="Q61" s="43"/>
      <c r="R61" s="43"/>
      <c r="S61" s="43"/>
      <c r="T61" s="43"/>
    </row>
    <row r="62" spans="1:20">
      <c r="A62" s="43"/>
      <c r="B62" s="43"/>
      <c r="C62" s="43"/>
      <c r="D62" s="43"/>
      <c r="E62" s="43"/>
      <c r="F62" s="43"/>
      <c r="G62" s="43"/>
      <c r="H62" s="43"/>
      <c r="I62" s="43"/>
      <c r="J62" s="43"/>
      <c r="K62" s="43"/>
      <c r="L62" s="43"/>
      <c r="M62" s="43"/>
      <c r="N62" s="43"/>
      <c r="O62" s="43"/>
      <c r="P62" s="43"/>
      <c r="Q62" s="43"/>
      <c r="R62" s="43"/>
      <c r="S62" s="43"/>
      <c r="T62" s="43"/>
    </row>
    <row r="63" spans="1:20">
      <c r="A63" s="43"/>
      <c r="B63" s="76"/>
      <c r="C63" s="43"/>
      <c r="D63" s="43"/>
      <c r="E63" s="43"/>
      <c r="F63" s="43"/>
      <c r="G63" s="43"/>
      <c r="H63" s="43"/>
      <c r="I63" s="43"/>
      <c r="J63" s="43"/>
      <c r="K63" s="43"/>
      <c r="L63" s="43"/>
      <c r="M63" s="43"/>
      <c r="N63" s="43"/>
      <c r="O63" s="43"/>
      <c r="P63" s="43"/>
      <c r="Q63" s="43"/>
      <c r="R63" s="43"/>
      <c r="S63" s="43"/>
      <c r="T63" s="43"/>
    </row>
    <row r="64" spans="1:20">
      <c r="A64" s="43"/>
      <c r="B64" s="76"/>
      <c r="C64" s="43"/>
      <c r="D64" s="43"/>
      <c r="E64" s="43"/>
      <c r="F64" s="43"/>
      <c r="G64" s="43"/>
      <c r="H64" s="43"/>
      <c r="I64" s="43"/>
      <c r="J64" s="43"/>
      <c r="K64" s="43"/>
      <c r="L64" s="43"/>
      <c r="M64" s="43"/>
      <c r="N64" s="43"/>
      <c r="O64" s="43"/>
      <c r="P64" s="43"/>
      <c r="Q64" s="43"/>
      <c r="R64" s="43"/>
      <c r="S64" s="43"/>
      <c r="T64" s="43"/>
    </row>
    <row r="65" spans="1:20">
      <c r="A65" s="43"/>
      <c r="B65" s="43"/>
      <c r="C65" s="43"/>
      <c r="D65" s="43"/>
      <c r="E65" s="43"/>
      <c r="F65" s="43"/>
      <c r="G65" s="43"/>
      <c r="H65" s="43"/>
      <c r="I65" s="43"/>
      <c r="J65" s="43"/>
      <c r="K65" s="43"/>
      <c r="L65" s="43"/>
      <c r="M65" s="43"/>
      <c r="N65" s="43"/>
      <c r="O65" s="43"/>
      <c r="P65" s="43"/>
      <c r="Q65" s="43"/>
      <c r="R65" s="43"/>
      <c r="S65" s="43"/>
      <c r="T65" s="43"/>
    </row>
    <row r="66" spans="1:20">
      <c r="A66" s="43"/>
      <c r="B66" s="121"/>
      <c r="C66" s="121"/>
      <c r="D66" s="121"/>
      <c r="E66" s="121"/>
      <c r="F66" s="121"/>
      <c r="G66" s="121"/>
      <c r="H66" s="121"/>
      <c r="I66" s="121"/>
      <c r="J66" s="121"/>
      <c r="K66" s="121"/>
      <c r="L66" s="121"/>
      <c r="M66" s="121"/>
      <c r="N66" s="121"/>
      <c r="O66" s="43"/>
      <c r="P66" s="43"/>
      <c r="Q66" s="43"/>
      <c r="R66" s="43"/>
      <c r="S66" s="43"/>
      <c r="T66" s="4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8">
    <tabColor rgb="FFFFC000"/>
  </sheetPr>
  <dimension ref="A1:Y187"/>
  <sheetViews>
    <sheetView showGridLines="0" topLeftCell="F1" zoomScale="85" zoomScaleNormal="85" workbookViewId="0">
      <selection activeCell="L19" sqref="L19"/>
    </sheetView>
  </sheetViews>
  <sheetFormatPr defaultColWidth="9.26953125" defaultRowHeight="15.5"/>
  <cols>
    <col min="1" max="1" width="44.6328125" style="11" customWidth="1"/>
    <col min="2" max="2" width="32.6328125" style="11" customWidth="1"/>
    <col min="3" max="3" width="17.26953125" style="11" bestFit="1" customWidth="1"/>
    <col min="4" max="4" width="13.54296875" style="11" bestFit="1" customWidth="1"/>
    <col min="5" max="5" width="14.6328125" style="11" bestFit="1" customWidth="1"/>
    <col min="6" max="7" width="15" style="11" bestFit="1" customWidth="1"/>
    <col min="8" max="8" width="17.453125" style="11" bestFit="1" customWidth="1"/>
    <col min="9" max="9" width="19.26953125" style="11" bestFit="1" customWidth="1"/>
    <col min="10" max="10" width="15" style="11" bestFit="1" customWidth="1"/>
    <col min="11" max="11" width="17.26953125" style="11" customWidth="1"/>
    <col min="12" max="17" width="15" style="11" bestFit="1" customWidth="1"/>
    <col min="18" max="18" width="11.54296875" style="11" bestFit="1" customWidth="1"/>
    <col min="19" max="19" width="13.453125" style="11" bestFit="1" customWidth="1"/>
    <col min="20" max="23" width="11.54296875" style="11" bestFit="1" customWidth="1"/>
    <col min="24" max="24" width="12.453125" style="11" bestFit="1" customWidth="1"/>
    <col min="25" max="25" width="13.26953125" style="11" bestFit="1" customWidth="1"/>
    <col min="26" max="26" width="9.6328125" style="11" bestFit="1" customWidth="1"/>
    <col min="27" max="27" width="13.26953125" style="11" bestFit="1" customWidth="1"/>
    <col min="28" max="28" width="9.6328125" style="11" bestFit="1" customWidth="1"/>
    <col min="29" max="29" width="12.6328125" style="11" bestFit="1" customWidth="1"/>
    <col min="30" max="30" width="9.6328125" style="11" bestFit="1" customWidth="1"/>
    <col min="31" max="31" width="13.26953125" style="11" bestFit="1" customWidth="1"/>
    <col min="32" max="32" width="9.6328125" style="11" bestFit="1" customWidth="1"/>
    <col min="33" max="33" width="12.6328125" style="11" bestFit="1" customWidth="1"/>
    <col min="34" max="34" width="13.453125" style="11" bestFit="1" customWidth="1"/>
    <col min="35" max="35" width="20.26953125" style="11" bestFit="1" customWidth="1"/>
    <col min="36" max="49" width="9.26953125" style="11" customWidth="1"/>
    <col min="50" max="16384" width="9.26953125" style="11"/>
  </cols>
  <sheetData>
    <row r="1" spans="1:25">
      <c r="A1" s="43"/>
      <c r="B1" s="43"/>
      <c r="C1" s="43"/>
      <c r="D1" s="43"/>
      <c r="E1" s="43"/>
      <c r="F1" s="43"/>
      <c r="G1" s="43"/>
      <c r="H1" s="43"/>
      <c r="I1" s="43"/>
      <c r="J1" s="43"/>
      <c r="K1" s="43"/>
      <c r="L1" s="43"/>
      <c r="M1" s="204"/>
      <c r="N1" s="43"/>
      <c r="O1" s="43"/>
      <c r="P1" s="43"/>
      <c r="Q1" s="43"/>
      <c r="R1" s="43"/>
      <c r="S1" s="43"/>
      <c r="T1" s="43"/>
      <c r="U1" s="43"/>
      <c r="V1" s="43"/>
      <c r="W1" s="43"/>
      <c r="X1" s="43"/>
      <c r="Y1" s="43"/>
    </row>
    <row r="2" spans="1:25">
      <c r="A2" s="43"/>
      <c r="B2" s="43"/>
      <c r="C2" s="43"/>
      <c r="D2" s="43"/>
      <c r="E2" s="43"/>
      <c r="F2" s="43"/>
      <c r="G2" s="43"/>
      <c r="H2" s="43"/>
      <c r="I2" s="43"/>
      <c r="J2" s="43"/>
      <c r="K2" s="43"/>
      <c r="L2" s="43"/>
      <c r="M2" s="43"/>
      <c r="N2" s="43"/>
      <c r="O2" s="43"/>
      <c r="P2" s="43"/>
      <c r="Q2" s="43"/>
      <c r="R2" s="43"/>
      <c r="S2" s="43"/>
      <c r="T2" s="43"/>
      <c r="U2" s="43"/>
      <c r="V2" s="43"/>
      <c r="W2" s="43"/>
      <c r="X2" s="43"/>
      <c r="Y2" s="43"/>
    </row>
    <row r="3" spans="1:25" s="12" customFormat="1">
      <c r="A3" s="205" t="s">
        <v>316</v>
      </c>
      <c r="B3" s="43"/>
      <c r="C3" s="43"/>
      <c r="D3" s="43"/>
      <c r="E3" s="43"/>
      <c r="F3" s="43"/>
      <c r="G3" s="206"/>
      <c r="H3" s="206"/>
      <c r="I3" s="207">
        <v>44561</v>
      </c>
      <c r="J3" s="207">
        <v>44926</v>
      </c>
      <c r="K3" s="207">
        <v>45291</v>
      </c>
      <c r="L3" s="207">
        <v>45657</v>
      </c>
      <c r="M3" s="207">
        <v>45747</v>
      </c>
      <c r="N3" s="207">
        <v>45838</v>
      </c>
      <c r="O3" s="207">
        <v>45930</v>
      </c>
      <c r="P3" s="207">
        <v>46022</v>
      </c>
      <c r="Q3" s="207">
        <v>46112</v>
      </c>
      <c r="R3" s="207">
        <v>46203</v>
      </c>
      <c r="S3" s="207">
        <v>46295</v>
      </c>
      <c r="T3" s="207">
        <v>46387</v>
      </c>
      <c r="U3" s="207">
        <v>46752</v>
      </c>
      <c r="V3" s="207">
        <v>47118</v>
      </c>
      <c r="W3" s="207">
        <v>47483</v>
      </c>
      <c r="X3" s="207">
        <v>47848</v>
      </c>
      <c r="Y3" s="43"/>
    </row>
    <row r="4" spans="1:25">
      <c r="A4" s="205" t="s">
        <v>317</v>
      </c>
      <c r="B4" s="205" t="s">
        <v>318</v>
      </c>
      <c r="C4" s="205" t="s">
        <v>319</v>
      </c>
      <c r="D4" s="205" t="s">
        <v>320</v>
      </c>
      <c r="E4" s="205" t="s">
        <v>321</v>
      </c>
      <c r="F4" s="205" t="s">
        <v>322</v>
      </c>
      <c r="G4" s="208" t="s">
        <v>323</v>
      </c>
      <c r="H4" s="208" t="s">
        <v>324</v>
      </c>
      <c r="I4" s="209">
        <v>4</v>
      </c>
      <c r="J4" s="209">
        <v>4</v>
      </c>
      <c r="K4" s="209">
        <v>4</v>
      </c>
      <c r="L4" s="209">
        <v>4</v>
      </c>
      <c r="M4" s="209">
        <v>1</v>
      </c>
      <c r="N4" s="209">
        <v>2</v>
      </c>
      <c r="O4" s="209">
        <v>3</v>
      </c>
      <c r="P4" s="209">
        <v>4</v>
      </c>
      <c r="Q4" s="209">
        <v>1</v>
      </c>
      <c r="R4" s="209">
        <v>2</v>
      </c>
      <c r="S4" s="209">
        <v>3</v>
      </c>
      <c r="T4" s="209">
        <v>4</v>
      </c>
      <c r="U4" s="209">
        <v>4</v>
      </c>
      <c r="V4" s="209">
        <v>4</v>
      </c>
      <c r="W4" s="209">
        <v>4</v>
      </c>
      <c r="X4" s="209">
        <v>4</v>
      </c>
      <c r="Y4" s="46" t="s">
        <v>325</v>
      </c>
    </row>
    <row r="5" spans="1:25">
      <c r="A5" s="205" t="s">
        <v>326</v>
      </c>
      <c r="B5" s="205" t="s">
        <v>327</v>
      </c>
      <c r="C5" s="210">
        <f>5000000</f>
        <v>5000000</v>
      </c>
      <c r="D5" s="211">
        <v>0.08</v>
      </c>
      <c r="E5" s="212">
        <v>0.17499999999999999</v>
      </c>
      <c r="F5" s="213">
        <v>44365</v>
      </c>
      <c r="G5" s="214">
        <f>+C5/lgh_inputs!$D$10</f>
        <v>200000</v>
      </c>
      <c r="H5" s="215"/>
      <c r="I5" s="216">
        <f t="shared" ref="I5:I43" si="0">IF($F5&lt;I$3,C5*(1+D5)^((I$3-$F$5)/365),0)</f>
        <v>5210964.3638452394</v>
      </c>
      <c r="J5" s="216">
        <f t="shared" ref="J5:L24" si="1">IF(AND(YEAR($F5)=YEAR(J$3),ROUNDUP(MONTH($F5)/3,0)&lt;=J$4),$C5*(1+$D5)^((J$3-$F5)/365),IF(ROUND(I5,0)=0,0,I5*(1+$D5)))</f>
        <v>5627841.5129528586</v>
      </c>
      <c r="K5" s="216">
        <f t="shared" si="1"/>
        <v>6078068.8339890875</v>
      </c>
      <c r="L5" s="216">
        <f t="shared" si="1"/>
        <v>6564314.3407082148</v>
      </c>
      <c r="M5" s="216">
        <f t="shared" ref="M5:T14" si="2">IF(AND(YEAR($F5)=YEAR(M$3),ROUNDUP(MONTH($F5)/3,0)=M$4),$C5*(1+$D5/4)^((M$3-$F5)/91),IF(ROUND(L5,0)=0,0,L5*(1+$D5/4)))</f>
        <v>6695600.6275223792</v>
      </c>
      <c r="N5" s="216">
        <f t="shared" si="2"/>
        <v>6829512.6400728272</v>
      </c>
      <c r="O5" s="216">
        <f t="shared" si="2"/>
        <v>6966102.8928742837</v>
      </c>
      <c r="P5" s="216">
        <f t="shared" si="2"/>
        <v>7105424.9507317692</v>
      </c>
      <c r="Q5" s="216">
        <f t="shared" si="2"/>
        <v>7247533.4497464048</v>
      </c>
      <c r="R5" s="216">
        <f t="shared" si="2"/>
        <v>7392484.1187413326</v>
      </c>
      <c r="S5" s="216">
        <f t="shared" si="2"/>
        <v>7540333.8011161592</v>
      </c>
      <c r="T5" s="216">
        <f t="shared" si="2"/>
        <v>7691140.477138483</v>
      </c>
      <c r="U5" s="216">
        <f t="shared" ref="U5:X24" si="3">IF(AND(YEAR($F5)=YEAR(U$3),ROUNDUP(MONTH($F5)/3,0)&lt;=U$4),$C5*(1+$D5)^((U$3-$F5)/365),IF(ROUND(T5,0)=0,0,T5*(1+$D5)))</f>
        <v>8306431.7153095622</v>
      </c>
      <c r="V5" s="216">
        <f t="shared" si="3"/>
        <v>8970946.252534328</v>
      </c>
      <c r="W5" s="216">
        <f t="shared" si="3"/>
        <v>9688621.9527370743</v>
      </c>
      <c r="X5" s="216">
        <f t="shared" si="3"/>
        <v>10463711.70895604</v>
      </c>
      <c r="Y5" s="117" t="str">
        <f t="shared" ref="Y5:Y43" si="4">A5&amp;" "&amp;B5</f>
        <v>PE001 PFNGT LLC</v>
      </c>
    </row>
    <row r="6" spans="1:25">
      <c r="A6" s="205" t="s">
        <v>328</v>
      </c>
      <c r="B6" s="205" t="s">
        <v>329</v>
      </c>
      <c r="C6" s="217">
        <v>3000000</v>
      </c>
      <c r="D6" s="211">
        <v>0.08</v>
      </c>
      <c r="E6" s="212">
        <v>0.17499999999999999</v>
      </c>
      <c r="F6" s="213">
        <v>44365</v>
      </c>
      <c r="G6" s="218">
        <f>+C6/lgh_inputs!$D$10</f>
        <v>120000</v>
      </c>
      <c r="H6" s="215"/>
      <c r="I6" s="216">
        <f t="shared" si="0"/>
        <v>3126578.6183071439</v>
      </c>
      <c r="J6" s="216">
        <f t="shared" si="1"/>
        <v>3376704.9077717154</v>
      </c>
      <c r="K6" s="216">
        <f t="shared" si="1"/>
        <v>3646841.3003934529</v>
      </c>
      <c r="L6" s="216">
        <f t="shared" si="1"/>
        <v>3938588.6044249292</v>
      </c>
      <c r="M6" s="216">
        <f t="shared" si="2"/>
        <v>4017360.3765134281</v>
      </c>
      <c r="N6" s="216">
        <f t="shared" si="2"/>
        <v>4097707.5840436965</v>
      </c>
      <c r="O6" s="216">
        <f t="shared" si="2"/>
        <v>4179661.7357245707</v>
      </c>
      <c r="P6" s="216">
        <f t="shared" si="2"/>
        <v>4263254.9704390625</v>
      </c>
      <c r="Q6" s="216">
        <f t="shared" si="2"/>
        <v>4348520.0698478436</v>
      </c>
      <c r="R6" s="216">
        <f t="shared" si="2"/>
        <v>4435490.4712448008</v>
      </c>
      <c r="S6" s="216">
        <f t="shared" si="2"/>
        <v>4524200.2806696966</v>
      </c>
      <c r="T6" s="216">
        <f t="shared" si="2"/>
        <v>4614684.2862830907</v>
      </c>
      <c r="U6" s="216">
        <f t="shared" si="3"/>
        <v>4983859.0291857384</v>
      </c>
      <c r="V6" s="216">
        <f t="shared" si="3"/>
        <v>5382567.7515205983</v>
      </c>
      <c r="W6" s="216">
        <f t="shared" si="3"/>
        <v>5813173.1716422467</v>
      </c>
      <c r="X6" s="216">
        <f t="shared" si="3"/>
        <v>6278227.0253736265</v>
      </c>
      <c r="Y6" s="117" t="str">
        <f t="shared" si="4"/>
        <v>PE002 Derivee Capital Advisors, LLC</v>
      </c>
    </row>
    <row r="7" spans="1:25">
      <c r="A7" s="205" t="s">
        <v>330</v>
      </c>
      <c r="B7" s="205" t="s">
        <v>329</v>
      </c>
      <c r="C7" s="217">
        <v>2000000</v>
      </c>
      <c r="D7" s="211">
        <v>0.08</v>
      </c>
      <c r="E7" s="212">
        <v>0.17499999999999999</v>
      </c>
      <c r="F7" s="213">
        <v>44393</v>
      </c>
      <c r="G7" s="218">
        <f>+C7/lgh_inputs!$D$10</f>
        <v>80000</v>
      </c>
      <c r="H7" s="215"/>
      <c r="I7" s="216">
        <f t="shared" si="0"/>
        <v>2084385.7455380959</v>
      </c>
      <c r="J7" s="216">
        <f t="shared" si="1"/>
        <v>2251136.6051811436</v>
      </c>
      <c r="K7" s="216">
        <f t="shared" si="1"/>
        <v>2431227.5335956351</v>
      </c>
      <c r="L7" s="216">
        <f t="shared" si="1"/>
        <v>2625725.736283286</v>
      </c>
      <c r="M7" s="216">
        <f t="shared" si="2"/>
        <v>2678240.2510089516</v>
      </c>
      <c r="N7" s="216">
        <f t="shared" si="2"/>
        <v>2731805.0560291307</v>
      </c>
      <c r="O7" s="216">
        <f t="shared" si="2"/>
        <v>2786441.1571497135</v>
      </c>
      <c r="P7" s="216">
        <f t="shared" si="2"/>
        <v>2842169.9802927077</v>
      </c>
      <c r="Q7" s="216">
        <f t="shared" si="2"/>
        <v>2899013.3798985621</v>
      </c>
      <c r="R7" s="216">
        <f t="shared" si="2"/>
        <v>2956993.6474965336</v>
      </c>
      <c r="S7" s="216">
        <f t="shared" si="2"/>
        <v>3016133.5204464644</v>
      </c>
      <c r="T7" s="216">
        <f t="shared" si="2"/>
        <v>3076456.1908553937</v>
      </c>
      <c r="U7" s="216">
        <f t="shared" si="3"/>
        <v>3322572.6861238251</v>
      </c>
      <c r="V7" s="216">
        <f t="shared" si="3"/>
        <v>3588378.5010137316</v>
      </c>
      <c r="W7" s="216">
        <f t="shared" si="3"/>
        <v>3875448.7810948305</v>
      </c>
      <c r="X7" s="216">
        <f t="shared" si="3"/>
        <v>4185484.6835824172</v>
      </c>
      <c r="Y7" s="117" t="str">
        <f t="shared" si="4"/>
        <v>PE003 Derivee Capital Advisors, LLC</v>
      </c>
    </row>
    <row r="8" spans="1:25">
      <c r="A8" s="205" t="s">
        <v>331</v>
      </c>
      <c r="B8" s="205" t="s">
        <v>332</v>
      </c>
      <c r="C8" s="217">
        <v>5000000</v>
      </c>
      <c r="D8" s="211">
        <v>0.08</v>
      </c>
      <c r="E8" s="211">
        <v>0.14000000000000001</v>
      </c>
      <c r="F8" s="213">
        <v>44568</v>
      </c>
      <c r="G8" s="218">
        <f>+C8/lgh_inputs!$D$10</f>
        <v>200000</v>
      </c>
      <c r="H8" s="215"/>
      <c r="I8" s="216">
        <f t="shared" si="0"/>
        <v>0</v>
      </c>
      <c r="J8" s="216">
        <f t="shared" si="1"/>
        <v>5392035.6670535086</v>
      </c>
      <c r="K8" s="216">
        <f t="shared" si="1"/>
        <v>5823398.5204177899</v>
      </c>
      <c r="L8" s="216">
        <f t="shared" si="1"/>
        <v>6289270.4020512132</v>
      </c>
      <c r="M8" s="216">
        <f t="shared" si="2"/>
        <v>6415055.8100922378</v>
      </c>
      <c r="N8" s="216">
        <f t="shared" si="2"/>
        <v>6543356.9262940828</v>
      </c>
      <c r="O8" s="216">
        <f t="shared" si="2"/>
        <v>6674224.0648199646</v>
      </c>
      <c r="P8" s="216">
        <f t="shared" si="2"/>
        <v>6807708.5461163642</v>
      </c>
      <c r="Q8" s="216">
        <f t="shared" si="2"/>
        <v>6943862.717038692</v>
      </c>
      <c r="R8" s="216">
        <f t="shared" si="2"/>
        <v>7082739.9713794664</v>
      </c>
      <c r="S8" s="216">
        <f t="shared" si="2"/>
        <v>7224394.7708070558</v>
      </c>
      <c r="T8" s="216">
        <f t="shared" si="2"/>
        <v>7368882.6662231972</v>
      </c>
      <c r="U8" s="216">
        <f t="shared" si="3"/>
        <v>7958393.2795210537</v>
      </c>
      <c r="V8" s="216">
        <f t="shared" si="3"/>
        <v>8595064.7418827377</v>
      </c>
      <c r="W8" s="216">
        <f t="shared" si="3"/>
        <v>9282669.9212333579</v>
      </c>
      <c r="X8" s="216">
        <f t="shared" si="3"/>
        <v>10025283.514932027</v>
      </c>
      <c r="Y8" s="117" t="str">
        <f t="shared" si="4"/>
        <v>PE004 DCAPP Hotel Ventures LLC</v>
      </c>
    </row>
    <row r="9" spans="1:25">
      <c r="A9" s="205" t="s">
        <v>333</v>
      </c>
      <c r="B9" s="205" t="s">
        <v>332</v>
      </c>
      <c r="C9" s="217">
        <v>4000000</v>
      </c>
      <c r="D9" s="211">
        <v>0.08</v>
      </c>
      <c r="E9" s="211">
        <v>0.14000000000000001</v>
      </c>
      <c r="F9" s="213">
        <v>44568</v>
      </c>
      <c r="G9" s="218">
        <f>+C9/lgh_inputs!$D$10</f>
        <v>160000</v>
      </c>
      <c r="H9" s="215"/>
      <c r="I9" s="216">
        <f t="shared" si="0"/>
        <v>0</v>
      </c>
      <c r="J9" s="216">
        <f t="shared" si="1"/>
        <v>4313628.533642807</v>
      </c>
      <c r="K9" s="216">
        <f t="shared" si="1"/>
        <v>4658718.8163342318</v>
      </c>
      <c r="L9" s="216">
        <f t="shared" si="1"/>
        <v>5031416.3216409702</v>
      </c>
      <c r="M9" s="216">
        <f t="shared" si="2"/>
        <v>5132044.6480737897</v>
      </c>
      <c r="N9" s="216">
        <f t="shared" si="2"/>
        <v>5234685.5410352657</v>
      </c>
      <c r="O9" s="216">
        <f t="shared" si="2"/>
        <v>5339379.2518559713</v>
      </c>
      <c r="P9" s="216">
        <f t="shared" si="2"/>
        <v>5446166.836893091</v>
      </c>
      <c r="Q9" s="216">
        <f t="shared" si="2"/>
        <v>5555090.1736309528</v>
      </c>
      <c r="R9" s="216">
        <f t="shared" si="2"/>
        <v>5666191.9771035723</v>
      </c>
      <c r="S9" s="216">
        <f t="shared" si="2"/>
        <v>5779515.8166456437</v>
      </c>
      <c r="T9" s="216">
        <f t="shared" si="2"/>
        <v>5895106.1329785567</v>
      </c>
      <c r="U9" s="216">
        <f t="shared" si="3"/>
        <v>6366714.6236168416</v>
      </c>
      <c r="V9" s="216">
        <f t="shared" si="3"/>
        <v>6876051.7935061892</v>
      </c>
      <c r="W9" s="216">
        <f t="shared" si="3"/>
        <v>7426135.9369866848</v>
      </c>
      <c r="X9" s="216">
        <f t="shared" si="3"/>
        <v>8020226.81194562</v>
      </c>
      <c r="Y9" s="117" t="str">
        <f t="shared" si="4"/>
        <v>PE005 DCAPP Hotel Ventures LLC</v>
      </c>
    </row>
    <row r="10" spans="1:25">
      <c r="A10" s="205" t="s">
        <v>334</v>
      </c>
      <c r="B10" s="205" t="s">
        <v>332</v>
      </c>
      <c r="C10" s="217">
        <v>2000000</v>
      </c>
      <c r="D10" s="211">
        <v>0.08</v>
      </c>
      <c r="E10" s="211">
        <v>0.14000000000000001</v>
      </c>
      <c r="F10" s="213">
        <v>44630</v>
      </c>
      <c r="G10" s="218">
        <f>+C10/lgh_inputs!$D$10</f>
        <v>80000</v>
      </c>
      <c r="H10" s="215"/>
      <c r="I10" s="216">
        <f t="shared" si="0"/>
        <v>0</v>
      </c>
      <c r="J10" s="216">
        <f t="shared" si="1"/>
        <v>2128802.0893277312</v>
      </c>
      <c r="K10" s="216">
        <f t="shared" si="1"/>
        <v>2299106.2564739496</v>
      </c>
      <c r="L10" s="216">
        <f t="shared" si="1"/>
        <v>2483034.7569918656</v>
      </c>
      <c r="M10" s="216">
        <f t="shared" si="2"/>
        <v>2532695.452131703</v>
      </c>
      <c r="N10" s="216">
        <f t="shared" si="2"/>
        <v>2583349.3611743371</v>
      </c>
      <c r="O10" s="216">
        <f t="shared" si="2"/>
        <v>2635016.348397824</v>
      </c>
      <c r="P10" s="216">
        <f t="shared" si="2"/>
        <v>2687716.6753657805</v>
      </c>
      <c r="Q10" s="216">
        <f t="shared" si="2"/>
        <v>2741471.0088730962</v>
      </c>
      <c r="R10" s="216">
        <f t="shared" si="2"/>
        <v>2796300.4290505582</v>
      </c>
      <c r="S10" s="216">
        <f t="shared" si="2"/>
        <v>2852226.4376315693</v>
      </c>
      <c r="T10" s="216">
        <f t="shared" si="2"/>
        <v>2909270.9663842008</v>
      </c>
      <c r="U10" s="216">
        <f t="shared" si="3"/>
        <v>3142012.6436949372</v>
      </c>
      <c r="V10" s="216">
        <f t="shared" si="3"/>
        <v>3393373.6551905326</v>
      </c>
      <c r="W10" s="216">
        <f t="shared" si="3"/>
        <v>3664843.5476057753</v>
      </c>
      <c r="X10" s="216">
        <f t="shared" si="3"/>
        <v>3958031.0314142378</v>
      </c>
      <c r="Y10" s="117" t="str">
        <f t="shared" si="4"/>
        <v>PE006 DCAPP Hotel Ventures LLC</v>
      </c>
    </row>
    <row r="11" spans="1:25">
      <c r="A11" s="205" t="s">
        <v>335</v>
      </c>
      <c r="B11" s="205" t="s">
        <v>336</v>
      </c>
      <c r="C11" s="217">
        <v>2500000</v>
      </c>
      <c r="D11" s="211">
        <v>0.08</v>
      </c>
      <c r="E11" s="212">
        <v>0.125</v>
      </c>
      <c r="F11" s="213">
        <v>44700</v>
      </c>
      <c r="G11" s="218">
        <f>+C11/lgh_inputs!$D$10</f>
        <v>100000</v>
      </c>
      <c r="H11" s="215"/>
      <c r="I11" s="216">
        <f t="shared" si="0"/>
        <v>0</v>
      </c>
      <c r="J11" s="216">
        <f t="shared" si="1"/>
        <v>2622015.5652523842</v>
      </c>
      <c r="K11" s="216">
        <f t="shared" si="1"/>
        <v>2831776.810472575</v>
      </c>
      <c r="L11" s="216">
        <f t="shared" si="1"/>
        <v>3058318.955310381</v>
      </c>
      <c r="M11" s="216">
        <f t="shared" si="2"/>
        <v>3119485.3344165888</v>
      </c>
      <c r="N11" s="216">
        <f t="shared" si="2"/>
        <v>3181875.0411049207</v>
      </c>
      <c r="O11" s="216">
        <f t="shared" si="2"/>
        <v>3245512.5419270191</v>
      </c>
      <c r="P11" s="216">
        <f t="shared" si="2"/>
        <v>3310422.7927655596</v>
      </c>
      <c r="Q11" s="216">
        <f t="shared" si="2"/>
        <v>3376631.248620871</v>
      </c>
      <c r="R11" s="216">
        <f t="shared" si="2"/>
        <v>3444163.8735932885</v>
      </c>
      <c r="S11" s="216">
        <f t="shared" si="2"/>
        <v>3513047.1510651545</v>
      </c>
      <c r="T11" s="216">
        <f t="shared" si="2"/>
        <v>3583308.0940864575</v>
      </c>
      <c r="U11" s="216">
        <f t="shared" si="3"/>
        <v>3869972.7416133746</v>
      </c>
      <c r="V11" s="216">
        <f t="shared" si="3"/>
        <v>4179570.560942445</v>
      </c>
      <c r="W11" s="216">
        <f t="shared" si="3"/>
        <v>4513936.205817841</v>
      </c>
      <c r="X11" s="216">
        <f t="shared" si="3"/>
        <v>4875051.1022832682</v>
      </c>
      <c r="Y11" s="117" t="str">
        <f t="shared" si="4"/>
        <v>PE007 La Pointe Investments LLC</v>
      </c>
    </row>
    <row r="12" spans="1:25">
      <c r="A12" s="205" t="s">
        <v>337</v>
      </c>
      <c r="B12" s="205" t="s">
        <v>336</v>
      </c>
      <c r="C12" s="217">
        <v>2500000</v>
      </c>
      <c r="D12" s="211">
        <v>0.08</v>
      </c>
      <c r="E12" s="212">
        <v>0.125</v>
      </c>
      <c r="F12" s="213">
        <v>44882</v>
      </c>
      <c r="G12" s="218">
        <f>+C12/lgh_inputs!$D$10</f>
        <v>100000</v>
      </c>
      <c r="H12" s="215"/>
      <c r="I12" s="216">
        <f t="shared" si="0"/>
        <v>0</v>
      </c>
      <c r="J12" s="216">
        <f t="shared" si="1"/>
        <v>2523301.661819749</v>
      </c>
      <c r="K12" s="216">
        <f t="shared" si="1"/>
        <v>2725165.794765329</v>
      </c>
      <c r="L12" s="216">
        <f t="shared" si="1"/>
        <v>2943179.0583465556</v>
      </c>
      <c r="M12" s="216">
        <f t="shared" si="2"/>
        <v>3002042.6395134865</v>
      </c>
      <c r="N12" s="216">
        <f t="shared" si="2"/>
        <v>3062083.4923037565</v>
      </c>
      <c r="O12" s="216">
        <f t="shared" si="2"/>
        <v>3123325.1621498317</v>
      </c>
      <c r="P12" s="216">
        <f t="shared" si="2"/>
        <v>3185791.6653928282</v>
      </c>
      <c r="Q12" s="216">
        <f t="shared" si="2"/>
        <v>3249507.4987006849</v>
      </c>
      <c r="R12" s="216">
        <f t="shared" si="2"/>
        <v>3314497.6486746985</v>
      </c>
      <c r="S12" s="216">
        <f t="shared" si="2"/>
        <v>3380787.6016481924</v>
      </c>
      <c r="T12" s="216">
        <f t="shared" si="2"/>
        <v>3448403.3536811564</v>
      </c>
      <c r="U12" s="216">
        <f t="shared" si="3"/>
        <v>3724275.6219756491</v>
      </c>
      <c r="V12" s="216">
        <f t="shared" si="3"/>
        <v>4022217.6717337011</v>
      </c>
      <c r="W12" s="216">
        <f t="shared" si="3"/>
        <v>4343995.0854723975</v>
      </c>
      <c r="X12" s="216">
        <f t="shared" si="3"/>
        <v>4691514.6923101898</v>
      </c>
      <c r="Y12" s="117" t="str">
        <f t="shared" si="4"/>
        <v>PE008 La Pointe Investments LLC</v>
      </c>
    </row>
    <row r="13" spans="1:25">
      <c r="A13" s="205" t="s">
        <v>338</v>
      </c>
      <c r="B13" s="205" t="s">
        <v>336</v>
      </c>
      <c r="C13" s="217">
        <v>1000000</v>
      </c>
      <c r="D13" s="211">
        <v>0.08</v>
      </c>
      <c r="E13" s="212">
        <v>0.125</v>
      </c>
      <c r="F13" s="213">
        <v>45043</v>
      </c>
      <c r="G13" s="218">
        <f>+C13/lgh_inputs!$D$10</f>
        <v>40000</v>
      </c>
      <c r="H13" s="215"/>
      <c r="I13" s="216">
        <f t="shared" si="0"/>
        <v>0</v>
      </c>
      <c r="J13" s="216">
        <f t="shared" si="1"/>
        <v>0</v>
      </c>
      <c r="K13" s="216">
        <f t="shared" si="1"/>
        <v>1053682.6751182266</v>
      </c>
      <c r="L13" s="216">
        <f t="shared" si="1"/>
        <v>1137977.2891276847</v>
      </c>
      <c r="M13" s="216">
        <f t="shared" si="2"/>
        <v>1160736.8349102384</v>
      </c>
      <c r="N13" s="216">
        <f t="shared" si="2"/>
        <v>1183951.5716084433</v>
      </c>
      <c r="O13" s="216">
        <f t="shared" si="2"/>
        <v>1207630.6030406121</v>
      </c>
      <c r="P13" s="216">
        <f t="shared" si="2"/>
        <v>1231783.2151014244</v>
      </c>
      <c r="Q13" s="216">
        <f t="shared" si="2"/>
        <v>1256418.8794034529</v>
      </c>
      <c r="R13" s="216">
        <f t="shared" si="2"/>
        <v>1281547.2569915219</v>
      </c>
      <c r="S13" s="216">
        <f t="shared" si="2"/>
        <v>1307178.2021313524</v>
      </c>
      <c r="T13" s="216">
        <f t="shared" si="2"/>
        <v>1333321.7661739795</v>
      </c>
      <c r="U13" s="216">
        <f t="shared" si="3"/>
        <v>1439987.5074678978</v>
      </c>
      <c r="V13" s="216">
        <f t="shared" si="3"/>
        <v>1555186.5080653299</v>
      </c>
      <c r="W13" s="216">
        <f t="shared" si="3"/>
        <v>1679601.4287105564</v>
      </c>
      <c r="X13" s="216">
        <f t="shared" si="3"/>
        <v>1813969.5430074011</v>
      </c>
      <c r="Y13" s="117" t="str">
        <f t="shared" si="4"/>
        <v>PE009 La Pointe Investments LLC</v>
      </c>
    </row>
    <row r="14" spans="1:25">
      <c r="A14" s="205" t="s">
        <v>339</v>
      </c>
      <c r="B14" s="205" t="s">
        <v>340</v>
      </c>
      <c r="C14" s="217">
        <v>450000</v>
      </c>
      <c r="D14" s="211">
        <v>0.08</v>
      </c>
      <c r="E14" s="211">
        <v>0.1</v>
      </c>
      <c r="F14" s="213">
        <v>44705</v>
      </c>
      <c r="G14" s="218">
        <f>+C14/lgh_inputs!$D$10</f>
        <v>18000</v>
      </c>
      <c r="H14" s="215"/>
      <c r="I14" s="216">
        <f t="shared" si="0"/>
        <v>0</v>
      </c>
      <c r="J14" s="216">
        <f t="shared" si="1"/>
        <v>471465.49203993625</v>
      </c>
      <c r="K14" s="216">
        <f t="shared" si="1"/>
        <v>509182.73140313115</v>
      </c>
      <c r="L14" s="216">
        <f t="shared" si="1"/>
        <v>549917.34991538164</v>
      </c>
      <c r="M14" s="216">
        <f t="shared" si="2"/>
        <v>560915.69691368926</v>
      </c>
      <c r="N14" s="216">
        <f t="shared" si="2"/>
        <v>572134.01085196307</v>
      </c>
      <c r="O14" s="216">
        <f t="shared" si="2"/>
        <v>583576.69106900238</v>
      </c>
      <c r="P14" s="216">
        <f t="shared" si="2"/>
        <v>595248.22489038249</v>
      </c>
      <c r="Q14" s="216">
        <f t="shared" si="2"/>
        <v>607153.18938819016</v>
      </c>
      <c r="R14" s="216">
        <f t="shared" si="2"/>
        <v>619296.25317595399</v>
      </c>
      <c r="S14" s="216">
        <f t="shared" si="2"/>
        <v>631682.17823947303</v>
      </c>
      <c r="T14" s="216">
        <f t="shared" si="2"/>
        <v>644315.82180426246</v>
      </c>
      <c r="U14" s="216">
        <f t="shared" si="3"/>
        <v>695861.08754860354</v>
      </c>
      <c r="V14" s="216">
        <f t="shared" si="3"/>
        <v>751529.97455249191</v>
      </c>
      <c r="W14" s="216">
        <f t="shared" si="3"/>
        <v>811652.37251669134</v>
      </c>
      <c r="X14" s="216">
        <f t="shared" si="3"/>
        <v>876584.56231802667</v>
      </c>
      <c r="Y14" s="117" t="str">
        <f t="shared" si="4"/>
        <v>PE010 Benjamin Rego Jr.</v>
      </c>
    </row>
    <row r="15" spans="1:25">
      <c r="A15" s="205" t="s">
        <v>341</v>
      </c>
      <c r="B15" s="205" t="s">
        <v>340</v>
      </c>
      <c r="C15" s="217">
        <v>50000</v>
      </c>
      <c r="D15" s="211">
        <v>0.08</v>
      </c>
      <c r="E15" s="211">
        <v>0.1</v>
      </c>
      <c r="F15" s="213">
        <v>44706</v>
      </c>
      <c r="G15" s="218">
        <f>+C15/lgh_inputs!$D$10</f>
        <v>2000</v>
      </c>
      <c r="H15" s="215"/>
      <c r="I15" s="216">
        <f t="shared" si="0"/>
        <v>0</v>
      </c>
      <c r="J15" s="216">
        <f t="shared" si="1"/>
        <v>52374.010333184429</v>
      </c>
      <c r="K15" s="216">
        <f t="shared" si="1"/>
        <v>56563.931159839187</v>
      </c>
      <c r="L15" s="216">
        <f t="shared" si="1"/>
        <v>61089.045652626322</v>
      </c>
      <c r="M15" s="216">
        <f t="shared" ref="M15:T24" si="5">IF(AND(YEAR($F15)=YEAR(M$3),ROUNDUP(MONTH($F15)/3,0)=M$4),$C15*(1+$D15/4)^((M$3-$F15)/91),IF(ROUND(L15,0)=0,0,L15*(1+$D15/4)))</f>
        <v>62310.82656567885</v>
      </c>
      <c r="N15" s="216">
        <f t="shared" si="5"/>
        <v>63557.043096992427</v>
      </c>
      <c r="O15" s="216">
        <f t="shared" si="5"/>
        <v>64828.183958932277</v>
      </c>
      <c r="P15" s="216">
        <f t="shared" si="5"/>
        <v>66124.74763811093</v>
      </c>
      <c r="Q15" s="216">
        <f t="shared" si="5"/>
        <v>67447.242590873153</v>
      </c>
      <c r="R15" s="216">
        <f t="shared" si="5"/>
        <v>68796.187442690614</v>
      </c>
      <c r="S15" s="216">
        <f t="shared" si="5"/>
        <v>70172.111191544434</v>
      </c>
      <c r="T15" s="216">
        <f t="shared" si="5"/>
        <v>71575.553415375325</v>
      </c>
      <c r="U15" s="216">
        <f t="shared" si="3"/>
        <v>77301.597688605354</v>
      </c>
      <c r="V15" s="216">
        <f t="shared" si="3"/>
        <v>83485.725503693786</v>
      </c>
      <c r="W15" s="216">
        <f t="shared" si="3"/>
        <v>90164.583543989298</v>
      </c>
      <c r="X15" s="216">
        <f t="shared" si="3"/>
        <v>97377.750227508455</v>
      </c>
      <c r="Y15" s="117" t="str">
        <f t="shared" si="4"/>
        <v>PE011 Benjamin Rego Jr.</v>
      </c>
    </row>
    <row r="16" spans="1:25">
      <c r="A16" s="205" t="s">
        <v>342</v>
      </c>
      <c r="B16" s="205" t="s">
        <v>343</v>
      </c>
      <c r="C16" s="217">
        <v>100000</v>
      </c>
      <c r="D16" s="211">
        <v>0.08</v>
      </c>
      <c r="E16" s="212">
        <v>5.2999999999999999E-2</v>
      </c>
      <c r="F16" s="213">
        <v>45055</v>
      </c>
      <c r="G16" s="218">
        <f>+C16/lgh_inputs!$D$10</f>
        <v>4000</v>
      </c>
      <c r="H16" s="215"/>
      <c r="I16" s="216">
        <f t="shared" si="0"/>
        <v>0</v>
      </c>
      <c r="J16" s="216">
        <f t="shared" si="1"/>
        <v>0</v>
      </c>
      <c r="K16" s="216">
        <f t="shared" si="1"/>
        <v>105101.99898257473</v>
      </c>
      <c r="L16" s="216">
        <f t="shared" si="1"/>
        <v>113510.15890118072</v>
      </c>
      <c r="M16" s="216">
        <f t="shared" si="5"/>
        <v>115780.36207920434</v>
      </c>
      <c r="N16" s="216">
        <f t="shared" si="5"/>
        <v>118095.96932078843</v>
      </c>
      <c r="O16" s="216">
        <f t="shared" si="5"/>
        <v>120457.8887072042</v>
      </c>
      <c r="P16" s="216">
        <f t="shared" si="5"/>
        <v>122867.04648134828</v>
      </c>
      <c r="Q16" s="216">
        <f t="shared" si="5"/>
        <v>125324.38741097525</v>
      </c>
      <c r="R16" s="216">
        <f t="shared" si="5"/>
        <v>127830.87515919475</v>
      </c>
      <c r="S16" s="216">
        <f t="shared" si="5"/>
        <v>130387.49266237865</v>
      </c>
      <c r="T16" s="216">
        <f t="shared" si="5"/>
        <v>132995.24251562622</v>
      </c>
      <c r="U16" s="216">
        <f t="shared" si="3"/>
        <v>143634.86191687631</v>
      </c>
      <c r="V16" s="216">
        <f t="shared" si="3"/>
        <v>155125.65087022644</v>
      </c>
      <c r="W16" s="216">
        <f t="shared" si="3"/>
        <v>167535.70293984457</v>
      </c>
      <c r="X16" s="216">
        <f t="shared" si="3"/>
        <v>180938.55917503216</v>
      </c>
      <c r="Y16" s="117" t="str">
        <f t="shared" si="4"/>
        <v>PE012 Benjamin Rego Jr._1</v>
      </c>
    </row>
    <row r="17" spans="1:25">
      <c r="A17" s="205" t="s">
        <v>344</v>
      </c>
      <c r="B17" s="205" t="s">
        <v>343</v>
      </c>
      <c r="C17" s="217">
        <v>300000</v>
      </c>
      <c r="D17" s="211">
        <v>0.08</v>
      </c>
      <c r="E17" s="212">
        <v>5.2999999999999999E-2</v>
      </c>
      <c r="F17" s="213">
        <v>45058</v>
      </c>
      <c r="G17" s="218">
        <f>+C17/lgh_inputs!$D$10</f>
        <v>12000</v>
      </c>
      <c r="H17" s="215"/>
      <c r="I17" s="216">
        <f t="shared" si="0"/>
        <v>0</v>
      </c>
      <c r="J17" s="216">
        <f t="shared" si="1"/>
        <v>0</v>
      </c>
      <c r="K17" s="216">
        <f t="shared" si="1"/>
        <v>315106.61115711869</v>
      </c>
      <c r="L17" s="216">
        <f t="shared" si="1"/>
        <v>340315.14004968823</v>
      </c>
      <c r="M17" s="216">
        <f t="shared" si="5"/>
        <v>347121.44285068201</v>
      </c>
      <c r="N17" s="216">
        <f t="shared" si="5"/>
        <v>354063.87170769565</v>
      </c>
      <c r="O17" s="216">
        <f t="shared" si="5"/>
        <v>361145.1491418496</v>
      </c>
      <c r="P17" s="216">
        <f t="shared" si="5"/>
        <v>368368.0521246866</v>
      </c>
      <c r="Q17" s="216">
        <f t="shared" si="5"/>
        <v>375735.41316718032</v>
      </c>
      <c r="R17" s="216">
        <f t="shared" si="5"/>
        <v>383250.12143052393</v>
      </c>
      <c r="S17" s="216">
        <f t="shared" si="5"/>
        <v>390915.12385913439</v>
      </c>
      <c r="T17" s="216">
        <f t="shared" si="5"/>
        <v>398733.42633631709</v>
      </c>
      <c r="U17" s="216">
        <f t="shared" si="3"/>
        <v>430632.1004432225</v>
      </c>
      <c r="V17" s="216">
        <f t="shared" si="3"/>
        <v>465082.66847868031</v>
      </c>
      <c r="W17" s="216">
        <f t="shared" si="3"/>
        <v>502289.28195697477</v>
      </c>
      <c r="X17" s="216">
        <f t="shared" si="3"/>
        <v>542472.42451353278</v>
      </c>
      <c r="Y17" s="117" t="str">
        <f t="shared" si="4"/>
        <v>PE013 Benjamin Rego Jr._1</v>
      </c>
    </row>
    <row r="18" spans="1:25">
      <c r="A18" s="205" t="s">
        <v>345</v>
      </c>
      <c r="B18" s="205" t="s">
        <v>343</v>
      </c>
      <c r="C18" s="217">
        <v>600000</v>
      </c>
      <c r="D18" s="211">
        <v>0.08</v>
      </c>
      <c r="E18" s="212">
        <v>5.2999999999999999E-2</v>
      </c>
      <c r="F18" s="213">
        <v>45061</v>
      </c>
      <c r="G18" s="218">
        <f>+C18/lgh_inputs!$D$10</f>
        <v>24000</v>
      </c>
      <c r="H18" s="215"/>
      <c r="I18" s="216">
        <f t="shared" si="0"/>
        <v>0</v>
      </c>
      <c r="J18" s="216">
        <f t="shared" si="1"/>
        <v>0</v>
      </c>
      <c r="K18" s="216">
        <f t="shared" si="1"/>
        <v>629814.70289882028</v>
      </c>
      <c r="L18" s="216">
        <f t="shared" si="1"/>
        <v>680199.87913072598</v>
      </c>
      <c r="M18" s="216">
        <f t="shared" si="5"/>
        <v>693803.87671334052</v>
      </c>
      <c r="N18" s="216">
        <f t="shared" si="5"/>
        <v>707679.95424760738</v>
      </c>
      <c r="O18" s="216">
        <f t="shared" si="5"/>
        <v>721833.55333255953</v>
      </c>
      <c r="P18" s="216">
        <f t="shared" si="5"/>
        <v>736270.22439921077</v>
      </c>
      <c r="Q18" s="216">
        <f t="shared" si="5"/>
        <v>750995.62888719502</v>
      </c>
      <c r="R18" s="216">
        <f t="shared" si="5"/>
        <v>766015.5414649389</v>
      </c>
      <c r="S18" s="216">
        <f t="shared" si="5"/>
        <v>781335.8522942377</v>
      </c>
      <c r="T18" s="216">
        <f t="shared" si="5"/>
        <v>796962.56934012251</v>
      </c>
      <c r="U18" s="216">
        <f t="shared" si="3"/>
        <v>860719.57488733239</v>
      </c>
      <c r="V18" s="216">
        <f t="shared" si="3"/>
        <v>929577.14087831904</v>
      </c>
      <c r="W18" s="216">
        <f t="shared" si="3"/>
        <v>1003943.3121485846</v>
      </c>
      <c r="X18" s="216">
        <f t="shared" si="3"/>
        <v>1084258.7771204715</v>
      </c>
      <c r="Y18" s="117" t="str">
        <f t="shared" si="4"/>
        <v>PE014 Benjamin Rego Jr._1</v>
      </c>
    </row>
    <row r="19" spans="1:25">
      <c r="A19" s="205" t="s">
        <v>346</v>
      </c>
      <c r="B19" s="205" t="s">
        <v>347</v>
      </c>
      <c r="C19" s="217">
        <v>500000</v>
      </c>
      <c r="D19" s="211">
        <v>0.08</v>
      </c>
      <c r="E19" s="211">
        <v>0.1</v>
      </c>
      <c r="F19" s="213">
        <v>44707</v>
      </c>
      <c r="G19" s="218">
        <f>+C19/lgh_inputs!$D$10</f>
        <v>20000</v>
      </c>
      <c r="H19" s="215"/>
      <c r="I19" s="216">
        <f t="shared" si="0"/>
        <v>0</v>
      </c>
      <c r="J19" s="216">
        <f t="shared" si="1"/>
        <v>523629.68323741935</v>
      </c>
      <c r="K19" s="216">
        <f t="shared" si="1"/>
        <v>565520.05789641291</v>
      </c>
      <c r="L19" s="216">
        <f t="shared" si="1"/>
        <v>610761.66252812603</v>
      </c>
      <c r="M19" s="216">
        <f t="shared" si="5"/>
        <v>622976.8957786886</v>
      </c>
      <c r="N19" s="216">
        <f t="shared" si="5"/>
        <v>635436.43369426241</v>
      </c>
      <c r="O19" s="216">
        <f t="shared" si="5"/>
        <v>648145.16236814763</v>
      </c>
      <c r="P19" s="216">
        <f t="shared" si="5"/>
        <v>661108.06561551057</v>
      </c>
      <c r="Q19" s="216">
        <f t="shared" si="5"/>
        <v>674330.22692782083</v>
      </c>
      <c r="R19" s="216">
        <f t="shared" si="5"/>
        <v>687816.83146637725</v>
      </c>
      <c r="S19" s="216">
        <f t="shared" si="5"/>
        <v>701573.16809570475</v>
      </c>
      <c r="T19" s="216">
        <f t="shared" si="5"/>
        <v>715604.6314576189</v>
      </c>
      <c r="U19" s="216">
        <f t="shared" si="3"/>
        <v>772853.00197422842</v>
      </c>
      <c r="V19" s="216">
        <f t="shared" si="3"/>
        <v>834681.24213216675</v>
      </c>
      <c r="W19" s="216">
        <f t="shared" si="3"/>
        <v>901455.74150274019</v>
      </c>
      <c r="X19" s="216">
        <f t="shared" si="3"/>
        <v>973572.20082295942</v>
      </c>
      <c r="Y19" s="117" t="str">
        <f t="shared" si="4"/>
        <v>PE015 LBCW Holdings, LP</v>
      </c>
    </row>
    <row r="20" spans="1:25">
      <c r="A20" s="205" t="s">
        <v>348</v>
      </c>
      <c r="B20" s="205" t="s">
        <v>347</v>
      </c>
      <c r="C20" s="217">
        <v>500000</v>
      </c>
      <c r="D20" s="211">
        <v>0.08</v>
      </c>
      <c r="E20" s="211">
        <v>0.1</v>
      </c>
      <c r="F20" s="213">
        <v>44774</v>
      </c>
      <c r="G20" s="218">
        <f>+C20/lgh_inputs!$D$10</f>
        <v>20000</v>
      </c>
      <c r="H20" s="215"/>
      <c r="I20" s="216">
        <f t="shared" si="0"/>
        <v>0</v>
      </c>
      <c r="J20" s="216">
        <f t="shared" si="1"/>
        <v>516284.32330274855</v>
      </c>
      <c r="K20" s="216">
        <f t="shared" si="1"/>
        <v>557587.06916696846</v>
      </c>
      <c r="L20" s="216">
        <f t="shared" si="1"/>
        <v>602194.03470032592</v>
      </c>
      <c r="M20" s="216">
        <f t="shared" si="5"/>
        <v>614237.91539433249</v>
      </c>
      <c r="N20" s="216">
        <f t="shared" si="5"/>
        <v>626522.67370221915</v>
      </c>
      <c r="O20" s="216">
        <f t="shared" si="5"/>
        <v>639053.1271762636</v>
      </c>
      <c r="P20" s="216">
        <f t="shared" si="5"/>
        <v>651834.18971978885</v>
      </c>
      <c r="Q20" s="216">
        <f t="shared" si="5"/>
        <v>664870.87351418461</v>
      </c>
      <c r="R20" s="216">
        <f t="shared" si="5"/>
        <v>678168.2909844683</v>
      </c>
      <c r="S20" s="216">
        <f t="shared" si="5"/>
        <v>691731.65680415765</v>
      </c>
      <c r="T20" s="216">
        <f t="shared" si="5"/>
        <v>705566.28994024079</v>
      </c>
      <c r="U20" s="216">
        <f t="shared" si="3"/>
        <v>762011.59313546016</v>
      </c>
      <c r="V20" s="216">
        <f t="shared" si="3"/>
        <v>822972.52058629703</v>
      </c>
      <c r="W20" s="216">
        <f t="shared" si="3"/>
        <v>888810.32223320089</v>
      </c>
      <c r="X20" s="216">
        <f t="shared" si="3"/>
        <v>959915.14801185706</v>
      </c>
      <c r="Y20" s="117" t="str">
        <f t="shared" si="4"/>
        <v>PE016 LBCW Holdings, LP</v>
      </c>
    </row>
    <row r="21" spans="1:25">
      <c r="A21" s="205" t="s">
        <v>349</v>
      </c>
      <c r="B21" s="205" t="s">
        <v>350</v>
      </c>
      <c r="C21" s="217">
        <v>1000000</v>
      </c>
      <c r="D21" s="211">
        <v>0.08</v>
      </c>
      <c r="E21" s="211">
        <v>0.1</v>
      </c>
      <c r="F21" s="213">
        <v>44875</v>
      </c>
      <c r="G21" s="218">
        <f>+C21/lgh_inputs!$D$10</f>
        <v>40000</v>
      </c>
      <c r="H21" s="215"/>
      <c r="I21" s="216">
        <f t="shared" si="0"/>
        <v>0</v>
      </c>
      <c r="J21" s="216">
        <f t="shared" si="1"/>
        <v>1010811.4868069866</v>
      </c>
      <c r="K21" s="216">
        <f t="shared" si="1"/>
        <v>1091676.4057515457</v>
      </c>
      <c r="L21" s="216">
        <f t="shared" si="1"/>
        <v>1179010.5182116695</v>
      </c>
      <c r="M21" s="216">
        <f t="shared" si="5"/>
        <v>1202590.728575903</v>
      </c>
      <c r="N21" s="216">
        <f t="shared" si="5"/>
        <v>1226642.543147421</v>
      </c>
      <c r="O21" s="216">
        <f t="shared" si="5"/>
        <v>1251175.3940103694</v>
      </c>
      <c r="P21" s="216">
        <f t="shared" si="5"/>
        <v>1276198.9018905768</v>
      </c>
      <c r="Q21" s="216">
        <f t="shared" si="5"/>
        <v>1301722.8799283884</v>
      </c>
      <c r="R21" s="216">
        <f t="shared" si="5"/>
        <v>1327757.3375269561</v>
      </c>
      <c r="S21" s="216">
        <f t="shared" si="5"/>
        <v>1354312.4842774952</v>
      </c>
      <c r="T21" s="216">
        <f t="shared" si="5"/>
        <v>1381398.7339630451</v>
      </c>
      <c r="U21" s="216">
        <f t="shared" si="3"/>
        <v>1491910.6326800887</v>
      </c>
      <c r="V21" s="216">
        <f t="shared" si="3"/>
        <v>1611263.4832944958</v>
      </c>
      <c r="W21" s="216">
        <f t="shared" si="3"/>
        <v>1740164.5619580557</v>
      </c>
      <c r="X21" s="216">
        <f t="shared" si="3"/>
        <v>1879377.7269147004</v>
      </c>
      <c r="Y21" s="117" t="str">
        <f t="shared" si="4"/>
        <v>PE017 Arbor Green II LP</v>
      </c>
    </row>
    <row r="22" spans="1:25">
      <c r="A22" s="205" t="s">
        <v>351</v>
      </c>
      <c r="B22" s="205" t="s">
        <v>352</v>
      </c>
      <c r="C22" s="217">
        <v>325000</v>
      </c>
      <c r="D22" s="211">
        <v>0.08</v>
      </c>
      <c r="E22" s="211">
        <v>0.1</v>
      </c>
      <c r="F22" s="213">
        <v>44882</v>
      </c>
      <c r="G22" s="218">
        <f>+C22/lgh_inputs!$D$10</f>
        <v>13000</v>
      </c>
      <c r="H22" s="215"/>
      <c r="I22" s="216">
        <f t="shared" si="0"/>
        <v>0</v>
      </c>
      <c r="J22" s="216">
        <f t="shared" si="1"/>
        <v>328029.21603656735</v>
      </c>
      <c r="K22" s="216">
        <f t="shared" si="1"/>
        <v>354271.55331949278</v>
      </c>
      <c r="L22" s="216">
        <f t="shared" si="1"/>
        <v>382613.27758505224</v>
      </c>
      <c r="M22" s="216">
        <f t="shared" si="5"/>
        <v>390265.54313675332</v>
      </c>
      <c r="N22" s="216">
        <f t="shared" si="5"/>
        <v>398070.8539994884</v>
      </c>
      <c r="O22" s="216">
        <f t="shared" si="5"/>
        <v>406032.2710794782</v>
      </c>
      <c r="P22" s="216">
        <f t="shared" si="5"/>
        <v>414152.91650106775</v>
      </c>
      <c r="Q22" s="216">
        <f t="shared" si="5"/>
        <v>422435.97483108914</v>
      </c>
      <c r="R22" s="216">
        <f t="shared" si="5"/>
        <v>430884.69432771095</v>
      </c>
      <c r="S22" s="216">
        <f t="shared" si="5"/>
        <v>439502.38821426517</v>
      </c>
      <c r="T22" s="216">
        <f t="shared" si="5"/>
        <v>448292.43597855046</v>
      </c>
      <c r="U22" s="216">
        <f t="shared" si="3"/>
        <v>484155.83085683454</v>
      </c>
      <c r="V22" s="216">
        <f t="shared" si="3"/>
        <v>522888.29732538131</v>
      </c>
      <c r="W22" s="216">
        <f t="shared" si="3"/>
        <v>564719.36111141182</v>
      </c>
      <c r="X22" s="216">
        <f t="shared" si="3"/>
        <v>609896.91000032483</v>
      </c>
      <c r="Y22" s="117" t="str">
        <f t="shared" si="4"/>
        <v>PE018 Todd &amp; Stephanie Routh</v>
      </c>
    </row>
    <row r="23" spans="1:25">
      <c r="A23" s="205" t="s">
        <v>353</v>
      </c>
      <c r="B23" s="205" t="s">
        <v>352</v>
      </c>
      <c r="C23" s="217">
        <v>100000</v>
      </c>
      <c r="D23" s="211">
        <v>0.08</v>
      </c>
      <c r="E23" s="211">
        <v>0.1</v>
      </c>
      <c r="F23" s="213">
        <v>44882</v>
      </c>
      <c r="G23" s="218">
        <f>+C23/lgh_inputs!$D$10</f>
        <v>4000</v>
      </c>
      <c r="H23" s="215"/>
      <c r="I23" s="216">
        <f t="shared" si="0"/>
        <v>0</v>
      </c>
      <c r="J23" s="216">
        <f t="shared" si="1"/>
        <v>100932.06647278996</v>
      </c>
      <c r="K23" s="216">
        <f t="shared" si="1"/>
        <v>109006.63179061316</v>
      </c>
      <c r="L23" s="216">
        <f t="shared" si="1"/>
        <v>117727.16233386222</v>
      </c>
      <c r="M23" s="216">
        <f t="shared" si="5"/>
        <v>120081.70558053946</v>
      </c>
      <c r="N23" s="216">
        <f t="shared" si="5"/>
        <v>122483.33969215026</v>
      </c>
      <c r="O23" s="216">
        <f t="shared" si="5"/>
        <v>124933.00648599326</v>
      </c>
      <c r="P23" s="216">
        <f t="shared" si="5"/>
        <v>127431.66661571313</v>
      </c>
      <c r="Q23" s="216">
        <f t="shared" si="5"/>
        <v>129980.29994802739</v>
      </c>
      <c r="R23" s="216">
        <f t="shared" si="5"/>
        <v>132579.90594698794</v>
      </c>
      <c r="S23" s="216">
        <f t="shared" si="5"/>
        <v>135231.5040659277</v>
      </c>
      <c r="T23" s="216">
        <f t="shared" si="5"/>
        <v>137936.13414724625</v>
      </c>
      <c r="U23" s="216">
        <f t="shared" si="3"/>
        <v>148971.02487902596</v>
      </c>
      <c r="V23" s="216">
        <f t="shared" si="3"/>
        <v>160888.70686934804</v>
      </c>
      <c r="W23" s="216">
        <f t="shared" si="3"/>
        <v>173759.8034188959</v>
      </c>
      <c r="X23" s="216">
        <f t="shared" si="3"/>
        <v>187660.58769240757</v>
      </c>
      <c r="Y23" s="117" t="str">
        <f t="shared" si="4"/>
        <v>PE019 Todd &amp; Stephanie Routh</v>
      </c>
    </row>
    <row r="24" spans="1:25">
      <c r="A24" s="205" t="s">
        <v>354</v>
      </c>
      <c r="B24" s="205" t="s">
        <v>352</v>
      </c>
      <c r="C24" s="217">
        <v>575000</v>
      </c>
      <c r="D24" s="211">
        <v>0.08</v>
      </c>
      <c r="E24" s="211">
        <v>0.1</v>
      </c>
      <c r="F24" s="213">
        <v>44904</v>
      </c>
      <c r="G24" s="218">
        <f>+C24/lgh_inputs!$D$10</f>
        <v>23000</v>
      </c>
      <c r="H24" s="215"/>
      <c r="I24" s="216">
        <f t="shared" si="0"/>
        <v>0</v>
      </c>
      <c r="J24" s="216">
        <f t="shared" si="1"/>
        <v>577673.4759149513</v>
      </c>
      <c r="K24" s="216">
        <f t="shared" si="1"/>
        <v>623887.35398814746</v>
      </c>
      <c r="L24" s="216">
        <f t="shared" si="1"/>
        <v>673798.34230719926</v>
      </c>
      <c r="M24" s="216">
        <f t="shared" si="5"/>
        <v>687274.3091533432</v>
      </c>
      <c r="N24" s="216">
        <f t="shared" si="5"/>
        <v>701019.79533641005</v>
      </c>
      <c r="O24" s="216">
        <f t="shared" si="5"/>
        <v>715040.19124313828</v>
      </c>
      <c r="P24" s="216">
        <f t="shared" si="5"/>
        <v>729340.9950680011</v>
      </c>
      <c r="Q24" s="216">
        <f t="shared" si="5"/>
        <v>743927.81496936118</v>
      </c>
      <c r="R24" s="216">
        <f t="shared" si="5"/>
        <v>758806.37126874842</v>
      </c>
      <c r="S24" s="216">
        <f t="shared" si="5"/>
        <v>773982.49869412335</v>
      </c>
      <c r="T24" s="216">
        <f t="shared" si="5"/>
        <v>789462.14866800583</v>
      </c>
      <c r="U24" s="216">
        <f t="shared" si="3"/>
        <v>852619.1205614463</v>
      </c>
      <c r="V24" s="216">
        <f t="shared" si="3"/>
        <v>920828.65020636201</v>
      </c>
      <c r="W24" s="216">
        <f t="shared" si="3"/>
        <v>994494.942222871</v>
      </c>
      <c r="X24" s="216">
        <f t="shared" si="3"/>
        <v>1074054.5376007007</v>
      </c>
      <c r="Y24" s="117" t="str">
        <f t="shared" si="4"/>
        <v>PE020 Todd &amp; Stephanie Routh</v>
      </c>
    </row>
    <row r="25" spans="1:25">
      <c r="A25" s="205" t="s">
        <v>355</v>
      </c>
      <c r="B25" s="205" t="s">
        <v>352</v>
      </c>
      <c r="C25" s="217">
        <v>1000000</v>
      </c>
      <c r="D25" s="211">
        <v>0.08</v>
      </c>
      <c r="E25" s="211">
        <v>0.1</v>
      </c>
      <c r="F25" s="213">
        <v>44768</v>
      </c>
      <c r="G25" s="218">
        <f>+C25/lgh_inputs!$D$10</f>
        <v>40000</v>
      </c>
      <c r="H25" s="215"/>
      <c r="I25" s="216">
        <f t="shared" si="0"/>
        <v>0</v>
      </c>
      <c r="J25" s="216">
        <f t="shared" ref="J25:L43" si="6">IF(AND(YEAR($F25)=YEAR(J$3),ROUNDUP(MONTH($F25)/3,0)&lt;=J$4),$C25*(1+$D25)^((J$3-$F25)/365),IF(ROUND(I25,0)=0,0,I25*(1+$D25)))</f>
        <v>1033875.7892961168</v>
      </c>
      <c r="K25" s="216">
        <f t="shared" si="6"/>
        <v>1116585.8524398061</v>
      </c>
      <c r="L25" s="216">
        <f t="shared" si="6"/>
        <v>1205912.7206349906</v>
      </c>
      <c r="M25" s="216">
        <f t="shared" ref="M25:T31" si="7">IF(AND(YEAR($F25)=YEAR(M$3),ROUNDUP(MONTH($F25)/3,0)=M$4),$C25*(1+$D25/4)^((M$3-$F25)/91),IF(ROUND(L25,0)=0,0,L25*(1+$D25/4)))</f>
        <v>1230030.9750476903</v>
      </c>
      <c r="N25" s="216">
        <f t="shared" si="7"/>
        <v>1254631.5945486443</v>
      </c>
      <c r="O25" s="216">
        <f t="shared" si="7"/>
        <v>1279724.2264396171</v>
      </c>
      <c r="P25" s="216">
        <f t="shared" si="7"/>
        <v>1305318.7109684094</v>
      </c>
      <c r="Q25" s="216">
        <f t="shared" si="7"/>
        <v>1331425.0851877776</v>
      </c>
      <c r="R25" s="216">
        <f t="shared" si="7"/>
        <v>1358053.5868915331</v>
      </c>
      <c r="S25" s="216">
        <f t="shared" si="7"/>
        <v>1385214.6586293639</v>
      </c>
      <c r="T25" s="216">
        <f t="shared" si="7"/>
        <v>1412918.9518019513</v>
      </c>
      <c r="U25" s="216">
        <f t="shared" ref="U25:X43" si="8">IF(AND(YEAR($F25)=YEAR(U$3),ROUNDUP(MONTH($F25)/3,0)&lt;=U$4),$C25*(1+$D25)^((U$3-$F25)/365),IF(ROUND(T25,0)=0,0,T25*(1+$D25)))</f>
        <v>1525952.4679461075</v>
      </c>
      <c r="V25" s="216">
        <f t="shared" si="8"/>
        <v>1648028.6653817962</v>
      </c>
      <c r="W25" s="216">
        <f t="shared" si="8"/>
        <v>1779870.95861234</v>
      </c>
      <c r="X25" s="216">
        <f t="shared" si="8"/>
        <v>1922260.6353013273</v>
      </c>
      <c r="Y25" s="117" t="str">
        <f t="shared" si="4"/>
        <v>PE021 Todd &amp; Stephanie Routh</v>
      </c>
    </row>
    <row r="26" spans="1:25">
      <c r="A26" s="205" t="s">
        <v>356</v>
      </c>
      <c r="B26" s="205" t="s">
        <v>357</v>
      </c>
      <c r="C26" s="217">
        <v>1000000</v>
      </c>
      <c r="D26" s="211">
        <v>0.08</v>
      </c>
      <c r="E26" s="211">
        <v>0.1</v>
      </c>
      <c r="F26" s="213">
        <v>44904</v>
      </c>
      <c r="G26" s="218">
        <f>+C26/lgh_inputs!$D$10</f>
        <v>40000</v>
      </c>
      <c r="H26" s="215"/>
      <c r="I26" s="216">
        <f t="shared" si="0"/>
        <v>0</v>
      </c>
      <c r="J26" s="216">
        <f t="shared" si="6"/>
        <v>1004649.5233303501</v>
      </c>
      <c r="K26" s="216">
        <f t="shared" si="6"/>
        <v>1085021.4851967781</v>
      </c>
      <c r="L26" s="216">
        <f t="shared" si="6"/>
        <v>1171823.2040125204</v>
      </c>
      <c r="M26" s="216">
        <f t="shared" si="7"/>
        <v>1195259.6680927707</v>
      </c>
      <c r="N26" s="216">
        <f t="shared" si="7"/>
        <v>1219164.8614546261</v>
      </c>
      <c r="O26" s="216">
        <f t="shared" si="7"/>
        <v>1243548.1586837186</v>
      </c>
      <c r="P26" s="216">
        <f t="shared" si="7"/>
        <v>1268419.1218573931</v>
      </c>
      <c r="Q26" s="216">
        <f t="shared" si="7"/>
        <v>1293787.504294541</v>
      </c>
      <c r="R26" s="216">
        <f t="shared" si="7"/>
        <v>1319663.2543804317</v>
      </c>
      <c r="S26" s="216">
        <f t="shared" si="7"/>
        <v>1346056.5194680404</v>
      </c>
      <c r="T26" s="216">
        <f t="shared" si="7"/>
        <v>1372977.6498574014</v>
      </c>
      <c r="U26" s="216">
        <f t="shared" si="8"/>
        <v>1482815.8618459937</v>
      </c>
      <c r="V26" s="216">
        <f t="shared" si="8"/>
        <v>1601441.1307936732</v>
      </c>
      <c r="W26" s="216">
        <f t="shared" si="8"/>
        <v>1729556.4212571671</v>
      </c>
      <c r="X26" s="216">
        <f t="shared" si="8"/>
        <v>1867920.9349577406</v>
      </c>
      <c r="Y26" s="117" t="str">
        <f t="shared" si="4"/>
        <v>PE022 Huston Street</v>
      </c>
    </row>
    <row r="27" spans="1:25">
      <c r="A27" s="205" t="s">
        <v>358</v>
      </c>
      <c r="B27" s="205" t="s">
        <v>359</v>
      </c>
      <c r="C27" s="217">
        <v>500000</v>
      </c>
      <c r="D27" s="211">
        <v>0.08</v>
      </c>
      <c r="E27" s="212">
        <v>5.2999999999999999E-2</v>
      </c>
      <c r="F27" s="213">
        <v>44992</v>
      </c>
      <c r="G27" s="218">
        <f>+C27/lgh_inputs!$D$10</f>
        <v>20000</v>
      </c>
      <c r="H27" s="215"/>
      <c r="I27" s="216">
        <f t="shared" si="0"/>
        <v>0</v>
      </c>
      <c r="J27" s="216">
        <f t="shared" si="6"/>
        <v>0</v>
      </c>
      <c r="K27" s="216">
        <f t="shared" si="6"/>
        <v>532537.27572950884</v>
      </c>
      <c r="L27" s="216">
        <f t="shared" si="6"/>
        <v>575140.25778786954</v>
      </c>
      <c r="M27" s="216">
        <f t="shared" si="7"/>
        <v>586643.06294362689</v>
      </c>
      <c r="N27" s="216">
        <f t="shared" si="7"/>
        <v>598375.92420249945</v>
      </c>
      <c r="O27" s="216">
        <f t="shared" si="7"/>
        <v>610343.44268654939</v>
      </c>
      <c r="P27" s="216">
        <f t="shared" si="7"/>
        <v>622550.31154028035</v>
      </c>
      <c r="Q27" s="216">
        <f t="shared" si="7"/>
        <v>635001.317771086</v>
      </c>
      <c r="R27" s="216">
        <f t="shared" si="7"/>
        <v>647701.34412650776</v>
      </c>
      <c r="S27" s="216">
        <f t="shared" si="7"/>
        <v>660655.37100903795</v>
      </c>
      <c r="T27" s="216">
        <f t="shared" si="7"/>
        <v>673868.47842921875</v>
      </c>
      <c r="U27" s="216">
        <f t="shared" si="8"/>
        <v>727777.95670355635</v>
      </c>
      <c r="V27" s="216">
        <f t="shared" si="8"/>
        <v>786000.19323984091</v>
      </c>
      <c r="W27" s="216">
        <f t="shared" si="8"/>
        <v>848880.20869902824</v>
      </c>
      <c r="X27" s="216">
        <f t="shared" si="8"/>
        <v>916790.6253949505</v>
      </c>
      <c r="Y27" s="117" t="str">
        <f t="shared" si="4"/>
        <v>PE023 Bruner Interests LLC</v>
      </c>
    </row>
    <row r="28" spans="1:25">
      <c r="A28" s="205" t="s">
        <v>360</v>
      </c>
      <c r="B28" s="205" t="s">
        <v>359</v>
      </c>
      <c r="C28" s="217">
        <v>125000</v>
      </c>
      <c r="D28" s="211">
        <v>0.08</v>
      </c>
      <c r="E28" s="212">
        <v>5.2999999999999999E-2</v>
      </c>
      <c r="F28" s="213">
        <v>45427</v>
      </c>
      <c r="G28" s="218">
        <f>+C28/lgh_inputs!$D$10</f>
        <v>5000</v>
      </c>
      <c r="H28" s="215"/>
      <c r="I28" s="216">
        <f t="shared" si="0"/>
        <v>0</v>
      </c>
      <c r="J28" s="216">
        <f t="shared" si="6"/>
        <v>0</v>
      </c>
      <c r="K28" s="216">
        <f t="shared" si="6"/>
        <v>0</v>
      </c>
      <c r="L28" s="216">
        <f t="shared" si="6"/>
        <v>131211.39643725421</v>
      </c>
      <c r="M28" s="216">
        <f t="shared" si="7"/>
        <v>133835.62436599931</v>
      </c>
      <c r="N28" s="216">
        <f t="shared" si="7"/>
        <v>136512.33685331928</v>
      </c>
      <c r="O28" s="216">
        <f t="shared" si="7"/>
        <v>139242.58359038568</v>
      </c>
      <c r="P28" s="216">
        <f t="shared" si="7"/>
        <v>142027.43526219341</v>
      </c>
      <c r="Q28" s="216">
        <f t="shared" si="7"/>
        <v>144867.98396743729</v>
      </c>
      <c r="R28" s="216">
        <f t="shared" si="7"/>
        <v>147765.34364678603</v>
      </c>
      <c r="S28" s="216">
        <f t="shared" si="7"/>
        <v>150720.65051972176</v>
      </c>
      <c r="T28" s="216">
        <f t="shared" si="7"/>
        <v>153735.0635301162</v>
      </c>
      <c r="U28" s="216">
        <f t="shared" si="8"/>
        <v>166033.86861252549</v>
      </c>
      <c r="V28" s="216">
        <f t="shared" si="8"/>
        <v>179316.57810152753</v>
      </c>
      <c r="W28" s="216">
        <f t="shared" si="8"/>
        <v>193661.90434964973</v>
      </c>
      <c r="X28" s="216">
        <f t="shared" si="8"/>
        <v>209154.85669762173</v>
      </c>
      <c r="Y28" s="117" t="str">
        <f t="shared" si="4"/>
        <v>PE024 Bruner Interests LLC</v>
      </c>
    </row>
    <row r="29" spans="1:25">
      <c r="A29" s="205" t="s">
        <v>361</v>
      </c>
      <c r="B29" s="205" t="s">
        <v>362</v>
      </c>
      <c r="C29" s="217">
        <v>250000</v>
      </c>
      <c r="D29" s="211">
        <v>0.08</v>
      </c>
      <c r="E29" s="212">
        <v>5.2999999999999999E-2</v>
      </c>
      <c r="F29" s="213">
        <v>45536</v>
      </c>
      <c r="G29" s="218">
        <f>+C29/lgh_inputs!$D$10</f>
        <v>10000</v>
      </c>
      <c r="H29" s="215"/>
      <c r="I29" s="216">
        <f t="shared" si="0"/>
        <v>0</v>
      </c>
      <c r="J29" s="216">
        <f t="shared" si="6"/>
        <v>0</v>
      </c>
      <c r="K29" s="216">
        <f t="shared" si="6"/>
        <v>0</v>
      </c>
      <c r="L29" s="216">
        <f t="shared" si="6"/>
        <v>256460.33932202013</v>
      </c>
      <c r="M29" s="216">
        <f t="shared" si="7"/>
        <v>261589.54610846052</v>
      </c>
      <c r="N29" s="216">
        <f t="shared" si="7"/>
        <v>266821.33703062974</v>
      </c>
      <c r="O29" s="216">
        <f t="shared" si="7"/>
        <v>272157.76377124235</v>
      </c>
      <c r="P29" s="216">
        <f t="shared" si="7"/>
        <v>277600.91904666717</v>
      </c>
      <c r="Q29" s="216">
        <f t="shared" si="7"/>
        <v>283152.9374276005</v>
      </c>
      <c r="R29" s="216">
        <f t="shared" si="7"/>
        <v>288815.99617615249</v>
      </c>
      <c r="S29" s="216">
        <f t="shared" si="7"/>
        <v>294592.31609967555</v>
      </c>
      <c r="T29" s="216">
        <f t="shared" si="7"/>
        <v>300484.16242166905</v>
      </c>
      <c r="U29" s="216">
        <f t="shared" si="8"/>
        <v>324522.8954154026</v>
      </c>
      <c r="V29" s="216">
        <f t="shared" si="8"/>
        <v>350484.72704863484</v>
      </c>
      <c r="W29" s="216">
        <f t="shared" si="8"/>
        <v>378523.50521252566</v>
      </c>
      <c r="X29" s="216">
        <f t="shared" si="8"/>
        <v>408805.38562952774</v>
      </c>
      <c r="Y29" s="117" t="str">
        <f t="shared" si="4"/>
        <v>PE025 Sandollar Holdings Limited</v>
      </c>
    </row>
    <row r="30" spans="1:25">
      <c r="A30" s="205" t="s">
        <v>363</v>
      </c>
      <c r="B30" s="205" t="s">
        <v>364</v>
      </c>
      <c r="C30" s="217">
        <v>250000</v>
      </c>
      <c r="D30" s="211">
        <v>0.08</v>
      </c>
      <c r="E30" s="212">
        <v>5.2999999999999999E-2</v>
      </c>
      <c r="F30" s="213">
        <v>45536</v>
      </c>
      <c r="G30" s="218">
        <f>+C30/lgh_inputs!$D$10</f>
        <v>10000</v>
      </c>
      <c r="H30" s="215"/>
      <c r="I30" s="216">
        <f t="shared" si="0"/>
        <v>0</v>
      </c>
      <c r="J30" s="216">
        <f t="shared" si="6"/>
        <v>0</v>
      </c>
      <c r="K30" s="216">
        <f t="shared" si="6"/>
        <v>0</v>
      </c>
      <c r="L30" s="216">
        <f t="shared" si="6"/>
        <v>256460.33932202013</v>
      </c>
      <c r="M30" s="216">
        <f t="shared" si="7"/>
        <v>261589.54610846052</v>
      </c>
      <c r="N30" s="216">
        <f t="shared" si="7"/>
        <v>266821.33703062974</v>
      </c>
      <c r="O30" s="216">
        <f t="shared" si="7"/>
        <v>272157.76377124235</v>
      </c>
      <c r="P30" s="216">
        <f t="shared" si="7"/>
        <v>277600.91904666717</v>
      </c>
      <c r="Q30" s="216">
        <f t="shared" si="7"/>
        <v>283152.9374276005</v>
      </c>
      <c r="R30" s="216">
        <f t="shared" si="7"/>
        <v>288815.99617615249</v>
      </c>
      <c r="S30" s="216">
        <f t="shared" si="7"/>
        <v>294592.31609967555</v>
      </c>
      <c r="T30" s="216">
        <f t="shared" si="7"/>
        <v>300484.16242166905</v>
      </c>
      <c r="U30" s="216">
        <f t="shared" si="8"/>
        <v>324522.8954154026</v>
      </c>
      <c r="V30" s="216">
        <f t="shared" si="8"/>
        <v>350484.72704863484</v>
      </c>
      <c r="W30" s="216">
        <f t="shared" si="8"/>
        <v>378523.50521252566</v>
      </c>
      <c r="X30" s="216">
        <f t="shared" si="8"/>
        <v>408805.38562952774</v>
      </c>
      <c r="Y30" s="117" t="str">
        <f t="shared" si="4"/>
        <v>PE026 James Neuhauser (Jim)</v>
      </c>
    </row>
    <row r="31" spans="1:25">
      <c r="A31" s="205" t="s">
        <v>365</v>
      </c>
      <c r="B31" s="205" t="s">
        <v>366</v>
      </c>
      <c r="C31" s="210"/>
      <c r="D31" s="219"/>
      <c r="E31" s="212">
        <v>2.5</v>
      </c>
      <c r="F31" s="213">
        <v>45292</v>
      </c>
      <c r="G31" s="220">
        <v>200000</v>
      </c>
      <c r="H31" s="221">
        <v>200000</v>
      </c>
      <c r="I31" s="216">
        <f t="shared" si="0"/>
        <v>0</v>
      </c>
      <c r="J31" s="216">
        <f t="shared" si="6"/>
        <v>0</v>
      </c>
      <c r="K31" s="216">
        <f t="shared" si="6"/>
        <v>0</v>
      </c>
      <c r="L31" s="216">
        <f t="shared" si="6"/>
        <v>0</v>
      </c>
      <c r="M31" s="216">
        <f t="shared" si="7"/>
        <v>0</v>
      </c>
      <c r="N31" s="216">
        <f t="shared" si="7"/>
        <v>0</v>
      </c>
      <c r="O31" s="216">
        <f t="shared" si="7"/>
        <v>0</v>
      </c>
      <c r="P31" s="216">
        <f t="shared" si="7"/>
        <v>0</v>
      </c>
      <c r="Q31" s="216">
        <f t="shared" si="7"/>
        <v>0</v>
      </c>
      <c r="R31" s="216">
        <f t="shared" si="7"/>
        <v>0</v>
      </c>
      <c r="S31" s="216">
        <f t="shared" si="7"/>
        <v>0</v>
      </c>
      <c r="T31" s="216">
        <f t="shared" si="7"/>
        <v>0</v>
      </c>
      <c r="U31" s="216">
        <f t="shared" si="8"/>
        <v>0</v>
      </c>
      <c r="V31" s="216">
        <f t="shared" si="8"/>
        <v>0</v>
      </c>
      <c r="W31" s="216">
        <f t="shared" si="8"/>
        <v>0</v>
      </c>
      <c r="X31" s="216">
        <f t="shared" si="8"/>
        <v>0</v>
      </c>
      <c r="Y31" s="117" t="str">
        <f t="shared" si="4"/>
        <v>PE027 PFNGT LLC_side letter part % adj.</v>
      </c>
    </row>
    <row r="32" spans="1:25">
      <c r="A32" s="205" t="s">
        <v>367</v>
      </c>
      <c r="B32" s="205" t="s">
        <v>336</v>
      </c>
      <c r="C32" s="217">
        <v>4000000</v>
      </c>
      <c r="D32" s="211">
        <v>0.08</v>
      </c>
      <c r="E32" s="212">
        <v>0.125</v>
      </c>
      <c r="F32" s="213">
        <v>45575</v>
      </c>
      <c r="G32" s="220">
        <v>160000</v>
      </c>
      <c r="H32" s="215"/>
      <c r="I32" s="216">
        <f t="shared" si="0"/>
        <v>0</v>
      </c>
      <c r="J32" s="216">
        <f t="shared" si="6"/>
        <v>0</v>
      </c>
      <c r="K32" s="216">
        <f t="shared" si="6"/>
        <v>0</v>
      </c>
      <c r="L32" s="216">
        <f t="shared" si="6"/>
        <v>4069760.8513846477</v>
      </c>
      <c r="M32" s="210"/>
      <c r="N32" s="216">
        <f t="shared" ref="N32:T43" si="9">IF(AND(YEAR($F32)=YEAR(N$3),ROUNDUP(MONTH($F32)/3,0)=N$4),$C32*(1+$D32/4)^((N$3-$F32)/91),IF(ROUND(M32,0)=0,0,M32*(1+$D32/4)))</f>
        <v>0</v>
      </c>
      <c r="O32" s="216">
        <f t="shared" si="9"/>
        <v>0</v>
      </c>
      <c r="P32" s="216">
        <f t="shared" si="9"/>
        <v>0</v>
      </c>
      <c r="Q32" s="216">
        <f t="shared" si="9"/>
        <v>0</v>
      </c>
      <c r="R32" s="216">
        <f t="shared" si="9"/>
        <v>0</v>
      </c>
      <c r="S32" s="216">
        <f t="shared" si="9"/>
        <v>0</v>
      </c>
      <c r="T32" s="216">
        <f t="shared" si="9"/>
        <v>0</v>
      </c>
      <c r="U32" s="216">
        <f t="shared" si="8"/>
        <v>0</v>
      </c>
      <c r="V32" s="216">
        <f t="shared" si="8"/>
        <v>0</v>
      </c>
      <c r="W32" s="216">
        <f t="shared" si="8"/>
        <v>0</v>
      </c>
      <c r="X32" s="216">
        <f t="shared" si="8"/>
        <v>0</v>
      </c>
      <c r="Y32" s="117" t="str">
        <f t="shared" si="4"/>
        <v>PE028 La Pointe Investments LLC</v>
      </c>
    </row>
    <row r="33" spans="1:25">
      <c r="A33" s="205" t="s">
        <v>368</v>
      </c>
      <c r="B33" s="205" t="s">
        <v>336</v>
      </c>
      <c r="C33" s="217">
        <v>4000000</v>
      </c>
      <c r="D33" s="211">
        <v>0.08</v>
      </c>
      <c r="E33" s="212">
        <v>0.125</v>
      </c>
      <c r="F33" s="213">
        <v>45621</v>
      </c>
      <c r="G33" s="220">
        <v>160000</v>
      </c>
      <c r="H33" s="215"/>
      <c r="I33" s="216">
        <f t="shared" si="0"/>
        <v>0</v>
      </c>
      <c r="J33" s="216">
        <f t="shared" si="6"/>
        <v>0</v>
      </c>
      <c r="K33" s="216">
        <f t="shared" si="6"/>
        <v>0</v>
      </c>
      <c r="L33" s="216">
        <f t="shared" si="6"/>
        <v>4030478.2410346325</v>
      </c>
      <c r="M33" s="210"/>
      <c r="N33" s="216">
        <f t="shared" si="9"/>
        <v>0</v>
      </c>
      <c r="O33" s="216">
        <f t="shared" si="9"/>
        <v>0</v>
      </c>
      <c r="P33" s="216">
        <f t="shared" si="9"/>
        <v>0</v>
      </c>
      <c r="Q33" s="216">
        <f t="shared" si="9"/>
        <v>0</v>
      </c>
      <c r="R33" s="216">
        <f t="shared" si="9"/>
        <v>0</v>
      </c>
      <c r="S33" s="216">
        <f t="shared" si="9"/>
        <v>0</v>
      </c>
      <c r="T33" s="216">
        <f t="shared" si="9"/>
        <v>0</v>
      </c>
      <c r="U33" s="216">
        <f t="shared" si="8"/>
        <v>0</v>
      </c>
      <c r="V33" s="216">
        <f t="shared" si="8"/>
        <v>0</v>
      </c>
      <c r="W33" s="216">
        <f t="shared" si="8"/>
        <v>0</v>
      </c>
      <c r="X33" s="216">
        <f t="shared" si="8"/>
        <v>0</v>
      </c>
      <c r="Y33" s="117" t="str">
        <f t="shared" si="4"/>
        <v>PE029 La Pointe Investments LLC</v>
      </c>
    </row>
    <row r="34" spans="1:25">
      <c r="A34" s="205" t="s">
        <v>369</v>
      </c>
      <c r="B34" s="205" t="s">
        <v>370</v>
      </c>
      <c r="C34" s="217">
        <v>6050000</v>
      </c>
      <c r="D34" s="211">
        <v>0.08</v>
      </c>
      <c r="E34" s="212">
        <v>5.2999999999999999E-2</v>
      </c>
      <c r="F34" s="213">
        <v>45746</v>
      </c>
      <c r="G34" s="218">
        <f>+C34/lgh_inputs!$D$10</f>
        <v>242000</v>
      </c>
      <c r="H34" s="215"/>
      <c r="I34" s="216">
        <f t="shared" si="0"/>
        <v>0</v>
      </c>
      <c r="J34" s="216">
        <f t="shared" si="6"/>
        <v>0</v>
      </c>
      <c r="K34" s="216">
        <f t="shared" si="6"/>
        <v>0</v>
      </c>
      <c r="L34" s="216">
        <f t="shared" si="6"/>
        <v>0</v>
      </c>
      <c r="M34" s="216">
        <f t="shared" ref="M34:M43" si="10">IF(AND(YEAR($F34)=YEAR(M$3),ROUNDUP(MONTH($F34)/3,0)=M$4),$C34*(1+$D34/4)^((M$3-$F34)/91),IF(ROUND(L34,0)=0,0,L34*(1+$D34/4)))</f>
        <v>6051316.6915565403</v>
      </c>
      <c r="N34" s="216">
        <f t="shared" si="9"/>
        <v>6172343.0253876708</v>
      </c>
      <c r="O34" s="216">
        <f t="shared" si="9"/>
        <v>6295789.8858954245</v>
      </c>
      <c r="P34" s="216">
        <f t="shared" si="9"/>
        <v>6421705.6836133329</v>
      </c>
      <c r="Q34" s="216">
        <f t="shared" si="9"/>
        <v>6550139.7972855996</v>
      </c>
      <c r="R34" s="216">
        <f t="shared" si="9"/>
        <v>6681142.593231312</v>
      </c>
      <c r="S34" s="216">
        <f t="shared" si="9"/>
        <v>6814765.4450959386</v>
      </c>
      <c r="T34" s="216">
        <f t="shared" si="9"/>
        <v>6951060.7539978577</v>
      </c>
      <c r="U34" s="216">
        <f t="shared" si="8"/>
        <v>7507145.6143176872</v>
      </c>
      <c r="V34" s="216">
        <f t="shared" si="8"/>
        <v>8107717.2634631023</v>
      </c>
      <c r="W34" s="216">
        <f t="shared" si="8"/>
        <v>8756334.6445401516</v>
      </c>
      <c r="X34" s="216">
        <f t="shared" si="8"/>
        <v>9456841.4161033649</v>
      </c>
      <c r="Y34" s="117" t="str">
        <f t="shared" si="4"/>
        <v>PE030 King Partner Pref convert</v>
      </c>
    </row>
    <row r="35" spans="1:25">
      <c r="A35" s="205" t="s">
        <v>371</v>
      </c>
      <c r="B35" s="205" t="s">
        <v>372</v>
      </c>
      <c r="C35" s="217">
        <v>1200000</v>
      </c>
      <c r="D35" s="211">
        <v>0.08</v>
      </c>
      <c r="E35" s="212">
        <v>5.2999999999999999E-2</v>
      </c>
      <c r="F35" s="213">
        <v>46021</v>
      </c>
      <c r="G35" s="218">
        <f>+C35/lgh_inputs!$D$10</f>
        <v>48000</v>
      </c>
      <c r="H35" s="215"/>
      <c r="I35" s="216">
        <f t="shared" si="0"/>
        <v>0</v>
      </c>
      <c r="J35" s="216">
        <f t="shared" si="6"/>
        <v>0</v>
      </c>
      <c r="K35" s="216">
        <f t="shared" si="6"/>
        <v>0</v>
      </c>
      <c r="L35" s="216">
        <f t="shared" si="6"/>
        <v>0</v>
      </c>
      <c r="M35" s="216">
        <f t="shared" si="10"/>
        <v>0</v>
      </c>
      <c r="N35" s="216">
        <f t="shared" si="9"/>
        <v>0</v>
      </c>
      <c r="O35" s="216">
        <f t="shared" si="9"/>
        <v>0</v>
      </c>
      <c r="P35" s="216">
        <f t="shared" si="9"/>
        <v>1200261.1619616279</v>
      </c>
      <c r="Q35" s="216">
        <f t="shared" si="9"/>
        <v>1224266.3852008604</v>
      </c>
      <c r="R35" s="216">
        <f t="shared" si="9"/>
        <v>1248751.7129048777</v>
      </c>
      <c r="S35" s="216">
        <f t="shared" si="9"/>
        <v>1273726.7471629754</v>
      </c>
      <c r="T35" s="216">
        <f t="shared" si="9"/>
        <v>1299201.2821062349</v>
      </c>
      <c r="U35" s="216">
        <f t="shared" si="8"/>
        <v>1403137.3846747337</v>
      </c>
      <c r="V35" s="216">
        <f t="shared" si="8"/>
        <v>1515388.3754487126</v>
      </c>
      <c r="W35" s="216">
        <f t="shared" si="8"/>
        <v>1636619.4454846098</v>
      </c>
      <c r="X35" s="216">
        <f t="shared" si="8"/>
        <v>1767549.0011233788</v>
      </c>
      <c r="Y35" s="117" t="str">
        <f t="shared" si="4"/>
        <v>PE031 Edwin2 convert</v>
      </c>
    </row>
    <row r="36" spans="1:25">
      <c r="A36" s="205" t="s">
        <v>373</v>
      </c>
      <c r="B36" s="205" t="s">
        <v>374</v>
      </c>
      <c r="C36" s="217">
        <v>1500000</v>
      </c>
      <c r="D36" s="211">
        <v>0.08</v>
      </c>
      <c r="E36" s="212">
        <v>5.2999999999999999E-2</v>
      </c>
      <c r="F36" s="213">
        <v>46068</v>
      </c>
      <c r="G36" s="218">
        <f>+C36/lgh_inputs!$D$10</f>
        <v>60000</v>
      </c>
      <c r="H36" s="215"/>
      <c r="I36" s="216">
        <f t="shared" si="0"/>
        <v>0</v>
      </c>
      <c r="J36" s="216">
        <f t="shared" si="6"/>
        <v>0</v>
      </c>
      <c r="K36" s="216">
        <f t="shared" si="6"/>
        <v>0</v>
      </c>
      <c r="L36" s="216">
        <f t="shared" si="6"/>
        <v>0</v>
      </c>
      <c r="M36" s="216">
        <f t="shared" si="10"/>
        <v>0</v>
      </c>
      <c r="N36" s="216">
        <f t="shared" si="9"/>
        <v>0</v>
      </c>
      <c r="O36" s="216">
        <f t="shared" si="9"/>
        <v>0</v>
      </c>
      <c r="P36" s="216">
        <f t="shared" si="9"/>
        <v>0</v>
      </c>
      <c r="Q36" s="216">
        <f t="shared" si="9"/>
        <v>1514431.3240369894</v>
      </c>
      <c r="R36" s="216">
        <f t="shared" si="9"/>
        <v>1544719.9505177292</v>
      </c>
      <c r="S36" s="216">
        <f t="shared" si="9"/>
        <v>1575614.3495280838</v>
      </c>
      <c r="T36" s="216">
        <f t="shared" si="9"/>
        <v>1607126.6365186456</v>
      </c>
      <c r="U36" s="216">
        <f t="shared" si="8"/>
        <v>1735696.7674401372</v>
      </c>
      <c r="V36" s="216">
        <f t="shared" si="8"/>
        <v>1874552.5088353483</v>
      </c>
      <c r="W36" s="216">
        <f t="shared" si="8"/>
        <v>2024516.7095421762</v>
      </c>
      <c r="X36" s="216">
        <f t="shared" si="8"/>
        <v>2186478.0463055503</v>
      </c>
      <c r="Y36" s="117" t="str">
        <f t="shared" si="4"/>
        <v>PE032 Buddy</v>
      </c>
    </row>
    <row r="37" spans="1:25">
      <c r="A37" s="205" t="s">
        <v>375</v>
      </c>
      <c r="B37" s="205" t="s">
        <v>327</v>
      </c>
      <c r="C37" s="210">
        <f>-C38</f>
        <v>-1039509</v>
      </c>
      <c r="D37" s="211">
        <v>0.08</v>
      </c>
      <c r="E37" s="212">
        <v>0</v>
      </c>
      <c r="F37" s="213">
        <v>44365</v>
      </c>
      <c r="G37" s="214">
        <f>+C37/lgh_inputs!$D$10</f>
        <v>-41580.36</v>
      </c>
      <c r="H37" s="215"/>
      <c r="I37" s="216">
        <f t="shared" si="0"/>
        <v>-1083368.8709792802</v>
      </c>
      <c r="J37" s="216">
        <f t="shared" si="6"/>
        <v>-1170038.3806576226</v>
      </c>
      <c r="K37" s="216">
        <f t="shared" si="6"/>
        <v>-1263641.4511102324</v>
      </c>
      <c r="L37" s="216">
        <f t="shared" si="6"/>
        <v>-1364732.7671990511</v>
      </c>
      <c r="M37" s="216">
        <f t="shared" si="10"/>
        <v>-1392027.4225430321</v>
      </c>
      <c r="N37" s="216">
        <f t="shared" si="9"/>
        <v>-1419867.9709938928</v>
      </c>
      <c r="O37" s="216">
        <f t="shared" si="9"/>
        <v>-1448265.3304137706</v>
      </c>
      <c r="P37" s="216">
        <f t="shared" si="9"/>
        <v>-1477230.6370220461</v>
      </c>
      <c r="Q37" s="216">
        <f t="shared" si="9"/>
        <v>-1506775.2497624871</v>
      </c>
      <c r="R37" s="216">
        <f t="shared" si="9"/>
        <v>-1536910.7547577368</v>
      </c>
      <c r="S37" s="216">
        <f t="shared" si="9"/>
        <v>-1567648.9698528915</v>
      </c>
      <c r="T37" s="216">
        <f t="shared" si="9"/>
        <v>-1599001.9492499493</v>
      </c>
      <c r="U37" s="216">
        <f t="shared" si="8"/>
        <v>-1726922.1051899453</v>
      </c>
      <c r="V37" s="216">
        <f t="shared" si="8"/>
        <v>-1865075.873605141</v>
      </c>
      <c r="W37" s="216">
        <f t="shared" si="8"/>
        <v>-2014281.9434935523</v>
      </c>
      <c r="X37" s="216">
        <f t="shared" si="8"/>
        <v>-2175424.4989730367</v>
      </c>
      <c r="Y37" s="117" t="str">
        <f t="shared" si="4"/>
        <v>PE033 PFNGT LLC</v>
      </c>
    </row>
    <row r="38" spans="1:25">
      <c r="A38" s="205" t="s">
        <v>376</v>
      </c>
      <c r="B38" s="205" t="s">
        <v>292</v>
      </c>
      <c r="C38" s="217">
        <v>1039509</v>
      </c>
      <c r="D38" s="211">
        <v>0.08</v>
      </c>
      <c r="E38" s="211">
        <v>0</v>
      </c>
      <c r="F38" s="213">
        <v>44365</v>
      </c>
      <c r="G38" s="214">
        <f>+C38/lgh_inputs!$D$10</f>
        <v>41580.36</v>
      </c>
      <c r="H38" s="215"/>
      <c r="I38" s="216">
        <f t="shared" si="0"/>
        <v>1083368.8709792802</v>
      </c>
      <c r="J38" s="216">
        <f t="shared" si="6"/>
        <v>1170038.3806576226</v>
      </c>
      <c r="K38" s="216">
        <f t="shared" si="6"/>
        <v>1263641.4511102324</v>
      </c>
      <c r="L38" s="216">
        <f t="shared" si="6"/>
        <v>1364732.7671990511</v>
      </c>
      <c r="M38" s="216">
        <f t="shared" si="10"/>
        <v>1392027.4225430321</v>
      </c>
      <c r="N38" s="216">
        <f t="shared" si="9"/>
        <v>1419867.9709938928</v>
      </c>
      <c r="O38" s="216">
        <f t="shared" si="9"/>
        <v>1448265.3304137706</v>
      </c>
      <c r="P38" s="216">
        <f t="shared" si="9"/>
        <v>1477230.6370220461</v>
      </c>
      <c r="Q38" s="216">
        <f t="shared" si="9"/>
        <v>1506775.2497624871</v>
      </c>
      <c r="R38" s="216">
        <f t="shared" si="9"/>
        <v>1536910.7547577368</v>
      </c>
      <c r="S38" s="216">
        <f t="shared" si="9"/>
        <v>1567648.9698528915</v>
      </c>
      <c r="T38" s="216">
        <f t="shared" si="9"/>
        <v>1599001.9492499493</v>
      </c>
      <c r="U38" s="216">
        <f t="shared" si="8"/>
        <v>1726922.1051899453</v>
      </c>
      <c r="V38" s="216">
        <f t="shared" si="8"/>
        <v>1865075.873605141</v>
      </c>
      <c r="W38" s="216">
        <f t="shared" si="8"/>
        <v>2014281.9434935523</v>
      </c>
      <c r="X38" s="216">
        <f t="shared" si="8"/>
        <v>2175424.4989730367</v>
      </c>
      <c r="Y38" s="117" t="str">
        <f t="shared" si="4"/>
        <v>PE034 Cambrian</v>
      </c>
    </row>
    <row r="39" spans="1:25">
      <c r="A39" s="222" t="s">
        <v>377</v>
      </c>
      <c r="B39" s="222" t="s">
        <v>378</v>
      </c>
      <c r="C39" s="223">
        <v>1000000</v>
      </c>
      <c r="D39" s="224">
        <v>0.08</v>
      </c>
      <c r="E39" s="225">
        <v>5.2999999999999999E-2</v>
      </c>
      <c r="F39" s="226">
        <v>46115</v>
      </c>
      <c r="G39" s="214">
        <f>+C39/lgh_inputs!$D$10</f>
        <v>40000</v>
      </c>
      <c r="H39" s="215"/>
      <c r="I39" s="216">
        <f t="shared" si="0"/>
        <v>0</v>
      </c>
      <c r="J39" s="216">
        <f t="shared" si="6"/>
        <v>0</v>
      </c>
      <c r="K39" s="216">
        <f t="shared" si="6"/>
        <v>0</v>
      </c>
      <c r="L39" s="216">
        <f t="shared" si="6"/>
        <v>0</v>
      </c>
      <c r="M39" s="216">
        <f t="shared" si="10"/>
        <v>0</v>
      </c>
      <c r="N39" s="216">
        <f t="shared" si="9"/>
        <v>0</v>
      </c>
      <c r="O39" s="216">
        <f t="shared" si="9"/>
        <v>0</v>
      </c>
      <c r="P39" s="216">
        <f t="shared" si="9"/>
        <v>0</v>
      </c>
      <c r="Q39" s="216">
        <f t="shared" si="9"/>
        <v>0</v>
      </c>
      <c r="R39" s="216">
        <f t="shared" si="9"/>
        <v>1019334.3267664126</v>
      </c>
      <c r="S39" s="216">
        <f t="shared" si="9"/>
        <v>1039721.0133017409</v>
      </c>
      <c r="T39" s="216">
        <f t="shared" si="9"/>
        <v>1060515.4335677756</v>
      </c>
      <c r="U39" s="216">
        <f t="shared" si="8"/>
        <v>1145356.6682531978</v>
      </c>
      <c r="V39" s="216">
        <f t="shared" si="8"/>
        <v>1236985.2017134537</v>
      </c>
      <c r="W39" s="216">
        <f t="shared" si="8"/>
        <v>1335944.0178505301</v>
      </c>
      <c r="X39" s="216">
        <f t="shared" si="8"/>
        <v>1442819.5392785727</v>
      </c>
      <c r="Y39" s="117" t="str">
        <f t="shared" si="4"/>
        <v>PE035 guy</v>
      </c>
    </row>
    <row r="40" spans="1:25">
      <c r="A40" s="205" t="s">
        <v>379</v>
      </c>
      <c r="B40" s="222" t="s">
        <v>336</v>
      </c>
      <c r="C40" s="223">
        <v>3000000</v>
      </c>
      <c r="D40" s="224">
        <v>0.08</v>
      </c>
      <c r="E40" s="225">
        <v>5.2999999999999999E-2</v>
      </c>
      <c r="F40" s="226">
        <v>46387</v>
      </c>
      <c r="G40" s="214">
        <f>+C40/lgh_inputs!$D$10</f>
        <v>120000</v>
      </c>
      <c r="H40" s="215"/>
      <c r="I40" s="216">
        <f t="shared" si="0"/>
        <v>0</v>
      </c>
      <c r="J40" s="216">
        <f t="shared" si="6"/>
        <v>0</v>
      </c>
      <c r="K40" s="216">
        <f t="shared" si="6"/>
        <v>0</v>
      </c>
      <c r="L40" s="216">
        <f t="shared" si="6"/>
        <v>0</v>
      </c>
      <c r="M40" s="216">
        <f t="shared" si="10"/>
        <v>0</v>
      </c>
      <c r="N40" s="216">
        <f t="shared" si="9"/>
        <v>0</v>
      </c>
      <c r="O40" s="216">
        <f t="shared" si="9"/>
        <v>0</v>
      </c>
      <c r="P40" s="216">
        <f t="shared" si="9"/>
        <v>0</v>
      </c>
      <c r="Q40" s="216">
        <f t="shared" si="9"/>
        <v>0</v>
      </c>
      <c r="R40" s="216">
        <f t="shared" si="9"/>
        <v>0</v>
      </c>
      <c r="S40" s="216">
        <f t="shared" si="9"/>
        <v>0</v>
      </c>
      <c r="T40" s="216">
        <f t="shared" si="9"/>
        <v>3000000</v>
      </c>
      <c r="U40" s="216">
        <f t="shared" si="8"/>
        <v>3240000</v>
      </c>
      <c r="V40" s="216">
        <f t="shared" si="8"/>
        <v>3499200</v>
      </c>
      <c r="W40" s="216">
        <f t="shared" si="8"/>
        <v>3779136.0000000005</v>
      </c>
      <c r="X40" s="216">
        <f t="shared" si="8"/>
        <v>4081466.8800000008</v>
      </c>
      <c r="Y40" s="117" t="str">
        <f t="shared" si="4"/>
        <v>PE036 La Pointe Investments LLC</v>
      </c>
    </row>
    <row r="41" spans="1:25">
      <c r="A41" s="205" t="s">
        <v>380</v>
      </c>
      <c r="B41" s="122"/>
      <c r="C41" s="227"/>
      <c r="D41" s="228"/>
      <c r="E41" s="228"/>
      <c r="F41" s="229"/>
      <c r="G41" s="214">
        <f>+C41/lgh_inputs!$D$10</f>
        <v>0</v>
      </c>
      <c r="H41" s="215"/>
      <c r="I41" s="216">
        <f t="shared" si="0"/>
        <v>0</v>
      </c>
      <c r="J41" s="216">
        <f t="shared" si="6"/>
        <v>0</v>
      </c>
      <c r="K41" s="216">
        <f t="shared" si="6"/>
        <v>0</v>
      </c>
      <c r="L41" s="216">
        <f t="shared" si="6"/>
        <v>0</v>
      </c>
      <c r="M41" s="216">
        <f t="shared" si="10"/>
        <v>0</v>
      </c>
      <c r="N41" s="216">
        <f t="shared" si="9"/>
        <v>0</v>
      </c>
      <c r="O41" s="216">
        <f t="shared" si="9"/>
        <v>0</v>
      </c>
      <c r="P41" s="216">
        <f t="shared" si="9"/>
        <v>0</v>
      </c>
      <c r="Q41" s="216">
        <f t="shared" si="9"/>
        <v>0</v>
      </c>
      <c r="R41" s="216">
        <f t="shared" si="9"/>
        <v>0</v>
      </c>
      <c r="S41" s="216">
        <f t="shared" si="9"/>
        <v>0</v>
      </c>
      <c r="T41" s="216">
        <f t="shared" si="9"/>
        <v>0</v>
      </c>
      <c r="U41" s="216">
        <f t="shared" si="8"/>
        <v>0</v>
      </c>
      <c r="V41" s="216">
        <f t="shared" si="8"/>
        <v>0</v>
      </c>
      <c r="W41" s="216">
        <f t="shared" si="8"/>
        <v>0</v>
      </c>
      <c r="X41" s="216">
        <f t="shared" si="8"/>
        <v>0</v>
      </c>
      <c r="Y41" s="117" t="str">
        <f t="shared" si="4"/>
        <v xml:space="preserve">PE037 </v>
      </c>
    </row>
    <row r="42" spans="1:25">
      <c r="A42" s="222" t="s">
        <v>381</v>
      </c>
      <c r="B42" s="122"/>
      <c r="C42" s="227"/>
      <c r="D42" s="228"/>
      <c r="E42" s="228"/>
      <c r="F42" s="229"/>
      <c r="G42" s="214">
        <f>+C42/lgh_inputs!$D$10</f>
        <v>0</v>
      </c>
      <c r="H42" s="215"/>
      <c r="I42" s="216">
        <f t="shared" si="0"/>
        <v>0</v>
      </c>
      <c r="J42" s="216">
        <f t="shared" si="6"/>
        <v>0</v>
      </c>
      <c r="K42" s="216">
        <f t="shared" si="6"/>
        <v>0</v>
      </c>
      <c r="L42" s="216">
        <f t="shared" si="6"/>
        <v>0</v>
      </c>
      <c r="M42" s="216">
        <f t="shared" si="10"/>
        <v>0</v>
      </c>
      <c r="N42" s="216">
        <f t="shared" si="9"/>
        <v>0</v>
      </c>
      <c r="O42" s="216">
        <f t="shared" si="9"/>
        <v>0</v>
      </c>
      <c r="P42" s="216">
        <f t="shared" si="9"/>
        <v>0</v>
      </c>
      <c r="Q42" s="216">
        <f t="shared" si="9"/>
        <v>0</v>
      </c>
      <c r="R42" s="216">
        <f t="shared" si="9"/>
        <v>0</v>
      </c>
      <c r="S42" s="216">
        <f t="shared" si="9"/>
        <v>0</v>
      </c>
      <c r="T42" s="216">
        <f t="shared" si="9"/>
        <v>0</v>
      </c>
      <c r="U42" s="216">
        <f t="shared" si="8"/>
        <v>0</v>
      </c>
      <c r="V42" s="216">
        <f t="shared" si="8"/>
        <v>0</v>
      </c>
      <c r="W42" s="216">
        <f t="shared" si="8"/>
        <v>0</v>
      </c>
      <c r="X42" s="216">
        <f t="shared" si="8"/>
        <v>0</v>
      </c>
      <c r="Y42" s="117" t="str">
        <f t="shared" si="4"/>
        <v xml:space="preserve">PE038 </v>
      </c>
    </row>
    <row r="43" spans="1:25">
      <c r="A43" s="122"/>
      <c r="B43" s="122"/>
      <c r="C43" s="227"/>
      <c r="D43" s="228"/>
      <c r="E43" s="228"/>
      <c r="F43" s="229"/>
      <c r="G43" s="214">
        <f>+C43/lgh_inputs!$D$10</f>
        <v>0</v>
      </c>
      <c r="H43" s="215"/>
      <c r="I43" s="216">
        <f t="shared" si="0"/>
        <v>0</v>
      </c>
      <c r="J43" s="216">
        <f t="shared" si="6"/>
        <v>0</v>
      </c>
      <c r="K43" s="216">
        <f t="shared" si="6"/>
        <v>0</v>
      </c>
      <c r="L43" s="216">
        <f t="shared" si="6"/>
        <v>0</v>
      </c>
      <c r="M43" s="216">
        <f t="shared" si="10"/>
        <v>0</v>
      </c>
      <c r="N43" s="216">
        <f t="shared" si="9"/>
        <v>0</v>
      </c>
      <c r="O43" s="216">
        <f t="shared" si="9"/>
        <v>0</v>
      </c>
      <c r="P43" s="216">
        <f t="shared" si="9"/>
        <v>0</v>
      </c>
      <c r="Q43" s="216">
        <f t="shared" si="9"/>
        <v>0</v>
      </c>
      <c r="R43" s="216">
        <f t="shared" si="9"/>
        <v>0</v>
      </c>
      <c r="S43" s="216">
        <f t="shared" si="9"/>
        <v>0</v>
      </c>
      <c r="T43" s="216">
        <f t="shared" si="9"/>
        <v>0</v>
      </c>
      <c r="U43" s="216">
        <f t="shared" si="8"/>
        <v>0</v>
      </c>
      <c r="V43" s="216">
        <f t="shared" si="8"/>
        <v>0</v>
      </c>
      <c r="W43" s="216">
        <f t="shared" si="8"/>
        <v>0</v>
      </c>
      <c r="X43" s="216">
        <f t="shared" si="8"/>
        <v>0</v>
      </c>
      <c r="Y43" s="43" t="str">
        <f t="shared" si="4"/>
        <v xml:space="preserve"> </v>
      </c>
    </row>
    <row r="44" spans="1:25">
      <c r="A44" s="43"/>
      <c r="B44" s="43"/>
      <c r="C44" s="230">
        <f>SUM(C5:C43)</f>
        <v>55375000</v>
      </c>
      <c r="D44" s="43"/>
      <c r="E44" s="43"/>
      <c r="F44" s="43"/>
      <c r="G44" s="231">
        <f>SUM(G5:G39)</f>
        <v>2295000</v>
      </c>
      <c r="H44" s="43"/>
      <c r="I44" s="43"/>
      <c r="J44" s="232"/>
      <c r="K44" s="232"/>
      <c r="L44" s="232"/>
      <c r="M44" s="233"/>
      <c r="N44" s="232"/>
      <c r="O44" s="232"/>
      <c r="P44" s="232"/>
      <c r="Q44" s="232"/>
      <c r="R44" s="232"/>
      <c r="S44" s="232"/>
      <c r="T44" s="232"/>
      <c r="U44" s="232"/>
      <c r="V44" s="232"/>
      <c r="W44" s="232"/>
      <c r="X44" s="232"/>
      <c r="Y44" s="43"/>
    </row>
    <row r="45" spans="1:25" ht="16" customHeight="1" thickBot="1">
      <c r="A45" s="205" t="s">
        <v>382</v>
      </c>
      <c r="B45" s="43"/>
      <c r="C45" s="43"/>
      <c r="D45" s="43"/>
      <c r="E45" s="43"/>
      <c r="F45" s="43"/>
      <c r="G45" s="43"/>
      <c r="H45" s="205" t="s">
        <v>383</v>
      </c>
      <c r="I45" s="43"/>
      <c r="J45" s="234">
        <f>+J47+SUM($I$54,$J$54)</f>
        <v>28355191.60977295</v>
      </c>
      <c r="K45" s="234">
        <f>+K47+SUM($I$54,$J$54,$K$54)</f>
        <v>33699850.202441037</v>
      </c>
      <c r="L45" s="234">
        <f>+L47+SUM($I$54,$J$54,$K$54,L54)</f>
        <v>37580209.386136912</v>
      </c>
      <c r="M45" s="233"/>
      <c r="N45" s="233"/>
      <c r="O45" s="233"/>
      <c r="P45" s="233"/>
      <c r="Q45" s="232"/>
      <c r="R45" s="232"/>
      <c r="S45" s="232"/>
      <c r="T45" s="232"/>
      <c r="U45" s="232"/>
      <c r="V45" s="232"/>
      <c r="W45" s="232"/>
      <c r="X45" s="232"/>
      <c r="Y45" s="43"/>
    </row>
    <row r="46" spans="1:25" hidden="1">
      <c r="A46" s="205" t="s">
        <v>384</v>
      </c>
      <c r="B46" s="43"/>
      <c r="C46" s="43"/>
      <c r="D46" s="43"/>
      <c r="E46" s="43"/>
      <c r="F46" s="43"/>
      <c r="G46" s="43"/>
      <c r="H46" s="43"/>
      <c r="I46" s="210"/>
      <c r="J46" s="232"/>
      <c r="K46" s="210"/>
      <c r="L46" s="232"/>
      <c r="M46" s="233"/>
      <c r="N46" s="233"/>
      <c r="O46" s="233"/>
      <c r="P46" s="233"/>
      <c r="Q46" s="232"/>
      <c r="R46" s="232"/>
      <c r="S46" s="232"/>
      <c r="T46" s="232"/>
      <c r="U46" s="232"/>
      <c r="V46" s="232"/>
      <c r="W46" s="232"/>
      <c r="X46" s="232"/>
      <c r="Y46" s="43"/>
    </row>
    <row r="47" spans="1:25" ht="16.5" customHeight="1" thickTop="1" thickBot="1">
      <c r="A47" s="235" t="s">
        <v>135</v>
      </c>
      <c r="B47" s="43"/>
      <c r="C47" s="236">
        <f>SUM(C5:C43)</f>
        <v>55375000</v>
      </c>
      <c r="D47" s="43"/>
      <c r="E47" s="43"/>
      <c r="F47" s="43"/>
      <c r="G47" s="43"/>
      <c r="H47" s="43"/>
      <c r="I47" s="237">
        <f t="shared" ref="I47:X47" si="11">SUM(I5:I43)+I46</f>
        <v>10421928.727690481</v>
      </c>
      <c r="J47" s="236">
        <f t="shared" si="11"/>
        <v>33855191.60977295</v>
      </c>
      <c r="K47" s="237">
        <f t="shared" si="11"/>
        <v>39199850.202441037</v>
      </c>
      <c r="L47" s="238">
        <f t="shared" si="11"/>
        <v>51080209.386136912</v>
      </c>
      <c r="M47" s="238">
        <f t="shared" si="11"/>
        <v>49890886.391148508</v>
      </c>
      <c r="N47" s="238">
        <f t="shared" si="11"/>
        <v>50888704.118971482</v>
      </c>
      <c r="O47" s="238">
        <f t="shared" si="11"/>
        <v>51906478.20135092</v>
      </c>
      <c r="P47" s="238">
        <f t="shared" si="11"/>
        <v>54144868.927339561</v>
      </c>
      <c r="Q47" s="238">
        <f t="shared" si="11"/>
        <v>56742197.629923344</v>
      </c>
      <c r="R47" s="238">
        <f t="shared" si="11"/>
        <v>58896375.909288213</v>
      </c>
      <c r="S47" s="238">
        <f t="shared" si="11"/>
        <v>60074303.427473977</v>
      </c>
      <c r="T47" s="238">
        <f t="shared" si="11"/>
        <v>64275789.496023461</v>
      </c>
      <c r="U47" s="238">
        <f t="shared" si="11"/>
        <v>69417852.655705363</v>
      </c>
      <c r="V47" s="238">
        <f t="shared" si="11"/>
        <v>74971280.868161783</v>
      </c>
      <c r="W47" s="238">
        <f t="shared" si="11"/>
        <v>80968983.337614715</v>
      </c>
      <c r="X47" s="238">
        <f t="shared" si="11"/>
        <v>87446502.004623935</v>
      </c>
      <c r="Y47" s="43"/>
    </row>
    <row r="48" spans="1:25" ht="16" customHeight="1" thickTop="1">
      <c r="A48" s="205" t="s">
        <v>385</v>
      </c>
      <c r="B48" s="43"/>
      <c r="C48" s="239">
        <f>COUNTA(A5:A43)-COUNTBLANK(A5:A43)</f>
        <v>37</v>
      </c>
      <c r="D48" s="43"/>
      <c r="E48" s="43"/>
      <c r="F48" s="43"/>
      <c r="G48" s="43"/>
      <c r="H48" s="43"/>
      <c r="I48" s="232">
        <f t="shared" ref="I48:X48" si="12">COUNTIF(I5:I43,"&gt;0")</f>
        <v>4</v>
      </c>
      <c r="J48" s="232">
        <f t="shared" si="12"/>
        <v>19</v>
      </c>
      <c r="K48" s="232">
        <f t="shared" si="12"/>
        <v>24</v>
      </c>
      <c r="L48" s="232">
        <f t="shared" si="12"/>
        <v>29</v>
      </c>
      <c r="M48" s="232">
        <f t="shared" si="12"/>
        <v>28</v>
      </c>
      <c r="N48" s="232">
        <f t="shared" si="12"/>
        <v>28</v>
      </c>
      <c r="O48" s="232">
        <f t="shared" si="12"/>
        <v>28</v>
      </c>
      <c r="P48" s="232">
        <f t="shared" si="12"/>
        <v>29</v>
      </c>
      <c r="Q48" s="232">
        <f t="shared" si="12"/>
        <v>30</v>
      </c>
      <c r="R48" s="232">
        <f t="shared" si="12"/>
        <v>31</v>
      </c>
      <c r="S48" s="232">
        <f t="shared" si="12"/>
        <v>31</v>
      </c>
      <c r="T48" s="232">
        <f t="shared" si="12"/>
        <v>32</v>
      </c>
      <c r="U48" s="232">
        <f t="shared" si="12"/>
        <v>32</v>
      </c>
      <c r="V48" s="232">
        <f t="shared" si="12"/>
        <v>32</v>
      </c>
      <c r="W48" s="232">
        <f t="shared" si="12"/>
        <v>32</v>
      </c>
      <c r="X48" s="232">
        <f t="shared" si="12"/>
        <v>32</v>
      </c>
      <c r="Y48" s="43"/>
    </row>
    <row r="49" spans="1:25">
      <c r="A49" s="205" t="s">
        <v>386</v>
      </c>
      <c r="B49" s="43"/>
      <c r="C49" s="240">
        <f>AVERAGE($D$5:D43)</f>
        <v>8.0000000000000029E-2</v>
      </c>
      <c r="D49" s="43"/>
      <c r="E49" s="43"/>
      <c r="F49" s="43"/>
      <c r="G49" s="43"/>
      <c r="H49" s="43"/>
      <c r="I49" s="43"/>
      <c r="J49" s="232"/>
      <c r="K49" s="232"/>
      <c r="L49" s="234">
        <f>+L47-L45</f>
        <v>13500000</v>
      </c>
      <c r="M49" s="232"/>
      <c r="N49" s="232"/>
      <c r="O49" s="232"/>
      <c r="P49" s="232"/>
      <c r="Q49" s="232"/>
      <c r="R49" s="232"/>
      <c r="S49" s="232"/>
      <c r="T49" s="232"/>
      <c r="U49" s="232"/>
      <c r="V49" s="232"/>
      <c r="W49" s="232"/>
      <c r="X49" s="232"/>
      <c r="Y49" s="43"/>
    </row>
    <row r="50" spans="1:25">
      <c r="A50" s="205" t="s">
        <v>387</v>
      </c>
      <c r="B50" s="43"/>
      <c r="C50" s="240">
        <f>SUMPRODUCT($C$5:$C14,$D$5:$D14)/SUM($C$5:$C14)</f>
        <v>0.08</v>
      </c>
      <c r="D50" s="43"/>
      <c r="E50" s="43"/>
      <c r="F50" s="43"/>
      <c r="G50" s="43"/>
      <c r="H50" s="43"/>
      <c r="I50" s="43"/>
      <c r="J50" s="232"/>
      <c r="K50" s="232"/>
      <c r="L50" s="232"/>
      <c r="M50" s="232"/>
      <c r="N50" s="232"/>
      <c r="O50" s="232"/>
      <c r="P50" s="232"/>
      <c r="Q50" s="232"/>
      <c r="R50" s="232"/>
      <c r="S50" s="232"/>
      <c r="T50" s="232"/>
      <c r="U50" s="232"/>
      <c r="V50" s="232"/>
      <c r="W50" s="232"/>
      <c r="X50" s="232"/>
      <c r="Y50" s="43"/>
    </row>
    <row r="51" spans="1:25">
      <c r="A51" s="43"/>
      <c r="B51" s="43"/>
      <c r="C51" s="43"/>
      <c r="D51" s="43"/>
      <c r="E51" s="43"/>
      <c r="F51" s="43"/>
      <c r="G51" s="43"/>
      <c r="H51" s="43"/>
      <c r="I51" s="43"/>
      <c r="J51" s="232"/>
      <c r="K51" s="232"/>
      <c r="L51" s="232"/>
      <c r="M51" s="204"/>
      <c r="N51" s="232"/>
      <c r="O51" s="232"/>
      <c r="P51" s="232"/>
      <c r="Q51" s="232"/>
      <c r="R51" s="232"/>
      <c r="S51" s="232"/>
      <c r="T51" s="232"/>
      <c r="U51" s="232"/>
      <c r="V51" s="232"/>
      <c r="W51" s="232"/>
      <c r="X51" s="232"/>
      <c r="Y51" s="43"/>
    </row>
    <row r="52" spans="1:25">
      <c r="A52" s="205" t="s">
        <v>388</v>
      </c>
      <c r="B52" s="43"/>
      <c r="C52" s="43"/>
      <c r="D52" s="43"/>
      <c r="E52" s="43"/>
      <c r="F52" s="43"/>
      <c r="G52" s="43"/>
      <c r="H52" s="43"/>
      <c r="I52" s="43"/>
      <c r="J52" s="232"/>
      <c r="K52" s="232"/>
      <c r="L52" s="232"/>
      <c r="M52" s="241"/>
      <c r="N52" s="232"/>
      <c r="O52" s="232"/>
      <c r="P52" s="232"/>
      <c r="Q52" s="232"/>
      <c r="R52" s="232"/>
      <c r="S52" s="232"/>
      <c r="T52" s="232"/>
      <c r="U52" s="232"/>
      <c r="V52" s="232"/>
      <c r="W52" s="232"/>
      <c r="X52" s="232"/>
      <c r="Y52" s="43"/>
    </row>
    <row r="53" spans="1:25">
      <c r="A53" s="205" t="s">
        <v>389</v>
      </c>
      <c r="B53" s="43"/>
      <c r="C53" s="43"/>
      <c r="D53" s="43"/>
      <c r="E53" s="43"/>
      <c r="F53" s="43"/>
      <c r="G53" s="43"/>
      <c r="H53" s="43"/>
      <c r="I53" s="43"/>
      <c r="J53" s="232"/>
      <c r="K53" s="232"/>
      <c r="L53" s="232"/>
      <c r="M53" s="232"/>
      <c r="N53" s="232"/>
      <c r="O53" s="232"/>
      <c r="P53" s="232"/>
      <c r="Q53" s="232"/>
      <c r="R53" s="232"/>
      <c r="S53" s="232"/>
      <c r="T53" s="232"/>
      <c r="U53" s="232"/>
      <c r="V53" s="232"/>
      <c r="W53" s="232"/>
      <c r="X53" s="232"/>
      <c r="Y53" s="43"/>
    </row>
    <row r="54" spans="1:25">
      <c r="A54" s="205" t="s">
        <v>390</v>
      </c>
      <c r="B54" s="43"/>
      <c r="C54" s="43"/>
      <c r="D54" s="43"/>
      <c r="E54" s="43"/>
      <c r="F54" s="43"/>
      <c r="G54" s="43"/>
      <c r="H54" s="43"/>
      <c r="I54" s="214"/>
      <c r="J54" s="221">
        <v>-5500000</v>
      </c>
      <c r="K54" s="214"/>
      <c r="L54" s="221">
        <v>-8000000</v>
      </c>
      <c r="M54" s="232"/>
      <c r="N54" s="232"/>
      <c r="O54" s="232"/>
      <c r="P54" s="214"/>
      <c r="Q54" s="232"/>
      <c r="R54" s="232"/>
      <c r="S54" s="232"/>
      <c r="T54" s="232"/>
      <c r="U54" s="232"/>
      <c r="V54" s="232"/>
      <c r="W54" s="232"/>
      <c r="X54" s="232"/>
      <c r="Y54" s="43"/>
    </row>
    <row r="55" spans="1:25">
      <c r="A55" s="205" t="s">
        <v>391</v>
      </c>
      <c r="B55" s="232"/>
      <c r="C55" s="232"/>
      <c r="D55" s="232"/>
      <c r="E55" s="232"/>
      <c r="F55" s="232"/>
      <c r="G55" s="232"/>
      <c r="H55" s="232"/>
      <c r="I55" s="210">
        <f t="array" ref="I55">SUMPRODUCT((YEAR(I3)=YEAR($F$5:$F42))*(ROUNDUP(MONTH($F$5:$F42)/3,0)=I4)*$C$5:$C42)+I54</f>
        <v>0</v>
      </c>
      <c r="J55" s="210">
        <f t="array" ref="J55">SUMPRODUCT((YEAR(J3)=YEAR($F$5:$F42))*(ROUNDUP(MONTH($F$5:$F42)/3,0)=J4)*$C$5:$C42)+J54</f>
        <v>0</v>
      </c>
      <c r="K55" s="210">
        <f t="array" ref="K55">SUMPRODUCT((YEAR(K3)=YEAR($F$5:$F42))*(ROUNDUP(MONTH($F$5:$F42)/3,0)=K4)*$C$5:$C42)+K54</f>
        <v>0</v>
      </c>
      <c r="L55" s="242">
        <f t="array" ref="L55">SUMPRODUCT((YEAR(L3)=YEAR($F$5:$F42))*(ROUNDUP(MONTH($F$5:$F42)/3,0)=L4)*$C$5:$C42)+L54</f>
        <v>0</v>
      </c>
      <c r="M55" s="242">
        <f t="array" ref="M55">SUMPRODUCT((YEAR(M3)=YEAR($F$5:$F42))*(ROUNDUP(MONTH($F$5:$F42)/3,0)=M4)*$C$5:$C42)+M54</f>
        <v>6050000</v>
      </c>
      <c r="N55" s="242">
        <f t="array" ref="N55">SUMPRODUCT((YEAR(N3)=YEAR($F$5:$F42))*(ROUNDUP(MONTH($F$5:$F42)/3,0)=N4)*$C$5:$C42)+N54</f>
        <v>0</v>
      </c>
      <c r="O55" s="242">
        <f t="array" ref="O55">SUMPRODUCT((YEAR(O3)=YEAR($F$5:$F42))*(ROUNDUP(MONTH($F$5:$F42)/3,0)=O4)*$C$5:$C42)+O54</f>
        <v>0</v>
      </c>
      <c r="P55" s="242">
        <f t="array" ref="P55">SUMPRODUCT((YEAR(P3)=YEAR($F$5:$F42))*(ROUNDUP(MONTH($F$5:$F42)/3,0)=P4)*$C$5:$C42)+P54</f>
        <v>1200000</v>
      </c>
      <c r="Q55" s="242">
        <f t="array" ref="Q55">SUMPRODUCT((YEAR(Q3)=YEAR($F$5:$F42))*(ROUNDUP(MONTH($F$5:$F42)/3,0)=Q4)*$C$5:$C42)+Q54</f>
        <v>1500000</v>
      </c>
      <c r="R55" s="242">
        <f t="array" ref="R55">SUMPRODUCT((YEAR(R3)=YEAR($F$5:$F42))*(ROUNDUP(MONTH($F$5:$F42)/3,0)=R4)*$C$5:$C42)+R54</f>
        <v>1000000</v>
      </c>
      <c r="S55" s="242">
        <f t="array" ref="S55">SUMPRODUCT((YEAR(S3)=YEAR($F$5:$F42))*(ROUNDUP(MONTH($F$5:$F42)/3,0)=S4)*$C$5:$C42)+S54</f>
        <v>0</v>
      </c>
      <c r="T55" s="242">
        <f t="array" ref="T55">SUMPRODUCT((YEAR(T3)=YEAR($F$5:$F42))*(ROUNDUP(MONTH($F$5:$F42)/3,0)=T4)*$C$5:$C42)+T54</f>
        <v>3000000</v>
      </c>
      <c r="U55" s="242">
        <f t="array" ref="U55">SUMPRODUCT((YEAR(U3)=YEAR($F$5:$F42))*(ROUNDUP(MONTH($F$5:$F42)/3,0)=U4)*$C$5:$C42)+U54</f>
        <v>0</v>
      </c>
      <c r="V55" s="242">
        <f t="array" ref="V55">SUMPRODUCT((YEAR(V3)=YEAR($F$5:$F42))*(ROUNDUP(MONTH($F$5:$F42)/3,0)=V4)*$C$5:$C42)+V54</f>
        <v>0</v>
      </c>
      <c r="W55" s="242">
        <f t="array" ref="W55">SUMPRODUCT((YEAR(W3)=YEAR($F$5:$F42))*(ROUNDUP(MONTH($F$5:$F42)/3,0)=W4)*$C$5:$C42)+W54</f>
        <v>0</v>
      </c>
      <c r="X55" s="242">
        <f t="array" ref="X55">SUMPRODUCT((YEAR(X3)=YEAR($F$5:$F42))*(ROUNDUP(MONTH($F$5:$F42)/3,0)=X4)*$C$5:$C42)+X54</f>
        <v>0</v>
      </c>
      <c r="Y55" s="43"/>
    </row>
    <row r="56" spans="1:25">
      <c r="A56" s="43"/>
      <c r="B56" s="43"/>
      <c r="C56" s="43"/>
      <c r="D56" s="43"/>
      <c r="E56" s="43"/>
      <c r="F56" s="43"/>
      <c r="G56" s="43"/>
      <c r="H56" s="43"/>
      <c r="I56" s="43"/>
      <c r="J56" s="232"/>
      <c r="K56" s="232"/>
      <c r="L56" s="232"/>
      <c r="M56" s="232"/>
      <c r="N56" s="232"/>
      <c r="O56" s="232"/>
      <c r="P56" s="232"/>
      <c r="Q56" s="232"/>
      <c r="R56" s="232"/>
      <c r="S56" s="232"/>
      <c r="T56" s="232"/>
      <c r="U56" s="232"/>
      <c r="V56" s="232"/>
      <c r="W56" s="232"/>
      <c r="X56" s="232"/>
      <c r="Y56" s="43"/>
    </row>
    <row r="57" spans="1:25" ht="16" customHeight="1" thickBot="1">
      <c r="A57" s="43"/>
      <c r="B57" s="43"/>
      <c r="C57" s="43"/>
      <c r="D57" s="43"/>
      <c r="E57" s="43"/>
      <c r="F57" s="43"/>
      <c r="G57" s="43"/>
      <c r="H57" s="243">
        <f>VLOOKUP(B5,B5:F43,5,FALSE)</f>
        <v>44365</v>
      </c>
      <c r="I57" s="43"/>
      <c r="J57" s="208" t="s">
        <v>392</v>
      </c>
      <c r="K57" s="208" t="s">
        <v>323</v>
      </c>
      <c r="L57" s="232"/>
      <c r="M57" s="232"/>
      <c r="N57" s="232"/>
      <c r="O57" s="232"/>
      <c r="P57" s="232"/>
      <c r="Q57" s="232"/>
      <c r="R57" s="232"/>
      <c r="S57" s="232"/>
      <c r="T57" s="232"/>
      <c r="U57" s="232"/>
      <c r="V57" s="232"/>
      <c r="W57" s="232"/>
      <c r="X57" s="232"/>
      <c r="Y57" s="43"/>
    </row>
    <row r="58" spans="1:25" ht="16" customHeight="1" thickBot="1">
      <c r="A58" s="205" t="s">
        <v>393</v>
      </c>
      <c r="B58" s="232"/>
      <c r="C58" s="232"/>
      <c r="D58" s="232"/>
      <c r="E58" s="232"/>
      <c r="F58" s="235" t="s">
        <v>394</v>
      </c>
      <c r="G58" s="213">
        <v>45657</v>
      </c>
      <c r="H58" s="232"/>
      <c r="I58" s="235" t="s">
        <v>395</v>
      </c>
      <c r="J58" s="221">
        <v>50000000</v>
      </c>
      <c r="K58" s="221">
        <v>2000000</v>
      </c>
      <c r="L58" s="232"/>
      <c r="M58" s="232"/>
      <c r="N58" s="232"/>
      <c r="O58" s="232"/>
      <c r="P58" s="232"/>
      <c r="Q58" s="232"/>
      <c r="R58" s="232"/>
      <c r="S58" s="232"/>
      <c r="T58" s="232"/>
      <c r="U58" s="232"/>
      <c r="V58" s="232"/>
      <c r="W58" s="232"/>
      <c r="X58" s="232"/>
      <c r="Y58" s="43"/>
    </row>
    <row r="59" spans="1:25">
      <c r="A59" s="232"/>
      <c r="B59" s="232"/>
      <c r="C59" s="232"/>
      <c r="D59" s="232"/>
      <c r="E59" s="232"/>
      <c r="F59" s="232"/>
      <c r="G59" s="232"/>
      <c r="H59" s="232"/>
      <c r="I59" s="232"/>
      <c r="J59" s="232"/>
      <c r="K59" s="232"/>
      <c r="L59" s="232"/>
      <c r="M59" s="232"/>
      <c r="N59" s="232"/>
      <c r="O59" s="232"/>
      <c r="P59" s="232"/>
      <c r="Q59" s="232"/>
      <c r="R59" s="232"/>
      <c r="S59" s="232"/>
      <c r="T59" s="232"/>
      <c r="U59" s="232"/>
      <c r="V59" s="232"/>
      <c r="W59" s="232"/>
      <c r="X59" s="232"/>
      <c r="Y59" s="43"/>
    </row>
    <row r="60" spans="1:25" ht="31.5" customHeight="1" thickBot="1">
      <c r="A60" s="205" t="s">
        <v>181</v>
      </c>
      <c r="B60" s="208" t="s">
        <v>396</v>
      </c>
      <c r="C60" s="208" t="s">
        <v>396</v>
      </c>
      <c r="D60" s="208" t="s">
        <v>0</v>
      </c>
      <c r="E60" s="208" t="s">
        <v>397</v>
      </c>
      <c r="F60" s="208" t="s">
        <v>323</v>
      </c>
      <c r="G60" s="208" t="s">
        <v>398</v>
      </c>
      <c r="H60" s="208" t="s">
        <v>135</v>
      </c>
      <c r="I60" s="208" t="s">
        <v>399</v>
      </c>
      <c r="J60" s="208" t="s">
        <v>400</v>
      </c>
      <c r="K60" s="244" t="s">
        <v>401</v>
      </c>
      <c r="L60" s="232"/>
      <c r="M60" s="232"/>
      <c r="N60" s="232"/>
      <c r="O60" s="232"/>
      <c r="P60" s="232"/>
      <c r="Q60" s="232"/>
      <c r="R60" s="232"/>
      <c r="S60" s="232"/>
      <c r="T60" s="232"/>
      <c r="U60" s="232"/>
      <c r="V60" s="232"/>
      <c r="W60" s="232"/>
      <c r="X60" s="232"/>
      <c r="Y60" s="43"/>
    </row>
    <row r="61" spans="1:25">
      <c r="A61" s="232" t="str">
        <f t="shared" ref="A61:A95" si="13">Y5</f>
        <v>PE001 PFNGT LLC</v>
      </c>
      <c r="B61" s="232"/>
      <c r="C61" s="232"/>
      <c r="D61" s="232">
        <f t="shared" ref="D61:D95" si="14">YEAR(_xlfn.MINIFS($F$5:$F$43,$Y$5:$Y$43,A61))</f>
        <v>2021</v>
      </c>
      <c r="E61" s="214">
        <f t="array" ref="E61">SUM(IF($A61=$Y$5:$Y$43,$C$5:$C$43,0))</f>
        <v>5000000</v>
      </c>
      <c r="F61" s="214">
        <f t="array" ref="F61">SUM(IF($A61=$Y$5:$Y$43,$G$5:$G$43,0))</f>
        <v>200000</v>
      </c>
      <c r="G61" s="214">
        <f t="shared" ref="G61:G95" si="15">INDEX(L$5:L$43,MATCH(A61,Y$5:Y$43,0))-E61</f>
        <v>1564314.3407082148</v>
      </c>
      <c r="H61" s="214">
        <f t="shared" ref="H61:H95" si="16">+E61+G61</f>
        <v>6564314.3407082148</v>
      </c>
      <c r="I61" s="245">
        <f t="array" ref="I61">IF(A61&gt;"",SUMPRODUCT((A61=$Y$5:$Y$43)*$E$5:$E$43)/COUNTIF($Y$5:$Y$43,A61),0)</f>
        <v>0.17499999999999999</v>
      </c>
      <c r="J61" s="245">
        <f t="shared" ref="J61:J95" si="17">IF($I61&gt;0,$F61/$F$97,"")</f>
        <v>0.11730205278592376</v>
      </c>
      <c r="K61" s="246">
        <f t="shared" ref="K61:K95" si="18">IFERROR($I61*($F$97/$K$58)*100%*$J61,0)</f>
        <v>1.7500000000000002E-2</v>
      </c>
      <c r="L61" s="232"/>
      <c r="M61" s="232"/>
      <c r="N61" s="232"/>
      <c r="O61" s="232"/>
      <c r="P61" s="232"/>
      <c r="Q61" s="232"/>
      <c r="R61" s="232"/>
      <c r="S61" s="232"/>
      <c r="T61" s="232"/>
      <c r="U61" s="232"/>
      <c r="V61" s="232"/>
      <c r="W61" s="232"/>
      <c r="X61" s="232"/>
      <c r="Y61" s="43"/>
    </row>
    <row r="62" spans="1:25">
      <c r="A62" s="232" t="str">
        <f t="shared" si="13"/>
        <v>PE002 Derivee Capital Advisors, LLC</v>
      </c>
      <c r="B62" s="232"/>
      <c r="C62" s="232"/>
      <c r="D62" s="232">
        <f t="shared" si="14"/>
        <v>2021</v>
      </c>
      <c r="E62" s="214">
        <f t="array" ref="E62">SUM(IF($A62=$Y$5:$Y$43,$C$5:$C$43,0))</f>
        <v>3000000</v>
      </c>
      <c r="F62" s="214">
        <f t="array" ref="F62">SUM(IF($A62=$Y$5:$Y$43,$G$5:$G$43,0))</f>
        <v>120000</v>
      </c>
      <c r="G62" s="214">
        <f t="shared" si="15"/>
        <v>938588.60442492925</v>
      </c>
      <c r="H62" s="214">
        <f t="shared" si="16"/>
        <v>3938588.6044249292</v>
      </c>
      <c r="I62" s="245">
        <f t="array" ref="I62">IF(A62&gt;"",SUMPRODUCT((A62=$Y$5:$Y$43)*$E$5:$E$43)/COUNTIF($Y$5:$Y$43,A62),0)</f>
        <v>0.17499999999999999</v>
      </c>
      <c r="J62" s="245">
        <f t="shared" si="17"/>
        <v>7.0381231671554259E-2</v>
      </c>
      <c r="K62" s="246">
        <f t="shared" si="18"/>
        <v>1.0500000000000001E-2</v>
      </c>
      <c r="L62" s="232"/>
      <c r="M62" s="232"/>
      <c r="N62" s="232"/>
      <c r="O62" s="232"/>
      <c r="P62" s="232"/>
      <c r="Q62" s="232"/>
      <c r="R62" s="232"/>
      <c r="S62" s="232"/>
      <c r="T62" s="232"/>
      <c r="U62" s="232"/>
      <c r="V62" s="232"/>
      <c r="W62" s="232"/>
      <c r="X62" s="232"/>
      <c r="Y62" s="43"/>
    </row>
    <row r="63" spans="1:25">
      <c r="A63" s="232" t="str">
        <f t="shared" si="13"/>
        <v>PE003 Derivee Capital Advisors, LLC</v>
      </c>
      <c r="B63" s="232"/>
      <c r="C63" s="232"/>
      <c r="D63" s="232">
        <f t="shared" si="14"/>
        <v>2021</v>
      </c>
      <c r="E63" s="214">
        <f t="array" ref="E63">SUM(IF($A63=$Y$5:$Y$43,$C$5:$C$43,0))</f>
        <v>2000000</v>
      </c>
      <c r="F63" s="214">
        <f t="array" ref="F63">SUM(IF($A63=$Y$5:$Y$43,$G$5:$G$43,0))</f>
        <v>80000</v>
      </c>
      <c r="G63" s="214">
        <f t="shared" si="15"/>
        <v>625725.73628328601</v>
      </c>
      <c r="H63" s="214">
        <f t="shared" si="16"/>
        <v>2625725.736283286</v>
      </c>
      <c r="I63" s="245">
        <f t="array" ref="I63">IF(A63&gt;"",SUMPRODUCT((A63=$Y$5:$Y$43)*$E$5:$E$43)/COUNTIF($Y$5:$Y$43,A63),0)</f>
        <v>0.17499999999999999</v>
      </c>
      <c r="J63" s="245">
        <f t="shared" si="17"/>
        <v>4.6920821114369501E-2</v>
      </c>
      <c r="K63" s="246">
        <f t="shared" si="18"/>
        <v>7.0000000000000001E-3</v>
      </c>
      <c r="L63" s="232"/>
      <c r="M63" s="232"/>
      <c r="N63" s="232"/>
      <c r="O63" s="232"/>
      <c r="P63" s="232"/>
      <c r="Q63" s="232"/>
      <c r="R63" s="232"/>
      <c r="S63" s="232"/>
      <c r="T63" s="232"/>
      <c r="U63" s="232"/>
      <c r="V63" s="232"/>
      <c r="W63" s="232"/>
      <c r="X63" s="232"/>
      <c r="Y63" s="43"/>
    </row>
    <row r="64" spans="1:25">
      <c r="A64" s="232" t="str">
        <f t="shared" si="13"/>
        <v>PE004 DCAPP Hotel Ventures LLC</v>
      </c>
      <c r="B64" s="232"/>
      <c r="C64" s="232"/>
      <c r="D64" s="232">
        <f t="shared" si="14"/>
        <v>2022</v>
      </c>
      <c r="E64" s="214">
        <f t="array" ref="E64">SUM(IF($A64=$Y$5:$Y$43,$C$5:$C$43,0))</f>
        <v>5000000</v>
      </c>
      <c r="F64" s="214">
        <f t="array" ref="F64">SUM(IF($A64=$Y$5:$Y$43,$G$5:$G$43,0))</f>
        <v>200000</v>
      </c>
      <c r="G64" s="214">
        <f t="shared" si="15"/>
        <v>1289270.4020512132</v>
      </c>
      <c r="H64" s="214">
        <f t="shared" si="16"/>
        <v>6289270.4020512132</v>
      </c>
      <c r="I64" s="245">
        <f t="array" ref="I64">IF(A64&gt;"",SUMPRODUCT((A64=$Y$5:$Y$43)*$E$5:$E$43)/COUNTIF($Y$5:$Y$43,A64),0)</f>
        <v>0.14000000000000001</v>
      </c>
      <c r="J64" s="245">
        <f t="shared" si="17"/>
        <v>0.11730205278592376</v>
      </c>
      <c r="K64" s="246">
        <f t="shared" si="18"/>
        <v>1.4000000000000002E-2</v>
      </c>
      <c r="L64" s="232"/>
      <c r="M64" s="232"/>
      <c r="N64" s="232"/>
      <c r="O64" s="232"/>
      <c r="P64" s="232"/>
      <c r="Q64" s="232"/>
      <c r="R64" s="232"/>
      <c r="S64" s="232"/>
      <c r="T64" s="232"/>
      <c r="U64" s="232"/>
      <c r="V64" s="232"/>
      <c r="W64" s="232"/>
      <c r="X64" s="232"/>
      <c r="Y64" s="43"/>
    </row>
    <row r="65" spans="1:25">
      <c r="A65" s="232" t="str">
        <f t="shared" si="13"/>
        <v>PE005 DCAPP Hotel Ventures LLC</v>
      </c>
      <c r="B65" s="232"/>
      <c r="C65" s="232"/>
      <c r="D65" s="232">
        <f t="shared" si="14"/>
        <v>2022</v>
      </c>
      <c r="E65" s="214">
        <f t="array" ref="E65">SUM(IF($A65=$Y$5:$Y$43,$C$5:$C$43,0))</f>
        <v>4000000</v>
      </c>
      <c r="F65" s="214">
        <f t="array" ref="F65">SUM(IF($A65=$Y$5:$Y$43,$G$5:$G$43,0))</f>
        <v>160000</v>
      </c>
      <c r="G65" s="214">
        <f t="shared" si="15"/>
        <v>1031416.3216409702</v>
      </c>
      <c r="H65" s="214">
        <f t="shared" si="16"/>
        <v>5031416.3216409702</v>
      </c>
      <c r="I65" s="245">
        <f t="array" ref="I65">IF(A65&gt;"",SUMPRODUCT((A65=$Y$5:$Y$43)*$E$5:$E$43)/COUNTIF($Y$5:$Y$43,A65),0)</f>
        <v>0.14000000000000001</v>
      </c>
      <c r="J65" s="245">
        <f t="shared" si="17"/>
        <v>9.3841642228739003E-2</v>
      </c>
      <c r="K65" s="246">
        <f t="shared" si="18"/>
        <v>1.1200000000000002E-2</v>
      </c>
      <c r="L65" s="233"/>
      <c r="M65" s="232"/>
      <c r="N65" s="232"/>
      <c r="O65" s="232"/>
      <c r="P65" s="232"/>
      <c r="Q65" s="232"/>
      <c r="R65" s="232"/>
      <c r="S65" s="232"/>
      <c r="T65" s="232"/>
      <c r="U65" s="232"/>
      <c r="V65" s="232"/>
      <c r="W65" s="232"/>
      <c r="X65" s="232"/>
      <c r="Y65" s="43"/>
    </row>
    <row r="66" spans="1:25">
      <c r="A66" s="232" t="str">
        <f t="shared" si="13"/>
        <v>PE006 DCAPP Hotel Ventures LLC</v>
      </c>
      <c r="B66" s="232"/>
      <c r="C66" s="232"/>
      <c r="D66" s="232">
        <f t="shared" si="14"/>
        <v>2022</v>
      </c>
      <c r="E66" s="214">
        <f t="array" ref="E66">SUM(IF($A66=$Y$5:$Y$43,$C$5:$C$43,0))</f>
        <v>2000000</v>
      </c>
      <c r="F66" s="214">
        <f t="array" ref="F66">SUM(IF($A66=$Y$5:$Y$43,$G$5:$G$43,0))</f>
        <v>80000</v>
      </c>
      <c r="G66" s="214">
        <f t="shared" si="15"/>
        <v>483034.75699186558</v>
      </c>
      <c r="H66" s="214">
        <f t="shared" si="16"/>
        <v>2483034.7569918656</v>
      </c>
      <c r="I66" s="245">
        <f t="array" ref="I66">IF(A66&gt;"",SUMPRODUCT((A66=$Y$5:$Y$43)*$E$5:$E$43)/COUNTIF($Y$5:$Y$43,A66),0)</f>
        <v>0.14000000000000001</v>
      </c>
      <c r="J66" s="245">
        <f t="shared" si="17"/>
        <v>4.6920821114369501E-2</v>
      </c>
      <c r="K66" s="246">
        <f t="shared" si="18"/>
        <v>5.6000000000000008E-3</v>
      </c>
      <c r="L66" s="232"/>
      <c r="M66" s="232"/>
      <c r="N66" s="232"/>
      <c r="O66" s="232"/>
      <c r="P66" s="232"/>
      <c r="Q66" s="232"/>
      <c r="R66" s="232"/>
      <c r="S66" s="232"/>
      <c r="T66" s="232"/>
      <c r="U66" s="232"/>
      <c r="V66" s="232"/>
      <c r="W66" s="232"/>
      <c r="X66" s="232"/>
      <c r="Y66" s="43"/>
    </row>
    <row r="67" spans="1:25">
      <c r="A67" s="232" t="str">
        <f t="shared" si="13"/>
        <v>PE007 La Pointe Investments LLC</v>
      </c>
      <c r="B67" s="232"/>
      <c r="C67" s="232"/>
      <c r="D67" s="232">
        <f t="shared" si="14"/>
        <v>2022</v>
      </c>
      <c r="E67" s="214">
        <f t="array" ref="E67">SUM(IF($A67=$Y$5:$Y$43,$C$5:$C$43,0))</f>
        <v>2500000</v>
      </c>
      <c r="F67" s="214">
        <f t="array" ref="F67">SUM(IF($A67=$Y$5:$Y$43,$G$5:$G$43,0))</f>
        <v>100000</v>
      </c>
      <c r="G67" s="214">
        <f t="shared" si="15"/>
        <v>558318.95531038102</v>
      </c>
      <c r="H67" s="214">
        <f t="shared" si="16"/>
        <v>3058318.955310381</v>
      </c>
      <c r="I67" s="245">
        <f t="array" ref="I67">IF(A67&gt;"",SUMPRODUCT((A67=$Y$5:$Y$43)*$E$5:$E$43)/COUNTIF($Y$5:$Y$43,A67),0)</f>
        <v>0.125</v>
      </c>
      <c r="J67" s="245">
        <f t="shared" si="17"/>
        <v>5.865102639296188E-2</v>
      </c>
      <c r="K67" s="246">
        <f t="shared" si="18"/>
        <v>6.2500000000000003E-3</v>
      </c>
      <c r="L67" s="232"/>
      <c r="M67" s="232"/>
      <c r="N67" s="232"/>
      <c r="O67" s="232"/>
      <c r="P67" s="232"/>
      <c r="Q67" s="232"/>
      <c r="R67" s="232"/>
      <c r="S67" s="232"/>
      <c r="T67" s="232"/>
      <c r="U67" s="232"/>
      <c r="V67" s="232"/>
      <c r="W67" s="232"/>
      <c r="X67" s="232"/>
      <c r="Y67" s="43"/>
    </row>
    <row r="68" spans="1:25">
      <c r="A68" s="232" t="str">
        <f t="shared" si="13"/>
        <v>PE008 La Pointe Investments LLC</v>
      </c>
      <c r="B68" s="232"/>
      <c r="C68" s="232"/>
      <c r="D68" s="232">
        <f t="shared" si="14"/>
        <v>2022</v>
      </c>
      <c r="E68" s="214">
        <f t="array" ref="E68">SUM(IF($A68=$Y$5:$Y$43,$C$5:$C$43,0))</f>
        <v>2500000</v>
      </c>
      <c r="F68" s="214">
        <f t="array" ref="F68">SUM(IF($A68=$Y$5:$Y$43,$G$5:$G$43,0))</f>
        <v>100000</v>
      </c>
      <c r="G68" s="214">
        <f t="shared" si="15"/>
        <v>443179.05834655557</v>
      </c>
      <c r="H68" s="214">
        <f t="shared" si="16"/>
        <v>2943179.0583465556</v>
      </c>
      <c r="I68" s="245">
        <f t="array" ref="I68">IF(A68&gt;"",SUMPRODUCT((A68=$Y$5:$Y$43)*$E$5:$E$43)/COUNTIF($Y$5:$Y$43,A68),0)</f>
        <v>0.125</v>
      </c>
      <c r="J68" s="245">
        <f t="shared" si="17"/>
        <v>5.865102639296188E-2</v>
      </c>
      <c r="K68" s="246">
        <f t="shared" si="18"/>
        <v>6.2500000000000003E-3</v>
      </c>
      <c r="L68" s="232"/>
      <c r="M68" s="232"/>
      <c r="N68" s="232"/>
      <c r="O68" s="232"/>
      <c r="P68" s="232"/>
      <c r="Q68" s="232"/>
      <c r="R68" s="232"/>
      <c r="S68" s="232"/>
      <c r="T68" s="232"/>
      <c r="U68" s="232"/>
      <c r="V68" s="232"/>
      <c r="W68" s="232"/>
      <c r="X68" s="232"/>
      <c r="Y68" s="43"/>
    </row>
    <row r="69" spans="1:25">
      <c r="A69" s="232" t="str">
        <f t="shared" si="13"/>
        <v>PE009 La Pointe Investments LLC</v>
      </c>
      <c r="B69" s="232"/>
      <c r="C69" s="232"/>
      <c r="D69" s="232">
        <f t="shared" si="14"/>
        <v>2023</v>
      </c>
      <c r="E69" s="214">
        <f t="array" ref="E69">SUM(IF($A69=$Y$5:$Y$43,$C$5:$C$43,0))</f>
        <v>1000000</v>
      </c>
      <c r="F69" s="214">
        <f t="array" ref="F69">SUM(IF($A69=$Y$5:$Y$43,$G$5:$G$43,0))</f>
        <v>40000</v>
      </c>
      <c r="G69" s="214">
        <f t="shared" si="15"/>
        <v>137977.28912768466</v>
      </c>
      <c r="H69" s="214">
        <f t="shared" si="16"/>
        <v>1137977.2891276847</v>
      </c>
      <c r="I69" s="245">
        <f t="array" ref="I69">IF(A69&gt;"",SUMPRODUCT((A69=$Y$5:$Y$43)*$E$5:$E$43)/COUNTIF($Y$5:$Y$43,A69),0)</f>
        <v>0.125</v>
      </c>
      <c r="J69" s="245">
        <f t="shared" si="17"/>
        <v>2.3460410557184751E-2</v>
      </c>
      <c r="K69" s="246">
        <f t="shared" si="18"/>
        <v>2.5000000000000001E-3</v>
      </c>
      <c r="L69" s="232"/>
      <c r="M69" s="232"/>
      <c r="N69" s="232"/>
      <c r="O69" s="232"/>
      <c r="P69" s="232"/>
      <c r="Q69" s="232"/>
      <c r="R69" s="232"/>
      <c r="S69" s="232"/>
      <c r="T69" s="232"/>
      <c r="U69" s="232"/>
      <c r="V69" s="232"/>
      <c r="W69" s="232"/>
      <c r="X69" s="232"/>
      <c r="Y69" s="43"/>
    </row>
    <row r="70" spans="1:25">
      <c r="A70" s="232" t="str">
        <f t="shared" si="13"/>
        <v>PE010 Benjamin Rego Jr.</v>
      </c>
      <c r="B70" s="232"/>
      <c r="C70" s="232"/>
      <c r="D70" s="232">
        <f t="shared" si="14"/>
        <v>2022</v>
      </c>
      <c r="E70" s="214">
        <f t="array" ref="E70">SUM(IF($A70=$Y$5:$Y$43,$C$5:$C$43,0))</f>
        <v>450000</v>
      </c>
      <c r="F70" s="214">
        <f t="array" ref="F70">SUM(IF($A70=$Y$5:$Y$43,$G$5:$G$43,0))</f>
        <v>18000</v>
      </c>
      <c r="G70" s="214">
        <f t="shared" si="15"/>
        <v>99917.349915381637</v>
      </c>
      <c r="H70" s="214">
        <f t="shared" si="16"/>
        <v>549917.34991538164</v>
      </c>
      <c r="I70" s="245">
        <f t="array" ref="I70">IF(A70&gt;"",SUMPRODUCT((A70=$Y$5:$Y$43)*$E$5:$E$43)/COUNTIF($Y$5:$Y$43,A70),0)</f>
        <v>0.1</v>
      </c>
      <c r="J70" s="245">
        <f t="shared" si="17"/>
        <v>1.0557184750733138E-2</v>
      </c>
      <c r="K70" s="246">
        <f t="shared" si="18"/>
        <v>9.0000000000000008E-4</v>
      </c>
      <c r="L70" s="232"/>
      <c r="M70" s="232"/>
      <c r="N70" s="232"/>
      <c r="O70" s="232"/>
      <c r="P70" s="232"/>
      <c r="Q70" s="232"/>
      <c r="R70" s="232"/>
      <c r="S70" s="232"/>
      <c r="T70" s="232"/>
      <c r="U70" s="232"/>
      <c r="V70" s="232"/>
      <c r="W70" s="232"/>
      <c r="X70" s="232"/>
      <c r="Y70" s="43"/>
    </row>
    <row r="71" spans="1:25">
      <c r="A71" s="232" t="str">
        <f t="shared" si="13"/>
        <v>PE011 Benjamin Rego Jr.</v>
      </c>
      <c r="B71" s="232"/>
      <c r="C71" s="232"/>
      <c r="D71" s="232">
        <f t="shared" si="14"/>
        <v>2022</v>
      </c>
      <c r="E71" s="214">
        <f t="array" ref="E71">SUM(IF($A71=$Y$5:$Y$43,$C$5:$C$43,0))</f>
        <v>50000</v>
      </c>
      <c r="F71" s="214">
        <f t="array" ref="F71">SUM(IF($A71=$Y$5:$Y$43,$G$5:$G$43,0))</f>
        <v>2000</v>
      </c>
      <c r="G71" s="214">
        <f t="shared" si="15"/>
        <v>11089.045652626322</v>
      </c>
      <c r="H71" s="214">
        <f t="shared" si="16"/>
        <v>61089.045652626322</v>
      </c>
      <c r="I71" s="245">
        <f t="array" ref="I71">IF(A71&gt;"",SUMPRODUCT((A71=$Y$5:$Y$43)*$E$5:$E$43)/COUNTIF($Y$5:$Y$43,A71),0)</f>
        <v>0.1</v>
      </c>
      <c r="J71" s="245">
        <f t="shared" si="17"/>
        <v>1.1730205278592375E-3</v>
      </c>
      <c r="K71" s="246">
        <f t="shared" si="18"/>
        <v>1E-4</v>
      </c>
      <c r="L71" s="232"/>
      <c r="M71" s="232"/>
      <c r="N71" s="247"/>
      <c r="O71" s="219"/>
      <c r="P71" s="232"/>
      <c r="Q71" s="232"/>
      <c r="R71" s="232"/>
      <c r="S71" s="232"/>
      <c r="T71" s="232"/>
      <c r="U71" s="232"/>
      <c r="V71" s="232"/>
      <c r="W71" s="232"/>
      <c r="X71" s="232"/>
      <c r="Y71" s="43"/>
    </row>
    <row r="72" spans="1:25">
      <c r="A72" s="232" t="str">
        <f t="shared" si="13"/>
        <v>PE012 Benjamin Rego Jr._1</v>
      </c>
      <c r="B72" s="232"/>
      <c r="C72" s="232"/>
      <c r="D72" s="232">
        <f t="shared" si="14"/>
        <v>2023</v>
      </c>
      <c r="E72" s="214">
        <f t="array" ref="E72">SUM(IF($A72=$Y$5:$Y$43,$C$5:$C$43,0))</f>
        <v>100000</v>
      </c>
      <c r="F72" s="214">
        <f t="array" ref="F72">SUM(IF($A72=$Y$5:$Y$43,$G$5:$G$43,0))</f>
        <v>4000</v>
      </c>
      <c r="G72" s="214">
        <f t="shared" si="15"/>
        <v>13510.158901180723</v>
      </c>
      <c r="H72" s="214">
        <f t="shared" si="16"/>
        <v>113510.15890118072</v>
      </c>
      <c r="I72" s="245">
        <f t="array" ref="I72">IF(A72&gt;"",SUMPRODUCT((A72=$Y$5:$Y$43)*$E$5:$E$43)/COUNTIF($Y$5:$Y$43,A72),0)</f>
        <v>5.2999999999999999E-2</v>
      </c>
      <c r="J72" s="245">
        <f t="shared" si="17"/>
        <v>2.3460410557184751E-3</v>
      </c>
      <c r="K72" s="246">
        <f t="shared" si="18"/>
        <v>1.06E-4</v>
      </c>
      <c r="L72" s="232"/>
      <c r="M72" s="232"/>
      <c r="N72" s="247"/>
      <c r="O72" s="232"/>
      <c r="P72" s="232"/>
      <c r="Q72" s="232"/>
      <c r="R72" s="232"/>
      <c r="S72" s="232"/>
      <c r="T72" s="232"/>
      <c r="U72" s="232"/>
      <c r="V72" s="232"/>
      <c r="W72" s="232"/>
      <c r="X72" s="232"/>
      <c r="Y72" s="43"/>
    </row>
    <row r="73" spans="1:25">
      <c r="A73" s="232" t="str">
        <f t="shared" si="13"/>
        <v>PE013 Benjamin Rego Jr._1</v>
      </c>
      <c r="B73" s="232"/>
      <c r="C73" s="232"/>
      <c r="D73" s="232">
        <f t="shared" si="14"/>
        <v>2023</v>
      </c>
      <c r="E73" s="214">
        <f t="array" ref="E73">SUM(IF($A73=$Y$5:$Y$43,$C$5:$C$43,0))</f>
        <v>300000</v>
      </c>
      <c r="F73" s="214">
        <f t="array" ref="F73">SUM(IF($A73=$Y$5:$Y$43,$G$5:$G$43,0))</f>
        <v>12000</v>
      </c>
      <c r="G73" s="214">
        <f t="shared" si="15"/>
        <v>40315.140049688227</v>
      </c>
      <c r="H73" s="214">
        <f t="shared" si="16"/>
        <v>340315.14004968823</v>
      </c>
      <c r="I73" s="245">
        <f t="array" ref="I73">IF(A73&gt;"",SUMPRODUCT((A73=$Y$5:$Y$43)*$E$5:$E$43)/COUNTIF($Y$5:$Y$43,A73),0)</f>
        <v>5.2999999999999999E-2</v>
      </c>
      <c r="J73" s="245">
        <f t="shared" si="17"/>
        <v>7.0381231671554252E-3</v>
      </c>
      <c r="K73" s="246">
        <f t="shared" si="18"/>
        <v>3.1799999999999998E-4</v>
      </c>
      <c r="L73" s="232"/>
      <c r="M73" s="232"/>
      <c r="N73" s="247"/>
      <c r="O73" s="232"/>
      <c r="P73" s="232"/>
      <c r="Q73" s="232"/>
      <c r="R73" s="232"/>
      <c r="S73" s="232"/>
      <c r="T73" s="232"/>
      <c r="U73" s="232"/>
      <c r="V73" s="232"/>
      <c r="W73" s="232"/>
      <c r="X73" s="232"/>
      <c r="Y73" s="43"/>
    </row>
    <row r="74" spans="1:25">
      <c r="A74" s="232" t="str">
        <f t="shared" si="13"/>
        <v>PE014 Benjamin Rego Jr._1</v>
      </c>
      <c r="B74" s="232"/>
      <c r="C74" s="232"/>
      <c r="D74" s="232">
        <f t="shared" si="14"/>
        <v>2023</v>
      </c>
      <c r="E74" s="214">
        <f t="array" ref="E74">SUM(IF($A74=$Y$5:$Y$43,$C$5:$C$43,0))</f>
        <v>600000</v>
      </c>
      <c r="F74" s="214">
        <f t="array" ref="F74">SUM(IF($A74=$Y$5:$Y$43,$G$5:$G$43,0))</f>
        <v>24000</v>
      </c>
      <c r="G74" s="214">
        <f t="shared" si="15"/>
        <v>80199.879130725982</v>
      </c>
      <c r="H74" s="214">
        <f t="shared" si="16"/>
        <v>680199.87913072598</v>
      </c>
      <c r="I74" s="245">
        <f t="array" ref="I74">IF(A74&gt;"",SUMPRODUCT((A74=$Y$5:$Y$43)*$E$5:$E$43)/COUNTIF($Y$5:$Y$43,A74),0)</f>
        <v>5.2999999999999999E-2</v>
      </c>
      <c r="J74" s="245">
        <f t="shared" si="17"/>
        <v>1.407624633431085E-2</v>
      </c>
      <c r="K74" s="246">
        <f t="shared" si="18"/>
        <v>6.3599999999999996E-4</v>
      </c>
      <c r="L74" s="232"/>
      <c r="M74" s="232"/>
      <c r="N74" s="232"/>
      <c r="O74" s="232"/>
      <c r="P74" s="232"/>
      <c r="Q74" s="232"/>
      <c r="R74" s="232"/>
      <c r="S74" s="232"/>
      <c r="T74" s="232"/>
      <c r="U74" s="232"/>
      <c r="V74" s="232"/>
      <c r="W74" s="232"/>
      <c r="X74" s="232"/>
      <c r="Y74" s="43"/>
    </row>
    <row r="75" spans="1:25">
      <c r="A75" s="232" t="str">
        <f t="shared" si="13"/>
        <v>PE015 LBCW Holdings, LP</v>
      </c>
      <c r="B75" s="232"/>
      <c r="C75" s="232"/>
      <c r="D75" s="232">
        <f t="shared" si="14"/>
        <v>2022</v>
      </c>
      <c r="E75" s="214">
        <f t="array" ref="E75">SUM(IF($A75=$Y$5:$Y$43,$C$5:$C$43,0))</f>
        <v>500000</v>
      </c>
      <c r="F75" s="214">
        <f t="array" ref="F75">SUM(IF($A75=$Y$5:$Y$43,$G$5:$G$43,0))</f>
        <v>20000</v>
      </c>
      <c r="G75" s="214">
        <f t="shared" si="15"/>
        <v>110761.66252812603</v>
      </c>
      <c r="H75" s="214">
        <f t="shared" si="16"/>
        <v>610761.66252812603</v>
      </c>
      <c r="I75" s="245">
        <f t="array" ref="I75">IF(A75&gt;"",SUMPRODUCT((A75=$Y$5:$Y$43)*$E$5:$E$43)/COUNTIF($Y$5:$Y$43,A75),0)</f>
        <v>0.1</v>
      </c>
      <c r="J75" s="245">
        <f t="shared" si="17"/>
        <v>1.1730205278592375E-2</v>
      </c>
      <c r="K75" s="246">
        <f t="shared" si="18"/>
        <v>1E-3</v>
      </c>
      <c r="L75" s="232"/>
      <c r="M75" s="232"/>
      <c r="N75" s="232"/>
      <c r="O75" s="232"/>
      <c r="P75" s="232"/>
      <c r="Q75" s="232"/>
      <c r="R75" s="232"/>
      <c r="S75" s="232"/>
      <c r="T75" s="232"/>
      <c r="U75" s="232"/>
      <c r="V75" s="232"/>
      <c r="W75" s="232"/>
      <c r="X75" s="232"/>
      <c r="Y75" s="43"/>
    </row>
    <row r="76" spans="1:25">
      <c r="A76" s="232" t="str">
        <f t="shared" si="13"/>
        <v>PE016 LBCW Holdings, LP</v>
      </c>
      <c r="B76" s="232"/>
      <c r="C76" s="232"/>
      <c r="D76" s="232">
        <f t="shared" si="14"/>
        <v>2022</v>
      </c>
      <c r="E76" s="214">
        <f t="array" ref="E76">SUM(IF($A76=$Y$5:$Y$43,$C$5:$C$43,0))</f>
        <v>500000</v>
      </c>
      <c r="F76" s="214">
        <f t="array" ref="F76">SUM(IF($A76=$Y$5:$Y$43,$G$5:$G$43,0))</f>
        <v>20000</v>
      </c>
      <c r="G76" s="214">
        <f t="shared" si="15"/>
        <v>102194.03470032592</v>
      </c>
      <c r="H76" s="214">
        <f t="shared" si="16"/>
        <v>602194.03470032592</v>
      </c>
      <c r="I76" s="245">
        <f t="array" ref="I76">IF(A76&gt;"",SUMPRODUCT((A76=$Y$5:$Y$43)*$E$5:$E$43)/COUNTIF($Y$5:$Y$43,A76),0)</f>
        <v>0.1</v>
      </c>
      <c r="J76" s="245">
        <f t="shared" si="17"/>
        <v>1.1730205278592375E-2</v>
      </c>
      <c r="K76" s="246">
        <f t="shared" si="18"/>
        <v>1E-3</v>
      </c>
      <c r="L76" s="232"/>
      <c r="M76" s="232"/>
      <c r="N76" s="232"/>
      <c r="O76" s="232"/>
      <c r="P76" s="232"/>
      <c r="Q76" s="232"/>
      <c r="R76" s="232"/>
      <c r="S76" s="232"/>
      <c r="T76" s="232"/>
      <c r="U76" s="232"/>
      <c r="V76" s="232"/>
      <c r="W76" s="232"/>
      <c r="X76" s="232"/>
      <c r="Y76" s="43"/>
    </row>
    <row r="77" spans="1:25">
      <c r="A77" s="232" t="str">
        <f t="shared" si="13"/>
        <v>PE017 Arbor Green II LP</v>
      </c>
      <c r="B77" s="232"/>
      <c r="C77" s="232"/>
      <c r="D77" s="232">
        <f t="shared" si="14"/>
        <v>2022</v>
      </c>
      <c r="E77" s="214">
        <f t="array" ref="E77">SUM(IF($A77=$Y$5:$Y$43,$C$5:$C$43,0))</f>
        <v>1000000</v>
      </c>
      <c r="F77" s="214">
        <f t="array" ref="F77">SUM(IF($A77=$Y$5:$Y$43,$G$5:$G$43,0))</f>
        <v>40000</v>
      </c>
      <c r="G77" s="214">
        <f t="shared" si="15"/>
        <v>179010.51821166952</v>
      </c>
      <c r="H77" s="214">
        <f t="shared" si="16"/>
        <v>1179010.5182116695</v>
      </c>
      <c r="I77" s="245">
        <f t="array" ref="I77">IF(A77&gt;"",SUMPRODUCT((A77=$Y$5:$Y$43)*$E$5:$E$43)/COUNTIF($Y$5:$Y$43,A77),0)</f>
        <v>0.1</v>
      </c>
      <c r="J77" s="245">
        <f t="shared" si="17"/>
        <v>2.3460410557184751E-2</v>
      </c>
      <c r="K77" s="246">
        <f t="shared" si="18"/>
        <v>2E-3</v>
      </c>
      <c r="L77" s="232"/>
      <c r="M77" s="232"/>
      <c r="N77" s="232"/>
      <c r="O77" s="232"/>
      <c r="P77" s="232"/>
      <c r="Q77" s="232"/>
      <c r="R77" s="232"/>
      <c r="S77" s="232"/>
      <c r="T77" s="232"/>
      <c r="U77" s="232"/>
      <c r="V77" s="232"/>
      <c r="W77" s="232"/>
      <c r="X77" s="232"/>
      <c r="Y77" s="43"/>
    </row>
    <row r="78" spans="1:25">
      <c r="A78" s="232" t="str">
        <f t="shared" si="13"/>
        <v>PE018 Todd &amp; Stephanie Routh</v>
      </c>
      <c r="B78" s="232"/>
      <c r="C78" s="232"/>
      <c r="D78" s="232">
        <f t="shared" si="14"/>
        <v>2022</v>
      </c>
      <c r="E78" s="214">
        <f t="array" ref="E78">SUM(IF($A78=$Y$5:$Y$43,$C$5:$C$43,0))</f>
        <v>325000</v>
      </c>
      <c r="F78" s="214">
        <f t="array" ref="F78">SUM(IF($A78=$Y$5:$Y$43,$G$5:$G$43,0))</f>
        <v>13000</v>
      </c>
      <c r="G78" s="214">
        <f t="shared" si="15"/>
        <v>57613.277585052245</v>
      </c>
      <c r="H78" s="214">
        <f t="shared" si="16"/>
        <v>382613.27758505224</v>
      </c>
      <c r="I78" s="245">
        <f t="array" ref="I78">IF(A78&gt;"",SUMPRODUCT((A78=$Y$5:$Y$43)*$E$5:$E$43)/COUNTIF($Y$5:$Y$43,A78),0)</f>
        <v>0.1</v>
      </c>
      <c r="J78" s="245">
        <f t="shared" si="17"/>
        <v>7.624633431085044E-3</v>
      </c>
      <c r="K78" s="246">
        <f t="shared" si="18"/>
        <v>6.5000000000000008E-4</v>
      </c>
      <c r="L78" s="232"/>
      <c r="M78" s="232"/>
      <c r="N78" s="232"/>
      <c r="O78" s="232"/>
      <c r="P78" s="232"/>
      <c r="Q78" s="232"/>
      <c r="R78" s="232"/>
      <c r="S78" s="232"/>
      <c r="T78" s="232"/>
      <c r="U78" s="232"/>
      <c r="V78" s="232"/>
      <c r="W78" s="232"/>
      <c r="X78" s="232"/>
      <c r="Y78" s="43"/>
    </row>
    <row r="79" spans="1:25">
      <c r="A79" s="232" t="str">
        <f t="shared" si="13"/>
        <v>PE019 Todd &amp; Stephanie Routh</v>
      </c>
      <c r="B79" s="232"/>
      <c r="C79" s="232"/>
      <c r="D79" s="232">
        <f t="shared" si="14"/>
        <v>2022</v>
      </c>
      <c r="E79" s="214">
        <f t="array" ref="E79">SUM(IF($A79=$Y$5:$Y$43,$C$5:$C$43,0))</f>
        <v>100000</v>
      </c>
      <c r="F79" s="214">
        <f t="array" ref="F79">SUM(IF($A79=$Y$5:$Y$43,$G$5:$G$43,0))</f>
        <v>4000</v>
      </c>
      <c r="G79" s="214">
        <f t="shared" si="15"/>
        <v>17727.162333862216</v>
      </c>
      <c r="H79" s="214">
        <f t="shared" si="16"/>
        <v>117727.16233386222</v>
      </c>
      <c r="I79" s="245">
        <f t="array" ref="I79">IF(A79&gt;"",SUMPRODUCT((A79=$Y$5:$Y$43)*$E$5:$E$43)/COUNTIF($Y$5:$Y$43,A79),0)</f>
        <v>0.1</v>
      </c>
      <c r="J79" s="245">
        <f t="shared" si="17"/>
        <v>2.3460410557184751E-3</v>
      </c>
      <c r="K79" s="246">
        <f t="shared" si="18"/>
        <v>2.0000000000000001E-4</v>
      </c>
      <c r="L79" s="232"/>
      <c r="M79" s="232"/>
      <c r="N79" s="232"/>
      <c r="O79" s="232"/>
      <c r="P79" s="232"/>
      <c r="Q79" s="232"/>
      <c r="R79" s="232"/>
      <c r="S79" s="232"/>
      <c r="T79" s="232"/>
      <c r="U79" s="232"/>
      <c r="V79" s="232"/>
      <c r="W79" s="232"/>
      <c r="X79" s="232"/>
      <c r="Y79" s="43"/>
    </row>
    <row r="80" spans="1:25">
      <c r="A80" s="232" t="str">
        <f t="shared" si="13"/>
        <v>PE020 Todd &amp; Stephanie Routh</v>
      </c>
      <c r="B80" s="232"/>
      <c r="C80" s="232"/>
      <c r="D80" s="232">
        <f t="shared" si="14"/>
        <v>2022</v>
      </c>
      <c r="E80" s="214">
        <f t="array" ref="E80">SUM(IF($A80=$Y$5:$Y$43,$C$5:$C$43,0))</f>
        <v>575000</v>
      </c>
      <c r="F80" s="214">
        <f t="array" ref="F80">SUM(IF($A80=$Y$5:$Y$43,$G$5:$G$43,0))</f>
        <v>23000</v>
      </c>
      <c r="G80" s="214">
        <f t="shared" si="15"/>
        <v>98798.342307199258</v>
      </c>
      <c r="H80" s="214">
        <f t="shared" si="16"/>
        <v>673798.34230719926</v>
      </c>
      <c r="I80" s="245">
        <f t="array" ref="I80">IF(A80&gt;"",SUMPRODUCT((A80=$Y$5:$Y$43)*$E$5:$E$43)/COUNTIF($Y$5:$Y$43,A80),0)</f>
        <v>0.1</v>
      </c>
      <c r="J80" s="245">
        <f t="shared" si="17"/>
        <v>1.3489736070381233E-2</v>
      </c>
      <c r="K80" s="246">
        <f t="shared" si="18"/>
        <v>1.1500000000000002E-3</v>
      </c>
      <c r="L80" s="232"/>
      <c r="M80" s="232"/>
      <c r="N80" s="232"/>
      <c r="O80" s="232"/>
      <c r="P80" s="232"/>
      <c r="Q80" s="232"/>
      <c r="R80" s="232"/>
      <c r="S80" s="232"/>
      <c r="T80" s="232"/>
      <c r="U80" s="232"/>
      <c r="V80" s="232"/>
      <c r="W80" s="232"/>
      <c r="X80" s="232"/>
      <c r="Y80" s="43"/>
    </row>
    <row r="81" spans="1:25">
      <c r="A81" s="232" t="str">
        <f t="shared" si="13"/>
        <v>PE021 Todd &amp; Stephanie Routh</v>
      </c>
      <c r="B81" s="232"/>
      <c r="C81" s="232"/>
      <c r="D81" s="232">
        <f t="shared" si="14"/>
        <v>2022</v>
      </c>
      <c r="E81" s="214">
        <f t="array" ref="E81">SUM(IF($A81=$Y$5:$Y$43,$C$5:$C$43,0))</f>
        <v>1000000</v>
      </c>
      <c r="F81" s="214">
        <f t="array" ref="F81">SUM(IF($A81=$Y$5:$Y$43,$G$5:$G$43,0))</f>
        <v>40000</v>
      </c>
      <c r="G81" s="214">
        <f t="shared" si="15"/>
        <v>205912.7206349906</v>
      </c>
      <c r="H81" s="214">
        <f t="shared" si="16"/>
        <v>1205912.7206349906</v>
      </c>
      <c r="I81" s="245">
        <f t="array" ref="I81">IF(A81&gt;"",SUMPRODUCT((A81=$Y$5:$Y$43)*$E$5:$E$43)/COUNTIF($Y$5:$Y$43,A81),0)</f>
        <v>0.1</v>
      </c>
      <c r="J81" s="245">
        <f t="shared" si="17"/>
        <v>2.3460410557184751E-2</v>
      </c>
      <c r="K81" s="246">
        <f t="shared" si="18"/>
        <v>2E-3</v>
      </c>
      <c r="L81" s="232"/>
      <c r="M81" s="232"/>
      <c r="N81" s="232"/>
      <c r="O81" s="232"/>
      <c r="P81" s="232"/>
      <c r="Q81" s="232"/>
      <c r="R81" s="232"/>
      <c r="S81" s="232"/>
      <c r="T81" s="232"/>
      <c r="U81" s="232"/>
      <c r="V81" s="232"/>
      <c r="W81" s="232"/>
      <c r="X81" s="232"/>
      <c r="Y81" s="43"/>
    </row>
    <row r="82" spans="1:25">
      <c r="A82" s="232" t="str">
        <f t="shared" si="13"/>
        <v>PE022 Huston Street</v>
      </c>
      <c r="B82" s="232"/>
      <c r="C82" s="232"/>
      <c r="D82" s="232">
        <f t="shared" si="14"/>
        <v>2022</v>
      </c>
      <c r="E82" s="214">
        <f t="array" ref="E82">SUM(IF($A82=$Y$5:$Y$43,$C$5:$C$43,0))</f>
        <v>1000000</v>
      </c>
      <c r="F82" s="214">
        <f t="array" ref="F82">SUM(IF($A82=$Y$5:$Y$43,$G$5:$G$43,0))</f>
        <v>40000</v>
      </c>
      <c r="G82" s="214">
        <f t="shared" si="15"/>
        <v>171823.20401252038</v>
      </c>
      <c r="H82" s="214">
        <f t="shared" si="16"/>
        <v>1171823.2040125204</v>
      </c>
      <c r="I82" s="245">
        <f t="array" ref="I82">IF(A82&gt;"",SUMPRODUCT((A82=$Y$5:$Y$43)*$E$5:$E$43)/COUNTIF($Y$5:$Y$43,A82),0)</f>
        <v>0.1</v>
      </c>
      <c r="J82" s="245">
        <f t="shared" si="17"/>
        <v>2.3460410557184751E-2</v>
      </c>
      <c r="K82" s="246">
        <f t="shared" si="18"/>
        <v>2E-3</v>
      </c>
      <c r="L82" s="232"/>
      <c r="M82" s="232"/>
      <c r="N82" s="232"/>
      <c r="O82" s="232"/>
      <c r="P82" s="232"/>
      <c r="Q82" s="232"/>
      <c r="R82" s="232"/>
      <c r="S82" s="232"/>
      <c r="T82" s="232"/>
      <c r="U82" s="232"/>
      <c r="V82" s="232"/>
      <c r="W82" s="232"/>
      <c r="X82" s="232"/>
      <c r="Y82" s="43"/>
    </row>
    <row r="83" spans="1:25">
      <c r="A83" s="232" t="str">
        <f t="shared" si="13"/>
        <v>PE023 Bruner Interests LLC</v>
      </c>
      <c r="B83" s="232"/>
      <c r="C83" s="232"/>
      <c r="D83" s="232">
        <f t="shared" si="14"/>
        <v>2023</v>
      </c>
      <c r="E83" s="214">
        <f t="array" ref="E83">SUM(IF($A83=$Y$5:$Y$43,$C$5:$C$43,0))</f>
        <v>500000</v>
      </c>
      <c r="F83" s="214">
        <f t="array" ref="F83">SUM(IF($A83=$Y$5:$Y$43,$G$5:$G$43,0))</f>
        <v>20000</v>
      </c>
      <c r="G83" s="214">
        <f t="shared" si="15"/>
        <v>75140.257787869545</v>
      </c>
      <c r="H83" s="214">
        <f t="shared" si="16"/>
        <v>575140.25778786954</v>
      </c>
      <c r="I83" s="245">
        <f t="array" ref="I83">IF(A83&gt;"",SUMPRODUCT((A83=$Y$5:$Y$43)*$E$5:$E$43)/COUNTIF($Y$5:$Y$43,A83),0)</f>
        <v>5.2999999999999999E-2</v>
      </c>
      <c r="J83" s="245">
        <f t="shared" si="17"/>
        <v>1.1730205278592375E-2</v>
      </c>
      <c r="K83" s="246">
        <f t="shared" si="18"/>
        <v>5.2999999999999998E-4</v>
      </c>
      <c r="L83" s="232"/>
      <c r="M83" s="232"/>
      <c r="N83" s="232"/>
      <c r="O83" s="232"/>
      <c r="P83" s="232"/>
      <c r="Q83" s="232"/>
      <c r="R83" s="232"/>
      <c r="S83" s="232"/>
      <c r="T83" s="232"/>
      <c r="U83" s="232"/>
      <c r="V83" s="232"/>
      <c r="W83" s="232"/>
      <c r="X83" s="232"/>
      <c r="Y83" s="43"/>
    </row>
    <row r="84" spans="1:25">
      <c r="A84" s="232" t="str">
        <f t="shared" si="13"/>
        <v>PE024 Bruner Interests LLC</v>
      </c>
      <c r="B84" s="232"/>
      <c r="C84" s="232"/>
      <c r="D84" s="232">
        <f t="shared" si="14"/>
        <v>2024</v>
      </c>
      <c r="E84" s="214">
        <f t="array" ref="E84">SUM(IF($A84=$Y$5:$Y$43,$C$5:$C$43,0))</f>
        <v>125000</v>
      </c>
      <c r="F84" s="214">
        <f t="array" ref="F84">SUM(IF($A84=$Y$5:$Y$43,$G$5:$G$43,0))</f>
        <v>5000</v>
      </c>
      <c r="G84" s="214">
        <f t="shared" si="15"/>
        <v>6211.3964372542105</v>
      </c>
      <c r="H84" s="214">
        <f t="shared" si="16"/>
        <v>131211.39643725421</v>
      </c>
      <c r="I84" s="245">
        <f t="array" ref="I84">IF(A84&gt;"",SUMPRODUCT((A84=$Y$5:$Y$43)*$E$5:$E$43)/COUNTIF($Y$5:$Y$43,A84),0)</f>
        <v>5.2999999999999999E-2</v>
      </c>
      <c r="J84" s="245">
        <f t="shared" si="17"/>
        <v>2.9325513196480938E-3</v>
      </c>
      <c r="K84" s="246">
        <f t="shared" si="18"/>
        <v>1.325E-4</v>
      </c>
      <c r="L84" s="232"/>
      <c r="M84" s="232"/>
      <c r="N84" s="232"/>
      <c r="O84" s="232"/>
      <c r="P84" s="232"/>
      <c r="Q84" s="232"/>
      <c r="R84" s="232"/>
      <c r="S84" s="232"/>
      <c r="T84" s="232"/>
      <c r="U84" s="232"/>
      <c r="V84" s="232"/>
      <c r="W84" s="232"/>
      <c r="X84" s="232"/>
      <c r="Y84" s="43"/>
    </row>
    <row r="85" spans="1:25">
      <c r="A85" s="232" t="str">
        <f t="shared" si="13"/>
        <v>PE025 Sandollar Holdings Limited</v>
      </c>
      <c r="B85" s="232"/>
      <c r="C85" s="232"/>
      <c r="D85" s="232">
        <f t="shared" si="14"/>
        <v>2024</v>
      </c>
      <c r="E85" s="214">
        <f t="array" ref="E85">SUM(IF($A85=$Y$5:$Y$43,$C$5:$C$43,0))</f>
        <v>250000</v>
      </c>
      <c r="F85" s="214">
        <f t="array" ref="F85">SUM(IF($A85=$Y$5:$Y$43,$G$5:$G$43,0))</f>
        <v>10000</v>
      </c>
      <c r="G85" s="214">
        <f t="shared" si="15"/>
        <v>6460.3393220201251</v>
      </c>
      <c r="H85" s="214">
        <f t="shared" si="16"/>
        <v>256460.33932202013</v>
      </c>
      <c r="I85" s="245">
        <f t="array" ref="I85">IF(A85&gt;"",SUMPRODUCT((A85=$Y$5:$Y$43)*$E$5:$E$43)/COUNTIF($Y$5:$Y$43,A85),0)</f>
        <v>5.2999999999999999E-2</v>
      </c>
      <c r="J85" s="245">
        <f t="shared" si="17"/>
        <v>5.8651026392961877E-3</v>
      </c>
      <c r="K85" s="246">
        <f t="shared" si="18"/>
        <v>2.6499999999999999E-4</v>
      </c>
      <c r="L85" s="232"/>
      <c r="M85" s="232"/>
      <c r="N85" s="232"/>
      <c r="O85" s="232"/>
      <c r="P85" s="232"/>
      <c r="Q85" s="232"/>
      <c r="R85" s="232"/>
      <c r="S85" s="232"/>
      <c r="T85" s="232"/>
      <c r="U85" s="232"/>
      <c r="V85" s="232"/>
      <c r="W85" s="232"/>
      <c r="X85" s="232"/>
      <c r="Y85" s="43"/>
    </row>
    <row r="86" spans="1:25">
      <c r="A86" s="232" t="str">
        <f t="shared" si="13"/>
        <v>PE026 James Neuhauser (Jim)</v>
      </c>
      <c r="B86" s="232"/>
      <c r="C86" s="232"/>
      <c r="D86" s="232">
        <f t="shared" si="14"/>
        <v>2024</v>
      </c>
      <c r="E86" s="214">
        <f t="array" ref="E86">SUM(IF($A86=$Y$5:$Y$43,$C$5:$C$43,0))</f>
        <v>250000</v>
      </c>
      <c r="F86" s="214">
        <f t="array" ref="F86">SUM(IF($A86=$Y$5:$Y$43,$G$5:$G$43,0))</f>
        <v>10000</v>
      </c>
      <c r="G86" s="214">
        <f t="shared" si="15"/>
        <v>6460.3393220201251</v>
      </c>
      <c r="H86" s="214">
        <f t="shared" si="16"/>
        <v>256460.33932202013</v>
      </c>
      <c r="I86" s="245">
        <f t="array" ref="I86">IF(A86&gt;"",SUMPRODUCT((A86=$Y$5:$Y$43)*$E$5:$E$43)/COUNTIF($Y$5:$Y$43,A86),0)</f>
        <v>5.2999999999999999E-2</v>
      </c>
      <c r="J86" s="245">
        <f t="shared" si="17"/>
        <v>5.8651026392961877E-3</v>
      </c>
      <c r="K86" s="246">
        <f t="shared" si="18"/>
        <v>2.6499999999999999E-4</v>
      </c>
      <c r="L86" s="232"/>
      <c r="M86" s="232"/>
      <c r="N86" s="232"/>
      <c r="O86" s="232"/>
      <c r="P86" s="232"/>
      <c r="Q86" s="232"/>
      <c r="R86" s="232"/>
      <c r="S86" s="232"/>
      <c r="T86" s="232"/>
      <c r="U86" s="232"/>
      <c r="V86" s="232"/>
      <c r="W86" s="232"/>
      <c r="X86" s="232"/>
      <c r="Y86" s="43"/>
    </row>
    <row r="87" spans="1:25">
      <c r="A87" s="232" t="str">
        <f t="shared" si="13"/>
        <v>PE027 PFNGT LLC_side letter part % adj.</v>
      </c>
      <c r="B87" s="232"/>
      <c r="C87" s="232"/>
      <c r="D87" s="232">
        <f t="shared" si="14"/>
        <v>2024</v>
      </c>
      <c r="E87" s="214">
        <f t="array" ref="E87">SUM(IF($A87=$Y$5:$Y$43,$C$5:$C$43,0))</f>
        <v>0</v>
      </c>
      <c r="F87" s="214">
        <f t="array" ref="F87">SUM(IF($A87=$Y$5:$Y$43,$G$5:$G$43,0))</f>
        <v>200000</v>
      </c>
      <c r="G87" s="214">
        <f t="shared" si="15"/>
        <v>0</v>
      </c>
      <c r="H87" s="214">
        <f t="shared" si="16"/>
        <v>0</v>
      </c>
      <c r="I87" s="245">
        <f t="array" ref="I87">IF(A87&gt;"",SUMPRODUCT((A87=$Y$5:$Y$43)*$E$5:$E$43)/COUNTIF($Y$5:$Y$43,A87),0)</f>
        <v>2.5</v>
      </c>
      <c r="J87" s="245">
        <f t="shared" si="17"/>
        <v>0.11730205278592376</v>
      </c>
      <c r="K87" s="246">
        <f t="shared" si="18"/>
        <v>0.25</v>
      </c>
      <c r="L87" s="232"/>
      <c r="M87" s="232"/>
      <c r="N87" s="232"/>
      <c r="O87" s="232"/>
      <c r="P87" s="232"/>
      <c r="Q87" s="232"/>
      <c r="R87" s="232"/>
      <c r="S87" s="232"/>
      <c r="T87" s="232"/>
      <c r="U87" s="232"/>
      <c r="V87" s="232"/>
      <c r="W87" s="232"/>
      <c r="X87" s="232"/>
      <c r="Y87" s="43"/>
    </row>
    <row r="88" spans="1:25">
      <c r="A88" s="232" t="str">
        <f t="shared" si="13"/>
        <v>PE028 La Pointe Investments LLC</v>
      </c>
      <c r="B88" s="232"/>
      <c r="C88" s="232"/>
      <c r="D88" s="232">
        <f t="shared" si="14"/>
        <v>2024</v>
      </c>
      <c r="E88" s="214">
        <f t="array" ref="E88">SUM(IF($A88=$Y$5:$Y$43,$C$5:$C$43,0))</f>
        <v>4000000</v>
      </c>
      <c r="F88" s="214">
        <f t="array" ref="F88">SUM(IF($A88=$Y$5:$Y$43,$G$5:$G$43,0))</f>
        <v>160000</v>
      </c>
      <c r="G88" s="214">
        <f t="shared" si="15"/>
        <v>69760.851384647656</v>
      </c>
      <c r="H88" s="214">
        <f t="shared" si="16"/>
        <v>4069760.8513846477</v>
      </c>
      <c r="I88" s="245">
        <f t="array" ref="I88">IF(A88&gt;"",SUMPRODUCT((A88=$Y$5:$Y$43)*$E$5:$E$43)/COUNTIF($Y$5:$Y$43,A88),0)</f>
        <v>0.125</v>
      </c>
      <c r="J88" s="245">
        <f t="shared" si="17"/>
        <v>9.3841642228739003E-2</v>
      </c>
      <c r="K88" s="246">
        <f t="shared" si="18"/>
        <v>0.01</v>
      </c>
      <c r="L88" s="232"/>
      <c r="M88" s="232"/>
      <c r="N88" s="232"/>
      <c r="O88" s="232"/>
      <c r="P88" s="232"/>
      <c r="Q88" s="232"/>
      <c r="R88" s="232"/>
      <c r="S88" s="232"/>
      <c r="T88" s="232"/>
      <c r="U88" s="232"/>
      <c r="V88" s="232"/>
      <c r="W88" s="232"/>
      <c r="X88" s="232"/>
      <c r="Y88" s="43"/>
    </row>
    <row r="89" spans="1:25">
      <c r="A89" s="232" t="str">
        <f t="shared" si="13"/>
        <v>PE029 La Pointe Investments LLC</v>
      </c>
      <c r="B89" s="232"/>
      <c r="C89" s="232"/>
      <c r="D89" s="232">
        <f t="shared" si="14"/>
        <v>2024</v>
      </c>
      <c r="E89" s="214">
        <f t="array" ref="E89">SUM(IF($A89=$Y$5:$Y$43,$C$5:$C$43,0))</f>
        <v>4000000</v>
      </c>
      <c r="F89" s="214">
        <f t="array" ref="F89">SUM(IF($A89=$Y$5:$Y$43,$G$5:$G$43,0))</f>
        <v>160000</v>
      </c>
      <c r="G89" s="214">
        <f t="shared" si="15"/>
        <v>30478.241034632549</v>
      </c>
      <c r="H89" s="214">
        <f t="shared" si="16"/>
        <v>4030478.2410346325</v>
      </c>
      <c r="I89" s="245">
        <f t="array" ref="I89">IF(A89&gt;"",SUMPRODUCT((A89=$Y$5:$Y$43)*$E$5:$E$43)/COUNTIF($Y$5:$Y$43,A89),0)</f>
        <v>0.125</v>
      </c>
      <c r="J89" s="245">
        <f t="shared" si="17"/>
        <v>9.3841642228739003E-2</v>
      </c>
      <c r="K89" s="246">
        <f t="shared" si="18"/>
        <v>0.01</v>
      </c>
      <c r="L89" s="232"/>
      <c r="M89" s="232"/>
      <c r="N89" s="232"/>
      <c r="O89" s="232"/>
      <c r="P89" s="232"/>
      <c r="Q89" s="232"/>
      <c r="R89" s="232"/>
      <c r="S89" s="232"/>
      <c r="T89" s="232"/>
      <c r="U89" s="232"/>
      <c r="V89" s="232"/>
      <c r="W89" s="232"/>
      <c r="X89" s="232"/>
      <c r="Y89" s="43"/>
    </row>
    <row r="90" spans="1:25">
      <c r="A90" s="232" t="str">
        <f t="shared" si="13"/>
        <v>PE030 King Partner Pref convert</v>
      </c>
      <c r="B90" s="232"/>
      <c r="C90" s="232"/>
      <c r="D90" s="232">
        <f t="shared" si="14"/>
        <v>2025</v>
      </c>
      <c r="E90" s="214">
        <f t="array" ref="E90">SUM(IF($A90=$Y$5:$Y$43,$C$5:$C$43,0))</f>
        <v>6050000</v>
      </c>
      <c r="F90" s="214">
        <f t="array" ref="F90">SUM(IF($A90=$Y$5:$Y$43,$G$5:$G$43,0))</f>
        <v>242000</v>
      </c>
      <c r="G90" s="214">
        <f t="shared" si="15"/>
        <v>-6050000</v>
      </c>
      <c r="H90" s="214">
        <f t="shared" si="16"/>
        <v>0</v>
      </c>
      <c r="I90" s="245">
        <f t="array" ref="I90">IF(A90&gt;"",SUMPRODUCT((A90=$Y$5:$Y$43)*$E$5:$E$43)/COUNTIF($Y$5:$Y$43,A90),0)</f>
        <v>5.2999999999999999E-2</v>
      </c>
      <c r="J90" s="245">
        <f t="shared" si="17"/>
        <v>0.14193548387096774</v>
      </c>
      <c r="K90" s="246">
        <f t="shared" si="18"/>
        <v>6.4130000000000003E-3</v>
      </c>
      <c r="L90" s="232"/>
      <c r="M90" s="232"/>
      <c r="N90" s="232"/>
      <c r="O90" s="232"/>
      <c r="P90" s="232"/>
      <c r="Q90" s="232"/>
      <c r="R90" s="232"/>
      <c r="S90" s="232"/>
      <c r="T90" s="232"/>
      <c r="U90" s="232"/>
      <c r="V90" s="232"/>
      <c r="W90" s="232"/>
      <c r="X90" s="232"/>
      <c r="Y90" s="43"/>
    </row>
    <row r="91" spans="1:25">
      <c r="A91" s="232" t="str">
        <f t="shared" si="13"/>
        <v>PE031 Edwin2 convert</v>
      </c>
      <c r="B91" s="232"/>
      <c r="C91" s="232"/>
      <c r="D91" s="232">
        <f t="shared" si="14"/>
        <v>2025</v>
      </c>
      <c r="E91" s="214">
        <f t="array" ref="E91">SUM(IF($A91=$Y$5:$Y$43,$C$5:$C$43,0))</f>
        <v>1200000</v>
      </c>
      <c r="F91" s="214">
        <f t="array" ref="F91">SUM(IF($A91=$Y$5:$Y$43,$G$5:$G$43,0))</f>
        <v>48000</v>
      </c>
      <c r="G91" s="214">
        <f t="shared" si="15"/>
        <v>-1200000</v>
      </c>
      <c r="H91" s="214">
        <f t="shared" si="16"/>
        <v>0</v>
      </c>
      <c r="I91" s="245">
        <f t="array" ref="I91">IF(A91&gt;"",SUMPRODUCT((A91=$Y$5:$Y$43)*$E$5:$E$43)/COUNTIF($Y$5:$Y$43,A91),0)</f>
        <v>5.2999999999999999E-2</v>
      </c>
      <c r="J91" s="245">
        <f t="shared" si="17"/>
        <v>2.8152492668621701E-2</v>
      </c>
      <c r="K91" s="246">
        <f t="shared" si="18"/>
        <v>1.2719999999999999E-3</v>
      </c>
      <c r="L91" s="232"/>
      <c r="M91" s="232"/>
      <c r="N91" s="232"/>
      <c r="O91" s="232"/>
      <c r="P91" s="232"/>
      <c r="Q91" s="232"/>
      <c r="R91" s="232"/>
      <c r="S91" s="232"/>
      <c r="T91" s="232"/>
      <c r="U91" s="232"/>
      <c r="V91" s="232"/>
      <c r="W91" s="232"/>
      <c r="X91" s="232"/>
      <c r="Y91" s="43"/>
    </row>
    <row r="92" spans="1:25">
      <c r="A92" s="232" t="str">
        <f t="shared" si="13"/>
        <v>PE032 Buddy</v>
      </c>
      <c r="B92" s="232"/>
      <c r="C92" s="232"/>
      <c r="D92" s="232">
        <f t="shared" si="14"/>
        <v>2026</v>
      </c>
      <c r="E92" s="214">
        <f t="array" ref="E92">SUM(IF($A92=$Y$5:$Y$43,$C$5:$C$43,0))</f>
        <v>1500000</v>
      </c>
      <c r="F92" s="214">
        <f t="array" ref="F92">SUM(IF($A92=$Y$5:$Y$43,$G$5:$G$43,0))</f>
        <v>60000</v>
      </c>
      <c r="G92" s="214">
        <f t="shared" si="15"/>
        <v>-1500000</v>
      </c>
      <c r="H92" s="214">
        <f t="shared" si="16"/>
        <v>0</v>
      </c>
      <c r="I92" s="245">
        <f t="array" ref="I92">IF(A92&gt;"",SUMPRODUCT((A92=$Y$5:$Y$43)*$E$5:$E$43)/COUNTIF($Y$5:$Y$43,A92),0)</f>
        <v>5.2999999999999999E-2</v>
      </c>
      <c r="J92" s="245">
        <f t="shared" si="17"/>
        <v>3.519061583577713E-2</v>
      </c>
      <c r="K92" s="246">
        <f t="shared" si="18"/>
        <v>1.5900000000000003E-3</v>
      </c>
      <c r="L92" s="232"/>
      <c r="M92" s="232"/>
      <c r="N92" s="232"/>
      <c r="O92" s="232"/>
      <c r="P92" s="232"/>
      <c r="Q92" s="232"/>
      <c r="R92" s="232"/>
      <c r="S92" s="232"/>
      <c r="T92" s="232"/>
      <c r="U92" s="232"/>
      <c r="V92" s="232"/>
      <c r="W92" s="232"/>
      <c r="X92" s="232"/>
      <c r="Y92" s="43"/>
    </row>
    <row r="93" spans="1:25">
      <c r="A93" s="232" t="str">
        <f t="shared" si="13"/>
        <v>PE033 PFNGT LLC</v>
      </c>
      <c r="B93" s="232"/>
      <c r="C93" s="232"/>
      <c r="D93" s="232">
        <f t="shared" si="14"/>
        <v>2021</v>
      </c>
      <c r="E93" s="214">
        <f t="array" ref="E93">SUM(IF($A93=$Y$5:$Y$43,$C$5:$C$43,0))</f>
        <v>-1039509</v>
      </c>
      <c r="F93" s="214">
        <f t="array" ref="F93">SUM(IF($A93=$Y$5:$Y$43,$G$5:$G$43,0))</f>
        <v>-41580.36</v>
      </c>
      <c r="G93" s="214">
        <f t="shared" si="15"/>
        <v>-325223.7671990511</v>
      </c>
      <c r="H93" s="214">
        <f t="shared" si="16"/>
        <v>-1364732.7671990511</v>
      </c>
      <c r="I93" s="245">
        <f t="array" ref="I93">IF(A93&gt;"",SUMPRODUCT((A93=$Y$5:$Y$43)*$E$5:$E$43)/COUNTIF($Y$5:$Y$43,A93),0)</f>
        <v>0</v>
      </c>
      <c r="J93" s="245" t="str">
        <f t="shared" si="17"/>
        <v/>
      </c>
      <c r="K93" s="246">
        <f t="shared" si="18"/>
        <v>0</v>
      </c>
      <c r="L93" s="232"/>
      <c r="M93" s="232"/>
      <c r="N93" s="232"/>
      <c r="O93" s="232"/>
      <c r="P93" s="232"/>
      <c r="Q93" s="232"/>
      <c r="R93" s="232"/>
      <c r="S93" s="232"/>
      <c r="T93" s="232"/>
      <c r="U93" s="232"/>
      <c r="V93" s="232"/>
      <c r="W93" s="232"/>
      <c r="X93" s="232"/>
      <c r="Y93" s="43"/>
    </row>
    <row r="94" spans="1:25">
      <c r="A94" s="232" t="str">
        <f t="shared" si="13"/>
        <v>PE034 Cambrian</v>
      </c>
      <c r="B94" s="232"/>
      <c r="C94" s="232"/>
      <c r="D94" s="232">
        <f t="shared" si="14"/>
        <v>2021</v>
      </c>
      <c r="E94" s="214">
        <f t="array" ref="E94">SUM(IF($A94=$Y$5:$Y$43,$C$5:$C$43,0))</f>
        <v>1039509</v>
      </c>
      <c r="F94" s="214">
        <f t="array" ref="F94">SUM(IF($A94=$Y$5:$Y$43,$G$5:$G$43,0))</f>
        <v>41580.36</v>
      </c>
      <c r="G94" s="214">
        <f t="shared" si="15"/>
        <v>325223.7671990511</v>
      </c>
      <c r="H94" s="214">
        <f t="shared" si="16"/>
        <v>1364732.7671990511</v>
      </c>
      <c r="I94" s="245">
        <f t="array" ref="I94">IF(A94&gt;"",SUMPRODUCT((A94=$Y$5:$Y$43)*$E$5:$E$43)/COUNTIF($Y$5:$Y$43,A94),0)</f>
        <v>0</v>
      </c>
      <c r="J94" s="245" t="str">
        <f t="shared" si="17"/>
        <v/>
      </c>
      <c r="K94" s="246">
        <f t="shared" si="18"/>
        <v>0</v>
      </c>
      <c r="L94" s="232"/>
      <c r="M94" s="232"/>
      <c r="N94" s="232"/>
      <c r="O94" s="232"/>
      <c r="P94" s="232"/>
      <c r="Q94" s="232"/>
      <c r="R94" s="232"/>
      <c r="S94" s="232"/>
      <c r="T94" s="232"/>
      <c r="U94" s="232"/>
      <c r="V94" s="232"/>
      <c r="W94" s="232"/>
      <c r="X94" s="232"/>
      <c r="Y94" s="43"/>
    </row>
    <row r="95" spans="1:25">
      <c r="A95" s="232" t="str">
        <f t="shared" si="13"/>
        <v>PE035 guy</v>
      </c>
      <c r="B95" s="232"/>
      <c r="C95" s="232"/>
      <c r="D95" s="232">
        <f t="shared" si="14"/>
        <v>2026</v>
      </c>
      <c r="E95" s="214">
        <f t="array" ref="E95">SUM(IF($A95=$Y$5:$Y$43,$C$5:$C$43,0))</f>
        <v>1000000</v>
      </c>
      <c r="F95" s="214">
        <f t="array" ref="F95">SUM(IF($A95=$Y$5:$Y$43,$G$5:$G$43,0))</f>
        <v>40000</v>
      </c>
      <c r="G95" s="214">
        <f t="shared" si="15"/>
        <v>-1000000</v>
      </c>
      <c r="H95" s="214">
        <f t="shared" si="16"/>
        <v>0</v>
      </c>
      <c r="I95" s="245">
        <f t="array" ref="I95">IF(A95&gt;"",SUMPRODUCT((A95=$Y$5:$Y$43)*$E$5:$E$43)/COUNTIF($Y$5:$Y$43,A95),0)</f>
        <v>5.2999999999999999E-2</v>
      </c>
      <c r="J95" s="245">
        <f t="shared" si="17"/>
        <v>2.3460410557184751E-2</v>
      </c>
      <c r="K95" s="246">
        <f t="shared" si="18"/>
        <v>1.06E-3</v>
      </c>
      <c r="L95" s="232"/>
      <c r="M95" s="232"/>
      <c r="N95" s="232"/>
      <c r="O95" s="232"/>
      <c r="P95" s="232"/>
      <c r="Q95" s="232"/>
      <c r="R95" s="232"/>
      <c r="S95" s="232"/>
      <c r="T95" s="232"/>
      <c r="U95" s="232"/>
      <c r="V95" s="232"/>
      <c r="W95" s="232"/>
      <c r="X95" s="232"/>
      <c r="Y95" s="43"/>
    </row>
    <row r="96" spans="1:25" ht="16" customHeight="1" thickBot="1">
      <c r="A96" s="232"/>
      <c r="B96" s="232"/>
      <c r="C96" s="232"/>
      <c r="D96" s="232"/>
      <c r="E96" s="214"/>
      <c r="F96" s="214"/>
      <c r="G96" s="214"/>
      <c r="H96" s="214"/>
      <c r="I96" s="245"/>
      <c r="J96" s="245"/>
      <c r="K96" s="245"/>
      <c r="L96" s="232"/>
      <c r="M96" s="232"/>
      <c r="N96" s="232"/>
      <c r="O96" s="232"/>
      <c r="P96" s="232"/>
      <c r="Q96" s="232"/>
      <c r="R96" s="232"/>
      <c r="S96" s="232"/>
      <c r="T96" s="232"/>
      <c r="U96" s="232"/>
      <c r="V96" s="232"/>
      <c r="W96" s="232"/>
      <c r="X96" s="232"/>
      <c r="Y96" s="43"/>
    </row>
    <row r="97" spans="1:25">
      <c r="A97" s="232"/>
      <c r="B97" s="232"/>
      <c r="C97" s="232"/>
      <c r="D97" s="232"/>
      <c r="E97" s="214">
        <f t="array" ref="E97">SUMPRODUCT((G58&gt;=F5:F43)*C5:C43)</f>
        <v>42625000</v>
      </c>
      <c r="F97" s="214">
        <f t="array" ref="F97">SUMPRODUCT((G58&gt;=F5:F43)*G5:G43)-SUMPRODUCT((G58&gt;+F5:F43)*H5:H43)</f>
        <v>1705000</v>
      </c>
      <c r="G97" s="214"/>
      <c r="H97" s="214"/>
      <c r="I97" s="233"/>
      <c r="J97" s="233"/>
      <c r="K97" s="233">
        <f t="array" ref="K97">SUMPRODUCT((YEAR($G$58)&gt;=$D$61:$D$96)*K61:K96)</f>
        <v>0.3640525</v>
      </c>
      <c r="L97" s="232"/>
      <c r="M97" s="232"/>
      <c r="N97" s="232"/>
      <c r="O97" s="232"/>
      <c r="P97" s="232"/>
      <c r="Q97" s="232"/>
      <c r="R97" s="232"/>
      <c r="S97" s="232"/>
      <c r="T97" s="232"/>
      <c r="U97" s="232"/>
      <c r="V97" s="232"/>
      <c r="W97" s="232"/>
      <c r="X97" s="232"/>
      <c r="Y97" s="43"/>
    </row>
    <row r="98" spans="1:25">
      <c r="A98" s="43"/>
      <c r="B98" s="43"/>
      <c r="C98" s="43"/>
      <c r="D98" s="43"/>
      <c r="E98" s="43"/>
      <c r="F98" s="43"/>
      <c r="G98" s="43"/>
      <c r="H98" s="43"/>
      <c r="I98" s="43"/>
      <c r="J98" s="232"/>
      <c r="K98" s="232"/>
      <c r="L98" s="232"/>
      <c r="M98" s="232"/>
      <c r="N98" s="232"/>
      <c r="O98" s="232"/>
      <c r="P98" s="232"/>
      <c r="Q98" s="232"/>
      <c r="R98" s="232"/>
      <c r="S98" s="232"/>
      <c r="T98" s="232"/>
      <c r="U98" s="232"/>
      <c r="V98" s="232"/>
      <c r="W98" s="232"/>
      <c r="X98" s="232"/>
      <c r="Y98" s="43"/>
    </row>
    <row r="99" spans="1:25">
      <c r="A99" s="46" t="s">
        <v>402</v>
      </c>
      <c r="B99" s="76"/>
      <c r="C99" s="76"/>
      <c r="D99" s="76"/>
      <c r="E99" s="76"/>
      <c r="F99" s="121"/>
      <c r="G99" s="43"/>
      <c r="H99" s="43"/>
      <c r="I99" s="43"/>
      <c r="J99" s="43"/>
      <c r="K99" s="43"/>
      <c r="L99" s="43"/>
      <c r="M99" s="43"/>
      <c r="N99" s="43"/>
      <c r="O99" s="232"/>
      <c r="P99" s="232"/>
      <c r="Q99" s="232"/>
      <c r="R99" s="232"/>
      <c r="S99" s="232"/>
      <c r="T99" s="232"/>
      <c r="U99" s="232"/>
      <c r="V99" s="232"/>
      <c r="W99" s="232"/>
      <c r="X99" s="232"/>
      <c r="Y99" s="43"/>
    </row>
    <row r="100" spans="1:25" s="24" customFormat="1">
      <c r="A100" s="43"/>
      <c r="B100" s="96">
        <v>2024</v>
      </c>
      <c r="C100" s="96">
        <v>2025</v>
      </c>
      <c r="D100" s="96">
        <v>2025</v>
      </c>
      <c r="E100" s="96">
        <v>2025</v>
      </c>
      <c r="F100" s="96">
        <v>2025</v>
      </c>
      <c r="G100" s="96">
        <v>2026</v>
      </c>
      <c r="H100" s="96">
        <v>2026</v>
      </c>
      <c r="I100" s="96">
        <v>2026</v>
      </c>
      <c r="J100" s="96">
        <v>2026</v>
      </c>
      <c r="K100" s="96">
        <v>2027</v>
      </c>
      <c r="L100" s="96">
        <v>2028</v>
      </c>
      <c r="M100" s="96">
        <v>2029</v>
      </c>
      <c r="N100" s="96">
        <v>2030</v>
      </c>
      <c r="O100" s="232"/>
      <c r="P100" s="232"/>
      <c r="Q100" s="232"/>
      <c r="R100" s="232"/>
      <c r="S100" s="232"/>
      <c r="T100" s="232"/>
      <c r="U100" s="232"/>
      <c r="V100" s="43"/>
      <c r="W100" s="43"/>
      <c r="X100" s="43"/>
      <c r="Y100" s="43"/>
    </row>
    <row r="101" spans="1:25">
      <c r="A101" s="43"/>
      <c r="B101" s="62"/>
      <c r="C101" s="96" t="s">
        <v>3</v>
      </c>
      <c r="D101" s="96" t="s">
        <v>4</v>
      </c>
      <c r="E101" s="96" t="s">
        <v>5</v>
      </c>
      <c r="F101" s="96" t="s">
        <v>2</v>
      </c>
      <c r="G101" s="96" t="s">
        <v>3</v>
      </c>
      <c r="H101" s="96" t="s">
        <v>4</v>
      </c>
      <c r="I101" s="96" t="s">
        <v>5</v>
      </c>
      <c r="J101" s="96" t="s">
        <v>2</v>
      </c>
      <c r="K101" s="62"/>
      <c r="L101" s="62"/>
      <c r="M101" s="62"/>
      <c r="N101" s="62"/>
      <c r="O101" s="232"/>
      <c r="P101" s="232"/>
      <c r="Q101" s="232"/>
      <c r="R101" s="232"/>
      <c r="S101" s="232"/>
      <c r="T101" s="232"/>
      <c r="U101" s="232"/>
      <c r="V101" s="43"/>
      <c r="W101" s="43"/>
      <c r="X101" s="43"/>
      <c r="Y101" s="43"/>
    </row>
    <row r="102" spans="1:25">
      <c r="A102" s="43" t="str">
        <f t="shared" ref="A102:A136" si="19">+A61</f>
        <v>PE001 PFNGT LLC</v>
      </c>
      <c r="B102" s="79">
        <v>1.7326732673267332E-2</v>
      </c>
      <c r="C102" s="121">
        <f t="array" ref="C102">IF(SUMPRODUCT(($A102=$Y$5:$Y$43)*(C$100=YEAR($F$5:$F$43)))&gt;=1,SUMPRODUCT(($A102=$A$61:$A$95)*$I$61:$I$95)*((SUMPRODUCT((C$100&gt;=YEAR($F$5:$F$43))*$G$5:$G$43)/$K$58)*100%)*(SUMPRODUCT(($A102=$Y$5:$Y$43)*(C$100&gt;=YEAR($F$5:$F$43))*$G$5:$G$43)/SUMPRODUCT((C$100&gt;=YEAR($F$5:$F$43))*$G$5:$G$43)),IF(B102&gt;0,B102/(1+lgh_equity!C$24),0))</f>
        <v>1.7326732673267332E-2</v>
      </c>
      <c r="D102" s="121">
        <f t="array" ref="D102">IF(SUMPRODUCT(($A102=$Y$5:$Y$43)*(D$100=YEAR($F$5:$F$43)))&gt;=1,SUMPRODUCT(($A102=$A$61:$A$95)*$I$61:$I$95)*((SUMPRODUCT((D$100&gt;=YEAR($F$5:$F$43))*$G$5:$G$43)/$K$58)*100%)*(SUMPRODUCT(($A102=$Y$5:$Y$43)*(D$100&gt;=YEAR($F$5:$F$43))*$G$5:$G$43)/SUMPRODUCT((D$100&gt;=YEAR($F$5:$F$43))*$G$5:$G$43)),IF(C102&gt;0,C102/(1+lgh_equity!D$24),0))</f>
        <v>1.4018392130475187E-2</v>
      </c>
      <c r="E102" s="121">
        <f t="array" ref="E102">IF(SUMPRODUCT(($A102=$Y$5:$Y$43)*(E$100=YEAR($F$5:$F$43)))&gt;=1,SUMPRODUCT(($A102=$A$61:$A$95)*$I$61:$I$95)*((SUMPRODUCT((E$100&gt;=YEAR($F$5:$F$43))*$G$5:$G$43)/$K$58)*100%)*(SUMPRODUCT(($A102=$Y$5:$Y$43)*(E$100&gt;=YEAR($F$5:$F$43))*$G$5:$G$43)/SUMPRODUCT((E$100&gt;=YEAR($F$5:$F$43))*$G$5:$G$43)),IF(D102&gt;0,D102/(1+lgh_equity!E$24),0))</f>
        <v>1.3973676366103653E-2</v>
      </c>
      <c r="F102" s="121">
        <f t="array" ref="F102">IF(SUMPRODUCT(($A102=$Y$5:$Y$43)*(F$100=YEAR($F$5:$F$43)))&gt;=1,SUMPRODUCT(($A102=$A$61:$A$95)*$I$61:$I$95)*((SUMPRODUCT((F$100&gt;=YEAR($F$5:$F$43))*$G$5:$G$43)/$K$58)*100%)*(SUMPRODUCT(($A102=$Y$5:$Y$43)*(F$100&gt;=YEAR($F$5:$F$43))*$G$5:$G$43)/SUMPRODUCT((F$100&gt;=YEAR($F$5:$F$43))*$G$5:$G$43)),IF(E102&gt;0,E102/(1+lgh_equity!F$24),0))</f>
        <v>1.3973676366103653E-2</v>
      </c>
      <c r="G102" s="121">
        <f t="array" ref="G102">IF(SUMPRODUCT(($A102=$Y$5:$Y$43)*(G$100=YEAR($F$5:$F$43)))&gt;=1,SUMPRODUCT(($A102=$A$61:$A$95)*$I$61:$I$95)*((SUMPRODUCT((G$100&gt;=YEAR($F$5:$F$43))*$G$5:$G$43)/$K$58)*100%)*(SUMPRODUCT(($A102=$Y$5:$Y$43)*(G$100&gt;=YEAR($F$5:$F$43))*$G$5:$G$43)/SUMPRODUCT((G$100&gt;=YEAR($F$5:$F$43))*$G$5:$G$43)),IF(F102&gt;0,F102/(1+lgh_equity!G$24),0))</f>
        <v>1.3973676366103653E-2</v>
      </c>
      <c r="H102" s="121">
        <f t="array" ref="H102">IF(SUMPRODUCT(($A102=$Y$5:$Y$43)*(H$100=YEAR($F$5:$F$43)))&gt;=1,SUMPRODUCT(($A102=$A$61:$A$95)*$I$61:$I$95)*((SUMPRODUCT((H$100&gt;=YEAR($F$5:$F$43))*$G$5:$G$43)/$K$58)*100%)*(SUMPRODUCT(($A102=$Y$5:$Y$43)*(H$100&gt;=YEAR($F$5:$F$43))*$G$5:$G$43)/SUMPRODUCT((H$100&gt;=YEAR($F$5:$F$43))*$G$5:$G$43)),IF(G102&gt;0,G102/(1+lgh_equity!H$24),0))</f>
        <v>1.3973676366103653E-2</v>
      </c>
      <c r="I102" s="53">
        <f t="array" ref="I102">IF(SUMPRODUCT(($A102=$Y$5:$Y$43)*(I$100=YEAR($F$5:$F$43)))&gt;=1,SUMPRODUCT(($A102=$A$61:$A$95)*$I$61:$I$95)*((SUMPRODUCT((I$100&gt;=YEAR($F$5:$F$43))*$G$5:$G$43)/$K$58)*100%)*(SUMPRODUCT(($A102=$Y$5:$Y$43)*(I$100&gt;=YEAR($F$5:$F$43))*$G$5:$G$43)/SUMPRODUCT((I$100&gt;=YEAR($F$5:$F$43))*$G$5:$G$43)),IF(H102&gt;0,H102/(1+lgh_equity!I$24),0))</f>
        <v>1.3973676366103653E-2</v>
      </c>
      <c r="J102" s="53">
        <f t="array" ref="J102">IF(SUMPRODUCT(($A102=$Y$5:$Y$43)*(J$100=YEAR($F$5:$F$43)))&gt;=1,SUMPRODUCT(($A102=$A$61:$A$95)*$I$61:$I$95)*((SUMPRODUCT((J$100&gt;=YEAR($F$5:$F$43))*$G$5:$G$43)/$K$58)*100%)*(SUMPRODUCT(($A102=$Y$5:$Y$43)*(J$100&gt;=YEAR($F$5:$F$43))*$G$5:$G$43)/SUMPRODUCT((J$100&gt;=YEAR($F$5:$F$43))*$G$5:$G$43)),IF(I102&gt;0,I102/(1+lgh_equity!J$24),0))</f>
        <v>1.3973676366103653E-2</v>
      </c>
      <c r="K102" s="53">
        <f t="array" ref="K102">IF(SUMPRODUCT(($A102=$Y$5:$Y$43)*(K$100=YEAR($F$5:$F$43)))&gt;=1,SUMPRODUCT(($A102=$A$61:$A$95)*$I$61:$I$95)*((SUMPRODUCT((K$100&gt;=YEAR($F$5:$F$43))*$G$5:$G$43)/$K$58)*100%)*(SUMPRODUCT(($A102=$Y$5:$Y$43)*(K$100&gt;=YEAR($F$5:$F$43))*$G$5:$G$43)/SUMPRODUCT((K$100&gt;=YEAR($F$5:$F$43))*$G$5:$G$43)),IF(J102&gt;0,J102/(1+lgh_equity!K$24),0))</f>
        <v>1.3973676366103653E-2</v>
      </c>
      <c r="L102" s="53">
        <f t="array" ref="L102">IF(SUMPRODUCT(($A102=$Y$5:$Y$43)*(L$100=YEAR($F$5:$F$43)))&gt;=1,SUMPRODUCT(($A102=$A$61:$A$95)*$I$61:$I$95)*((SUMPRODUCT((L$100&gt;=YEAR($F$5:$F$43))*$G$5:$G$43)/$K$58)*100%)*(SUMPRODUCT(($A102=$Y$5:$Y$43)*(L$100&gt;=YEAR($F$5:$F$43))*$G$5:$G$43)/SUMPRODUCT((L$100&gt;=YEAR($F$5:$F$43))*$G$5:$G$43)),IF(K102&gt;0,K102/(1+lgh_equity!L$24),0))</f>
        <v>1.3973676366103653E-2</v>
      </c>
      <c r="M102" s="53">
        <f t="array" ref="M102">IF(SUMPRODUCT(($A102=$Y$5:$Y$43)*(M$100=YEAR($F$5:$F$43)))&gt;=1,SUMPRODUCT(($A102=$A$61:$A$95)*$I$61:$I$95)*((SUMPRODUCT((M$100&gt;=YEAR($F$5:$F$43))*$G$5:$G$43)/$K$58)*100%)*(SUMPRODUCT(($A102=$Y$5:$Y$43)*(M$100&gt;=YEAR($F$5:$F$43))*$G$5:$G$43)/SUMPRODUCT((M$100&gt;=YEAR($F$5:$F$43))*$G$5:$G$43)),IF(L102&gt;0,L102/(1+lgh_equity!M$24),0))</f>
        <v>1.3973676366103653E-2</v>
      </c>
      <c r="N102" s="53">
        <f t="array" ref="N102">IF(SUMPRODUCT(($A102=$Y$5:$Y$43)*(N$100=YEAR($F$5:$F$43)))&gt;=1,SUMPRODUCT(($A102=$A$61:$A$95)*$I$61:$I$95)*((SUMPRODUCT((N$100&gt;=YEAR($F$5:$F$43))*$G$5:$G$43)/$K$58)*100%)*(SUMPRODUCT(($A102=$Y$5:$Y$43)*(N$100&gt;=YEAR($F$5:$F$43))*$G$5:$G$43)/SUMPRODUCT((N$100&gt;=YEAR($F$5:$F$43))*$G$5:$G$43)),IF(M102&gt;0,M102/(1+lgh_equity!N$24),0))</f>
        <v>1.3973676366103653E-2</v>
      </c>
      <c r="O102" s="232"/>
      <c r="P102" s="232"/>
      <c r="Q102" s="232"/>
      <c r="R102" s="232"/>
      <c r="S102" s="232"/>
      <c r="T102" s="232"/>
      <c r="U102" s="232"/>
      <c r="V102" s="43"/>
      <c r="W102" s="43"/>
      <c r="X102" s="43"/>
      <c r="Y102" s="43"/>
    </row>
    <row r="103" spans="1:25">
      <c r="A103" s="43" t="str">
        <f t="shared" si="19"/>
        <v>PE002 Derivee Capital Advisors, LLC</v>
      </c>
      <c r="B103" s="79">
        <v>1.03960396039604E-2</v>
      </c>
      <c r="C103" s="121">
        <f t="array" ref="C103">IF(SUMPRODUCT(($A103=$Y$5:$Y$43)*(C$100=YEAR($F$5:$F$43)))&gt;=1,SUMPRODUCT(($A103=$A$61:$A$95)*$I$61:$I$95)*((SUMPRODUCT((C$100&gt;=YEAR($F$5:$F$43))*$G$5:$G$43)/$K$58)*100%)*(SUMPRODUCT(($A103=$Y$5:$Y$43)*(C$100&gt;=YEAR($F$5:$F$43))*$G$5:$G$43)/SUMPRODUCT((C$100&gt;=YEAR($F$5:$F$43))*$G$5:$G$43)),IF(B103&gt;0,B103/(1+lgh_equity!C$24),0))</f>
        <v>1.03960396039604E-2</v>
      </c>
      <c r="D103" s="121">
        <f t="array" ref="D103">IF(SUMPRODUCT(($A103=$Y$5:$Y$43)*(D$100=YEAR($F$5:$F$43)))&gt;=1,SUMPRODUCT(($A103=$A$61:$A$95)*$I$61:$I$95)*((SUMPRODUCT((D$100&gt;=YEAR($F$5:$F$43))*$G$5:$G$43)/$K$58)*100%)*(SUMPRODUCT(($A103=$Y$5:$Y$43)*(D$100&gt;=YEAR($F$5:$F$43))*$G$5:$G$43)/SUMPRODUCT((D$100&gt;=YEAR($F$5:$F$43))*$G$5:$G$43)),IF(C103&gt;0,C103/(1+lgh_equity!D$24),0))</f>
        <v>8.4110352782851127E-3</v>
      </c>
      <c r="E103" s="121">
        <f t="array" ref="E103">IF(SUMPRODUCT(($A103=$Y$5:$Y$43)*(E$100=YEAR($F$5:$F$43)))&gt;=1,SUMPRODUCT(($A103=$A$61:$A$95)*$I$61:$I$95)*((SUMPRODUCT((E$100&gt;=YEAR($F$5:$F$43))*$G$5:$G$43)/$K$58)*100%)*(SUMPRODUCT(($A103=$Y$5:$Y$43)*(E$100&gt;=YEAR($F$5:$F$43))*$G$5:$G$43)/SUMPRODUCT((E$100&gt;=YEAR($F$5:$F$43))*$G$5:$G$43)),IF(D103&gt;0,D103/(1+lgh_equity!E$24),0))</f>
        <v>8.3842058196621928E-3</v>
      </c>
      <c r="F103" s="121">
        <f t="array" ref="F103">IF(SUMPRODUCT(($A103=$Y$5:$Y$43)*(F$100=YEAR($F$5:$F$43)))&gt;=1,SUMPRODUCT(($A103=$A$61:$A$95)*$I$61:$I$95)*((SUMPRODUCT((F$100&gt;=YEAR($F$5:$F$43))*$G$5:$G$43)/$K$58)*100%)*(SUMPRODUCT(($A103=$Y$5:$Y$43)*(F$100&gt;=YEAR($F$5:$F$43))*$G$5:$G$43)/SUMPRODUCT((F$100&gt;=YEAR($F$5:$F$43))*$G$5:$G$43)),IF(E103&gt;0,E103/(1+lgh_equity!F$24),0))</f>
        <v>8.3842058196621928E-3</v>
      </c>
      <c r="G103" s="121">
        <f t="array" ref="G103">IF(SUMPRODUCT(($A103=$Y$5:$Y$43)*(G$100=YEAR($F$5:$F$43)))&gt;=1,SUMPRODUCT(($A103=$A$61:$A$95)*$I$61:$I$95)*((SUMPRODUCT((G$100&gt;=YEAR($F$5:$F$43))*$G$5:$G$43)/$K$58)*100%)*(SUMPRODUCT(($A103=$Y$5:$Y$43)*(G$100&gt;=YEAR($F$5:$F$43))*$G$5:$G$43)/SUMPRODUCT((G$100&gt;=YEAR($F$5:$F$43))*$G$5:$G$43)),IF(F103&gt;0,F103/(1+lgh_equity!G$24),0))</f>
        <v>8.3842058196621928E-3</v>
      </c>
      <c r="H103" s="121">
        <f t="array" ref="H103">IF(SUMPRODUCT(($A103=$Y$5:$Y$43)*(H$100=YEAR($F$5:$F$43)))&gt;=1,SUMPRODUCT(($A103=$A$61:$A$95)*$I$61:$I$95)*((SUMPRODUCT((H$100&gt;=YEAR($F$5:$F$43))*$G$5:$G$43)/$K$58)*100%)*(SUMPRODUCT(($A103=$Y$5:$Y$43)*(H$100&gt;=YEAR($F$5:$F$43))*$G$5:$G$43)/SUMPRODUCT((H$100&gt;=YEAR($F$5:$F$43))*$G$5:$G$43)),IF(G103&gt;0,G103/(1+lgh_equity!H$24),0))</f>
        <v>8.3842058196621928E-3</v>
      </c>
      <c r="I103" s="53">
        <f t="array" ref="I103">IF(SUMPRODUCT(($A103=$Y$5:$Y$43)*(I$100=YEAR($F$5:$F$43)))&gt;=1,SUMPRODUCT(($A103=$A$61:$A$95)*$I$61:$I$95)*((SUMPRODUCT((I$100&gt;=YEAR($F$5:$F$43))*$G$5:$G$43)/$K$58)*100%)*(SUMPRODUCT(($A103=$Y$5:$Y$43)*(I$100&gt;=YEAR($F$5:$F$43))*$G$5:$G$43)/SUMPRODUCT((I$100&gt;=YEAR($F$5:$F$43))*$G$5:$G$43)),IF(H103&gt;0,H103/(1+lgh_equity!I$24),0))</f>
        <v>8.3842058196621928E-3</v>
      </c>
      <c r="J103" s="53">
        <f t="array" ref="J103">IF(SUMPRODUCT(($A103=$Y$5:$Y$43)*(J$100=YEAR($F$5:$F$43)))&gt;=1,SUMPRODUCT(($A103=$A$61:$A$95)*$I$61:$I$95)*((SUMPRODUCT((J$100&gt;=YEAR($F$5:$F$43))*$G$5:$G$43)/$K$58)*100%)*(SUMPRODUCT(($A103=$Y$5:$Y$43)*(J$100&gt;=YEAR($F$5:$F$43))*$G$5:$G$43)/SUMPRODUCT((J$100&gt;=YEAR($F$5:$F$43))*$G$5:$G$43)),IF(I103&gt;0,I103/(1+lgh_equity!J$24),0))</f>
        <v>8.3842058196621928E-3</v>
      </c>
      <c r="K103" s="53">
        <f t="array" ref="K103">IF(SUMPRODUCT(($A103=$Y$5:$Y$43)*(K$100=YEAR($F$5:$F$43)))&gt;=1,SUMPRODUCT(($A103=$A$61:$A$95)*$I$61:$I$95)*((SUMPRODUCT((K$100&gt;=YEAR($F$5:$F$43))*$G$5:$G$43)/$K$58)*100%)*(SUMPRODUCT(($A103=$Y$5:$Y$43)*(K$100&gt;=YEAR($F$5:$F$43))*$G$5:$G$43)/SUMPRODUCT((K$100&gt;=YEAR($F$5:$F$43))*$G$5:$G$43)),IF(J103&gt;0,J103/(1+lgh_equity!K$24),0))</f>
        <v>8.3842058196621928E-3</v>
      </c>
      <c r="L103" s="53">
        <f t="array" ref="L103">IF(SUMPRODUCT(($A103=$Y$5:$Y$43)*(L$100=YEAR($F$5:$F$43)))&gt;=1,SUMPRODUCT(($A103=$A$61:$A$95)*$I$61:$I$95)*((SUMPRODUCT((L$100&gt;=YEAR($F$5:$F$43))*$G$5:$G$43)/$K$58)*100%)*(SUMPRODUCT(($A103=$Y$5:$Y$43)*(L$100&gt;=YEAR($F$5:$F$43))*$G$5:$G$43)/SUMPRODUCT((L$100&gt;=YEAR($F$5:$F$43))*$G$5:$G$43)),IF(K103&gt;0,K103/(1+lgh_equity!L$24),0))</f>
        <v>8.3842058196621928E-3</v>
      </c>
      <c r="M103" s="53">
        <f t="array" ref="M103">IF(SUMPRODUCT(($A103=$Y$5:$Y$43)*(M$100=YEAR($F$5:$F$43)))&gt;=1,SUMPRODUCT(($A103=$A$61:$A$95)*$I$61:$I$95)*((SUMPRODUCT((M$100&gt;=YEAR($F$5:$F$43))*$G$5:$G$43)/$K$58)*100%)*(SUMPRODUCT(($A103=$Y$5:$Y$43)*(M$100&gt;=YEAR($F$5:$F$43))*$G$5:$G$43)/SUMPRODUCT((M$100&gt;=YEAR($F$5:$F$43))*$G$5:$G$43)),IF(L103&gt;0,L103/(1+lgh_equity!M$24),0))</f>
        <v>8.3842058196621928E-3</v>
      </c>
      <c r="N103" s="53">
        <f t="array" ref="N103">IF(SUMPRODUCT(($A103=$Y$5:$Y$43)*(N$100=YEAR($F$5:$F$43)))&gt;=1,SUMPRODUCT(($A103=$A$61:$A$95)*$I$61:$I$95)*((SUMPRODUCT((N$100&gt;=YEAR($F$5:$F$43))*$G$5:$G$43)/$K$58)*100%)*(SUMPRODUCT(($A103=$Y$5:$Y$43)*(N$100&gt;=YEAR($F$5:$F$43))*$G$5:$G$43)/SUMPRODUCT((N$100&gt;=YEAR($F$5:$F$43))*$G$5:$G$43)),IF(M103&gt;0,M103/(1+lgh_equity!N$24),0))</f>
        <v>8.3842058196621928E-3</v>
      </c>
      <c r="O103" s="232"/>
      <c r="P103" s="232"/>
      <c r="Q103" s="232"/>
      <c r="R103" s="232"/>
      <c r="S103" s="232"/>
      <c r="T103" s="232"/>
      <c r="U103" s="232"/>
      <c r="V103" s="43"/>
      <c r="W103" s="43"/>
      <c r="X103" s="43"/>
      <c r="Y103" s="43"/>
    </row>
    <row r="104" spans="1:25">
      <c r="A104" s="43" t="str">
        <f t="shared" si="19"/>
        <v>PE003 Derivee Capital Advisors, LLC</v>
      </c>
      <c r="B104" s="79">
        <v>6.9306930693069308E-3</v>
      </c>
      <c r="C104" s="121">
        <f t="array" ref="C104">IF(SUMPRODUCT(($A104=$Y$5:$Y$43)*(C$100=YEAR($F$5:$F$43)))&gt;=1,SUMPRODUCT(($A104=$A$61:$A$95)*$I$61:$I$95)*((SUMPRODUCT((C$100&gt;=YEAR($F$5:$F$43))*$G$5:$G$43)/$K$58)*100%)*(SUMPRODUCT(($A104=$Y$5:$Y$43)*(C$100&gt;=YEAR($F$5:$F$43))*$G$5:$G$43)/SUMPRODUCT((C$100&gt;=YEAR($F$5:$F$43))*$G$5:$G$43)),IF(B104&gt;0,B104/(1+lgh_equity!C$24),0))</f>
        <v>6.9306930693069308E-3</v>
      </c>
      <c r="D104" s="121">
        <f t="array" ref="D104">IF(SUMPRODUCT(($A104=$Y$5:$Y$43)*(D$100=YEAR($F$5:$F$43)))&gt;=1,SUMPRODUCT(($A104=$A$61:$A$95)*$I$61:$I$95)*((SUMPRODUCT((D$100&gt;=YEAR($F$5:$F$43))*$G$5:$G$43)/$K$58)*100%)*(SUMPRODUCT(($A104=$Y$5:$Y$43)*(D$100&gt;=YEAR($F$5:$F$43))*$G$5:$G$43)/SUMPRODUCT((D$100&gt;=YEAR($F$5:$F$43))*$G$5:$G$43)),IF(C104&gt;0,C104/(1+lgh_equity!D$24),0))</f>
        <v>5.6073568521900737E-3</v>
      </c>
      <c r="E104" s="121">
        <f t="array" ref="E104">IF(SUMPRODUCT(($A104=$Y$5:$Y$43)*(E$100=YEAR($F$5:$F$43)))&gt;=1,SUMPRODUCT(($A104=$A$61:$A$95)*$I$61:$I$95)*((SUMPRODUCT((E$100&gt;=YEAR($F$5:$F$43))*$G$5:$G$43)/$K$58)*100%)*(SUMPRODUCT(($A104=$Y$5:$Y$43)*(E$100&gt;=YEAR($F$5:$F$43))*$G$5:$G$43)/SUMPRODUCT((E$100&gt;=YEAR($F$5:$F$43))*$G$5:$G$43)),IF(D104&gt;0,D104/(1+lgh_equity!E$24),0))</f>
        <v>5.5894705464414607E-3</v>
      </c>
      <c r="F104" s="121">
        <f t="array" ref="F104">IF(SUMPRODUCT(($A104=$Y$5:$Y$43)*(F$100=YEAR($F$5:$F$43)))&gt;=1,SUMPRODUCT(($A104=$A$61:$A$95)*$I$61:$I$95)*((SUMPRODUCT((F$100&gt;=YEAR($F$5:$F$43))*$G$5:$G$43)/$K$58)*100%)*(SUMPRODUCT(($A104=$Y$5:$Y$43)*(F$100&gt;=YEAR($F$5:$F$43))*$G$5:$G$43)/SUMPRODUCT((F$100&gt;=YEAR($F$5:$F$43))*$G$5:$G$43)),IF(E104&gt;0,E104/(1+lgh_equity!F$24),0))</f>
        <v>5.5894705464414607E-3</v>
      </c>
      <c r="G104" s="121">
        <f t="array" ref="G104">IF(SUMPRODUCT(($A104=$Y$5:$Y$43)*(G$100=YEAR($F$5:$F$43)))&gt;=1,SUMPRODUCT(($A104=$A$61:$A$95)*$I$61:$I$95)*((SUMPRODUCT((G$100&gt;=YEAR($F$5:$F$43))*$G$5:$G$43)/$K$58)*100%)*(SUMPRODUCT(($A104=$Y$5:$Y$43)*(G$100&gt;=YEAR($F$5:$F$43))*$G$5:$G$43)/SUMPRODUCT((G$100&gt;=YEAR($F$5:$F$43))*$G$5:$G$43)),IF(F104&gt;0,F104/(1+lgh_equity!G$24),0))</f>
        <v>5.5894705464414607E-3</v>
      </c>
      <c r="H104" s="121">
        <f t="array" ref="H104">IF(SUMPRODUCT(($A104=$Y$5:$Y$43)*(H$100=YEAR($F$5:$F$43)))&gt;=1,SUMPRODUCT(($A104=$A$61:$A$95)*$I$61:$I$95)*((SUMPRODUCT((H$100&gt;=YEAR($F$5:$F$43))*$G$5:$G$43)/$K$58)*100%)*(SUMPRODUCT(($A104=$Y$5:$Y$43)*(H$100&gt;=YEAR($F$5:$F$43))*$G$5:$G$43)/SUMPRODUCT((H$100&gt;=YEAR($F$5:$F$43))*$G$5:$G$43)),IF(G104&gt;0,G104/(1+lgh_equity!H$24),0))</f>
        <v>5.5894705464414607E-3</v>
      </c>
      <c r="I104" s="53">
        <f t="array" ref="I104">IF(SUMPRODUCT(($A104=$Y$5:$Y$43)*(I$100=YEAR($F$5:$F$43)))&gt;=1,SUMPRODUCT(($A104=$A$61:$A$95)*$I$61:$I$95)*((SUMPRODUCT((I$100&gt;=YEAR($F$5:$F$43))*$G$5:$G$43)/$K$58)*100%)*(SUMPRODUCT(($A104=$Y$5:$Y$43)*(I$100&gt;=YEAR($F$5:$F$43))*$G$5:$G$43)/SUMPRODUCT((I$100&gt;=YEAR($F$5:$F$43))*$G$5:$G$43)),IF(H104&gt;0,H104/(1+lgh_equity!I$24),0))</f>
        <v>5.5894705464414607E-3</v>
      </c>
      <c r="J104" s="53">
        <f t="array" ref="J104">IF(SUMPRODUCT(($A104=$Y$5:$Y$43)*(J$100=YEAR($F$5:$F$43)))&gt;=1,SUMPRODUCT(($A104=$A$61:$A$95)*$I$61:$I$95)*((SUMPRODUCT((J$100&gt;=YEAR($F$5:$F$43))*$G$5:$G$43)/$K$58)*100%)*(SUMPRODUCT(($A104=$Y$5:$Y$43)*(J$100&gt;=YEAR($F$5:$F$43))*$G$5:$G$43)/SUMPRODUCT((J$100&gt;=YEAR($F$5:$F$43))*$G$5:$G$43)),IF(I104&gt;0,I104/(1+lgh_equity!J$24),0))</f>
        <v>5.5894705464414607E-3</v>
      </c>
      <c r="K104" s="53">
        <f t="array" ref="K104">IF(SUMPRODUCT(($A104=$Y$5:$Y$43)*(K$100=YEAR($F$5:$F$43)))&gt;=1,SUMPRODUCT(($A104=$A$61:$A$95)*$I$61:$I$95)*((SUMPRODUCT((K$100&gt;=YEAR($F$5:$F$43))*$G$5:$G$43)/$K$58)*100%)*(SUMPRODUCT(($A104=$Y$5:$Y$43)*(K$100&gt;=YEAR($F$5:$F$43))*$G$5:$G$43)/SUMPRODUCT((K$100&gt;=YEAR($F$5:$F$43))*$G$5:$G$43)),IF(J104&gt;0,J104/(1+lgh_equity!K$24),0))</f>
        <v>5.5894705464414607E-3</v>
      </c>
      <c r="L104" s="53">
        <f t="array" ref="L104">IF(SUMPRODUCT(($A104=$Y$5:$Y$43)*(L$100=YEAR($F$5:$F$43)))&gt;=1,SUMPRODUCT(($A104=$A$61:$A$95)*$I$61:$I$95)*((SUMPRODUCT((L$100&gt;=YEAR($F$5:$F$43))*$G$5:$G$43)/$K$58)*100%)*(SUMPRODUCT(($A104=$Y$5:$Y$43)*(L$100&gt;=YEAR($F$5:$F$43))*$G$5:$G$43)/SUMPRODUCT((L$100&gt;=YEAR($F$5:$F$43))*$G$5:$G$43)),IF(K104&gt;0,K104/(1+lgh_equity!L$24),0))</f>
        <v>5.5894705464414607E-3</v>
      </c>
      <c r="M104" s="53">
        <f t="array" ref="M104">IF(SUMPRODUCT(($A104=$Y$5:$Y$43)*(M$100=YEAR($F$5:$F$43)))&gt;=1,SUMPRODUCT(($A104=$A$61:$A$95)*$I$61:$I$95)*((SUMPRODUCT((M$100&gt;=YEAR($F$5:$F$43))*$G$5:$G$43)/$K$58)*100%)*(SUMPRODUCT(($A104=$Y$5:$Y$43)*(M$100&gt;=YEAR($F$5:$F$43))*$G$5:$G$43)/SUMPRODUCT((M$100&gt;=YEAR($F$5:$F$43))*$G$5:$G$43)),IF(L104&gt;0,L104/(1+lgh_equity!M$24),0))</f>
        <v>5.5894705464414607E-3</v>
      </c>
      <c r="N104" s="53">
        <f t="array" ref="N104">IF(SUMPRODUCT(($A104=$Y$5:$Y$43)*(N$100=YEAR($F$5:$F$43)))&gt;=1,SUMPRODUCT(($A104=$A$61:$A$95)*$I$61:$I$95)*((SUMPRODUCT((N$100&gt;=YEAR($F$5:$F$43))*$G$5:$G$43)/$K$58)*100%)*(SUMPRODUCT(($A104=$Y$5:$Y$43)*(N$100&gt;=YEAR($F$5:$F$43))*$G$5:$G$43)/SUMPRODUCT((N$100&gt;=YEAR($F$5:$F$43))*$G$5:$G$43)),IF(M104&gt;0,M104/(1+lgh_equity!N$24),0))</f>
        <v>5.5894705464414607E-3</v>
      </c>
      <c r="O104" s="232"/>
      <c r="P104" s="232"/>
      <c r="Q104" s="232"/>
      <c r="R104" s="232"/>
      <c r="S104" s="232"/>
      <c r="T104" s="232"/>
      <c r="U104" s="232"/>
      <c r="V104" s="43"/>
      <c r="W104" s="43"/>
      <c r="X104" s="43"/>
      <c r="Y104" s="43"/>
    </row>
    <row r="105" spans="1:25">
      <c r="A105" s="43" t="str">
        <f t="shared" si="19"/>
        <v>PE004 DCAPP Hotel Ventures LLC</v>
      </c>
      <c r="B105" s="79">
        <v>1.386138613861386E-2</v>
      </c>
      <c r="C105" s="121">
        <f t="array" ref="C105">IF(SUMPRODUCT(($A105=$Y$5:$Y$43)*(C$100=YEAR($F$5:$F$43)))&gt;=1,SUMPRODUCT(($A105=$A$61:$A$95)*$I$61:$I$95)*((SUMPRODUCT((C$100&gt;=YEAR($F$5:$F$43))*$G$5:$G$43)/$K$58)*100%)*(SUMPRODUCT(($A105=$Y$5:$Y$43)*(C$100&gt;=YEAR($F$5:$F$43))*$G$5:$G$43)/SUMPRODUCT((C$100&gt;=YEAR($F$5:$F$43))*$G$5:$G$43)),IF(B105&gt;0,B105/(1+lgh_equity!C$24),0))</f>
        <v>1.386138613861386E-2</v>
      </c>
      <c r="D105" s="121">
        <f t="array" ref="D105">IF(SUMPRODUCT(($A105=$Y$5:$Y$43)*(D$100=YEAR($F$5:$F$43)))&gt;=1,SUMPRODUCT(($A105=$A$61:$A$95)*$I$61:$I$95)*((SUMPRODUCT((D$100&gt;=YEAR($F$5:$F$43))*$G$5:$G$43)/$K$58)*100%)*(SUMPRODUCT(($A105=$Y$5:$Y$43)*(D$100&gt;=YEAR($F$5:$F$43))*$G$5:$G$43)/SUMPRODUCT((D$100&gt;=YEAR($F$5:$F$43))*$G$5:$G$43)),IF(C105&gt;0,C105/(1+lgh_equity!D$24),0))</f>
        <v>1.1214713704380146E-2</v>
      </c>
      <c r="E105" s="121">
        <f t="array" ref="E105">IF(SUMPRODUCT(($A105=$Y$5:$Y$43)*(E$100=YEAR($F$5:$F$43)))&gt;=1,SUMPRODUCT(($A105=$A$61:$A$95)*$I$61:$I$95)*((SUMPRODUCT((E$100&gt;=YEAR($F$5:$F$43))*$G$5:$G$43)/$K$58)*100%)*(SUMPRODUCT(($A105=$Y$5:$Y$43)*(E$100&gt;=YEAR($F$5:$F$43))*$G$5:$G$43)/SUMPRODUCT((E$100&gt;=YEAR($F$5:$F$43))*$G$5:$G$43)),IF(D105&gt;0,D105/(1+lgh_equity!E$24),0))</f>
        <v>1.117894109288292E-2</v>
      </c>
      <c r="F105" s="121">
        <f t="array" ref="F105">IF(SUMPRODUCT(($A105=$Y$5:$Y$43)*(F$100=YEAR($F$5:$F$43)))&gt;=1,SUMPRODUCT(($A105=$A$61:$A$95)*$I$61:$I$95)*((SUMPRODUCT((F$100&gt;=YEAR($F$5:$F$43))*$G$5:$G$43)/$K$58)*100%)*(SUMPRODUCT(($A105=$Y$5:$Y$43)*(F$100&gt;=YEAR($F$5:$F$43))*$G$5:$G$43)/SUMPRODUCT((F$100&gt;=YEAR($F$5:$F$43))*$G$5:$G$43)),IF(E105&gt;0,E105/(1+lgh_equity!F$24),0))</f>
        <v>1.117894109288292E-2</v>
      </c>
      <c r="G105" s="121">
        <f t="array" ref="G105">IF(SUMPRODUCT(($A105=$Y$5:$Y$43)*(G$100=YEAR($F$5:$F$43)))&gt;=1,SUMPRODUCT(($A105=$A$61:$A$95)*$I$61:$I$95)*((SUMPRODUCT((G$100&gt;=YEAR($F$5:$F$43))*$G$5:$G$43)/$K$58)*100%)*(SUMPRODUCT(($A105=$Y$5:$Y$43)*(G$100&gt;=YEAR($F$5:$F$43))*$G$5:$G$43)/SUMPRODUCT((G$100&gt;=YEAR($F$5:$F$43))*$G$5:$G$43)),IF(F105&gt;0,F105/(1+lgh_equity!G$24),0))</f>
        <v>1.117894109288292E-2</v>
      </c>
      <c r="H105" s="121">
        <f t="array" ref="H105">IF(SUMPRODUCT(($A105=$Y$5:$Y$43)*(H$100=YEAR($F$5:$F$43)))&gt;=1,SUMPRODUCT(($A105=$A$61:$A$95)*$I$61:$I$95)*((SUMPRODUCT((H$100&gt;=YEAR($F$5:$F$43))*$G$5:$G$43)/$K$58)*100%)*(SUMPRODUCT(($A105=$Y$5:$Y$43)*(H$100&gt;=YEAR($F$5:$F$43))*$G$5:$G$43)/SUMPRODUCT((H$100&gt;=YEAR($F$5:$F$43))*$G$5:$G$43)),IF(G105&gt;0,G105/(1+lgh_equity!H$24),0))</f>
        <v>1.117894109288292E-2</v>
      </c>
      <c r="I105" s="53">
        <f t="array" ref="I105">IF(SUMPRODUCT(($A105=$Y$5:$Y$43)*(I$100=YEAR($F$5:$F$43)))&gt;=1,SUMPRODUCT(($A105=$A$61:$A$95)*$I$61:$I$95)*((SUMPRODUCT((I$100&gt;=YEAR($F$5:$F$43))*$G$5:$G$43)/$K$58)*100%)*(SUMPRODUCT(($A105=$Y$5:$Y$43)*(I$100&gt;=YEAR($F$5:$F$43))*$G$5:$G$43)/SUMPRODUCT((I$100&gt;=YEAR($F$5:$F$43))*$G$5:$G$43)),IF(H105&gt;0,H105/(1+lgh_equity!I$24),0))</f>
        <v>1.117894109288292E-2</v>
      </c>
      <c r="J105" s="53">
        <f t="array" ref="J105">IF(SUMPRODUCT(($A105=$Y$5:$Y$43)*(J$100=YEAR($F$5:$F$43)))&gt;=1,SUMPRODUCT(($A105=$A$61:$A$95)*$I$61:$I$95)*((SUMPRODUCT((J$100&gt;=YEAR($F$5:$F$43))*$G$5:$G$43)/$K$58)*100%)*(SUMPRODUCT(($A105=$Y$5:$Y$43)*(J$100&gt;=YEAR($F$5:$F$43))*$G$5:$G$43)/SUMPRODUCT((J$100&gt;=YEAR($F$5:$F$43))*$G$5:$G$43)),IF(I105&gt;0,I105/(1+lgh_equity!J$24),0))</f>
        <v>1.117894109288292E-2</v>
      </c>
      <c r="K105" s="53">
        <f t="array" ref="K105">IF(SUMPRODUCT(($A105=$Y$5:$Y$43)*(K$100=YEAR($F$5:$F$43)))&gt;=1,SUMPRODUCT(($A105=$A$61:$A$95)*$I$61:$I$95)*((SUMPRODUCT((K$100&gt;=YEAR($F$5:$F$43))*$G$5:$G$43)/$K$58)*100%)*(SUMPRODUCT(($A105=$Y$5:$Y$43)*(K$100&gt;=YEAR($F$5:$F$43))*$G$5:$G$43)/SUMPRODUCT((K$100&gt;=YEAR($F$5:$F$43))*$G$5:$G$43)),IF(J105&gt;0,J105/(1+lgh_equity!K$24),0))</f>
        <v>1.117894109288292E-2</v>
      </c>
      <c r="L105" s="53">
        <f t="array" ref="L105">IF(SUMPRODUCT(($A105=$Y$5:$Y$43)*(L$100=YEAR($F$5:$F$43)))&gt;=1,SUMPRODUCT(($A105=$A$61:$A$95)*$I$61:$I$95)*((SUMPRODUCT((L$100&gt;=YEAR($F$5:$F$43))*$G$5:$G$43)/$K$58)*100%)*(SUMPRODUCT(($A105=$Y$5:$Y$43)*(L$100&gt;=YEAR($F$5:$F$43))*$G$5:$G$43)/SUMPRODUCT((L$100&gt;=YEAR($F$5:$F$43))*$G$5:$G$43)),IF(K105&gt;0,K105/(1+lgh_equity!L$24),0))</f>
        <v>1.117894109288292E-2</v>
      </c>
      <c r="M105" s="53">
        <f t="array" ref="M105">IF(SUMPRODUCT(($A105=$Y$5:$Y$43)*(M$100=YEAR($F$5:$F$43)))&gt;=1,SUMPRODUCT(($A105=$A$61:$A$95)*$I$61:$I$95)*((SUMPRODUCT((M$100&gt;=YEAR($F$5:$F$43))*$G$5:$G$43)/$K$58)*100%)*(SUMPRODUCT(($A105=$Y$5:$Y$43)*(M$100&gt;=YEAR($F$5:$F$43))*$G$5:$G$43)/SUMPRODUCT((M$100&gt;=YEAR($F$5:$F$43))*$G$5:$G$43)),IF(L105&gt;0,L105/(1+lgh_equity!M$24),0))</f>
        <v>1.117894109288292E-2</v>
      </c>
      <c r="N105" s="53">
        <f t="array" ref="N105">IF(SUMPRODUCT(($A105=$Y$5:$Y$43)*(N$100=YEAR($F$5:$F$43)))&gt;=1,SUMPRODUCT(($A105=$A$61:$A$95)*$I$61:$I$95)*((SUMPRODUCT((N$100&gt;=YEAR($F$5:$F$43))*$G$5:$G$43)/$K$58)*100%)*(SUMPRODUCT(($A105=$Y$5:$Y$43)*(N$100&gt;=YEAR($F$5:$F$43))*$G$5:$G$43)/SUMPRODUCT((N$100&gt;=YEAR($F$5:$F$43))*$G$5:$G$43)),IF(M105&gt;0,M105/(1+lgh_equity!N$24),0))</f>
        <v>1.117894109288292E-2</v>
      </c>
      <c r="O105" s="232"/>
      <c r="P105" s="232"/>
      <c r="Q105" s="232"/>
      <c r="R105" s="232"/>
      <c r="S105" s="232"/>
      <c r="T105" s="232"/>
      <c r="U105" s="232"/>
      <c r="V105" s="43"/>
      <c r="W105" s="43"/>
      <c r="X105" s="43"/>
      <c r="Y105" s="43"/>
    </row>
    <row r="106" spans="1:25">
      <c r="A106" s="43" t="str">
        <f t="shared" si="19"/>
        <v>PE005 DCAPP Hotel Ventures LLC</v>
      </c>
      <c r="B106" s="79">
        <v>1.108910891089109E-2</v>
      </c>
      <c r="C106" s="121">
        <f t="array" ref="C106">IF(SUMPRODUCT(($A106=$Y$5:$Y$43)*(C$100=YEAR($F$5:$F$43)))&gt;=1,SUMPRODUCT(($A106=$A$61:$A$95)*$I$61:$I$95)*((SUMPRODUCT((C$100&gt;=YEAR($F$5:$F$43))*$G$5:$G$43)/$K$58)*100%)*(SUMPRODUCT(($A106=$Y$5:$Y$43)*(C$100&gt;=YEAR($F$5:$F$43))*$G$5:$G$43)/SUMPRODUCT((C$100&gt;=YEAR($F$5:$F$43))*$G$5:$G$43)),IF(B106&gt;0,B106/(1+lgh_equity!C$24),0))</f>
        <v>1.108910891089109E-2</v>
      </c>
      <c r="D106" s="121">
        <f t="array" ref="D106">IF(SUMPRODUCT(($A106=$Y$5:$Y$43)*(D$100=YEAR($F$5:$F$43)))&gt;=1,SUMPRODUCT(($A106=$A$61:$A$95)*$I$61:$I$95)*((SUMPRODUCT((D$100&gt;=YEAR($F$5:$F$43))*$G$5:$G$43)/$K$58)*100%)*(SUMPRODUCT(($A106=$Y$5:$Y$43)*(D$100&gt;=YEAR($F$5:$F$43))*$G$5:$G$43)/SUMPRODUCT((D$100&gt;=YEAR($F$5:$F$43))*$G$5:$G$43)),IF(C106&gt;0,C106/(1+lgh_equity!D$24),0))</f>
        <v>8.9717709635041189E-3</v>
      </c>
      <c r="E106" s="121">
        <f t="array" ref="E106">IF(SUMPRODUCT(($A106=$Y$5:$Y$43)*(E$100=YEAR($F$5:$F$43)))&gt;=1,SUMPRODUCT(($A106=$A$61:$A$95)*$I$61:$I$95)*((SUMPRODUCT((E$100&gt;=YEAR($F$5:$F$43))*$G$5:$G$43)/$K$58)*100%)*(SUMPRODUCT(($A106=$Y$5:$Y$43)*(E$100&gt;=YEAR($F$5:$F$43))*$G$5:$G$43)/SUMPRODUCT((E$100&gt;=YEAR($F$5:$F$43))*$G$5:$G$43)),IF(D106&gt;0,D106/(1+lgh_equity!E$24),0))</f>
        <v>8.9431528743063385E-3</v>
      </c>
      <c r="F106" s="121">
        <f t="array" ref="F106">IF(SUMPRODUCT(($A106=$Y$5:$Y$43)*(F$100=YEAR($F$5:$F$43)))&gt;=1,SUMPRODUCT(($A106=$A$61:$A$95)*$I$61:$I$95)*((SUMPRODUCT((F$100&gt;=YEAR($F$5:$F$43))*$G$5:$G$43)/$K$58)*100%)*(SUMPRODUCT(($A106=$Y$5:$Y$43)*(F$100&gt;=YEAR($F$5:$F$43))*$G$5:$G$43)/SUMPRODUCT((F$100&gt;=YEAR($F$5:$F$43))*$G$5:$G$43)),IF(E106&gt;0,E106/(1+lgh_equity!F$24),0))</f>
        <v>8.9431528743063385E-3</v>
      </c>
      <c r="G106" s="121">
        <f t="array" ref="G106">IF(SUMPRODUCT(($A106=$Y$5:$Y$43)*(G$100=YEAR($F$5:$F$43)))&gt;=1,SUMPRODUCT(($A106=$A$61:$A$95)*$I$61:$I$95)*((SUMPRODUCT((G$100&gt;=YEAR($F$5:$F$43))*$G$5:$G$43)/$K$58)*100%)*(SUMPRODUCT(($A106=$Y$5:$Y$43)*(G$100&gt;=YEAR($F$5:$F$43))*$G$5:$G$43)/SUMPRODUCT((G$100&gt;=YEAR($F$5:$F$43))*$G$5:$G$43)),IF(F106&gt;0,F106/(1+lgh_equity!G$24),0))</f>
        <v>8.9431528743063385E-3</v>
      </c>
      <c r="H106" s="121">
        <f t="array" ref="H106">IF(SUMPRODUCT(($A106=$Y$5:$Y$43)*(H$100=YEAR($F$5:$F$43)))&gt;=1,SUMPRODUCT(($A106=$A$61:$A$95)*$I$61:$I$95)*((SUMPRODUCT((H$100&gt;=YEAR($F$5:$F$43))*$G$5:$G$43)/$K$58)*100%)*(SUMPRODUCT(($A106=$Y$5:$Y$43)*(H$100&gt;=YEAR($F$5:$F$43))*$G$5:$G$43)/SUMPRODUCT((H$100&gt;=YEAR($F$5:$F$43))*$G$5:$G$43)),IF(G106&gt;0,G106/(1+lgh_equity!H$24),0))</f>
        <v>8.9431528743063385E-3</v>
      </c>
      <c r="I106" s="53">
        <f t="array" ref="I106">IF(SUMPRODUCT(($A106=$Y$5:$Y$43)*(I$100=YEAR($F$5:$F$43)))&gt;=1,SUMPRODUCT(($A106=$A$61:$A$95)*$I$61:$I$95)*((SUMPRODUCT((I$100&gt;=YEAR($F$5:$F$43))*$G$5:$G$43)/$K$58)*100%)*(SUMPRODUCT(($A106=$Y$5:$Y$43)*(I$100&gt;=YEAR($F$5:$F$43))*$G$5:$G$43)/SUMPRODUCT((I$100&gt;=YEAR($F$5:$F$43))*$G$5:$G$43)),IF(H106&gt;0,H106/(1+lgh_equity!I$24),0))</f>
        <v>8.9431528743063385E-3</v>
      </c>
      <c r="J106" s="53">
        <f t="array" ref="J106">IF(SUMPRODUCT(($A106=$Y$5:$Y$43)*(J$100=YEAR($F$5:$F$43)))&gt;=1,SUMPRODUCT(($A106=$A$61:$A$95)*$I$61:$I$95)*((SUMPRODUCT((J$100&gt;=YEAR($F$5:$F$43))*$G$5:$G$43)/$K$58)*100%)*(SUMPRODUCT(($A106=$Y$5:$Y$43)*(J$100&gt;=YEAR($F$5:$F$43))*$G$5:$G$43)/SUMPRODUCT((J$100&gt;=YEAR($F$5:$F$43))*$G$5:$G$43)),IF(I106&gt;0,I106/(1+lgh_equity!J$24),0))</f>
        <v>8.9431528743063385E-3</v>
      </c>
      <c r="K106" s="53">
        <f t="array" ref="K106">IF(SUMPRODUCT(($A106=$Y$5:$Y$43)*(K$100=YEAR($F$5:$F$43)))&gt;=1,SUMPRODUCT(($A106=$A$61:$A$95)*$I$61:$I$95)*((SUMPRODUCT((K$100&gt;=YEAR($F$5:$F$43))*$G$5:$G$43)/$K$58)*100%)*(SUMPRODUCT(($A106=$Y$5:$Y$43)*(K$100&gt;=YEAR($F$5:$F$43))*$G$5:$G$43)/SUMPRODUCT((K$100&gt;=YEAR($F$5:$F$43))*$G$5:$G$43)),IF(J106&gt;0,J106/(1+lgh_equity!K$24),0))</f>
        <v>8.9431528743063385E-3</v>
      </c>
      <c r="L106" s="53">
        <f t="array" ref="L106">IF(SUMPRODUCT(($A106=$Y$5:$Y$43)*(L$100=YEAR($F$5:$F$43)))&gt;=1,SUMPRODUCT(($A106=$A$61:$A$95)*$I$61:$I$95)*((SUMPRODUCT((L$100&gt;=YEAR($F$5:$F$43))*$G$5:$G$43)/$K$58)*100%)*(SUMPRODUCT(($A106=$Y$5:$Y$43)*(L$100&gt;=YEAR($F$5:$F$43))*$G$5:$G$43)/SUMPRODUCT((L$100&gt;=YEAR($F$5:$F$43))*$G$5:$G$43)),IF(K106&gt;0,K106/(1+lgh_equity!L$24),0))</f>
        <v>8.9431528743063385E-3</v>
      </c>
      <c r="M106" s="53">
        <f t="array" ref="M106">IF(SUMPRODUCT(($A106=$Y$5:$Y$43)*(M$100=YEAR($F$5:$F$43)))&gt;=1,SUMPRODUCT(($A106=$A$61:$A$95)*$I$61:$I$95)*((SUMPRODUCT((M$100&gt;=YEAR($F$5:$F$43))*$G$5:$G$43)/$K$58)*100%)*(SUMPRODUCT(($A106=$Y$5:$Y$43)*(M$100&gt;=YEAR($F$5:$F$43))*$G$5:$G$43)/SUMPRODUCT((M$100&gt;=YEAR($F$5:$F$43))*$G$5:$G$43)),IF(L106&gt;0,L106/(1+lgh_equity!M$24),0))</f>
        <v>8.9431528743063385E-3</v>
      </c>
      <c r="N106" s="53">
        <f t="array" ref="N106">IF(SUMPRODUCT(($A106=$Y$5:$Y$43)*(N$100=YEAR($F$5:$F$43)))&gt;=1,SUMPRODUCT(($A106=$A$61:$A$95)*$I$61:$I$95)*((SUMPRODUCT((N$100&gt;=YEAR($F$5:$F$43))*$G$5:$G$43)/$K$58)*100%)*(SUMPRODUCT(($A106=$Y$5:$Y$43)*(N$100&gt;=YEAR($F$5:$F$43))*$G$5:$G$43)/SUMPRODUCT((N$100&gt;=YEAR($F$5:$F$43))*$G$5:$G$43)),IF(M106&gt;0,M106/(1+lgh_equity!N$24),0))</f>
        <v>8.9431528743063385E-3</v>
      </c>
      <c r="O106" s="232"/>
      <c r="P106" s="232"/>
      <c r="Q106" s="232"/>
      <c r="R106" s="232"/>
      <c r="S106" s="232"/>
      <c r="T106" s="232"/>
      <c r="U106" s="232"/>
      <c r="V106" s="43"/>
      <c r="W106" s="43"/>
      <c r="X106" s="43"/>
      <c r="Y106" s="43"/>
    </row>
    <row r="107" spans="1:25">
      <c r="A107" s="43" t="str">
        <f t="shared" si="19"/>
        <v>PE006 DCAPP Hotel Ventures LLC</v>
      </c>
      <c r="B107" s="79">
        <v>5.5445544554455451E-3</v>
      </c>
      <c r="C107" s="121">
        <f t="array" ref="C107">IF(SUMPRODUCT(($A107=$Y$5:$Y$43)*(C$100=YEAR($F$5:$F$43)))&gt;=1,SUMPRODUCT(($A107=$A$61:$A$95)*$I$61:$I$95)*((SUMPRODUCT((C$100&gt;=YEAR($F$5:$F$43))*$G$5:$G$43)/$K$58)*100%)*(SUMPRODUCT(($A107=$Y$5:$Y$43)*(C$100&gt;=YEAR($F$5:$F$43))*$G$5:$G$43)/SUMPRODUCT((C$100&gt;=YEAR($F$5:$F$43))*$G$5:$G$43)),IF(B107&gt;0,B107/(1+lgh_equity!C$24),0))</f>
        <v>5.5445544554455451E-3</v>
      </c>
      <c r="D107" s="121">
        <f t="array" ref="D107">IF(SUMPRODUCT(($A107=$Y$5:$Y$43)*(D$100=YEAR($F$5:$F$43)))&gt;=1,SUMPRODUCT(($A107=$A$61:$A$95)*$I$61:$I$95)*((SUMPRODUCT((D$100&gt;=YEAR($F$5:$F$43))*$G$5:$G$43)/$K$58)*100%)*(SUMPRODUCT(($A107=$Y$5:$Y$43)*(D$100&gt;=YEAR($F$5:$F$43))*$G$5:$G$43)/SUMPRODUCT((D$100&gt;=YEAR($F$5:$F$43))*$G$5:$G$43)),IF(C107&gt;0,C107/(1+lgh_equity!D$24),0))</f>
        <v>4.4858854817520595E-3</v>
      </c>
      <c r="E107" s="121">
        <f t="array" ref="E107">IF(SUMPRODUCT(($A107=$Y$5:$Y$43)*(E$100=YEAR($F$5:$F$43)))&gt;=1,SUMPRODUCT(($A107=$A$61:$A$95)*$I$61:$I$95)*((SUMPRODUCT((E$100&gt;=YEAR($F$5:$F$43))*$G$5:$G$43)/$K$58)*100%)*(SUMPRODUCT(($A107=$Y$5:$Y$43)*(E$100&gt;=YEAR($F$5:$F$43))*$G$5:$G$43)/SUMPRODUCT((E$100&gt;=YEAR($F$5:$F$43))*$G$5:$G$43)),IF(D107&gt;0,D107/(1+lgh_equity!E$24),0))</f>
        <v>4.4715764371531692E-3</v>
      </c>
      <c r="F107" s="121">
        <f t="array" ref="F107">IF(SUMPRODUCT(($A107=$Y$5:$Y$43)*(F$100=YEAR($F$5:$F$43)))&gt;=1,SUMPRODUCT(($A107=$A$61:$A$95)*$I$61:$I$95)*((SUMPRODUCT((F$100&gt;=YEAR($F$5:$F$43))*$G$5:$G$43)/$K$58)*100%)*(SUMPRODUCT(($A107=$Y$5:$Y$43)*(F$100&gt;=YEAR($F$5:$F$43))*$G$5:$G$43)/SUMPRODUCT((F$100&gt;=YEAR($F$5:$F$43))*$G$5:$G$43)),IF(E107&gt;0,E107/(1+lgh_equity!F$24),0))</f>
        <v>4.4715764371531692E-3</v>
      </c>
      <c r="G107" s="121">
        <f t="array" ref="G107">IF(SUMPRODUCT(($A107=$Y$5:$Y$43)*(G$100=YEAR($F$5:$F$43)))&gt;=1,SUMPRODUCT(($A107=$A$61:$A$95)*$I$61:$I$95)*((SUMPRODUCT((G$100&gt;=YEAR($F$5:$F$43))*$G$5:$G$43)/$K$58)*100%)*(SUMPRODUCT(($A107=$Y$5:$Y$43)*(G$100&gt;=YEAR($F$5:$F$43))*$G$5:$G$43)/SUMPRODUCT((G$100&gt;=YEAR($F$5:$F$43))*$G$5:$G$43)),IF(F107&gt;0,F107/(1+lgh_equity!G$24),0))</f>
        <v>4.4715764371531692E-3</v>
      </c>
      <c r="H107" s="121">
        <f t="array" ref="H107">IF(SUMPRODUCT(($A107=$Y$5:$Y$43)*(H$100=YEAR($F$5:$F$43)))&gt;=1,SUMPRODUCT(($A107=$A$61:$A$95)*$I$61:$I$95)*((SUMPRODUCT((H$100&gt;=YEAR($F$5:$F$43))*$G$5:$G$43)/$K$58)*100%)*(SUMPRODUCT(($A107=$Y$5:$Y$43)*(H$100&gt;=YEAR($F$5:$F$43))*$G$5:$G$43)/SUMPRODUCT((H$100&gt;=YEAR($F$5:$F$43))*$G$5:$G$43)),IF(G107&gt;0,G107/(1+lgh_equity!H$24),0))</f>
        <v>4.4715764371531692E-3</v>
      </c>
      <c r="I107" s="53">
        <f t="array" ref="I107">IF(SUMPRODUCT(($A107=$Y$5:$Y$43)*(I$100=YEAR($F$5:$F$43)))&gt;=1,SUMPRODUCT(($A107=$A$61:$A$95)*$I$61:$I$95)*((SUMPRODUCT((I$100&gt;=YEAR($F$5:$F$43))*$G$5:$G$43)/$K$58)*100%)*(SUMPRODUCT(($A107=$Y$5:$Y$43)*(I$100&gt;=YEAR($F$5:$F$43))*$G$5:$G$43)/SUMPRODUCT((I$100&gt;=YEAR($F$5:$F$43))*$G$5:$G$43)),IF(H107&gt;0,H107/(1+lgh_equity!I$24),0))</f>
        <v>4.4715764371531692E-3</v>
      </c>
      <c r="J107" s="53">
        <f t="array" ref="J107">IF(SUMPRODUCT(($A107=$Y$5:$Y$43)*(J$100=YEAR($F$5:$F$43)))&gt;=1,SUMPRODUCT(($A107=$A$61:$A$95)*$I$61:$I$95)*((SUMPRODUCT((J$100&gt;=YEAR($F$5:$F$43))*$G$5:$G$43)/$K$58)*100%)*(SUMPRODUCT(($A107=$Y$5:$Y$43)*(J$100&gt;=YEAR($F$5:$F$43))*$G$5:$G$43)/SUMPRODUCT((J$100&gt;=YEAR($F$5:$F$43))*$G$5:$G$43)),IF(I107&gt;0,I107/(1+lgh_equity!J$24),0))</f>
        <v>4.4715764371531692E-3</v>
      </c>
      <c r="K107" s="53">
        <f t="array" ref="K107">IF(SUMPRODUCT(($A107=$Y$5:$Y$43)*(K$100=YEAR($F$5:$F$43)))&gt;=1,SUMPRODUCT(($A107=$A$61:$A$95)*$I$61:$I$95)*((SUMPRODUCT((K$100&gt;=YEAR($F$5:$F$43))*$G$5:$G$43)/$K$58)*100%)*(SUMPRODUCT(($A107=$Y$5:$Y$43)*(K$100&gt;=YEAR($F$5:$F$43))*$G$5:$G$43)/SUMPRODUCT((K$100&gt;=YEAR($F$5:$F$43))*$G$5:$G$43)),IF(J107&gt;0,J107/(1+lgh_equity!K$24),0))</f>
        <v>4.4715764371531692E-3</v>
      </c>
      <c r="L107" s="53">
        <f t="array" ref="L107">IF(SUMPRODUCT(($A107=$Y$5:$Y$43)*(L$100=YEAR($F$5:$F$43)))&gt;=1,SUMPRODUCT(($A107=$A$61:$A$95)*$I$61:$I$95)*((SUMPRODUCT((L$100&gt;=YEAR($F$5:$F$43))*$G$5:$G$43)/$K$58)*100%)*(SUMPRODUCT(($A107=$Y$5:$Y$43)*(L$100&gt;=YEAR($F$5:$F$43))*$G$5:$G$43)/SUMPRODUCT((L$100&gt;=YEAR($F$5:$F$43))*$G$5:$G$43)),IF(K107&gt;0,K107/(1+lgh_equity!L$24),0))</f>
        <v>4.4715764371531692E-3</v>
      </c>
      <c r="M107" s="53">
        <f t="array" ref="M107">IF(SUMPRODUCT(($A107=$Y$5:$Y$43)*(M$100=YEAR($F$5:$F$43)))&gt;=1,SUMPRODUCT(($A107=$A$61:$A$95)*$I$61:$I$95)*((SUMPRODUCT((M$100&gt;=YEAR($F$5:$F$43))*$G$5:$G$43)/$K$58)*100%)*(SUMPRODUCT(($A107=$Y$5:$Y$43)*(M$100&gt;=YEAR($F$5:$F$43))*$G$5:$G$43)/SUMPRODUCT((M$100&gt;=YEAR($F$5:$F$43))*$G$5:$G$43)),IF(L107&gt;0,L107/(1+lgh_equity!M$24),0))</f>
        <v>4.4715764371531692E-3</v>
      </c>
      <c r="N107" s="53">
        <f t="array" ref="N107">IF(SUMPRODUCT(($A107=$Y$5:$Y$43)*(N$100=YEAR($F$5:$F$43)))&gt;=1,SUMPRODUCT(($A107=$A$61:$A$95)*$I$61:$I$95)*((SUMPRODUCT((N$100&gt;=YEAR($F$5:$F$43))*$G$5:$G$43)/$K$58)*100%)*(SUMPRODUCT(($A107=$Y$5:$Y$43)*(N$100&gt;=YEAR($F$5:$F$43))*$G$5:$G$43)/SUMPRODUCT((N$100&gt;=YEAR($F$5:$F$43))*$G$5:$G$43)),IF(M107&gt;0,M107/(1+lgh_equity!N$24),0))</f>
        <v>4.4715764371531692E-3</v>
      </c>
      <c r="O107" s="232"/>
      <c r="P107" s="232"/>
      <c r="Q107" s="232"/>
      <c r="R107" s="232"/>
      <c r="S107" s="232"/>
      <c r="T107" s="232"/>
      <c r="U107" s="232"/>
      <c r="V107" s="43"/>
      <c r="W107" s="43"/>
      <c r="X107" s="43"/>
      <c r="Y107" s="43"/>
    </row>
    <row r="108" spans="1:25">
      <c r="A108" s="43" t="str">
        <f t="shared" si="19"/>
        <v>PE007 La Pointe Investments LLC</v>
      </c>
      <c r="B108" s="79">
        <v>6.1881188118811884E-3</v>
      </c>
      <c r="C108" s="121">
        <f t="array" ref="C108">IF(SUMPRODUCT(($A108=$Y$5:$Y$43)*(C$100=YEAR($F$5:$F$43)))&gt;=1,SUMPRODUCT(($A108=$A$61:$A$95)*$I$61:$I$95)*((SUMPRODUCT((C$100&gt;=YEAR($F$5:$F$43))*$G$5:$G$43)/$K$58)*100%)*(SUMPRODUCT(($A108=$Y$5:$Y$43)*(C$100&gt;=YEAR($F$5:$F$43))*$G$5:$G$43)/SUMPRODUCT((C$100&gt;=YEAR($F$5:$F$43))*$G$5:$G$43)),IF(B108&gt;0,B108/(1+lgh_equity!C$24),0))</f>
        <v>6.1881188118811884E-3</v>
      </c>
      <c r="D108" s="121">
        <f t="array" ref="D108">IF(SUMPRODUCT(($A108=$Y$5:$Y$43)*(D$100=YEAR($F$5:$F$43)))&gt;=1,SUMPRODUCT(($A108=$A$61:$A$95)*$I$61:$I$95)*((SUMPRODUCT((D$100&gt;=YEAR($F$5:$F$43))*$G$5:$G$43)/$K$58)*100%)*(SUMPRODUCT(($A108=$Y$5:$Y$43)*(D$100&gt;=YEAR($F$5:$F$43))*$G$5:$G$43)/SUMPRODUCT((D$100&gt;=YEAR($F$5:$F$43))*$G$5:$G$43)),IF(C108&gt;0,C108/(1+lgh_equity!D$24),0))</f>
        <v>5.0065686180268514E-3</v>
      </c>
      <c r="E108" s="121">
        <f t="array" ref="E108">IF(SUMPRODUCT(($A108=$Y$5:$Y$43)*(E$100=YEAR($F$5:$F$43)))&gt;=1,SUMPRODUCT(($A108=$A$61:$A$95)*$I$61:$I$95)*((SUMPRODUCT((E$100&gt;=YEAR($F$5:$F$43))*$G$5:$G$43)/$K$58)*100%)*(SUMPRODUCT(($A108=$Y$5:$Y$43)*(E$100&gt;=YEAR($F$5:$F$43))*$G$5:$G$43)/SUMPRODUCT((E$100&gt;=YEAR($F$5:$F$43))*$G$5:$G$43)),IF(D108&gt;0,D108/(1+lgh_equity!E$24),0))</f>
        <v>4.9905987021798756E-3</v>
      </c>
      <c r="F108" s="121">
        <f t="array" ref="F108">IF(SUMPRODUCT(($A108=$Y$5:$Y$43)*(F$100=YEAR($F$5:$F$43)))&gt;=1,SUMPRODUCT(($A108=$A$61:$A$95)*$I$61:$I$95)*((SUMPRODUCT((F$100&gt;=YEAR($F$5:$F$43))*$G$5:$G$43)/$K$58)*100%)*(SUMPRODUCT(($A108=$Y$5:$Y$43)*(F$100&gt;=YEAR($F$5:$F$43))*$G$5:$G$43)/SUMPRODUCT((F$100&gt;=YEAR($F$5:$F$43))*$G$5:$G$43)),IF(E108&gt;0,E108/(1+lgh_equity!F$24),0))</f>
        <v>4.9905987021798756E-3</v>
      </c>
      <c r="G108" s="121">
        <f t="array" ref="G108">IF(SUMPRODUCT(($A108=$Y$5:$Y$43)*(G$100=YEAR($F$5:$F$43)))&gt;=1,SUMPRODUCT(($A108=$A$61:$A$95)*$I$61:$I$95)*((SUMPRODUCT((G$100&gt;=YEAR($F$5:$F$43))*$G$5:$G$43)/$K$58)*100%)*(SUMPRODUCT(($A108=$Y$5:$Y$43)*(G$100&gt;=YEAR($F$5:$F$43))*$G$5:$G$43)/SUMPRODUCT((G$100&gt;=YEAR($F$5:$F$43))*$G$5:$G$43)),IF(F108&gt;0,F108/(1+lgh_equity!G$24),0))</f>
        <v>4.9905987021798756E-3</v>
      </c>
      <c r="H108" s="121">
        <f t="array" ref="H108">IF(SUMPRODUCT(($A108=$Y$5:$Y$43)*(H$100=YEAR($F$5:$F$43)))&gt;=1,SUMPRODUCT(($A108=$A$61:$A$95)*$I$61:$I$95)*((SUMPRODUCT((H$100&gt;=YEAR($F$5:$F$43))*$G$5:$G$43)/$K$58)*100%)*(SUMPRODUCT(($A108=$Y$5:$Y$43)*(H$100&gt;=YEAR($F$5:$F$43))*$G$5:$G$43)/SUMPRODUCT((H$100&gt;=YEAR($F$5:$F$43))*$G$5:$G$43)),IF(G108&gt;0,G108/(1+lgh_equity!H$24),0))</f>
        <v>4.9905987021798756E-3</v>
      </c>
      <c r="I108" s="53">
        <f t="array" ref="I108">IF(SUMPRODUCT(($A108=$Y$5:$Y$43)*(I$100=YEAR($F$5:$F$43)))&gt;=1,SUMPRODUCT(($A108=$A$61:$A$95)*$I$61:$I$95)*((SUMPRODUCT((I$100&gt;=YEAR($F$5:$F$43))*$G$5:$G$43)/$K$58)*100%)*(SUMPRODUCT(($A108=$Y$5:$Y$43)*(I$100&gt;=YEAR($F$5:$F$43))*$G$5:$G$43)/SUMPRODUCT((I$100&gt;=YEAR($F$5:$F$43))*$G$5:$G$43)),IF(H108&gt;0,H108/(1+lgh_equity!I$24),0))</f>
        <v>4.9905987021798756E-3</v>
      </c>
      <c r="J108" s="53">
        <f t="array" ref="J108">IF(SUMPRODUCT(($A108=$Y$5:$Y$43)*(J$100=YEAR($F$5:$F$43)))&gt;=1,SUMPRODUCT(($A108=$A$61:$A$95)*$I$61:$I$95)*((SUMPRODUCT((J$100&gt;=YEAR($F$5:$F$43))*$G$5:$G$43)/$K$58)*100%)*(SUMPRODUCT(($A108=$Y$5:$Y$43)*(J$100&gt;=YEAR($F$5:$F$43))*$G$5:$G$43)/SUMPRODUCT((J$100&gt;=YEAR($F$5:$F$43))*$G$5:$G$43)),IF(I108&gt;0,I108/(1+lgh_equity!J$24),0))</f>
        <v>4.9905987021798756E-3</v>
      </c>
      <c r="K108" s="53">
        <f t="array" ref="K108">IF(SUMPRODUCT(($A108=$Y$5:$Y$43)*(K$100=YEAR($F$5:$F$43)))&gt;=1,SUMPRODUCT(($A108=$A$61:$A$95)*$I$61:$I$95)*((SUMPRODUCT((K$100&gt;=YEAR($F$5:$F$43))*$G$5:$G$43)/$K$58)*100%)*(SUMPRODUCT(($A108=$Y$5:$Y$43)*(K$100&gt;=YEAR($F$5:$F$43))*$G$5:$G$43)/SUMPRODUCT((K$100&gt;=YEAR($F$5:$F$43))*$G$5:$G$43)),IF(J108&gt;0,J108/(1+lgh_equity!K$24),0))</f>
        <v>4.9905987021798756E-3</v>
      </c>
      <c r="L108" s="53">
        <f t="array" ref="L108">IF(SUMPRODUCT(($A108=$Y$5:$Y$43)*(L$100=YEAR($F$5:$F$43)))&gt;=1,SUMPRODUCT(($A108=$A$61:$A$95)*$I$61:$I$95)*((SUMPRODUCT((L$100&gt;=YEAR($F$5:$F$43))*$G$5:$G$43)/$K$58)*100%)*(SUMPRODUCT(($A108=$Y$5:$Y$43)*(L$100&gt;=YEAR($F$5:$F$43))*$G$5:$G$43)/SUMPRODUCT((L$100&gt;=YEAR($F$5:$F$43))*$G$5:$G$43)),IF(K108&gt;0,K108/(1+lgh_equity!L$24),0))</f>
        <v>4.9905987021798756E-3</v>
      </c>
      <c r="M108" s="53">
        <f t="array" ref="M108">IF(SUMPRODUCT(($A108=$Y$5:$Y$43)*(M$100=YEAR($F$5:$F$43)))&gt;=1,SUMPRODUCT(($A108=$A$61:$A$95)*$I$61:$I$95)*((SUMPRODUCT((M$100&gt;=YEAR($F$5:$F$43))*$G$5:$G$43)/$K$58)*100%)*(SUMPRODUCT(($A108=$Y$5:$Y$43)*(M$100&gt;=YEAR($F$5:$F$43))*$G$5:$G$43)/SUMPRODUCT((M$100&gt;=YEAR($F$5:$F$43))*$G$5:$G$43)),IF(L108&gt;0,L108/(1+lgh_equity!M$24),0))</f>
        <v>4.9905987021798756E-3</v>
      </c>
      <c r="N108" s="53">
        <f t="array" ref="N108">IF(SUMPRODUCT(($A108=$Y$5:$Y$43)*(N$100=YEAR($F$5:$F$43)))&gt;=1,SUMPRODUCT(($A108=$A$61:$A$95)*$I$61:$I$95)*((SUMPRODUCT((N$100&gt;=YEAR($F$5:$F$43))*$G$5:$G$43)/$K$58)*100%)*(SUMPRODUCT(($A108=$Y$5:$Y$43)*(N$100&gt;=YEAR($F$5:$F$43))*$G$5:$G$43)/SUMPRODUCT((N$100&gt;=YEAR($F$5:$F$43))*$G$5:$G$43)),IF(M108&gt;0,M108/(1+lgh_equity!N$24),0))</f>
        <v>4.9905987021798756E-3</v>
      </c>
      <c r="O108" s="232"/>
      <c r="P108" s="232"/>
      <c r="Q108" s="232"/>
      <c r="R108" s="232"/>
      <c r="S108" s="232"/>
      <c r="T108" s="232"/>
      <c r="U108" s="232"/>
      <c r="V108" s="43"/>
      <c r="W108" s="43"/>
      <c r="X108" s="43"/>
      <c r="Y108" s="43"/>
    </row>
    <row r="109" spans="1:25">
      <c r="A109" s="43" t="str">
        <f t="shared" si="19"/>
        <v>PE008 La Pointe Investments LLC</v>
      </c>
      <c r="B109" s="79">
        <v>6.1881188118811884E-3</v>
      </c>
      <c r="C109" s="121">
        <f t="array" ref="C109">IF(SUMPRODUCT(($A109=$Y$5:$Y$43)*(C$100=YEAR($F$5:$F$43)))&gt;=1,SUMPRODUCT(($A109=$A$61:$A$95)*$I$61:$I$95)*((SUMPRODUCT((C$100&gt;=YEAR($F$5:$F$43))*$G$5:$G$43)/$K$58)*100%)*(SUMPRODUCT(($A109=$Y$5:$Y$43)*(C$100&gt;=YEAR($F$5:$F$43))*$G$5:$G$43)/SUMPRODUCT((C$100&gt;=YEAR($F$5:$F$43))*$G$5:$G$43)),IF(B109&gt;0,B109/(1+lgh_equity!C$24),0))</f>
        <v>6.1881188118811884E-3</v>
      </c>
      <c r="D109" s="121">
        <f t="array" ref="D109">IF(SUMPRODUCT(($A109=$Y$5:$Y$43)*(D$100=YEAR($F$5:$F$43)))&gt;=1,SUMPRODUCT(($A109=$A$61:$A$95)*$I$61:$I$95)*((SUMPRODUCT((D$100&gt;=YEAR($F$5:$F$43))*$G$5:$G$43)/$K$58)*100%)*(SUMPRODUCT(($A109=$Y$5:$Y$43)*(D$100&gt;=YEAR($F$5:$F$43))*$G$5:$G$43)/SUMPRODUCT((D$100&gt;=YEAR($F$5:$F$43))*$G$5:$G$43)),IF(C109&gt;0,C109/(1+lgh_equity!D$24),0))</f>
        <v>5.0065686180268514E-3</v>
      </c>
      <c r="E109" s="121">
        <f t="array" ref="E109">IF(SUMPRODUCT(($A109=$Y$5:$Y$43)*(E$100=YEAR($F$5:$F$43)))&gt;=1,SUMPRODUCT(($A109=$A$61:$A$95)*$I$61:$I$95)*((SUMPRODUCT((E$100&gt;=YEAR($F$5:$F$43))*$G$5:$G$43)/$K$58)*100%)*(SUMPRODUCT(($A109=$Y$5:$Y$43)*(E$100&gt;=YEAR($F$5:$F$43))*$G$5:$G$43)/SUMPRODUCT((E$100&gt;=YEAR($F$5:$F$43))*$G$5:$G$43)),IF(D109&gt;0,D109/(1+lgh_equity!E$24),0))</f>
        <v>4.9905987021798756E-3</v>
      </c>
      <c r="F109" s="121">
        <f t="array" ref="F109">IF(SUMPRODUCT(($A109=$Y$5:$Y$43)*(F$100=YEAR($F$5:$F$43)))&gt;=1,SUMPRODUCT(($A109=$A$61:$A$95)*$I$61:$I$95)*((SUMPRODUCT((F$100&gt;=YEAR($F$5:$F$43))*$G$5:$G$43)/$K$58)*100%)*(SUMPRODUCT(($A109=$Y$5:$Y$43)*(F$100&gt;=YEAR($F$5:$F$43))*$G$5:$G$43)/SUMPRODUCT((F$100&gt;=YEAR($F$5:$F$43))*$G$5:$G$43)),IF(E109&gt;0,E109/(1+lgh_equity!F$24),0))</f>
        <v>4.9905987021798756E-3</v>
      </c>
      <c r="G109" s="121">
        <f t="array" ref="G109">IF(SUMPRODUCT(($A109=$Y$5:$Y$43)*(G$100=YEAR($F$5:$F$43)))&gt;=1,SUMPRODUCT(($A109=$A$61:$A$95)*$I$61:$I$95)*((SUMPRODUCT((G$100&gt;=YEAR($F$5:$F$43))*$G$5:$G$43)/$K$58)*100%)*(SUMPRODUCT(($A109=$Y$5:$Y$43)*(G$100&gt;=YEAR($F$5:$F$43))*$G$5:$G$43)/SUMPRODUCT((G$100&gt;=YEAR($F$5:$F$43))*$G$5:$G$43)),IF(F109&gt;0,F109/(1+lgh_equity!G$24),0))</f>
        <v>4.9905987021798756E-3</v>
      </c>
      <c r="H109" s="121">
        <f t="array" ref="H109">IF(SUMPRODUCT(($A109=$Y$5:$Y$43)*(H$100=YEAR($F$5:$F$43)))&gt;=1,SUMPRODUCT(($A109=$A$61:$A$95)*$I$61:$I$95)*((SUMPRODUCT((H$100&gt;=YEAR($F$5:$F$43))*$G$5:$G$43)/$K$58)*100%)*(SUMPRODUCT(($A109=$Y$5:$Y$43)*(H$100&gt;=YEAR($F$5:$F$43))*$G$5:$G$43)/SUMPRODUCT((H$100&gt;=YEAR($F$5:$F$43))*$G$5:$G$43)),IF(G109&gt;0,G109/(1+lgh_equity!H$24),0))</f>
        <v>4.9905987021798756E-3</v>
      </c>
      <c r="I109" s="53">
        <f t="array" ref="I109">IF(SUMPRODUCT(($A109=$Y$5:$Y$43)*(I$100=YEAR($F$5:$F$43)))&gt;=1,SUMPRODUCT(($A109=$A$61:$A$95)*$I$61:$I$95)*((SUMPRODUCT((I$100&gt;=YEAR($F$5:$F$43))*$G$5:$G$43)/$K$58)*100%)*(SUMPRODUCT(($A109=$Y$5:$Y$43)*(I$100&gt;=YEAR($F$5:$F$43))*$G$5:$G$43)/SUMPRODUCT((I$100&gt;=YEAR($F$5:$F$43))*$G$5:$G$43)),IF(H109&gt;0,H109/(1+lgh_equity!I$24),0))</f>
        <v>4.9905987021798756E-3</v>
      </c>
      <c r="J109" s="53">
        <f t="array" ref="J109">IF(SUMPRODUCT(($A109=$Y$5:$Y$43)*(J$100=YEAR($F$5:$F$43)))&gt;=1,SUMPRODUCT(($A109=$A$61:$A$95)*$I$61:$I$95)*((SUMPRODUCT((J$100&gt;=YEAR($F$5:$F$43))*$G$5:$G$43)/$K$58)*100%)*(SUMPRODUCT(($A109=$Y$5:$Y$43)*(J$100&gt;=YEAR($F$5:$F$43))*$G$5:$G$43)/SUMPRODUCT((J$100&gt;=YEAR($F$5:$F$43))*$G$5:$G$43)),IF(I109&gt;0,I109/(1+lgh_equity!J$24),0))</f>
        <v>4.9905987021798756E-3</v>
      </c>
      <c r="K109" s="53">
        <f t="array" ref="K109">IF(SUMPRODUCT(($A109=$Y$5:$Y$43)*(K$100=YEAR($F$5:$F$43)))&gt;=1,SUMPRODUCT(($A109=$A$61:$A$95)*$I$61:$I$95)*((SUMPRODUCT((K$100&gt;=YEAR($F$5:$F$43))*$G$5:$G$43)/$K$58)*100%)*(SUMPRODUCT(($A109=$Y$5:$Y$43)*(K$100&gt;=YEAR($F$5:$F$43))*$G$5:$G$43)/SUMPRODUCT((K$100&gt;=YEAR($F$5:$F$43))*$G$5:$G$43)),IF(J109&gt;0,J109/(1+lgh_equity!K$24),0))</f>
        <v>4.9905987021798756E-3</v>
      </c>
      <c r="L109" s="53">
        <f t="array" ref="L109">IF(SUMPRODUCT(($A109=$Y$5:$Y$43)*(L$100=YEAR($F$5:$F$43)))&gt;=1,SUMPRODUCT(($A109=$A$61:$A$95)*$I$61:$I$95)*((SUMPRODUCT((L$100&gt;=YEAR($F$5:$F$43))*$G$5:$G$43)/$K$58)*100%)*(SUMPRODUCT(($A109=$Y$5:$Y$43)*(L$100&gt;=YEAR($F$5:$F$43))*$G$5:$G$43)/SUMPRODUCT((L$100&gt;=YEAR($F$5:$F$43))*$G$5:$G$43)),IF(K109&gt;0,K109/(1+lgh_equity!L$24),0))</f>
        <v>4.9905987021798756E-3</v>
      </c>
      <c r="M109" s="53">
        <f t="array" ref="M109">IF(SUMPRODUCT(($A109=$Y$5:$Y$43)*(M$100=YEAR($F$5:$F$43)))&gt;=1,SUMPRODUCT(($A109=$A$61:$A$95)*$I$61:$I$95)*((SUMPRODUCT((M$100&gt;=YEAR($F$5:$F$43))*$G$5:$G$43)/$K$58)*100%)*(SUMPRODUCT(($A109=$Y$5:$Y$43)*(M$100&gt;=YEAR($F$5:$F$43))*$G$5:$G$43)/SUMPRODUCT((M$100&gt;=YEAR($F$5:$F$43))*$G$5:$G$43)),IF(L109&gt;0,L109/(1+lgh_equity!M$24),0))</f>
        <v>4.9905987021798756E-3</v>
      </c>
      <c r="N109" s="53">
        <f t="array" ref="N109">IF(SUMPRODUCT(($A109=$Y$5:$Y$43)*(N$100=YEAR($F$5:$F$43)))&gt;=1,SUMPRODUCT(($A109=$A$61:$A$95)*$I$61:$I$95)*((SUMPRODUCT((N$100&gt;=YEAR($F$5:$F$43))*$G$5:$G$43)/$K$58)*100%)*(SUMPRODUCT(($A109=$Y$5:$Y$43)*(N$100&gt;=YEAR($F$5:$F$43))*$G$5:$G$43)/SUMPRODUCT((N$100&gt;=YEAR($F$5:$F$43))*$G$5:$G$43)),IF(M109&gt;0,M109/(1+lgh_equity!N$24),0))</f>
        <v>4.9905987021798756E-3</v>
      </c>
      <c r="O109" s="232"/>
      <c r="P109" s="232"/>
      <c r="Q109" s="232"/>
      <c r="R109" s="232"/>
      <c r="S109" s="232"/>
      <c r="T109" s="232"/>
      <c r="U109" s="232"/>
      <c r="V109" s="43"/>
      <c r="W109" s="43"/>
      <c r="X109" s="43"/>
      <c r="Y109" s="43"/>
    </row>
    <row r="110" spans="1:25">
      <c r="A110" s="43" t="str">
        <f t="shared" si="19"/>
        <v>PE009 La Pointe Investments LLC</v>
      </c>
      <c r="B110" s="79">
        <v>2.5000000000000001E-3</v>
      </c>
      <c r="C110" s="121">
        <f t="array" ref="C110">IF(SUMPRODUCT(($A110=$Y$5:$Y$43)*(C$100=YEAR($F$5:$F$43)))&gt;=1,SUMPRODUCT(($A110=$A$61:$A$95)*$I$61:$I$95)*((SUMPRODUCT((C$100&gt;=YEAR($F$5:$F$43))*$G$5:$G$43)/$K$58)*100%)*(SUMPRODUCT(($A110=$Y$5:$Y$43)*(C$100&gt;=YEAR($F$5:$F$43))*$G$5:$G$43)/SUMPRODUCT((C$100&gt;=YEAR($F$5:$F$43))*$G$5:$G$43)),IF(B110&gt;0,B110/(1+lgh_equity!C$24),0))</f>
        <v>2.5000000000000001E-3</v>
      </c>
      <c r="D110" s="121">
        <f t="array" ref="D110">IF(SUMPRODUCT(($A110=$Y$5:$Y$43)*(D$100=YEAR($F$5:$F$43)))&gt;=1,SUMPRODUCT(($A110=$A$61:$A$95)*$I$61:$I$95)*((SUMPRODUCT((D$100&gt;=YEAR($F$5:$F$43))*$G$5:$G$43)/$K$58)*100%)*(SUMPRODUCT(($A110=$Y$5:$Y$43)*(D$100&gt;=YEAR($F$5:$F$43))*$G$5:$G$43)/SUMPRODUCT((D$100&gt;=YEAR($F$5:$F$43))*$G$5:$G$43)),IF(C110&gt;0,C110/(1+lgh_equity!D$24),0))</f>
        <v>2.0226537216828482E-3</v>
      </c>
      <c r="E110" s="121">
        <f t="array" ref="E110">IF(SUMPRODUCT(($A110=$Y$5:$Y$43)*(E$100=YEAR($F$5:$F$43)))&gt;=1,SUMPRODUCT(($A110=$A$61:$A$95)*$I$61:$I$95)*((SUMPRODUCT((E$100&gt;=YEAR($F$5:$F$43))*$G$5:$G$43)/$K$58)*100%)*(SUMPRODUCT(($A110=$Y$5:$Y$43)*(E$100&gt;=YEAR($F$5:$F$43))*$G$5:$G$43)/SUMPRODUCT((E$100&gt;=YEAR($F$5:$F$43))*$G$5:$G$43)),IF(D110&gt;0,D110/(1+lgh_equity!E$24),0))</f>
        <v>2.0162018756806699E-3</v>
      </c>
      <c r="F110" s="121">
        <f t="array" ref="F110">IF(SUMPRODUCT(($A110=$Y$5:$Y$43)*(F$100=YEAR($F$5:$F$43)))&gt;=1,SUMPRODUCT(($A110=$A$61:$A$95)*$I$61:$I$95)*((SUMPRODUCT((F$100&gt;=YEAR($F$5:$F$43))*$G$5:$G$43)/$K$58)*100%)*(SUMPRODUCT(($A110=$Y$5:$Y$43)*(F$100&gt;=YEAR($F$5:$F$43))*$G$5:$G$43)/SUMPRODUCT((F$100&gt;=YEAR($F$5:$F$43))*$G$5:$G$43)),IF(E110&gt;0,E110/(1+lgh_equity!F$24),0))</f>
        <v>2.0162018756806699E-3</v>
      </c>
      <c r="G110" s="121">
        <f t="array" ref="G110">IF(SUMPRODUCT(($A110=$Y$5:$Y$43)*(G$100=YEAR($F$5:$F$43)))&gt;=1,SUMPRODUCT(($A110=$A$61:$A$95)*$I$61:$I$95)*((SUMPRODUCT((G$100&gt;=YEAR($F$5:$F$43))*$G$5:$G$43)/$K$58)*100%)*(SUMPRODUCT(($A110=$Y$5:$Y$43)*(G$100&gt;=YEAR($F$5:$F$43))*$G$5:$G$43)/SUMPRODUCT((G$100&gt;=YEAR($F$5:$F$43))*$G$5:$G$43)),IF(F110&gt;0,F110/(1+lgh_equity!G$24),0))</f>
        <v>2.0162018756806699E-3</v>
      </c>
      <c r="H110" s="121">
        <f t="array" ref="H110">IF(SUMPRODUCT(($A110=$Y$5:$Y$43)*(H$100=YEAR($F$5:$F$43)))&gt;=1,SUMPRODUCT(($A110=$A$61:$A$95)*$I$61:$I$95)*((SUMPRODUCT((H$100&gt;=YEAR($F$5:$F$43))*$G$5:$G$43)/$K$58)*100%)*(SUMPRODUCT(($A110=$Y$5:$Y$43)*(H$100&gt;=YEAR($F$5:$F$43))*$G$5:$G$43)/SUMPRODUCT((H$100&gt;=YEAR($F$5:$F$43))*$G$5:$G$43)),IF(G110&gt;0,G110/(1+lgh_equity!H$24),0))</f>
        <v>2.0162018756806699E-3</v>
      </c>
      <c r="I110" s="53">
        <f t="array" ref="I110">IF(SUMPRODUCT(($A110=$Y$5:$Y$43)*(I$100=YEAR($F$5:$F$43)))&gt;=1,SUMPRODUCT(($A110=$A$61:$A$95)*$I$61:$I$95)*((SUMPRODUCT((I$100&gt;=YEAR($F$5:$F$43))*$G$5:$G$43)/$K$58)*100%)*(SUMPRODUCT(($A110=$Y$5:$Y$43)*(I$100&gt;=YEAR($F$5:$F$43))*$G$5:$G$43)/SUMPRODUCT((I$100&gt;=YEAR($F$5:$F$43))*$G$5:$G$43)),IF(H110&gt;0,H110/(1+lgh_equity!I$24),0))</f>
        <v>2.0162018756806699E-3</v>
      </c>
      <c r="J110" s="53">
        <f t="array" ref="J110">IF(SUMPRODUCT(($A110=$Y$5:$Y$43)*(J$100=YEAR($F$5:$F$43)))&gt;=1,SUMPRODUCT(($A110=$A$61:$A$95)*$I$61:$I$95)*((SUMPRODUCT((J$100&gt;=YEAR($F$5:$F$43))*$G$5:$G$43)/$K$58)*100%)*(SUMPRODUCT(($A110=$Y$5:$Y$43)*(J$100&gt;=YEAR($F$5:$F$43))*$G$5:$G$43)/SUMPRODUCT((J$100&gt;=YEAR($F$5:$F$43))*$G$5:$G$43)),IF(I110&gt;0,I110/(1+lgh_equity!J$24),0))</f>
        <v>2.0162018756806699E-3</v>
      </c>
      <c r="K110" s="53">
        <f t="array" ref="K110">IF(SUMPRODUCT(($A110=$Y$5:$Y$43)*(K$100=YEAR($F$5:$F$43)))&gt;=1,SUMPRODUCT(($A110=$A$61:$A$95)*$I$61:$I$95)*((SUMPRODUCT((K$100&gt;=YEAR($F$5:$F$43))*$G$5:$G$43)/$K$58)*100%)*(SUMPRODUCT(($A110=$Y$5:$Y$43)*(K$100&gt;=YEAR($F$5:$F$43))*$G$5:$G$43)/SUMPRODUCT((K$100&gt;=YEAR($F$5:$F$43))*$G$5:$G$43)),IF(J110&gt;0,J110/(1+lgh_equity!K$24),0))</f>
        <v>2.0162018756806699E-3</v>
      </c>
      <c r="L110" s="53">
        <f t="array" ref="L110">IF(SUMPRODUCT(($A110=$Y$5:$Y$43)*(L$100=YEAR($F$5:$F$43)))&gt;=1,SUMPRODUCT(($A110=$A$61:$A$95)*$I$61:$I$95)*((SUMPRODUCT((L$100&gt;=YEAR($F$5:$F$43))*$G$5:$G$43)/$K$58)*100%)*(SUMPRODUCT(($A110=$Y$5:$Y$43)*(L$100&gt;=YEAR($F$5:$F$43))*$G$5:$G$43)/SUMPRODUCT((L$100&gt;=YEAR($F$5:$F$43))*$G$5:$G$43)),IF(K110&gt;0,K110/(1+lgh_equity!L$24),0))</f>
        <v>2.0162018756806699E-3</v>
      </c>
      <c r="M110" s="53">
        <f t="array" ref="M110">IF(SUMPRODUCT(($A110=$Y$5:$Y$43)*(M$100=YEAR($F$5:$F$43)))&gt;=1,SUMPRODUCT(($A110=$A$61:$A$95)*$I$61:$I$95)*((SUMPRODUCT((M$100&gt;=YEAR($F$5:$F$43))*$G$5:$G$43)/$K$58)*100%)*(SUMPRODUCT(($A110=$Y$5:$Y$43)*(M$100&gt;=YEAR($F$5:$F$43))*$G$5:$G$43)/SUMPRODUCT((M$100&gt;=YEAR($F$5:$F$43))*$G$5:$G$43)),IF(L110&gt;0,L110/(1+lgh_equity!M$24),0))</f>
        <v>2.0162018756806699E-3</v>
      </c>
      <c r="N110" s="53">
        <f t="array" ref="N110">IF(SUMPRODUCT(($A110=$Y$5:$Y$43)*(N$100=YEAR($F$5:$F$43)))&gt;=1,SUMPRODUCT(($A110=$A$61:$A$95)*$I$61:$I$95)*((SUMPRODUCT((N$100&gt;=YEAR($F$5:$F$43))*$G$5:$G$43)/$K$58)*100%)*(SUMPRODUCT(($A110=$Y$5:$Y$43)*(N$100&gt;=YEAR($F$5:$F$43))*$G$5:$G$43)/SUMPRODUCT((N$100&gt;=YEAR($F$5:$F$43))*$G$5:$G$43)),IF(M110&gt;0,M110/(1+lgh_equity!N$24),0))</f>
        <v>2.0162018756806699E-3</v>
      </c>
      <c r="O110" s="232"/>
      <c r="P110" s="232"/>
      <c r="Q110" s="232"/>
      <c r="R110" s="232"/>
      <c r="S110" s="232"/>
      <c r="T110" s="232"/>
      <c r="U110" s="232"/>
      <c r="V110" s="43"/>
      <c r="W110" s="43"/>
      <c r="X110" s="43"/>
      <c r="Y110" s="43"/>
    </row>
    <row r="111" spans="1:25">
      <c r="A111" s="43" t="str">
        <f t="shared" si="19"/>
        <v>PE010 Benjamin Rego Jr.</v>
      </c>
      <c r="B111" s="79">
        <v>8.9108910891089101E-4</v>
      </c>
      <c r="C111" s="121">
        <f t="array" ref="C111">IF(SUMPRODUCT(($A111=$Y$5:$Y$43)*(C$100=YEAR($F$5:$F$43)))&gt;=1,SUMPRODUCT(($A111=$A$61:$A$95)*$I$61:$I$95)*((SUMPRODUCT((C$100&gt;=YEAR($F$5:$F$43))*$G$5:$G$43)/$K$58)*100%)*(SUMPRODUCT(($A111=$Y$5:$Y$43)*(C$100&gt;=YEAR($F$5:$F$43))*$G$5:$G$43)/SUMPRODUCT((C$100&gt;=YEAR($F$5:$F$43))*$G$5:$G$43)),IF(B111&gt;0,B111/(1+lgh_equity!C$24),0))</f>
        <v>8.9108910891089101E-4</v>
      </c>
      <c r="D111" s="121">
        <f t="array" ref="D111">IF(SUMPRODUCT(($A111=$Y$5:$Y$43)*(D$100=YEAR($F$5:$F$43)))&gt;=1,SUMPRODUCT(($A111=$A$61:$A$95)*$I$61:$I$95)*((SUMPRODUCT((D$100&gt;=YEAR($F$5:$F$43))*$G$5:$G$43)/$K$58)*100%)*(SUMPRODUCT(($A111=$Y$5:$Y$43)*(D$100&gt;=YEAR($F$5:$F$43))*$G$5:$G$43)/SUMPRODUCT((D$100&gt;=YEAR($F$5:$F$43))*$G$5:$G$43)),IF(C111&gt;0,C111/(1+lgh_equity!D$24),0))</f>
        <v>7.209458809958665E-4</v>
      </c>
      <c r="E111" s="121">
        <f t="array" ref="E111">IF(SUMPRODUCT(($A111=$Y$5:$Y$43)*(E$100=YEAR($F$5:$F$43)))&gt;=1,SUMPRODUCT(($A111=$A$61:$A$95)*$I$61:$I$95)*((SUMPRODUCT((E$100&gt;=YEAR($F$5:$F$43))*$G$5:$G$43)/$K$58)*100%)*(SUMPRODUCT(($A111=$Y$5:$Y$43)*(E$100&gt;=YEAR($F$5:$F$43))*$G$5:$G$43)/SUMPRODUCT((E$100&gt;=YEAR($F$5:$F$43))*$G$5:$G$43)),IF(D111&gt;0,D111/(1+lgh_equity!E$24),0))</f>
        <v>7.1864621311390194E-4</v>
      </c>
      <c r="F111" s="121">
        <f t="array" ref="F111">IF(SUMPRODUCT(($A111=$Y$5:$Y$43)*(F$100=YEAR($F$5:$F$43)))&gt;=1,SUMPRODUCT(($A111=$A$61:$A$95)*$I$61:$I$95)*((SUMPRODUCT((F$100&gt;=YEAR($F$5:$F$43))*$G$5:$G$43)/$K$58)*100%)*(SUMPRODUCT(($A111=$Y$5:$Y$43)*(F$100&gt;=YEAR($F$5:$F$43))*$G$5:$G$43)/SUMPRODUCT((F$100&gt;=YEAR($F$5:$F$43))*$G$5:$G$43)),IF(E111&gt;0,E111/(1+lgh_equity!F$24),0))</f>
        <v>7.1864621311390194E-4</v>
      </c>
      <c r="G111" s="121">
        <f t="array" ref="G111">IF(SUMPRODUCT(($A111=$Y$5:$Y$43)*(G$100=YEAR($F$5:$F$43)))&gt;=1,SUMPRODUCT(($A111=$A$61:$A$95)*$I$61:$I$95)*((SUMPRODUCT((G$100&gt;=YEAR($F$5:$F$43))*$G$5:$G$43)/$K$58)*100%)*(SUMPRODUCT(($A111=$Y$5:$Y$43)*(G$100&gt;=YEAR($F$5:$F$43))*$G$5:$G$43)/SUMPRODUCT((G$100&gt;=YEAR($F$5:$F$43))*$G$5:$G$43)),IF(F111&gt;0,F111/(1+lgh_equity!G$24),0))</f>
        <v>7.1864621311390194E-4</v>
      </c>
      <c r="H111" s="121">
        <f t="array" ref="H111">IF(SUMPRODUCT(($A111=$Y$5:$Y$43)*(H$100=YEAR($F$5:$F$43)))&gt;=1,SUMPRODUCT(($A111=$A$61:$A$95)*$I$61:$I$95)*((SUMPRODUCT((H$100&gt;=YEAR($F$5:$F$43))*$G$5:$G$43)/$K$58)*100%)*(SUMPRODUCT(($A111=$Y$5:$Y$43)*(H$100&gt;=YEAR($F$5:$F$43))*$G$5:$G$43)/SUMPRODUCT((H$100&gt;=YEAR($F$5:$F$43))*$G$5:$G$43)),IF(G111&gt;0,G111/(1+lgh_equity!H$24),0))</f>
        <v>7.1864621311390194E-4</v>
      </c>
      <c r="I111" s="53">
        <f t="array" ref="I111">IF(SUMPRODUCT(($A111=$Y$5:$Y$43)*(I$100=YEAR($F$5:$F$43)))&gt;=1,SUMPRODUCT(($A111=$A$61:$A$95)*$I$61:$I$95)*((SUMPRODUCT((I$100&gt;=YEAR($F$5:$F$43))*$G$5:$G$43)/$K$58)*100%)*(SUMPRODUCT(($A111=$Y$5:$Y$43)*(I$100&gt;=YEAR($F$5:$F$43))*$G$5:$G$43)/SUMPRODUCT((I$100&gt;=YEAR($F$5:$F$43))*$G$5:$G$43)),IF(H111&gt;0,H111/(1+lgh_equity!I$24),0))</f>
        <v>7.1864621311390194E-4</v>
      </c>
      <c r="J111" s="53">
        <f t="array" ref="J111">IF(SUMPRODUCT(($A111=$Y$5:$Y$43)*(J$100=YEAR($F$5:$F$43)))&gt;=1,SUMPRODUCT(($A111=$A$61:$A$95)*$I$61:$I$95)*((SUMPRODUCT((J$100&gt;=YEAR($F$5:$F$43))*$G$5:$G$43)/$K$58)*100%)*(SUMPRODUCT(($A111=$Y$5:$Y$43)*(J$100&gt;=YEAR($F$5:$F$43))*$G$5:$G$43)/SUMPRODUCT((J$100&gt;=YEAR($F$5:$F$43))*$G$5:$G$43)),IF(I111&gt;0,I111/(1+lgh_equity!J$24),0))</f>
        <v>7.1864621311390194E-4</v>
      </c>
      <c r="K111" s="53">
        <f t="array" ref="K111">IF(SUMPRODUCT(($A111=$Y$5:$Y$43)*(K$100=YEAR($F$5:$F$43)))&gt;=1,SUMPRODUCT(($A111=$A$61:$A$95)*$I$61:$I$95)*((SUMPRODUCT((K$100&gt;=YEAR($F$5:$F$43))*$G$5:$G$43)/$K$58)*100%)*(SUMPRODUCT(($A111=$Y$5:$Y$43)*(K$100&gt;=YEAR($F$5:$F$43))*$G$5:$G$43)/SUMPRODUCT((K$100&gt;=YEAR($F$5:$F$43))*$G$5:$G$43)),IF(J111&gt;0,J111/(1+lgh_equity!K$24),0))</f>
        <v>7.1864621311390194E-4</v>
      </c>
      <c r="L111" s="53">
        <f t="array" ref="L111">IF(SUMPRODUCT(($A111=$Y$5:$Y$43)*(L$100=YEAR($F$5:$F$43)))&gt;=1,SUMPRODUCT(($A111=$A$61:$A$95)*$I$61:$I$95)*((SUMPRODUCT((L$100&gt;=YEAR($F$5:$F$43))*$G$5:$G$43)/$K$58)*100%)*(SUMPRODUCT(($A111=$Y$5:$Y$43)*(L$100&gt;=YEAR($F$5:$F$43))*$G$5:$G$43)/SUMPRODUCT((L$100&gt;=YEAR($F$5:$F$43))*$G$5:$G$43)),IF(K111&gt;0,K111/(1+lgh_equity!L$24),0))</f>
        <v>7.1864621311390194E-4</v>
      </c>
      <c r="M111" s="53">
        <f t="array" ref="M111">IF(SUMPRODUCT(($A111=$Y$5:$Y$43)*(M$100=YEAR($F$5:$F$43)))&gt;=1,SUMPRODUCT(($A111=$A$61:$A$95)*$I$61:$I$95)*((SUMPRODUCT((M$100&gt;=YEAR($F$5:$F$43))*$G$5:$G$43)/$K$58)*100%)*(SUMPRODUCT(($A111=$Y$5:$Y$43)*(M$100&gt;=YEAR($F$5:$F$43))*$G$5:$G$43)/SUMPRODUCT((M$100&gt;=YEAR($F$5:$F$43))*$G$5:$G$43)),IF(L111&gt;0,L111/(1+lgh_equity!M$24),0))</f>
        <v>7.1864621311390194E-4</v>
      </c>
      <c r="N111" s="53">
        <f t="array" ref="N111">IF(SUMPRODUCT(($A111=$Y$5:$Y$43)*(N$100=YEAR($F$5:$F$43)))&gt;=1,SUMPRODUCT(($A111=$A$61:$A$95)*$I$61:$I$95)*((SUMPRODUCT((N$100&gt;=YEAR($F$5:$F$43))*$G$5:$G$43)/$K$58)*100%)*(SUMPRODUCT(($A111=$Y$5:$Y$43)*(N$100&gt;=YEAR($F$5:$F$43))*$G$5:$G$43)/SUMPRODUCT((N$100&gt;=YEAR($F$5:$F$43))*$G$5:$G$43)),IF(M111&gt;0,M111/(1+lgh_equity!N$24),0))</f>
        <v>7.1864621311390194E-4</v>
      </c>
      <c r="O111" s="232"/>
      <c r="P111" s="232"/>
      <c r="Q111" s="232"/>
      <c r="R111" s="232"/>
      <c r="S111" s="232"/>
      <c r="T111" s="232"/>
      <c r="U111" s="232"/>
      <c r="V111" s="43"/>
      <c r="W111" s="43"/>
      <c r="X111" s="43"/>
      <c r="Y111" s="43"/>
    </row>
    <row r="112" spans="1:25">
      <c r="A112" s="43" t="str">
        <f t="shared" si="19"/>
        <v>PE011 Benjamin Rego Jr.</v>
      </c>
      <c r="B112" s="79">
        <v>9.9009900990099017E-5</v>
      </c>
      <c r="C112" s="121">
        <f t="array" ref="C112">IF(SUMPRODUCT(($A112=$Y$5:$Y$43)*(C$100=YEAR($F$5:$F$43)))&gt;=1,SUMPRODUCT(($A112=$A$61:$A$95)*$I$61:$I$95)*((SUMPRODUCT((C$100&gt;=YEAR($F$5:$F$43))*$G$5:$G$43)/$K$58)*100%)*(SUMPRODUCT(($A112=$Y$5:$Y$43)*(C$100&gt;=YEAR($F$5:$F$43))*$G$5:$G$43)/SUMPRODUCT((C$100&gt;=YEAR($F$5:$F$43))*$G$5:$G$43)),IF(B112&gt;0,B112/(1+lgh_equity!C$24),0))</f>
        <v>9.9009900990099017E-5</v>
      </c>
      <c r="D112" s="121">
        <f t="array" ref="D112">IF(SUMPRODUCT(($A112=$Y$5:$Y$43)*(D$100=YEAR($F$5:$F$43)))&gt;=1,SUMPRODUCT(($A112=$A$61:$A$95)*$I$61:$I$95)*((SUMPRODUCT((D$100&gt;=YEAR($F$5:$F$43))*$G$5:$G$43)/$K$58)*100%)*(SUMPRODUCT(($A112=$Y$5:$Y$43)*(D$100&gt;=YEAR($F$5:$F$43))*$G$5:$G$43)/SUMPRODUCT((D$100&gt;=YEAR($F$5:$F$43))*$G$5:$G$43)),IF(C112&gt;0,C112/(1+lgh_equity!D$24),0))</f>
        <v>8.0105097888429628E-5</v>
      </c>
      <c r="E112" s="121">
        <f t="array" ref="E112">IF(SUMPRODUCT(($A112=$Y$5:$Y$43)*(E$100=YEAR($F$5:$F$43)))&gt;=1,SUMPRODUCT(($A112=$A$61:$A$95)*$I$61:$I$95)*((SUMPRODUCT((E$100&gt;=YEAR($F$5:$F$43))*$G$5:$G$43)/$K$58)*100%)*(SUMPRODUCT(($A112=$Y$5:$Y$43)*(E$100&gt;=YEAR($F$5:$F$43))*$G$5:$G$43)/SUMPRODUCT((E$100&gt;=YEAR($F$5:$F$43))*$G$5:$G$43)),IF(D112&gt;0,D112/(1+lgh_equity!E$24),0))</f>
        <v>7.9849579234878013E-5</v>
      </c>
      <c r="F112" s="121">
        <f t="array" ref="F112">IF(SUMPRODUCT(($A112=$Y$5:$Y$43)*(F$100=YEAR($F$5:$F$43)))&gt;=1,SUMPRODUCT(($A112=$A$61:$A$95)*$I$61:$I$95)*((SUMPRODUCT((F$100&gt;=YEAR($F$5:$F$43))*$G$5:$G$43)/$K$58)*100%)*(SUMPRODUCT(($A112=$Y$5:$Y$43)*(F$100&gt;=YEAR($F$5:$F$43))*$G$5:$G$43)/SUMPRODUCT((F$100&gt;=YEAR($F$5:$F$43))*$G$5:$G$43)),IF(E112&gt;0,E112/(1+lgh_equity!F$24),0))</f>
        <v>7.9849579234878013E-5</v>
      </c>
      <c r="G112" s="121">
        <f t="array" ref="G112">IF(SUMPRODUCT(($A112=$Y$5:$Y$43)*(G$100=YEAR($F$5:$F$43)))&gt;=1,SUMPRODUCT(($A112=$A$61:$A$95)*$I$61:$I$95)*((SUMPRODUCT((G$100&gt;=YEAR($F$5:$F$43))*$G$5:$G$43)/$K$58)*100%)*(SUMPRODUCT(($A112=$Y$5:$Y$43)*(G$100&gt;=YEAR($F$5:$F$43))*$G$5:$G$43)/SUMPRODUCT((G$100&gt;=YEAR($F$5:$F$43))*$G$5:$G$43)),IF(F112&gt;0,F112/(1+lgh_equity!G$24),0))</f>
        <v>7.9849579234878013E-5</v>
      </c>
      <c r="H112" s="121">
        <f t="array" ref="H112">IF(SUMPRODUCT(($A112=$Y$5:$Y$43)*(H$100=YEAR($F$5:$F$43)))&gt;=1,SUMPRODUCT(($A112=$A$61:$A$95)*$I$61:$I$95)*((SUMPRODUCT((H$100&gt;=YEAR($F$5:$F$43))*$G$5:$G$43)/$K$58)*100%)*(SUMPRODUCT(($A112=$Y$5:$Y$43)*(H$100&gt;=YEAR($F$5:$F$43))*$G$5:$G$43)/SUMPRODUCT((H$100&gt;=YEAR($F$5:$F$43))*$G$5:$G$43)),IF(G112&gt;0,G112/(1+lgh_equity!H$24),0))</f>
        <v>7.9849579234878013E-5</v>
      </c>
      <c r="I112" s="53">
        <f t="array" ref="I112">IF(SUMPRODUCT(($A112=$Y$5:$Y$43)*(I$100=YEAR($F$5:$F$43)))&gt;=1,SUMPRODUCT(($A112=$A$61:$A$95)*$I$61:$I$95)*((SUMPRODUCT((I$100&gt;=YEAR($F$5:$F$43))*$G$5:$G$43)/$K$58)*100%)*(SUMPRODUCT(($A112=$Y$5:$Y$43)*(I$100&gt;=YEAR($F$5:$F$43))*$G$5:$G$43)/SUMPRODUCT((I$100&gt;=YEAR($F$5:$F$43))*$G$5:$G$43)),IF(H112&gt;0,H112/(1+lgh_equity!I$24),0))</f>
        <v>7.9849579234878013E-5</v>
      </c>
      <c r="J112" s="53">
        <f t="array" ref="J112">IF(SUMPRODUCT(($A112=$Y$5:$Y$43)*(J$100=YEAR($F$5:$F$43)))&gt;=1,SUMPRODUCT(($A112=$A$61:$A$95)*$I$61:$I$95)*((SUMPRODUCT((J$100&gt;=YEAR($F$5:$F$43))*$G$5:$G$43)/$K$58)*100%)*(SUMPRODUCT(($A112=$Y$5:$Y$43)*(J$100&gt;=YEAR($F$5:$F$43))*$G$5:$G$43)/SUMPRODUCT((J$100&gt;=YEAR($F$5:$F$43))*$G$5:$G$43)),IF(I112&gt;0,I112/(1+lgh_equity!J$24),0))</f>
        <v>7.9849579234878013E-5</v>
      </c>
      <c r="K112" s="53">
        <f t="array" ref="K112">IF(SUMPRODUCT(($A112=$Y$5:$Y$43)*(K$100=YEAR($F$5:$F$43)))&gt;=1,SUMPRODUCT(($A112=$A$61:$A$95)*$I$61:$I$95)*((SUMPRODUCT((K$100&gt;=YEAR($F$5:$F$43))*$G$5:$G$43)/$K$58)*100%)*(SUMPRODUCT(($A112=$Y$5:$Y$43)*(K$100&gt;=YEAR($F$5:$F$43))*$G$5:$G$43)/SUMPRODUCT((K$100&gt;=YEAR($F$5:$F$43))*$G$5:$G$43)),IF(J112&gt;0,J112/(1+lgh_equity!K$24),0))</f>
        <v>7.9849579234878013E-5</v>
      </c>
      <c r="L112" s="53">
        <f t="array" ref="L112">IF(SUMPRODUCT(($A112=$Y$5:$Y$43)*(L$100=YEAR($F$5:$F$43)))&gt;=1,SUMPRODUCT(($A112=$A$61:$A$95)*$I$61:$I$95)*((SUMPRODUCT((L$100&gt;=YEAR($F$5:$F$43))*$G$5:$G$43)/$K$58)*100%)*(SUMPRODUCT(($A112=$Y$5:$Y$43)*(L$100&gt;=YEAR($F$5:$F$43))*$G$5:$G$43)/SUMPRODUCT((L$100&gt;=YEAR($F$5:$F$43))*$G$5:$G$43)),IF(K112&gt;0,K112/(1+lgh_equity!L$24),0))</f>
        <v>7.9849579234878013E-5</v>
      </c>
      <c r="M112" s="53">
        <f t="array" ref="M112">IF(SUMPRODUCT(($A112=$Y$5:$Y$43)*(M$100=YEAR($F$5:$F$43)))&gt;=1,SUMPRODUCT(($A112=$A$61:$A$95)*$I$61:$I$95)*((SUMPRODUCT((M$100&gt;=YEAR($F$5:$F$43))*$G$5:$G$43)/$K$58)*100%)*(SUMPRODUCT(($A112=$Y$5:$Y$43)*(M$100&gt;=YEAR($F$5:$F$43))*$G$5:$G$43)/SUMPRODUCT((M$100&gt;=YEAR($F$5:$F$43))*$G$5:$G$43)),IF(L112&gt;0,L112/(1+lgh_equity!M$24),0))</f>
        <v>7.9849579234878013E-5</v>
      </c>
      <c r="N112" s="53">
        <f t="array" ref="N112">IF(SUMPRODUCT(($A112=$Y$5:$Y$43)*(N$100=YEAR($F$5:$F$43)))&gt;=1,SUMPRODUCT(($A112=$A$61:$A$95)*$I$61:$I$95)*((SUMPRODUCT((N$100&gt;=YEAR($F$5:$F$43))*$G$5:$G$43)/$K$58)*100%)*(SUMPRODUCT(($A112=$Y$5:$Y$43)*(N$100&gt;=YEAR($F$5:$F$43))*$G$5:$G$43)/SUMPRODUCT((N$100&gt;=YEAR($F$5:$F$43))*$G$5:$G$43)),IF(M112&gt;0,M112/(1+lgh_equity!N$24),0))</f>
        <v>7.9849579234878013E-5</v>
      </c>
      <c r="O112" s="232"/>
      <c r="P112" s="232"/>
      <c r="Q112" s="232"/>
      <c r="R112" s="232"/>
      <c r="S112" s="232"/>
      <c r="T112" s="232"/>
      <c r="U112" s="232"/>
      <c r="V112" s="43"/>
      <c r="W112" s="43"/>
      <c r="X112" s="43"/>
      <c r="Y112" s="43"/>
    </row>
    <row r="113" spans="1:25">
      <c r="A113" s="43" t="str">
        <f t="shared" si="19"/>
        <v>PE012 Benjamin Rego Jr._1</v>
      </c>
      <c r="B113" s="79">
        <v>1.06E-4</v>
      </c>
      <c r="C113" s="121">
        <f t="array" ref="C113">IF(SUMPRODUCT(($A113=$Y$5:$Y$43)*(C$100=YEAR($F$5:$F$43)))&gt;=1,SUMPRODUCT(($A113=$A$61:$A$95)*$I$61:$I$95)*((SUMPRODUCT((C$100&gt;=YEAR($F$5:$F$43))*$G$5:$G$43)/$K$58)*100%)*(SUMPRODUCT(($A113=$Y$5:$Y$43)*(C$100&gt;=YEAR($F$5:$F$43))*$G$5:$G$43)/SUMPRODUCT((C$100&gt;=YEAR($F$5:$F$43))*$G$5:$G$43)),IF(B113&gt;0,B113/(1+lgh_equity!C$24),0))</f>
        <v>1.06E-4</v>
      </c>
      <c r="D113" s="121">
        <f t="array" ref="D113">IF(SUMPRODUCT(($A113=$Y$5:$Y$43)*(D$100=YEAR($F$5:$F$43)))&gt;=1,SUMPRODUCT(($A113=$A$61:$A$95)*$I$61:$I$95)*((SUMPRODUCT((D$100&gt;=YEAR($F$5:$F$43))*$G$5:$G$43)/$K$58)*100%)*(SUMPRODUCT(($A113=$Y$5:$Y$43)*(D$100&gt;=YEAR($F$5:$F$43))*$G$5:$G$43)/SUMPRODUCT((D$100&gt;=YEAR($F$5:$F$43))*$G$5:$G$43)),IF(C113&gt;0,C113/(1+lgh_equity!D$24),0))</f>
        <v>8.5760517799352758E-5</v>
      </c>
      <c r="E113" s="121">
        <f t="array" ref="E113">IF(SUMPRODUCT(($A113=$Y$5:$Y$43)*(E$100=YEAR($F$5:$F$43)))&gt;=1,SUMPRODUCT(($A113=$A$61:$A$95)*$I$61:$I$95)*((SUMPRODUCT((E$100&gt;=YEAR($F$5:$F$43))*$G$5:$G$43)/$K$58)*100%)*(SUMPRODUCT(($A113=$Y$5:$Y$43)*(E$100&gt;=YEAR($F$5:$F$43))*$G$5:$G$43)/SUMPRODUCT((E$100&gt;=YEAR($F$5:$F$43))*$G$5:$G$43)),IF(D113&gt;0,D113/(1+lgh_equity!E$24),0))</f>
        <v>8.5486959528860394E-5</v>
      </c>
      <c r="F113" s="121">
        <f t="array" ref="F113">IF(SUMPRODUCT(($A113=$Y$5:$Y$43)*(F$100=YEAR($F$5:$F$43)))&gt;=1,SUMPRODUCT(($A113=$A$61:$A$95)*$I$61:$I$95)*((SUMPRODUCT((F$100&gt;=YEAR($F$5:$F$43))*$G$5:$G$43)/$K$58)*100%)*(SUMPRODUCT(($A113=$Y$5:$Y$43)*(F$100&gt;=YEAR($F$5:$F$43))*$G$5:$G$43)/SUMPRODUCT((F$100&gt;=YEAR($F$5:$F$43))*$G$5:$G$43)),IF(E113&gt;0,E113/(1+lgh_equity!F$24),0))</f>
        <v>8.5486959528860394E-5</v>
      </c>
      <c r="G113" s="121">
        <f t="array" ref="G113">IF(SUMPRODUCT(($A113=$Y$5:$Y$43)*(G$100=YEAR($F$5:$F$43)))&gt;=1,SUMPRODUCT(($A113=$A$61:$A$95)*$I$61:$I$95)*((SUMPRODUCT((G$100&gt;=YEAR($F$5:$F$43))*$G$5:$G$43)/$K$58)*100%)*(SUMPRODUCT(($A113=$Y$5:$Y$43)*(G$100&gt;=YEAR($F$5:$F$43))*$G$5:$G$43)/SUMPRODUCT((G$100&gt;=YEAR($F$5:$F$43))*$G$5:$G$43)),IF(F113&gt;0,F113/(1+lgh_equity!G$24),0))</f>
        <v>8.5486959528860394E-5</v>
      </c>
      <c r="H113" s="121">
        <f t="array" ref="H113">IF(SUMPRODUCT(($A113=$Y$5:$Y$43)*(H$100=YEAR($F$5:$F$43)))&gt;=1,SUMPRODUCT(($A113=$A$61:$A$95)*$I$61:$I$95)*((SUMPRODUCT((H$100&gt;=YEAR($F$5:$F$43))*$G$5:$G$43)/$K$58)*100%)*(SUMPRODUCT(($A113=$Y$5:$Y$43)*(H$100&gt;=YEAR($F$5:$F$43))*$G$5:$G$43)/SUMPRODUCT((H$100&gt;=YEAR($F$5:$F$43))*$G$5:$G$43)),IF(G113&gt;0,G113/(1+lgh_equity!H$24),0))</f>
        <v>8.5486959528860394E-5</v>
      </c>
      <c r="I113" s="53">
        <f t="array" ref="I113">IF(SUMPRODUCT(($A113=$Y$5:$Y$43)*(I$100=YEAR($F$5:$F$43)))&gt;=1,SUMPRODUCT(($A113=$A$61:$A$95)*$I$61:$I$95)*((SUMPRODUCT((I$100&gt;=YEAR($F$5:$F$43))*$G$5:$G$43)/$K$58)*100%)*(SUMPRODUCT(($A113=$Y$5:$Y$43)*(I$100&gt;=YEAR($F$5:$F$43))*$G$5:$G$43)/SUMPRODUCT((I$100&gt;=YEAR($F$5:$F$43))*$G$5:$G$43)),IF(H113&gt;0,H113/(1+lgh_equity!I$24),0))</f>
        <v>8.5486959528860394E-5</v>
      </c>
      <c r="J113" s="53">
        <f t="array" ref="J113">IF(SUMPRODUCT(($A113=$Y$5:$Y$43)*(J$100=YEAR($F$5:$F$43)))&gt;=1,SUMPRODUCT(($A113=$A$61:$A$95)*$I$61:$I$95)*((SUMPRODUCT((J$100&gt;=YEAR($F$5:$F$43))*$G$5:$G$43)/$K$58)*100%)*(SUMPRODUCT(($A113=$Y$5:$Y$43)*(J$100&gt;=YEAR($F$5:$F$43))*$G$5:$G$43)/SUMPRODUCT((J$100&gt;=YEAR($F$5:$F$43))*$G$5:$G$43)),IF(I113&gt;0,I113/(1+lgh_equity!J$24),0))</f>
        <v>8.5486959528860394E-5</v>
      </c>
      <c r="K113" s="53">
        <f t="array" ref="K113">IF(SUMPRODUCT(($A113=$Y$5:$Y$43)*(K$100=YEAR($F$5:$F$43)))&gt;=1,SUMPRODUCT(($A113=$A$61:$A$95)*$I$61:$I$95)*((SUMPRODUCT((K$100&gt;=YEAR($F$5:$F$43))*$G$5:$G$43)/$K$58)*100%)*(SUMPRODUCT(($A113=$Y$5:$Y$43)*(K$100&gt;=YEAR($F$5:$F$43))*$G$5:$G$43)/SUMPRODUCT((K$100&gt;=YEAR($F$5:$F$43))*$G$5:$G$43)),IF(J113&gt;0,J113/(1+lgh_equity!K$24),0))</f>
        <v>8.5486959528860394E-5</v>
      </c>
      <c r="L113" s="53">
        <f t="array" ref="L113">IF(SUMPRODUCT(($A113=$Y$5:$Y$43)*(L$100=YEAR($F$5:$F$43)))&gt;=1,SUMPRODUCT(($A113=$A$61:$A$95)*$I$61:$I$95)*((SUMPRODUCT((L$100&gt;=YEAR($F$5:$F$43))*$G$5:$G$43)/$K$58)*100%)*(SUMPRODUCT(($A113=$Y$5:$Y$43)*(L$100&gt;=YEAR($F$5:$F$43))*$G$5:$G$43)/SUMPRODUCT((L$100&gt;=YEAR($F$5:$F$43))*$G$5:$G$43)),IF(K113&gt;0,K113/(1+lgh_equity!L$24),0))</f>
        <v>8.5486959528860394E-5</v>
      </c>
      <c r="M113" s="53">
        <f t="array" ref="M113">IF(SUMPRODUCT(($A113=$Y$5:$Y$43)*(M$100=YEAR($F$5:$F$43)))&gt;=1,SUMPRODUCT(($A113=$A$61:$A$95)*$I$61:$I$95)*((SUMPRODUCT((M$100&gt;=YEAR($F$5:$F$43))*$G$5:$G$43)/$K$58)*100%)*(SUMPRODUCT(($A113=$Y$5:$Y$43)*(M$100&gt;=YEAR($F$5:$F$43))*$G$5:$G$43)/SUMPRODUCT((M$100&gt;=YEAR($F$5:$F$43))*$G$5:$G$43)),IF(L113&gt;0,L113/(1+lgh_equity!M$24),0))</f>
        <v>8.5486959528860394E-5</v>
      </c>
      <c r="N113" s="53">
        <f t="array" ref="N113">IF(SUMPRODUCT(($A113=$Y$5:$Y$43)*(N$100=YEAR($F$5:$F$43)))&gt;=1,SUMPRODUCT(($A113=$A$61:$A$95)*$I$61:$I$95)*((SUMPRODUCT((N$100&gt;=YEAR($F$5:$F$43))*$G$5:$G$43)/$K$58)*100%)*(SUMPRODUCT(($A113=$Y$5:$Y$43)*(N$100&gt;=YEAR($F$5:$F$43))*$G$5:$G$43)/SUMPRODUCT((N$100&gt;=YEAR($F$5:$F$43))*$G$5:$G$43)),IF(M113&gt;0,M113/(1+lgh_equity!N$24),0))</f>
        <v>8.5486959528860394E-5</v>
      </c>
      <c r="O113" s="232"/>
      <c r="P113" s="232"/>
      <c r="Q113" s="232"/>
      <c r="R113" s="232"/>
      <c r="S113" s="232"/>
      <c r="T113" s="232"/>
      <c r="U113" s="232"/>
      <c r="V113" s="43"/>
      <c r="W113" s="43"/>
      <c r="X113" s="43"/>
      <c r="Y113" s="43"/>
    </row>
    <row r="114" spans="1:25">
      <c r="A114" s="43" t="str">
        <f t="shared" si="19"/>
        <v>PE013 Benjamin Rego Jr._1</v>
      </c>
      <c r="B114" s="79">
        <v>3.1799999999999998E-4</v>
      </c>
      <c r="C114" s="121">
        <f t="array" ref="C114">IF(SUMPRODUCT(($A114=$Y$5:$Y$43)*(C$100=YEAR($F$5:$F$43)))&gt;=1,SUMPRODUCT(($A114=$A$61:$A$95)*$I$61:$I$95)*((SUMPRODUCT((C$100&gt;=YEAR($F$5:$F$43))*$G$5:$G$43)/$K$58)*100%)*(SUMPRODUCT(($A114=$Y$5:$Y$43)*(C$100&gt;=YEAR($F$5:$F$43))*$G$5:$G$43)/SUMPRODUCT((C$100&gt;=YEAR($F$5:$F$43))*$G$5:$G$43)),IF(B114&gt;0,B114/(1+lgh_equity!C$24),0))</f>
        <v>3.1799999999999998E-4</v>
      </c>
      <c r="D114" s="121">
        <f t="array" ref="D114">IF(SUMPRODUCT(($A114=$Y$5:$Y$43)*(D$100=YEAR($F$5:$F$43)))&gt;=1,SUMPRODUCT(($A114=$A$61:$A$95)*$I$61:$I$95)*((SUMPRODUCT((D$100&gt;=YEAR($F$5:$F$43))*$G$5:$G$43)/$K$58)*100%)*(SUMPRODUCT(($A114=$Y$5:$Y$43)*(D$100&gt;=YEAR($F$5:$F$43))*$G$5:$G$43)/SUMPRODUCT((D$100&gt;=YEAR($F$5:$F$43))*$G$5:$G$43)),IF(C114&gt;0,C114/(1+lgh_equity!D$24),0))</f>
        <v>2.5728155339805822E-4</v>
      </c>
      <c r="E114" s="121">
        <f t="array" ref="E114">IF(SUMPRODUCT(($A114=$Y$5:$Y$43)*(E$100=YEAR($F$5:$F$43)))&gt;=1,SUMPRODUCT(($A114=$A$61:$A$95)*$I$61:$I$95)*((SUMPRODUCT((E$100&gt;=YEAR($F$5:$F$43))*$G$5:$G$43)/$K$58)*100%)*(SUMPRODUCT(($A114=$Y$5:$Y$43)*(E$100&gt;=YEAR($F$5:$F$43))*$G$5:$G$43)/SUMPRODUCT((E$100&gt;=YEAR($F$5:$F$43))*$G$5:$G$43)),IF(D114&gt;0,D114/(1+lgh_equity!E$24),0))</f>
        <v>2.5646087858658111E-4</v>
      </c>
      <c r="F114" s="121">
        <f t="array" ref="F114">IF(SUMPRODUCT(($A114=$Y$5:$Y$43)*(F$100=YEAR($F$5:$F$43)))&gt;=1,SUMPRODUCT(($A114=$A$61:$A$95)*$I$61:$I$95)*((SUMPRODUCT((F$100&gt;=YEAR($F$5:$F$43))*$G$5:$G$43)/$K$58)*100%)*(SUMPRODUCT(($A114=$Y$5:$Y$43)*(F$100&gt;=YEAR($F$5:$F$43))*$G$5:$G$43)/SUMPRODUCT((F$100&gt;=YEAR($F$5:$F$43))*$G$5:$G$43)),IF(E114&gt;0,E114/(1+lgh_equity!F$24),0))</f>
        <v>2.5646087858658111E-4</v>
      </c>
      <c r="G114" s="121">
        <f t="array" ref="G114">IF(SUMPRODUCT(($A114=$Y$5:$Y$43)*(G$100=YEAR($F$5:$F$43)))&gt;=1,SUMPRODUCT(($A114=$A$61:$A$95)*$I$61:$I$95)*((SUMPRODUCT((G$100&gt;=YEAR($F$5:$F$43))*$G$5:$G$43)/$K$58)*100%)*(SUMPRODUCT(($A114=$Y$5:$Y$43)*(G$100&gt;=YEAR($F$5:$F$43))*$G$5:$G$43)/SUMPRODUCT((G$100&gt;=YEAR($F$5:$F$43))*$G$5:$G$43)),IF(F114&gt;0,F114/(1+lgh_equity!G$24),0))</f>
        <v>2.5646087858658111E-4</v>
      </c>
      <c r="H114" s="121">
        <f t="array" ref="H114">IF(SUMPRODUCT(($A114=$Y$5:$Y$43)*(H$100=YEAR($F$5:$F$43)))&gt;=1,SUMPRODUCT(($A114=$A$61:$A$95)*$I$61:$I$95)*((SUMPRODUCT((H$100&gt;=YEAR($F$5:$F$43))*$G$5:$G$43)/$K$58)*100%)*(SUMPRODUCT(($A114=$Y$5:$Y$43)*(H$100&gt;=YEAR($F$5:$F$43))*$G$5:$G$43)/SUMPRODUCT((H$100&gt;=YEAR($F$5:$F$43))*$G$5:$G$43)),IF(G114&gt;0,G114/(1+lgh_equity!H$24),0))</f>
        <v>2.5646087858658111E-4</v>
      </c>
      <c r="I114" s="53">
        <f t="array" ref="I114">IF(SUMPRODUCT(($A114=$Y$5:$Y$43)*(I$100=YEAR($F$5:$F$43)))&gt;=1,SUMPRODUCT(($A114=$A$61:$A$95)*$I$61:$I$95)*((SUMPRODUCT((I$100&gt;=YEAR($F$5:$F$43))*$G$5:$G$43)/$K$58)*100%)*(SUMPRODUCT(($A114=$Y$5:$Y$43)*(I$100&gt;=YEAR($F$5:$F$43))*$G$5:$G$43)/SUMPRODUCT((I$100&gt;=YEAR($F$5:$F$43))*$G$5:$G$43)),IF(H114&gt;0,H114/(1+lgh_equity!I$24),0))</f>
        <v>2.5646087858658111E-4</v>
      </c>
      <c r="J114" s="53">
        <f t="array" ref="J114">IF(SUMPRODUCT(($A114=$Y$5:$Y$43)*(J$100=YEAR($F$5:$F$43)))&gt;=1,SUMPRODUCT(($A114=$A$61:$A$95)*$I$61:$I$95)*((SUMPRODUCT((J$100&gt;=YEAR($F$5:$F$43))*$G$5:$G$43)/$K$58)*100%)*(SUMPRODUCT(($A114=$Y$5:$Y$43)*(J$100&gt;=YEAR($F$5:$F$43))*$G$5:$G$43)/SUMPRODUCT((J$100&gt;=YEAR($F$5:$F$43))*$G$5:$G$43)),IF(I114&gt;0,I114/(1+lgh_equity!J$24),0))</f>
        <v>2.5646087858658111E-4</v>
      </c>
      <c r="K114" s="53">
        <f t="array" ref="K114">IF(SUMPRODUCT(($A114=$Y$5:$Y$43)*(K$100=YEAR($F$5:$F$43)))&gt;=1,SUMPRODUCT(($A114=$A$61:$A$95)*$I$61:$I$95)*((SUMPRODUCT((K$100&gt;=YEAR($F$5:$F$43))*$G$5:$G$43)/$K$58)*100%)*(SUMPRODUCT(($A114=$Y$5:$Y$43)*(K$100&gt;=YEAR($F$5:$F$43))*$G$5:$G$43)/SUMPRODUCT((K$100&gt;=YEAR($F$5:$F$43))*$G$5:$G$43)),IF(J114&gt;0,J114/(1+lgh_equity!K$24),0))</f>
        <v>2.5646087858658111E-4</v>
      </c>
      <c r="L114" s="53">
        <f t="array" ref="L114">IF(SUMPRODUCT(($A114=$Y$5:$Y$43)*(L$100=YEAR($F$5:$F$43)))&gt;=1,SUMPRODUCT(($A114=$A$61:$A$95)*$I$61:$I$95)*((SUMPRODUCT((L$100&gt;=YEAR($F$5:$F$43))*$G$5:$G$43)/$K$58)*100%)*(SUMPRODUCT(($A114=$Y$5:$Y$43)*(L$100&gt;=YEAR($F$5:$F$43))*$G$5:$G$43)/SUMPRODUCT((L$100&gt;=YEAR($F$5:$F$43))*$G$5:$G$43)),IF(K114&gt;0,K114/(1+lgh_equity!L$24),0))</f>
        <v>2.5646087858658111E-4</v>
      </c>
      <c r="M114" s="53">
        <f t="array" ref="M114">IF(SUMPRODUCT(($A114=$Y$5:$Y$43)*(M$100=YEAR($F$5:$F$43)))&gt;=1,SUMPRODUCT(($A114=$A$61:$A$95)*$I$61:$I$95)*((SUMPRODUCT((M$100&gt;=YEAR($F$5:$F$43))*$G$5:$G$43)/$K$58)*100%)*(SUMPRODUCT(($A114=$Y$5:$Y$43)*(M$100&gt;=YEAR($F$5:$F$43))*$G$5:$G$43)/SUMPRODUCT((M$100&gt;=YEAR($F$5:$F$43))*$G$5:$G$43)),IF(L114&gt;0,L114/(1+lgh_equity!M$24),0))</f>
        <v>2.5646087858658111E-4</v>
      </c>
      <c r="N114" s="53">
        <f t="array" ref="N114">IF(SUMPRODUCT(($A114=$Y$5:$Y$43)*(N$100=YEAR($F$5:$F$43)))&gt;=1,SUMPRODUCT(($A114=$A$61:$A$95)*$I$61:$I$95)*((SUMPRODUCT((N$100&gt;=YEAR($F$5:$F$43))*$G$5:$G$43)/$K$58)*100%)*(SUMPRODUCT(($A114=$Y$5:$Y$43)*(N$100&gt;=YEAR($F$5:$F$43))*$G$5:$G$43)/SUMPRODUCT((N$100&gt;=YEAR($F$5:$F$43))*$G$5:$G$43)),IF(M114&gt;0,M114/(1+lgh_equity!N$24),0))</f>
        <v>2.5646087858658111E-4</v>
      </c>
      <c r="O114" s="232"/>
      <c r="P114" s="232"/>
      <c r="Q114" s="232"/>
      <c r="R114" s="232"/>
      <c r="S114" s="232"/>
      <c r="T114" s="232"/>
      <c r="U114" s="232"/>
      <c r="V114" s="43"/>
      <c r="W114" s="43"/>
      <c r="X114" s="43"/>
      <c r="Y114" s="43"/>
    </row>
    <row r="115" spans="1:25">
      <c r="A115" s="43" t="str">
        <f t="shared" si="19"/>
        <v>PE014 Benjamin Rego Jr._1</v>
      </c>
      <c r="B115" s="79">
        <v>6.3600000000000006E-4</v>
      </c>
      <c r="C115" s="121">
        <f t="array" ref="C115">IF(SUMPRODUCT(($A115=$Y$5:$Y$43)*(C$100=YEAR($F$5:$F$43)))&gt;=1,SUMPRODUCT(($A115=$A$61:$A$95)*$I$61:$I$95)*((SUMPRODUCT((C$100&gt;=YEAR($F$5:$F$43))*$G$5:$G$43)/$K$58)*100%)*(SUMPRODUCT(($A115=$Y$5:$Y$43)*(C$100&gt;=YEAR($F$5:$F$43))*$G$5:$G$43)/SUMPRODUCT((C$100&gt;=YEAR($F$5:$F$43))*$G$5:$G$43)),IF(B115&gt;0,B115/(1+lgh_equity!C$24),0))</f>
        <v>6.3600000000000006E-4</v>
      </c>
      <c r="D115" s="121">
        <f t="array" ref="D115">IF(SUMPRODUCT(($A115=$Y$5:$Y$43)*(D$100=YEAR($F$5:$F$43)))&gt;=1,SUMPRODUCT(($A115=$A$61:$A$95)*$I$61:$I$95)*((SUMPRODUCT((D$100&gt;=YEAR($F$5:$F$43))*$G$5:$G$43)/$K$58)*100%)*(SUMPRODUCT(($A115=$Y$5:$Y$43)*(D$100&gt;=YEAR($F$5:$F$43))*$G$5:$G$43)/SUMPRODUCT((D$100&gt;=YEAR($F$5:$F$43))*$G$5:$G$43)),IF(C115&gt;0,C115/(1+lgh_equity!D$24),0))</f>
        <v>5.1456310679611655E-4</v>
      </c>
      <c r="E115" s="121">
        <f t="array" ref="E115">IF(SUMPRODUCT(($A115=$Y$5:$Y$43)*(E$100=YEAR($F$5:$F$43)))&gt;=1,SUMPRODUCT(($A115=$A$61:$A$95)*$I$61:$I$95)*((SUMPRODUCT((E$100&gt;=YEAR($F$5:$F$43))*$G$5:$G$43)/$K$58)*100%)*(SUMPRODUCT(($A115=$Y$5:$Y$43)*(E$100&gt;=YEAR($F$5:$F$43))*$G$5:$G$43)/SUMPRODUCT((E$100&gt;=YEAR($F$5:$F$43))*$G$5:$G$43)),IF(D115&gt;0,D115/(1+lgh_equity!E$24),0))</f>
        <v>5.1292175717316234E-4</v>
      </c>
      <c r="F115" s="121">
        <f t="array" ref="F115">IF(SUMPRODUCT(($A115=$Y$5:$Y$43)*(F$100=YEAR($F$5:$F$43)))&gt;=1,SUMPRODUCT(($A115=$A$61:$A$95)*$I$61:$I$95)*((SUMPRODUCT((F$100&gt;=YEAR($F$5:$F$43))*$G$5:$G$43)/$K$58)*100%)*(SUMPRODUCT(($A115=$Y$5:$Y$43)*(F$100&gt;=YEAR($F$5:$F$43))*$G$5:$G$43)/SUMPRODUCT((F$100&gt;=YEAR($F$5:$F$43))*$G$5:$G$43)),IF(E115&gt;0,E115/(1+lgh_equity!F$24),0))</f>
        <v>5.1292175717316234E-4</v>
      </c>
      <c r="G115" s="121">
        <f t="array" ref="G115">IF(SUMPRODUCT(($A115=$Y$5:$Y$43)*(G$100=YEAR($F$5:$F$43)))&gt;=1,SUMPRODUCT(($A115=$A$61:$A$95)*$I$61:$I$95)*((SUMPRODUCT((G$100&gt;=YEAR($F$5:$F$43))*$G$5:$G$43)/$K$58)*100%)*(SUMPRODUCT(($A115=$Y$5:$Y$43)*(G$100&gt;=YEAR($F$5:$F$43))*$G$5:$G$43)/SUMPRODUCT((G$100&gt;=YEAR($F$5:$F$43))*$G$5:$G$43)),IF(F115&gt;0,F115/(1+lgh_equity!G$24),0))</f>
        <v>5.1292175717316234E-4</v>
      </c>
      <c r="H115" s="121">
        <f t="array" ref="H115">IF(SUMPRODUCT(($A115=$Y$5:$Y$43)*(H$100=YEAR($F$5:$F$43)))&gt;=1,SUMPRODUCT(($A115=$A$61:$A$95)*$I$61:$I$95)*((SUMPRODUCT((H$100&gt;=YEAR($F$5:$F$43))*$G$5:$G$43)/$K$58)*100%)*(SUMPRODUCT(($A115=$Y$5:$Y$43)*(H$100&gt;=YEAR($F$5:$F$43))*$G$5:$G$43)/SUMPRODUCT((H$100&gt;=YEAR($F$5:$F$43))*$G$5:$G$43)),IF(G115&gt;0,G115/(1+lgh_equity!H$24),0))</f>
        <v>5.1292175717316234E-4</v>
      </c>
      <c r="I115" s="53">
        <f t="array" ref="I115">IF(SUMPRODUCT(($A115=$Y$5:$Y$43)*(I$100=YEAR($F$5:$F$43)))&gt;=1,SUMPRODUCT(($A115=$A$61:$A$95)*$I$61:$I$95)*((SUMPRODUCT((I$100&gt;=YEAR($F$5:$F$43))*$G$5:$G$43)/$K$58)*100%)*(SUMPRODUCT(($A115=$Y$5:$Y$43)*(I$100&gt;=YEAR($F$5:$F$43))*$G$5:$G$43)/SUMPRODUCT((I$100&gt;=YEAR($F$5:$F$43))*$G$5:$G$43)),IF(H115&gt;0,H115/(1+lgh_equity!I$24),0))</f>
        <v>5.1292175717316234E-4</v>
      </c>
      <c r="J115" s="53">
        <f t="array" ref="J115">IF(SUMPRODUCT(($A115=$Y$5:$Y$43)*(J$100=YEAR($F$5:$F$43)))&gt;=1,SUMPRODUCT(($A115=$A$61:$A$95)*$I$61:$I$95)*((SUMPRODUCT((J$100&gt;=YEAR($F$5:$F$43))*$G$5:$G$43)/$K$58)*100%)*(SUMPRODUCT(($A115=$Y$5:$Y$43)*(J$100&gt;=YEAR($F$5:$F$43))*$G$5:$G$43)/SUMPRODUCT((J$100&gt;=YEAR($F$5:$F$43))*$G$5:$G$43)),IF(I115&gt;0,I115/(1+lgh_equity!J$24),0))</f>
        <v>5.1292175717316234E-4</v>
      </c>
      <c r="K115" s="53">
        <f t="array" ref="K115">IF(SUMPRODUCT(($A115=$Y$5:$Y$43)*(K$100=YEAR($F$5:$F$43)))&gt;=1,SUMPRODUCT(($A115=$A$61:$A$95)*$I$61:$I$95)*((SUMPRODUCT((K$100&gt;=YEAR($F$5:$F$43))*$G$5:$G$43)/$K$58)*100%)*(SUMPRODUCT(($A115=$Y$5:$Y$43)*(K$100&gt;=YEAR($F$5:$F$43))*$G$5:$G$43)/SUMPRODUCT((K$100&gt;=YEAR($F$5:$F$43))*$G$5:$G$43)),IF(J115&gt;0,J115/(1+lgh_equity!K$24),0))</f>
        <v>5.1292175717316234E-4</v>
      </c>
      <c r="L115" s="53">
        <f t="array" ref="L115">IF(SUMPRODUCT(($A115=$Y$5:$Y$43)*(L$100=YEAR($F$5:$F$43)))&gt;=1,SUMPRODUCT(($A115=$A$61:$A$95)*$I$61:$I$95)*((SUMPRODUCT((L$100&gt;=YEAR($F$5:$F$43))*$G$5:$G$43)/$K$58)*100%)*(SUMPRODUCT(($A115=$Y$5:$Y$43)*(L$100&gt;=YEAR($F$5:$F$43))*$G$5:$G$43)/SUMPRODUCT((L$100&gt;=YEAR($F$5:$F$43))*$G$5:$G$43)),IF(K115&gt;0,K115/(1+lgh_equity!L$24),0))</f>
        <v>5.1292175717316234E-4</v>
      </c>
      <c r="M115" s="53">
        <f t="array" ref="M115">IF(SUMPRODUCT(($A115=$Y$5:$Y$43)*(M$100=YEAR($F$5:$F$43)))&gt;=1,SUMPRODUCT(($A115=$A$61:$A$95)*$I$61:$I$95)*((SUMPRODUCT((M$100&gt;=YEAR($F$5:$F$43))*$G$5:$G$43)/$K$58)*100%)*(SUMPRODUCT(($A115=$Y$5:$Y$43)*(M$100&gt;=YEAR($F$5:$F$43))*$G$5:$G$43)/SUMPRODUCT((M$100&gt;=YEAR($F$5:$F$43))*$G$5:$G$43)),IF(L115&gt;0,L115/(1+lgh_equity!M$24),0))</f>
        <v>5.1292175717316234E-4</v>
      </c>
      <c r="N115" s="53">
        <f t="array" ref="N115">IF(SUMPRODUCT(($A115=$Y$5:$Y$43)*(N$100=YEAR($F$5:$F$43)))&gt;=1,SUMPRODUCT(($A115=$A$61:$A$95)*$I$61:$I$95)*((SUMPRODUCT((N$100&gt;=YEAR($F$5:$F$43))*$G$5:$G$43)/$K$58)*100%)*(SUMPRODUCT(($A115=$Y$5:$Y$43)*(N$100&gt;=YEAR($F$5:$F$43))*$G$5:$G$43)/SUMPRODUCT((N$100&gt;=YEAR($F$5:$F$43))*$G$5:$G$43)),IF(M115&gt;0,M115/(1+lgh_equity!N$24),0))</f>
        <v>5.1292175717316234E-4</v>
      </c>
      <c r="O115" s="232"/>
      <c r="P115" s="232"/>
      <c r="Q115" s="232"/>
      <c r="R115" s="232"/>
      <c r="S115" s="232"/>
      <c r="T115" s="232"/>
      <c r="U115" s="232"/>
      <c r="V115" s="43"/>
      <c r="W115" s="43"/>
      <c r="X115" s="43"/>
      <c r="Y115" s="43"/>
    </row>
    <row r="116" spans="1:25">
      <c r="A116" s="43" t="str">
        <f t="shared" si="19"/>
        <v>PE015 LBCW Holdings, LP</v>
      </c>
      <c r="B116" s="79">
        <v>9.9009900990099011E-4</v>
      </c>
      <c r="C116" s="121">
        <f t="array" ref="C116">IF(SUMPRODUCT(($A116=$Y$5:$Y$43)*(C$100=YEAR($F$5:$F$43)))&gt;=1,SUMPRODUCT(($A116=$A$61:$A$95)*$I$61:$I$95)*((SUMPRODUCT((C$100&gt;=YEAR($F$5:$F$43))*$G$5:$G$43)/$K$58)*100%)*(SUMPRODUCT(($A116=$Y$5:$Y$43)*(C$100&gt;=YEAR($F$5:$F$43))*$G$5:$G$43)/SUMPRODUCT((C$100&gt;=YEAR($F$5:$F$43))*$G$5:$G$43)),IF(B116&gt;0,B116/(1+lgh_equity!C$24),0))</f>
        <v>9.9009900990099011E-4</v>
      </c>
      <c r="D116" s="121">
        <f t="array" ref="D116">IF(SUMPRODUCT(($A116=$Y$5:$Y$43)*(D$100=YEAR($F$5:$F$43)))&gt;=1,SUMPRODUCT(($A116=$A$61:$A$95)*$I$61:$I$95)*((SUMPRODUCT((D$100&gt;=YEAR($F$5:$F$43))*$G$5:$G$43)/$K$58)*100%)*(SUMPRODUCT(($A116=$Y$5:$Y$43)*(D$100&gt;=YEAR($F$5:$F$43))*$G$5:$G$43)/SUMPRODUCT((D$100&gt;=YEAR($F$5:$F$43))*$G$5:$G$43)),IF(C116&gt;0,C116/(1+lgh_equity!D$24),0))</f>
        <v>8.0105097888429619E-4</v>
      </c>
      <c r="E116" s="121">
        <f t="array" ref="E116">IF(SUMPRODUCT(($A116=$Y$5:$Y$43)*(E$100=YEAR($F$5:$F$43)))&gt;=1,SUMPRODUCT(($A116=$A$61:$A$95)*$I$61:$I$95)*((SUMPRODUCT((E$100&gt;=YEAR($F$5:$F$43))*$G$5:$G$43)/$K$58)*100%)*(SUMPRODUCT(($A116=$Y$5:$Y$43)*(E$100&gt;=YEAR($F$5:$F$43))*$G$5:$G$43)/SUMPRODUCT((E$100&gt;=YEAR($F$5:$F$43))*$G$5:$G$43)),IF(D116&gt;0,D116/(1+lgh_equity!E$24),0))</f>
        <v>7.9849579234877999E-4</v>
      </c>
      <c r="F116" s="121">
        <f t="array" ref="F116">IF(SUMPRODUCT(($A116=$Y$5:$Y$43)*(F$100=YEAR($F$5:$F$43)))&gt;=1,SUMPRODUCT(($A116=$A$61:$A$95)*$I$61:$I$95)*((SUMPRODUCT((F$100&gt;=YEAR($F$5:$F$43))*$G$5:$G$43)/$K$58)*100%)*(SUMPRODUCT(($A116=$Y$5:$Y$43)*(F$100&gt;=YEAR($F$5:$F$43))*$G$5:$G$43)/SUMPRODUCT((F$100&gt;=YEAR($F$5:$F$43))*$G$5:$G$43)),IF(E116&gt;0,E116/(1+lgh_equity!F$24),0))</f>
        <v>7.9849579234877999E-4</v>
      </c>
      <c r="G116" s="121">
        <f t="array" ref="G116">IF(SUMPRODUCT(($A116=$Y$5:$Y$43)*(G$100=YEAR($F$5:$F$43)))&gt;=1,SUMPRODUCT(($A116=$A$61:$A$95)*$I$61:$I$95)*((SUMPRODUCT((G$100&gt;=YEAR($F$5:$F$43))*$G$5:$G$43)/$K$58)*100%)*(SUMPRODUCT(($A116=$Y$5:$Y$43)*(G$100&gt;=YEAR($F$5:$F$43))*$G$5:$G$43)/SUMPRODUCT((G$100&gt;=YEAR($F$5:$F$43))*$G$5:$G$43)),IF(F116&gt;0,F116/(1+lgh_equity!G$24),0))</f>
        <v>7.9849579234877999E-4</v>
      </c>
      <c r="H116" s="121">
        <f t="array" ref="H116">IF(SUMPRODUCT(($A116=$Y$5:$Y$43)*(H$100=YEAR($F$5:$F$43)))&gt;=1,SUMPRODUCT(($A116=$A$61:$A$95)*$I$61:$I$95)*((SUMPRODUCT((H$100&gt;=YEAR($F$5:$F$43))*$G$5:$G$43)/$K$58)*100%)*(SUMPRODUCT(($A116=$Y$5:$Y$43)*(H$100&gt;=YEAR($F$5:$F$43))*$G$5:$G$43)/SUMPRODUCT((H$100&gt;=YEAR($F$5:$F$43))*$G$5:$G$43)),IF(G116&gt;0,G116/(1+lgh_equity!H$24),0))</f>
        <v>7.9849579234877999E-4</v>
      </c>
      <c r="I116" s="53">
        <f t="array" ref="I116">IF(SUMPRODUCT(($A116=$Y$5:$Y$43)*(I$100=YEAR($F$5:$F$43)))&gt;=1,SUMPRODUCT(($A116=$A$61:$A$95)*$I$61:$I$95)*((SUMPRODUCT((I$100&gt;=YEAR($F$5:$F$43))*$G$5:$G$43)/$K$58)*100%)*(SUMPRODUCT(($A116=$Y$5:$Y$43)*(I$100&gt;=YEAR($F$5:$F$43))*$G$5:$G$43)/SUMPRODUCT((I$100&gt;=YEAR($F$5:$F$43))*$G$5:$G$43)),IF(H116&gt;0,H116/(1+lgh_equity!I$24),0))</f>
        <v>7.9849579234877999E-4</v>
      </c>
      <c r="J116" s="53">
        <f t="array" ref="J116">IF(SUMPRODUCT(($A116=$Y$5:$Y$43)*(J$100=YEAR($F$5:$F$43)))&gt;=1,SUMPRODUCT(($A116=$A$61:$A$95)*$I$61:$I$95)*((SUMPRODUCT((J$100&gt;=YEAR($F$5:$F$43))*$G$5:$G$43)/$K$58)*100%)*(SUMPRODUCT(($A116=$Y$5:$Y$43)*(J$100&gt;=YEAR($F$5:$F$43))*$G$5:$G$43)/SUMPRODUCT((J$100&gt;=YEAR($F$5:$F$43))*$G$5:$G$43)),IF(I116&gt;0,I116/(1+lgh_equity!J$24),0))</f>
        <v>7.9849579234877999E-4</v>
      </c>
      <c r="K116" s="53">
        <f t="array" ref="K116">IF(SUMPRODUCT(($A116=$Y$5:$Y$43)*(K$100=YEAR($F$5:$F$43)))&gt;=1,SUMPRODUCT(($A116=$A$61:$A$95)*$I$61:$I$95)*((SUMPRODUCT((K$100&gt;=YEAR($F$5:$F$43))*$G$5:$G$43)/$K$58)*100%)*(SUMPRODUCT(($A116=$Y$5:$Y$43)*(K$100&gt;=YEAR($F$5:$F$43))*$G$5:$G$43)/SUMPRODUCT((K$100&gt;=YEAR($F$5:$F$43))*$G$5:$G$43)),IF(J116&gt;0,J116/(1+lgh_equity!K$24),0))</f>
        <v>7.9849579234877999E-4</v>
      </c>
      <c r="L116" s="53">
        <f t="array" ref="L116">IF(SUMPRODUCT(($A116=$Y$5:$Y$43)*(L$100=YEAR($F$5:$F$43)))&gt;=1,SUMPRODUCT(($A116=$A$61:$A$95)*$I$61:$I$95)*((SUMPRODUCT((L$100&gt;=YEAR($F$5:$F$43))*$G$5:$G$43)/$K$58)*100%)*(SUMPRODUCT(($A116=$Y$5:$Y$43)*(L$100&gt;=YEAR($F$5:$F$43))*$G$5:$G$43)/SUMPRODUCT((L$100&gt;=YEAR($F$5:$F$43))*$G$5:$G$43)),IF(K116&gt;0,K116/(1+lgh_equity!L$24),0))</f>
        <v>7.9849579234877999E-4</v>
      </c>
      <c r="M116" s="53">
        <f t="array" ref="M116">IF(SUMPRODUCT(($A116=$Y$5:$Y$43)*(M$100=YEAR($F$5:$F$43)))&gt;=1,SUMPRODUCT(($A116=$A$61:$A$95)*$I$61:$I$95)*((SUMPRODUCT((M$100&gt;=YEAR($F$5:$F$43))*$G$5:$G$43)/$K$58)*100%)*(SUMPRODUCT(($A116=$Y$5:$Y$43)*(M$100&gt;=YEAR($F$5:$F$43))*$G$5:$G$43)/SUMPRODUCT((M$100&gt;=YEAR($F$5:$F$43))*$G$5:$G$43)),IF(L116&gt;0,L116/(1+lgh_equity!M$24),0))</f>
        <v>7.9849579234877999E-4</v>
      </c>
      <c r="N116" s="53">
        <f t="array" ref="N116">IF(SUMPRODUCT(($A116=$Y$5:$Y$43)*(N$100=YEAR($F$5:$F$43)))&gt;=1,SUMPRODUCT(($A116=$A$61:$A$95)*$I$61:$I$95)*((SUMPRODUCT((N$100&gt;=YEAR($F$5:$F$43))*$G$5:$G$43)/$K$58)*100%)*(SUMPRODUCT(($A116=$Y$5:$Y$43)*(N$100&gt;=YEAR($F$5:$F$43))*$G$5:$G$43)/SUMPRODUCT((N$100&gt;=YEAR($F$5:$F$43))*$G$5:$G$43)),IF(M116&gt;0,M116/(1+lgh_equity!N$24),0))</f>
        <v>7.9849579234877999E-4</v>
      </c>
      <c r="O116" s="232"/>
      <c r="P116" s="232"/>
      <c r="Q116" s="232"/>
      <c r="R116" s="232"/>
      <c r="S116" s="232"/>
      <c r="T116" s="232"/>
      <c r="U116" s="232"/>
      <c r="V116" s="43"/>
      <c r="W116" s="43"/>
      <c r="X116" s="43"/>
      <c r="Y116" s="43"/>
    </row>
    <row r="117" spans="1:25">
      <c r="A117" s="43" t="str">
        <f t="shared" si="19"/>
        <v>PE016 LBCW Holdings, LP</v>
      </c>
      <c r="B117" s="79">
        <v>9.9009900990099011E-4</v>
      </c>
      <c r="C117" s="121">
        <f t="array" ref="C117">IF(SUMPRODUCT(($A117=$Y$5:$Y$43)*(C$100=YEAR($F$5:$F$43)))&gt;=1,SUMPRODUCT(($A117=$A$61:$A$95)*$I$61:$I$95)*((SUMPRODUCT((C$100&gt;=YEAR($F$5:$F$43))*$G$5:$G$43)/$K$58)*100%)*(SUMPRODUCT(($A117=$Y$5:$Y$43)*(C$100&gt;=YEAR($F$5:$F$43))*$G$5:$G$43)/SUMPRODUCT((C$100&gt;=YEAR($F$5:$F$43))*$G$5:$G$43)),IF(B117&gt;0,B117/(1+lgh_equity!C$24),0))</f>
        <v>9.9009900990099011E-4</v>
      </c>
      <c r="D117" s="121">
        <f t="array" ref="D117">IF(SUMPRODUCT(($A117=$Y$5:$Y$43)*(D$100=YEAR($F$5:$F$43)))&gt;=1,SUMPRODUCT(($A117=$A$61:$A$95)*$I$61:$I$95)*((SUMPRODUCT((D$100&gt;=YEAR($F$5:$F$43))*$G$5:$G$43)/$K$58)*100%)*(SUMPRODUCT(($A117=$Y$5:$Y$43)*(D$100&gt;=YEAR($F$5:$F$43))*$G$5:$G$43)/SUMPRODUCT((D$100&gt;=YEAR($F$5:$F$43))*$G$5:$G$43)),IF(C117&gt;0,C117/(1+lgh_equity!D$24),0))</f>
        <v>8.0105097888429619E-4</v>
      </c>
      <c r="E117" s="121">
        <f t="array" ref="E117">IF(SUMPRODUCT(($A117=$Y$5:$Y$43)*(E$100=YEAR($F$5:$F$43)))&gt;=1,SUMPRODUCT(($A117=$A$61:$A$95)*$I$61:$I$95)*((SUMPRODUCT((E$100&gt;=YEAR($F$5:$F$43))*$G$5:$G$43)/$K$58)*100%)*(SUMPRODUCT(($A117=$Y$5:$Y$43)*(E$100&gt;=YEAR($F$5:$F$43))*$G$5:$G$43)/SUMPRODUCT((E$100&gt;=YEAR($F$5:$F$43))*$G$5:$G$43)),IF(D117&gt;0,D117/(1+lgh_equity!E$24),0))</f>
        <v>7.9849579234877999E-4</v>
      </c>
      <c r="F117" s="121">
        <f t="array" ref="F117">IF(SUMPRODUCT(($A117=$Y$5:$Y$43)*(F$100=YEAR($F$5:$F$43)))&gt;=1,SUMPRODUCT(($A117=$A$61:$A$95)*$I$61:$I$95)*((SUMPRODUCT((F$100&gt;=YEAR($F$5:$F$43))*$G$5:$G$43)/$K$58)*100%)*(SUMPRODUCT(($A117=$Y$5:$Y$43)*(F$100&gt;=YEAR($F$5:$F$43))*$G$5:$G$43)/SUMPRODUCT((F$100&gt;=YEAR($F$5:$F$43))*$G$5:$G$43)),IF(E117&gt;0,E117/(1+lgh_equity!F$24),0))</f>
        <v>7.9849579234877999E-4</v>
      </c>
      <c r="G117" s="121">
        <f t="array" ref="G117">IF(SUMPRODUCT(($A117=$Y$5:$Y$43)*(G$100=YEAR($F$5:$F$43)))&gt;=1,SUMPRODUCT(($A117=$A$61:$A$95)*$I$61:$I$95)*((SUMPRODUCT((G$100&gt;=YEAR($F$5:$F$43))*$G$5:$G$43)/$K$58)*100%)*(SUMPRODUCT(($A117=$Y$5:$Y$43)*(G$100&gt;=YEAR($F$5:$F$43))*$G$5:$G$43)/SUMPRODUCT((G$100&gt;=YEAR($F$5:$F$43))*$G$5:$G$43)),IF(F117&gt;0,F117/(1+lgh_equity!G$24),0))</f>
        <v>7.9849579234877999E-4</v>
      </c>
      <c r="H117" s="121">
        <f t="array" ref="H117">IF(SUMPRODUCT(($A117=$Y$5:$Y$43)*(H$100=YEAR($F$5:$F$43)))&gt;=1,SUMPRODUCT(($A117=$A$61:$A$95)*$I$61:$I$95)*((SUMPRODUCT((H$100&gt;=YEAR($F$5:$F$43))*$G$5:$G$43)/$K$58)*100%)*(SUMPRODUCT(($A117=$Y$5:$Y$43)*(H$100&gt;=YEAR($F$5:$F$43))*$G$5:$G$43)/SUMPRODUCT((H$100&gt;=YEAR($F$5:$F$43))*$G$5:$G$43)),IF(G117&gt;0,G117/(1+lgh_equity!H$24),0))</f>
        <v>7.9849579234877999E-4</v>
      </c>
      <c r="I117" s="53">
        <f t="array" ref="I117">IF(SUMPRODUCT(($A117=$Y$5:$Y$43)*(I$100=YEAR($F$5:$F$43)))&gt;=1,SUMPRODUCT(($A117=$A$61:$A$95)*$I$61:$I$95)*((SUMPRODUCT((I$100&gt;=YEAR($F$5:$F$43))*$G$5:$G$43)/$K$58)*100%)*(SUMPRODUCT(($A117=$Y$5:$Y$43)*(I$100&gt;=YEAR($F$5:$F$43))*$G$5:$G$43)/SUMPRODUCT((I$100&gt;=YEAR($F$5:$F$43))*$G$5:$G$43)),IF(H117&gt;0,H117/(1+lgh_equity!I$24),0))</f>
        <v>7.9849579234877999E-4</v>
      </c>
      <c r="J117" s="53">
        <f t="array" ref="J117">IF(SUMPRODUCT(($A117=$Y$5:$Y$43)*(J$100=YEAR($F$5:$F$43)))&gt;=1,SUMPRODUCT(($A117=$A$61:$A$95)*$I$61:$I$95)*((SUMPRODUCT((J$100&gt;=YEAR($F$5:$F$43))*$G$5:$G$43)/$K$58)*100%)*(SUMPRODUCT(($A117=$Y$5:$Y$43)*(J$100&gt;=YEAR($F$5:$F$43))*$G$5:$G$43)/SUMPRODUCT((J$100&gt;=YEAR($F$5:$F$43))*$G$5:$G$43)),IF(I117&gt;0,I117/(1+lgh_equity!J$24),0))</f>
        <v>7.9849579234877999E-4</v>
      </c>
      <c r="K117" s="53">
        <f t="array" ref="K117">IF(SUMPRODUCT(($A117=$Y$5:$Y$43)*(K$100=YEAR($F$5:$F$43)))&gt;=1,SUMPRODUCT(($A117=$A$61:$A$95)*$I$61:$I$95)*((SUMPRODUCT((K$100&gt;=YEAR($F$5:$F$43))*$G$5:$G$43)/$K$58)*100%)*(SUMPRODUCT(($A117=$Y$5:$Y$43)*(K$100&gt;=YEAR($F$5:$F$43))*$G$5:$G$43)/SUMPRODUCT((K$100&gt;=YEAR($F$5:$F$43))*$G$5:$G$43)),IF(J117&gt;0,J117/(1+lgh_equity!K$24),0))</f>
        <v>7.9849579234877999E-4</v>
      </c>
      <c r="L117" s="53">
        <f t="array" ref="L117">IF(SUMPRODUCT(($A117=$Y$5:$Y$43)*(L$100=YEAR($F$5:$F$43)))&gt;=1,SUMPRODUCT(($A117=$A$61:$A$95)*$I$61:$I$95)*((SUMPRODUCT((L$100&gt;=YEAR($F$5:$F$43))*$G$5:$G$43)/$K$58)*100%)*(SUMPRODUCT(($A117=$Y$5:$Y$43)*(L$100&gt;=YEAR($F$5:$F$43))*$G$5:$G$43)/SUMPRODUCT((L$100&gt;=YEAR($F$5:$F$43))*$G$5:$G$43)),IF(K117&gt;0,K117/(1+lgh_equity!L$24),0))</f>
        <v>7.9849579234877999E-4</v>
      </c>
      <c r="M117" s="53">
        <f t="array" ref="M117">IF(SUMPRODUCT(($A117=$Y$5:$Y$43)*(M$100=YEAR($F$5:$F$43)))&gt;=1,SUMPRODUCT(($A117=$A$61:$A$95)*$I$61:$I$95)*((SUMPRODUCT((M$100&gt;=YEAR($F$5:$F$43))*$G$5:$G$43)/$K$58)*100%)*(SUMPRODUCT(($A117=$Y$5:$Y$43)*(M$100&gt;=YEAR($F$5:$F$43))*$G$5:$G$43)/SUMPRODUCT((M$100&gt;=YEAR($F$5:$F$43))*$G$5:$G$43)),IF(L117&gt;0,L117/(1+lgh_equity!M$24),0))</f>
        <v>7.9849579234877999E-4</v>
      </c>
      <c r="N117" s="53">
        <f t="array" ref="N117">IF(SUMPRODUCT(($A117=$Y$5:$Y$43)*(N$100=YEAR($F$5:$F$43)))&gt;=1,SUMPRODUCT(($A117=$A$61:$A$95)*$I$61:$I$95)*((SUMPRODUCT((N$100&gt;=YEAR($F$5:$F$43))*$G$5:$G$43)/$K$58)*100%)*(SUMPRODUCT(($A117=$Y$5:$Y$43)*(N$100&gt;=YEAR($F$5:$F$43))*$G$5:$G$43)/SUMPRODUCT((N$100&gt;=YEAR($F$5:$F$43))*$G$5:$G$43)),IF(M117&gt;0,M117/(1+lgh_equity!N$24),0))</f>
        <v>7.9849579234877999E-4</v>
      </c>
      <c r="O117" s="232"/>
      <c r="P117" s="232"/>
      <c r="Q117" s="232"/>
      <c r="R117" s="232"/>
      <c r="S117" s="232"/>
      <c r="T117" s="232"/>
      <c r="U117" s="232"/>
      <c r="V117" s="43"/>
      <c r="W117" s="43"/>
      <c r="X117" s="43"/>
      <c r="Y117" s="43"/>
    </row>
    <row r="118" spans="1:25">
      <c r="A118" s="43" t="str">
        <f t="shared" si="19"/>
        <v>PE017 Arbor Green II LP</v>
      </c>
      <c r="B118" s="79">
        <v>1.9801980198019798E-3</v>
      </c>
      <c r="C118" s="121">
        <f t="array" ref="C118">IF(SUMPRODUCT(($A118=$Y$5:$Y$43)*(C$100=YEAR($F$5:$F$43)))&gt;=1,SUMPRODUCT(($A118=$A$61:$A$95)*$I$61:$I$95)*((SUMPRODUCT((C$100&gt;=YEAR($F$5:$F$43))*$G$5:$G$43)/$K$58)*100%)*(SUMPRODUCT(($A118=$Y$5:$Y$43)*(C$100&gt;=YEAR($F$5:$F$43))*$G$5:$G$43)/SUMPRODUCT((C$100&gt;=YEAR($F$5:$F$43))*$G$5:$G$43)),IF(B118&gt;0,B118/(1+lgh_equity!C$24),0))</f>
        <v>1.9801980198019798E-3</v>
      </c>
      <c r="D118" s="121">
        <f t="array" ref="D118">IF(SUMPRODUCT(($A118=$Y$5:$Y$43)*(D$100=YEAR($F$5:$F$43)))&gt;=1,SUMPRODUCT(($A118=$A$61:$A$95)*$I$61:$I$95)*((SUMPRODUCT((D$100&gt;=YEAR($F$5:$F$43))*$G$5:$G$43)/$K$58)*100%)*(SUMPRODUCT(($A118=$Y$5:$Y$43)*(D$100&gt;=YEAR($F$5:$F$43))*$G$5:$G$43)/SUMPRODUCT((D$100&gt;=YEAR($F$5:$F$43))*$G$5:$G$43)),IF(C118&gt;0,C118/(1+lgh_equity!D$24),0))</f>
        <v>1.6021019577685922E-3</v>
      </c>
      <c r="E118" s="121">
        <f t="array" ref="E118">IF(SUMPRODUCT(($A118=$Y$5:$Y$43)*(E$100=YEAR($F$5:$F$43)))&gt;=1,SUMPRODUCT(($A118=$A$61:$A$95)*$I$61:$I$95)*((SUMPRODUCT((E$100&gt;=YEAR($F$5:$F$43))*$G$5:$G$43)/$K$58)*100%)*(SUMPRODUCT(($A118=$Y$5:$Y$43)*(E$100&gt;=YEAR($F$5:$F$43))*$G$5:$G$43)/SUMPRODUCT((E$100&gt;=YEAR($F$5:$F$43))*$G$5:$G$43)),IF(D118&gt;0,D118/(1+lgh_equity!E$24),0))</f>
        <v>1.5969915846975598E-3</v>
      </c>
      <c r="F118" s="121">
        <f t="array" ref="F118">IF(SUMPRODUCT(($A118=$Y$5:$Y$43)*(F$100=YEAR($F$5:$F$43)))&gt;=1,SUMPRODUCT(($A118=$A$61:$A$95)*$I$61:$I$95)*((SUMPRODUCT((F$100&gt;=YEAR($F$5:$F$43))*$G$5:$G$43)/$K$58)*100%)*(SUMPRODUCT(($A118=$Y$5:$Y$43)*(F$100&gt;=YEAR($F$5:$F$43))*$G$5:$G$43)/SUMPRODUCT((F$100&gt;=YEAR($F$5:$F$43))*$G$5:$G$43)),IF(E118&gt;0,E118/(1+lgh_equity!F$24),0))</f>
        <v>1.5969915846975598E-3</v>
      </c>
      <c r="G118" s="121">
        <f t="array" ref="G118">IF(SUMPRODUCT(($A118=$Y$5:$Y$43)*(G$100=YEAR($F$5:$F$43)))&gt;=1,SUMPRODUCT(($A118=$A$61:$A$95)*$I$61:$I$95)*((SUMPRODUCT((G$100&gt;=YEAR($F$5:$F$43))*$G$5:$G$43)/$K$58)*100%)*(SUMPRODUCT(($A118=$Y$5:$Y$43)*(G$100&gt;=YEAR($F$5:$F$43))*$G$5:$G$43)/SUMPRODUCT((G$100&gt;=YEAR($F$5:$F$43))*$G$5:$G$43)),IF(F118&gt;0,F118/(1+lgh_equity!G$24),0))</f>
        <v>1.5969915846975598E-3</v>
      </c>
      <c r="H118" s="121">
        <f t="array" ref="H118">IF(SUMPRODUCT(($A118=$Y$5:$Y$43)*(H$100=YEAR($F$5:$F$43)))&gt;=1,SUMPRODUCT(($A118=$A$61:$A$95)*$I$61:$I$95)*((SUMPRODUCT((H$100&gt;=YEAR($F$5:$F$43))*$G$5:$G$43)/$K$58)*100%)*(SUMPRODUCT(($A118=$Y$5:$Y$43)*(H$100&gt;=YEAR($F$5:$F$43))*$G$5:$G$43)/SUMPRODUCT((H$100&gt;=YEAR($F$5:$F$43))*$G$5:$G$43)),IF(G118&gt;0,G118/(1+lgh_equity!H$24),0))</f>
        <v>1.5969915846975598E-3</v>
      </c>
      <c r="I118" s="53">
        <f t="array" ref="I118">IF(SUMPRODUCT(($A118=$Y$5:$Y$43)*(I$100=YEAR($F$5:$F$43)))&gt;=1,SUMPRODUCT(($A118=$A$61:$A$95)*$I$61:$I$95)*((SUMPRODUCT((I$100&gt;=YEAR($F$5:$F$43))*$G$5:$G$43)/$K$58)*100%)*(SUMPRODUCT(($A118=$Y$5:$Y$43)*(I$100&gt;=YEAR($F$5:$F$43))*$G$5:$G$43)/SUMPRODUCT((I$100&gt;=YEAR($F$5:$F$43))*$G$5:$G$43)),IF(H118&gt;0,H118/(1+lgh_equity!I$24),0))</f>
        <v>1.5969915846975598E-3</v>
      </c>
      <c r="J118" s="53">
        <f t="array" ref="J118">IF(SUMPRODUCT(($A118=$Y$5:$Y$43)*(J$100=YEAR($F$5:$F$43)))&gt;=1,SUMPRODUCT(($A118=$A$61:$A$95)*$I$61:$I$95)*((SUMPRODUCT((J$100&gt;=YEAR($F$5:$F$43))*$G$5:$G$43)/$K$58)*100%)*(SUMPRODUCT(($A118=$Y$5:$Y$43)*(J$100&gt;=YEAR($F$5:$F$43))*$G$5:$G$43)/SUMPRODUCT((J$100&gt;=YEAR($F$5:$F$43))*$G$5:$G$43)),IF(I118&gt;0,I118/(1+lgh_equity!J$24),0))</f>
        <v>1.5969915846975598E-3</v>
      </c>
      <c r="K118" s="53">
        <f t="array" ref="K118">IF(SUMPRODUCT(($A118=$Y$5:$Y$43)*(K$100=YEAR($F$5:$F$43)))&gt;=1,SUMPRODUCT(($A118=$A$61:$A$95)*$I$61:$I$95)*((SUMPRODUCT((K$100&gt;=YEAR($F$5:$F$43))*$G$5:$G$43)/$K$58)*100%)*(SUMPRODUCT(($A118=$Y$5:$Y$43)*(K$100&gt;=YEAR($F$5:$F$43))*$G$5:$G$43)/SUMPRODUCT((K$100&gt;=YEAR($F$5:$F$43))*$G$5:$G$43)),IF(J118&gt;0,J118/(1+lgh_equity!K$24),0))</f>
        <v>1.5969915846975598E-3</v>
      </c>
      <c r="L118" s="53">
        <f t="array" ref="L118">IF(SUMPRODUCT(($A118=$Y$5:$Y$43)*(L$100=YEAR($F$5:$F$43)))&gt;=1,SUMPRODUCT(($A118=$A$61:$A$95)*$I$61:$I$95)*((SUMPRODUCT((L$100&gt;=YEAR($F$5:$F$43))*$G$5:$G$43)/$K$58)*100%)*(SUMPRODUCT(($A118=$Y$5:$Y$43)*(L$100&gt;=YEAR($F$5:$F$43))*$G$5:$G$43)/SUMPRODUCT((L$100&gt;=YEAR($F$5:$F$43))*$G$5:$G$43)),IF(K118&gt;0,K118/(1+lgh_equity!L$24),0))</f>
        <v>1.5969915846975598E-3</v>
      </c>
      <c r="M118" s="53">
        <f t="array" ref="M118">IF(SUMPRODUCT(($A118=$Y$5:$Y$43)*(M$100=YEAR($F$5:$F$43)))&gt;=1,SUMPRODUCT(($A118=$A$61:$A$95)*$I$61:$I$95)*((SUMPRODUCT((M$100&gt;=YEAR($F$5:$F$43))*$G$5:$G$43)/$K$58)*100%)*(SUMPRODUCT(($A118=$Y$5:$Y$43)*(M$100&gt;=YEAR($F$5:$F$43))*$G$5:$G$43)/SUMPRODUCT((M$100&gt;=YEAR($F$5:$F$43))*$G$5:$G$43)),IF(L118&gt;0,L118/(1+lgh_equity!M$24),0))</f>
        <v>1.5969915846975598E-3</v>
      </c>
      <c r="N118" s="53">
        <f t="array" ref="N118">IF(SUMPRODUCT(($A118=$Y$5:$Y$43)*(N$100=YEAR($F$5:$F$43)))&gt;=1,SUMPRODUCT(($A118=$A$61:$A$95)*$I$61:$I$95)*((SUMPRODUCT((N$100&gt;=YEAR($F$5:$F$43))*$G$5:$G$43)/$K$58)*100%)*(SUMPRODUCT(($A118=$Y$5:$Y$43)*(N$100&gt;=YEAR($F$5:$F$43))*$G$5:$G$43)/SUMPRODUCT((N$100&gt;=YEAR($F$5:$F$43))*$G$5:$G$43)),IF(M118&gt;0,M118/(1+lgh_equity!N$24),0))</f>
        <v>1.5969915846975598E-3</v>
      </c>
      <c r="O118" s="232"/>
      <c r="P118" s="232"/>
      <c r="Q118" s="232"/>
      <c r="R118" s="232"/>
      <c r="S118" s="232"/>
      <c r="T118" s="232"/>
      <c r="U118" s="232"/>
      <c r="V118" s="43"/>
      <c r="W118" s="43"/>
      <c r="X118" s="43"/>
      <c r="Y118" s="43"/>
    </row>
    <row r="119" spans="1:25">
      <c r="A119" s="43" t="str">
        <f t="shared" si="19"/>
        <v>PE018 Todd &amp; Stephanie Routh</v>
      </c>
      <c r="B119" s="79">
        <v>6.4356435643564349E-4</v>
      </c>
      <c r="C119" s="121">
        <f t="array" ref="C119">IF(SUMPRODUCT(($A119=$Y$5:$Y$43)*(C$100=YEAR($F$5:$F$43)))&gt;=1,SUMPRODUCT(($A119=$A$61:$A$95)*$I$61:$I$95)*((SUMPRODUCT((C$100&gt;=YEAR($F$5:$F$43))*$G$5:$G$43)/$K$58)*100%)*(SUMPRODUCT(($A119=$Y$5:$Y$43)*(C$100&gt;=YEAR($F$5:$F$43))*$G$5:$G$43)/SUMPRODUCT((C$100&gt;=YEAR($F$5:$F$43))*$G$5:$G$43)),IF(B119&gt;0,B119/(1+lgh_equity!C$24),0))</f>
        <v>6.4356435643564349E-4</v>
      </c>
      <c r="D119" s="121">
        <f t="array" ref="D119">IF(SUMPRODUCT(($A119=$Y$5:$Y$43)*(D$100=YEAR($F$5:$F$43)))&gt;=1,SUMPRODUCT(($A119=$A$61:$A$95)*$I$61:$I$95)*((SUMPRODUCT((D$100&gt;=YEAR($F$5:$F$43))*$G$5:$G$43)/$K$58)*100%)*(SUMPRODUCT(($A119=$Y$5:$Y$43)*(D$100&gt;=YEAR($F$5:$F$43))*$G$5:$G$43)/SUMPRODUCT((D$100&gt;=YEAR($F$5:$F$43))*$G$5:$G$43)),IF(C119&gt;0,C119/(1+lgh_equity!D$24),0))</f>
        <v>5.2068313627479242E-4</v>
      </c>
      <c r="E119" s="121">
        <f t="array" ref="E119">IF(SUMPRODUCT(($A119=$Y$5:$Y$43)*(E$100=YEAR($F$5:$F$43)))&gt;=1,SUMPRODUCT(($A119=$A$61:$A$95)*$I$61:$I$95)*((SUMPRODUCT((E$100&gt;=YEAR($F$5:$F$43))*$G$5:$G$43)/$K$58)*100%)*(SUMPRODUCT(($A119=$Y$5:$Y$43)*(E$100&gt;=YEAR($F$5:$F$43))*$G$5:$G$43)/SUMPRODUCT((E$100&gt;=YEAR($F$5:$F$43))*$G$5:$G$43)),IF(D119&gt;0,D119/(1+lgh_equity!E$24),0))</f>
        <v>5.1902226502670691E-4</v>
      </c>
      <c r="F119" s="121">
        <f t="array" ref="F119">IF(SUMPRODUCT(($A119=$Y$5:$Y$43)*(F$100=YEAR($F$5:$F$43)))&gt;=1,SUMPRODUCT(($A119=$A$61:$A$95)*$I$61:$I$95)*((SUMPRODUCT((F$100&gt;=YEAR($F$5:$F$43))*$G$5:$G$43)/$K$58)*100%)*(SUMPRODUCT(($A119=$Y$5:$Y$43)*(F$100&gt;=YEAR($F$5:$F$43))*$G$5:$G$43)/SUMPRODUCT((F$100&gt;=YEAR($F$5:$F$43))*$G$5:$G$43)),IF(E119&gt;0,E119/(1+lgh_equity!F$24),0))</f>
        <v>5.1902226502670691E-4</v>
      </c>
      <c r="G119" s="121">
        <f t="array" ref="G119">IF(SUMPRODUCT(($A119=$Y$5:$Y$43)*(G$100=YEAR($F$5:$F$43)))&gt;=1,SUMPRODUCT(($A119=$A$61:$A$95)*$I$61:$I$95)*((SUMPRODUCT((G$100&gt;=YEAR($F$5:$F$43))*$G$5:$G$43)/$K$58)*100%)*(SUMPRODUCT(($A119=$Y$5:$Y$43)*(G$100&gt;=YEAR($F$5:$F$43))*$G$5:$G$43)/SUMPRODUCT((G$100&gt;=YEAR($F$5:$F$43))*$G$5:$G$43)),IF(F119&gt;0,F119/(1+lgh_equity!G$24),0))</f>
        <v>5.1902226502670691E-4</v>
      </c>
      <c r="H119" s="121">
        <f t="array" ref="H119">IF(SUMPRODUCT(($A119=$Y$5:$Y$43)*(H$100=YEAR($F$5:$F$43)))&gt;=1,SUMPRODUCT(($A119=$A$61:$A$95)*$I$61:$I$95)*((SUMPRODUCT((H$100&gt;=YEAR($F$5:$F$43))*$G$5:$G$43)/$K$58)*100%)*(SUMPRODUCT(($A119=$Y$5:$Y$43)*(H$100&gt;=YEAR($F$5:$F$43))*$G$5:$G$43)/SUMPRODUCT((H$100&gt;=YEAR($F$5:$F$43))*$G$5:$G$43)),IF(G119&gt;0,G119/(1+lgh_equity!H$24),0))</f>
        <v>5.1902226502670691E-4</v>
      </c>
      <c r="I119" s="53">
        <f t="array" ref="I119">IF(SUMPRODUCT(($A119=$Y$5:$Y$43)*(I$100=YEAR($F$5:$F$43)))&gt;=1,SUMPRODUCT(($A119=$A$61:$A$95)*$I$61:$I$95)*((SUMPRODUCT((I$100&gt;=YEAR($F$5:$F$43))*$G$5:$G$43)/$K$58)*100%)*(SUMPRODUCT(($A119=$Y$5:$Y$43)*(I$100&gt;=YEAR($F$5:$F$43))*$G$5:$G$43)/SUMPRODUCT((I$100&gt;=YEAR($F$5:$F$43))*$G$5:$G$43)),IF(H119&gt;0,H119/(1+lgh_equity!I$24),0))</f>
        <v>5.1902226502670691E-4</v>
      </c>
      <c r="J119" s="53">
        <f t="array" ref="J119">IF(SUMPRODUCT(($A119=$Y$5:$Y$43)*(J$100=YEAR($F$5:$F$43)))&gt;=1,SUMPRODUCT(($A119=$A$61:$A$95)*$I$61:$I$95)*((SUMPRODUCT((J$100&gt;=YEAR($F$5:$F$43))*$G$5:$G$43)/$K$58)*100%)*(SUMPRODUCT(($A119=$Y$5:$Y$43)*(J$100&gt;=YEAR($F$5:$F$43))*$G$5:$G$43)/SUMPRODUCT((J$100&gt;=YEAR($F$5:$F$43))*$G$5:$G$43)),IF(I119&gt;0,I119/(1+lgh_equity!J$24),0))</f>
        <v>5.1902226502670691E-4</v>
      </c>
      <c r="K119" s="53">
        <f t="array" ref="K119">IF(SUMPRODUCT(($A119=$Y$5:$Y$43)*(K$100=YEAR($F$5:$F$43)))&gt;=1,SUMPRODUCT(($A119=$A$61:$A$95)*$I$61:$I$95)*((SUMPRODUCT((K$100&gt;=YEAR($F$5:$F$43))*$G$5:$G$43)/$K$58)*100%)*(SUMPRODUCT(($A119=$Y$5:$Y$43)*(K$100&gt;=YEAR($F$5:$F$43))*$G$5:$G$43)/SUMPRODUCT((K$100&gt;=YEAR($F$5:$F$43))*$G$5:$G$43)),IF(J119&gt;0,J119/(1+lgh_equity!K$24),0))</f>
        <v>5.1902226502670691E-4</v>
      </c>
      <c r="L119" s="53">
        <f t="array" ref="L119">IF(SUMPRODUCT(($A119=$Y$5:$Y$43)*(L$100=YEAR($F$5:$F$43)))&gt;=1,SUMPRODUCT(($A119=$A$61:$A$95)*$I$61:$I$95)*((SUMPRODUCT((L$100&gt;=YEAR($F$5:$F$43))*$G$5:$G$43)/$K$58)*100%)*(SUMPRODUCT(($A119=$Y$5:$Y$43)*(L$100&gt;=YEAR($F$5:$F$43))*$G$5:$G$43)/SUMPRODUCT((L$100&gt;=YEAR($F$5:$F$43))*$G$5:$G$43)),IF(K119&gt;0,K119/(1+lgh_equity!L$24),0))</f>
        <v>5.1902226502670691E-4</v>
      </c>
      <c r="M119" s="53">
        <f t="array" ref="M119">IF(SUMPRODUCT(($A119=$Y$5:$Y$43)*(M$100=YEAR($F$5:$F$43)))&gt;=1,SUMPRODUCT(($A119=$A$61:$A$95)*$I$61:$I$95)*((SUMPRODUCT((M$100&gt;=YEAR($F$5:$F$43))*$G$5:$G$43)/$K$58)*100%)*(SUMPRODUCT(($A119=$Y$5:$Y$43)*(M$100&gt;=YEAR($F$5:$F$43))*$G$5:$G$43)/SUMPRODUCT((M$100&gt;=YEAR($F$5:$F$43))*$G$5:$G$43)),IF(L119&gt;0,L119/(1+lgh_equity!M$24),0))</f>
        <v>5.1902226502670691E-4</v>
      </c>
      <c r="N119" s="53">
        <f t="array" ref="N119">IF(SUMPRODUCT(($A119=$Y$5:$Y$43)*(N$100=YEAR($F$5:$F$43)))&gt;=1,SUMPRODUCT(($A119=$A$61:$A$95)*$I$61:$I$95)*((SUMPRODUCT((N$100&gt;=YEAR($F$5:$F$43))*$G$5:$G$43)/$K$58)*100%)*(SUMPRODUCT(($A119=$Y$5:$Y$43)*(N$100&gt;=YEAR($F$5:$F$43))*$G$5:$G$43)/SUMPRODUCT((N$100&gt;=YEAR($F$5:$F$43))*$G$5:$G$43)),IF(M119&gt;0,M119/(1+lgh_equity!N$24),0))</f>
        <v>5.1902226502670691E-4</v>
      </c>
      <c r="O119" s="232"/>
      <c r="P119" s="232"/>
      <c r="Q119" s="232"/>
      <c r="R119" s="232"/>
      <c r="S119" s="232"/>
      <c r="T119" s="232"/>
      <c r="U119" s="232"/>
      <c r="V119" s="43"/>
      <c r="W119" s="43"/>
      <c r="X119" s="43"/>
      <c r="Y119" s="43"/>
    </row>
    <row r="120" spans="1:25">
      <c r="A120" s="43" t="str">
        <f t="shared" si="19"/>
        <v>PE019 Todd &amp; Stephanie Routh</v>
      </c>
      <c r="B120" s="79">
        <v>1.9801980198019801E-4</v>
      </c>
      <c r="C120" s="121">
        <f t="array" ref="C120">IF(SUMPRODUCT(($A120=$Y$5:$Y$43)*(C$100=YEAR($F$5:$F$43)))&gt;=1,SUMPRODUCT(($A120=$A$61:$A$95)*$I$61:$I$95)*((SUMPRODUCT((C$100&gt;=YEAR($F$5:$F$43))*$G$5:$G$43)/$K$58)*100%)*(SUMPRODUCT(($A120=$Y$5:$Y$43)*(C$100&gt;=YEAR($F$5:$F$43))*$G$5:$G$43)/SUMPRODUCT((C$100&gt;=YEAR($F$5:$F$43))*$G$5:$G$43)),IF(B120&gt;0,B120/(1+lgh_equity!C$24),0))</f>
        <v>1.9801980198019801E-4</v>
      </c>
      <c r="D120" s="121">
        <f t="array" ref="D120">IF(SUMPRODUCT(($A120=$Y$5:$Y$43)*(D$100=YEAR($F$5:$F$43)))&gt;=1,SUMPRODUCT(($A120=$A$61:$A$95)*$I$61:$I$95)*((SUMPRODUCT((D$100&gt;=YEAR($F$5:$F$43))*$G$5:$G$43)/$K$58)*100%)*(SUMPRODUCT(($A120=$Y$5:$Y$43)*(D$100&gt;=YEAR($F$5:$F$43))*$G$5:$G$43)/SUMPRODUCT((D$100&gt;=YEAR($F$5:$F$43))*$G$5:$G$43)),IF(C120&gt;0,C120/(1+lgh_equity!D$24),0))</f>
        <v>1.6021019577685923E-4</v>
      </c>
      <c r="E120" s="121">
        <f t="array" ref="E120">IF(SUMPRODUCT(($A120=$Y$5:$Y$43)*(E$100=YEAR($F$5:$F$43)))&gt;=1,SUMPRODUCT(($A120=$A$61:$A$95)*$I$61:$I$95)*((SUMPRODUCT((E$100&gt;=YEAR($F$5:$F$43))*$G$5:$G$43)/$K$58)*100%)*(SUMPRODUCT(($A120=$Y$5:$Y$43)*(E$100&gt;=YEAR($F$5:$F$43))*$G$5:$G$43)/SUMPRODUCT((E$100&gt;=YEAR($F$5:$F$43))*$G$5:$G$43)),IF(D120&gt;0,D120/(1+lgh_equity!E$24),0))</f>
        <v>1.59699158469756E-4</v>
      </c>
      <c r="F120" s="121">
        <f t="array" ref="F120">IF(SUMPRODUCT(($A120=$Y$5:$Y$43)*(F$100=YEAR($F$5:$F$43)))&gt;=1,SUMPRODUCT(($A120=$A$61:$A$95)*$I$61:$I$95)*((SUMPRODUCT((F$100&gt;=YEAR($F$5:$F$43))*$G$5:$G$43)/$K$58)*100%)*(SUMPRODUCT(($A120=$Y$5:$Y$43)*(F$100&gt;=YEAR($F$5:$F$43))*$G$5:$G$43)/SUMPRODUCT((F$100&gt;=YEAR($F$5:$F$43))*$G$5:$G$43)),IF(E120&gt;0,E120/(1+lgh_equity!F$24),0))</f>
        <v>1.59699158469756E-4</v>
      </c>
      <c r="G120" s="121">
        <f t="array" ref="G120">IF(SUMPRODUCT(($A120=$Y$5:$Y$43)*(G$100=YEAR($F$5:$F$43)))&gt;=1,SUMPRODUCT(($A120=$A$61:$A$95)*$I$61:$I$95)*((SUMPRODUCT((G$100&gt;=YEAR($F$5:$F$43))*$G$5:$G$43)/$K$58)*100%)*(SUMPRODUCT(($A120=$Y$5:$Y$43)*(G$100&gt;=YEAR($F$5:$F$43))*$G$5:$G$43)/SUMPRODUCT((G$100&gt;=YEAR($F$5:$F$43))*$G$5:$G$43)),IF(F120&gt;0,F120/(1+lgh_equity!G$24),0))</f>
        <v>1.59699158469756E-4</v>
      </c>
      <c r="H120" s="121">
        <f t="array" ref="H120">IF(SUMPRODUCT(($A120=$Y$5:$Y$43)*(H$100=YEAR($F$5:$F$43)))&gt;=1,SUMPRODUCT(($A120=$A$61:$A$95)*$I$61:$I$95)*((SUMPRODUCT((H$100&gt;=YEAR($F$5:$F$43))*$G$5:$G$43)/$K$58)*100%)*(SUMPRODUCT(($A120=$Y$5:$Y$43)*(H$100&gt;=YEAR($F$5:$F$43))*$G$5:$G$43)/SUMPRODUCT((H$100&gt;=YEAR($F$5:$F$43))*$G$5:$G$43)),IF(G120&gt;0,G120/(1+lgh_equity!H$24),0))</f>
        <v>1.59699158469756E-4</v>
      </c>
      <c r="I120" s="53">
        <f t="array" ref="I120">IF(SUMPRODUCT(($A120=$Y$5:$Y$43)*(I$100=YEAR($F$5:$F$43)))&gt;=1,SUMPRODUCT(($A120=$A$61:$A$95)*$I$61:$I$95)*((SUMPRODUCT((I$100&gt;=YEAR($F$5:$F$43))*$G$5:$G$43)/$K$58)*100%)*(SUMPRODUCT(($A120=$Y$5:$Y$43)*(I$100&gt;=YEAR($F$5:$F$43))*$G$5:$G$43)/SUMPRODUCT((I$100&gt;=YEAR($F$5:$F$43))*$G$5:$G$43)),IF(H120&gt;0,H120/(1+lgh_equity!I$24),0))</f>
        <v>1.59699158469756E-4</v>
      </c>
      <c r="J120" s="53">
        <f t="array" ref="J120">IF(SUMPRODUCT(($A120=$Y$5:$Y$43)*(J$100=YEAR($F$5:$F$43)))&gt;=1,SUMPRODUCT(($A120=$A$61:$A$95)*$I$61:$I$95)*((SUMPRODUCT((J$100&gt;=YEAR($F$5:$F$43))*$G$5:$G$43)/$K$58)*100%)*(SUMPRODUCT(($A120=$Y$5:$Y$43)*(J$100&gt;=YEAR($F$5:$F$43))*$G$5:$G$43)/SUMPRODUCT((J$100&gt;=YEAR($F$5:$F$43))*$G$5:$G$43)),IF(I120&gt;0,I120/(1+lgh_equity!J$24),0))</f>
        <v>1.59699158469756E-4</v>
      </c>
      <c r="K120" s="53">
        <f t="array" ref="K120">IF(SUMPRODUCT(($A120=$Y$5:$Y$43)*(K$100=YEAR($F$5:$F$43)))&gt;=1,SUMPRODUCT(($A120=$A$61:$A$95)*$I$61:$I$95)*((SUMPRODUCT((K$100&gt;=YEAR($F$5:$F$43))*$G$5:$G$43)/$K$58)*100%)*(SUMPRODUCT(($A120=$Y$5:$Y$43)*(K$100&gt;=YEAR($F$5:$F$43))*$G$5:$G$43)/SUMPRODUCT((K$100&gt;=YEAR($F$5:$F$43))*$G$5:$G$43)),IF(J120&gt;0,J120/(1+lgh_equity!K$24),0))</f>
        <v>1.59699158469756E-4</v>
      </c>
      <c r="L120" s="53">
        <f t="array" ref="L120">IF(SUMPRODUCT(($A120=$Y$5:$Y$43)*(L$100=YEAR($F$5:$F$43)))&gt;=1,SUMPRODUCT(($A120=$A$61:$A$95)*$I$61:$I$95)*((SUMPRODUCT((L$100&gt;=YEAR($F$5:$F$43))*$G$5:$G$43)/$K$58)*100%)*(SUMPRODUCT(($A120=$Y$5:$Y$43)*(L$100&gt;=YEAR($F$5:$F$43))*$G$5:$G$43)/SUMPRODUCT((L$100&gt;=YEAR($F$5:$F$43))*$G$5:$G$43)),IF(K120&gt;0,K120/(1+lgh_equity!L$24),0))</f>
        <v>1.59699158469756E-4</v>
      </c>
      <c r="M120" s="53">
        <f t="array" ref="M120">IF(SUMPRODUCT(($A120=$Y$5:$Y$43)*(M$100=YEAR($F$5:$F$43)))&gt;=1,SUMPRODUCT(($A120=$A$61:$A$95)*$I$61:$I$95)*((SUMPRODUCT((M$100&gt;=YEAR($F$5:$F$43))*$G$5:$G$43)/$K$58)*100%)*(SUMPRODUCT(($A120=$Y$5:$Y$43)*(M$100&gt;=YEAR($F$5:$F$43))*$G$5:$G$43)/SUMPRODUCT((M$100&gt;=YEAR($F$5:$F$43))*$G$5:$G$43)),IF(L120&gt;0,L120/(1+lgh_equity!M$24),0))</f>
        <v>1.59699158469756E-4</v>
      </c>
      <c r="N120" s="53">
        <f t="array" ref="N120">IF(SUMPRODUCT(($A120=$Y$5:$Y$43)*(N$100=YEAR($F$5:$F$43)))&gt;=1,SUMPRODUCT(($A120=$A$61:$A$95)*$I$61:$I$95)*((SUMPRODUCT((N$100&gt;=YEAR($F$5:$F$43))*$G$5:$G$43)/$K$58)*100%)*(SUMPRODUCT(($A120=$Y$5:$Y$43)*(N$100&gt;=YEAR($F$5:$F$43))*$G$5:$G$43)/SUMPRODUCT((N$100&gt;=YEAR($F$5:$F$43))*$G$5:$G$43)),IF(M120&gt;0,M120/(1+lgh_equity!N$24),0))</f>
        <v>1.59699158469756E-4</v>
      </c>
      <c r="O120" s="232"/>
      <c r="P120" s="232"/>
      <c r="Q120" s="232"/>
      <c r="R120" s="232"/>
      <c r="S120" s="232"/>
      <c r="T120" s="232"/>
      <c r="U120" s="232"/>
      <c r="V120" s="43"/>
      <c r="W120" s="43"/>
      <c r="X120" s="43"/>
      <c r="Y120" s="43"/>
    </row>
    <row r="121" spans="1:25">
      <c r="A121" s="43" t="str">
        <f t="shared" si="19"/>
        <v>PE020 Todd &amp; Stephanie Routh</v>
      </c>
      <c r="B121" s="79">
        <v>1.138613861386139E-3</v>
      </c>
      <c r="C121" s="121">
        <f t="array" ref="C121">IF(SUMPRODUCT(($A121=$Y$5:$Y$43)*(C$100=YEAR($F$5:$F$43)))&gt;=1,SUMPRODUCT(($A121=$A$61:$A$95)*$I$61:$I$95)*((SUMPRODUCT((C$100&gt;=YEAR($F$5:$F$43))*$G$5:$G$43)/$K$58)*100%)*(SUMPRODUCT(($A121=$Y$5:$Y$43)*(C$100&gt;=YEAR($F$5:$F$43))*$G$5:$G$43)/SUMPRODUCT((C$100&gt;=YEAR($F$5:$F$43))*$G$5:$G$43)),IF(B121&gt;0,B121/(1+lgh_equity!C$24),0))</f>
        <v>1.138613861386139E-3</v>
      </c>
      <c r="D121" s="121">
        <f t="array" ref="D121">IF(SUMPRODUCT(($A121=$Y$5:$Y$43)*(D$100=YEAR($F$5:$F$43)))&gt;=1,SUMPRODUCT(($A121=$A$61:$A$95)*$I$61:$I$95)*((SUMPRODUCT((D$100&gt;=YEAR($F$5:$F$43))*$G$5:$G$43)/$K$58)*100%)*(SUMPRODUCT(($A121=$Y$5:$Y$43)*(D$100&gt;=YEAR($F$5:$F$43))*$G$5:$G$43)/SUMPRODUCT((D$100&gt;=YEAR($F$5:$F$43))*$G$5:$G$43)),IF(C121&gt;0,C121/(1+lgh_equity!D$24),0))</f>
        <v>9.212086257169409E-4</v>
      </c>
      <c r="E121" s="121">
        <f t="array" ref="E121">IF(SUMPRODUCT(($A121=$Y$5:$Y$43)*(E$100=YEAR($F$5:$F$43)))&gt;=1,SUMPRODUCT(($A121=$A$61:$A$95)*$I$61:$I$95)*((SUMPRODUCT((E$100&gt;=YEAR($F$5:$F$43))*$G$5:$G$43)/$K$58)*100%)*(SUMPRODUCT(($A121=$Y$5:$Y$43)*(E$100&gt;=YEAR($F$5:$F$43))*$G$5:$G$43)/SUMPRODUCT((E$100&gt;=YEAR($F$5:$F$43))*$G$5:$G$43)),IF(D121&gt;0,D121/(1+lgh_equity!E$24),0))</f>
        <v>9.1827016120109729E-4</v>
      </c>
      <c r="F121" s="121">
        <f t="array" ref="F121">IF(SUMPRODUCT(($A121=$Y$5:$Y$43)*(F$100=YEAR($F$5:$F$43)))&gt;=1,SUMPRODUCT(($A121=$A$61:$A$95)*$I$61:$I$95)*((SUMPRODUCT((F$100&gt;=YEAR($F$5:$F$43))*$G$5:$G$43)/$K$58)*100%)*(SUMPRODUCT(($A121=$Y$5:$Y$43)*(F$100&gt;=YEAR($F$5:$F$43))*$G$5:$G$43)/SUMPRODUCT((F$100&gt;=YEAR($F$5:$F$43))*$G$5:$G$43)),IF(E121&gt;0,E121/(1+lgh_equity!F$24),0))</f>
        <v>9.1827016120109729E-4</v>
      </c>
      <c r="G121" s="121">
        <f t="array" ref="G121">IF(SUMPRODUCT(($A121=$Y$5:$Y$43)*(G$100=YEAR($F$5:$F$43)))&gt;=1,SUMPRODUCT(($A121=$A$61:$A$95)*$I$61:$I$95)*((SUMPRODUCT((G$100&gt;=YEAR($F$5:$F$43))*$G$5:$G$43)/$K$58)*100%)*(SUMPRODUCT(($A121=$Y$5:$Y$43)*(G$100&gt;=YEAR($F$5:$F$43))*$G$5:$G$43)/SUMPRODUCT((G$100&gt;=YEAR($F$5:$F$43))*$G$5:$G$43)),IF(F121&gt;0,F121/(1+lgh_equity!G$24),0))</f>
        <v>9.1827016120109729E-4</v>
      </c>
      <c r="H121" s="121">
        <f t="array" ref="H121">IF(SUMPRODUCT(($A121=$Y$5:$Y$43)*(H$100=YEAR($F$5:$F$43)))&gt;=1,SUMPRODUCT(($A121=$A$61:$A$95)*$I$61:$I$95)*((SUMPRODUCT((H$100&gt;=YEAR($F$5:$F$43))*$G$5:$G$43)/$K$58)*100%)*(SUMPRODUCT(($A121=$Y$5:$Y$43)*(H$100&gt;=YEAR($F$5:$F$43))*$G$5:$G$43)/SUMPRODUCT((H$100&gt;=YEAR($F$5:$F$43))*$G$5:$G$43)),IF(G121&gt;0,G121/(1+lgh_equity!H$24),0))</f>
        <v>9.1827016120109729E-4</v>
      </c>
      <c r="I121" s="53">
        <f t="array" ref="I121">IF(SUMPRODUCT(($A121=$Y$5:$Y$43)*(I$100=YEAR($F$5:$F$43)))&gt;=1,SUMPRODUCT(($A121=$A$61:$A$95)*$I$61:$I$95)*((SUMPRODUCT((I$100&gt;=YEAR($F$5:$F$43))*$G$5:$G$43)/$K$58)*100%)*(SUMPRODUCT(($A121=$Y$5:$Y$43)*(I$100&gt;=YEAR($F$5:$F$43))*$G$5:$G$43)/SUMPRODUCT((I$100&gt;=YEAR($F$5:$F$43))*$G$5:$G$43)),IF(H121&gt;0,H121/(1+lgh_equity!I$24),0))</f>
        <v>9.1827016120109729E-4</v>
      </c>
      <c r="J121" s="53">
        <f t="array" ref="J121">IF(SUMPRODUCT(($A121=$Y$5:$Y$43)*(J$100=YEAR($F$5:$F$43)))&gt;=1,SUMPRODUCT(($A121=$A$61:$A$95)*$I$61:$I$95)*((SUMPRODUCT((J$100&gt;=YEAR($F$5:$F$43))*$G$5:$G$43)/$K$58)*100%)*(SUMPRODUCT(($A121=$Y$5:$Y$43)*(J$100&gt;=YEAR($F$5:$F$43))*$G$5:$G$43)/SUMPRODUCT((J$100&gt;=YEAR($F$5:$F$43))*$G$5:$G$43)),IF(I121&gt;0,I121/(1+lgh_equity!J$24),0))</f>
        <v>9.1827016120109729E-4</v>
      </c>
      <c r="K121" s="53">
        <f t="array" ref="K121">IF(SUMPRODUCT(($A121=$Y$5:$Y$43)*(K$100=YEAR($F$5:$F$43)))&gt;=1,SUMPRODUCT(($A121=$A$61:$A$95)*$I$61:$I$95)*((SUMPRODUCT((K$100&gt;=YEAR($F$5:$F$43))*$G$5:$G$43)/$K$58)*100%)*(SUMPRODUCT(($A121=$Y$5:$Y$43)*(K$100&gt;=YEAR($F$5:$F$43))*$G$5:$G$43)/SUMPRODUCT((K$100&gt;=YEAR($F$5:$F$43))*$G$5:$G$43)),IF(J121&gt;0,J121/(1+lgh_equity!K$24),0))</f>
        <v>9.1827016120109729E-4</v>
      </c>
      <c r="L121" s="53">
        <f t="array" ref="L121">IF(SUMPRODUCT(($A121=$Y$5:$Y$43)*(L$100=YEAR($F$5:$F$43)))&gt;=1,SUMPRODUCT(($A121=$A$61:$A$95)*$I$61:$I$95)*((SUMPRODUCT((L$100&gt;=YEAR($F$5:$F$43))*$G$5:$G$43)/$K$58)*100%)*(SUMPRODUCT(($A121=$Y$5:$Y$43)*(L$100&gt;=YEAR($F$5:$F$43))*$G$5:$G$43)/SUMPRODUCT((L$100&gt;=YEAR($F$5:$F$43))*$G$5:$G$43)),IF(K121&gt;0,K121/(1+lgh_equity!L$24),0))</f>
        <v>9.1827016120109729E-4</v>
      </c>
      <c r="M121" s="53">
        <f t="array" ref="M121">IF(SUMPRODUCT(($A121=$Y$5:$Y$43)*(M$100=YEAR($F$5:$F$43)))&gt;=1,SUMPRODUCT(($A121=$A$61:$A$95)*$I$61:$I$95)*((SUMPRODUCT((M$100&gt;=YEAR($F$5:$F$43))*$G$5:$G$43)/$K$58)*100%)*(SUMPRODUCT(($A121=$Y$5:$Y$43)*(M$100&gt;=YEAR($F$5:$F$43))*$G$5:$G$43)/SUMPRODUCT((M$100&gt;=YEAR($F$5:$F$43))*$G$5:$G$43)),IF(L121&gt;0,L121/(1+lgh_equity!M$24),0))</f>
        <v>9.1827016120109729E-4</v>
      </c>
      <c r="N121" s="53">
        <f t="array" ref="N121">IF(SUMPRODUCT(($A121=$Y$5:$Y$43)*(N$100=YEAR($F$5:$F$43)))&gt;=1,SUMPRODUCT(($A121=$A$61:$A$95)*$I$61:$I$95)*((SUMPRODUCT((N$100&gt;=YEAR($F$5:$F$43))*$G$5:$G$43)/$K$58)*100%)*(SUMPRODUCT(($A121=$Y$5:$Y$43)*(N$100&gt;=YEAR($F$5:$F$43))*$G$5:$G$43)/SUMPRODUCT((N$100&gt;=YEAR($F$5:$F$43))*$G$5:$G$43)),IF(M121&gt;0,M121/(1+lgh_equity!N$24),0))</f>
        <v>9.1827016120109729E-4</v>
      </c>
      <c r="O121" s="232"/>
      <c r="P121" s="232"/>
      <c r="Q121" s="232"/>
      <c r="R121" s="232"/>
      <c r="S121" s="232"/>
      <c r="T121" s="232"/>
      <c r="U121" s="232"/>
      <c r="V121" s="43"/>
      <c r="W121" s="43"/>
      <c r="X121" s="43"/>
      <c r="Y121" s="43"/>
    </row>
    <row r="122" spans="1:25">
      <c r="A122" s="43" t="str">
        <f t="shared" si="19"/>
        <v>PE021 Todd &amp; Stephanie Routh</v>
      </c>
      <c r="B122" s="79">
        <v>1.9801980198019798E-3</v>
      </c>
      <c r="C122" s="121">
        <f t="array" ref="C122">IF(SUMPRODUCT(($A122=$Y$5:$Y$43)*(C$100=YEAR($F$5:$F$43)))&gt;=1,SUMPRODUCT(($A122=$A$61:$A$95)*$I$61:$I$95)*((SUMPRODUCT((C$100&gt;=YEAR($F$5:$F$43))*$G$5:$G$43)/$K$58)*100%)*(SUMPRODUCT(($A122=$Y$5:$Y$43)*(C$100&gt;=YEAR($F$5:$F$43))*$G$5:$G$43)/SUMPRODUCT((C$100&gt;=YEAR($F$5:$F$43))*$G$5:$G$43)),IF(B122&gt;0,B122/(1+lgh_equity!C$24),0))</f>
        <v>1.9801980198019798E-3</v>
      </c>
      <c r="D122" s="121">
        <f t="array" ref="D122">IF(SUMPRODUCT(($A122=$Y$5:$Y$43)*(D$100=YEAR($F$5:$F$43)))&gt;=1,SUMPRODUCT(($A122=$A$61:$A$95)*$I$61:$I$95)*((SUMPRODUCT((D$100&gt;=YEAR($F$5:$F$43))*$G$5:$G$43)/$K$58)*100%)*(SUMPRODUCT(($A122=$Y$5:$Y$43)*(D$100&gt;=YEAR($F$5:$F$43))*$G$5:$G$43)/SUMPRODUCT((D$100&gt;=YEAR($F$5:$F$43))*$G$5:$G$43)),IF(C122&gt;0,C122/(1+lgh_equity!D$24),0))</f>
        <v>1.6021019577685922E-3</v>
      </c>
      <c r="E122" s="121">
        <f t="array" ref="E122">IF(SUMPRODUCT(($A122=$Y$5:$Y$43)*(E$100=YEAR($F$5:$F$43)))&gt;=1,SUMPRODUCT(($A122=$A$61:$A$95)*$I$61:$I$95)*((SUMPRODUCT((E$100&gt;=YEAR($F$5:$F$43))*$G$5:$G$43)/$K$58)*100%)*(SUMPRODUCT(($A122=$Y$5:$Y$43)*(E$100&gt;=YEAR($F$5:$F$43))*$G$5:$G$43)/SUMPRODUCT((E$100&gt;=YEAR($F$5:$F$43))*$G$5:$G$43)),IF(D122&gt;0,D122/(1+lgh_equity!E$24),0))</f>
        <v>1.5969915846975598E-3</v>
      </c>
      <c r="F122" s="121">
        <f t="array" ref="F122">IF(SUMPRODUCT(($A122=$Y$5:$Y$43)*(F$100=YEAR($F$5:$F$43)))&gt;=1,SUMPRODUCT(($A122=$A$61:$A$95)*$I$61:$I$95)*((SUMPRODUCT((F$100&gt;=YEAR($F$5:$F$43))*$G$5:$G$43)/$K$58)*100%)*(SUMPRODUCT(($A122=$Y$5:$Y$43)*(F$100&gt;=YEAR($F$5:$F$43))*$G$5:$G$43)/SUMPRODUCT((F$100&gt;=YEAR($F$5:$F$43))*$G$5:$G$43)),IF(E122&gt;0,E122/(1+lgh_equity!F$24),0))</f>
        <v>1.5969915846975598E-3</v>
      </c>
      <c r="G122" s="121">
        <f t="array" ref="G122">IF(SUMPRODUCT(($A122=$Y$5:$Y$43)*(G$100=YEAR($F$5:$F$43)))&gt;=1,SUMPRODUCT(($A122=$A$61:$A$95)*$I$61:$I$95)*((SUMPRODUCT((G$100&gt;=YEAR($F$5:$F$43))*$G$5:$G$43)/$K$58)*100%)*(SUMPRODUCT(($A122=$Y$5:$Y$43)*(G$100&gt;=YEAR($F$5:$F$43))*$G$5:$G$43)/SUMPRODUCT((G$100&gt;=YEAR($F$5:$F$43))*$G$5:$G$43)),IF(F122&gt;0,F122/(1+lgh_equity!G$24),0))</f>
        <v>1.5969915846975598E-3</v>
      </c>
      <c r="H122" s="121">
        <f t="array" ref="H122">IF(SUMPRODUCT(($A122=$Y$5:$Y$43)*(H$100=YEAR($F$5:$F$43)))&gt;=1,SUMPRODUCT(($A122=$A$61:$A$95)*$I$61:$I$95)*((SUMPRODUCT((H$100&gt;=YEAR($F$5:$F$43))*$G$5:$G$43)/$K$58)*100%)*(SUMPRODUCT(($A122=$Y$5:$Y$43)*(H$100&gt;=YEAR($F$5:$F$43))*$G$5:$G$43)/SUMPRODUCT((H$100&gt;=YEAR($F$5:$F$43))*$G$5:$G$43)),IF(G122&gt;0,G122/(1+lgh_equity!H$24),0))</f>
        <v>1.5969915846975598E-3</v>
      </c>
      <c r="I122" s="53">
        <f t="array" ref="I122">IF(SUMPRODUCT(($A122=$Y$5:$Y$43)*(I$100=YEAR($F$5:$F$43)))&gt;=1,SUMPRODUCT(($A122=$A$61:$A$95)*$I$61:$I$95)*((SUMPRODUCT((I$100&gt;=YEAR($F$5:$F$43))*$G$5:$G$43)/$K$58)*100%)*(SUMPRODUCT(($A122=$Y$5:$Y$43)*(I$100&gt;=YEAR($F$5:$F$43))*$G$5:$G$43)/SUMPRODUCT((I$100&gt;=YEAR($F$5:$F$43))*$G$5:$G$43)),IF(H122&gt;0,H122/(1+lgh_equity!I$24),0))</f>
        <v>1.5969915846975598E-3</v>
      </c>
      <c r="J122" s="53">
        <f t="array" ref="J122">IF(SUMPRODUCT(($A122=$Y$5:$Y$43)*(J$100=YEAR($F$5:$F$43)))&gt;=1,SUMPRODUCT(($A122=$A$61:$A$95)*$I$61:$I$95)*((SUMPRODUCT((J$100&gt;=YEAR($F$5:$F$43))*$G$5:$G$43)/$K$58)*100%)*(SUMPRODUCT(($A122=$Y$5:$Y$43)*(J$100&gt;=YEAR($F$5:$F$43))*$G$5:$G$43)/SUMPRODUCT((J$100&gt;=YEAR($F$5:$F$43))*$G$5:$G$43)),IF(I122&gt;0,I122/(1+lgh_equity!J$24),0))</f>
        <v>1.5969915846975598E-3</v>
      </c>
      <c r="K122" s="53">
        <f t="array" ref="K122">IF(SUMPRODUCT(($A122=$Y$5:$Y$43)*(K$100=YEAR($F$5:$F$43)))&gt;=1,SUMPRODUCT(($A122=$A$61:$A$95)*$I$61:$I$95)*((SUMPRODUCT((K$100&gt;=YEAR($F$5:$F$43))*$G$5:$G$43)/$K$58)*100%)*(SUMPRODUCT(($A122=$Y$5:$Y$43)*(K$100&gt;=YEAR($F$5:$F$43))*$G$5:$G$43)/SUMPRODUCT((K$100&gt;=YEAR($F$5:$F$43))*$G$5:$G$43)),IF(J122&gt;0,J122/(1+lgh_equity!K$24),0))</f>
        <v>1.5969915846975598E-3</v>
      </c>
      <c r="L122" s="53">
        <f t="array" ref="L122">IF(SUMPRODUCT(($A122=$Y$5:$Y$43)*(L$100=YEAR($F$5:$F$43)))&gt;=1,SUMPRODUCT(($A122=$A$61:$A$95)*$I$61:$I$95)*((SUMPRODUCT((L$100&gt;=YEAR($F$5:$F$43))*$G$5:$G$43)/$K$58)*100%)*(SUMPRODUCT(($A122=$Y$5:$Y$43)*(L$100&gt;=YEAR($F$5:$F$43))*$G$5:$G$43)/SUMPRODUCT((L$100&gt;=YEAR($F$5:$F$43))*$G$5:$G$43)),IF(K122&gt;0,K122/(1+lgh_equity!L$24),0))</f>
        <v>1.5969915846975598E-3</v>
      </c>
      <c r="M122" s="53">
        <f t="array" ref="M122">IF(SUMPRODUCT(($A122=$Y$5:$Y$43)*(M$100=YEAR($F$5:$F$43)))&gt;=1,SUMPRODUCT(($A122=$A$61:$A$95)*$I$61:$I$95)*((SUMPRODUCT((M$100&gt;=YEAR($F$5:$F$43))*$G$5:$G$43)/$K$58)*100%)*(SUMPRODUCT(($A122=$Y$5:$Y$43)*(M$100&gt;=YEAR($F$5:$F$43))*$G$5:$G$43)/SUMPRODUCT((M$100&gt;=YEAR($F$5:$F$43))*$G$5:$G$43)),IF(L122&gt;0,L122/(1+lgh_equity!M$24),0))</f>
        <v>1.5969915846975598E-3</v>
      </c>
      <c r="N122" s="53">
        <f t="array" ref="N122">IF(SUMPRODUCT(($A122=$Y$5:$Y$43)*(N$100=YEAR($F$5:$F$43)))&gt;=1,SUMPRODUCT(($A122=$A$61:$A$95)*$I$61:$I$95)*((SUMPRODUCT((N$100&gt;=YEAR($F$5:$F$43))*$G$5:$G$43)/$K$58)*100%)*(SUMPRODUCT(($A122=$Y$5:$Y$43)*(N$100&gt;=YEAR($F$5:$F$43))*$G$5:$G$43)/SUMPRODUCT((N$100&gt;=YEAR($F$5:$F$43))*$G$5:$G$43)),IF(M122&gt;0,M122/(1+lgh_equity!N$24),0))</f>
        <v>1.5969915846975598E-3</v>
      </c>
      <c r="O122" s="232"/>
      <c r="P122" s="232"/>
      <c r="Q122" s="232"/>
      <c r="R122" s="232"/>
      <c r="S122" s="232"/>
      <c r="T122" s="232"/>
      <c r="U122" s="232"/>
      <c r="V122" s="43"/>
      <c r="W122" s="43"/>
      <c r="X122" s="43"/>
      <c r="Y122" s="43"/>
    </row>
    <row r="123" spans="1:25">
      <c r="A123" s="43" t="str">
        <f t="shared" si="19"/>
        <v>PE022 Huston Street</v>
      </c>
      <c r="B123" s="79">
        <v>1.9801980198019798E-3</v>
      </c>
      <c r="C123" s="121">
        <f t="array" ref="C123">IF(SUMPRODUCT(($A123=$Y$5:$Y$43)*(C$100=YEAR($F$5:$F$43)))&gt;=1,SUMPRODUCT(($A123=$A$61:$A$95)*$I$61:$I$95)*((SUMPRODUCT((C$100&gt;=YEAR($F$5:$F$43))*$G$5:$G$43)/$K$58)*100%)*(SUMPRODUCT(($A123=$Y$5:$Y$43)*(C$100&gt;=YEAR($F$5:$F$43))*$G$5:$G$43)/SUMPRODUCT((C$100&gt;=YEAR($F$5:$F$43))*$G$5:$G$43)),IF(B123&gt;0,B123/(1+lgh_equity!C$24),0))</f>
        <v>1.9801980198019798E-3</v>
      </c>
      <c r="D123" s="121">
        <f t="array" ref="D123">IF(SUMPRODUCT(($A123=$Y$5:$Y$43)*(D$100=YEAR($F$5:$F$43)))&gt;=1,SUMPRODUCT(($A123=$A$61:$A$95)*$I$61:$I$95)*((SUMPRODUCT((D$100&gt;=YEAR($F$5:$F$43))*$G$5:$G$43)/$K$58)*100%)*(SUMPRODUCT(($A123=$Y$5:$Y$43)*(D$100&gt;=YEAR($F$5:$F$43))*$G$5:$G$43)/SUMPRODUCT((D$100&gt;=YEAR($F$5:$F$43))*$G$5:$G$43)),IF(C123&gt;0,C123/(1+lgh_equity!D$24),0))</f>
        <v>1.6021019577685922E-3</v>
      </c>
      <c r="E123" s="121">
        <f t="array" ref="E123">IF(SUMPRODUCT(($A123=$Y$5:$Y$43)*(E$100=YEAR($F$5:$F$43)))&gt;=1,SUMPRODUCT(($A123=$A$61:$A$95)*$I$61:$I$95)*((SUMPRODUCT((E$100&gt;=YEAR($F$5:$F$43))*$G$5:$G$43)/$K$58)*100%)*(SUMPRODUCT(($A123=$Y$5:$Y$43)*(E$100&gt;=YEAR($F$5:$F$43))*$G$5:$G$43)/SUMPRODUCT((E$100&gt;=YEAR($F$5:$F$43))*$G$5:$G$43)),IF(D123&gt;0,D123/(1+lgh_equity!E$24),0))</f>
        <v>1.5969915846975598E-3</v>
      </c>
      <c r="F123" s="121">
        <f t="array" ref="F123">IF(SUMPRODUCT(($A123=$Y$5:$Y$43)*(F$100=YEAR($F$5:$F$43)))&gt;=1,SUMPRODUCT(($A123=$A$61:$A$95)*$I$61:$I$95)*((SUMPRODUCT((F$100&gt;=YEAR($F$5:$F$43))*$G$5:$G$43)/$K$58)*100%)*(SUMPRODUCT(($A123=$Y$5:$Y$43)*(F$100&gt;=YEAR($F$5:$F$43))*$G$5:$G$43)/SUMPRODUCT((F$100&gt;=YEAR($F$5:$F$43))*$G$5:$G$43)),IF(E123&gt;0,E123/(1+lgh_equity!F$24),0))</f>
        <v>1.5969915846975598E-3</v>
      </c>
      <c r="G123" s="121">
        <f t="array" ref="G123">IF(SUMPRODUCT(($A123=$Y$5:$Y$43)*(G$100=YEAR($F$5:$F$43)))&gt;=1,SUMPRODUCT(($A123=$A$61:$A$95)*$I$61:$I$95)*((SUMPRODUCT((G$100&gt;=YEAR($F$5:$F$43))*$G$5:$G$43)/$K$58)*100%)*(SUMPRODUCT(($A123=$Y$5:$Y$43)*(G$100&gt;=YEAR($F$5:$F$43))*$G$5:$G$43)/SUMPRODUCT((G$100&gt;=YEAR($F$5:$F$43))*$G$5:$G$43)),IF(F123&gt;0,F123/(1+lgh_equity!G$24),0))</f>
        <v>1.5969915846975598E-3</v>
      </c>
      <c r="H123" s="121">
        <f t="array" ref="H123">IF(SUMPRODUCT(($A123=$Y$5:$Y$43)*(H$100=YEAR($F$5:$F$43)))&gt;=1,SUMPRODUCT(($A123=$A$61:$A$95)*$I$61:$I$95)*((SUMPRODUCT((H$100&gt;=YEAR($F$5:$F$43))*$G$5:$G$43)/$K$58)*100%)*(SUMPRODUCT(($A123=$Y$5:$Y$43)*(H$100&gt;=YEAR($F$5:$F$43))*$G$5:$G$43)/SUMPRODUCT((H$100&gt;=YEAR($F$5:$F$43))*$G$5:$G$43)),IF(G123&gt;0,G123/(1+lgh_equity!H$24),0))</f>
        <v>1.5969915846975598E-3</v>
      </c>
      <c r="I123" s="53">
        <f t="array" ref="I123">IF(SUMPRODUCT(($A123=$Y$5:$Y$43)*(I$100=YEAR($F$5:$F$43)))&gt;=1,SUMPRODUCT(($A123=$A$61:$A$95)*$I$61:$I$95)*((SUMPRODUCT((I$100&gt;=YEAR($F$5:$F$43))*$G$5:$G$43)/$K$58)*100%)*(SUMPRODUCT(($A123=$Y$5:$Y$43)*(I$100&gt;=YEAR($F$5:$F$43))*$G$5:$G$43)/SUMPRODUCT((I$100&gt;=YEAR($F$5:$F$43))*$G$5:$G$43)),IF(H123&gt;0,H123/(1+lgh_equity!I$24),0))</f>
        <v>1.5969915846975598E-3</v>
      </c>
      <c r="J123" s="53">
        <f t="array" ref="J123">IF(SUMPRODUCT(($A123=$Y$5:$Y$43)*(J$100=YEAR($F$5:$F$43)))&gt;=1,SUMPRODUCT(($A123=$A$61:$A$95)*$I$61:$I$95)*((SUMPRODUCT((J$100&gt;=YEAR($F$5:$F$43))*$G$5:$G$43)/$K$58)*100%)*(SUMPRODUCT(($A123=$Y$5:$Y$43)*(J$100&gt;=YEAR($F$5:$F$43))*$G$5:$G$43)/SUMPRODUCT((J$100&gt;=YEAR($F$5:$F$43))*$G$5:$G$43)),IF(I123&gt;0,I123/(1+lgh_equity!J$24),0))</f>
        <v>1.5969915846975598E-3</v>
      </c>
      <c r="K123" s="53">
        <f t="array" ref="K123">IF(SUMPRODUCT(($A123=$Y$5:$Y$43)*(K$100=YEAR($F$5:$F$43)))&gt;=1,SUMPRODUCT(($A123=$A$61:$A$95)*$I$61:$I$95)*((SUMPRODUCT((K$100&gt;=YEAR($F$5:$F$43))*$G$5:$G$43)/$K$58)*100%)*(SUMPRODUCT(($A123=$Y$5:$Y$43)*(K$100&gt;=YEAR($F$5:$F$43))*$G$5:$G$43)/SUMPRODUCT((K$100&gt;=YEAR($F$5:$F$43))*$G$5:$G$43)),IF(J123&gt;0,J123/(1+lgh_equity!K$24),0))</f>
        <v>1.5969915846975598E-3</v>
      </c>
      <c r="L123" s="53">
        <f t="array" ref="L123">IF(SUMPRODUCT(($A123=$Y$5:$Y$43)*(L$100=YEAR($F$5:$F$43)))&gt;=1,SUMPRODUCT(($A123=$A$61:$A$95)*$I$61:$I$95)*((SUMPRODUCT((L$100&gt;=YEAR($F$5:$F$43))*$G$5:$G$43)/$K$58)*100%)*(SUMPRODUCT(($A123=$Y$5:$Y$43)*(L$100&gt;=YEAR($F$5:$F$43))*$G$5:$G$43)/SUMPRODUCT((L$100&gt;=YEAR($F$5:$F$43))*$G$5:$G$43)),IF(K123&gt;0,K123/(1+lgh_equity!L$24),0))</f>
        <v>1.5969915846975598E-3</v>
      </c>
      <c r="M123" s="53">
        <f t="array" ref="M123">IF(SUMPRODUCT(($A123=$Y$5:$Y$43)*(M$100=YEAR($F$5:$F$43)))&gt;=1,SUMPRODUCT(($A123=$A$61:$A$95)*$I$61:$I$95)*((SUMPRODUCT((M$100&gt;=YEAR($F$5:$F$43))*$G$5:$G$43)/$K$58)*100%)*(SUMPRODUCT(($A123=$Y$5:$Y$43)*(M$100&gt;=YEAR($F$5:$F$43))*$G$5:$G$43)/SUMPRODUCT((M$100&gt;=YEAR($F$5:$F$43))*$G$5:$G$43)),IF(L123&gt;0,L123/(1+lgh_equity!M$24),0))</f>
        <v>1.5969915846975598E-3</v>
      </c>
      <c r="N123" s="53">
        <f t="array" ref="N123">IF(SUMPRODUCT(($A123=$Y$5:$Y$43)*(N$100=YEAR($F$5:$F$43)))&gt;=1,SUMPRODUCT(($A123=$A$61:$A$95)*$I$61:$I$95)*((SUMPRODUCT((N$100&gt;=YEAR($F$5:$F$43))*$G$5:$G$43)/$K$58)*100%)*(SUMPRODUCT(($A123=$Y$5:$Y$43)*(N$100&gt;=YEAR($F$5:$F$43))*$G$5:$G$43)/SUMPRODUCT((N$100&gt;=YEAR($F$5:$F$43))*$G$5:$G$43)),IF(M123&gt;0,M123/(1+lgh_equity!N$24),0))</f>
        <v>1.5969915846975598E-3</v>
      </c>
      <c r="O123" s="232"/>
      <c r="P123" s="232"/>
      <c r="Q123" s="232"/>
      <c r="R123" s="232"/>
      <c r="S123" s="232"/>
      <c r="T123" s="232"/>
      <c r="U123" s="232"/>
      <c r="V123" s="43"/>
      <c r="W123" s="43"/>
      <c r="X123" s="43"/>
      <c r="Y123" s="43"/>
    </row>
    <row r="124" spans="1:25">
      <c r="A124" s="43" t="str">
        <f t="shared" si="19"/>
        <v>PE023 Bruner Interests LLC</v>
      </c>
      <c r="B124" s="79">
        <v>5.2999999999999998E-4</v>
      </c>
      <c r="C124" s="121">
        <f t="array" ref="C124">IF(SUMPRODUCT(($A124=$Y$5:$Y$43)*(C$100=YEAR($F$5:$F$43)))&gt;=1,SUMPRODUCT(($A124=$A$61:$A$95)*$I$61:$I$95)*((SUMPRODUCT((C$100&gt;=YEAR($F$5:$F$43))*$G$5:$G$43)/$K$58)*100%)*(SUMPRODUCT(($A124=$Y$5:$Y$43)*(C$100&gt;=YEAR($F$5:$F$43))*$G$5:$G$43)/SUMPRODUCT((C$100&gt;=YEAR($F$5:$F$43))*$G$5:$G$43)),IF(B124&gt;0,B124/(1+lgh_equity!C$24),0))</f>
        <v>5.2999999999999998E-4</v>
      </c>
      <c r="D124" s="121">
        <f t="array" ref="D124">IF(SUMPRODUCT(($A124=$Y$5:$Y$43)*(D$100=YEAR($F$5:$F$43)))&gt;=1,SUMPRODUCT(($A124=$A$61:$A$95)*$I$61:$I$95)*((SUMPRODUCT((D$100&gt;=YEAR($F$5:$F$43))*$G$5:$G$43)/$K$58)*100%)*(SUMPRODUCT(($A124=$Y$5:$Y$43)*(D$100&gt;=YEAR($F$5:$F$43))*$G$5:$G$43)/SUMPRODUCT((D$100&gt;=YEAR($F$5:$F$43))*$G$5:$G$43)),IF(C124&gt;0,C124/(1+lgh_equity!D$24),0))</f>
        <v>4.2880258899676373E-4</v>
      </c>
      <c r="E124" s="121">
        <f t="array" ref="E124">IF(SUMPRODUCT(($A124=$Y$5:$Y$43)*(E$100=YEAR($F$5:$F$43)))&gt;=1,SUMPRODUCT(($A124=$A$61:$A$95)*$I$61:$I$95)*((SUMPRODUCT((E$100&gt;=YEAR($F$5:$F$43))*$G$5:$G$43)/$K$58)*100%)*(SUMPRODUCT(($A124=$Y$5:$Y$43)*(E$100&gt;=YEAR($F$5:$F$43))*$G$5:$G$43)/SUMPRODUCT((E$100&gt;=YEAR($F$5:$F$43))*$G$5:$G$43)),IF(D124&gt;0,D124/(1+lgh_equity!E$24),0))</f>
        <v>4.2743479764430193E-4</v>
      </c>
      <c r="F124" s="121">
        <f t="array" ref="F124">IF(SUMPRODUCT(($A124=$Y$5:$Y$43)*(F$100=YEAR($F$5:$F$43)))&gt;=1,SUMPRODUCT(($A124=$A$61:$A$95)*$I$61:$I$95)*((SUMPRODUCT((F$100&gt;=YEAR($F$5:$F$43))*$G$5:$G$43)/$K$58)*100%)*(SUMPRODUCT(($A124=$Y$5:$Y$43)*(F$100&gt;=YEAR($F$5:$F$43))*$G$5:$G$43)/SUMPRODUCT((F$100&gt;=YEAR($F$5:$F$43))*$G$5:$G$43)),IF(E124&gt;0,E124/(1+lgh_equity!F$24),0))</f>
        <v>4.2743479764430193E-4</v>
      </c>
      <c r="G124" s="121">
        <f t="array" ref="G124">IF(SUMPRODUCT(($A124=$Y$5:$Y$43)*(G$100=YEAR($F$5:$F$43)))&gt;=1,SUMPRODUCT(($A124=$A$61:$A$95)*$I$61:$I$95)*((SUMPRODUCT((G$100&gt;=YEAR($F$5:$F$43))*$G$5:$G$43)/$K$58)*100%)*(SUMPRODUCT(($A124=$Y$5:$Y$43)*(G$100&gt;=YEAR($F$5:$F$43))*$G$5:$G$43)/SUMPRODUCT((G$100&gt;=YEAR($F$5:$F$43))*$G$5:$G$43)),IF(F124&gt;0,F124/(1+lgh_equity!G$24),0))</f>
        <v>4.2743479764430193E-4</v>
      </c>
      <c r="H124" s="121">
        <f t="array" ref="H124">IF(SUMPRODUCT(($A124=$Y$5:$Y$43)*(H$100=YEAR($F$5:$F$43)))&gt;=1,SUMPRODUCT(($A124=$A$61:$A$95)*$I$61:$I$95)*((SUMPRODUCT((H$100&gt;=YEAR($F$5:$F$43))*$G$5:$G$43)/$K$58)*100%)*(SUMPRODUCT(($A124=$Y$5:$Y$43)*(H$100&gt;=YEAR($F$5:$F$43))*$G$5:$G$43)/SUMPRODUCT((H$100&gt;=YEAR($F$5:$F$43))*$G$5:$G$43)),IF(G124&gt;0,G124/(1+lgh_equity!H$24),0))</f>
        <v>4.2743479764430193E-4</v>
      </c>
      <c r="I124" s="53">
        <f t="array" ref="I124">IF(SUMPRODUCT(($A124=$Y$5:$Y$43)*(I$100=YEAR($F$5:$F$43)))&gt;=1,SUMPRODUCT(($A124=$A$61:$A$95)*$I$61:$I$95)*((SUMPRODUCT((I$100&gt;=YEAR($F$5:$F$43))*$G$5:$G$43)/$K$58)*100%)*(SUMPRODUCT(($A124=$Y$5:$Y$43)*(I$100&gt;=YEAR($F$5:$F$43))*$G$5:$G$43)/SUMPRODUCT((I$100&gt;=YEAR($F$5:$F$43))*$G$5:$G$43)),IF(H124&gt;0,H124/(1+lgh_equity!I$24),0))</f>
        <v>4.2743479764430193E-4</v>
      </c>
      <c r="J124" s="53">
        <f t="array" ref="J124">IF(SUMPRODUCT(($A124=$Y$5:$Y$43)*(J$100=YEAR($F$5:$F$43)))&gt;=1,SUMPRODUCT(($A124=$A$61:$A$95)*$I$61:$I$95)*((SUMPRODUCT((J$100&gt;=YEAR($F$5:$F$43))*$G$5:$G$43)/$K$58)*100%)*(SUMPRODUCT(($A124=$Y$5:$Y$43)*(J$100&gt;=YEAR($F$5:$F$43))*$G$5:$G$43)/SUMPRODUCT((J$100&gt;=YEAR($F$5:$F$43))*$G$5:$G$43)),IF(I124&gt;0,I124/(1+lgh_equity!J$24),0))</f>
        <v>4.2743479764430193E-4</v>
      </c>
      <c r="K124" s="53">
        <f t="array" ref="K124">IF(SUMPRODUCT(($A124=$Y$5:$Y$43)*(K$100=YEAR($F$5:$F$43)))&gt;=1,SUMPRODUCT(($A124=$A$61:$A$95)*$I$61:$I$95)*((SUMPRODUCT((K$100&gt;=YEAR($F$5:$F$43))*$G$5:$G$43)/$K$58)*100%)*(SUMPRODUCT(($A124=$Y$5:$Y$43)*(K$100&gt;=YEAR($F$5:$F$43))*$G$5:$G$43)/SUMPRODUCT((K$100&gt;=YEAR($F$5:$F$43))*$G$5:$G$43)),IF(J124&gt;0,J124/(1+lgh_equity!K$24),0))</f>
        <v>4.2743479764430193E-4</v>
      </c>
      <c r="L124" s="53">
        <f t="array" ref="L124">IF(SUMPRODUCT(($A124=$Y$5:$Y$43)*(L$100=YEAR($F$5:$F$43)))&gt;=1,SUMPRODUCT(($A124=$A$61:$A$95)*$I$61:$I$95)*((SUMPRODUCT((L$100&gt;=YEAR($F$5:$F$43))*$G$5:$G$43)/$K$58)*100%)*(SUMPRODUCT(($A124=$Y$5:$Y$43)*(L$100&gt;=YEAR($F$5:$F$43))*$G$5:$G$43)/SUMPRODUCT((L$100&gt;=YEAR($F$5:$F$43))*$G$5:$G$43)),IF(K124&gt;0,K124/(1+lgh_equity!L$24),0))</f>
        <v>4.2743479764430193E-4</v>
      </c>
      <c r="M124" s="53">
        <f t="array" ref="M124">IF(SUMPRODUCT(($A124=$Y$5:$Y$43)*(M$100=YEAR($F$5:$F$43)))&gt;=1,SUMPRODUCT(($A124=$A$61:$A$95)*$I$61:$I$95)*((SUMPRODUCT((M$100&gt;=YEAR($F$5:$F$43))*$G$5:$G$43)/$K$58)*100%)*(SUMPRODUCT(($A124=$Y$5:$Y$43)*(M$100&gt;=YEAR($F$5:$F$43))*$G$5:$G$43)/SUMPRODUCT((M$100&gt;=YEAR($F$5:$F$43))*$G$5:$G$43)),IF(L124&gt;0,L124/(1+lgh_equity!M$24),0))</f>
        <v>4.2743479764430193E-4</v>
      </c>
      <c r="N124" s="53">
        <f t="array" ref="N124">IF(SUMPRODUCT(($A124=$Y$5:$Y$43)*(N$100=YEAR($F$5:$F$43)))&gt;=1,SUMPRODUCT(($A124=$A$61:$A$95)*$I$61:$I$95)*((SUMPRODUCT((N$100&gt;=YEAR($F$5:$F$43))*$G$5:$G$43)/$K$58)*100%)*(SUMPRODUCT(($A124=$Y$5:$Y$43)*(N$100&gt;=YEAR($F$5:$F$43))*$G$5:$G$43)/SUMPRODUCT((N$100&gt;=YEAR($F$5:$F$43))*$G$5:$G$43)),IF(M124&gt;0,M124/(1+lgh_equity!N$24),0))</f>
        <v>4.2743479764430193E-4</v>
      </c>
      <c r="O124" s="232"/>
      <c r="P124" s="232"/>
      <c r="Q124" s="232"/>
      <c r="R124" s="232"/>
      <c r="S124" s="232"/>
      <c r="T124" s="232"/>
      <c r="U124" s="232"/>
      <c r="V124" s="43"/>
      <c r="W124" s="43"/>
      <c r="X124" s="43"/>
      <c r="Y124" s="43"/>
    </row>
    <row r="125" spans="1:25">
      <c r="A125" s="43" t="str">
        <f t="shared" si="19"/>
        <v>PE024 Bruner Interests LLC</v>
      </c>
      <c r="B125" s="79">
        <v>1.325E-4</v>
      </c>
      <c r="C125" s="121">
        <f t="array" ref="C125">IF(SUMPRODUCT(($A125=$Y$5:$Y$43)*(C$100=YEAR($F$5:$F$43)))&gt;=1,SUMPRODUCT(($A125=$A$61:$A$95)*$I$61:$I$95)*((SUMPRODUCT((C$100&gt;=YEAR($F$5:$F$43))*$G$5:$G$43)/$K$58)*100%)*(SUMPRODUCT(($A125=$Y$5:$Y$43)*(C$100&gt;=YEAR($F$5:$F$43))*$G$5:$G$43)/SUMPRODUCT((C$100&gt;=YEAR($F$5:$F$43))*$G$5:$G$43)),IF(B125&gt;0,B125/(1+lgh_equity!C$24),0))</f>
        <v>1.325E-4</v>
      </c>
      <c r="D125" s="121">
        <f t="array" ref="D125">IF(SUMPRODUCT(($A125=$Y$5:$Y$43)*(D$100=YEAR($F$5:$F$43)))&gt;=1,SUMPRODUCT(($A125=$A$61:$A$95)*$I$61:$I$95)*((SUMPRODUCT((D$100&gt;=YEAR($F$5:$F$43))*$G$5:$G$43)/$K$58)*100%)*(SUMPRODUCT(($A125=$Y$5:$Y$43)*(D$100&gt;=YEAR($F$5:$F$43))*$G$5:$G$43)/SUMPRODUCT((D$100&gt;=YEAR($F$5:$F$43))*$G$5:$G$43)),IF(C125&gt;0,C125/(1+lgh_equity!D$24),0))</f>
        <v>1.0720064724919093E-4</v>
      </c>
      <c r="E125" s="121">
        <f t="array" ref="E125">IF(SUMPRODUCT(($A125=$Y$5:$Y$43)*(E$100=YEAR($F$5:$F$43)))&gt;=1,SUMPRODUCT(($A125=$A$61:$A$95)*$I$61:$I$95)*((SUMPRODUCT((E$100&gt;=YEAR($F$5:$F$43))*$G$5:$G$43)/$K$58)*100%)*(SUMPRODUCT(($A125=$Y$5:$Y$43)*(E$100&gt;=YEAR($F$5:$F$43))*$G$5:$G$43)/SUMPRODUCT((E$100&gt;=YEAR($F$5:$F$43))*$G$5:$G$43)),IF(D125&gt;0,D125/(1+lgh_equity!E$24),0))</f>
        <v>1.0685869941107548E-4</v>
      </c>
      <c r="F125" s="121">
        <f t="array" ref="F125">IF(SUMPRODUCT(($A125=$Y$5:$Y$43)*(F$100=YEAR($F$5:$F$43)))&gt;=1,SUMPRODUCT(($A125=$A$61:$A$95)*$I$61:$I$95)*((SUMPRODUCT((F$100&gt;=YEAR($F$5:$F$43))*$G$5:$G$43)/$K$58)*100%)*(SUMPRODUCT(($A125=$Y$5:$Y$43)*(F$100&gt;=YEAR($F$5:$F$43))*$G$5:$G$43)/SUMPRODUCT((F$100&gt;=YEAR($F$5:$F$43))*$G$5:$G$43)),IF(E125&gt;0,E125/(1+lgh_equity!F$24),0))</f>
        <v>1.0685869941107548E-4</v>
      </c>
      <c r="G125" s="121">
        <f t="array" ref="G125">IF(SUMPRODUCT(($A125=$Y$5:$Y$43)*(G$100=YEAR($F$5:$F$43)))&gt;=1,SUMPRODUCT(($A125=$A$61:$A$95)*$I$61:$I$95)*((SUMPRODUCT((G$100&gt;=YEAR($F$5:$F$43))*$G$5:$G$43)/$K$58)*100%)*(SUMPRODUCT(($A125=$Y$5:$Y$43)*(G$100&gt;=YEAR($F$5:$F$43))*$G$5:$G$43)/SUMPRODUCT((G$100&gt;=YEAR($F$5:$F$43))*$G$5:$G$43)),IF(F125&gt;0,F125/(1+lgh_equity!G$24),0))</f>
        <v>1.0685869941107548E-4</v>
      </c>
      <c r="H125" s="121">
        <f t="array" ref="H125">IF(SUMPRODUCT(($A125=$Y$5:$Y$43)*(H$100=YEAR($F$5:$F$43)))&gt;=1,SUMPRODUCT(($A125=$A$61:$A$95)*$I$61:$I$95)*((SUMPRODUCT((H$100&gt;=YEAR($F$5:$F$43))*$G$5:$G$43)/$K$58)*100%)*(SUMPRODUCT(($A125=$Y$5:$Y$43)*(H$100&gt;=YEAR($F$5:$F$43))*$G$5:$G$43)/SUMPRODUCT((H$100&gt;=YEAR($F$5:$F$43))*$G$5:$G$43)),IF(G125&gt;0,G125/(1+lgh_equity!H$24),0))</f>
        <v>1.0685869941107548E-4</v>
      </c>
      <c r="I125" s="53">
        <f t="array" ref="I125">IF(SUMPRODUCT(($A125=$Y$5:$Y$43)*(I$100=YEAR($F$5:$F$43)))&gt;=1,SUMPRODUCT(($A125=$A$61:$A$95)*$I$61:$I$95)*((SUMPRODUCT((I$100&gt;=YEAR($F$5:$F$43))*$G$5:$G$43)/$K$58)*100%)*(SUMPRODUCT(($A125=$Y$5:$Y$43)*(I$100&gt;=YEAR($F$5:$F$43))*$G$5:$G$43)/SUMPRODUCT((I$100&gt;=YEAR($F$5:$F$43))*$G$5:$G$43)),IF(H125&gt;0,H125/(1+lgh_equity!I$24),0))</f>
        <v>1.0685869941107548E-4</v>
      </c>
      <c r="J125" s="53">
        <f t="array" ref="J125">IF(SUMPRODUCT(($A125=$Y$5:$Y$43)*(J$100=YEAR($F$5:$F$43)))&gt;=1,SUMPRODUCT(($A125=$A$61:$A$95)*$I$61:$I$95)*((SUMPRODUCT((J$100&gt;=YEAR($F$5:$F$43))*$G$5:$G$43)/$K$58)*100%)*(SUMPRODUCT(($A125=$Y$5:$Y$43)*(J$100&gt;=YEAR($F$5:$F$43))*$G$5:$G$43)/SUMPRODUCT((J$100&gt;=YEAR($F$5:$F$43))*$G$5:$G$43)),IF(I125&gt;0,I125/(1+lgh_equity!J$24),0))</f>
        <v>1.0685869941107548E-4</v>
      </c>
      <c r="K125" s="53">
        <f t="array" ref="K125">IF(SUMPRODUCT(($A125=$Y$5:$Y$43)*(K$100=YEAR($F$5:$F$43)))&gt;=1,SUMPRODUCT(($A125=$A$61:$A$95)*$I$61:$I$95)*((SUMPRODUCT((K$100&gt;=YEAR($F$5:$F$43))*$G$5:$G$43)/$K$58)*100%)*(SUMPRODUCT(($A125=$Y$5:$Y$43)*(K$100&gt;=YEAR($F$5:$F$43))*$G$5:$G$43)/SUMPRODUCT((K$100&gt;=YEAR($F$5:$F$43))*$G$5:$G$43)),IF(J125&gt;0,J125/(1+lgh_equity!K$24),0))</f>
        <v>1.0685869941107548E-4</v>
      </c>
      <c r="L125" s="53">
        <f t="array" ref="L125">IF(SUMPRODUCT(($A125=$Y$5:$Y$43)*(L$100=YEAR($F$5:$F$43)))&gt;=1,SUMPRODUCT(($A125=$A$61:$A$95)*$I$61:$I$95)*((SUMPRODUCT((L$100&gt;=YEAR($F$5:$F$43))*$G$5:$G$43)/$K$58)*100%)*(SUMPRODUCT(($A125=$Y$5:$Y$43)*(L$100&gt;=YEAR($F$5:$F$43))*$G$5:$G$43)/SUMPRODUCT((L$100&gt;=YEAR($F$5:$F$43))*$G$5:$G$43)),IF(K125&gt;0,K125/(1+lgh_equity!L$24),0))</f>
        <v>1.0685869941107548E-4</v>
      </c>
      <c r="M125" s="53">
        <f t="array" ref="M125">IF(SUMPRODUCT(($A125=$Y$5:$Y$43)*(M$100=YEAR($F$5:$F$43)))&gt;=1,SUMPRODUCT(($A125=$A$61:$A$95)*$I$61:$I$95)*((SUMPRODUCT((M$100&gt;=YEAR($F$5:$F$43))*$G$5:$G$43)/$K$58)*100%)*(SUMPRODUCT(($A125=$Y$5:$Y$43)*(M$100&gt;=YEAR($F$5:$F$43))*$G$5:$G$43)/SUMPRODUCT((M$100&gt;=YEAR($F$5:$F$43))*$G$5:$G$43)),IF(L125&gt;0,L125/(1+lgh_equity!M$24),0))</f>
        <v>1.0685869941107548E-4</v>
      </c>
      <c r="N125" s="53">
        <f t="array" ref="N125">IF(SUMPRODUCT(($A125=$Y$5:$Y$43)*(N$100=YEAR($F$5:$F$43)))&gt;=1,SUMPRODUCT(($A125=$A$61:$A$95)*$I$61:$I$95)*((SUMPRODUCT((N$100&gt;=YEAR($F$5:$F$43))*$G$5:$G$43)/$K$58)*100%)*(SUMPRODUCT(($A125=$Y$5:$Y$43)*(N$100&gt;=YEAR($F$5:$F$43))*$G$5:$G$43)/SUMPRODUCT((N$100&gt;=YEAR($F$5:$F$43))*$G$5:$G$43)),IF(M125&gt;0,M125/(1+lgh_equity!N$24),0))</f>
        <v>1.0685869941107548E-4</v>
      </c>
      <c r="O125" s="232"/>
      <c r="P125" s="232"/>
      <c r="Q125" s="232"/>
      <c r="R125" s="232"/>
      <c r="S125" s="232"/>
      <c r="T125" s="232"/>
      <c r="U125" s="232"/>
      <c r="V125" s="43"/>
      <c r="W125" s="43"/>
      <c r="X125" s="43"/>
      <c r="Y125" s="43"/>
    </row>
    <row r="126" spans="1:25">
      <c r="A126" s="43" t="str">
        <f t="shared" si="19"/>
        <v>PE025 Sandollar Holdings Limited</v>
      </c>
      <c r="B126" s="79">
        <v>2.6499999999999999E-4</v>
      </c>
      <c r="C126" s="121">
        <f t="array" ref="C126">IF(SUMPRODUCT(($A126=$Y$5:$Y$43)*(C$100=YEAR($F$5:$F$43)))&gt;=1,SUMPRODUCT(($A126=$A$61:$A$95)*$I$61:$I$95)*((SUMPRODUCT((C$100&gt;=YEAR($F$5:$F$43))*$G$5:$G$43)/$K$58)*100%)*(SUMPRODUCT(($A126=$Y$5:$Y$43)*(C$100&gt;=YEAR($F$5:$F$43))*$G$5:$G$43)/SUMPRODUCT((C$100&gt;=YEAR($F$5:$F$43))*$G$5:$G$43)),IF(B126&gt;0,B126/(1+lgh_equity!C$24),0))</f>
        <v>2.6499999999999999E-4</v>
      </c>
      <c r="D126" s="121">
        <f t="array" ref="D126">IF(SUMPRODUCT(($A126=$Y$5:$Y$43)*(D$100=YEAR($F$5:$F$43)))&gt;=1,SUMPRODUCT(($A126=$A$61:$A$95)*$I$61:$I$95)*((SUMPRODUCT((D$100&gt;=YEAR($F$5:$F$43))*$G$5:$G$43)/$K$58)*100%)*(SUMPRODUCT(($A126=$Y$5:$Y$43)*(D$100&gt;=YEAR($F$5:$F$43))*$G$5:$G$43)/SUMPRODUCT((D$100&gt;=YEAR($F$5:$F$43))*$G$5:$G$43)),IF(C126&gt;0,C126/(1+lgh_equity!D$24),0))</f>
        <v>2.1440129449838187E-4</v>
      </c>
      <c r="E126" s="121">
        <f t="array" ref="E126">IF(SUMPRODUCT(($A126=$Y$5:$Y$43)*(E$100=YEAR($F$5:$F$43)))&gt;=1,SUMPRODUCT(($A126=$A$61:$A$95)*$I$61:$I$95)*((SUMPRODUCT((E$100&gt;=YEAR($F$5:$F$43))*$G$5:$G$43)/$K$58)*100%)*(SUMPRODUCT(($A126=$Y$5:$Y$43)*(E$100&gt;=YEAR($F$5:$F$43))*$G$5:$G$43)/SUMPRODUCT((E$100&gt;=YEAR($F$5:$F$43))*$G$5:$G$43)),IF(D126&gt;0,D126/(1+lgh_equity!E$24),0))</f>
        <v>2.1371739882215096E-4</v>
      </c>
      <c r="F126" s="121">
        <f t="array" ref="F126">IF(SUMPRODUCT(($A126=$Y$5:$Y$43)*(F$100=YEAR($F$5:$F$43)))&gt;=1,SUMPRODUCT(($A126=$A$61:$A$95)*$I$61:$I$95)*((SUMPRODUCT((F$100&gt;=YEAR($F$5:$F$43))*$G$5:$G$43)/$K$58)*100%)*(SUMPRODUCT(($A126=$Y$5:$Y$43)*(F$100&gt;=YEAR($F$5:$F$43))*$G$5:$G$43)/SUMPRODUCT((F$100&gt;=YEAR($F$5:$F$43))*$G$5:$G$43)),IF(E126&gt;0,E126/(1+lgh_equity!F$24),0))</f>
        <v>2.1371739882215096E-4</v>
      </c>
      <c r="G126" s="121">
        <f t="array" ref="G126">IF(SUMPRODUCT(($A126=$Y$5:$Y$43)*(G$100=YEAR($F$5:$F$43)))&gt;=1,SUMPRODUCT(($A126=$A$61:$A$95)*$I$61:$I$95)*((SUMPRODUCT((G$100&gt;=YEAR($F$5:$F$43))*$G$5:$G$43)/$K$58)*100%)*(SUMPRODUCT(($A126=$Y$5:$Y$43)*(G$100&gt;=YEAR($F$5:$F$43))*$G$5:$G$43)/SUMPRODUCT((G$100&gt;=YEAR($F$5:$F$43))*$G$5:$G$43)),IF(F126&gt;0,F126/(1+lgh_equity!G$24),0))</f>
        <v>2.1371739882215096E-4</v>
      </c>
      <c r="H126" s="121">
        <f t="array" ref="H126">IF(SUMPRODUCT(($A126=$Y$5:$Y$43)*(H$100=YEAR($F$5:$F$43)))&gt;=1,SUMPRODUCT(($A126=$A$61:$A$95)*$I$61:$I$95)*((SUMPRODUCT((H$100&gt;=YEAR($F$5:$F$43))*$G$5:$G$43)/$K$58)*100%)*(SUMPRODUCT(($A126=$Y$5:$Y$43)*(H$100&gt;=YEAR($F$5:$F$43))*$G$5:$G$43)/SUMPRODUCT((H$100&gt;=YEAR($F$5:$F$43))*$G$5:$G$43)),IF(G126&gt;0,G126/(1+lgh_equity!H$24),0))</f>
        <v>2.1371739882215096E-4</v>
      </c>
      <c r="I126" s="53">
        <f t="array" ref="I126">IF(SUMPRODUCT(($A126=$Y$5:$Y$43)*(I$100=YEAR($F$5:$F$43)))&gt;=1,SUMPRODUCT(($A126=$A$61:$A$95)*$I$61:$I$95)*((SUMPRODUCT((I$100&gt;=YEAR($F$5:$F$43))*$G$5:$G$43)/$K$58)*100%)*(SUMPRODUCT(($A126=$Y$5:$Y$43)*(I$100&gt;=YEAR($F$5:$F$43))*$G$5:$G$43)/SUMPRODUCT((I$100&gt;=YEAR($F$5:$F$43))*$G$5:$G$43)),IF(H126&gt;0,H126/(1+lgh_equity!I$24),0))</f>
        <v>2.1371739882215096E-4</v>
      </c>
      <c r="J126" s="53">
        <f t="array" ref="J126">IF(SUMPRODUCT(($A126=$Y$5:$Y$43)*(J$100=YEAR($F$5:$F$43)))&gt;=1,SUMPRODUCT(($A126=$A$61:$A$95)*$I$61:$I$95)*((SUMPRODUCT((J$100&gt;=YEAR($F$5:$F$43))*$G$5:$G$43)/$K$58)*100%)*(SUMPRODUCT(($A126=$Y$5:$Y$43)*(J$100&gt;=YEAR($F$5:$F$43))*$G$5:$G$43)/SUMPRODUCT((J$100&gt;=YEAR($F$5:$F$43))*$G$5:$G$43)),IF(I126&gt;0,I126/(1+lgh_equity!J$24),0))</f>
        <v>2.1371739882215096E-4</v>
      </c>
      <c r="K126" s="53">
        <f t="array" ref="K126">IF(SUMPRODUCT(($A126=$Y$5:$Y$43)*(K$100=YEAR($F$5:$F$43)))&gt;=1,SUMPRODUCT(($A126=$A$61:$A$95)*$I$61:$I$95)*((SUMPRODUCT((K$100&gt;=YEAR($F$5:$F$43))*$G$5:$G$43)/$K$58)*100%)*(SUMPRODUCT(($A126=$Y$5:$Y$43)*(K$100&gt;=YEAR($F$5:$F$43))*$G$5:$G$43)/SUMPRODUCT((K$100&gt;=YEAR($F$5:$F$43))*$G$5:$G$43)),IF(J126&gt;0,J126/(1+lgh_equity!K$24),0))</f>
        <v>2.1371739882215096E-4</v>
      </c>
      <c r="L126" s="53">
        <f t="array" ref="L126">IF(SUMPRODUCT(($A126=$Y$5:$Y$43)*(L$100=YEAR($F$5:$F$43)))&gt;=1,SUMPRODUCT(($A126=$A$61:$A$95)*$I$61:$I$95)*((SUMPRODUCT((L$100&gt;=YEAR($F$5:$F$43))*$G$5:$G$43)/$K$58)*100%)*(SUMPRODUCT(($A126=$Y$5:$Y$43)*(L$100&gt;=YEAR($F$5:$F$43))*$G$5:$G$43)/SUMPRODUCT((L$100&gt;=YEAR($F$5:$F$43))*$G$5:$G$43)),IF(K126&gt;0,K126/(1+lgh_equity!L$24),0))</f>
        <v>2.1371739882215096E-4</v>
      </c>
      <c r="M126" s="53">
        <f t="array" ref="M126">IF(SUMPRODUCT(($A126=$Y$5:$Y$43)*(M$100=YEAR($F$5:$F$43)))&gt;=1,SUMPRODUCT(($A126=$A$61:$A$95)*$I$61:$I$95)*((SUMPRODUCT((M$100&gt;=YEAR($F$5:$F$43))*$G$5:$G$43)/$K$58)*100%)*(SUMPRODUCT(($A126=$Y$5:$Y$43)*(M$100&gt;=YEAR($F$5:$F$43))*$G$5:$G$43)/SUMPRODUCT((M$100&gt;=YEAR($F$5:$F$43))*$G$5:$G$43)),IF(L126&gt;0,L126/(1+lgh_equity!M$24),0))</f>
        <v>2.1371739882215096E-4</v>
      </c>
      <c r="N126" s="53">
        <f t="array" ref="N126">IF(SUMPRODUCT(($A126=$Y$5:$Y$43)*(N$100=YEAR($F$5:$F$43)))&gt;=1,SUMPRODUCT(($A126=$A$61:$A$95)*$I$61:$I$95)*((SUMPRODUCT((N$100&gt;=YEAR($F$5:$F$43))*$G$5:$G$43)/$K$58)*100%)*(SUMPRODUCT(($A126=$Y$5:$Y$43)*(N$100&gt;=YEAR($F$5:$F$43))*$G$5:$G$43)/SUMPRODUCT((N$100&gt;=YEAR($F$5:$F$43))*$G$5:$G$43)),IF(M126&gt;0,M126/(1+lgh_equity!N$24),0))</f>
        <v>2.1371739882215096E-4</v>
      </c>
      <c r="O126" s="232"/>
      <c r="P126" s="232"/>
      <c r="Q126" s="232"/>
      <c r="R126" s="232"/>
      <c r="S126" s="232"/>
      <c r="T126" s="232"/>
      <c r="U126" s="232"/>
      <c r="V126" s="43"/>
      <c r="W126" s="43"/>
      <c r="X126" s="43"/>
      <c r="Y126" s="43"/>
    </row>
    <row r="127" spans="1:25">
      <c r="A127" s="43" t="str">
        <f t="shared" si="19"/>
        <v>PE026 James Neuhauser (Jim)</v>
      </c>
      <c r="B127" s="79">
        <v>2.6499999999999999E-4</v>
      </c>
      <c r="C127" s="121">
        <f t="array" ref="C127">IF(SUMPRODUCT(($A127=$Y$5:$Y$43)*(C$100=YEAR($F$5:$F$43)))&gt;=1,SUMPRODUCT(($A127=$A$61:$A$95)*$I$61:$I$95)*((SUMPRODUCT((C$100&gt;=YEAR($F$5:$F$43))*$G$5:$G$43)/$K$58)*100%)*(SUMPRODUCT(($A127=$Y$5:$Y$43)*(C$100&gt;=YEAR($F$5:$F$43))*$G$5:$G$43)/SUMPRODUCT((C$100&gt;=YEAR($F$5:$F$43))*$G$5:$G$43)),IF(B127&gt;0,B127/(1+lgh_equity!C$24),0))</f>
        <v>2.6499999999999999E-4</v>
      </c>
      <c r="D127" s="121">
        <f t="array" ref="D127">IF(SUMPRODUCT(($A127=$Y$5:$Y$43)*(D$100=YEAR($F$5:$F$43)))&gt;=1,SUMPRODUCT(($A127=$A$61:$A$95)*$I$61:$I$95)*((SUMPRODUCT((D$100&gt;=YEAR($F$5:$F$43))*$G$5:$G$43)/$K$58)*100%)*(SUMPRODUCT(($A127=$Y$5:$Y$43)*(D$100&gt;=YEAR($F$5:$F$43))*$G$5:$G$43)/SUMPRODUCT((D$100&gt;=YEAR($F$5:$F$43))*$G$5:$G$43)),IF(C127&gt;0,C127/(1+lgh_equity!D$24),0))</f>
        <v>2.1440129449838187E-4</v>
      </c>
      <c r="E127" s="121">
        <f t="array" ref="E127">IF(SUMPRODUCT(($A127=$Y$5:$Y$43)*(E$100=YEAR($F$5:$F$43)))&gt;=1,SUMPRODUCT(($A127=$A$61:$A$95)*$I$61:$I$95)*((SUMPRODUCT((E$100&gt;=YEAR($F$5:$F$43))*$G$5:$G$43)/$K$58)*100%)*(SUMPRODUCT(($A127=$Y$5:$Y$43)*(E$100&gt;=YEAR($F$5:$F$43))*$G$5:$G$43)/SUMPRODUCT((E$100&gt;=YEAR($F$5:$F$43))*$G$5:$G$43)),IF(D127&gt;0,D127/(1+lgh_equity!E$24),0))</f>
        <v>2.1371739882215096E-4</v>
      </c>
      <c r="F127" s="121">
        <f t="array" ref="F127">IF(SUMPRODUCT(($A127=$Y$5:$Y$43)*(F$100=YEAR($F$5:$F$43)))&gt;=1,SUMPRODUCT(($A127=$A$61:$A$95)*$I$61:$I$95)*((SUMPRODUCT((F$100&gt;=YEAR($F$5:$F$43))*$G$5:$G$43)/$K$58)*100%)*(SUMPRODUCT(($A127=$Y$5:$Y$43)*(F$100&gt;=YEAR($F$5:$F$43))*$G$5:$G$43)/SUMPRODUCT((F$100&gt;=YEAR($F$5:$F$43))*$G$5:$G$43)),IF(E127&gt;0,E127/(1+lgh_equity!F$24),0))</f>
        <v>2.1371739882215096E-4</v>
      </c>
      <c r="G127" s="121">
        <f t="array" ref="G127">IF(SUMPRODUCT(($A127=$Y$5:$Y$43)*(G$100=YEAR($F$5:$F$43)))&gt;=1,SUMPRODUCT(($A127=$A$61:$A$95)*$I$61:$I$95)*((SUMPRODUCT((G$100&gt;=YEAR($F$5:$F$43))*$G$5:$G$43)/$K$58)*100%)*(SUMPRODUCT(($A127=$Y$5:$Y$43)*(G$100&gt;=YEAR($F$5:$F$43))*$G$5:$G$43)/SUMPRODUCT((G$100&gt;=YEAR($F$5:$F$43))*$G$5:$G$43)),IF(F127&gt;0,F127/(1+lgh_equity!G$24),0))</f>
        <v>2.1371739882215096E-4</v>
      </c>
      <c r="H127" s="121">
        <f t="array" ref="H127">IF(SUMPRODUCT(($A127=$Y$5:$Y$43)*(H$100=YEAR($F$5:$F$43)))&gt;=1,SUMPRODUCT(($A127=$A$61:$A$95)*$I$61:$I$95)*((SUMPRODUCT((H$100&gt;=YEAR($F$5:$F$43))*$G$5:$G$43)/$K$58)*100%)*(SUMPRODUCT(($A127=$Y$5:$Y$43)*(H$100&gt;=YEAR($F$5:$F$43))*$G$5:$G$43)/SUMPRODUCT((H$100&gt;=YEAR($F$5:$F$43))*$G$5:$G$43)),IF(G127&gt;0,G127/(1+lgh_equity!H$24),0))</f>
        <v>2.1371739882215096E-4</v>
      </c>
      <c r="I127" s="53">
        <f t="array" ref="I127">IF(SUMPRODUCT(($A127=$Y$5:$Y$43)*(I$100=YEAR($F$5:$F$43)))&gt;=1,SUMPRODUCT(($A127=$A$61:$A$95)*$I$61:$I$95)*((SUMPRODUCT((I$100&gt;=YEAR($F$5:$F$43))*$G$5:$G$43)/$K$58)*100%)*(SUMPRODUCT(($A127=$Y$5:$Y$43)*(I$100&gt;=YEAR($F$5:$F$43))*$G$5:$G$43)/SUMPRODUCT((I$100&gt;=YEAR($F$5:$F$43))*$G$5:$G$43)),IF(H127&gt;0,H127/(1+lgh_equity!I$24),0))</f>
        <v>2.1371739882215096E-4</v>
      </c>
      <c r="J127" s="53">
        <f t="array" ref="J127">IF(SUMPRODUCT(($A127=$Y$5:$Y$43)*(J$100=YEAR($F$5:$F$43)))&gt;=1,SUMPRODUCT(($A127=$A$61:$A$95)*$I$61:$I$95)*((SUMPRODUCT((J$100&gt;=YEAR($F$5:$F$43))*$G$5:$G$43)/$K$58)*100%)*(SUMPRODUCT(($A127=$Y$5:$Y$43)*(J$100&gt;=YEAR($F$5:$F$43))*$G$5:$G$43)/SUMPRODUCT((J$100&gt;=YEAR($F$5:$F$43))*$G$5:$G$43)),IF(I127&gt;0,I127/(1+lgh_equity!J$24),0))</f>
        <v>2.1371739882215096E-4</v>
      </c>
      <c r="K127" s="53">
        <f t="array" ref="K127">IF(SUMPRODUCT(($A127=$Y$5:$Y$43)*(K$100=YEAR($F$5:$F$43)))&gt;=1,SUMPRODUCT(($A127=$A$61:$A$95)*$I$61:$I$95)*((SUMPRODUCT((K$100&gt;=YEAR($F$5:$F$43))*$G$5:$G$43)/$K$58)*100%)*(SUMPRODUCT(($A127=$Y$5:$Y$43)*(K$100&gt;=YEAR($F$5:$F$43))*$G$5:$G$43)/SUMPRODUCT((K$100&gt;=YEAR($F$5:$F$43))*$G$5:$G$43)),IF(J127&gt;0,J127/(1+lgh_equity!K$24),0))</f>
        <v>2.1371739882215096E-4</v>
      </c>
      <c r="L127" s="53">
        <f t="array" ref="L127">IF(SUMPRODUCT(($A127=$Y$5:$Y$43)*(L$100=YEAR($F$5:$F$43)))&gt;=1,SUMPRODUCT(($A127=$A$61:$A$95)*$I$61:$I$95)*((SUMPRODUCT((L$100&gt;=YEAR($F$5:$F$43))*$G$5:$G$43)/$K$58)*100%)*(SUMPRODUCT(($A127=$Y$5:$Y$43)*(L$100&gt;=YEAR($F$5:$F$43))*$G$5:$G$43)/SUMPRODUCT((L$100&gt;=YEAR($F$5:$F$43))*$G$5:$G$43)),IF(K127&gt;0,K127/(1+lgh_equity!L$24),0))</f>
        <v>2.1371739882215096E-4</v>
      </c>
      <c r="M127" s="53">
        <f t="array" ref="M127">IF(SUMPRODUCT(($A127=$Y$5:$Y$43)*(M$100=YEAR($F$5:$F$43)))&gt;=1,SUMPRODUCT(($A127=$A$61:$A$95)*$I$61:$I$95)*((SUMPRODUCT((M$100&gt;=YEAR($F$5:$F$43))*$G$5:$G$43)/$K$58)*100%)*(SUMPRODUCT(($A127=$Y$5:$Y$43)*(M$100&gt;=YEAR($F$5:$F$43))*$G$5:$G$43)/SUMPRODUCT((M$100&gt;=YEAR($F$5:$F$43))*$G$5:$G$43)),IF(L127&gt;0,L127/(1+lgh_equity!M$24),0))</f>
        <v>2.1371739882215096E-4</v>
      </c>
      <c r="N127" s="53">
        <f t="array" ref="N127">IF(SUMPRODUCT(($A127=$Y$5:$Y$43)*(N$100=YEAR($F$5:$F$43)))&gt;=1,SUMPRODUCT(($A127=$A$61:$A$95)*$I$61:$I$95)*((SUMPRODUCT((N$100&gt;=YEAR($F$5:$F$43))*$G$5:$G$43)/$K$58)*100%)*(SUMPRODUCT(($A127=$Y$5:$Y$43)*(N$100&gt;=YEAR($F$5:$F$43))*$G$5:$G$43)/SUMPRODUCT((N$100&gt;=YEAR($F$5:$F$43))*$G$5:$G$43)),IF(M127&gt;0,M127/(1+lgh_equity!N$24),0))</f>
        <v>2.1371739882215096E-4</v>
      </c>
      <c r="O127" s="232"/>
      <c r="P127" s="232"/>
      <c r="Q127" s="232"/>
      <c r="R127" s="232"/>
      <c r="S127" s="232"/>
      <c r="T127" s="232"/>
      <c r="U127" s="232"/>
      <c r="V127" s="43"/>
      <c r="W127" s="43"/>
      <c r="X127" s="43"/>
      <c r="Y127" s="43"/>
    </row>
    <row r="128" spans="1:25">
      <c r="A128" s="43" t="str">
        <f t="shared" si="19"/>
        <v>PE027 PFNGT LLC_side letter part % adj.</v>
      </c>
      <c r="B128" s="79">
        <v>0.25</v>
      </c>
      <c r="C128" s="121">
        <f t="array" ref="C128">IF(SUMPRODUCT(($A128=$Y$5:$Y$43)*(C$100=YEAR($F$5:$F$43)))&gt;=1,SUMPRODUCT(($A128=$A$61:$A$95)*$I$61:$I$95)*((SUMPRODUCT((C$100&gt;=YEAR($F$5:$F$43))*$G$5:$G$43)/$K$58)*100%)*(SUMPRODUCT(($A128=$Y$5:$Y$43)*(C$100&gt;=YEAR($F$5:$F$43))*$G$5:$G$43)/SUMPRODUCT((C$100&gt;=YEAR($F$5:$F$43))*$G$5:$G$43)),IF(B128&gt;0,B128/(1+lgh_equity!C$24),0))</f>
        <v>0.25</v>
      </c>
      <c r="D128" s="121">
        <f t="array" ref="D128">IF(SUMPRODUCT(($A128=$Y$5:$Y$43)*(D$100=YEAR($F$5:$F$43)))&gt;=1,SUMPRODUCT(($A128=$A$61:$A$95)*$I$61:$I$95)*((SUMPRODUCT((D$100&gt;=YEAR($F$5:$F$43))*$G$5:$G$43)/$K$58)*100%)*(SUMPRODUCT(($A128=$Y$5:$Y$43)*(D$100&gt;=YEAR($F$5:$F$43))*$G$5:$G$43)/SUMPRODUCT((D$100&gt;=YEAR($F$5:$F$43))*$G$5:$G$43)),IF(C128&gt;0,C128/(1+lgh_equity!D$24),0))</f>
        <v>0.2022653721682848</v>
      </c>
      <c r="E128" s="121"/>
      <c r="F128" s="121"/>
      <c r="G128" s="121"/>
      <c r="H128" s="121"/>
      <c r="I128" s="53"/>
      <c r="J128" s="53"/>
      <c r="K128" s="53"/>
      <c r="L128" s="53"/>
      <c r="M128" s="53"/>
      <c r="N128" s="53"/>
      <c r="O128" s="232"/>
      <c r="P128" s="232"/>
      <c r="Q128" s="232"/>
      <c r="R128" s="232"/>
      <c r="S128" s="232"/>
      <c r="T128" s="232"/>
      <c r="U128" s="232"/>
      <c r="V128" s="43"/>
      <c r="W128" s="43"/>
      <c r="X128" s="43"/>
      <c r="Y128" s="43"/>
    </row>
    <row r="129" spans="1:25">
      <c r="A129" s="43" t="str">
        <f t="shared" si="19"/>
        <v>PE028 La Pointe Investments LLC</v>
      </c>
      <c r="B129" s="79">
        <v>0.01</v>
      </c>
      <c r="C129" s="121">
        <f t="array" ref="C129">IF(SUMPRODUCT(($A129=$Y$5:$Y$43)*(C$100=YEAR($F$5:$F$43)))&gt;=1,SUMPRODUCT(($A129=$A$61:$A$95)*$I$61:$I$95)*((SUMPRODUCT((C$100&gt;=YEAR($F$5:$F$43))*$G$5:$G$43)/$K$58)*100%)*(SUMPRODUCT(($A129=$Y$5:$Y$43)*(C$100&gt;=YEAR($F$5:$F$43))*$G$5:$G$43)/SUMPRODUCT((C$100&gt;=YEAR($F$5:$F$43))*$G$5:$G$43)),IF(B129&gt;0,B129/(1+lgh_equity!C$24),0))</f>
        <v>0.01</v>
      </c>
      <c r="D129" s="121">
        <f t="array" ref="D129">IF(SUMPRODUCT(($A129=$Y$5:$Y$43)*(D$100=YEAR($F$5:$F$43)))&gt;=1,SUMPRODUCT(($A129=$A$61:$A$95)*$I$61:$I$95)*((SUMPRODUCT((D$100&gt;=YEAR($F$5:$F$43))*$G$5:$G$43)/$K$58)*100%)*(SUMPRODUCT(($A129=$Y$5:$Y$43)*(D$100&gt;=YEAR($F$5:$F$43))*$G$5:$G$43)/SUMPRODUCT((D$100&gt;=YEAR($F$5:$F$43))*$G$5:$G$43)),IF(C129&gt;0,C129/(1+lgh_equity!D$24),0))</f>
        <v>8.0906148867313926E-3</v>
      </c>
      <c r="E129" s="121">
        <f t="array" ref="E129">IF(SUMPRODUCT(($A129=$Y$5:$Y$43)*(E$100=YEAR($F$5:$F$43)))&gt;=1,SUMPRODUCT(($A129=$A$61:$A$95)*$I$61:$I$95)*((SUMPRODUCT((E$100&gt;=YEAR($F$5:$F$43))*$G$5:$G$43)/$K$58)*100%)*(SUMPRODUCT(($A129=$Y$5:$Y$43)*(E$100&gt;=YEAR($F$5:$F$43))*$G$5:$G$43)/SUMPRODUCT((E$100&gt;=YEAR($F$5:$F$43))*$G$5:$G$43)),IF(D129&gt;0,D129/(1+lgh_equity!E$24),0))</f>
        <v>8.0648075027226797E-3</v>
      </c>
      <c r="F129" s="121">
        <f t="array" ref="F129">IF(SUMPRODUCT(($A129=$Y$5:$Y$43)*(F$100=YEAR($F$5:$F$43)))&gt;=1,SUMPRODUCT(($A129=$A$61:$A$95)*$I$61:$I$95)*((SUMPRODUCT((F$100&gt;=YEAR($F$5:$F$43))*$G$5:$G$43)/$K$58)*100%)*(SUMPRODUCT(($A129=$Y$5:$Y$43)*(F$100&gt;=YEAR($F$5:$F$43))*$G$5:$G$43)/SUMPRODUCT((F$100&gt;=YEAR($F$5:$F$43))*$G$5:$G$43)),IF(E129&gt;0,E129/(1+lgh_equity!F$24),0))</f>
        <v>8.0648075027226797E-3</v>
      </c>
      <c r="G129" s="121">
        <f t="array" ref="G129">IF(SUMPRODUCT(($A129=$Y$5:$Y$43)*(G$100=YEAR($F$5:$F$43)))&gt;=1,SUMPRODUCT(($A129=$A$61:$A$95)*$I$61:$I$95)*((SUMPRODUCT((G$100&gt;=YEAR($F$5:$F$43))*$G$5:$G$43)/$K$58)*100%)*(SUMPRODUCT(($A129=$Y$5:$Y$43)*(G$100&gt;=YEAR($F$5:$F$43))*$G$5:$G$43)/SUMPRODUCT((G$100&gt;=YEAR($F$5:$F$43))*$G$5:$G$43)),IF(F129&gt;0,F129/(1+lgh_equity!G$24),0))</f>
        <v>8.0648075027226797E-3</v>
      </c>
      <c r="H129" s="121">
        <f t="array" ref="H129">IF(SUMPRODUCT(($A129=$Y$5:$Y$43)*(H$100=YEAR($F$5:$F$43)))&gt;=1,SUMPRODUCT(($A129=$A$61:$A$95)*$I$61:$I$95)*((SUMPRODUCT((H$100&gt;=YEAR($F$5:$F$43))*$G$5:$G$43)/$K$58)*100%)*(SUMPRODUCT(($A129=$Y$5:$Y$43)*(H$100&gt;=YEAR($F$5:$F$43))*$G$5:$G$43)/SUMPRODUCT((H$100&gt;=YEAR($F$5:$F$43))*$G$5:$G$43)),IF(G129&gt;0,G129/(1+lgh_equity!H$24),0))</f>
        <v>8.0648075027226797E-3</v>
      </c>
      <c r="I129" s="53">
        <f t="array" ref="I129">IF(SUMPRODUCT(($A129=$Y$5:$Y$43)*(I$100=YEAR($F$5:$F$43)))&gt;=1,SUMPRODUCT(($A129=$A$61:$A$95)*$I$61:$I$95)*((SUMPRODUCT((I$100&gt;=YEAR($F$5:$F$43))*$G$5:$G$43)/$K$58)*100%)*(SUMPRODUCT(($A129=$Y$5:$Y$43)*(I$100&gt;=YEAR($F$5:$F$43))*$G$5:$G$43)/SUMPRODUCT((I$100&gt;=YEAR($F$5:$F$43))*$G$5:$G$43)),IF(H129&gt;0,H129/(1+lgh_equity!I$24),0))</f>
        <v>8.0648075027226797E-3</v>
      </c>
      <c r="J129" s="53">
        <f t="array" ref="J129">IF(SUMPRODUCT(($A129=$Y$5:$Y$43)*(J$100=YEAR($F$5:$F$43)))&gt;=1,SUMPRODUCT(($A129=$A$61:$A$95)*$I$61:$I$95)*((SUMPRODUCT((J$100&gt;=YEAR($F$5:$F$43))*$G$5:$G$43)/$K$58)*100%)*(SUMPRODUCT(($A129=$Y$5:$Y$43)*(J$100&gt;=YEAR($F$5:$F$43))*$G$5:$G$43)/SUMPRODUCT((J$100&gt;=YEAR($F$5:$F$43))*$G$5:$G$43)),IF(I129&gt;0,I129/(1+lgh_equity!J$24),0))</f>
        <v>8.0648075027226797E-3</v>
      </c>
      <c r="K129" s="53">
        <f t="array" ref="K129">IF(SUMPRODUCT(($A129=$Y$5:$Y$43)*(K$100=YEAR($F$5:$F$43)))&gt;=1,SUMPRODUCT(($A129=$A$61:$A$95)*$I$61:$I$95)*((SUMPRODUCT((K$100&gt;=YEAR($F$5:$F$43))*$G$5:$G$43)/$K$58)*100%)*(SUMPRODUCT(($A129=$Y$5:$Y$43)*(K$100&gt;=YEAR($F$5:$F$43))*$G$5:$G$43)/SUMPRODUCT((K$100&gt;=YEAR($F$5:$F$43))*$G$5:$G$43)),IF(J129&gt;0,J129/(1+lgh_equity!K$24),0))</f>
        <v>8.0648075027226797E-3</v>
      </c>
      <c r="L129" s="53">
        <f t="array" ref="L129">IF(SUMPRODUCT(($A129=$Y$5:$Y$43)*(L$100=YEAR($F$5:$F$43)))&gt;=1,SUMPRODUCT(($A129=$A$61:$A$95)*$I$61:$I$95)*((SUMPRODUCT((L$100&gt;=YEAR($F$5:$F$43))*$G$5:$G$43)/$K$58)*100%)*(SUMPRODUCT(($A129=$Y$5:$Y$43)*(L$100&gt;=YEAR($F$5:$F$43))*$G$5:$G$43)/SUMPRODUCT((L$100&gt;=YEAR($F$5:$F$43))*$G$5:$G$43)),IF(K129&gt;0,K129/(1+lgh_equity!L$24),0))</f>
        <v>8.0648075027226797E-3</v>
      </c>
      <c r="M129" s="53">
        <f t="array" ref="M129">IF(SUMPRODUCT(($A129=$Y$5:$Y$43)*(M$100=YEAR($F$5:$F$43)))&gt;=1,SUMPRODUCT(($A129=$A$61:$A$95)*$I$61:$I$95)*((SUMPRODUCT((M$100&gt;=YEAR($F$5:$F$43))*$G$5:$G$43)/$K$58)*100%)*(SUMPRODUCT(($A129=$Y$5:$Y$43)*(M$100&gt;=YEAR($F$5:$F$43))*$G$5:$G$43)/SUMPRODUCT((M$100&gt;=YEAR($F$5:$F$43))*$G$5:$G$43)),IF(L129&gt;0,L129/(1+lgh_equity!M$24),0))</f>
        <v>8.0648075027226797E-3</v>
      </c>
      <c r="N129" s="53">
        <f t="array" ref="N129">IF(SUMPRODUCT(($A129=$Y$5:$Y$43)*(N$100=YEAR($F$5:$F$43)))&gt;=1,SUMPRODUCT(($A129=$A$61:$A$95)*$I$61:$I$95)*((SUMPRODUCT((N$100&gt;=YEAR($F$5:$F$43))*$G$5:$G$43)/$K$58)*100%)*(SUMPRODUCT(($A129=$Y$5:$Y$43)*(N$100&gt;=YEAR($F$5:$F$43))*$G$5:$G$43)/SUMPRODUCT((N$100&gt;=YEAR($F$5:$F$43))*$G$5:$G$43)),IF(M129&gt;0,M129/(1+lgh_equity!N$24),0))</f>
        <v>8.0648075027226797E-3</v>
      </c>
      <c r="O129" s="232"/>
      <c r="P129" s="232"/>
      <c r="Q129" s="232"/>
      <c r="R129" s="232"/>
      <c r="S129" s="232"/>
      <c r="T129" s="232"/>
      <c r="U129" s="232"/>
      <c r="V129" s="43"/>
      <c r="W129" s="43"/>
      <c r="X129" s="43"/>
      <c r="Y129" s="43"/>
    </row>
    <row r="130" spans="1:25">
      <c r="A130" s="43" t="str">
        <f t="shared" si="19"/>
        <v>PE029 La Pointe Investments LLC</v>
      </c>
      <c r="B130" s="79">
        <v>0.01</v>
      </c>
      <c r="C130" s="121">
        <f t="array" ref="C130">IF(SUMPRODUCT(($A130=$Y$5:$Y$43)*(C$100=YEAR($F$5:$F$43)))&gt;=1,SUMPRODUCT(($A130=$A$61:$A$95)*$I$61:$I$95)*((SUMPRODUCT((C$100&gt;=YEAR($F$5:$F$43))*$G$5:$G$43)/$K$58)*100%)*(SUMPRODUCT(($A130=$Y$5:$Y$43)*(C$100&gt;=YEAR($F$5:$F$43))*$G$5:$G$43)/SUMPRODUCT((C$100&gt;=YEAR($F$5:$F$43))*$G$5:$G$43)),IF(B130&gt;0,B130/(1+lgh_equity!C$24),0))</f>
        <v>0.01</v>
      </c>
      <c r="D130" s="121">
        <f t="array" ref="D130">IF(SUMPRODUCT(($A130=$Y$5:$Y$43)*(D$100=YEAR($F$5:$F$43)))&gt;=1,SUMPRODUCT(($A130=$A$61:$A$95)*$I$61:$I$95)*((SUMPRODUCT((D$100&gt;=YEAR($F$5:$F$43))*$G$5:$G$43)/$K$58)*100%)*(SUMPRODUCT(($A130=$Y$5:$Y$43)*(D$100&gt;=YEAR($F$5:$F$43))*$G$5:$G$43)/SUMPRODUCT((D$100&gt;=YEAR($F$5:$F$43))*$G$5:$G$43)),IF(C130&gt;0,C130/(1+lgh_equity!D$24),0))</f>
        <v>8.0906148867313926E-3</v>
      </c>
      <c r="E130" s="121">
        <f t="array" ref="E130">IF(SUMPRODUCT(($A130=$Y$5:$Y$43)*(E$100=YEAR($F$5:$F$43)))&gt;=1,SUMPRODUCT(($A130=$A$61:$A$95)*$I$61:$I$95)*((SUMPRODUCT((E$100&gt;=YEAR($F$5:$F$43))*$G$5:$G$43)/$K$58)*100%)*(SUMPRODUCT(($A130=$Y$5:$Y$43)*(E$100&gt;=YEAR($F$5:$F$43))*$G$5:$G$43)/SUMPRODUCT((E$100&gt;=YEAR($F$5:$F$43))*$G$5:$G$43)),IF(D130&gt;0,D130/(1+lgh_equity!E$24),0))</f>
        <v>8.0648075027226797E-3</v>
      </c>
      <c r="F130" s="121">
        <f t="array" ref="F130">IF(SUMPRODUCT(($A130=$Y$5:$Y$43)*(F$100=YEAR($F$5:$F$43)))&gt;=1,SUMPRODUCT(($A130=$A$61:$A$95)*$I$61:$I$95)*((SUMPRODUCT((F$100&gt;=YEAR($F$5:$F$43))*$G$5:$G$43)/$K$58)*100%)*(SUMPRODUCT(($A130=$Y$5:$Y$43)*(F$100&gt;=YEAR($F$5:$F$43))*$G$5:$G$43)/SUMPRODUCT((F$100&gt;=YEAR($F$5:$F$43))*$G$5:$G$43)),IF(E130&gt;0,E130/(1+lgh_equity!F$24),0))</f>
        <v>8.0648075027226797E-3</v>
      </c>
      <c r="G130" s="121">
        <f t="array" ref="G130">IF(SUMPRODUCT(($A130=$Y$5:$Y$43)*(G$100=YEAR($F$5:$F$43)))&gt;=1,SUMPRODUCT(($A130=$A$61:$A$95)*$I$61:$I$95)*((SUMPRODUCT((G$100&gt;=YEAR($F$5:$F$43))*$G$5:$G$43)/$K$58)*100%)*(SUMPRODUCT(($A130=$Y$5:$Y$43)*(G$100&gt;=YEAR($F$5:$F$43))*$G$5:$G$43)/SUMPRODUCT((G$100&gt;=YEAR($F$5:$F$43))*$G$5:$G$43)),IF(F130&gt;0,F130/(1+lgh_equity!G$24),0))</f>
        <v>8.0648075027226797E-3</v>
      </c>
      <c r="H130" s="121">
        <f t="array" ref="H130">IF(SUMPRODUCT(($A130=$Y$5:$Y$43)*(H$100=YEAR($F$5:$F$43)))&gt;=1,SUMPRODUCT(($A130=$A$61:$A$95)*$I$61:$I$95)*((SUMPRODUCT((H$100&gt;=YEAR($F$5:$F$43))*$G$5:$G$43)/$K$58)*100%)*(SUMPRODUCT(($A130=$Y$5:$Y$43)*(H$100&gt;=YEAR($F$5:$F$43))*$G$5:$G$43)/SUMPRODUCT((H$100&gt;=YEAR($F$5:$F$43))*$G$5:$G$43)),IF(G130&gt;0,G130/(1+lgh_equity!H$24),0))</f>
        <v>8.0648075027226797E-3</v>
      </c>
      <c r="I130" s="53">
        <f t="array" ref="I130">IF(SUMPRODUCT(($A130=$Y$5:$Y$43)*(I$100=YEAR($F$5:$F$43)))&gt;=1,SUMPRODUCT(($A130=$A$61:$A$95)*$I$61:$I$95)*((SUMPRODUCT((I$100&gt;=YEAR($F$5:$F$43))*$G$5:$G$43)/$K$58)*100%)*(SUMPRODUCT(($A130=$Y$5:$Y$43)*(I$100&gt;=YEAR($F$5:$F$43))*$G$5:$G$43)/SUMPRODUCT((I$100&gt;=YEAR($F$5:$F$43))*$G$5:$G$43)),IF(H130&gt;0,H130/(1+lgh_equity!I$24),0))</f>
        <v>8.0648075027226797E-3</v>
      </c>
      <c r="J130" s="53">
        <f t="array" ref="J130">IF(SUMPRODUCT(($A130=$Y$5:$Y$43)*(J$100=YEAR($F$5:$F$43)))&gt;=1,SUMPRODUCT(($A130=$A$61:$A$95)*$I$61:$I$95)*((SUMPRODUCT((J$100&gt;=YEAR($F$5:$F$43))*$G$5:$G$43)/$K$58)*100%)*(SUMPRODUCT(($A130=$Y$5:$Y$43)*(J$100&gt;=YEAR($F$5:$F$43))*$G$5:$G$43)/SUMPRODUCT((J$100&gt;=YEAR($F$5:$F$43))*$G$5:$G$43)),IF(I130&gt;0,I130/(1+lgh_equity!J$24),0))</f>
        <v>8.0648075027226797E-3</v>
      </c>
      <c r="K130" s="53">
        <f t="array" ref="K130">IF(SUMPRODUCT(($A130=$Y$5:$Y$43)*(K$100=YEAR($F$5:$F$43)))&gt;=1,SUMPRODUCT(($A130=$A$61:$A$95)*$I$61:$I$95)*((SUMPRODUCT((K$100&gt;=YEAR($F$5:$F$43))*$G$5:$G$43)/$K$58)*100%)*(SUMPRODUCT(($A130=$Y$5:$Y$43)*(K$100&gt;=YEAR($F$5:$F$43))*$G$5:$G$43)/SUMPRODUCT((K$100&gt;=YEAR($F$5:$F$43))*$G$5:$G$43)),IF(J130&gt;0,J130/(1+lgh_equity!K$24),0))</f>
        <v>8.0648075027226797E-3</v>
      </c>
      <c r="L130" s="53">
        <f t="array" ref="L130">IF(SUMPRODUCT(($A130=$Y$5:$Y$43)*(L$100=YEAR($F$5:$F$43)))&gt;=1,SUMPRODUCT(($A130=$A$61:$A$95)*$I$61:$I$95)*((SUMPRODUCT((L$100&gt;=YEAR($F$5:$F$43))*$G$5:$G$43)/$K$58)*100%)*(SUMPRODUCT(($A130=$Y$5:$Y$43)*(L$100&gt;=YEAR($F$5:$F$43))*$G$5:$G$43)/SUMPRODUCT((L$100&gt;=YEAR($F$5:$F$43))*$G$5:$G$43)),IF(K130&gt;0,K130/(1+lgh_equity!L$24),0))</f>
        <v>8.0648075027226797E-3</v>
      </c>
      <c r="M130" s="53">
        <f t="array" ref="M130">IF(SUMPRODUCT(($A130=$Y$5:$Y$43)*(M$100=YEAR($F$5:$F$43)))&gt;=1,SUMPRODUCT(($A130=$A$61:$A$95)*$I$61:$I$95)*((SUMPRODUCT((M$100&gt;=YEAR($F$5:$F$43))*$G$5:$G$43)/$K$58)*100%)*(SUMPRODUCT(($A130=$Y$5:$Y$43)*(M$100&gt;=YEAR($F$5:$F$43))*$G$5:$G$43)/SUMPRODUCT((M$100&gt;=YEAR($F$5:$F$43))*$G$5:$G$43)),IF(L130&gt;0,L130/(1+lgh_equity!M$24),0))</f>
        <v>8.0648075027226797E-3</v>
      </c>
      <c r="N130" s="53">
        <f t="array" ref="N130">IF(SUMPRODUCT(($A130=$Y$5:$Y$43)*(N$100=YEAR($F$5:$F$43)))&gt;=1,SUMPRODUCT(($A130=$A$61:$A$95)*$I$61:$I$95)*((SUMPRODUCT((N$100&gt;=YEAR($F$5:$F$43))*$G$5:$G$43)/$K$58)*100%)*(SUMPRODUCT(($A130=$Y$5:$Y$43)*(N$100&gt;=YEAR($F$5:$F$43))*$G$5:$G$43)/SUMPRODUCT((N$100&gt;=YEAR($F$5:$F$43))*$G$5:$G$43)),IF(M130&gt;0,M130/(1+lgh_equity!N$24),0))</f>
        <v>8.0648075027226797E-3</v>
      </c>
      <c r="O130" s="232"/>
      <c r="P130" s="232"/>
      <c r="Q130" s="232"/>
      <c r="R130" s="232"/>
      <c r="S130" s="232"/>
      <c r="T130" s="232"/>
      <c r="U130" s="232"/>
      <c r="V130" s="43"/>
      <c r="W130" s="43"/>
      <c r="X130" s="43"/>
      <c r="Y130" s="43"/>
    </row>
    <row r="131" spans="1:25">
      <c r="A131" s="43" t="str">
        <f t="shared" si="19"/>
        <v>PE030 King Partner Pref convert</v>
      </c>
      <c r="B131" s="79">
        <v>0</v>
      </c>
      <c r="C131" s="121">
        <f t="array" ref="C131">IF(SUMPRODUCT(($A131=$Y$5:$Y$43)*(C$100=YEAR($F$5:$F$43)))&gt;=1,SUMPRODUCT(($A131=$A$61:$A$95)*$I$61:$I$95)*((SUMPRODUCT((C$100&gt;=YEAR($F$5:$F$43))*$G$5:$G$43)/$K$58)*100%)*(SUMPRODUCT(($A131=$Y$5:$Y$43)*(C$100&gt;=YEAR($F$5:$F$43))*$G$5:$G$43)/SUMPRODUCT((C$100&gt;=YEAR($F$5:$F$43))*$G$5:$G$43)),IF(B131&gt;0,B131/(1+lgh_equity!C$24),0))</f>
        <v>6.4129999999999994E-3</v>
      </c>
      <c r="D131" s="121">
        <f t="array" ref="D131">IF(SUMPRODUCT(($A131=$Y$5:$Y$43)*(D$100=YEAR($F$5:$F$43)))&gt;=1,SUMPRODUCT(($A131=$A$61:$A$95)*$I$61:$I$95)*((SUMPRODUCT((D$100&gt;=YEAR($F$5:$F$43))*$G$5:$G$43)/$K$58)*100%)*(SUMPRODUCT(($A131=$Y$5:$Y$43)*(D$100&gt;=YEAR($F$5:$F$43))*$G$5:$G$43)/SUMPRODUCT((D$100&gt;=YEAR($F$5:$F$43))*$G$5:$G$43)),IF(C131&gt;0,C131/(1+lgh_equity!D$24),0))</f>
        <v>6.4129999999999994E-3</v>
      </c>
      <c r="E131" s="121">
        <f t="array" ref="E131">IF(SUMPRODUCT(($A131=$Y$5:$Y$43)*(E$100=YEAR($F$5:$F$43)))&gt;=1,SUMPRODUCT(($A131=$A$61:$A$95)*$I$61:$I$95)*((SUMPRODUCT((E$100&gt;=YEAR($F$5:$F$43))*$G$5:$G$43)/$K$58)*100%)*(SUMPRODUCT(($A131=$Y$5:$Y$43)*(E$100&gt;=YEAR($F$5:$F$43))*$G$5:$G$43)/SUMPRODUCT((E$100&gt;=YEAR($F$5:$F$43))*$G$5:$G$43)),IF(D131&gt;0,D131/(1+lgh_equity!E$24),0))</f>
        <v>6.4129999999999994E-3</v>
      </c>
      <c r="F131" s="121">
        <f t="array" ref="F131">IF(SUMPRODUCT(($A131=$Y$5:$Y$43)*(F$100=YEAR($F$5:$F$43)))&gt;=1,SUMPRODUCT(($A131=$A$61:$A$95)*$I$61:$I$95)*((SUMPRODUCT((F$100&gt;=YEAR($F$5:$F$43))*$G$5:$G$43)/$K$58)*100%)*(SUMPRODUCT(($A131=$Y$5:$Y$43)*(F$100&gt;=YEAR($F$5:$F$43))*$G$5:$G$43)/SUMPRODUCT((F$100&gt;=YEAR($F$5:$F$43))*$G$5:$G$43)),IF(E131&gt;0,E131/(1+lgh_equity!F$24),0))</f>
        <v>6.4129999999999994E-3</v>
      </c>
      <c r="G131" s="121">
        <f t="array" ref="G131">IF(SUMPRODUCT(($A131=$Y$5:$Y$43)*(G$100=YEAR($F$5:$F$43)))&gt;=1,SUMPRODUCT(($A131=$A$61:$A$95)*$I$61:$I$95)*((SUMPRODUCT((G$100&gt;=YEAR($F$5:$F$43))*$G$5:$G$43)/$K$58)*100%)*(SUMPRODUCT(($A131=$Y$5:$Y$43)*(G$100&gt;=YEAR($F$5:$F$43))*$G$5:$G$43)/SUMPRODUCT((G$100&gt;=YEAR($F$5:$F$43))*$G$5:$G$43)),IF(F131&gt;0,F131/(1+lgh_equity!G$24),0))</f>
        <v>6.4129999999999994E-3</v>
      </c>
      <c r="H131" s="121">
        <f t="array" ref="H131">IF(SUMPRODUCT(($A131=$Y$5:$Y$43)*(H$100=YEAR($F$5:$F$43)))&gt;=1,SUMPRODUCT(($A131=$A$61:$A$95)*$I$61:$I$95)*((SUMPRODUCT((H$100&gt;=YEAR($F$5:$F$43))*$G$5:$G$43)/$K$58)*100%)*(SUMPRODUCT(($A131=$Y$5:$Y$43)*(H$100&gt;=YEAR($F$5:$F$43))*$G$5:$G$43)/SUMPRODUCT((H$100&gt;=YEAR($F$5:$F$43))*$G$5:$G$43)),IF(G131&gt;0,G131/(1+lgh_equity!H$24),0))</f>
        <v>6.4129999999999994E-3</v>
      </c>
      <c r="I131" s="53">
        <f t="array" ref="I131">IF(SUMPRODUCT(($A131=$Y$5:$Y$43)*(I$100=YEAR($F$5:$F$43)))&gt;=1,SUMPRODUCT(($A131=$A$61:$A$95)*$I$61:$I$95)*((SUMPRODUCT((I$100&gt;=YEAR($F$5:$F$43))*$G$5:$G$43)/$K$58)*100%)*(SUMPRODUCT(($A131=$Y$5:$Y$43)*(I$100&gt;=YEAR($F$5:$F$43))*$G$5:$G$43)/SUMPRODUCT((I$100&gt;=YEAR($F$5:$F$43))*$G$5:$G$43)),IF(H131&gt;0,H131/(1+lgh_equity!I$24),0))</f>
        <v>6.4129999999999994E-3</v>
      </c>
      <c r="J131" s="53">
        <f t="array" ref="J131">IF(SUMPRODUCT(($A131=$Y$5:$Y$43)*(J$100=YEAR($F$5:$F$43)))&gt;=1,SUMPRODUCT(($A131=$A$61:$A$95)*$I$61:$I$95)*((SUMPRODUCT((J$100&gt;=YEAR($F$5:$F$43))*$G$5:$G$43)/$K$58)*100%)*(SUMPRODUCT(($A131=$Y$5:$Y$43)*(J$100&gt;=YEAR($F$5:$F$43))*$G$5:$G$43)/SUMPRODUCT((J$100&gt;=YEAR($F$5:$F$43))*$G$5:$G$43)),IF(I131&gt;0,I131/(1+lgh_equity!J$24),0))</f>
        <v>6.4129999999999994E-3</v>
      </c>
      <c r="K131" s="53">
        <f t="array" ref="K131">IF(SUMPRODUCT(($A131=$Y$5:$Y$43)*(K$100=YEAR($F$5:$F$43)))&gt;=1,SUMPRODUCT(($A131=$A$61:$A$95)*$I$61:$I$95)*((SUMPRODUCT((K$100&gt;=YEAR($F$5:$F$43))*$G$5:$G$43)/$K$58)*100%)*(SUMPRODUCT(($A131=$Y$5:$Y$43)*(K$100&gt;=YEAR($F$5:$F$43))*$G$5:$G$43)/SUMPRODUCT((K$100&gt;=YEAR($F$5:$F$43))*$G$5:$G$43)),IF(J131&gt;0,J131/(1+lgh_equity!K$24),0))</f>
        <v>6.4129999999999994E-3</v>
      </c>
      <c r="L131" s="53">
        <f t="array" ref="L131">IF(SUMPRODUCT(($A131=$Y$5:$Y$43)*(L$100=YEAR($F$5:$F$43)))&gt;=1,SUMPRODUCT(($A131=$A$61:$A$95)*$I$61:$I$95)*((SUMPRODUCT((L$100&gt;=YEAR($F$5:$F$43))*$G$5:$G$43)/$K$58)*100%)*(SUMPRODUCT(($A131=$Y$5:$Y$43)*(L$100&gt;=YEAR($F$5:$F$43))*$G$5:$G$43)/SUMPRODUCT((L$100&gt;=YEAR($F$5:$F$43))*$G$5:$G$43)),IF(K131&gt;0,K131/(1+lgh_equity!L$24),0))</f>
        <v>6.4129999999999994E-3</v>
      </c>
      <c r="M131" s="53">
        <f t="array" ref="M131">IF(SUMPRODUCT(($A131=$Y$5:$Y$43)*(M$100=YEAR($F$5:$F$43)))&gt;=1,SUMPRODUCT(($A131=$A$61:$A$95)*$I$61:$I$95)*((SUMPRODUCT((M$100&gt;=YEAR($F$5:$F$43))*$G$5:$G$43)/$K$58)*100%)*(SUMPRODUCT(($A131=$Y$5:$Y$43)*(M$100&gt;=YEAR($F$5:$F$43))*$G$5:$G$43)/SUMPRODUCT((M$100&gt;=YEAR($F$5:$F$43))*$G$5:$G$43)),IF(L131&gt;0,L131/(1+lgh_equity!M$24),0))</f>
        <v>6.4129999999999994E-3</v>
      </c>
      <c r="N131" s="53">
        <f t="array" ref="N131">IF(SUMPRODUCT(($A131=$Y$5:$Y$43)*(N$100=YEAR($F$5:$F$43)))&gt;=1,SUMPRODUCT(($A131=$A$61:$A$95)*$I$61:$I$95)*((SUMPRODUCT((N$100&gt;=YEAR($F$5:$F$43))*$G$5:$G$43)/$K$58)*100%)*(SUMPRODUCT(($A131=$Y$5:$Y$43)*(N$100&gt;=YEAR($F$5:$F$43))*$G$5:$G$43)/SUMPRODUCT((N$100&gt;=YEAR($F$5:$F$43))*$G$5:$G$43)),IF(M131&gt;0,M131/(1+lgh_equity!N$24),0))</f>
        <v>6.4129999999999994E-3</v>
      </c>
      <c r="O131" s="232"/>
      <c r="P131" s="232"/>
      <c r="Q131" s="232"/>
      <c r="R131" s="232"/>
      <c r="S131" s="232"/>
      <c r="T131" s="232"/>
      <c r="U131" s="232"/>
      <c r="V131" s="43"/>
      <c r="W131" s="43"/>
      <c r="X131" s="43"/>
      <c r="Y131" s="43"/>
    </row>
    <row r="132" spans="1:25">
      <c r="A132" s="43" t="str">
        <f t="shared" si="19"/>
        <v>PE031 Edwin2 convert</v>
      </c>
      <c r="B132" s="79">
        <v>0</v>
      </c>
      <c r="C132" s="121">
        <f t="array" ref="C132">IF(SUMPRODUCT(($A132=$Y$5:$Y$43)*(C$100=YEAR($F$5:$F$43)))&gt;=1,SUMPRODUCT(($A132=$A$61:$A$95)*$I$61:$I$95)*((SUMPRODUCT((C$100&gt;=YEAR($F$5:$F$43))*$G$5:$G$43)/$K$58)*100%)*(SUMPRODUCT(($A132=$Y$5:$Y$43)*(C$100&gt;=YEAR($F$5:$F$43))*$G$5:$G$43)/SUMPRODUCT((C$100&gt;=YEAR($F$5:$F$43))*$G$5:$G$43)),IF(B132&gt;0,B132/(1+lgh_equity!C$24),0))</f>
        <v>1.2719999999999999E-3</v>
      </c>
      <c r="D132" s="121">
        <f t="array" ref="D132">IF(SUMPRODUCT(($A132=$Y$5:$Y$43)*(D$100=YEAR($F$5:$F$43)))&gt;=1,SUMPRODUCT(($A132=$A$61:$A$95)*$I$61:$I$95)*((SUMPRODUCT((D$100&gt;=YEAR($F$5:$F$43))*$G$5:$G$43)/$K$58)*100%)*(SUMPRODUCT(($A132=$Y$5:$Y$43)*(D$100&gt;=YEAR($F$5:$F$43))*$G$5:$G$43)/SUMPRODUCT((D$100&gt;=YEAR($F$5:$F$43))*$G$5:$G$43)),IF(C132&gt;0,C132/(1+lgh_equity!D$24),0))</f>
        <v>1.2719999999999999E-3</v>
      </c>
      <c r="E132" s="121">
        <f t="array" ref="E132">IF(SUMPRODUCT(($A132=$Y$5:$Y$43)*(E$100=YEAR($F$5:$F$43)))&gt;=1,SUMPRODUCT(($A132=$A$61:$A$95)*$I$61:$I$95)*((SUMPRODUCT((E$100&gt;=YEAR($F$5:$F$43))*$G$5:$G$43)/$K$58)*100%)*(SUMPRODUCT(($A132=$Y$5:$Y$43)*(E$100&gt;=YEAR($F$5:$F$43))*$G$5:$G$43)/SUMPRODUCT((E$100&gt;=YEAR($F$5:$F$43))*$G$5:$G$43)),IF(D132&gt;0,D132/(1+lgh_equity!E$24),0))</f>
        <v>1.2719999999999999E-3</v>
      </c>
      <c r="F132" s="121">
        <f t="array" ref="F132">IF(SUMPRODUCT(($A132=$Y$5:$Y$43)*(F$100=YEAR($F$5:$F$43)))&gt;=1,SUMPRODUCT(($A132=$A$61:$A$95)*$I$61:$I$95)*((SUMPRODUCT((F$100&gt;=YEAR($F$5:$F$43))*$G$5:$G$43)/$K$58)*100%)*(SUMPRODUCT(($A132=$Y$5:$Y$43)*(F$100&gt;=YEAR($F$5:$F$43))*$G$5:$G$43)/SUMPRODUCT((F$100&gt;=YEAR($F$5:$F$43))*$G$5:$G$43)),IF(E132&gt;0,E132/(1+lgh_equity!F$24),0))</f>
        <v>1.2719999999999999E-3</v>
      </c>
      <c r="G132" s="121">
        <f t="array" ref="G132">IF(SUMPRODUCT(($A132=$Y$5:$Y$43)*(G$100=YEAR($F$5:$F$43)))&gt;=1,SUMPRODUCT(($A132=$A$61:$A$95)*$I$61:$I$95)*((SUMPRODUCT((G$100&gt;=YEAR($F$5:$F$43))*$G$5:$G$43)/$K$58)*100%)*(SUMPRODUCT(($A132=$Y$5:$Y$43)*(G$100&gt;=YEAR($F$5:$F$43))*$G$5:$G$43)/SUMPRODUCT((G$100&gt;=YEAR($F$5:$F$43))*$G$5:$G$43)),IF(F132&gt;0,F132/(1+lgh_equity!G$24),0))</f>
        <v>1.2719999999999999E-3</v>
      </c>
      <c r="H132" s="121">
        <f t="array" ref="H132">IF(SUMPRODUCT(($A132=$Y$5:$Y$43)*(H$100=YEAR($F$5:$F$43)))&gt;=1,SUMPRODUCT(($A132=$A$61:$A$95)*$I$61:$I$95)*((SUMPRODUCT((H$100&gt;=YEAR($F$5:$F$43))*$G$5:$G$43)/$K$58)*100%)*(SUMPRODUCT(($A132=$Y$5:$Y$43)*(H$100&gt;=YEAR($F$5:$F$43))*$G$5:$G$43)/SUMPRODUCT((H$100&gt;=YEAR($F$5:$F$43))*$G$5:$G$43)),IF(G132&gt;0,G132/(1+lgh_equity!H$24),0))</f>
        <v>1.2719999999999999E-3</v>
      </c>
      <c r="I132" s="53">
        <f t="array" ref="I132">IF(SUMPRODUCT(($A132=$Y$5:$Y$43)*(I$100=YEAR($F$5:$F$43)))&gt;=1,SUMPRODUCT(($A132=$A$61:$A$95)*$I$61:$I$95)*((SUMPRODUCT((I$100&gt;=YEAR($F$5:$F$43))*$G$5:$G$43)/$K$58)*100%)*(SUMPRODUCT(($A132=$Y$5:$Y$43)*(I$100&gt;=YEAR($F$5:$F$43))*$G$5:$G$43)/SUMPRODUCT((I$100&gt;=YEAR($F$5:$F$43))*$G$5:$G$43)),IF(H132&gt;0,H132/(1+lgh_equity!I$24),0))</f>
        <v>1.2719999999999999E-3</v>
      </c>
      <c r="J132" s="53">
        <f t="array" ref="J132">IF(SUMPRODUCT(($A132=$Y$5:$Y$43)*(J$100=YEAR($F$5:$F$43)))&gt;=1,SUMPRODUCT(($A132=$A$61:$A$95)*$I$61:$I$95)*((SUMPRODUCT((J$100&gt;=YEAR($F$5:$F$43))*$G$5:$G$43)/$K$58)*100%)*(SUMPRODUCT(($A132=$Y$5:$Y$43)*(J$100&gt;=YEAR($F$5:$F$43))*$G$5:$G$43)/SUMPRODUCT((J$100&gt;=YEAR($F$5:$F$43))*$G$5:$G$43)),IF(I132&gt;0,I132/(1+lgh_equity!J$24),0))</f>
        <v>1.2719999999999999E-3</v>
      </c>
      <c r="K132" s="53">
        <f t="array" ref="K132">IF(SUMPRODUCT(($A132=$Y$5:$Y$43)*(K$100=YEAR($F$5:$F$43)))&gt;=1,SUMPRODUCT(($A132=$A$61:$A$95)*$I$61:$I$95)*((SUMPRODUCT((K$100&gt;=YEAR($F$5:$F$43))*$G$5:$G$43)/$K$58)*100%)*(SUMPRODUCT(($A132=$Y$5:$Y$43)*(K$100&gt;=YEAR($F$5:$F$43))*$G$5:$G$43)/SUMPRODUCT((K$100&gt;=YEAR($F$5:$F$43))*$G$5:$G$43)),IF(J132&gt;0,J132/(1+lgh_equity!K$24),0))</f>
        <v>1.2719999999999999E-3</v>
      </c>
      <c r="L132" s="53">
        <f t="array" ref="L132">IF(SUMPRODUCT(($A132=$Y$5:$Y$43)*(L$100=YEAR($F$5:$F$43)))&gt;=1,SUMPRODUCT(($A132=$A$61:$A$95)*$I$61:$I$95)*((SUMPRODUCT((L$100&gt;=YEAR($F$5:$F$43))*$G$5:$G$43)/$K$58)*100%)*(SUMPRODUCT(($A132=$Y$5:$Y$43)*(L$100&gt;=YEAR($F$5:$F$43))*$G$5:$G$43)/SUMPRODUCT((L$100&gt;=YEAR($F$5:$F$43))*$G$5:$G$43)),IF(K132&gt;0,K132/(1+lgh_equity!L$24),0))</f>
        <v>1.2719999999999999E-3</v>
      </c>
      <c r="M132" s="53">
        <f t="array" ref="M132">IF(SUMPRODUCT(($A132=$Y$5:$Y$43)*(M$100=YEAR($F$5:$F$43)))&gt;=1,SUMPRODUCT(($A132=$A$61:$A$95)*$I$61:$I$95)*((SUMPRODUCT((M$100&gt;=YEAR($F$5:$F$43))*$G$5:$G$43)/$K$58)*100%)*(SUMPRODUCT(($A132=$Y$5:$Y$43)*(M$100&gt;=YEAR($F$5:$F$43))*$G$5:$G$43)/SUMPRODUCT((M$100&gt;=YEAR($F$5:$F$43))*$G$5:$G$43)),IF(L132&gt;0,L132/(1+lgh_equity!M$24),0))</f>
        <v>1.2719999999999999E-3</v>
      </c>
      <c r="N132" s="53">
        <f t="array" ref="N132">IF(SUMPRODUCT(($A132=$Y$5:$Y$43)*(N$100=YEAR($F$5:$F$43)))&gt;=1,SUMPRODUCT(($A132=$A$61:$A$95)*$I$61:$I$95)*((SUMPRODUCT((N$100&gt;=YEAR($F$5:$F$43))*$G$5:$G$43)/$K$58)*100%)*(SUMPRODUCT(($A132=$Y$5:$Y$43)*(N$100&gt;=YEAR($F$5:$F$43))*$G$5:$G$43)/SUMPRODUCT((N$100&gt;=YEAR($F$5:$F$43))*$G$5:$G$43)),IF(M132&gt;0,M132/(1+lgh_equity!N$24),0))</f>
        <v>1.2719999999999999E-3</v>
      </c>
      <c r="O132" s="232"/>
      <c r="P132" s="232"/>
      <c r="Q132" s="232"/>
      <c r="R132" s="232"/>
      <c r="S132" s="232"/>
      <c r="T132" s="232"/>
      <c r="U132" s="232"/>
      <c r="V132" s="43"/>
      <c r="W132" s="43"/>
      <c r="X132" s="43"/>
      <c r="Y132" s="43"/>
    </row>
    <row r="133" spans="1:25">
      <c r="A133" s="43" t="str">
        <f t="shared" si="19"/>
        <v>PE032 Buddy</v>
      </c>
      <c r="B133" s="79">
        <v>0</v>
      </c>
      <c r="C133" s="121">
        <f t="array" ref="C133">IF(SUMPRODUCT(($A133=$Y$5:$Y$43)*(C$100=YEAR($F$5:$F$43)))&gt;=1,SUMPRODUCT(($A133=$A$61:$A$95)*$I$61:$I$95)*((SUMPRODUCT((C$100&gt;=YEAR($F$5:$F$43))*$G$5:$G$43)/$K$58)*100%)*(SUMPRODUCT(($A133=$Y$5:$Y$43)*(C$100&gt;=YEAR($F$5:$F$43))*$G$5:$G$43)/SUMPRODUCT((C$100&gt;=YEAR($F$5:$F$43))*$G$5:$G$43)),IF(B133&gt;0,B133/(1+lgh_equity!C$24),0))</f>
        <v>0</v>
      </c>
      <c r="D133" s="121">
        <f t="array" ref="D133">IF(SUMPRODUCT(($A133=$Y$5:$Y$43)*(D$100=YEAR($F$5:$F$43)))&gt;=1,SUMPRODUCT(($A133=$A$61:$A$95)*$I$61:$I$95)*((SUMPRODUCT((D$100&gt;=YEAR($F$5:$F$43))*$G$5:$G$43)/$K$58)*100%)*(SUMPRODUCT(($A133=$Y$5:$Y$43)*(D$100&gt;=YEAR($F$5:$F$43))*$G$5:$G$43)/SUMPRODUCT((D$100&gt;=YEAR($F$5:$F$43))*$G$5:$G$43)),IF(C133&gt;0,C133/(1+lgh_equity!D$24),0))</f>
        <v>0</v>
      </c>
      <c r="E133" s="121">
        <f t="array" ref="E133">IF(SUMPRODUCT(($A133=$Y$5:$Y$43)*(E$100=YEAR($F$5:$F$43)))&gt;=1,SUMPRODUCT(($A133=$A$61:$A$95)*$I$61:$I$95)*((SUMPRODUCT((E$100&gt;=YEAR($F$5:$F$43))*$G$5:$G$43)/$K$58)*100%)*(SUMPRODUCT(($A133=$Y$5:$Y$43)*(E$100&gt;=YEAR($F$5:$F$43))*$G$5:$G$43)/SUMPRODUCT((E$100&gt;=YEAR($F$5:$F$43))*$G$5:$G$43)),IF(D133&gt;0,D133/(1+lgh_equity!E$24),0))</f>
        <v>0</v>
      </c>
      <c r="F133" s="121">
        <f t="array" ref="F133">IF(SUMPRODUCT(($A133=$Y$5:$Y$43)*(F$100=YEAR($F$5:$F$43)))&gt;=1,SUMPRODUCT(($A133=$A$61:$A$95)*$I$61:$I$95)*((SUMPRODUCT((F$100&gt;=YEAR($F$5:$F$43))*$G$5:$G$43)/$K$58)*100%)*(SUMPRODUCT(($A133=$Y$5:$Y$43)*(F$100&gt;=YEAR($F$5:$F$43))*$G$5:$G$43)/SUMPRODUCT((F$100&gt;=YEAR($F$5:$F$43))*$G$5:$G$43)),IF(E133&gt;0,E133/(1+lgh_equity!F$24),0))</f>
        <v>0</v>
      </c>
      <c r="G133" s="121">
        <f t="array" ref="G133">IF(SUMPRODUCT(($A133=$Y$5:$Y$43)*(G$100=YEAR($F$5:$F$43)))&gt;=1,SUMPRODUCT(($A133=$A$61:$A$95)*$I$61:$I$95)*((SUMPRODUCT((G$100&gt;=YEAR($F$5:$F$43))*$G$5:$G$43)/$K$58)*100%)*(SUMPRODUCT(($A133=$Y$5:$Y$43)*(G$100&gt;=YEAR($F$5:$F$43))*$G$5:$G$43)/SUMPRODUCT((G$100&gt;=YEAR($F$5:$F$43))*$G$5:$G$43)),IF(F133&gt;0,F133/(1+lgh_equity!G$24),0))</f>
        <v>1.5899999999999998E-3</v>
      </c>
      <c r="H133" s="121">
        <f t="array" ref="H133">IF(SUMPRODUCT(($A133=$Y$5:$Y$43)*(H$100=YEAR($F$5:$F$43)))&gt;=1,SUMPRODUCT(($A133=$A$61:$A$95)*$I$61:$I$95)*((SUMPRODUCT((H$100&gt;=YEAR($F$5:$F$43))*$G$5:$G$43)/$K$58)*100%)*(SUMPRODUCT(($A133=$Y$5:$Y$43)*(H$100&gt;=YEAR($F$5:$F$43))*$G$5:$G$43)/SUMPRODUCT((H$100&gt;=YEAR($F$5:$F$43))*$G$5:$G$43)),IF(G133&gt;0,G133/(1+lgh_equity!H$24),0))</f>
        <v>1.5899999999999998E-3</v>
      </c>
      <c r="I133" s="53">
        <f t="array" ref="I133">IF(SUMPRODUCT(($A133=$Y$5:$Y$43)*(I$100=YEAR($F$5:$F$43)))&gt;=1,SUMPRODUCT(($A133=$A$61:$A$95)*$I$61:$I$95)*((SUMPRODUCT((I$100&gt;=YEAR($F$5:$F$43))*$G$5:$G$43)/$K$58)*100%)*(SUMPRODUCT(($A133=$Y$5:$Y$43)*(I$100&gt;=YEAR($F$5:$F$43))*$G$5:$G$43)/SUMPRODUCT((I$100&gt;=YEAR($F$5:$F$43))*$G$5:$G$43)),IF(H133&gt;0,H133/(1+lgh_equity!I$24),0))</f>
        <v>1.5899999999999998E-3</v>
      </c>
      <c r="J133" s="53">
        <f t="array" ref="J133">IF(SUMPRODUCT(($A133=$Y$5:$Y$43)*(J$100=YEAR($F$5:$F$43)))&gt;=1,SUMPRODUCT(($A133=$A$61:$A$95)*$I$61:$I$95)*((SUMPRODUCT((J$100&gt;=YEAR($F$5:$F$43))*$G$5:$G$43)/$K$58)*100%)*(SUMPRODUCT(($A133=$Y$5:$Y$43)*(J$100&gt;=YEAR($F$5:$F$43))*$G$5:$G$43)/SUMPRODUCT((J$100&gt;=YEAR($F$5:$F$43))*$G$5:$G$43)),IF(I133&gt;0,I133/(1+lgh_equity!J$24),0))</f>
        <v>1.5899999999999998E-3</v>
      </c>
      <c r="K133" s="53">
        <f t="array" ref="K133">IF(SUMPRODUCT(($A133=$Y$5:$Y$43)*(K$100=YEAR($F$5:$F$43)))&gt;=1,SUMPRODUCT(($A133=$A$61:$A$95)*$I$61:$I$95)*((SUMPRODUCT((K$100&gt;=YEAR($F$5:$F$43))*$G$5:$G$43)/$K$58)*100%)*(SUMPRODUCT(($A133=$Y$5:$Y$43)*(K$100&gt;=YEAR($F$5:$F$43))*$G$5:$G$43)/SUMPRODUCT((K$100&gt;=YEAR($F$5:$F$43))*$G$5:$G$43)),IF(J133&gt;0,J133/(1+lgh_equity!K$24),0))</f>
        <v>1.5899999999999998E-3</v>
      </c>
      <c r="L133" s="53">
        <f t="array" ref="L133">IF(SUMPRODUCT(($A133=$Y$5:$Y$43)*(L$100=YEAR($F$5:$F$43)))&gt;=1,SUMPRODUCT(($A133=$A$61:$A$95)*$I$61:$I$95)*((SUMPRODUCT((L$100&gt;=YEAR($F$5:$F$43))*$G$5:$G$43)/$K$58)*100%)*(SUMPRODUCT(($A133=$Y$5:$Y$43)*(L$100&gt;=YEAR($F$5:$F$43))*$G$5:$G$43)/SUMPRODUCT((L$100&gt;=YEAR($F$5:$F$43))*$G$5:$G$43)),IF(K133&gt;0,K133/(1+lgh_equity!L$24),0))</f>
        <v>1.5899999999999998E-3</v>
      </c>
      <c r="M133" s="53">
        <f t="array" ref="M133">IF(SUMPRODUCT(($A133=$Y$5:$Y$43)*(M$100=YEAR($F$5:$F$43)))&gt;=1,SUMPRODUCT(($A133=$A$61:$A$95)*$I$61:$I$95)*((SUMPRODUCT((M$100&gt;=YEAR($F$5:$F$43))*$G$5:$G$43)/$K$58)*100%)*(SUMPRODUCT(($A133=$Y$5:$Y$43)*(M$100&gt;=YEAR($F$5:$F$43))*$G$5:$G$43)/SUMPRODUCT((M$100&gt;=YEAR($F$5:$F$43))*$G$5:$G$43)),IF(L133&gt;0,L133/(1+lgh_equity!M$24),0))</f>
        <v>1.5899999999999998E-3</v>
      </c>
      <c r="N133" s="53">
        <f t="array" ref="N133">IF(SUMPRODUCT(($A133=$Y$5:$Y$43)*(N$100=YEAR($F$5:$F$43)))&gt;=1,SUMPRODUCT(($A133=$A$61:$A$95)*$I$61:$I$95)*((SUMPRODUCT((N$100&gt;=YEAR($F$5:$F$43))*$G$5:$G$43)/$K$58)*100%)*(SUMPRODUCT(($A133=$Y$5:$Y$43)*(N$100&gt;=YEAR($F$5:$F$43))*$G$5:$G$43)/SUMPRODUCT((N$100&gt;=YEAR($F$5:$F$43))*$G$5:$G$43)),IF(M133&gt;0,M133/(1+lgh_equity!N$24),0))</f>
        <v>1.5899999999999998E-3</v>
      </c>
      <c r="O133" s="232"/>
      <c r="P133" s="232"/>
      <c r="Q133" s="232"/>
      <c r="R133" s="232"/>
      <c r="S133" s="232"/>
      <c r="T133" s="232"/>
      <c r="U133" s="232"/>
      <c r="V133" s="43"/>
      <c r="W133" s="43"/>
      <c r="X133" s="43"/>
      <c r="Y133" s="43"/>
    </row>
    <row r="134" spans="1:25">
      <c r="A134" s="43" t="str">
        <f t="shared" si="19"/>
        <v>PE033 PFNGT LLC</v>
      </c>
      <c r="B134" s="79">
        <v>0</v>
      </c>
      <c r="C134" s="121">
        <f t="array" ref="C134">IF(SUMPRODUCT(($A134=$Y$5:$Y$43)*(C$100=YEAR($F$5:$F$43)))&gt;=1,SUMPRODUCT(($A134=$A$61:$A$95)*$I$61:$I$95)*((SUMPRODUCT((C$100&gt;=YEAR($F$5:$F$43))*$G$5:$G$43)/$K$58)*100%)*(SUMPRODUCT(($A134=$Y$5:$Y$43)*(C$100&gt;=YEAR($F$5:$F$43))*$G$5:$G$43)/SUMPRODUCT((C$100&gt;=YEAR($F$5:$F$43))*$G$5:$G$43)),IF(B134&gt;0,B134/(1+lgh_equity!C$24),0))</f>
        <v>0</v>
      </c>
      <c r="D134" s="121">
        <f t="array" ref="D134">IF(SUMPRODUCT(($A134=$Y$5:$Y$43)*(D$100=YEAR($F$5:$F$43)))&gt;=1,SUMPRODUCT(($A134=$A$61:$A$95)*$I$61:$I$95)*((SUMPRODUCT((D$100&gt;=YEAR($F$5:$F$43))*$G$5:$G$43)/$K$58)*100%)*(SUMPRODUCT(($A134=$Y$5:$Y$43)*(D$100&gt;=YEAR($F$5:$F$43))*$G$5:$G$43)/SUMPRODUCT((D$100&gt;=YEAR($F$5:$F$43))*$G$5:$G$43)),IF(C134&gt;0,C134/(1+lgh_equity!D$24),0))</f>
        <v>0</v>
      </c>
      <c r="E134" s="121">
        <f t="array" ref="E134">IF(SUMPRODUCT(($A134=$Y$5:$Y$43)*(E$100=YEAR($F$5:$F$43)))&gt;=1,SUMPRODUCT(($A134=$A$61:$A$95)*$I$61:$I$95)*((SUMPRODUCT((E$100&gt;=YEAR($F$5:$F$43))*$G$5:$G$43)/$K$58)*100%)*(SUMPRODUCT(($A134=$Y$5:$Y$43)*(E$100&gt;=YEAR($F$5:$F$43))*$G$5:$G$43)/SUMPRODUCT((E$100&gt;=YEAR($F$5:$F$43))*$G$5:$G$43)),IF(D134&gt;0,D134/(1+lgh_equity!E$24),0))</f>
        <v>0</v>
      </c>
      <c r="F134" s="121">
        <f t="array" ref="F134">IF(SUMPRODUCT(($A134=$Y$5:$Y$43)*(F$100=YEAR($F$5:$F$43)))&gt;=1,SUMPRODUCT(($A134=$A$61:$A$95)*$I$61:$I$95)*((SUMPRODUCT((F$100&gt;=YEAR($F$5:$F$43))*$G$5:$G$43)/$K$58)*100%)*(SUMPRODUCT(($A134=$Y$5:$Y$43)*(F$100&gt;=YEAR($F$5:$F$43))*$G$5:$G$43)/SUMPRODUCT((F$100&gt;=YEAR($F$5:$F$43))*$G$5:$G$43)),IF(E134&gt;0,E134/(1+lgh_equity!F$24),0))</f>
        <v>0</v>
      </c>
      <c r="G134" s="121">
        <f t="array" ref="G134">IF(SUMPRODUCT(($A134=$Y$5:$Y$43)*(G$100=YEAR($F$5:$F$43)))&gt;=1,SUMPRODUCT(($A134=$A$61:$A$95)*$I$61:$I$95)*((SUMPRODUCT((G$100&gt;=YEAR($F$5:$F$43))*$G$5:$G$43)/$K$58)*100%)*(SUMPRODUCT(($A134=$Y$5:$Y$43)*(G$100&gt;=YEAR($F$5:$F$43))*$G$5:$G$43)/SUMPRODUCT((G$100&gt;=YEAR($F$5:$F$43))*$G$5:$G$43)),IF(F134&gt;0,F134/(1+lgh_equity!G$24),0))</f>
        <v>0</v>
      </c>
      <c r="H134" s="121">
        <f t="array" ref="H134">IF(SUMPRODUCT(($A134=$Y$5:$Y$43)*(H$100=YEAR($F$5:$F$43)))&gt;=1,SUMPRODUCT(($A134=$A$61:$A$95)*$I$61:$I$95)*((SUMPRODUCT((H$100&gt;=YEAR($F$5:$F$43))*$G$5:$G$43)/$K$58)*100%)*(SUMPRODUCT(($A134=$Y$5:$Y$43)*(H$100&gt;=YEAR($F$5:$F$43))*$G$5:$G$43)/SUMPRODUCT((H$100&gt;=YEAR($F$5:$F$43))*$G$5:$G$43)),IF(G134&gt;0,G134/(1+lgh_equity!H$24),0))</f>
        <v>0</v>
      </c>
      <c r="I134" s="53">
        <f t="array" ref="I134">IF(SUMPRODUCT(($A134=$Y$5:$Y$43)*(I$100=YEAR($F$5:$F$43)))&gt;=1,SUMPRODUCT(($A134=$A$61:$A$95)*$I$61:$I$95)*((SUMPRODUCT((I$100&gt;=YEAR($F$5:$F$43))*$G$5:$G$43)/$K$58)*100%)*(SUMPRODUCT(($A134=$Y$5:$Y$43)*(I$100&gt;=YEAR($F$5:$F$43))*$G$5:$G$43)/SUMPRODUCT((I$100&gt;=YEAR($F$5:$F$43))*$G$5:$G$43)),IF(H134&gt;0,H134/(1+lgh_equity!I$24),0))</f>
        <v>0</v>
      </c>
      <c r="J134" s="53">
        <f t="array" ref="J134">IF(SUMPRODUCT(($A134=$Y$5:$Y$43)*(J$100=YEAR($F$5:$F$43)))&gt;=1,SUMPRODUCT(($A134=$A$61:$A$95)*$I$61:$I$95)*((SUMPRODUCT((J$100&gt;=YEAR($F$5:$F$43))*$G$5:$G$43)/$K$58)*100%)*(SUMPRODUCT(($A134=$Y$5:$Y$43)*(J$100&gt;=YEAR($F$5:$F$43))*$G$5:$G$43)/SUMPRODUCT((J$100&gt;=YEAR($F$5:$F$43))*$G$5:$G$43)),IF(I134&gt;0,I134/(1+lgh_equity!J$24),0))</f>
        <v>0</v>
      </c>
      <c r="K134" s="53">
        <f t="array" ref="K134">IF(SUMPRODUCT(($A134=$Y$5:$Y$43)*(K$100=YEAR($F$5:$F$43)))&gt;=1,SUMPRODUCT(($A134=$A$61:$A$95)*$I$61:$I$95)*((SUMPRODUCT((K$100&gt;=YEAR($F$5:$F$43))*$G$5:$G$43)/$K$58)*100%)*(SUMPRODUCT(($A134=$Y$5:$Y$43)*(K$100&gt;=YEAR($F$5:$F$43))*$G$5:$G$43)/SUMPRODUCT((K$100&gt;=YEAR($F$5:$F$43))*$G$5:$G$43)),IF(J134&gt;0,J134/(1+lgh_equity!K$24),0))</f>
        <v>0</v>
      </c>
      <c r="L134" s="53">
        <f t="array" ref="L134">IF(SUMPRODUCT(($A134=$Y$5:$Y$43)*(L$100=YEAR($F$5:$F$43)))&gt;=1,SUMPRODUCT(($A134=$A$61:$A$95)*$I$61:$I$95)*((SUMPRODUCT((L$100&gt;=YEAR($F$5:$F$43))*$G$5:$G$43)/$K$58)*100%)*(SUMPRODUCT(($A134=$Y$5:$Y$43)*(L$100&gt;=YEAR($F$5:$F$43))*$G$5:$G$43)/SUMPRODUCT((L$100&gt;=YEAR($F$5:$F$43))*$G$5:$G$43)),IF(K134&gt;0,K134/(1+lgh_equity!L$24),0))</f>
        <v>0</v>
      </c>
      <c r="M134" s="53">
        <f t="array" ref="M134">IF(SUMPRODUCT(($A134=$Y$5:$Y$43)*(M$100=YEAR($F$5:$F$43)))&gt;=1,SUMPRODUCT(($A134=$A$61:$A$95)*$I$61:$I$95)*((SUMPRODUCT((M$100&gt;=YEAR($F$5:$F$43))*$G$5:$G$43)/$K$58)*100%)*(SUMPRODUCT(($A134=$Y$5:$Y$43)*(M$100&gt;=YEAR($F$5:$F$43))*$G$5:$G$43)/SUMPRODUCT((M$100&gt;=YEAR($F$5:$F$43))*$G$5:$G$43)),IF(L134&gt;0,L134/(1+lgh_equity!M$24),0))</f>
        <v>0</v>
      </c>
      <c r="N134" s="53">
        <f t="array" ref="N134">IF(SUMPRODUCT(($A134=$Y$5:$Y$43)*(N$100=YEAR($F$5:$F$43)))&gt;=1,SUMPRODUCT(($A134=$A$61:$A$95)*$I$61:$I$95)*((SUMPRODUCT((N$100&gt;=YEAR($F$5:$F$43))*$G$5:$G$43)/$K$58)*100%)*(SUMPRODUCT(($A134=$Y$5:$Y$43)*(N$100&gt;=YEAR($F$5:$F$43))*$G$5:$G$43)/SUMPRODUCT((N$100&gt;=YEAR($F$5:$F$43))*$G$5:$G$43)),IF(M134&gt;0,M134/(1+lgh_equity!N$24),0))</f>
        <v>0</v>
      </c>
      <c r="O134" s="232"/>
      <c r="P134" s="232"/>
      <c r="Q134" s="232"/>
      <c r="R134" s="232"/>
      <c r="S134" s="232"/>
      <c r="T134" s="232"/>
      <c r="U134" s="232"/>
      <c r="V134" s="43"/>
      <c r="W134" s="43"/>
      <c r="X134" s="43"/>
      <c r="Y134" s="43"/>
    </row>
    <row r="135" spans="1:25">
      <c r="A135" s="43" t="str">
        <f t="shared" si="19"/>
        <v>PE034 Cambrian</v>
      </c>
      <c r="B135" s="79">
        <v>0</v>
      </c>
      <c r="C135" s="121">
        <f t="array" ref="C135">IF(SUMPRODUCT(($A135=$Y$5:$Y$43)*(C$100=YEAR($F$5:$F$43)))&gt;=1,SUMPRODUCT(($A135=$A$61:$A$95)*$I$61:$I$95)*((SUMPRODUCT((C$100&gt;=YEAR($F$5:$F$43))*$G$5:$G$43)/$K$58)*100%)*(SUMPRODUCT(($A135=$Y$5:$Y$43)*(C$100&gt;=YEAR($F$5:$F$43))*$G$5:$G$43)/SUMPRODUCT((C$100&gt;=YEAR($F$5:$F$43))*$G$5:$G$43)),IF(B135&gt;0,B135/(1+lgh_equity!C$24),0))</f>
        <v>0</v>
      </c>
      <c r="D135" s="121">
        <f t="array" ref="D135">IF(SUMPRODUCT(($A135=$Y$5:$Y$43)*(D$100=YEAR($F$5:$F$43)))&gt;=1,SUMPRODUCT(($A135=$A$61:$A$95)*$I$61:$I$95)*((SUMPRODUCT((D$100&gt;=YEAR($F$5:$F$43))*$G$5:$G$43)/$K$58)*100%)*(SUMPRODUCT(($A135=$Y$5:$Y$43)*(D$100&gt;=YEAR($F$5:$F$43))*$G$5:$G$43)/SUMPRODUCT((D$100&gt;=YEAR($F$5:$F$43))*$G$5:$G$43)),IF(C135&gt;0,C135/(1+lgh_equity!D$24),0))</f>
        <v>0</v>
      </c>
      <c r="E135" s="121">
        <f t="array" ref="E135">IF(SUMPRODUCT(($A135=$Y$5:$Y$43)*(E$100=YEAR($F$5:$F$43)))&gt;=1,SUMPRODUCT(($A135=$A$61:$A$95)*$I$61:$I$95)*((SUMPRODUCT((E$100&gt;=YEAR($F$5:$F$43))*$G$5:$G$43)/$K$58)*100%)*(SUMPRODUCT(($A135=$Y$5:$Y$43)*(E$100&gt;=YEAR($F$5:$F$43))*$G$5:$G$43)/SUMPRODUCT((E$100&gt;=YEAR($F$5:$F$43))*$G$5:$G$43)),IF(D135&gt;0,D135/(1+lgh_equity!E$24),0))</f>
        <v>0</v>
      </c>
      <c r="F135" s="121">
        <f t="array" ref="F135">IF(SUMPRODUCT(($A135=$Y$5:$Y$43)*(F$100=YEAR($F$5:$F$43)))&gt;=1,SUMPRODUCT(($A135=$A$61:$A$95)*$I$61:$I$95)*((SUMPRODUCT((F$100&gt;=YEAR($F$5:$F$43))*$G$5:$G$43)/$K$58)*100%)*(SUMPRODUCT(($A135=$Y$5:$Y$43)*(F$100&gt;=YEAR($F$5:$F$43))*$G$5:$G$43)/SUMPRODUCT((F$100&gt;=YEAR($F$5:$F$43))*$G$5:$G$43)),IF(E135&gt;0,E135/(1+lgh_equity!F$24),0))</f>
        <v>0</v>
      </c>
      <c r="G135" s="121">
        <f t="array" ref="G135">IF(SUMPRODUCT(($A135=$Y$5:$Y$43)*(G$100=YEAR($F$5:$F$43)))&gt;=1,SUMPRODUCT(($A135=$A$61:$A$95)*$I$61:$I$95)*((SUMPRODUCT((G$100&gt;=YEAR($F$5:$F$43))*$G$5:$G$43)/$K$58)*100%)*(SUMPRODUCT(($A135=$Y$5:$Y$43)*(G$100&gt;=YEAR($F$5:$F$43))*$G$5:$G$43)/SUMPRODUCT((G$100&gt;=YEAR($F$5:$F$43))*$G$5:$G$43)),IF(F135&gt;0,F135/(1+lgh_equity!G$24),0))</f>
        <v>0</v>
      </c>
      <c r="H135" s="121">
        <f t="array" ref="H135">IF(SUMPRODUCT(($A135=$Y$5:$Y$43)*(H$100=YEAR($F$5:$F$43)))&gt;=1,SUMPRODUCT(($A135=$A$61:$A$95)*$I$61:$I$95)*((SUMPRODUCT((H$100&gt;=YEAR($F$5:$F$43))*$G$5:$G$43)/$K$58)*100%)*(SUMPRODUCT(($A135=$Y$5:$Y$43)*(H$100&gt;=YEAR($F$5:$F$43))*$G$5:$G$43)/SUMPRODUCT((H$100&gt;=YEAR($F$5:$F$43))*$G$5:$G$43)),IF(G135&gt;0,G135/(1+lgh_equity!H$24),0))</f>
        <v>0</v>
      </c>
      <c r="I135" s="53">
        <f t="array" ref="I135">IF(SUMPRODUCT(($A135=$Y$5:$Y$43)*(I$100=YEAR($F$5:$F$43)))&gt;=1,SUMPRODUCT(($A135=$A$61:$A$95)*$I$61:$I$95)*((SUMPRODUCT((I$100&gt;=YEAR($F$5:$F$43))*$G$5:$G$43)/$K$58)*100%)*(SUMPRODUCT(($A135=$Y$5:$Y$43)*(I$100&gt;=YEAR($F$5:$F$43))*$G$5:$G$43)/SUMPRODUCT((I$100&gt;=YEAR($F$5:$F$43))*$G$5:$G$43)),IF(H135&gt;0,H135/(1+lgh_equity!I$24),0))</f>
        <v>0</v>
      </c>
      <c r="J135" s="53">
        <f t="array" ref="J135">IF(SUMPRODUCT(($A135=$Y$5:$Y$43)*(J$100=YEAR($F$5:$F$43)))&gt;=1,SUMPRODUCT(($A135=$A$61:$A$95)*$I$61:$I$95)*((SUMPRODUCT((J$100&gt;=YEAR($F$5:$F$43))*$G$5:$G$43)/$K$58)*100%)*(SUMPRODUCT(($A135=$Y$5:$Y$43)*(J$100&gt;=YEAR($F$5:$F$43))*$G$5:$G$43)/SUMPRODUCT((J$100&gt;=YEAR($F$5:$F$43))*$G$5:$G$43)),IF(I135&gt;0,I135/(1+lgh_equity!J$24),0))</f>
        <v>0</v>
      </c>
      <c r="K135" s="53">
        <f t="array" ref="K135">IF(SUMPRODUCT(($A135=$Y$5:$Y$43)*(K$100=YEAR($F$5:$F$43)))&gt;=1,SUMPRODUCT(($A135=$A$61:$A$95)*$I$61:$I$95)*((SUMPRODUCT((K$100&gt;=YEAR($F$5:$F$43))*$G$5:$G$43)/$K$58)*100%)*(SUMPRODUCT(($A135=$Y$5:$Y$43)*(K$100&gt;=YEAR($F$5:$F$43))*$G$5:$G$43)/SUMPRODUCT((K$100&gt;=YEAR($F$5:$F$43))*$G$5:$G$43)),IF(J135&gt;0,J135/(1+lgh_equity!K$24),0))</f>
        <v>0</v>
      </c>
      <c r="L135" s="53">
        <f t="array" ref="L135">IF(SUMPRODUCT(($A135=$Y$5:$Y$43)*(L$100=YEAR($F$5:$F$43)))&gt;=1,SUMPRODUCT(($A135=$A$61:$A$95)*$I$61:$I$95)*((SUMPRODUCT((L$100&gt;=YEAR($F$5:$F$43))*$G$5:$G$43)/$K$58)*100%)*(SUMPRODUCT(($A135=$Y$5:$Y$43)*(L$100&gt;=YEAR($F$5:$F$43))*$G$5:$G$43)/SUMPRODUCT((L$100&gt;=YEAR($F$5:$F$43))*$G$5:$G$43)),IF(K135&gt;0,K135/(1+lgh_equity!L$24),0))</f>
        <v>0</v>
      </c>
      <c r="M135" s="53">
        <f t="array" ref="M135">IF(SUMPRODUCT(($A135=$Y$5:$Y$43)*(M$100=YEAR($F$5:$F$43)))&gt;=1,SUMPRODUCT(($A135=$A$61:$A$95)*$I$61:$I$95)*((SUMPRODUCT((M$100&gt;=YEAR($F$5:$F$43))*$G$5:$G$43)/$K$58)*100%)*(SUMPRODUCT(($A135=$Y$5:$Y$43)*(M$100&gt;=YEAR($F$5:$F$43))*$G$5:$G$43)/SUMPRODUCT((M$100&gt;=YEAR($F$5:$F$43))*$G$5:$G$43)),IF(L135&gt;0,L135/(1+lgh_equity!M$24),0))</f>
        <v>0</v>
      </c>
      <c r="N135" s="53">
        <f t="array" ref="N135">IF(SUMPRODUCT(($A135=$Y$5:$Y$43)*(N$100=YEAR($F$5:$F$43)))&gt;=1,SUMPRODUCT(($A135=$A$61:$A$95)*$I$61:$I$95)*((SUMPRODUCT((N$100&gt;=YEAR($F$5:$F$43))*$G$5:$G$43)/$K$58)*100%)*(SUMPRODUCT(($A135=$Y$5:$Y$43)*(N$100&gt;=YEAR($F$5:$F$43))*$G$5:$G$43)/SUMPRODUCT((N$100&gt;=YEAR($F$5:$F$43))*$G$5:$G$43)),IF(M135&gt;0,M135/(1+lgh_equity!N$24),0))</f>
        <v>0</v>
      </c>
      <c r="O135" s="232"/>
      <c r="P135" s="232"/>
      <c r="Q135" s="232"/>
      <c r="R135" s="232"/>
      <c r="S135" s="232"/>
      <c r="T135" s="232"/>
      <c r="U135" s="232"/>
      <c r="V135" s="43"/>
      <c r="W135" s="43"/>
      <c r="X135" s="43"/>
      <c r="Y135" s="43"/>
    </row>
    <row r="136" spans="1:25">
      <c r="A136" s="43" t="str">
        <f t="shared" si="19"/>
        <v>PE035 guy</v>
      </c>
      <c r="B136" s="79">
        <v>0</v>
      </c>
      <c r="C136" s="121">
        <f t="array" ref="C136">IF(SUMPRODUCT(($A136=$Y$5:$Y$43)*(C$100=YEAR($F$5:$F$43)))&gt;=1,SUMPRODUCT(($A136=$A$61:$A$95)*$I$61:$I$95)*((SUMPRODUCT((C$100&gt;=YEAR($F$5:$F$43))*$G$5:$G$43)/$K$58)*100%)*(SUMPRODUCT(($A136=$Y$5:$Y$43)*(C$100&gt;=YEAR($F$5:$F$43))*$G$5:$G$43)/SUMPRODUCT((C$100&gt;=YEAR($F$5:$F$43))*$G$5:$G$43)),IF(B136&gt;0,B136/(1+lgh_equity!C$24),0))</f>
        <v>0</v>
      </c>
      <c r="D136" s="121">
        <f t="array" ref="D136">IF(SUMPRODUCT(($A136=$Y$5:$Y$43)*(D$100=YEAR($F$5:$F$43)))&gt;=1,SUMPRODUCT(($A136=$A$61:$A$95)*$I$61:$I$95)*((SUMPRODUCT((D$100&gt;=YEAR($F$5:$F$43))*$G$5:$G$43)/$K$58)*100%)*(SUMPRODUCT(($A136=$Y$5:$Y$43)*(D$100&gt;=YEAR($F$5:$F$43))*$G$5:$G$43)/SUMPRODUCT((D$100&gt;=YEAR($F$5:$F$43))*$G$5:$G$43)),IF(C136&gt;0,C136/(1+lgh_equity!D$24),0))</f>
        <v>0</v>
      </c>
      <c r="E136" s="121">
        <f t="array" ref="E136">IF(SUMPRODUCT(($A136=$Y$5:$Y$43)*(E$100=YEAR($F$5:$F$43)))&gt;=1,SUMPRODUCT(($A136=$A$61:$A$95)*$I$61:$I$95)*((SUMPRODUCT((E$100&gt;=YEAR($F$5:$F$43))*$G$5:$G$43)/$K$58)*100%)*(SUMPRODUCT(($A136=$Y$5:$Y$43)*(E$100&gt;=YEAR($F$5:$F$43))*$G$5:$G$43)/SUMPRODUCT((E$100&gt;=YEAR($F$5:$F$43))*$G$5:$G$43)),IF(D136&gt;0,D136/(1+lgh_equity!E$24),0))</f>
        <v>0</v>
      </c>
      <c r="F136" s="121">
        <f t="array" ref="F136">IF(SUMPRODUCT(($A136=$Y$5:$Y$43)*(F$100=YEAR($F$5:$F$43)))&gt;=1,SUMPRODUCT(($A136=$A$61:$A$95)*$I$61:$I$95)*((SUMPRODUCT((F$100&gt;=YEAR($F$5:$F$43))*$G$5:$G$43)/$K$58)*100%)*(SUMPRODUCT(($A136=$Y$5:$Y$43)*(F$100&gt;=YEAR($F$5:$F$43))*$G$5:$G$43)/SUMPRODUCT((F$100&gt;=YEAR($F$5:$F$43))*$G$5:$G$43)),IF(E136&gt;0,E136/(1+lgh_equity!F$24),0))</f>
        <v>0</v>
      </c>
      <c r="G136" s="121">
        <f t="array" ref="G136">IF(SUMPRODUCT(($A136=$Y$5:$Y$43)*(G$100=YEAR($F$5:$F$43)))&gt;=1,SUMPRODUCT(($A136=$A$61:$A$95)*$I$61:$I$95)*((SUMPRODUCT((G$100&gt;=YEAR($F$5:$F$43))*$G$5:$G$43)/$K$58)*100%)*(SUMPRODUCT(($A136=$Y$5:$Y$43)*(G$100&gt;=YEAR($F$5:$F$43))*$G$5:$G$43)/SUMPRODUCT((G$100&gt;=YEAR($F$5:$F$43))*$G$5:$G$43)),IF(F136&gt;0,F136/(1+lgh_equity!G$24),0))</f>
        <v>1.06E-3</v>
      </c>
      <c r="H136" s="121">
        <f t="array" ref="H136">IF(SUMPRODUCT(($A136=$Y$5:$Y$43)*(H$100=YEAR($F$5:$F$43)))&gt;=1,SUMPRODUCT(($A136=$A$61:$A$95)*$I$61:$I$95)*((SUMPRODUCT((H$100&gt;=YEAR($F$5:$F$43))*$G$5:$G$43)/$K$58)*100%)*(SUMPRODUCT(($A136=$Y$5:$Y$43)*(H$100&gt;=YEAR($F$5:$F$43))*$G$5:$G$43)/SUMPRODUCT((H$100&gt;=YEAR($F$5:$F$43))*$G$5:$G$43)),IF(G136&gt;0,G136/(1+lgh_equity!H$24),0))</f>
        <v>1.06E-3</v>
      </c>
      <c r="I136" s="53">
        <f t="array" ref="I136">IF(SUMPRODUCT(($A136=$Y$5:$Y$43)*(I$100=YEAR($F$5:$F$43)))&gt;=1,SUMPRODUCT(($A136=$A$61:$A$95)*$I$61:$I$95)*((SUMPRODUCT((I$100&gt;=YEAR($F$5:$F$43))*$G$5:$G$43)/$K$58)*100%)*(SUMPRODUCT(($A136=$Y$5:$Y$43)*(I$100&gt;=YEAR($F$5:$F$43))*$G$5:$G$43)/SUMPRODUCT((I$100&gt;=YEAR($F$5:$F$43))*$G$5:$G$43)),IF(H136&gt;0,H136/(1+lgh_equity!I$24),0))</f>
        <v>1.06E-3</v>
      </c>
      <c r="J136" s="53">
        <f t="array" ref="J136">IF(SUMPRODUCT(($A136=$Y$5:$Y$43)*(J$100=YEAR($F$5:$F$43)))&gt;=1,SUMPRODUCT(($A136=$A$61:$A$95)*$I$61:$I$95)*((SUMPRODUCT((J$100&gt;=YEAR($F$5:$F$43))*$G$5:$G$43)/$K$58)*100%)*(SUMPRODUCT(($A136=$Y$5:$Y$43)*(J$100&gt;=YEAR($F$5:$F$43))*$G$5:$G$43)/SUMPRODUCT((J$100&gt;=YEAR($F$5:$F$43))*$G$5:$G$43)),IF(I136&gt;0,I136/(1+lgh_equity!J$24),0))</f>
        <v>1.06E-3</v>
      </c>
      <c r="K136" s="53">
        <f t="array" ref="K136">IF(SUMPRODUCT(($A136=$Y$5:$Y$43)*(K$100=YEAR($F$5:$F$43)))&gt;=1,SUMPRODUCT(($A136=$A$61:$A$95)*$I$61:$I$95)*((SUMPRODUCT((K$100&gt;=YEAR($F$5:$F$43))*$G$5:$G$43)/$K$58)*100%)*(SUMPRODUCT(($A136=$Y$5:$Y$43)*(K$100&gt;=YEAR($F$5:$F$43))*$G$5:$G$43)/SUMPRODUCT((K$100&gt;=YEAR($F$5:$F$43))*$G$5:$G$43)),IF(J136&gt;0,J136/(1+lgh_equity!K$24),0))</f>
        <v>1.06E-3</v>
      </c>
      <c r="L136" s="53">
        <f t="array" ref="L136">IF(SUMPRODUCT(($A136=$Y$5:$Y$43)*(L$100=YEAR($F$5:$F$43)))&gt;=1,SUMPRODUCT(($A136=$A$61:$A$95)*$I$61:$I$95)*((SUMPRODUCT((L$100&gt;=YEAR($F$5:$F$43))*$G$5:$G$43)/$K$58)*100%)*(SUMPRODUCT(($A136=$Y$5:$Y$43)*(L$100&gt;=YEAR($F$5:$F$43))*$G$5:$G$43)/SUMPRODUCT((L$100&gt;=YEAR($F$5:$F$43))*$G$5:$G$43)),IF(K136&gt;0,K136/(1+lgh_equity!L$24),0))</f>
        <v>1.06E-3</v>
      </c>
      <c r="M136" s="53">
        <f t="array" ref="M136">IF(SUMPRODUCT(($A136=$Y$5:$Y$43)*(M$100=YEAR($F$5:$F$43)))&gt;=1,SUMPRODUCT(($A136=$A$61:$A$95)*$I$61:$I$95)*((SUMPRODUCT((M$100&gt;=YEAR($F$5:$F$43))*$G$5:$G$43)/$K$58)*100%)*(SUMPRODUCT(($A136=$Y$5:$Y$43)*(M$100&gt;=YEAR($F$5:$F$43))*$G$5:$G$43)/SUMPRODUCT((M$100&gt;=YEAR($F$5:$F$43))*$G$5:$G$43)),IF(L136&gt;0,L136/(1+lgh_equity!M$24),0))</f>
        <v>1.06E-3</v>
      </c>
      <c r="N136" s="53">
        <f t="array" ref="N136">IF(SUMPRODUCT(($A136=$Y$5:$Y$43)*(N$100=YEAR($F$5:$F$43)))&gt;=1,SUMPRODUCT(($A136=$A$61:$A$95)*$I$61:$I$95)*((SUMPRODUCT((N$100&gt;=YEAR($F$5:$F$43))*$G$5:$G$43)/$K$58)*100%)*(SUMPRODUCT(($A136=$Y$5:$Y$43)*(N$100&gt;=YEAR($F$5:$F$43))*$G$5:$G$43)/SUMPRODUCT((N$100&gt;=YEAR($F$5:$F$43))*$G$5:$G$43)),IF(M136&gt;0,M136/(1+lgh_equity!N$24),0))</f>
        <v>1.06E-3</v>
      </c>
      <c r="O136" s="232"/>
      <c r="P136" s="232"/>
      <c r="Q136" s="232"/>
      <c r="R136" s="232"/>
      <c r="S136" s="232"/>
      <c r="T136" s="232"/>
      <c r="U136" s="232"/>
      <c r="V136" s="43"/>
      <c r="W136" s="43"/>
      <c r="X136" s="43"/>
      <c r="Y136" s="43"/>
    </row>
    <row r="137" spans="1:25">
      <c r="A137" s="43"/>
      <c r="B137" s="203"/>
      <c r="C137" s="203"/>
      <c r="D137" s="203"/>
      <c r="E137" s="203"/>
      <c r="F137" s="203"/>
      <c r="G137" s="203"/>
      <c r="H137" s="203"/>
      <c r="I137" s="203"/>
      <c r="J137" s="203"/>
      <c r="K137" s="203"/>
      <c r="L137" s="203"/>
      <c r="M137" s="203"/>
      <c r="N137" s="203"/>
      <c r="O137" s="232"/>
      <c r="P137" s="232"/>
      <c r="Q137" s="232"/>
      <c r="R137" s="232"/>
      <c r="S137" s="232"/>
      <c r="T137" s="232"/>
      <c r="U137" s="232"/>
      <c r="V137" s="43"/>
      <c r="W137" s="43"/>
      <c r="X137" s="43"/>
      <c r="Y137" s="43"/>
    </row>
    <row r="138" spans="1:25">
      <c r="A138" s="46" t="s">
        <v>403</v>
      </c>
      <c r="B138" s="43"/>
      <c r="C138" s="43"/>
      <c r="D138" s="121">
        <f>-D128</f>
        <v>-0.2022653721682848</v>
      </c>
      <c r="E138" s="43"/>
      <c r="F138" s="43"/>
      <c r="G138" s="43"/>
      <c r="H138" s="43"/>
      <c r="I138" s="43"/>
      <c r="J138" s="43"/>
      <c r="K138" s="43"/>
      <c r="L138" s="43"/>
      <c r="M138" s="43"/>
      <c r="N138" s="43"/>
      <c r="O138" s="232"/>
      <c r="P138" s="232"/>
      <c r="Q138" s="232"/>
      <c r="R138" s="232"/>
      <c r="S138" s="232"/>
      <c r="T138" s="232"/>
      <c r="U138" s="232"/>
      <c r="V138" s="43"/>
      <c r="W138" s="43"/>
      <c r="X138" s="43"/>
      <c r="Y138" s="43"/>
    </row>
    <row r="139" spans="1:25">
      <c r="A139" s="46" t="s">
        <v>314</v>
      </c>
      <c r="B139" s="79">
        <v>0.27066249999999997</v>
      </c>
      <c r="C139" s="121">
        <f t="array" ref="C139">SUMPRODUCT((C102:C136&gt;B102:B136)*(C102:C136-B102:B136))</f>
        <v>7.6849999999999991E-3</v>
      </c>
      <c r="D139" s="121">
        <f t="array" ref="D139">SUMPRODUCT((D102:D136&gt;C102:C136)*(D102:D136-C102:C136))</f>
        <v>0</v>
      </c>
      <c r="E139" s="121">
        <f t="array" ref="E139">SUMPRODUCT((E102:E136&gt;D102:D136)*(E102:E136-D102:D136))</f>
        <v>0</v>
      </c>
      <c r="F139" s="121">
        <f t="array" ref="F139">SUMPRODUCT((F102:F136&gt;E102:E136)*(F102:F136-E102:E136))</f>
        <v>0</v>
      </c>
      <c r="G139" s="121">
        <f t="array" ref="G139">SUMPRODUCT((G102:G136&gt;F102:F136)*(G102:G136-F102:F136))</f>
        <v>2.6499999999999996E-3</v>
      </c>
      <c r="H139" s="121">
        <f t="array" ref="H139">SUMPRODUCT((H102:H136&gt;G102:G136)*(H102:H136-G102:G136))</f>
        <v>0</v>
      </c>
      <c r="I139" s="121">
        <f t="array" ref="I139">SUMPRODUCT((I102:I136&gt;H102:H136)*(I102:I136-H102:H136))</f>
        <v>0</v>
      </c>
      <c r="J139" s="121">
        <f t="array" ref="J139">SUMPRODUCT((J102:J136&gt;I102:I136)*(J102:J136-I102:I136))</f>
        <v>0</v>
      </c>
      <c r="K139" s="121">
        <f t="array" ref="K139">SUMPRODUCT((K102:K136&gt;J102:J136)*(K102:K136-J102:J136))</f>
        <v>0</v>
      </c>
      <c r="L139" s="121">
        <f t="array" ref="L139">SUMPRODUCT((L102:L136&gt;K102:K136)*(L102:L136-K102:K136))</f>
        <v>0</v>
      </c>
      <c r="M139" s="121">
        <f t="array" ref="M139">SUMPRODUCT((M102:M136&gt;L102:L136)*(M102:M136-L102:L136))</f>
        <v>0</v>
      </c>
      <c r="N139" s="121">
        <f t="array" ref="N139">SUMPRODUCT((N102:N136&gt;M102:M136)*(N102:N136-M102:M136))</f>
        <v>0</v>
      </c>
      <c r="O139" s="232"/>
      <c r="P139" s="232"/>
      <c r="Q139" s="232"/>
      <c r="R139" s="232"/>
      <c r="S139" s="232"/>
      <c r="T139" s="232"/>
      <c r="U139" s="232"/>
      <c r="V139" s="43"/>
      <c r="W139" s="43"/>
      <c r="X139" s="43"/>
      <c r="Y139" s="43"/>
    </row>
    <row r="140" spans="1:25">
      <c r="A140" s="46" t="s">
        <v>314</v>
      </c>
      <c r="B140" s="79">
        <v>9.2505841584158435E-2</v>
      </c>
      <c r="C140" s="138">
        <f>SUM(B139:B140,C138)/(1+lgh_equity!C24)</f>
        <v>0.36316834158415839</v>
      </c>
      <c r="D140" s="138">
        <f>SUM(C139:C140)/(1+lgh_equity!D24)+D138</f>
        <v>9.7777784453202593E-2</v>
      </c>
      <c r="E140" s="138">
        <f>SUM(D139:D140,E138)/(1+lgh_equity!E24)</f>
        <v>9.7465893593702738E-2</v>
      </c>
      <c r="F140" s="138">
        <f>SUM(E139:E140,F138)/(1+lgh_equity!F24)</f>
        <v>9.7465893593702738E-2</v>
      </c>
      <c r="G140" s="138">
        <f>SUM(F139:F140,G138)/(1+lgh_equity!G24)</f>
        <v>9.7465893593702738E-2</v>
      </c>
      <c r="H140" s="138">
        <f>SUM(G139:G140,H138)/(1+lgh_equity!H24)</f>
        <v>0.10011589359370274</v>
      </c>
      <c r="I140" s="138">
        <f>SUM(H139:H140,I138)/(1+lgh_equity!I24)</f>
        <v>0.10011589359370274</v>
      </c>
      <c r="J140" s="138">
        <f>SUM(I139:I140,J138)/(1+lgh_equity!J24)</f>
        <v>0.10011589359370274</v>
      </c>
      <c r="K140" s="138">
        <f>SUM(J139:J140,K138)/(1+lgh_equity!K24)</f>
        <v>0.10011589359370274</v>
      </c>
      <c r="L140" s="138">
        <f>SUM(K139:K140,L138)/(1+lgh_equity!L24)</f>
        <v>0.10011589359370274</v>
      </c>
      <c r="M140" s="138">
        <f>SUM(L139:L140,M138)/(1+lgh_equity!M24)</f>
        <v>0.10011589359370274</v>
      </c>
      <c r="N140" s="138">
        <f>SUM(M139:M140,N138)/(1+lgh_equity!N24)</f>
        <v>0.10011589359370274</v>
      </c>
      <c r="O140" s="232"/>
      <c r="P140" s="232"/>
      <c r="Q140" s="232"/>
      <c r="R140" s="232"/>
      <c r="S140" s="232"/>
      <c r="T140" s="232"/>
      <c r="U140" s="232"/>
      <c r="V140" s="43"/>
      <c r="W140" s="43"/>
      <c r="X140" s="43"/>
      <c r="Y140" s="43"/>
    </row>
    <row r="141" spans="1:25">
      <c r="A141" s="43"/>
      <c r="B141" s="43"/>
      <c r="C141" s="43"/>
      <c r="D141" s="43"/>
      <c r="E141" s="43"/>
      <c r="F141" s="43"/>
      <c r="G141" s="232"/>
      <c r="H141" s="232"/>
      <c r="I141" s="232"/>
      <c r="J141" s="232"/>
      <c r="K141" s="232"/>
      <c r="L141" s="232"/>
      <c r="M141" s="232"/>
      <c r="N141" s="232"/>
      <c r="O141" s="232"/>
      <c r="P141" s="232"/>
      <c r="Q141" s="232"/>
      <c r="R141" s="232"/>
      <c r="S141" s="232"/>
      <c r="T141" s="232"/>
      <c r="U141" s="232"/>
      <c r="V141" s="43"/>
      <c r="W141" s="43"/>
      <c r="X141" s="43"/>
      <c r="Y141" s="43"/>
    </row>
    <row r="142" spans="1:25">
      <c r="A142" s="205" t="s">
        <v>404</v>
      </c>
      <c r="B142" s="248">
        <v>0.36316834158415839</v>
      </c>
      <c r="C142" s="249">
        <f t="shared" ref="C142:N142" si="20">SUM(C139:C140)</f>
        <v>0.37085334158415839</v>
      </c>
      <c r="D142" s="249">
        <f t="shared" si="20"/>
        <v>9.7777784453202593E-2</v>
      </c>
      <c r="E142" s="249">
        <f t="shared" si="20"/>
        <v>9.7465893593702738E-2</v>
      </c>
      <c r="F142" s="249">
        <f t="shared" si="20"/>
        <v>9.7465893593702738E-2</v>
      </c>
      <c r="G142" s="249">
        <f t="shared" si="20"/>
        <v>0.10011589359370274</v>
      </c>
      <c r="H142" s="249">
        <f t="shared" si="20"/>
        <v>0.10011589359370274</v>
      </c>
      <c r="I142" s="249">
        <f t="shared" si="20"/>
        <v>0.10011589359370274</v>
      </c>
      <c r="J142" s="249">
        <f t="shared" si="20"/>
        <v>0.10011589359370274</v>
      </c>
      <c r="K142" s="249">
        <f t="shared" si="20"/>
        <v>0.10011589359370274</v>
      </c>
      <c r="L142" s="249">
        <f t="shared" si="20"/>
        <v>0.10011589359370274</v>
      </c>
      <c r="M142" s="249">
        <f t="shared" si="20"/>
        <v>0.10011589359370274</v>
      </c>
      <c r="N142" s="249">
        <f t="shared" si="20"/>
        <v>0.10011589359370274</v>
      </c>
      <c r="O142" s="232"/>
      <c r="P142" s="232"/>
      <c r="Q142" s="232"/>
      <c r="R142" s="232"/>
      <c r="S142" s="232"/>
      <c r="T142" s="232"/>
      <c r="U142" s="232"/>
      <c r="V142" s="43"/>
      <c r="W142" s="43"/>
      <c r="X142" s="43"/>
      <c r="Y142" s="43"/>
    </row>
    <row r="143" spans="1:25">
      <c r="A143" s="43"/>
      <c r="B143" s="43"/>
      <c r="C143" s="43"/>
      <c r="D143" s="43"/>
      <c r="E143" s="43"/>
      <c r="F143" s="43"/>
      <c r="G143" s="232"/>
      <c r="H143" s="232"/>
      <c r="I143" s="232"/>
      <c r="J143" s="232"/>
      <c r="K143" s="232"/>
      <c r="L143" s="232"/>
      <c r="M143" s="232"/>
      <c r="N143" s="232"/>
      <c r="O143" s="232"/>
      <c r="P143" s="232"/>
      <c r="Q143" s="232"/>
      <c r="R143" s="232"/>
      <c r="S143" s="232"/>
      <c r="T143" s="232"/>
      <c r="U143" s="232"/>
      <c r="V143" s="43"/>
      <c r="W143" s="43"/>
      <c r="X143" s="43"/>
      <c r="Y143" s="43"/>
    </row>
    <row r="144" spans="1:25">
      <c r="A144" s="205" t="s">
        <v>405</v>
      </c>
      <c r="B144" s="43"/>
      <c r="C144" s="43"/>
      <c r="D144" s="43"/>
      <c r="E144" s="43"/>
      <c r="F144" s="43"/>
      <c r="G144" s="232"/>
      <c r="H144" s="232"/>
      <c r="I144" s="232"/>
      <c r="J144" s="232"/>
      <c r="K144" s="232"/>
      <c r="L144" s="232"/>
      <c r="M144" s="232"/>
      <c r="N144" s="232"/>
      <c r="O144" s="232"/>
      <c r="P144" s="232"/>
      <c r="Q144" s="232"/>
      <c r="R144" s="232"/>
      <c r="S144" s="232"/>
      <c r="T144" s="232"/>
      <c r="U144" s="232"/>
      <c r="V144" s="43"/>
      <c r="W144" s="43"/>
      <c r="X144" s="43"/>
      <c r="Y144" s="43"/>
    </row>
    <row r="145" spans="1:25">
      <c r="A145" s="43"/>
      <c r="B145" s="43"/>
      <c r="C145" s="43"/>
      <c r="D145" s="43"/>
      <c r="E145" s="43"/>
      <c r="F145" s="43"/>
      <c r="G145" s="232"/>
      <c r="H145" s="232"/>
      <c r="I145" s="232"/>
      <c r="J145" s="232"/>
      <c r="K145" s="232"/>
      <c r="L145" s="232"/>
      <c r="M145" s="232"/>
      <c r="N145" s="232"/>
      <c r="O145" s="232"/>
      <c r="P145" s="232"/>
      <c r="Q145" s="232"/>
      <c r="R145" s="232"/>
      <c r="S145" s="232"/>
      <c r="T145" s="232"/>
      <c r="U145" s="232"/>
      <c r="V145" s="43"/>
      <c r="W145" s="43"/>
      <c r="X145" s="43"/>
      <c r="Y145" s="43"/>
    </row>
    <row r="146" spans="1:25">
      <c r="A146" s="205" t="s">
        <v>181</v>
      </c>
      <c r="B146" s="250">
        <v>2024</v>
      </c>
      <c r="C146" s="250">
        <v>2025</v>
      </c>
      <c r="D146" s="250">
        <v>2025</v>
      </c>
      <c r="E146" s="250">
        <v>2025</v>
      </c>
      <c r="F146" s="250">
        <v>2025</v>
      </c>
      <c r="G146" s="250">
        <v>2026</v>
      </c>
      <c r="H146" s="250">
        <v>2026</v>
      </c>
      <c r="I146" s="250">
        <v>2026</v>
      </c>
      <c r="J146" s="250">
        <v>2026</v>
      </c>
      <c r="K146" s="250">
        <v>2027</v>
      </c>
      <c r="L146" s="250">
        <v>2028</v>
      </c>
      <c r="M146" s="250">
        <v>2029</v>
      </c>
      <c r="N146" s="250">
        <v>2030</v>
      </c>
      <c r="O146" s="232"/>
      <c r="P146" s="232"/>
      <c r="Q146" s="232"/>
      <c r="R146" s="232"/>
      <c r="S146" s="232"/>
      <c r="T146" s="232"/>
      <c r="U146" s="232"/>
      <c r="V146" s="43"/>
      <c r="W146" s="43"/>
      <c r="X146" s="43"/>
      <c r="Y146" s="43"/>
    </row>
    <row r="147" spans="1:25">
      <c r="A147" s="43"/>
      <c r="B147" s="250" t="s">
        <v>2</v>
      </c>
      <c r="C147" s="251" t="s">
        <v>3</v>
      </c>
      <c r="D147" s="251" t="s">
        <v>4</v>
      </c>
      <c r="E147" s="251" t="s">
        <v>5</v>
      </c>
      <c r="F147" s="251" t="s">
        <v>2</v>
      </c>
      <c r="G147" s="251" t="s">
        <v>3</v>
      </c>
      <c r="H147" s="251" t="s">
        <v>4</v>
      </c>
      <c r="I147" s="251" t="s">
        <v>5</v>
      </c>
      <c r="J147" s="251" t="s">
        <v>2</v>
      </c>
      <c r="K147" s="251" t="s">
        <v>2</v>
      </c>
      <c r="L147" s="250" t="s">
        <v>2</v>
      </c>
      <c r="M147" s="250" t="s">
        <v>2</v>
      </c>
      <c r="N147" s="250" t="s">
        <v>2</v>
      </c>
      <c r="O147" s="232"/>
      <c r="P147" s="232"/>
      <c r="Q147" s="232"/>
      <c r="R147" s="232"/>
      <c r="S147" s="232"/>
      <c r="T147" s="232"/>
      <c r="U147" s="232"/>
      <c r="V147" s="43"/>
      <c r="W147" s="43"/>
      <c r="X147" s="43"/>
      <c r="Y147" s="43"/>
    </row>
    <row r="148" spans="1:25">
      <c r="A148" s="232" t="str">
        <f t="shared" ref="A148:A182" si="21">+A102</f>
        <v>PE001 PFNGT LLC</v>
      </c>
      <c r="B148" s="252">
        <v>2075274.9289470119</v>
      </c>
      <c r="C148" s="253">
        <f>IFERROR((C102/SUM(C$102:C$136))*lgh_bs!E$33*C$142,0)</f>
        <v>2310928.875177478</v>
      </c>
      <c r="D148" s="253">
        <f>IFERROR((D102/SUM(D$102:D$136))*lgh_bs!F$33*D$142,0)</f>
        <v>616732.92769269191</v>
      </c>
      <c r="E148" s="253">
        <f>IFERROR((E102/SUM(E$102:E$136))*lgh_bs!G$33*E$142,0)</f>
        <v>2183711.020827665</v>
      </c>
      <c r="F148" s="253">
        <f>IFERROR((F102/SUM(F$102:F$136))*lgh_bs!H$33*F$142,0)</f>
        <v>2111596.7380776014</v>
      </c>
      <c r="G148" s="253">
        <f>IFERROR((G102/SUM(G$102:G$136))*lgh_bs!I$33*G$142,0)</f>
        <v>2174161.5763631887</v>
      </c>
      <c r="H148" s="253">
        <f>IFERROR((H102/SUM(H$102:H$136))*lgh_bs!J$33*H$142,0)</f>
        <v>2279366.9012807515</v>
      </c>
      <c r="I148" s="253">
        <f>IFERROR((I102/SUM(I$102:I$136))*lgh_bs!K$33*I$142,0)</f>
        <v>2397019.9841410615</v>
      </c>
      <c r="J148" s="253">
        <f>IFERROR((J102/SUM(J$102:J$136))*lgh_bs!L$33*J$142,0)</f>
        <v>2610920.0587691907</v>
      </c>
      <c r="K148" s="253">
        <f>IFERROR((K102/SUM(K$102:K$136))*lgh_bs!M$33*K$142,0)</f>
        <v>3062583.7830560389</v>
      </c>
      <c r="L148" s="253">
        <f>IFERROR((L102/SUM(L$102:L$136))*lgh_bs!N$33*L$142,0)</f>
        <v>3722632.1091168588</v>
      </c>
      <c r="M148" s="253">
        <f>IFERROR((M102/SUM(M$102:M$136))*lgh_bs!O$33*M$142,0)</f>
        <v>4494131.8327658959</v>
      </c>
      <c r="N148" s="253">
        <f>IFERROR((N102/SUM(N$102:N$136))*lgh_bs!P$33*N$142,0)</f>
        <v>5252809.5560855633</v>
      </c>
      <c r="O148" s="232"/>
      <c r="P148" s="232"/>
      <c r="Q148" s="232"/>
      <c r="R148" s="232"/>
      <c r="S148" s="232"/>
      <c r="T148" s="232"/>
      <c r="U148" s="232"/>
      <c r="V148" s="43"/>
      <c r="W148" s="43"/>
      <c r="X148" s="43"/>
      <c r="Y148" s="43"/>
    </row>
    <row r="149" spans="1:25">
      <c r="A149" s="232" t="str">
        <f t="shared" si="21"/>
        <v>PE002 Derivee Capital Advisors, LLC</v>
      </c>
      <c r="B149" s="252">
        <v>1245164.9573682069</v>
      </c>
      <c r="C149" s="253">
        <f>IFERROR((C103/SUM(C$102:C$136))*lgh_bs!E$33*C$142,0)</f>
        <v>1386557.3251064871</v>
      </c>
      <c r="D149" s="253">
        <f>IFERROR((D103/SUM(D$102:D$136))*lgh_bs!F$33*D$142,0)</f>
        <v>370039.75661561516</v>
      </c>
      <c r="E149" s="253">
        <f>IFERROR((E103/SUM(E$102:E$136))*lgh_bs!G$33*E$142,0)</f>
        <v>1310226.6124965993</v>
      </c>
      <c r="F149" s="253">
        <f>IFERROR((F103/SUM(F$102:F$136))*lgh_bs!H$33*F$142,0)</f>
        <v>1266958.0428465612</v>
      </c>
      <c r="G149" s="253">
        <f>IFERROR((G103/SUM(G$102:G$136))*lgh_bs!I$33*G$142,0)</f>
        <v>1304496.9458179134</v>
      </c>
      <c r="H149" s="253">
        <f>IFERROR((H103/SUM(H$102:H$136))*lgh_bs!J$33*H$142,0)</f>
        <v>1367620.1407684512</v>
      </c>
      <c r="I149" s="253">
        <f>IFERROR((I103/SUM(I$102:I$136))*lgh_bs!K$33*I$142,0)</f>
        <v>1438211.990484637</v>
      </c>
      <c r="J149" s="253">
        <f>IFERROR((J103/SUM(J$102:J$136))*lgh_bs!L$33*J$142,0)</f>
        <v>1566552.0352615144</v>
      </c>
      <c r="K149" s="253">
        <f>IFERROR((K103/SUM(K$102:K$136))*lgh_bs!M$33*K$142,0)</f>
        <v>1837550.2698336237</v>
      </c>
      <c r="L149" s="253">
        <f>IFERROR((L103/SUM(L$102:L$136))*lgh_bs!N$33*L$142,0)</f>
        <v>2233579.2654701159</v>
      </c>
      <c r="M149" s="253">
        <f>IFERROR((M103/SUM(M$102:M$136))*lgh_bs!O$33*M$142,0)</f>
        <v>2696479.0996595379</v>
      </c>
      <c r="N149" s="253">
        <f>IFERROR((N103/SUM(N$102:N$136))*lgh_bs!P$33*N$142,0)</f>
        <v>3151685.7336513377</v>
      </c>
      <c r="O149" s="232"/>
      <c r="P149" s="232"/>
      <c r="Q149" s="232"/>
      <c r="R149" s="232"/>
      <c r="S149" s="232"/>
      <c r="T149" s="232"/>
      <c r="U149" s="232"/>
      <c r="V149" s="43"/>
      <c r="W149" s="43"/>
      <c r="X149" s="43"/>
      <c r="Y149" s="43"/>
    </row>
    <row r="150" spans="1:25">
      <c r="A150" s="232" t="str">
        <f t="shared" si="21"/>
        <v>PE003 Derivee Capital Advisors, LLC</v>
      </c>
      <c r="B150" s="252">
        <v>830109.97157880478</v>
      </c>
      <c r="C150" s="253">
        <f>IFERROR((C104/SUM(C$102:C$136))*lgh_bs!E$33*C$142,0)</f>
        <v>924371.55007099104</v>
      </c>
      <c r="D150" s="253">
        <f>IFERROR((D104/SUM(D$102:D$136))*lgh_bs!F$33*D$142,0)</f>
        <v>246693.17107707669</v>
      </c>
      <c r="E150" s="253">
        <f>IFERROR((E104/SUM(E$102:E$136))*lgh_bs!G$33*E$142,0)</f>
        <v>873484.40833106602</v>
      </c>
      <c r="F150" s="253">
        <f>IFERROR((F104/SUM(F$102:F$136))*lgh_bs!H$33*F$142,0)</f>
        <v>844638.69523104059</v>
      </c>
      <c r="G150" s="253">
        <f>IFERROR((G104/SUM(G$102:G$136))*lgh_bs!I$33*G$142,0)</f>
        <v>869664.6305452754</v>
      </c>
      <c r="H150" s="253">
        <f>IFERROR((H104/SUM(H$102:H$136))*lgh_bs!J$33*H$142,0)</f>
        <v>911746.76051230042</v>
      </c>
      <c r="I150" s="253">
        <f>IFERROR((I104/SUM(I$102:I$136))*lgh_bs!K$33*I$142,0)</f>
        <v>958807.99365642446</v>
      </c>
      <c r="J150" s="253">
        <f>IFERROR((J104/SUM(J$102:J$136))*lgh_bs!L$33*J$142,0)</f>
        <v>1044368.0235076761</v>
      </c>
      <c r="K150" s="253">
        <f>IFERROR((K104/SUM(K$102:K$136))*lgh_bs!M$33*K$142,0)</f>
        <v>1225033.5132224152</v>
      </c>
      <c r="L150" s="253">
        <f>IFERROR((L104/SUM(L$102:L$136))*lgh_bs!N$33*L$142,0)</f>
        <v>1489052.8436467436</v>
      </c>
      <c r="M150" s="253">
        <f>IFERROR((M104/SUM(M$102:M$136))*lgh_bs!O$33*M$142,0)</f>
        <v>1797652.7331063582</v>
      </c>
      <c r="N150" s="253">
        <f>IFERROR((N104/SUM(N$102:N$136))*lgh_bs!P$33*N$142,0)</f>
        <v>2101123.8224342247</v>
      </c>
      <c r="O150" s="232"/>
      <c r="P150" s="232"/>
      <c r="Q150" s="232"/>
      <c r="R150" s="232"/>
      <c r="S150" s="232"/>
      <c r="T150" s="232"/>
      <c r="U150" s="232"/>
      <c r="V150" s="43"/>
      <c r="W150" s="43"/>
      <c r="X150" s="43"/>
      <c r="Y150" s="43"/>
    </row>
    <row r="151" spans="1:25">
      <c r="A151" s="232" t="str">
        <f t="shared" si="21"/>
        <v>PE004 DCAPP Hotel Ventures LLC</v>
      </c>
      <c r="B151" s="252">
        <v>1660219.94315761</v>
      </c>
      <c r="C151" s="253">
        <f>IFERROR((C105/SUM(C$102:C$136))*lgh_bs!E$33*C$142,0)</f>
        <v>1848743.1001419816</v>
      </c>
      <c r="D151" s="253">
        <f>IFERROR((D105/SUM(D$102:D$136))*lgh_bs!F$33*D$142,0)</f>
        <v>493386.34215415339</v>
      </c>
      <c r="E151" s="253">
        <f>IFERROR((E105/SUM(E$102:E$136))*lgh_bs!G$33*E$142,0)</f>
        <v>1746968.8166621318</v>
      </c>
      <c r="F151" s="253">
        <f>IFERROR((F105/SUM(F$102:F$136))*lgh_bs!H$33*F$142,0)</f>
        <v>1689277.3904620809</v>
      </c>
      <c r="G151" s="253">
        <f>IFERROR((G105/SUM(G$102:G$136))*lgh_bs!I$33*G$142,0)</f>
        <v>1739329.2610905506</v>
      </c>
      <c r="H151" s="253">
        <f>IFERROR((H105/SUM(H$102:H$136))*lgh_bs!J$33*H$142,0)</f>
        <v>1823493.5210246008</v>
      </c>
      <c r="I151" s="253">
        <f>IFERROR((I105/SUM(I$102:I$136))*lgh_bs!K$33*I$142,0)</f>
        <v>1917615.9873128489</v>
      </c>
      <c r="J151" s="253">
        <f>IFERROR((J105/SUM(J$102:J$136))*lgh_bs!L$33*J$142,0)</f>
        <v>2088736.0470153517</v>
      </c>
      <c r="K151" s="253">
        <f>IFERROR((K105/SUM(K$102:K$136))*lgh_bs!M$33*K$142,0)</f>
        <v>2450067.0264448305</v>
      </c>
      <c r="L151" s="253">
        <f>IFERROR((L105/SUM(L$102:L$136))*lgh_bs!N$33*L$142,0)</f>
        <v>2978105.6872934867</v>
      </c>
      <c r="M151" s="253">
        <f>IFERROR((M105/SUM(M$102:M$136))*lgh_bs!O$33*M$142,0)</f>
        <v>3595305.4662127155</v>
      </c>
      <c r="N151" s="253">
        <f>IFERROR((N105/SUM(N$102:N$136))*lgh_bs!P$33*N$142,0)</f>
        <v>4202247.6448684484</v>
      </c>
      <c r="O151" s="232"/>
      <c r="P151" s="232"/>
      <c r="Q151" s="232"/>
      <c r="R151" s="232"/>
      <c r="S151" s="232"/>
      <c r="T151" s="232"/>
      <c r="U151" s="232"/>
      <c r="V151" s="43"/>
      <c r="W151" s="43"/>
      <c r="X151" s="43"/>
      <c r="Y151" s="43"/>
    </row>
    <row r="152" spans="1:25">
      <c r="A152" s="232" t="str">
        <f t="shared" si="21"/>
        <v>PE005 DCAPP Hotel Ventures LLC</v>
      </c>
      <c r="B152" s="252">
        <v>1328175.954526088</v>
      </c>
      <c r="C152" s="253">
        <f>IFERROR((C106/SUM(C$102:C$136))*lgh_bs!E$33*C$142,0)</f>
        <v>1478994.4801135857</v>
      </c>
      <c r="D152" s="253">
        <f>IFERROR((D106/SUM(D$102:D$136))*lgh_bs!F$33*D$142,0)</f>
        <v>394709.07372332277</v>
      </c>
      <c r="E152" s="253">
        <f>IFERROR((E106/SUM(E$102:E$136))*lgh_bs!G$33*E$142,0)</f>
        <v>1397575.0533297057</v>
      </c>
      <c r="F152" s="253">
        <f>IFERROR((F106/SUM(F$102:F$136))*lgh_bs!H$33*F$142,0)</f>
        <v>1351421.912369665</v>
      </c>
      <c r="G152" s="253">
        <f>IFERROR((G106/SUM(G$102:G$136))*lgh_bs!I$33*G$142,0)</f>
        <v>1391463.4088724407</v>
      </c>
      <c r="H152" s="253">
        <f>IFERROR((H106/SUM(H$102:H$136))*lgh_bs!J$33*H$142,0)</f>
        <v>1458794.8168196809</v>
      </c>
      <c r="I152" s="253">
        <f>IFERROR((I106/SUM(I$102:I$136))*lgh_bs!K$33*I$142,0)</f>
        <v>1534092.7898502795</v>
      </c>
      <c r="J152" s="253">
        <f>IFERROR((J106/SUM(J$102:J$136))*lgh_bs!L$33*J$142,0)</f>
        <v>1670988.8376122818</v>
      </c>
      <c r="K152" s="253">
        <f>IFERROR((K106/SUM(K$102:K$136))*lgh_bs!M$33*K$142,0)</f>
        <v>1960053.6211558648</v>
      </c>
      <c r="L152" s="253">
        <f>IFERROR((L106/SUM(L$102:L$136))*lgh_bs!N$33*L$142,0)</f>
        <v>2382484.5498347897</v>
      </c>
      <c r="M152" s="253">
        <f>IFERROR((M106/SUM(M$102:M$136))*lgh_bs!O$33*M$142,0)</f>
        <v>2876244.3729701731</v>
      </c>
      <c r="N152" s="253">
        <f>IFERROR((N106/SUM(N$102:N$136))*lgh_bs!P$33*N$142,0)</f>
        <v>3361798.11589476</v>
      </c>
      <c r="O152" s="232"/>
      <c r="P152" s="232"/>
      <c r="Q152" s="232"/>
      <c r="R152" s="232"/>
      <c r="S152" s="232"/>
      <c r="T152" s="232"/>
      <c r="U152" s="232"/>
      <c r="V152" s="43"/>
      <c r="W152" s="43"/>
      <c r="X152" s="43"/>
      <c r="Y152" s="43"/>
    </row>
    <row r="153" spans="1:25">
      <c r="A153" s="232" t="str">
        <f t="shared" si="21"/>
        <v>PE006 DCAPP Hotel Ventures LLC</v>
      </c>
      <c r="B153" s="252">
        <v>664087.97726304387</v>
      </c>
      <c r="C153" s="253">
        <f>IFERROR((C107/SUM(C$102:C$136))*lgh_bs!E$33*C$142,0)</f>
        <v>739497.24005679286</v>
      </c>
      <c r="D153" s="253">
        <f>IFERROR((D107/SUM(D$102:D$136))*lgh_bs!F$33*D$142,0)</f>
        <v>197354.53686166139</v>
      </c>
      <c r="E153" s="253">
        <f>IFERROR((E107/SUM(E$102:E$136))*lgh_bs!G$33*E$142,0)</f>
        <v>698787.52666485286</v>
      </c>
      <c r="F153" s="253">
        <f>IFERROR((F107/SUM(F$102:F$136))*lgh_bs!H$33*F$142,0)</f>
        <v>675710.9561848325</v>
      </c>
      <c r="G153" s="253">
        <f>IFERROR((G107/SUM(G$102:G$136))*lgh_bs!I$33*G$142,0)</f>
        <v>695731.70443622035</v>
      </c>
      <c r="H153" s="253">
        <f>IFERROR((H107/SUM(H$102:H$136))*lgh_bs!J$33*H$142,0)</f>
        <v>729397.40840984043</v>
      </c>
      <c r="I153" s="253">
        <f>IFERROR((I107/SUM(I$102:I$136))*lgh_bs!K$33*I$142,0)</f>
        <v>767046.39492513973</v>
      </c>
      <c r="J153" s="253">
        <f>IFERROR((J107/SUM(J$102:J$136))*lgh_bs!L$33*J$142,0)</f>
        <v>835494.41880614089</v>
      </c>
      <c r="K153" s="253">
        <f>IFERROR((K107/SUM(K$102:K$136))*lgh_bs!M$33*K$142,0)</f>
        <v>980026.8105779324</v>
      </c>
      <c r="L153" s="253">
        <f>IFERROR((L107/SUM(L$102:L$136))*lgh_bs!N$33*L$142,0)</f>
        <v>1191242.2749173949</v>
      </c>
      <c r="M153" s="253">
        <f>IFERROR((M107/SUM(M$102:M$136))*lgh_bs!O$33*M$142,0)</f>
        <v>1438122.1864850866</v>
      </c>
      <c r="N153" s="253">
        <f>IFERROR((N107/SUM(N$102:N$136))*lgh_bs!P$33*N$142,0)</f>
        <v>1680899.05794738</v>
      </c>
      <c r="O153" s="232"/>
      <c r="P153" s="232"/>
      <c r="Q153" s="232"/>
      <c r="R153" s="232"/>
      <c r="S153" s="232"/>
      <c r="T153" s="232"/>
      <c r="U153" s="232"/>
      <c r="V153" s="43"/>
      <c r="W153" s="43"/>
      <c r="X153" s="43"/>
      <c r="Y153" s="43"/>
    </row>
    <row r="154" spans="1:25">
      <c r="A154" s="232" t="str">
        <f t="shared" si="21"/>
        <v>PE007 La Pointe Investments LLC</v>
      </c>
      <c r="B154" s="252">
        <v>741169.61748107558</v>
      </c>
      <c r="C154" s="253">
        <f>IFERROR((C108/SUM(C$102:C$136))*lgh_bs!E$33*C$142,0)</f>
        <v>825331.74113481352</v>
      </c>
      <c r="D154" s="253">
        <f>IFERROR((D108/SUM(D$102:D$136))*lgh_bs!F$33*D$142,0)</f>
        <v>220261.75989024702</v>
      </c>
      <c r="E154" s="253">
        <f>IFERROR((E108/SUM(E$102:E$136))*lgh_bs!G$33*E$142,0)</f>
        <v>779896.79315273743</v>
      </c>
      <c r="F154" s="253">
        <f>IFERROR((F108/SUM(F$102:F$136))*lgh_bs!H$33*F$142,0)</f>
        <v>754141.69217057189</v>
      </c>
      <c r="G154" s="253">
        <f>IFERROR((G108/SUM(G$102:G$136))*lgh_bs!I$33*G$142,0)</f>
        <v>776486.27727256739</v>
      </c>
      <c r="H154" s="253">
        <f>IFERROR((H108/SUM(H$102:H$136))*lgh_bs!J$33*H$142,0)</f>
        <v>814059.60760026821</v>
      </c>
      <c r="I154" s="253">
        <f>IFERROR((I108/SUM(I$102:I$136))*lgh_bs!K$33*I$142,0)</f>
        <v>856078.56576466467</v>
      </c>
      <c r="J154" s="253">
        <f>IFERROR((J108/SUM(J$102:J$136))*lgh_bs!L$33*J$142,0)</f>
        <v>932471.44956042501</v>
      </c>
      <c r="K154" s="253">
        <f>IFERROR((K108/SUM(K$102:K$136))*lgh_bs!M$33*K$142,0)</f>
        <v>1093779.9225200135</v>
      </c>
      <c r="L154" s="253">
        <f>IFERROR((L108/SUM(L$102:L$136))*lgh_bs!N$33*L$142,0)</f>
        <v>1329511.4675417352</v>
      </c>
      <c r="M154" s="253">
        <f>IFERROR((M108/SUM(M$102:M$136))*lgh_bs!O$33*M$142,0)</f>
        <v>1605047.0831306768</v>
      </c>
      <c r="N154" s="253">
        <f>IFERROR((N108/SUM(N$102:N$136))*lgh_bs!P$33*N$142,0)</f>
        <v>1876003.4128877006</v>
      </c>
      <c r="O154" s="232"/>
      <c r="P154" s="232"/>
      <c r="Q154" s="232"/>
      <c r="R154" s="232"/>
      <c r="S154" s="232"/>
      <c r="T154" s="232"/>
      <c r="U154" s="232"/>
      <c r="V154" s="43"/>
      <c r="W154" s="43"/>
      <c r="X154" s="43"/>
      <c r="Y154" s="43"/>
    </row>
    <row r="155" spans="1:25">
      <c r="A155" s="232" t="str">
        <f t="shared" si="21"/>
        <v>PE008 La Pointe Investments LLC</v>
      </c>
      <c r="B155" s="252">
        <v>741169.61748107558</v>
      </c>
      <c r="C155" s="253">
        <f>IFERROR((C109/SUM(C$102:C$136))*lgh_bs!E$33*C$142,0)</f>
        <v>825331.74113481352</v>
      </c>
      <c r="D155" s="253">
        <f>IFERROR((D109/SUM(D$102:D$136))*lgh_bs!F$33*D$142,0)</f>
        <v>220261.75989024702</v>
      </c>
      <c r="E155" s="253">
        <f>IFERROR((E109/SUM(E$102:E$136))*lgh_bs!G$33*E$142,0)</f>
        <v>779896.79315273743</v>
      </c>
      <c r="F155" s="253">
        <f>IFERROR((F109/SUM(F$102:F$136))*lgh_bs!H$33*F$142,0)</f>
        <v>754141.69217057189</v>
      </c>
      <c r="G155" s="253">
        <f>IFERROR((G109/SUM(G$102:G$136))*lgh_bs!I$33*G$142,0)</f>
        <v>776486.27727256739</v>
      </c>
      <c r="H155" s="253">
        <f>IFERROR((H109/SUM(H$102:H$136))*lgh_bs!J$33*H$142,0)</f>
        <v>814059.60760026821</v>
      </c>
      <c r="I155" s="253">
        <f>IFERROR((I109/SUM(I$102:I$136))*lgh_bs!K$33*I$142,0)</f>
        <v>856078.56576466467</v>
      </c>
      <c r="J155" s="253">
        <f>IFERROR((J109/SUM(J$102:J$136))*lgh_bs!L$33*J$142,0)</f>
        <v>932471.44956042501</v>
      </c>
      <c r="K155" s="253">
        <f>IFERROR((K109/SUM(K$102:K$136))*lgh_bs!M$33*K$142,0)</f>
        <v>1093779.9225200135</v>
      </c>
      <c r="L155" s="253">
        <f>IFERROR((L109/SUM(L$102:L$136))*lgh_bs!N$33*L$142,0)</f>
        <v>1329511.4675417352</v>
      </c>
      <c r="M155" s="253">
        <f>IFERROR((M109/SUM(M$102:M$136))*lgh_bs!O$33*M$142,0)</f>
        <v>1605047.0831306768</v>
      </c>
      <c r="N155" s="253">
        <f>IFERROR((N109/SUM(N$102:N$136))*lgh_bs!P$33*N$142,0)</f>
        <v>1876003.4128877006</v>
      </c>
      <c r="O155" s="232"/>
      <c r="P155" s="232"/>
      <c r="Q155" s="232"/>
      <c r="R155" s="232"/>
      <c r="S155" s="232"/>
      <c r="T155" s="232"/>
      <c r="U155" s="232"/>
      <c r="V155" s="43"/>
      <c r="W155" s="43"/>
      <c r="X155" s="43"/>
      <c r="Y155" s="43"/>
    </row>
    <row r="156" spans="1:25">
      <c r="A156" s="232" t="str">
        <f t="shared" si="21"/>
        <v>PE009 La Pointe Investments LLC</v>
      </c>
      <c r="B156" s="252">
        <v>299432.52546235459</v>
      </c>
      <c r="C156" s="253">
        <f>IFERROR((C110/SUM(C$102:C$136))*lgh_bs!E$33*C$142,0)</f>
        <v>333434.02341846464</v>
      </c>
      <c r="D156" s="253">
        <f>IFERROR((D110/SUM(D$102:D$136))*lgh_bs!F$33*D$142,0)</f>
        <v>88985.750995659822</v>
      </c>
      <c r="E156" s="253">
        <f>IFERROR((E110/SUM(E$102:E$136))*lgh_bs!G$33*E$142,0)</f>
        <v>315078.30443370598</v>
      </c>
      <c r="F156" s="253">
        <f>IFERROR((F110/SUM(F$102:F$136))*lgh_bs!H$33*F$142,0)</f>
        <v>304673.24363691109</v>
      </c>
      <c r="G156" s="253">
        <f>IFERROR((G110/SUM(G$102:G$136))*lgh_bs!I$33*G$142,0)</f>
        <v>313700.4560181172</v>
      </c>
      <c r="H156" s="253">
        <f>IFERROR((H110/SUM(H$102:H$136))*lgh_bs!J$33*H$142,0)</f>
        <v>328880.08147050836</v>
      </c>
      <c r="I156" s="253">
        <f>IFERROR((I110/SUM(I$102:I$136))*lgh_bs!K$33*I$142,0)</f>
        <v>345855.74056892458</v>
      </c>
      <c r="J156" s="253">
        <f>IFERROR((J110/SUM(J$102:J$136))*lgh_bs!L$33*J$142,0)</f>
        <v>376718.46562241169</v>
      </c>
      <c r="K156" s="253">
        <f>IFERROR((K110/SUM(K$102:K$136))*lgh_bs!M$33*K$142,0)</f>
        <v>441887.08869808551</v>
      </c>
      <c r="L156" s="253">
        <f>IFERROR((L110/SUM(L$102:L$136))*lgh_bs!N$33*L$142,0)</f>
        <v>537122.63288686099</v>
      </c>
      <c r="M156" s="253">
        <f>IFERROR((M110/SUM(M$102:M$136))*lgh_bs!O$33*M$142,0)</f>
        <v>648439.02158479346</v>
      </c>
      <c r="N156" s="253">
        <f>IFERROR((N110/SUM(N$102:N$136))*lgh_bs!P$33*N$142,0)</f>
        <v>757905.37880663108</v>
      </c>
      <c r="O156" s="232"/>
      <c r="P156" s="232"/>
      <c r="Q156" s="232"/>
      <c r="R156" s="232"/>
      <c r="S156" s="232"/>
      <c r="T156" s="232"/>
      <c r="U156" s="232"/>
      <c r="V156" s="43"/>
      <c r="W156" s="43"/>
      <c r="X156" s="43"/>
      <c r="Y156" s="43"/>
    </row>
    <row r="157" spans="1:25">
      <c r="A157" s="232" t="str">
        <f t="shared" si="21"/>
        <v>PE010 Benjamin Rego Jr.</v>
      </c>
      <c r="B157" s="252">
        <v>106728.4249172749</v>
      </c>
      <c r="C157" s="253">
        <f>IFERROR((C111/SUM(C$102:C$136))*lgh_bs!E$33*C$142,0)</f>
        <v>118847.77072341311</v>
      </c>
      <c r="D157" s="253">
        <f>IFERROR((D111/SUM(D$102:D$136))*lgh_bs!F$33*D$142,0)</f>
        <v>31717.693424195575</v>
      </c>
      <c r="E157" s="253">
        <f>IFERROR((E111/SUM(E$102:E$136))*lgh_bs!G$33*E$142,0)</f>
        <v>112305.13821399417</v>
      </c>
      <c r="F157" s="253">
        <f>IFERROR((F111/SUM(F$102:F$136))*lgh_bs!H$33*F$142,0)</f>
        <v>108596.40367256233</v>
      </c>
      <c r="G157" s="253">
        <f>IFERROR((G111/SUM(G$102:G$136))*lgh_bs!I$33*G$142,0)</f>
        <v>111814.02392724967</v>
      </c>
      <c r="H157" s="253">
        <f>IFERROR((H111/SUM(H$102:H$136))*lgh_bs!J$33*H$142,0)</f>
        <v>117224.58349443862</v>
      </c>
      <c r="I157" s="253">
        <f>IFERROR((I111/SUM(I$102:I$136))*lgh_bs!K$33*I$142,0)</f>
        <v>123275.31347011169</v>
      </c>
      <c r="J157" s="253">
        <f>IFERROR((J111/SUM(J$102:J$136))*lgh_bs!L$33*J$142,0)</f>
        <v>134275.88873670119</v>
      </c>
      <c r="K157" s="253">
        <f>IFERROR((K111/SUM(K$102:K$136))*lgh_bs!M$33*K$142,0)</f>
        <v>157504.30884288193</v>
      </c>
      <c r="L157" s="253">
        <f>IFERROR((L111/SUM(L$102:L$136))*lgh_bs!N$33*L$142,0)</f>
        <v>191449.65132600986</v>
      </c>
      <c r="M157" s="253">
        <f>IFERROR((M111/SUM(M$102:M$136))*lgh_bs!O$33*M$142,0)</f>
        <v>231126.77997081741</v>
      </c>
      <c r="N157" s="253">
        <f>IFERROR((N111/SUM(N$102:N$136))*lgh_bs!P$33*N$142,0)</f>
        <v>270144.49145582883</v>
      </c>
      <c r="O157" s="232"/>
      <c r="P157" s="232"/>
      <c r="Q157" s="232"/>
      <c r="R157" s="232"/>
      <c r="S157" s="232"/>
      <c r="T157" s="232"/>
      <c r="U157" s="232"/>
      <c r="V157" s="43"/>
      <c r="W157" s="43"/>
      <c r="X157" s="43"/>
      <c r="Y157" s="43"/>
    </row>
    <row r="158" spans="1:25">
      <c r="A158" s="232" t="str">
        <f t="shared" si="21"/>
        <v>PE011 Benjamin Rego Jr.</v>
      </c>
      <c r="B158" s="252">
        <v>11858.71387969721</v>
      </c>
      <c r="C158" s="253">
        <f>IFERROR((C112/SUM(C$102:C$136))*lgh_bs!E$33*C$142,0)</f>
        <v>13205.307858157015</v>
      </c>
      <c r="D158" s="253">
        <f>IFERROR((D112/SUM(D$102:D$136))*lgh_bs!F$33*D$142,0)</f>
        <v>3524.1881582439532</v>
      </c>
      <c r="E158" s="253">
        <f>IFERROR((E112/SUM(E$102:E$136))*lgh_bs!G$33*E$142,0)</f>
        <v>12478.3486904438</v>
      </c>
      <c r="F158" s="253">
        <f>IFERROR((F112/SUM(F$102:F$136))*lgh_bs!H$33*F$142,0)</f>
        <v>12066.267074729152</v>
      </c>
      <c r="G158" s="253">
        <f>IFERROR((G112/SUM(G$102:G$136))*lgh_bs!I$33*G$142,0)</f>
        <v>12423.780436361079</v>
      </c>
      <c r="H158" s="253">
        <f>IFERROR((H112/SUM(H$102:H$136))*lgh_bs!J$33*H$142,0)</f>
        <v>13024.953721604294</v>
      </c>
      <c r="I158" s="253">
        <f>IFERROR((I112/SUM(I$102:I$136))*lgh_bs!K$33*I$142,0)</f>
        <v>13697.257052234636</v>
      </c>
      <c r="J158" s="253">
        <f>IFERROR((J112/SUM(J$102:J$136))*lgh_bs!L$33*J$142,0)</f>
        <v>14919.543192966801</v>
      </c>
      <c r="K158" s="253">
        <f>IFERROR((K112/SUM(K$102:K$136))*lgh_bs!M$33*K$142,0)</f>
        <v>17500.47876032022</v>
      </c>
      <c r="L158" s="253">
        <f>IFERROR((L112/SUM(L$102:L$136))*lgh_bs!N$33*L$142,0)</f>
        <v>21272.183480667765</v>
      </c>
      <c r="M158" s="253">
        <f>IFERROR((M112/SUM(M$102:M$136))*lgh_bs!O$33*M$142,0)</f>
        <v>25680.753330090829</v>
      </c>
      <c r="N158" s="253">
        <f>IFERROR((N112/SUM(N$102:N$136))*lgh_bs!P$33*N$142,0)</f>
        <v>30016.054606203212</v>
      </c>
      <c r="O158" s="232"/>
      <c r="P158" s="232"/>
      <c r="Q158" s="232"/>
      <c r="R158" s="232"/>
      <c r="S158" s="232"/>
      <c r="T158" s="232"/>
      <c r="U158" s="232"/>
      <c r="V158" s="43"/>
      <c r="W158" s="43"/>
      <c r="X158" s="43"/>
      <c r="Y158" s="43"/>
    </row>
    <row r="159" spans="1:25">
      <c r="A159" s="232" t="str">
        <f t="shared" si="21"/>
        <v>PE012 Benjamin Rego Jr._1</v>
      </c>
      <c r="B159" s="252">
        <v>12695.939079603841</v>
      </c>
      <c r="C159" s="253">
        <f>IFERROR((C113/SUM(C$102:C$136))*lgh_bs!E$33*C$142,0)</f>
        <v>14137.602592942898</v>
      </c>
      <c r="D159" s="253">
        <f>IFERROR((D113/SUM(D$102:D$136))*lgh_bs!F$33*D$142,0)</f>
        <v>3772.9958422159766</v>
      </c>
      <c r="E159" s="253">
        <f>IFERROR((E113/SUM(E$102:E$136))*lgh_bs!G$33*E$142,0)</f>
        <v>13359.320107989131</v>
      </c>
      <c r="F159" s="253">
        <f>IFERROR((F113/SUM(F$102:F$136))*lgh_bs!H$33*F$142,0)</f>
        <v>12918.145530205029</v>
      </c>
      <c r="G159" s="253">
        <f>IFERROR((G113/SUM(G$102:G$136))*lgh_bs!I$33*G$142,0)</f>
        <v>13300.899335168169</v>
      </c>
      <c r="H159" s="253">
        <f>IFERROR((H113/SUM(H$102:H$136))*lgh_bs!J$33*H$142,0)</f>
        <v>13944.515454349554</v>
      </c>
      <c r="I159" s="253">
        <f>IFERROR((I113/SUM(I$102:I$136))*lgh_bs!K$33*I$142,0)</f>
        <v>14664.2834001224</v>
      </c>
      <c r="J159" s="253">
        <f>IFERROR((J113/SUM(J$102:J$136))*lgh_bs!L$33*J$142,0)</f>
        <v>15972.862942390255</v>
      </c>
      <c r="K159" s="253">
        <f>IFERROR((K113/SUM(K$102:K$136))*lgh_bs!M$33*K$142,0)</f>
        <v>18736.012560798827</v>
      </c>
      <c r="L159" s="253">
        <f>IFERROR((L113/SUM(L$102:L$136))*lgh_bs!N$33*L$142,0)</f>
        <v>22773.999634402906</v>
      </c>
      <c r="M159" s="253">
        <f>IFERROR((M113/SUM(M$102:M$136))*lgh_bs!O$33*M$142,0)</f>
        <v>27493.814515195241</v>
      </c>
      <c r="N159" s="253">
        <f>IFERROR((N113/SUM(N$102:N$136))*lgh_bs!P$33*N$142,0)</f>
        <v>32135.188061401157</v>
      </c>
      <c r="O159" s="232"/>
      <c r="P159" s="232"/>
      <c r="Q159" s="232"/>
      <c r="R159" s="232"/>
      <c r="S159" s="232"/>
      <c r="T159" s="232"/>
      <c r="U159" s="232"/>
      <c r="V159" s="43"/>
      <c r="W159" s="43"/>
      <c r="X159" s="43"/>
      <c r="Y159" s="43"/>
    </row>
    <row r="160" spans="1:25">
      <c r="A160" s="232" t="str">
        <f t="shared" si="21"/>
        <v>PE013 Benjamin Rego Jr._1</v>
      </c>
      <c r="B160" s="252">
        <v>38087.817238811513</v>
      </c>
      <c r="C160" s="253">
        <f>IFERROR((C114/SUM(C$102:C$136))*lgh_bs!E$33*C$142,0)</f>
        <v>42412.807778828697</v>
      </c>
      <c r="D160" s="253">
        <f>IFERROR((D114/SUM(D$102:D$136))*lgh_bs!F$33*D$142,0)</f>
        <v>11318.987526647927</v>
      </c>
      <c r="E160" s="253">
        <f>IFERROR((E114/SUM(E$102:E$136))*lgh_bs!G$33*E$142,0)</f>
        <v>40077.960323967389</v>
      </c>
      <c r="F160" s="253">
        <f>IFERROR((F114/SUM(F$102:F$136))*lgh_bs!H$33*F$142,0)</f>
        <v>38754.436590615078</v>
      </c>
      <c r="G160" s="253">
        <f>IFERROR((G114/SUM(G$102:G$136))*lgh_bs!I$33*G$142,0)</f>
        <v>39902.698005504499</v>
      </c>
      <c r="H160" s="253">
        <f>IFERROR((H114/SUM(H$102:H$136))*lgh_bs!J$33*H$142,0)</f>
        <v>41833.546363048656</v>
      </c>
      <c r="I160" s="253">
        <f>IFERROR((I114/SUM(I$102:I$136))*lgh_bs!K$33*I$142,0)</f>
        <v>43992.850200367197</v>
      </c>
      <c r="J160" s="253">
        <f>IFERROR((J114/SUM(J$102:J$136))*lgh_bs!L$33*J$142,0)</f>
        <v>47918.588827170759</v>
      </c>
      <c r="K160" s="253">
        <f>IFERROR((K114/SUM(K$102:K$136))*lgh_bs!M$33*K$142,0)</f>
        <v>56208.037682396462</v>
      </c>
      <c r="L160" s="253">
        <f>IFERROR((L114/SUM(L$102:L$136))*lgh_bs!N$33*L$142,0)</f>
        <v>68321.998903208703</v>
      </c>
      <c r="M160" s="253">
        <f>IFERROR((M114/SUM(M$102:M$136))*lgh_bs!O$33*M$142,0)</f>
        <v>82481.443545585702</v>
      </c>
      <c r="N160" s="253">
        <f>IFERROR((N114/SUM(N$102:N$136))*lgh_bs!P$33*N$142,0)</f>
        <v>96405.564184203453</v>
      </c>
      <c r="O160" s="232"/>
      <c r="P160" s="232"/>
      <c r="Q160" s="232"/>
      <c r="R160" s="232"/>
      <c r="S160" s="232"/>
      <c r="T160" s="232"/>
      <c r="U160" s="232"/>
      <c r="V160" s="43"/>
      <c r="W160" s="43"/>
      <c r="X160" s="43"/>
      <c r="Y160" s="43"/>
    </row>
    <row r="161" spans="1:25">
      <c r="A161" s="232" t="str">
        <f t="shared" si="21"/>
        <v>PE014 Benjamin Rego Jr._1</v>
      </c>
      <c r="B161" s="252">
        <v>76175.634477623011</v>
      </c>
      <c r="C161" s="253">
        <f>IFERROR((C115/SUM(C$102:C$136))*lgh_bs!E$33*C$142,0)</f>
        <v>84825.615557657409</v>
      </c>
      <c r="D161" s="253">
        <f>IFERROR((D115/SUM(D$102:D$136))*lgh_bs!F$33*D$142,0)</f>
        <v>22637.975053295861</v>
      </c>
      <c r="E161" s="253">
        <f>IFERROR((E115/SUM(E$102:E$136))*lgh_bs!G$33*E$142,0)</f>
        <v>80155.920647934792</v>
      </c>
      <c r="F161" s="253">
        <f>IFERROR((F115/SUM(F$102:F$136))*lgh_bs!H$33*F$142,0)</f>
        <v>77508.87318123017</v>
      </c>
      <c r="G161" s="253">
        <f>IFERROR((G115/SUM(G$102:G$136))*lgh_bs!I$33*G$142,0)</f>
        <v>79805.396011009012</v>
      </c>
      <c r="H161" s="253">
        <f>IFERROR((H115/SUM(H$102:H$136))*lgh_bs!J$33*H$142,0)</f>
        <v>83667.092726097326</v>
      </c>
      <c r="I161" s="253">
        <f>IFERROR((I115/SUM(I$102:I$136))*lgh_bs!K$33*I$142,0)</f>
        <v>87985.700400734393</v>
      </c>
      <c r="J161" s="253">
        <f>IFERROR((J115/SUM(J$102:J$136))*lgh_bs!L$33*J$142,0)</f>
        <v>95837.177654341533</v>
      </c>
      <c r="K161" s="253">
        <f>IFERROR((K115/SUM(K$102:K$136))*lgh_bs!M$33*K$142,0)</f>
        <v>112416.07536479295</v>
      </c>
      <c r="L161" s="253">
        <f>IFERROR((L115/SUM(L$102:L$136))*lgh_bs!N$33*L$142,0)</f>
        <v>136643.99780641744</v>
      </c>
      <c r="M161" s="253">
        <f>IFERROR((M115/SUM(M$102:M$136))*lgh_bs!O$33*M$142,0)</f>
        <v>164962.88709117143</v>
      </c>
      <c r="N161" s="253">
        <f>IFERROR((N115/SUM(N$102:N$136))*lgh_bs!P$33*N$142,0)</f>
        <v>192811.12836840693</v>
      </c>
      <c r="O161" s="232"/>
      <c r="P161" s="232"/>
      <c r="Q161" s="232"/>
      <c r="R161" s="232"/>
      <c r="S161" s="232"/>
      <c r="T161" s="232"/>
      <c r="U161" s="232"/>
      <c r="V161" s="43"/>
      <c r="W161" s="43"/>
      <c r="X161" s="43"/>
      <c r="Y161" s="43"/>
    </row>
    <row r="162" spans="1:25">
      <c r="A162" s="232" t="str">
        <f t="shared" si="21"/>
        <v>PE015 LBCW Holdings, LP</v>
      </c>
      <c r="B162" s="252">
        <v>118587.1387969721</v>
      </c>
      <c r="C162" s="253">
        <f>IFERROR((C116/SUM(C$102:C$136))*lgh_bs!E$33*C$142,0)</f>
        <v>132053.07858157015</v>
      </c>
      <c r="D162" s="253">
        <f>IFERROR((D116/SUM(D$102:D$136))*lgh_bs!F$33*D$142,0)</f>
        <v>35241.881582439528</v>
      </c>
      <c r="E162" s="253">
        <f>IFERROR((E116/SUM(E$102:E$136))*lgh_bs!G$33*E$142,0)</f>
        <v>124783.486904438</v>
      </c>
      <c r="F162" s="253">
        <f>IFERROR((F116/SUM(F$102:F$136))*lgh_bs!H$33*F$142,0)</f>
        <v>120662.6707472915</v>
      </c>
      <c r="G162" s="253">
        <f>IFERROR((G116/SUM(G$102:G$136))*lgh_bs!I$33*G$142,0)</f>
        <v>124237.80436361076</v>
      </c>
      <c r="H162" s="253">
        <f>IFERROR((H116/SUM(H$102:H$136))*lgh_bs!J$33*H$142,0)</f>
        <v>130249.53721604291</v>
      </c>
      <c r="I162" s="253">
        <f>IFERROR((I116/SUM(I$102:I$136))*lgh_bs!K$33*I$142,0)</f>
        <v>136972.57052234636</v>
      </c>
      <c r="J162" s="253">
        <f>IFERROR((J116/SUM(J$102:J$136))*lgh_bs!L$33*J$142,0)</f>
        <v>149195.431929668</v>
      </c>
      <c r="K162" s="253">
        <f>IFERROR((K116/SUM(K$102:K$136))*lgh_bs!M$33*K$142,0)</f>
        <v>175004.78760320219</v>
      </c>
      <c r="L162" s="253">
        <f>IFERROR((L116/SUM(L$102:L$136))*lgh_bs!N$33*L$142,0)</f>
        <v>212721.83480667762</v>
      </c>
      <c r="M162" s="253">
        <f>IFERROR((M116/SUM(M$102:M$136))*lgh_bs!O$33*M$142,0)</f>
        <v>256807.53330090828</v>
      </c>
      <c r="N162" s="253">
        <f>IFERROR((N116/SUM(N$102:N$136))*lgh_bs!P$33*N$142,0)</f>
        <v>300160.54606203211</v>
      </c>
      <c r="O162" s="232"/>
      <c r="P162" s="232"/>
      <c r="Q162" s="232"/>
      <c r="R162" s="232"/>
      <c r="S162" s="232"/>
      <c r="T162" s="232"/>
      <c r="U162" s="232"/>
      <c r="V162" s="43"/>
      <c r="W162" s="43"/>
      <c r="X162" s="43"/>
      <c r="Y162" s="43"/>
    </row>
    <row r="163" spans="1:25">
      <c r="A163" s="232" t="str">
        <f t="shared" si="21"/>
        <v>PE016 LBCW Holdings, LP</v>
      </c>
      <c r="B163" s="252">
        <v>118587.1387969721</v>
      </c>
      <c r="C163" s="253">
        <f>IFERROR((C117/SUM(C$102:C$136))*lgh_bs!E$33*C$142,0)</f>
        <v>132053.07858157015</v>
      </c>
      <c r="D163" s="253">
        <f>IFERROR((D117/SUM(D$102:D$136))*lgh_bs!F$33*D$142,0)</f>
        <v>35241.881582439528</v>
      </c>
      <c r="E163" s="253">
        <f>IFERROR((E117/SUM(E$102:E$136))*lgh_bs!G$33*E$142,0)</f>
        <v>124783.486904438</v>
      </c>
      <c r="F163" s="253">
        <f>IFERROR((F117/SUM(F$102:F$136))*lgh_bs!H$33*F$142,0)</f>
        <v>120662.6707472915</v>
      </c>
      <c r="G163" s="253">
        <f>IFERROR((G117/SUM(G$102:G$136))*lgh_bs!I$33*G$142,0)</f>
        <v>124237.80436361076</v>
      </c>
      <c r="H163" s="253">
        <f>IFERROR((H117/SUM(H$102:H$136))*lgh_bs!J$33*H$142,0)</f>
        <v>130249.53721604291</v>
      </c>
      <c r="I163" s="253">
        <f>IFERROR((I117/SUM(I$102:I$136))*lgh_bs!K$33*I$142,0)</f>
        <v>136972.57052234636</v>
      </c>
      <c r="J163" s="253">
        <f>IFERROR((J117/SUM(J$102:J$136))*lgh_bs!L$33*J$142,0)</f>
        <v>149195.431929668</v>
      </c>
      <c r="K163" s="253">
        <f>IFERROR((K117/SUM(K$102:K$136))*lgh_bs!M$33*K$142,0)</f>
        <v>175004.78760320219</v>
      </c>
      <c r="L163" s="253">
        <f>IFERROR((L117/SUM(L$102:L$136))*lgh_bs!N$33*L$142,0)</f>
        <v>212721.83480667762</v>
      </c>
      <c r="M163" s="253">
        <f>IFERROR((M117/SUM(M$102:M$136))*lgh_bs!O$33*M$142,0)</f>
        <v>256807.53330090828</v>
      </c>
      <c r="N163" s="253">
        <f>IFERROR((N117/SUM(N$102:N$136))*lgh_bs!P$33*N$142,0)</f>
        <v>300160.54606203211</v>
      </c>
      <c r="O163" s="232"/>
      <c r="P163" s="232"/>
      <c r="Q163" s="232"/>
      <c r="R163" s="232"/>
      <c r="S163" s="232"/>
      <c r="T163" s="232"/>
      <c r="U163" s="232"/>
      <c r="V163" s="43"/>
      <c r="W163" s="43"/>
      <c r="X163" s="43"/>
      <c r="Y163" s="43"/>
    </row>
    <row r="164" spans="1:25">
      <c r="A164" s="232" t="str">
        <f t="shared" si="21"/>
        <v>PE017 Arbor Green II LP</v>
      </c>
      <c r="B164" s="252">
        <v>237174.27759394419</v>
      </c>
      <c r="C164" s="253">
        <f>IFERROR((C118/SUM(C$102:C$136))*lgh_bs!E$33*C$142,0)</f>
        <v>264106.15716314025</v>
      </c>
      <c r="D164" s="253">
        <f>IFERROR((D118/SUM(D$102:D$136))*lgh_bs!F$33*D$142,0)</f>
        <v>70483.763164879041</v>
      </c>
      <c r="E164" s="253">
        <f>IFERROR((E118/SUM(E$102:E$136))*lgh_bs!G$33*E$142,0)</f>
        <v>249566.97380887592</v>
      </c>
      <c r="F164" s="253">
        <f>IFERROR((F118/SUM(F$102:F$136))*lgh_bs!H$33*F$142,0)</f>
        <v>241325.34149458297</v>
      </c>
      <c r="G164" s="253">
        <f>IFERROR((G118/SUM(G$102:G$136))*lgh_bs!I$33*G$142,0)</f>
        <v>248475.60872722146</v>
      </c>
      <c r="H164" s="253">
        <f>IFERROR((H118/SUM(H$102:H$136))*lgh_bs!J$33*H$142,0)</f>
        <v>260499.07443208579</v>
      </c>
      <c r="I164" s="253">
        <f>IFERROR((I118/SUM(I$102:I$136))*lgh_bs!K$33*I$142,0)</f>
        <v>273945.1410446926</v>
      </c>
      <c r="J164" s="253">
        <f>IFERROR((J118/SUM(J$102:J$136))*lgh_bs!L$33*J$142,0)</f>
        <v>298390.86385933595</v>
      </c>
      <c r="K164" s="253">
        <f>IFERROR((K118/SUM(K$102:K$136))*lgh_bs!M$33*K$142,0)</f>
        <v>350009.57520640426</v>
      </c>
      <c r="L164" s="253">
        <f>IFERROR((L118/SUM(L$102:L$136))*lgh_bs!N$33*L$142,0)</f>
        <v>425443.66961335519</v>
      </c>
      <c r="M164" s="253">
        <f>IFERROR((M118/SUM(M$102:M$136))*lgh_bs!O$33*M$142,0)</f>
        <v>513615.06660181645</v>
      </c>
      <c r="N164" s="253">
        <f>IFERROR((N118/SUM(N$102:N$136))*lgh_bs!P$33*N$142,0)</f>
        <v>600321.0921240641</v>
      </c>
      <c r="O164" s="232"/>
      <c r="P164" s="232"/>
      <c r="Q164" s="232"/>
      <c r="R164" s="232"/>
      <c r="S164" s="232"/>
      <c r="T164" s="232"/>
      <c r="U164" s="232"/>
      <c r="V164" s="43"/>
      <c r="W164" s="43"/>
      <c r="X164" s="43"/>
      <c r="Y164" s="43"/>
    </row>
    <row r="165" spans="1:25">
      <c r="A165" s="232" t="str">
        <f t="shared" si="21"/>
        <v>PE018 Todd &amp; Stephanie Routh</v>
      </c>
      <c r="B165" s="252">
        <v>77081.640218031855</v>
      </c>
      <c r="C165" s="253">
        <f>IFERROR((C119/SUM(C$102:C$136))*lgh_bs!E$33*C$142,0)</f>
        <v>85834.501078020578</v>
      </c>
      <c r="D165" s="253">
        <f>IFERROR((D119/SUM(D$102:D$136))*lgh_bs!F$33*D$142,0)</f>
        <v>22907.223028585686</v>
      </c>
      <c r="E165" s="253">
        <f>IFERROR((E119/SUM(E$102:E$136))*lgh_bs!G$33*E$142,0)</f>
        <v>81109.26648788467</v>
      </c>
      <c r="F165" s="253">
        <f>IFERROR((F119/SUM(F$102:F$136))*lgh_bs!H$33*F$142,0)</f>
        <v>78430.735985739448</v>
      </c>
      <c r="G165" s="253">
        <f>IFERROR((G119/SUM(G$102:G$136))*lgh_bs!I$33*G$142,0)</f>
        <v>80754.572836346983</v>
      </c>
      <c r="H165" s="253">
        <f>IFERROR((H119/SUM(H$102:H$136))*lgh_bs!J$33*H$142,0)</f>
        <v>84662.199190427884</v>
      </c>
      <c r="I165" s="253">
        <f>IFERROR((I119/SUM(I$102:I$136))*lgh_bs!K$33*I$142,0)</f>
        <v>89032.170839525119</v>
      </c>
      <c r="J165" s="253">
        <f>IFERROR((J119/SUM(J$102:J$136))*lgh_bs!L$33*J$142,0)</f>
        <v>96977.030754284177</v>
      </c>
      <c r="K165" s="253">
        <f>IFERROR((K119/SUM(K$102:K$136))*lgh_bs!M$33*K$142,0)</f>
        <v>113753.11194208139</v>
      </c>
      <c r="L165" s="253">
        <f>IFERROR((L119/SUM(L$102:L$136))*lgh_bs!N$33*L$142,0)</f>
        <v>138269.19262434045</v>
      </c>
      <c r="M165" s="253">
        <f>IFERROR((M119/SUM(M$102:M$136))*lgh_bs!O$33*M$142,0)</f>
        <v>166924.89664559034</v>
      </c>
      <c r="N165" s="253">
        <f>IFERROR((N119/SUM(N$102:N$136))*lgh_bs!P$33*N$142,0)</f>
        <v>195104.35494032083</v>
      </c>
      <c r="O165" s="232"/>
      <c r="P165" s="232"/>
      <c r="Q165" s="232"/>
      <c r="R165" s="232"/>
      <c r="S165" s="232"/>
      <c r="T165" s="232"/>
      <c r="U165" s="232"/>
      <c r="V165" s="43"/>
      <c r="W165" s="43"/>
      <c r="X165" s="43"/>
      <c r="Y165" s="43"/>
    </row>
    <row r="166" spans="1:25">
      <c r="A166" s="232" t="str">
        <f t="shared" si="21"/>
        <v>PE019 Todd &amp; Stephanie Routh</v>
      </c>
      <c r="B166" s="252">
        <v>23717.427759394421</v>
      </c>
      <c r="C166" s="253">
        <f>IFERROR((C120/SUM(C$102:C$136))*lgh_bs!E$33*C$142,0)</f>
        <v>26410.615716314023</v>
      </c>
      <c r="D166" s="253">
        <f>IFERROR((D120/SUM(D$102:D$136))*lgh_bs!F$33*D$142,0)</f>
        <v>7048.3763164879047</v>
      </c>
      <c r="E166" s="253">
        <f>IFERROR((E120/SUM(E$102:E$136))*lgh_bs!G$33*E$142,0)</f>
        <v>24956.697380887599</v>
      </c>
      <c r="F166" s="253">
        <f>IFERROR((F120/SUM(F$102:F$136))*lgh_bs!H$33*F$142,0)</f>
        <v>24132.534149458301</v>
      </c>
      <c r="G166" s="253">
        <f>IFERROR((G120/SUM(G$102:G$136))*lgh_bs!I$33*G$142,0)</f>
        <v>24847.560872722152</v>
      </c>
      <c r="H166" s="253">
        <f>IFERROR((H120/SUM(H$102:H$136))*lgh_bs!J$33*H$142,0)</f>
        <v>26049.90744320858</v>
      </c>
      <c r="I166" s="253">
        <f>IFERROR((I120/SUM(I$102:I$136))*lgh_bs!K$33*I$142,0)</f>
        <v>27394.514104469268</v>
      </c>
      <c r="J166" s="253">
        <f>IFERROR((J120/SUM(J$102:J$136))*lgh_bs!L$33*J$142,0)</f>
        <v>29839.086385933595</v>
      </c>
      <c r="K166" s="253">
        <f>IFERROR((K120/SUM(K$102:K$136))*lgh_bs!M$33*K$142,0)</f>
        <v>35000.957520640426</v>
      </c>
      <c r="L166" s="253">
        <f>IFERROR((L120/SUM(L$102:L$136))*lgh_bs!N$33*L$142,0)</f>
        <v>42544.366961335516</v>
      </c>
      <c r="M166" s="253">
        <f>IFERROR((M120/SUM(M$102:M$136))*lgh_bs!O$33*M$142,0)</f>
        <v>51361.506660181651</v>
      </c>
      <c r="N166" s="253">
        <f>IFERROR((N120/SUM(N$102:N$136))*lgh_bs!P$33*N$142,0)</f>
        <v>60032.109212406409</v>
      </c>
      <c r="O166" s="232"/>
      <c r="P166" s="232"/>
      <c r="Q166" s="232"/>
      <c r="R166" s="232"/>
      <c r="S166" s="232"/>
      <c r="T166" s="232"/>
      <c r="U166" s="232"/>
      <c r="V166" s="43"/>
      <c r="W166" s="43"/>
      <c r="X166" s="43"/>
      <c r="Y166" s="43"/>
    </row>
    <row r="167" spans="1:25">
      <c r="A167" s="232" t="str">
        <f t="shared" si="21"/>
        <v>PE020 Todd &amp; Stephanie Routh</v>
      </c>
      <c r="B167" s="252">
        <v>136375.20961651791</v>
      </c>
      <c r="C167" s="253">
        <f>IFERROR((C121/SUM(C$102:C$136))*lgh_bs!E$33*C$142,0)</f>
        <v>151861.04036880573</v>
      </c>
      <c r="D167" s="253">
        <f>IFERROR((D121/SUM(D$102:D$136))*lgh_bs!F$33*D$142,0)</f>
        <v>40528.163819805472</v>
      </c>
      <c r="E167" s="253">
        <f>IFERROR((E121/SUM(E$102:E$136))*lgh_bs!G$33*E$142,0)</f>
        <v>143501.00994010374</v>
      </c>
      <c r="F167" s="253">
        <f>IFERROR((F121/SUM(F$102:F$136))*lgh_bs!H$33*F$142,0)</f>
        <v>138762.07135938527</v>
      </c>
      <c r="G167" s="253">
        <f>IFERROR((G121/SUM(G$102:G$136))*lgh_bs!I$33*G$142,0)</f>
        <v>142873.47501815244</v>
      </c>
      <c r="H167" s="253">
        <f>IFERROR((H121/SUM(H$102:H$136))*lgh_bs!J$33*H$142,0)</f>
        <v>149786.96779844939</v>
      </c>
      <c r="I167" s="253">
        <f>IFERROR((I121/SUM(I$102:I$136))*lgh_bs!K$33*I$142,0)</f>
        <v>157518.45610069836</v>
      </c>
      <c r="J167" s="253">
        <f>IFERROR((J121/SUM(J$102:J$136))*lgh_bs!L$33*J$142,0)</f>
        <v>171574.74671911824</v>
      </c>
      <c r="K167" s="253">
        <f>IFERROR((K121/SUM(K$102:K$136))*lgh_bs!M$33*K$142,0)</f>
        <v>201255.50574368256</v>
      </c>
      <c r="L167" s="253">
        <f>IFERROR((L121/SUM(L$102:L$136))*lgh_bs!N$33*L$142,0)</f>
        <v>244630.11002767936</v>
      </c>
      <c r="M167" s="253">
        <f>IFERROR((M121/SUM(M$102:M$136))*lgh_bs!O$33*M$142,0)</f>
        <v>295328.66329604457</v>
      </c>
      <c r="N167" s="253">
        <f>IFERROR((N121/SUM(N$102:N$136))*lgh_bs!P$33*N$142,0)</f>
        <v>345184.627971337</v>
      </c>
      <c r="O167" s="232"/>
      <c r="P167" s="232"/>
      <c r="Q167" s="232"/>
      <c r="R167" s="232"/>
      <c r="S167" s="232"/>
      <c r="T167" s="232"/>
      <c r="U167" s="232"/>
      <c r="V167" s="43"/>
      <c r="W167" s="43"/>
      <c r="X167" s="43"/>
      <c r="Y167" s="43"/>
    </row>
    <row r="168" spans="1:25">
      <c r="A168" s="232" t="str">
        <f t="shared" si="21"/>
        <v>PE021 Todd &amp; Stephanie Routh</v>
      </c>
      <c r="B168" s="252">
        <v>237174.27759394419</v>
      </c>
      <c r="C168" s="253">
        <f>IFERROR((C122/SUM(C$102:C$136))*lgh_bs!E$33*C$142,0)</f>
        <v>264106.15716314025</v>
      </c>
      <c r="D168" s="253">
        <f>IFERROR((D122/SUM(D$102:D$136))*lgh_bs!F$33*D$142,0)</f>
        <v>70483.763164879041</v>
      </c>
      <c r="E168" s="253">
        <f>IFERROR((E122/SUM(E$102:E$136))*lgh_bs!G$33*E$142,0)</f>
        <v>249566.97380887592</v>
      </c>
      <c r="F168" s="253">
        <f>IFERROR((F122/SUM(F$102:F$136))*lgh_bs!H$33*F$142,0)</f>
        <v>241325.34149458297</v>
      </c>
      <c r="G168" s="253">
        <f>IFERROR((G122/SUM(G$102:G$136))*lgh_bs!I$33*G$142,0)</f>
        <v>248475.60872722146</v>
      </c>
      <c r="H168" s="253">
        <f>IFERROR((H122/SUM(H$102:H$136))*lgh_bs!J$33*H$142,0)</f>
        <v>260499.07443208579</v>
      </c>
      <c r="I168" s="253">
        <f>IFERROR((I122/SUM(I$102:I$136))*lgh_bs!K$33*I$142,0)</f>
        <v>273945.1410446926</v>
      </c>
      <c r="J168" s="253">
        <f>IFERROR((J122/SUM(J$102:J$136))*lgh_bs!L$33*J$142,0)</f>
        <v>298390.86385933595</v>
      </c>
      <c r="K168" s="253">
        <f>IFERROR((K122/SUM(K$102:K$136))*lgh_bs!M$33*K$142,0)</f>
        <v>350009.57520640426</v>
      </c>
      <c r="L168" s="253">
        <f>IFERROR((L122/SUM(L$102:L$136))*lgh_bs!N$33*L$142,0)</f>
        <v>425443.66961335519</v>
      </c>
      <c r="M168" s="253">
        <f>IFERROR((M122/SUM(M$102:M$136))*lgh_bs!O$33*M$142,0)</f>
        <v>513615.06660181645</v>
      </c>
      <c r="N168" s="253">
        <f>IFERROR((N122/SUM(N$102:N$136))*lgh_bs!P$33*N$142,0)</f>
        <v>600321.0921240641</v>
      </c>
      <c r="O168" s="232"/>
      <c r="P168" s="232"/>
      <c r="Q168" s="232"/>
      <c r="R168" s="232"/>
      <c r="S168" s="232"/>
      <c r="T168" s="232"/>
      <c r="U168" s="232"/>
      <c r="V168" s="43"/>
      <c r="W168" s="43"/>
      <c r="X168" s="43"/>
      <c r="Y168" s="43"/>
    </row>
    <row r="169" spans="1:25">
      <c r="A169" s="232" t="str">
        <f t="shared" si="21"/>
        <v>PE022 Huston Street</v>
      </c>
      <c r="B169" s="252">
        <v>237174.27759394419</v>
      </c>
      <c r="C169" s="253">
        <f>IFERROR((C123/SUM(C$102:C$136))*lgh_bs!E$33*C$142,0)</f>
        <v>264106.15716314025</v>
      </c>
      <c r="D169" s="253">
        <f>IFERROR((D123/SUM(D$102:D$136))*lgh_bs!F$33*D$142,0)</f>
        <v>70483.763164879041</v>
      </c>
      <c r="E169" s="253">
        <f>IFERROR((E123/SUM(E$102:E$136))*lgh_bs!G$33*E$142,0)</f>
        <v>249566.97380887592</v>
      </c>
      <c r="F169" s="253">
        <f>IFERROR((F123/SUM(F$102:F$136))*lgh_bs!H$33*F$142,0)</f>
        <v>241325.34149458297</v>
      </c>
      <c r="G169" s="253">
        <f>IFERROR((G123/SUM(G$102:G$136))*lgh_bs!I$33*G$142,0)</f>
        <v>248475.60872722146</v>
      </c>
      <c r="H169" s="253">
        <f>IFERROR((H123/SUM(H$102:H$136))*lgh_bs!J$33*H$142,0)</f>
        <v>260499.07443208579</v>
      </c>
      <c r="I169" s="253">
        <f>IFERROR((I123/SUM(I$102:I$136))*lgh_bs!K$33*I$142,0)</f>
        <v>273945.1410446926</v>
      </c>
      <c r="J169" s="253">
        <f>IFERROR((J123/SUM(J$102:J$136))*lgh_bs!L$33*J$142,0)</f>
        <v>298390.86385933595</v>
      </c>
      <c r="K169" s="253">
        <f>IFERROR((K123/SUM(K$102:K$136))*lgh_bs!M$33*K$142,0)</f>
        <v>350009.57520640426</v>
      </c>
      <c r="L169" s="253">
        <f>IFERROR((L123/SUM(L$102:L$136))*lgh_bs!N$33*L$142,0)</f>
        <v>425443.66961335519</v>
      </c>
      <c r="M169" s="253">
        <f>IFERROR((M123/SUM(M$102:M$136))*lgh_bs!O$33*M$142,0)</f>
        <v>513615.06660181645</v>
      </c>
      <c r="N169" s="253">
        <f>IFERROR((N123/SUM(N$102:N$136))*lgh_bs!P$33*N$142,0)</f>
        <v>600321.0921240641</v>
      </c>
      <c r="O169" s="232"/>
      <c r="P169" s="232"/>
      <c r="Q169" s="232"/>
      <c r="R169" s="232"/>
      <c r="S169" s="232"/>
      <c r="T169" s="232"/>
      <c r="U169" s="232"/>
      <c r="V169" s="43"/>
      <c r="W169" s="43"/>
      <c r="X169" s="43"/>
      <c r="Y169" s="43"/>
    </row>
    <row r="170" spans="1:25">
      <c r="A170" s="232" t="str">
        <f t="shared" si="21"/>
        <v>PE023 Bruner Interests LLC</v>
      </c>
      <c r="B170" s="252">
        <v>63479.695398019168</v>
      </c>
      <c r="C170" s="253">
        <f>IFERROR((C124/SUM(C$102:C$136))*lgh_bs!E$33*C$142,0)</f>
        <v>70688.012964714493</v>
      </c>
      <c r="D170" s="253">
        <f>IFERROR((D124/SUM(D$102:D$136))*lgh_bs!F$33*D$142,0)</f>
        <v>18864.979211079877</v>
      </c>
      <c r="E170" s="253">
        <f>IFERROR((E124/SUM(E$102:E$136))*lgh_bs!G$33*E$142,0)</f>
        <v>66796.600539945648</v>
      </c>
      <c r="F170" s="253">
        <f>IFERROR((F124/SUM(F$102:F$136))*lgh_bs!H$33*F$142,0)</f>
        <v>64590.727651025139</v>
      </c>
      <c r="G170" s="253">
        <f>IFERROR((G124/SUM(G$102:G$136))*lgh_bs!I$33*G$142,0)</f>
        <v>66504.496675840841</v>
      </c>
      <c r="H170" s="253">
        <f>IFERROR((H124/SUM(H$102:H$136))*lgh_bs!J$33*H$142,0)</f>
        <v>69722.577271747767</v>
      </c>
      <c r="I170" s="253">
        <f>IFERROR((I124/SUM(I$102:I$136))*lgh_bs!K$33*I$142,0)</f>
        <v>73321.417000611997</v>
      </c>
      <c r="J170" s="253">
        <f>IFERROR((J124/SUM(J$102:J$136))*lgh_bs!L$33*J$142,0)</f>
        <v>79864.314711951272</v>
      </c>
      <c r="K170" s="253">
        <f>IFERROR((K124/SUM(K$102:K$136))*lgh_bs!M$33*K$142,0)</f>
        <v>93680.062803994122</v>
      </c>
      <c r="L170" s="253">
        <f>IFERROR((L124/SUM(L$102:L$136))*lgh_bs!N$33*L$142,0)</f>
        <v>113869.99817201453</v>
      </c>
      <c r="M170" s="253">
        <f>IFERROR((M124/SUM(M$102:M$136))*lgh_bs!O$33*M$142,0)</f>
        <v>137469.0725759762</v>
      </c>
      <c r="N170" s="253">
        <f>IFERROR((N124/SUM(N$102:N$136))*lgh_bs!P$33*N$142,0)</f>
        <v>160675.94030700577</v>
      </c>
      <c r="O170" s="232"/>
      <c r="P170" s="232"/>
      <c r="Q170" s="232"/>
      <c r="R170" s="232"/>
      <c r="S170" s="232"/>
      <c r="T170" s="232"/>
      <c r="U170" s="232"/>
      <c r="V170" s="43"/>
      <c r="W170" s="43"/>
      <c r="X170" s="43"/>
      <c r="Y170" s="43"/>
    </row>
    <row r="171" spans="1:25">
      <c r="A171" s="232" t="str">
        <f t="shared" si="21"/>
        <v>PE024 Bruner Interests LLC</v>
      </c>
      <c r="B171" s="252">
        <v>15869.92384950479</v>
      </c>
      <c r="C171" s="253">
        <f>IFERROR((C125/SUM(C$102:C$136))*lgh_bs!E$33*C$142,0)</f>
        <v>17672.003241178623</v>
      </c>
      <c r="D171" s="253">
        <f>IFERROR((D125/SUM(D$102:D$136))*lgh_bs!F$33*D$142,0)</f>
        <v>4716.2448027699693</v>
      </c>
      <c r="E171" s="253">
        <f>IFERROR((E125/SUM(E$102:E$136))*lgh_bs!G$33*E$142,0)</f>
        <v>16699.150134986412</v>
      </c>
      <c r="F171" s="253">
        <f>IFERROR((F125/SUM(F$102:F$136))*lgh_bs!H$33*F$142,0)</f>
        <v>16147.681912756285</v>
      </c>
      <c r="G171" s="253">
        <f>IFERROR((G125/SUM(G$102:G$136))*lgh_bs!I$33*G$142,0)</f>
        <v>16626.12416896021</v>
      </c>
      <c r="H171" s="253">
        <f>IFERROR((H125/SUM(H$102:H$136))*lgh_bs!J$33*H$142,0)</f>
        <v>17430.644317936942</v>
      </c>
      <c r="I171" s="253">
        <f>IFERROR((I125/SUM(I$102:I$136))*lgh_bs!K$33*I$142,0)</f>
        <v>18330.354250152999</v>
      </c>
      <c r="J171" s="253">
        <f>IFERROR((J125/SUM(J$102:J$136))*lgh_bs!L$33*J$142,0)</f>
        <v>19966.078677987818</v>
      </c>
      <c r="K171" s="253">
        <f>IFERROR((K125/SUM(K$102:K$136))*lgh_bs!M$33*K$142,0)</f>
        <v>23420.015700998531</v>
      </c>
      <c r="L171" s="253">
        <f>IFERROR((L125/SUM(L$102:L$136))*lgh_bs!N$33*L$142,0)</f>
        <v>28467.499543003632</v>
      </c>
      <c r="M171" s="253">
        <f>IFERROR((M125/SUM(M$102:M$136))*lgh_bs!O$33*M$142,0)</f>
        <v>34367.26814399405</v>
      </c>
      <c r="N171" s="253">
        <f>IFERROR((N125/SUM(N$102:N$136))*lgh_bs!P$33*N$142,0)</f>
        <v>40168.985076751444</v>
      </c>
      <c r="O171" s="232"/>
      <c r="P171" s="232"/>
      <c r="Q171" s="232"/>
      <c r="R171" s="232"/>
      <c r="S171" s="232"/>
      <c r="T171" s="232"/>
      <c r="U171" s="232"/>
      <c r="V171" s="43"/>
      <c r="W171" s="43"/>
      <c r="X171" s="43"/>
      <c r="Y171" s="43"/>
    </row>
    <row r="172" spans="1:25">
      <c r="A172" s="232" t="str">
        <f t="shared" si="21"/>
        <v>PE025 Sandollar Holdings Limited</v>
      </c>
      <c r="B172" s="252">
        <v>31739.847699009581</v>
      </c>
      <c r="C172" s="253">
        <f>IFERROR((C126/SUM(C$102:C$136))*lgh_bs!E$33*C$142,0)</f>
        <v>35344.006482357247</v>
      </c>
      <c r="D172" s="253">
        <f>IFERROR((D126/SUM(D$102:D$136))*lgh_bs!F$33*D$142,0)</f>
        <v>9432.4896055399386</v>
      </c>
      <c r="E172" s="253">
        <f>IFERROR((E126/SUM(E$102:E$136))*lgh_bs!G$33*E$142,0)</f>
        <v>33398.300269972824</v>
      </c>
      <c r="F172" s="253">
        <f>IFERROR((F126/SUM(F$102:F$136))*lgh_bs!H$33*F$142,0)</f>
        <v>32295.36382551257</v>
      </c>
      <c r="G172" s="253">
        <f>IFERROR((G126/SUM(G$102:G$136))*lgh_bs!I$33*G$142,0)</f>
        <v>33252.24833792042</v>
      </c>
      <c r="H172" s="253">
        <f>IFERROR((H126/SUM(H$102:H$136))*lgh_bs!J$33*H$142,0)</f>
        <v>34861.288635873883</v>
      </c>
      <c r="I172" s="253">
        <f>IFERROR((I126/SUM(I$102:I$136))*lgh_bs!K$33*I$142,0)</f>
        <v>36660.708500305998</v>
      </c>
      <c r="J172" s="253">
        <f>IFERROR((J126/SUM(J$102:J$136))*lgh_bs!L$33*J$142,0)</f>
        <v>39932.157355975636</v>
      </c>
      <c r="K172" s="253">
        <f>IFERROR((K126/SUM(K$102:K$136))*lgh_bs!M$33*K$142,0)</f>
        <v>46840.031401997061</v>
      </c>
      <c r="L172" s="253">
        <f>IFERROR((L126/SUM(L$102:L$136))*lgh_bs!N$33*L$142,0)</f>
        <v>56934.999086007265</v>
      </c>
      <c r="M172" s="253">
        <f>IFERROR((M126/SUM(M$102:M$136))*lgh_bs!O$33*M$142,0)</f>
        <v>68734.5362879881</v>
      </c>
      <c r="N172" s="253">
        <f>IFERROR((N126/SUM(N$102:N$136))*lgh_bs!P$33*N$142,0)</f>
        <v>80337.970153502887</v>
      </c>
      <c r="O172" s="232"/>
      <c r="P172" s="232"/>
      <c r="Q172" s="232"/>
      <c r="R172" s="232"/>
      <c r="S172" s="232"/>
      <c r="T172" s="232"/>
      <c r="U172" s="232"/>
      <c r="V172" s="43"/>
      <c r="W172" s="43"/>
      <c r="X172" s="43"/>
      <c r="Y172" s="43"/>
    </row>
    <row r="173" spans="1:25">
      <c r="A173" s="232" t="str">
        <f t="shared" si="21"/>
        <v>PE026 James Neuhauser (Jim)</v>
      </c>
      <c r="B173" s="252">
        <v>31739.847699009581</v>
      </c>
      <c r="C173" s="253">
        <f>IFERROR((C127/SUM(C$102:C$136))*lgh_bs!E$33*C$142,0)</f>
        <v>35344.006482357247</v>
      </c>
      <c r="D173" s="253">
        <f>IFERROR((D127/SUM(D$102:D$136))*lgh_bs!F$33*D$142,0)</f>
        <v>9432.4896055399386</v>
      </c>
      <c r="E173" s="253">
        <f>IFERROR((E127/SUM(E$102:E$136))*lgh_bs!G$33*E$142,0)</f>
        <v>33398.300269972824</v>
      </c>
      <c r="F173" s="253">
        <f>IFERROR((F127/SUM(F$102:F$136))*lgh_bs!H$33*F$142,0)</f>
        <v>32295.36382551257</v>
      </c>
      <c r="G173" s="253">
        <f>IFERROR((G127/SUM(G$102:G$136))*lgh_bs!I$33*G$142,0)</f>
        <v>33252.24833792042</v>
      </c>
      <c r="H173" s="253">
        <f>IFERROR((H127/SUM(H$102:H$136))*lgh_bs!J$33*H$142,0)</f>
        <v>34861.288635873883</v>
      </c>
      <c r="I173" s="253">
        <f>IFERROR((I127/SUM(I$102:I$136))*lgh_bs!K$33*I$142,0)</f>
        <v>36660.708500305998</v>
      </c>
      <c r="J173" s="253">
        <f>IFERROR((J127/SUM(J$102:J$136))*lgh_bs!L$33*J$142,0)</f>
        <v>39932.157355975636</v>
      </c>
      <c r="K173" s="253">
        <f>IFERROR((K127/SUM(K$102:K$136))*lgh_bs!M$33*K$142,0)</f>
        <v>46840.031401997061</v>
      </c>
      <c r="L173" s="253">
        <f>IFERROR((L127/SUM(L$102:L$136))*lgh_bs!N$33*L$142,0)</f>
        <v>56934.999086007265</v>
      </c>
      <c r="M173" s="253">
        <f>IFERROR((M127/SUM(M$102:M$136))*lgh_bs!O$33*M$142,0)</f>
        <v>68734.5362879881</v>
      </c>
      <c r="N173" s="253">
        <f>IFERROR((N127/SUM(N$102:N$136))*lgh_bs!P$33*N$142,0)</f>
        <v>80337.970153502887</v>
      </c>
      <c r="O173" s="232"/>
      <c r="P173" s="232"/>
      <c r="Q173" s="232"/>
      <c r="R173" s="232"/>
      <c r="S173" s="232"/>
      <c r="T173" s="232"/>
      <c r="U173" s="232"/>
      <c r="V173" s="43"/>
      <c r="W173" s="43"/>
      <c r="X173" s="43"/>
      <c r="Y173" s="43"/>
    </row>
    <row r="174" spans="1:25">
      <c r="A174" s="232" t="str">
        <f t="shared" si="21"/>
        <v>PE027 PFNGT LLC_side letter part % adj.</v>
      </c>
      <c r="B174" s="252">
        <v>29943252.546235461</v>
      </c>
      <c r="C174" s="253">
        <f>IFERROR((C128/SUM(C$102:C$136))*lgh_bs!E$33*C$142,0)</f>
        <v>33343402.341846462</v>
      </c>
      <c r="D174" s="253">
        <f>IFERROR((D128/SUM(D$102:D$136))*lgh_bs!F$33*D$142,0)</f>
        <v>8898575.099565981</v>
      </c>
      <c r="E174" s="253">
        <f>IFERROR((E128/SUM(E$102:E$136))*lgh_bs!G$33*E$142,0)</f>
        <v>0</v>
      </c>
      <c r="F174" s="253">
        <f>IFERROR((F128/SUM(F$102:F$136))*lgh_bs!H$33*F$142,0)</f>
        <v>0</v>
      </c>
      <c r="G174" s="253">
        <f>IFERROR((G128/SUM(G$102:G$136))*lgh_bs!I$33*G$142,0)</f>
        <v>0</v>
      </c>
      <c r="H174" s="253">
        <f>IFERROR((H128/SUM(H$102:H$136))*lgh_bs!J$33*H$142,0)</f>
        <v>0</v>
      </c>
      <c r="I174" s="253">
        <f>IFERROR((I128/SUM(I$102:I$136))*lgh_bs!K$33*I$142,0)</f>
        <v>0</v>
      </c>
      <c r="J174" s="253">
        <f>IFERROR((J128/SUM(J$102:J$136))*lgh_bs!L$33*J$142,0)</f>
        <v>0</v>
      </c>
      <c r="K174" s="253">
        <f>IFERROR((K128/SUM(K$102:K$136))*lgh_bs!M$33*K$142,0)</f>
        <v>0</v>
      </c>
      <c r="L174" s="253">
        <f>IFERROR((L128/SUM(L$102:L$136))*lgh_bs!N$33*L$142,0)</f>
        <v>0</v>
      </c>
      <c r="M174" s="253">
        <f>IFERROR((M128/SUM(M$102:M$136))*lgh_bs!O$33*M$142,0)</f>
        <v>0</v>
      </c>
      <c r="N174" s="253">
        <f>IFERROR((N128/SUM(N$102:N$136))*lgh_bs!P$33*N$142,0)</f>
        <v>0</v>
      </c>
      <c r="O174" s="232"/>
      <c r="P174" s="232"/>
      <c r="Q174" s="232"/>
      <c r="R174" s="232"/>
      <c r="S174" s="232"/>
      <c r="T174" s="232"/>
      <c r="U174" s="232"/>
      <c r="V174" s="43"/>
      <c r="W174" s="43"/>
      <c r="X174" s="43"/>
      <c r="Y174" s="43"/>
    </row>
    <row r="175" spans="1:25">
      <c r="A175" s="232" t="str">
        <f t="shared" si="21"/>
        <v>PE028 La Pointe Investments LLC</v>
      </c>
      <c r="B175" s="252">
        <v>1197730.1018494179</v>
      </c>
      <c r="C175" s="253">
        <f>IFERROR((C129/SUM(C$102:C$136))*lgh_bs!E$33*C$142,0)</f>
        <v>1333736.0936738586</v>
      </c>
      <c r="D175" s="253">
        <f>IFERROR((D129/SUM(D$102:D$136))*lgh_bs!F$33*D$142,0)</f>
        <v>355943.00398263929</v>
      </c>
      <c r="E175" s="253">
        <f>IFERROR((E129/SUM(E$102:E$136))*lgh_bs!G$33*E$142,0)</f>
        <v>1260313.2177348239</v>
      </c>
      <c r="F175" s="253">
        <f>IFERROR((F129/SUM(F$102:F$136))*lgh_bs!H$33*F$142,0)</f>
        <v>1218692.9745476444</v>
      </c>
      <c r="G175" s="253">
        <f>IFERROR((G129/SUM(G$102:G$136))*lgh_bs!I$33*G$142,0)</f>
        <v>1254801.8240724688</v>
      </c>
      <c r="H175" s="253">
        <f>IFERROR((H129/SUM(H$102:H$136))*lgh_bs!J$33*H$142,0)</f>
        <v>1315520.3258820334</v>
      </c>
      <c r="I175" s="253">
        <f>IFERROR((I129/SUM(I$102:I$136))*lgh_bs!K$33*I$142,0)</f>
        <v>1383422.9622756983</v>
      </c>
      <c r="J175" s="253">
        <f>IFERROR((J129/SUM(J$102:J$136))*lgh_bs!L$33*J$142,0)</f>
        <v>1506873.8624896468</v>
      </c>
      <c r="K175" s="253">
        <f>IFERROR((K129/SUM(K$102:K$136))*lgh_bs!M$33*K$142,0)</f>
        <v>1767548.3547923421</v>
      </c>
      <c r="L175" s="253">
        <f>IFERROR((L129/SUM(L$102:L$136))*lgh_bs!N$33*L$142,0)</f>
        <v>2148490.5315474439</v>
      </c>
      <c r="M175" s="253">
        <f>IFERROR((M129/SUM(M$102:M$136))*lgh_bs!O$33*M$142,0)</f>
        <v>2593756.0863391738</v>
      </c>
      <c r="N175" s="253">
        <f>IFERROR((N129/SUM(N$102:N$136))*lgh_bs!P$33*N$142,0)</f>
        <v>3031621.5152265243</v>
      </c>
      <c r="O175" s="232"/>
      <c r="P175" s="232"/>
      <c r="Q175" s="232"/>
      <c r="R175" s="232"/>
      <c r="S175" s="232"/>
      <c r="T175" s="232"/>
      <c r="U175" s="232"/>
      <c r="V175" s="43"/>
      <c r="W175" s="43"/>
      <c r="X175" s="43"/>
      <c r="Y175" s="43"/>
    </row>
    <row r="176" spans="1:25">
      <c r="A176" s="232" t="str">
        <f t="shared" si="21"/>
        <v>PE029 La Pointe Investments LLC</v>
      </c>
      <c r="B176" s="252">
        <v>1197730.1018494179</v>
      </c>
      <c r="C176" s="253">
        <f>IFERROR((C130/SUM(C$102:C$136))*lgh_bs!E$33*C$142,0)</f>
        <v>1333736.0936738586</v>
      </c>
      <c r="D176" s="253">
        <f>IFERROR((D130/SUM(D$102:D$136))*lgh_bs!F$33*D$142,0)</f>
        <v>355943.00398263929</v>
      </c>
      <c r="E176" s="253">
        <f>IFERROR((E130/SUM(E$102:E$136))*lgh_bs!G$33*E$142,0)</f>
        <v>1260313.2177348239</v>
      </c>
      <c r="F176" s="253">
        <f>IFERROR((F130/SUM(F$102:F$136))*lgh_bs!H$33*F$142,0)</f>
        <v>1218692.9745476444</v>
      </c>
      <c r="G176" s="253">
        <f>IFERROR((G130/SUM(G$102:G$136))*lgh_bs!I$33*G$142,0)</f>
        <v>1254801.8240724688</v>
      </c>
      <c r="H176" s="253">
        <f>IFERROR((H130/SUM(H$102:H$136))*lgh_bs!J$33*H$142,0)</f>
        <v>1315520.3258820334</v>
      </c>
      <c r="I176" s="253">
        <f>IFERROR((I130/SUM(I$102:I$136))*lgh_bs!K$33*I$142,0)</f>
        <v>1383422.9622756983</v>
      </c>
      <c r="J176" s="253">
        <f>IFERROR((J130/SUM(J$102:J$136))*lgh_bs!L$33*J$142,0)</f>
        <v>1506873.8624896468</v>
      </c>
      <c r="K176" s="253">
        <f>IFERROR((K130/SUM(K$102:K$136))*lgh_bs!M$33*K$142,0)</f>
        <v>1767548.3547923421</v>
      </c>
      <c r="L176" s="253">
        <f>IFERROR((L130/SUM(L$102:L$136))*lgh_bs!N$33*L$142,0)</f>
        <v>2148490.5315474439</v>
      </c>
      <c r="M176" s="253">
        <f>IFERROR((M130/SUM(M$102:M$136))*lgh_bs!O$33*M$142,0)</f>
        <v>2593756.0863391738</v>
      </c>
      <c r="N176" s="253">
        <f>IFERROR((N130/SUM(N$102:N$136))*lgh_bs!P$33*N$142,0)</f>
        <v>3031621.5152265243</v>
      </c>
      <c r="O176" s="232"/>
      <c r="P176" s="232"/>
      <c r="Q176" s="232"/>
      <c r="R176" s="232"/>
      <c r="S176" s="232"/>
      <c r="T176" s="232"/>
      <c r="U176" s="232"/>
      <c r="V176" s="43"/>
      <c r="W176" s="43"/>
      <c r="X176" s="43"/>
      <c r="Y176" s="43"/>
    </row>
    <row r="177" spans="1:25">
      <c r="A177" s="232" t="str">
        <f t="shared" si="21"/>
        <v>PE030 King Partner Pref convert</v>
      </c>
      <c r="B177" s="252">
        <v>0</v>
      </c>
      <c r="C177" s="253">
        <f>IFERROR((C131/SUM(C$102:C$136))*lgh_bs!E$33*C$142,0)</f>
        <v>855324.9568730453</v>
      </c>
      <c r="D177" s="253">
        <f>IFERROR((D131/SUM(D$102:D$136))*lgh_bs!F$33*D$142,0)</f>
        <v>282137.08308922622</v>
      </c>
      <c r="E177" s="253">
        <f>IFERROR((E131/SUM(E$102:E$136))*lgh_bs!G$33*E$142,0)</f>
        <v>1002179.9854001241</v>
      </c>
      <c r="F177" s="253">
        <f>IFERROR((F131/SUM(F$102:F$136))*lgh_bs!H$33*F$142,0)</f>
        <v>969084.26433433627</v>
      </c>
      <c r="G177" s="253">
        <f>IFERROR((G131/SUM(G$102:G$136))*lgh_bs!I$33*G$142,0)</f>
        <v>997797.41736675776</v>
      </c>
      <c r="H177" s="253">
        <f>IFERROR((H131/SUM(H$102:H$136))*lgh_bs!J$33*H$142,0)</f>
        <v>1046079.754170616</v>
      </c>
      <c r="I177" s="253">
        <f>IFERROR((I131/SUM(I$102:I$136))*lgh_bs!K$33*I$142,0)</f>
        <v>1100074.7946034546</v>
      </c>
      <c r="J177" s="253">
        <f>IFERROR((J131/SUM(J$102:J$136))*lgh_bs!L$33*J$142,0)</f>
        <v>1198240.8850903979</v>
      </c>
      <c r="K177" s="253">
        <f>IFERROR((K131/SUM(K$102:K$136))*lgh_bs!M$33*K$142,0)</f>
        <v>1405524.8802226828</v>
      </c>
      <c r="L177" s="253">
        <f>IFERROR((L131/SUM(L$102:L$136))*lgh_bs!N$33*L$142,0)</f>
        <v>1708443.7259242968</v>
      </c>
      <c r="M177" s="253">
        <f>IFERROR((M131/SUM(M$102:M$136))*lgh_bs!O$33*M$142,0)</f>
        <v>2062511.4456950848</v>
      </c>
      <c r="N177" s="253">
        <f>IFERROR((N131/SUM(N$102:N$136))*lgh_bs!P$33*N$142,0)</f>
        <v>2410694.7091525928</v>
      </c>
      <c r="O177" s="232"/>
      <c r="P177" s="232"/>
      <c r="Q177" s="232"/>
      <c r="R177" s="232"/>
      <c r="S177" s="232"/>
      <c r="T177" s="232"/>
      <c r="U177" s="232"/>
      <c r="V177" s="43"/>
      <c r="W177" s="43"/>
      <c r="X177" s="43"/>
      <c r="Y177" s="43"/>
    </row>
    <row r="178" spans="1:25">
      <c r="A178" s="232" t="str">
        <f t="shared" si="21"/>
        <v>PE031 Edwin2 convert</v>
      </c>
      <c r="B178" s="252">
        <v>0</v>
      </c>
      <c r="C178" s="253">
        <f>IFERROR((C132/SUM(C$102:C$136))*lgh_bs!E$33*C$142,0)</f>
        <v>169651.23111531479</v>
      </c>
      <c r="D178" s="253">
        <f>IFERROR((D132/SUM(D$102:D$136))*lgh_bs!F$33*D$142,0)</f>
        <v>55961.074331747339</v>
      </c>
      <c r="E178" s="253">
        <f>IFERROR((E132/SUM(E$102:E$136))*lgh_bs!G$33*E$142,0)</f>
        <v>198779.50123638823</v>
      </c>
      <c r="F178" s="253">
        <f>IFERROR((F132/SUM(F$102:F$136))*lgh_bs!H$33*F$142,0)</f>
        <v>192215.06069441378</v>
      </c>
      <c r="G178" s="253">
        <f>IFERROR((G132/SUM(G$102:G$136))*lgh_bs!I$33*G$142,0)</f>
        <v>197910.23154381977</v>
      </c>
      <c r="H178" s="253">
        <f>IFERROR((H132/SUM(H$102:H$136))*lgh_bs!J$33*H$142,0)</f>
        <v>207486.89338921313</v>
      </c>
      <c r="I178" s="253">
        <f>IFERROR((I132/SUM(I$102:I$136))*lgh_bs!K$33*I$142,0)</f>
        <v>218196.6534750654</v>
      </c>
      <c r="J178" s="253">
        <f>IFERROR((J132/SUM(J$102:J$136))*lgh_bs!L$33*J$142,0)</f>
        <v>237667.61357164918</v>
      </c>
      <c r="K178" s="253">
        <f>IFERROR((K132/SUM(K$102:K$136))*lgh_bs!M$33*K$142,0)</f>
        <v>278781.79442433384</v>
      </c>
      <c r="L178" s="253">
        <f>IFERROR((L132/SUM(L$102:L$136))*lgh_bs!N$33*L$142,0)</f>
        <v>338864.87125771178</v>
      </c>
      <c r="M178" s="253">
        <f>IFERROR((M132/SUM(M$102:M$136))*lgh_bs!O$33*M$142,0)</f>
        <v>409093.17931142182</v>
      </c>
      <c r="N178" s="253">
        <f>IFERROR((N132/SUM(N$102:N$136))*lgh_bs!P$33*N$142,0)</f>
        <v>478154.32247654739</v>
      </c>
      <c r="O178" s="232"/>
      <c r="P178" s="232"/>
      <c r="Q178" s="232"/>
      <c r="R178" s="232"/>
      <c r="S178" s="232"/>
      <c r="T178" s="232"/>
      <c r="U178" s="232"/>
      <c r="V178" s="43"/>
      <c r="W178" s="43"/>
      <c r="X178" s="43"/>
      <c r="Y178" s="43"/>
    </row>
    <row r="179" spans="1:25">
      <c r="A179" s="232" t="str">
        <f t="shared" si="21"/>
        <v>PE032 Buddy</v>
      </c>
      <c r="B179" s="252">
        <v>0</v>
      </c>
      <c r="C179" s="253">
        <f>IFERROR((C133/SUM(C$102:C$136))*lgh_bs!E$33*C$142,0)</f>
        <v>0</v>
      </c>
      <c r="D179" s="253">
        <f>IFERROR((D133/SUM(D$102:D$136))*lgh_bs!F$33*D$142,0)</f>
        <v>0</v>
      </c>
      <c r="E179" s="253">
        <f>IFERROR((E133/SUM(E$102:E$136))*lgh_bs!G$33*E$142,0)</f>
        <v>0</v>
      </c>
      <c r="F179" s="253">
        <f>IFERROR((F133/SUM(F$102:F$136))*lgh_bs!H$33*F$142,0)</f>
        <v>0</v>
      </c>
      <c r="G179" s="253">
        <f>IFERROR((G133/SUM(G$102:G$136))*lgh_bs!I$33*G$142,0)</f>
        <v>247387.78942977468</v>
      </c>
      <c r="H179" s="253">
        <f>IFERROR((H133/SUM(H$102:H$136))*lgh_bs!J$33*H$142,0)</f>
        <v>259358.61673651636</v>
      </c>
      <c r="I179" s="253">
        <f>IFERROR((I133/SUM(I$102:I$136))*lgh_bs!K$33*I$142,0)</f>
        <v>272745.81684383174</v>
      </c>
      <c r="J179" s="253">
        <f>IFERROR((J133/SUM(J$102:J$136))*lgh_bs!L$33*J$142,0)</f>
        <v>297084.51696456142</v>
      </c>
      <c r="K179" s="253">
        <f>IFERROR((K133/SUM(K$102:K$136))*lgh_bs!M$33*K$142,0)</f>
        <v>348477.24303041724</v>
      </c>
      <c r="L179" s="253">
        <f>IFERROR((L133/SUM(L$102:L$136))*lgh_bs!N$33*L$142,0)</f>
        <v>423581.0890721397</v>
      </c>
      <c r="M179" s="253">
        <f>IFERROR((M133/SUM(M$102:M$136))*lgh_bs!O$33*M$142,0)</f>
        <v>511366.47413927718</v>
      </c>
      <c r="N179" s="253">
        <f>IFERROR((N133/SUM(N$102:N$136))*lgh_bs!P$33*N$142,0)</f>
        <v>597692.90309568425</v>
      </c>
      <c r="O179" s="232"/>
      <c r="P179" s="232"/>
      <c r="Q179" s="232"/>
      <c r="R179" s="232"/>
      <c r="S179" s="232"/>
      <c r="T179" s="232"/>
      <c r="U179" s="232"/>
      <c r="V179" s="43"/>
      <c r="W179" s="43"/>
      <c r="X179" s="43"/>
      <c r="Y179" s="43"/>
    </row>
    <row r="180" spans="1:25">
      <c r="A180" s="232" t="str">
        <f t="shared" si="21"/>
        <v>PE033 PFNGT LLC</v>
      </c>
      <c r="B180" s="252">
        <v>0</v>
      </c>
      <c r="C180" s="253">
        <f>IFERROR((C134/SUM(C$102:C$136))*lgh_bs!E$33*C$142,0)</f>
        <v>0</v>
      </c>
      <c r="D180" s="253">
        <f>IFERROR((D134/SUM(D$102:D$136))*lgh_bs!F$33*D$142,0)</f>
        <v>0</v>
      </c>
      <c r="E180" s="253">
        <f>IFERROR((E134/SUM(E$102:E$136))*lgh_bs!G$33*E$142,0)</f>
        <v>0</v>
      </c>
      <c r="F180" s="253">
        <f>IFERROR((F134/SUM(F$102:F$136))*lgh_bs!H$33*F$142,0)</f>
        <v>0</v>
      </c>
      <c r="G180" s="253">
        <f>IFERROR((G134/SUM(G$102:G$136))*lgh_bs!I$33*G$142,0)</f>
        <v>0</v>
      </c>
      <c r="H180" s="253">
        <f>IFERROR((H134/SUM(H$102:H$136))*lgh_bs!J$33*H$142,0)</f>
        <v>0</v>
      </c>
      <c r="I180" s="253">
        <f>IFERROR((I134/SUM(I$102:I$136))*lgh_bs!K$33*I$142,0)</f>
        <v>0</v>
      </c>
      <c r="J180" s="253">
        <f>IFERROR((J134/SUM(J$102:J$136))*lgh_bs!L$33*J$142,0)</f>
        <v>0</v>
      </c>
      <c r="K180" s="253">
        <f>IFERROR((K134/SUM(K$102:K$136))*lgh_bs!M$33*K$142,0)</f>
        <v>0</v>
      </c>
      <c r="L180" s="253">
        <f>IFERROR((L134/SUM(L$102:L$136))*lgh_bs!N$33*L$142,0)</f>
        <v>0</v>
      </c>
      <c r="M180" s="253">
        <f>IFERROR((M134/SUM(M$102:M$136))*lgh_bs!O$33*M$142,0)</f>
        <v>0</v>
      </c>
      <c r="N180" s="253">
        <f>IFERROR((N134/SUM(N$102:N$136))*lgh_bs!P$33*N$142,0)</f>
        <v>0</v>
      </c>
      <c r="O180" s="232"/>
      <c r="P180" s="232"/>
      <c r="Q180" s="232"/>
      <c r="R180" s="232"/>
      <c r="S180" s="232"/>
      <c r="T180" s="232"/>
      <c r="U180" s="232"/>
      <c r="V180" s="43"/>
      <c r="W180" s="43"/>
      <c r="X180" s="43"/>
      <c r="Y180" s="43"/>
    </row>
    <row r="181" spans="1:25">
      <c r="A181" s="232" t="str">
        <f t="shared" si="21"/>
        <v>PE034 Cambrian</v>
      </c>
      <c r="B181" s="252">
        <v>0</v>
      </c>
      <c r="C181" s="253">
        <f>IFERROR((C135/SUM(C$102:C$136))*lgh_bs!E$33*C$142,0)</f>
        <v>0</v>
      </c>
      <c r="D181" s="253">
        <f>IFERROR((D135/SUM(D$102:D$136))*lgh_bs!F$33*D$142,0)</f>
        <v>0</v>
      </c>
      <c r="E181" s="253">
        <f>IFERROR((E135/SUM(E$102:E$136))*lgh_bs!G$33*E$142,0)</f>
        <v>0</v>
      </c>
      <c r="F181" s="253">
        <f>IFERROR((F135/SUM(F$102:F$136))*lgh_bs!H$33*F$142,0)</f>
        <v>0</v>
      </c>
      <c r="G181" s="253">
        <f>IFERROR((G135/SUM(G$102:G$136))*lgh_bs!I$33*G$142,0)</f>
        <v>0</v>
      </c>
      <c r="H181" s="253">
        <f>IFERROR((H135/SUM(H$102:H$136))*lgh_bs!J$33*H$142,0)</f>
        <v>0</v>
      </c>
      <c r="I181" s="253">
        <f>IFERROR((I135/SUM(I$102:I$136))*lgh_bs!K$33*I$142,0)</f>
        <v>0</v>
      </c>
      <c r="J181" s="253">
        <f>IFERROR((J135/SUM(J$102:J$136))*lgh_bs!L$33*J$142,0)</f>
        <v>0</v>
      </c>
      <c r="K181" s="253">
        <f>IFERROR((K135/SUM(K$102:K$136))*lgh_bs!M$33*K$142,0)</f>
        <v>0</v>
      </c>
      <c r="L181" s="253">
        <f>IFERROR((L135/SUM(L$102:L$136))*lgh_bs!N$33*L$142,0)</f>
        <v>0</v>
      </c>
      <c r="M181" s="253">
        <f>IFERROR((M135/SUM(M$102:M$136))*lgh_bs!O$33*M$142,0)</f>
        <v>0</v>
      </c>
      <c r="N181" s="253">
        <f>IFERROR((N135/SUM(N$102:N$136))*lgh_bs!P$33*N$142,0)</f>
        <v>0</v>
      </c>
      <c r="O181" s="232"/>
      <c r="P181" s="232"/>
      <c r="Q181" s="232"/>
      <c r="R181" s="232"/>
      <c r="S181" s="232"/>
      <c r="T181" s="232"/>
      <c r="U181" s="232"/>
      <c r="V181" s="43"/>
      <c r="W181" s="43"/>
      <c r="X181" s="43"/>
      <c r="Y181" s="43"/>
    </row>
    <row r="182" spans="1:25">
      <c r="A182" s="232" t="str">
        <f t="shared" si="21"/>
        <v>PE035 guy</v>
      </c>
      <c r="B182" s="252">
        <v>0</v>
      </c>
      <c r="C182" s="253">
        <f>IFERROR((C136/SUM(C$102:C$136))*lgh_bs!E$33*C$142,0)</f>
        <v>0</v>
      </c>
      <c r="D182" s="253">
        <f>IFERROR((D136/SUM(D$102:D$136))*lgh_bs!F$33*D$142,0)</f>
        <v>0</v>
      </c>
      <c r="E182" s="253">
        <f>IFERROR((E136/SUM(E$102:E$136))*lgh_bs!G$33*E$142,0)</f>
        <v>0</v>
      </c>
      <c r="F182" s="253">
        <f>IFERROR((F136/SUM(F$102:F$136))*lgh_bs!H$33*F$142,0)</f>
        <v>0</v>
      </c>
      <c r="G182" s="253">
        <f>IFERROR((G136/SUM(G$102:G$136))*lgh_bs!I$33*G$142,0)</f>
        <v>164925.19295318314</v>
      </c>
      <c r="H182" s="253">
        <f>IFERROR((H136/SUM(H$102:H$136))*lgh_bs!J$33*H$142,0)</f>
        <v>172905.74449101096</v>
      </c>
      <c r="I182" s="253">
        <f>IFERROR((I136/SUM(I$102:I$136))*lgh_bs!K$33*I$142,0)</f>
        <v>181830.54456255454</v>
      </c>
      <c r="J182" s="253">
        <f>IFERROR((J136/SUM(J$102:J$136))*lgh_bs!L$33*J$142,0)</f>
        <v>198056.344643041</v>
      </c>
      <c r="K182" s="253">
        <f>IFERROR((K136/SUM(K$102:K$136))*lgh_bs!M$33*K$142,0)</f>
        <v>232318.16202027819</v>
      </c>
      <c r="L182" s="253">
        <f>IFERROR((L136/SUM(L$102:L$136))*lgh_bs!N$33*L$142,0)</f>
        <v>282387.39271475986</v>
      </c>
      <c r="M182" s="253">
        <f>IFERROR((M136/SUM(M$102:M$136))*lgh_bs!O$33*M$142,0)</f>
        <v>340910.9827595182</v>
      </c>
      <c r="N182" s="253">
        <f>IFERROR((N136/SUM(N$102:N$136))*lgh_bs!P$33*N$142,0)</f>
        <v>398461.93539712287</v>
      </c>
      <c r="O182" s="232"/>
      <c r="P182" s="232"/>
      <c r="Q182" s="232"/>
      <c r="R182" s="232"/>
      <c r="S182" s="232"/>
      <c r="T182" s="232"/>
      <c r="U182" s="232"/>
      <c r="V182" s="43"/>
      <c r="W182" s="43"/>
      <c r="X182" s="43"/>
      <c r="Y182" s="43"/>
    </row>
    <row r="183" spans="1:25">
      <c r="A183" s="43"/>
      <c r="B183" s="43"/>
      <c r="C183" s="43"/>
      <c r="D183" s="43"/>
      <c r="E183" s="43"/>
      <c r="F183" s="43"/>
      <c r="G183" s="232"/>
      <c r="H183" s="232"/>
      <c r="I183" s="232"/>
      <c r="J183" s="232"/>
      <c r="K183" s="232"/>
      <c r="L183" s="232"/>
      <c r="M183" s="232"/>
      <c r="N183" s="232"/>
      <c r="O183" s="232"/>
      <c r="P183" s="232"/>
      <c r="Q183" s="232"/>
      <c r="R183" s="232"/>
      <c r="S183" s="232"/>
      <c r="T183" s="232"/>
      <c r="U183" s="232"/>
      <c r="V183" s="43"/>
      <c r="W183" s="43"/>
      <c r="X183" s="43"/>
      <c r="Y183" s="43"/>
    </row>
    <row r="184" spans="1:25">
      <c r="A184" s="205" t="s">
        <v>406</v>
      </c>
      <c r="B184" s="252">
        <v>43497765.475407854</v>
      </c>
      <c r="C184" s="254">
        <f t="shared" ref="C184:N184" si="22">SUM(C148:C182)</f>
        <v>49462048.713035241</v>
      </c>
      <c r="D184" s="254">
        <f t="shared" si="22"/>
        <v>13264821.202906832</v>
      </c>
      <c r="E184" s="254">
        <f t="shared" si="22"/>
        <v>15463715.159400947</v>
      </c>
      <c r="F184" s="254">
        <f t="shared" si="22"/>
        <v>14953045.608010937</v>
      </c>
      <c r="G184" s="254">
        <f t="shared" si="22"/>
        <v>15808404.77599936</v>
      </c>
      <c r="H184" s="254">
        <f t="shared" si="22"/>
        <v>16573356.36881949</v>
      </c>
      <c r="I184" s="254">
        <f t="shared" si="22"/>
        <v>17428816.044503361</v>
      </c>
      <c r="J184" s="254">
        <f t="shared" si="22"/>
        <v>18984090.959716503</v>
      </c>
      <c r="K184" s="254">
        <f t="shared" si="22"/>
        <v>22268153.677863412</v>
      </c>
      <c r="L184" s="254">
        <f t="shared" si="22"/>
        <v>27067388.115418028</v>
      </c>
      <c r="M184" s="254">
        <f t="shared" si="22"/>
        <v>32676989.558387451</v>
      </c>
      <c r="N184" s="254">
        <f t="shared" si="22"/>
        <v>38193361.78902588</v>
      </c>
      <c r="O184" s="232"/>
      <c r="P184" s="232"/>
      <c r="Q184" s="232"/>
      <c r="R184" s="232"/>
      <c r="S184" s="232"/>
      <c r="T184" s="232"/>
      <c r="U184" s="232"/>
      <c r="V184" s="43"/>
      <c r="W184" s="43"/>
      <c r="X184" s="43"/>
      <c r="Y184" s="43"/>
    </row>
    <row r="185" spans="1:25">
      <c r="A185" s="205" t="s">
        <v>235</v>
      </c>
      <c r="B185" s="252">
        <v>119773010.1849418</v>
      </c>
      <c r="C185" s="253">
        <f>+lgh_bs!E33</f>
        <v>133373609.36738586</v>
      </c>
      <c r="D185" s="253">
        <f>+lgh_bs!F33</f>
        <v>135662934.85874093</v>
      </c>
      <c r="E185" s="253">
        <f>+lgh_bs!G33</f>
        <v>158657706.70367149</v>
      </c>
      <c r="F185" s="253">
        <f>+lgh_bs!H33</f>
        <v>153418237.46411583</v>
      </c>
      <c r="G185" s="253">
        <f>+lgh_bs!I33</f>
        <v>157901050.55800745</v>
      </c>
      <c r="H185" s="253">
        <f>+lgh_bs!J33</f>
        <v>165541711.44971877</v>
      </c>
      <c r="I185" s="253">
        <f>+lgh_bs!K33</f>
        <v>174086405.45360541</v>
      </c>
      <c r="J185" s="253">
        <f>+lgh_bs!L33</f>
        <v>189621150.83104634</v>
      </c>
      <c r="K185" s="253">
        <f>+lgh_bs!M33</f>
        <v>222423761.88773352</v>
      </c>
      <c r="L185" s="253">
        <f>+lgh_bs!N33</f>
        <v>270360550.59613985</v>
      </c>
      <c r="M185" s="253">
        <f>+lgh_bs!O33</f>
        <v>326391628.59594965</v>
      </c>
      <c r="N185" s="253">
        <f>+lgh_bs!P33</f>
        <v>381491493.68855262</v>
      </c>
      <c r="O185" s="232"/>
      <c r="P185" s="232"/>
      <c r="Q185" s="232"/>
      <c r="R185" s="232"/>
      <c r="S185" s="232"/>
      <c r="T185" s="232"/>
      <c r="U185" s="232"/>
      <c r="V185" s="43"/>
      <c r="W185" s="43"/>
      <c r="X185" s="43"/>
      <c r="Y185" s="43"/>
    </row>
    <row r="186" spans="1:25">
      <c r="A186" s="205" t="s">
        <v>407</v>
      </c>
      <c r="B186" s="248">
        <v>0.36316834158415839</v>
      </c>
      <c r="C186" s="233">
        <f t="shared" ref="C186:N186" si="23">C142</f>
        <v>0.37085334158415839</v>
      </c>
      <c r="D186" s="233">
        <f t="shared" si="23"/>
        <v>9.7777784453202593E-2</v>
      </c>
      <c r="E186" s="233">
        <f t="shared" si="23"/>
        <v>9.7465893593702738E-2</v>
      </c>
      <c r="F186" s="233">
        <f t="shared" si="23"/>
        <v>9.7465893593702738E-2</v>
      </c>
      <c r="G186" s="233">
        <f t="shared" si="23"/>
        <v>0.10011589359370274</v>
      </c>
      <c r="H186" s="233">
        <f t="shared" si="23"/>
        <v>0.10011589359370274</v>
      </c>
      <c r="I186" s="233">
        <f t="shared" si="23"/>
        <v>0.10011589359370274</v>
      </c>
      <c r="J186" s="233">
        <f t="shared" si="23"/>
        <v>0.10011589359370274</v>
      </c>
      <c r="K186" s="233">
        <f t="shared" si="23"/>
        <v>0.10011589359370274</v>
      </c>
      <c r="L186" s="233">
        <f t="shared" si="23"/>
        <v>0.10011589359370274</v>
      </c>
      <c r="M186" s="233">
        <f t="shared" si="23"/>
        <v>0.10011589359370274</v>
      </c>
      <c r="N186" s="233">
        <f t="shared" si="23"/>
        <v>0.10011589359370274</v>
      </c>
      <c r="O186" s="232"/>
      <c r="P186" s="232"/>
      <c r="Q186" s="232"/>
      <c r="R186" s="232"/>
      <c r="S186" s="232"/>
      <c r="T186" s="232"/>
      <c r="U186" s="232"/>
      <c r="V186" s="43"/>
      <c r="W186" s="43"/>
      <c r="X186" s="43"/>
      <c r="Y186" s="43"/>
    </row>
    <row r="187" spans="1:25">
      <c r="A187" s="205" t="s">
        <v>408</v>
      </c>
      <c r="B187" s="252">
        <v>43497765.475407854</v>
      </c>
      <c r="C187" s="253">
        <f t="shared" ref="C187:N187" si="24">C185*C186</f>
        <v>49462048.713035256</v>
      </c>
      <c r="D187" s="253">
        <f t="shared" si="24"/>
        <v>13264821.202906834</v>
      </c>
      <c r="E187" s="253">
        <f t="shared" si="24"/>
        <v>15463715.159400942</v>
      </c>
      <c r="F187" s="253">
        <f t="shared" si="24"/>
        <v>14953045.608010933</v>
      </c>
      <c r="G187" s="253">
        <f t="shared" si="24"/>
        <v>15808404.77599935</v>
      </c>
      <c r="H187" s="253">
        <f t="shared" si="24"/>
        <v>16573356.368819486</v>
      </c>
      <c r="I187" s="253">
        <f t="shared" si="24"/>
        <v>17428816.04450335</v>
      </c>
      <c r="J187" s="253">
        <f t="shared" si="24"/>
        <v>18984090.959716491</v>
      </c>
      <c r="K187" s="253">
        <f t="shared" si="24"/>
        <v>22268153.677863404</v>
      </c>
      <c r="L187" s="253">
        <f t="shared" si="24"/>
        <v>27067388.115418021</v>
      </c>
      <c r="M187" s="253">
        <f t="shared" si="24"/>
        <v>32676989.55838744</v>
      </c>
      <c r="N187" s="253">
        <f t="shared" si="24"/>
        <v>38193361.789025851</v>
      </c>
      <c r="O187" s="232"/>
      <c r="P187" s="232"/>
      <c r="Q187" s="232"/>
      <c r="R187" s="232"/>
      <c r="S187" s="232"/>
      <c r="T187" s="232"/>
      <c r="U187" s="232"/>
      <c r="V187" s="43"/>
      <c r="W187" s="43"/>
      <c r="X187" s="43"/>
      <c r="Y187" s="4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9">
    <tabColor rgb="FFFFC000"/>
    <outlinePr summaryRight="0"/>
  </sheetPr>
  <dimension ref="A1:AG55"/>
  <sheetViews>
    <sheetView showGridLines="0" zoomScale="56" zoomScaleNormal="29" workbookViewId="0">
      <pane xSplit="6" ySplit="3" topLeftCell="S4" activePane="bottomRight" state="frozen"/>
      <selection pane="topRight" activeCell="G1" sqref="G1"/>
      <selection pane="bottomLeft" activeCell="A4" sqref="A4"/>
      <selection pane="bottomRight" activeCell="A2" sqref="A2:XFD2"/>
    </sheetView>
  </sheetViews>
  <sheetFormatPr defaultColWidth="9.26953125" defaultRowHeight="15.5" outlineLevelCol="1"/>
  <cols>
    <col min="1" max="1" width="17.26953125" style="11" customWidth="1"/>
    <col min="2" max="2" width="23" style="11" bestFit="1" customWidth="1"/>
    <col min="3" max="3" width="12.26953125" style="11" customWidth="1" outlineLevel="1"/>
    <col min="4" max="4" width="9.26953125" style="11" customWidth="1" outlineLevel="1"/>
    <col min="5" max="5" width="12.26953125" style="11" customWidth="1" outlineLevel="1"/>
    <col min="6" max="6" width="15" style="11" customWidth="1" outlineLevel="1"/>
    <col min="7" max="7" width="14.26953125" style="21" customWidth="1" outlineLevel="1"/>
    <col min="8" max="8" width="9.26953125" style="21" customWidth="1" outlineLevel="1"/>
    <col min="9" max="9" width="17.26953125" style="11" bestFit="1" customWidth="1"/>
    <col min="10" max="10" width="12.6328125" style="11" bestFit="1" customWidth="1"/>
    <col min="11" max="11" width="15.6328125" style="11" bestFit="1" customWidth="1"/>
    <col min="12" max="12" width="12.6328125" style="11" bestFit="1" customWidth="1"/>
    <col min="13" max="13" width="15.6328125" style="11" bestFit="1" customWidth="1"/>
    <col min="14" max="14" width="9.26953125" style="11" bestFit="1" customWidth="1"/>
    <col min="15" max="15" width="15.6328125" style="11" bestFit="1" customWidth="1"/>
    <col min="16" max="16" width="13" style="11" bestFit="1" customWidth="1"/>
    <col min="17" max="17" width="16.26953125" style="11" bestFit="1" customWidth="1"/>
    <col min="18" max="18" width="11.6328125" style="11" bestFit="1" customWidth="1"/>
    <col min="19" max="19" width="16.26953125" style="11" bestFit="1" customWidth="1"/>
    <col min="20" max="20" width="11.6328125" style="11" bestFit="1" customWidth="1"/>
    <col min="21" max="21" width="16.26953125" style="11" bestFit="1" customWidth="1"/>
    <col min="22" max="22" width="10.6328125" style="11" bestFit="1" customWidth="1"/>
    <col min="23" max="23" width="17.453125" style="11" bestFit="1" customWidth="1"/>
    <col min="24" max="24" width="12.54296875" style="11" bestFit="1" customWidth="1"/>
    <col min="25" max="25" width="16.453125" style="11" bestFit="1" customWidth="1"/>
    <col min="26" max="26" width="12" style="11" bestFit="1" customWidth="1"/>
    <col min="27" max="27" width="13.26953125" style="11" bestFit="1" customWidth="1"/>
    <col min="28" max="28" width="6" style="11" bestFit="1" customWidth="1"/>
    <col min="29" max="29" width="12.453125" style="11" bestFit="1" customWidth="1"/>
    <col min="30" max="30" width="6" style="11" bestFit="1" customWidth="1"/>
    <col min="31" max="31" width="12.453125" style="11" bestFit="1" customWidth="1"/>
    <col min="32" max="32" width="13" style="11" bestFit="1" customWidth="1"/>
    <col min="33" max="33" width="32.6328125" style="11" bestFit="1" customWidth="1"/>
    <col min="34" max="47" width="9.26953125" style="11" customWidth="1"/>
    <col min="48" max="16384" width="9.26953125" style="11"/>
  </cols>
  <sheetData>
    <row r="1" spans="1:33">
      <c r="A1" s="43"/>
      <c r="B1" s="43"/>
      <c r="C1" s="43"/>
      <c r="D1" s="43"/>
      <c r="E1" s="43"/>
      <c r="F1" s="43"/>
      <c r="G1" s="43"/>
      <c r="H1" s="205" t="s">
        <v>409</v>
      </c>
      <c r="I1" s="43"/>
      <c r="J1" s="205" t="s">
        <v>409</v>
      </c>
      <c r="K1" s="43"/>
      <c r="L1" s="205" t="s">
        <v>409</v>
      </c>
      <c r="M1" s="43"/>
      <c r="N1" s="205" t="s">
        <v>409</v>
      </c>
      <c r="O1" s="43"/>
      <c r="P1" s="205" t="s">
        <v>409</v>
      </c>
      <c r="Q1" s="43"/>
      <c r="R1" s="205" t="s">
        <v>409</v>
      </c>
      <c r="S1" s="43"/>
      <c r="T1" s="205" t="s">
        <v>409</v>
      </c>
      <c r="U1" s="43"/>
      <c r="V1" s="205" t="s">
        <v>409</v>
      </c>
      <c r="W1" s="43"/>
      <c r="X1" s="205" t="s">
        <v>409</v>
      </c>
      <c r="Y1" s="43"/>
      <c r="Z1" s="205" t="s">
        <v>409</v>
      </c>
      <c r="AA1" s="43"/>
      <c r="AB1" s="205" t="s">
        <v>409</v>
      </c>
      <c r="AC1" s="43"/>
      <c r="AD1" s="205" t="s">
        <v>409</v>
      </c>
      <c r="AE1" s="43"/>
      <c r="AF1" s="205" t="s">
        <v>409</v>
      </c>
      <c r="AG1" s="43"/>
    </row>
    <row r="2" spans="1:33" s="25" customFormat="1">
      <c r="A2" s="205" t="s">
        <v>316</v>
      </c>
      <c r="B2" s="43"/>
      <c r="C2" s="43"/>
      <c r="D2" s="43"/>
      <c r="E2" s="43"/>
      <c r="F2" s="43"/>
      <c r="G2" s="207">
        <v>45657</v>
      </c>
      <c r="H2" s="207">
        <v>45657</v>
      </c>
      <c r="I2" s="255">
        <f>+lgh_pref_equity!M3</f>
        <v>45747</v>
      </c>
      <c r="J2" s="255">
        <f>+I2</f>
        <v>45747</v>
      </c>
      <c r="K2" s="255">
        <f>+lgh_pref_equity!N3</f>
        <v>45838</v>
      </c>
      <c r="L2" s="255">
        <f>+K2</f>
        <v>45838</v>
      </c>
      <c r="M2" s="255">
        <f>+lgh_pref_equity!O3</f>
        <v>45930</v>
      </c>
      <c r="N2" s="255">
        <f>+M2</f>
        <v>45930</v>
      </c>
      <c r="O2" s="255">
        <f>+lgh_pref_equity!P3</f>
        <v>46022</v>
      </c>
      <c r="P2" s="255">
        <f>+O2</f>
        <v>46022</v>
      </c>
      <c r="Q2" s="207">
        <f>+lgh_pref_equity!Q3</f>
        <v>46112</v>
      </c>
      <c r="R2" s="207">
        <f>+Q2</f>
        <v>46112</v>
      </c>
      <c r="S2" s="255">
        <f>+lgh_pref_equity!R3</f>
        <v>46203</v>
      </c>
      <c r="T2" s="255">
        <f>+S2</f>
        <v>46203</v>
      </c>
      <c r="U2" s="255">
        <f>+lgh_pref_equity!S3</f>
        <v>46295</v>
      </c>
      <c r="V2" s="255">
        <f>+U2</f>
        <v>46295</v>
      </c>
      <c r="W2" s="255">
        <f>+lgh_pref_equity!T3</f>
        <v>46387</v>
      </c>
      <c r="X2" s="255">
        <f>+W2</f>
        <v>46387</v>
      </c>
      <c r="Y2" s="255">
        <f>+lgh_pref_equity!U3</f>
        <v>46752</v>
      </c>
      <c r="Z2" s="255">
        <f>+Y2</f>
        <v>46752</v>
      </c>
      <c r="AA2" s="255">
        <f>+lgh_pref_equity!V3</f>
        <v>47118</v>
      </c>
      <c r="AB2" s="255">
        <f>+AA2</f>
        <v>47118</v>
      </c>
      <c r="AC2" s="255">
        <f>+lgh_pref_equity!W3</f>
        <v>47483</v>
      </c>
      <c r="AD2" s="255">
        <f>+AC2</f>
        <v>47483</v>
      </c>
      <c r="AE2" s="255">
        <f>+lgh_pref_equity!X3</f>
        <v>47848</v>
      </c>
      <c r="AF2" s="255">
        <f>+AE2</f>
        <v>47848</v>
      </c>
      <c r="AG2" s="205" t="s">
        <v>410</v>
      </c>
    </row>
    <row r="3" spans="1:33">
      <c r="A3" s="205" t="s">
        <v>411</v>
      </c>
      <c r="B3" s="205" t="s">
        <v>318</v>
      </c>
      <c r="C3" s="205" t="s">
        <v>319</v>
      </c>
      <c r="D3" s="205" t="s">
        <v>320</v>
      </c>
      <c r="E3" s="205" t="s">
        <v>322</v>
      </c>
      <c r="F3" s="208" t="s">
        <v>412</v>
      </c>
      <c r="G3" s="209">
        <v>4</v>
      </c>
      <c r="H3" s="209">
        <v>4</v>
      </c>
      <c r="I3" s="256">
        <f>+lgh_pref_equity!M4</f>
        <v>1</v>
      </c>
      <c r="J3" s="256">
        <f>+I3</f>
        <v>1</v>
      </c>
      <c r="K3" s="256">
        <f>+lgh_pref_equity!N4</f>
        <v>2</v>
      </c>
      <c r="L3" s="256">
        <f>+K3</f>
        <v>2</v>
      </c>
      <c r="M3" s="256">
        <f>+lgh_pref_equity!O4</f>
        <v>3</v>
      </c>
      <c r="N3" s="256">
        <f>+M3</f>
        <v>3</v>
      </c>
      <c r="O3" s="256">
        <f>+lgh_pref_equity!P4</f>
        <v>4</v>
      </c>
      <c r="P3" s="256">
        <f>+O3</f>
        <v>4</v>
      </c>
      <c r="Q3" s="250">
        <f>+lgh_pref_equity!Q4</f>
        <v>1</v>
      </c>
      <c r="R3" s="250">
        <f>+Q3</f>
        <v>1</v>
      </c>
      <c r="S3" s="256">
        <f>+lgh_pref_equity!R4</f>
        <v>2</v>
      </c>
      <c r="T3" s="256">
        <f>+S3</f>
        <v>2</v>
      </c>
      <c r="U3" s="256">
        <f>+lgh_pref_equity!S4</f>
        <v>3</v>
      </c>
      <c r="V3" s="256">
        <f>+U3</f>
        <v>3</v>
      </c>
      <c r="W3" s="256">
        <f>+lgh_pref_equity!T4</f>
        <v>4</v>
      </c>
      <c r="X3" s="256">
        <f>+W3</f>
        <v>4</v>
      </c>
      <c r="Y3" s="256">
        <f>+lgh_pref_equity!U4</f>
        <v>4</v>
      </c>
      <c r="Z3" s="256">
        <f>+Y3</f>
        <v>4</v>
      </c>
      <c r="AA3" s="256">
        <f>+lgh_pref_equity!V4</f>
        <v>4</v>
      </c>
      <c r="AB3" s="256">
        <f>+AA3</f>
        <v>4</v>
      </c>
      <c r="AC3" s="256">
        <f>+lgh_pref_equity!W4</f>
        <v>4</v>
      </c>
      <c r="AD3" s="256">
        <f>+AC3</f>
        <v>4</v>
      </c>
      <c r="AE3" s="256">
        <f>+lgh_pref_equity!X4</f>
        <v>4</v>
      </c>
      <c r="AF3" s="256">
        <f>+AE3</f>
        <v>4</v>
      </c>
      <c r="AG3" s="205" t="s">
        <v>413</v>
      </c>
    </row>
    <row r="4" spans="1:33">
      <c r="A4" s="205" t="s">
        <v>414</v>
      </c>
      <c r="B4" s="205" t="s">
        <v>415</v>
      </c>
      <c r="C4" s="210"/>
      <c r="D4" s="219"/>
      <c r="E4" s="215"/>
      <c r="F4" s="215"/>
      <c r="G4" s="217">
        <v>0</v>
      </c>
      <c r="H4" s="210"/>
      <c r="I4" s="216">
        <f t="shared" ref="I4:I29" si="0">IF(AND(YEAR($E4)=YEAR(I$2),ROUNDUP(MONTH($E4)/3,0)=I$3),$C4*(1+$D4/4)^((I$2-$E4)/91),IF(ROUND(SUM(G4:H4),0)=0,0,SUM(G4:H4)*(1+$D4/4)))</f>
        <v>0</v>
      </c>
      <c r="J4" s="217">
        <v>0</v>
      </c>
      <c r="K4" s="216">
        <f t="shared" ref="K4:K29" si="1">IF(AND(YEAR($E4)=YEAR(K$2),ROUNDUP(MONTH($E4)/3,0)=K$3),$C4*(1+$D4/4)^((K$2-$E4)/91),IF(ROUND(SUM(I4:J4),0)=0,0,SUM(I4:J4)*(1+$D4/4)))</f>
        <v>0</v>
      </c>
      <c r="L4" s="210"/>
      <c r="M4" s="216">
        <f>IF(AND(YEAR($E4)=YEAR(M$2),ROUNDUP(MONTH($E4)/3,0)=M$3),$C4*(1+$D4/4)^((M$2-$E4)/91),IF(ROUND(SUM(K4:L4),0)=0,0,SUM(K4:L4)*(1+$D4/4)))</f>
        <v>0</v>
      </c>
      <c r="N4" s="217">
        <v>0</v>
      </c>
      <c r="O4" s="216">
        <f t="shared" ref="O4:O29" si="2">IF(AND(YEAR($E4)=YEAR(O$2),ROUNDUP(MONTH($E4)/3,0)=O$3),$C4*(1+$D4/4)^((O$2-$E4)/91),IF(ROUND(SUM(M4:N4),0)=0,0,SUM(M4:N4)*(1+$D4/4)))</f>
        <v>0</v>
      </c>
      <c r="P4" s="210">
        <f>+-O4</f>
        <v>0</v>
      </c>
      <c r="Q4" s="216">
        <f t="shared" ref="Q4:Q9" si="3">IF(AND(YEAR($E4)=YEAR(Q$2),ROUNDUP(MONTH($E4)/3,0)=Q$3),$C4*(1+$D4/4)^((Q$2-$E4)/91),IF(ROUND(SUM(O4:P4),0)=0,0,SUM(O4:P4)*(1+$D4/4)))</f>
        <v>0</v>
      </c>
      <c r="R4" s="257">
        <f>-Q4</f>
        <v>0</v>
      </c>
      <c r="S4" s="257">
        <f t="shared" ref="S4:S29" si="4">IF(AND(YEAR($E4)=YEAR(S$2),ROUNDUP(MONTH($E4)/3,0)=S$3),$C4*(1+$D4/4)^((S$2-$E4)/91),IF(ROUND(SUM(Q4:R4),0)=0,0,SUM(Q4:R4)*(1+$D4/4)))</f>
        <v>0</v>
      </c>
      <c r="T4" s="217">
        <v>0</v>
      </c>
      <c r="U4" s="216">
        <f t="shared" ref="U4:U29" si="5">IF(AND(YEAR($E4)=YEAR(U$2),ROUNDUP(MONTH($E4)/3,0)=U$3),$C4*(1+$D4/4)^((U$2-$E4)/91),IF(ROUND(SUM(S4:T4),0)=0,0,SUM(S4:T4)*(1+$D4/4)))</f>
        <v>0</v>
      </c>
      <c r="V4" s="217">
        <v>0</v>
      </c>
      <c r="W4" s="216">
        <f t="shared" ref="W4:W29" si="6">IF(AND(YEAR($E4)=YEAR(W$2),ROUNDUP(MONTH($E4)/3,0)=W$3),$C4*(1+$D4/4)^((W$2-$E4)/91),IF(ROUND(SUM(U4:V4),0)=0,0,SUM(U4:V4)*(1+$D4/4)))</f>
        <v>0</v>
      </c>
      <c r="X4" s="217">
        <v>0</v>
      </c>
      <c r="Y4" s="216">
        <f t="shared" ref="Y4:Y29" si="7">IF(AND(YEAR($E4)=YEAR(Y$2),ROUNDUP(MONTH($E4)/3,0)&lt;=Y$3),$C4*(1+$D4)^((Y$2-$E4)/365),IF(ROUND(SUM(W4:X4),0)=0,0,SUM(W4:X4)*(1+$D4)))</f>
        <v>0</v>
      </c>
      <c r="Z4" s="217">
        <v>0</v>
      </c>
      <c r="AA4" s="216">
        <f t="shared" ref="AA4:AA29" si="8">IF(AND(YEAR($E4)=YEAR(AA$2),ROUNDUP(MONTH($E4)/3,0)&lt;=AA$3),$C4*(1+$D4)^((AA$2-$E4)/365),IF(ROUND(SUM(Y4:Z4),0)=0,0,SUM(Y4:Z4)*(1+$D4)))</f>
        <v>0</v>
      </c>
      <c r="AB4" s="217">
        <v>0</v>
      </c>
      <c r="AC4" s="216">
        <f t="shared" ref="AC4:AC29" si="9">IF(AND(YEAR($E4)=YEAR(AC$2),ROUNDUP(MONTH($E4)/3,0)&lt;=AC$3),$C4*(1+$D4)^((AC$2-$E4)/365),IF(ROUND(SUM(AA4:AB4),0)=0,0,SUM(AA4:AB4)*(1+$D4)))</f>
        <v>0</v>
      </c>
      <c r="AD4" s="217">
        <v>0</v>
      </c>
      <c r="AE4" s="216">
        <f t="shared" ref="AE4:AE29" si="10">IF(AND(YEAR($E4)=YEAR(AE$2),ROUNDUP(MONTH($E4)/3,0)&lt;=AE$3),$C4*(1+$D4)^((AE$2-$E4)/365),IF(ROUND(SUM(AC4:AD4),0)=0,0,SUM(AC4:AD4)*(1+$D4)))</f>
        <v>0</v>
      </c>
      <c r="AF4" s="217">
        <v>0</v>
      </c>
      <c r="AG4" s="205" t="s">
        <v>416</v>
      </c>
    </row>
    <row r="5" spans="1:33">
      <c r="A5" s="205" t="s">
        <v>417</v>
      </c>
      <c r="B5" s="205" t="s">
        <v>418</v>
      </c>
      <c r="C5" s="210"/>
      <c r="D5" s="248">
        <v>0.1133</v>
      </c>
      <c r="E5" s="213">
        <v>46022</v>
      </c>
      <c r="F5" s="215"/>
      <c r="G5" s="217">
        <v>0</v>
      </c>
      <c r="H5" s="217">
        <v>0</v>
      </c>
      <c r="I5" s="216">
        <f t="shared" si="0"/>
        <v>0</v>
      </c>
      <c r="J5" s="217">
        <v>0</v>
      </c>
      <c r="K5" s="216">
        <f t="shared" si="1"/>
        <v>0</v>
      </c>
      <c r="L5" s="210"/>
      <c r="M5" s="216">
        <f>IF(AND(YEAR($E5)=YEAR(M$2),ROUNDUP(MONTH($E5)/3,0)=M$3),$C5*(1+$D5/4)^((M$2-$E5)/91),IF(ROUND(SUM(K5:L5),0)=0,0,SUM(K5:L5)*(1+$D5/4)))</f>
        <v>0</v>
      </c>
      <c r="N5" s="210"/>
      <c r="O5" s="216">
        <f t="shared" si="2"/>
        <v>0</v>
      </c>
      <c r="P5" s="210"/>
      <c r="Q5" s="216">
        <f t="shared" si="3"/>
        <v>0</v>
      </c>
      <c r="R5" s="210"/>
      <c r="S5" s="216">
        <f t="shared" si="4"/>
        <v>0</v>
      </c>
      <c r="T5" s="217">
        <v>0</v>
      </c>
      <c r="U5" s="216">
        <f t="shared" si="5"/>
        <v>0</v>
      </c>
      <c r="V5" s="217">
        <v>0</v>
      </c>
      <c r="W5" s="216">
        <f t="shared" si="6"/>
        <v>0</v>
      </c>
      <c r="X5" s="210">
        <f>-W5</f>
        <v>0</v>
      </c>
      <c r="Y5" s="216">
        <f t="shared" si="7"/>
        <v>0</v>
      </c>
      <c r="Z5" s="217">
        <v>0</v>
      </c>
      <c r="AA5" s="216">
        <f t="shared" si="8"/>
        <v>0</v>
      </c>
      <c r="AB5" s="217">
        <v>0</v>
      </c>
      <c r="AC5" s="216">
        <f t="shared" si="9"/>
        <v>0</v>
      </c>
      <c r="AD5" s="217">
        <v>0</v>
      </c>
      <c r="AE5" s="216">
        <f t="shared" si="10"/>
        <v>0</v>
      </c>
      <c r="AF5" s="217">
        <v>0</v>
      </c>
      <c r="AG5" s="205" t="s">
        <v>419</v>
      </c>
    </row>
    <row r="6" spans="1:33">
      <c r="A6" s="205" t="s">
        <v>420</v>
      </c>
      <c r="B6" s="205" t="s">
        <v>421</v>
      </c>
      <c r="C6" s="210"/>
      <c r="D6" s="219"/>
      <c r="E6" s="215"/>
      <c r="F6" s="215"/>
      <c r="G6" s="217">
        <v>0</v>
      </c>
      <c r="H6" s="217">
        <v>0</v>
      </c>
      <c r="I6" s="216">
        <f t="shared" si="0"/>
        <v>0</v>
      </c>
      <c r="J6" s="217">
        <v>0</v>
      </c>
      <c r="K6" s="216">
        <f t="shared" si="1"/>
        <v>0</v>
      </c>
      <c r="L6" s="210"/>
      <c r="M6" s="216">
        <f>IF(AND(YEAR($E6)=YEAR(M$2),ROUNDUP(MONTH($E6)/3,0)=M$3),$C6*(1+$D6/4)^((M$2-$E6)/91),IF(ROUND(SUM(K6:L6),0)=0,0,SUM(K6:L6)*(1+$D6/4)))</f>
        <v>0</v>
      </c>
      <c r="N6" s="217">
        <v>0</v>
      </c>
      <c r="O6" s="216">
        <f t="shared" si="2"/>
        <v>0</v>
      </c>
      <c r="P6" s="210"/>
      <c r="Q6" s="216">
        <f t="shared" si="3"/>
        <v>0</v>
      </c>
      <c r="R6" s="210">
        <f>-Q6</f>
        <v>0</v>
      </c>
      <c r="S6" s="216">
        <f t="shared" si="4"/>
        <v>0</v>
      </c>
      <c r="T6" s="217">
        <v>0</v>
      </c>
      <c r="U6" s="216">
        <f t="shared" si="5"/>
        <v>0</v>
      </c>
      <c r="V6" s="217">
        <v>0</v>
      </c>
      <c r="W6" s="216">
        <f t="shared" si="6"/>
        <v>0</v>
      </c>
      <c r="X6" s="217">
        <v>0</v>
      </c>
      <c r="Y6" s="216">
        <f t="shared" si="7"/>
        <v>0</v>
      </c>
      <c r="Z6" s="217">
        <v>0</v>
      </c>
      <c r="AA6" s="216">
        <f t="shared" si="8"/>
        <v>0</v>
      </c>
      <c r="AB6" s="217">
        <v>0</v>
      </c>
      <c r="AC6" s="216">
        <f t="shared" si="9"/>
        <v>0</v>
      </c>
      <c r="AD6" s="217">
        <v>0</v>
      </c>
      <c r="AE6" s="216">
        <f t="shared" si="10"/>
        <v>0</v>
      </c>
      <c r="AF6" s="217">
        <v>0</v>
      </c>
      <c r="AG6" s="205" t="s">
        <v>422</v>
      </c>
    </row>
    <row r="7" spans="1:33">
      <c r="A7" s="205" t="s">
        <v>423</v>
      </c>
      <c r="B7" s="205" t="s">
        <v>424</v>
      </c>
      <c r="C7" s="217">
        <v>5000000</v>
      </c>
      <c r="D7" s="212">
        <v>0.12</v>
      </c>
      <c r="E7" s="213">
        <v>45657</v>
      </c>
      <c r="F7" s="213">
        <v>45747</v>
      </c>
      <c r="G7" s="217">
        <v>5000000</v>
      </c>
      <c r="H7" s="217">
        <v>0</v>
      </c>
      <c r="I7" s="216">
        <f t="shared" si="0"/>
        <v>5150000</v>
      </c>
      <c r="J7" s="210"/>
      <c r="K7" s="216">
        <f t="shared" si="1"/>
        <v>5304500</v>
      </c>
      <c r="L7" s="210"/>
      <c r="M7" s="210"/>
      <c r="N7" s="217">
        <v>0</v>
      </c>
      <c r="O7" s="216">
        <f t="shared" si="2"/>
        <v>0</v>
      </c>
      <c r="P7" s="217">
        <v>0</v>
      </c>
      <c r="Q7" s="216">
        <f t="shared" si="3"/>
        <v>0</v>
      </c>
      <c r="R7" s="217">
        <v>0</v>
      </c>
      <c r="S7" s="216">
        <f t="shared" si="4"/>
        <v>0</v>
      </c>
      <c r="T7" s="217">
        <v>0</v>
      </c>
      <c r="U7" s="216">
        <f t="shared" si="5"/>
        <v>0</v>
      </c>
      <c r="V7" s="217">
        <v>0</v>
      </c>
      <c r="W7" s="216">
        <f t="shared" si="6"/>
        <v>0</v>
      </c>
      <c r="X7" s="217">
        <v>0</v>
      </c>
      <c r="Y7" s="216">
        <f t="shared" si="7"/>
        <v>0</v>
      </c>
      <c r="Z7" s="217">
        <v>0</v>
      </c>
      <c r="AA7" s="216">
        <f t="shared" si="8"/>
        <v>0</v>
      </c>
      <c r="AB7" s="217">
        <v>0</v>
      </c>
      <c r="AC7" s="216">
        <f t="shared" si="9"/>
        <v>0</v>
      </c>
      <c r="AD7" s="217">
        <v>0</v>
      </c>
      <c r="AE7" s="216">
        <f t="shared" si="10"/>
        <v>0</v>
      </c>
      <c r="AF7" s="217">
        <v>0</v>
      </c>
      <c r="AG7" s="43"/>
    </row>
    <row r="8" spans="1:33">
      <c r="A8" s="205" t="s">
        <v>425</v>
      </c>
      <c r="B8" s="205" t="s">
        <v>426</v>
      </c>
      <c r="C8" s="217">
        <v>10000000</v>
      </c>
      <c r="D8" s="212">
        <v>0.12</v>
      </c>
      <c r="E8" s="213">
        <v>45657</v>
      </c>
      <c r="F8" s="213">
        <v>45747</v>
      </c>
      <c r="G8" s="217">
        <v>10000000</v>
      </c>
      <c r="H8" s="217">
        <v>0</v>
      </c>
      <c r="I8" s="216">
        <f t="shared" si="0"/>
        <v>10300000</v>
      </c>
      <c r="J8" s="210"/>
      <c r="K8" s="216">
        <f t="shared" si="1"/>
        <v>10609000</v>
      </c>
      <c r="L8" s="210"/>
      <c r="M8" s="210"/>
      <c r="N8" s="217">
        <v>0</v>
      </c>
      <c r="O8" s="216">
        <f t="shared" si="2"/>
        <v>0</v>
      </c>
      <c r="P8" s="217">
        <v>0</v>
      </c>
      <c r="Q8" s="216">
        <f t="shared" si="3"/>
        <v>0</v>
      </c>
      <c r="R8" s="217">
        <v>0</v>
      </c>
      <c r="S8" s="216">
        <f t="shared" si="4"/>
        <v>0</v>
      </c>
      <c r="T8" s="217">
        <v>0</v>
      </c>
      <c r="U8" s="216">
        <f t="shared" si="5"/>
        <v>0</v>
      </c>
      <c r="V8" s="217">
        <v>0</v>
      </c>
      <c r="W8" s="216">
        <f t="shared" si="6"/>
        <v>0</v>
      </c>
      <c r="X8" s="217">
        <v>0</v>
      </c>
      <c r="Y8" s="216">
        <f t="shared" si="7"/>
        <v>0</v>
      </c>
      <c r="Z8" s="217">
        <v>0</v>
      </c>
      <c r="AA8" s="216">
        <f t="shared" si="8"/>
        <v>0</v>
      </c>
      <c r="AB8" s="217">
        <v>0</v>
      </c>
      <c r="AC8" s="216">
        <f t="shared" si="9"/>
        <v>0</v>
      </c>
      <c r="AD8" s="217">
        <v>0</v>
      </c>
      <c r="AE8" s="216">
        <f t="shared" si="10"/>
        <v>0</v>
      </c>
      <c r="AF8" s="217">
        <v>0</v>
      </c>
      <c r="AG8" s="43"/>
    </row>
    <row r="9" spans="1:33">
      <c r="A9" s="205" t="s">
        <v>427</v>
      </c>
      <c r="B9" s="205" t="s">
        <v>428</v>
      </c>
      <c r="C9" s="217">
        <v>5000000</v>
      </c>
      <c r="D9" s="212">
        <v>0.18</v>
      </c>
      <c r="E9" s="213">
        <v>45657</v>
      </c>
      <c r="F9" s="213">
        <v>45747</v>
      </c>
      <c r="G9" s="217">
        <v>5000000</v>
      </c>
      <c r="H9" s="217">
        <v>0</v>
      </c>
      <c r="I9" s="216">
        <f t="shared" si="0"/>
        <v>5225000</v>
      </c>
      <c r="J9" s="210"/>
      <c r="K9" s="216">
        <f t="shared" si="1"/>
        <v>5460125</v>
      </c>
      <c r="L9" s="210"/>
      <c r="M9" s="210"/>
      <c r="N9" s="217">
        <v>0</v>
      </c>
      <c r="O9" s="216">
        <f t="shared" si="2"/>
        <v>0</v>
      </c>
      <c r="P9" s="217">
        <v>0</v>
      </c>
      <c r="Q9" s="216">
        <f t="shared" si="3"/>
        <v>0</v>
      </c>
      <c r="R9" s="217">
        <v>0</v>
      </c>
      <c r="S9" s="216">
        <f t="shared" si="4"/>
        <v>0</v>
      </c>
      <c r="T9" s="217">
        <v>0</v>
      </c>
      <c r="U9" s="216">
        <f t="shared" si="5"/>
        <v>0</v>
      </c>
      <c r="V9" s="217">
        <v>0</v>
      </c>
      <c r="W9" s="216">
        <f t="shared" si="6"/>
        <v>0</v>
      </c>
      <c r="X9" s="217">
        <v>0</v>
      </c>
      <c r="Y9" s="216">
        <f t="shared" si="7"/>
        <v>0</v>
      </c>
      <c r="Z9" s="217">
        <v>0</v>
      </c>
      <c r="AA9" s="216">
        <f t="shared" si="8"/>
        <v>0</v>
      </c>
      <c r="AB9" s="217">
        <v>0</v>
      </c>
      <c r="AC9" s="216">
        <f t="shared" si="9"/>
        <v>0</v>
      </c>
      <c r="AD9" s="217">
        <v>0</v>
      </c>
      <c r="AE9" s="216">
        <f t="shared" si="10"/>
        <v>0</v>
      </c>
      <c r="AF9" s="217">
        <v>0</v>
      </c>
      <c r="AG9" s="43"/>
    </row>
    <row r="10" spans="1:33">
      <c r="A10" s="205" t="s">
        <v>429</v>
      </c>
      <c r="B10" s="205" t="s">
        <v>430</v>
      </c>
      <c r="C10" s="217">
        <v>2000000</v>
      </c>
      <c r="D10" s="211">
        <v>0.2</v>
      </c>
      <c r="E10" s="213">
        <v>45617</v>
      </c>
      <c r="F10" s="215"/>
      <c r="G10" s="217">
        <v>2040362.779512597</v>
      </c>
      <c r="H10" s="217">
        <v>0</v>
      </c>
      <c r="I10" s="216">
        <f t="shared" si="0"/>
        <v>2142380.9184882268</v>
      </c>
      <c r="J10" s="217">
        <v>0</v>
      </c>
      <c r="K10" s="216">
        <f t="shared" si="1"/>
        <v>2249499.9644126385</v>
      </c>
      <c r="L10" s="210"/>
      <c r="M10" s="216">
        <f t="shared" ref="M10:M29" si="11">IF(AND(YEAR($E10)=YEAR(M$2),ROUNDUP(MONTH($E10)/3,0)=M$3),$C10*(1+$D10/4)^((M$2-$E10)/91),IF(ROUND(SUM(K10:L10),0)=0,0,SUM(K10:L10)*(1+$D10/4)))</f>
        <v>2361974.9626332703</v>
      </c>
      <c r="N10" s="210"/>
      <c r="O10" s="216">
        <f t="shared" si="2"/>
        <v>2480073.7107649338</v>
      </c>
      <c r="P10" s="217">
        <v>-2900000</v>
      </c>
      <c r="Q10" s="210"/>
      <c r="R10" s="217">
        <v>0</v>
      </c>
      <c r="S10" s="216">
        <f t="shared" si="4"/>
        <v>0</v>
      </c>
      <c r="T10" s="217">
        <v>0</v>
      </c>
      <c r="U10" s="216">
        <f t="shared" si="5"/>
        <v>0</v>
      </c>
      <c r="V10" s="217">
        <v>0</v>
      </c>
      <c r="W10" s="216">
        <f t="shared" si="6"/>
        <v>0</v>
      </c>
      <c r="X10" s="217">
        <v>0</v>
      </c>
      <c r="Y10" s="216">
        <f t="shared" si="7"/>
        <v>0</v>
      </c>
      <c r="Z10" s="217">
        <v>0</v>
      </c>
      <c r="AA10" s="216">
        <f t="shared" si="8"/>
        <v>0</v>
      </c>
      <c r="AB10" s="217">
        <v>0</v>
      </c>
      <c r="AC10" s="216">
        <f t="shared" si="9"/>
        <v>0</v>
      </c>
      <c r="AD10" s="217">
        <v>0</v>
      </c>
      <c r="AE10" s="216">
        <f t="shared" si="10"/>
        <v>0</v>
      </c>
      <c r="AF10" s="217">
        <v>0</v>
      </c>
      <c r="AG10" s="43"/>
    </row>
    <row r="11" spans="1:33">
      <c r="A11" s="205" t="s">
        <v>431</v>
      </c>
      <c r="B11" s="205" t="s">
        <v>432</v>
      </c>
      <c r="C11" s="217">
        <v>1000000</v>
      </c>
      <c r="D11" s="248">
        <v>4.5199999999999997E-2</v>
      </c>
      <c r="E11" s="213">
        <v>45649</v>
      </c>
      <c r="F11" s="213">
        <v>45711</v>
      </c>
      <c r="G11" s="217">
        <v>1000969.417629251</v>
      </c>
      <c r="H11" s="217">
        <v>0</v>
      </c>
      <c r="I11" s="216">
        <f t="shared" si="0"/>
        <v>1012280.3720484617</v>
      </c>
      <c r="J11" s="210"/>
      <c r="K11" s="216">
        <f t="shared" si="1"/>
        <v>1023719.1402526094</v>
      </c>
      <c r="L11" s="210"/>
      <c r="M11" s="216">
        <f t="shared" si="11"/>
        <v>1035287.166537464</v>
      </c>
      <c r="N11" s="217">
        <v>0</v>
      </c>
      <c r="O11" s="216">
        <f t="shared" si="2"/>
        <v>1046985.9115193374</v>
      </c>
      <c r="P11" s="210"/>
      <c r="Q11" s="210"/>
      <c r="R11" s="210"/>
      <c r="S11" s="216">
        <f t="shared" si="4"/>
        <v>0</v>
      </c>
      <c r="T11" s="217">
        <v>0</v>
      </c>
      <c r="U11" s="216">
        <f t="shared" si="5"/>
        <v>0</v>
      </c>
      <c r="V11" s="217">
        <v>0</v>
      </c>
      <c r="W11" s="216">
        <f t="shared" si="6"/>
        <v>0</v>
      </c>
      <c r="X11" s="217">
        <v>0</v>
      </c>
      <c r="Y11" s="216">
        <f t="shared" si="7"/>
        <v>0</v>
      </c>
      <c r="Z11" s="217">
        <v>0</v>
      </c>
      <c r="AA11" s="216">
        <f t="shared" si="8"/>
        <v>0</v>
      </c>
      <c r="AB11" s="217">
        <v>0</v>
      </c>
      <c r="AC11" s="216">
        <f t="shared" si="9"/>
        <v>0</v>
      </c>
      <c r="AD11" s="217">
        <v>0</v>
      </c>
      <c r="AE11" s="216">
        <f t="shared" si="10"/>
        <v>0</v>
      </c>
      <c r="AF11" s="217">
        <v>0</v>
      </c>
      <c r="AG11" s="43"/>
    </row>
    <row r="12" spans="1:33">
      <c r="A12" s="205" t="s">
        <v>433</v>
      </c>
      <c r="B12" s="205" t="s">
        <v>434</v>
      </c>
      <c r="C12" s="217">
        <v>1000000</v>
      </c>
      <c r="D12" s="248">
        <v>0.1023</v>
      </c>
      <c r="E12" s="213">
        <v>45538</v>
      </c>
      <c r="F12" s="213">
        <v>45747</v>
      </c>
      <c r="G12" s="217">
        <v>1032264.27201908</v>
      </c>
      <c r="H12" s="210"/>
      <c r="I12" s="216">
        <f t="shared" si="0"/>
        <v>1058664.4307759679</v>
      </c>
      <c r="J12" s="210">
        <f>-I12</f>
        <v>-1058664.4307759679</v>
      </c>
      <c r="K12" s="216">
        <f t="shared" si="1"/>
        <v>0</v>
      </c>
      <c r="L12" s="210"/>
      <c r="M12" s="216">
        <f t="shared" si="11"/>
        <v>0</v>
      </c>
      <c r="N12" s="217">
        <v>0</v>
      </c>
      <c r="O12" s="216">
        <f t="shared" si="2"/>
        <v>0</v>
      </c>
      <c r="P12" s="210"/>
      <c r="Q12" s="216">
        <f>IF(AND(YEAR($E12)=YEAR(Q$2),ROUNDUP(MONTH($E12)/3,0)=Q$3),$C12*(1+$D12/4)^((Q$2-$E12)/91),IF(ROUND(SUM(O12:P12),0)=0,0,SUM(O12:P12)*(1+$D12/4)))</f>
        <v>0</v>
      </c>
      <c r="R12" s="217">
        <v>0</v>
      </c>
      <c r="S12" s="216">
        <f t="shared" si="4"/>
        <v>0</v>
      </c>
      <c r="T12" s="217">
        <v>0</v>
      </c>
      <c r="U12" s="216">
        <f t="shared" si="5"/>
        <v>0</v>
      </c>
      <c r="V12" s="217">
        <v>0</v>
      </c>
      <c r="W12" s="216">
        <f t="shared" si="6"/>
        <v>0</v>
      </c>
      <c r="X12" s="217">
        <v>0</v>
      </c>
      <c r="Y12" s="216">
        <f t="shared" si="7"/>
        <v>0</v>
      </c>
      <c r="Z12" s="217">
        <v>0</v>
      </c>
      <c r="AA12" s="216">
        <f t="shared" si="8"/>
        <v>0</v>
      </c>
      <c r="AB12" s="217">
        <v>0</v>
      </c>
      <c r="AC12" s="216">
        <f t="shared" si="9"/>
        <v>0</v>
      </c>
      <c r="AD12" s="217">
        <v>0</v>
      </c>
      <c r="AE12" s="216">
        <f t="shared" si="10"/>
        <v>0</v>
      </c>
      <c r="AF12" s="217">
        <v>0</v>
      </c>
      <c r="AG12" s="43"/>
    </row>
    <row r="13" spans="1:33">
      <c r="A13" s="205" t="s">
        <v>435</v>
      </c>
      <c r="B13" s="205" t="s">
        <v>434</v>
      </c>
      <c r="C13" s="217">
        <v>400000</v>
      </c>
      <c r="D13" s="248">
        <v>0.1023</v>
      </c>
      <c r="E13" s="213">
        <v>45562</v>
      </c>
      <c r="F13" s="213">
        <v>45747</v>
      </c>
      <c r="G13" s="217">
        <v>410269.78163498401</v>
      </c>
      <c r="H13" s="210"/>
      <c r="I13" s="216">
        <f t="shared" si="0"/>
        <v>420762.43130029872</v>
      </c>
      <c r="J13" s="210">
        <f>-I13</f>
        <v>-420762.43130029872</v>
      </c>
      <c r="K13" s="216">
        <f t="shared" si="1"/>
        <v>0</v>
      </c>
      <c r="L13" s="210"/>
      <c r="M13" s="216">
        <f t="shared" si="11"/>
        <v>0</v>
      </c>
      <c r="N13" s="217">
        <v>0</v>
      </c>
      <c r="O13" s="216">
        <f t="shared" si="2"/>
        <v>0</v>
      </c>
      <c r="P13" s="210"/>
      <c r="Q13" s="216">
        <f>IF(AND(YEAR($E13)=YEAR(Q$2),ROUNDUP(MONTH($E13)/3,0)=Q$3),$C13*(1+$D13/4)^((Q$2-$E13)/91),IF(ROUND(SUM(O13:P13),0)=0,0,SUM(O13:P13)*(1+$D13/4)))</f>
        <v>0</v>
      </c>
      <c r="R13" s="217">
        <v>0</v>
      </c>
      <c r="S13" s="216">
        <f t="shared" si="4"/>
        <v>0</v>
      </c>
      <c r="T13" s="217">
        <v>0</v>
      </c>
      <c r="U13" s="216">
        <f t="shared" si="5"/>
        <v>0</v>
      </c>
      <c r="V13" s="217">
        <v>0</v>
      </c>
      <c r="W13" s="216">
        <f t="shared" si="6"/>
        <v>0</v>
      </c>
      <c r="X13" s="217">
        <v>0</v>
      </c>
      <c r="Y13" s="216">
        <f t="shared" si="7"/>
        <v>0</v>
      </c>
      <c r="Z13" s="217">
        <v>0</v>
      </c>
      <c r="AA13" s="216">
        <f t="shared" si="8"/>
        <v>0</v>
      </c>
      <c r="AB13" s="217">
        <v>0</v>
      </c>
      <c r="AC13" s="216">
        <f t="shared" si="9"/>
        <v>0</v>
      </c>
      <c r="AD13" s="217">
        <v>0</v>
      </c>
      <c r="AE13" s="216">
        <f t="shared" si="10"/>
        <v>0</v>
      </c>
      <c r="AF13" s="217">
        <v>0</v>
      </c>
      <c r="AG13" s="43"/>
    </row>
    <row r="14" spans="1:33">
      <c r="A14" s="205" t="s">
        <v>436</v>
      </c>
      <c r="B14" s="205" t="s">
        <v>434</v>
      </c>
      <c r="C14" s="217">
        <v>600000</v>
      </c>
      <c r="D14" s="248">
        <v>0.1023</v>
      </c>
      <c r="E14" s="213">
        <v>45637</v>
      </c>
      <c r="F14" s="213">
        <v>45747</v>
      </c>
      <c r="G14" s="217">
        <v>603210.71586950752</v>
      </c>
      <c r="H14" s="210"/>
      <c r="I14" s="216">
        <f t="shared" si="0"/>
        <v>618637.82992787007</v>
      </c>
      <c r="J14" s="210">
        <f>-I14</f>
        <v>-618637.82992787007</v>
      </c>
      <c r="K14" s="216">
        <f t="shared" si="1"/>
        <v>0</v>
      </c>
      <c r="L14" s="210"/>
      <c r="M14" s="216">
        <f t="shared" si="11"/>
        <v>0</v>
      </c>
      <c r="N14" s="217">
        <v>0</v>
      </c>
      <c r="O14" s="216">
        <f t="shared" si="2"/>
        <v>0</v>
      </c>
      <c r="P14" s="210"/>
      <c r="Q14" s="216">
        <f>IF(AND(YEAR($E14)=YEAR(Q$2),ROUNDUP(MONTH($E14)/3,0)=Q$3),$C14*(1+$D14/4)^((Q$2-$E14)/91),IF(ROUND(SUM(O14:P14),0)=0,0,SUM(O14:P14)*(1+$D14/4)))</f>
        <v>0</v>
      </c>
      <c r="R14" s="217">
        <v>0</v>
      </c>
      <c r="S14" s="216">
        <f t="shared" si="4"/>
        <v>0</v>
      </c>
      <c r="T14" s="217">
        <v>0</v>
      </c>
      <c r="U14" s="216">
        <f t="shared" si="5"/>
        <v>0</v>
      </c>
      <c r="V14" s="217">
        <v>0</v>
      </c>
      <c r="W14" s="216">
        <f t="shared" si="6"/>
        <v>0</v>
      </c>
      <c r="X14" s="217">
        <v>0</v>
      </c>
      <c r="Y14" s="216">
        <f t="shared" si="7"/>
        <v>0</v>
      </c>
      <c r="Z14" s="217">
        <v>0</v>
      </c>
      <c r="AA14" s="216">
        <f t="shared" si="8"/>
        <v>0</v>
      </c>
      <c r="AB14" s="217">
        <v>0</v>
      </c>
      <c r="AC14" s="216">
        <f t="shared" si="9"/>
        <v>0</v>
      </c>
      <c r="AD14" s="217">
        <v>0</v>
      </c>
      <c r="AE14" s="216">
        <f t="shared" si="10"/>
        <v>0</v>
      </c>
      <c r="AF14" s="217">
        <v>0</v>
      </c>
      <c r="AG14" s="43"/>
    </row>
    <row r="15" spans="1:33">
      <c r="A15" s="205" t="s">
        <v>437</v>
      </c>
      <c r="B15" s="205" t="s">
        <v>438</v>
      </c>
      <c r="C15" s="217">
        <v>500000</v>
      </c>
      <c r="D15" s="248">
        <v>4.5199999999999997E-2</v>
      </c>
      <c r="E15" s="213">
        <v>45716</v>
      </c>
      <c r="F15" s="215"/>
      <c r="G15" s="217">
        <v>0</v>
      </c>
      <c r="H15" s="217">
        <v>0</v>
      </c>
      <c r="I15" s="216">
        <f t="shared" si="0"/>
        <v>501917.59962501872</v>
      </c>
      <c r="J15" s="217">
        <v>0</v>
      </c>
      <c r="K15" s="216">
        <f t="shared" si="1"/>
        <v>507589.26850078144</v>
      </c>
      <c r="L15" s="210"/>
      <c r="M15" s="216">
        <f t="shared" si="11"/>
        <v>513325.02723484032</v>
      </c>
      <c r="N15" s="217">
        <v>0</v>
      </c>
      <c r="O15" s="216">
        <f t="shared" si="2"/>
        <v>519125.60004259407</v>
      </c>
      <c r="P15" s="210"/>
      <c r="Q15" s="210"/>
      <c r="R15" s="210">
        <f>-Q15</f>
        <v>0</v>
      </c>
      <c r="S15" s="216">
        <f t="shared" si="4"/>
        <v>0</v>
      </c>
      <c r="T15" s="217">
        <v>0</v>
      </c>
      <c r="U15" s="216">
        <f t="shared" si="5"/>
        <v>0</v>
      </c>
      <c r="V15" s="217">
        <v>0</v>
      </c>
      <c r="W15" s="216">
        <f t="shared" si="6"/>
        <v>0</v>
      </c>
      <c r="X15" s="217">
        <v>0</v>
      </c>
      <c r="Y15" s="216">
        <f t="shared" si="7"/>
        <v>0</v>
      </c>
      <c r="Z15" s="217">
        <v>0</v>
      </c>
      <c r="AA15" s="216">
        <f t="shared" si="8"/>
        <v>0</v>
      </c>
      <c r="AB15" s="217">
        <v>0</v>
      </c>
      <c r="AC15" s="216">
        <f t="shared" si="9"/>
        <v>0</v>
      </c>
      <c r="AD15" s="217">
        <v>0</v>
      </c>
      <c r="AE15" s="216">
        <f t="shared" si="10"/>
        <v>0</v>
      </c>
      <c r="AF15" s="217">
        <v>0</v>
      </c>
      <c r="AG15" s="43"/>
    </row>
    <row r="16" spans="1:33">
      <c r="A16" s="205" t="s">
        <v>439</v>
      </c>
      <c r="B16" s="205" t="s">
        <v>440</v>
      </c>
      <c r="C16" s="217">
        <v>100000</v>
      </c>
      <c r="D16" s="248">
        <v>4.5199999999999997E-2</v>
      </c>
      <c r="E16" s="213">
        <v>45751</v>
      </c>
      <c r="F16" s="215"/>
      <c r="G16" s="217">
        <v>0</v>
      </c>
      <c r="H16" s="217">
        <v>0</v>
      </c>
      <c r="I16" s="216">
        <f t="shared" si="0"/>
        <v>0</v>
      </c>
      <c r="J16" s="217">
        <v>0</v>
      </c>
      <c r="K16" s="216">
        <f t="shared" si="1"/>
        <v>101080.06241764997</v>
      </c>
      <c r="L16" s="210"/>
      <c r="M16" s="216">
        <f t="shared" si="11"/>
        <v>102222.26712296942</v>
      </c>
      <c r="N16" s="217">
        <v>0</v>
      </c>
      <c r="O16" s="216">
        <f t="shared" si="2"/>
        <v>103377.37874145899</v>
      </c>
      <c r="P16" s="210"/>
      <c r="Q16" s="210"/>
      <c r="R16" s="210">
        <f>-Q16</f>
        <v>0</v>
      </c>
      <c r="S16" s="216">
        <f t="shared" si="4"/>
        <v>0</v>
      </c>
      <c r="T16" s="217">
        <v>0</v>
      </c>
      <c r="U16" s="216">
        <f t="shared" si="5"/>
        <v>0</v>
      </c>
      <c r="V16" s="217">
        <v>0</v>
      </c>
      <c r="W16" s="216">
        <f t="shared" si="6"/>
        <v>0</v>
      </c>
      <c r="X16" s="217">
        <v>0</v>
      </c>
      <c r="Y16" s="216">
        <f t="shared" si="7"/>
        <v>0</v>
      </c>
      <c r="Z16" s="217">
        <v>0</v>
      </c>
      <c r="AA16" s="216">
        <f t="shared" si="8"/>
        <v>0</v>
      </c>
      <c r="AB16" s="217">
        <v>0</v>
      </c>
      <c r="AC16" s="216">
        <f t="shared" si="9"/>
        <v>0</v>
      </c>
      <c r="AD16" s="217">
        <v>0</v>
      </c>
      <c r="AE16" s="216">
        <f t="shared" si="10"/>
        <v>0</v>
      </c>
      <c r="AF16" s="217">
        <v>0</v>
      </c>
      <c r="AG16" s="43"/>
    </row>
    <row r="17" spans="1:33">
      <c r="A17" s="205" t="s">
        <v>441</v>
      </c>
      <c r="B17" s="205" t="s">
        <v>442</v>
      </c>
      <c r="C17" s="217">
        <v>250000</v>
      </c>
      <c r="D17" s="248">
        <v>4.5199999999999997E-2</v>
      </c>
      <c r="E17" s="213">
        <v>45993</v>
      </c>
      <c r="F17" s="215"/>
      <c r="G17" s="217">
        <v>0</v>
      </c>
      <c r="H17" s="217">
        <v>0</v>
      </c>
      <c r="I17" s="216">
        <f t="shared" si="0"/>
        <v>0</v>
      </c>
      <c r="J17" s="217">
        <v>0</v>
      </c>
      <c r="K17" s="216">
        <f t="shared" si="1"/>
        <v>0</v>
      </c>
      <c r="L17" s="210"/>
      <c r="M17" s="216">
        <f t="shared" si="11"/>
        <v>0</v>
      </c>
      <c r="N17" s="217">
        <v>0</v>
      </c>
      <c r="O17" s="216">
        <f t="shared" si="2"/>
        <v>250896.83094466163</v>
      </c>
      <c r="P17" s="210"/>
      <c r="Q17" s="216">
        <f t="shared" ref="Q17:Q29" si="12">IF(AND(YEAR($E17)=YEAR(Q$2),ROUNDUP(MONTH($E17)/3,0)=Q$3),$C17*(1+$D17/4)^((Q$2-$E17)/91),IF(ROUND(SUM(O17:P17),0)=0,0,SUM(O17:P17)*(1+$D17/4)))</f>
        <v>253731.96513433632</v>
      </c>
      <c r="R17" s="210"/>
      <c r="S17" s="216">
        <f t="shared" si="4"/>
        <v>256599.13634035434</v>
      </c>
      <c r="T17" s="217">
        <v>0</v>
      </c>
      <c r="U17" s="216">
        <f t="shared" si="5"/>
        <v>259498.70658100036</v>
      </c>
      <c r="V17" s="210">
        <f>-U17</f>
        <v>-259498.70658100036</v>
      </c>
      <c r="W17" s="216">
        <f t="shared" si="6"/>
        <v>0</v>
      </c>
      <c r="X17" s="210">
        <f>-W17</f>
        <v>0</v>
      </c>
      <c r="Y17" s="216">
        <f t="shared" si="7"/>
        <v>0</v>
      </c>
      <c r="Z17" s="217">
        <v>0</v>
      </c>
      <c r="AA17" s="216">
        <f t="shared" si="8"/>
        <v>0</v>
      </c>
      <c r="AB17" s="217">
        <v>0</v>
      </c>
      <c r="AC17" s="216">
        <f t="shared" si="9"/>
        <v>0</v>
      </c>
      <c r="AD17" s="217">
        <v>0</v>
      </c>
      <c r="AE17" s="216">
        <f t="shared" si="10"/>
        <v>0</v>
      </c>
      <c r="AF17" s="217">
        <v>0</v>
      </c>
      <c r="AG17" s="43"/>
    </row>
    <row r="18" spans="1:33">
      <c r="A18" s="205" t="s">
        <v>443</v>
      </c>
      <c r="B18" s="205" t="s">
        <v>442</v>
      </c>
      <c r="C18" s="217">
        <v>250000</v>
      </c>
      <c r="D18" s="248">
        <v>4.5199999999999997E-2</v>
      </c>
      <c r="E18" s="213">
        <v>46027</v>
      </c>
      <c r="F18" s="215"/>
      <c r="G18" s="217">
        <v>0</v>
      </c>
      <c r="H18" s="217">
        <v>0</v>
      </c>
      <c r="I18" s="216">
        <f t="shared" si="0"/>
        <v>0</v>
      </c>
      <c r="J18" s="217">
        <v>0</v>
      </c>
      <c r="K18" s="216">
        <f t="shared" si="1"/>
        <v>0</v>
      </c>
      <c r="L18" s="210"/>
      <c r="M18" s="216">
        <f t="shared" si="11"/>
        <v>0</v>
      </c>
      <c r="N18" s="217">
        <v>0</v>
      </c>
      <c r="O18" s="216">
        <f t="shared" si="2"/>
        <v>0</v>
      </c>
      <c r="P18" s="210"/>
      <c r="Q18" s="216">
        <f t="shared" si="12"/>
        <v>252637.75718587934</v>
      </c>
      <c r="R18" s="210"/>
      <c r="S18" s="216">
        <f t="shared" si="4"/>
        <v>255492.56384207981</v>
      </c>
      <c r="T18" s="217">
        <v>0</v>
      </c>
      <c r="U18" s="216">
        <f t="shared" si="5"/>
        <v>258379.62981349532</v>
      </c>
      <c r="V18" s="210">
        <f>-U18</f>
        <v>-258379.62981349532</v>
      </c>
      <c r="W18" s="216">
        <f t="shared" si="6"/>
        <v>0</v>
      </c>
      <c r="X18" s="210">
        <f>-W18</f>
        <v>0</v>
      </c>
      <c r="Y18" s="216">
        <f t="shared" si="7"/>
        <v>0</v>
      </c>
      <c r="Z18" s="217">
        <v>0</v>
      </c>
      <c r="AA18" s="216">
        <f t="shared" si="8"/>
        <v>0</v>
      </c>
      <c r="AB18" s="217">
        <v>0</v>
      </c>
      <c r="AC18" s="216">
        <f t="shared" si="9"/>
        <v>0</v>
      </c>
      <c r="AD18" s="217">
        <v>0</v>
      </c>
      <c r="AE18" s="216">
        <f t="shared" si="10"/>
        <v>0</v>
      </c>
      <c r="AF18" s="217">
        <v>0</v>
      </c>
      <c r="AG18" s="43"/>
    </row>
    <row r="19" spans="1:33">
      <c r="A19" s="205" t="s">
        <v>444</v>
      </c>
      <c r="B19" s="205" t="s">
        <v>445</v>
      </c>
      <c r="C19" s="217">
        <v>2000000</v>
      </c>
      <c r="D19" s="248">
        <v>0.13</v>
      </c>
      <c r="E19" s="213">
        <v>46008</v>
      </c>
      <c r="F19" s="215"/>
      <c r="G19" s="217">
        <v>0</v>
      </c>
      <c r="H19" s="217">
        <v>0</v>
      </c>
      <c r="I19" s="216">
        <f t="shared" si="0"/>
        <v>0</v>
      </c>
      <c r="J19" s="217">
        <v>0</v>
      </c>
      <c r="K19" s="216">
        <f t="shared" si="1"/>
        <v>0</v>
      </c>
      <c r="L19" s="210"/>
      <c r="M19" s="216">
        <f t="shared" si="11"/>
        <v>0</v>
      </c>
      <c r="N19" s="217">
        <v>0</v>
      </c>
      <c r="O19" s="216">
        <f t="shared" si="2"/>
        <v>2009865.1879554624</v>
      </c>
      <c r="P19" s="210"/>
      <c r="Q19" s="216">
        <f t="shared" si="12"/>
        <v>2075185.8065640149</v>
      </c>
      <c r="R19" s="210"/>
      <c r="S19" s="216">
        <f t="shared" si="4"/>
        <v>2142629.3452773453</v>
      </c>
      <c r="T19" s="217">
        <v>0</v>
      </c>
      <c r="U19" s="216">
        <f t="shared" si="5"/>
        <v>2212264.7989988588</v>
      </c>
      <c r="V19" s="217">
        <v>0</v>
      </c>
      <c r="W19" s="216">
        <f t="shared" si="6"/>
        <v>2284163.4049663218</v>
      </c>
      <c r="X19" s="210">
        <f>-W19</f>
        <v>-2284163.4049663218</v>
      </c>
      <c r="Y19" s="216">
        <f t="shared" si="7"/>
        <v>0</v>
      </c>
      <c r="Z19" s="217">
        <v>0</v>
      </c>
      <c r="AA19" s="216">
        <f t="shared" si="8"/>
        <v>0</v>
      </c>
      <c r="AB19" s="217">
        <v>0</v>
      </c>
      <c r="AC19" s="216">
        <f t="shared" si="9"/>
        <v>0</v>
      </c>
      <c r="AD19" s="217">
        <v>0</v>
      </c>
      <c r="AE19" s="216">
        <f t="shared" si="10"/>
        <v>0</v>
      </c>
      <c r="AF19" s="217">
        <v>0</v>
      </c>
      <c r="AG19" s="43"/>
    </row>
    <row r="20" spans="1:33">
      <c r="A20" s="205" t="s">
        <v>446</v>
      </c>
      <c r="B20" s="205" t="s">
        <v>447</v>
      </c>
      <c r="C20" s="217">
        <v>300000</v>
      </c>
      <c r="D20" s="212">
        <v>0</v>
      </c>
      <c r="E20" s="213">
        <v>45446</v>
      </c>
      <c r="F20" s="215"/>
      <c r="G20" s="217">
        <v>300000</v>
      </c>
      <c r="H20" s="217">
        <v>0</v>
      </c>
      <c r="I20" s="216">
        <f t="shared" si="0"/>
        <v>300000</v>
      </c>
      <c r="J20" s="217">
        <v>0</v>
      </c>
      <c r="K20" s="216">
        <f t="shared" si="1"/>
        <v>300000</v>
      </c>
      <c r="L20" s="210"/>
      <c r="M20" s="216">
        <f t="shared" si="11"/>
        <v>300000</v>
      </c>
      <c r="N20" s="217">
        <v>0</v>
      </c>
      <c r="O20" s="216">
        <f t="shared" si="2"/>
        <v>300000</v>
      </c>
      <c r="P20" s="210">
        <f>-O20</f>
        <v>-300000</v>
      </c>
      <c r="Q20" s="216">
        <f t="shared" si="12"/>
        <v>0</v>
      </c>
      <c r="R20" s="210"/>
      <c r="S20" s="216">
        <f t="shared" si="4"/>
        <v>0</v>
      </c>
      <c r="T20" s="217">
        <v>0</v>
      </c>
      <c r="U20" s="216">
        <f t="shared" si="5"/>
        <v>0</v>
      </c>
      <c r="V20" s="217">
        <v>0</v>
      </c>
      <c r="W20" s="216">
        <f t="shared" si="6"/>
        <v>0</v>
      </c>
      <c r="X20" s="210">
        <f>-W20</f>
        <v>0</v>
      </c>
      <c r="Y20" s="216">
        <f t="shared" si="7"/>
        <v>0</v>
      </c>
      <c r="Z20" s="217">
        <v>0</v>
      </c>
      <c r="AA20" s="216">
        <f t="shared" si="8"/>
        <v>0</v>
      </c>
      <c r="AB20" s="217">
        <v>0</v>
      </c>
      <c r="AC20" s="216">
        <f t="shared" si="9"/>
        <v>0</v>
      </c>
      <c r="AD20" s="217">
        <v>0</v>
      </c>
      <c r="AE20" s="216">
        <f t="shared" si="10"/>
        <v>0</v>
      </c>
      <c r="AF20" s="217">
        <v>0</v>
      </c>
      <c r="AG20" s="43"/>
    </row>
    <row r="21" spans="1:33">
      <c r="A21" s="205" t="s">
        <v>448</v>
      </c>
      <c r="B21" s="205" t="s">
        <v>449</v>
      </c>
      <c r="C21" s="217">
        <v>4000000</v>
      </c>
      <c r="D21" s="211">
        <v>0.12</v>
      </c>
      <c r="E21" s="213">
        <v>46203</v>
      </c>
      <c r="F21" s="43"/>
      <c r="G21" s="217">
        <v>0</v>
      </c>
      <c r="H21" s="217">
        <v>0</v>
      </c>
      <c r="I21" s="216">
        <f t="shared" si="0"/>
        <v>0</v>
      </c>
      <c r="J21" s="217">
        <v>0</v>
      </c>
      <c r="K21" s="216">
        <f t="shared" si="1"/>
        <v>0</v>
      </c>
      <c r="L21" s="210"/>
      <c r="M21" s="216">
        <f t="shared" si="11"/>
        <v>0</v>
      </c>
      <c r="N21" s="217">
        <v>0</v>
      </c>
      <c r="O21" s="216">
        <f t="shared" si="2"/>
        <v>0</v>
      </c>
      <c r="P21" s="210"/>
      <c r="Q21" s="216">
        <f t="shared" si="12"/>
        <v>0</v>
      </c>
      <c r="R21" s="210">
        <f>-Q21</f>
        <v>0</v>
      </c>
      <c r="S21" s="216">
        <f t="shared" si="4"/>
        <v>4000000</v>
      </c>
      <c r="T21" s="217">
        <v>0</v>
      </c>
      <c r="U21" s="216">
        <f t="shared" si="5"/>
        <v>4120000</v>
      </c>
      <c r="V21" s="217">
        <v>0</v>
      </c>
      <c r="W21" s="216">
        <f t="shared" si="6"/>
        <v>4243600</v>
      </c>
      <c r="X21" s="217">
        <v>0</v>
      </c>
      <c r="Y21" s="216">
        <f t="shared" si="7"/>
        <v>4752832</v>
      </c>
      <c r="Z21" s="210">
        <f>-Y21</f>
        <v>-4752832</v>
      </c>
      <c r="AA21" s="216">
        <f t="shared" si="8"/>
        <v>0</v>
      </c>
      <c r="AB21" s="217">
        <v>0</v>
      </c>
      <c r="AC21" s="216">
        <f t="shared" si="9"/>
        <v>0</v>
      </c>
      <c r="AD21" s="217">
        <v>0</v>
      </c>
      <c r="AE21" s="216">
        <f t="shared" si="10"/>
        <v>0</v>
      </c>
      <c r="AF21" s="210"/>
      <c r="AG21" s="43"/>
    </row>
    <row r="22" spans="1:33">
      <c r="A22" s="205" t="s">
        <v>450</v>
      </c>
      <c r="B22" s="43"/>
      <c r="C22" s="210"/>
      <c r="D22" s="219"/>
      <c r="E22" s="215"/>
      <c r="F22" s="43"/>
      <c r="G22" s="217">
        <v>0</v>
      </c>
      <c r="H22" s="217">
        <v>0</v>
      </c>
      <c r="I22" s="216">
        <f t="shared" si="0"/>
        <v>0</v>
      </c>
      <c r="J22" s="217">
        <v>0</v>
      </c>
      <c r="K22" s="216">
        <f t="shared" si="1"/>
        <v>0</v>
      </c>
      <c r="L22" s="210"/>
      <c r="M22" s="216">
        <f t="shared" si="11"/>
        <v>0</v>
      </c>
      <c r="N22" s="217">
        <v>0</v>
      </c>
      <c r="O22" s="216">
        <f t="shared" si="2"/>
        <v>0</v>
      </c>
      <c r="P22" s="210"/>
      <c r="Q22" s="216">
        <f t="shared" si="12"/>
        <v>0</v>
      </c>
      <c r="R22" s="210">
        <f>-Q22</f>
        <v>0</v>
      </c>
      <c r="S22" s="216">
        <f t="shared" si="4"/>
        <v>0</v>
      </c>
      <c r="T22" s="217">
        <v>0</v>
      </c>
      <c r="U22" s="216">
        <f t="shared" si="5"/>
        <v>0</v>
      </c>
      <c r="V22" s="217">
        <v>0</v>
      </c>
      <c r="W22" s="216">
        <f t="shared" si="6"/>
        <v>0</v>
      </c>
      <c r="X22" s="217">
        <v>0</v>
      </c>
      <c r="Y22" s="216">
        <f t="shared" si="7"/>
        <v>0</v>
      </c>
      <c r="Z22" s="217">
        <v>0</v>
      </c>
      <c r="AA22" s="216">
        <f t="shared" si="8"/>
        <v>0</v>
      </c>
      <c r="AB22" s="217">
        <v>0</v>
      </c>
      <c r="AC22" s="216">
        <f t="shared" si="9"/>
        <v>0</v>
      </c>
      <c r="AD22" s="217">
        <v>0</v>
      </c>
      <c r="AE22" s="216">
        <f t="shared" si="10"/>
        <v>0</v>
      </c>
      <c r="AF22" s="210"/>
      <c r="AG22" s="43"/>
    </row>
    <row r="23" spans="1:33">
      <c r="A23" s="205" t="s">
        <v>451</v>
      </c>
      <c r="B23" s="43"/>
      <c r="C23" s="210"/>
      <c r="D23" s="219"/>
      <c r="E23" s="215"/>
      <c r="F23" s="43"/>
      <c r="G23" s="217">
        <v>0</v>
      </c>
      <c r="H23" s="217">
        <v>0</v>
      </c>
      <c r="I23" s="216">
        <f t="shared" si="0"/>
        <v>0</v>
      </c>
      <c r="J23" s="217">
        <v>0</v>
      </c>
      <c r="K23" s="216">
        <f t="shared" si="1"/>
        <v>0</v>
      </c>
      <c r="L23" s="210"/>
      <c r="M23" s="216">
        <f t="shared" si="11"/>
        <v>0</v>
      </c>
      <c r="N23" s="217">
        <v>0</v>
      </c>
      <c r="O23" s="216">
        <f t="shared" si="2"/>
        <v>0</v>
      </c>
      <c r="P23" s="210"/>
      <c r="Q23" s="216">
        <f t="shared" si="12"/>
        <v>0</v>
      </c>
      <c r="R23" s="210">
        <f>-Q23</f>
        <v>0</v>
      </c>
      <c r="S23" s="216">
        <f t="shared" si="4"/>
        <v>0</v>
      </c>
      <c r="T23" s="217">
        <v>0</v>
      </c>
      <c r="U23" s="216">
        <f t="shared" si="5"/>
        <v>0</v>
      </c>
      <c r="V23" s="217">
        <v>0</v>
      </c>
      <c r="W23" s="216">
        <f t="shared" si="6"/>
        <v>0</v>
      </c>
      <c r="X23" s="217">
        <v>0</v>
      </c>
      <c r="Y23" s="216">
        <f t="shared" si="7"/>
        <v>0</v>
      </c>
      <c r="Z23" s="217">
        <v>0</v>
      </c>
      <c r="AA23" s="216">
        <f t="shared" si="8"/>
        <v>0</v>
      </c>
      <c r="AB23" s="217">
        <v>0</v>
      </c>
      <c r="AC23" s="216">
        <f t="shared" si="9"/>
        <v>0</v>
      </c>
      <c r="AD23" s="217">
        <v>0</v>
      </c>
      <c r="AE23" s="216">
        <f t="shared" si="10"/>
        <v>0</v>
      </c>
      <c r="AF23" s="210"/>
      <c r="AG23" s="43"/>
    </row>
    <row r="24" spans="1:33">
      <c r="A24" s="205" t="s">
        <v>452</v>
      </c>
      <c r="B24" s="43"/>
      <c r="C24" s="210"/>
      <c r="D24" s="219"/>
      <c r="E24" s="215"/>
      <c r="F24" s="43"/>
      <c r="G24" s="217">
        <v>0</v>
      </c>
      <c r="H24" s="217">
        <v>0</v>
      </c>
      <c r="I24" s="216">
        <f t="shared" si="0"/>
        <v>0</v>
      </c>
      <c r="J24" s="217">
        <v>0</v>
      </c>
      <c r="K24" s="216">
        <f t="shared" si="1"/>
        <v>0</v>
      </c>
      <c r="L24" s="210"/>
      <c r="M24" s="216">
        <f t="shared" si="11"/>
        <v>0</v>
      </c>
      <c r="N24" s="217">
        <v>0</v>
      </c>
      <c r="O24" s="216">
        <f t="shared" si="2"/>
        <v>0</v>
      </c>
      <c r="P24" s="210"/>
      <c r="Q24" s="216">
        <f t="shared" si="12"/>
        <v>0</v>
      </c>
      <c r="R24" s="210">
        <f>-Q24</f>
        <v>0</v>
      </c>
      <c r="S24" s="216">
        <f t="shared" si="4"/>
        <v>0</v>
      </c>
      <c r="T24" s="217">
        <v>0</v>
      </c>
      <c r="U24" s="216">
        <f t="shared" si="5"/>
        <v>0</v>
      </c>
      <c r="V24" s="217">
        <v>0</v>
      </c>
      <c r="W24" s="216">
        <f t="shared" si="6"/>
        <v>0</v>
      </c>
      <c r="X24" s="217">
        <v>0</v>
      </c>
      <c r="Y24" s="216">
        <f t="shared" si="7"/>
        <v>0</v>
      </c>
      <c r="Z24" s="217">
        <v>0</v>
      </c>
      <c r="AA24" s="216">
        <f t="shared" si="8"/>
        <v>0</v>
      </c>
      <c r="AB24" s="217">
        <v>0</v>
      </c>
      <c r="AC24" s="216">
        <f t="shared" si="9"/>
        <v>0</v>
      </c>
      <c r="AD24" s="217">
        <v>0</v>
      </c>
      <c r="AE24" s="216">
        <f t="shared" si="10"/>
        <v>0</v>
      </c>
      <c r="AF24" s="210"/>
      <c r="AG24" s="43"/>
    </row>
    <row r="25" spans="1:33">
      <c r="A25" s="205" t="s">
        <v>453</v>
      </c>
      <c r="B25" s="43"/>
      <c r="C25" s="210"/>
      <c r="D25" s="219"/>
      <c r="E25" s="215"/>
      <c r="F25" s="43"/>
      <c r="G25" s="217">
        <v>0</v>
      </c>
      <c r="H25" s="217">
        <v>0</v>
      </c>
      <c r="I25" s="216">
        <f t="shared" si="0"/>
        <v>0</v>
      </c>
      <c r="J25" s="217">
        <v>0</v>
      </c>
      <c r="K25" s="216">
        <f t="shared" si="1"/>
        <v>0</v>
      </c>
      <c r="L25" s="210"/>
      <c r="M25" s="216">
        <f t="shared" si="11"/>
        <v>0</v>
      </c>
      <c r="N25" s="217">
        <v>0</v>
      </c>
      <c r="O25" s="216">
        <f t="shared" si="2"/>
        <v>0</v>
      </c>
      <c r="P25" s="210"/>
      <c r="Q25" s="216">
        <f t="shared" si="12"/>
        <v>0</v>
      </c>
      <c r="R25" s="210">
        <f>-Q25</f>
        <v>0</v>
      </c>
      <c r="S25" s="216">
        <f t="shared" si="4"/>
        <v>0</v>
      </c>
      <c r="T25" s="217">
        <v>0</v>
      </c>
      <c r="U25" s="216">
        <f t="shared" si="5"/>
        <v>0</v>
      </c>
      <c r="V25" s="217">
        <v>0</v>
      </c>
      <c r="W25" s="216">
        <f t="shared" si="6"/>
        <v>0</v>
      </c>
      <c r="X25" s="217">
        <v>0</v>
      </c>
      <c r="Y25" s="216">
        <f t="shared" si="7"/>
        <v>0</v>
      </c>
      <c r="Z25" s="217">
        <v>0</v>
      </c>
      <c r="AA25" s="216">
        <f t="shared" si="8"/>
        <v>0</v>
      </c>
      <c r="AB25" s="217">
        <v>0</v>
      </c>
      <c r="AC25" s="216">
        <f t="shared" si="9"/>
        <v>0</v>
      </c>
      <c r="AD25" s="217">
        <v>0</v>
      </c>
      <c r="AE25" s="216">
        <f t="shared" si="10"/>
        <v>0</v>
      </c>
      <c r="AF25" s="210"/>
      <c r="AG25" s="43"/>
    </row>
    <row r="26" spans="1:33">
      <c r="A26" s="205" t="s">
        <v>454</v>
      </c>
      <c r="B26" s="205" t="s">
        <v>455</v>
      </c>
      <c r="C26" s="217">
        <v>4000000</v>
      </c>
      <c r="D26" s="211">
        <v>0.2</v>
      </c>
      <c r="E26" s="213">
        <v>45575</v>
      </c>
      <c r="F26" s="43"/>
      <c r="G26" s="217">
        <v>4167241.3599168351</v>
      </c>
      <c r="H26" s="217">
        <v>0</v>
      </c>
      <c r="I26" s="216">
        <f t="shared" si="0"/>
        <v>4375603.4279126767</v>
      </c>
      <c r="J26" s="217">
        <v>0</v>
      </c>
      <c r="K26" s="216">
        <f t="shared" si="1"/>
        <v>4594383.599308311</v>
      </c>
      <c r="L26" s="210"/>
      <c r="M26" s="216">
        <f t="shared" si="11"/>
        <v>4824102.779273727</v>
      </c>
      <c r="N26" s="217">
        <v>0</v>
      </c>
      <c r="O26" s="216">
        <f t="shared" si="2"/>
        <v>5065307.9182374133</v>
      </c>
      <c r="P26" s="210"/>
      <c r="Q26" s="216">
        <f t="shared" si="12"/>
        <v>5318573.3141492838</v>
      </c>
      <c r="R26" s="210"/>
      <c r="S26" s="216">
        <f t="shared" si="4"/>
        <v>5584501.9798567481</v>
      </c>
      <c r="T26" s="217">
        <v>0</v>
      </c>
      <c r="U26" s="216">
        <f t="shared" si="5"/>
        <v>5863727.0788495857</v>
      </c>
      <c r="V26" s="217">
        <v>0</v>
      </c>
      <c r="W26" s="216">
        <f t="shared" si="6"/>
        <v>6156913.4327920657</v>
      </c>
      <c r="X26" s="217">
        <v>-3000000</v>
      </c>
      <c r="Y26" s="216">
        <f t="shared" si="7"/>
        <v>3788296.1193504785</v>
      </c>
      <c r="Z26" s="210">
        <f>-Y26</f>
        <v>-3788296.1193504785</v>
      </c>
      <c r="AA26" s="216">
        <f t="shared" si="8"/>
        <v>0</v>
      </c>
      <c r="AB26" s="217">
        <v>0</v>
      </c>
      <c r="AC26" s="216">
        <f t="shared" si="9"/>
        <v>0</v>
      </c>
      <c r="AD26" s="217">
        <v>0</v>
      </c>
      <c r="AE26" s="216">
        <f t="shared" si="10"/>
        <v>0</v>
      </c>
      <c r="AF26" s="210"/>
      <c r="AG26" s="43"/>
    </row>
    <row r="27" spans="1:33">
      <c r="A27" s="205" t="s">
        <v>456</v>
      </c>
      <c r="B27" s="43"/>
      <c r="C27" s="210"/>
      <c r="D27" s="219"/>
      <c r="E27" s="215"/>
      <c r="F27" s="43"/>
      <c r="G27" s="217">
        <v>0</v>
      </c>
      <c r="H27" s="217">
        <v>0</v>
      </c>
      <c r="I27" s="216">
        <f t="shared" si="0"/>
        <v>0</v>
      </c>
      <c r="J27" s="217">
        <v>0</v>
      </c>
      <c r="K27" s="216">
        <f t="shared" si="1"/>
        <v>0</v>
      </c>
      <c r="L27" s="210"/>
      <c r="M27" s="216">
        <f t="shared" si="11"/>
        <v>0</v>
      </c>
      <c r="N27" s="217">
        <v>0</v>
      </c>
      <c r="O27" s="216">
        <f t="shared" si="2"/>
        <v>0</v>
      </c>
      <c r="P27" s="210"/>
      <c r="Q27" s="216">
        <f t="shared" si="12"/>
        <v>0</v>
      </c>
      <c r="R27" s="210"/>
      <c r="S27" s="216">
        <f t="shared" si="4"/>
        <v>0</v>
      </c>
      <c r="T27" s="217">
        <v>0</v>
      </c>
      <c r="U27" s="216">
        <f t="shared" si="5"/>
        <v>0</v>
      </c>
      <c r="V27" s="217">
        <v>0</v>
      </c>
      <c r="W27" s="216">
        <f t="shared" si="6"/>
        <v>0</v>
      </c>
      <c r="X27" s="210"/>
      <c r="Y27" s="216">
        <f t="shared" si="7"/>
        <v>0</v>
      </c>
      <c r="Z27" s="217">
        <v>0</v>
      </c>
      <c r="AA27" s="216">
        <f t="shared" si="8"/>
        <v>0</v>
      </c>
      <c r="AB27" s="217">
        <v>0</v>
      </c>
      <c r="AC27" s="216">
        <f t="shared" si="9"/>
        <v>0</v>
      </c>
      <c r="AD27" s="217">
        <v>0</v>
      </c>
      <c r="AE27" s="216">
        <f t="shared" si="10"/>
        <v>0</v>
      </c>
      <c r="AF27" s="210">
        <f>-AE27</f>
        <v>0</v>
      </c>
      <c r="AG27" s="43"/>
    </row>
    <row r="28" spans="1:33">
      <c r="A28" s="205" t="s">
        <v>457</v>
      </c>
      <c r="B28" s="43"/>
      <c r="C28" s="210"/>
      <c r="D28" s="219"/>
      <c r="E28" s="215"/>
      <c r="F28" s="43"/>
      <c r="G28" s="217">
        <v>0</v>
      </c>
      <c r="H28" s="217">
        <v>0</v>
      </c>
      <c r="I28" s="216">
        <f t="shared" si="0"/>
        <v>0</v>
      </c>
      <c r="J28" s="217">
        <v>0</v>
      </c>
      <c r="K28" s="216">
        <f t="shared" si="1"/>
        <v>0</v>
      </c>
      <c r="L28" s="210"/>
      <c r="M28" s="216">
        <f t="shared" si="11"/>
        <v>0</v>
      </c>
      <c r="N28" s="217">
        <v>0</v>
      </c>
      <c r="O28" s="216">
        <f t="shared" si="2"/>
        <v>0</v>
      </c>
      <c r="P28" s="210"/>
      <c r="Q28" s="216">
        <f t="shared" si="12"/>
        <v>0</v>
      </c>
      <c r="R28" s="210"/>
      <c r="S28" s="216">
        <f t="shared" si="4"/>
        <v>0</v>
      </c>
      <c r="T28" s="217">
        <v>0</v>
      </c>
      <c r="U28" s="216">
        <f t="shared" si="5"/>
        <v>0</v>
      </c>
      <c r="V28" s="217">
        <v>0</v>
      </c>
      <c r="W28" s="216">
        <f t="shared" si="6"/>
        <v>0</v>
      </c>
      <c r="X28" s="210"/>
      <c r="Y28" s="216">
        <f t="shared" si="7"/>
        <v>0</v>
      </c>
      <c r="Z28" s="217">
        <v>0</v>
      </c>
      <c r="AA28" s="216">
        <f t="shared" si="8"/>
        <v>0</v>
      </c>
      <c r="AB28" s="217">
        <v>0</v>
      </c>
      <c r="AC28" s="216">
        <f t="shared" si="9"/>
        <v>0</v>
      </c>
      <c r="AD28" s="217">
        <v>0</v>
      </c>
      <c r="AE28" s="216">
        <f t="shared" si="10"/>
        <v>0</v>
      </c>
      <c r="AF28" s="210">
        <f>-AE28</f>
        <v>0</v>
      </c>
      <c r="AG28" s="43"/>
    </row>
    <row r="29" spans="1:33">
      <c r="A29" s="205" t="s">
        <v>458</v>
      </c>
      <c r="B29" s="232"/>
      <c r="C29" s="210"/>
      <c r="D29" s="219"/>
      <c r="E29" s="215"/>
      <c r="F29" s="232"/>
      <c r="G29" s="217">
        <v>0</v>
      </c>
      <c r="H29" s="217">
        <v>0</v>
      </c>
      <c r="I29" s="216">
        <f t="shared" si="0"/>
        <v>0</v>
      </c>
      <c r="J29" s="217">
        <v>0</v>
      </c>
      <c r="K29" s="216">
        <f t="shared" si="1"/>
        <v>0</v>
      </c>
      <c r="L29" s="210"/>
      <c r="M29" s="216">
        <f t="shared" si="11"/>
        <v>0</v>
      </c>
      <c r="N29" s="217">
        <v>0</v>
      </c>
      <c r="O29" s="216">
        <f t="shared" si="2"/>
        <v>0</v>
      </c>
      <c r="P29" s="210"/>
      <c r="Q29" s="216">
        <f t="shared" si="12"/>
        <v>0</v>
      </c>
      <c r="R29" s="210">
        <f>-Q29</f>
        <v>0</v>
      </c>
      <c r="S29" s="216">
        <f t="shared" si="4"/>
        <v>0</v>
      </c>
      <c r="T29" s="217">
        <v>0</v>
      </c>
      <c r="U29" s="216">
        <f t="shared" si="5"/>
        <v>0</v>
      </c>
      <c r="V29" s="217">
        <v>0</v>
      </c>
      <c r="W29" s="216">
        <f t="shared" si="6"/>
        <v>0</v>
      </c>
      <c r="X29" s="217">
        <v>0</v>
      </c>
      <c r="Y29" s="216">
        <f t="shared" si="7"/>
        <v>0</v>
      </c>
      <c r="Z29" s="217">
        <v>0</v>
      </c>
      <c r="AA29" s="216">
        <f t="shared" si="8"/>
        <v>0</v>
      </c>
      <c r="AB29" s="217">
        <v>0</v>
      </c>
      <c r="AC29" s="216">
        <f t="shared" si="9"/>
        <v>0</v>
      </c>
      <c r="AD29" s="217">
        <v>0</v>
      </c>
      <c r="AE29" s="216">
        <f t="shared" si="10"/>
        <v>0</v>
      </c>
      <c r="AF29" s="210">
        <f>-AE29</f>
        <v>0</v>
      </c>
      <c r="AG29" s="43"/>
    </row>
    <row r="30" spans="1:33">
      <c r="A30" s="43"/>
      <c r="B30" s="43"/>
      <c r="C30" s="43"/>
      <c r="D30" s="43"/>
      <c r="E30" s="43"/>
      <c r="F30" s="43"/>
      <c r="G30" s="43"/>
      <c r="H30" s="43"/>
      <c r="I30" s="233"/>
      <c r="J30" s="43"/>
      <c r="K30" s="43"/>
      <c r="L30" s="43"/>
      <c r="M30" s="43"/>
      <c r="N30" s="43"/>
      <c r="O30" s="43"/>
      <c r="P30" s="43"/>
      <c r="Q30" s="43"/>
      <c r="R30" s="43"/>
      <c r="S30" s="43"/>
      <c r="T30" s="43"/>
      <c r="U30" s="43"/>
      <c r="V30" s="43"/>
      <c r="W30" s="43"/>
      <c r="X30" s="43"/>
      <c r="Y30" s="43"/>
      <c r="Z30" s="43"/>
      <c r="AA30" s="43"/>
      <c r="AB30" s="43"/>
      <c r="AC30" s="43"/>
      <c r="AD30" s="43"/>
      <c r="AE30" s="43"/>
      <c r="AF30" s="43"/>
      <c r="AG30" s="43"/>
    </row>
    <row r="31" spans="1:33" ht="16" customHeight="1" thickBot="1">
      <c r="A31" s="205" t="s">
        <v>382</v>
      </c>
      <c r="B31" s="43"/>
      <c r="C31" s="43"/>
      <c r="D31" s="43"/>
      <c r="E31" s="43"/>
      <c r="F31" s="43"/>
      <c r="G31" s="43"/>
      <c r="H31" s="43"/>
      <c r="I31" s="233"/>
      <c r="J31" s="43"/>
      <c r="K31" s="233"/>
      <c r="L31" s="43"/>
      <c r="M31" s="233"/>
      <c r="N31" s="43"/>
      <c r="O31" s="233"/>
      <c r="P31" s="43"/>
      <c r="Q31" s="43"/>
      <c r="R31" s="43"/>
      <c r="S31" s="43"/>
      <c r="T31" s="43"/>
      <c r="U31" s="43"/>
      <c r="V31" s="43"/>
      <c r="W31" s="43"/>
      <c r="X31" s="43"/>
      <c r="Y31" s="43"/>
      <c r="Z31" s="43"/>
      <c r="AA31" s="43"/>
      <c r="AB31" s="43"/>
      <c r="AC31" s="43"/>
      <c r="AD31" s="43"/>
      <c r="AE31" s="43"/>
      <c r="AF31" s="43"/>
      <c r="AG31" s="43"/>
    </row>
    <row r="32" spans="1:33">
      <c r="A32" s="205" t="s">
        <v>384</v>
      </c>
      <c r="B32" s="43"/>
      <c r="C32" s="43"/>
      <c r="D32" s="43"/>
      <c r="E32" s="43"/>
      <c r="F32" s="43"/>
      <c r="G32" s="258">
        <v>-4167241.3599168351</v>
      </c>
      <c r="H32" s="43"/>
      <c r="I32" s="214"/>
      <c r="J32" s="232"/>
      <c r="K32" s="214"/>
      <c r="L32" s="232"/>
      <c r="M32" s="214"/>
      <c r="N32" s="232"/>
      <c r="O32" s="214"/>
      <c r="P32" s="232"/>
      <c r="Q32" s="43"/>
      <c r="R32" s="43"/>
      <c r="S32" s="43"/>
      <c r="T32" s="43"/>
      <c r="U32" s="43"/>
      <c r="V32" s="43"/>
      <c r="W32" s="43"/>
      <c r="X32" s="43"/>
      <c r="Y32" s="43"/>
      <c r="Z32" s="43"/>
      <c r="AA32" s="43"/>
      <c r="AB32" s="43"/>
      <c r="AC32" s="43"/>
      <c r="AD32" s="43"/>
      <c r="AE32" s="43"/>
      <c r="AF32" s="43"/>
      <c r="AG32" s="43"/>
    </row>
    <row r="33" spans="1:33">
      <c r="A33" s="235" t="s">
        <v>135</v>
      </c>
      <c r="B33" s="43"/>
      <c r="C33" s="236">
        <f>SUM(C4:C29)</f>
        <v>36400000</v>
      </c>
      <c r="D33" s="43"/>
      <c r="E33" s="43"/>
      <c r="F33" s="43"/>
      <c r="G33" s="259">
        <v>25387076.966665421</v>
      </c>
      <c r="H33" s="210"/>
      <c r="I33" s="260">
        <f>SUM(I4:J29)+I32</f>
        <v>29007182.318074383</v>
      </c>
      <c r="J33" s="210"/>
      <c r="K33" s="260">
        <f>SUM(K4:L29)+K32</f>
        <v>30149897.034891989</v>
      </c>
      <c r="L33" s="210"/>
      <c r="M33" s="260">
        <f>SUM(M4:N29)+M32</f>
        <v>9136912.2028022707</v>
      </c>
      <c r="N33" s="210"/>
      <c r="O33" s="260">
        <f>SUM(O4:P29)+O32</f>
        <v>8575632.538205862</v>
      </c>
      <c r="P33" s="210"/>
      <c r="Q33" s="261">
        <f>SUM(Q4:R29)+Q32</f>
        <v>7900128.8430335149</v>
      </c>
      <c r="R33" s="210"/>
      <c r="S33" s="260">
        <f>SUM(S4:T29)+S32</f>
        <v>12239223.025316527</v>
      </c>
      <c r="T33" s="210"/>
      <c r="U33" s="260">
        <f>SUM(U4:V29)+U32</f>
        <v>12195991.877848445</v>
      </c>
      <c r="V33" s="210"/>
      <c r="W33" s="260">
        <f>SUM(W4:X29)+W32</f>
        <v>7400513.4327920657</v>
      </c>
      <c r="X33" s="210"/>
      <c r="Y33" s="260">
        <f>SUM(Y4:Z29)+Y32</f>
        <v>0</v>
      </c>
      <c r="Z33" s="210"/>
      <c r="AA33" s="260">
        <f>SUM(AA4:AB29)+AA32</f>
        <v>0</v>
      </c>
      <c r="AB33" s="210"/>
      <c r="AC33" s="260">
        <f>SUM(AC4:AD29)+AC32</f>
        <v>0</v>
      </c>
      <c r="AD33" s="210"/>
      <c r="AE33" s="260">
        <f>SUM(AE4:AF29)+AE32</f>
        <v>0</v>
      </c>
      <c r="AF33" s="210"/>
      <c r="AG33" s="43"/>
    </row>
    <row r="34" spans="1:33">
      <c r="A34" s="43"/>
      <c r="B34" s="43"/>
      <c r="C34" s="43"/>
      <c r="D34" s="43"/>
      <c r="E34" s="43"/>
      <c r="F34" s="43"/>
      <c r="G34" s="80">
        <v>10</v>
      </c>
      <c r="H34" s="43"/>
      <c r="I34" s="232">
        <f>COUNTIF(I4:I29,"&gt;0")</f>
        <v>11</v>
      </c>
      <c r="J34" s="43"/>
      <c r="K34" s="232">
        <f>COUNTIF(K4:K29,"&gt;0")</f>
        <v>9</v>
      </c>
      <c r="L34" s="43"/>
      <c r="M34" s="232">
        <f>COUNTIF(M4:M29,"&gt;0")</f>
        <v>6</v>
      </c>
      <c r="N34" s="43"/>
      <c r="O34" s="232">
        <f>COUNTIF(O4:O29,"&gt;0")</f>
        <v>8</v>
      </c>
      <c r="P34" s="232"/>
      <c r="Q34" s="262">
        <f>COUNTIF(Q4:Q29,"&gt;0")</f>
        <v>4</v>
      </c>
      <c r="R34" s="43"/>
      <c r="S34" s="232">
        <f>COUNTIF(S4:S29,"&gt;0")</f>
        <v>5</v>
      </c>
      <c r="T34" s="43"/>
      <c r="U34" s="232">
        <f>COUNTIF(U4:U29,"&gt;0")</f>
        <v>5</v>
      </c>
      <c r="V34" s="43"/>
      <c r="W34" s="232">
        <f>COUNTIF(W4:W29,"&gt;0")</f>
        <v>3</v>
      </c>
      <c r="X34" s="43"/>
      <c r="Y34" s="232">
        <f>COUNTIF(Y4:Y29,"&gt;0")</f>
        <v>2</v>
      </c>
      <c r="Z34" s="43"/>
      <c r="AA34" s="232">
        <f>COUNTIF(AA4:AA29,"&gt;0")</f>
        <v>0</v>
      </c>
      <c r="AB34" s="43"/>
      <c r="AC34" s="232">
        <f>COUNTIF(AC4:AC29,"&gt;0")</f>
        <v>0</v>
      </c>
      <c r="AD34" s="43"/>
      <c r="AE34" s="232">
        <f>COUNTIF(AE4:AE29,"&gt;0")</f>
        <v>0</v>
      </c>
      <c r="AF34" s="43"/>
      <c r="AG34" s="43"/>
    </row>
    <row r="35" spans="1:33">
      <c r="A35" s="43"/>
      <c r="B35" s="43"/>
      <c r="C35" s="43"/>
      <c r="D35" s="43"/>
      <c r="E35" s="43"/>
      <c r="F35" s="43"/>
      <c r="G35" s="43"/>
      <c r="H35" s="43"/>
      <c r="I35" s="204"/>
      <c r="J35" s="43"/>
      <c r="K35" s="43"/>
      <c r="L35" s="43"/>
      <c r="M35" s="43"/>
      <c r="N35" s="43"/>
      <c r="O35" s="43"/>
      <c r="P35" s="232"/>
      <c r="Q35" s="43"/>
      <c r="R35" s="43"/>
      <c r="S35" s="43"/>
      <c r="T35" s="43"/>
      <c r="U35" s="43"/>
      <c r="V35" s="43"/>
      <c r="W35" s="43"/>
      <c r="X35" s="43"/>
      <c r="Y35" s="43"/>
      <c r="Z35" s="43"/>
      <c r="AA35" s="43"/>
      <c r="AB35" s="43"/>
      <c r="AC35" s="43"/>
      <c r="AD35" s="43"/>
      <c r="AE35" s="43"/>
      <c r="AF35" s="43"/>
      <c r="AG35" s="43"/>
    </row>
    <row r="36" spans="1:33">
      <c r="A36" s="205" t="s">
        <v>388</v>
      </c>
      <c r="B36" s="43"/>
      <c r="C36" s="43"/>
      <c r="D36" s="43"/>
      <c r="E36" s="43"/>
      <c r="F36" s="43"/>
      <c r="G36" s="43"/>
      <c r="H36" s="43"/>
      <c r="I36" s="241"/>
      <c r="J36" s="43"/>
      <c r="K36" s="43"/>
      <c r="L36" s="43"/>
      <c r="M36" s="43"/>
      <c r="N36" s="43"/>
      <c r="O36" s="43"/>
      <c r="P36" s="232"/>
      <c r="Q36" s="43"/>
      <c r="R36" s="43"/>
      <c r="S36" s="43"/>
      <c r="T36" s="43"/>
      <c r="U36" s="43"/>
      <c r="V36" s="43"/>
      <c r="W36" s="43"/>
      <c r="X36" s="43"/>
      <c r="Y36" s="43"/>
      <c r="Z36" s="43"/>
      <c r="AA36" s="43"/>
      <c r="AB36" s="43"/>
      <c r="AC36" s="43"/>
      <c r="AD36" s="43"/>
      <c r="AE36" s="43"/>
      <c r="AF36" s="43"/>
      <c r="AG36" s="43"/>
    </row>
    <row r="37" spans="1:33">
      <c r="A37" s="205" t="s">
        <v>389</v>
      </c>
      <c r="B37" s="43"/>
      <c r="C37" s="43"/>
      <c r="D37" s="43"/>
      <c r="E37" s="43"/>
      <c r="F37" s="43"/>
      <c r="G37" s="43"/>
      <c r="H37" s="43"/>
      <c r="I37" s="232"/>
      <c r="J37" s="43"/>
      <c r="K37" s="43"/>
      <c r="L37" s="43"/>
      <c r="M37" s="43"/>
      <c r="N37" s="43"/>
      <c r="O37" s="43"/>
      <c r="P37" s="232"/>
      <c r="Q37" s="43"/>
      <c r="R37" s="43"/>
      <c r="S37" s="43"/>
      <c r="T37" s="43"/>
      <c r="U37" s="43"/>
      <c r="V37" s="43"/>
      <c r="W37" s="43"/>
      <c r="X37" s="43"/>
      <c r="Y37" s="43"/>
      <c r="Z37" s="43"/>
      <c r="AA37" s="43"/>
      <c r="AB37" s="43"/>
      <c r="AC37" s="43"/>
      <c r="AD37" s="43"/>
      <c r="AE37" s="43"/>
      <c r="AF37" s="43"/>
      <c r="AG37" s="43"/>
    </row>
    <row r="38" spans="1:33">
      <c r="A38" s="205" t="s">
        <v>384</v>
      </c>
      <c r="B38" s="43"/>
      <c r="C38" s="43"/>
      <c r="D38" s="43"/>
      <c r="E38" s="43"/>
      <c r="F38" s="43"/>
      <c r="G38" s="221">
        <v>-4000000</v>
      </c>
      <c r="H38" s="43"/>
      <c r="I38" s="232"/>
      <c r="J38" s="43"/>
      <c r="K38" s="43"/>
      <c r="L38" s="43"/>
      <c r="M38" s="43"/>
      <c r="N38" s="43"/>
      <c r="O38" s="43"/>
      <c r="P38" s="232"/>
      <c r="Q38" s="214"/>
      <c r="R38" s="43"/>
      <c r="S38" s="214"/>
      <c r="T38" s="43"/>
      <c r="U38" s="214"/>
      <c r="V38" s="214"/>
      <c r="W38" s="214"/>
      <c r="X38" s="43"/>
      <c r="Y38" s="214"/>
      <c r="Z38" s="43"/>
      <c r="AA38" s="43"/>
      <c r="AB38" s="43"/>
      <c r="AC38" s="43"/>
      <c r="AD38" s="43"/>
      <c r="AE38" s="43"/>
      <c r="AF38" s="43"/>
      <c r="AG38" s="43"/>
    </row>
    <row r="39" spans="1:33">
      <c r="A39" s="205" t="s">
        <v>391</v>
      </c>
      <c r="B39" s="232"/>
      <c r="C39" s="232"/>
      <c r="D39" s="232"/>
      <c r="E39" s="232"/>
      <c r="F39" s="232"/>
      <c r="G39" s="263">
        <v>23600000</v>
      </c>
      <c r="H39" s="234"/>
      <c r="I39" s="242">
        <f t="array" ref="I39">SUMPRODUCT((YEAR(I2)=YEAR($E$4:$E29))*(ROUNDUP(MONTH($E$4:$E29)/3,0)=I3)*$C$4:$C29)+I38</f>
        <v>500000</v>
      </c>
      <c r="J39" s="234"/>
      <c r="K39" s="242">
        <f t="array" ref="K39">SUMPRODUCT((YEAR(K2)=YEAR($E$4:$E29))*(ROUNDUP(MONTH($E$4:$E29)/3,0)=K3)*$C$4:$C29)+K38</f>
        <v>100000</v>
      </c>
      <c r="L39" s="234"/>
      <c r="M39" s="242">
        <f t="array" ref="M39">SUMPRODUCT((YEAR(M2)=YEAR($E$4:$E29))*(ROUNDUP(MONTH($E$4:$E29)/3,0)=M3)*$C$4:$C29)+M38</f>
        <v>0</v>
      </c>
      <c r="N39" s="234"/>
      <c r="O39" s="242">
        <f t="array" ref="O39">SUMPRODUCT((YEAR(O2)=YEAR($E$4:$E29))*(ROUNDUP(MONTH($E$4:$E29)/3,0)=O3)*$C$4:$C29)+O38</f>
        <v>2250000</v>
      </c>
      <c r="P39" s="234"/>
      <c r="Q39" s="242">
        <f t="array" ref="Q39">SUMPRODUCT((YEAR(Q2)=YEAR($E$4:$E29))*(ROUNDUP(MONTH($E$4:$E29)/3,0)=Q3)*$C$4:$C29)+Q38</f>
        <v>250000</v>
      </c>
      <c r="R39" s="234"/>
      <c r="S39" s="242">
        <f t="array" ref="S39">SUMPRODUCT((YEAR(S2)=YEAR($E$4:$E29))*(ROUNDUP(MONTH($E$4:$E29)/3,0)=S3)*$C$4:$C29)+S38</f>
        <v>4000000</v>
      </c>
      <c r="T39" s="234"/>
      <c r="U39" s="242">
        <f t="array" ref="U39">SUMPRODUCT((YEAR(U2)=YEAR($E$4:$E29))*(ROUNDUP(MONTH($E$4:$E29)/3,0)=U3)*$C$4:$C29)+U38</f>
        <v>0</v>
      </c>
      <c r="V39" s="234"/>
      <c r="W39" s="242">
        <f t="array" ref="W39">SUMPRODUCT((YEAR(W2)=YEAR($E$4:$E29))*(ROUNDUP(MONTH($E$4:$E29)/3,0)=W3)*$C$4:$C29)+W38</f>
        <v>0</v>
      </c>
      <c r="X39" s="234"/>
      <c r="Y39" s="242">
        <f t="array" ref="Y39">SUMPRODUCT((YEAR(Y2)=YEAR($E$4:$E29))*(ROUNDUP(MONTH($E$4:$E29)/3,0)=Y3)*$C$4:$C29)+Y38</f>
        <v>0</v>
      </c>
      <c r="Z39" s="264"/>
      <c r="AA39" s="242">
        <f t="array" ref="AA39">SUMPRODUCT((YEAR(AA2)=YEAR($E$4:$E29))*(ROUNDUP(MONTH($E$4:$E29)/3,0)=AA3)*$C$4:$C29)+AA38</f>
        <v>0</v>
      </c>
      <c r="AB39" s="264"/>
      <c r="AC39" s="210">
        <f t="array" ref="AC39">SUMPRODUCT((YEAR(AC2)=YEAR($E$4:$E29))*(ROUNDUP(MONTH($E$4:$E29)/3,0)=AC3)*$C$4:$C29)+AC38</f>
        <v>0</v>
      </c>
      <c r="AD39" s="234"/>
      <c r="AE39" s="210">
        <f t="array" ref="AE39">SUMPRODUCT((YEAR(AE2)=YEAR($E$4:$E29))*(ROUNDUP(MONTH($E$4:$E29)/3,0)=AE3)*$C$4:$C29)+AE38</f>
        <v>0</v>
      </c>
      <c r="AF39" s="234"/>
      <c r="AG39" s="43"/>
    </row>
    <row r="40" spans="1:33">
      <c r="A40" s="43"/>
      <c r="B40" s="43"/>
      <c r="C40" s="43"/>
      <c r="D40" s="43"/>
      <c r="E40" s="43"/>
      <c r="F40" s="43"/>
      <c r="G40" s="43"/>
      <c r="H40" s="43"/>
      <c r="I40" s="232"/>
      <c r="J40" s="43"/>
      <c r="K40" s="43"/>
      <c r="L40" s="43"/>
      <c r="M40" s="43"/>
      <c r="N40" s="43"/>
      <c r="O40" s="43"/>
      <c r="P40" s="232"/>
      <c r="Q40" s="43"/>
      <c r="R40" s="43"/>
      <c r="S40" s="43"/>
      <c r="T40" s="43"/>
      <c r="U40" s="43"/>
      <c r="V40" s="43"/>
      <c r="W40" s="43"/>
      <c r="X40" s="43"/>
      <c r="Y40" s="43"/>
      <c r="Z40" s="43"/>
      <c r="AA40" s="43"/>
      <c r="AB40" s="43"/>
      <c r="AC40" s="43"/>
      <c r="AD40" s="43"/>
      <c r="AE40" s="43"/>
      <c r="AF40" s="43"/>
      <c r="AG40" s="43"/>
    </row>
    <row r="41" spans="1:33">
      <c r="A41" s="205" t="s">
        <v>459</v>
      </c>
      <c r="B41" s="43"/>
      <c r="C41" s="43"/>
      <c r="D41" s="43"/>
      <c r="E41" s="43"/>
      <c r="F41" s="43"/>
      <c r="G41" s="43"/>
      <c r="H41" s="43"/>
      <c r="I41" s="232"/>
      <c r="J41" s="43"/>
      <c r="K41" s="43"/>
      <c r="L41" s="43"/>
      <c r="M41" s="43"/>
      <c r="N41" s="43"/>
      <c r="O41" s="43"/>
      <c r="P41" s="232"/>
      <c r="Q41" s="43"/>
      <c r="R41" s="43"/>
      <c r="S41" s="43"/>
      <c r="T41" s="43"/>
      <c r="U41" s="43"/>
      <c r="V41" s="43"/>
      <c r="W41" s="43"/>
      <c r="X41" s="43"/>
      <c r="Y41" s="43"/>
      <c r="Z41" s="43"/>
      <c r="AA41" s="43"/>
      <c r="AB41" s="43"/>
      <c r="AC41" s="43"/>
      <c r="AD41" s="43"/>
      <c r="AE41" s="43"/>
      <c r="AF41" s="43"/>
      <c r="AG41" s="43"/>
    </row>
    <row r="42" spans="1:33">
      <c r="A42" s="205" t="s">
        <v>384</v>
      </c>
      <c r="B42" s="43"/>
      <c r="C42" s="43"/>
      <c r="D42" s="43"/>
      <c r="E42" s="43"/>
      <c r="F42" s="43"/>
      <c r="G42" s="43"/>
      <c r="H42" s="43"/>
      <c r="I42" s="232"/>
      <c r="J42" s="43"/>
      <c r="K42" s="43"/>
      <c r="L42" s="43"/>
      <c r="M42" s="43"/>
      <c r="N42" s="43"/>
      <c r="O42" s="43"/>
      <c r="P42" s="232"/>
      <c r="Q42" s="43"/>
      <c r="R42" s="43"/>
      <c r="S42" s="43"/>
      <c r="T42" s="43"/>
      <c r="U42" s="43"/>
      <c r="V42" s="43"/>
      <c r="W42" s="43"/>
      <c r="X42" s="43"/>
      <c r="Y42" s="43"/>
      <c r="Z42" s="43"/>
      <c r="AA42" s="43"/>
      <c r="AB42" s="43"/>
      <c r="AC42" s="43"/>
      <c r="AD42" s="43"/>
      <c r="AE42" s="43"/>
      <c r="AF42" s="43"/>
      <c r="AG42" s="43"/>
    </row>
    <row r="43" spans="1:33" ht="16" customHeight="1" thickBot="1">
      <c r="A43" s="205" t="s">
        <v>460</v>
      </c>
      <c r="B43" s="232"/>
      <c r="C43" s="232"/>
      <c r="D43" s="232"/>
      <c r="E43" s="232"/>
      <c r="F43" s="232"/>
      <c r="G43" s="210"/>
      <c r="H43" s="263">
        <v>0</v>
      </c>
      <c r="I43" s="210"/>
      <c r="J43" s="242">
        <f>SUMIF(J4:J29,"&lt;0")+J42</f>
        <v>-2098064.6920041367</v>
      </c>
      <c r="K43" s="210"/>
      <c r="L43" s="242">
        <f>SUMIF(L4:L29,"&lt;0")+L42</f>
        <v>0</v>
      </c>
      <c r="M43" s="210"/>
      <c r="N43" s="242">
        <f>SUMIF(N4:N29,"&lt;0")+N42</f>
        <v>0</v>
      </c>
      <c r="O43" s="210"/>
      <c r="P43" s="242">
        <f>SUMIF(P4:P29,"&lt;0")+P42</f>
        <v>-3200000</v>
      </c>
      <c r="Q43" s="210"/>
      <c r="R43" s="242">
        <f>SUMIF(R4:R29,"&lt;0")+R42</f>
        <v>0</v>
      </c>
      <c r="S43" s="210"/>
      <c r="T43" s="242">
        <f>SUMIF(T4:T29,"&lt;0")+T42</f>
        <v>0</v>
      </c>
      <c r="U43" s="210"/>
      <c r="V43" s="242">
        <f>SUMIF(V4:V29,"&lt;0")+V42</f>
        <v>-517878.33639449568</v>
      </c>
      <c r="W43" s="210"/>
      <c r="X43" s="242">
        <f>SUMIF(X4:X29,"&lt;0")+X42</f>
        <v>-5284163.4049663218</v>
      </c>
      <c r="Y43" s="210"/>
      <c r="Z43" s="242">
        <f>SUMIF(Z4:Z29,"&lt;0")+Z42</f>
        <v>-8541128.1193504781</v>
      </c>
      <c r="AA43" s="242"/>
      <c r="AB43" s="242">
        <f>SUMIF(AB4:AB29,"&lt;0")+AB42</f>
        <v>0</v>
      </c>
      <c r="AC43" s="242"/>
      <c r="AD43" s="210">
        <f>SUMIF(AD4:AD29,"&lt;0")+AD42</f>
        <v>0</v>
      </c>
      <c r="AE43" s="210"/>
      <c r="AF43" s="210">
        <f>SUMIF(AF4:AF29,"&lt;0")+AF42</f>
        <v>0</v>
      </c>
      <c r="AG43" s="43"/>
    </row>
    <row r="44" spans="1:33">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row>
    <row r="45" spans="1:33">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row>
    <row r="46" spans="1:33">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row>
    <row r="47" spans="1:33">
      <c r="A47" s="232"/>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row>
    <row r="48" spans="1:33">
      <c r="A48" s="265"/>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row>
    <row r="49" spans="1:33">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row>
    <row r="50" spans="1:33">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row>
    <row r="51" spans="1:33">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row>
    <row r="52" spans="1:33">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c r="AG52" s="43"/>
    </row>
    <row r="53" spans="1:33">
      <c r="A53" s="43"/>
      <c r="B53" s="43"/>
      <c r="C53" s="43"/>
      <c r="D53" s="43"/>
      <c r="E53" s="43"/>
      <c r="F53" s="43"/>
      <c r="G53" s="43"/>
      <c r="H53" s="43"/>
      <c r="I53" s="43"/>
      <c r="J53" s="219"/>
      <c r="K53" s="43"/>
      <c r="L53" s="43"/>
      <c r="M53" s="43"/>
      <c r="N53" s="43"/>
      <c r="O53" s="43"/>
      <c r="P53" s="43"/>
      <c r="Q53" s="43"/>
      <c r="R53" s="43"/>
      <c r="S53" s="43"/>
      <c r="T53" s="43"/>
      <c r="U53" s="43"/>
      <c r="V53" s="43"/>
      <c r="W53" s="43"/>
      <c r="X53" s="43"/>
      <c r="Y53" s="43"/>
      <c r="Z53" s="43"/>
      <c r="AA53" s="43"/>
      <c r="AB53" s="43"/>
      <c r="AC53" s="43"/>
      <c r="AD53" s="43"/>
      <c r="AE53" s="43"/>
      <c r="AF53" s="43"/>
      <c r="AG53" s="43"/>
    </row>
    <row r="54" spans="1:33">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row>
    <row r="55" spans="1:33">
      <c r="A55" s="43"/>
      <c r="B55" s="43"/>
      <c r="C55" s="43"/>
      <c r="D55" s="43"/>
      <c r="E55" s="43"/>
      <c r="F55" s="43"/>
      <c r="G55" s="43"/>
      <c r="H55" s="43"/>
      <c r="I55" s="266"/>
      <c r="J55" s="43"/>
      <c r="K55" s="43"/>
      <c r="L55" s="43"/>
      <c r="M55" s="43"/>
      <c r="N55" s="43"/>
      <c r="O55" s="43"/>
      <c r="P55" s="43"/>
      <c r="Q55" s="43"/>
      <c r="R55" s="43"/>
      <c r="S55" s="43"/>
      <c r="T55" s="43"/>
      <c r="U55" s="43"/>
      <c r="V55" s="43"/>
      <c r="W55" s="43"/>
      <c r="X55" s="43"/>
      <c r="Y55" s="43"/>
      <c r="Z55" s="43"/>
      <c r="AA55" s="43"/>
      <c r="AB55" s="43"/>
      <c r="AC55" s="43"/>
      <c r="AD55" s="43"/>
      <c r="AE55" s="43"/>
      <c r="AF55" s="43"/>
      <c r="AG55" s="4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36">
    <tabColor rgb="FFFFC000"/>
  </sheetPr>
  <dimension ref="A1:AF37"/>
  <sheetViews>
    <sheetView showGridLines="0" zoomScale="80" zoomScaleNormal="80" workbookViewId="0">
      <pane xSplit="2" ySplit="4" topLeftCell="E5" activePane="bottomRight" state="frozen"/>
      <selection activeCell="H9" activeCellId="1" sqref="P15 H9"/>
      <selection pane="topRight" activeCell="H9" activeCellId="1" sqref="P15 H9"/>
      <selection pane="bottomLeft" activeCell="H9" activeCellId="1" sqref="P15 H9"/>
      <selection pane="bottomRight" activeCell="A3" sqref="A3:XFD3"/>
    </sheetView>
  </sheetViews>
  <sheetFormatPr defaultColWidth="9.26953125" defaultRowHeight="15.5" outlineLevelCol="1"/>
  <cols>
    <col min="1" max="1" width="20.6328125" style="11" customWidth="1"/>
    <col min="2" max="2" width="27.26953125" style="11" bestFit="1" customWidth="1"/>
    <col min="3" max="3" width="13.26953125" style="11" bestFit="1" customWidth="1"/>
    <col min="4" max="4" width="8.6328125" style="11" bestFit="1" customWidth="1"/>
    <col min="5" max="5" width="12.6328125" style="11" bestFit="1" customWidth="1"/>
    <col min="6" max="6" width="16.6328125" style="11" customWidth="1" outlineLevel="1"/>
    <col min="7" max="7" width="14.26953125" style="11" customWidth="1" outlineLevel="1"/>
    <col min="8" max="8" width="12.54296875" style="11" bestFit="1" customWidth="1"/>
    <col min="9" max="9" width="14" style="11" bestFit="1" customWidth="1"/>
    <col min="10" max="10" width="13.26953125" style="11" bestFit="1" customWidth="1"/>
    <col min="11" max="11" width="14" style="11" bestFit="1" customWidth="1"/>
    <col min="12" max="12" width="12" style="11" bestFit="1" customWidth="1"/>
    <col min="13" max="13" width="14" style="11" bestFit="1" customWidth="1"/>
    <col min="14" max="14" width="12.6328125" style="11" bestFit="1" customWidth="1"/>
    <col min="15" max="15" width="14" style="11" bestFit="1" customWidth="1"/>
    <col min="16" max="16" width="13" style="11" bestFit="1" customWidth="1"/>
    <col min="17" max="17" width="14" style="11" bestFit="1" customWidth="1"/>
    <col min="18" max="18" width="13" style="11" bestFit="1" customWidth="1"/>
    <col min="19" max="19" width="14" style="11" bestFit="1" customWidth="1"/>
    <col min="20" max="20" width="16.26953125" style="11" bestFit="1" customWidth="1"/>
    <col min="21" max="21" width="14" style="11" bestFit="1" customWidth="1"/>
    <col min="22" max="22" width="16.26953125" style="11" bestFit="1" customWidth="1"/>
    <col min="23" max="23" width="14" style="11" bestFit="1" customWidth="1"/>
    <col min="24" max="24" width="12.453125" style="11" bestFit="1" customWidth="1"/>
    <col min="25" max="25" width="14" style="11" bestFit="1" customWidth="1"/>
    <col min="26" max="26" width="12.453125" style="11" bestFit="1" customWidth="1"/>
    <col min="27" max="27" width="14" style="11" bestFit="1" customWidth="1"/>
    <col min="28" max="28" width="12.453125" style="11" bestFit="1" customWidth="1"/>
    <col min="29" max="29" width="14" style="11" bestFit="1" customWidth="1"/>
    <col min="30" max="30" width="12.453125" style="11" bestFit="1" customWidth="1"/>
    <col min="31" max="31" width="14" style="11" bestFit="1" customWidth="1"/>
    <col min="32" max="32" width="21" style="11" bestFit="1" customWidth="1"/>
    <col min="33" max="46" width="9.26953125" style="11" customWidth="1"/>
    <col min="47" max="16384" width="9.26953125" style="11"/>
  </cols>
  <sheetData>
    <row r="1" spans="1:32" ht="16" customHeight="1" thickBot="1">
      <c r="A1" s="43"/>
      <c r="B1" s="43"/>
      <c r="C1" s="43"/>
      <c r="D1" s="43"/>
      <c r="E1" s="43"/>
      <c r="F1" s="43"/>
      <c r="G1" s="43"/>
      <c r="H1" s="204"/>
      <c r="I1" s="43"/>
      <c r="J1" s="43"/>
      <c r="K1" s="43"/>
      <c r="L1" s="43"/>
      <c r="M1" s="43"/>
      <c r="N1" s="43"/>
      <c r="O1" s="43"/>
      <c r="P1" s="43"/>
      <c r="Q1" s="43"/>
      <c r="R1" s="43"/>
      <c r="S1" s="43"/>
      <c r="T1" s="43"/>
      <c r="U1" s="43"/>
      <c r="V1" s="43"/>
      <c r="W1" s="43"/>
      <c r="X1" s="43"/>
      <c r="Y1" s="43"/>
      <c r="Z1" s="43"/>
      <c r="AA1" s="43"/>
      <c r="AB1" s="43"/>
      <c r="AC1" s="43"/>
      <c r="AD1" s="43"/>
      <c r="AE1" s="43"/>
      <c r="AF1" s="43"/>
    </row>
    <row r="2" spans="1:32">
      <c r="A2" s="43"/>
      <c r="B2" s="43"/>
      <c r="C2" s="43"/>
      <c r="D2" s="43"/>
      <c r="E2" s="43"/>
      <c r="F2" s="43"/>
      <c r="G2" s="205" t="s">
        <v>461</v>
      </c>
      <c r="H2" s="232"/>
      <c r="I2" s="205" t="s">
        <v>461</v>
      </c>
      <c r="J2" s="232"/>
      <c r="K2" s="205" t="s">
        <v>461</v>
      </c>
      <c r="L2" s="232"/>
      <c r="M2" s="205" t="s">
        <v>461</v>
      </c>
      <c r="N2" s="232"/>
      <c r="O2" s="205" t="s">
        <v>461</v>
      </c>
      <c r="P2" s="232"/>
      <c r="Q2" s="205" t="s">
        <v>461</v>
      </c>
      <c r="R2" s="232"/>
      <c r="S2" s="205" t="s">
        <v>461</v>
      </c>
      <c r="T2" s="232"/>
      <c r="U2" s="205" t="s">
        <v>461</v>
      </c>
      <c r="V2" s="232"/>
      <c r="W2" s="205" t="s">
        <v>461</v>
      </c>
      <c r="X2" s="43"/>
      <c r="Y2" s="205" t="s">
        <v>461</v>
      </c>
      <c r="Z2" s="43"/>
      <c r="AA2" s="205" t="s">
        <v>461</v>
      </c>
      <c r="AB2" s="43"/>
      <c r="AC2" s="205" t="s">
        <v>461</v>
      </c>
      <c r="AD2" s="43"/>
      <c r="AE2" s="205" t="s">
        <v>461</v>
      </c>
      <c r="AF2" s="43"/>
    </row>
    <row r="3" spans="1:32" s="25" customFormat="1">
      <c r="A3" s="205" t="s">
        <v>316</v>
      </c>
      <c r="B3" s="43"/>
      <c r="C3" s="43"/>
      <c r="D3" s="43"/>
      <c r="E3" s="43"/>
      <c r="F3" s="207">
        <v>45657</v>
      </c>
      <c r="G3" s="207">
        <v>45657</v>
      </c>
      <c r="H3" s="255">
        <f>+lgh_pref_equity!M3</f>
        <v>45747</v>
      </c>
      <c r="I3" s="255">
        <f>+H3</f>
        <v>45747</v>
      </c>
      <c r="J3" s="255">
        <f>+lgh_pref_equity!N3</f>
        <v>45838</v>
      </c>
      <c r="K3" s="255">
        <f>+J3</f>
        <v>45838</v>
      </c>
      <c r="L3" s="255">
        <f>+lgh_pref_equity!O3</f>
        <v>45930</v>
      </c>
      <c r="M3" s="255">
        <f>+L3</f>
        <v>45930</v>
      </c>
      <c r="N3" s="255">
        <f>+lgh_pref_equity!P3</f>
        <v>46022</v>
      </c>
      <c r="O3" s="255">
        <f>+N3</f>
        <v>46022</v>
      </c>
      <c r="P3" s="207">
        <f>+lgh_pref_equity!Q3</f>
        <v>46112</v>
      </c>
      <c r="Q3" s="255">
        <f>+P3</f>
        <v>46112</v>
      </c>
      <c r="R3" s="255">
        <f>+lgh_pref_equity!R3</f>
        <v>46203</v>
      </c>
      <c r="S3" s="255">
        <f>+R3</f>
        <v>46203</v>
      </c>
      <c r="T3" s="255">
        <f>+lgh_pref_equity!S3</f>
        <v>46295</v>
      </c>
      <c r="U3" s="255">
        <f>+T3</f>
        <v>46295</v>
      </c>
      <c r="V3" s="255">
        <f>+lgh_pref_equity!T3</f>
        <v>46387</v>
      </c>
      <c r="W3" s="255">
        <f>+V3</f>
        <v>46387</v>
      </c>
      <c r="X3" s="255">
        <f>+lgh_pref_equity!U3</f>
        <v>46752</v>
      </c>
      <c r="Y3" s="255">
        <f>+X3</f>
        <v>46752</v>
      </c>
      <c r="Z3" s="255">
        <f>+lgh_pref_equity!V3</f>
        <v>47118</v>
      </c>
      <c r="AA3" s="255">
        <f>+Z3</f>
        <v>47118</v>
      </c>
      <c r="AB3" s="255">
        <f>+lgh_pref_equity!W3</f>
        <v>47483</v>
      </c>
      <c r="AC3" s="255">
        <f>+AB3</f>
        <v>47483</v>
      </c>
      <c r="AD3" s="255">
        <f>+lgh_pref_equity!X3</f>
        <v>47848</v>
      </c>
      <c r="AE3" s="255">
        <f>+AD3</f>
        <v>47848</v>
      </c>
      <c r="AF3" s="205" t="s">
        <v>410</v>
      </c>
    </row>
    <row r="4" spans="1:32">
      <c r="A4" s="205" t="s">
        <v>462</v>
      </c>
      <c r="B4" s="205" t="s">
        <v>463</v>
      </c>
      <c r="C4" s="205" t="s">
        <v>319</v>
      </c>
      <c r="D4" s="205" t="s">
        <v>320</v>
      </c>
      <c r="E4" s="205" t="s">
        <v>322</v>
      </c>
      <c r="F4" s="209">
        <v>4</v>
      </c>
      <c r="G4" s="209">
        <v>4</v>
      </c>
      <c r="H4" s="256">
        <f>+lgh_pref_equity!M4</f>
        <v>1</v>
      </c>
      <c r="I4" s="256">
        <f>+H4</f>
        <v>1</v>
      </c>
      <c r="J4" s="256">
        <f>+lgh_pref_equity!N4</f>
        <v>2</v>
      </c>
      <c r="K4" s="256">
        <f>+J4</f>
        <v>2</v>
      </c>
      <c r="L4" s="256">
        <f>+lgh_pref_equity!O4</f>
        <v>3</v>
      </c>
      <c r="M4" s="256">
        <f>+L4</f>
        <v>3</v>
      </c>
      <c r="N4" s="256">
        <f>+lgh_pref_equity!P4</f>
        <v>4</v>
      </c>
      <c r="O4" s="256">
        <f>+N4</f>
        <v>4</v>
      </c>
      <c r="P4" s="250">
        <f>+lgh_pref_equity!Q4</f>
        <v>1</v>
      </c>
      <c r="Q4" s="256">
        <f>+P4</f>
        <v>1</v>
      </c>
      <c r="R4" s="256">
        <f>+lgh_pref_equity!R4</f>
        <v>2</v>
      </c>
      <c r="S4" s="256">
        <f>+R4</f>
        <v>2</v>
      </c>
      <c r="T4" s="256">
        <f>+lgh_pref_equity!S4</f>
        <v>3</v>
      </c>
      <c r="U4" s="256">
        <f>+T4</f>
        <v>3</v>
      </c>
      <c r="V4" s="256">
        <f>+lgh_pref_equity!T4</f>
        <v>4</v>
      </c>
      <c r="W4" s="256">
        <f>+V4</f>
        <v>4</v>
      </c>
      <c r="X4" s="256">
        <f>+lgh_pref_equity!U4</f>
        <v>4</v>
      </c>
      <c r="Y4" s="256">
        <f>+X4</f>
        <v>4</v>
      </c>
      <c r="Z4" s="256">
        <f>+lgh_pref_equity!V4</f>
        <v>4</v>
      </c>
      <c r="AA4" s="256">
        <f>+Z4</f>
        <v>4</v>
      </c>
      <c r="AB4" s="256">
        <f>+lgh_pref_equity!W4</f>
        <v>4</v>
      </c>
      <c r="AC4" s="256">
        <f>+AB4</f>
        <v>4</v>
      </c>
      <c r="AD4" s="256">
        <f>+lgh_pref_equity!X4</f>
        <v>4</v>
      </c>
      <c r="AE4" s="256">
        <f>+AD4</f>
        <v>4</v>
      </c>
      <c r="AF4" s="205" t="s">
        <v>413</v>
      </c>
    </row>
    <row r="5" spans="1:32">
      <c r="A5" s="205" t="s">
        <v>464</v>
      </c>
      <c r="B5" s="205" t="s">
        <v>465</v>
      </c>
      <c r="C5" s="217">
        <v>1500000</v>
      </c>
      <c r="D5" s="211">
        <v>0</v>
      </c>
      <c r="E5" s="213">
        <v>46023</v>
      </c>
      <c r="F5" s="217">
        <v>0</v>
      </c>
      <c r="G5" s="210"/>
      <c r="H5" s="216">
        <f t="shared" ref="H5:H22" si="0">IF(AND(YEAR($E5)=YEAR(H$3),ROUNDUP(MONTH($E5)/3,0)=H$4),$C5*(1+$D5/4)^((H$3-$E5)/91),IF(ROUND(SUM(F5:G5),0)=0,0,SUM(F5:G5)*(1+$D5/4)))</f>
        <v>0</v>
      </c>
      <c r="I5" s="217">
        <v>0</v>
      </c>
      <c r="J5" s="216">
        <f t="shared" ref="J5:J22" si="1">IF(AND(YEAR($E5)=YEAR(J$3),ROUNDUP(MONTH($E5)/3,0)=J$4),$C5*(1+$D5/4)^((J$3-$E5)/91),IF(ROUND(SUM(H5:I5),0)=0,0,SUM(H5:I5)*(1+$D5/4)))</f>
        <v>0</v>
      </c>
      <c r="K5" s="210"/>
      <c r="L5" s="216">
        <f t="shared" ref="L5:L22" si="2">IF(AND(YEAR($E5)=YEAR(L$3),ROUNDUP(MONTH($E5)/3,0)=L$4),$C5*(1+$D5/4)^((L$3-$E5)/91),IF(ROUND(SUM(J5:K5),0)=0,0,SUM(J5:K5)*(1+$D5/4)))</f>
        <v>0</v>
      </c>
      <c r="M5" s="210"/>
      <c r="N5" s="216">
        <f t="shared" ref="N5:N22" si="3">IF(AND(YEAR($E5)=YEAR(N$3),ROUNDUP(MONTH($E5)/3,0)=N$4),$C5*(1+$D5/4)^((N$3-$E5)/91),IF(ROUND(SUM(L5:M5),0)=0,0,SUM(L5:M5)*(1+$D5/4)))</f>
        <v>0</v>
      </c>
      <c r="O5" s="210"/>
      <c r="P5" s="216">
        <f>IF(AND(YEAR($E5)=YEAR(P$3),ROUNDUP(MONTH($E5)/3,0)=P$4),$C5*(1+$D5/4)^((P$3-$E5)/91),IF(ROUND(SUM(N5:O5),0)=0,0,SUM(N5:O5)*(1+$D5/4)))</f>
        <v>1500000</v>
      </c>
      <c r="Q5" s="210"/>
      <c r="R5" s="216">
        <f t="shared" ref="R5:R22" si="4">IF(AND(YEAR($E5)=YEAR(R$3),ROUNDUP(MONTH($E5)/3,0)=R$4),$C5*(1+$D5/4)^((R$3-$E5)/91),IF(ROUND(SUM(P5:Q5),0)=0,0,SUM(P5:Q5)*(1+$D5/4)))</f>
        <v>1500000</v>
      </c>
      <c r="S5" s="210"/>
      <c r="T5" s="216">
        <f t="shared" ref="T5:T22" si="5">IF(AND(YEAR($E5)=YEAR(T$3),ROUNDUP(MONTH($E5)/3,0)=T$4),$C5*(1+$D5/4)^((T$3-$E5)/91),IF(ROUND(SUM(R5:S5),0)=0,0,SUM(R5:S5)*(1+$D5/4)))</f>
        <v>1500000</v>
      </c>
      <c r="U5" s="217">
        <v>0</v>
      </c>
      <c r="V5" s="216">
        <f t="shared" ref="V5:V22" si="6">IF(AND(YEAR($E5)=YEAR(V$3),ROUNDUP(MONTH($E5)/3,0)=V$4),$C5*(1+$D5/4)^((V$3-$E5)/91),IF(ROUND(SUM(T5:U5),0)=0,0,SUM(T5:U5)*(1+$D5/4)))</f>
        <v>1500000</v>
      </c>
      <c r="W5" s="217">
        <v>-1000000</v>
      </c>
      <c r="X5" s="216">
        <f t="shared" ref="X5:X22" si="7">IF(AND(YEAR($E5)=YEAR(X$3),ROUNDUP(MONTH($E5)/3,0)&lt;=X$4),$C5*(1+$D5)^((X$3-$E5)/365),IF(ROUND(SUM(V5:W5),0)=0,0,SUM(V5:W5)*(1+$D5)))</f>
        <v>500000</v>
      </c>
      <c r="Y5" s="217">
        <v>-500000</v>
      </c>
      <c r="Z5" s="216">
        <f t="shared" ref="Z5:Z22" si="8">IF(AND(YEAR($E5)=YEAR(Z$3),ROUNDUP(MONTH($E5)/3,0)&lt;=Z$4),$C5*(1+$D5)^((Z$3-$E5)/365),IF(ROUND(SUM(X5:Y5),0)=0,0,SUM(X5:Y5)*(1+$D5)))</f>
        <v>0</v>
      </c>
      <c r="AA5" s="217">
        <v>0</v>
      </c>
      <c r="AB5" s="216">
        <f t="shared" ref="AB5:AB22" si="9">IF(AND(YEAR($E5)=YEAR(AB$3),ROUNDUP(MONTH($E5)/3,0)&lt;=AB$4),$C5*(1+$D5)^((AB$3-$E5)/365),IF(ROUND(SUM(Z5:AA5),0)=0,0,SUM(Z5:AA5)*(1+$D5)))</f>
        <v>0</v>
      </c>
      <c r="AC5" s="217">
        <v>0</v>
      </c>
      <c r="AD5" s="216">
        <f t="shared" ref="AD5:AD22" si="10">IF(AND(YEAR($E5)=YEAR(AD$3),ROUNDUP(MONTH($E5)/3,0)&lt;=AD$4),$C5*(1+$D5)^((AD$3-$E5)/365),IF(ROUND(SUM(AB5:AC5),0)=0,0,SUM(AB5:AC5)*(1+$D5)))</f>
        <v>0</v>
      </c>
      <c r="AE5" s="217">
        <v>0</v>
      </c>
      <c r="AF5" s="43"/>
    </row>
    <row r="6" spans="1:32">
      <c r="A6" s="205" t="s">
        <v>466</v>
      </c>
      <c r="B6" s="205" t="s">
        <v>467</v>
      </c>
      <c r="C6" s="217">
        <v>750000</v>
      </c>
      <c r="D6" s="211">
        <v>0</v>
      </c>
      <c r="E6" s="213">
        <v>45657</v>
      </c>
      <c r="F6" s="217">
        <v>750000</v>
      </c>
      <c r="G6" s="217">
        <v>0</v>
      </c>
      <c r="H6" s="216">
        <f t="shared" si="0"/>
        <v>750000</v>
      </c>
      <c r="I6" s="217">
        <v>0</v>
      </c>
      <c r="J6" s="216">
        <f t="shared" si="1"/>
        <v>750000</v>
      </c>
      <c r="K6" s="210"/>
      <c r="L6" s="216">
        <f t="shared" si="2"/>
        <v>750000</v>
      </c>
      <c r="M6" s="210"/>
      <c r="N6" s="216">
        <f t="shared" si="3"/>
        <v>750000</v>
      </c>
      <c r="O6" s="217">
        <v>-250000</v>
      </c>
      <c r="P6" s="216">
        <f>IF(AND(YEAR($E6)=YEAR(P$3),ROUNDUP(MONTH($E6)/3,0)=P$4),$C6*(1+$D6/4)^((P$3-$E6)/91),IF(ROUND(SUM(N6:O6),0)=0,0,SUM(N6:O6)*(1+$D6/4)))-150000</f>
        <v>350000</v>
      </c>
      <c r="Q6" s="217">
        <v>-350000</v>
      </c>
      <c r="R6" s="216">
        <f t="shared" si="4"/>
        <v>0</v>
      </c>
      <c r="S6" s="217">
        <v>0</v>
      </c>
      <c r="T6" s="216">
        <f t="shared" si="5"/>
        <v>0</v>
      </c>
      <c r="U6" s="217">
        <v>0</v>
      </c>
      <c r="V6" s="216">
        <f t="shared" si="6"/>
        <v>0</v>
      </c>
      <c r="W6" s="217">
        <v>0</v>
      </c>
      <c r="X6" s="216">
        <f t="shared" si="7"/>
        <v>0</v>
      </c>
      <c r="Y6" s="217">
        <v>0</v>
      </c>
      <c r="Z6" s="216">
        <f t="shared" si="8"/>
        <v>0</v>
      </c>
      <c r="AA6" s="217">
        <v>0</v>
      </c>
      <c r="AB6" s="216">
        <f t="shared" si="9"/>
        <v>0</v>
      </c>
      <c r="AC6" s="217">
        <v>0</v>
      </c>
      <c r="AD6" s="216">
        <f t="shared" si="10"/>
        <v>0</v>
      </c>
      <c r="AE6" s="217">
        <v>0</v>
      </c>
      <c r="AF6" s="43"/>
    </row>
    <row r="7" spans="1:32">
      <c r="A7" s="205" t="s">
        <v>468</v>
      </c>
      <c r="B7" s="205" t="s">
        <v>469</v>
      </c>
      <c r="C7" s="216">
        <f>400000-86000</f>
        <v>314000</v>
      </c>
      <c r="D7" s="211">
        <v>0</v>
      </c>
      <c r="E7" s="213">
        <v>45658</v>
      </c>
      <c r="F7" s="217">
        <v>0</v>
      </c>
      <c r="G7" s="217">
        <v>0</v>
      </c>
      <c r="H7" s="216">
        <f t="shared" si="0"/>
        <v>314000</v>
      </c>
      <c r="I7" s="217">
        <v>0</v>
      </c>
      <c r="J7" s="216">
        <f t="shared" si="1"/>
        <v>314000</v>
      </c>
      <c r="K7" s="217">
        <v>143000</v>
      </c>
      <c r="L7" s="216">
        <f t="shared" si="2"/>
        <v>457000</v>
      </c>
      <c r="M7" s="210"/>
      <c r="N7" s="216">
        <f t="shared" si="3"/>
        <v>457000</v>
      </c>
      <c r="O7" s="210">
        <f>-N7</f>
        <v>-457000</v>
      </c>
      <c r="P7" s="216">
        <f>IF(AND(YEAR($E7)=YEAR(P$3),ROUNDUP(MONTH($E7)/3,0)=P$4),$C7*(1+$D7/4)^((P$3-$E7)/91),IF(ROUND(SUM(N7:O7),0)=0,0,SUM(N7:O7)*(1+$D7/4)))</f>
        <v>0</v>
      </c>
      <c r="Q7" s="217">
        <v>0</v>
      </c>
      <c r="R7" s="216">
        <f t="shared" si="4"/>
        <v>0</v>
      </c>
      <c r="S7" s="217">
        <v>0</v>
      </c>
      <c r="T7" s="216">
        <f t="shared" si="5"/>
        <v>0</v>
      </c>
      <c r="U7" s="217">
        <v>0</v>
      </c>
      <c r="V7" s="216">
        <f t="shared" si="6"/>
        <v>0</v>
      </c>
      <c r="W7" s="217">
        <v>0</v>
      </c>
      <c r="X7" s="216">
        <f t="shared" si="7"/>
        <v>0</v>
      </c>
      <c r="Y7" s="217">
        <v>0</v>
      </c>
      <c r="Z7" s="216">
        <f t="shared" si="8"/>
        <v>0</v>
      </c>
      <c r="AA7" s="217">
        <v>0</v>
      </c>
      <c r="AB7" s="216">
        <f t="shared" si="9"/>
        <v>0</v>
      </c>
      <c r="AC7" s="217">
        <v>0</v>
      </c>
      <c r="AD7" s="216">
        <f t="shared" si="10"/>
        <v>0</v>
      </c>
      <c r="AE7" s="217">
        <v>0</v>
      </c>
      <c r="AF7" s="43"/>
    </row>
    <row r="8" spans="1:32">
      <c r="A8" s="205" t="s">
        <v>470</v>
      </c>
      <c r="B8" s="205" t="s">
        <v>471</v>
      </c>
      <c r="C8" s="210"/>
      <c r="D8" s="219"/>
      <c r="E8" s="215"/>
      <c r="F8" s="217">
        <v>0</v>
      </c>
      <c r="G8" s="217">
        <v>0</v>
      </c>
      <c r="H8" s="216">
        <f t="shared" si="0"/>
        <v>0</v>
      </c>
      <c r="I8" s="217">
        <v>0</v>
      </c>
      <c r="J8" s="216">
        <f t="shared" si="1"/>
        <v>0</v>
      </c>
      <c r="K8" s="210"/>
      <c r="L8" s="216">
        <f t="shared" si="2"/>
        <v>0</v>
      </c>
      <c r="M8" s="210"/>
      <c r="N8" s="216">
        <f t="shared" si="3"/>
        <v>0</v>
      </c>
      <c r="O8" s="210"/>
      <c r="P8" s="216">
        <f>IF(AND(YEAR($E8)=YEAR(P$3),ROUNDUP(MONTH($E8)/3,0)=P$4),$C8*(1+$D8/4)^((P$3-$E8)/91),IF(ROUND(SUM(N8:O8),0)=0,0,SUM(N8:O8)*(1+$D8/4)))</f>
        <v>0</v>
      </c>
      <c r="Q8" s="210"/>
      <c r="R8" s="216">
        <f t="shared" si="4"/>
        <v>0</v>
      </c>
      <c r="S8" s="217">
        <v>0</v>
      </c>
      <c r="T8" s="216">
        <f t="shared" si="5"/>
        <v>0</v>
      </c>
      <c r="U8" s="217">
        <v>0</v>
      </c>
      <c r="V8" s="216">
        <f t="shared" si="6"/>
        <v>0</v>
      </c>
      <c r="W8" s="217">
        <v>0</v>
      </c>
      <c r="X8" s="216">
        <f t="shared" si="7"/>
        <v>0</v>
      </c>
      <c r="Y8" s="217">
        <v>0</v>
      </c>
      <c r="Z8" s="216">
        <f t="shared" si="8"/>
        <v>0</v>
      </c>
      <c r="AA8" s="217">
        <v>0</v>
      </c>
      <c r="AB8" s="216">
        <f t="shared" si="9"/>
        <v>0</v>
      </c>
      <c r="AC8" s="217">
        <v>0</v>
      </c>
      <c r="AD8" s="216">
        <f t="shared" si="10"/>
        <v>0</v>
      </c>
      <c r="AE8" s="217">
        <v>0</v>
      </c>
      <c r="AF8" s="43"/>
    </row>
    <row r="9" spans="1:32">
      <c r="A9" s="205" t="s">
        <v>472</v>
      </c>
      <c r="B9" s="205" t="s">
        <v>473</v>
      </c>
      <c r="C9" s="210"/>
      <c r="D9" s="211">
        <v>0</v>
      </c>
      <c r="E9" s="213">
        <v>45658</v>
      </c>
      <c r="F9" s="217">
        <v>0</v>
      </c>
      <c r="G9" s="210"/>
      <c r="H9" s="216">
        <f t="shared" si="0"/>
        <v>0</v>
      </c>
      <c r="I9" s="217">
        <v>0</v>
      </c>
      <c r="J9" s="216">
        <f t="shared" si="1"/>
        <v>0</v>
      </c>
      <c r="K9" s="210"/>
      <c r="L9" s="216">
        <f t="shared" si="2"/>
        <v>0</v>
      </c>
      <c r="M9" s="210"/>
      <c r="N9" s="216">
        <f t="shared" si="3"/>
        <v>0</v>
      </c>
      <c r="O9" s="210"/>
      <c r="P9" s="216">
        <f>IF(AND(YEAR($E9)=YEAR(P$3),ROUNDUP(MONTH($E9)/3,0)=P$4),$C9*(1+$D9/4)^((P$3-$E9)/91),IF(ROUND(SUM(N9:O9),0)=0,0,SUM(N9:O9)*(1+$D9/4)))</f>
        <v>0</v>
      </c>
      <c r="Q9" s="210"/>
      <c r="R9" s="216">
        <f t="shared" si="4"/>
        <v>0</v>
      </c>
      <c r="S9" s="217">
        <v>0</v>
      </c>
      <c r="T9" s="216">
        <f t="shared" si="5"/>
        <v>0</v>
      </c>
      <c r="U9" s="217">
        <v>0</v>
      </c>
      <c r="V9" s="216">
        <f t="shared" si="6"/>
        <v>0</v>
      </c>
      <c r="W9" s="217">
        <v>0</v>
      </c>
      <c r="X9" s="216">
        <f t="shared" si="7"/>
        <v>0</v>
      </c>
      <c r="Y9" s="217">
        <v>0</v>
      </c>
      <c r="Z9" s="216">
        <f t="shared" si="8"/>
        <v>0</v>
      </c>
      <c r="AA9" s="217">
        <v>0</v>
      </c>
      <c r="AB9" s="216">
        <f t="shared" si="9"/>
        <v>0</v>
      </c>
      <c r="AC9" s="217">
        <v>0</v>
      </c>
      <c r="AD9" s="216">
        <f t="shared" si="10"/>
        <v>0</v>
      </c>
      <c r="AE9" s="217">
        <v>0</v>
      </c>
      <c r="AF9" s="43"/>
    </row>
    <row r="10" spans="1:32">
      <c r="A10" s="205" t="s">
        <v>474</v>
      </c>
      <c r="B10" s="205" t="s">
        <v>475</v>
      </c>
      <c r="C10" s="217">
        <v>208000</v>
      </c>
      <c r="D10" s="211">
        <v>0.115</v>
      </c>
      <c r="E10" s="213">
        <v>45747</v>
      </c>
      <c r="F10" s="217">
        <v>0</v>
      </c>
      <c r="G10" s="217">
        <v>0</v>
      </c>
      <c r="H10" s="216">
        <f t="shared" si="0"/>
        <v>208000</v>
      </c>
      <c r="I10" s="217">
        <v>0</v>
      </c>
      <c r="J10" s="216">
        <f t="shared" si="1"/>
        <v>213980</v>
      </c>
      <c r="K10" s="210"/>
      <c r="L10" s="216">
        <f t="shared" si="2"/>
        <v>220131.92500000002</v>
      </c>
      <c r="M10" s="217">
        <v>0</v>
      </c>
      <c r="N10" s="216">
        <f t="shared" si="3"/>
        <v>226460.71784375003</v>
      </c>
      <c r="O10" s="210"/>
      <c r="P10" s="216">
        <f>IF(AND(YEAR($E10)=YEAR(P$3),ROUNDUP(MONTH($E10)/3,0)=P$4),$C10*(1+$D10/4)^((P$3-$E10)/91),IF(ROUND(SUM(N10:O10),0)=0,0,SUM(N10:O10)*(1+$D10/4)))</f>
        <v>232971.46348175785</v>
      </c>
      <c r="Q10" s="210"/>
      <c r="R10" s="216">
        <f t="shared" si="4"/>
        <v>239669.39305685839</v>
      </c>
      <c r="S10" s="217">
        <v>0</v>
      </c>
      <c r="T10" s="216">
        <f t="shared" si="5"/>
        <v>246559.88810724308</v>
      </c>
      <c r="U10" s="217">
        <v>0</v>
      </c>
      <c r="V10" s="216">
        <f t="shared" si="6"/>
        <v>253648.48489032633</v>
      </c>
      <c r="W10" s="210">
        <f>-V10</f>
        <v>-253648.48489032633</v>
      </c>
      <c r="X10" s="216">
        <f t="shared" si="7"/>
        <v>0</v>
      </c>
      <c r="Y10" s="217">
        <v>0</v>
      </c>
      <c r="Z10" s="216">
        <f t="shared" si="8"/>
        <v>0</v>
      </c>
      <c r="AA10" s="217">
        <v>0</v>
      </c>
      <c r="AB10" s="216">
        <f t="shared" si="9"/>
        <v>0</v>
      </c>
      <c r="AC10" s="217">
        <v>0</v>
      </c>
      <c r="AD10" s="216">
        <f t="shared" si="10"/>
        <v>0</v>
      </c>
      <c r="AE10" s="217">
        <v>0</v>
      </c>
      <c r="AF10" s="43"/>
    </row>
    <row r="11" spans="1:32">
      <c r="A11" s="205" t="s">
        <v>476</v>
      </c>
      <c r="B11" s="205" t="s">
        <v>477</v>
      </c>
      <c r="C11" s="217">
        <v>1750000</v>
      </c>
      <c r="D11" s="211">
        <v>0</v>
      </c>
      <c r="E11" s="213">
        <v>45995</v>
      </c>
      <c r="F11" s="217">
        <v>0</v>
      </c>
      <c r="G11" s="217">
        <v>0</v>
      </c>
      <c r="H11" s="216">
        <f t="shared" si="0"/>
        <v>0</v>
      </c>
      <c r="I11" s="217">
        <v>0</v>
      </c>
      <c r="J11" s="216">
        <f t="shared" si="1"/>
        <v>0</v>
      </c>
      <c r="K11" s="210"/>
      <c r="L11" s="216">
        <f t="shared" si="2"/>
        <v>0</v>
      </c>
      <c r="M11" s="210"/>
      <c r="N11" s="216">
        <f t="shared" si="3"/>
        <v>1750000</v>
      </c>
      <c r="O11" s="210"/>
      <c r="P11" s="216">
        <f>IF(AND(YEAR($E11)=YEAR(P$3),ROUNDUP(MONTH($E11)/3,0)=P$4),$C11*(1+$D11/4)^((P$3-$E11)/91),IF(ROUND(SUM(N11:O11),0)=0,0,SUM(N11:O11)*(1+$D11/4)))</f>
        <v>1750000</v>
      </c>
      <c r="Q11" s="217">
        <v>0</v>
      </c>
      <c r="R11" s="216">
        <f t="shared" si="4"/>
        <v>1750000</v>
      </c>
      <c r="S11" s="217">
        <v>0</v>
      </c>
      <c r="T11" s="216">
        <f t="shared" si="5"/>
        <v>1750000</v>
      </c>
      <c r="U11" s="217">
        <v>0</v>
      </c>
      <c r="V11" s="216">
        <f t="shared" si="6"/>
        <v>1750000</v>
      </c>
      <c r="W11" s="210">
        <f>-V11</f>
        <v>-1750000</v>
      </c>
      <c r="X11" s="216">
        <f t="shared" si="7"/>
        <v>0</v>
      </c>
      <c r="Y11" s="210">
        <f>-X11</f>
        <v>0</v>
      </c>
      <c r="Z11" s="216">
        <f t="shared" si="8"/>
        <v>0</v>
      </c>
      <c r="AA11" s="217">
        <v>0</v>
      </c>
      <c r="AB11" s="216">
        <f t="shared" si="9"/>
        <v>0</v>
      </c>
      <c r="AC11" s="217">
        <v>0</v>
      </c>
      <c r="AD11" s="216">
        <f t="shared" si="10"/>
        <v>0</v>
      </c>
      <c r="AE11" s="217">
        <v>0</v>
      </c>
      <c r="AF11" s="43"/>
    </row>
    <row r="12" spans="1:32">
      <c r="A12" s="205" t="s">
        <v>478</v>
      </c>
      <c r="B12" s="205" t="s">
        <v>479</v>
      </c>
      <c r="C12" s="217">
        <v>1000000</v>
      </c>
      <c r="D12" s="211">
        <v>0</v>
      </c>
      <c r="E12" s="213">
        <v>45658</v>
      </c>
      <c r="F12" s="217">
        <v>0</v>
      </c>
      <c r="G12" s="217">
        <v>0</v>
      </c>
      <c r="H12" s="216">
        <f t="shared" si="0"/>
        <v>1000000</v>
      </c>
      <c r="I12" s="217">
        <v>0</v>
      </c>
      <c r="J12" s="216">
        <f t="shared" si="1"/>
        <v>1000000</v>
      </c>
      <c r="K12" s="210"/>
      <c r="L12" s="216">
        <f t="shared" si="2"/>
        <v>1000000</v>
      </c>
      <c r="M12" s="210"/>
      <c r="N12" s="216">
        <f t="shared" si="3"/>
        <v>1000000</v>
      </c>
      <c r="O12" s="217">
        <v>-250000</v>
      </c>
      <c r="P12" s="210"/>
      <c r="Q12" s="210"/>
      <c r="R12" s="216">
        <f t="shared" si="4"/>
        <v>0</v>
      </c>
      <c r="S12" s="210"/>
      <c r="T12" s="216">
        <f t="shared" si="5"/>
        <v>0</v>
      </c>
      <c r="U12" s="217">
        <v>0</v>
      </c>
      <c r="V12" s="216">
        <f t="shared" si="6"/>
        <v>0</v>
      </c>
      <c r="W12" s="217">
        <v>0</v>
      </c>
      <c r="X12" s="216">
        <f t="shared" si="7"/>
        <v>0</v>
      </c>
      <c r="Y12" s="217">
        <v>0</v>
      </c>
      <c r="Z12" s="216">
        <f t="shared" si="8"/>
        <v>0</v>
      </c>
      <c r="AA12" s="217">
        <v>0</v>
      </c>
      <c r="AB12" s="216">
        <f t="shared" si="9"/>
        <v>0</v>
      </c>
      <c r="AC12" s="217">
        <v>0</v>
      </c>
      <c r="AD12" s="216">
        <f t="shared" si="10"/>
        <v>0</v>
      </c>
      <c r="AE12" s="217">
        <v>0</v>
      </c>
      <c r="AF12" s="43"/>
    </row>
    <row r="13" spans="1:32">
      <c r="A13" s="205" t="s">
        <v>480</v>
      </c>
      <c r="B13" s="267" t="s">
        <v>481</v>
      </c>
      <c r="C13" s="217">
        <v>85000</v>
      </c>
      <c r="D13" s="219"/>
      <c r="E13" s="213">
        <v>46022</v>
      </c>
      <c r="F13" s="217">
        <v>0</v>
      </c>
      <c r="G13" s="217">
        <v>0</v>
      </c>
      <c r="H13" s="216">
        <f t="shared" si="0"/>
        <v>0</v>
      </c>
      <c r="I13" s="217">
        <v>0</v>
      </c>
      <c r="J13" s="216">
        <f t="shared" si="1"/>
        <v>0</v>
      </c>
      <c r="K13" s="210"/>
      <c r="L13" s="216">
        <f t="shared" si="2"/>
        <v>0</v>
      </c>
      <c r="M13" s="210"/>
      <c r="N13" s="216">
        <f t="shared" si="3"/>
        <v>85000</v>
      </c>
      <c r="O13" s="210"/>
      <c r="P13" s="216">
        <f t="shared" ref="P13:P22" si="11">IF(AND(YEAR($E13)=YEAR(P$3),ROUNDUP(MONTH($E13)/3,0)=P$4),$C13*(1+$D13/4)^((P$3-$E13)/91),IF(ROUND(SUM(N13:O13),0)=0,0,SUM(N13:O13)*(1+$D13/4)))</f>
        <v>85000</v>
      </c>
      <c r="Q13" s="210">
        <f>-P13</f>
        <v>-85000</v>
      </c>
      <c r="R13" s="216">
        <f t="shared" si="4"/>
        <v>0</v>
      </c>
      <c r="S13" s="210"/>
      <c r="T13" s="216">
        <f t="shared" si="5"/>
        <v>0</v>
      </c>
      <c r="U13" s="217">
        <v>0</v>
      </c>
      <c r="V13" s="216">
        <f t="shared" si="6"/>
        <v>0</v>
      </c>
      <c r="W13" s="217">
        <v>0</v>
      </c>
      <c r="X13" s="216">
        <f t="shared" si="7"/>
        <v>0</v>
      </c>
      <c r="Y13" s="210">
        <f>-X13</f>
        <v>0</v>
      </c>
      <c r="Z13" s="216">
        <f t="shared" si="8"/>
        <v>0</v>
      </c>
      <c r="AA13" s="217">
        <v>0</v>
      </c>
      <c r="AB13" s="216">
        <f t="shared" si="9"/>
        <v>0</v>
      </c>
      <c r="AC13" s="217">
        <v>0</v>
      </c>
      <c r="AD13" s="216">
        <f t="shared" si="10"/>
        <v>0</v>
      </c>
      <c r="AE13" s="217">
        <v>0</v>
      </c>
      <c r="AF13" s="43"/>
    </row>
    <row r="14" spans="1:32">
      <c r="A14" s="205" t="s">
        <v>482</v>
      </c>
      <c r="B14" s="205" t="s">
        <v>483</v>
      </c>
      <c r="C14" s="217">
        <v>340000</v>
      </c>
      <c r="D14" s="211">
        <v>0</v>
      </c>
      <c r="E14" s="213">
        <v>46023</v>
      </c>
      <c r="F14" s="217">
        <v>0</v>
      </c>
      <c r="G14" s="217">
        <v>0</v>
      </c>
      <c r="H14" s="216">
        <f t="shared" si="0"/>
        <v>0</v>
      </c>
      <c r="I14" s="217">
        <v>0</v>
      </c>
      <c r="J14" s="216">
        <f t="shared" si="1"/>
        <v>0</v>
      </c>
      <c r="K14" s="210"/>
      <c r="L14" s="216">
        <f t="shared" si="2"/>
        <v>0</v>
      </c>
      <c r="M14" s="210"/>
      <c r="N14" s="216">
        <f t="shared" si="3"/>
        <v>0</v>
      </c>
      <c r="O14" s="217">
        <v>-500000</v>
      </c>
      <c r="P14" s="216">
        <f t="shared" si="11"/>
        <v>340000</v>
      </c>
      <c r="Q14" s="210"/>
      <c r="R14" s="216">
        <f t="shared" si="4"/>
        <v>340000</v>
      </c>
      <c r="S14" s="217">
        <v>0</v>
      </c>
      <c r="T14" s="216">
        <f t="shared" si="5"/>
        <v>340000</v>
      </c>
      <c r="U14" s="217">
        <v>0</v>
      </c>
      <c r="V14" s="216">
        <f t="shared" si="6"/>
        <v>340000</v>
      </c>
      <c r="W14" s="210">
        <f>-V14</f>
        <v>-340000</v>
      </c>
      <c r="X14" s="216">
        <f t="shared" si="7"/>
        <v>0</v>
      </c>
      <c r="Y14" s="217">
        <v>0</v>
      </c>
      <c r="Z14" s="216">
        <f t="shared" si="8"/>
        <v>0</v>
      </c>
      <c r="AA14" s="217">
        <v>0</v>
      </c>
      <c r="AB14" s="216">
        <f t="shared" si="9"/>
        <v>0</v>
      </c>
      <c r="AC14" s="217">
        <v>0</v>
      </c>
      <c r="AD14" s="216">
        <f t="shared" si="10"/>
        <v>0</v>
      </c>
      <c r="AE14" s="217">
        <v>0</v>
      </c>
      <c r="AF14" s="43"/>
    </row>
    <row r="15" spans="1:32">
      <c r="A15" s="205" t="s">
        <v>484</v>
      </c>
      <c r="B15" s="205" t="s">
        <v>485</v>
      </c>
      <c r="C15" s="217">
        <v>1000000</v>
      </c>
      <c r="D15" s="211">
        <v>0.2</v>
      </c>
      <c r="E15" s="213">
        <v>45658</v>
      </c>
      <c r="F15" s="217">
        <v>0</v>
      </c>
      <c r="G15" s="217">
        <v>0</v>
      </c>
      <c r="H15" s="216">
        <f t="shared" si="0"/>
        <v>1048874.6765908855</v>
      </c>
      <c r="I15" s="217">
        <v>0</v>
      </c>
      <c r="J15" s="216">
        <f t="shared" si="1"/>
        <v>1101318.4104204299</v>
      </c>
      <c r="K15" s="210"/>
      <c r="L15" s="216">
        <f t="shared" si="2"/>
        <v>1156384.3309414515</v>
      </c>
      <c r="M15" s="210"/>
      <c r="N15" s="216">
        <f t="shared" si="3"/>
        <v>1214203.5474885241</v>
      </c>
      <c r="O15" s="210">
        <f>-N15</f>
        <v>-1214203.5474885241</v>
      </c>
      <c r="P15" s="216">
        <f t="shared" si="11"/>
        <v>0</v>
      </c>
      <c r="Q15" s="217">
        <v>0</v>
      </c>
      <c r="R15" s="216">
        <f t="shared" si="4"/>
        <v>0</v>
      </c>
      <c r="S15" s="217">
        <v>0</v>
      </c>
      <c r="T15" s="216">
        <f t="shared" si="5"/>
        <v>0</v>
      </c>
      <c r="U15" s="217">
        <v>0</v>
      </c>
      <c r="V15" s="216">
        <f t="shared" si="6"/>
        <v>0</v>
      </c>
      <c r="W15" s="217">
        <v>0</v>
      </c>
      <c r="X15" s="216">
        <f t="shared" si="7"/>
        <v>0</v>
      </c>
      <c r="Y15" s="210"/>
      <c r="Z15" s="216">
        <f t="shared" si="8"/>
        <v>0</v>
      </c>
      <c r="AA15" s="217">
        <v>0</v>
      </c>
      <c r="AB15" s="216">
        <f t="shared" si="9"/>
        <v>0</v>
      </c>
      <c r="AC15" s="217">
        <v>0</v>
      </c>
      <c r="AD15" s="216">
        <f t="shared" si="10"/>
        <v>0</v>
      </c>
      <c r="AE15" s="217">
        <v>0</v>
      </c>
      <c r="AF15" s="43"/>
    </row>
    <row r="16" spans="1:32">
      <c r="A16" s="205" t="s">
        <v>486</v>
      </c>
      <c r="B16" s="205" t="s">
        <v>487</v>
      </c>
      <c r="C16" s="217">
        <v>62241.1</v>
      </c>
      <c r="D16" s="211">
        <v>0</v>
      </c>
      <c r="E16" s="213">
        <v>45657</v>
      </c>
      <c r="F16" s="217">
        <v>62241.1</v>
      </c>
      <c r="G16" s="217">
        <v>0</v>
      </c>
      <c r="H16" s="216">
        <f t="shared" si="0"/>
        <v>62241.1</v>
      </c>
      <c r="I16" s="217">
        <v>0</v>
      </c>
      <c r="J16" s="216">
        <f t="shared" si="1"/>
        <v>62241.1</v>
      </c>
      <c r="K16" s="210"/>
      <c r="L16" s="216">
        <f t="shared" si="2"/>
        <v>62241.1</v>
      </c>
      <c r="M16" s="210"/>
      <c r="N16" s="216">
        <f t="shared" si="3"/>
        <v>62241.1</v>
      </c>
      <c r="O16" s="210"/>
      <c r="P16" s="216">
        <f t="shared" si="11"/>
        <v>62241.1</v>
      </c>
      <c r="Q16" s="217">
        <v>0</v>
      </c>
      <c r="R16" s="216">
        <f t="shared" si="4"/>
        <v>62241.1</v>
      </c>
      <c r="S16" s="210">
        <f>-R16</f>
        <v>-62241.1</v>
      </c>
      <c r="T16" s="216">
        <f t="shared" si="5"/>
        <v>0</v>
      </c>
      <c r="U16" s="217">
        <v>0</v>
      </c>
      <c r="V16" s="216">
        <f t="shared" si="6"/>
        <v>0</v>
      </c>
      <c r="W16" s="217">
        <v>0</v>
      </c>
      <c r="X16" s="216">
        <f t="shared" si="7"/>
        <v>0</v>
      </c>
      <c r="Y16" s="210">
        <f>-X16</f>
        <v>0</v>
      </c>
      <c r="Z16" s="216">
        <f t="shared" si="8"/>
        <v>0</v>
      </c>
      <c r="AA16" s="217">
        <v>0</v>
      </c>
      <c r="AB16" s="216">
        <f t="shared" si="9"/>
        <v>0</v>
      </c>
      <c r="AC16" s="217">
        <v>0</v>
      </c>
      <c r="AD16" s="216">
        <f t="shared" si="10"/>
        <v>0</v>
      </c>
      <c r="AE16" s="217">
        <v>0</v>
      </c>
      <c r="AF16" s="43"/>
    </row>
    <row r="17" spans="1:32">
      <c r="A17" s="205" t="s">
        <v>488</v>
      </c>
      <c r="B17" s="205" t="s">
        <v>489</v>
      </c>
      <c r="C17" s="217">
        <v>1620000</v>
      </c>
      <c r="D17" s="211">
        <v>0</v>
      </c>
      <c r="E17" s="213">
        <v>46142</v>
      </c>
      <c r="F17" s="217">
        <v>0</v>
      </c>
      <c r="G17" s="217">
        <v>0</v>
      </c>
      <c r="H17" s="216">
        <f t="shared" si="0"/>
        <v>0</v>
      </c>
      <c r="I17" s="217">
        <v>0</v>
      </c>
      <c r="J17" s="216">
        <f t="shared" si="1"/>
        <v>0</v>
      </c>
      <c r="K17" s="210"/>
      <c r="L17" s="216">
        <f t="shared" si="2"/>
        <v>0</v>
      </c>
      <c r="M17" s="210"/>
      <c r="N17" s="216">
        <f t="shared" si="3"/>
        <v>0</v>
      </c>
      <c r="O17" s="210"/>
      <c r="P17" s="216">
        <f t="shared" si="11"/>
        <v>0</v>
      </c>
      <c r="Q17" s="217">
        <v>0</v>
      </c>
      <c r="R17" s="216">
        <f t="shared" si="4"/>
        <v>1620000</v>
      </c>
      <c r="S17" s="217">
        <v>-320000</v>
      </c>
      <c r="T17" s="216">
        <f t="shared" si="5"/>
        <v>1300000</v>
      </c>
      <c r="U17" s="217">
        <v>0</v>
      </c>
      <c r="V17" s="216">
        <f t="shared" si="6"/>
        <v>1300000</v>
      </c>
      <c r="W17" s="217">
        <v>-520000</v>
      </c>
      <c r="X17" s="216">
        <f t="shared" si="7"/>
        <v>780000</v>
      </c>
      <c r="Y17" s="217">
        <v>-390000</v>
      </c>
      <c r="Z17" s="216">
        <f t="shared" si="8"/>
        <v>390000</v>
      </c>
      <c r="AA17" s="217">
        <v>-390000</v>
      </c>
      <c r="AB17" s="216">
        <f t="shared" si="9"/>
        <v>0</v>
      </c>
      <c r="AC17" s="217">
        <v>0</v>
      </c>
      <c r="AD17" s="216">
        <f t="shared" si="10"/>
        <v>0</v>
      </c>
      <c r="AE17" s="217">
        <v>0</v>
      </c>
      <c r="AF17" s="43"/>
    </row>
    <row r="18" spans="1:32">
      <c r="A18" s="205" t="s">
        <v>490</v>
      </c>
      <c r="B18" s="205" t="s">
        <v>491</v>
      </c>
      <c r="C18" s="217">
        <v>2680000</v>
      </c>
      <c r="D18" s="219"/>
      <c r="E18" s="213">
        <v>46022</v>
      </c>
      <c r="F18" s="217">
        <v>0</v>
      </c>
      <c r="G18" s="217">
        <v>0</v>
      </c>
      <c r="H18" s="216">
        <f t="shared" si="0"/>
        <v>0</v>
      </c>
      <c r="I18" s="217">
        <v>0</v>
      </c>
      <c r="J18" s="216">
        <f t="shared" si="1"/>
        <v>0</v>
      </c>
      <c r="K18" s="210"/>
      <c r="L18" s="216">
        <f t="shared" si="2"/>
        <v>0</v>
      </c>
      <c r="M18" s="210"/>
      <c r="N18" s="216">
        <f t="shared" si="3"/>
        <v>2680000</v>
      </c>
      <c r="O18" s="210"/>
      <c r="P18" s="216">
        <f t="shared" si="11"/>
        <v>2680000</v>
      </c>
      <c r="Q18" s="217">
        <v>0</v>
      </c>
      <c r="R18" s="216">
        <f t="shared" si="4"/>
        <v>2680000</v>
      </c>
      <c r="S18" s="217">
        <v>-670000</v>
      </c>
      <c r="T18" s="216">
        <f t="shared" si="5"/>
        <v>2010000</v>
      </c>
      <c r="U18" s="217">
        <v>0</v>
      </c>
      <c r="V18" s="216">
        <f t="shared" si="6"/>
        <v>2010000</v>
      </c>
      <c r="W18" s="210">
        <f>-V18</f>
        <v>-2010000</v>
      </c>
      <c r="X18" s="216">
        <f t="shared" si="7"/>
        <v>0</v>
      </c>
      <c r="Y18" s="217">
        <v>0</v>
      </c>
      <c r="Z18" s="216">
        <f t="shared" si="8"/>
        <v>0</v>
      </c>
      <c r="AA18" s="217">
        <v>0</v>
      </c>
      <c r="AB18" s="216">
        <f t="shared" si="9"/>
        <v>0</v>
      </c>
      <c r="AC18" s="217">
        <v>0</v>
      </c>
      <c r="AD18" s="216">
        <f t="shared" si="10"/>
        <v>0</v>
      </c>
      <c r="AE18" s="217">
        <v>0</v>
      </c>
      <c r="AF18" s="43"/>
    </row>
    <row r="19" spans="1:32">
      <c r="A19" s="205" t="s">
        <v>492</v>
      </c>
      <c r="B19" s="205" t="s">
        <v>493</v>
      </c>
      <c r="C19" s="210">
        <f>-lgh_other_assets!E37</f>
        <v>1436131.85</v>
      </c>
      <c r="D19" s="211">
        <v>0</v>
      </c>
      <c r="E19" s="213">
        <v>45838</v>
      </c>
      <c r="F19" s="217">
        <v>0</v>
      </c>
      <c r="G19" s="217">
        <v>0</v>
      </c>
      <c r="H19" s="216">
        <f t="shared" si="0"/>
        <v>0</v>
      </c>
      <c r="I19" s="217">
        <v>0</v>
      </c>
      <c r="J19" s="216">
        <f t="shared" si="1"/>
        <v>1436131.85</v>
      </c>
      <c r="K19" s="210"/>
      <c r="L19" s="216">
        <f t="shared" si="2"/>
        <v>1436131.85</v>
      </c>
      <c r="M19" s="210"/>
      <c r="N19" s="216">
        <f t="shared" si="3"/>
        <v>1436131.85</v>
      </c>
      <c r="O19" s="210"/>
      <c r="P19" s="216">
        <f t="shared" si="11"/>
        <v>1436131.85</v>
      </c>
      <c r="Q19" s="217">
        <v>0</v>
      </c>
      <c r="R19" s="216">
        <f t="shared" si="4"/>
        <v>1436131.85</v>
      </c>
      <c r="S19" s="210"/>
      <c r="T19" s="216">
        <f t="shared" si="5"/>
        <v>1436131.85</v>
      </c>
      <c r="U19" s="217">
        <v>0</v>
      </c>
      <c r="V19" s="216">
        <f t="shared" si="6"/>
        <v>1436131.85</v>
      </c>
      <c r="W19" s="210">
        <f>-V19</f>
        <v>-1436131.85</v>
      </c>
      <c r="X19" s="216">
        <f t="shared" si="7"/>
        <v>0</v>
      </c>
      <c r="Y19" s="217">
        <v>0</v>
      </c>
      <c r="Z19" s="216">
        <f t="shared" si="8"/>
        <v>0</v>
      </c>
      <c r="AA19" s="217">
        <v>0</v>
      </c>
      <c r="AB19" s="216">
        <f t="shared" si="9"/>
        <v>0</v>
      </c>
      <c r="AC19" s="217">
        <v>0</v>
      </c>
      <c r="AD19" s="216">
        <f t="shared" si="10"/>
        <v>0</v>
      </c>
      <c r="AE19" s="217">
        <v>0</v>
      </c>
      <c r="AF19" s="43"/>
    </row>
    <row r="20" spans="1:32">
      <c r="A20" s="232"/>
      <c r="B20" s="46" t="s">
        <v>494</v>
      </c>
      <c r="C20" s="217">
        <v>0</v>
      </c>
      <c r="D20" s="211">
        <v>0.15</v>
      </c>
      <c r="E20" s="213">
        <v>46203</v>
      </c>
      <c r="F20" s="217">
        <v>0</v>
      </c>
      <c r="G20" s="217">
        <v>0</v>
      </c>
      <c r="H20" s="216">
        <f t="shared" si="0"/>
        <v>0</v>
      </c>
      <c r="I20" s="217">
        <v>0</v>
      </c>
      <c r="J20" s="216">
        <f t="shared" si="1"/>
        <v>0</v>
      </c>
      <c r="K20" s="210"/>
      <c r="L20" s="216">
        <f t="shared" si="2"/>
        <v>0</v>
      </c>
      <c r="M20" s="210"/>
      <c r="N20" s="216">
        <f t="shared" si="3"/>
        <v>0</v>
      </c>
      <c r="O20" s="210"/>
      <c r="P20" s="216">
        <f t="shared" si="11"/>
        <v>0</v>
      </c>
      <c r="Q20" s="217">
        <v>0</v>
      </c>
      <c r="R20" s="216">
        <f t="shared" si="4"/>
        <v>0</v>
      </c>
      <c r="S20" s="210"/>
      <c r="T20" s="216">
        <f t="shared" si="5"/>
        <v>0</v>
      </c>
      <c r="U20" s="217">
        <v>0</v>
      </c>
      <c r="V20" s="216">
        <f t="shared" si="6"/>
        <v>0</v>
      </c>
      <c r="W20" s="217">
        <v>0</v>
      </c>
      <c r="X20" s="216">
        <f t="shared" si="7"/>
        <v>0</v>
      </c>
      <c r="Y20" s="217">
        <v>0</v>
      </c>
      <c r="Z20" s="216">
        <f t="shared" si="8"/>
        <v>0</v>
      </c>
      <c r="AA20" s="217">
        <v>0</v>
      </c>
      <c r="AB20" s="216">
        <f t="shared" si="9"/>
        <v>0</v>
      </c>
      <c r="AC20" s="217">
        <v>0</v>
      </c>
      <c r="AD20" s="216">
        <f t="shared" si="10"/>
        <v>0</v>
      </c>
      <c r="AE20" s="217">
        <v>0</v>
      </c>
      <c r="AF20" s="43"/>
    </row>
    <row r="21" spans="1:32">
      <c r="A21" s="232"/>
      <c r="B21" s="46" t="s">
        <v>494</v>
      </c>
      <c r="C21" s="217">
        <v>0</v>
      </c>
      <c r="D21" s="211">
        <v>0.15</v>
      </c>
      <c r="E21" s="213">
        <v>46295</v>
      </c>
      <c r="F21" s="217">
        <v>0</v>
      </c>
      <c r="G21" s="217">
        <v>0</v>
      </c>
      <c r="H21" s="216">
        <f t="shared" si="0"/>
        <v>0</v>
      </c>
      <c r="I21" s="217">
        <v>0</v>
      </c>
      <c r="J21" s="216">
        <f t="shared" si="1"/>
        <v>0</v>
      </c>
      <c r="K21" s="210"/>
      <c r="L21" s="216">
        <f t="shared" si="2"/>
        <v>0</v>
      </c>
      <c r="M21" s="210"/>
      <c r="N21" s="216">
        <f t="shared" si="3"/>
        <v>0</v>
      </c>
      <c r="O21" s="210"/>
      <c r="P21" s="216">
        <f t="shared" si="11"/>
        <v>0</v>
      </c>
      <c r="Q21" s="217">
        <v>0</v>
      </c>
      <c r="R21" s="216">
        <f t="shared" si="4"/>
        <v>0</v>
      </c>
      <c r="S21" s="210"/>
      <c r="T21" s="216">
        <f t="shared" si="5"/>
        <v>0</v>
      </c>
      <c r="U21" s="217">
        <v>0</v>
      </c>
      <c r="V21" s="216">
        <f t="shared" si="6"/>
        <v>0</v>
      </c>
      <c r="W21" s="217">
        <v>0</v>
      </c>
      <c r="X21" s="216">
        <f t="shared" si="7"/>
        <v>0</v>
      </c>
      <c r="Y21" s="217">
        <v>0</v>
      </c>
      <c r="Z21" s="216">
        <f t="shared" si="8"/>
        <v>0</v>
      </c>
      <c r="AA21" s="217">
        <v>0</v>
      </c>
      <c r="AB21" s="216">
        <f t="shared" si="9"/>
        <v>0</v>
      </c>
      <c r="AC21" s="217">
        <v>0</v>
      </c>
      <c r="AD21" s="216">
        <f t="shared" si="10"/>
        <v>0</v>
      </c>
      <c r="AE21" s="217">
        <v>0</v>
      </c>
      <c r="AF21" s="43"/>
    </row>
    <row r="22" spans="1:32">
      <c r="A22" s="205" t="s">
        <v>495</v>
      </c>
      <c r="B22" s="46" t="s">
        <v>494</v>
      </c>
      <c r="C22" s="217">
        <v>16000000</v>
      </c>
      <c r="D22" s="211">
        <v>0.15</v>
      </c>
      <c r="E22" s="213">
        <v>46386</v>
      </c>
      <c r="F22" s="217">
        <v>0</v>
      </c>
      <c r="G22" s="217">
        <v>0</v>
      </c>
      <c r="H22" s="216">
        <f t="shared" si="0"/>
        <v>0</v>
      </c>
      <c r="I22" s="217">
        <v>0</v>
      </c>
      <c r="J22" s="216">
        <f t="shared" si="1"/>
        <v>0</v>
      </c>
      <c r="K22" s="210"/>
      <c r="L22" s="216">
        <f t="shared" si="2"/>
        <v>0</v>
      </c>
      <c r="M22" s="210"/>
      <c r="N22" s="216">
        <f t="shared" si="3"/>
        <v>0</v>
      </c>
      <c r="O22" s="210"/>
      <c r="P22" s="216">
        <f t="shared" si="11"/>
        <v>0</v>
      </c>
      <c r="Q22" s="217">
        <v>0</v>
      </c>
      <c r="R22" s="216">
        <f t="shared" si="4"/>
        <v>0</v>
      </c>
      <c r="S22" s="210"/>
      <c r="T22" s="216">
        <f t="shared" si="5"/>
        <v>0</v>
      </c>
      <c r="U22" s="217">
        <v>0</v>
      </c>
      <c r="V22" s="216">
        <f t="shared" si="6"/>
        <v>16006474.095939839</v>
      </c>
      <c r="W22" s="217">
        <v>0</v>
      </c>
      <c r="X22" s="216">
        <f t="shared" si="7"/>
        <v>18407445.210330814</v>
      </c>
      <c r="Y22" s="217">
        <v>0</v>
      </c>
      <c r="Z22" s="216">
        <f t="shared" si="8"/>
        <v>21168561.991880435</v>
      </c>
      <c r="AA22" s="217">
        <v>0</v>
      </c>
      <c r="AB22" s="216">
        <f t="shared" si="9"/>
        <v>24343846.290662497</v>
      </c>
      <c r="AC22" s="217">
        <v>0</v>
      </c>
      <c r="AD22" s="216">
        <f t="shared" si="10"/>
        <v>27995423.23426187</v>
      </c>
      <c r="AE22" s="217">
        <v>0</v>
      </c>
      <c r="AF22" s="43"/>
    </row>
    <row r="23" spans="1:32">
      <c r="A23" s="43"/>
      <c r="B23" s="235" t="s">
        <v>135</v>
      </c>
      <c r="C23" s="43"/>
      <c r="D23" s="43"/>
      <c r="E23" s="43"/>
      <c r="F23" s="263">
        <v>812241.1</v>
      </c>
      <c r="G23" s="210"/>
      <c r="H23" s="238">
        <f>SUM(H5:I22)</f>
        <v>3383115.7765908856</v>
      </c>
      <c r="I23" s="210"/>
      <c r="J23" s="238">
        <f>SUM(J5:K22)</f>
        <v>5020671.3604204301</v>
      </c>
      <c r="K23" s="210"/>
      <c r="L23" s="238">
        <f>SUM(L5:M22)</f>
        <v>5081889.2059414517</v>
      </c>
      <c r="M23" s="210"/>
      <c r="N23" s="238">
        <f>SUM(N5:O22)</f>
        <v>6989833.6678437497</v>
      </c>
      <c r="O23" s="210"/>
      <c r="P23" s="238">
        <f>SUM(P5:Q22)</f>
        <v>8001344.413481757</v>
      </c>
      <c r="Q23" s="210"/>
      <c r="R23" s="238">
        <f>SUM(R5:S22)</f>
        <v>8575801.243056858</v>
      </c>
      <c r="S23" s="210"/>
      <c r="T23" s="238">
        <f>SUM(T5:U22)</f>
        <v>8582691.7381072436</v>
      </c>
      <c r="U23" s="210"/>
      <c r="V23" s="238">
        <f>SUM(V5:W22)</f>
        <v>17286474.095939837</v>
      </c>
      <c r="W23" s="210"/>
      <c r="X23" s="238">
        <f>SUM(X5:Y22)</f>
        <v>18797445.210330814</v>
      </c>
      <c r="Y23" s="210"/>
      <c r="Z23" s="238">
        <f>SUM(Z5:AA22)</f>
        <v>21168561.991880435</v>
      </c>
      <c r="AA23" s="210"/>
      <c r="AB23" s="238">
        <f>SUM(AB5:AC22)</f>
        <v>24343846.290662497</v>
      </c>
      <c r="AC23" s="210"/>
      <c r="AD23" s="238">
        <f>SUM(AD5:AE22)</f>
        <v>27995423.23426187</v>
      </c>
      <c r="AE23" s="210"/>
      <c r="AF23" s="43"/>
    </row>
    <row r="24" spans="1:32">
      <c r="A24" s="43"/>
      <c r="B24" s="235" t="s">
        <v>385</v>
      </c>
      <c r="C24" s="43"/>
      <c r="D24" s="43"/>
      <c r="E24" s="43"/>
      <c r="F24" s="80">
        <v>2</v>
      </c>
      <c r="G24" s="43"/>
      <c r="H24" s="232">
        <f>COUNTIF(H5:H22,"&gt;0")</f>
        <v>6</v>
      </c>
      <c r="I24" s="43"/>
      <c r="J24" s="232">
        <f>COUNTIF(J5:J22,"&gt;0")</f>
        <v>7</v>
      </c>
      <c r="K24" s="43"/>
      <c r="L24" s="232">
        <f>COUNTIF(L5:L22,"&gt;0")</f>
        <v>7</v>
      </c>
      <c r="M24" s="43"/>
      <c r="N24" s="232">
        <f>COUNTIF(N5:N22,"&gt;0")</f>
        <v>10</v>
      </c>
      <c r="O24" s="43"/>
      <c r="P24" s="232">
        <f>COUNTIF(P5:P22,"&gt;0")</f>
        <v>9</v>
      </c>
      <c r="Q24" s="43"/>
      <c r="R24" s="232">
        <f>COUNTIF(R5:R22,"&gt;0")</f>
        <v>8</v>
      </c>
      <c r="S24" s="43"/>
      <c r="T24" s="232">
        <f>COUNTIF(T5:T22,"&gt;0")</f>
        <v>7</v>
      </c>
      <c r="U24" s="43"/>
      <c r="V24" s="232">
        <f>COUNTIF(V5:V22,"&gt;0")</f>
        <v>8</v>
      </c>
      <c r="W24" s="43"/>
      <c r="X24" s="232">
        <f>COUNTIF(X5:X22,"&gt;0")</f>
        <v>3</v>
      </c>
      <c r="Y24" s="43"/>
      <c r="Z24" s="232">
        <f>COUNTIF(Z5:Z22,"&gt;0")</f>
        <v>2</v>
      </c>
      <c r="AA24" s="43"/>
      <c r="AB24" s="232">
        <f>COUNTIF(AB5:AB22,"&gt;0")</f>
        <v>1</v>
      </c>
      <c r="AC24" s="43"/>
      <c r="AD24" s="232">
        <f>COUNTIF(AD5:AD22,"&gt;0")</f>
        <v>1</v>
      </c>
      <c r="AE24" s="43"/>
      <c r="AF24" s="43"/>
    </row>
    <row r="25" spans="1:32">
      <c r="A25" s="43"/>
      <c r="B25" s="43"/>
      <c r="C25" s="43"/>
      <c r="D25" s="43"/>
      <c r="E25" s="43"/>
      <c r="F25" s="43"/>
      <c r="G25" s="43"/>
      <c r="H25" s="204"/>
      <c r="I25" s="43"/>
      <c r="J25" s="43"/>
      <c r="K25" s="43"/>
      <c r="L25" s="43"/>
      <c r="M25" s="43"/>
      <c r="N25" s="43"/>
      <c r="O25" s="43"/>
      <c r="P25" s="43"/>
      <c r="Q25" s="43"/>
      <c r="R25" s="43"/>
      <c r="S25" s="43"/>
      <c r="T25" s="43"/>
      <c r="U25" s="43"/>
      <c r="V25" s="43"/>
      <c r="W25" s="43"/>
      <c r="X25" s="43"/>
      <c r="Y25" s="43"/>
      <c r="Z25" s="43"/>
      <c r="AA25" s="43"/>
      <c r="AB25" s="43"/>
      <c r="AC25" s="43"/>
      <c r="AD25" s="43"/>
      <c r="AE25" s="43"/>
      <c r="AF25" s="43"/>
    </row>
    <row r="26" spans="1:32">
      <c r="A26" s="205" t="s">
        <v>388</v>
      </c>
      <c r="B26" s="43"/>
      <c r="C26" s="43"/>
      <c r="D26" s="43"/>
      <c r="E26" s="43"/>
      <c r="F26" s="43"/>
      <c r="G26" s="43"/>
      <c r="H26" s="241"/>
      <c r="I26" s="43"/>
      <c r="J26" s="43"/>
      <c r="K26" s="43"/>
      <c r="L26" s="43"/>
      <c r="M26" s="43"/>
      <c r="N26" s="43"/>
      <c r="O26" s="43"/>
      <c r="P26" s="43"/>
      <c r="Q26" s="43"/>
      <c r="R26" s="43"/>
      <c r="S26" s="43"/>
      <c r="T26" s="43"/>
      <c r="U26" s="43"/>
      <c r="V26" s="43"/>
      <c r="W26" s="43"/>
      <c r="X26" s="43"/>
      <c r="Y26" s="43"/>
      <c r="Z26" s="43"/>
      <c r="AA26" s="43"/>
      <c r="AB26" s="43"/>
      <c r="AC26" s="43"/>
      <c r="AD26" s="43"/>
      <c r="AE26" s="43"/>
      <c r="AF26" s="43"/>
    </row>
    <row r="27" spans="1:32">
      <c r="A27" s="205" t="s">
        <v>389</v>
      </c>
      <c r="B27" s="43"/>
      <c r="C27" s="43"/>
      <c r="D27" s="43"/>
      <c r="E27" s="43"/>
      <c r="F27" s="43"/>
      <c r="G27" s="43"/>
      <c r="H27" s="234"/>
      <c r="I27" s="43"/>
      <c r="J27" s="43"/>
      <c r="K27" s="43"/>
      <c r="L27" s="43"/>
      <c r="M27" s="43"/>
      <c r="N27" s="43"/>
      <c r="O27" s="43"/>
      <c r="P27" s="43"/>
      <c r="Q27" s="43"/>
      <c r="R27" s="43"/>
      <c r="S27" s="43"/>
      <c r="T27" s="43"/>
      <c r="U27" s="43"/>
      <c r="V27" s="43"/>
      <c r="W27" s="43"/>
      <c r="X27" s="43"/>
      <c r="Y27" s="43"/>
      <c r="Z27" s="43"/>
      <c r="AA27" s="43"/>
      <c r="AB27" s="43"/>
      <c r="AC27" s="43"/>
      <c r="AD27" s="43"/>
      <c r="AE27" s="43"/>
      <c r="AF27" s="43"/>
    </row>
    <row r="28" spans="1:32">
      <c r="A28" s="205" t="s">
        <v>496</v>
      </c>
      <c r="B28" s="43"/>
      <c r="C28" s="43"/>
      <c r="D28" s="43"/>
      <c r="E28" s="43"/>
      <c r="F28" s="217">
        <v>-750000</v>
      </c>
      <c r="G28" s="43"/>
      <c r="H28" s="217">
        <v>-2608000</v>
      </c>
      <c r="I28" s="43"/>
      <c r="J28" s="221">
        <v>-1436132</v>
      </c>
      <c r="K28" s="43"/>
      <c r="L28" s="214"/>
      <c r="M28" s="43"/>
      <c r="N28" s="268">
        <f>-210000-2680000</f>
        <v>-2890000</v>
      </c>
      <c r="O28" s="232"/>
      <c r="P28" s="234">
        <f>-P5-P14</f>
        <v>-1840000</v>
      </c>
      <c r="Q28" s="43"/>
      <c r="R28" s="234">
        <f>-R17</f>
        <v>-1620000</v>
      </c>
      <c r="S28" s="43"/>
      <c r="T28" s="214"/>
      <c r="U28" s="214"/>
      <c r="V28" s="214"/>
      <c r="W28" s="43"/>
      <c r="X28" s="43"/>
      <c r="Y28" s="43"/>
      <c r="Z28" s="43"/>
      <c r="AA28" s="43"/>
      <c r="AB28" s="43"/>
      <c r="AC28" s="43"/>
      <c r="AD28" s="43"/>
      <c r="AE28" s="43"/>
      <c r="AF28" s="43"/>
    </row>
    <row r="29" spans="1:32">
      <c r="A29" s="205" t="s">
        <v>391</v>
      </c>
      <c r="B29" s="232"/>
      <c r="C29" s="232"/>
      <c r="D29" s="232"/>
      <c r="E29" s="232"/>
      <c r="F29" s="263">
        <v>62241.099999999977</v>
      </c>
      <c r="G29" s="234"/>
      <c r="H29" s="242">
        <f t="array" ref="H29">SUMPRODUCT((YEAR(H3)=YEAR($E$5:$E22))*(ROUNDUP(MONTH($E$5:$E22)/3,0)=H4)*$C$5:$C22)+SUMIF(I5:I22,"&gt;0")+H28</f>
        <v>-86000</v>
      </c>
      <c r="I29" s="234"/>
      <c r="J29" s="242">
        <f t="array" ref="J29">SUMPRODUCT((YEAR(J3)=YEAR($E$5:$E22))*(ROUNDUP(MONTH($E$5:$E22)/3,0)=J4)*$C$5:$C22)+SUMIF(K5:K22,"&gt;0")+J28</f>
        <v>142999.85000000009</v>
      </c>
      <c r="K29" s="234"/>
      <c r="L29" s="242">
        <f t="array" ref="L29">SUMPRODUCT((YEAR(L3)=YEAR($E$5:$E22))*(ROUNDUP(MONTH($E$5:$E22)/3,0)=L4)*$C$5:$C22)+SUMIF(M5:M22,"&gt;0")+L28</f>
        <v>0</v>
      </c>
      <c r="M29" s="234"/>
      <c r="N29" s="242">
        <f t="array" ref="N29">SUMPRODUCT((YEAR(N3)=YEAR($E$5:$E22))*(ROUNDUP(MONTH($E$5:$E22)/3,0)=N4)*$C$5:$C22)+SUMIF(O5:O22,"&gt;0")+N28</f>
        <v>1625000</v>
      </c>
      <c r="O29" s="234"/>
      <c r="P29" s="242">
        <f t="array" ref="P29">SUMPRODUCT((YEAR(P3)=YEAR($E$5:$E22))*(ROUNDUP(MONTH($E$5:$E22)/3,0)=P4)*$C$5:$C22)+SUMIF(Q5:Q22,"&gt;0")+P28</f>
        <v>0</v>
      </c>
      <c r="Q29" s="234"/>
      <c r="R29" s="242">
        <f t="array" ref="R29">SUMPRODUCT((YEAR(R3)=YEAR($E$5:$E22))*(ROUNDUP(MONTH($E$5:$E22)/3,0)=R4)*$C$5:$C22)+SUMIF(S5:S22,"&gt;0")+R28</f>
        <v>0</v>
      </c>
      <c r="S29" s="234"/>
      <c r="T29" s="242">
        <f t="array" ref="T29">SUMPRODUCT((YEAR(T3)=YEAR($E$5:$E22))*(ROUNDUP(MONTH($E$5:$E22)/3,0)=T4)*$C$5:$C22)+SUMIF(U5:U22,"&gt;0")+T28</f>
        <v>0</v>
      </c>
      <c r="U29" s="234"/>
      <c r="V29" s="242">
        <f t="array" ref="V29">SUMPRODUCT((YEAR(V3)=YEAR($E$5:$E22))*(ROUNDUP(MONTH($E$5:$E22)/3,0)=V4)*$C$5:$C22)+SUMIF(W5:W22,"&gt;0")+V28</f>
        <v>16000000</v>
      </c>
      <c r="W29" s="234"/>
      <c r="X29" s="242">
        <f t="array" ref="X29">SUMPRODUCT((YEAR(X3)=YEAR($E$5:$E22))*(ROUNDUP(MONTH($E$5:$E22)/3,0)&lt;=X4)*$C$5:$C22)+SUMIF(Y5:Y22,"&gt;0")+X28</f>
        <v>0</v>
      </c>
      <c r="Y29" s="234"/>
      <c r="Z29" s="242">
        <f t="array" ref="Z29">SUMPRODUCT((YEAR(Z3)=YEAR($E$5:$E22))*(ROUNDUP(MONTH($E$5:$E22)/3,0)&lt;=Z4)*$C$5:$C22)+SUMIF(AA5:AA22,"&gt;0")+Z28</f>
        <v>0</v>
      </c>
      <c r="AA29" s="234"/>
      <c r="AB29" s="242">
        <f t="array" ref="AB29">SUMPRODUCT((YEAR(AB3)=YEAR($E$5:$E22))*(ROUNDUP(MONTH($E$5:$E22)/3,0)&lt;=AB4)*$C$5:$C22)+SUMIF(AC5:AC22,"&gt;0")+AB28</f>
        <v>0</v>
      </c>
      <c r="AC29" s="234"/>
      <c r="AD29" s="242">
        <f t="array" ref="AD29">SUMPRODUCT((YEAR(AD3)=YEAR($E$5:$E22))*(ROUNDUP(MONTH($E$5:$E22)/3,0)&lt;=AD4)*$C$5:$C22)+SUMIF(AE5:AE22,"&gt;0")+AD28</f>
        <v>0</v>
      </c>
      <c r="AE29" s="234"/>
      <c r="AF29" s="43"/>
    </row>
    <row r="30" spans="1:32">
      <c r="A30" s="43"/>
      <c r="B30" s="43"/>
      <c r="C30" s="43"/>
      <c r="D30" s="43"/>
      <c r="E30" s="232"/>
      <c r="F30" s="43"/>
      <c r="G30" s="43"/>
      <c r="H30" s="232"/>
      <c r="I30" s="43"/>
      <c r="J30" s="43"/>
      <c r="K30" s="43"/>
      <c r="L30" s="43"/>
      <c r="M30" s="43"/>
      <c r="N30" s="43"/>
      <c r="O30" s="232"/>
      <c r="P30" s="43"/>
      <c r="Q30" s="43"/>
      <c r="R30" s="43"/>
      <c r="S30" s="43"/>
      <c r="T30" s="43"/>
      <c r="U30" s="43"/>
      <c r="V30" s="43"/>
      <c r="W30" s="43"/>
      <c r="X30" s="43"/>
      <c r="Y30" s="43"/>
      <c r="Z30" s="43"/>
      <c r="AA30" s="43"/>
      <c r="AB30" s="43"/>
      <c r="AC30" s="43"/>
      <c r="AD30" s="43"/>
      <c r="AE30" s="43"/>
      <c r="AF30" s="43"/>
    </row>
    <row r="31" spans="1:32">
      <c r="A31" s="205" t="s">
        <v>459</v>
      </c>
      <c r="B31" s="43"/>
      <c r="C31" s="43"/>
      <c r="D31" s="43"/>
      <c r="E31" s="43"/>
      <c r="F31" s="43"/>
      <c r="G31" s="43"/>
      <c r="H31" s="43"/>
      <c r="I31" s="43"/>
      <c r="J31" s="43"/>
      <c r="K31" s="43"/>
      <c r="L31" s="43"/>
      <c r="M31" s="43"/>
      <c r="N31" s="43"/>
      <c r="O31" s="43"/>
      <c r="P31" s="43"/>
      <c r="Q31" s="43"/>
      <c r="R31" s="43"/>
      <c r="S31" s="43"/>
      <c r="T31" s="43"/>
      <c r="U31" s="43"/>
      <c r="V31" s="43"/>
      <c r="W31" s="43"/>
      <c r="X31" s="43"/>
      <c r="Y31" s="43"/>
      <c r="Z31" s="43"/>
      <c r="AA31" s="43"/>
      <c r="AB31" s="43"/>
      <c r="AC31" s="43"/>
      <c r="AD31" s="43"/>
      <c r="AE31" s="43"/>
      <c r="AF31" s="43"/>
    </row>
    <row r="32" spans="1:32">
      <c r="A32" s="205" t="s">
        <v>384</v>
      </c>
      <c r="B32" s="43"/>
      <c r="C32" s="43"/>
      <c r="D32" s="43"/>
      <c r="E32" s="232"/>
      <c r="F32" s="43"/>
      <c r="G32" s="43"/>
      <c r="H32" s="232"/>
      <c r="I32" s="43"/>
      <c r="J32" s="43"/>
      <c r="K32" s="43"/>
      <c r="L32" s="43"/>
      <c r="M32" s="43"/>
      <c r="N32" s="43"/>
      <c r="O32" s="232"/>
      <c r="P32" s="43"/>
      <c r="Q32" s="43"/>
      <c r="R32" s="43"/>
      <c r="S32" s="43"/>
      <c r="T32" s="43"/>
      <c r="U32" s="43"/>
      <c r="V32" s="43"/>
      <c r="W32" s="43"/>
      <c r="X32" s="43"/>
      <c r="Y32" s="43"/>
      <c r="Z32" s="43"/>
      <c r="AA32" s="43"/>
      <c r="AB32" s="43"/>
      <c r="AC32" s="43"/>
      <c r="AD32" s="43"/>
      <c r="AE32" s="43"/>
      <c r="AF32" s="43"/>
    </row>
    <row r="33" spans="1:32">
      <c r="A33" s="205" t="s">
        <v>460</v>
      </c>
      <c r="B33" s="232"/>
      <c r="C33" s="232"/>
      <c r="D33" s="232"/>
      <c r="E33" s="232"/>
      <c r="F33" s="210"/>
      <c r="G33" s="269">
        <v>0</v>
      </c>
      <c r="H33" s="210"/>
      <c r="I33" s="264">
        <f>SUMIF(I5:I22,"&lt;0")+I32</f>
        <v>0</v>
      </c>
      <c r="J33" s="210"/>
      <c r="K33" s="264">
        <f>SUMIF(K5:K22,"&lt;0")+K32</f>
        <v>0</v>
      </c>
      <c r="L33" s="210"/>
      <c r="M33" s="264">
        <f>SUMIF(M5:M22,"&lt;0")+M32</f>
        <v>0</v>
      </c>
      <c r="N33" s="210"/>
      <c r="O33" s="264">
        <f>SUMIF(O5:O22,"&lt;0")+O32</f>
        <v>-2671203.5474885241</v>
      </c>
      <c r="P33" s="210"/>
      <c r="Q33" s="264">
        <f>SUMIF(Q5:Q22,"&lt;0")+Q32</f>
        <v>-435000</v>
      </c>
      <c r="R33" s="210"/>
      <c r="S33" s="264">
        <f>SUMIF(S5:S22,"&lt;0")+S32</f>
        <v>-1052241.1000000001</v>
      </c>
      <c r="T33" s="210"/>
      <c r="U33" s="264">
        <f>SUMIF(U5:U22,"&lt;0")+U32</f>
        <v>0</v>
      </c>
      <c r="V33" s="210"/>
      <c r="W33" s="264">
        <f>SUMIF(W5:W22,"&lt;0")+W32</f>
        <v>-7309780.3348903265</v>
      </c>
      <c r="X33" s="210"/>
      <c r="Y33" s="264">
        <f>SUMIF(Y5:Y22,"&lt;0")+Y32</f>
        <v>-890000</v>
      </c>
      <c r="Z33" s="210"/>
      <c r="AA33" s="264">
        <f>SUMIF(AA5:AA22,"&lt;0")+AA32</f>
        <v>-390000</v>
      </c>
      <c r="AB33" s="210"/>
      <c r="AC33" s="264">
        <f>SUMIF(AC5:AC22,"&lt;0")+AC32</f>
        <v>0</v>
      </c>
      <c r="AD33" s="210"/>
      <c r="AE33" s="264">
        <f>SUMIF(AE5:AE22,"&lt;0")+AE32</f>
        <v>0</v>
      </c>
      <c r="AF33" s="43"/>
    </row>
    <row r="34" spans="1:32">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c r="AA34" s="43"/>
      <c r="AB34" s="43"/>
      <c r="AC34" s="43"/>
      <c r="AD34" s="43"/>
      <c r="AE34" s="43"/>
      <c r="AF34" s="43"/>
    </row>
    <row r="35" spans="1:32">
      <c r="A35" s="205" t="s">
        <v>497</v>
      </c>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row>
    <row r="36" spans="1:32">
      <c r="A36" s="270" t="s">
        <v>498</v>
      </c>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row>
    <row r="37" spans="1:32">
      <c r="A37" s="270" t="s">
        <v>499</v>
      </c>
      <c r="B37" s="43"/>
      <c r="C37" s="43"/>
      <c r="D37" s="43"/>
      <c r="E37" s="43"/>
      <c r="F37" s="43"/>
      <c r="G37" s="43"/>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
    <tabColor rgb="FFD9E1F2"/>
  </sheetPr>
  <dimension ref="A1:T55"/>
  <sheetViews>
    <sheetView showGridLines="0" zoomScale="91" zoomScaleNormal="70" workbookViewId="0">
      <pane xSplit="1" ySplit="3" topLeftCell="D24" activePane="bottomRight" state="frozen"/>
      <selection pane="topRight" activeCell="B1" sqref="B1"/>
      <selection pane="bottomLeft" activeCell="A4" sqref="A4"/>
      <selection pane="bottomRight" activeCell="H44" sqref="H44"/>
    </sheetView>
  </sheetViews>
  <sheetFormatPr defaultRowHeight="14.5"/>
  <cols>
    <col min="1" max="1" width="42.54296875" bestFit="1" customWidth="1"/>
    <col min="2" max="2" width="15.6328125" style="18" bestFit="1" customWidth="1"/>
    <col min="3" max="4" width="14.54296875" bestFit="1" customWidth="1"/>
    <col min="5" max="6" width="15" bestFit="1" customWidth="1"/>
    <col min="7" max="7" width="14.54296875" bestFit="1" customWidth="1"/>
    <col min="8" max="9" width="15.6328125" bestFit="1" customWidth="1"/>
    <col min="10" max="10" width="15.453125" bestFit="1" customWidth="1"/>
    <col min="11" max="11" width="16.6328125" bestFit="1" customWidth="1"/>
    <col min="12" max="12" width="16" bestFit="1" customWidth="1"/>
    <col min="13" max="13" width="14.6328125" bestFit="1" customWidth="1"/>
    <col min="14" max="14" width="15" bestFit="1" customWidth="1"/>
    <col min="15" max="15" width="23.54296875" bestFit="1" customWidth="1"/>
    <col min="16" max="16" width="31.54296875" bestFit="1" customWidth="1"/>
    <col min="17" max="17" width="14.6328125" bestFit="1" customWidth="1"/>
    <col min="18" max="18" width="16" bestFit="1" customWidth="1"/>
    <col min="19" max="19" width="6.26953125" bestFit="1" customWidth="1"/>
  </cols>
  <sheetData>
    <row r="1" spans="1:20" s="37" customFormat="1" ht="18.399999999999999" customHeight="1">
      <c r="A1" s="67" t="s">
        <v>500</v>
      </c>
      <c r="B1" s="43"/>
      <c r="C1" s="43"/>
      <c r="D1" s="43"/>
      <c r="E1" s="43"/>
      <c r="F1" s="43"/>
      <c r="G1" s="43"/>
      <c r="H1" s="43"/>
      <c r="I1" s="43"/>
      <c r="J1" s="43"/>
      <c r="K1" s="43"/>
      <c r="L1" s="43"/>
      <c r="M1" s="43"/>
      <c r="N1" s="43"/>
      <c r="O1" s="43"/>
      <c r="P1" s="43"/>
      <c r="Q1" s="43"/>
      <c r="R1" s="43"/>
      <c r="S1" s="43"/>
      <c r="T1" s="43"/>
    </row>
    <row r="2" spans="1:20" s="22" customFormat="1">
      <c r="A2" s="49"/>
      <c r="B2" s="147">
        <v>45657</v>
      </c>
      <c r="C2" s="148">
        <f>+lgh_bs!E2</f>
        <v>45747</v>
      </c>
      <c r="D2" s="148">
        <f>+lgh_bs!F2</f>
        <v>45838</v>
      </c>
      <c r="E2" s="148">
        <f>+lgh_bs!G2</f>
        <v>45930</v>
      </c>
      <c r="F2" s="148">
        <f>+lgh_bs!H2</f>
        <v>46022</v>
      </c>
      <c r="G2" s="148">
        <f>+lgh_bs!I2</f>
        <v>46112</v>
      </c>
      <c r="H2" s="148">
        <f>+lgh_bs!J2</f>
        <v>46203</v>
      </c>
      <c r="I2" s="148">
        <f>+lgh_bs!K2</f>
        <v>46295</v>
      </c>
      <c r="J2" s="148">
        <f>+lgh_bs!L2</f>
        <v>46387</v>
      </c>
      <c r="K2" s="148">
        <f>+lgh_bs!M2</f>
        <v>46752</v>
      </c>
      <c r="L2" s="148">
        <f>+lgh_bs!N2</f>
        <v>47118</v>
      </c>
      <c r="M2" s="148">
        <f>+lgh_bs!O2</f>
        <v>47483</v>
      </c>
      <c r="N2" s="148">
        <f>+lgh_bs!P2</f>
        <v>47848</v>
      </c>
      <c r="O2" s="43"/>
      <c r="P2" s="43"/>
      <c r="Q2" s="43"/>
      <c r="R2" s="43"/>
      <c r="S2" s="43"/>
      <c r="T2" s="43"/>
    </row>
    <row r="3" spans="1:20" s="22" customFormat="1">
      <c r="A3" s="49"/>
      <c r="B3" s="147" t="s">
        <v>2</v>
      </c>
      <c r="C3" s="271" t="str">
        <f>+lgh_bs!E3</f>
        <v>Q1</v>
      </c>
      <c r="D3" s="271" t="str">
        <f>+lgh_bs!F3</f>
        <v>Q2</v>
      </c>
      <c r="E3" s="271" t="str">
        <f>+lgh_bs!G3</f>
        <v>Q3</v>
      </c>
      <c r="F3" s="271" t="str">
        <f>+lgh_bs!H3</f>
        <v>Q4</v>
      </c>
      <c r="G3" s="271" t="str">
        <f>+lgh_bs!I3</f>
        <v>Q1</v>
      </c>
      <c r="H3" s="271" t="str">
        <f>+lgh_bs!J3</f>
        <v>Q2</v>
      </c>
      <c r="I3" s="271" t="str">
        <f>+lgh_bs!K3</f>
        <v>Q3</v>
      </c>
      <c r="J3" s="271" t="str">
        <f>+lgh_bs!L3</f>
        <v>Q4</v>
      </c>
      <c r="K3" s="271" t="str">
        <f>+lgh_bs!M3</f>
        <v>Q4</v>
      </c>
      <c r="L3" s="271" t="str">
        <f>+lgh_bs!N3</f>
        <v>Q4</v>
      </c>
      <c r="M3" s="271" t="str">
        <f>+lgh_bs!O3</f>
        <v>Q4</v>
      </c>
      <c r="N3" s="271" t="str">
        <f>+lgh_bs!P3</f>
        <v>Q4</v>
      </c>
      <c r="O3" s="46" t="s">
        <v>501</v>
      </c>
      <c r="P3" s="43"/>
      <c r="Q3" s="43"/>
      <c r="R3" s="43"/>
      <c r="S3" s="43"/>
      <c r="T3" s="43"/>
    </row>
    <row r="4" spans="1:20" s="37" customFormat="1">
      <c r="A4" s="67" t="s">
        <v>502</v>
      </c>
      <c r="B4" s="43"/>
      <c r="C4" s="43"/>
      <c r="D4" s="43"/>
      <c r="E4" s="43"/>
      <c r="F4" s="43"/>
      <c r="G4" s="43"/>
      <c r="H4" s="43"/>
      <c r="I4" s="43"/>
      <c r="J4" s="43"/>
      <c r="K4" s="43"/>
      <c r="L4" s="43"/>
      <c r="M4" s="43"/>
      <c r="N4" s="43"/>
      <c r="O4" s="43"/>
      <c r="P4" s="43"/>
      <c r="Q4" s="43"/>
      <c r="R4" s="43"/>
      <c r="S4" s="43"/>
      <c r="T4" s="43"/>
    </row>
    <row r="5" spans="1:20" s="37" customFormat="1">
      <c r="A5" s="67" t="s">
        <v>503</v>
      </c>
      <c r="B5" s="43"/>
      <c r="C5" s="43"/>
      <c r="D5" s="43"/>
      <c r="E5" s="43"/>
      <c r="F5" s="43"/>
      <c r="G5" s="43"/>
      <c r="H5" s="43"/>
      <c r="I5" s="43"/>
      <c r="J5" s="43"/>
      <c r="K5" s="43"/>
      <c r="L5" s="43"/>
      <c r="M5" s="43"/>
      <c r="N5" s="43"/>
      <c r="O5" s="43"/>
      <c r="P5" s="43"/>
      <c r="Q5" s="43"/>
      <c r="R5" s="43"/>
      <c r="S5" s="43"/>
      <c r="T5" s="43"/>
    </row>
    <row r="6" spans="1:20" s="37" customFormat="1">
      <c r="A6" s="67" t="s">
        <v>504</v>
      </c>
      <c r="B6" s="43"/>
      <c r="C6" s="43"/>
      <c r="D6" s="43"/>
      <c r="E6" s="43"/>
      <c r="F6" s="43"/>
      <c r="G6" s="43"/>
      <c r="H6" s="43"/>
      <c r="I6" s="43"/>
      <c r="J6" s="43"/>
      <c r="K6" s="68">
        <v>-12500000</v>
      </c>
      <c r="L6" s="43"/>
      <c r="M6" s="43"/>
      <c r="N6" s="43"/>
      <c r="O6" s="43"/>
      <c r="P6" s="43"/>
      <c r="Q6" s="43"/>
      <c r="R6" s="43"/>
      <c r="S6" s="43"/>
      <c r="T6" s="43"/>
    </row>
    <row r="7" spans="1:20" s="37" customFormat="1">
      <c r="A7" s="43"/>
      <c r="B7" s="43"/>
      <c r="C7" s="43"/>
      <c r="D7" s="43"/>
      <c r="E7" s="43"/>
      <c r="F7" s="43"/>
      <c r="G7" s="43"/>
      <c r="H7" s="43"/>
      <c r="I7" s="43"/>
      <c r="J7" s="43"/>
      <c r="K7" s="43"/>
      <c r="L7" s="43"/>
      <c r="M7" s="43"/>
      <c r="N7" s="43"/>
      <c r="O7" s="43"/>
      <c r="P7" s="43"/>
      <c r="Q7" s="43"/>
      <c r="R7" s="43"/>
      <c r="S7" s="43"/>
      <c r="T7" s="43"/>
    </row>
    <row r="8" spans="1:20" s="37" customFormat="1">
      <c r="A8" s="67" t="s">
        <v>505</v>
      </c>
      <c r="B8" s="68">
        <v>0</v>
      </c>
      <c r="C8" s="136">
        <f t="shared" ref="C8:N8" si="0">SUM(C6:C7)</f>
        <v>0</v>
      </c>
      <c r="D8" s="136">
        <f t="shared" si="0"/>
        <v>0</v>
      </c>
      <c r="E8" s="136">
        <f t="shared" si="0"/>
        <v>0</v>
      </c>
      <c r="F8" s="136">
        <f t="shared" si="0"/>
        <v>0</v>
      </c>
      <c r="G8" s="136">
        <f t="shared" si="0"/>
        <v>0</v>
      </c>
      <c r="H8" s="136">
        <f t="shared" si="0"/>
        <v>0</v>
      </c>
      <c r="I8" s="136">
        <f t="shared" si="0"/>
        <v>0</v>
      </c>
      <c r="J8" s="136">
        <f t="shared" si="0"/>
        <v>0</v>
      </c>
      <c r="K8" s="136">
        <f t="shared" si="0"/>
        <v>-12500000</v>
      </c>
      <c r="L8" s="136">
        <f t="shared" si="0"/>
        <v>0</v>
      </c>
      <c r="M8" s="136">
        <f t="shared" si="0"/>
        <v>0</v>
      </c>
      <c r="N8" s="136">
        <f t="shared" si="0"/>
        <v>0</v>
      </c>
      <c r="O8" s="43"/>
      <c r="P8" s="43"/>
      <c r="Q8" s="43"/>
      <c r="R8" s="43"/>
      <c r="S8" s="43"/>
      <c r="T8" s="43"/>
    </row>
    <row r="9" spans="1:20" s="37" customFormat="1">
      <c r="A9" s="67" t="s">
        <v>506</v>
      </c>
      <c r="B9" s="43"/>
      <c r="C9" s="43"/>
      <c r="D9" s="43"/>
      <c r="E9" s="43"/>
      <c r="F9" s="43"/>
      <c r="G9" s="43"/>
      <c r="H9" s="43"/>
      <c r="I9" s="43"/>
      <c r="J9" s="43"/>
      <c r="K9" s="43"/>
      <c r="L9" s="43"/>
      <c r="M9" s="43"/>
      <c r="N9" s="43"/>
      <c r="O9" s="43"/>
      <c r="P9" s="43"/>
      <c r="Q9" s="43"/>
      <c r="R9" s="43"/>
      <c r="S9" s="43"/>
      <c r="T9" s="43"/>
    </row>
    <row r="10" spans="1:20" s="37" customFormat="1">
      <c r="A10" s="67" t="s">
        <v>507</v>
      </c>
      <c r="B10" s="43"/>
      <c r="C10" s="43"/>
      <c r="D10" s="43"/>
      <c r="E10" s="43"/>
      <c r="F10" s="43"/>
      <c r="G10" s="43"/>
      <c r="H10" s="43"/>
      <c r="I10" s="43"/>
      <c r="J10" s="43"/>
      <c r="K10" s="43"/>
      <c r="L10" s="43"/>
      <c r="M10" s="43"/>
      <c r="N10" s="43"/>
      <c r="O10" s="43"/>
      <c r="P10" s="43"/>
      <c r="Q10" s="43"/>
      <c r="R10" s="43"/>
      <c r="S10" s="43"/>
      <c r="T10" s="43"/>
    </row>
    <row r="11" spans="1:20" s="37" customFormat="1">
      <c r="A11" s="67" t="s">
        <v>508</v>
      </c>
      <c r="B11" s="43"/>
      <c r="C11" s="43"/>
      <c r="D11" s="43"/>
      <c r="E11" s="137">
        <f>500000+1200000</f>
        <v>1700000</v>
      </c>
      <c r="F11" s="43"/>
      <c r="G11" s="43"/>
      <c r="H11" s="43"/>
      <c r="I11" s="43"/>
      <c r="J11" s="43"/>
      <c r="K11" s="43"/>
      <c r="L11" s="43"/>
      <c r="M11" s="43"/>
      <c r="N11" s="43"/>
      <c r="O11" s="43"/>
      <c r="P11" s="43"/>
      <c r="Q11" s="43"/>
      <c r="R11" s="43"/>
      <c r="S11" s="43"/>
      <c r="T11" s="43"/>
    </row>
    <row r="12" spans="1:20" s="37" customFormat="1">
      <c r="A12" s="67" t="s">
        <v>509</v>
      </c>
      <c r="B12" s="43"/>
      <c r="C12" s="43"/>
      <c r="D12" s="43"/>
      <c r="E12" s="43"/>
      <c r="F12" s="43"/>
      <c r="G12" s="43"/>
      <c r="H12" s="43"/>
      <c r="I12" s="43"/>
      <c r="J12" s="43"/>
      <c r="K12" s="43"/>
      <c r="L12" s="43"/>
      <c r="M12" s="43"/>
      <c r="N12" s="43"/>
      <c r="O12" s="43"/>
      <c r="P12" s="43"/>
      <c r="Q12" s="43"/>
      <c r="R12" s="43"/>
      <c r="S12" s="43"/>
      <c r="T12" s="43"/>
    </row>
    <row r="13" spans="1:20" s="37" customFormat="1">
      <c r="A13" s="67" t="s">
        <v>510</v>
      </c>
      <c r="B13" s="43"/>
      <c r="C13" s="43"/>
      <c r="D13" s="43"/>
      <c r="E13" s="43"/>
      <c r="F13" s="43"/>
      <c r="G13" s="43"/>
      <c r="H13" s="43"/>
      <c r="I13" s="43"/>
      <c r="J13" s="43"/>
      <c r="K13" s="43"/>
      <c r="L13" s="43"/>
      <c r="M13" s="43"/>
      <c r="N13" s="43"/>
      <c r="O13" s="43"/>
      <c r="P13" s="43"/>
      <c r="Q13" s="43"/>
      <c r="R13" s="43"/>
      <c r="S13" s="43"/>
      <c r="T13" s="43"/>
    </row>
    <row r="14" spans="1:20" s="37" customFormat="1">
      <c r="A14" s="67" t="s">
        <v>511</v>
      </c>
      <c r="B14" s="43"/>
      <c r="C14" s="43"/>
      <c r="D14" s="43"/>
      <c r="E14" s="43"/>
      <c r="F14" s="43"/>
      <c r="G14" s="43"/>
      <c r="H14" s="43"/>
      <c r="I14" s="43"/>
      <c r="J14" s="43"/>
      <c r="K14" s="43"/>
      <c r="L14" s="43"/>
      <c r="M14" s="43"/>
      <c r="N14" s="43"/>
      <c r="O14" s="43"/>
      <c r="P14" s="43"/>
      <c r="Q14" s="43"/>
      <c r="R14" s="43"/>
      <c r="S14" s="43"/>
      <c r="T14" s="43"/>
    </row>
    <row r="15" spans="1:20" s="37" customFormat="1">
      <c r="A15" s="67" t="s">
        <v>512</v>
      </c>
      <c r="B15" s="43"/>
      <c r="C15" s="43"/>
      <c r="D15" s="68">
        <v>1291832</v>
      </c>
      <c r="E15" s="43"/>
      <c r="F15" s="43"/>
      <c r="G15" s="43"/>
      <c r="H15" s="43"/>
      <c r="I15" s="43"/>
      <c r="J15" s="43"/>
      <c r="K15" s="43"/>
      <c r="L15" s="43"/>
      <c r="M15" s="43"/>
      <c r="N15" s="43"/>
      <c r="O15" s="43"/>
      <c r="P15" s="43"/>
      <c r="Q15" s="43"/>
      <c r="R15" s="43"/>
      <c r="S15" s="43"/>
      <c r="T15" s="43"/>
    </row>
    <row r="16" spans="1:20" s="37" customFormat="1">
      <c r="A16" s="67" t="s">
        <v>260</v>
      </c>
      <c r="B16" s="68">
        <v>0</v>
      </c>
      <c r="C16" s="136">
        <f t="shared" ref="C16:N16" si="1">SUM(C11:C15)</f>
        <v>0</v>
      </c>
      <c r="D16" s="136">
        <f t="shared" si="1"/>
        <v>1291832</v>
      </c>
      <c r="E16" s="136">
        <f t="shared" si="1"/>
        <v>1700000</v>
      </c>
      <c r="F16" s="136">
        <f t="shared" si="1"/>
        <v>0</v>
      </c>
      <c r="G16" s="136">
        <f t="shared" si="1"/>
        <v>0</v>
      </c>
      <c r="H16" s="136">
        <f t="shared" si="1"/>
        <v>0</v>
      </c>
      <c r="I16" s="136">
        <f t="shared" si="1"/>
        <v>0</v>
      </c>
      <c r="J16" s="136">
        <f t="shared" si="1"/>
        <v>0</v>
      </c>
      <c r="K16" s="136">
        <f t="shared" si="1"/>
        <v>0</v>
      </c>
      <c r="L16" s="136">
        <f t="shared" si="1"/>
        <v>0</v>
      </c>
      <c r="M16" s="136">
        <f t="shared" si="1"/>
        <v>0</v>
      </c>
      <c r="N16" s="136">
        <f t="shared" si="1"/>
        <v>0</v>
      </c>
      <c r="O16" s="43"/>
      <c r="P16" s="43"/>
      <c r="Q16" s="43"/>
      <c r="R16" s="43"/>
      <c r="S16" s="43"/>
      <c r="T16" s="43"/>
    </row>
    <row r="17" spans="1:20" s="37" customFormat="1">
      <c r="A17" s="43"/>
      <c r="B17" s="43"/>
      <c r="C17" s="43"/>
      <c r="D17" s="43"/>
      <c r="E17" s="43"/>
      <c r="F17" s="43"/>
      <c r="G17" s="43"/>
      <c r="H17" s="43"/>
      <c r="I17" s="43"/>
      <c r="J17" s="43"/>
      <c r="K17" s="43"/>
      <c r="L17" s="43"/>
      <c r="M17" s="43"/>
      <c r="N17" s="43"/>
      <c r="O17" s="43"/>
      <c r="P17" s="43"/>
      <c r="Q17" s="43"/>
      <c r="R17" s="43"/>
      <c r="S17" s="43"/>
      <c r="T17" s="43"/>
    </row>
    <row r="18" spans="1:20" s="37" customFormat="1">
      <c r="A18" s="67" t="s">
        <v>513</v>
      </c>
      <c r="B18" s="43"/>
      <c r="C18" s="43"/>
      <c r="D18" s="43"/>
      <c r="E18" s="43"/>
      <c r="F18" s="43"/>
      <c r="G18" s="43"/>
      <c r="H18" s="43"/>
      <c r="I18" s="43"/>
      <c r="J18" s="43"/>
      <c r="K18" s="43"/>
      <c r="L18" s="43"/>
      <c r="M18" s="43"/>
      <c r="N18" s="43"/>
      <c r="O18" s="43"/>
      <c r="P18" s="43"/>
      <c r="Q18" s="43"/>
      <c r="R18" s="43"/>
      <c r="S18" s="43"/>
      <c r="T18" s="43"/>
    </row>
    <row r="19" spans="1:20" s="37" customFormat="1">
      <c r="A19" s="272" t="str">
        <f>+A11</f>
        <v>7e Condo (Sardis Lone Star III LLC)</v>
      </c>
      <c r="B19" s="43"/>
      <c r="C19" s="43"/>
      <c r="D19" s="43"/>
      <c r="E19" s="43"/>
      <c r="F19" s="43"/>
      <c r="G19" s="43"/>
      <c r="H19" s="43"/>
      <c r="I19" s="43"/>
      <c r="J19" s="43"/>
      <c r="K19" s="43"/>
      <c r="L19" s="43"/>
      <c r="M19" s="43"/>
      <c r="N19" s="43"/>
      <c r="O19" s="43"/>
      <c r="P19" s="43"/>
      <c r="Q19" s="43"/>
      <c r="R19" s="43"/>
      <c r="S19" s="43"/>
      <c r="T19" s="43"/>
    </row>
    <row r="20" spans="1:20" s="37" customFormat="1">
      <c r="A20" s="272" t="str">
        <f>+A12</f>
        <v>7e condo escrow</v>
      </c>
      <c r="B20" s="43"/>
      <c r="C20" s="43"/>
      <c r="D20" s="43"/>
      <c r="E20" s="68">
        <v>-300000</v>
      </c>
      <c r="F20" s="43"/>
      <c r="G20" s="43"/>
      <c r="H20" s="43"/>
      <c r="I20" s="43"/>
      <c r="J20" s="43"/>
      <c r="K20" s="43"/>
      <c r="L20" s="43"/>
      <c r="M20" s="43"/>
      <c r="N20" s="43"/>
      <c r="O20" s="43"/>
      <c r="P20" s="43"/>
      <c r="Q20" s="43"/>
      <c r="R20" s="43"/>
      <c r="S20" s="43"/>
      <c r="T20" s="43"/>
    </row>
    <row r="21" spans="1:20" s="37" customFormat="1">
      <c r="A21" s="272" t="str">
        <f>+A14</f>
        <v>art (write down to zero against cuda)</v>
      </c>
      <c r="B21" s="43"/>
      <c r="C21" s="43"/>
      <c r="D21" s="43"/>
      <c r="E21" s="43"/>
      <c r="F21" s="43"/>
      <c r="G21" s="43"/>
      <c r="H21" s="43"/>
      <c r="I21" s="43"/>
      <c r="J21" s="43"/>
      <c r="K21" s="43"/>
      <c r="L21" s="43"/>
      <c r="M21" s="43"/>
      <c r="N21" s="43"/>
      <c r="O21" s="43"/>
      <c r="P21" s="43"/>
      <c r="Q21" s="43"/>
      <c r="R21" s="43"/>
      <c r="S21" s="43"/>
      <c r="T21" s="43"/>
    </row>
    <row r="22" spans="1:20" s="37" customFormat="1">
      <c r="A22" s="272" t="str">
        <f>+A15</f>
        <v>Due to Related Party (Roots GL 2021)</v>
      </c>
      <c r="B22" s="43"/>
      <c r="C22" s="43"/>
      <c r="D22" s="43"/>
      <c r="E22" s="43"/>
      <c r="F22" s="43"/>
      <c r="G22" s="43"/>
      <c r="H22" s="43"/>
      <c r="I22" s="43"/>
      <c r="J22" s="43"/>
      <c r="K22" s="43"/>
      <c r="L22" s="43"/>
      <c r="M22" s="43"/>
      <c r="N22" s="43"/>
      <c r="O22" s="43"/>
      <c r="P22" s="43"/>
      <c r="Q22" s="43"/>
      <c r="R22" s="43"/>
      <c r="S22" s="43"/>
      <c r="T22" s="43"/>
    </row>
    <row r="23" spans="1:20" s="37" customFormat="1">
      <c r="A23" s="67" t="s">
        <v>152</v>
      </c>
      <c r="B23" s="68">
        <v>-1540999</v>
      </c>
      <c r="C23" s="50">
        <f t="shared" ref="C23:N23" si="2">-(C43-B43)</f>
        <v>-596442.81892857142</v>
      </c>
      <c r="D23" s="50">
        <f t="shared" si="2"/>
        <v>-522290.81892857142</v>
      </c>
      <c r="E23" s="50">
        <f t="shared" si="2"/>
        <v>-275096.81892857142</v>
      </c>
      <c r="F23" s="50">
        <f t="shared" si="2"/>
        <v>1009945.1810714286</v>
      </c>
      <c r="G23" s="50">
        <f t="shared" si="2"/>
        <v>1924884.2757142857</v>
      </c>
      <c r="H23" s="50">
        <f t="shared" si="2"/>
        <v>0</v>
      </c>
      <c r="I23" s="50">
        <f t="shared" si="2"/>
        <v>0</v>
      </c>
      <c r="J23" s="50">
        <f t="shared" si="2"/>
        <v>0</v>
      </c>
      <c r="K23" s="50">
        <f t="shared" si="2"/>
        <v>0</v>
      </c>
      <c r="L23" s="50">
        <f t="shared" si="2"/>
        <v>0</v>
      </c>
      <c r="M23" s="50">
        <f t="shared" si="2"/>
        <v>0</v>
      </c>
      <c r="N23" s="50">
        <f t="shared" si="2"/>
        <v>0</v>
      </c>
      <c r="O23" s="43"/>
      <c r="P23" s="43"/>
      <c r="Q23" s="43"/>
      <c r="R23" s="43"/>
      <c r="S23" s="43"/>
      <c r="T23" s="43"/>
    </row>
    <row r="24" spans="1:20" s="37" customFormat="1">
      <c r="A24" s="67" t="s">
        <v>262</v>
      </c>
      <c r="B24" s="68">
        <v>-1540999</v>
      </c>
      <c r="C24" s="136">
        <f t="shared" ref="C24:N24" si="3">SUM(C19:C23)</f>
        <v>-596442.81892857142</v>
      </c>
      <c r="D24" s="136">
        <f t="shared" si="3"/>
        <v>-522290.81892857142</v>
      </c>
      <c r="E24" s="136">
        <f t="shared" si="3"/>
        <v>-575096.81892857142</v>
      </c>
      <c r="F24" s="136">
        <f t="shared" si="3"/>
        <v>1009945.1810714286</v>
      </c>
      <c r="G24" s="136">
        <f t="shared" si="3"/>
        <v>1924884.2757142857</v>
      </c>
      <c r="H24" s="136">
        <f t="shared" si="3"/>
        <v>0</v>
      </c>
      <c r="I24" s="136">
        <f t="shared" si="3"/>
        <v>0</v>
      </c>
      <c r="J24" s="136">
        <f t="shared" si="3"/>
        <v>0</v>
      </c>
      <c r="K24" s="136">
        <f t="shared" si="3"/>
        <v>0</v>
      </c>
      <c r="L24" s="136">
        <f t="shared" si="3"/>
        <v>0</v>
      </c>
      <c r="M24" s="136">
        <f t="shared" si="3"/>
        <v>0</v>
      </c>
      <c r="N24" s="136">
        <f t="shared" si="3"/>
        <v>0</v>
      </c>
      <c r="O24" s="43"/>
      <c r="P24" s="43"/>
      <c r="Q24" s="43"/>
      <c r="R24" s="43"/>
      <c r="S24" s="43"/>
      <c r="T24" s="43"/>
    </row>
    <row r="25" spans="1:20" s="37" customFormat="1">
      <c r="A25" s="43"/>
      <c r="B25" s="43"/>
      <c r="C25" s="43"/>
      <c r="D25" s="43"/>
      <c r="E25" s="43"/>
      <c r="F25" s="43"/>
      <c r="G25" s="43"/>
      <c r="H25" s="43"/>
      <c r="I25" s="43"/>
      <c r="J25" s="43"/>
      <c r="K25" s="43"/>
      <c r="L25" s="43"/>
      <c r="M25" s="43"/>
      <c r="N25" s="43"/>
      <c r="O25" s="43"/>
      <c r="P25" s="43"/>
      <c r="Q25" s="43"/>
      <c r="R25" s="43"/>
      <c r="S25" s="43"/>
      <c r="T25" s="43"/>
    </row>
    <row r="26" spans="1:20" s="37" customFormat="1">
      <c r="A26" s="67" t="s">
        <v>505</v>
      </c>
      <c r="B26" s="140">
        <v>-1540999</v>
      </c>
      <c r="C26" s="141">
        <f t="shared" ref="C26:N26" si="4">C24+C16+C8</f>
        <v>-596442.81892857142</v>
      </c>
      <c r="D26" s="141">
        <f t="shared" si="4"/>
        <v>769541.18107142858</v>
      </c>
      <c r="E26" s="141">
        <f t="shared" si="4"/>
        <v>1124903.1810714286</v>
      </c>
      <c r="F26" s="141">
        <f t="shared" si="4"/>
        <v>1009945.1810714286</v>
      </c>
      <c r="G26" s="141">
        <f t="shared" si="4"/>
        <v>1924884.2757142857</v>
      </c>
      <c r="H26" s="141">
        <f t="shared" si="4"/>
        <v>0</v>
      </c>
      <c r="I26" s="141">
        <f t="shared" si="4"/>
        <v>0</v>
      </c>
      <c r="J26" s="141">
        <f t="shared" si="4"/>
        <v>0</v>
      </c>
      <c r="K26" s="141">
        <f t="shared" si="4"/>
        <v>-12500000</v>
      </c>
      <c r="L26" s="141">
        <f t="shared" si="4"/>
        <v>0</v>
      </c>
      <c r="M26" s="141">
        <f t="shared" si="4"/>
        <v>0</v>
      </c>
      <c r="N26" s="141">
        <f t="shared" si="4"/>
        <v>0</v>
      </c>
      <c r="O26" s="43"/>
      <c r="P26" s="43"/>
      <c r="Q26" s="43"/>
      <c r="R26" s="43"/>
      <c r="S26" s="43"/>
      <c r="T26" s="43"/>
    </row>
    <row r="27" spans="1:20" s="37" customFormat="1">
      <c r="A27" s="43"/>
      <c r="B27" s="43"/>
      <c r="C27" s="43"/>
      <c r="D27" s="43"/>
      <c r="E27" s="43"/>
      <c r="F27" s="43"/>
      <c r="G27" s="43"/>
      <c r="H27" s="43"/>
      <c r="I27" s="43"/>
      <c r="J27" s="43"/>
      <c r="K27" s="43"/>
      <c r="L27" s="43"/>
      <c r="M27" s="43"/>
      <c r="N27" s="43"/>
      <c r="O27" s="43"/>
      <c r="P27" s="43"/>
      <c r="Q27" s="43"/>
      <c r="R27" s="43"/>
      <c r="S27" s="43"/>
      <c r="T27" s="43"/>
    </row>
    <row r="28" spans="1:20" s="37" customFormat="1">
      <c r="A28" s="43"/>
      <c r="B28" s="43"/>
      <c r="C28" s="43"/>
      <c r="D28" s="43"/>
      <c r="E28" s="43"/>
      <c r="F28" s="43"/>
      <c r="G28" s="43"/>
      <c r="H28" s="43"/>
      <c r="I28" s="43"/>
      <c r="J28" s="43"/>
      <c r="K28" s="43"/>
      <c r="L28" s="43"/>
      <c r="M28" s="43"/>
      <c r="N28" s="43"/>
      <c r="O28" s="43"/>
      <c r="P28" s="43"/>
      <c r="Q28" s="43"/>
      <c r="R28" s="43"/>
      <c r="S28" s="43"/>
      <c r="T28" s="43"/>
    </row>
    <row r="29" spans="1:20" s="37" customFormat="1">
      <c r="A29" s="67" t="s">
        <v>514</v>
      </c>
      <c r="B29" s="43"/>
      <c r="C29" s="43"/>
      <c r="D29" s="43"/>
      <c r="E29" s="43"/>
      <c r="F29" s="43"/>
      <c r="G29" s="43"/>
      <c r="H29" s="43"/>
      <c r="I29" s="43"/>
      <c r="J29" s="43"/>
      <c r="K29" s="43"/>
      <c r="L29" s="43"/>
      <c r="M29" s="43"/>
      <c r="N29" s="43"/>
      <c r="O29" s="67" t="s">
        <v>515</v>
      </c>
      <c r="P29" s="43"/>
      <c r="Q29" s="43"/>
      <c r="R29" s="43"/>
      <c r="S29" s="43"/>
      <c r="T29" s="43"/>
    </row>
    <row r="30" spans="1:20" s="37" customFormat="1">
      <c r="A30" s="67" t="s">
        <v>202</v>
      </c>
      <c r="B30" s="43"/>
      <c r="C30" s="43"/>
      <c r="D30" s="43"/>
      <c r="E30" s="43"/>
      <c r="F30" s="43"/>
      <c r="G30" s="43"/>
      <c r="H30" s="43"/>
      <c r="I30" s="43"/>
      <c r="J30" s="43"/>
      <c r="K30" s="43"/>
      <c r="L30" s="43"/>
      <c r="M30" s="43"/>
      <c r="N30" s="43"/>
      <c r="O30" s="67" t="s">
        <v>516</v>
      </c>
      <c r="P30" s="43"/>
      <c r="Q30" s="43"/>
      <c r="R30" s="43"/>
      <c r="S30" s="43"/>
      <c r="T30" s="43"/>
    </row>
    <row r="31" spans="1:20" s="37" customFormat="1">
      <c r="A31" s="67" t="s">
        <v>203</v>
      </c>
      <c r="B31" s="189"/>
      <c r="C31" s="189"/>
      <c r="D31" s="189"/>
      <c r="E31" s="189"/>
      <c r="F31" s="189"/>
      <c r="G31" s="189"/>
      <c r="H31" s="189"/>
      <c r="I31" s="189"/>
      <c r="J31" s="189"/>
      <c r="K31" s="140">
        <v>12500000</v>
      </c>
      <c r="L31" s="141">
        <f>+AVERAGE(M31,K31)</f>
        <v>18750000</v>
      </c>
      <c r="M31" s="140">
        <v>25000000</v>
      </c>
      <c r="N31" s="140">
        <v>45000000</v>
      </c>
      <c r="O31" s="67" t="s">
        <v>140</v>
      </c>
      <c r="P31" s="43"/>
      <c r="Q31" s="43"/>
      <c r="R31" s="43"/>
      <c r="S31" s="43"/>
      <c r="T31" s="43"/>
    </row>
    <row r="32" spans="1:20" s="37" customFormat="1">
      <c r="A32" s="67" t="s">
        <v>517</v>
      </c>
      <c r="B32" s="68">
        <v>0</v>
      </c>
      <c r="C32" s="136">
        <f t="shared" ref="C32:N32" si="5">SUM(C31:C31)</f>
        <v>0</v>
      </c>
      <c r="D32" s="136">
        <f t="shared" si="5"/>
        <v>0</v>
      </c>
      <c r="E32" s="136">
        <f t="shared" si="5"/>
        <v>0</v>
      </c>
      <c r="F32" s="136">
        <f t="shared" si="5"/>
        <v>0</v>
      </c>
      <c r="G32" s="136">
        <f t="shared" si="5"/>
        <v>0</v>
      </c>
      <c r="H32" s="136">
        <f t="shared" si="5"/>
        <v>0</v>
      </c>
      <c r="I32" s="136">
        <f t="shared" si="5"/>
        <v>0</v>
      </c>
      <c r="J32" s="136">
        <f t="shared" si="5"/>
        <v>0</v>
      </c>
      <c r="K32" s="136">
        <f t="shared" si="5"/>
        <v>12500000</v>
      </c>
      <c r="L32" s="136">
        <f t="shared" si="5"/>
        <v>18750000</v>
      </c>
      <c r="M32" s="136">
        <f t="shared" si="5"/>
        <v>25000000</v>
      </c>
      <c r="N32" s="136">
        <f t="shared" si="5"/>
        <v>45000000</v>
      </c>
      <c r="O32" s="43"/>
      <c r="P32" s="43"/>
      <c r="Q32" s="43"/>
      <c r="R32" s="43"/>
      <c r="S32" s="43"/>
      <c r="T32" s="43"/>
    </row>
    <row r="33" spans="1:20" s="37" customFormat="1">
      <c r="A33" s="43"/>
      <c r="B33" s="43"/>
      <c r="C33" s="43"/>
      <c r="D33" s="43"/>
      <c r="E33" s="43"/>
      <c r="F33" s="43"/>
      <c r="G33" s="43"/>
      <c r="H33" s="43"/>
      <c r="I33" s="43"/>
      <c r="J33" s="43"/>
      <c r="K33" s="43"/>
      <c r="L33" s="43"/>
      <c r="M33" s="43"/>
      <c r="N33" s="43"/>
      <c r="O33" s="43"/>
      <c r="P33" s="43"/>
      <c r="Q33" s="43"/>
      <c r="R33" s="43"/>
      <c r="S33" s="43"/>
      <c r="T33" s="43"/>
    </row>
    <row r="34" spans="1:20" s="37" customFormat="1">
      <c r="A34" s="67" t="s">
        <v>518</v>
      </c>
      <c r="B34" s="43"/>
      <c r="C34" s="43"/>
      <c r="D34" s="43"/>
      <c r="E34" s="43"/>
      <c r="F34" s="43"/>
      <c r="G34" s="43"/>
      <c r="H34" s="43"/>
      <c r="I34" s="43"/>
      <c r="J34" s="43"/>
      <c r="K34" s="43"/>
      <c r="L34" s="137">
        <f>+K34*1.15</f>
        <v>0</v>
      </c>
      <c r="M34" s="137">
        <f>+L34*1.15</f>
        <v>0</v>
      </c>
      <c r="N34" s="137">
        <f>+M34*1.15</f>
        <v>0</v>
      </c>
      <c r="O34" s="43"/>
      <c r="P34" s="43"/>
      <c r="Q34" s="43"/>
      <c r="R34" s="43"/>
      <c r="S34" s="43"/>
      <c r="T34" s="43"/>
    </row>
    <row r="35" spans="1:20" s="37" customFormat="1">
      <c r="A35" s="67" t="s">
        <v>142</v>
      </c>
      <c r="B35" s="140">
        <v>0</v>
      </c>
      <c r="C35" s="194">
        <f t="shared" ref="C35:N35" si="6">SUM(C33:C34)</f>
        <v>0</v>
      </c>
      <c r="D35" s="194">
        <f t="shared" si="6"/>
        <v>0</v>
      </c>
      <c r="E35" s="194">
        <f t="shared" si="6"/>
        <v>0</v>
      </c>
      <c r="F35" s="194">
        <f t="shared" si="6"/>
        <v>0</v>
      </c>
      <c r="G35" s="194">
        <f t="shared" si="6"/>
        <v>0</v>
      </c>
      <c r="H35" s="194">
        <f t="shared" si="6"/>
        <v>0</v>
      </c>
      <c r="I35" s="194">
        <f t="shared" si="6"/>
        <v>0</v>
      </c>
      <c r="J35" s="194">
        <f t="shared" si="6"/>
        <v>0</v>
      </c>
      <c r="K35" s="194">
        <f t="shared" si="6"/>
        <v>0</v>
      </c>
      <c r="L35" s="194">
        <f t="shared" si="6"/>
        <v>0</v>
      </c>
      <c r="M35" s="194">
        <f t="shared" si="6"/>
        <v>0</v>
      </c>
      <c r="N35" s="194">
        <f t="shared" si="6"/>
        <v>0</v>
      </c>
      <c r="O35" s="43"/>
      <c r="P35" s="43"/>
      <c r="Q35" s="43"/>
      <c r="R35" s="43"/>
      <c r="S35" s="43"/>
      <c r="T35" s="43"/>
    </row>
    <row r="36" spans="1:20" s="37" customFormat="1">
      <c r="A36" s="43"/>
      <c r="B36" s="43"/>
      <c r="C36" s="43"/>
      <c r="D36" s="43"/>
      <c r="E36" s="43"/>
      <c r="F36" s="43"/>
      <c r="G36" s="43"/>
      <c r="H36" s="43"/>
      <c r="I36" s="43"/>
      <c r="J36" s="43"/>
      <c r="K36" s="43"/>
      <c r="L36" s="43"/>
      <c r="M36" s="43"/>
      <c r="N36" s="43"/>
      <c r="O36" s="43"/>
      <c r="P36" s="43"/>
      <c r="Q36" s="43"/>
      <c r="R36" s="43"/>
      <c r="S36" s="43"/>
      <c r="T36" s="43"/>
    </row>
    <row r="37" spans="1:20" s="37" customFormat="1" ht="28.9" customHeight="1">
      <c r="A37" s="67" t="s">
        <v>519</v>
      </c>
      <c r="B37" s="68">
        <v>-144299.85</v>
      </c>
      <c r="C37" s="50">
        <f t="shared" ref="C37:N37" si="7">B37-C15</f>
        <v>-144299.85</v>
      </c>
      <c r="D37" s="50">
        <f t="shared" si="7"/>
        <v>-1436131.85</v>
      </c>
      <c r="E37" s="50">
        <f t="shared" si="7"/>
        <v>-1436131.85</v>
      </c>
      <c r="F37" s="50">
        <f t="shared" si="7"/>
        <v>-1436131.85</v>
      </c>
      <c r="G37" s="50">
        <f t="shared" si="7"/>
        <v>-1436131.85</v>
      </c>
      <c r="H37" s="50">
        <f t="shared" si="7"/>
        <v>-1436131.85</v>
      </c>
      <c r="I37" s="50">
        <f t="shared" si="7"/>
        <v>-1436131.85</v>
      </c>
      <c r="J37" s="50">
        <f t="shared" si="7"/>
        <v>-1436131.85</v>
      </c>
      <c r="K37" s="50">
        <f t="shared" si="7"/>
        <v>-1436131.85</v>
      </c>
      <c r="L37" s="50">
        <f t="shared" si="7"/>
        <v>-1436131.85</v>
      </c>
      <c r="M37" s="50">
        <f t="shared" si="7"/>
        <v>-1436131.85</v>
      </c>
      <c r="N37" s="50">
        <f t="shared" si="7"/>
        <v>-1436131.85</v>
      </c>
      <c r="O37" s="43"/>
      <c r="P37" s="43"/>
      <c r="Q37" s="43"/>
      <c r="R37" s="43"/>
      <c r="S37" s="43"/>
      <c r="T37" s="43"/>
    </row>
    <row r="38" spans="1:20" s="37" customFormat="1">
      <c r="A38" s="43"/>
      <c r="B38" s="43"/>
      <c r="C38" s="43"/>
      <c r="D38" s="43"/>
      <c r="E38" s="43"/>
      <c r="F38" s="43"/>
      <c r="G38" s="43"/>
      <c r="H38" s="43"/>
      <c r="I38" s="43"/>
      <c r="J38" s="43"/>
      <c r="K38" s="43"/>
      <c r="L38" s="43"/>
      <c r="M38" s="43"/>
      <c r="N38" s="43"/>
      <c r="O38" s="43"/>
      <c r="P38" s="43"/>
      <c r="Q38" s="43"/>
      <c r="R38" s="43"/>
      <c r="S38" s="43"/>
      <c r="T38" s="43"/>
    </row>
    <row r="39" spans="1:20" s="37" customFormat="1">
      <c r="A39" s="272" t="str">
        <f>+A11</f>
        <v>7e Condo (Sardis Lone Star III LLC)</v>
      </c>
      <c r="B39" s="68">
        <v>705000</v>
      </c>
      <c r="C39" s="50">
        <f>B39-C11</f>
        <v>705000</v>
      </c>
      <c r="D39" s="50">
        <f>C39-D11</f>
        <v>705000</v>
      </c>
      <c r="E39" s="43"/>
      <c r="F39" s="43"/>
      <c r="G39" s="43"/>
      <c r="H39" s="43"/>
      <c r="I39" s="43"/>
      <c r="J39" s="43"/>
      <c r="K39" s="43"/>
      <c r="L39" s="43"/>
      <c r="M39" s="43"/>
      <c r="N39" s="43"/>
      <c r="O39" s="43"/>
      <c r="P39" s="43"/>
      <c r="Q39" s="43"/>
      <c r="R39" s="43"/>
      <c r="S39" s="43"/>
      <c r="T39" s="43"/>
    </row>
    <row r="40" spans="1:20" s="37" customFormat="1">
      <c r="A40" s="272" t="str">
        <f>+A14</f>
        <v>art (write down to zero against cuda)</v>
      </c>
      <c r="B40" s="68">
        <v>1324255</v>
      </c>
      <c r="C40" s="50">
        <f>B40-C14</f>
        <v>1324255</v>
      </c>
      <c r="D40" s="50">
        <f>C40-D14</f>
        <v>1324255</v>
      </c>
      <c r="E40" s="43"/>
      <c r="F40" s="43"/>
      <c r="G40" s="43"/>
      <c r="H40" s="43"/>
      <c r="I40" s="43"/>
      <c r="J40" s="43"/>
      <c r="K40" s="43"/>
      <c r="L40" s="43"/>
      <c r="M40" s="43"/>
      <c r="N40" s="43"/>
      <c r="O40" s="43"/>
      <c r="P40" s="43"/>
      <c r="Q40" s="43"/>
      <c r="R40" s="43"/>
      <c r="S40" s="43"/>
      <c r="T40" s="43"/>
    </row>
    <row r="41" spans="1:20" s="37" customFormat="1">
      <c r="A41" s="43"/>
      <c r="B41" s="43"/>
      <c r="C41" s="43"/>
      <c r="D41" s="43"/>
      <c r="E41" s="43"/>
      <c r="F41" s="43"/>
      <c r="G41" s="43"/>
      <c r="H41" s="43"/>
      <c r="I41" s="43"/>
      <c r="J41" s="43"/>
      <c r="K41" s="43"/>
      <c r="L41" s="43"/>
      <c r="M41" s="43"/>
      <c r="N41" s="43"/>
      <c r="O41" s="43"/>
      <c r="P41" s="43"/>
      <c r="Q41" s="43"/>
      <c r="R41" s="43"/>
      <c r="S41" s="43"/>
      <c r="T41" s="43"/>
    </row>
    <row r="42" spans="1:20" s="37" customFormat="1">
      <c r="A42" s="67" t="s">
        <v>153</v>
      </c>
      <c r="B42" s="50">
        <f>registry!B105</f>
        <v>0</v>
      </c>
      <c r="C42" s="50">
        <f>registry!C105</f>
        <v>416032.5</v>
      </c>
      <c r="D42" s="50">
        <f>registry!D105</f>
        <v>3082065</v>
      </c>
      <c r="E42" s="50">
        <f>registry!E105</f>
        <v>4373097.5</v>
      </c>
      <c r="F42" s="50">
        <f>registry!F105</f>
        <v>5365480</v>
      </c>
      <c r="G42" s="50">
        <f>registry!G105</f>
        <v>6120868.2725</v>
      </c>
      <c r="H42" s="50">
        <f>registry!H105</f>
        <v>5640774.3650000002</v>
      </c>
      <c r="I42" s="50">
        <f>registry!I105</f>
        <v>5378861.4574999996</v>
      </c>
      <c r="J42" s="50">
        <f>registry!J105</f>
        <v>4945267.55</v>
      </c>
      <c r="K42" s="50">
        <f>registry!K105</f>
        <v>4796719.9710999997</v>
      </c>
      <c r="L42" s="50">
        <f>registry!L105</f>
        <v>3728148.465233</v>
      </c>
      <c r="M42" s="50">
        <f>registry!M105</f>
        <v>6110519.8141899901</v>
      </c>
      <c r="N42" s="50">
        <f>registry!N105</f>
        <v>8000000.333333333</v>
      </c>
      <c r="O42" s="43"/>
      <c r="P42" s="43"/>
      <c r="Q42" s="43"/>
      <c r="R42" s="43"/>
      <c r="S42" s="43"/>
      <c r="T42" s="43"/>
    </row>
    <row r="43" spans="1:20" s="37" customFormat="1">
      <c r="A43" s="67" t="s">
        <v>152</v>
      </c>
      <c r="B43" s="50">
        <f>registry!B104</f>
        <v>1540999</v>
      </c>
      <c r="C43" s="50">
        <f>registry!C104</f>
        <v>2137441.8189285714</v>
      </c>
      <c r="D43" s="50">
        <f>registry!D104</f>
        <v>2659732.6378571428</v>
      </c>
      <c r="E43" s="50">
        <f>registry!E104</f>
        <v>2934829.4567857143</v>
      </c>
      <c r="F43" s="50">
        <f>registry!F104</f>
        <v>1924884.2757142857</v>
      </c>
      <c r="G43" s="50">
        <f>registry!G104</f>
        <v>0</v>
      </c>
      <c r="H43" s="50">
        <f>registry!H104</f>
        <v>0</v>
      </c>
      <c r="I43" s="50">
        <f>registry!I104</f>
        <v>0</v>
      </c>
      <c r="J43" s="50">
        <f>registry!J104</f>
        <v>0</v>
      </c>
      <c r="K43" s="50">
        <f>registry!K104</f>
        <v>0</v>
      </c>
      <c r="L43" s="50">
        <f>registry!L104</f>
        <v>0</v>
      </c>
      <c r="M43" s="50">
        <f>registry!M104</f>
        <v>0</v>
      </c>
      <c r="N43" s="50">
        <f>registry!N104</f>
        <v>0</v>
      </c>
      <c r="O43" s="43"/>
      <c r="P43" s="43"/>
      <c r="Q43" s="43"/>
      <c r="R43" s="43"/>
      <c r="S43" s="43"/>
      <c r="T43" s="43"/>
    </row>
    <row r="44" spans="1:20" s="37" customFormat="1">
      <c r="A44" s="67" t="s">
        <v>154</v>
      </c>
      <c r="B44" s="50">
        <f>registry!B106</f>
        <v>0</v>
      </c>
      <c r="C44" s="50">
        <f>registry!C106</f>
        <v>-264555.125</v>
      </c>
      <c r="D44" s="50">
        <f>registry!D106</f>
        <v>-1654110.25</v>
      </c>
      <c r="E44" s="50">
        <f>registry!E106</f>
        <v>-2356165.375</v>
      </c>
      <c r="F44" s="50">
        <f>registry!F106</f>
        <v>-2964570.5</v>
      </c>
      <c r="G44" s="50">
        <f>registry!G106</f>
        <v>-2970159.2973749996</v>
      </c>
      <c r="H44" s="50">
        <f>registry!H106</f>
        <v>-2465036.0922499998</v>
      </c>
      <c r="I44" s="50">
        <f>registry!I106</f>
        <v>-2022503.3871249997</v>
      </c>
      <c r="J44" s="50">
        <f>registry!J106</f>
        <v>-1664945.5194999997</v>
      </c>
      <c r="K44" s="50">
        <f>registry!K106</f>
        <v>-1612953.8668849997</v>
      </c>
      <c r="L44" s="50">
        <f>registry!L106</f>
        <v>-1238953.8398315497</v>
      </c>
      <c r="M44" s="50">
        <f>registry!M106</f>
        <v>-2072783.8119664963</v>
      </c>
      <c r="N44" s="50">
        <f>registry!N106</f>
        <v>-2734101.9936666666</v>
      </c>
      <c r="O44" s="43"/>
      <c r="P44" s="43"/>
      <c r="Q44" s="43"/>
      <c r="R44" s="43"/>
      <c r="S44" s="43"/>
      <c r="T44" s="43"/>
    </row>
    <row r="45" spans="1:20" s="37" customFormat="1">
      <c r="A45" s="67" t="s">
        <v>520</v>
      </c>
      <c r="B45" s="140">
        <v>3570254</v>
      </c>
      <c r="C45" s="194">
        <f t="shared" ref="C45:N45" si="8">SUM(C39:C44)</f>
        <v>4318174.1939285714</v>
      </c>
      <c r="D45" s="194">
        <f t="shared" si="8"/>
        <v>6116942.3878571428</v>
      </c>
      <c r="E45" s="194">
        <f t="shared" si="8"/>
        <v>4951761.5817857143</v>
      </c>
      <c r="F45" s="194">
        <f t="shared" si="8"/>
        <v>4325793.7757142857</v>
      </c>
      <c r="G45" s="194">
        <f t="shared" si="8"/>
        <v>3150708.9751250003</v>
      </c>
      <c r="H45" s="194">
        <f t="shared" si="8"/>
        <v>3175738.2727500005</v>
      </c>
      <c r="I45" s="194">
        <f t="shared" si="8"/>
        <v>3356358.0703750001</v>
      </c>
      <c r="J45" s="194">
        <f t="shared" si="8"/>
        <v>3280322.0305000003</v>
      </c>
      <c r="K45" s="194">
        <f t="shared" si="8"/>
        <v>3183766.1042149998</v>
      </c>
      <c r="L45" s="194">
        <f t="shared" si="8"/>
        <v>2489194.6254014503</v>
      </c>
      <c r="M45" s="194">
        <f t="shared" si="8"/>
        <v>4037736.0022234935</v>
      </c>
      <c r="N45" s="194">
        <f t="shared" si="8"/>
        <v>5265898.3396666665</v>
      </c>
      <c r="O45" s="43"/>
      <c r="P45" s="43"/>
      <c r="Q45" s="43"/>
      <c r="R45" s="43"/>
      <c r="S45" s="43"/>
      <c r="T45" s="43"/>
    </row>
    <row r="46" spans="1:20" s="37" customFormat="1">
      <c r="A46" s="43"/>
      <c r="B46" s="43"/>
      <c r="C46" s="43"/>
      <c r="D46" s="43"/>
      <c r="E46" s="43"/>
      <c r="F46" s="43"/>
      <c r="G46" s="43"/>
      <c r="H46" s="43"/>
      <c r="I46" s="43"/>
      <c r="J46" s="43"/>
      <c r="K46" s="43"/>
      <c r="L46" s="43"/>
      <c r="M46" s="43"/>
      <c r="N46" s="43"/>
      <c r="O46" s="43"/>
      <c r="P46" s="43"/>
      <c r="Q46" s="43"/>
      <c r="R46" s="43"/>
      <c r="S46" s="43"/>
      <c r="T46" s="43"/>
    </row>
    <row r="47" spans="1:20" s="37" customFormat="1">
      <c r="A47" s="67" t="s">
        <v>521</v>
      </c>
      <c r="B47" s="50">
        <f t="shared" ref="B47:N47" si="9">-B44</f>
        <v>0</v>
      </c>
      <c r="C47" s="50">
        <f t="shared" si="9"/>
        <v>264555.125</v>
      </c>
      <c r="D47" s="50">
        <f t="shared" si="9"/>
        <v>1654110.25</v>
      </c>
      <c r="E47" s="50">
        <f t="shared" si="9"/>
        <v>2356165.375</v>
      </c>
      <c r="F47" s="50">
        <f t="shared" si="9"/>
        <v>2964570.5</v>
      </c>
      <c r="G47" s="50">
        <f t="shared" si="9"/>
        <v>2970159.2973749996</v>
      </c>
      <c r="H47" s="50">
        <f t="shared" si="9"/>
        <v>2465036.0922499998</v>
      </c>
      <c r="I47" s="50">
        <f t="shared" si="9"/>
        <v>2022503.3871249997</v>
      </c>
      <c r="J47" s="50">
        <f t="shared" si="9"/>
        <v>1664945.5194999997</v>
      </c>
      <c r="K47" s="50">
        <f t="shared" si="9"/>
        <v>1612953.8668849997</v>
      </c>
      <c r="L47" s="50">
        <f t="shared" si="9"/>
        <v>1238953.8398315497</v>
      </c>
      <c r="M47" s="50">
        <f t="shared" si="9"/>
        <v>2072783.8119664963</v>
      </c>
      <c r="N47" s="50">
        <f t="shared" si="9"/>
        <v>2734101.9936666666</v>
      </c>
      <c r="O47" s="43"/>
      <c r="P47" s="43"/>
      <c r="Q47" s="43"/>
      <c r="R47" s="43"/>
      <c r="S47" s="43"/>
      <c r="T47" s="43"/>
    </row>
    <row r="48" spans="1:20" s="37" customFormat="1">
      <c r="A48" s="67" t="s">
        <v>522</v>
      </c>
      <c r="B48" s="68">
        <v>0</v>
      </c>
      <c r="C48" s="68">
        <v>0</v>
      </c>
      <c r="D48" s="68">
        <v>0</v>
      </c>
      <c r="E48" s="68">
        <v>0</v>
      </c>
      <c r="F48" s="68">
        <v>0</v>
      </c>
      <c r="G48" s="68">
        <v>0</v>
      </c>
      <c r="H48" s="68">
        <v>0</v>
      </c>
      <c r="I48" s="68">
        <v>0</v>
      </c>
      <c r="J48" s="68">
        <v>0</v>
      </c>
      <c r="K48" s="68">
        <v>0</v>
      </c>
      <c r="L48" s="68">
        <v>0</v>
      </c>
      <c r="M48" s="68">
        <v>0</v>
      </c>
      <c r="N48" s="68">
        <v>0</v>
      </c>
      <c r="O48" s="43"/>
      <c r="P48" s="43"/>
      <c r="Q48" s="43"/>
      <c r="R48" s="43"/>
      <c r="S48" s="43"/>
      <c r="T48" s="43"/>
    </row>
    <row r="49" spans="1:20" s="37" customFormat="1">
      <c r="A49" s="67" t="s">
        <v>523</v>
      </c>
      <c r="B49" s="50">
        <f>registry!B93</f>
        <v>9000000</v>
      </c>
      <c r="C49" s="50">
        <f>registry!C93</f>
        <v>1550000</v>
      </c>
      <c r="D49" s="50">
        <f>registry!D93</f>
        <v>0</v>
      </c>
      <c r="E49" s="50">
        <f>registry!E93</f>
        <v>0</v>
      </c>
      <c r="F49" s="50">
        <f>registry!F93</f>
        <v>0</v>
      </c>
      <c r="G49" s="50">
        <f>registry!G93</f>
        <v>0</v>
      </c>
      <c r="H49" s="50">
        <f>registry!H93</f>
        <v>0</v>
      </c>
      <c r="I49" s="50">
        <f>registry!I93</f>
        <v>0</v>
      </c>
      <c r="J49" s="50">
        <f>registry!J93</f>
        <v>0</v>
      </c>
      <c r="K49" s="50">
        <f>registry!K93</f>
        <v>0</v>
      </c>
      <c r="L49" s="50">
        <f>registry!L93</f>
        <v>0</v>
      </c>
      <c r="M49" s="50">
        <f>registry!M93</f>
        <v>0</v>
      </c>
      <c r="N49" s="50">
        <f>registry!N93</f>
        <v>0</v>
      </c>
      <c r="O49" s="43"/>
      <c r="P49" s="43"/>
      <c r="Q49" s="43"/>
      <c r="R49" s="43"/>
      <c r="S49" s="43"/>
      <c r="T49" s="43"/>
    </row>
    <row r="50" spans="1:20" s="37" customFormat="1">
      <c r="A50" s="67" t="s">
        <v>524</v>
      </c>
      <c r="B50" s="50">
        <f>B40</f>
        <v>1324255</v>
      </c>
      <c r="C50" s="50">
        <f t="shared" ref="C50:N50" si="10">B50</f>
        <v>1324255</v>
      </c>
      <c r="D50" s="50">
        <f t="shared" si="10"/>
        <v>1324255</v>
      </c>
      <c r="E50" s="50">
        <f t="shared" si="10"/>
        <v>1324255</v>
      </c>
      <c r="F50" s="50">
        <f t="shared" si="10"/>
        <v>1324255</v>
      </c>
      <c r="G50" s="50">
        <f t="shared" si="10"/>
        <v>1324255</v>
      </c>
      <c r="H50" s="50">
        <f t="shared" si="10"/>
        <v>1324255</v>
      </c>
      <c r="I50" s="50">
        <f t="shared" si="10"/>
        <v>1324255</v>
      </c>
      <c r="J50" s="50">
        <f t="shared" si="10"/>
        <v>1324255</v>
      </c>
      <c r="K50" s="50">
        <f t="shared" si="10"/>
        <v>1324255</v>
      </c>
      <c r="L50" s="50">
        <f t="shared" si="10"/>
        <v>1324255</v>
      </c>
      <c r="M50" s="50">
        <f t="shared" si="10"/>
        <v>1324255</v>
      </c>
      <c r="N50" s="50">
        <f t="shared" si="10"/>
        <v>1324255</v>
      </c>
      <c r="O50" s="43"/>
      <c r="P50" s="43"/>
      <c r="Q50" s="43"/>
      <c r="R50" s="43"/>
      <c r="S50" s="43"/>
      <c r="T50" s="43"/>
    </row>
    <row r="51" spans="1:20" s="37" customFormat="1">
      <c r="A51" s="67" t="s">
        <v>140</v>
      </c>
      <c r="B51" s="136">
        <f t="shared" ref="B51:N51" si="11">SUM(B47:B50)</f>
        <v>10324255</v>
      </c>
      <c r="C51" s="136">
        <f t="shared" si="11"/>
        <v>3138810.125</v>
      </c>
      <c r="D51" s="136">
        <f t="shared" si="11"/>
        <v>2978365.25</v>
      </c>
      <c r="E51" s="136">
        <f t="shared" si="11"/>
        <v>3680420.375</v>
      </c>
      <c r="F51" s="136">
        <f t="shared" si="11"/>
        <v>4288825.5</v>
      </c>
      <c r="G51" s="136">
        <f t="shared" si="11"/>
        <v>4294414.2973749992</v>
      </c>
      <c r="H51" s="136">
        <f t="shared" si="11"/>
        <v>3789291.0922499998</v>
      </c>
      <c r="I51" s="136">
        <f t="shared" si="11"/>
        <v>3346758.3871249994</v>
      </c>
      <c r="J51" s="136">
        <f t="shared" si="11"/>
        <v>2989200.5194999995</v>
      </c>
      <c r="K51" s="136">
        <f t="shared" si="11"/>
        <v>2937208.8668849999</v>
      </c>
      <c r="L51" s="136">
        <f t="shared" si="11"/>
        <v>2563208.8398315497</v>
      </c>
      <c r="M51" s="136">
        <f t="shared" si="11"/>
        <v>3397038.8119664965</v>
      </c>
      <c r="N51" s="136">
        <f t="shared" si="11"/>
        <v>4058356.9936666666</v>
      </c>
      <c r="O51" s="43"/>
      <c r="P51" s="43"/>
      <c r="Q51" s="43"/>
      <c r="R51" s="43"/>
      <c r="S51" s="43"/>
      <c r="T51" s="43"/>
    </row>
    <row r="52" spans="1:20" s="37" customFormat="1">
      <c r="A52" s="67" t="s">
        <v>525</v>
      </c>
      <c r="B52" s="50">
        <f t="shared" ref="B52:N52" si="12">B51-B43</f>
        <v>8783256</v>
      </c>
      <c r="C52" s="50">
        <f t="shared" si="12"/>
        <v>1001368.3060714286</v>
      </c>
      <c r="D52" s="50">
        <f t="shared" si="12"/>
        <v>318632.61214285716</v>
      </c>
      <c r="E52" s="50">
        <f t="shared" si="12"/>
        <v>745590.91821428575</v>
      </c>
      <c r="F52" s="50">
        <f t="shared" si="12"/>
        <v>2363941.2242857143</v>
      </c>
      <c r="G52" s="50">
        <f t="shared" si="12"/>
        <v>4294414.2973749992</v>
      </c>
      <c r="H52" s="50">
        <f t="shared" si="12"/>
        <v>3789291.0922499998</v>
      </c>
      <c r="I52" s="50">
        <f t="shared" si="12"/>
        <v>3346758.3871249994</v>
      </c>
      <c r="J52" s="50">
        <f t="shared" si="12"/>
        <v>2989200.5194999995</v>
      </c>
      <c r="K52" s="50">
        <f t="shared" si="12"/>
        <v>2937208.8668849999</v>
      </c>
      <c r="L52" s="50">
        <f t="shared" si="12"/>
        <v>2563208.8398315497</v>
      </c>
      <c r="M52" s="50">
        <f t="shared" si="12"/>
        <v>3397038.8119664965</v>
      </c>
      <c r="N52" s="50">
        <f t="shared" si="12"/>
        <v>4058356.9936666666</v>
      </c>
      <c r="O52" s="43"/>
      <c r="P52" s="43"/>
      <c r="Q52" s="43"/>
      <c r="R52" s="43"/>
      <c r="S52" s="43"/>
      <c r="T52" s="43"/>
    </row>
    <row r="53" spans="1:20" s="40" customFormat="1">
      <c r="A53" s="60" t="s">
        <v>526</v>
      </c>
      <c r="B53" s="54">
        <f t="shared" ref="B53:N53" si="13">B43/B51</f>
        <v>0.14926006767558531</v>
      </c>
      <c r="C53" s="54">
        <f t="shared" si="13"/>
        <v>0.68097200334109775</v>
      </c>
      <c r="D53" s="54">
        <f t="shared" si="13"/>
        <v>0.89301761691489745</v>
      </c>
      <c r="E53" s="54">
        <f t="shared" si="13"/>
        <v>0.79741691376374746</v>
      </c>
      <c r="F53" s="54">
        <f t="shared" si="13"/>
        <v>0.44881384792043549</v>
      </c>
      <c r="G53" s="54">
        <f t="shared" si="13"/>
        <v>0</v>
      </c>
      <c r="H53" s="54">
        <f t="shared" si="13"/>
        <v>0</v>
      </c>
      <c r="I53" s="54">
        <f t="shared" si="13"/>
        <v>0</v>
      </c>
      <c r="J53" s="54">
        <f t="shared" si="13"/>
        <v>0</v>
      </c>
      <c r="K53" s="54">
        <f t="shared" si="13"/>
        <v>0</v>
      </c>
      <c r="L53" s="54">
        <f t="shared" si="13"/>
        <v>0</v>
      </c>
      <c r="M53" s="54">
        <f t="shared" si="13"/>
        <v>0</v>
      </c>
      <c r="N53" s="54">
        <f t="shared" si="13"/>
        <v>0</v>
      </c>
      <c r="O53" s="43"/>
      <c r="P53" s="43"/>
      <c r="Q53" s="43"/>
      <c r="R53" s="43"/>
      <c r="S53" s="43"/>
      <c r="T53" s="43"/>
    </row>
    <row r="54" spans="1:20">
      <c r="A54" s="43"/>
      <c r="B54" s="59"/>
      <c r="C54" s="59"/>
      <c r="D54" s="59"/>
      <c r="E54" s="59"/>
      <c r="F54" s="59"/>
      <c r="G54" s="59"/>
      <c r="H54" s="59"/>
      <c r="I54" s="59"/>
      <c r="J54" s="59"/>
      <c r="K54" s="59"/>
      <c r="L54" s="59"/>
      <c r="M54" s="59"/>
      <c r="N54" s="59"/>
      <c r="O54" s="43"/>
      <c r="P54" s="43"/>
      <c r="Q54" s="43"/>
      <c r="R54" s="43"/>
      <c r="S54" s="43"/>
      <c r="T54" s="43"/>
    </row>
    <row r="55" spans="1:20">
      <c r="A55" s="43"/>
      <c r="B55" s="59"/>
      <c r="C55" s="59"/>
      <c r="D55" s="59"/>
      <c r="E55" s="59"/>
      <c r="F55" s="59"/>
      <c r="G55" s="59"/>
      <c r="H55" s="59"/>
      <c r="I55" s="59"/>
      <c r="J55" s="59"/>
      <c r="K55" s="59"/>
      <c r="L55" s="59"/>
      <c r="M55" s="59"/>
      <c r="N55" s="59"/>
      <c r="O55" s="43"/>
      <c r="P55" s="43"/>
      <c r="Q55" s="43"/>
      <c r="R55" s="43"/>
      <c r="S55" s="43"/>
      <c r="T55" s="4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249977111117893"/>
  </sheetPr>
  <dimension ref="A1:AA13"/>
  <sheetViews>
    <sheetView zoomScale="85" zoomScaleNormal="85" workbookViewId="0">
      <pane xSplit="2" ySplit="3" topLeftCell="C4" activePane="bottomRight" state="frozen"/>
      <selection pane="topRight" activeCell="C1" sqref="C1"/>
      <selection pane="bottomLeft" activeCell="A11" sqref="A11"/>
      <selection pane="bottomRight" activeCell="G32" sqref="G32"/>
    </sheetView>
  </sheetViews>
  <sheetFormatPr defaultRowHeight="14.5"/>
  <cols>
    <col min="1" max="1" width="38.26953125" customWidth="1"/>
    <col min="2" max="2" width="22.6328125" customWidth="1"/>
    <col min="3" max="3" width="12.453125" style="18" bestFit="1" customWidth="1"/>
    <col min="4" max="14" width="12.453125" bestFit="1" customWidth="1"/>
    <col min="15" max="15" width="15" bestFit="1" customWidth="1"/>
    <col min="16" max="16" width="12.6328125" bestFit="1" customWidth="1"/>
    <col min="17" max="17" width="21.26953125" bestFit="1" customWidth="1"/>
    <col min="18" max="18" width="10.6328125" bestFit="1" customWidth="1"/>
  </cols>
  <sheetData>
    <row r="1" spans="1:27" s="22" customFormat="1">
      <c r="A1" s="46" t="s">
        <v>527</v>
      </c>
      <c r="B1" s="168"/>
      <c r="C1" s="112">
        <v>45657</v>
      </c>
      <c r="D1" s="113">
        <f>lgh_bs!E2</f>
        <v>45747</v>
      </c>
      <c r="E1" s="113">
        <f>lgh_bs!F2</f>
        <v>45838</v>
      </c>
      <c r="F1" s="113">
        <f>lgh_bs!G2</f>
        <v>45930</v>
      </c>
      <c r="G1" s="113">
        <f>lgh_bs!H2</f>
        <v>46022</v>
      </c>
      <c r="H1" s="113">
        <f>lgh_bs!I2</f>
        <v>46112</v>
      </c>
      <c r="I1" s="113">
        <f>lgh_bs!J2</f>
        <v>46203</v>
      </c>
      <c r="J1" s="113">
        <f>lgh_bs!K2</f>
        <v>46295</v>
      </c>
      <c r="K1" s="113">
        <f>lgh_bs!L2</f>
        <v>46387</v>
      </c>
      <c r="L1" s="113">
        <f>lgh_bs!M2</f>
        <v>46752</v>
      </c>
      <c r="M1" s="113">
        <f>lgh_bs!N2</f>
        <v>47118</v>
      </c>
      <c r="N1" s="113">
        <f>lgh_bs!O2</f>
        <v>47483</v>
      </c>
      <c r="O1" s="113">
        <f>lgh_bs!P2</f>
        <v>47848</v>
      </c>
      <c r="P1" s="168"/>
      <c r="Q1" s="62"/>
      <c r="R1" s="62"/>
      <c r="S1" s="43"/>
      <c r="T1" s="43"/>
      <c r="U1" s="43"/>
      <c r="V1" s="43"/>
      <c r="W1" s="43"/>
      <c r="X1" s="43"/>
      <c r="Y1" s="43"/>
      <c r="Z1" s="43"/>
      <c r="AA1" s="64"/>
    </row>
    <row r="2" spans="1:27" s="22" customFormat="1">
      <c r="A2" s="43"/>
      <c r="B2" s="168"/>
      <c r="C2" s="273" t="s">
        <v>2</v>
      </c>
      <c r="D2" s="274" t="str">
        <f>lgh_bs!E3</f>
        <v>Q1</v>
      </c>
      <c r="E2" s="274" t="str">
        <f>lgh_bs!F3</f>
        <v>Q2</v>
      </c>
      <c r="F2" s="274" t="str">
        <f>lgh_bs!G3</f>
        <v>Q3</v>
      </c>
      <c r="G2" s="274" t="str">
        <f>lgh_bs!H3</f>
        <v>Q4</v>
      </c>
      <c r="H2" s="274" t="str">
        <f>lgh_bs!I3</f>
        <v>Q1</v>
      </c>
      <c r="I2" s="274" t="str">
        <f>lgh_bs!J3</f>
        <v>Q2</v>
      </c>
      <c r="J2" s="274" t="str">
        <f>lgh_bs!K3</f>
        <v>Q3</v>
      </c>
      <c r="K2" s="274" t="str">
        <f>lgh_bs!L3</f>
        <v>Q4</v>
      </c>
      <c r="L2" s="274" t="str">
        <f>lgh_bs!M3</f>
        <v>Q4</v>
      </c>
      <c r="M2" s="274" t="str">
        <f>lgh_bs!N3</f>
        <v>Q4</v>
      </c>
      <c r="N2" s="274" t="str">
        <f>lgh_bs!O3</f>
        <v>Q4</v>
      </c>
      <c r="O2" s="274" t="str">
        <f>lgh_bs!P3</f>
        <v>Q4</v>
      </c>
      <c r="P2" s="168"/>
      <c r="Q2" s="62"/>
      <c r="R2" s="62"/>
      <c r="S2" s="43"/>
      <c r="T2" s="43"/>
      <c r="U2" s="43"/>
      <c r="V2" s="43"/>
      <c r="W2" s="43"/>
      <c r="X2" s="43"/>
      <c r="Y2" s="43"/>
      <c r="Z2" s="43"/>
      <c r="AA2" s="64"/>
    </row>
    <row r="3" spans="1:27">
      <c r="A3" s="43"/>
      <c r="B3" s="50"/>
      <c r="C3" s="50"/>
      <c r="D3" s="50"/>
      <c r="E3" s="50"/>
      <c r="F3" s="50"/>
      <c r="G3" s="50"/>
      <c r="H3" s="50"/>
      <c r="I3" s="50"/>
      <c r="J3" s="50"/>
      <c r="K3" s="50"/>
      <c r="L3" s="50"/>
      <c r="M3" s="50"/>
      <c r="N3" s="50"/>
      <c r="O3" s="50"/>
      <c r="P3" s="168"/>
      <c r="Q3" s="43"/>
      <c r="R3" s="43"/>
      <c r="S3" s="43"/>
      <c r="T3" s="43"/>
      <c r="U3" s="43"/>
      <c r="V3" s="43"/>
      <c r="W3" s="43"/>
      <c r="X3" s="43"/>
      <c r="Y3" s="43"/>
      <c r="Z3" s="43"/>
      <c r="AA3" s="64"/>
    </row>
    <row r="4" spans="1:27">
      <c r="A4" s="46" t="s">
        <v>528</v>
      </c>
      <c r="B4" s="50"/>
      <c r="C4" s="68">
        <v>20000000</v>
      </c>
      <c r="D4" s="50">
        <f>20000000</f>
        <v>20000000</v>
      </c>
      <c r="E4" s="50">
        <f>+D4</f>
        <v>20000000</v>
      </c>
      <c r="F4" s="50">
        <f>+E4</f>
        <v>20000000</v>
      </c>
      <c r="G4" s="50">
        <f>+F4</f>
        <v>20000000</v>
      </c>
      <c r="H4" s="137">
        <f>+G4*(1+lgh_inputs!$D$14)</f>
        <v>20000000</v>
      </c>
      <c r="I4" s="137">
        <f>+H4*(1+lgh_inputs!$D$14)</f>
        <v>20000000</v>
      </c>
      <c r="J4" s="137">
        <f>+I4*(1+lgh_inputs!$D$14)</f>
        <v>20000000</v>
      </c>
      <c r="K4" s="137">
        <f>+J4*(1+lgh_inputs!$D$14)</f>
        <v>20000000</v>
      </c>
      <c r="L4" s="137">
        <f>+K4*(1+lgh_inputs!$D$14)</f>
        <v>20000000</v>
      </c>
      <c r="M4" s="137">
        <f>+L4*(1+lgh_inputs!$D$14)</f>
        <v>20000000</v>
      </c>
      <c r="N4" s="137">
        <f>+M4*(1+lgh_inputs!$D$14)</f>
        <v>20000000</v>
      </c>
      <c r="O4" s="137">
        <f>+N4*(1+lgh_inputs!$D$14)</f>
        <v>20000000</v>
      </c>
      <c r="P4" s="168"/>
      <c r="Q4" s="43"/>
      <c r="R4" s="43"/>
      <c r="S4" s="43"/>
      <c r="T4" s="43"/>
      <c r="U4" s="43"/>
      <c r="V4" s="43"/>
      <c r="W4" s="43"/>
      <c r="X4" s="43"/>
      <c r="Y4" s="43"/>
      <c r="Z4" s="43"/>
      <c r="AA4" s="64"/>
    </row>
    <row r="5" spans="1:27">
      <c r="A5" s="46" t="s">
        <v>529</v>
      </c>
      <c r="B5" s="50"/>
      <c r="C5" s="50"/>
      <c r="D5" s="50"/>
      <c r="E5" s="50"/>
      <c r="F5" s="50"/>
      <c r="G5" s="50"/>
      <c r="H5" s="137">
        <f>G5*(1+lgh_inputs!$D$14)</f>
        <v>0</v>
      </c>
      <c r="I5" s="137">
        <f>H5*(1+lgh_inputs!$D$14)</f>
        <v>0</v>
      </c>
      <c r="J5" s="137">
        <f>I5*(1+lgh_inputs!$D$14)</f>
        <v>0</v>
      </c>
      <c r="K5" s="137">
        <f>J5*(1+lgh_inputs!$D$14)</f>
        <v>0</v>
      </c>
      <c r="L5" s="137">
        <f>K5*(1+lgh_inputs!$D$14)</f>
        <v>0</v>
      </c>
      <c r="M5" s="68">
        <v>5000000</v>
      </c>
      <c r="N5" s="137">
        <f>M5*(1+lgh_inputs!$D$14)</f>
        <v>5000000</v>
      </c>
      <c r="O5" s="137">
        <f>N5*(1+lgh_inputs!$D$14)</f>
        <v>5000000</v>
      </c>
      <c r="P5" s="168"/>
      <c r="Q5" s="43"/>
      <c r="R5" s="43"/>
      <c r="S5" s="43"/>
      <c r="T5" s="43"/>
      <c r="U5" s="43"/>
      <c r="V5" s="43"/>
      <c r="W5" s="43"/>
      <c r="X5" s="43"/>
      <c r="Y5" s="43"/>
      <c r="Z5" s="43"/>
      <c r="AA5" s="64"/>
    </row>
    <row r="6" spans="1:27">
      <c r="A6" s="46" t="s">
        <v>530</v>
      </c>
      <c r="B6" s="50"/>
      <c r="C6" s="50"/>
      <c r="D6" s="50"/>
      <c r="E6" s="50"/>
      <c r="F6" s="50"/>
      <c r="G6" s="50"/>
      <c r="H6" s="50"/>
      <c r="I6" s="50"/>
      <c r="J6" s="68">
        <v>5000000</v>
      </c>
      <c r="K6" s="137">
        <f>+J6*(1+lgh_inputs!$D$14)</f>
        <v>5000000</v>
      </c>
      <c r="L6" s="137">
        <f>+K6*(1+lgh_inputs!$D$14)</f>
        <v>5000000</v>
      </c>
      <c r="M6" s="137">
        <f>+L6*(1+lgh_inputs!$D$14)</f>
        <v>5000000</v>
      </c>
      <c r="N6" s="137">
        <f>+M6*(1+lgh_inputs!$D$14)</f>
        <v>5000000</v>
      </c>
      <c r="O6" s="137">
        <f>+N6*(1+lgh_inputs!$D$14)</f>
        <v>5000000</v>
      </c>
      <c r="P6" s="168"/>
      <c r="Q6" s="43"/>
      <c r="R6" s="43"/>
      <c r="S6" s="43"/>
      <c r="T6" s="43"/>
      <c r="U6" s="43"/>
      <c r="V6" s="43"/>
      <c r="W6" s="43"/>
      <c r="X6" s="43"/>
      <c r="Y6" s="43"/>
      <c r="Z6" s="43"/>
      <c r="AA6" s="64"/>
    </row>
    <row r="7" spans="1:27">
      <c r="A7" s="46" t="s">
        <v>531</v>
      </c>
      <c r="B7" s="50"/>
      <c r="C7" s="50"/>
      <c r="D7" s="50"/>
      <c r="E7" s="50"/>
      <c r="F7" s="50"/>
      <c r="G7" s="50"/>
      <c r="H7" s="50"/>
      <c r="I7" s="50"/>
      <c r="J7" s="50"/>
      <c r="K7" s="50"/>
      <c r="L7" s="50"/>
      <c r="M7" s="137">
        <f>+L7*(1+lgh_inputs!$D$14)</f>
        <v>0</v>
      </c>
      <c r="N7" s="137">
        <f>+M7*(1+lgh_inputs!$D$14)</f>
        <v>0</v>
      </c>
      <c r="O7" s="68">
        <v>5000000</v>
      </c>
      <c r="P7" s="168"/>
      <c r="Q7" s="43"/>
      <c r="R7" s="43"/>
      <c r="S7" s="43"/>
      <c r="T7" s="43"/>
      <c r="U7" s="43"/>
      <c r="V7" s="43"/>
      <c r="W7" s="43"/>
      <c r="X7" s="43"/>
      <c r="Y7" s="43"/>
      <c r="Z7" s="43"/>
      <c r="AA7" s="64"/>
    </row>
    <row r="8" spans="1:27">
      <c r="A8" s="46" t="s">
        <v>532</v>
      </c>
      <c r="B8" s="50"/>
      <c r="C8" s="140">
        <v>20000000</v>
      </c>
      <c r="D8" s="194">
        <f t="shared" ref="D8:O8" si="0">SUM(D4:D7)</f>
        <v>20000000</v>
      </c>
      <c r="E8" s="194">
        <f t="shared" si="0"/>
        <v>20000000</v>
      </c>
      <c r="F8" s="194">
        <f t="shared" si="0"/>
        <v>20000000</v>
      </c>
      <c r="G8" s="194">
        <f t="shared" si="0"/>
        <v>20000000</v>
      </c>
      <c r="H8" s="194">
        <f t="shared" si="0"/>
        <v>20000000</v>
      </c>
      <c r="I8" s="194">
        <f t="shared" si="0"/>
        <v>20000000</v>
      </c>
      <c r="J8" s="194">
        <f t="shared" si="0"/>
        <v>25000000</v>
      </c>
      <c r="K8" s="194">
        <f t="shared" si="0"/>
        <v>25000000</v>
      </c>
      <c r="L8" s="194">
        <f t="shared" si="0"/>
        <v>25000000</v>
      </c>
      <c r="M8" s="194">
        <f t="shared" si="0"/>
        <v>30000000</v>
      </c>
      <c r="N8" s="194">
        <f t="shared" si="0"/>
        <v>30000000</v>
      </c>
      <c r="O8" s="194">
        <f t="shared" si="0"/>
        <v>35000000</v>
      </c>
      <c r="P8" s="275"/>
      <c r="Q8" s="43"/>
      <c r="R8" s="43"/>
      <c r="S8" s="59"/>
      <c r="T8" s="43"/>
      <c r="U8" s="43"/>
      <c r="V8" s="43"/>
      <c r="W8" s="43"/>
      <c r="X8" s="43"/>
      <c r="Y8" s="43"/>
      <c r="Z8" s="43"/>
      <c r="AA8" s="64"/>
    </row>
    <row r="9" spans="1:27">
      <c r="A9" s="46" t="s">
        <v>533</v>
      </c>
      <c r="B9" s="50"/>
      <c r="C9" s="90">
        <v>0.5</v>
      </c>
      <c r="D9" s="90">
        <v>0.5</v>
      </c>
      <c r="E9" s="90">
        <v>0.5</v>
      </c>
      <c r="F9" s="90">
        <v>0.5</v>
      </c>
      <c r="G9" s="90">
        <v>0.5</v>
      </c>
      <c r="H9" s="90">
        <v>0.5</v>
      </c>
      <c r="I9" s="90">
        <v>0.6</v>
      </c>
      <c r="J9" s="90">
        <v>0.7</v>
      </c>
      <c r="K9" s="90">
        <v>0.8</v>
      </c>
      <c r="L9" s="90">
        <v>1.1000000000000001</v>
      </c>
      <c r="M9" s="90">
        <v>1.4</v>
      </c>
      <c r="N9" s="90">
        <v>1.7</v>
      </c>
      <c r="O9" s="90">
        <v>2</v>
      </c>
      <c r="P9" s="43"/>
      <c r="Q9" s="43"/>
      <c r="R9" s="43"/>
      <c r="S9" s="43"/>
      <c r="T9" s="43"/>
      <c r="U9" s="43"/>
      <c r="V9" s="43"/>
      <c r="W9" s="43"/>
      <c r="X9" s="43"/>
      <c r="Y9" s="43"/>
      <c r="Z9" s="43"/>
      <c r="AA9" s="64"/>
    </row>
    <row r="10" spans="1:27">
      <c r="A10" s="46" t="s">
        <v>534</v>
      </c>
      <c r="B10" s="68">
        <v>0</v>
      </c>
      <c r="C10" s="140">
        <v>10000000</v>
      </c>
      <c r="D10" s="141">
        <f t="shared" ref="D10:O10" si="1">+D8*D9</f>
        <v>10000000</v>
      </c>
      <c r="E10" s="141">
        <f t="shared" si="1"/>
        <v>10000000</v>
      </c>
      <c r="F10" s="141">
        <f t="shared" si="1"/>
        <v>10000000</v>
      </c>
      <c r="G10" s="141">
        <f t="shared" si="1"/>
        <v>10000000</v>
      </c>
      <c r="H10" s="141">
        <f t="shared" si="1"/>
        <v>10000000</v>
      </c>
      <c r="I10" s="141">
        <f t="shared" si="1"/>
        <v>12000000</v>
      </c>
      <c r="J10" s="141">
        <f t="shared" si="1"/>
        <v>17500000</v>
      </c>
      <c r="K10" s="141">
        <f t="shared" si="1"/>
        <v>20000000</v>
      </c>
      <c r="L10" s="141">
        <f t="shared" si="1"/>
        <v>27500000.000000004</v>
      </c>
      <c r="M10" s="141">
        <f t="shared" si="1"/>
        <v>42000000</v>
      </c>
      <c r="N10" s="141">
        <f t="shared" si="1"/>
        <v>51000000</v>
      </c>
      <c r="O10" s="141">
        <f t="shared" si="1"/>
        <v>70000000</v>
      </c>
      <c r="P10" s="43"/>
      <c r="Q10" s="43"/>
      <c r="R10" s="43"/>
      <c r="S10" s="43"/>
      <c r="T10" s="43"/>
      <c r="U10" s="43"/>
      <c r="V10" s="43"/>
      <c r="W10" s="43"/>
      <c r="X10" s="43"/>
      <c r="Y10" s="64"/>
      <c r="Z10" s="43"/>
      <c r="AA10" s="43"/>
    </row>
    <row r="11" spans="1:27">
      <c r="A11" s="46" t="s">
        <v>535</v>
      </c>
      <c r="B11" s="43"/>
      <c r="C11" s="140">
        <v>0</v>
      </c>
      <c r="D11" s="140">
        <v>0</v>
      </c>
      <c r="E11" s="140">
        <v>0</v>
      </c>
      <c r="F11" s="140">
        <v>0</v>
      </c>
      <c r="G11" s="140">
        <v>0</v>
      </c>
      <c r="H11" s="140">
        <v>0</v>
      </c>
      <c r="I11" s="140">
        <v>0</v>
      </c>
      <c r="J11" s="140">
        <v>0</v>
      </c>
      <c r="K11" s="140">
        <v>0</v>
      </c>
      <c r="L11" s="140">
        <v>0</v>
      </c>
      <c r="M11" s="140">
        <v>25000000</v>
      </c>
      <c r="N11" s="140">
        <v>50000000</v>
      </c>
      <c r="O11" s="140">
        <v>100000000</v>
      </c>
      <c r="P11" s="43"/>
      <c r="Q11" s="43"/>
      <c r="R11" s="43"/>
      <c r="S11" s="43"/>
      <c r="T11" s="43"/>
      <c r="U11" s="43"/>
      <c r="V11" s="43"/>
      <c r="W11" s="43"/>
      <c r="X11" s="43"/>
      <c r="Y11" s="43"/>
      <c r="Z11" s="43"/>
      <c r="AA11" s="64"/>
    </row>
    <row r="12" spans="1:27">
      <c r="A12" s="46" t="s">
        <v>536</v>
      </c>
      <c r="B12" s="43"/>
      <c r="C12" s="119">
        <v>30000000</v>
      </c>
      <c r="D12" s="50">
        <f t="shared" ref="D12:O12" si="2">+D8+D10+D11</f>
        <v>30000000</v>
      </c>
      <c r="E12" s="50">
        <f t="shared" si="2"/>
        <v>30000000</v>
      </c>
      <c r="F12" s="50">
        <f t="shared" si="2"/>
        <v>30000000</v>
      </c>
      <c r="G12" s="50">
        <f t="shared" si="2"/>
        <v>30000000</v>
      </c>
      <c r="H12" s="50">
        <f t="shared" si="2"/>
        <v>30000000</v>
      </c>
      <c r="I12" s="50">
        <f t="shared" si="2"/>
        <v>32000000</v>
      </c>
      <c r="J12" s="50">
        <f t="shared" si="2"/>
        <v>42500000</v>
      </c>
      <c r="K12" s="50">
        <f t="shared" si="2"/>
        <v>45000000</v>
      </c>
      <c r="L12" s="50">
        <f t="shared" si="2"/>
        <v>52500000</v>
      </c>
      <c r="M12" s="50">
        <f t="shared" si="2"/>
        <v>97000000</v>
      </c>
      <c r="N12" s="50">
        <f t="shared" si="2"/>
        <v>131000000</v>
      </c>
      <c r="O12" s="50">
        <f t="shared" si="2"/>
        <v>205000000</v>
      </c>
      <c r="P12" s="43"/>
      <c r="Q12" s="43"/>
      <c r="R12" s="43"/>
      <c r="S12" s="43"/>
      <c r="T12" s="43"/>
      <c r="U12" s="43"/>
      <c r="V12" s="43"/>
      <c r="W12" s="43"/>
      <c r="X12" s="43"/>
      <c r="Y12" s="43"/>
      <c r="Z12" s="43"/>
      <c r="AA12" s="43"/>
    </row>
    <row r="13" spans="1:27">
      <c r="A13" s="43"/>
      <c r="B13" s="43"/>
      <c r="C13" s="43"/>
      <c r="D13" s="59"/>
      <c r="E13" s="59"/>
      <c r="F13" s="59"/>
      <c r="G13" s="59"/>
      <c r="H13" s="59"/>
      <c r="I13" s="59"/>
      <c r="J13" s="276"/>
      <c r="K13" s="276"/>
      <c r="L13" s="59"/>
      <c r="M13" s="59"/>
      <c r="N13" s="59"/>
      <c r="O13" s="59"/>
      <c r="P13" s="43"/>
      <c r="Q13" s="43"/>
      <c r="R13" s="43"/>
      <c r="S13" s="43"/>
      <c r="T13" s="43"/>
      <c r="U13" s="43"/>
      <c r="V13" s="43"/>
      <c r="W13" s="43"/>
      <c r="X13" s="43"/>
      <c r="Y13" s="43"/>
      <c r="Z13" s="43"/>
      <c r="AA13" s="4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tabColor rgb="FFB4C6E7"/>
  </sheetPr>
  <dimension ref="A1:U94"/>
  <sheetViews>
    <sheetView showGridLines="0" zoomScale="89" zoomScaleNormal="70" workbookViewId="0">
      <pane xSplit="1" ySplit="2" topLeftCell="D57" activePane="bottomRight" state="frozen"/>
      <selection pane="topRight" activeCell="B1" sqref="B1"/>
      <selection pane="bottomLeft" activeCell="A3" sqref="A3"/>
      <selection pane="bottomRight" activeCell="H56" sqref="H56"/>
    </sheetView>
  </sheetViews>
  <sheetFormatPr defaultRowHeight="14.5"/>
  <cols>
    <col min="1" max="1" width="29.26953125" bestFit="1" customWidth="1"/>
    <col min="2" max="2" width="25.26953125" customWidth="1"/>
    <col min="3" max="3" width="16.453125" customWidth="1"/>
    <col min="4" max="4" width="16.54296875" customWidth="1"/>
    <col min="5" max="5" width="18.453125" customWidth="1"/>
    <col min="6" max="6" width="18.26953125" customWidth="1"/>
    <col min="7" max="7" width="27.6328125" customWidth="1"/>
    <col min="8" max="8" width="19.26953125" customWidth="1"/>
    <col min="9" max="11" width="17.6328125" bestFit="1" customWidth="1"/>
    <col min="12" max="13" width="18.453125" bestFit="1" customWidth="1"/>
    <col min="14" max="17" width="17.26953125" bestFit="1" customWidth="1"/>
    <col min="18" max="18" width="12.6328125" bestFit="1" customWidth="1"/>
    <col min="19" max="19" width="20.26953125" bestFit="1" customWidth="1"/>
    <col min="20" max="20" width="24.26953125" customWidth="1"/>
    <col min="21" max="21" width="18.26953125" bestFit="1" customWidth="1"/>
    <col min="22" max="22" width="13.6328125" bestFit="1" customWidth="1"/>
    <col min="23" max="24" width="11.26953125" bestFit="1" customWidth="1"/>
  </cols>
  <sheetData>
    <row r="1" spans="1:21" s="26" customFormat="1" ht="18.399999999999999" customHeight="1">
      <c r="A1" s="277" t="s">
        <v>187</v>
      </c>
      <c r="B1" s="278">
        <v>45657</v>
      </c>
      <c r="C1" s="278">
        <v>45747</v>
      </c>
      <c r="D1" s="278">
        <v>45838</v>
      </c>
      <c r="E1" s="278">
        <v>45930</v>
      </c>
      <c r="F1" s="278">
        <v>46022</v>
      </c>
      <c r="G1" s="278">
        <v>46112</v>
      </c>
      <c r="H1" s="278">
        <v>46203</v>
      </c>
      <c r="I1" s="278">
        <v>46295</v>
      </c>
      <c r="J1" s="278">
        <v>46387</v>
      </c>
      <c r="K1" s="278">
        <v>46752</v>
      </c>
      <c r="L1" s="278">
        <v>47118</v>
      </c>
      <c r="M1" s="278">
        <v>47483</v>
      </c>
      <c r="N1" s="278">
        <v>47848</v>
      </c>
      <c r="O1" s="279"/>
      <c r="P1" s="43"/>
      <c r="Q1" s="43"/>
      <c r="R1" s="43"/>
      <c r="S1" s="43"/>
      <c r="T1" s="43"/>
      <c r="U1" s="43"/>
    </row>
    <row r="2" spans="1:21" ht="15.65" customHeight="1">
      <c r="A2" s="280" t="s">
        <v>537</v>
      </c>
      <c r="B2" s="278" t="s">
        <v>2</v>
      </c>
      <c r="C2" s="278" t="s">
        <v>3</v>
      </c>
      <c r="D2" s="278" t="s">
        <v>4</v>
      </c>
      <c r="E2" s="278" t="s">
        <v>5</v>
      </c>
      <c r="F2" s="278" t="s">
        <v>2</v>
      </c>
      <c r="G2" s="278" t="s">
        <v>3</v>
      </c>
      <c r="H2" s="278" t="s">
        <v>4</v>
      </c>
      <c r="I2" s="278" t="s">
        <v>5</v>
      </c>
      <c r="J2" s="278" t="s">
        <v>2</v>
      </c>
      <c r="K2" s="278" t="s">
        <v>2</v>
      </c>
      <c r="L2" s="278" t="s">
        <v>2</v>
      </c>
      <c r="M2" s="278" t="s">
        <v>2</v>
      </c>
      <c r="N2" s="278" t="s">
        <v>2</v>
      </c>
      <c r="O2" s="50"/>
      <c r="P2" s="43"/>
      <c r="Q2" s="43"/>
      <c r="R2" s="43"/>
      <c r="S2" s="43"/>
      <c r="T2" s="43"/>
      <c r="U2" s="43"/>
    </row>
    <row r="3" spans="1:21" ht="18.649999999999999" customHeight="1" thickBot="1">
      <c r="A3" s="281" t="s">
        <v>538</v>
      </c>
      <c r="B3" s="50"/>
      <c r="C3" s="51"/>
      <c r="D3" s="51"/>
      <c r="E3" s="51"/>
      <c r="F3" s="52"/>
      <c r="G3" s="53"/>
      <c r="H3" s="53"/>
      <c r="I3" s="53"/>
      <c r="J3" s="53"/>
      <c r="K3" s="53"/>
      <c r="L3" s="53"/>
      <c r="M3" s="50"/>
      <c r="N3" s="282">
        <f>+N4/SUM(C4:F4)</f>
        <v>1.7156524256088908</v>
      </c>
      <c r="O3" s="50"/>
      <c r="P3" s="62"/>
      <c r="Q3" s="62"/>
      <c r="R3" s="43"/>
      <c r="S3" s="283"/>
      <c r="T3" s="43"/>
      <c r="U3" s="43"/>
    </row>
    <row r="4" spans="1:21">
      <c r="A4" s="56" t="s">
        <v>539</v>
      </c>
      <c r="B4" s="68">
        <v>6257095</v>
      </c>
      <c r="C4" s="137">
        <f>5621001/4</f>
        <v>1405250.25</v>
      </c>
      <c r="D4" s="137">
        <f>5621001/4</f>
        <v>1405250.25</v>
      </c>
      <c r="E4" s="137">
        <f>5621001/4</f>
        <v>1405250.25</v>
      </c>
      <c r="F4" s="137">
        <f>5621001/4</f>
        <v>1405250.25</v>
      </c>
      <c r="G4" s="137">
        <f>6217214/4</f>
        <v>1554303.5</v>
      </c>
      <c r="H4" s="137">
        <f>6217214/4</f>
        <v>1554303.5</v>
      </c>
      <c r="I4" s="137">
        <f>6217214/4</f>
        <v>1554303.5</v>
      </c>
      <c r="J4" s="137">
        <f>6217214/4</f>
        <v>1554303.5</v>
      </c>
      <c r="K4" s="68">
        <v>7764696</v>
      </c>
      <c r="L4" s="68">
        <v>8312565</v>
      </c>
      <c r="M4" s="68">
        <v>9362800</v>
      </c>
      <c r="N4" s="137">
        <f>9582583*0+M4*(1+$Q$37)</f>
        <v>9643684</v>
      </c>
      <c r="O4" s="67" t="s">
        <v>540</v>
      </c>
      <c r="P4" s="69"/>
      <c r="Q4" s="111"/>
      <c r="R4" s="43"/>
      <c r="S4" s="59"/>
      <c r="T4" s="43"/>
      <c r="U4" s="43"/>
    </row>
    <row r="5" spans="1:21">
      <c r="A5" s="284" t="s">
        <v>541</v>
      </c>
      <c r="B5" s="68">
        <v>-2421922</v>
      </c>
      <c r="C5" s="137">
        <f>-37500000*0.07/4</f>
        <v>-656250.00000000012</v>
      </c>
      <c r="D5" s="137">
        <f>-43000000*0.085/4</f>
        <v>-913750.00000000012</v>
      </c>
      <c r="E5" s="137">
        <f>-43000000*0.085/4</f>
        <v>-913750.00000000012</v>
      </c>
      <c r="F5" s="137">
        <f>-52000000*0.0875/4</f>
        <v>-1137500</v>
      </c>
      <c r="G5" s="137">
        <f>-52000000*0.0875/4</f>
        <v>-1137500</v>
      </c>
      <c r="H5" s="285">
        <f>-52000000*0.0875/4</f>
        <v>-1137500</v>
      </c>
      <c r="I5" s="285">
        <f>-52000000*0.0875/4</f>
        <v>-1137500</v>
      </c>
      <c r="J5" s="285">
        <f>-52000000*0.0875/4</f>
        <v>-1137500</v>
      </c>
      <c r="K5" s="286">
        <f>+SUM(K48:K49)*$P$48</f>
        <v>-4550000</v>
      </c>
      <c r="L5" s="286">
        <f>+SUM(L48:L49)*$P$48</f>
        <v>-4550000</v>
      </c>
      <c r="M5" s="286">
        <f>+SUM(M48:M49)*$P$49</f>
        <v>-5520000</v>
      </c>
      <c r="N5" s="286">
        <f>+SUM(N48:N49)*$P$49</f>
        <v>-5520000</v>
      </c>
      <c r="O5" s="287"/>
      <c r="P5" s="288"/>
      <c r="Q5" s="62"/>
      <c r="R5" s="179"/>
      <c r="S5" s="289"/>
      <c r="T5" s="179"/>
      <c r="U5" s="179"/>
    </row>
    <row r="6" spans="1:21">
      <c r="A6" s="284" t="s">
        <v>542</v>
      </c>
      <c r="B6" s="50"/>
      <c r="C6" s="50"/>
      <c r="D6" s="50"/>
      <c r="E6" s="50"/>
      <c r="F6" s="50"/>
      <c r="G6" s="50"/>
      <c r="H6" s="287"/>
      <c r="I6" s="290">
        <v>-1300000</v>
      </c>
      <c r="J6" s="287"/>
      <c r="K6" s="290">
        <v>-2550000</v>
      </c>
      <c r="L6" s="287"/>
      <c r="M6" s="287"/>
      <c r="N6" s="287"/>
      <c r="O6" s="287"/>
      <c r="P6" s="62"/>
      <c r="Q6" s="62"/>
      <c r="R6" s="179"/>
      <c r="S6" s="289"/>
      <c r="T6" s="179"/>
      <c r="U6" s="179"/>
    </row>
    <row r="7" spans="1:21">
      <c r="A7" s="284" t="s">
        <v>543</v>
      </c>
      <c r="B7" s="50"/>
      <c r="C7" s="50"/>
      <c r="D7" s="50"/>
      <c r="E7" s="50"/>
      <c r="F7" s="50"/>
      <c r="G7" s="50"/>
      <c r="H7" s="287"/>
      <c r="I7" s="287"/>
      <c r="J7" s="287"/>
      <c r="K7" s="287"/>
      <c r="L7" s="287"/>
      <c r="M7" s="287"/>
      <c r="N7" s="287"/>
      <c r="O7" s="287"/>
      <c r="P7" s="62"/>
      <c r="Q7" s="62"/>
      <c r="R7" s="179"/>
      <c r="S7" s="179"/>
      <c r="T7" s="179"/>
      <c r="U7" s="179"/>
    </row>
    <row r="8" spans="1:21" s="2" customFormat="1">
      <c r="A8" s="46" t="s">
        <v>544</v>
      </c>
      <c r="B8" s="68">
        <v>3835173</v>
      </c>
      <c r="C8" s="136">
        <f t="shared" ref="C8:N8" si="0">SUM(C4:C7)</f>
        <v>749000.24999999988</v>
      </c>
      <c r="D8" s="136">
        <f t="shared" si="0"/>
        <v>491500.24999999988</v>
      </c>
      <c r="E8" s="136">
        <f t="shared" si="0"/>
        <v>491500.24999999988</v>
      </c>
      <c r="F8" s="136">
        <f t="shared" si="0"/>
        <v>267750.25</v>
      </c>
      <c r="G8" s="136">
        <f t="shared" si="0"/>
        <v>416803.5</v>
      </c>
      <c r="H8" s="136">
        <f t="shared" si="0"/>
        <v>416803.5</v>
      </c>
      <c r="I8" s="136">
        <f t="shared" si="0"/>
        <v>-883196.5</v>
      </c>
      <c r="J8" s="136">
        <f t="shared" si="0"/>
        <v>416803.5</v>
      </c>
      <c r="K8" s="136">
        <f t="shared" si="0"/>
        <v>664696</v>
      </c>
      <c r="L8" s="136">
        <f t="shared" si="0"/>
        <v>3762565</v>
      </c>
      <c r="M8" s="136">
        <f t="shared" si="0"/>
        <v>3842800</v>
      </c>
      <c r="N8" s="136">
        <f t="shared" si="0"/>
        <v>4123684</v>
      </c>
      <c r="O8" s="50"/>
      <c r="P8" s="62"/>
      <c r="Q8" s="62"/>
      <c r="R8" s="179"/>
      <c r="S8" s="179"/>
      <c r="T8" s="176"/>
      <c r="U8" s="176"/>
    </row>
    <row r="9" spans="1:21">
      <c r="A9" s="46" t="s">
        <v>545</v>
      </c>
      <c r="B9" s="68">
        <v>-1562074</v>
      </c>
      <c r="C9" s="50"/>
      <c r="D9" s="50"/>
      <c r="E9" s="68">
        <v>-1000000</v>
      </c>
      <c r="F9" s="50"/>
      <c r="G9" s="68">
        <v>0</v>
      </c>
      <c r="H9" s="68">
        <v>0</v>
      </c>
      <c r="I9" s="50"/>
      <c r="J9" s="50"/>
      <c r="K9" s="50">
        <f>-K8</f>
        <v>-664696</v>
      </c>
      <c r="L9" s="50">
        <f>-L8</f>
        <v>-3762565</v>
      </c>
      <c r="M9" s="50">
        <f>-M8</f>
        <v>-3842800</v>
      </c>
      <c r="N9" s="50">
        <f>-N8</f>
        <v>-4123684</v>
      </c>
      <c r="O9" s="50"/>
      <c r="P9" s="62"/>
      <c r="Q9" s="62"/>
      <c r="R9" s="179"/>
      <c r="S9" s="276"/>
      <c r="T9" s="176"/>
      <c r="U9" s="176"/>
    </row>
    <row r="10" spans="1:21" s="2" customFormat="1">
      <c r="A10" s="46" t="s">
        <v>546</v>
      </c>
      <c r="B10" s="68">
        <v>2273099</v>
      </c>
      <c r="C10" s="136">
        <f t="shared" ref="C10:N10" si="1">SUM(C8:C9)</f>
        <v>749000.24999999988</v>
      </c>
      <c r="D10" s="136">
        <f t="shared" si="1"/>
        <v>491500.24999999988</v>
      </c>
      <c r="E10" s="136">
        <f t="shared" si="1"/>
        <v>-508499.75000000012</v>
      </c>
      <c r="F10" s="136">
        <f t="shared" si="1"/>
        <v>267750.25</v>
      </c>
      <c r="G10" s="136">
        <f t="shared" si="1"/>
        <v>416803.5</v>
      </c>
      <c r="H10" s="136">
        <f t="shared" si="1"/>
        <v>416803.5</v>
      </c>
      <c r="I10" s="136">
        <f t="shared" si="1"/>
        <v>-883196.5</v>
      </c>
      <c r="J10" s="136">
        <f t="shared" si="1"/>
        <v>416803.5</v>
      </c>
      <c r="K10" s="136">
        <f t="shared" si="1"/>
        <v>0</v>
      </c>
      <c r="L10" s="136">
        <f t="shared" si="1"/>
        <v>0</v>
      </c>
      <c r="M10" s="136">
        <f t="shared" si="1"/>
        <v>0</v>
      </c>
      <c r="N10" s="136">
        <f t="shared" si="1"/>
        <v>0</v>
      </c>
      <c r="O10" s="50"/>
      <c r="P10" s="62"/>
      <c r="Q10" s="62"/>
      <c r="R10" s="179"/>
      <c r="S10" s="289"/>
      <c r="T10" s="176"/>
      <c r="U10" s="176"/>
    </row>
    <row r="11" spans="1:21">
      <c r="A11" s="46" t="s">
        <v>547</v>
      </c>
      <c r="B11" s="50"/>
      <c r="C11" s="50"/>
      <c r="D11" s="50"/>
      <c r="E11" s="50"/>
      <c r="F11" s="50"/>
      <c r="G11" s="50"/>
      <c r="H11" s="50"/>
      <c r="I11" s="50"/>
      <c r="J11" s="50"/>
      <c r="K11" s="50"/>
      <c r="L11" s="50"/>
      <c r="M11" s="50"/>
      <c r="N11" s="50"/>
      <c r="O11" s="50"/>
      <c r="P11" s="62"/>
      <c r="Q11" s="43"/>
      <c r="R11" s="43"/>
      <c r="S11" s="43"/>
      <c r="T11" s="43"/>
      <c r="U11" s="43"/>
    </row>
    <row r="12" spans="1:21">
      <c r="A12" s="46" t="s">
        <v>548</v>
      </c>
      <c r="B12" s="68">
        <v>1562074</v>
      </c>
      <c r="C12" s="50">
        <f t="shared" ref="C12:N12" si="2">+C59*-C9</f>
        <v>0</v>
      </c>
      <c r="D12" s="50">
        <f t="shared" si="2"/>
        <v>0</v>
      </c>
      <c r="E12" s="50">
        <f t="shared" si="2"/>
        <v>1000000</v>
      </c>
      <c r="F12" s="50">
        <f t="shared" si="2"/>
        <v>0</v>
      </c>
      <c r="G12" s="50">
        <f t="shared" si="2"/>
        <v>0</v>
      </c>
      <c r="H12" s="50">
        <f t="shared" si="2"/>
        <v>0</v>
      </c>
      <c r="I12" s="50">
        <f t="shared" si="2"/>
        <v>0</v>
      </c>
      <c r="J12" s="50">
        <f t="shared" si="2"/>
        <v>0</v>
      </c>
      <c r="K12" s="50">
        <f t="shared" si="2"/>
        <v>664696</v>
      </c>
      <c r="L12" s="50">
        <f t="shared" si="2"/>
        <v>3762565</v>
      </c>
      <c r="M12" s="50">
        <f t="shared" si="2"/>
        <v>3842800</v>
      </c>
      <c r="N12" s="50">
        <f t="shared" si="2"/>
        <v>4123684</v>
      </c>
      <c r="O12" s="50"/>
      <c r="P12" s="62"/>
      <c r="Q12" s="43"/>
      <c r="R12" s="43"/>
      <c r="S12" s="43"/>
      <c r="T12" s="43"/>
      <c r="U12" s="43"/>
    </row>
    <row r="13" spans="1:21">
      <c r="A13" s="46" t="s">
        <v>549</v>
      </c>
      <c r="B13" s="50"/>
      <c r="C13" s="68">
        <v>750000</v>
      </c>
      <c r="D13" s="50"/>
      <c r="E13" s="50"/>
      <c r="F13" s="50"/>
      <c r="G13" s="50"/>
      <c r="H13" s="50"/>
      <c r="I13" s="50"/>
      <c r="J13" s="50"/>
      <c r="K13" s="50"/>
      <c r="L13" s="50"/>
      <c r="M13" s="50"/>
      <c r="N13" s="50"/>
      <c r="O13" s="50"/>
      <c r="P13" s="62"/>
      <c r="Q13" s="43"/>
      <c r="R13" s="43"/>
      <c r="S13" s="43"/>
      <c r="T13" s="43"/>
      <c r="U13" s="43"/>
    </row>
    <row r="14" spans="1:21">
      <c r="A14" s="46" t="s">
        <v>550</v>
      </c>
      <c r="B14" s="50"/>
      <c r="C14" s="68">
        <v>2500000</v>
      </c>
      <c r="D14" s="50"/>
      <c r="E14" s="50"/>
      <c r="F14" s="50"/>
      <c r="G14" s="50"/>
      <c r="H14" s="50"/>
      <c r="I14" s="50"/>
      <c r="J14" s="50"/>
      <c r="K14" s="50"/>
      <c r="L14" s="50"/>
      <c r="M14" s="50"/>
      <c r="N14" s="50"/>
      <c r="O14" s="50"/>
      <c r="P14" s="62"/>
      <c r="Q14" s="43"/>
      <c r="R14" s="43"/>
      <c r="S14" s="43"/>
      <c r="T14" s="43"/>
      <c r="U14" s="43"/>
    </row>
    <row r="15" spans="1:21">
      <c r="A15" s="46" t="s">
        <v>551</v>
      </c>
      <c r="B15" s="50"/>
      <c r="C15" s="50"/>
      <c r="D15" s="50"/>
      <c r="E15" s="50"/>
      <c r="F15" s="50"/>
      <c r="G15" s="50"/>
      <c r="H15" s="50"/>
      <c r="I15" s="50"/>
      <c r="J15" s="50"/>
      <c r="K15" s="50"/>
      <c r="L15" s="50"/>
      <c r="M15" s="50"/>
      <c r="N15" s="50"/>
      <c r="O15" s="50"/>
      <c r="P15" s="62"/>
      <c r="Q15" s="43"/>
      <c r="R15" s="43"/>
      <c r="S15" s="43"/>
      <c r="T15" s="43"/>
      <c r="U15" s="43"/>
    </row>
    <row r="16" spans="1:21">
      <c r="A16" s="284" t="s">
        <v>552</v>
      </c>
      <c r="B16" s="68">
        <v>0</v>
      </c>
      <c r="C16" s="50">
        <f>+-C57*C59</f>
        <v>0</v>
      </c>
      <c r="D16" s="68">
        <v>3388588</v>
      </c>
      <c r="E16" s="68">
        <v>475962</v>
      </c>
      <c r="F16" s="137">
        <f>8935822-599089</f>
        <v>8336733</v>
      </c>
      <c r="G16" s="50">
        <f t="shared" ref="G16:L16" si="3">+-G57*G59</f>
        <v>0</v>
      </c>
      <c r="H16" s="287">
        <f t="shared" si="3"/>
        <v>0</v>
      </c>
      <c r="I16" s="287">
        <f t="shared" si="3"/>
        <v>0</v>
      </c>
      <c r="J16" s="287">
        <f t="shared" si="3"/>
        <v>0</v>
      </c>
      <c r="K16" s="287">
        <f t="shared" si="3"/>
        <v>0</v>
      </c>
      <c r="L16" s="287">
        <f t="shared" si="3"/>
        <v>0</v>
      </c>
      <c r="M16" s="287">
        <f>-M56</f>
        <v>17000000</v>
      </c>
      <c r="N16" s="287">
        <f>+-N57*N59</f>
        <v>0</v>
      </c>
      <c r="O16" s="287"/>
      <c r="P16" s="62"/>
      <c r="Q16" s="43"/>
      <c r="R16" s="43"/>
      <c r="S16" s="43"/>
      <c r="T16" s="43"/>
      <c r="U16" s="43"/>
    </row>
    <row r="17" spans="1:21">
      <c r="A17" s="101" t="s">
        <v>33</v>
      </c>
      <c r="B17" s="140">
        <v>1562074</v>
      </c>
      <c r="C17" s="194">
        <f t="shared" ref="C17:N17" si="4">SUM(C12:C16)</f>
        <v>3250000</v>
      </c>
      <c r="D17" s="194">
        <f t="shared" si="4"/>
        <v>3388588</v>
      </c>
      <c r="E17" s="194">
        <f t="shared" si="4"/>
        <v>1475962</v>
      </c>
      <c r="F17" s="194">
        <f t="shared" si="4"/>
        <v>8336733</v>
      </c>
      <c r="G17" s="194">
        <f t="shared" si="4"/>
        <v>0</v>
      </c>
      <c r="H17" s="194">
        <f t="shared" si="4"/>
        <v>0</v>
      </c>
      <c r="I17" s="194">
        <f t="shared" si="4"/>
        <v>0</v>
      </c>
      <c r="J17" s="194">
        <f t="shared" si="4"/>
        <v>0</v>
      </c>
      <c r="K17" s="194">
        <f t="shared" si="4"/>
        <v>664696</v>
      </c>
      <c r="L17" s="194">
        <f t="shared" si="4"/>
        <v>3762565</v>
      </c>
      <c r="M17" s="194">
        <f t="shared" si="4"/>
        <v>20842800</v>
      </c>
      <c r="N17" s="194">
        <f t="shared" si="4"/>
        <v>4123684</v>
      </c>
      <c r="O17" s="287"/>
      <c r="P17" s="62"/>
      <c r="Q17" s="43"/>
      <c r="R17" s="43"/>
      <c r="S17" s="43"/>
      <c r="T17" s="43"/>
      <c r="U17" s="43"/>
    </row>
    <row r="18" spans="1:21">
      <c r="A18" s="46" t="s">
        <v>553</v>
      </c>
      <c r="B18" s="50"/>
      <c r="C18" s="50"/>
      <c r="D18" s="50"/>
      <c r="E18" s="50"/>
      <c r="F18" s="50"/>
      <c r="G18" s="50"/>
      <c r="H18" s="50"/>
      <c r="I18" s="50"/>
      <c r="J18" s="50"/>
      <c r="K18" s="50"/>
      <c r="L18" s="50"/>
      <c r="M18" s="50"/>
      <c r="N18" s="50"/>
      <c r="O18" s="43"/>
      <c r="P18" s="62"/>
      <c r="Q18" s="62"/>
      <c r="R18" s="43"/>
      <c r="S18" s="43"/>
      <c r="T18" s="43"/>
      <c r="U18" s="43"/>
    </row>
    <row r="19" spans="1:21">
      <c r="A19" s="46" t="s">
        <v>554</v>
      </c>
      <c r="B19" s="68">
        <v>0</v>
      </c>
      <c r="C19" s="68">
        <v>-125000</v>
      </c>
      <c r="D19" s="68">
        <v>-3717883</v>
      </c>
      <c r="E19" s="50"/>
      <c r="F19" s="50"/>
      <c r="G19" s="50"/>
      <c r="H19" s="50"/>
      <c r="I19" s="50">
        <f>-I17</f>
        <v>0</v>
      </c>
      <c r="J19" s="68">
        <v>0</v>
      </c>
      <c r="K19" s="50"/>
      <c r="L19" s="50"/>
      <c r="M19" s="68">
        <v>0</v>
      </c>
      <c r="N19" s="68">
        <v>0</v>
      </c>
      <c r="O19" s="50"/>
      <c r="P19" s="62"/>
      <c r="Q19" s="62"/>
      <c r="R19" s="43"/>
      <c r="S19" s="43"/>
      <c r="T19" s="43"/>
      <c r="U19" s="43"/>
    </row>
    <row r="20" spans="1:21">
      <c r="A20" s="46" t="s">
        <v>555</v>
      </c>
      <c r="B20" s="50"/>
      <c r="C20" s="50"/>
      <c r="D20" s="50"/>
      <c r="E20" s="50">
        <f>+E53</f>
        <v>-1081671.2675276021</v>
      </c>
      <c r="F20" s="50"/>
      <c r="G20" s="50"/>
      <c r="H20" s="50"/>
      <c r="I20" s="50"/>
      <c r="J20" s="50"/>
      <c r="K20" s="50"/>
      <c r="L20" s="50"/>
      <c r="M20" s="50"/>
      <c r="N20" s="50"/>
      <c r="O20" s="50"/>
      <c r="P20" s="62"/>
      <c r="Q20" s="62"/>
      <c r="R20" s="43"/>
      <c r="S20" s="43"/>
      <c r="T20" s="43"/>
      <c r="U20" s="43"/>
    </row>
    <row r="21" spans="1:21">
      <c r="A21" s="46" t="s">
        <v>556</v>
      </c>
      <c r="B21" s="50"/>
      <c r="C21" s="50"/>
      <c r="D21" s="50"/>
      <c r="E21" s="50"/>
      <c r="F21" s="50"/>
      <c r="G21" s="50"/>
      <c r="H21" s="50"/>
      <c r="I21" s="50"/>
      <c r="J21" s="50">
        <f>+I54</f>
        <v>-4604401.1674821461</v>
      </c>
      <c r="K21" s="50"/>
      <c r="L21" s="50"/>
      <c r="M21" s="50"/>
      <c r="N21" s="50"/>
      <c r="O21" s="50"/>
      <c r="P21" s="62"/>
      <c r="Q21" s="62"/>
      <c r="R21" s="43"/>
      <c r="S21" s="43"/>
      <c r="T21" s="43"/>
      <c r="U21" s="43"/>
    </row>
    <row r="22" spans="1:21">
      <c r="A22" s="46" t="s">
        <v>557</v>
      </c>
      <c r="B22" s="50"/>
      <c r="C22" s="50"/>
      <c r="D22" s="50"/>
      <c r="E22" s="50"/>
      <c r="F22" s="50"/>
      <c r="G22" s="50"/>
      <c r="H22" s="50"/>
      <c r="I22" s="50"/>
      <c r="J22" s="50"/>
      <c r="K22" s="50"/>
      <c r="L22" s="50"/>
      <c r="M22" s="50"/>
      <c r="N22" s="50"/>
      <c r="O22" s="50"/>
      <c r="P22" s="62"/>
      <c r="Q22" s="62"/>
      <c r="R22" s="43"/>
      <c r="S22" s="43"/>
      <c r="T22" s="43"/>
      <c r="U22" s="43"/>
    </row>
    <row r="23" spans="1:21">
      <c r="A23" s="46" t="s">
        <v>558</v>
      </c>
      <c r="B23" s="50"/>
      <c r="C23" s="50"/>
      <c r="D23" s="50"/>
      <c r="E23" s="50"/>
      <c r="F23" s="50"/>
      <c r="G23" s="50"/>
      <c r="H23" s="50"/>
      <c r="I23" s="50"/>
      <c r="J23" s="50"/>
      <c r="K23" s="50"/>
      <c r="L23" s="50"/>
      <c r="M23" s="68">
        <v>-2000000</v>
      </c>
      <c r="N23" s="50"/>
      <c r="O23" s="50"/>
      <c r="P23" s="62"/>
      <c r="Q23" s="62"/>
      <c r="R23" s="43"/>
      <c r="S23" s="43"/>
      <c r="T23" s="43"/>
      <c r="U23" s="43"/>
    </row>
    <row r="24" spans="1:21">
      <c r="A24" s="46" t="s">
        <v>559</v>
      </c>
      <c r="B24" s="50"/>
      <c r="C24" s="50"/>
      <c r="D24" s="50"/>
      <c r="E24" s="68">
        <v>-2390342</v>
      </c>
      <c r="F24" s="50"/>
      <c r="G24" s="50"/>
      <c r="H24" s="50"/>
      <c r="I24" s="50"/>
      <c r="J24" s="50"/>
      <c r="K24" s="50"/>
      <c r="L24" s="50"/>
      <c r="M24" s="50"/>
      <c r="N24" s="50"/>
      <c r="O24" s="50"/>
      <c r="P24" s="62"/>
      <c r="Q24" s="62"/>
      <c r="R24" s="43"/>
      <c r="S24" s="43"/>
      <c r="T24" s="43"/>
      <c r="U24" s="43"/>
    </row>
    <row r="25" spans="1:21">
      <c r="A25" s="101" t="s">
        <v>33</v>
      </c>
      <c r="B25" s="140">
        <v>0</v>
      </c>
      <c r="C25" s="194">
        <f t="shared" ref="C25:N25" si="5">SUM(C19:C24)</f>
        <v>-125000</v>
      </c>
      <c r="D25" s="194">
        <f t="shared" si="5"/>
        <v>-3717883</v>
      </c>
      <c r="E25" s="194">
        <f t="shared" si="5"/>
        <v>-3472013.2675276021</v>
      </c>
      <c r="F25" s="194">
        <f t="shared" si="5"/>
        <v>0</v>
      </c>
      <c r="G25" s="194">
        <f t="shared" si="5"/>
        <v>0</v>
      </c>
      <c r="H25" s="194">
        <f t="shared" si="5"/>
        <v>0</v>
      </c>
      <c r="I25" s="194">
        <f t="shared" si="5"/>
        <v>0</v>
      </c>
      <c r="J25" s="194">
        <f t="shared" si="5"/>
        <v>-4604401.1674821461</v>
      </c>
      <c r="K25" s="194">
        <f t="shared" si="5"/>
        <v>0</v>
      </c>
      <c r="L25" s="194">
        <f t="shared" si="5"/>
        <v>0</v>
      </c>
      <c r="M25" s="194">
        <f t="shared" si="5"/>
        <v>-2000000</v>
      </c>
      <c r="N25" s="194">
        <f t="shared" si="5"/>
        <v>0</v>
      </c>
      <c r="O25" s="50"/>
      <c r="P25" s="62"/>
      <c r="Q25" s="62"/>
      <c r="R25" s="43"/>
      <c r="S25" s="43"/>
      <c r="T25" s="43"/>
      <c r="U25" s="43"/>
    </row>
    <row r="26" spans="1:21">
      <c r="A26" s="43"/>
      <c r="B26" s="50"/>
      <c r="C26" s="50"/>
      <c r="D26" s="50"/>
      <c r="E26" s="50"/>
      <c r="F26" s="50"/>
      <c r="G26" s="50"/>
      <c r="H26" s="50"/>
      <c r="I26" s="50"/>
      <c r="J26" s="50"/>
      <c r="K26" s="50"/>
      <c r="L26" s="50"/>
      <c r="M26" s="50"/>
      <c r="N26" s="50"/>
      <c r="O26" s="50"/>
      <c r="P26" s="62"/>
      <c r="Q26" s="62"/>
      <c r="R26" s="43"/>
      <c r="S26" s="43"/>
      <c r="T26" s="43"/>
      <c r="U26" s="43"/>
    </row>
    <row r="27" spans="1:21" s="2" customFormat="1">
      <c r="A27" s="101" t="s">
        <v>505</v>
      </c>
      <c r="B27" s="68">
        <v>1562074</v>
      </c>
      <c r="C27" s="50">
        <f t="shared" ref="C27:N27" si="6">+C17+C25</f>
        <v>3125000</v>
      </c>
      <c r="D27" s="50">
        <f t="shared" si="6"/>
        <v>-329295</v>
      </c>
      <c r="E27" s="50">
        <f t="shared" si="6"/>
        <v>-1996051.2675276021</v>
      </c>
      <c r="F27" s="50">
        <f t="shared" si="6"/>
        <v>8336733</v>
      </c>
      <c r="G27" s="50">
        <f t="shared" si="6"/>
        <v>0</v>
      </c>
      <c r="H27" s="50">
        <f t="shared" si="6"/>
        <v>0</v>
      </c>
      <c r="I27" s="50">
        <f t="shared" si="6"/>
        <v>0</v>
      </c>
      <c r="J27" s="50">
        <f t="shared" si="6"/>
        <v>-4604401.1674821461</v>
      </c>
      <c r="K27" s="50">
        <f t="shared" si="6"/>
        <v>664696</v>
      </c>
      <c r="L27" s="50">
        <f t="shared" si="6"/>
        <v>3762565</v>
      </c>
      <c r="M27" s="50">
        <f t="shared" si="6"/>
        <v>18842800</v>
      </c>
      <c r="N27" s="50">
        <f t="shared" si="6"/>
        <v>4123684</v>
      </c>
      <c r="O27" s="50"/>
      <c r="P27" s="62"/>
      <c r="Q27" s="62"/>
      <c r="R27" s="43"/>
      <c r="S27" s="43"/>
      <c r="T27" s="43"/>
      <c r="U27" s="43"/>
    </row>
    <row r="28" spans="1:21">
      <c r="A28" s="46" t="s">
        <v>560</v>
      </c>
      <c r="B28" s="68">
        <v>5956886</v>
      </c>
      <c r="C28" s="50">
        <f t="shared" ref="C28:N28" si="7">+C10+B28</f>
        <v>6705886.25</v>
      </c>
      <c r="D28" s="50">
        <f t="shared" si="7"/>
        <v>7197386.5</v>
      </c>
      <c r="E28" s="50">
        <f t="shared" si="7"/>
        <v>6688886.75</v>
      </c>
      <c r="F28" s="50">
        <f t="shared" si="7"/>
        <v>6956637</v>
      </c>
      <c r="G28" s="50">
        <f t="shared" si="7"/>
        <v>7373440.5</v>
      </c>
      <c r="H28" s="50">
        <f t="shared" si="7"/>
        <v>7790244</v>
      </c>
      <c r="I28" s="50">
        <f t="shared" si="7"/>
        <v>6907047.5</v>
      </c>
      <c r="J28" s="50">
        <f t="shared" si="7"/>
        <v>7323851</v>
      </c>
      <c r="K28" s="50">
        <f t="shared" si="7"/>
        <v>7323851</v>
      </c>
      <c r="L28" s="50">
        <f t="shared" si="7"/>
        <v>7323851</v>
      </c>
      <c r="M28" s="50">
        <f t="shared" si="7"/>
        <v>7323851</v>
      </c>
      <c r="N28" s="50">
        <f t="shared" si="7"/>
        <v>7323851</v>
      </c>
      <c r="O28" s="50"/>
      <c r="P28" s="62"/>
      <c r="Q28" s="62"/>
      <c r="R28" s="43"/>
      <c r="S28" s="43"/>
      <c r="T28" s="43"/>
      <c r="U28" s="43"/>
    </row>
    <row r="29" spans="1:21">
      <c r="A29" s="43"/>
      <c r="B29" s="50"/>
      <c r="C29" s="50"/>
      <c r="D29" s="50"/>
      <c r="E29" s="50"/>
      <c r="F29" s="50"/>
      <c r="G29" s="50"/>
      <c r="H29" s="50"/>
      <c r="I29" s="50"/>
      <c r="J29" s="50"/>
      <c r="K29" s="50"/>
      <c r="L29" s="50"/>
      <c r="M29" s="50"/>
      <c r="N29" s="50"/>
      <c r="O29" s="50"/>
      <c r="P29" s="62"/>
      <c r="Q29" s="62"/>
      <c r="R29" s="43"/>
      <c r="S29" s="43"/>
      <c r="T29" s="43"/>
      <c r="U29" s="43"/>
    </row>
    <row r="30" spans="1:21">
      <c r="A30" s="101" t="s">
        <v>561</v>
      </c>
      <c r="B30" s="68">
        <v>0</v>
      </c>
      <c r="C30" s="68">
        <v>100000</v>
      </c>
      <c r="D30" s="68">
        <v>100000</v>
      </c>
      <c r="E30" s="68">
        <v>100000</v>
      </c>
      <c r="F30" s="68">
        <v>100000</v>
      </c>
      <c r="G30" s="68">
        <v>100000</v>
      </c>
      <c r="H30" s="68">
        <v>100000</v>
      </c>
      <c r="I30" s="68">
        <v>100000</v>
      </c>
      <c r="J30" s="68">
        <v>100000</v>
      </c>
      <c r="K30" s="68">
        <v>400000</v>
      </c>
      <c r="L30" s="68">
        <v>400000</v>
      </c>
      <c r="M30" s="68">
        <v>400000</v>
      </c>
      <c r="N30" s="68">
        <v>400000</v>
      </c>
      <c r="O30" s="50"/>
      <c r="P30" s="62"/>
      <c r="Q30" s="43"/>
      <c r="R30" s="43"/>
      <c r="S30" s="43"/>
      <c r="T30" s="43"/>
      <c r="U30" s="43"/>
    </row>
    <row r="31" spans="1:21">
      <c r="A31" s="101" t="s">
        <v>562</v>
      </c>
      <c r="B31" s="141"/>
      <c r="C31" s="141"/>
      <c r="D31" s="141"/>
      <c r="E31" s="141"/>
      <c r="F31" s="141"/>
      <c r="G31" s="141"/>
      <c r="H31" s="141"/>
      <c r="I31" s="141"/>
      <c r="J31" s="141"/>
      <c r="K31" s="141"/>
      <c r="L31" s="141"/>
      <c r="M31" s="140">
        <v>-2000000</v>
      </c>
      <c r="N31" s="141"/>
      <c r="O31" s="50"/>
      <c r="P31" s="62"/>
      <c r="Q31" s="43"/>
      <c r="R31" s="43"/>
      <c r="S31" s="43"/>
      <c r="T31" s="43"/>
      <c r="U31" s="43"/>
    </row>
    <row r="32" spans="1:21">
      <c r="A32" s="46" t="s">
        <v>563</v>
      </c>
      <c r="B32" s="141"/>
      <c r="C32" s="141">
        <f t="shared" ref="C32:N32" si="8">B32+C30+C31</f>
        <v>100000</v>
      </c>
      <c r="D32" s="291">
        <f t="shared" si="8"/>
        <v>200000</v>
      </c>
      <c r="E32" s="291">
        <f t="shared" si="8"/>
        <v>300000</v>
      </c>
      <c r="F32" s="291">
        <f t="shared" si="8"/>
        <v>400000</v>
      </c>
      <c r="G32" s="291">
        <f t="shared" si="8"/>
        <v>500000</v>
      </c>
      <c r="H32" s="291">
        <f t="shared" si="8"/>
        <v>600000</v>
      </c>
      <c r="I32" s="291">
        <f t="shared" si="8"/>
        <v>700000</v>
      </c>
      <c r="J32" s="291">
        <f t="shared" si="8"/>
        <v>800000</v>
      </c>
      <c r="K32" s="291">
        <f t="shared" si="8"/>
        <v>1200000</v>
      </c>
      <c r="L32" s="291">
        <f t="shared" si="8"/>
        <v>1600000</v>
      </c>
      <c r="M32" s="291">
        <f t="shared" si="8"/>
        <v>0</v>
      </c>
      <c r="N32" s="291">
        <f t="shared" si="8"/>
        <v>400000</v>
      </c>
      <c r="O32" s="50"/>
      <c r="P32" s="50"/>
      <c r="Q32" s="50"/>
      <c r="R32" s="50"/>
      <c r="S32" s="50"/>
      <c r="T32" s="50"/>
      <c r="U32" s="43"/>
    </row>
    <row r="33" spans="1:21">
      <c r="A33" s="43"/>
      <c r="B33" s="50"/>
      <c r="C33" s="50"/>
      <c r="D33" s="55"/>
      <c r="E33" s="55"/>
      <c r="F33" s="55"/>
      <c r="G33" s="55"/>
      <c r="H33" s="55"/>
      <c r="I33" s="55"/>
      <c r="J33" s="55"/>
      <c r="K33" s="55"/>
      <c r="L33" s="55"/>
      <c r="M33" s="55"/>
      <c r="N33" s="55"/>
      <c r="O33" s="50"/>
      <c r="P33" s="50"/>
      <c r="Q33" s="50"/>
      <c r="R33" s="50"/>
      <c r="S33" s="50"/>
      <c r="T33" s="50"/>
      <c r="U33" s="43"/>
    </row>
    <row r="34" spans="1:21" ht="18.399999999999999" customHeight="1">
      <c r="A34" s="281" t="s">
        <v>564</v>
      </c>
      <c r="B34" s="50"/>
      <c r="C34" s="50"/>
      <c r="D34" s="43"/>
      <c r="E34" s="50"/>
      <c r="F34" s="50"/>
      <c r="G34" s="50"/>
      <c r="H34" s="50"/>
      <c r="I34" s="50"/>
      <c r="J34" s="50"/>
      <c r="K34" s="50"/>
      <c r="L34" s="50"/>
      <c r="M34" s="50"/>
      <c r="N34" s="50"/>
      <c r="O34" s="50"/>
      <c r="P34" s="50"/>
      <c r="Q34" s="50"/>
      <c r="R34" s="50"/>
      <c r="S34" s="50"/>
      <c r="T34" s="50"/>
      <c r="U34" s="176"/>
    </row>
    <row r="35" spans="1:21">
      <c r="A35" s="292"/>
      <c r="B35" s="50"/>
      <c r="C35" s="50"/>
      <c r="D35" s="50"/>
      <c r="E35" s="50"/>
      <c r="F35" s="50"/>
      <c r="G35" s="50"/>
      <c r="H35" s="50"/>
      <c r="I35" s="50"/>
      <c r="J35" s="50"/>
      <c r="K35" s="50"/>
      <c r="L35" s="50"/>
      <c r="M35" s="50"/>
      <c r="N35" s="50"/>
      <c r="O35" s="50"/>
      <c r="P35" s="62"/>
      <c r="Q35" s="62"/>
      <c r="R35" s="43"/>
      <c r="S35" s="43"/>
      <c r="T35" s="43"/>
      <c r="U35" s="43"/>
    </row>
    <row r="36" spans="1:21" ht="14.65" customHeight="1" thickBot="1">
      <c r="A36" s="56" t="s">
        <v>565</v>
      </c>
      <c r="B36" s="68">
        <v>4575000</v>
      </c>
      <c r="C36" s="50"/>
      <c r="D36" s="50"/>
      <c r="E36" s="50"/>
      <c r="F36" s="50"/>
      <c r="G36" s="50"/>
      <c r="H36" s="50"/>
      <c r="I36" s="50"/>
      <c r="J36" s="50"/>
      <c r="K36" s="50"/>
      <c r="L36" s="50"/>
      <c r="M36" s="50"/>
      <c r="N36" s="50"/>
      <c r="O36" s="67" t="s">
        <v>566</v>
      </c>
      <c r="P36" s="62"/>
      <c r="Q36" s="62"/>
      <c r="R36" s="43"/>
      <c r="S36" s="43"/>
      <c r="T36" s="43"/>
      <c r="U36" s="43"/>
    </row>
    <row r="37" spans="1:21" ht="14.65" customHeight="1" thickBot="1">
      <c r="A37" s="56" t="s">
        <v>567</v>
      </c>
      <c r="B37" s="68">
        <v>61000000</v>
      </c>
      <c r="C37" s="68">
        <v>61000000</v>
      </c>
      <c r="D37" s="137">
        <f>+C37+C37*0.03*0.5</f>
        <v>61915000</v>
      </c>
      <c r="E37" s="137">
        <f>+C37+C37*0.03*0.75</f>
        <v>62372500</v>
      </c>
      <c r="F37" s="68">
        <v>65000000</v>
      </c>
      <c r="G37" s="50">
        <f t="shared" ref="G37:I39" si="9">+F37</f>
        <v>65000000</v>
      </c>
      <c r="H37" s="50">
        <f t="shared" si="9"/>
        <v>65000000</v>
      </c>
      <c r="I37" s="50">
        <f t="shared" si="9"/>
        <v>65000000</v>
      </c>
      <c r="J37" s="137">
        <f>+F37*(1+$O$38)</f>
        <v>72410111.856816709</v>
      </c>
      <c r="K37" s="137">
        <f>+J37*(1+$O$38)</f>
        <v>80664989.217180133</v>
      </c>
      <c r="L37" s="137">
        <f>+K37*(1+$O$38)</f>
        <v>89860936.802229658</v>
      </c>
      <c r="M37" s="137">
        <f>+L37*(1+$O$38)</f>
        <v>100105238.23704289</v>
      </c>
      <c r="N37" s="137">
        <f>+M37*(1+$O$38)</f>
        <v>111517407.66457787</v>
      </c>
      <c r="O37" s="50">
        <f>+N3*F37</f>
        <v>111517407.6645779</v>
      </c>
      <c r="P37" s="101" t="s">
        <v>568</v>
      </c>
      <c r="Q37" s="77">
        <v>0.03</v>
      </c>
      <c r="R37" s="43"/>
      <c r="S37" s="43"/>
      <c r="T37" s="43"/>
      <c r="U37" s="43"/>
    </row>
    <row r="38" spans="1:21">
      <c r="A38" s="56" t="s">
        <v>569</v>
      </c>
      <c r="B38" s="68">
        <v>22500000</v>
      </c>
      <c r="C38" s="68">
        <v>22500000</v>
      </c>
      <c r="D38" s="68">
        <v>22500000</v>
      </c>
      <c r="E38" s="68">
        <v>22500000</v>
      </c>
      <c r="F38" s="68">
        <v>23500000</v>
      </c>
      <c r="G38" s="50">
        <f t="shared" si="9"/>
        <v>23500000</v>
      </c>
      <c r="H38" s="50">
        <f t="shared" si="9"/>
        <v>23500000</v>
      </c>
      <c r="I38" s="50">
        <f t="shared" si="9"/>
        <v>23500000</v>
      </c>
      <c r="J38" s="137">
        <f>+I38+1000000</f>
        <v>24500000</v>
      </c>
      <c r="K38" s="137">
        <f>+J38+1000000</f>
        <v>25500000</v>
      </c>
      <c r="L38" s="137">
        <f>+K38+1000000</f>
        <v>26500000</v>
      </c>
      <c r="M38" s="137">
        <f>+L38+1000000</f>
        <v>27500000</v>
      </c>
      <c r="N38" s="137">
        <f>+M38+1000000</f>
        <v>28500000</v>
      </c>
      <c r="O38" s="293">
        <f>(O37/F37)^(1/5)-1</f>
        <v>0.11400172087410332</v>
      </c>
      <c r="P38" s="72"/>
      <c r="Q38" s="69"/>
      <c r="R38" s="179"/>
      <c r="S38" s="121"/>
      <c r="T38" s="176"/>
      <c r="U38" s="176"/>
    </row>
    <row r="39" spans="1:21">
      <c r="A39" s="56" t="s">
        <v>570</v>
      </c>
      <c r="B39" s="68">
        <v>775000</v>
      </c>
      <c r="C39" s="68">
        <v>775000</v>
      </c>
      <c r="D39" s="68">
        <v>775000</v>
      </c>
      <c r="E39" s="68">
        <v>775000</v>
      </c>
      <c r="F39" s="137">
        <f>775000*(1+$Q$37)</f>
        <v>798250</v>
      </c>
      <c r="G39" s="50">
        <f t="shared" si="9"/>
        <v>798250</v>
      </c>
      <c r="H39" s="50">
        <f t="shared" si="9"/>
        <v>798250</v>
      </c>
      <c r="I39" s="50">
        <f t="shared" si="9"/>
        <v>798250</v>
      </c>
      <c r="J39" s="137">
        <f>F39*(1+$Q$37)</f>
        <v>822197.5</v>
      </c>
      <c r="K39" s="137">
        <f>J39*(1+$Q$37)</f>
        <v>846863.42500000005</v>
      </c>
      <c r="L39" s="137">
        <f>K39*(1+$Q$37)</f>
        <v>872269.32775000005</v>
      </c>
      <c r="M39" s="137">
        <f>L39*(1+$Q$37)</f>
        <v>898437.40758250013</v>
      </c>
      <c r="N39" s="137">
        <f>M39*(1+$Q$37)</f>
        <v>925390.52980997518</v>
      </c>
      <c r="O39" s="50"/>
      <c r="P39" s="72"/>
      <c r="Q39" s="69"/>
      <c r="R39" s="179"/>
      <c r="S39" s="121"/>
      <c r="T39" s="176"/>
      <c r="U39" s="176"/>
    </row>
    <row r="40" spans="1:21">
      <c r="A40" s="56" t="s">
        <v>571</v>
      </c>
      <c r="B40" s="50"/>
      <c r="C40" s="50"/>
      <c r="D40" s="50"/>
      <c r="E40" s="50"/>
      <c r="F40" s="50"/>
      <c r="G40" s="50"/>
      <c r="H40" s="50"/>
      <c r="I40" s="50"/>
      <c r="J40" s="50"/>
      <c r="K40" s="50"/>
      <c r="L40" s="50"/>
      <c r="M40" s="50"/>
      <c r="N40" s="50"/>
      <c r="O40" s="50"/>
      <c r="P40" s="62"/>
      <c r="Q40" s="62"/>
      <c r="R40" s="179"/>
      <c r="S40" s="121"/>
      <c r="T40" s="176"/>
      <c r="U40" s="176"/>
    </row>
    <row r="41" spans="1:21">
      <c r="A41" s="56" t="s">
        <v>572</v>
      </c>
      <c r="B41" s="50"/>
      <c r="C41" s="50"/>
      <c r="D41" s="50"/>
      <c r="E41" s="50"/>
      <c r="F41" s="50"/>
      <c r="G41" s="50"/>
      <c r="H41" s="50"/>
      <c r="I41" s="50"/>
      <c r="J41" s="50"/>
      <c r="K41" s="50"/>
      <c r="L41" s="50"/>
      <c r="M41" s="50"/>
      <c r="N41" s="50"/>
      <c r="O41" s="50"/>
      <c r="P41" s="62"/>
      <c r="Q41" s="62"/>
      <c r="R41" s="179"/>
      <c r="S41" s="121"/>
      <c r="T41" s="176"/>
      <c r="U41" s="176"/>
    </row>
    <row r="42" spans="1:21">
      <c r="A42" s="56" t="s">
        <v>573</v>
      </c>
      <c r="B42" s="68">
        <v>2582434</v>
      </c>
      <c r="C42" s="68">
        <v>2582434</v>
      </c>
      <c r="D42" s="137">
        <f>835152+925811</f>
        <v>1760963</v>
      </c>
      <c r="E42" s="137">
        <f>835152+925811</f>
        <v>1760963</v>
      </c>
      <c r="F42" s="137">
        <f>835152+925811</f>
        <v>1760963</v>
      </c>
      <c r="G42" s="68">
        <v>925812</v>
      </c>
      <c r="H42" s="68">
        <v>0</v>
      </c>
      <c r="I42" s="68">
        <v>0</v>
      </c>
      <c r="J42" s="68">
        <v>0</v>
      </c>
      <c r="K42" s="68">
        <v>0</v>
      </c>
      <c r="L42" s="68">
        <v>0</v>
      </c>
      <c r="M42" s="68">
        <v>0</v>
      </c>
      <c r="N42" s="68">
        <v>0</v>
      </c>
      <c r="O42" s="50"/>
      <c r="P42" s="62"/>
      <c r="Q42" s="62"/>
      <c r="R42" s="179"/>
      <c r="S42" s="43"/>
      <c r="T42" s="176"/>
      <c r="U42" s="176"/>
    </row>
    <row r="43" spans="1:21" s="2" customFormat="1">
      <c r="A43" s="56" t="s">
        <v>574</v>
      </c>
      <c r="B43" s="68">
        <v>8017566</v>
      </c>
      <c r="C43" s="137">
        <f>9600000-C42</f>
        <v>7017566</v>
      </c>
      <c r="D43" s="137">
        <f>9600000-D42</f>
        <v>7839037</v>
      </c>
      <c r="E43" s="137">
        <f>9600000-E42</f>
        <v>7839037</v>
      </c>
      <c r="F43" s="137">
        <f>9600000-F42</f>
        <v>7839037</v>
      </c>
      <c r="G43" s="137">
        <f>9600000-G42</f>
        <v>8674188</v>
      </c>
      <c r="H43" s="68">
        <v>9600000</v>
      </c>
      <c r="I43" s="68">
        <v>9600000</v>
      </c>
      <c r="J43" s="68">
        <v>9600000</v>
      </c>
      <c r="K43" s="137">
        <f>+J43-1000000</f>
        <v>8600000</v>
      </c>
      <c r="L43" s="137">
        <f>+K43-1000000</f>
        <v>7600000</v>
      </c>
      <c r="M43" s="137">
        <f>+L43-1000000</f>
        <v>6600000</v>
      </c>
      <c r="N43" s="137">
        <f>+M43-1000000</f>
        <v>5600000</v>
      </c>
      <c r="O43" s="50"/>
      <c r="P43" s="62"/>
      <c r="Q43" s="62"/>
      <c r="R43" s="43"/>
      <c r="S43" s="43"/>
      <c r="T43" s="176"/>
      <c r="U43" s="176"/>
    </row>
    <row r="44" spans="1:21">
      <c r="A44" s="56" t="s">
        <v>575</v>
      </c>
      <c r="B44" s="68">
        <v>3900000</v>
      </c>
      <c r="C44" s="68">
        <v>4900000</v>
      </c>
      <c r="D44" s="68">
        <v>4900000</v>
      </c>
      <c r="E44" s="68">
        <v>4900000</v>
      </c>
      <c r="F44" s="68">
        <v>4900000</v>
      </c>
      <c r="G44" s="68">
        <v>4900000</v>
      </c>
      <c r="H44" s="68">
        <v>4900000</v>
      </c>
      <c r="I44" s="50">
        <f>4900000</f>
        <v>4900000</v>
      </c>
      <c r="J44" s="50">
        <f>4900000</f>
        <v>4900000</v>
      </c>
      <c r="K44" s="50">
        <f>J44*(1.03)</f>
        <v>5047000</v>
      </c>
      <c r="L44" s="50">
        <f>K44*(1.03)</f>
        <v>5198410</v>
      </c>
      <c r="M44" s="137">
        <f>L44*(1.03)*10/7</f>
        <v>7649089</v>
      </c>
      <c r="N44" s="50">
        <f>M44*(1.03)</f>
        <v>7878561.6699999999</v>
      </c>
      <c r="O44" s="50"/>
      <c r="P44" s="62"/>
      <c r="Q44" s="62"/>
      <c r="R44" s="43"/>
      <c r="S44" s="43"/>
      <c r="T44" s="43"/>
      <c r="U44" s="43"/>
    </row>
    <row r="45" spans="1:21">
      <c r="A45" s="294" t="s">
        <v>576</v>
      </c>
      <c r="B45" s="68">
        <v>98775000</v>
      </c>
      <c r="C45" s="136">
        <f t="shared" ref="C45:N45" si="10">SUM(C37:C44)</f>
        <v>98775000</v>
      </c>
      <c r="D45" s="136">
        <f t="shared" si="10"/>
        <v>99690000</v>
      </c>
      <c r="E45" s="136">
        <f t="shared" si="10"/>
        <v>100147500</v>
      </c>
      <c r="F45" s="136">
        <f t="shared" si="10"/>
        <v>103798250</v>
      </c>
      <c r="G45" s="136">
        <f t="shared" si="10"/>
        <v>103798250</v>
      </c>
      <c r="H45" s="136">
        <f t="shared" si="10"/>
        <v>103798250</v>
      </c>
      <c r="I45" s="136">
        <f t="shared" si="10"/>
        <v>103798250</v>
      </c>
      <c r="J45" s="136">
        <f t="shared" si="10"/>
        <v>112232309.35681671</v>
      </c>
      <c r="K45" s="136">
        <f t="shared" si="10"/>
        <v>120658852.64218013</v>
      </c>
      <c r="L45" s="136">
        <f t="shared" si="10"/>
        <v>130031616.12997966</v>
      </c>
      <c r="M45" s="136">
        <f t="shared" si="10"/>
        <v>142752764.6446254</v>
      </c>
      <c r="N45" s="136">
        <f t="shared" si="10"/>
        <v>154421359.86438784</v>
      </c>
      <c r="O45" s="50"/>
      <c r="P45" s="62"/>
      <c r="Q45" s="62"/>
      <c r="R45" s="43"/>
      <c r="S45" s="43"/>
      <c r="T45" s="43"/>
      <c r="U45" s="43"/>
    </row>
    <row r="46" spans="1:21">
      <c r="A46" s="292"/>
      <c r="B46" s="50"/>
      <c r="C46" s="50"/>
      <c r="D46" s="50"/>
      <c r="E46" s="50"/>
      <c r="F46" s="50"/>
      <c r="G46" s="50"/>
      <c r="H46" s="50"/>
      <c r="I46" s="50"/>
      <c r="J46" s="50"/>
      <c r="K46" s="50"/>
      <c r="L46" s="50"/>
      <c r="M46" s="50"/>
      <c r="N46" s="50"/>
      <c r="O46" s="50"/>
      <c r="P46" s="62"/>
      <c r="Q46" s="62"/>
      <c r="R46" s="43"/>
      <c r="S46" s="43"/>
      <c r="T46" s="43"/>
      <c r="U46" s="43"/>
    </row>
    <row r="47" spans="1:21">
      <c r="A47" s="56" t="s">
        <v>577</v>
      </c>
      <c r="B47" s="50"/>
      <c r="C47" s="50"/>
      <c r="D47" s="50"/>
      <c r="E47" s="50"/>
      <c r="F47" s="50"/>
      <c r="G47" s="50"/>
      <c r="H47" s="50"/>
      <c r="I47" s="50"/>
      <c r="J47" s="50"/>
      <c r="K47" s="50"/>
      <c r="L47" s="50"/>
      <c r="M47" s="50"/>
      <c r="N47" s="50"/>
      <c r="O47" s="50"/>
      <c r="P47" s="62"/>
      <c r="Q47" s="62"/>
      <c r="R47" s="43"/>
      <c r="S47" s="43"/>
      <c r="T47" s="43"/>
      <c r="U47" s="43"/>
    </row>
    <row r="48" spans="1:21">
      <c r="A48" s="284" t="s">
        <v>578</v>
      </c>
      <c r="B48" s="68">
        <v>-37746454</v>
      </c>
      <c r="C48" s="290">
        <v>-43000000</v>
      </c>
      <c r="D48" s="50">
        <f>+C48</f>
        <v>-43000000</v>
      </c>
      <c r="E48" s="287">
        <f>+D48</f>
        <v>-43000000</v>
      </c>
      <c r="F48" s="285">
        <f>+E48-9000000</f>
        <v>-52000000</v>
      </c>
      <c r="G48" s="290">
        <v>-52000000</v>
      </c>
      <c r="H48" s="290">
        <v>-52000000</v>
      </c>
      <c r="I48" s="290">
        <v>-52000000</v>
      </c>
      <c r="J48" s="290">
        <v>-52000000</v>
      </c>
      <c r="K48" s="290">
        <v>-52000000</v>
      </c>
      <c r="L48" s="290">
        <v>-52000000</v>
      </c>
      <c r="M48" s="287"/>
      <c r="N48" s="287"/>
      <c r="O48" s="295" t="s">
        <v>579</v>
      </c>
      <c r="P48" s="296">
        <v>8.7499999999999994E-2</v>
      </c>
      <c r="Q48" s="62"/>
      <c r="R48" s="43"/>
      <c r="S48" s="43"/>
      <c r="T48" s="43"/>
      <c r="U48" s="43"/>
    </row>
    <row r="49" spans="1:21">
      <c r="A49" s="284" t="s">
        <v>580</v>
      </c>
      <c r="B49" s="287"/>
      <c r="C49" s="287"/>
      <c r="D49" s="50"/>
      <c r="E49" s="287"/>
      <c r="F49" s="287"/>
      <c r="G49" s="287"/>
      <c r="H49" s="287"/>
      <c r="I49" s="287"/>
      <c r="J49" s="287"/>
      <c r="K49" s="287"/>
      <c r="L49" s="287"/>
      <c r="M49" s="290">
        <v>-69000000</v>
      </c>
      <c r="N49" s="287">
        <f>+M49</f>
        <v>-69000000</v>
      </c>
      <c r="O49" s="295" t="s">
        <v>581</v>
      </c>
      <c r="P49" s="77">
        <v>0.08</v>
      </c>
      <c r="Q49" s="62"/>
      <c r="R49" s="43"/>
      <c r="S49" s="43"/>
      <c r="T49" s="43"/>
      <c r="U49" s="43"/>
    </row>
    <row r="50" spans="1:21">
      <c r="A50" s="284" t="s">
        <v>582</v>
      </c>
      <c r="B50" s="287"/>
      <c r="C50" s="68">
        <v>-2500000</v>
      </c>
      <c r="D50" s="68">
        <v>-2390342</v>
      </c>
      <c r="E50" s="50"/>
      <c r="F50" s="287"/>
      <c r="G50" s="287"/>
      <c r="H50" s="287"/>
      <c r="I50" s="287"/>
      <c r="J50" s="287"/>
      <c r="K50" s="287"/>
      <c r="L50" s="287"/>
      <c r="M50" s="287"/>
      <c r="N50" s="287"/>
      <c r="O50" s="287"/>
      <c r="P50" s="62"/>
      <c r="Q50" s="62"/>
      <c r="R50" s="43"/>
      <c r="S50" s="43"/>
      <c r="T50" s="43"/>
      <c r="U50" s="43"/>
    </row>
    <row r="51" spans="1:21">
      <c r="A51" s="284" t="s">
        <v>583</v>
      </c>
      <c r="B51" s="50"/>
      <c r="C51" s="50"/>
      <c r="D51" s="50"/>
      <c r="E51" s="50"/>
      <c r="F51" s="68">
        <v>-750000</v>
      </c>
      <c r="G51" s="50">
        <f>+F51</f>
        <v>-750000</v>
      </c>
      <c r="H51" s="66"/>
      <c r="I51" s="50"/>
      <c r="J51" s="50"/>
      <c r="K51" s="50"/>
      <c r="L51" s="50"/>
      <c r="M51" s="50"/>
      <c r="N51" s="50"/>
      <c r="O51" s="50"/>
      <c r="P51" s="62"/>
      <c r="Q51" s="62"/>
      <c r="R51" s="43"/>
      <c r="S51" s="43"/>
      <c r="T51" s="43"/>
      <c r="U51" s="43"/>
    </row>
    <row r="52" spans="1:21">
      <c r="A52" s="284" t="s">
        <v>584</v>
      </c>
      <c r="B52" s="50"/>
      <c r="C52" s="50"/>
      <c r="D52" s="50"/>
      <c r="E52" s="50"/>
      <c r="F52" s="50"/>
      <c r="G52" s="50">
        <f>+F52</f>
        <v>0</v>
      </c>
      <c r="H52" s="50"/>
      <c r="I52" s="50"/>
      <c r="J52" s="50"/>
      <c r="K52" s="50"/>
      <c r="L52" s="50"/>
      <c r="M52" s="50"/>
      <c r="N52" s="50"/>
      <c r="O52" s="50"/>
      <c r="P52" s="62"/>
      <c r="Q52" s="62"/>
      <c r="R52" s="43"/>
      <c r="S52" s="43"/>
      <c r="T52" s="43"/>
      <c r="U52" s="43"/>
    </row>
    <row r="53" spans="1:21">
      <c r="A53" s="284" t="s">
        <v>585</v>
      </c>
      <c r="B53" s="68">
        <v>-993763.19824657543</v>
      </c>
      <c r="C53" s="50">
        <f>-C91</f>
        <v>-1021924.6157290075</v>
      </c>
      <c r="D53" s="50">
        <f>-C92</f>
        <v>-1051210.4150623516</v>
      </c>
      <c r="E53" s="50">
        <f>-C93</f>
        <v>-1081671.2675276021</v>
      </c>
      <c r="F53" s="50">
        <f>-D93</f>
        <v>0</v>
      </c>
      <c r="G53" s="50"/>
      <c r="H53" s="50"/>
      <c r="I53" s="50"/>
      <c r="J53" s="50"/>
      <c r="K53" s="50"/>
      <c r="L53" s="50"/>
      <c r="M53" s="50"/>
      <c r="N53" s="50"/>
      <c r="O53" s="50"/>
      <c r="P53" s="62"/>
      <c r="Q53" s="62"/>
      <c r="R53" s="43"/>
      <c r="S53" s="43"/>
      <c r="T53" s="43"/>
      <c r="U53" s="43"/>
    </row>
    <row r="54" spans="1:21">
      <c r="A54" s="284" t="s">
        <v>586</v>
      </c>
      <c r="B54" s="68">
        <v>-3062884</v>
      </c>
      <c r="C54" s="50">
        <f>-H73-H80</f>
        <v>-3910200.2495896984</v>
      </c>
      <c r="D54" s="50">
        <f>-H74-H81</f>
        <v>-4017767.9821009254</v>
      </c>
      <c r="E54" s="50">
        <f>-H75-H82</f>
        <v>-4129526.1710378006</v>
      </c>
      <c r="F54" s="50">
        <f>-H85</f>
        <v>-4244393.0244993791</v>
      </c>
      <c r="G54" s="50">
        <f>-J85</f>
        <v>-4359853.8545586038</v>
      </c>
      <c r="H54" s="50">
        <f>-K85</f>
        <v>-4479791.3419710239</v>
      </c>
      <c r="I54" s="50">
        <f>-L85</f>
        <v>-4604401.1674821461</v>
      </c>
      <c r="J54" s="50"/>
      <c r="K54" s="50"/>
      <c r="L54" s="50"/>
      <c r="M54" s="50"/>
      <c r="N54" s="50"/>
      <c r="O54" s="50"/>
      <c r="P54" s="62"/>
      <c r="Q54" s="62"/>
      <c r="R54" s="43"/>
      <c r="S54" s="43"/>
      <c r="T54" s="43"/>
      <c r="U54" s="43"/>
    </row>
    <row r="55" spans="1:21" s="2" customFormat="1">
      <c r="A55" s="101" t="s">
        <v>587</v>
      </c>
      <c r="B55" s="68">
        <v>-42383101.198246583</v>
      </c>
      <c r="C55" s="136">
        <f t="shared" ref="C55:N55" si="11">SUM(C48:C54)</f>
        <v>-50432124.865318701</v>
      </c>
      <c r="D55" s="136">
        <f t="shared" si="11"/>
        <v>-50459320.397163279</v>
      </c>
      <c r="E55" s="136">
        <f t="shared" si="11"/>
        <v>-48211197.438565403</v>
      </c>
      <c r="F55" s="136">
        <f t="shared" si="11"/>
        <v>-56994393.024499379</v>
      </c>
      <c r="G55" s="136">
        <f t="shared" si="11"/>
        <v>-57109853.854558602</v>
      </c>
      <c r="H55" s="136">
        <f t="shared" si="11"/>
        <v>-56479791.341971025</v>
      </c>
      <c r="I55" s="136">
        <f t="shared" si="11"/>
        <v>-56604401.167482145</v>
      </c>
      <c r="J55" s="136">
        <f t="shared" si="11"/>
        <v>-52000000</v>
      </c>
      <c r="K55" s="136">
        <f t="shared" si="11"/>
        <v>-52000000</v>
      </c>
      <c r="L55" s="136">
        <f t="shared" si="11"/>
        <v>-52000000</v>
      </c>
      <c r="M55" s="136">
        <f t="shared" si="11"/>
        <v>-69000000</v>
      </c>
      <c r="N55" s="136">
        <f t="shared" si="11"/>
        <v>-69000000</v>
      </c>
      <c r="O55" s="50"/>
      <c r="P55" s="62"/>
      <c r="Q55" s="62"/>
      <c r="R55" s="43"/>
      <c r="S55" s="43"/>
      <c r="T55" s="43"/>
      <c r="U55" s="43"/>
    </row>
    <row r="56" spans="1:21">
      <c r="A56" s="284" t="s">
        <v>588</v>
      </c>
      <c r="B56" s="287"/>
      <c r="C56" s="287"/>
      <c r="D56" s="287"/>
      <c r="E56" s="50"/>
      <c r="F56" s="287"/>
      <c r="G56" s="287"/>
      <c r="H56" s="287"/>
      <c r="I56" s="287"/>
      <c r="J56" s="287"/>
      <c r="K56" s="287"/>
      <c r="L56" s="287"/>
      <c r="M56" s="287">
        <f>+M55-L55</f>
        <v>-17000000</v>
      </c>
      <c r="N56" s="287"/>
      <c r="O56" s="287"/>
      <c r="P56" s="62"/>
      <c r="Q56" s="62"/>
      <c r="R56" s="43"/>
      <c r="S56" s="43"/>
      <c r="T56" s="43"/>
      <c r="U56" s="43"/>
    </row>
    <row r="57" spans="1:21">
      <c r="A57" s="72"/>
      <c r="B57" s="50"/>
      <c r="C57" s="50"/>
      <c r="D57" s="50"/>
      <c r="E57" s="50"/>
      <c r="F57" s="50"/>
      <c r="G57" s="50"/>
      <c r="H57" s="50"/>
      <c r="I57" s="50"/>
      <c r="J57" s="50"/>
      <c r="K57" s="50"/>
      <c r="L57" s="50"/>
      <c r="M57" s="50"/>
      <c r="N57" s="50"/>
      <c r="O57" s="50"/>
      <c r="P57" s="62"/>
      <c r="Q57" s="62"/>
      <c r="R57" s="43"/>
      <c r="S57" s="43"/>
      <c r="T57" s="43"/>
      <c r="U57" s="43"/>
    </row>
    <row r="58" spans="1:21">
      <c r="A58" s="43"/>
      <c r="B58" s="50"/>
      <c r="C58" s="50"/>
      <c r="D58" s="50"/>
      <c r="E58" s="50"/>
      <c r="F58" s="50"/>
      <c r="G58" s="50"/>
      <c r="H58" s="50"/>
      <c r="I58" s="50"/>
      <c r="J58" s="50"/>
      <c r="K58" s="50"/>
      <c r="L58" s="50"/>
      <c r="M58" s="50"/>
      <c r="N58" s="50"/>
      <c r="O58" s="50"/>
      <c r="P58" s="62"/>
      <c r="Q58" s="62"/>
      <c r="R58" s="43"/>
      <c r="S58" s="43"/>
      <c r="T58" s="43"/>
      <c r="U58" s="43"/>
    </row>
    <row r="59" spans="1:21" ht="14.65" customHeight="1" thickBot="1">
      <c r="A59" s="46" t="s">
        <v>589</v>
      </c>
      <c r="B59" s="297">
        <v>1</v>
      </c>
      <c r="C59" s="297">
        <v>1</v>
      </c>
      <c r="D59" s="297">
        <v>1</v>
      </c>
      <c r="E59" s="297">
        <v>1</v>
      </c>
      <c r="F59" s="297">
        <v>1</v>
      </c>
      <c r="G59" s="297">
        <v>1</v>
      </c>
      <c r="H59" s="297">
        <v>1</v>
      </c>
      <c r="I59" s="297">
        <v>1</v>
      </c>
      <c r="J59" s="297">
        <v>1</v>
      </c>
      <c r="K59" s="297">
        <v>1</v>
      </c>
      <c r="L59" s="297">
        <v>1</v>
      </c>
      <c r="M59" s="297">
        <v>1</v>
      </c>
      <c r="N59" s="297">
        <v>1</v>
      </c>
      <c r="O59" s="282"/>
      <c r="P59" s="62"/>
      <c r="Q59" s="62"/>
      <c r="R59" s="43"/>
      <c r="S59" s="43"/>
      <c r="T59" s="43"/>
      <c r="U59" s="43"/>
    </row>
    <row r="60" spans="1:21" ht="14.65" customHeight="1" thickBot="1">
      <c r="A60" s="101" t="s">
        <v>590</v>
      </c>
      <c r="B60" s="140">
        <v>56391898.801753417</v>
      </c>
      <c r="C60" s="141">
        <f t="shared" ref="C60:N60" si="12">(C45+C$55)*C$59</f>
        <v>48342875.134681299</v>
      </c>
      <c r="D60" s="141">
        <f t="shared" si="12"/>
        <v>49230679.602836721</v>
      </c>
      <c r="E60" s="141">
        <f t="shared" si="12"/>
        <v>51936302.561434597</v>
      </c>
      <c r="F60" s="141">
        <f t="shared" si="12"/>
        <v>46803856.975500621</v>
      </c>
      <c r="G60" s="141">
        <f t="shared" si="12"/>
        <v>46688396.145441398</v>
      </c>
      <c r="H60" s="141">
        <f t="shared" si="12"/>
        <v>47318458.658028975</v>
      </c>
      <c r="I60" s="141">
        <f t="shared" si="12"/>
        <v>47193848.832517855</v>
      </c>
      <c r="J60" s="141">
        <f t="shared" si="12"/>
        <v>60232309.356816709</v>
      </c>
      <c r="K60" s="141">
        <f t="shared" si="12"/>
        <v>68658852.64218013</v>
      </c>
      <c r="L60" s="141">
        <f t="shared" si="12"/>
        <v>78031616.129979655</v>
      </c>
      <c r="M60" s="141">
        <f t="shared" si="12"/>
        <v>73752764.644625396</v>
      </c>
      <c r="N60" s="141">
        <f t="shared" si="12"/>
        <v>85421359.86438784</v>
      </c>
      <c r="O60" s="50"/>
      <c r="P60" s="62"/>
      <c r="Q60" s="62"/>
      <c r="R60" s="43"/>
      <c r="S60" s="43"/>
      <c r="T60" s="43"/>
      <c r="U60" s="43"/>
    </row>
    <row r="61" spans="1:21">
      <c r="A61" s="46" t="s">
        <v>591</v>
      </c>
      <c r="B61" s="50"/>
      <c r="C61" s="50"/>
      <c r="D61" s="50"/>
      <c r="E61" s="50"/>
      <c r="F61" s="50"/>
      <c r="G61" s="50"/>
      <c r="H61" s="50"/>
      <c r="I61" s="50"/>
      <c r="J61" s="298">
        <f>((J60+SUM($G$27:J27))/$G$60)^(365/(J1-$G$1))-1</f>
        <v>0.26178081054397029</v>
      </c>
      <c r="K61" s="299">
        <f>((K60+K27)/J60)^(365/(K1-J1))-1</f>
        <v>0.15093625634552454</v>
      </c>
      <c r="L61" s="299">
        <f>((L60+L27)/K60)^(365/(L1-K1))-1</f>
        <v>0.19074329933068168</v>
      </c>
      <c r="M61" s="299">
        <f>((M60+M27)/L60)^(365/(M1-L1))-1</f>
        <v>0.18664163626171892</v>
      </c>
      <c r="N61" s="299">
        <f>((N60+N27)/M60)^(365/(N1-M1))-1</f>
        <v>0.21412457276492458</v>
      </c>
      <c r="O61" s="50"/>
      <c r="P61" s="43"/>
      <c r="Q61" s="43"/>
      <c r="R61" s="43"/>
      <c r="S61" s="43"/>
      <c r="T61" s="43"/>
      <c r="U61" s="43"/>
    </row>
    <row r="62" spans="1:21">
      <c r="A62" s="300" t="s">
        <v>592</v>
      </c>
      <c r="B62" s="50"/>
      <c r="C62" s="50"/>
      <c r="D62" s="50"/>
      <c r="E62" s="50"/>
      <c r="F62" s="50"/>
      <c r="G62" s="50"/>
      <c r="H62" s="50"/>
      <c r="I62" s="50"/>
      <c r="J62" s="301">
        <f>XIRR(CHOOSE({1,2,3,4,5},-$G$60,$G$27,$H$27,$I$27,J27+J60),CHOOSE({1,2,3,4,5},$G$1,$G$1,$H$1,$I$1,J1))</f>
        <v>0.26178081631660455</v>
      </c>
      <c r="K62" s="302">
        <f>XIRR(CHOOSE({1,2,3,4,5,6},-$G$60,$G$27,$H$27,$I$27,$J$27,$K$27+K60),CHOOSE({1,2,3,4,5,6},$G$1,$G$1,$H$1,$I$1,$J$1,K1))</f>
        <v>0.19514632821083069</v>
      </c>
      <c r="L62" s="302">
        <f>XIRR(CHOOSE({1,2,3,4,5,6,7},-$G$60,$G$27,$H$27,$I$27,$J$27,$K$27,L27+L60),CHOOSE({1,2,3,4,5,6,7},$G$1,$G$1,$H$1,$I$1,$J$1,$K$1,L1))</f>
        <v>0.19351689219474788</v>
      </c>
      <c r="M62" s="302">
        <f>XIRR(CHOOSE({1,2,3,4,5,6,7,8},-$G$60,$G$27,$H$27,$I$27,$J$27,$K$27,$L$27,M27+M60),CHOOSE({1,2,3,4,5,6,7,8},$G$1,$G$1,$H$1,$I$1,$J$1,$K$1,$L$1,M1))</f>
        <v>0.19172441363334658</v>
      </c>
      <c r="N62" s="302">
        <f>XIRR(CHOOSE({1,2,3,4,5,6,7,8,9},-$G$60,$G$27,$H$27,$I$27,$J$27,$K$27,$L$27,$M$27,N27+N60),CHOOSE({1,2,3,4,5,6,7,8,9},$G$1,$G$1,$H$1,$I$1,$J$1,$K$1,$L$1,$M$1,N1))</f>
        <v>0.19554497599601744</v>
      </c>
      <c r="O62" s="50"/>
      <c r="P62" s="43"/>
      <c r="Q62" s="43"/>
      <c r="R62" s="43"/>
      <c r="S62" s="43"/>
      <c r="T62" s="43"/>
      <c r="U62" s="43"/>
    </row>
    <row r="63" spans="1:21">
      <c r="A63" s="43"/>
      <c r="B63" s="50"/>
      <c r="C63" s="50"/>
      <c r="D63" s="50"/>
      <c r="E63" s="50"/>
      <c r="F63" s="50"/>
      <c r="G63" s="50"/>
      <c r="H63" s="50"/>
      <c r="I63" s="50"/>
      <c r="J63" s="50"/>
      <c r="K63" s="50"/>
      <c r="L63" s="50"/>
      <c r="M63" s="50"/>
      <c r="N63" s="50"/>
      <c r="O63" s="50"/>
      <c r="P63" s="50"/>
      <c r="Q63" s="50"/>
      <c r="R63" s="50"/>
      <c r="S63" s="62"/>
      <c r="T63" s="62"/>
      <c r="U63" s="43"/>
    </row>
    <row r="64" spans="1:21">
      <c r="A64" s="46" t="s">
        <v>593</v>
      </c>
      <c r="B64" s="43"/>
      <c r="C64" s="43"/>
      <c r="D64" s="43"/>
      <c r="E64" s="43"/>
      <c r="F64" s="43"/>
      <c r="G64" s="43"/>
      <c r="H64" s="43"/>
      <c r="I64" s="43"/>
      <c r="J64" s="55"/>
      <c r="K64" s="75">
        <f>IRR(L64:Q64)</f>
        <v>0.18461055405679505</v>
      </c>
      <c r="L64" s="55">
        <f>-F60</f>
        <v>-46803856.975500621</v>
      </c>
      <c r="M64" s="55">
        <f>+J27</f>
        <v>-4604401.1674821461</v>
      </c>
      <c r="N64" s="55">
        <f>+K27</f>
        <v>664696</v>
      </c>
      <c r="O64" s="55">
        <f>+L27</f>
        <v>3762565</v>
      </c>
      <c r="P64" s="55">
        <f>+M27</f>
        <v>18842800</v>
      </c>
      <c r="Q64" s="55">
        <f>+N27+N60</f>
        <v>89545043.86438784</v>
      </c>
      <c r="R64" s="43"/>
      <c r="S64" s="62"/>
      <c r="T64" s="62"/>
      <c r="U64" s="43"/>
    </row>
    <row r="65" spans="1:21" ht="15.65" customHeight="1">
      <c r="A65" s="232"/>
      <c r="B65" s="205" t="s">
        <v>594</v>
      </c>
      <c r="C65" s="232"/>
      <c r="D65" s="303"/>
      <c r="E65" s="303"/>
      <c r="F65" s="43"/>
      <c r="G65" s="205" t="s">
        <v>595</v>
      </c>
      <c r="H65" s="232"/>
      <c r="I65" s="43"/>
      <c r="J65" s="43"/>
      <c r="K65" s="43"/>
      <c r="L65" s="43"/>
      <c r="M65" s="43"/>
      <c r="N65" s="43"/>
      <c r="O65" s="43"/>
      <c r="P65" s="43"/>
      <c r="Q65" s="43"/>
      <c r="R65" s="43"/>
      <c r="S65" s="62"/>
      <c r="T65" s="62"/>
      <c r="U65" s="43"/>
    </row>
    <row r="66" spans="1:21" ht="15.65" customHeight="1">
      <c r="A66" s="232"/>
      <c r="B66" s="205" t="s">
        <v>596</v>
      </c>
      <c r="C66" s="211">
        <v>0.12</v>
      </c>
      <c r="D66" s="232"/>
      <c r="E66" s="232"/>
      <c r="F66" s="43"/>
      <c r="G66" s="205" t="s">
        <v>596</v>
      </c>
      <c r="H66" s="248">
        <v>0.11333370770815999</v>
      </c>
      <c r="I66" s="43"/>
      <c r="J66" s="43"/>
      <c r="K66" s="43"/>
      <c r="L66" s="43"/>
      <c r="M66" s="43"/>
      <c r="N66" s="43"/>
      <c r="O66" s="43"/>
      <c r="P66" s="43"/>
      <c r="Q66" s="43"/>
      <c r="R66" s="43"/>
      <c r="S66" s="62"/>
      <c r="T66" s="62"/>
      <c r="U66" s="43"/>
    </row>
    <row r="67" spans="1:21" ht="15.65" customHeight="1">
      <c r="A67" s="232"/>
      <c r="B67" s="232"/>
      <c r="C67" s="219"/>
      <c r="D67" s="206"/>
      <c r="E67" s="304"/>
      <c r="F67" s="43"/>
      <c r="G67" s="205" t="s">
        <v>597</v>
      </c>
      <c r="H67" s="258">
        <v>3062884</v>
      </c>
      <c r="I67" s="43"/>
      <c r="J67" s="43"/>
      <c r="K67" s="43"/>
      <c r="L67" s="43"/>
      <c r="M67" s="43"/>
      <c r="N67" s="43"/>
      <c r="O67" s="43"/>
      <c r="P67" s="43"/>
      <c r="Q67" s="43"/>
      <c r="R67" s="43"/>
      <c r="S67" s="62"/>
      <c r="T67" s="62"/>
      <c r="U67" s="43"/>
    </row>
    <row r="68" spans="1:21" ht="15.65" customHeight="1">
      <c r="A68" s="232"/>
      <c r="B68" s="205" t="s">
        <v>598</v>
      </c>
      <c r="C68" s="305">
        <v>1000000</v>
      </c>
      <c r="D68" s="303">
        <f>C68</f>
        <v>1000000</v>
      </c>
      <c r="E68" s="232"/>
      <c r="F68" s="43"/>
      <c r="G68" s="205" t="s">
        <v>599</v>
      </c>
      <c r="H68" s="247">
        <f>+H67*H66</f>
        <v>347127.99999999994</v>
      </c>
      <c r="I68" s="43"/>
      <c r="J68" s="43"/>
      <c r="K68" s="43"/>
      <c r="L68" s="43"/>
      <c r="M68" s="43"/>
      <c r="N68" s="43"/>
      <c r="O68" s="43"/>
      <c r="P68" s="43"/>
      <c r="Q68" s="43"/>
      <c r="R68" s="43"/>
      <c r="S68" s="62"/>
      <c r="T68" s="62"/>
      <c r="U68" s="43"/>
    </row>
    <row r="69" spans="1:21" ht="15.65" customHeight="1">
      <c r="A69" s="232"/>
      <c r="B69" s="205" t="s">
        <v>600</v>
      </c>
      <c r="C69" s="306">
        <f>+C68*12%</f>
        <v>120000</v>
      </c>
      <c r="D69" s="232"/>
      <c r="E69" s="232"/>
      <c r="F69" s="43"/>
      <c r="G69" s="205" t="s">
        <v>601</v>
      </c>
      <c r="H69" s="247">
        <f>-H68</f>
        <v>-347127.99999999994</v>
      </c>
      <c r="I69" s="43"/>
      <c r="J69" s="43"/>
      <c r="K69" s="43"/>
      <c r="L69" s="43"/>
      <c r="M69" s="43"/>
      <c r="N69" s="43"/>
      <c r="O69" s="43"/>
      <c r="P69" s="43"/>
      <c r="Q69" s="43"/>
      <c r="R69" s="43"/>
      <c r="S69" s="62"/>
      <c r="T69" s="62"/>
      <c r="U69" s="43"/>
    </row>
    <row r="70" spans="1:21" ht="15.65" customHeight="1">
      <c r="A70" s="232"/>
      <c r="B70" s="205" t="s">
        <v>602</v>
      </c>
      <c r="C70" s="305">
        <v>-240000</v>
      </c>
      <c r="D70" s="303">
        <f>C70</f>
        <v>-240000</v>
      </c>
      <c r="E70" s="232"/>
      <c r="F70" s="43"/>
      <c r="G70" s="213">
        <v>45657</v>
      </c>
      <c r="H70" s="230">
        <f>SUM(H67:H69)</f>
        <v>3062884</v>
      </c>
      <c r="I70" s="43"/>
      <c r="J70" s="43"/>
      <c r="K70" s="43"/>
      <c r="L70" s="43"/>
      <c r="M70" s="43"/>
      <c r="N70" s="43"/>
      <c r="O70" s="43"/>
      <c r="P70" s="43"/>
      <c r="Q70" s="43"/>
      <c r="R70" s="43"/>
      <c r="S70" s="62"/>
      <c r="T70" s="43"/>
      <c r="U70" s="43"/>
    </row>
    <row r="71" spans="1:21" ht="15.65" customHeight="1">
      <c r="A71" s="232"/>
      <c r="B71" s="213">
        <v>44652</v>
      </c>
      <c r="C71" s="307">
        <f>SUM(C68:C70)</f>
        <v>880000</v>
      </c>
      <c r="D71" s="232"/>
      <c r="E71" s="232"/>
      <c r="F71" s="43"/>
      <c r="G71" s="215"/>
      <c r="H71" s="234"/>
      <c r="I71" s="43"/>
      <c r="J71" s="43"/>
      <c r="K71" s="43"/>
      <c r="L71" s="43"/>
      <c r="M71" s="43"/>
      <c r="N71" s="43"/>
      <c r="O71" s="43"/>
      <c r="P71" s="43"/>
      <c r="Q71" s="43"/>
      <c r="R71" s="43"/>
      <c r="S71" s="43"/>
      <c r="T71" s="43"/>
      <c r="U71" s="43"/>
    </row>
    <row r="72" spans="1:21" ht="15.65" customHeight="1">
      <c r="A72" s="232"/>
      <c r="B72" s="308" t="s">
        <v>602</v>
      </c>
      <c r="C72" s="306">
        <f>-20000*B75*12</f>
        <v>-180164.38356164383</v>
      </c>
      <c r="D72" s="303">
        <f>C72</f>
        <v>-180164.38356164383</v>
      </c>
      <c r="E72" s="232"/>
      <c r="F72" s="43"/>
      <c r="G72" s="205" t="s">
        <v>603</v>
      </c>
      <c r="H72" s="95" t="s">
        <v>604</v>
      </c>
      <c r="I72" s="43"/>
      <c r="J72" s="95" t="s">
        <v>604</v>
      </c>
      <c r="K72" s="43"/>
      <c r="L72" s="43"/>
      <c r="M72" s="43"/>
      <c r="N72" s="43"/>
      <c r="O72" s="43"/>
      <c r="P72" s="43"/>
      <c r="Q72" s="43"/>
      <c r="R72" s="43"/>
      <c r="S72" s="43"/>
      <c r="T72" s="43"/>
      <c r="U72" s="43"/>
    </row>
    <row r="73" spans="1:21" ht="15.65" customHeight="1">
      <c r="A73" s="232"/>
      <c r="B73" s="308" t="s">
        <v>600</v>
      </c>
      <c r="C73" s="306">
        <f>C71*B75*12%</f>
        <v>79272.328767123297</v>
      </c>
      <c r="D73" s="232"/>
      <c r="E73" s="309" t="s">
        <v>605</v>
      </c>
      <c r="F73" s="43"/>
      <c r="G73" s="310">
        <v>45747</v>
      </c>
      <c r="H73" s="311">
        <f>+$H$70*(1+$H$66)^((G73-$G$70)/360)</f>
        <v>3146204.071203074</v>
      </c>
      <c r="I73" s="283"/>
      <c r="J73" s="312">
        <v>46112</v>
      </c>
      <c r="K73" s="310">
        <v>46203</v>
      </c>
      <c r="L73" s="310">
        <v>46295</v>
      </c>
      <c r="M73" s="310">
        <v>46387</v>
      </c>
      <c r="N73" s="43"/>
      <c r="O73" s="43"/>
      <c r="P73" s="43"/>
      <c r="Q73" s="43"/>
      <c r="R73" s="43"/>
      <c r="S73" s="43"/>
      <c r="T73" s="43"/>
      <c r="U73" s="43"/>
    </row>
    <row r="74" spans="1:21" ht="15.65" customHeight="1">
      <c r="A74" s="232"/>
      <c r="B74" s="213">
        <v>44926</v>
      </c>
      <c r="C74" s="307">
        <f>SUM(C71:C73)</f>
        <v>779107.94520547951</v>
      </c>
      <c r="D74" s="307">
        <f>SUM(D68:D73)</f>
        <v>579835.61643835623</v>
      </c>
      <c r="E74" s="313">
        <v>580000</v>
      </c>
      <c r="F74" s="43"/>
      <c r="G74" s="310">
        <v>45838</v>
      </c>
      <c r="H74" s="311">
        <f>+$H$70*(1+$H$66)^((G74-$G$70)/360)</f>
        <v>3232754.6354593211</v>
      </c>
      <c r="I74" s="50"/>
      <c r="J74" s="137">
        <f>+$H$70*(1+$H$66)^((J73-$G$70)/360)</f>
        <v>3508001.9107722258</v>
      </c>
      <c r="K74" s="137">
        <f>+$H$70*(1+$H$66)^((K73-$G$70)/360)</f>
        <v>3604505.3599821269</v>
      </c>
      <c r="L74" s="137">
        <f>+$H$70*(1+$H$66)^((L73-$G$70)/360)</f>
        <v>3704768.2404768369</v>
      </c>
      <c r="M74" s="137">
        <f>+$H$70*(1+$H$66)^((M73-$G$70)/360)</f>
        <v>3807820.0321260993</v>
      </c>
      <c r="N74" s="43"/>
      <c r="O74" s="43"/>
      <c r="P74" s="43"/>
      <c r="Q74" s="43"/>
      <c r="R74" s="43"/>
      <c r="S74" s="43"/>
      <c r="T74" s="43"/>
      <c r="U74" s="43"/>
    </row>
    <row r="75" spans="1:21" ht="15.65" customHeight="1">
      <c r="A75" s="232"/>
      <c r="B75" s="314">
        <f>(B74-B71)/365</f>
        <v>0.75068493150684934</v>
      </c>
      <c r="C75" s="303"/>
      <c r="D75" s="232"/>
      <c r="E75" s="241">
        <f>E74-D74</f>
        <v>164.38356164377183</v>
      </c>
      <c r="F75" s="43"/>
      <c r="G75" s="310">
        <v>45930</v>
      </c>
      <c r="H75" s="311">
        <f>+$H$70*(1+$H$66)^((G75-$G$70)/360)</f>
        <v>3322676.9019878381</v>
      </c>
      <c r="I75" s="283"/>
      <c r="J75" s="66"/>
      <c r="K75" s="43"/>
      <c r="L75" s="43"/>
      <c r="M75" s="43"/>
      <c r="N75" s="43"/>
      <c r="O75" s="43"/>
      <c r="P75" s="43"/>
      <c r="Q75" s="43"/>
      <c r="R75" s="43"/>
      <c r="S75" s="43"/>
      <c r="T75" s="43"/>
      <c r="U75" s="43"/>
    </row>
    <row r="76" spans="1:21" ht="15.65" customHeight="1">
      <c r="A76" s="232"/>
      <c r="B76" s="232"/>
      <c r="C76" s="232"/>
      <c r="D76" s="232"/>
      <c r="E76" s="232"/>
      <c r="F76" s="43"/>
      <c r="G76" s="310">
        <v>46022</v>
      </c>
      <c r="H76" s="311">
        <f>+$H$70*(1+$H$66)^((G76-$G$70)/360)</f>
        <v>3415100.4452692918</v>
      </c>
      <c r="I76" s="315"/>
      <c r="J76" s="66"/>
      <c r="K76" s="43"/>
      <c r="L76" s="43"/>
      <c r="M76" s="43"/>
      <c r="N76" s="43"/>
      <c r="O76" s="43"/>
      <c r="P76" s="43"/>
      <c r="Q76" s="43"/>
      <c r="R76" s="43"/>
      <c r="S76" s="43"/>
      <c r="T76" s="43"/>
      <c r="U76" s="43"/>
    </row>
    <row r="77" spans="1:21" ht="15.65" customHeight="1">
      <c r="A77" s="232"/>
      <c r="B77" s="316">
        <v>2023</v>
      </c>
      <c r="C77" s="232"/>
      <c r="D77" s="232"/>
      <c r="E77" s="232"/>
      <c r="F77" s="43"/>
      <c r="G77" s="43"/>
      <c r="H77" s="43"/>
      <c r="I77" s="43"/>
      <c r="J77" s="43"/>
      <c r="K77" s="43"/>
      <c r="L77" s="43"/>
      <c r="M77" s="43"/>
      <c r="N77" s="43"/>
      <c r="O77" s="43"/>
      <c r="P77" s="43"/>
      <c r="Q77" s="43"/>
      <c r="R77" s="43"/>
      <c r="S77" s="43"/>
      <c r="T77" s="43"/>
      <c r="U77" s="43"/>
    </row>
    <row r="78" spans="1:21" ht="15.65" customHeight="1">
      <c r="A78" s="232"/>
      <c r="B78" s="205" t="s">
        <v>606</v>
      </c>
      <c r="C78" s="303">
        <f>+C74</f>
        <v>779107.94520547951</v>
      </c>
      <c r="D78" s="317">
        <f>D74</f>
        <v>579835.61643835623</v>
      </c>
      <c r="E78" s="317"/>
      <c r="F78" s="43"/>
      <c r="G78" s="46" t="s">
        <v>607</v>
      </c>
      <c r="H78" s="95" t="s">
        <v>604</v>
      </c>
      <c r="I78" s="43"/>
      <c r="J78" s="95" t="s">
        <v>604</v>
      </c>
      <c r="K78" s="43"/>
      <c r="L78" s="43"/>
      <c r="M78" s="43"/>
      <c r="N78" s="43"/>
      <c r="O78" s="43"/>
      <c r="P78" s="43"/>
      <c r="Q78" s="43"/>
      <c r="R78" s="43"/>
      <c r="S78" s="43"/>
      <c r="T78" s="43"/>
      <c r="U78" s="43"/>
    </row>
    <row r="79" spans="1:21" ht="15.65" customHeight="1">
      <c r="A79" s="232"/>
      <c r="B79" s="205" t="s">
        <v>600</v>
      </c>
      <c r="C79" s="306">
        <f>+C78*12%</f>
        <v>93492.953424657535</v>
      </c>
      <c r="D79" s="232"/>
      <c r="E79" s="232"/>
      <c r="F79" s="43"/>
      <c r="G79" s="310">
        <v>45685</v>
      </c>
      <c r="H79" s="68">
        <v>750000</v>
      </c>
      <c r="I79" s="43"/>
      <c r="J79" s="310">
        <v>46112</v>
      </c>
      <c r="K79" s="310">
        <v>46203</v>
      </c>
      <c r="L79" s="310">
        <v>46295</v>
      </c>
      <c r="M79" s="310">
        <v>46387</v>
      </c>
      <c r="N79" s="43"/>
      <c r="O79" s="43"/>
      <c r="P79" s="43"/>
      <c r="Q79" s="43"/>
      <c r="R79" s="43"/>
      <c r="S79" s="43"/>
      <c r="T79" s="43"/>
      <c r="U79" s="43"/>
    </row>
    <row r="80" spans="1:21" ht="15.65" customHeight="1">
      <c r="A80" s="232"/>
      <c r="B80" s="205" t="s">
        <v>602</v>
      </c>
      <c r="C80" s="306">
        <f>-12*20000</f>
        <v>-240000</v>
      </c>
      <c r="D80" s="303">
        <f>C80</f>
        <v>-240000</v>
      </c>
      <c r="E80" s="232"/>
      <c r="F80" s="43"/>
      <c r="G80" s="310">
        <v>45747</v>
      </c>
      <c r="H80" s="137">
        <f>+$H$79*(1+$H$66)^((G80-$G$79)/360)</f>
        <v>763996.1783866242</v>
      </c>
      <c r="I80" s="43"/>
      <c r="J80" s="137">
        <f>+$H$79*(1+$H$66)^((J79-$G$79)/360)</f>
        <v>851851.94378637848</v>
      </c>
      <c r="K80" s="137">
        <f>+$H$79*(1+$H$66)^((K79-$G$79)/360)</f>
        <v>875285.98198889697</v>
      </c>
      <c r="L80" s="137">
        <f>+$H$79*(1+$H$66)^((L79-$G$79)/360)</f>
        <v>899632.92700530915</v>
      </c>
      <c r="M80" s="137">
        <f>+$H$79*(1+$H$66)^((M79-$G$79)/360)</f>
        <v>924657.10637007153</v>
      </c>
      <c r="N80" s="43"/>
      <c r="O80" s="43"/>
      <c r="P80" s="43"/>
      <c r="Q80" s="43"/>
      <c r="R80" s="43"/>
      <c r="S80" s="43"/>
      <c r="T80" s="43"/>
      <c r="U80" s="43"/>
    </row>
    <row r="81" spans="1:21" ht="15.65" customHeight="1">
      <c r="A81" s="213">
        <v>45033</v>
      </c>
      <c r="B81" s="205" t="s">
        <v>608</v>
      </c>
      <c r="C81" s="305">
        <v>350000</v>
      </c>
      <c r="D81" s="303">
        <f>C81</f>
        <v>350000</v>
      </c>
      <c r="E81" s="247"/>
      <c r="F81" s="43"/>
      <c r="G81" s="310">
        <v>45838</v>
      </c>
      <c r="H81" s="137">
        <f>+$H$79*(1+$H$66)^((G81-$G$79)/360)</f>
        <v>785013.34664160456</v>
      </c>
      <c r="I81" s="283"/>
      <c r="J81" s="50"/>
      <c r="K81" s="43"/>
      <c r="L81" s="43"/>
      <c r="M81" s="43"/>
      <c r="N81" s="43"/>
      <c r="O81" s="43"/>
      <c r="P81" s="43"/>
      <c r="Q81" s="43"/>
      <c r="R81" s="43"/>
      <c r="S81" s="43"/>
      <c r="T81" s="43"/>
      <c r="U81" s="43"/>
    </row>
    <row r="82" spans="1:21" ht="15.65" customHeight="1">
      <c r="A82" s="232"/>
      <c r="B82" s="232"/>
      <c r="C82" s="303">
        <f>+C81*C66*B84</f>
        <v>29687.67123287671</v>
      </c>
      <c r="D82" s="232"/>
      <c r="E82" s="309" t="s">
        <v>609</v>
      </c>
      <c r="F82" s="43"/>
      <c r="G82" s="310">
        <v>45930</v>
      </c>
      <c r="H82" s="137">
        <f>+$H$79*(1+$H$66)^((G82-$G$79)/360)</f>
        <v>806849.2690499624</v>
      </c>
      <c r="I82" s="283"/>
      <c r="J82" s="50"/>
      <c r="K82" s="43"/>
      <c r="L82" s="43"/>
      <c r="M82" s="43"/>
      <c r="N82" s="43"/>
      <c r="O82" s="43"/>
      <c r="P82" s="43"/>
      <c r="Q82" s="43"/>
      <c r="R82" s="43"/>
      <c r="S82" s="43"/>
      <c r="T82" s="43"/>
      <c r="U82" s="43"/>
    </row>
    <row r="83" spans="1:21" ht="15.65" customHeight="1">
      <c r="A83" s="232"/>
      <c r="B83" s="213">
        <v>45291</v>
      </c>
      <c r="C83" s="307">
        <f>SUM(C78:C82)</f>
        <v>1012288.5698630138</v>
      </c>
      <c r="D83" s="307">
        <f>SUM(D78:D82)</f>
        <v>689835.61643835623</v>
      </c>
      <c r="E83" s="313">
        <v>690000</v>
      </c>
      <c r="F83" s="43"/>
      <c r="G83" s="310">
        <v>46022</v>
      </c>
      <c r="H83" s="137">
        <f>+$H$79*(1+$H$66)^((G83-$G$79)/360)</f>
        <v>829292.57923008699</v>
      </c>
      <c r="I83" s="283"/>
      <c r="J83" s="50"/>
      <c r="K83" s="43"/>
      <c r="L83" s="43"/>
      <c r="M83" s="43"/>
      <c r="N83" s="43"/>
      <c r="O83" s="43"/>
      <c r="P83" s="43"/>
      <c r="Q83" s="43"/>
      <c r="R83" s="43"/>
      <c r="S83" s="43"/>
      <c r="T83" s="43"/>
      <c r="U83" s="43"/>
    </row>
    <row r="84" spans="1:21" ht="15.65" customHeight="1">
      <c r="A84" s="232"/>
      <c r="B84" s="314">
        <f>(B83-A81)/365</f>
        <v>0.70684931506849313</v>
      </c>
      <c r="C84" s="247"/>
      <c r="D84" s="232"/>
      <c r="E84" s="241">
        <f>E83-D83</f>
        <v>164.38356164377183</v>
      </c>
      <c r="F84" s="43"/>
      <c r="G84" s="43"/>
      <c r="H84" s="43"/>
      <c r="I84" s="43"/>
      <c r="J84" s="43"/>
      <c r="K84" s="43"/>
      <c r="L84" s="43"/>
      <c r="M84" s="43"/>
      <c r="N84" s="43"/>
      <c r="O84" s="43"/>
      <c r="P84" s="43"/>
      <c r="Q84" s="43"/>
      <c r="R84" s="43"/>
      <c r="S84" s="43"/>
      <c r="T84" s="43"/>
      <c r="U84" s="43"/>
    </row>
    <row r="85" spans="1:21" ht="15.65" customHeight="1">
      <c r="A85" s="232"/>
      <c r="B85" s="318">
        <v>2024</v>
      </c>
      <c r="C85" s="232"/>
      <c r="D85" s="232"/>
      <c r="E85" s="232"/>
      <c r="F85" s="43"/>
      <c r="G85" s="101" t="s">
        <v>610</v>
      </c>
      <c r="H85" s="108">
        <f>+H83+H76</f>
        <v>4244393.0244993791</v>
      </c>
      <c r="I85" s="43"/>
      <c r="J85" s="108">
        <f>+J74+J80</f>
        <v>4359853.8545586038</v>
      </c>
      <c r="K85" s="108">
        <f>+K74+K80</f>
        <v>4479791.3419710239</v>
      </c>
      <c r="L85" s="108">
        <f>+L74+L80</f>
        <v>4604401.1674821461</v>
      </c>
      <c r="M85" s="108">
        <f>+M74+M80</f>
        <v>4732477.1384961708</v>
      </c>
      <c r="N85" s="43"/>
      <c r="O85" s="43"/>
      <c r="P85" s="43"/>
      <c r="Q85" s="43"/>
      <c r="R85" s="43"/>
      <c r="S85" s="43"/>
      <c r="T85" s="43"/>
      <c r="U85" s="43"/>
    </row>
    <row r="86" spans="1:21" ht="15.65" customHeight="1">
      <c r="A86" s="232"/>
      <c r="B86" s="205" t="s">
        <v>135</v>
      </c>
      <c r="C86" s="305">
        <v>1012288.569863014</v>
      </c>
      <c r="D86" s="303">
        <f>D83</f>
        <v>689835.61643835623</v>
      </c>
      <c r="E86" s="232"/>
      <c r="F86" s="43"/>
      <c r="G86" s="43"/>
      <c r="H86" s="43"/>
      <c r="I86" s="43"/>
      <c r="J86" s="43"/>
      <c r="K86" s="43"/>
      <c r="L86" s="43"/>
      <c r="M86" s="43"/>
      <c r="N86" s="43"/>
      <c r="O86" s="43"/>
      <c r="P86" s="43"/>
      <c r="Q86" s="43"/>
      <c r="R86" s="43"/>
      <c r="S86" s="43"/>
      <c r="T86" s="43"/>
      <c r="U86" s="43"/>
    </row>
    <row r="87" spans="1:21" ht="15.65" customHeight="1">
      <c r="A87" s="232"/>
      <c r="B87" s="205" t="s">
        <v>602</v>
      </c>
      <c r="C87" s="305">
        <v>-140000</v>
      </c>
      <c r="D87" s="303">
        <f>C87</f>
        <v>-140000</v>
      </c>
      <c r="E87" s="232"/>
      <c r="F87" s="43"/>
      <c r="G87" s="43"/>
      <c r="H87" s="43"/>
      <c r="I87" s="43"/>
      <c r="J87" s="43"/>
      <c r="K87" s="43"/>
      <c r="L87" s="43"/>
      <c r="M87" s="43"/>
      <c r="N87" s="43"/>
      <c r="O87" s="43"/>
      <c r="P87" s="43"/>
      <c r="Q87" s="43"/>
      <c r="R87" s="43"/>
      <c r="S87" s="43"/>
      <c r="T87" s="43"/>
      <c r="U87" s="43"/>
    </row>
    <row r="88" spans="1:21" ht="15.65" customHeight="1">
      <c r="A88" s="232"/>
      <c r="B88" s="308" t="s">
        <v>600</v>
      </c>
      <c r="C88" s="305">
        <v>121474.62838356161</v>
      </c>
      <c r="D88" s="232"/>
      <c r="E88" s="309" t="s">
        <v>611</v>
      </c>
      <c r="F88" s="43"/>
      <c r="G88" s="43"/>
      <c r="H88" s="43"/>
      <c r="I88" s="43"/>
      <c r="J88" s="43"/>
      <c r="K88" s="43"/>
      <c r="L88" s="43"/>
      <c r="M88" s="43"/>
      <c r="N88" s="43"/>
      <c r="O88" s="43"/>
      <c r="P88" s="43"/>
      <c r="Q88" s="43"/>
      <c r="R88" s="43"/>
      <c r="S88" s="43"/>
      <c r="T88" s="43"/>
      <c r="U88" s="43"/>
    </row>
    <row r="89" spans="1:21" ht="15.65" customHeight="1">
      <c r="A89" s="213">
        <v>45657</v>
      </c>
      <c r="B89" s="205" t="s">
        <v>612</v>
      </c>
      <c r="C89" s="305">
        <v>993763.19824657543</v>
      </c>
      <c r="D89" s="307">
        <f>SUM(D86:D88)</f>
        <v>549835.61643835623</v>
      </c>
      <c r="E89" s="319">
        <v>550000</v>
      </c>
      <c r="F89" s="43"/>
      <c r="G89" s="43"/>
      <c r="H89" s="43"/>
      <c r="I89" s="43"/>
      <c r="J89" s="43"/>
      <c r="K89" s="43"/>
      <c r="L89" s="43"/>
      <c r="M89" s="43"/>
      <c r="N89" s="43"/>
      <c r="O89" s="43"/>
      <c r="P89" s="43"/>
      <c r="Q89" s="43"/>
      <c r="R89" s="43"/>
      <c r="S89" s="43"/>
      <c r="T89" s="43"/>
      <c r="U89" s="43"/>
    </row>
    <row r="90" spans="1:21" ht="15.65" customHeight="1">
      <c r="A90" s="232"/>
      <c r="B90" s="232"/>
      <c r="C90" s="303"/>
      <c r="D90" s="232"/>
      <c r="E90" s="241">
        <f>E89-D89</f>
        <v>164.38356164377183</v>
      </c>
      <c r="F90" s="43"/>
      <c r="G90" s="43"/>
      <c r="H90" s="43"/>
      <c r="I90" s="43"/>
      <c r="J90" s="43"/>
      <c r="K90" s="43"/>
      <c r="L90" s="43"/>
      <c r="M90" s="43"/>
      <c r="N90" s="43"/>
      <c r="O90" s="43"/>
      <c r="P90" s="43"/>
      <c r="Q90" s="43"/>
      <c r="R90" s="43"/>
      <c r="S90" s="43"/>
      <c r="T90" s="43"/>
      <c r="U90" s="43"/>
    </row>
    <row r="91" spans="1:21">
      <c r="A91" s="43"/>
      <c r="B91" s="310">
        <v>45747</v>
      </c>
      <c r="C91" s="137">
        <f>+$C$89*(1+$C$66)^((B91-$A$89)/365)</f>
        <v>1021924.6157290075</v>
      </c>
      <c r="D91" s="43"/>
      <c r="E91" s="43"/>
      <c r="F91" s="43"/>
      <c r="G91" s="43"/>
      <c r="H91" s="43"/>
      <c r="I91" s="43"/>
      <c r="J91" s="43"/>
      <c r="K91" s="43"/>
      <c r="L91" s="43"/>
      <c r="M91" s="43"/>
      <c r="N91" s="43"/>
      <c r="O91" s="43"/>
      <c r="P91" s="43"/>
      <c r="Q91" s="43"/>
      <c r="R91" s="43"/>
      <c r="S91" s="43"/>
      <c r="T91" s="43"/>
      <c r="U91" s="43"/>
    </row>
    <row r="92" spans="1:21" ht="15.65" customHeight="1">
      <c r="A92" s="43"/>
      <c r="B92" s="213">
        <v>45838</v>
      </c>
      <c r="C92" s="137">
        <f>+$C$89*(1+$C$66)^((B92-$A$89)/365)</f>
        <v>1051210.4150623516</v>
      </c>
      <c r="D92" s="43"/>
      <c r="E92" s="43"/>
      <c r="F92" s="43"/>
      <c r="G92" s="43"/>
      <c r="H92" s="43"/>
      <c r="I92" s="43"/>
      <c r="J92" s="43"/>
      <c r="K92" s="43"/>
      <c r="L92" s="43"/>
      <c r="M92" s="43"/>
      <c r="N92" s="43"/>
      <c r="O92" s="43"/>
      <c r="P92" s="43"/>
      <c r="Q92" s="43"/>
      <c r="R92" s="43"/>
      <c r="S92" s="43"/>
      <c r="T92" s="43"/>
      <c r="U92" s="43"/>
    </row>
    <row r="93" spans="1:21" ht="15.65" customHeight="1">
      <c r="A93" s="43"/>
      <c r="B93" s="213">
        <v>45930</v>
      </c>
      <c r="C93" s="137">
        <f>+$C$89*(1+$C$66)^((B93-$A$89)/365)</f>
        <v>1081671.2675276021</v>
      </c>
      <c r="D93" s="43"/>
      <c r="E93" s="43"/>
      <c r="F93" s="43"/>
      <c r="G93" s="43"/>
      <c r="H93" s="43"/>
      <c r="I93" s="43"/>
      <c r="J93" s="43"/>
      <c r="K93" s="43"/>
      <c r="L93" s="43"/>
      <c r="M93" s="43"/>
      <c r="N93" s="43"/>
      <c r="O93" s="43"/>
      <c r="P93" s="43"/>
      <c r="Q93" s="43"/>
      <c r="R93" s="43"/>
      <c r="S93" s="43"/>
      <c r="T93" s="43"/>
      <c r="U93" s="43"/>
    </row>
    <row r="94" spans="1:21" ht="15.65" customHeight="1">
      <c r="A94" s="235" t="s">
        <v>613</v>
      </c>
      <c r="B94" s="310">
        <v>46009</v>
      </c>
      <c r="C94" s="137">
        <f>+C89*(1+$C$66)^((B94-A89)/365)</f>
        <v>1108531.3036519235</v>
      </c>
      <c r="D94" s="43"/>
      <c r="E94" s="43"/>
      <c r="F94" s="43"/>
      <c r="G94" s="43"/>
      <c r="H94" s="43"/>
      <c r="I94" s="43"/>
      <c r="J94" s="43"/>
      <c r="K94" s="43"/>
      <c r="L94" s="43"/>
      <c r="M94" s="43"/>
      <c r="N94" s="43"/>
      <c r="O94" s="43"/>
      <c r="P94" s="43"/>
      <c r="Q94" s="43"/>
      <c r="R94" s="43"/>
      <c r="S94" s="43"/>
      <c r="T94" s="43"/>
      <c r="U94" s="43"/>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2">
    <tabColor rgb="FFB4C6E7"/>
  </sheetPr>
  <dimension ref="A1:W78"/>
  <sheetViews>
    <sheetView showGridLines="0" zoomScale="107" zoomScaleNormal="70" workbookViewId="0">
      <pane xSplit="1" ySplit="2" topLeftCell="F20" activePane="bottomRight" state="frozen"/>
      <selection activeCell="I20" sqref="I20"/>
      <selection pane="topRight" activeCell="I20" sqref="I20"/>
      <selection pane="bottomLeft" activeCell="I20" sqref="I20"/>
      <selection pane="bottomRight" activeCell="M28" sqref="M28"/>
    </sheetView>
  </sheetViews>
  <sheetFormatPr defaultRowHeight="14.5"/>
  <cols>
    <col min="1" max="1" width="31.54296875" bestFit="1" customWidth="1"/>
    <col min="2" max="2" width="16" style="18" bestFit="1" customWidth="1"/>
    <col min="3" max="6" width="16.54296875" bestFit="1" customWidth="1"/>
    <col min="7" max="8" width="16.6328125" bestFit="1" customWidth="1"/>
    <col min="9" max="9" width="16.54296875" bestFit="1" customWidth="1"/>
    <col min="10" max="13" width="17.453125" bestFit="1" customWidth="1"/>
    <col min="14" max="14" width="17.6328125" bestFit="1" customWidth="1"/>
    <col min="15" max="15" width="19" bestFit="1" customWidth="1"/>
    <col min="16" max="16" width="19.54296875" bestFit="1" customWidth="1"/>
    <col min="17" max="17" width="10.6328125" bestFit="1" customWidth="1"/>
    <col min="18" max="20" width="12.54296875" bestFit="1" customWidth="1"/>
    <col min="21" max="21" width="17" bestFit="1" customWidth="1"/>
    <col min="22" max="23" width="16.6328125" bestFit="1" customWidth="1"/>
  </cols>
  <sheetData>
    <row r="1" spans="1:23" s="26" customFormat="1" ht="18.399999999999999" customHeight="1">
      <c r="A1" s="281" t="s">
        <v>614</v>
      </c>
      <c r="B1" s="278">
        <v>45657</v>
      </c>
      <c r="C1" s="278">
        <v>45747</v>
      </c>
      <c r="D1" s="278">
        <v>45838</v>
      </c>
      <c r="E1" s="278">
        <v>45930</v>
      </c>
      <c r="F1" s="278">
        <v>46022</v>
      </c>
      <c r="G1" s="278">
        <v>46112</v>
      </c>
      <c r="H1" s="278">
        <v>46203</v>
      </c>
      <c r="I1" s="278">
        <v>46295</v>
      </c>
      <c r="J1" s="278">
        <v>46387</v>
      </c>
      <c r="K1" s="278">
        <v>46752</v>
      </c>
      <c r="L1" s="278">
        <v>47118</v>
      </c>
      <c r="M1" s="278">
        <v>47483</v>
      </c>
      <c r="N1" s="278">
        <v>47848</v>
      </c>
      <c r="O1" s="279"/>
      <c r="P1" s="43"/>
      <c r="Q1" s="43"/>
      <c r="R1" s="43"/>
      <c r="S1" s="43"/>
      <c r="T1" s="43"/>
      <c r="U1" s="43"/>
      <c r="V1" s="43"/>
      <c r="W1" s="43"/>
    </row>
    <row r="2" spans="1:23" ht="15.65" customHeight="1">
      <c r="A2" s="222" t="s">
        <v>615</v>
      </c>
      <c r="B2" s="278" t="s">
        <v>2</v>
      </c>
      <c r="C2" s="278" t="s">
        <v>3</v>
      </c>
      <c r="D2" s="278" t="s">
        <v>4</v>
      </c>
      <c r="E2" s="278" t="s">
        <v>5</v>
      </c>
      <c r="F2" s="278" t="s">
        <v>2</v>
      </c>
      <c r="G2" s="278" t="s">
        <v>3</v>
      </c>
      <c r="H2" s="278" t="s">
        <v>4</v>
      </c>
      <c r="I2" s="278" t="s">
        <v>5</v>
      </c>
      <c r="J2" s="278" t="s">
        <v>2</v>
      </c>
      <c r="K2" s="278" t="s">
        <v>2</v>
      </c>
      <c r="L2" s="278" t="s">
        <v>2</v>
      </c>
      <c r="M2" s="278" t="s">
        <v>2</v>
      </c>
      <c r="N2" s="278" t="s">
        <v>2</v>
      </c>
      <c r="O2" s="50"/>
      <c r="P2" s="43"/>
      <c r="Q2" s="43"/>
      <c r="R2" s="43"/>
      <c r="S2" s="43"/>
      <c r="T2" s="43"/>
      <c r="U2" s="43"/>
      <c r="V2" s="43"/>
      <c r="W2" s="43"/>
    </row>
    <row r="3" spans="1:23" ht="15.65" customHeight="1">
      <c r="A3" s="122"/>
      <c r="B3" s="51"/>
      <c r="C3" s="51"/>
      <c r="D3" s="51"/>
      <c r="E3" s="51"/>
      <c r="F3" s="51"/>
      <c r="G3" s="51"/>
      <c r="H3" s="51"/>
      <c r="I3" s="51"/>
      <c r="J3" s="51"/>
      <c r="K3" s="51"/>
      <c r="L3" s="51"/>
      <c r="M3" s="51"/>
      <c r="N3" s="51"/>
      <c r="O3" s="50"/>
      <c r="P3" s="43"/>
      <c r="Q3" s="43"/>
      <c r="R3" s="43"/>
      <c r="S3" s="43"/>
      <c r="T3" s="43"/>
      <c r="U3" s="43"/>
      <c r="V3" s="43"/>
      <c r="W3" s="43"/>
    </row>
    <row r="4" spans="1:23">
      <c r="A4" s="46" t="s">
        <v>616</v>
      </c>
      <c r="B4" s="50"/>
      <c r="C4" s="51"/>
      <c r="D4" s="51"/>
      <c r="E4" s="51"/>
      <c r="F4" s="51"/>
      <c r="G4" s="50"/>
      <c r="H4" s="50"/>
      <c r="I4" s="50"/>
      <c r="J4" s="50"/>
      <c r="K4" s="50"/>
      <c r="L4" s="50"/>
      <c r="M4" s="50"/>
      <c r="N4" s="50"/>
      <c r="O4" s="50"/>
      <c r="P4" s="43"/>
      <c r="Q4" s="43"/>
      <c r="R4" s="43"/>
      <c r="S4" s="43"/>
      <c r="T4" s="43"/>
      <c r="U4" s="43"/>
      <c r="V4" s="43"/>
      <c r="W4" s="43"/>
    </row>
    <row r="5" spans="1:23">
      <c r="A5" s="56" t="s">
        <v>617</v>
      </c>
      <c r="B5" s="68">
        <v>0</v>
      </c>
      <c r="C5" s="320">
        <v>0</v>
      </c>
      <c r="D5" s="320">
        <v>0</v>
      </c>
      <c r="E5" s="320">
        <v>0</v>
      </c>
      <c r="F5" s="320">
        <v>0</v>
      </c>
      <c r="G5" s="68">
        <v>0</v>
      </c>
      <c r="H5" s="50"/>
      <c r="I5" s="50"/>
      <c r="J5" s="50"/>
      <c r="K5" s="50"/>
      <c r="L5" s="68">
        <v>0</v>
      </c>
      <c r="M5" s="68">
        <v>0</v>
      </c>
      <c r="N5" s="68">
        <v>0</v>
      </c>
      <c r="O5" s="50"/>
      <c r="P5" s="43"/>
      <c r="Q5" s="76"/>
      <c r="R5" s="43"/>
      <c r="S5" s="43"/>
      <c r="T5" s="43"/>
      <c r="U5" s="43"/>
      <c r="V5" s="43"/>
      <c r="W5" s="43"/>
    </row>
    <row r="6" spans="1:23">
      <c r="A6" s="46" t="s">
        <v>541</v>
      </c>
      <c r="B6" s="50"/>
      <c r="C6" s="51"/>
      <c r="D6" s="51"/>
      <c r="E6" s="51"/>
      <c r="F6" s="51"/>
      <c r="G6" s="50"/>
      <c r="H6" s="50"/>
      <c r="I6" s="50"/>
      <c r="J6" s="50"/>
      <c r="K6" s="50"/>
      <c r="L6" s="50"/>
      <c r="M6" s="50"/>
      <c r="N6" s="50"/>
      <c r="O6" s="50"/>
      <c r="P6" s="43"/>
      <c r="Q6" s="321"/>
      <c r="R6" s="43"/>
      <c r="S6" s="43"/>
      <c r="T6" s="43"/>
      <c r="U6" s="43"/>
      <c r="V6" s="43"/>
      <c r="W6" s="43"/>
    </row>
    <row r="7" spans="1:23">
      <c r="A7" s="46" t="s">
        <v>543</v>
      </c>
      <c r="B7" s="50"/>
      <c r="C7" s="51"/>
      <c r="D7" s="51"/>
      <c r="E7" s="51"/>
      <c r="F7" s="51"/>
      <c r="G7" s="50"/>
      <c r="H7" s="50"/>
      <c r="I7" s="50"/>
      <c r="J7" s="50"/>
      <c r="K7" s="50"/>
      <c r="L7" s="50"/>
      <c r="M7" s="50"/>
      <c r="N7" s="50"/>
      <c r="O7" s="50"/>
      <c r="P7" s="43"/>
      <c r="Q7" s="59"/>
      <c r="R7" s="43"/>
      <c r="S7" s="43"/>
      <c r="T7" s="43"/>
      <c r="U7" s="43"/>
      <c r="V7" s="43"/>
      <c r="W7" s="43"/>
    </row>
    <row r="8" spans="1:23">
      <c r="A8" s="46" t="s">
        <v>618</v>
      </c>
      <c r="B8" s="68">
        <v>0</v>
      </c>
      <c r="C8" s="322">
        <f t="shared" ref="C8:N8" si="0">SUM(C5:C7)</f>
        <v>0</v>
      </c>
      <c r="D8" s="322">
        <f t="shared" si="0"/>
        <v>0</v>
      </c>
      <c r="E8" s="322">
        <f t="shared" si="0"/>
        <v>0</v>
      </c>
      <c r="F8" s="322">
        <f t="shared" si="0"/>
        <v>0</v>
      </c>
      <c r="G8" s="136">
        <f t="shared" si="0"/>
        <v>0</v>
      </c>
      <c r="H8" s="136">
        <f t="shared" si="0"/>
        <v>0</v>
      </c>
      <c r="I8" s="136">
        <f t="shared" si="0"/>
        <v>0</v>
      </c>
      <c r="J8" s="136">
        <f t="shared" si="0"/>
        <v>0</v>
      </c>
      <c r="K8" s="136">
        <f t="shared" si="0"/>
        <v>0</v>
      </c>
      <c r="L8" s="136">
        <f t="shared" si="0"/>
        <v>0</v>
      </c>
      <c r="M8" s="136">
        <f t="shared" si="0"/>
        <v>0</v>
      </c>
      <c r="N8" s="136">
        <f t="shared" si="0"/>
        <v>0</v>
      </c>
      <c r="O8" s="50"/>
      <c r="P8" s="323"/>
      <c r="Q8" s="323"/>
      <c r="R8" s="323"/>
      <c r="S8" s="323"/>
      <c r="T8" s="43"/>
      <c r="U8" s="43"/>
      <c r="V8" s="43"/>
      <c r="W8" s="43"/>
    </row>
    <row r="9" spans="1:23">
      <c r="A9" s="46" t="s">
        <v>619</v>
      </c>
      <c r="B9" s="50"/>
      <c r="C9" s="51"/>
      <c r="D9" s="51"/>
      <c r="E9" s="51"/>
      <c r="F9" s="51"/>
      <c r="G9" s="50"/>
      <c r="H9" s="68">
        <v>0</v>
      </c>
      <c r="I9" s="68">
        <v>0</v>
      </c>
      <c r="J9" s="50"/>
      <c r="K9" s="50"/>
      <c r="L9" s="50"/>
      <c r="M9" s="50"/>
      <c r="N9" s="50"/>
      <c r="O9" s="50"/>
      <c r="P9" s="43"/>
      <c r="Q9" s="43"/>
      <c r="R9" s="43"/>
      <c r="S9" s="43"/>
      <c r="T9" s="43"/>
      <c r="U9" s="43"/>
      <c r="V9" s="43"/>
      <c r="W9" s="43"/>
    </row>
    <row r="10" spans="1:23">
      <c r="A10" s="46" t="s">
        <v>546</v>
      </c>
      <c r="B10" s="68">
        <v>0</v>
      </c>
      <c r="C10" s="322">
        <f t="shared" ref="C10:N10" si="1">SUM(C8:C9)</f>
        <v>0</v>
      </c>
      <c r="D10" s="322">
        <f t="shared" si="1"/>
        <v>0</v>
      </c>
      <c r="E10" s="322">
        <f t="shared" si="1"/>
        <v>0</v>
      </c>
      <c r="F10" s="322">
        <f t="shared" si="1"/>
        <v>0</v>
      </c>
      <c r="G10" s="136">
        <f t="shared" si="1"/>
        <v>0</v>
      </c>
      <c r="H10" s="136">
        <f t="shared" si="1"/>
        <v>0</v>
      </c>
      <c r="I10" s="136">
        <f t="shared" si="1"/>
        <v>0</v>
      </c>
      <c r="J10" s="136">
        <f t="shared" si="1"/>
        <v>0</v>
      </c>
      <c r="K10" s="136">
        <f t="shared" si="1"/>
        <v>0</v>
      </c>
      <c r="L10" s="136">
        <f t="shared" si="1"/>
        <v>0</v>
      </c>
      <c r="M10" s="136">
        <f t="shared" si="1"/>
        <v>0</v>
      </c>
      <c r="N10" s="136">
        <f t="shared" si="1"/>
        <v>0</v>
      </c>
      <c r="O10" s="50"/>
      <c r="P10" s="50"/>
      <c r="Q10" s="50"/>
      <c r="R10" s="50"/>
      <c r="S10" s="50"/>
      <c r="T10" s="50"/>
      <c r="U10" s="324"/>
      <c r="V10" s="43"/>
      <c r="W10" s="43"/>
    </row>
    <row r="11" spans="1:23">
      <c r="A11" s="101" t="s">
        <v>620</v>
      </c>
      <c r="B11" s="68">
        <v>0</v>
      </c>
      <c r="C11" s="51">
        <f t="shared" ref="C11:N11" si="2">+B11+C10</f>
        <v>0</v>
      </c>
      <c r="D11" s="51">
        <f t="shared" si="2"/>
        <v>0</v>
      </c>
      <c r="E11" s="51">
        <f t="shared" si="2"/>
        <v>0</v>
      </c>
      <c r="F11" s="51">
        <f t="shared" si="2"/>
        <v>0</v>
      </c>
      <c r="G11" s="50">
        <f t="shared" si="2"/>
        <v>0</v>
      </c>
      <c r="H11" s="50">
        <f t="shared" si="2"/>
        <v>0</v>
      </c>
      <c r="I11" s="50">
        <f t="shared" si="2"/>
        <v>0</v>
      </c>
      <c r="J11" s="50">
        <f t="shared" si="2"/>
        <v>0</v>
      </c>
      <c r="K11" s="50">
        <f t="shared" si="2"/>
        <v>0</v>
      </c>
      <c r="L11" s="50">
        <f t="shared" si="2"/>
        <v>0</v>
      </c>
      <c r="M11" s="50">
        <f t="shared" si="2"/>
        <v>0</v>
      </c>
      <c r="N11" s="50">
        <f t="shared" si="2"/>
        <v>0</v>
      </c>
      <c r="O11" s="50"/>
      <c r="P11" s="50"/>
      <c r="Q11" s="50"/>
      <c r="R11" s="50"/>
      <c r="S11" s="50"/>
      <c r="T11" s="50"/>
      <c r="U11" s="50"/>
      <c r="V11" s="43"/>
      <c r="W11" s="43"/>
    </row>
    <row r="12" spans="1:23" s="2" customFormat="1">
      <c r="A12" s="43"/>
      <c r="B12" s="50"/>
      <c r="C12" s="51"/>
      <c r="D12" s="51"/>
      <c r="E12" s="51"/>
      <c r="F12" s="51"/>
      <c r="G12" s="50"/>
      <c r="H12" s="50"/>
      <c r="I12" s="50"/>
      <c r="J12" s="50"/>
      <c r="K12" s="50"/>
      <c r="L12" s="50"/>
      <c r="M12" s="50"/>
      <c r="N12" s="50"/>
      <c r="O12" s="50"/>
      <c r="P12" s="50"/>
      <c r="Q12" s="50"/>
      <c r="R12" s="50"/>
      <c r="S12" s="50"/>
      <c r="T12" s="50"/>
      <c r="U12" s="50"/>
      <c r="V12" s="43"/>
      <c r="W12" s="43"/>
    </row>
    <row r="13" spans="1:23">
      <c r="A13" s="46" t="s">
        <v>621</v>
      </c>
      <c r="B13" s="50"/>
      <c r="C13" s="50"/>
      <c r="D13" s="50"/>
      <c r="E13" s="50"/>
      <c r="F13" s="50"/>
      <c r="G13" s="50"/>
      <c r="H13" s="50"/>
      <c r="I13" s="50"/>
      <c r="J13" s="50"/>
      <c r="K13" s="50"/>
      <c r="L13" s="50"/>
      <c r="M13" s="50"/>
      <c r="N13" s="50"/>
      <c r="O13" s="50"/>
      <c r="P13" s="43"/>
      <c r="Q13" s="43"/>
      <c r="R13" s="43"/>
      <c r="S13" s="43"/>
      <c r="T13" s="43"/>
      <c r="U13" s="43"/>
      <c r="V13" s="43"/>
      <c r="W13" s="43"/>
    </row>
    <row r="14" spans="1:23" ht="14.65" customHeight="1" thickBot="1">
      <c r="A14" s="46" t="s">
        <v>622</v>
      </c>
      <c r="B14" s="50"/>
      <c r="C14" s="50"/>
      <c r="D14" s="50"/>
      <c r="E14" s="50"/>
      <c r="F14" s="50"/>
      <c r="G14" s="50"/>
      <c r="H14" s="50"/>
      <c r="I14" s="50"/>
      <c r="J14" s="50"/>
      <c r="K14" s="50"/>
      <c r="L14" s="50"/>
      <c r="M14" s="50"/>
      <c r="N14" s="50"/>
      <c r="O14" s="50"/>
      <c r="P14" s="43"/>
      <c r="Q14" s="43"/>
      <c r="R14" s="43"/>
      <c r="S14" s="43"/>
      <c r="T14" s="43"/>
      <c r="U14" s="43"/>
      <c r="V14" s="43"/>
      <c r="W14" s="43"/>
    </row>
    <row r="15" spans="1:23">
      <c r="A15" s="46" t="s">
        <v>623</v>
      </c>
      <c r="B15" s="50"/>
      <c r="C15" s="50"/>
      <c r="D15" s="68">
        <v>2500000</v>
      </c>
      <c r="E15" s="68">
        <v>2500000</v>
      </c>
      <c r="F15" s="137">
        <f>1500000+937500+3700000</f>
        <v>6137500</v>
      </c>
      <c r="G15" s="68">
        <v>5640000</v>
      </c>
      <c r="H15" s="68">
        <v>1300000</v>
      </c>
      <c r="I15" s="50"/>
      <c r="J15" s="50"/>
      <c r="K15" s="50"/>
      <c r="L15" s="50"/>
      <c r="M15" s="50"/>
      <c r="N15" s="50"/>
      <c r="O15" s="50"/>
      <c r="P15" s="43"/>
      <c r="Q15" s="43"/>
      <c r="R15" s="43"/>
      <c r="S15" s="43"/>
      <c r="T15" s="43"/>
      <c r="U15" s="43"/>
      <c r="V15" s="43"/>
      <c r="W15" s="43"/>
    </row>
    <row r="16" spans="1:23">
      <c r="A16" s="46" t="s">
        <v>624</v>
      </c>
      <c r="B16" s="50"/>
      <c r="C16" s="50"/>
      <c r="D16" s="50"/>
      <c r="E16" s="50"/>
      <c r="F16" s="50"/>
      <c r="G16" s="50"/>
      <c r="H16" s="68">
        <v>6000000</v>
      </c>
      <c r="I16" s="50"/>
      <c r="J16" s="50"/>
      <c r="K16" s="50"/>
      <c r="L16" s="50"/>
      <c r="M16" s="50"/>
      <c r="N16" s="50"/>
      <c r="O16" s="50"/>
      <c r="P16" s="43"/>
      <c r="Q16" s="43"/>
      <c r="R16" s="43"/>
      <c r="S16" s="43"/>
      <c r="T16" s="43"/>
      <c r="U16" s="43"/>
      <c r="V16" s="43"/>
      <c r="W16" s="43"/>
    </row>
    <row r="17" spans="1:23">
      <c r="A17" s="325"/>
      <c r="B17" s="50"/>
      <c r="C17" s="50"/>
      <c r="D17" s="50"/>
      <c r="E17" s="50"/>
      <c r="F17" s="50"/>
      <c r="G17" s="50"/>
      <c r="H17" s="287"/>
      <c r="I17" s="287"/>
      <c r="J17" s="287"/>
      <c r="K17" s="287"/>
      <c r="L17" s="287"/>
      <c r="M17" s="287"/>
      <c r="N17" s="287"/>
      <c r="O17" s="287"/>
      <c r="P17" s="43"/>
      <c r="Q17" s="43"/>
      <c r="R17" s="43"/>
      <c r="S17" s="43"/>
      <c r="T17" s="43"/>
      <c r="U17" s="43"/>
      <c r="V17" s="43"/>
      <c r="W17" s="43"/>
    </row>
    <row r="18" spans="1:23">
      <c r="A18" s="101" t="s">
        <v>260</v>
      </c>
      <c r="B18" s="140">
        <v>0</v>
      </c>
      <c r="C18" s="194">
        <f t="shared" ref="C18:N18" si="3">SUM(C15:C17)</f>
        <v>0</v>
      </c>
      <c r="D18" s="194">
        <f t="shared" si="3"/>
        <v>2500000</v>
      </c>
      <c r="E18" s="194">
        <f t="shared" si="3"/>
        <v>2500000</v>
      </c>
      <c r="F18" s="194">
        <f t="shared" si="3"/>
        <v>6137500</v>
      </c>
      <c r="G18" s="194">
        <f t="shared" si="3"/>
        <v>5640000</v>
      </c>
      <c r="H18" s="194">
        <f t="shared" si="3"/>
        <v>7300000</v>
      </c>
      <c r="I18" s="326">
        <f t="shared" si="3"/>
        <v>0</v>
      </c>
      <c r="J18" s="326">
        <f t="shared" si="3"/>
        <v>0</v>
      </c>
      <c r="K18" s="326">
        <f t="shared" si="3"/>
        <v>0</v>
      </c>
      <c r="L18" s="326">
        <f t="shared" si="3"/>
        <v>0</v>
      </c>
      <c r="M18" s="326">
        <f t="shared" si="3"/>
        <v>0</v>
      </c>
      <c r="N18" s="326">
        <f t="shared" si="3"/>
        <v>0</v>
      </c>
      <c r="O18" s="287"/>
      <c r="P18" s="43"/>
      <c r="Q18" s="43"/>
      <c r="R18" s="43"/>
      <c r="S18" s="43"/>
      <c r="T18" s="43"/>
      <c r="U18" s="43"/>
      <c r="V18" s="43"/>
      <c r="W18" s="43"/>
    </row>
    <row r="19" spans="1:23">
      <c r="A19" s="43"/>
      <c r="B19" s="50"/>
      <c r="C19" s="50"/>
      <c r="D19" s="50"/>
      <c r="E19" s="50"/>
      <c r="F19" s="50"/>
      <c r="G19" s="50"/>
      <c r="H19" s="50"/>
      <c r="I19" s="50"/>
      <c r="J19" s="50"/>
      <c r="K19" s="50"/>
      <c r="L19" s="50"/>
      <c r="M19" s="50"/>
      <c r="N19" s="50"/>
      <c r="O19" s="50"/>
      <c r="P19" s="43"/>
      <c r="Q19" s="43"/>
      <c r="R19" s="43"/>
      <c r="S19" s="43"/>
      <c r="T19" s="43"/>
      <c r="U19" s="43"/>
      <c r="V19" s="43"/>
      <c r="W19" s="43"/>
    </row>
    <row r="20" spans="1:23">
      <c r="A20" s="46" t="s">
        <v>625</v>
      </c>
      <c r="B20" s="50"/>
      <c r="C20" s="50"/>
      <c r="D20" s="50"/>
      <c r="E20" s="50"/>
      <c r="F20" s="50"/>
      <c r="G20" s="67" t="s">
        <v>626</v>
      </c>
      <c r="H20" s="137">
        <f>13290000+SUM(G22:J22)</f>
        <v>0</v>
      </c>
      <c r="I20" s="50"/>
      <c r="J20" s="50"/>
      <c r="K20" s="50"/>
      <c r="L20" s="50"/>
      <c r="M20" s="50"/>
      <c r="N20" s="50"/>
      <c r="O20" s="50"/>
      <c r="P20" s="43"/>
      <c r="Q20" s="43"/>
      <c r="R20" s="43"/>
      <c r="S20" s="43"/>
      <c r="T20" s="43"/>
      <c r="U20" s="43"/>
      <c r="V20" s="43"/>
      <c r="W20" s="43"/>
    </row>
    <row r="21" spans="1:23">
      <c r="A21" s="46" t="s">
        <v>627</v>
      </c>
      <c r="B21" s="50"/>
      <c r="C21" s="50"/>
      <c r="D21" s="50"/>
      <c r="E21" s="50"/>
      <c r="F21" s="50"/>
      <c r="G21" s="50"/>
      <c r="H21" s="50"/>
      <c r="I21" s="50"/>
      <c r="J21" s="50"/>
      <c r="K21" s="50"/>
      <c r="L21" s="50"/>
      <c r="M21" s="68">
        <v>-15000000</v>
      </c>
      <c r="N21" s="50"/>
      <c r="O21" s="50"/>
      <c r="P21" s="43"/>
      <c r="Q21" s="43"/>
      <c r="R21" s="43"/>
      <c r="S21" s="43"/>
      <c r="T21" s="43"/>
      <c r="U21" s="43"/>
      <c r="V21" s="43"/>
      <c r="W21" s="43"/>
    </row>
    <row r="22" spans="1:23">
      <c r="A22" s="46" t="s">
        <v>628</v>
      </c>
      <c r="B22" s="50"/>
      <c r="C22" s="50"/>
      <c r="D22" s="50"/>
      <c r="E22" s="50"/>
      <c r="F22" s="50"/>
      <c r="G22" s="68">
        <v>-1000000</v>
      </c>
      <c r="H22" s="137">
        <f>-1000000-1040000</f>
        <v>-2040000</v>
      </c>
      <c r="I22" s="68">
        <v>-2000000</v>
      </c>
      <c r="J22" s="68">
        <v>-8250000</v>
      </c>
      <c r="K22" s="50"/>
      <c r="L22" s="50"/>
      <c r="M22" s="50"/>
      <c r="N22" s="50"/>
      <c r="O22" s="50"/>
      <c r="P22" s="43"/>
      <c r="Q22" s="43"/>
      <c r="R22" s="43"/>
      <c r="S22" s="43"/>
      <c r="T22" s="43"/>
      <c r="U22" s="43"/>
      <c r="V22" s="43"/>
      <c r="W22" s="43"/>
    </row>
    <row r="23" spans="1:23">
      <c r="A23" s="46" t="s">
        <v>629</v>
      </c>
      <c r="B23" s="50"/>
      <c r="C23" s="68">
        <v>-2500000</v>
      </c>
      <c r="D23" s="50"/>
      <c r="E23" s="50"/>
      <c r="F23" s="50"/>
      <c r="G23" s="50"/>
      <c r="H23" s="50"/>
      <c r="I23" s="50"/>
      <c r="J23" s="50"/>
      <c r="K23" s="50"/>
      <c r="L23" s="50"/>
      <c r="M23" s="50"/>
      <c r="N23" s="50"/>
      <c r="O23" s="50"/>
      <c r="P23" s="43"/>
      <c r="Q23" s="43"/>
      <c r="R23" s="43"/>
      <c r="S23" s="43"/>
      <c r="T23" s="43"/>
      <c r="U23" s="43"/>
      <c r="V23" s="43"/>
      <c r="W23" s="43"/>
    </row>
    <row r="24" spans="1:23" ht="14.65" customHeight="1" thickBot="1">
      <c r="A24" s="101" t="s">
        <v>262</v>
      </c>
      <c r="B24" s="140">
        <v>0</v>
      </c>
      <c r="C24" s="194">
        <f t="shared" ref="C24:N24" si="4">SUM(C21:C23)</f>
        <v>-2500000</v>
      </c>
      <c r="D24" s="194">
        <f t="shared" si="4"/>
        <v>0</v>
      </c>
      <c r="E24" s="194">
        <f t="shared" si="4"/>
        <v>0</v>
      </c>
      <c r="F24" s="194">
        <f t="shared" si="4"/>
        <v>0</v>
      </c>
      <c r="G24" s="194">
        <f t="shared" si="4"/>
        <v>-1000000</v>
      </c>
      <c r="H24" s="194">
        <f t="shared" si="4"/>
        <v>-2040000</v>
      </c>
      <c r="I24" s="194">
        <f t="shared" si="4"/>
        <v>-2000000</v>
      </c>
      <c r="J24" s="194">
        <f t="shared" si="4"/>
        <v>-8250000</v>
      </c>
      <c r="K24" s="194">
        <f t="shared" si="4"/>
        <v>0</v>
      </c>
      <c r="L24" s="194">
        <f t="shared" si="4"/>
        <v>0</v>
      </c>
      <c r="M24" s="194">
        <f t="shared" si="4"/>
        <v>-15000000</v>
      </c>
      <c r="N24" s="194">
        <f t="shared" si="4"/>
        <v>0</v>
      </c>
      <c r="O24" s="50"/>
      <c r="P24" s="43"/>
      <c r="Q24" s="43"/>
      <c r="R24" s="43"/>
      <c r="S24" s="43"/>
      <c r="T24" s="43"/>
      <c r="U24" s="43"/>
      <c r="V24" s="43"/>
      <c r="W24" s="43"/>
    </row>
    <row r="25" spans="1:23">
      <c r="A25" s="72"/>
      <c r="B25" s="50"/>
      <c r="C25" s="50"/>
      <c r="D25" s="50"/>
      <c r="E25" s="50"/>
      <c r="F25" s="50"/>
      <c r="G25" s="50"/>
      <c r="H25" s="50"/>
      <c r="I25" s="50"/>
      <c r="J25" s="50"/>
      <c r="K25" s="50"/>
      <c r="L25" s="50"/>
      <c r="M25" s="50"/>
      <c r="N25" s="50"/>
      <c r="O25" s="50"/>
      <c r="P25" s="43"/>
      <c r="Q25" s="43"/>
      <c r="R25" s="43"/>
      <c r="S25" s="43"/>
      <c r="T25" s="43"/>
      <c r="U25" s="50"/>
      <c r="V25" s="50"/>
      <c r="W25" s="50"/>
    </row>
    <row r="26" spans="1:23">
      <c r="A26" s="101" t="s">
        <v>505</v>
      </c>
      <c r="B26" s="68">
        <v>0</v>
      </c>
      <c r="C26" s="50">
        <f t="shared" ref="C26:N26" si="5">+C18+C24</f>
        <v>-2500000</v>
      </c>
      <c r="D26" s="50">
        <f t="shared" si="5"/>
        <v>2500000</v>
      </c>
      <c r="E26" s="50">
        <f t="shared" si="5"/>
        <v>2500000</v>
      </c>
      <c r="F26" s="50">
        <f t="shared" si="5"/>
        <v>6137500</v>
      </c>
      <c r="G26" s="50">
        <f t="shared" si="5"/>
        <v>4640000</v>
      </c>
      <c r="H26" s="50">
        <f t="shared" si="5"/>
        <v>5260000</v>
      </c>
      <c r="I26" s="50">
        <f t="shared" si="5"/>
        <v>-2000000</v>
      </c>
      <c r="J26" s="50">
        <f t="shared" si="5"/>
        <v>-8250000</v>
      </c>
      <c r="K26" s="50">
        <f t="shared" si="5"/>
        <v>0</v>
      </c>
      <c r="L26" s="50">
        <f t="shared" si="5"/>
        <v>0</v>
      </c>
      <c r="M26" s="50">
        <f t="shared" si="5"/>
        <v>-15000000</v>
      </c>
      <c r="N26" s="50">
        <f t="shared" si="5"/>
        <v>0</v>
      </c>
      <c r="O26" s="50"/>
      <c r="P26" s="43"/>
      <c r="Q26" s="43"/>
      <c r="R26" s="43"/>
      <c r="S26" s="43"/>
      <c r="T26" s="43"/>
      <c r="U26" s="55"/>
      <c r="V26" s="55"/>
      <c r="W26" s="43"/>
    </row>
    <row r="27" spans="1:23">
      <c r="A27" s="72"/>
      <c r="B27" s="50"/>
      <c r="C27" s="50"/>
      <c r="D27" s="50"/>
      <c r="E27" s="50"/>
      <c r="F27" s="50"/>
      <c r="G27" s="50"/>
      <c r="H27" s="50"/>
      <c r="I27" s="50"/>
      <c r="J27" s="50"/>
      <c r="K27" s="50"/>
      <c r="L27" s="50"/>
      <c r="M27" s="50"/>
      <c r="N27" s="50"/>
      <c r="O27" s="50"/>
      <c r="P27" s="43"/>
      <c r="Q27" s="43"/>
      <c r="R27" s="43"/>
      <c r="S27" s="43"/>
      <c r="T27" s="43"/>
      <c r="U27" s="55"/>
      <c r="V27" s="55"/>
      <c r="W27" s="43"/>
    </row>
    <row r="28" spans="1:23" s="30" customFormat="1">
      <c r="A28" s="101" t="s">
        <v>561</v>
      </c>
      <c r="B28" s="68">
        <v>0</v>
      </c>
      <c r="C28" s="68">
        <v>0</v>
      </c>
      <c r="D28" s="68">
        <v>0</v>
      </c>
      <c r="E28" s="68">
        <v>0</v>
      </c>
      <c r="F28" s="68">
        <v>0</v>
      </c>
      <c r="G28" s="68">
        <v>0</v>
      </c>
      <c r="H28" s="68">
        <v>0</v>
      </c>
      <c r="I28" s="68">
        <v>0</v>
      </c>
      <c r="J28" s="68">
        <v>0</v>
      </c>
      <c r="K28" s="68">
        <v>500000</v>
      </c>
      <c r="L28" s="68">
        <v>500000</v>
      </c>
      <c r="M28" s="68">
        <v>500000</v>
      </c>
      <c r="N28" s="68">
        <v>500000</v>
      </c>
      <c r="O28" s="50"/>
      <c r="P28" s="62"/>
      <c r="Q28" s="43"/>
      <c r="R28" s="43"/>
      <c r="S28" s="43"/>
      <c r="T28" s="43"/>
      <c r="U28" s="43"/>
      <c r="V28" s="43"/>
      <c r="W28" s="43"/>
    </row>
    <row r="29" spans="1:23">
      <c r="A29" s="101" t="s">
        <v>562</v>
      </c>
      <c r="B29" s="141"/>
      <c r="C29" s="141"/>
      <c r="D29" s="141"/>
      <c r="E29" s="141"/>
      <c r="F29" s="141"/>
      <c r="G29" s="141"/>
      <c r="H29" s="141"/>
      <c r="I29" s="141"/>
      <c r="J29" s="141"/>
      <c r="K29" s="141"/>
      <c r="L29" s="141"/>
      <c r="M29" s="140">
        <v>-1500000</v>
      </c>
      <c r="N29" s="141"/>
      <c r="O29" s="50"/>
      <c r="P29" s="62"/>
      <c r="Q29" s="43"/>
      <c r="R29" s="43"/>
      <c r="S29" s="43"/>
      <c r="T29" s="43"/>
      <c r="U29" s="43"/>
      <c r="V29" s="43"/>
      <c r="W29" s="43"/>
    </row>
    <row r="30" spans="1:23">
      <c r="A30" s="101" t="s">
        <v>563</v>
      </c>
      <c r="B30" s="141"/>
      <c r="C30" s="141">
        <f t="shared" ref="C30:N30" si="6">B30+C28+C29</f>
        <v>0</v>
      </c>
      <c r="D30" s="291">
        <f t="shared" si="6"/>
        <v>0</v>
      </c>
      <c r="E30" s="291">
        <f t="shared" si="6"/>
        <v>0</v>
      </c>
      <c r="F30" s="291">
        <f t="shared" si="6"/>
        <v>0</v>
      </c>
      <c r="G30" s="291">
        <f t="shared" si="6"/>
        <v>0</v>
      </c>
      <c r="H30" s="291">
        <f t="shared" si="6"/>
        <v>0</v>
      </c>
      <c r="I30" s="291">
        <f t="shared" si="6"/>
        <v>0</v>
      </c>
      <c r="J30" s="291">
        <f t="shared" si="6"/>
        <v>0</v>
      </c>
      <c r="K30" s="291">
        <f t="shared" si="6"/>
        <v>500000</v>
      </c>
      <c r="L30" s="291">
        <f t="shared" si="6"/>
        <v>1000000</v>
      </c>
      <c r="M30" s="291">
        <f t="shared" si="6"/>
        <v>0</v>
      </c>
      <c r="N30" s="291">
        <f t="shared" si="6"/>
        <v>500000</v>
      </c>
      <c r="O30" s="50"/>
      <c r="P30" s="50"/>
      <c r="Q30" s="50"/>
      <c r="R30" s="50"/>
      <c r="S30" s="50"/>
      <c r="T30" s="50"/>
      <c r="U30" s="43"/>
      <c r="V30" s="43"/>
      <c r="W30" s="43"/>
    </row>
    <row r="31" spans="1:23">
      <c r="A31" s="72"/>
      <c r="B31" s="50"/>
      <c r="C31" s="50"/>
      <c r="D31" s="50"/>
      <c r="E31" s="50"/>
      <c r="F31" s="50"/>
      <c r="G31" s="50"/>
      <c r="H31" s="50"/>
      <c r="I31" s="50"/>
      <c r="J31" s="50"/>
      <c r="K31" s="50"/>
      <c r="L31" s="50"/>
      <c r="M31" s="50"/>
      <c r="N31" s="50"/>
      <c r="O31" s="50"/>
      <c r="P31" s="43"/>
      <c r="Q31" s="43"/>
      <c r="R31" s="43"/>
      <c r="S31" s="43"/>
      <c r="T31" s="43"/>
      <c r="U31" s="43"/>
      <c r="V31" s="43"/>
      <c r="W31" s="43"/>
    </row>
    <row r="32" spans="1:23" ht="14.65" customHeight="1" thickBot="1">
      <c r="A32" s="46" t="s">
        <v>630</v>
      </c>
      <c r="B32" s="50"/>
      <c r="C32" s="51"/>
      <c r="D32" s="327"/>
      <c r="E32" s="327"/>
      <c r="F32" s="327"/>
      <c r="G32" s="66"/>
      <c r="H32" s="50"/>
      <c r="I32" s="50"/>
      <c r="J32" s="50"/>
      <c r="K32" s="50"/>
      <c r="L32" s="50"/>
      <c r="M32" s="50"/>
      <c r="N32" s="50"/>
      <c r="O32" s="50"/>
      <c r="P32" s="50"/>
      <c r="Q32" s="50"/>
      <c r="R32" s="50"/>
      <c r="S32" s="50"/>
      <c r="T32" s="50"/>
      <c r="U32" s="50"/>
      <c r="V32" s="43"/>
      <c r="W32" s="43"/>
    </row>
    <row r="33" spans="1:23" ht="14.65" customHeight="1" thickBot="1">
      <c r="A33" s="56" t="s">
        <v>631</v>
      </c>
      <c r="B33" s="68">
        <v>5000000</v>
      </c>
      <c r="C33" s="50">
        <f t="shared" ref="C33:L33" si="7">+D33</f>
        <v>143000000</v>
      </c>
      <c r="D33" s="50">
        <f t="shared" si="7"/>
        <v>143000000</v>
      </c>
      <c r="E33" s="50">
        <f t="shared" si="7"/>
        <v>143000000</v>
      </c>
      <c r="F33" s="50">
        <f t="shared" si="7"/>
        <v>143000000</v>
      </c>
      <c r="G33" s="50">
        <f t="shared" si="7"/>
        <v>143000000</v>
      </c>
      <c r="H33" s="50">
        <f t="shared" si="7"/>
        <v>143000000</v>
      </c>
      <c r="I33" s="50">
        <f t="shared" si="7"/>
        <v>143000000</v>
      </c>
      <c r="J33" s="50">
        <f t="shared" si="7"/>
        <v>143000000</v>
      </c>
      <c r="K33" s="50">
        <f t="shared" si="7"/>
        <v>143000000</v>
      </c>
      <c r="L33" s="50">
        <f t="shared" si="7"/>
        <v>143000000</v>
      </c>
      <c r="M33" s="50">
        <f>143000000</f>
        <v>143000000</v>
      </c>
      <c r="N33" s="137">
        <f>M33*(1+Q33)</f>
        <v>150150000</v>
      </c>
      <c r="O33" s="43"/>
      <c r="P33" s="67" t="s">
        <v>568</v>
      </c>
      <c r="Q33" s="297">
        <v>0.05</v>
      </c>
      <c r="R33" s="50"/>
      <c r="S33" s="50"/>
      <c r="T33" s="50"/>
      <c r="U33" s="50"/>
      <c r="V33" s="43"/>
      <c r="W33" s="43"/>
    </row>
    <row r="34" spans="1:23" ht="14.65" customHeight="1" thickBot="1">
      <c r="A34" s="56" t="s">
        <v>632</v>
      </c>
      <c r="B34" s="50"/>
      <c r="C34" s="68">
        <v>0</v>
      </c>
      <c r="D34" s="68">
        <v>0</v>
      </c>
      <c r="E34" s="68">
        <v>0</v>
      </c>
      <c r="F34" s="68">
        <v>0</v>
      </c>
      <c r="G34" s="68">
        <v>0</v>
      </c>
      <c r="H34" s="68">
        <v>0</v>
      </c>
      <c r="I34" s="68">
        <v>0</v>
      </c>
      <c r="J34" s="68">
        <v>0</v>
      </c>
      <c r="K34" s="68">
        <v>0</v>
      </c>
      <c r="L34" s="68">
        <v>0</v>
      </c>
      <c r="M34" s="68">
        <v>0</v>
      </c>
      <c r="N34" s="68">
        <v>0</v>
      </c>
      <c r="O34" s="50"/>
      <c r="P34" s="67" t="s">
        <v>633</v>
      </c>
      <c r="Q34" s="312">
        <v>47209</v>
      </c>
      <c r="R34" s="50"/>
      <c r="S34" s="50"/>
      <c r="T34" s="50"/>
      <c r="U34" s="50"/>
      <c r="V34" s="43"/>
      <c r="W34" s="43"/>
    </row>
    <row r="35" spans="1:23">
      <c r="A35" s="56" t="s">
        <v>634</v>
      </c>
      <c r="B35" s="50"/>
      <c r="C35" s="68">
        <v>0</v>
      </c>
      <c r="D35" s="68">
        <v>0</v>
      </c>
      <c r="E35" s="68">
        <v>0</v>
      </c>
      <c r="F35" s="68">
        <v>0</v>
      </c>
      <c r="G35" s="68">
        <v>0</v>
      </c>
      <c r="H35" s="68">
        <v>0</v>
      </c>
      <c r="I35" s="68">
        <v>0</v>
      </c>
      <c r="J35" s="68">
        <v>0</v>
      </c>
      <c r="K35" s="68">
        <v>0</v>
      </c>
      <c r="L35" s="68">
        <v>0</v>
      </c>
      <c r="M35" s="68">
        <v>0</v>
      </c>
      <c r="N35" s="68">
        <v>0</v>
      </c>
      <c r="O35" s="50"/>
      <c r="P35" s="50"/>
      <c r="Q35" s="50"/>
      <c r="R35" s="50"/>
      <c r="S35" s="50"/>
      <c r="T35" s="50"/>
      <c r="U35" s="50"/>
      <c r="V35" s="43"/>
      <c r="W35" s="43"/>
    </row>
    <row r="36" spans="1:23">
      <c r="A36" s="56" t="s">
        <v>635</v>
      </c>
      <c r="B36" s="50"/>
      <c r="C36" s="50"/>
      <c r="D36" s="50"/>
      <c r="E36" s="50"/>
      <c r="F36" s="50"/>
      <c r="G36" s="50"/>
      <c r="H36" s="50"/>
      <c r="I36" s="50"/>
      <c r="J36" s="50"/>
      <c r="K36" s="50"/>
      <c r="L36" s="50"/>
      <c r="M36" s="50"/>
      <c r="N36" s="50"/>
      <c r="O36" s="50"/>
      <c r="P36" s="50"/>
      <c r="Q36" s="50"/>
      <c r="R36" s="50"/>
      <c r="S36" s="50"/>
      <c r="T36" s="50"/>
      <c r="U36" s="50"/>
      <c r="V36" s="43"/>
      <c r="W36" s="43"/>
    </row>
    <row r="37" spans="1:23">
      <c r="A37" s="56" t="s">
        <v>636</v>
      </c>
      <c r="B37" s="68">
        <v>0</v>
      </c>
      <c r="C37" s="50">
        <f t="shared" ref="C37:L37" si="8">+C78</f>
        <v>-66000000</v>
      </c>
      <c r="D37" s="50">
        <f t="shared" si="8"/>
        <v>-66000000</v>
      </c>
      <c r="E37" s="50">
        <f t="shared" si="8"/>
        <v>-66000000</v>
      </c>
      <c r="F37" s="50">
        <f t="shared" si="8"/>
        <v>-66000000</v>
      </c>
      <c r="G37" s="50">
        <f t="shared" si="8"/>
        <v>-66000000</v>
      </c>
      <c r="H37" s="50">
        <f t="shared" si="8"/>
        <v>-66000000</v>
      </c>
      <c r="I37" s="50">
        <f t="shared" si="8"/>
        <v>-66000000</v>
      </c>
      <c r="J37" s="50">
        <f t="shared" si="8"/>
        <v>-66000000</v>
      </c>
      <c r="K37" s="50">
        <f t="shared" si="8"/>
        <v>-64350000</v>
      </c>
      <c r="L37" s="50">
        <f t="shared" si="8"/>
        <v>-62452500</v>
      </c>
      <c r="M37" s="50">
        <f>+M78-M26</f>
        <v>-45270375</v>
      </c>
      <c r="N37" s="50">
        <f>+N78</f>
        <v>0</v>
      </c>
      <c r="O37" s="50"/>
      <c r="P37" s="50"/>
      <c r="Q37" s="59"/>
      <c r="R37" s="59"/>
      <c r="S37" s="59"/>
      <c r="T37" s="59"/>
      <c r="U37" s="59"/>
      <c r="V37" s="43"/>
      <c r="W37" s="43"/>
    </row>
    <row r="38" spans="1:23">
      <c r="A38" s="56" t="s">
        <v>637</v>
      </c>
      <c r="B38" s="50"/>
      <c r="C38" s="50"/>
      <c r="D38" s="50"/>
      <c r="E38" s="50"/>
      <c r="F38" s="50"/>
      <c r="G38" s="50"/>
      <c r="H38" s="50"/>
      <c r="I38" s="50"/>
      <c r="J38" s="50"/>
      <c r="K38" s="50"/>
      <c r="L38" s="50"/>
      <c r="M38" s="50"/>
      <c r="N38" s="50"/>
      <c r="O38" s="50"/>
      <c r="P38" s="50"/>
      <c r="Q38" s="59"/>
      <c r="R38" s="59"/>
      <c r="S38" s="59"/>
      <c r="T38" s="59"/>
      <c r="U38" s="59"/>
      <c r="V38" s="43"/>
      <c r="W38" s="43"/>
    </row>
    <row r="39" spans="1:23" s="2" customFormat="1">
      <c r="A39" s="46" t="s">
        <v>638</v>
      </c>
      <c r="B39" s="50"/>
      <c r="C39" s="50"/>
      <c r="D39" s="50"/>
      <c r="E39" s="50"/>
      <c r="F39" s="50"/>
      <c r="G39" s="50"/>
      <c r="H39" s="50"/>
      <c r="I39" s="50"/>
      <c r="J39" s="50"/>
      <c r="K39" s="50"/>
      <c r="L39" s="50"/>
      <c r="M39" s="50"/>
      <c r="N39" s="50"/>
      <c r="O39" s="50"/>
      <c r="P39" s="50"/>
      <c r="Q39" s="59"/>
      <c r="R39" s="321"/>
      <c r="S39" s="321"/>
      <c r="T39" s="321"/>
      <c r="U39" s="59"/>
      <c r="V39" s="43"/>
      <c r="W39" s="43"/>
    </row>
    <row r="40" spans="1:23" ht="14.65" customHeight="1" thickBot="1">
      <c r="A40" s="56" t="s">
        <v>639</v>
      </c>
      <c r="B40" s="68">
        <v>5000000</v>
      </c>
      <c r="C40" s="136">
        <f t="shared" ref="C40:N40" si="9">SUM(C33:C39)</f>
        <v>77000000</v>
      </c>
      <c r="D40" s="136">
        <f t="shared" si="9"/>
        <v>77000000</v>
      </c>
      <c r="E40" s="136">
        <f t="shared" si="9"/>
        <v>77000000</v>
      </c>
      <c r="F40" s="136">
        <f t="shared" si="9"/>
        <v>77000000</v>
      </c>
      <c r="G40" s="136">
        <f t="shared" si="9"/>
        <v>77000000</v>
      </c>
      <c r="H40" s="136">
        <f t="shared" si="9"/>
        <v>77000000</v>
      </c>
      <c r="I40" s="136">
        <f t="shared" si="9"/>
        <v>77000000</v>
      </c>
      <c r="J40" s="136">
        <f t="shared" si="9"/>
        <v>77000000</v>
      </c>
      <c r="K40" s="136">
        <f t="shared" si="9"/>
        <v>78650000</v>
      </c>
      <c r="L40" s="136">
        <f t="shared" si="9"/>
        <v>80547500</v>
      </c>
      <c r="M40" s="136">
        <f t="shared" si="9"/>
        <v>97729625</v>
      </c>
      <c r="N40" s="136">
        <f t="shared" si="9"/>
        <v>150150000</v>
      </c>
      <c r="O40" s="50"/>
      <c r="P40" s="50"/>
      <c r="Q40" s="321"/>
      <c r="R40" s="321"/>
      <c r="S40" s="321"/>
      <c r="T40" s="321"/>
      <c r="U40" s="59"/>
      <c r="V40" s="43"/>
      <c r="W40" s="43"/>
    </row>
    <row r="41" spans="1:23" ht="14.65" customHeight="1" thickTop="1">
      <c r="A41" s="292"/>
      <c r="B41" s="50"/>
      <c r="C41" s="50"/>
      <c r="D41" s="50"/>
      <c r="E41" s="50"/>
      <c r="F41" s="50"/>
      <c r="G41" s="50"/>
      <c r="H41" s="50"/>
      <c r="I41" s="50"/>
      <c r="J41" s="50"/>
      <c r="K41" s="51"/>
      <c r="L41" s="51"/>
      <c r="M41" s="50"/>
      <c r="N41" s="50"/>
      <c r="O41" s="50"/>
      <c r="P41" s="50"/>
      <c r="Q41" s="50"/>
      <c r="R41" s="50"/>
      <c r="S41" s="50"/>
      <c r="T41" s="50"/>
      <c r="U41" s="43"/>
      <c r="V41" s="43"/>
      <c r="W41" s="43"/>
    </row>
    <row r="42" spans="1:23">
      <c r="A42" s="56" t="s">
        <v>640</v>
      </c>
      <c r="B42" s="50"/>
      <c r="C42" s="50"/>
      <c r="D42" s="50"/>
      <c r="E42" s="50"/>
      <c r="F42" s="50"/>
      <c r="G42" s="50"/>
      <c r="H42" s="50"/>
      <c r="I42" s="50"/>
      <c r="J42" s="50"/>
      <c r="K42" s="283"/>
      <c r="L42" s="283"/>
      <c r="M42" s="50"/>
      <c r="N42" s="50"/>
      <c r="O42" s="50"/>
      <c r="P42" s="50"/>
      <c r="Q42" s="50"/>
      <c r="R42" s="50"/>
      <c r="S42" s="50"/>
      <c r="T42" s="50"/>
      <c r="U42" s="43"/>
      <c r="V42" s="43"/>
      <c r="W42" s="43"/>
    </row>
    <row r="43" spans="1:23">
      <c r="A43" s="56" t="s">
        <v>641</v>
      </c>
      <c r="B43" s="297">
        <v>0</v>
      </c>
      <c r="C43" s="142">
        <v>0.45</v>
      </c>
      <c r="D43" s="142">
        <v>0.45</v>
      </c>
      <c r="E43" s="142">
        <v>0.45</v>
      </c>
      <c r="F43" s="142">
        <v>0.45</v>
      </c>
      <c r="G43" s="142">
        <v>0.4</v>
      </c>
      <c r="H43" s="142">
        <v>0.4</v>
      </c>
      <c r="I43" s="142">
        <v>0.4</v>
      </c>
      <c r="J43" s="142">
        <v>0.4</v>
      </c>
      <c r="K43" s="142">
        <v>0.3</v>
      </c>
      <c r="L43" s="142">
        <v>0.2</v>
      </c>
      <c r="M43" s="142">
        <v>0</v>
      </c>
      <c r="N43" s="142">
        <v>0</v>
      </c>
      <c r="O43" s="50"/>
      <c r="P43" s="50"/>
      <c r="Q43" s="50"/>
      <c r="R43" s="50"/>
      <c r="S43" s="50"/>
      <c r="T43" s="50"/>
      <c r="U43" s="43"/>
      <c r="V43" s="43"/>
      <c r="W43" s="43"/>
    </row>
    <row r="44" spans="1:23">
      <c r="A44" s="56" t="s">
        <v>642</v>
      </c>
      <c r="B44" s="328">
        <v>4.2520547945205482</v>
      </c>
      <c r="C44" s="311">
        <f t="shared" ref="C44:N44" si="10">MAX(($Q$34-C1)/365,0)</f>
        <v>4.0054794520547947</v>
      </c>
      <c r="D44" s="311">
        <f t="shared" si="10"/>
        <v>3.7561643835616438</v>
      </c>
      <c r="E44" s="311">
        <f t="shared" si="10"/>
        <v>3.504109589041096</v>
      </c>
      <c r="F44" s="311">
        <f t="shared" si="10"/>
        <v>3.2520547945205478</v>
      </c>
      <c r="G44" s="311">
        <f t="shared" si="10"/>
        <v>3.0054794520547947</v>
      </c>
      <c r="H44" s="311">
        <f t="shared" si="10"/>
        <v>2.7561643835616438</v>
      </c>
      <c r="I44" s="311">
        <f t="shared" si="10"/>
        <v>2.504109589041096</v>
      </c>
      <c r="J44" s="311">
        <f t="shared" si="10"/>
        <v>2.2520547945205478</v>
      </c>
      <c r="K44" s="329">
        <f t="shared" si="10"/>
        <v>1.252054794520548</v>
      </c>
      <c r="L44" s="329">
        <f t="shared" si="10"/>
        <v>0.24931506849315069</v>
      </c>
      <c r="M44" s="137">
        <f t="shared" si="10"/>
        <v>0</v>
      </c>
      <c r="N44" s="137">
        <f t="shared" si="10"/>
        <v>0</v>
      </c>
      <c r="O44" s="50"/>
      <c r="P44" s="50"/>
      <c r="Q44" s="50"/>
      <c r="R44" s="50"/>
      <c r="S44" s="50"/>
      <c r="T44" s="50"/>
      <c r="U44" s="43"/>
      <c r="V44" s="43"/>
      <c r="W44" s="43"/>
    </row>
    <row r="45" spans="1:23">
      <c r="A45" s="294" t="s">
        <v>235</v>
      </c>
      <c r="B45" s="68">
        <v>5000000</v>
      </c>
      <c r="C45" s="137">
        <f t="shared" ref="C45:N45" si="11">+C40/(1+C43)^C44</f>
        <v>17383391.370336019</v>
      </c>
      <c r="D45" s="137">
        <f t="shared" si="11"/>
        <v>19070671.377654947</v>
      </c>
      <c r="E45" s="137">
        <f t="shared" si="11"/>
        <v>20943032.234737165</v>
      </c>
      <c r="F45" s="137">
        <f t="shared" si="11"/>
        <v>22999221.710629381</v>
      </c>
      <c r="G45" s="137">
        <f t="shared" si="11"/>
        <v>28009536.136664666</v>
      </c>
      <c r="H45" s="137">
        <f t="shared" si="11"/>
        <v>30460556.806394603</v>
      </c>
      <c r="I45" s="137">
        <f t="shared" si="11"/>
        <v>33156609.146139551</v>
      </c>
      <c r="J45" s="137">
        <f t="shared" si="11"/>
        <v>36091288.056792036</v>
      </c>
      <c r="K45" s="137">
        <f t="shared" si="11"/>
        <v>56628545.428496853</v>
      </c>
      <c r="L45" s="137">
        <f t="shared" si="11"/>
        <v>76968139.315230623</v>
      </c>
      <c r="M45" s="137">
        <f t="shared" si="11"/>
        <v>97729625</v>
      </c>
      <c r="N45" s="137">
        <f t="shared" si="11"/>
        <v>150150000</v>
      </c>
      <c r="O45" s="50"/>
      <c r="P45" s="50"/>
      <c r="Q45" s="50"/>
      <c r="R45" s="50"/>
      <c r="S45" s="50"/>
      <c r="T45" s="50"/>
      <c r="U45" s="43"/>
      <c r="V45" s="43"/>
      <c r="W45" s="43"/>
    </row>
    <row r="46" spans="1:23">
      <c r="A46" s="292"/>
      <c r="B46" s="50"/>
      <c r="C46" s="50"/>
      <c r="D46" s="50"/>
      <c r="E46" s="50"/>
      <c r="F46" s="50"/>
      <c r="G46" s="50"/>
      <c r="H46" s="50"/>
      <c r="I46" s="50"/>
      <c r="J46" s="50"/>
      <c r="K46" s="50"/>
      <c r="L46" s="50"/>
      <c r="M46" s="50"/>
      <c r="N46" s="50"/>
      <c r="O46" s="50"/>
      <c r="P46" s="50"/>
      <c r="Q46" s="50"/>
      <c r="R46" s="50"/>
      <c r="S46" s="50"/>
      <c r="T46" s="50"/>
      <c r="U46" s="43"/>
      <c r="V46" s="43"/>
      <c r="W46" s="43"/>
    </row>
    <row r="47" spans="1:23">
      <c r="A47" s="56" t="s">
        <v>577</v>
      </c>
      <c r="B47" s="50"/>
      <c r="C47" s="50"/>
      <c r="D47" s="50"/>
      <c r="E47" s="50"/>
      <c r="F47" s="50"/>
      <c r="G47" s="50"/>
      <c r="H47" s="50"/>
      <c r="I47" s="50"/>
      <c r="J47" s="50"/>
      <c r="K47" s="50"/>
      <c r="L47" s="50"/>
      <c r="M47" s="50"/>
      <c r="N47" s="282">
        <f>-N48/N45</f>
        <v>0.30150099900099903</v>
      </c>
      <c r="O47" s="67" t="s">
        <v>643</v>
      </c>
      <c r="P47" s="50"/>
      <c r="Q47" s="50"/>
      <c r="R47" s="50"/>
      <c r="S47" s="50"/>
      <c r="T47" s="50"/>
      <c r="U47" s="64"/>
      <c r="V47" s="43"/>
      <c r="W47" s="43"/>
    </row>
    <row r="48" spans="1:23">
      <c r="A48" s="56" t="s">
        <v>644</v>
      </c>
      <c r="B48" s="50"/>
      <c r="C48" s="50"/>
      <c r="D48" s="50"/>
      <c r="E48" s="50"/>
      <c r="F48" s="50"/>
      <c r="G48" s="50"/>
      <c r="H48" s="50"/>
      <c r="I48" s="50"/>
      <c r="J48" s="50"/>
      <c r="K48" s="50"/>
      <c r="L48" s="50"/>
      <c r="M48" s="50"/>
      <c r="N48" s="50">
        <f>+M37</f>
        <v>-45270375</v>
      </c>
      <c r="O48" s="282"/>
      <c r="P48" s="50"/>
      <c r="Q48" s="50"/>
      <c r="R48" s="50"/>
      <c r="S48" s="50"/>
      <c r="T48" s="50"/>
      <c r="U48" s="64"/>
      <c r="V48" s="43"/>
      <c r="W48" s="43"/>
    </row>
    <row r="49" spans="1:23">
      <c r="A49" s="56" t="s">
        <v>645</v>
      </c>
      <c r="B49" s="50"/>
      <c r="C49" s="50"/>
      <c r="D49" s="50"/>
      <c r="E49" s="50"/>
      <c r="F49" s="50"/>
      <c r="G49" s="50"/>
      <c r="H49" s="50"/>
      <c r="I49" s="50"/>
      <c r="J49" s="50"/>
      <c r="K49" s="50"/>
      <c r="L49" s="50"/>
      <c r="M49" s="50"/>
      <c r="N49" s="50"/>
      <c r="O49" s="282"/>
      <c r="P49" s="50"/>
      <c r="Q49" s="50"/>
      <c r="R49" s="50"/>
      <c r="S49" s="50"/>
      <c r="T49" s="50"/>
      <c r="U49" s="64"/>
      <c r="V49" s="43"/>
      <c r="W49" s="43"/>
    </row>
    <row r="50" spans="1:23">
      <c r="A50" s="56" t="s">
        <v>646</v>
      </c>
      <c r="B50" s="287"/>
      <c r="C50" s="287"/>
      <c r="D50" s="287"/>
      <c r="E50" s="287"/>
      <c r="F50" s="287"/>
      <c r="G50" s="287"/>
      <c r="H50" s="287"/>
      <c r="I50" s="287"/>
      <c r="J50" s="287"/>
      <c r="K50" s="287"/>
      <c r="L50" s="287"/>
      <c r="M50" s="287"/>
      <c r="N50" s="287"/>
      <c r="O50" s="287"/>
      <c r="P50" s="43"/>
      <c r="Q50" s="43"/>
      <c r="R50" s="43"/>
      <c r="S50" s="43"/>
      <c r="T50" s="43"/>
      <c r="U50" s="43"/>
      <c r="V50" s="43"/>
      <c r="W50" s="43"/>
    </row>
    <row r="51" spans="1:23" s="2" customFormat="1">
      <c r="A51" s="330" t="s">
        <v>587</v>
      </c>
      <c r="B51" s="290">
        <v>0</v>
      </c>
      <c r="C51" s="286">
        <f t="shared" ref="C51:N51" si="12">SUM(C48:C50)</f>
        <v>0</v>
      </c>
      <c r="D51" s="286">
        <f t="shared" si="12"/>
        <v>0</v>
      </c>
      <c r="E51" s="286">
        <f t="shared" si="12"/>
        <v>0</v>
      </c>
      <c r="F51" s="286">
        <f t="shared" si="12"/>
        <v>0</v>
      </c>
      <c r="G51" s="286">
        <f t="shared" si="12"/>
        <v>0</v>
      </c>
      <c r="H51" s="286">
        <f t="shared" si="12"/>
        <v>0</v>
      </c>
      <c r="I51" s="286">
        <f t="shared" si="12"/>
        <v>0</v>
      </c>
      <c r="J51" s="286">
        <f t="shared" si="12"/>
        <v>0</v>
      </c>
      <c r="K51" s="286">
        <f t="shared" si="12"/>
        <v>0</v>
      </c>
      <c r="L51" s="286">
        <f t="shared" si="12"/>
        <v>0</v>
      </c>
      <c r="M51" s="286">
        <f t="shared" si="12"/>
        <v>0</v>
      </c>
      <c r="N51" s="286">
        <f t="shared" si="12"/>
        <v>-45270375</v>
      </c>
      <c r="O51" s="287"/>
      <c r="P51" s="43"/>
      <c r="Q51" s="43"/>
      <c r="R51" s="43"/>
      <c r="S51" s="43"/>
      <c r="T51" s="43"/>
      <c r="U51" s="43"/>
      <c r="V51" s="43"/>
      <c r="W51" s="43"/>
    </row>
    <row r="52" spans="1:23" s="2" customFormat="1">
      <c r="A52" s="72"/>
      <c r="B52" s="287"/>
      <c r="C52" s="287"/>
      <c r="D52" s="287"/>
      <c r="E52" s="287"/>
      <c r="F52" s="287"/>
      <c r="G52" s="287"/>
      <c r="H52" s="287"/>
      <c r="I52" s="287"/>
      <c r="J52" s="287"/>
      <c r="K52" s="287"/>
      <c r="L52" s="287"/>
      <c r="M52" s="287"/>
      <c r="N52" s="287"/>
      <c r="O52" s="287"/>
      <c r="P52" s="43"/>
      <c r="Q52" s="43"/>
      <c r="R52" s="43"/>
      <c r="S52" s="43"/>
      <c r="T52" s="43"/>
      <c r="U52" s="43"/>
      <c r="V52" s="43"/>
      <c r="W52" s="43"/>
    </row>
    <row r="53" spans="1:23" s="2" customFormat="1">
      <c r="A53" s="46" t="s">
        <v>647</v>
      </c>
      <c r="B53" s="140">
        <v>5000000</v>
      </c>
      <c r="C53" s="141">
        <f t="shared" ref="C53:N53" si="13">+C45+C51</f>
        <v>17383391.370336019</v>
      </c>
      <c r="D53" s="141">
        <f t="shared" si="13"/>
        <v>19070671.377654947</v>
      </c>
      <c r="E53" s="141">
        <f t="shared" si="13"/>
        <v>20943032.234737165</v>
      </c>
      <c r="F53" s="141">
        <f t="shared" si="13"/>
        <v>22999221.710629381</v>
      </c>
      <c r="G53" s="141">
        <f t="shared" si="13"/>
        <v>28009536.136664666</v>
      </c>
      <c r="H53" s="141">
        <f t="shared" si="13"/>
        <v>30460556.806394603</v>
      </c>
      <c r="I53" s="141">
        <f t="shared" si="13"/>
        <v>33156609.146139551</v>
      </c>
      <c r="J53" s="141">
        <f t="shared" si="13"/>
        <v>36091288.056792036</v>
      </c>
      <c r="K53" s="141">
        <f t="shared" si="13"/>
        <v>56628545.428496853</v>
      </c>
      <c r="L53" s="141">
        <f t="shared" si="13"/>
        <v>76968139.315230623</v>
      </c>
      <c r="M53" s="141">
        <f t="shared" si="13"/>
        <v>97729625</v>
      </c>
      <c r="N53" s="141">
        <f t="shared" si="13"/>
        <v>104879625</v>
      </c>
      <c r="O53" s="50"/>
      <c r="P53" s="43"/>
      <c r="Q53" s="43"/>
      <c r="R53" s="43"/>
      <c r="S53" s="43"/>
      <c r="T53" s="43"/>
      <c r="U53" s="43"/>
      <c r="V53" s="43"/>
      <c r="W53" s="43"/>
    </row>
    <row r="54" spans="1:23">
      <c r="A54" s="43"/>
      <c r="B54" s="61"/>
      <c r="C54" s="61"/>
      <c r="D54" s="61"/>
      <c r="E54" s="61"/>
      <c r="F54" s="61"/>
      <c r="G54" s="61"/>
      <c r="H54" s="61"/>
      <c r="I54" s="61"/>
      <c r="J54" s="61"/>
      <c r="K54" s="61"/>
      <c r="L54" s="61"/>
      <c r="M54" s="61"/>
      <c r="N54" s="61"/>
      <c r="O54" s="61"/>
      <c r="P54" s="43"/>
      <c r="Q54" s="43"/>
      <c r="R54" s="43"/>
      <c r="S54" s="43"/>
      <c r="T54" s="43"/>
      <c r="U54" s="43"/>
      <c r="V54" s="43"/>
      <c r="W54" s="43"/>
    </row>
    <row r="55" spans="1:23">
      <c r="A55" s="46" t="s">
        <v>648</v>
      </c>
      <c r="B55" s="331">
        <v>1</v>
      </c>
      <c r="C55" s="331">
        <v>1</v>
      </c>
      <c r="D55" s="331">
        <v>1</v>
      </c>
      <c r="E55" s="331">
        <v>1</v>
      </c>
      <c r="F55" s="331">
        <v>1</v>
      </c>
      <c r="G55" s="331">
        <v>1</v>
      </c>
      <c r="H55" s="331">
        <v>1</v>
      </c>
      <c r="I55" s="331">
        <v>1</v>
      </c>
      <c r="J55" s="331">
        <v>1</v>
      </c>
      <c r="K55" s="331">
        <v>1</v>
      </c>
      <c r="L55" s="331">
        <v>1</v>
      </c>
      <c r="M55" s="331">
        <v>1</v>
      </c>
      <c r="N55" s="331">
        <v>1</v>
      </c>
      <c r="O55" s="332"/>
      <c r="P55" s="43"/>
      <c r="Q55" s="43"/>
      <c r="R55" s="43"/>
      <c r="S55" s="43"/>
      <c r="T55" s="43"/>
      <c r="U55" s="43"/>
      <c r="V55" s="43"/>
      <c r="W55" s="43"/>
    </row>
    <row r="56" spans="1:23">
      <c r="A56" s="101" t="s">
        <v>649</v>
      </c>
      <c r="B56" s="68">
        <v>5000000</v>
      </c>
      <c r="C56" s="136">
        <f t="shared" ref="C56:N56" si="14">SUM(C53:C53)*C55</f>
        <v>17383391.370336019</v>
      </c>
      <c r="D56" s="136">
        <f t="shared" si="14"/>
        <v>19070671.377654947</v>
      </c>
      <c r="E56" s="136">
        <f t="shared" si="14"/>
        <v>20943032.234737165</v>
      </c>
      <c r="F56" s="136">
        <f t="shared" si="14"/>
        <v>22999221.710629381</v>
      </c>
      <c r="G56" s="136">
        <f t="shared" si="14"/>
        <v>28009536.136664666</v>
      </c>
      <c r="H56" s="136">
        <f t="shared" si="14"/>
        <v>30460556.806394603</v>
      </c>
      <c r="I56" s="136">
        <f t="shared" si="14"/>
        <v>33156609.146139551</v>
      </c>
      <c r="J56" s="136">
        <f t="shared" si="14"/>
        <v>36091288.056792036</v>
      </c>
      <c r="K56" s="136">
        <f t="shared" si="14"/>
        <v>56628545.428496853</v>
      </c>
      <c r="L56" s="136">
        <f t="shared" si="14"/>
        <v>76968139.315230623</v>
      </c>
      <c r="M56" s="136">
        <f t="shared" si="14"/>
        <v>97729625</v>
      </c>
      <c r="N56" s="136">
        <f t="shared" si="14"/>
        <v>104879625</v>
      </c>
      <c r="O56" s="50"/>
      <c r="P56" s="43"/>
      <c r="Q56" s="43"/>
      <c r="R56" s="43"/>
      <c r="S56" s="43"/>
      <c r="T56" s="43"/>
      <c r="U56" s="43"/>
      <c r="V56" s="43"/>
      <c r="W56" s="43"/>
    </row>
    <row r="57" spans="1:23">
      <c r="A57" s="43"/>
      <c r="B57" s="50"/>
      <c r="C57" s="50"/>
      <c r="D57" s="50"/>
      <c r="E57" s="50"/>
      <c r="F57" s="50"/>
      <c r="G57" s="50"/>
      <c r="H57" s="50"/>
      <c r="I57" s="50"/>
      <c r="J57" s="50"/>
      <c r="K57" s="50"/>
      <c r="L57" s="50"/>
      <c r="M57" s="50"/>
      <c r="N57" s="50"/>
      <c r="O57" s="50"/>
      <c r="P57" s="43"/>
      <c r="Q57" s="43"/>
      <c r="R57" s="43"/>
      <c r="S57" s="43"/>
      <c r="T57" s="43"/>
      <c r="U57" s="43"/>
      <c r="V57" s="43"/>
      <c r="W57" s="43"/>
    </row>
    <row r="58" spans="1:23">
      <c r="A58" s="46" t="s">
        <v>650</v>
      </c>
      <c r="B58" s="50"/>
      <c r="C58" s="50"/>
      <c r="D58" s="50"/>
      <c r="E58" s="50"/>
      <c r="F58" s="50"/>
      <c r="G58" s="50"/>
      <c r="H58" s="50"/>
      <c r="I58" s="50"/>
      <c r="J58" s="50"/>
      <c r="K58" s="50"/>
      <c r="L58" s="50"/>
      <c r="M58" s="50"/>
      <c r="N58" s="50"/>
      <c r="O58" s="50"/>
      <c r="P58" s="43"/>
      <c r="Q58" s="43"/>
      <c r="R58" s="43"/>
      <c r="S58" s="43"/>
      <c r="T58" s="43"/>
      <c r="U58" s="43"/>
      <c r="V58" s="43"/>
      <c r="W58" s="43"/>
    </row>
    <row r="59" spans="1:23">
      <c r="A59" s="46" t="s">
        <v>651</v>
      </c>
      <c r="B59" s="50"/>
      <c r="C59" s="50"/>
      <c r="D59" s="50"/>
      <c r="E59" s="50"/>
      <c r="F59" s="50"/>
      <c r="G59" s="50"/>
      <c r="H59" s="50"/>
      <c r="I59" s="50"/>
      <c r="J59" s="50"/>
      <c r="K59" s="50"/>
      <c r="L59" s="50"/>
      <c r="M59" s="50"/>
      <c r="N59" s="50"/>
      <c r="O59" s="50"/>
      <c r="P59" s="43"/>
      <c r="Q59" s="43"/>
      <c r="R59" s="43"/>
      <c r="S59" s="43"/>
      <c r="T59" s="43"/>
      <c r="U59" s="43"/>
      <c r="V59" s="43"/>
      <c r="W59" s="43"/>
    </row>
    <row r="60" spans="1:23">
      <c r="A60" s="46" t="s">
        <v>652</v>
      </c>
      <c r="B60" s="68">
        <v>5000000</v>
      </c>
      <c r="C60" s="68">
        <v>20045874.830367371</v>
      </c>
      <c r="D60" s="68">
        <v>21192692.698817451</v>
      </c>
      <c r="E60" s="68">
        <v>22418821.245092958</v>
      </c>
      <c r="F60" s="68">
        <v>23715888.922764249</v>
      </c>
      <c r="G60" s="68">
        <v>25057343.537959211</v>
      </c>
      <c r="H60" s="68">
        <v>26490865.873521809</v>
      </c>
      <c r="I60" s="68">
        <v>28023526.556366201</v>
      </c>
      <c r="J60" s="68">
        <v>29644861.153455321</v>
      </c>
      <c r="K60" s="68">
        <v>43597608.303487219</v>
      </c>
      <c r="L60" s="68">
        <v>62946359.588760987</v>
      </c>
      <c r="M60" s="68">
        <v>75729625</v>
      </c>
      <c r="N60" s="68">
        <v>82729625</v>
      </c>
      <c r="O60" s="50"/>
      <c r="P60" s="43"/>
      <c r="Q60" s="43"/>
      <c r="R60" s="43"/>
      <c r="S60" s="43"/>
      <c r="T60" s="43"/>
      <c r="U60" s="43"/>
      <c r="V60" s="43"/>
      <c r="W60" s="43"/>
    </row>
    <row r="61" spans="1:23" ht="14.65" customHeight="1" thickBot="1">
      <c r="A61" s="101" t="s">
        <v>652</v>
      </c>
      <c r="B61" s="68">
        <v>5000000</v>
      </c>
      <c r="C61" s="50">
        <f t="shared" ref="C61:N61" si="15">+C56</f>
        <v>17383391.370336019</v>
      </c>
      <c r="D61" s="50">
        <f t="shared" si="15"/>
        <v>19070671.377654947</v>
      </c>
      <c r="E61" s="50">
        <f t="shared" si="15"/>
        <v>20943032.234737165</v>
      </c>
      <c r="F61" s="50">
        <f t="shared" si="15"/>
        <v>22999221.710629381</v>
      </c>
      <c r="G61" s="50">
        <f t="shared" si="15"/>
        <v>28009536.136664666</v>
      </c>
      <c r="H61" s="50">
        <f t="shared" si="15"/>
        <v>30460556.806394603</v>
      </c>
      <c r="I61" s="50">
        <f t="shared" si="15"/>
        <v>33156609.146139551</v>
      </c>
      <c r="J61" s="50">
        <f t="shared" si="15"/>
        <v>36091288.056792036</v>
      </c>
      <c r="K61" s="50">
        <f t="shared" si="15"/>
        <v>56628545.428496853</v>
      </c>
      <c r="L61" s="50">
        <f t="shared" si="15"/>
        <v>76968139.315230623</v>
      </c>
      <c r="M61" s="50">
        <f t="shared" si="15"/>
        <v>97729625</v>
      </c>
      <c r="N61" s="50">
        <f t="shared" si="15"/>
        <v>104879625</v>
      </c>
      <c r="O61" s="50"/>
      <c r="P61" s="43"/>
      <c r="Q61" s="43"/>
      <c r="R61" s="43"/>
      <c r="S61" s="43"/>
      <c r="T61" s="43"/>
      <c r="U61" s="43"/>
      <c r="V61" s="43"/>
      <c r="W61" s="43"/>
    </row>
    <row r="62" spans="1:23">
      <c r="A62" s="46" t="s">
        <v>591</v>
      </c>
      <c r="B62" s="50"/>
      <c r="C62" s="50"/>
      <c r="D62" s="50"/>
      <c r="E62" s="50"/>
      <c r="F62" s="50"/>
      <c r="G62" s="50"/>
      <c r="H62" s="50"/>
      <c r="I62" s="50"/>
      <c r="J62" s="299">
        <f>((J61+SUM($G$26:J26))/$G$61)^(365/(J1-$G$1))-1</f>
        <v>0.38200869612892752</v>
      </c>
      <c r="K62" s="299">
        <f>((K61+K26)/J61)^(365/(K1-J1))-1</f>
        <v>0.56903642062838222</v>
      </c>
      <c r="L62" s="299">
        <f>((L61+L26)/K61)^(365/(L1-K1))-1</f>
        <v>0.35803649295381201</v>
      </c>
      <c r="M62" s="299">
        <f>((M61+M26)/L61)^(365/(M1-L1))-1</f>
        <v>7.4855462741182377E-2</v>
      </c>
      <c r="N62" s="299">
        <f>((N61+N26)/M61)^(365/(N1-M1))-1</f>
        <v>7.3161029728703086E-2</v>
      </c>
      <c r="O62" s="50"/>
      <c r="P62" s="43"/>
      <c r="Q62" s="43"/>
      <c r="R62" s="43"/>
      <c r="S62" s="43"/>
      <c r="T62" s="43"/>
      <c r="U62" s="43"/>
      <c r="V62" s="43"/>
      <c r="W62" s="43"/>
    </row>
    <row r="63" spans="1:23">
      <c r="A63" s="300" t="s">
        <v>592</v>
      </c>
      <c r="B63" s="50"/>
      <c r="C63" s="50"/>
      <c r="D63" s="50"/>
      <c r="E63" s="50"/>
      <c r="F63" s="50"/>
      <c r="G63" s="50"/>
      <c r="H63" s="50"/>
      <c r="I63" s="50"/>
      <c r="J63" s="302">
        <f>XIRR(CHOOSE({1,2,3,4,5},-$G$61,$G$26,$H$26,$I$26,J26+J61),CHOOSE({1,2,3,4,5},$G$1,$G$1,$H$1,$I$1,J1))</f>
        <v>0.52550312876701344</v>
      </c>
      <c r="K63" s="302">
        <f>XIRR(CHOOSE({1,2,3,4,5,6},-$G$61,$G$26,$H$26,$I$26,$J$26,$K$26+K61),CHOOSE({1,2,3,4,5,6},$G$1,$G$1,$H$1,$I$1,$J$1,K1))</f>
        <v>0.55263251662254342</v>
      </c>
      <c r="L63" s="302">
        <f>XIRR(CHOOSE({1,2,3,4,5,6,7},-$G$61,$G$26,$H$26,$I$26,$J$26,$K$26,L26+L61),CHOOSE({1,2,3,4,5,6,7},$G$1,$G$1,$H$1,$I$1,$J$1,$K$1,L1))</f>
        <v>0.47439584136009216</v>
      </c>
      <c r="M63" s="302">
        <f>XIRR(CHOOSE({1,2,3,4,5,6,7,8},-$G$61,$G$26,$H$26,$I$26,$J$26,$K$26,$L$26,M26+M61),CHOOSE({1,2,3,4,5,6,7,8},$G$1,$G$1,$H$1,$I$1,$J$1,$K$1,$L$1,M1))</f>
        <v>0.35011807084083557</v>
      </c>
      <c r="N63" s="302">
        <f>XIRR(CHOOSE({1,2,3,4,5,6,7,8,9},-$G$61,$G$26,$H$26,$I$26,$J$26,$K$26,$L$26,$M$26,N26+N61),CHOOSE({1,2,3,4,5,6,7,8,9},$G$1,$G$1,$H$1,$I$1,$J$1,$K$1,$L$1,$M$1,N1))</f>
        <v>0.27445957064628601</v>
      </c>
      <c r="O63" s="50"/>
      <c r="P63" s="43"/>
      <c r="Q63" s="43"/>
      <c r="R63" s="43"/>
      <c r="S63" s="43"/>
      <c r="T63" s="43"/>
      <c r="U63" s="43"/>
      <c r="V63" s="43"/>
      <c r="W63" s="43"/>
    </row>
    <row r="64" spans="1:23">
      <c r="A64" s="43"/>
      <c r="B64" s="43"/>
      <c r="C64" s="43"/>
      <c r="D64" s="43"/>
      <c r="E64" s="43"/>
      <c r="F64" s="43"/>
      <c r="G64" s="43"/>
      <c r="H64" s="50"/>
      <c r="I64" s="50"/>
      <c r="J64" s="50"/>
      <c r="K64" s="50"/>
      <c r="L64" s="50"/>
      <c r="M64" s="50"/>
      <c r="N64" s="50"/>
      <c r="O64" s="50"/>
      <c r="P64" s="43"/>
      <c r="Q64" s="43"/>
      <c r="R64" s="43"/>
      <c r="S64" s="43"/>
      <c r="T64" s="43"/>
      <c r="U64" s="43"/>
      <c r="V64" s="43"/>
      <c r="W64" s="43"/>
    </row>
    <row r="65" spans="1:23" ht="15.65" customHeight="1">
      <c r="A65" s="43"/>
      <c r="B65" s="333">
        <v>45657</v>
      </c>
      <c r="C65" s="334">
        <f t="shared" ref="C65:N65" si="16">+C1</f>
        <v>45747</v>
      </c>
      <c r="D65" s="334">
        <f t="shared" si="16"/>
        <v>45838</v>
      </c>
      <c r="E65" s="334">
        <f t="shared" si="16"/>
        <v>45930</v>
      </c>
      <c r="F65" s="334">
        <f t="shared" si="16"/>
        <v>46022</v>
      </c>
      <c r="G65" s="334">
        <f t="shared" si="16"/>
        <v>46112</v>
      </c>
      <c r="H65" s="334">
        <f t="shared" si="16"/>
        <v>46203</v>
      </c>
      <c r="I65" s="334">
        <f t="shared" si="16"/>
        <v>46295</v>
      </c>
      <c r="J65" s="334">
        <f t="shared" si="16"/>
        <v>46387</v>
      </c>
      <c r="K65" s="334">
        <f t="shared" si="16"/>
        <v>46752</v>
      </c>
      <c r="L65" s="334">
        <f t="shared" si="16"/>
        <v>47118</v>
      </c>
      <c r="M65" s="334">
        <f t="shared" si="16"/>
        <v>47483</v>
      </c>
      <c r="N65" s="334">
        <f t="shared" si="16"/>
        <v>47848</v>
      </c>
      <c r="O65" s="43"/>
      <c r="P65" s="43"/>
      <c r="Q65" s="43"/>
      <c r="R65" s="43"/>
      <c r="S65" s="43"/>
      <c r="T65" s="43"/>
      <c r="U65" s="43"/>
      <c r="V65" s="43"/>
      <c r="W65" s="43"/>
    </row>
    <row r="66" spans="1:23" ht="15.65" customHeight="1">
      <c r="A66" s="222" t="s">
        <v>653</v>
      </c>
      <c r="B66" s="333" t="s">
        <v>2</v>
      </c>
      <c r="C66" s="335" t="str">
        <f t="shared" ref="C66:N66" si="17">+C2</f>
        <v>Q1</v>
      </c>
      <c r="D66" s="335" t="str">
        <f t="shared" si="17"/>
        <v>Q2</v>
      </c>
      <c r="E66" s="335" t="str">
        <f t="shared" si="17"/>
        <v>Q3</v>
      </c>
      <c r="F66" s="335" t="str">
        <f t="shared" si="17"/>
        <v>Q4</v>
      </c>
      <c r="G66" s="335" t="str">
        <f t="shared" si="17"/>
        <v>Q1</v>
      </c>
      <c r="H66" s="335" t="str">
        <f t="shared" si="17"/>
        <v>Q2</v>
      </c>
      <c r="I66" s="335" t="str">
        <f t="shared" si="17"/>
        <v>Q3</v>
      </c>
      <c r="J66" s="335" t="str">
        <f t="shared" si="17"/>
        <v>Q4</v>
      </c>
      <c r="K66" s="335" t="str">
        <f t="shared" si="17"/>
        <v>Q4</v>
      </c>
      <c r="L66" s="335" t="str">
        <f t="shared" si="17"/>
        <v>Q4</v>
      </c>
      <c r="M66" s="335" t="str">
        <f t="shared" si="17"/>
        <v>Q4</v>
      </c>
      <c r="N66" s="335" t="str">
        <f t="shared" si="17"/>
        <v>Q4</v>
      </c>
      <c r="O66" s="43"/>
      <c r="P66" s="43"/>
      <c r="Q66" s="43"/>
      <c r="R66" s="43"/>
      <c r="S66" s="43"/>
      <c r="T66" s="43"/>
      <c r="U66" s="43"/>
      <c r="V66" s="43"/>
      <c r="W66" s="43"/>
    </row>
    <row r="67" spans="1:23">
      <c r="A67" s="46" t="s">
        <v>654</v>
      </c>
      <c r="B67" s="50"/>
      <c r="C67" s="68">
        <v>177000000</v>
      </c>
      <c r="D67" s="68">
        <v>177000000</v>
      </c>
      <c r="E67" s="68">
        <v>177000000</v>
      </c>
      <c r="F67" s="68">
        <v>177000000</v>
      </c>
      <c r="G67" s="68">
        <v>177000000</v>
      </c>
      <c r="H67" s="68">
        <v>177000000</v>
      </c>
      <c r="I67" s="68">
        <v>177000000</v>
      </c>
      <c r="J67" s="68">
        <v>177000000</v>
      </c>
      <c r="K67" s="68">
        <v>177000000</v>
      </c>
      <c r="L67" s="68">
        <v>177000000</v>
      </c>
      <c r="M67" s="68">
        <v>177000000</v>
      </c>
      <c r="N67" s="43"/>
      <c r="O67" s="43"/>
      <c r="P67" s="43"/>
      <c r="Q67" s="43"/>
      <c r="R67" s="43"/>
      <c r="S67" s="43"/>
      <c r="T67" s="43"/>
      <c r="U67" s="43"/>
      <c r="V67" s="43"/>
      <c r="W67" s="43"/>
    </row>
    <row r="68" spans="1:23">
      <c r="A68" s="46" t="s">
        <v>655</v>
      </c>
      <c r="B68" s="50"/>
      <c r="C68" s="50"/>
      <c r="D68" s="50"/>
      <c r="E68" s="50"/>
      <c r="F68" s="50"/>
      <c r="G68" s="50"/>
      <c r="H68" s="50"/>
      <c r="I68" s="50"/>
      <c r="J68" s="50"/>
      <c r="K68" s="50"/>
      <c r="L68" s="50"/>
      <c r="M68" s="50"/>
      <c r="N68" s="43"/>
      <c r="O68" s="43"/>
      <c r="P68" s="43"/>
      <c r="Q68" s="43"/>
      <c r="R68" s="43"/>
      <c r="S68" s="43"/>
      <c r="T68" s="43"/>
      <c r="U68" s="43"/>
      <c r="V68" s="43"/>
      <c r="W68" s="43"/>
    </row>
    <row r="69" spans="1:23">
      <c r="A69" s="46" t="s">
        <v>656</v>
      </c>
      <c r="B69" s="50"/>
      <c r="C69" s="68">
        <v>11000000</v>
      </c>
      <c r="D69" s="68">
        <v>11000000</v>
      </c>
      <c r="E69" s="68">
        <v>11000000</v>
      </c>
      <c r="F69" s="68">
        <v>11000000</v>
      </c>
      <c r="G69" s="68">
        <v>11000000</v>
      </c>
      <c r="H69" s="68">
        <v>11000000</v>
      </c>
      <c r="I69" s="68">
        <v>11000000</v>
      </c>
      <c r="J69" s="68">
        <v>11000000</v>
      </c>
      <c r="K69" s="137">
        <f>+J69*1.15</f>
        <v>12649999.999999998</v>
      </c>
      <c r="L69" s="137">
        <f>+K69*1.15</f>
        <v>14547499.999999996</v>
      </c>
      <c r="M69" s="137">
        <f>+L69*1.15</f>
        <v>16729624.999999994</v>
      </c>
      <c r="N69" s="43"/>
      <c r="O69" s="43"/>
      <c r="P69" s="43"/>
      <c r="Q69" s="43"/>
      <c r="R69" s="43"/>
      <c r="S69" s="43"/>
      <c r="T69" s="43"/>
      <c r="U69" s="43"/>
      <c r="V69" s="43"/>
      <c r="W69" s="43"/>
    </row>
    <row r="70" spans="1:23">
      <c r="A70" s="46" t="s">
        <v>657</v>
      </c>
      <c r="B70" s="50"/>
      <c r="C70" s="68">
        <v>15772000</v>
      </c>
      <c r="D70" s="68">
        <v>15500000</v>
      </c>
      <c r="E70" s="68">
        <v>15500000</v>
      </c>
      <c r="F70" s="68">
        <v>15500000</v>
      </c>
      <c r="G70" s="68">
        <v>15500000</v>
      </c>
      <c r="H70" s="68">
        <v>15500000</v>
      </c>
      <c r="I70" s="68">
        <v>15500000</v>
      </c>
      <c r="J70" s="68">
        <v>15500000</v>
      </c>
      <c r="K70" s="68">
        <v>15500000</v>
      </c>
      <c r="L70" s="68">
        <v>15500000</v>
      </c>
      <c r="M70" s="68">
        <v>15500000</v>
      </c>
      <c r="N70" s="43"/>
      <c r="O70" s="43"/>
      <c r="P70" s="43"/>
      <c r="Q70" s="43"/>
      <c r="R70" s="43"/>
      <c r="S70" s="43"/>
      <c r="T70" s="43"/>
      <c r="U70" s="43"/>
      <c r="V70" s="43"/>
      <c r="W70" s="43"/>
    </row>
    <row r="71" spans="1:23">
      <c r="A71" s="46" t="s">
        <v>658</v>
      </c>
      <c r="B71" s="50"/>
      <c r="C71" s="68">
        <v>45500000</v>
      </c>
      <c r="D71" s="68">
        <v>44000000</v>
      </c>
      <c r="E71" s="68">
        <v>44000000</v>
      </c>
      <c r="F71" s="68">
        <v>44000000</v>
      </c>
      <c r="G71" s="68">
        <v>44000000</v>
      </c>
      <c r="H71" s="68">
        <v>44000000</v>
      </c>
      <c r="I71" s="68">
        <v>44000000</v>
      </c>
      <c r="J71" s="68">
        <v>44000000</v>
      </c>
      <c r="K71" s="68">
        <v>44000000</v>
      </c>
      <c r="L71" s="68">
        <v>44000000</v>
      </c>
      <c r="M71" s="68">
        <v>44000000</v>
      </c>
      <c r="N71" s="43"/>
      <c r="O71" s="43"/>
      <c r="P71" s="43"/>
      <c r="Q71" s="43"/>
      <c r="R71" s="43"/>
      <c r="S71" s="43"/>
      <c r="T71" s="43"/>
      <c r="U71" s="43"/>
      <c r="V71" s="43"/>
      <c r="W71" s="43"/>
    </row>
    <row r="72" spans="1:23">
      <c r="A72" s="46" t="s">
        <v>659</v>
      </c>
      <c r="B72" s="50"/>
      <c r="C72" s="50"/>
      <c r="D72" s="50"/>
      <c r="E72" s="50"/>
      <c r="F72" s="50"/>
      <c r="G72" s="50"/>
      <c r="H72" s="50"/>
      <c r="I72" s="50"/>
      <c r="J72" s="50"/>
      <c r="K72" s="50"/>
      <c r="L72" s="50"/>
      <c r="M72" s="50"/>
      <c r="N72" s="43"/>
      <c r="O72" s="43"/>
      <c r="P72" s="43"/>
      <c r="Q72" s="43"/>
      <c r="R72" s="43"/>
      <c r="S72" s="43"/>
      <c r="T72" s="43"/>
      <c r="U72" s="43"/>
      <c r="V72" s="43"/>
      <c r="W72" s="43"/>
    </row>
    <row r="73" spans="1:23">
      <c r="A73" s="46" t="s">
        <v>660</v>
      </c>
      <c r="B73" s="68">
        <v>0</v>
      </c>
      <c r="C73" s="50">
        <f>+C67-SUM(C69:C71)+C68</f>
        <v>104728000</v>
      </c>
      <c r="D73" s="50">
        <f>+D67-SUM(D69:D71)+D68</f>
        <v>106500000</v>
      </c>
      <c r="E73" s="50">
        <f>+E67-SUM(E69:E71)+E68</f>
        <v>106500000</v>
      </c>
      <c r="F73" s="50">
        <f>+F67-SUM(F69:F71)+F68+F72</f>
        <v>106500000</v>
      </c>
      <c r="G73" s="50">
        <f t="shared" ref="G73:M73" si="18">+G67-SUM(G69:G71)+G68</f>
        <v>106500000</v>
      </c>
      <c r="H73" s="50">
        <f t="shared" si="18"/>
        <v>106500000</v>
      </c>
      <c r="I73" s="50">
        <f t="shared" si="18"/>
        <v>106500000</v>
      </c>
      <c r="J73" s="50">
        <f t="shared" si="18"/>
        <v>106500000</v>
      </c>
      <c r="K73" s="50">
        <f t="shared" si="18"/>
        <v>104850000</v>
      </c>
      <c r="L73" s="50">
        <f t="shared" si="18"/>
        <v>102952500</v>
      </c>
      <c r="M73" s="50">
        <f t="shared" si="18"/>
        <v>100770375</v>
      </c>
      <c r="N73" s="43"/>
      <c r="O73" s="43"/>
      <c r="P73" s="43"/>
      <c r="Q73" s="43"/>
      <c r="R73" s="43"/>
      <c r="S73" s="43"/>
      <c r="T73" s="43"/>
      <c r="U73" s="43"/>
      <c r="V73" s="43"/>
      <c r="W73" s="43"/>
    </row>
    <row r="74" spans="1:23">
      <c r="A74" s="43"/>
      <c r="B74" s="43"/>
      <c r="C74" s="43"/>
      <c r="D74" s="43"/>
      <c r="E74" s="43"/>
      <c r="F74" s="43"/>
      <c r="G74" s="43"/>
      <c r="H74" s="43"/>
      <c r="I74" s="43"/>
      <c r="J74" s="43"/>
      <c r="K74" s="43"/>
      <c r="L74" s="43"/>
      <c r="M74" s="43"/>
      <c r="N74" s="43"/>
      <c r="O74" s="43"/>
      <c r="P74" s="43"/>
      <c r="Q74" s="43"/>
      <c r="R74" s="43"/>
      <c r="S74" s="43"/>
      <c r="T74" s="43"/>
      <c r="U74" s="43"/>
      <c r="V74" s="43"/>
      <c r="W74" s="43"/>
    </row>
    <row r="75" spans="1:23">
      <c r="A75" s="46" t="s">
        <v>661</v>
      </c>
      <c r="B75" s="50"/>
      <c r="C75" s="68">
        <v>100000000</v>
      </c>
      <c r="D75" s="68">
        <v>100000000</v>
      </c>
      <c r="E75" s="68">
        <v>100000000</v>
      </c>
      <c r="F75" s="68">
        <v>100000000</v>
      </c>
      <c r="G75" s="68">
        <v>100000000</v>
      </c>
      <c r="H75" s="68">
        <v>100000000</v>
      </c>
      <c r="I75" s="68">
        <v>100000000</v>
      </c>
      <c r="J75" s="68">
        <v>100000000</v>
      </c>
      <c r="K75" s="68">
        <v>100000000</v>
      </c>
      <c r="L75" s="68">
        <v>100000000</v>
      </c>
      <c r="M75" s="68">
        <v>100000000</v>
      </c>
      <c r="N75" s="43"/>
      <c r="O75" s="43"/>
      <c r="P75" s="43"/>
      <c r="Q75" s="43"/>
      <c r="R75" s="43"/>
      <c r="S75" s="43"/>
      <c r="T75" s="43"/>
      <c r="U75" s="43"/>
      <c r="V75" s="43"/>
      <c r="W75" s="43"/>
    </row>
    <row r="76" spans="1:23">
      <c r="A76" s="46" t="s">
        <v>662</v>
      </c>
      <c r="B76" s="119">
        <v>0</v>
      </c>
      <c r="C76" s="55">
        <f t="shared" ref="C76:M76" si="19">+C75-C71-C70</f>
        <v>38728000</v>
      </c>
      <c r="D76" s="55">
        <f t="shared" si="19"/>
        <v>40500000</v>
      </c>
      <c r="E76" s="55">
        <f t="shared" si="19"/>
        <v>40500000</v>
      </c>
      <c r="F76" s="55">
        <f t="shared" si="19"/>
        <v>40500000</v>
      </c>
      <c r="G76" s="55">
        <f t="shared" si="19"/>
        <v>40500000</v>
      </c>
      <c r="H76" s="55">
        <f t="shared" si="19"/>
        <v>40500000</v>
      </c>
      <c r="I76" s="55">
        <f t="shared" si="19"/>
        <v>40500000</v>
      </c>
      <c r="J76" s="55">
        <f t="shared" si="19"/>
        <v>40500000</v>
      </c>
      <c r="K76" s="55">
        <f t="shared" si="19"/>
        <v>40500000</v>
      </c>
      <c r="L76" s="55">
        <f t="shared" si="19"/>
        <v>40500000</v>
      </c>
      <c r="M76" s="55">
        <f t="shared" si="19"/>
        <v>40500000</v>
      </c>
      <c r="N76" s="43"/>
      <c r="O76" s="43"/>
      <c r="P76" s="43"/>
      <c r="Q76" s="43"/>
      <c r="R76" s="43"/>
      <c r="S76" s="43"/>
      <c r="T76" s="43"/>
      <c r="U76" s="43"/>
      <c r="V76" s="43"/>
      <c r="W76" s="43"/>
    </row>
    <row r="77" spans="1:23">
      <c r="A77" s="43"/>
      <c r="B77" s="43"/>
      <c r="C77" s="43"/>
      <c r="D77" s="43"/>
      <c r="E77" s="43"/>
      <c r="F77" s="43"/>
      <c r="G77" s="43"/>
      <c r="H77" s="43"/>
      <c r="I77" s="43"/>
      <c r="J77" s="43"/>
      <c r="K77" s="43"/>
      <c r="L77" s="43"/>
      <c r="M77" s="43"/>
      <c r="N77" s="43"/>
      <c r="O77" s="43"/>
      <c r="P77" s="43"/>
      <c r="Q77" s="43"/>
      <c r="R77" s="43"/>
      <c r="S77" s="43"/>
      <c r="T77" s="43"/>
      <c r="U77" s="43"/>
      <c r="V77" s="43"/>
      <c r="W77" s="43"/>
    </row>
    <row r="78" spans="1:23">
      <c r="A78" s="46" t="s">
        <v>663</v>
      </c>
      <c r="B78" s="119">
        <v>0</v>
      </c>
      <c r="C78" s="55">
        <f t="shared" ref="C78:M78" si="20">+C76-C73</f>
        <v>-66000000</v>
      </c>
      <c r="D78" s="55">
        <f t="shared" si="20"/>
        <v>-66000000</v>
      </c>
      <c r="E78" s="55">
        <f t="shared" si="20"/>
        <v>-66000000</v>
      </c>
      <c r="F78" s="55">
        <f t="shared" si="20"/>
        <v>-66000000</v>
      </c>
      <c r="G78" s="55">
        <f t="shared" si="20"/>
        <v>-66000000</v>
      </c>
      <c r="H78" s="55">
        <f t="shared" si="20"/>
        <v>-66000000</v>
      </c>
      <c r="I78" s="55">
        <f t="shared" si="20"/>
        <v>-66000000</v>
      </c>
      <c r="J78" s="55">
        <f t="shared" si="20"/>
        <v>-66000000</v>
      </c>
      <c r="K78" s="55">
        <f t="shared" si="20"/>
        <v>-64350000</v>
      </c>
      <c r="L78" s="55">
        <f t="shared" si="20"/>
        <v>-62452500</v>
      </c>
      <c r="M78" s="55">
        <f t="shared" si="20"/>
        <v>-60270375</v>
      </c>
      <c r="N78" s="43"/>
      <c r="O78" s="43"/>
      <c r="P78" s="43"/>
      <c r="Q78" s="43"/>
      <c r="R78" s="43"/>
      <c r="S78" s="43"/>
      <c r="T78" s="43"/>
      <c r="U78" s="43"/>
      <c r="V78" s="43"/>
      <c r="W78" s="4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tabColor rgb="FFB4C6E7"/>
  </sheetPr>
  <dimension ref="A1:AE133"/>
  <sheetViews>
    <sheetView showGridLines="0" zoomScale="110" zoomScaleNormal="70" workbookViewId="0">
      <pane xSplit="1" ySplit="2" topLeftCell="J12" activePane="bottomRight" state="frozen"/>
      <selection pane="topRight" activeCell="B1" sqref="B1"/>
      <selection pane="bottomLeft" activeCell="A3" sqref="A3"/>
      <selection pane="bottomRight" activeCell="P30" sqref="P30"/>
    </sheetView>
  </sheetViews>
  <sheetFormatPr defaultRowHeight="14.5"/>
  <cols>
    <col min="1" max="1" width="26.453125" customWidth="1"/>
    <col min="2" max="4" width="16.453125" customWidth="1"/>
    <col min="5" max="7" width="17.54296875" bestFit="1" customWidth="1"/>
    <col min="8" max="9" width="19.26953125" bestFit="1" customWidth="1"/>
    <col min="10" max="11" width="18.54296875" bestFit="1" customWidth="1"/>
    <col min="12" max="12" width="18.26953125" bestFit="1" customWidth="1"/>
    <col min="13" max="13" width="18.54296875" bestFit="1" customWidth="1"/>
    <col min="14" max="16" width="19.26953125" bestFit="1" customWidth="1"/>
    <col min="17" max="20" width="18.54296875" bestFit="1" customWidth="1"/>
    <col min="21" max="21" width="18.54296875" customWidth="1"/>
    <col min="22" max="22" width="18.26953125" bestFit="1" customWidth="1"/>
    <col min="23" max="24" width="15.54296875" bestFit="1" customWidth="1"/>
    <col min="25" max="25" width="17.54296875" bestFit="1" customWidth="1"/>
    <col min="26" max="26" width="15" bestFit="1" customWidth="1"/>
    <col min="27" max="27" width="16.26953125" bestFit="1" customWidth="1"/>
    <col min="28" max="28" width="15.54296875" bestFit="1" customWidth="1"/>
    <col min="29" max="29" width="15.26953125" bestFit="1" customWidth="1"/>
    <col min="30" max="30" width="12.26953125" customWidth="1"/>
    <col min="31" max="31" width="12.453125" bestFit="1" customWidth="1"/>
    <col min="32" max="32" width="13.54296875" bestFit="1" customWidth="1"/>
    <col min="33" max="33" width="11.6328125" bestFit="1" customWidth="1"/>
    <col min="34" max="34" width="7.26953125" bestFit="1" customWidth="1"/>
  </cols>
  <sheetData>
    <row r="1" spans="1:31" s="4" customFormat="1" ht="18.399999999999999" customHeight="1">
      <c r="A1" s="277" t="s">
        <v>664</v>
      </c>
      <c r="B1" s="336"/>
      <c r="C1" s="336"/>
      <c r="D1" s="336"/>
      <c r="E1" s="278">
        <v>45657</v>
      </c>
      <c r="F1" s="278">
        <v>45747</v>
      </c>
      <c r="G1" s="278">
        <v>45838</v>
      </c>
      <c r="H1" s="278">
        <v>45930</v>
      </c>
      <c r="I1" s="278">
        <v>46022</v>
      </c>
      <c r="J1" s="278">
        <v>46112</v>
      </c>
      <c r="K1" s="278">
        <v>46203</v>
      </c>
      <c r="L1" s="278">
        <v>46295</v>
      </c>
      <c r="M1" s="278">
        <v>46387</v>
      </c>
      <c r="N1" s="278">
        <v>46752</v>
      </c>
      <c r="O1" s="278">
        <v>47118</v>
      </c>
      <c r="P1" s="278">
        <v>47483</v>
      </c>
      <c r="Q1" s="278">
        <v>47848</v>
      </c>
      <c r="R1" s="279"/>
      <c r="S1" s="43"/>
      <c r="T1" s="43"/>
      <c r="U1" s="43"/>
      <c r="V1" s="43"/>
      <c r="W1" s="43"/>
      <c r="X1" s="43"/>
      <c r="Y1" s="43"/>
      <c r="Z1" s="43"/>
      <c r="AA1" s="43"/>
      <c r="AB1" s="43"/>
      <c r="AC1" s="43"/>
      <c r="AD1" s="43"/>
      <c r="AE1" s="43"/>
    </row>
    <row r="2" spans="1:31" ht="15.65" customHeight="1">
      <c r="A2" s="280" t="s">
        <v>665</v>
      </c>
      <c r="B2" s="337"/>
      <c r="C2" s="337"/>
      <c r="D2" s="337"/>
      <c r="E2" s="278" t="s">
        <v>2</v>
      </c>
      <c r="F2" s="278" t="s">
        <v>3</v>
      </c>
      <c r="G2" s="278" t="s">
        <v>4</v>
      </c>
      <c r="H2" s="278" t="s">
        <v>5</v>
      </c>
      <c r="I2" s="278" t="s">
        <v>2</v>
      </c>
      <c r="J2" s="278" t="s">
        <v>3</v>
      </c>
      <c r="K2" s="278" t="s">
        <v>4</v>
      </c>
      <c r="L2" s="278" t="s">
        <v>5</v>
      </c>
      <c r="M2" s="278" t="s">
        <v>2</v>
      </c>
      <c r="N2" s="278" t="s">
        <v>2</v>
      </c>
      <c r="O2" s="278" t="s">
        <v>2</v>
      </c>
      <c r="P2" s="278" t="s">
        <v>2</v>
      </c>
      <c r="Q2" s="278" t="s">
        <v>2</v>
      </c>
      <c r="R2" s="50"/>
      <c r="S2" s="43"/>
      <c r="T2" s="43"/>
      <c r="U2" s="43"/>
      <c r="V2" s="43"/>
      <c r="W2" s="43"/>
      <c r="X2" s="43"/>
      <c r="Y2" s="43"/>
      <c r="Z2" s="43"/>
      <c r="AA2" s="43"/>
      <c r="AB2" s="43"/>
      <c r="AC2" s="43"/>
      <c r="AD2" s="43"/>
      <c r="AE2" s="43"/>
    </row>
    <row r="3" spans="1:31" ht="14.65" customHeight="1" thickBot="1">
      <c r="A3" s="46" t="s">
        <v>538</v>
      </c>
      <c r="B3" s="43"/>
      <c r="C3" s="43"/>
      <c r="D3" s="43"/>
      <c r="E3" s="50"/>
      <c r="F3" s="51"/>
      <c r="G3" s="51"/>
      <c r="H3" s="51"/>
      <c r="I3" s="51"/>
      <c r="J3" s="50"/>
      <c r="K3" s="50"/>
      <c r="L3" s="50"/>
      <c r="M3" s="338" t="s">
        <v>666</v>
      </c>
      <c r="N3" s="329">
        <f>+N4/4500000</f>
        <v>1.3484353333333334</v>
      </c>
      <c r="O3" s="339">
        <f>+O4/N4</f>
        <v>1.2909533502121553</v>
      </c>
      <c r="P3" s="339">
        <f>+P4/O4</f>
        <v>1.0333952387785104</v>
      </c>
      <c r="Q3" s="340">
        <f>+Q4/P4</f>
        <v>1.0637486948817623</v>
      </c>
      <c r="R3" s="50"/>
      <c r="S3" s="62"/>
      <c r="T3" s="62"/>
      <c r="U3" s="43"/>
      <c r="V3" s="283"/>
      <c r="W3" s="43"/>
      <c r="X3" s="43"/>
      <c r="Y3" s="43"/>
      <c r="Z3" s="43"/>
      <c r="AA3" s="43"/>
      <c r="AB3" s="43"/>
      <c r="AC3" s="43"/>
      <c r="AD3" s="43"/>
      <c r="AE3" s="43"/>
    </row>
    <row r="4" spans="1:31">
      <c r="A4" s="56" t="s">
        <v>617</v>
      </c>
      <c r="B4" s="292"/>
      <c r="C4" s="292"/>
      <c r="D4" s="292"/>
      <c r="E4" s="341">
        <v>1395804</v>
      </c>
      <c r="F4" s="342">
        <f>1066129/4</f>
        <v>266532.25</v>
      </c>
      <c r="G4" s="342">
        <f>1066129/4</f>
        <v>266532.25</v>
      </c>
      <c r="H4" s="342">
        <f>1066129/4</f>
        <v>266532.25</v>
      </c>
      <c r="I4" s="342">
        <f>1066129/4</f>
        <v>266532.25</v>
      </c>
      <c r="J4" s="342">
        <f>4501321/4</f>
        <v>1125330.25</v>
      </c>
      <c r="K4" s="342">
        <f>4501321/4</f>
        <v>1125330.25</v>
      </c>
      <c r="L4" s="342">
        <f>4501321/4</f>
        <v>1125330.25</v>
      </c>
      <c r="M4" s="342">
        <f>4501321/4</f>
        <v>1125330.25</v>
      </c>
      <c r="N4" s="341">
        <v>6067959</v>
      </c>
      <c r="O4" s="342">
        <f>7583452+250000</f>
        <v>7833452</v>
      </c>
      <c r="P4" s="342">
        <f>7845052+250000</f>
        <v>8095052</v>
      </c>
      <c r="Q4" s="342">
        <f>8111101+500000</f>
        <v>8611101</v>
      </c>
      <c r="R4" s="67" t="s">
        <v>667</v>
      </c>
      <c r="S4" s="69"/>
      <c r="T4" s="62"/>
      <c r="U4" s="43"/>
      <c r="V4" s="59"/>
      <c r="W4" s="43"/>
      <c r="X4" s="43"/>
      <c r="Y4" s="43"/>
      <c r="Z4" s="43"/>
      <c r="AA4" s="43"/>
      <c r="AB4" s="43"/>
      <c r="AC4" s="43"/>
      <c r="AD4" s="43"/>
      <c r="AE4" s="43"/>
    </row>
    <row r="5" spans="1:31">
      <c r="A5" s="56" t="s">
        <v>668</v>
      </c>
      <c r="B5" s="292"/>
      <c r="C5" s="292"/>
      <c r="D5" s="292"/>
      <c r="E5" s="343"/>
      <c r="F5" s="343"/>
      <c r="G5" s="343"/>
      <c r="H5" s="343"/>
      <c r="I5" s="343"/>
      <c r="J5" s="343"/>
      <c r="K5" s="343"/>
      <c r="L5" s="343"/>
      <c r="M5" s="343"/>
      <c r="N5" s="343"/>
      <c r="O5" s="343"/>
      <c r="P5" s="343"/>
      <c r="Q5" s="343"/>
      <c r="R5" s="343"/>
      <c r="S5" s="69"/>
      <c r="T5" s="62"/>
      <c r="U5" s="43"/>
      <c r="V5" s="59"/>
      <c r="W5" s="43"/>
      <c r="X5" s="43"/>
      <c r="Y5" s="43"/>
      <c r="Z5" s="43"/>
      <c r="AA5" s="43"/>
      <c r="AB5" s="43"/>
      <c r="AC5" s="43"/>
      <c r="AD5" s="43"/>
      <c r="AE5" s="43"/>
    </row>
    <row r="6" spans="1:31">
      <c r="A6" s="46" t="s">
        <v>541</v>
      </c>
      <c r="B6" s="43"/>
      <c r="C6" s="43"/>
      <c r="D6" s="43"/>
      <c r="E6" s="50"/>
      <c r="F6" s="68">
        <v>-1137500</v>
      </c>
      <c r="G6" s="68">
        <v>-1137500</v>
      </c>
      <c r="H6" s="68">
        <v>-1137500</v>
      </c>
      <c r="I6" s="68">
        <v>-1137500</v>
      </c>
      <c r="J6" s="137">
        <f>-5448740/4</f>
        <v>-1362185</v>
      </c>
      <c r="K6" s="137">
        <f>-5448740/4</f>
        <v>-1362185</v>
      </c>
      <c r="L6" s="137">
        <f>-5448740/4</f>
        <v>-1362185</v>
      </c>
      <c r="M6" s="137">
        <f>-5448740/4</f>
        <v>-1362185</v>
      </c>
      <c r="N6" s="68">
        <v>-5504000</v>
      </c>
      <c r="O6" s="137">
        <f>+O57*0.08</f>
        <v>-5618473.6293028574</v>
      </c>
      <c r="P6" s="137">
        <f>+P57*0.08</f>
        <v>-5618473.6293028574</v>
      </c>
      <c r="Q6" s="137">
        <f>+Q57*0.08</f>
        <v>-5618473.6293028574</v>
      </c>
      <c r="R6" s="50"/>
      <c r="S6" s="62"/>
      <c r="T6" s="62"/>
      <c r="U6" s="43"/>
      <c r="V6" s="76"/>
      <c r="W6" s="43"/>
      <c r="X6" s="43"/>
      <c r="Y6" s="43"/>
      <c r="Z6" s="43"/>
      <c r="AA6" s="43"/>
      <c r="AB6" s="43"/>
      <c r="AC6" s="43"/>
      <c r="AD6" s="43"/>
      <c r="AE6" s="43"/>
    </row>
    <row r="7" spans="1:31">
      <c r="A7" s="46" t="s">
        <v>543</v>
      </c>
      <c r="B7" s="43"/>
      <c r="C7" s="43"/>
      <c r="D7" s="43"/>
      <c r="E7" s="68">
        <v>0</v>
      </c>
      <c r="F7" s="68">
        <v>0</v>
      </c>
      <c r="G7" s="68">
        <v>0</v>
      </c>
      <c r="H7" s="68">
        <v>0</v>
      </c>
      <c r="I7" s="68">
        <v>0</v>
      </c>
      <c r="J7" s="68">
        <v>0</v>
      </c>
      <c r="K7" s="68">
        <v>0</v>
      </c>
      <c r="L7" s="68">
        <v>0</v>
      </c>
      <c r="M7" s="68">
        <v>0</v>
      </c>
      <c r="N7" s="68">
        <v>0</v>
      </c>
      <c r="O7" s="68">
        <v>0</v>
      </c>
      <c r="P7" s="68">
        <v>0</v>
      </c>
      <c r="Q7" s="68">
        <v>0</v>
      </c>
      <c r="R7" s="50"/>
      <c r="S7" s="62"/>
      <c r="T7" s="62"/>
      <c r="U7" s="59"/>
      <c r="V7" s="43"/>
      <c r="W7" s="43"/>
      <c r="X7" s="43"/>
      <c r="Y7" s="43"/>
      <c r="Z7" s="43"/>
      <c r="AA7" s="43"/>
      <c r="AB7" s="43"/>
      <c r="AC7" s="43"/>
      <c r="AD7" s="43"/>
      <c r="AE7" s="43"/>
    </row>
    <row r="8" spans="1:31">
      <c r="A8" s="46" t="s">
        <v>618</v>
      </c>
      <c r="B8" s="43"/>
      <c r="C8" s="43"/>
      <c r="D8" s="43"/>
      <c r="E8" s="68">
        <v>1395804</v>
      </c>
      <c r="F8" s="136">
        <f t="shared" ref="F8:Q8" si="0">SUM(F4:F7)</f>
        <v>-870967.75</v>
      </c>
      <c r="G8" s="136">
        <f t="shared" si="0"/>
        <v>-870967.75</v>
      </c>
      <c r="H8" s="136">
        <f t="shared" si="0"/>
        <v>-870967.75</v>
      </c>
      <c r="I8" s="136">
        <f t="shared" si="0"/>
        <v>-870967.75</v>
      </c>
      <c r="J8" s="136">
        <f t="shared" si="0"/>
        <v>-236854.75</v>
      </c>
      <c r="K8" s="136">
        <f t="shared" si="0"/>
        <v>-236854.75</v>
      </c>
      <c r="L8" s="136">
        <f t="shared" si="0"/>
        <v>-236854.75</v>
      </c>
      <c r="M8" s="136">
        <f t="shared" si="0"/>
        <v>-236854.75</v>
      </c>
      <c r="N8" s="136">
        <f t="shared" si="0"/>
        <v>563959</v>
      </c>
      <c r="O8" s="136">
        <f t="shared" si="0"/>
        <v>2214978.3706971426</v>
      </c>
      <c r="P8" s="136">
        <f t="shared" si="0"/>
        <v>2476578.3706971426</v>
      </c>
      <c r="Q8" s="344">
        <f t="shared" si="0"/>
        <v>2992627.3706971426</v>
      </c>
      <c r="R8" s="50"/>
      <c r="S8" s="62"/>
      <c r="T8" s="62"/>
      <c r="U8" s="59"/>
      <c r="V8" s="43"/>
      <c r="W8" s="43"/>
      <c r="X8" s="43"/>
      <c r="Y8" s="43"/>
      <c r="Z8" s="43"/>
      <c r="AA8" s="43"/>
      <c r="AB8" s="43"/>
      <c r="AC8" s="43"/>
      <c r="AD8" s="43"/>
      <c r="AE8" s="43"/>
    </row>
    <row r="9" spans="1:31">
      <c r="A9" s="46" t="s">
        <v>619</v>
      </c>
      <c r="B9" s="43"/>
      <c r="C9" s="43"/>
      <c r="D9" s="43"/>
      <c r="E9" s="68">
        <v>-1395804</v>
      </c>
      <c r="F9" s="50">
        <f t="shared" ref="F9:Q9" si="1">-IF(F8&gt;0,F8,0)</f>
        <v>0</v>
      </c>
      <c r="G9" s="50">
        <f t="shared" si="1"/>
        <v>0</v>
      </c>
      <c r="H9" s="50">
        <f t="shared" si="1"/>
        <v>0</v>
      </c>
      <c r="I9" s="50">
        <f t="shared" si="1"/>
        <v>0</v>
      </c>
      <c r="J9" s="50">
        <f t="shared" si="1"/>
        <v>0</v>
      </c>
      <c r="K9" s="50">
        <f t="shared" si="1"/>
        <v>0</v>
      </c>
      <c r="L9" s="50">
        <f t="shared" si="1"/>
        <v>0</v>
      </c>
      <c r="M9" s="50">
        <f t="shared" si="1"/>
        <v>0</v>
      </c>
      <c r="N9" s="50">
        <f t="shared" si="1"/>
        <v>-563959</v>
      </c>
      <c r="O9" s="50">
        <f t="shared" si="1"/>
        <v>-2214978.3706971426</v>
      </c>
      <c r="P9" s="50">
        <f t="shared" si="1"/>
        <v>-2476578.3706971426</v>
      </c>
      <c r="Q9" s="50">
        <f t="shared" si="1"/>
        <v>-2992627.3706971426</v>
      </c>
      <c r="R9" s="50"/>
      <c r="S9" s="62"/>
      <c r="T9" s="43"/>
      <c r="U9" s="43"/>
      <c r="V9" s="59"/>
      <c r="W9" s="43"/>
      <c r="X9" s="43"/>
      <c r="Y9" s="43"/>
      <c r="Z9" s="43"/>
      <c r="AA9" s="43"/>
      <c r="AB9" s="43"/>
      <c r="AC9" s="43"/>
      <c r="AD9" s="43"/>
      <c r="AE9" s="43"/>
    </row>
    <row r="10" spans="1:31">
      <c r="A10" s="46" t="s">
        <v>546</v>
      </c>
      <c r="B10" s="43"/>
      <c r="C10" s="43"/>
      <c r="D10" s="43"/>
      <c r="E10" s="68">
        <v>0</v>
      </c>
      <c r="F10" s="136">
        <f t="shared" ref="F10:Q10" si="2">SUM(F8:F9)</f>
        <v>-870967.75</v>
      </c>
      <c r="G10" s="136">
        <f t="shared" si="2"/>
        <v>-870967.75</v>
      </c>
      <c r="H10" s="136">
        <f t="shared" si="2"/>
        <v>-870967.75</v>
      </c>
      <c r="I10" s="136">
        <f t="shared" si="2"/>
        <v>-870967.75</v>
      </c>
      <c r="J10" s="136">
        <f t="shared" si="2"/>
        <v>-236854.75</v>
      </c>
      <c r="K10" s="136">
        <f t="shared" si="2"/>
        <v>-236854.75</v>
      </c>
      <c r="L10" s="136">
        <f t="shared" si="2"/>
        <v>-236854.75</v>
      </c>
      <c r="M10" s="136">
        <f t="shared" si="2"/>
        <v>-236854.75</v>
      </c>
      <c r="N10" s="136">
        <f t="shared" si="2"/>
        <v>0</v>
      </c>
      <c r="O10" s="136">
        <f t="shared" si="2"/>
        <v>0</v>
      </c>
      <c r="P10" s="136">
        <f t="shared" si="2"/>
        <v>0</v>
      </c>
      <c r="Q10" s="136">
        <f t="shared" si="2"/>
        <v>0</v>
      </c>
      <c r="R10" s="50"/>
      <c r="S10" s="62"/>
      <c r="T10" s="62"/>
      <c r="U10" s="345"/>
      <c r="V10" s="346"/>
      <c r="W10" s="43"/>
      <c r="X10" s="43"/>
      <c r="Y10" s="43"/>
      <c r="Z10" s="43"/>
      <c r="AA10" s="43"/>
      <c r="AB10" s="43"/>
      <c r="AC10" s="43"/>
      <c r="AD10" s="43"/>
      <c r="AE10" s="43"/>
    </row>
    <row r="11" spans="1:31" ht="14.65" customHeight="1" thickBot="1">
      <c r="A11" s="46" t="s">
        <v>620</v>
      </c>
      <c r="B11" s="43"/>
      <c r="C11" s="43"/>
      <c r="D11" s="43"/>
      <c r="E11" s="68">
        <v>0</v>
      </c>
      <c r="F11" s="50">
        <f t="shared" ref="F11:Q11" si="3">+E11+F10</f>
        <v>-870967.75</v>
      </c>
      <c r="G11" s="50">
        <f t="shared" si="3"/>
        <v>-1741935.5</v>
      </c>
      <c r="H11" s="50">
        <f t="shared" si="3"/>
        <v>-2612903.25</v>
      </c>
      <c r="I11" s="50">
        <f t="shared" si="3"/>
        <v>-3483871</v>
      </c>
      <c r="J11" s="50">
        <f t="shared" si="3"/>
        <v>-3720725.75</v>
      </c>
      <c r="K11" s="50">
        <f t="shared" si="3"/>
        <v>-3957580.5</v>
      </c>
      <c r="L11" s="50">
        <f t="shared" si="3"/>
        <v>-4194435.25</v>
      </c>
      <c r="M11" s="50">
        <f t="shared" si="3"/>
        <v>-4431290</v>
      </c>
      <c r="N11" s="50">
        <f t="shared" si="3"/>
        <v>-4431290</v>
      </c>
      <c r="O11" s="50">
        <f t="shared" si="3"/>
        <v>-4431290</v>
      </c>
      <c r="P11" s="50">
        <f t="shared" si="3"/>
        <v>-4431290</v>
      </c>
      <c r="Q11" s="50">
        <f t="shared" si="3"/>
        <v>-4431290</v>
      </c>
      <c r="R11" s="50"/>
      <c r="S11" s="62"/>
      <c r="T11" s="62"/>
      <c r="U11" s="59"/>
      <c r="V11" s="43"/>
      <c r="W11" s="43"/>
      <c r="X11" s="43"/>
      <c r="Y11" s="43"/>
      <c r="Z11" s="43"/>
      <c r="AA11" s="43"/>
      <c r="AB11" s="43"/>
      <c r="AC11" s="43"/>
      <c r="AD11" s="43"/>
      <c r="AE11" s="43"/>
    </row>
    <row r="12" spans="1:31" s="2" customFormat="1">
      <c r="A12" s="43"/>
      <c r="B12" s="43"/>
      <c r="C12" s="43"/>
      <c r="D12" s="43"/>
      <c r="E12" s="347"/>
      <c r="F12" s="347"/>
      <c r="G12" s="347"/>
      <c r="H12" s="347"/>
      <c r="I12" s="347"/>
      <c r="J12" s="347"/>
      <c r="K12" s="347"/>
      <c r="L12" s="347"/>
      <c r="M12" s="347"/>
      <c r="N12" s="347"/>
      <c r="O12" s="347"/>
      <c r="P12" s="347"/>
      <c r="Q12" s="347"/>
      <c r="R12" s="347"/>
      <c r="S12" s="62"/>
      <c r="T12" s="62"/>
      <c r="U12" s="64"/>
      <c r="V12" s="43"/>
      <c r="W12" s="43"/>
      <c r="X12" s="43"/>
      <c r="Y12" s="43"/>
      <c r="Z12" s="43"/>
      <c r="AA12" s="43"/>
      <c r="AB12" s="43"/>
      <c r="AC12" s="43"/>
      <c r="AD12" s="43"/>
      <c r="AE12" s="43"/>
    </row>
    <row r="13" spans="1:31">
      <c r="A13" s="46" t="s">
        <v>621</v>
      </c>
      <c r="B13" s="43"/>
      <c r="C13" s="43"/>
      <c r="D13" s="43"/>
      <c r="E13" s="50"/>
      <c r="F13" s="50"/>
      <c r="G13" s="50"/>
      <c r="H13" s="50"/>
      <c r="I13" s="50"/>
      <c r="J13" s="50"/>
      <c r="K13" s="50"/>
      <c r="L13" s="50"/>
      <c r="M13" s="50"/>
      <c r="N13" s="50"/>
      <c r="O13" s="50"/>
      <c r="P13" s="50"/>
      <c r="Q13" s="50"/>
      <c r="R13" s="50"/>
      <c r="S13" s="62"/>
      <c r="T13" s="43"/>
      <c r="U13" s="43"/>
      <c r="V13" s="43"/>
      <c r="W13" s="43"/>
      <c r="X13" s="43"/>
      <c r="Y13" s="43"/>
      <c r="Z13" s="43"/>
      <c r="AA13" s="43"/>
      <c r="AB13" s="43"/>
      <c r="AC13" s="43"/>
      <c r="AD13" s="43"/>
      <c r="AE13" s="43"/>
    </row>
    <row r="14" spans="1:31" ht="14.65" customHeight="1" thickBot="1">
      <c r="A14" s="46" t="s">
        <v>507</v>
      </c>
      <c r="B14" s="43"/>
      <c r="C14" s="43"/>
      <c r="D14" s="43"/>
      <c r="E14" s="50"/>
      <c r="F14" s="50"/>
      <c r="G14" s="50"/>
      <c r="H14" s="50"/>
      <c r="I14" s="50"/>
      <c r="J14" s="50"/>
      <c r="K14" s="50"/>
      <c r="L14" s="50"/>
      <c r="M14" s="50"/>
      <c r="N14" s="50"/>
      <c r="O14" s="50"/>
      <c r="P14" s="50"/>
      <c r="Q14" s="50"/>
      <c r="R14" s="50"/>
      <c r="S14" s="62"/>
      <c r="T14" s="43"/>
      <c r="U14" s="43"/>
      <c r="V14" s="43"/>
      <c r="W14" s="43"/>
      <c r="X14" s="43"/>
      <c r="Y14" s="43"/>
      <c r="Z14" s="43"/>
      <c r="AA14" s="43"/>
      <c r="AB14" s="43"/>
      <c r="AC14" s="43"/>
      <c r="AD14" s="43"/>
      <c r="AE14" s="43"/>
    </row>
    <row r="15" spans="1:31">
      <c r="A15" s="46" t="s">
        <v>548</v>
      </c>
      <c r="B15" s="43"/>
      <c r="C15" s="43"/>
      <c r="D15" s="43"/>
      <c r="E15" s="68">
        <v>814451.63400000008</v>
      </c>
      <c r="F15" s="50">
        <f>+F73*-F9</f>
        <v>0</v>
      </c>
      <c r="G15" s="50">
        <f>+G73*-G9</f>
        <v>0</v>
      </c>
      <c r="H15" s="50">
        <f>+H73*-H9</f>
        <v>0</v>
      </c>
      <c r="I15" s="50"/>
      <c r="J15" s="50">
        <f>+J73*-J9</f>
        <v>0</v>
      </c>
      <c r="K15" s="50">
        <f>+K73*-K9</f>
        <v>0</v>
      </c>
      <c r="L15" s="50">
        <f>+L73*-L9</f>
        <v>0</v>
      </c>
      <c r="M15" s="50">
        <f>+M73*-M9</f>
        <v>0</v>
      </c>
      <c r="N15" s="50"/>
      <c r="O15" s="50"/>
      <c r="P15" s="50"/>
      <c r="Q15" s="50"/>
      <c r="R15" s="50"/>
      <c r="S15" s="62"/>
      <c r="T15" s="43"/>
      <c r="U15" s="43"/>
      <c r="V15" s="43"/>
      <c r="W15" s="43"/>
      <c r="X15" s="43"/>
      <c r="Y15" s="43"/>
      <c r="Z15" s="43"/>
      <c r="AA15" s="43"/>
      <c r="AB15" s="43"/>
      <c r="AC15" s="43"/>
      <c r="AD15" s="43"/>
      <c r="AE15" s="43"/>
    </row>
    <row r="16" spans="1:31">
      <c r="A16" s="46" t="s">
        <v>669</v>
      </c>
      <c r="B16" s="43"/>
      <c r="C16" s="43"/>
      <c r="D16" s="43"/>
      <c r="E16" s="68">
        <v>0</v>
      </c>
      <c r="F16" s="68">
        <v>5100000</v>
      </c>
      <c r="G16" s="50">
        <f>+G78*G7</f>
        <v>0</v>
      </c>
      <c r="H16" s="50"/>
      <c r="I16" s="50">
        <f t="shared" ref="I16:N16" si="4">+I78*I7</f>
        <v>0</v>
      </c>
      <c r="J16" s="50">
        <f t="shared" si="4"/>
        <v>0</v>
      </c>
      <c r="K16" s="50">
        <f t="shared" si="4"/>
        <v>0</v>
      </c>
      <c r="L16" s="50">
        <f t="shared" si="4"/>
        <v>0</v>
      </c>
      <c r="M16" s="50">
        <f t="shared" si="4"/>
        <v>0</v>
      </c>
      <c r="N16" s="50">
        <f t="shared" si="4"/>
        <v>0</v>
      </c>
      <c r="O16" s="50"/>
      <c r="P16" s="50"/>
      <c r="Q16" s="50"/>
      <c r="R16" s="50"/>
      <c r="S16" s="62"/>
      <c r="T16" s="43"/>
      <c r="U16" s="43"/>
      <c r="V16" s="43"/>
      <c r="W16" s="43"/>
      <c r="X16" s="43"/>
      <c r="Y16" s="43"/>
      <c r="Z16" s="43"/>
      <c r="AA16" s="43"/>
      <c r="AB16" s="43"/>
      <c r="AC16" s="43"/>
      <c r="AD16" s="43"/>
      <c r="AE16" s="43"/>
    </row>
    <row r="17" spans="1:31">
      <c r="A17" s="46" t="s">
        <v>670</v>
      </c>
      <c r="B17" s="43"/>
      <c r="C17" s="43"/>
      <c r="D17" s="43"/>
      <c r="E17" s="50"/>
      <c r="F17" s="68">
        <v>215000</v>
      </c>
      <c r="G17" s="50"/>
      <c r="H17" s="68">
        <v>525000</v>
      </c>
      <c r="I17" s="50"/>
      <c r="J17" s="50"/>
      <c r="K17" s="50"/>
      <c r="L17" s="50"/>
      <c r="M17" s="50"/>
      <c r="N17" s="50"/>
      <c r="O17" s="50"/>
      <c r="P17" s="50"/>
      <c r="Q17" s="50"/>
      <c r="R17" s="50"/>
      <c r="S17" s="62"/>
      <c r="T17" s="43"/>
      <c r="U17" s="43"/>
      <c r="V17" s="43"/>
      <c r="W17" s="43"/>
      <c r="X17" s="43"/>
      <c r="Y17" s="43"/>
      <c r="Z17" s="43"/>
      <c r="AA17" s="43"/>
      <c r="AB17" s="43"/>
      <c r="AC17" s="43"/>
      <c r="AD17" s="43"/>
      <c r="AE17" s="43"/>
    </row>
    <row r="18" spans="1:31">
      <c r="A18" s="284" t="s">
        <v>671</v>
      </c>
      <c r="B18" s="325"/>
      <c r="C18" s="325"/>
      <c r="D18" s="325"/>
      <c r="E18" s="50"/>
      <c r="F18" s="68">
        <v>200000</v>
      </c>
      <c r="G18" s="50"/>
      <c r="H18" s="50"/>
      <c r="I18" s="50"/>
      <c r="J18" s="287"/>
      <c r="K18" s="50"/>
      <c r="L18" s="287"/>
      <c r="M18" s="287"/>
      <c r="N18" s="287"/>
      <c r="O18" s="287"/>
      <c r="P18" s="287"/>
      <c r="Q18" s="287"/>
      <c r="R18" s="287"/>
      <c r="S18" s="62"/>
      <c r="T18" s="43"/>
      <c r="U18" s="43"/>
      <c r="V18" s="43"/>
      <c r="W18" s="43"/>
      <c r="X18" s="43"/>
      <c r="Y18" s="43"/>
      <c r="Z18" s="43"/>
      <c r="AA18" s="43"/>
      <c r="AB18" s="43"/>
      <c r="AC18" s="43"/>
      <c r="AD18" s="43"/>
      <c r="AE18" s="43"/>
    </row>
    <row r="19" spans="1:31">
      <c r="A19" s="101" t="s">
        <v>33</v>
      </c>
      <c r="B19" s="72"/>
      <c r="C19" s="72"/>
      <c r="D19" s="72"/>
      <c r="E19" s="140">
        <v>814451.63400000008</v>
      </c>
      <c r="F19" s="194">
        <f t="shared" ref="F19:Q19" si="5">SUM(F15:F18)</f>
        <v>5515000</v>
      </c>
      <c r="G19" s="194">
        <f t="shared" si="5"/>
        <v>0</v>
      </c>
      <c r="H19" s="194">
        <f t="shared" si="5"/>
        <v>525000</v>
      </c>
      <c r="I19" s="194">
        <f t="shared" si="5"/>
        <v>0</v>
      </c>
      <c r="J19" s="194">
        <f t="shared" si="5"/>
        <v>0</v>
      </c>
      <c r="K19" s="194">
        <f t="shared" si="5"/>
        <v>0</v>
      </c>
      <c r="L19" s="326">
        <f t="shared" si="5"/>
        <v>0</v>
      </c>
      <c r="M19" s="326">
        <f t="shared" si="5"/>
        <v>0</v>
      </c>
      <c r="N19" s="326">
        <f t="shared" si="5"/>
        <v>0</v>
      </c>
      <c r="O19" s="326">
        <f t="shared" si="5"/>
        <v>0</v>
      </c>
      <c r="P19" s="326">
        <f t="shared" si="5"/>
        <v>0</v>
      </c>
      <c r="Q19" s="326">
        <f t="shared" si="5"/>
        <v>0</v>
      </c>
      <c r="R19" s="287"/>
      <c r="S19" s="62"/>
      <c r="T19" s="43"/>
      <c r="U19" s="43"/>
      <c r="V19" s="43"/>
      <c r="W19" s="43"/>
      <c r="X19" s="43"/>
      <c r="Y19" s="43"/>
      <c r="Z19" s="43"/>
      <c r="AA19" s="43"/>
      <c r="AB19" s="43"/>
      <c r="AC19" s="43"/>
      <c r="AD19" s="43"/>
      <c r="AE19" s="43"/>
    </row>
    <row r="20" spans="1:31">
      <c r="A20" s="43"/>
      <c r="B20" s="43"/>
      <c r="C20" s="43"/>
      <c r="D20" s="43"/>
      <c r="E20" s="50"/>
      <c r="F20" s="55"/>
      <c r="G20" s="50"/>
      <c r="H20" s="50"/>
      <c r="I20" s="50"/>
      <c r="J20" s="50"/>
      <c r="K20" s="50"/>
      <c r="L20" s="50"/>
      <c r="M20" s="50"/>
      <c r="N20" s="50"/>
      <c r="O20" s="50"/>
      <c r="P20" s="50"/>
      <c r="Q20" s="50"/>
      <c r="R20" s="50"/>
      <c r="S20" s="62"/>
      <c r="T20" s="62"/>
      <c r="U20" s="43"/>
      <c r="V20" s="43"/>
      <c r="W20" s="43"/>
      <c r="X20" s="43"/>
      <c r="Y20" s="43"/>
      <c r="Z20" s="43"/>
      <c r="AA20" s="43"/>
      <c r="AB20" s="43"/>
      <c r="AC20" s="43"/>
      <c r="AD20" s="43"/>
      <c r="AE20" s="43"/>
    </row>
    <row r="21" spans="1:31">
      <c r="A21" s="46" t="s">
        <v>513</v>
      </c>
      <c r="B21" s="43"/>
      <c r="C21" s="43"/>
      <c r="D21" s="43"/>
      <c r="E21" s="50"/>
      <c r="F21" s="50"/>
      <c r="G21" s="50"/>
      <c r="H21" s="50"/>
      <c r="I21" s="50"/>
      <c r="J21" s="50"/>
      <c r="K21" s="50"/>
      <c r="L21" s="50"/>
      <c r="M21" s="50"/>
      <c r="N21" s="50"/>
      <c r="O21" s="50"/>
      <c r="P21" s="50"/>
      <c r="Q21" s="50"/>
      <c r="R21" s="50"/>
      <c r="S21" s="62"/>
      <c r="T21" s="62"/>
      <c r="U21" s="43"/>
      <c r="V21" s="43"/>
      <c r="W21" s="43"/>
      <c r="X21" s="43"/>
      <c r="Y21" s="43"/>
      <c r="Z21" s="43"/>
      <c r="AA21" s="43"/>
      <c r="AB21" s="43"/>
      <c r="AC21" s="43"/>
      <c r="AD21" s="43"/>
      <c r="AE21" s="43"/>
    </row>
    <row r="22" spans="1:31">
      <c r="A22" s="46" t="s">
        <v>672</v>
      </c>
      <c r="B22" s="43"/>
      <c r="C22" s="43"/>
      <c r="D22" s="43"/>
      <c r="E22" s="50"/>
      <c r="F22" s="68">
        <v>-50000</v>
      </c>
      <c r="G22" s="68">
        <v>-25000</v>
      </c>
      <c r="H22" s="68">
        <v>-230000</v>
      </c>
      <c r="I22" s="50"/>
      <c r="J22" s="50"/>
      <c r="K22" s="50"/>
      <c r="L22" s="50"/>
      <c r="M22" s="50"/>
      <c r="N22" s="50"/>
      <c r="O22" s="50"/>
      <c r="P22" s="50"/>
      <c r="Q22" s="50"/>
      <c r="R22" s="50"/>
      <c r="S22" s="62"/>
      <c r="T22" s="62"/>
      <c r="U22" s="43"/>
      <c r="V22" s="43"/>
      <c r="W22" s="43"/>
      <c r="X22" s="43"/>
      <c r="Y22" s="43"/>
      <c r="Z22" s="43"/>
      <c r="AA22" s="43"/>
      <c r="AB22" s="43"/>
      <c r="AC22" s="43"/>
      <c r="AD22" s="43"/>
      <c r="AE22" s="43"/>
    </row>
    <row r="23" spans="1:31">
      <c r="A23" s="46" t="s">
        <v>673</v>
      </c>
      <c r="B23" s="43"/>
      <c r="C23" s="43"/>
      <c r="D23" s="43"/>
      <c r="E23" s="50"/>
      <c r="F23" s="50"/>
      <c r="G23" s="68">
        <v>-2000000</v>
      </c>
      <c r="H23" s="50"/>
      <c r="I23" s="50"/>
      <c r="J23" s="68">
        <v>-750000</v>
      </c>
      <c r="K23" s="68">
        <v>-2800000</v>
      </c>
      <c r="L23" s="50"/>
      <c r="M23" s="50"/>
      <c r="N23" s="50"/>
      <c r="O23" s="50"/>
      <c r="P23" s="50"/>
      <c r="Q23" s="50"/>
      <c r="R23" s="50"/>
      <c r="S23" s="62"/>
      <c r="T23" s="62"/>
      <c r="U23" s="43"/>
      <c r="V23" s="43"/>
      <c r="W23" s="43"/>
      <c r="X23" s="43"/>
      <c r="Y23" s="43"/>
      <c r="Z23" s="43"/>
      <c r="AA23" s="43"/>
      <c r="AB23" s="43"/>
      <c r="AC23" s="43"/>
      <c r="AD23" s="43"/>
      <c r="AE23" s="43"/>
    </row>
    <row r="24" spans="1:31">
      <c r="A24" s="46" t="s">
        <v>674</v>
      </c>
      <c r="B24" s="43"/>
      <c r="C24" s="43"/>
      <c r="D24" s="43"/>
      <c r="E24" s="50"/>
      <c r="F24" s="50"/>
      <c r="G24" s="50"/>
      <c r="H24" s="50"/>
      <c r="I24" s="50"/>
      <c r="J24" s="50"/>
      <c r="K24" s="68">
        <v>-370000</v>
      </c>
      <c r="L24" s="50"/>
      <c r="M24" s="68">
        <v>-750000</v>
      </c>
      <c r="N24" s="50"/>
      <c r="O24" s="50"/>
      <c r="P24" s="50"/>
      <c r="Q24" s="50"/>
      <c r="R24" s="50"/>
      <c r="S24" s="62"/>
      <c r="T24" s="62"/>
      <c r="U24" s="43"/>
      <c r="V24" s="43"/>
      <c r="W24" s="43"/>
      <c r="X24" s="43"/>
      <c r="Y24" s="43"/>
      <c r="Z24" s="43"/>
      <c r="AA24" s="43"/>
      <c r="AB24" s="43"/>
      <c r="AC24" s="43"/>
      <c r="AD24" s="43"/>
      <c r="AE24" s="43"/>
    </row>
    <row r="25" spans="1:31">
      <c r="A25" s="46" t="s">
        <v>675</v>
      </c>
      <c r="B25" s="43"/>
      <c r="C25" s="43"/>
      <c r="D25" s="43"/>
      <c r="E25" s="50"/>
      <c r="F25" s="50"/>
      <c r="G25" s="50"/>
      <c r="H25" s="50"/>
      <c r="I25" s="50"/>
      <c r="J25" s="50"/>
      <c r="K25" s="50"/>
      <c r="L25" s="50"/>
      <c r="M25" s="50"/>
      <c r="N25" s="50"/>
      <c r="O25" s="50">
        <f>-O91</f>
        <v>-15106831.160182964</v>
      </c>
      <c r="P25" s="50"/>
      <c r="Q25" s="50"/>
      <c r="R25" s="50"/>
      <c r="S25" s="62"/>
      <c r="T25" s="62"/>
      <c r="U25" s="43"/>
      <c r="V25" s="43"/>
      <c r="W25" s="43"/>
      <c r="X25" s="43"/>
      <c r="Y25" s="43"/>
      <c r="Z25" s="43"/>
      <c r="AA25" s="43"/>
      <c r="AB25" s="43"/>
      <c r="AC25" s="43"/>
      <c r="AD25" s="43"/>
      <c r="AE25" s="43"/>
    </row>
    <row r="26" spans="1:31">
      <c r="A26" s="46" t="s">
        <v>676</v>
      </c>
      <c r="B26" s="43"/>
      <c r="C26" s="43"/>
      <c r="D26" s="43"/>
      <c r="E26" s="50"/>
      <c r="F26" s="50"/>
      <c r="G26" s="50"/>
      <c r="H26" s="50"/>
      <c r="I26" s="50"/>
      <c r="J26" s="50"/>
      <c r="K26" s="50"/>
      <c r="L26" s="50"/>
      <c r="M26" s="50"/>
      <c r="N26" s="50"/>
      <c r="O26" s="50"/>
      <c r="P26" s="50"/>
      <c r="Q26" s="50"/>
      <c r="R26" s="50"/>
      <c r="S26" s="62"/>
      <c r="T26" s="62"/>
      <c r="U26" s="43"/>
      <c r="V26" s="43"/>
      <c r="W26" s="43"/>
      <c r="X26" s="43"/>
      <c r="Y26" s="43"/>
      <c r="Z26" s="43"/>
      <c r="AA26" s="43"/>
      <c r="AB26" s="43"/>
      <c r="AC26" s="43"/>
      <c r="AD26" s="43"/>
      <c r="AE26" s="43"/>
    </row>
    <row r="27" spans="1:31">
      <c r="A27" s="46" t="s">
        <v>677</v>
      </c>
      <c r="B27" s="43"/>
      <c r="C27" s="43"/>
      <c r="D27" s="43"/>
      <c r="E27" s="50"/>
      <c r="F27" s="50"/>
      <c r="G27" s="50"/>
      <c r="H27" s="50"/>
      <c r="I27" s="68">
        <v>-289495</v>
      </c>
      <c r="J27" s="68">
        <v>-1000000</v>
      </c>
      <c r="K27" s="68">
        <v>-250000</v>
      </c>
      <c r="L27" s="50"/>
      <c r="M27" s="50"/>
      <c r="N27" s="50"/>
      <c r="O27" s="50"/>
      <c r="P27" s="50"/>
      <c r="Q27" s="50"/>
      <c r="R27" s="50"/>
      <c r="S27" s="62"/>
      <c r="T27" s="62"/>
      <c r="U27" s="43"/>
      <c r="V27" s="43"/>
      <c r="W27" s="43"/>
      <c r="X27" s="43"/>
      <c r="Y27" s="43"/>
      <c r="Z27" s="43"/>
      <c r="AA27" s="43"/>
      <c r="AB27" s="43"/>
      <c r="AC27" s="43"/>
      <c r="AD27" s="43"/>
      <c r="AE27" s="43"/>
    </row>
    <row r="28" spans="1:31" ht="14.65" customHeight="1" thickBot="1">
      <c r="A28" s="101" t="s">
        <v>678</v>
      </c>
      <c r="B28" s="72"/>
      <c r="C28" s="72"/>
      <c r="D28" s="72"/>
      <c r="E28" s="140">
        <v>0</v>
      </c>
      <c r="F28" s="194">
        <f t="shared" ref="F28:Q28" si="6">SUM(F22:F27)</f>
        <v>-50000</v>
      </c>
      <c r="G28" s="194">
        <f t="shared" si="6"/>
        <v>-2025000</v>
      </c>
      <c r="H28" s="194">
        <f t="shared" si="6"/>
        <v>-230000</v>
      </c>
      <c r="I28" s="194">
        <f t="shared" si="6"/>
        <v>-289495</v>
      </c>
      <c r="J28" s="194">
        <f t="shared" si="6"/>
        <v>-1750000</v>
      </c>
      <c r="K28" s="194">
        <f t="shared" si="6"/>
        <v>-3420000</v>
      </c>
      <c r="L28" s="194">
        <f t="shared" si="6"/>
        <v>0</v>
      </c>
      <c r="M28" s="194">
        <f t="shared" si="6"/>
        <v>-750000</v>
      </c>
      <c r="N28" s="194">
        <f t="shared" si="6"/>
        <v>0</v>
      </c>
      <c r="O28" s="194">
        <f t="shared" si="6"/>
        <v>-15106831.160182964</v>
      </c>
      <c r="P28" s="194">
        <f t="shared" si="6"/>
        <v>0</v>
      </c>
      <c r="Q28" s="194">
        <f t="shared" si="6"/>
        <v>0</v>
      </c>
      <c r="R28" s="50"/>
      <c r="S28" s="62"/>
      <c r="T28" s="62"/>
      <c r="U28" s="43"/>
      <c r="V28" s="43"/>
      <c r="W28" s="43"/>
      <c r="X28" s="43"/>
      <c r="Y28" s="43"/>
      <c r="Z28" s="43"/>
      <c r="AA28" s="43"/>
      <c r="AB28" s="43"/>
      <c r="AC28" s="43"/>
      <c r="AD28" s="43"/>
      <c r="AE28" s="43"/>
    </row>
    <row r="29" spans="1:31">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row>
    <row r="30" spans="1:31" ht="14.65" customHeight="1" thickBot="1">
      <c r="A30" s="46" t="s">
        <v>505</v>
      </c>
      <c r="B30" s="43"/>
      <c r="C30" s="43"/>
      <c r="D30" s="43"/>
      <c r="E30" s="68">
        <v>814451.63400000008</v>
      </c>
      <c r="F30" s="50">
        <f t="shared" ref="F30:Q30" si="7">+F19+F28</f>
        <v>5465000</v>
      </c>
      <c r="G30" s="50">
        <f t="shared" si="7"/>
        <v>-2025000</v>
      </c>
      <c r="H30" s="50">
        <f t="shared" si="7"/>
        <v>295000</v>
      </c>
      <c r="I30" s="50">
        <f t="shared" si="7"/>
        <v>-289495</v>
      </c>
      <c r="J30" s="50">
        <f t="shared" si="7"/>
        <v>-1750000</v>
      </c>
      <c r="K30" s="50">
        <f t="shared" si="7"/>
        <v>-3420000</v>
      </c>
      <c r="L30" s="50">
        <f t="shared" si="7"/>
        <v>0</v>
      </c>
      <c r="M30" s="50">
        <f t="shared" si="7"/>
        <v>-750000</v>
      </c>
      <c r="N30" s="50">
        <f t="shared" si="7"/>
        <v>0</v>
      </c>
      <c r="O30" s="50">
        <f t="shared" si="7"/>
        <v>-15106831.160182964</v>
      </c>
      <c r="P30" s="50">
        <f t="shared" si="7"/>
        <v>0</v>
      </c>
      <c r="Q30" s="50">
        <f t="shared" si="7"/>
        <v>0</v>
      </c>
      <c r="R30" s="43"/>
      <c r="S30" s="43"/>
      <c r="T30" s="43"/>
      <c r="U30" s="43"/>
      <c r="V30" s="43"/>
      <c r="W30" s="43"/>
      <c r="X30" s="43"/>
      <c r="Y30" s="43"/>
      <c r="Z30" s="43"/>
      <c r="AA30" s="43"/>
      <c r="AB30" s="43"/>
      <c r="AC30" s="43"/>
      <c r="AD30" s="43"/>
      <c r="AE30" s="43"/>
    </row>
    <row r="31" spans="1:31" ht="14.65" customHeight="1" thickTop="1">
      <c r="A31" s="43"/>
      <c r="B31" s="43"/>
      <c r="C31" s="43"/>
      <c r="D31" s="43"/>
      <c r="E31" s="50"/>
      <c r="F31" s="50"/>
      <c r="G31" s="50"/>
      <c r="H31" s="50"/>
      <c r="I31" s="50"/>
      <c r="J31" s="50"/>
      <c r="K31" s="50"/>
      <c r="L31" s="50"/>
      <c r="M31" s="50"/>
      <c r="N31" s="50"/>
      <c r="O31" s="50"/>
      <c r="P31" s="50"/>
      <c r="Q31" s="50"/>
      <c r="R31" s="43"/>
      <c r="S31" s="43"/>
      <c r="T31" s="43"/>
      <c r="U31" s="43"/>
      <c r="V31" s="43"/>
      <c r="W31" s="43"/>
      <c r="X31" s="43"/>
      <c r="Y31" s="43"/>
      <c r="Z31" s="43"/>
      <c r="AA31" s="43"/>
      <c r="AB31" s="43"/>
      <c r="AC31" s="43"/>
      <c r="AD31" s="43"/>
      <c r="AE31" s="43"/>
    </row>
    <row r="32" spans="1:31" s="30" customFormat="1">
      <c r="A32" s="101" t="s">
        <v>561</v>
      </c>
      <c r="B32" s="72"/>
      <c r="C32" s="72"/>
      <c r="D32" s="72"/>
      <c r="E32" s="68">
        <v>0</v>
      </c>
      <c r="F32" s="68">
        <v>0</v>
      </c>
      <c r="G32" s="68">
        <v>0</v>
      </c>
      <c r="H32" s="68">
        <v>0</v>
      </c>
      <c r="I32" s="68">
        <v>0</v>
      </c>
      <c r="J32" s="68">
        <v>0</v>
      </c>
      <c r="K32" s="68">
        <v>0</v>
      </c>
      <c r="L32" s="68">
        <v>0</v>
      </c>
      <c r="M32" s="68">
        <v>0</v>
      </c>
      <c r="N32" s="68">
        <v>0</v>
      </c>
      <c r="O32" s="68">
        <v>0</v>
      </c>
      <c r="P32" s="68">
        <v>500000</v>
      </c>
      <c r="Q32" s="68">
        <v>500000</v>
      </c>
      <c r="R32" s="50"/>
      <c r="S32" s="62"/>
      <c r="T32" s="43"/>
      <c r="U32" s="43"/>
      <c r="V32" s="43"/>
      <c r="W32" s="43"/>
      <c r="X32" s="43"/>
      <c r="Y32" s="43"/>
      <c r="Z32" s="43"/>
      <c r="AA32" s="43"/>
      <c r="AB32" s="43"/>
      <c r="AC32" s="43"/>
      <c r="AD32" s="43"/>
      <c r="AE32" s="43"/>
    </row>
    <row r="33" spans="1:31">
      <c r="A33" s="101" t="s">
        <v>562</v>
      </c>
      <c r="B33" s="72"/>
      <c r="C33" s="72"/>
      <c r="D33" s="72"/>
      <c r="E33" s="141"/>
      <c r="F33" s="141"/>
      <c r="G33" s="141"/>
      <c r="H33" s="141"/>
      <c r="I33" s="141"/>
      <c r="J33" s="141"/>
      <c r="K33" s="141"/>
      <c r="L33" s="141"/>
      <c r="M33" s="141"/>
      <c r="N33" s="141"/>
      <c r="O33" s="141"/>
      <c r="P33" s="141"/>
      <c r="Q33" s="141"/>
      <c r="R33" s="50"/>
      <c r="S33" s="62"/>
      <c r="T33" s="43"/>
      <c r="U33" s="43"/>
      <c r="V33" s="43"/>
      <c r="W33" s="43"/>
      <c r="X33" s="43"/>
      <c r="Y33" s="43"/>
      <c r="Z33" s="43"/>
      <c r="AA33" s="43"/>
      <c r="AB33" s="43"/>
      <c r="AC33" s="43"/>
      <c r="AD33" s="43"/>
      <c r="AE33" s="43"/>
    </row>
    <row r="34" spans="1:31">
      <c r="A34" s="101" t="s">
        <v>563</v>
      </c>
      <c r="B34" s="72"/>
      <c r="C34" s="72"/>
      <c r="D34" s="72"/>
      <c r="E34" s="141"/>
      <c r="F34" s="141">
        <f t="shared" ref="F34:Q34" si="8">E34+F32+F33</f>
        <v>0</v>
      </c>
      <c r="G34" s="291">
        <f t="shared" si="8"/>
        <v>0</v>
      </c>
      <c r="H34" s="291">
        <f t="shared" si="8"/>
        <v>0</v>
      </c>
      <c r="I34" s="291">
        <f t="shared" si="8"/>
        <v>0</v>
      </c>
      <c r="J34" s="291">
        <f t="shared" si="8"/>
        <v>0</v>
      </c>
      <c r="K34" s="291">
        <f t="shared" si="8"/>
        <v>0</v>
      </c>
      <c r="L34" s="291">
        <f t="shared" si="8"/>
        <v>0</v>
      </c>
      <c r="M34" s="291">
        <f t="shared" si="8"/>
        <v>0</v>
      </c>
      <c r="N34" s="291">
        <f t="shared" si="8"/>
        <v>0</v>
      </c>
      <c r="O34" s="291">
        <f t="shared" si="8"/>
        <v>0</v>
      </c>
      <c r="P34" s="291">
        <f t="shared" si="8"/>
        <v>500000</v>
      </c>
      <c r="Q34" s="291">
        <f t="shared" si="8"/>
        <v>1000000</v>
      </c>
      <c r="R34" s="50"/>
      <c r="S34" s="50"/>
      <c r="T34" s="50"/>
      <c r="U34" s="50"/>
      <c r="V34" s="50"/>
      <c r="W34" s="50"/>
      <c r="X34" s="43"/>
      <c r="Y34" s="43"/>
      <c r="Z34" s="43"/>
      <c r="AA34" s="43"/>
      <c r="AB34" s="43"/>
      <c r="AC34" s="43"/>
      <c r="AD34" s="43"/>
      <c r="AE34" s="43"/>
    </row>
    <row r="35" spans="1:31">
      <c r="A35" s="43"/>
      <c r="B35" s="43"/>
      <c r="C35" s="43"/>
      <c r="D35" s="43"/>
      <c r="E35" s="43"/>
      <c r="F35" s="55"/>
      <c r="G35" s="55"/>
      <c r="H35" s="55"/>
      <c r="I35" s="55"/>
      <c r="J35" s="55"/>
      <c r="K35" s="55"/>
      <c r="L35" s="55"/>
      <c r="M35" s="55"/>
      <c r="N35" s="55"/>
      <c r="O35" s="55"/>
      <c r="P35" s="55"/>
      <c r="Q35" s="55"/>
      <c r="R35" s="43"/>
      <c r="S35" s="43"/>
      <c r="T35" s="43"/>
      <c r="U35" s="43"/>
      <c r="V35" s="43"/>
      <c r="W35" s="43"/>
      <c r="X35" s="43"/>
      <c r="Y35" s="43"/>
      <c r="Z35" s="43"/>
      <c r="AA35" s="43"/>
      <c r="AB35" s="43"/>
      <c r="AC35" s="43"/>
      <c r="AD35" s="43"/>
      <c r="AE35" s="43"/>
    </row>
    <row r="36" spans="1:31">
      <c r="A36" s="46" t="s">
        <v>630</v>
      </c>
      <c r="B36" s="43"/>
      <c r="C36" s="43"/>
      <c r="D36" s="43"/>
      <c r="E36" s="54"/>
      <c r="F36" s="54"/>
      <c r="G36" s="54"/>
      <c r="H36" s="54"/>
      <c r="I36" s="54"/>
      <c r="J36" s="54"/>
      <c r="K36" s="54"/>
      <c r="L36" s="61"/>
      <c r="M36" s="61"/>
      <c r="N36" s="61"/>
      <c r="O36" s="61"/>
      <c r="P36" s="61"/>
      <c r="Q36" s="61"/>
      <c r="R36" s="61"/>
      <c r="S36" s="62"/>
      <c r="T36" s="62"/>
      <c r="U36" s="64"/>
      <c r="V36" s="283"/>
      <c r="W36" s="43"/>
      <c r="X36" s="43"/>
      <c r="Y36" s="43"/>
      <c r="Z36" s="43"/>
      <c r="AA36" s="43"/>
      <c r="AB36" s="43"/>
      <c r="AC36" s="43"/>
      <c r="AD36" s="43"/>
      <c r="AE36" s="43"/>
    </row>
    <row r="37" spans="1:31" ht="14.65" customHeight="1" thickBot="1">
      <c r="A37" s="46" t="s">
        <v>679</v>
      </c>
      <c r="B37" s="43"/>
      <c r="C37" s="43"/>
      <c r="D37" s="43"/>
      <c r="E37" s="54"/>
      <c r="F37" s="54"/>
      <c r="G37" s="54"/>
      <c r="H37" s="54"/>
      <c r="I37" s="54"/>
      <c r="J37" s="54"/>
      <c r="K37" s="54"/>
      <c r="L37" s="61"/>
      <c r="M37" s="61"/>
      <c r="N37" s="61"/>
      <c r="O37" s="348">
        <f>+O4/O44</f>
        <v>7.2500029523239556E-2</v>
      </c>
      <c r="P37" s="348">
        <f>+P4/P44</f>
        <v>7.2416449512576073E-2</v>
      </c>
      <c r="Q37" s="349">
        <f>+Q4/Q44</f>
        <v>7.2266945914542968E-2</v>
      </c>
      <c r="R37" s="350" t="s">
        <v>680</v>
      </c>
      <c r="S37" s="62"/>
      <c r="T37" s="62"/>
      <c r="U37" s="64"/>
      <c r="V37" s="283"/>
      <c r="W37" s="43"/>
      <c r="X37" s="43"/>
      <c r="Y37" s="43"/>
      <c r="Z37" s="43"/>
      <c r="AA37" s="43"/>
      <c r="AB37" s="43"/>
      <c r="AC37" s="43"/>
      <c r="AD37" s="43"/>
      <c r="AE37" s="43"/>
    </row>
    <row r="38" spans="1:31">
      <c r="A38" s="46" t="s">
        <v>681</v>
      </c>
      <c r="B38" s="43"/>
      <c r="C38" s="43"/>
      <c r="D38" s="43"/>
      <c r="E38" s="351">
        <v>7.0000000000000007E-2</v>
      </c>
      <c r="F38" s="351">
        <v>7.0000000000000007E-2</v>
      </c>
      <c r="G38" s="351">
        <v>7.0000000000000007E-2</v>
      </c>
      <c r="H38" s="351">
        <v>7.0000000000000007E-2</v>
      </c>
      <c r="I38" s="351">
        <v>0.08</v>
      </c>
      <c r="J38" s="351">
        <v>0.08</v>
      </c>
      <c r="K38" s="351">
        <v>0.08</v>
      </c>
      <c r="L38" s="351">
        <v>0.08</v>
      </c>
      <c r="M38" s="351">
        <v>0.08</v>
      </c>
      <c r="N38" s="351">
        <v>7.0000000000000007E-2</v>
      </c>
      <c r="O38" s="351">
        <v>7.0000000000000007E-2</v>
      </c>
      <c r="P38" s="351">
        <v>7.0000000000000007E-2</v>
      </c>
      <c r="Q38" s="351">
        <v>7.0000000000000007E-2</v>
      </c>
      <c r="R38" s="347"/>
      <c r="S38" s="62"/>
      <c r="T38" s="62"/>
      <c r="U38" s="59"/>
      <c r="V38" s="59"/>
      <c r="W38" s="43"/>
      <c r="X38" s="43"/>
      <c r="Y38" s="43"/>
      <c r="Z38" s="43"/>
      <c r="AA38" s="43"/>
      <c r="AB38" s="43"/>
      <c r="AC38" s="43"/>
      <c r="AD38" s="43"/>
      <c r="AE38" s="43"/>
    </row>
    <row r="39" spans="1:31">
      <c r="A39" s="56" t="s">
        <v>682</v>
      </c>
      <c r="B39" s="292"/>
      <c r="C39" s="292"/>
      <c r="D39" s="292"/>
      <c r="E39" s="68">
        <v>240000</v>
      </c>
      <c r="F39" s="50">
        <f>240000</f>
        <v>240000</v>
      </c>
      <c r="G39" s="50">
        <f>240000</f>
        <v>240000</v>
      </c>
      <c r="H39" s="50">
        <f>240000</f>
        <v>240000</v>
      </c>
      <c r="I39" s="50">
        <f>240000</f>
        <v>240000</v>
      </c>
      <c r="J39" s="68">
        <v>240000</v>
      </c>
      <c r="K39" s="68">
        <v>247200</v>
      </c>
      <c r="L39" s="68">
        <v>254616</v>
      </c>
      <c r="M39" s="68">
        <v>262254.48</v>
      </c>
      <c r="N39" s="68">
        <v>270122.11440000002</v>
      </c>
      <c r="O39" s="68">
        <v>270122.11440000002</v>
      </c>
      <c r="P39" s="68">
        <v>270122.11440000002</v>
      </c>
      <c r="Q39" s="68">
        <v>270122.11440000002</v>
      </c>
      <c r="R39" s="50"/>
      <c r="S39" s="62"/>
      <c r="T39" s="62"/>
      <c r="U39" s="43"/>
      <c r="V39" s="76"/>
      <c r="W39" s="43"/>
      <c r="X39" s="43"/>
      <c r="Y39" s="43"/>
      <c r="Z39" s="43"/>
      <c r="AA39" s="43"/>
      <c r="AB39" s="43"/>
      <c r="AC39" s="43"/>
      <c r="AD39" s="43"/>
      <c r="AE39" s="43"/>
    </row>
    <row r="40" spans="1:31">
      <c r="A40" s="56" t="s">
        <v>683</v>
      </c>
      <c r="B40" s="292"/>
      <c r="C40" s="292"/>
      <c r="D40" s="292"/>
      <c r="E40" s="68">
        <v>1155804</v>
      </c>
      <c r="F40" s="137">
        <f t="shared" ref="F40:M40" si="9">+F4*4-F39</f>
        <v>826129</v>
      </c>
      <c r="G40" s="137">
        <f t="shared" si="9"/>
        <v>826129</v>
      </c>
      <c r="H40" s="137">
        <f t="shared" si="9"/>
        <v>826129</v>
      </c>
      <c r="I40" s="137">
        <f t="shared" si="9"/>
        <v>826129</v>
      </c>
      <c r="J40" s="137">
        <f t="shared" si="9"/>
        <v>4261321</v>
      </c>
      <c r="K40" s="137">
        <f t="shared" si="9"/>
        <v>4254121</v>
      </c>
      <c r="L40" s="137">
        <f t="shared" si="9"/>
        <v>4246705</v>
      </c>
      <c r="M40" s="137">
        <f t="shared" si="9"/>
        <v>4239066.5199999996</v>
      </c>
      <c r="N40" s="50">
        <f>+N4-N39</f>
        <v>5797836.8855999997</v>
      </c>
      <c r="O40" s="50">
        <f>+O4-O39</f>
        <v>7563329.8855999997</v>
      </c>
      <c r="P40" s="50">
        <f>+P4-P39</f>
        <v>7824929.8855999997</v>
      </c>
      <c r="Q40" s="344">
        <f>+Q4-Q39</f>
        <v>8340978.8855999997</v>
      </c>
      <c r="R40" s="50"/>
      <c r="S40" s="62"/>
      <c r="T40" s="62"/>
      <c r="U40" s="43"/>
      <c r="V40" s="43"/>
      <c r="W40" s="43"/>
      <c r="X40" s="43"/>
      <c r="Y40" s="43"/>
      <c r="Z40" s="43"/>
      <c r="AA40" s="43"/>
      <c r="AB40" s="43"/>
      <c r="AC40" s="43"/>
      <c r="AD40" s="43"/>
      <c r="AE40" s="43"/>
    </row>
    <row r="41" spans="1:31">
      <c r="A41" s="56" t="s">
        <v>684</v>
      </c>
      <c r="B41" s="292"/>
      <c r="C41" s="292"/>
      <c r="D41" s="292"/>
      <c r="E41" s="68">
        <v>16511485.714285711</v>
      </c>
      <c r="F41" s="50">
        <f>+$J$40/F38</f>
        <v>60876014.285714284</v>
      </c>
      <c r="G41" s="50">
        <f>+$J$40/G38</f>
        <v>60876014.285714284</v>
      </c>
      <c r="H41" s="50">
        <f>+$J$40/H38</f>
        <v>60876014.285714284</v>
      </c>
      <c r="I41" s="50">
        <f>+$J$40/I38</f>
        <v>53266512.5</v>
      </c>
      <c r="J41" s="50">
        <f t="shared" ref="J41:Q41" si="10">+J40/J38</f>
        <v>53266512.5</v>
      </c>
      <c r="K41" s="50">
        <f t="shared" si="10"/>
        <v>53176512.5</v>
      </c>
      <c r="L41" s="50">
        <f t="shared" si="10"/>
        <v>53083812.5</v>
      </c>
      <c r="M41" s="50">
        <f t="shared" si="10"/>
        <v>52988331.499999993</v>
      </c>
      <c r="N41" s="50">
        <f t="shared" si="10"/>
        <v>82826241.222857133</v>
      </c>
      <c r="O41" s="50">
        <f t="shared" si="10"/>
        <v>108047569.7942857</v>
      </c>
      <c r="P41" s="50">
        <f t="shared" si="10"/>
        <v>111784712.65142855</v>
      </c>
      <c r="Q41" s="50">
        <f t="shared" si="10"/>
        <v>119156841.22285713</v>
      </c>
      <c r="R41" s="50"/>
      <c r="S41" s="62"/>
      <c r="T41" s="62"/>
      <c r="U41" s="43"/>
      <c r="V41" s="43"/>
      <c r="W41" s="43"/>
      <c r="X41" s="43"/>
      <c r="Y41" s="43"/>
      <c r="Z41" s="43"/>
      <c r="AA41" s="43"/>
      <c r="AB41" s="43"/>
      <c r="AC41" s="43"/>
      <c r="AD41" s="43"/>
      <c r="AE41" s="43"/>
    </row>
    <row r="42" spans="1:31" s="2" customFormat="1">
      <c r="A42" s="292"/>
      <c r="B42" s="292"/>
      <c r="C42" s="292"/>
      <c r="D42" s="292"/>
      <c r="E42" s="50"/>
      <c r="F42" s="50"/>
      <c r="G42" s="50"/>
      <c r="H42" s="50"/>
      <c r="I42" s="50"/>
      <c r="J42" s="50"/>
      <c r="K42" s="50"/>
      <c r="L42" s="50"/>
      <c r="M42" s="50"/>
      <c r="N42" s="50"/>
      <c r="O42" s="50"/>
      <c r="P42" s="50"/>
      <c r="Q42" s="50"/>
      <c r="R42" s="50"/>
      <c r="S42" s="62"/>
      <c r="T42" s="62"/>
      <c r="U42" s="43"/>
      <c r="V42" s="121"/>
      <c r="W42" s="43"/>
      <c r="X42" s="43"/>
      <c r="Y42" s="43"/>
      <c r="Z42" s="43"/>
      <c r="AA42" s="43"/>
      <c r="AB42" s="43"/>
      <c r="AC42" s="43"/>
      <c r="AD42" s="43"/>
      <c r="AE42" s="43"/>
    </row>
    <row r="43" spans="1:31" ht="14.65" customHeight="1" thickBot="1">
      <c r="A43" s="56" t="s">
        <v>685</v>
      </c>
      <c r="B43" s="292"/>
      <c r="C43" s="292"/>
      <c r="D43" s="292"/>
      <c r="E43" s="50"/>
      <c r="F43" s="50"/>
      <c r="G43" s="50"/>
      <c r="H43" s="50"/>
      <c r="I43" s="50"/>
      <c r="J43" s="50"/>
      <c r="K43" s="50"/>
      <c r="L43" s="50"/>
      <c r="M43" s="50"/>
      <c r="N43" s="50"/>
      <c r="O43" s="137">
        <f>+(O44-O39/O38)/108</f>
        <v>964710.02264550247</v>
      </c>
      <c r="P43" s="50"/>
      <c r="Q43" s="50"/>
      <c r="R43" s="50"/>
      <c r="S43" s="62"/>
      <c r="T43" s="62"/>
      <c r="U43" s="50"/>
      <c r="V43" s="43"/>
      <c r="W43" s="43"/>
      <c r="X43" s="43"/>
      <c r="Y43" s="43"/>
      <c r="Z43" s="43"/>
      <c r="AA43" s="43"/>
      <c r="AB43" s="43"/>
      <c r="AC43" s="43"/>
      <c r="AD43" s="43"/>
      <c r="AE43" s="43"/>
    </row>
    <row r="44" spans="1:31" ht="14.65" customHeight="1" thickBot="1">
      <c r="A44" s="56" t="s">
        <v>686</v>
      </c>
      <c r="B44" s="292"/>
      <c r="C44" s="292"/>
      <c r="D44" s="292"/>
      <c r="E44" s="68">
        <v>102500000</v>
      </c>
      <c r="F44" s="68">
        <v>102500000</v>
      </c>
      <c r="G44" s="68">
        <v>102500000</v>
      </c>
      <c r="H44" s="68">
        <v>102500000</v>
      </c>
      <c r="I44" s="68">
        <v>100000000</v>
      </c>
      <c r="J44" s="68">
        <v>100000000</v>
      </c>
      <c r="K44" s="50">
        <f>+J44</f>
        <v>100000000</v>
      </c>
      <c r="L44" s="68">
        <v>100000000</v>
      </c>
      <c r="M44" s="68">
        <v>100000000</v>
      </c>
      <c r="N44" s="50">
        <f>+M44</f>
        <v>100000000</v>
      </c>
      <c r="O44" s="50">
        <f>+O41</f>
        <v>108047569.7942857</v>
      </c>
      <c r="P44" s="50">
        <f>+P41</f>
        <v>111784712.65142855</v>
      </c>
      <c r="Q44" s="50">
        <f>+Q41</f>
        <v>119156841.22285713</v>
      </c>
      <c r="R44" s="50"/>
      <c r="S44" s="101" t="s">
        <v>568</v>
      </c>
      <c r="T44" s="78">
        <v>0.03</v>
      </c>
      <c r="U44" s="64"/>
      <c r="V44" s="55"/>
      <c r="W44" s="55"/>
      <c r="X44" s="59"/>
      <c r="Y44" s="59"/>
      <c r="Z44" s="59"/>
      <c r="AA44" s="59"/>
      <c r="AB44" s="59"/>
      <c r="AC44" s="59"/>
      <c r="AD44" s="43"/>
      <c r="AE44" s="43"/>
    </row>
    <row r="45" spans="1:31" ht="14.65" customHeight="1" thickBot="1">
      <c r="A45" s="56" t="s">
        <v>687</v>
      </c>
      <c r="B45" s="292"/>
      <c r="C45" s="292"/>
      <c r="D45" s="292"/>
      <c r="E45" s="50"/>
      <c r="F45" s="68">
        <v>5430000</v>
      </c>
      <c r="G45" s="68">
        <v>5430000</v>
      </c>
      <c r="H45" s="68">
        <v>5430000</v>
      </c>
      <c r="I45" s="50"/>
      <c r="J45" s="137">
        <f>+I45*1.03</f>
        <v>0</v>
      </c>
      <c r="K45" s="50">
        <f>+J45</f>
        <v>0</v>
      </c>
      <c r="L45" s="50">
        <f>+K45</f>
        <v>0</v>
      </c>
      <c r="M45" s="50">
        <f>+L45</f>
        <v>0</v>
      </c>
      <c r="N45" s="137">
        <f>+M45*1.03</f>
        <v>0</v>
      </c>
      <c r="O45" s="68">
        <v>0</v>
      </c>
      <c r="P45" s="68">
        <v>0</v>
      </c>
      <c r="Q45" s="68">
        <v>0</v>
      </c>
      <c r="R45" s="50"/>
      <c r="S45" s="101" t="s">
        <v>688</v>
      </c>
      <c r="T45" s="78">
        <v>0.03</v>
      </c>
      <c r="U45" s="43"/>
      <c r="V45" s="59"/>
      <c r="W45" s="43"/>
      <c r="X45" s="43"/>
      <c r="Y45" s="43"/>
      <c r="Z45" s="43"/>
      <c r="AA45" s="43"/>
      <c r="AB45" s="43"/>
      <c r="AC45" s="43"/>
      <c r="AD45" s="43"/>
      <c r="AE45" s="43"/>
    </row>
    <row r="46" spans="1:31">
      <c r="A46" s="56" t="s">
        <v>689</v>
      </c>
      <c r="B46" s="292"/>
      <c r="C46" s="292"/>
      <c r="D46" s="292"/>
      <c r="E46" s="68">
        <v>2228571.4285714282</v>
      </c>
      <c r="F46" s="137">
        <f>52*3*50*100*0.2/F38</f>
        <v>2228571.4285714282</v>
      </c>
      <c r="G46" s="137">
        <f>52*3*50*100*0.2/G38</f>
        <v>2228571.4285714282</v>
      </c>
      <c r="H46" s="137">
        <f>52*3*50*100*0.2/H38</f>
        <v>2228571.4285714282</v>
      </c>
      <c r="I46" s="50"/>
      <c r="J46" s="137">
        <f>+I46*1.03</f>
        <v>0</v>
      </c>
      <c r="K46" s="50">
        <f>+J46</f>
        <v>0</v>
      </c>
      <c r="L46" s="50">
        <f>+K46</f>
        <v>0</v>
      </c>
      <c r="M46" s="50">
        <f>+L46</f>
        <v>0</v>
      </c>
      <c r="N46" s="137">
        <f>+M46*1.03</f>
        <v>0</v>
      </c>
      <c r="O46" s="137">
        <f>+N46*1.03</f>
        <v>0</v>
      </c>
      <c r="P46" s="137">
        <f>+O46*1.03</f>
        <v>0</v>
      </c>
      <c r="Q46" s="137">
        <f>+P46*1.03</f>
        <v>0</v>
      </c>
      <c r="R46" s="50"/>
      <c r="S46" s="62"/>
      <c r="T46" s="62"/>
      <c r="U46" s="43"/>
      <c r="V46" s="76"/>
      <c r="W46" s="43"/>
      <c r="X46" s="43"/>
      <c r="Y46" s="43"/>
      <c r="Z46" s="43"/>
      <c r="AA46" s="43"/>
      <c r="AB46" s="43"/>
      <c r="AC46" s="43"/>
      <c r="AD46" s="43"/>
      <c r="AE46" s="43"/>
    </row>
    <row r="47" spans="1:31">
      <c r="A47" s="56" t="s">
        <v>690</v>
      </c>
      <c r="B47" s="292"/>
      <c r="C47" s="292"/>
      <c r="D47" s="292"/>
      <c r="E47" s="50"/>
      <c r="F47" s="50"/>
      <c r="G47" s="50"/>
      <c r="H47" s="50"/>
      <c r="I47" s="50"/>
      <c r="J47" s="50"/>
      <c r="K47" s="50"/>
      <c r="L47" s="50"/>
      <c r="M47" s="50"/>
      <c r="N47" s="50"/>
      <c r="O47" s="50"/>
      <c r="P47" s="50"/>
      <c r="Q47" s="50"/>
      <c r="R47" s="50"/>
      <c r="S47" s="327"/>
      <c r="T47" s="62"/>
      <c r="U47" s="64"/>
      <c r="V47" s="55"/>
      <c r="W47" s="55"/>
      <c r="X47" s="59"/>
      <c r="Y47" s="59"/>
      <c r="Z47" s="59"/>
      <c r="AA47" s="59"/>
      <c r="AB47" s="59"/>
      <c r="AC47" s="59"/>
      <c r="AD47" s="43"/>
      <c r="AE47" s="43"/>
    </row>
    <row r="48" spans="1:31">
      <c r="A48" s="56" t="s">
        <v>691</v>
      </c>
      <c r="B48" s="292"/>
      <c r="C48" s="292"/>
      <c r="D48" s="292"/>
      <c r="E48" s="68">
        <v>398848</v>
      </c>
      <c r="F48" s="68">
        <v>230000</v>
      </c>
      <c r="G48" s="68">
        <v>230000</v>
      </c>
      <c r="H48" s="68">
        <v>230000</v>
      </c>
      <c r="I48" s="68">
        <v>230000</v>
      </c>
      <c r="J48" s="68">
        <v>230000</v>
      </c>
      <c r="K48" s="68">
        <v>230000</v>
      </c>
      <c r="L48" s="68">
        <v>230000</v>
      </c>
      <c r="M48" s="68">
        <v>230000</v>
      </c>
      <c r="N48" s="68">
        <v>230000</v>
      </c>
      <c r="O48" s="50"/>
      <c r="P48" s="50"/>
      <c r="Q48" s="50"/>
      <c r="R48" s="50"/>
      <c r="S48" s="43"/>
      <c r="T48" s="62"/>
      <c r="U48" s="64"/>
      <c r="V48" s="55"/>
      <c r="W48" s="55"/>
      <c r="X48" s="59"/>
      <c r="Y48" s="59"/>
      <c r="Z48" s="59"/>
      <c r="AA48" s="59"/>
      <c r="AB48" s="59"/>
      <c r="AC48" s="59"/>
      <c r="AD48" s="43"/>
      <c r="AE48" s="43"/>
    </row>
    <row r="49" spans="1:31">
      <c r="A49" s="56" t="s">
        <v>692</v>
      </c>
      <c r="B49" s="292"/>
      <c r="C49" s="292"/>
      <c r="D49" s="292"/>
      <c r="E49" s="68">
        <v>105127419.4285714</v>
      </c>
      <c r="F49" s="136">
        <f t="shared" ref="F49:Q49" si="11">SUM(F44:F48)</f>
        <v>110388571.42857143</v>
      </c>
      <c r="G49" s="136">
        <f t="shared" si="11"/>
        <v>110388571.42857143</v>
      </c>
      <c r="H49" s="136">
        <f t="shared" si="11"/>
        <v>110388571.42857143</v>
      </c>
      <c r="I49" s="136">
        <f t="shared" si="11"/>
        <v>100230000</v>
      </c>
      <c r="J49" s="136">
        <f t="shared" si="11"/>
        <v>100230000</v>
      </c>
      <c r="K49" s="136">
        <f t="shared" si="11"/>
        <v>100230000</v>
      </c>
      <c r="L49" s="136">
        <f t="shared" si="11"/>
        <v>100230000</v>
      </c>
      <c r="M49" s="136">
        <f t="shared" si="11"/>
        <v>100230000</v>
      </c>
      <c r="N49" s="136">
        <f t="shared" si="11"/>
        <v>100230000</v>
      </c>
      <c r="O49" s="136">
        <f t="shared" si="11"/>
        <v>108047569.7942857</v>
      </c>
      <c r="P49" s="136">
        <f t="shared" si="11"/>
        <v>111784712.65142855</v>
      </c>
      <c r="Q49" s="136">
        <f t="shared" si="11"/>
        <v>119156841.22285713</v>
      </c>
      <c r="R49" s="50"/>
      <c r="S49" s="43"/>
      <c r="T49" s="69"/>
      <c r="U49" s="64"/>
      <c r="V49" s="55"/>
      <c r="W49" s="55"/>
      <c r="X49" s="59"/>
      <c r="Y49" s="59"/>
      <c r="Z49" s="59"/>
      <c r="AA49" s="59"/>
      <c r="AB49" s="59"/>
      <c r="AC49" s="59"/>
      <c r="AD49" s="43"/>
      <c r="AE49" s="43"/>
    </row>
    <row r="50" spans="1:31">
      <c r="A50" s="292"/>
      <c r="B50" s="292"/>
      <c r="C50" s="292"/>
      <c r="D50" s="292"/>
      <c r="E50" s="50"/>
      <c r="F50" s="50"/>
      <c r="G50" s="50"/>
      <c r="H50" s="50"/>
      <c r="I50" s="50"/>
      <c r="J50" s="50"/>
      <c r="K50" s="50"/>
      <c r="L50" s="50"/>
      <c r="M50" s="50"/>
      <c r="N50" s="50"/>
      <c r="O50" s="50"/>
      <c r="P50" s="50"/>
      <c r="Q50" s="50"/>
      <c r="R50" s="50"/>
      <c r="S50" s="43"/>
      <c r="T50" s="62"/>
      <c r="U50" s="64"/>
      <c r="V50" s="55"/>
      <c r="W50" s="55"/>
      <c r="X50" s="59"/>
      <c r="Y50" s="59"/>
      <c r="Z50" s="59"/>
      <c r="AA50" s="59"/>
      <c r="AB50" s="59"/>
      <c r="AC50" s="59"/>
      <c r="AD50" s="43"/>
      <c r="AE50" s="43"/>
    </row>
    <row r="51" spans="1:31">
      <c r="A51" s="56" t="s">
        <v>693</v>
      </c>
      <c r="B51" s="292"/>
      <c r="C51" s="292"/>
      <c r="D51" s="292"/>
      <c r="E51" s="68">
        <v>834.86832258379559</v>
      </c>
      <c r="F51" s="68">
        <v>750</v>
      </c>
      <c r="G51" s="68">
        <v>725</v>
      </c>
      <c r="H51" s="68">
        <v>725</v>
      </c>
      <c r="I51" s="68">
        <v>925.92600000000004</v>
      </c>
      <c r="J51" s="68">
        <v>800</v>
      </c>
      <c r="K51" s="68">
        <v>900</v>
      </c>
      <c r="L51" s="68">
        <v>1100</v>
      </c>
      <c r="M51" s="137">
        <f>+L51*1.03</f>
        <v>1133</v>
      </c>
      <c r="N51" s="137">
        <f>+M51*1.03</f>
        <v>1166.99</v>
      </c>
      <c r="O51" s="137">
        <f>+N51*1.03</f>
        <v>1201.9997000000001</v>
      </c>
      <c r="P51" s="137">
        <f>+O51*1.03</f>
        <v>1238.0596910000002</v>
      </c>
      <c r="Q51" s="137">
        <f>+P51*1.03</f>
        <v>1275.2014817300003</v>
      </c>
      <c r="R51" s="50"/>
      <c r="S51" s="43"/>
      <c r="T51" s="301"/>
      <c r="U51" s="50"/>
      <c r="V51" s="43"/>
      <c r="W51" s="43"/>
      <c r="X51" s="43"/>
      <c r="Y51" s="43"/>
      <c r="Z51" s="43"/>
      <c r="AA51" s="43"/>
      <c r="AB51" s="43"/>
      <c r="AC51" s="43"/>
      <c r="AD51" s="43"/>
      <c r="AE51" s="43"/>
    </row>
    <row r="52" spans="1:31" s="2" customFormat="1">
      <c r="A52" s="56" t="s">
        <v>694</v>
      </c>
      <c r="B52" s="292"/>
      <c r="C52" s="292"/>
      <c r="D52" s="292"/>
      <c r="E52" s="68">
        <v>90165778.83904992</v>
      </c>
      <c r="F52" s="137">
        <f t="shared" ref="F52:Q52" si="12">+F51*108*1000</f>
        <v>81000000</v>
      </c>
      <c r="G52" s="137">
        <f t="shared" si="12"/>
        <v>78300000</v>
      </c>
      <c r="H52" s="137">
        <f t="shared" si="12"/>
        <v>78300000</v>
      </c>
      <c r="I52" s="137">
        <f t="shared" si="12"/>
        <v>100000008</v>
      </c>
      <c r="J52" s="137">
        <f t="shared" si="12"/>
        <v>86400000</v>
      </c>
      <c r="K52" s="137">
        <f t="shared" si="12"/>
        <v>97200000</v>
      </c>
      <c r="L52" s="137">
        <f t="shared" si="12"/>
        <v>118800000</v>
      </c>
      <c r="M52" s="137">
        <f t="shared" si="12"/>
        <v>122364000</v>
      </c>
      <c r="N52" s="137">
        <f t="shared" si="12"/>
        <v>126034920</v>
      </c>
      <c r="O52" s="137">
        <f t="shared" si="12"/>
        <v>129815967.60000001</v>
      </c>
      <c r="P52" s="137">
        <f t="shared" si="12"/>
        <v>133710446.62800001</v>
      </c>
      <c r="Q52" s="137">
        <f t="shared" si="12"/>
        <v>137721760.02684003</v>
      </c>
      <c r="R52" s="50"/>
      <c r="S52" s="43"/>
      <c r="T52" s="43"/>
      <c r="U52" s="43"/>
      <c r="V52" s="50"/>
      <c r="W52" s="43"/>
      <c r="X52" s="43"/>
      <c r="Y52" s="43"/>
      <c r="Z52" s="43"/>
      <c r="AA52" s="43"/>
      <c r="AB52" s="43"/>
      <c r="AC52" s="43"/>
      <c r="AD52" s="43"/>
      <c r="AE52" s="43"/>
    </row>
    <row r="53" spans="1:31">
      <c r="A53" s="292"/>
      <c r="B53" s="292"/>
      <c r="C53" s="292"/>
      <c r="D53" s="292"/>
      <c r="E53" s="50"/>
      <c r="F53" s="50"/>
      <c r="G53" s="352"/>
      <c r="H53" s="50"/>
      <c r="I53" s="50"/>
      <c r="J53" s="50"/>
      <c r="K53" s="50"/>
      <c r="L53" s="50"/>
      <c r="M53" s="50"/>
      <c r="N53" s="50"/>
      <c r="O53" s="50"/>
      <c r="P53" s="50"/>
      <c r="Q53" s="50"/>
      <c r="R53" s="50"/>
      <c r="S53" s="43"/>
      <c r="T53" s="70"/>
      <c r="U53" s="64"/>
      <c r="V53" s="55"/>
      <c r="W53" s="55"/>
      <c r="X53" s="59"/>
      <c r="Y53" s="59"/>
      <c r="Z53" s="59"/>
      <c r="AA53" s="59"/>
      <c r="AB53" s="59"/>
      <c r="AC53" s="59"/>
      <c r="AD53" s="43"/>
      <c r="AE53" s="43"/>
    </row>
    <row r="54" spans="1:31">
      <c r="A54" s="56" t="s">
        <v>695</v>
      </c>
      <c r="B54" s="292"/>
      <c r="C54" s="292"/>
      <c r="D54" s="292"/>
      <c r="E54" s="68">
        <v>105127419.4285714</v>
      </c>
      <c r="F54" s="50">
        <f t="shared" ref="F54:Q54" si="13">+F49</f>
        <v>110388571.42857143</v>
      </c>
      <c r="G54" s="50">
        <f t="shared" si="13"/>
        <v>110388571.42857143</v>
      </c>
      <c r="H54" s="50">
        <f t="shared" si="13"/>
        <v>110388571.42857143</v>
      </c>
      <c r="I54" s="50">
        <f t="shared" si="13"/>
        <v>100230000</v>
      </c>
      <c r="J54" s="50">
        <f t="shared" si="13"/>
        <v>100230000</v>
      </c>
      <c r="K54" s="50">
        <f t="shared" si="13"/>
        <v>100230000</v>
      </c>
      <c r="L54" s="50">
        <f t="shared" si="13"/>
        <v>100230000</v>
      </c>
      <c r="M54" s="50">
        <f t="shared" si="13"/>
        <v>100230000</v>
      </c>
      <c r="N54" s="50">
        <f t="shared" si="13"/>
        <v>100230000</v>
      </c>
      <c r="O54" s="50">
        <f t="shared" si="13"/>
        <v>108047569.7942857</v>
      </c>
      <c r="P54" s="50">
        <f t="shared" si="13"/>
        <v>111784712.65142855</v>
      </c>
      <c r="Q54" s="50">
        <f t="shared" si="13"/>
        <v>119156841.22285713</v>
      </c>
      <c r="R54" s="50"/>
      <c r="S54" s="43"/>
      <c r="T54" s="62"/>
      <c r="U54" s="64"/>
      <c r="V54" s="55"/>
      <c r="W54" s="55"/>
      <c r="X54" s="43"/>
      <c r="Y54" s="43"/>
      <c r="Z54" s="43"/>
      <c r="AA54" s="43"/>
      <c r="AB54" s="43"/>
      <c r="AC54" s="43"/>
      <c r="AD54" s="43"/>
      <c r="AE54" s="43"/>
    </row>
    <row r="55" spans="1:31" s="2" customFormat="1">
      <c r="A55" s="43"/>
      <c r="B55" s="43"/>
      <c r="C55" s="43"/>
      <c r="D55" s="43"/>
      <c r="E55" s="50"/>
      <c r="F55" s="50"/>
      <c r="G55" s="50"/>
      <c r="H55" s="50"/>
      <c r="I55" s="50"/>
      <c r="J55" s="50"/>
      <c r="K55" s="50"/>
      <c r="L55" s="50"/>
      <c r="M55" s="50"/>
      <c r="N55" s="50"/>
      <c r="O55" s="50">
        <f>+O57-N57</f>
        <v>-13230920.366285712</v>
      </c>
      <c r="P55" s="50">
        <f>+P25</f>
        <v>0</v>
      </c>
      <c r="Q55" s="50"/>
      <c r="R55" s="50"/>
      <c r="S55" s="62"/>
      <c r="T55" s="70"/>
      <c r="U55" s="43"/>
      <c r="V55" s="43"/>
      <c r="W55" s="43"/>
      <c r="X55" s="43"/>
      <c r="Y55" s="43"/>
      <c r="Z55" s="43"/>
      <c r="AA55" s="43"/>
      <c r="AB55" s="43"/>
      <c r="AC55" s="43"/>
      <c r="AD55" s="43"/>
      <c r="AE55" s="43"/>
    </row>
    <row r="56" spans="1:31">
      <c r="A56" s="56" t="s">
        <v>577</v>
      </c>
      <c r="B56" s="292"/>
      <c r="C56" s="292"/>
      <c r="D56" s="292"/>
      <c r="E56" s="50"/>
      <c r="F56" s="50"/>
      <c r="G56" s="50"/>
      <c r="H56" s="50"/>
      <c r="I56" s="50"/>
      <c r="J56" s="50"/>
      <c r="K56" s="137">
        <f>+K58/0.7</f>
        <v>0</v>
      </c>
      <c r="L56" s="50"/>
      <c r="M56" s="50"/>
      <c r="N56" s="282">
        <f>-N57/N49</f>
        <v>0.56869200838072431</v>
      </c>
      <c r="O56" s="143">
        <f>-O57/O49</f>
        <v>0.65</v>
      </c>
      <c r="P56" s="282">
        <f>-P57/P49</f>
        <v>0.62826945384994193</v>
      </c>
      <c r="Q56" s="282">
        <f>-Q57/Q49</f>
        <v>0.58939897739428948</v>
      </c>
      <c r="R56" s="67" t="s">
        <v>696</v>
      </c>
      <c r="S56" s="62"/>
      <c r="T56" s="62"/>
      <c r="U56" s="43"/>
      <c r="V56" s="43"/>
      <c r="W56" s="43"/>
      <c r="X56" s="43"/>
      <c r="Y56" s="59"/>
      <c r="Z56" s="43"/>
      <c r="AA56" s="43"/>
      <c r="AB56" s="43"/>
      <c r="AC56" s="43"/>
      <c r="AD56" s="43"/>
      <c r="AE56" s="43"/>
    </row>
    <row r="57" spans="1:31">
      <c r="A57" s="284" t="s">
        <v>578</v>
      </c>
      <c r="B57" s="325"/>
      <c r="C57" s="325"/>
      <c r="D57" s="325"/>
      <c r="E57" s="290">
        <v>-53500000</v>
      </c>
      <c r="F57" s="290">
        <v>-53500000</v>
      </c>
      <c r="G57" s="290">
        <v>-53500000</v>
      </c>
      <c r="H57" s="290">
        <v>-56398369</v>
      </c>
      <c r="I57" s="290">
        <v>-56398369</v>
      </c>
      <c r="J57" s="290">
        <v>-57000000</v>
      </c>
      <c r="K57" s="290">
        <v>-57000000</v>
      </c>
      <c r="L57" s="290">
        <v>-57000000</v>
      </c>
      <c r="M57" s="290">
        <v>-57000000</v>
      </c>
      <c r="N57" s="290">
        <v>-57000000</v>
      </c>
      <c r="O57" s="287">
        <f>-O49*R57</f>
        <v>-70230920.366285712</v>
      </c>
      <c r="P57" s="287">
        <f>+O57</f>
        <v>-70230920.366285712</v>
      </c>
      <c r="Q57" s="287">
        <f>+O57</f>
        <v>-70230920.366285712</v>
      </c>
      <c r="R57" s="353">
        <v>0.65</v>
      </c>
      <c r="S57" s="354"/>
      <c r="T57" s="355"/>
      <c r="U57" s="43"/>
      <c r="V57" s="355"/>
      <c r="W57" s="50"/>
      <c r="X57" s="50"/>
      <c r="Y57" s="43"/>
      <c r="Z57" s="43"/>
      <c r="AA57" s="43"/>
      <c r="AB57" s="43"/>
      <c r="AC57" s="50"/>
      <c r="AD57" s="43"/>
      <c r="AE57" s="43"/>
    </row>
    <row r="58" spans="1:31">
      <c r="A58" s="284" t="s">
        <v>697</v>
      </c>
      <c r="B58" s="325"/>
      <c r="C58" s="325"/>
      <c r="D58" s="325"/>
      <c r="E58" s="290">
        <v>0</v>
      </c>
      <c r="F58" s="290">
        <v>0</v>
      </c>
      <c r="G58" s="290">
        <v>0</v>
      </c>
      <c r="H58" s="290">
        <v>0</v>
      </c>
      <c r="I58" s="290">
        <v>0</v>
      </c>
      <c r="J58" s="287"/>
      <c r="K58" s="287"/>
      <c r="L58" s="287"/>
      <c r="M58" s="287"/>
      <c r="N58" s="287"/>
      <c r="O58" s="287"/>
      <c r="P58" s="287"/>
      <c r="Q58" s="287"/>
      <c r="R58" s="287"/>
      <c r="S58" s="111"/>
      <c r="T58" s="51"/>
      <c r="U58" s="43"/>
      <c r="V58" s="50"/>
      <c r="W58" s="50"/>
      <c r="X58" s="50"/>
      <c r="Y58" s="43"/>
      <c r="Z58" s="43"/>
      <c r="AA58" s="43"/>
      <c r="AB58" s="43"/>
      <c r="AC58" s="50"/>
      <c r="AD58" s="43"/>
      <c r="AE58" s="43"/>
    </row>
    <row r="59" spans="1:31">
      <c r="A59" s="284" t="s">
        <v>698</v>
      </c>
      <c r="B59" s="325"/>
      <c r="C59" s="325"/>
      <c r="D59" s="325"/>
      <c r="E59" s="290">
        <v>-16609895</v>
      </c>
      <c r="F59" s="287">
        <f t="shared" ref="F59:Q59" si="14">-E101</f>
        <v>-16609895</v>
      </c>
      <c r="G59" s="287">
        <f t="shared" si="14"/>
        <v>-16609895</v>
      </c>
      <c r="H59" s="287">
        <f t="shared" si="14"/>
        <v>-16609895</v>
      </c>
      <c r="I59" s="287">
        <f t="shared" si="14"/>
        <v>-16609895</v>
      </c>
      <c r="J59" s="287">
        <f t="shared" si="14"/>
        <v>-16609895</v>
      </c>
      <c r="K59" s="287">
        <f t="shared" si="14"/>
        <v>-16609895</v>
      </c>
      <c r="L59" s="287">
        <f t="shared" si="14"/>
        <v>-16609895</v>
      </c>
      <c r="M59" s="287">
        <f t="shared" si="14"/>
        <v>-16609895</v>
      </c>
      <c r="N59" s="287">
        <f t="shared" si="14"/>
        <v>-16609895</v>
      </c>
      <c r="O59" s="287">
        <f t="shared" si="14"/>
        <v>-16609895</v>
      </c>
      <c r="P59" s="287">
        <f t="shared" si="14"/>
        <v>-16609895</v>
      </c>
      <c r="Q59" s="287">
        <f t="shared" si="14"/>
        <v>-16609895</v>
      </c>
      <c r="R59" s="287"/>
      <c r="S59" s="111"/>
      <c r="T59" s="51"/>
      <c r="U59" s="43"/>
      <c r="V59" s="50"/>
      <c r="W59" s="50"/>
      <c r="X59" s="50"/>
      <c r="Y59" s="50"/>
      <c r="Z59" s="50"/>
      <c r="AA59" s="347"/>
      <c r="AB59" s="50"/>
      <c r="AC59" s="50"/>
      <c r="AD59" s="55"/>
      <c r="AE59" s="347"/>
    </row>
    <row r="60" spans="1:31">
      <c r="A60" s="284" t="s">
        <v>699</v>
      </c>
      <c r="B60" s="325"/>
      <c r="C60" s="325"/>
      <c r="D60" s="325"/>
      <c r="E60" s="290">
        <v>-175237.23466303569</v>
      </c>
      <c r="F60" s="287">
        <f t="shared" ref="F60:Q60" si="15">-E105</f>
        <v>-1030760.7377965674</v>
      </c>
      <c r="G60" s="287">
        <f t="shared" si="15"/>
        <v>-1940133.0543283708</v>
      </c>
      <c r="H60" s="287">
        <f t="shared" si="15"/>
        <v>-2907160.8664243147</v>
      </c>
      <c r="I60" s="287">
        <f t="shared" si="15"/>
        <v>-3924600.6124875918</v>
      </c>
      <c r="J60" s="287">
        <f t="shared" si="15"/>
        <v>-4971225.8863234632</v>
      </c>
      <c r="K60" s="287">
        <f t="shared" si="15"/>
        <v>-6083728.4024119116</v>
      </c>
      <c r="L60" s="287">
        <f t="shared" si="15"/>
        <v>-7266765.1570244245</v>
      </c>
      <c r="M60" s="287">
        <f t="shared" si="15"/>
        <v>-8511474.5646966249</v>
      </c>
      <c r="N60" s="287">
        <f t="shared" si="15"/>
        <v>-14122937.240704596</v>
      </c>
      <c r="O60" s="287">
        <f t="shared" si="15"/>
        <v>-11822467.65170062</v>
      </c>
      <c r="P60" s="287">
        <f t="shared" si="15"/>
        <v>-18077587.435074754</v>
      </c>
      <c r="Q60" s="287">
        <f t="shared" si="15"/>
        <v>-25708833.5707912</v>
      </c>
      <c r="R60" s="287"/>
      <c r="S60" s="62"/>
      <c r="T60" s="51"/>
      <c r="U60" s="43"/>
      <c r="V60" s="50"/>
      <c r="W60" s="50"/>
      <c r="X60" s="50"/>
      <c r="Y60" s="50"/>
      <c r="Z60" s="50"/>
      <c r="AA60" s="347"/>
      <c r="AB60" s="50"/>
      <c r="AC60" s="50"/>
      <c r="AD60" s="55"/>
      <c r="AE60" s="347"/>
    </row>
    <row r="61" spans="1:31">
      <c r="A61" s="284" t="s">
        <v>700</v>
      </c>
      <c r="B61" s="325"/>
      <c r="C61" s="325"/>
      <c r="D61" s="325"/>
      <c r="E61" s="290">
        <v>-3477380.5277468348</v>
      </c>
      <c r="F61" s="287">
        <f t="shared" ref="F61:Q61" si="16">-F113-F119-F128</f>
        <v>-3732757.9684618833</v>
      </c>
      <c r="G61" s="287">
        <f t="shared" si="16"/>
        <v>-3999499.7947749021</v>
      </c>
      <c r="H61" s="287">
        <f t="shared" si="16"/>
        <v>-4278178.106513653</v>
      </c>
      <c r="I61" s="287">
        <f t="shared" si="16"/>
        <v>-4566213.8016313929</v>
      </c>
      <c r="J61" s="287">
        <f t="shared" si="16"/>
        <v>-4857344.0840465482</v>
      </c>
      <c r="K61" s="287">
        <f t="shared" si="16"/>
        <v>-5161429.7660433883</v>
      </c>
      <c r="L61" s="287">
        <f t="shared" si="16"/>
        <v>-5479123.0414255653</v>
      </c>
      <c r="M61" s="287">
        <f t="shared" si="16"/>
        <v>-5807483.7338597886</v>
      </c>
      <c r="N61" s="287">
        <f t="shared" si="16"/>
        <v>-7222531.4566001603</v>
      </c>
      <c r="O61" s="287">
        <f t="shared" si="16"/>
        <v>-8840402.1757587865</v>
      </c>
      <c r="P61" s="287">
        <f t="shared" si="16"/>
        <v>-10680058.480365019</v>
      </c>
      <c r="Q61" s="287">
        <f t="shared" si="16"/>
        <v>-12777266.667616121</v>
      </c>
      <c r="R61" s="287"/>
      <c r="S61" s="62"/>
      <c r="T61" s="51"/>
      <c r="U61" s="43"/>
      <c r="V61" s="50"/>
      <c r="W61" s="50"/>
      <c r="X61" s="50"/>
      <c r="Y61" s="50"/>
      <c r="Z61" s="50"/>
      <c r="AA61" s="347"/>
      <c r="AB61" s="50"/>
      <c r="AC61" s="50"/>
      <c r="AD61" s="55"/>
      <c r="AE61" s="347"/>
    </row>
    <row r="62" spans="1:31" s="16" customFormat="1" ht="13" customHeight="1">
      <c r="A62" s="56" t="s">
        <v>701</v>
      </c>
      <c r="B62" s="43"/>
      <c r="C62" s="43"/>
      <c r="D62" s="43"/>
      <c r="E62" s="290">
        <v>-4300000</v>
      </c>
      <c r="F62" s="287">
        <f t="shared" ref="F62:Q62" si="17">-F112-F118-F123</f>
        <v>-4300000</v>
      </c>
      <c r="G62" s="287">
        <f t="shared" si="17"/>
        <v>-4300000</v>
      </c>
      <c r="H62" s="287">
        <f t="shared" si="17"/>
        <v>-4300000</v>
      </c>
      <c r="I62" s="287">
        <f t="shared" si="17"/>
        <v>-4300000</v>
      </c>
      <c r="J62" s="287">
        <f t="shared" si="17"/>
        <v>-4300000</v>
      </c>
      <c r="K62" s="287">
        <f t="shared" si="17"/>
        <v>-4300000</v>
      </c>
      <c r="L62" s="287">
        <f t="shared" si="17"/>
        <v>-4300000</v>
      </c>
      <c r="M62" s="287">
        <f t="shared" si="17"/>
        <v>-4300000</v>
      </c>
      <c r="N62" s="287">
        <f t="shared" si="17"/>
        <v>-4300000</v>
      </c>
      <c r="O62" s="287">
        <f t="shared" si="17"/>
        <v>-4300000</v>
      </c>
      <c r="P62" s="287">
        <f t="shared" si="17"/>
        <v>-4300000</v>
      </c>
      <c r="Q62" s="287">
        <f t="shared" si="17"/>
        <v>-4300000</v>
      </c>
      <c r="R62" s="287"/>
      <c r="S62" s="356"/>
      <c r="T62" s="357"/>
      <c r="U62" s="43"/>
      <c r="V62" s="287"/>
      <c r="W62" s="287"/>
      <c r="X62" s="287"/>
      <c r="Y62" s="287"/>
      <c r="Z62" s="287"/>
      <c r="AA62" s="358"/>
      <c r="AB62" s="287"/>
      <c r="AC62" s="287"/>
      <c r="AD62" s="359"/>
      <c r="AE62" s="358"/>
    </row>
    <row r="63" spans="1:31">
      <c r="A63" s="284" t="s">
        <v>584</v>
      </c>
      <c r="B63" s="325"/>
      <c r="C63" s="325"/>
      <c r="D63" s="325"/>
      <c r="E63" s="50"/>
      <c r="F63" s="50"/>
      <c r="G63" s="50"/>
      <c r="H63" s="50"/>
      <c r="I63" s="68">
        <v>-853667.52</v>
      </c>
      <c r="J63" s="50">
        <f>I63</f>
        <v>-853667.52</v>
      </c>
      <c r="K63" s="50">
        <f>J63</f>
        <v>-853667.52</v>
      </c>
      <c r="L63" s="50">
        <f>K63</f>
        <v>-853667.52</v>
      </c>
      <c r="M63" s="50"/>
      <c r="N63" s="50"/>
      <c r="O63" s="50"/>
      <c r="P63" s="50"/>
      <c r="Q63" s="50"/>
      <c r="R63" s="50"/>
      <c r="S63" s="62"/>
      <c r="T63" s="62"/>
      <c r="U63" s="43"/>
      <c r="V63" s="50"/>
      <c r="W63" s="50"/>
      <c r="X63" s="50"/>
      <c r="Y63" s="50"/>
      <c r="Z63" s="50"/>
      <c r="AA63" s="347"/>
      <c r="AB63" s="50"/>
      <c r="AC63" s="50"/>
      <c r="AD63" s="55"/>
      <c r="AE63" s="347"/>
    </row>
    <row r="64" spans="1:31">
      <c r="A64" s="46" t="s">
        <v>702</v>
      </c>
      <c r="B64" s="43"/>
      <c r="C64" s="43"/>
      <c r="D64" s="43"/>
      <c r="E64" s="50"/>
      <c r="F64" s="140">
        <v>-215000</v>
      </c>
      <c r="G64" s="360">
        <f>+F64-74000</f>
        <v>-289000</v>
      </c>
      <c r="H64" s="141"/>
      <c r="I64" s="140">
        <v>-289495</v>
      </c>
      <c r="J64" s="194">
        <f>SUM(J24:J27)+I64</f>
        <v>-1289495</v>
      </c>
      <c r="K64" s="194">
        <f>SUM(K24:K27)+J64</f>
        <v>-1909495</v>
      </c>
      <c r="L64" s="194">
        <f>SUM(L24:L27)+K64</f>
        <v>-1909495</v>
      </c>
      <c r="M64" s="194">
        <f>SUM(M24:M27)+L64</f>
        <v>-2659495</v>
      </c>
      <c r="N64" s="360">
        <f>+M64*(1+$T$64)</f>
        <v>-3058419.2499999995</v>
      </c>
      <c r="O64" s="360">
        <f>+N64*(1+$T$64)</f>
        <v>-3517182.1374999993</v>
      </c>
      <c r="P64" s="141"/>
      <c r="Q64" s="141"/>
      <c r="R64" s="50"/>
      <c r="S64" s="95" t="s">
        <v>703</v>
      </c>
      <c r="T64" s="78">
        <v>0.15</v>
      </c>
      <c r="U64" s="43"/>
      <c r="V64" s="50"/>
      <c r="W64" s="50"/>
      <c r="X64" s="50"/>
      <c r="Y64" s="50"/>
      <c r="Z64" s="50"/>
      <c r="AA64" s="347"/>
      <c r="AB64" s="50"/>
      <c r="AC64" s="50"/>
      <c r="AD64" s="55"/>
      <c r="AE64" s="347"/>
    </row>
    <row r="65" spans="1:31">
      <c r="A65" s="46" t="s">
        <v>587</v>
      </c>
      <c r="B65" s="43"/>
      <c r="C65" s="43"/>
      <c r="D65" s="43"/>
      <c r="E65" s="68">
        <v>-78062512.762409881</v>
      </c>
      <c r="F65" s="136">
        <f t="shared" ref="F65:Q65" si="18">SUM(F57:F64)</f>
        <v>-79388413.706258461</v>
      </c>
      <c r="G65" s="136">
        <f t="shared" si="18"/>
        <v>-80638527.849103272</v>
      </c>
      <c r="H65" s="136">
        <f t="shared" si="18"/>
        <v>-84493602.972937971</v>
      </c>
      <c r="I65" s="136">
        <f t="shared" si="18"/>
        <v>-86942240.934118971</v>
      </c>
      <c r="J65" s="136">
        <f t="shared" si="18"/>
        <v>-89881627.490370005</v>
      </c>
      <c r="K65" s="136">
        <f t="shared" si="18"/>
        <v>-91918215.688455299</v>
      </c>
      <c r="L65" s="136">
        <f t="shared" si="18"/>
        <v>-93418945.718449995</v>
      </c>
      <c r="M65" s="136">
        <f t="shared" si="18"/>
        <v>-94888348.298556417</v>
      </c>
      <c r="N65" s="136">
        <f t="shared" si="18"/>
        <v>-102313782.94730476</v>
      </c>
      <c r="O65" s="136">
        <f t="shared" si="18"/>
        <v>-115320867.33124511</v>
      </c>
      <c r="P65" s="136">
        <f t="shared" si="18"/>
        <v>-119898461.28172548</v>
      </c>
      <c r="Q65" s="136">
        <f t="shared" si="18"/>
        <v>-129626915.60469303</v>
      </c>
      <c r="R65" s="66"/>
      <c r="S65" s="62"/>
      <c r="T65" s="62"/>
      <c r="U65" s="43"/>
      <c r="V65" s="50"/>
      <c r="W65" s="50"/>
      <c r="X65" s="50"/>
      <c r="Y65" s="50"/>
      <c r="Z65" s="50"/>
      <c r="AA65" s="347"/>
      <c r="AB65" s="50"/>
      <c r="AC65" s="50"/>
      <c r="AD65" s="55"/>
      <c r="AE65" s="347"/>
    </row>
    <row r="66" spans="1:31">
      <c r="A66" s="72"/>
      <c r="B66" s="72"/>
      <c r="C66" s="72"/>
      <c r="D66" s="72"/>
      <c r="E66" s="50"/>
      <c r="F66" s="50"/>
      <c r="G66" s="50"/>
      <c r="H66" s="50"/>
      <c r="I66" s="50"/>
      <c r="J66" s="50"/>
      <c r="K66" s="50"/>
      <c r="L66" s="50"/>
      <c r="M66" s="50"/>
      <c r="N66" s="50"/>
      <c r="O66" s="50"/>
      <c r="P66" s="50"/>
      <c r="Q66" s="50"/>
      <c r="R66" s="50"/>
      <c r="S66" s="62"/>
      <c r="T66" s="62"/>
      <c r="U66" s="43"/>
      <c r="V66" s="59"/>
      <c r="W66" s="43"/>
      <c r="X66" s="43"/>
      <c r="Y66" s="43"/>
      <c r="Z66" s="43"/>
      <c r="AA66" s="43"/>
      <c r="AB66" s="43"/>
      <c r="AC66" s="43"/>
      <c r="AD66" s="43"/>
      <c r="AE66" s="43"/>
    </row>
    <row r="67" spans="1:31" s="2" customFormat="1">
      <c r="A67" s="101" t="s">
        <v>704</v>
      </c>
      <c r="B67" s="72"/>
      <c r="C67" s="72"/>
      <c r="D67" s="72"/>
      <c r="E67" s="68">
        <v>230475</v>
      </c>
      <c r="F67" s="50"/>
      <c r="G67" s="50"/>
      <c r="H67" s="50"/>
      <c r="I67" s="50"/>
      <c r="J67" s="50"/>
      <c r="K67" s="50"/>
      <c r="L67" s="50"/>
      <c r="M67" s="50"/>
      <c r="N67" s="50"/>
      <c r="O67" s="50"/>
      <c r="P67" s="50"/>
      <c r="Q67" s="50"/>
      <c r="R67" s="50"/>
      <c r="S67" s="62"/>
      <c r="T67" s="62"/>
      <c r="U67" s="43"/>
      <c r="V67" s="59"/>
      <c r="W67" s="43"/>
      <c r="X67" s="43"/>
      <c r="Y67" s="43"/>
      <c r="Z67" s="43"/>
      <c r="AA67" s="43"/>
      <c r="AB67" s="43"/>
      <c r="AC67" s="43"/>
      <c r="AD67" s="43"/>
      <c r="AE67" s="43"/>
    </row>
    <row r="68" spans="1:31" s="2" customFormat="1">
      <c r="A68" s="101" t="s">
        <v>311</v>
      </c>
      <c r="B68" s="72"/>
      <c r="C68" s="72"/>
      <c r="D68" s="72"/>
      <c r="E68" s="68">
        <v>27295381.666161548</v>
      </c>
      <c r="F68" s="50">
        <f t="shared" ref="F68:Q68" si="19">+F54+F65</f>
        <v>31000157.722312972</v>
      </c>
      <c r="G68" s="50">
        <f t="shared" si="19"/>
        <v>29750043.579468161</v>
      </c>
      <c r="H68" s="50">
        <f t="shared" si="19"/>
        <v>25894968.455633461</v>
      </c>
      <c r="I68" s="50">
        <f t="shared" si="19"/>
        <v>13287759.065881029</v>
      </c>
      <c r="J68" s="50">
        <f t="shared" si="19"/>
        <v>10348372.509629995</v>
      </c>
      <c r="K68" s="50">
        <f t="shared" si="19"/>
        <v>8311784.3115447015</v>
      </c>
      <c r="L68" s="50">
        <f t="shared" si="19"/>
        <v>6811054.2815500051</v>
      </c>
      <c r="M68" s="50">
        <f t="shared" si="19"/>
        <v>5341651.7014435828</v>
      </c>
      <c r="N68" s="50">
        <f t="shared" si="19"/>
        <v>-2083782.9473047554</v>
      </c>
      <c r="O68" s="50">
        <f t="shared" si="19"/>
        <v>-7273297.5369594097</v>
      </c>
      <c r="P68" s="50">
        <f t="shared" si="19"/>
        <v>-8113748.6302969307</v>
      </c>
      <c r="Q68" s="50">
        <f t="shared" si="19"/>
        <v>-10470074.381835893</v>
      </c>
      <c r="R68" s="50"/>
      <c r="S68" s="62"/>
      <c r="T68" s="62"/>
      <c r="U68" s="43"/>
      <c r="V68" s="59"/>
      <c r="W68" s="43"/>
      <c r="X68" s="43"/>
      <c r="Y68" s="43"/>
      <c r="Z68" s="43"/>
      <c r="AA68" s="43"/>
      <c r="AB68" s="43"/>
      <c r="AC68" s="43"/>
      <c r="AD68" s="43"/>
      <c r="AE68" s="43"/>
    </row>
    <row r="69" spans="1:31">
      <c r="A69" s="101" t="s">
        <v>705</v>
      </c>
      <c r="B69" s="72"/>
      <c r="C69" s="72"/>
      <c r="D69" s="72"/>
      <c r="E69" s="68">
        <v>7777380.5277468357</v>
      </c>
      <c r="F69" s="50">
        <f t="shared" ref="F69:Q69" si="20">MAX(-(F61+F62)+MIN(F68,0),0)</f>
        <v>8032757.9684618833</v>
      </c>
      <c r="G69" s="50">
        <f t="shared" si="20"/>
        <v>8299499.7947749021</v>
      </c>
      <c r="H69" s="50">
        <f t="shared" si="20"/>
        <v>8578178.106513653</v>
      </c>
      <c r="I69" s="50">
        <f t="shared" si="20"/>
        <v>8866213.8016313929</v>
      </c>
      <c r="J69" s="50">
        <f t="shared" si="20"/>
        <v>9157344.0840465482</v>
      </c>
      <c r="K69" s="50">
        <f t="shared" si="20"/>
        <v>9461429.7660433874</v>
      </c>
      <c r="L69" s="50">
        <f t="shared" si="20"/>
        <v>9779123.0414255653</v>
      </c>
      <c r="M69" s="50">
        <f t="shared" si="20"/>
        <v>10107483.733859789</v>
      </c>
      <c r="N69" s="50">
        <f t="shared" si="20"/>
        <v>9438748.509295404</v>
      </c>
      <c r="O69" s="50">
        <f t="shared" si="20"/>
        <v>5867104.6387993768</v>
      </c>
      <c r="P69" s="50">
        <f t="shared" si="20"/>
        <v>6866309.8500680886</v>
      </c>
      <c r="Q69" s="50">
        <f t="shared" si="20"/>
        <v>6607192.2857802287</v>
      </c>
      <c r="R69" s="54"/>
      <c r="S69" s="62"/>
      <c r="T69" s="69"/>
      <c r="U69" s="43"/>
      <c r="V69" s="59"/>
      <c r="W69" s="43"/>
      <c r="X69" s="43"/>
      <c r="Y69" s="43"/>
      <c r="Z69" s="43"/>
      <c r="AA69" s="43"/>
      <c r="AB69" s="43"/>
      <c r="AC69" s="43"/>
      <c r="AD69" s="43"/>
      <c r="AE69" s="43"/>
    </row>
    <row r="70" spans="1:31">
      <c r="A70" s="101" t="s">
        <v>706</v>
      </c>
      <c r="B70" s="72"/>
      <c r="C70" s="72"/>
      <c r="D70" s="72"/>
      <c r="E70" s="68">
        <v>7777380.5277468357</v>
      </c>
      <c r="F70" s="50">
        <f>+F69</f>
        <v>8032757.9684618833</v>
      </c>
      <c r="G70" s="50">
        <f>+G69</f>
        <v>8299499.7947749021</v>
      </c>
      <c r="H70" s="50">
        <f>+H69</f>
        <v>8578178.106513653</v>
      </c>
      <c r="I70" s="137">
        <f>IF(COUNTIF(I$69:$Q$69,"&lt;=0")&gt;0,0,MIN(I$69:$Q$69)/((1+$T$70)^(($Q$1-I$1)/365)))</f>
        <v>3046096.6111621968</v>
      </c>
      <c r="J70" s="137">
        <f>IF(COUNTIF(J$69:$Q$69,"&lt;=0")&gt;0,0,MIN(J$69:$Q$69)/((1+$T$70)^(($Q$1-J$1)/365)))</f>
        <v>3146117.9941913676</v>
      </c>
      <c r="K70" s="137">
        <f>IF(COUNTIF(K$69:$Q$69,"&lt;=0")&gt;0,0,MIN(K$69:$Q$69)/((1+$T$70)^(($Q$1-K$1)/365)))</f>
        <v>3250590.3638135721</v>
      </c>
      <c r="L70" s="137">
        <f>IF(COUNTIF(L$69:$Q$69,"&lt;=0")&gt;0,0,MIN(L$69:$Q$69)/((1+$T$70)^(($Q$1-L$1)/365)))</f>
        <v>3359737.7892177058</v>
      </c>
      <c r="M70" s="137">
        <f>IF(COUNTIF(M$69:$Q$69,"&lt;=0")&gt;0,0,MIN(M$69:$Q$69)/((1+$T$70)^(($Q$1-M$1)/365)))</f>
        <v>3472550.1367249042</v>
      </c>
      <c r="N70" s="137">
        <f>IF(COUNTIF(N$69:$Q$69,"&lt;=0")&gt;0,0,MIN(N$69:$Q$69)/((1+$T$70)^(($Q$1-N$1)/365)))</f>
        <v>3958707.1558663915</v>
      </c>
      <c r="O70" s="137">
        <f>IF(COUNTIF(O$69:$Q$69,"&lt;=0")&gt;0,0,MIN(O$69:$Q$69)/((1+$T$70)^(($Q$1-O$1)/365)))</f>
        <v>4514546.5056935791</v>
      </c>
      <c r="P70" s="137">
        <f>IF(COUNTIF(P$69:$Q$69,"&lt;=0")&gt;0,0,MIN(P$69:$Q$69)/((1+$T$70)^(($Q$1-P$1)/365)))</f>
        <v>5795782.7068247618</v>
      </c>
      <c r="Q70" s="137">
        <f>IF(COUNTIF(Q$69:$Q$69,"&lt;=0")&gt;0,0,MIN(Q$69:$Q$69)/((1+$T$70)^(($Q$1-Q$1)/365)))</f>
        <v>6607192.2857802287</v>
      </c>
      <c r="R70" s="54"/>
      <c r="S70" s="95" t="s">
        <v>707</v>
      </c>
      <c r="T70" s="78">
        <v>0.14000000000000001</v>
      </c>
      <c r="U70" s="43"/>
      <c r="V70" s="59"/>
      <c r="W70" s="43"/>
      <c r="X70" s="43"/>
      <c r="Y70" s="43"/>
      <c r="Z70" s="43"/>
      <c r="AA70" s="43"/>
      <c r="AB70" s="43"/>
      <c r="AC70" s="43"/>
      <c r="AD70" s="43"/>
      <c r="AE70" s="43"/>
    </row>
    <row r="71" spans="1:31">
      <c r="A71" s="101" t="s">
        <v>708</v>
      </c>
      <c r="B71" s="72"/>
      <c r="C71" s="72"/>
      <c r="D71" s="72"/>
      <c r="E71" s="68">
        <v>16785132.234663039</v>
      </c>
      <c r="F71" s="50">
        <f t="shared" ref="F71:Q71" si="21">MAX(-(F59+F60)+MIN(MIN(F68,0)+(-(F61+F62)),0),0)</f>
        <v>17640655.737796567</v>
      </c>
      <c r="G71" s="50">
        <f t="shared" si="21"/>
        <v>18550028.054328371</v>
      </c>
      <c r="H71" s="50">
        <f t="shared" si="21"/>
        <v>19517055.866424315</v>
      </c>
      <c r="I71" s="50">
        <f t="shared" si="21"/>
        <v>20534495.612487592</v>
      </c>
      <c r="J71" s="50">
        <f t="shared" si="21"/>
        <v>21581120.886323463</v>
      </c>
      <c r="K71" s="50">
        <f t="shared" si="21"/>
        <v>22693623.402411912</v>
      </c>
      <c r="L71" s="50">
        <f t="shared" si="21"/>
        <v>23876660.157024425</v>
      </c>
      <c r="M71" s="50">
        <f t="shared" si="21"/>
        <v>25121369.564696625</v>
      </c>
      <c r="N71" s="50">
        <f t="shared" si="21"/>
        <v>30732832.240704596</v>
      </c>
      <c r="O71" s="50">
        <f t="shared" si="21"/>
        <v>28432362.65170062</v>
      </c>
      <c r="P71" s="50">
        <f t="shared" si="21"/>
        <v>34687482.435074754</v>
      </c>
      <c r="Q71" s="50">
        <f t="shared" si="21"/>
        <v>42318728.5707912</v>
      </c>
      <c r="R71" s="54"/>
      <c r="S71" s="62"/>
      <c r="T71" s="69"/>
      <c r="U71" s="43"/>
      <c r="V71" s="59"/>
      <c r="W71" s="43"/>
      <c r="X71" s="43"/>
      <c r="Y71" s="43"/>
      <c r="Z71" s="43"/>
      <c r="AA71" s="43"/>
      <c r="AB71" s="43"/>
      <c r="AC71" s="43"/>
      <c r="AD71" s="43"/>
      <c r="AE71" s="43"/>
    </row>
    <row r="72" spans="1:31" s="2" customFormat="1">
      <c r="A72" s="43"/>
      <c r="B72" s="43"/>
      <c r="C72" s="43"/>
      <c r="D72" s="43"/>
      <c r="E72" s="50"/>
      <c r="F72" s="50"/>
      <c r="G72" s="50"/>
      <c r="H72" s="50"/>
      <c r="I72" s="50"/>
      <c r="J72" s="50"/>
      <c r="K72" s="50"/>
      <c r="L72" s="50"/>
      <c r="M72" s="50"/>
      <c r="N72" s="50"/>
      <c r="O72" s="50"/>
      <c r="P72" s="50"/>
      <c r="Q72" s="50"/>
      <c r="R72" s="50"/>
      <c r="S72" s="62"/>
      <c r="T72" s="62"/>
      <c r="U72" s="43"/>
      <c r="V72" s="59"/>
      <c r="W72" s="43"/>
      <c r="X72" s="43"/>
      <c r="Y72" s="43"/>
      <c r="Z72" s="43"/>
      <c r="AA72" s="43"/>
      <c r="AB72" s="43"/>
      <c r="AC72" s="43"/>
      <c r="AD72" s="43"/>
      <c r="AE72" s="43"/>
    </row>
    <row r="73" spans="1:31">
      <c r="A73" s="46" t="s">
        <v>709</v>
      </c>
      <c r="B73" s="43"/>
      <c r="C73" s="43"/>
      <c r="D73" s="43"/>
      <c r="E73" s="361">
        <v>0.58350000000000002</v>
      </c>
      <c r="F73" s="361">
        <v>0.58350000000000002</v>
      </c>
      <c r="G73" s="361">
        <v>0.58350000000000002</v>
      </c>
      <c r="H73" s="361">
        <v>0.58350000000000002</v>
      </c>
      <c r="I73" s="361">
        <v>0.58350000000000002</v>
      </c>
      <c r="J73" s="361">
        <v>0.58350000000000002</v>
      </c>
      <c r="K73" s="361">
        <v>0.58350000000000002</v>
      </c>
      <c r="L73" s="361">
        <v>0.58350000000000002</v>
      </c>
      <c r="M73" s="361">
        <v>0.58350000000000002</v>
      </c>
      <c r="N73" s="361">
        <v>0.58350000000000002</v>
      </c>
      <c r="O73" s="361">
        <v>0.58350000000000002</v>
      </c>
      <c r="P73" s="361">
        <v>0.58350000000000002</v>
      </c>
      <c r="Q73" s="361">
        <v>0.58350000000000002</v>
      </c>
      <c r="R73" s="54"/>
      <c r="S73" s="62"/>
      <c r="T73" s="62"/>
      <c r="U73" s="43"/>
      <c r="V73" s="59"/>
      <c r="W73" s="43"/>
      <c r="X73" s="43"/>
      <c r="Y73" s="43"/>
      <c r="Z73" s="43"/>
      <c r="AA73" s="43"/>
      <c r="AB73" s="43"/>
      <c r="AC73" s="43"/>
      <c r="AD73" s="43"/>
      <c r="AE73" s="43"/>
    </row>
    <row r="74" spans="1:31">
      <c r="A74" s="43"/>
      <c r="B74" s="43"/>
      <c r="C74" s="43"/>
      <c r="D74" s="43"/>
      <c r="E74" s="54"/>
      <c r="F74" s="54"/>
      <c r="G74" s="54"/>
      <c r="H74" s="54"/>
      <c r="I74" s="54"/>
      <c r="J74" s="54"/>
      <c r="K74" s="54"/>
      <c r="L74" s="54"/>
      <c r="M74" s="54"/>
      <c r="N74" s="54"/>
      <c r="O74" s="54"/>
      <c r="P74" s="54"/>
      <c r="Q74" s="54"/>
      <c r="R74" s="54"/>
      <c r="S74" s="62"/>
      <c r="T74" s="69"/>
      <c r="U74" s="43"/>
      <c r="V74" s="59"/>
      <c r="W74" s="43"/>
      <c r="X74" s="43"/>
      <c r="Y74" s="43"/>
      <c r="Z74" s="43"/>
      <c r="AA74" s="43"/>
      <c r="AB74" s="43"/>
      <c r="AC74" s="43"/>
      <c r="AD74" s="43"/>
      <c r="AE74" s="43"/>
    </row>
    <row r="75" spans="1:31">
      <c r="A75" s="101" t="s">
        <v>710</v>
      </c>
      <c r="B75" s="72"/>
      <c r="C75" s="72"/>
      <c r="D75" s="72"/>
      <c r="E75" s="140">
        <v>15926855.202205271</v>
      </c>
      <c r="F75" s="141">
        <f t="shared" ref="F75:Q75" si="22">MAX(F68*F73,0)</f>
        <v>18088592.03096962</v>
      </c>
      <c r="G75" s="141">
        <f t="shared" si="22"/>
        <v>17359150.428619672</v>
      </c>
      <c r="H75" s="141">
        <f t="shared" si="22"/>
        <v>15109714.093862126</v>
      </c>
      <c r="I75" s="141">
        <f t="shared" si="22"/>
        <v>7753407.414941581</v>
      </c>
      <c r="J75" s="141">
        <f t="shared" si="22"/>
        <v>6038275.3593691019</v>
      </c>
      <c r="K75" s="141">
        <f t="shared" si="22"/>
        <v>4849926.1457863338</v>
      </c>
      <c r="L75" s="141">
        <f t="shared" si="22"/>
        <v>3974250.1732844282</v>
      </c>
      <c r="M75" s="141">
        <f t="shared" si="22"/>
        <v>3116853.7677923306</v>
      </c>
      <c r="N75" s="141">
        <f t="shared" si="22"/>
        <v>0</v>
      </c>
      <c r="O75" s="141">
        <f t="shared" si="22"/>
        <v>0</v>
      </c>
      <c r="P75" s="141">
        <f t="shared" si="22"/>
        <v>0</v>
      </c>
      <c r="Q75" s="141">
        <f t="shared" si="22"/>
        <v>0</v>
      </c>
      <c r="R75" s="54"/>
      <c r="S75" s="95" t="s">
        <v>711</v>
      </c>
      <c r="T75" s="78">
        <v>0.2</v>
      </c>
      <c r="U75" s="43"/>
      <c r="V75" s="59"/>
      <c r="W75" s="43"/>
      <c r="X75" s="43"/>
      <c r="Y75" s="43"/>
      <c r="Z75" s="43"/>
      <c r="AA75" s="43"/>
      <c r="AB75" s="43"/>
      <c r="AC75" s="43"/>
      <c r="AD75" s="43"/>
      <c r="AE75" s="43"/>
    </row>
    <row r="76" spans="1:31">
      <c r="A76" s="101" t="s">
        <v>712</v>
      </c>
      <c r="B76" s="72"/>
      <c r="C76" s="72"/>
      <c r="D76" s="72"/>
      <c r="E76" s="140">
        <v>15926855.202205271</v>
      </c>
      <c r="F76" s="141">
        <f>+F75</f>
        <v>18088592.03096962</v>
      </c>
      <c r="G76" s="141">
        <f>+G75</f>
        <v>17359150.428619672</v>
      </c>
      <c r="H76" s="141">
        <f>+H75</f>
        <v>15109714.093862126</v>
      </c>
      <c r="I76" s="360">
        <f>IF(COUNTIF(I75:$Q75,"&lt;=0")&gt;0,0,MIN(I75:$Q$75)/((1+$T$75)^(($Q$1-I1)/365)))</f>
        <v>0</v>
      </c>
      <c r="J76" s="360">
        <f>IF(COUNTIF(J75:$Q75,"&lt;=0")&gt;0,0,MIN(J75:$Q$75)/((1+$T$75)^(($Q$1-J1)/365)))</f>
        <v>0</v>
      </c>
      <c r="K76" s="360">
        <f>IF(COUNTIF(K75:$Q75,"&lt;=0")&gt;0,0,MIN(K75:$Q$75)/((1+$T$75)^(($Q$1-K1)/365)))</f>
        <v>0</v>
      </c>
      <c r="L76" s="360">
        <f>IF(COUNTIF(L75:$Q75,"&lt;=0")&gt;0,0,MIN(L75:$Q$75)/((1+$T$75)^(($Q$1-L1)/365)))</f>
        <v>0</v>
      </c>
      <c r="M76" s="360">
        <f>IF(COUNTIF(M75:$Q75,"&lt;=0")&gt;0,0,MIN(M75:$Q$75)/((1+$T$75)^(($Q$1-M1)/365)))</f>
        <v>0</v>
      </c>
      <c r="N76" s="360">
        <f>IF(COUNTIF(N75:$Q75,"&lt;=0")&gt;0,0,MIN(N75:$Q$75)/((1+$T$75)^(($Q$1-N1)/365)))</f>
        <v>0</v>
      </c>
      <c r="O76" s="360">
        <f>IF(COUNTIF(O75:$Q75,"&lt;=0")&gt;0,0,MIN(O75:$Q$75)/((1+$T$75)^(($Q$1-O1)/365)))</f>
        <v>0</v>
      </c>
      <c r="P76" s="360">
        <f>IF(COUNTIF(P75:$Q75,"&lt;=0")&gt;0,0,MIN(P75:$Q$75)/((1+$T$75)^(($Q$1-P1)/365)))</f>
        <v>0</v>
      </c>
      <c r="Q76" s="362">
        <f>IF(COUNTIF(Q75:$Q75,"&lt;=0")&gt;0,0,MIN(Q75:$Q$75)/((1+$T$75)^(($Q$1-Q1)/365)))</f>
        <v>0</v>
      </c>
      <c r="R76" s="54"/>
      <c r="S76" s="62"/>
      <c r="T76" s="69"/>
      <c r="U76" s="43"/>
      <c r="V76" s="59"/>
      <c r="W76" s="43"/>
      <c r="X76" s="43"/>
      <c r="Y76" s="43"/>
      <c r="Z76" s="43"/>
      <c r="AA76" s="43"/>
      <c r="AB76" s="43"/>
      <c r="AC76" s="43"/>
      <c r="AD76" s="43"/>
      <c r="AE76" s="43"/>
    </row>
    <row r="77" spans="1:31">
      <c r="A77" s="46" t="s">
        <v>713</v>
      </c>
      <c r="B77" s="43"/>
      <c r="C77" s="43"/>
      <c r="D77" s="43"/>
      <c r="E77" s="50"/>
      <c r="F77" s="50"/>
      <c r="G77" s="50"/>
      <c r="H77" s="50"/>
      <c r="I77" s="50"/>
      <c r="J77" s="50"/>
      <c r="K77" s="50"/>
      <c r="L77" s="50"/>
      <c r="M77" s="50"/>
      <c r="N77" s="50"/>
      <c r="O77" s="50"/>
      <c r="P77" s="50"/>
      <c r="Q77" s="50"/>
      <c r="R77" s="50"/>
      <c r="S77" s="62"/>
      <c r="T77" s="43"/>
      <c r="U77" s="55"/>
      <c r="V77" s="76"/>
      <c r="W77" s="55"/>
      <c r="X77" s="108"/>
      <c r="Y77" s="43"/>
      <c r="Z77" s="43"/>
      <c r="AA77" s="43"/>
      <c r="AB77" s="43"/>
      <c r="AC77" s="43"/>
      <c r="AD77" s="43"/>
      <c r="AE77" s="43"/>
    </row>
    <row r="78" spans="1:31">
      <c r="A78" s="101" t="s">
        <v>714</v>
      </c>
      <c r="B78" s="72"/>
      <c r="C78" s="72"/>
      <c r="D78" s="72"/>
      <c r="E78" s="363">
        <v>0.51362435500538262</v>
      </c>
      <c r="F78" s="352">
        <f t="shared" ref="F78:Q78" si="23">+F80/(-F59-F60)</f>
        <v>0.15258554508637887</v>
      </c>
      <c r="G78" s="352">
        <f t="shared" si="23"/>
        <v>0.15360973806729339</v>
      </c>
      <c r="H78" s="352">
        <f t="shared" si="23"/>
        <v>0.15459415584983469</v>
      </c>
      <c r="I78" s="352">
        <f t="shared" si="23"/>
        <v>0.20085990820424976</v>
      </c>
      <c r="J78" s="352">
        <f t="shared" si="23"/>
        <v>0.19636094702937101</v>
      </c>
      <c r="K78" s="352">
        <f t="shared" si="23"/>
        <v>0.30289029294980074</v>
      </c>
      <c r="L78" s="352">
        <f t="shared" si="23"/>
        <v>0.29669724926153157</v>
      </c>
      <c r="M78" s="352">
        <f t="shared" si="23"/>
        <v>0.29122608898004598</v>
      </c>
      <c r="N78" s="352">
        <f t="shared" si="23"/>
        <v>0.34695553463763618</v>
      </c>
      <c r="O78" s="352">
        <f t="shared" si="23"/>
        <v>0.34695553463763618</v>
      </c>
      <c r="P78" s="352">
        <f t="shared" si="23"/>
        <v>1</v>
      </c>
      <c r="Q78" s="352">
        <f t="shared" si="23"/>
        <v>1</v>
      </c>
      <c r="R78" s="50"/>
      <c r="S78" s="62"/>
      <c r="T78" s="43"/>
      <c r="U78" s="50"/>
      <c r="V78" s="76"/>
      <c r="W78" s="55"/>
      <c r="X78" s="108"/>
      <c r="Y78" s="43"/>
      <c r="Z78" s="43"/>
      <c r="AA78" s="43"/>
      <c r="AB78" s="43"/>
      <c r="AC78" s="43"/>
      <c r="AD78" s="43"/>
      <c r="AE78" s="43"/>
    </row>
    <row r="79" spans="1:31">
      <c r="A79" s="101" t="s">
        <v>715</v>
      </c>
      <c r="B79" s="72"/>
      <c r="C79" s="72"/>
      <c r="D79" s="72"/>
      <c r="E79" s="68">
        <v>-2558357.7177088568</v>
      </c>
      <c r="F79" s="137">
        <f>-3250000-((E96/E101)*E105*0.5)</f>
        <v>-3428814.0714328461</v>
      </c>
      <c r="G79" s="137">
        <f>-3250000-((F96/F101)*F105*0.5)</f>
        <v>-3586569.9505663249</v>
      </c>
      <c r="H79" s="137">
        <f>-3250000-((G96/G101)*G105*0.5)</f>
        <v>-3754327.776343931</v>
      </c>
      <c r="I79" s="68">
        <v>-3000000</v>
      </c>
      <c r="J79" s="68">
        <v>-3250000</v>
      </c>
      <c r="K79" s="68">
        <v>-1000000</v>
      </c>
      <c r="L79" s="137">
        <f>-1000000*1.2</f>
        <v>-1200000</v>
      </c>
      <c r="M79" s="137">
        <f>-1000000*1.4</f>
        <v>-1400000</v>
      </c>
      <c r="N79" s="50"/>
      <c r="O79" s="50"/>
      <c r="P79" s="50"/>
      <c r="Q79" s="50"/>
      <c r="R79" s="50"/>
      <c r="S79" s="62"/>
      <c r="T79" s="62"/>
      <c r="U79" s="43"/>
      <c r="V79" s="50"/>
      <c r="W79" s="50"/>
      <c r="X79" s="50"/>
      <c r="Y79" s="50"/>
      <c r="Z79" s="50"/>
      <c r="AA79" s="347"/>
      <c r="AB79" s="50"/>
      <c r="AC79" s="50"/>
      <c r="AD79" s="55"/>
      <c r="AE79" s="347"/>
    </row>
    <row r="80" spans="1:31">
      <c r="A80" s="101" t="s">
        <v>716</v>
      </c>
      <c r="B80" s="72"/>
      <c r="C80" s="72"/>
      <c r="D80" s="72"/>
      <c r="E80" s="140">
        <v>8621252.7177088577</v>
      </c>
      <c r="F80" s="141">
        <f t="shared" ref="F80:Q80" si="24">(F71*(E96/E101))+F79</f>
        <v>2691709.0714328461</v>
      </c>
      <c r="G80" s="141">
        <f t="shared" si="24"/>
        <v>2849464.9505663249</v>
      </c>
      <c r="H80" s="141">
        <f t="shared" si="24"/>
        <v>3017222.776343931</v>
      </c>
      <c r="I80" s="141">
        <f t="shared" si="24"/>
        <v>4124556.903744827</v>
      </c>
      <c r="J80" s="141">
        <f t="shared" si="24"/>
        <v>4237689.3351938138</v>
      </c>
      <c r="K80" s="141">
        <f t="shared" si="24"/>
        <v>6873678.2404489974</v>
      </c>
      <c r="L80" s="141">
        <f t="shared" si="24"/>
        <v>7084139.3901415551</v>
      </c>
      <c r="M80" s="141">
        <f t="shared" si="24"/>
        <v>7315998.2081489582</v>
      </c>
      <c r="N80" s="141">
        <f t="shared" si="24"/>
        <v>10662926.241002446</v>
      </c>
      <c r="O80" s="141">
        <f t="shared" si="24"/>
        <v>9864765.5848319475</v>
      </c>
      <c r="P80" s="141">
        <f t="shared" si="24"/>
        <v>34687482.435074754</v>
      </c>
      <c r="Q80" s="141">
        <f t="shared" si="24"/>
        <v>42318728.5707912</v>
      </c>
      <c r="R80" s="50"/>
      <c r="S80" s="62"/>
      <c r="T80" s="62"/>
      <c r="U80" s="50"/>
      <c r="V80" s="43"/>
      <c r="W80" s="43"/>
      <c r="X80" s="43"/>
      <c r="Y80" s="43"/>
      <c r="Z80" s="43"/>
      <c r="AA80" s="43"/>
      <c r="AB80" s="43"/>
      <c r="AC80" s="43"/>
      <c r="AD80" s="43"/>
      <c r="AE80" s="43"/>
    </row>
    <row r="81" spans="1:31">
      <c r="A81" s="101" t="s">
        <v>717</v>
      </c>
      <c r="B81" s="72"/>
      <c r="C81" s="72"/>
      <c r="D81" s="72"/>
      <c r="E81" s="50"/>
      <c r="F81" s="50"/>
      <c r="G81" s="68">
        <v>0</v>
      </c>
      <c r="H81" s="68">
        <v>0</v>
      </c>
      <c r="I81" s="68">
        <v>0</v>
      </c>
      <c r="J81" s="50"/>
      <c r="K81" s="50"/>
      <c r="L81" s="50"/>
      <c r="M81" s="50"/>
      <c r="N81" s="50"/>
      <c r="O81" s="50"/>
      <c r="P81" s="50"/>
      <c r="Q81" s="50"/>
      <c r="R81" s="50"/>
      <c r="S81" s="62"/>
      <c r="T81" s="62"/>
      <c r="U81" s="364"/>
      <c r="V81" s="43"/>
      <c r="W81" s="43"/>
      <c r="X81" s="43"/>
      <c r="Y81" s="43"/>
      <c r="Z81" s="43"/>
      <c r="AA81" s="43"/>
      <c r="AB81" s="43"/>
      <c r="AC81" s="43"/>
      <c r="AD81" s="43"/>
      <c r="AE81" s="43"/>
    </row>
    <row r="82" spans="1:31">
      <c r="A82" s="101" t="s">
        <v>718</v>
      </c>
      <c r="B82" s="72"/>
      <c r="C82" s="72"/>
      <c r="D82" s="72"/>
      <c r="E82" s="142">
        <v>0.72110157923079454</v>
      </c>
      <c r="F82" s="143">
        <f t="shared" ref="F82:Q82" si="25">(F114+F120)/(-F61-F62)</f>
        <v>0.72110157923079454</v>
      </c>
      <c r="G82" s="143">
        <f t="shared" si="25"/>
        <v>0.72110157923079465</v>
      </c>
      <c r="H82" s="143">
        <f t="shared" si="25"/>
        <v>0.72110157923079454</v>
      </c>
      <c r="I82" s="143">
        <f t="shared" si="25"/>
        <v>0.72110157923079465</v>
      </c>
      <c r="J82" s="143">
        <f t="shared" si="25"/>
        <v>0.72110157923079465</v>
      </c>
      <c r="K82" s="143">
        <f t="shared" si="25"/>
        <v>0.72110157923079476</v>
      </c>
      <c r="L82" s="143">
        <f t="shared" si="25"/>
        <v>0.72110157923079465</v>
      </c>
      <c r="M82" s="143">
        <f t="shared" si="25"/>
        <v>0.72110157923079454</v>
      </c>
      <c r="N82" s="143">
        <f t="shared" si="25"/>
        <v>0.72110157923079465</v>
      </c>
      <c r="O82" s="143">
        <f t="shared" si="25"/>
        <v>0.72110157923079454</v>
      </c>
      <c r="P82" s="143">
        <f t="shared" si="25"/>
        <v>0.72110157923079465</v>
      </c>
      <c r="Q82" s="143">
        <f t="shared" si="25"/>
        <v>0.72110157923079465</v>
      </c>
      <c r="R82" s="50"/>
      <c r="S82" s="62"/>
      <c r="T82" s="62"/>
      <c r="U82" s="364"/>
      <c r="V82" s="43"/>
      <c r="W82" s="43"/>
      <c r="X82" s="43"/>
      <c r="Y82" s="43"/>
      <c r="Z82" s="43"/>
      <c r="AA82" s="43"/>
      <c r="AB82" s="43"/>
      <c r="AC82" s="43"/>
      <c r="AD82" s="43"/>
      <c r="AE82" s="43"/>
    </row>
    <row r="83" spans="1:31">
      <c r="A83" s="101" t="s">
        <v>719</v>
      </c>
      <c r="B83" s="72"/>
      <c r="C83" s="72"/>
      <c r="D83" s="72"/>
      <c r="E83" s="140">
        <v>5608281.3808370735</v>
      </c>
      <c r="F83" s="141">
        <f t="shared" ref="F83:Q83" si="26">F82*F69</f>
        <v>5792434.4566366132</v>
      </c>
      <c r="G83" s="141">
        <f t="shared" si="26"/>
        <v>5984782.4088378381</v>
      </c>
      <c r="H83" s="141">
        <f t="shared" si="26"/>
        <v>6185737.7795300223</v>
      </c>
      <c r="I83" s="141">
        <f t="shared" si="26"/>
        <v>6393440.7741542654</v>
      </c>
      <c r="J83" s="141">
        <f t="shared" si="26"/>
        <v>6603375.2805657405</v>
      </c>
      <c r="K83" s="141">
        <f t="shared" si="26"/>
        <v>6822651.9460751358</v>
      </c>
      <c r="L83" s="141">
        <f t="shared" si="26"/>
        <v>7051741.0686642267</v>
      </c>
      <c r="M83" s="141">
        <f t="shared" si="26"/>
        <v>7288522.4825358614</v>
      </c>
      <c r="N83" s="141">
        <f t="shared" si="26"/>
        <v>6806296.4560152246</v>
      </c>
      <c r="O83" s="141">
        <f t="shared" si="26"/>
        <v>4230778.4205505513</v>
      </c>
      <c r="P83" s="141">
        <f t="shared" si="26"/>
        <v>4951306.8763720598</v>
      </c>
      <c r="Q83" s="141">
        <f t="shared" si="26"/>
        <v>4764456.7915576464</v>
      </c>
      <c r="R83" s="50"/>
      <c r="S83" s="62"/>
      <c r="T83" s="62"/>
      <c r="U83" s="364"/>
      <c r="V83" s="43"/>
      <c r="W83" s="43"/>
      <c r="X83" s="43"/>
      <c r="Y83" s="43"/>
      <c r="Z83" s="43"/>
      <c r="AA83" s="43"/>
      <c r="AB83" s="43"/>
      <c r="AC83" s="43"/>
      <c r="AD83" s="43"/>
      <c r="AE83" s="43"/>
    </row>
    <row r="84" spans="1:31">
      <c r="A84" s="101" t="s">
        <v>720</v>
      </c>
      <c r="B84" s="72"/>
      <c r="C84" s="72"/>
      <c r="D84" s="72"/>
      <c r="E84" s="140">
        <v>5608281.3808370735</v>
      </c>
      <c r="F84" s="141">
        <f t="shared" ref="F84:Q84" si="27">+F70*F82</f>
        <v>5792434.4566366132</v>
      </c>
      <c r="G84" s="141">
        <f t="shared" si="27"/>
        <v>5984782.4088378381</v>
      </c>
      <c r="H84" s="141">
        <f t="shared" si="27"/>
        <v>6185737.7795300223</v>
      </c>
      <c r="I84" s="141">
        <f t="shared" si="27"/>
        <v>2196545.0767986318</v>
      </c>
      <c r="J84" s="141">
        <f t="shared" si="27"/>
        <v>2268670.6540578152</v>
      </c>
      <c r="K84" s="141">
        <f t="shared" si="27"/>
        <v>2344005.8447783706</v>
      </c>
      <c r="L84" s="141">
        <f t="shared" si="27"/>
        <v>2422712.2256062664</v>
      </c>
      <c r="M84" s="141">
        <f t="shared" si="27"/>
        <v>2504061.3875504397</v>
      </c>
      <c r="N84" s="141">
        <f t="shared" si="27"/>
        <v>2854629.9818075025</v>
      </c>
      <c r="O84" s="141">
        <f t="shared" si="27"/>
        <v>3255446.6147665051</v>
      </c>
      <c r="P84" s="141">
        <f t="shared" si="27"/>
        <v>4179348.0627698656</v>
      </c>
      <c r="Q84" s="141">
        <f t="shared" si="27"/>
        <v>4764456.7915576464</v>
      </c>
      <c r="R84" s="50"/>
      <c r="S84" s="62"/>
      <c r="T84" s="62"/>
      <c r="U84" s="364"/>
      <c r="V84" s="43"/>
      <c r="W84" s="43"/>
      <c r="X84" s="43"/>
      <c r="Y84" s="43"/>
      <c r="Z84" s="43"/>
      <c r="AA84" s="43"/>
      <c r="AB84" s="43"/>
      <c r="AC84" s="43"/>
      <c r="AD84" s="43"/>
      <c r="AE84" s="43"/>
    </row>
    <row r="85" spans="1:31" ht="14.65" customHeight="1" thickBot="1">
      <c r="A85" s="101" t="s">
        <v>289</v>
      </c>
      <c r="B85" s="72"/>
      <c r="C85" s="72"/>
      <c r="D85" s="72"/>
      <c r="E85" s="140">
        <v>30156389.300751202</v>
      </c>
      <c r="F85" s="141">
        <f t="shared" ref="F85:Q85" si="28">+F84+F80+F76</f>
        <v>26572735.559039079</v>
      </c>
      <c r="G85" s="141">
        <f t="shared" si="28"/>
        <v>26193397.788023837</v>
      </c>
      <c r="H85" s="141">
        <f t="shared" si="28"/>
        <v>24312674.649736077</v>
      </c>
      <c r="I85" s="141">
        <f t="shared" si="28"/>
        <v>6321101.9805434588</v>
      </c>
      <c r="J85" s="141">
        <f t="shared" si="28"/>
        <v>6506359.9892516285</v>
      </c>
      <c r="K85" s="141">
        <f t="shared" si="28"/>
        <v>9217684.0852273684</v>
      </c>
      <c r="L85" s="141">
        <f t="shared" si="28"/>
        <v>9506851.6157478206</v>
      </c>
      <c r="M85" s="141">
        <f t="shared" si="28"/>
        <v>9820059.5956993978</v>
      </c>
      <c r="N85" s="141">
        <f t="shared" si="28"/>
        <v>13517556.222809948</v>
      </c>
      <c r="O85" s="141">
        <f t="shared" si="28"/>
        <v>13120212.199598452</v>
      </c>
      <c r="P85" s="141">
        <f t="shared" si="28"/>
        <v>38866830.497844622</v>
      </c>
      <c r="Q85" s="141">
        <f t="shared" si="28"/>
        <v>47083185.362348847</v>
      </c>
      <c r="R85" s="50"/>
      <c r="S85" s="62"/>
      <c r="T85" s="62"/>
      <c r="U85" s="364"/>
      <c r="V85" s="43"/>
      <c r="W85" s="43"/>
      <c r="X85" s="43"/>
      <c r="Y85" s="43"/>
      <c r="Z85" s="43"/>
      <c r="AA85" s="43"/>
      <c r="AB85" s="43"/>
      <c r="AC85" s="43"/>
      <c r="AD85" s="43"/>
      <c r="AE85" s="43"/>
    </row>
    <row r="86" spans="1:31">
      <c r="A86" s="101" t="s">
        <v>591</v>
      </c>
      <c r="B86" s="72"/>
      <c r="C86" s="72"/>
      <c r="D86" s="72"/>
      <c r="E86" s="50"/>
      <c r="F86" s="50"/>
      <c r="G86" s="50"/>
      <c r="H86" s="50"/>
      <c r="I86" s="50"/>
      <c r="J86" s="50"/>
      <c r="K86" s="50"/>
      <c r="L86" s="50"/>
      <c r="M86" s="299">
        <f>IFERROR(((M85+SUM($J$30:M30))/$J$85)^(365/(M1-$J$1))-1,0)</f>
        <v>-0.49301947338132956</v>
      </c>
      <c r="N86" s="299">
        <f>IFERROR(((N85+N30)/M85)^(365/(N1-M1))-1,0)</f>
        <v>0.3765248663796128</v>
      </c>
      <c r="O86" s="299">
        <f>IFERROR(((O85+O30)/N85)^(365/(O1-N1))-1,0)</f>
        <v>0</v>
      </c>
      <c r="P86" s="299">
        <f>IFERROR(((P85+P30)/O85)^(365/(P1-O1))-1,0)</f>
        <v>1.9623629485988157</v>
      </c>
      <c r="Q86" s="365">
        <f>IFERROR(((Q85+Q30)/P85)^(365/(Q1-P1))-1,0)</f>
        <v>0.21139760457081436</v>
      </c>
      <c r="R86" s="50"/>
      <c r="S86" s="43"/>
      <c r="T86" s="43"/>
      <c r="U86" s="43"/>
      <c r="V86" s="43"/>
      <c r="W86" s="43"/>
      <c r="X86" s="43"/>
      <c r="Y86" s="43"/>
      <c r="Z86" s="43"/>
      <c r="AA86" s="43"/>
      <c r="AB86" s="43"/>
      <c r="AC86" s="43"/>
      <c r="AD86" s="43"/>
      <c r="AE86" s="43"/>
    </row>
    <row r="87" spans="1:31">
      <c r="A87" s="106" t="s">
        <v>592</v>
      </c>
      <c r="B87" s="72"/>
      <c r="C87" s="72"/>
      <c r="D87" s="72"/>
      <c r="E87" s="50"/>
      <c r="F87" s="50"/>
      <c r="G87" s="50"/>
      <c r="H87" s="50"/>
      <c r="I87" s="50"/>
      <c r="J87" s="50"/>
      <c r="K87" s="50"/>
      <c r="L87" s="50"/>
      <c r="M87" s="302">
        <f>XIRR(CHOOSE({1,2,3,4,5},-$J$85,$J$30,$K$30,$L$30,M30+M85),CHOOSE({1,2,3,4,5},$J$1,$J$1,$K$1,$L$1,M1))</f>
        <v>-0.31103393211960806</v>
      </c>
      <c r="N87" s="302">
        <f>IFERROR(XIRR(CHOOSE({1,2,3,4,5,6},-$J$85,$J$30,$K$30,$L$30,$M$30,$N$30+N85),CHOOSE({1,2,3,4,5,6},$J$1,$J$1,$K$1,$L$1,$M$1,N1)),0)</f>
        <v>5.2652302384376543E-2</v>
      </c>
      <c r="O87" s="302">
        <f>IFERROR(XIRR(CHOOSE({1,2,3,4,5,6,7},-$J$85,$J$30,$K$30,$L$30,$M$30,$N$30,$O$30+O85),CHOOSE({1,2,3,4,5,6,7},$J$1,$J$1,$K$1,$L$1,$M$1,$N$1,O1)),0)</f>
        <v>0</v>
      </c>
      <c r="P87" s="302">
        <f>IFERROR(XIRR(CHOOSE({1,2,3,4,5,6,7,8},-$J$85,$J$30,$K$30,$L$30,$M$30,$N$30,$O$30,$P$30+P85),CHOOSE({1,2,3,4,5,6,7,8},$J$1,$J$1,$K$1,$L$1,$M$1,$N$1,$O$1,P1)),0)</f>
        <v>0.15998147130012522</v>
      </c>
      <c r="Q87" s="365">
        <f>IFERROR(XIRR(CHOOSE({1,2,3,4,5,6,7,8,9},-$J$85,$J$30,$K$30,$L$30,$M$30,$N$30,$O$30,$P$30,$Q$30+Q85),CHOOSE({1,2,3,4,5,6,7,8,9},$J$1,$J$1,$K$1,$L$1,$M$1,$N$1,$O$1,$P$1,Q1)),0)</f>
        <v>0.17459253668785094</v>
      </c>
      <c r="R87" s="50"/>
      <c r="S87" s="43"/>
      <c r="T87" s="43"/>
      <c r="U87" s="43"/>
      <c r="V87" s="43"/>
      <c r="W87" s="43"/>
      <c r="X87" s="43"/>
      <c r="Y87" s="43"/>
      <c r="Z87" s="43"/>
      <c r="AA87" s="43"/>
      <c r="AB87" s="43"/>
      <c r="AC87" s="43"/>
      <c r="AD87" s="43"/>
      <c r="AE87" s="43"/>
    </row>
    <row r="88" spans="1:31">
      <c r="A88" s="43"/>
      <c r="B88" s="43"/>
      <c r="C88" s="43"/>
      <c r="D88" s="43"/>
      <c r="E88" s="50"/>
      <c r="F88" s="50"/>
      <c r="G88" s="50"/>
      <c r="H88" s="50"/>
      <c r="I88" s="50"/>
      <c r="J88" s="50"/>
      <c r="K88" s="50"/>
      <c r="L88" s="50"/>
      <c r="M88" s="50"/>
      <c r="N88" s="50"/>
      <c r="O88" s="50"/>
      <c r="P88" s="50"/>
      <c r="Q88" s="50"/>
      <c r="R88" s="50"/>
      <c r="S88" s="50"/>
      <c r="T88" s="50"/>
      <c r="U88" s="50"/>
      <c r="V88" s="62"/>
      <c r="W88" s="62"/>
      <c r="X88" s="283"/>
      <c r="Y88" s="43"/>
      <c r="Z88" s="283"/>
      <c r="AA88" s="43"/>
      <c r="AB88" s="43"/>
      <c r="AC88" s="43"/>
      <c r="AD88" s="43"/>
      <c r="AE88" s="43"/>
    </row>
    <row r="89" spans="1:31">
      <c r="A89" s="43"/>
      <c r="B89" s="43"/>
      <c r="C89" s="43"/>
      <c r="D89" s="43"/>
      <c r="E89" s="43"/>
      <c r="F89" s="43"/>
      <c r="G89" s="43"/>
      <c r="H89" s="43"/>
      <c r="I89" s="55"/>
      <c r="J89" s="55"/>
      <c r="K89" s="55"/>
      <c r="L89" s="55"/>
      <c r="M89" s="55"/>
      <c r="N89" s="55"/>
      <c r="O89" s="55"/>
      <c r="P89" s="55"/>
      <c r="Q89" s="55"/>
      <c r="R89" s="55"/>
      <c r="S89" s="55"/>
      <c r="T89" s="55"/>
      <c r="U89" s="43"/>
      <c r="V89" s="43"/>
      <c r="W89" s="43"/>
      <c r="X89" s="43"/>
      <c r="Y89" s="43"/>
      <c r="Z89" s="43"/>
      <c r="AA89" s="43"/>
      <c r="AB89" s="43"/>
      <c r="AC89" s="43"/>
      <c r="AD89" s="43"/>
      <c r="AE89" s="43"/>
    </row>
    <row r="90" spans="1:31">
      <c r="A90" s="43"/>
      <c r="B90" s="43"/>
      <c r="C90" s="43"/>
      <c r="D90" s="43"/>
      <c r="E90" s="55"/>
      <c r="F90" s="55"/>
      <c r="G90" s="55"/>
      <c r="H90" s="55"/>
      <c r="I90" s="43"/>
      <c r="J90" s="43"/>
      <c r="K90" s="43"/>
      <c r="L90" s="43"/>
      <c r="M90" s="101" t="s">
        <v>721</v>
      </c>
      <c r="N90" s="366">
        <f>SUM(N97:N100)</f>
        <v>10847000</v>
      </c>
      <c r="O90" s="367">
        <f>+N90*(1+$B$105)^((N93-D92)/365)</f>
        <v>24292992.068343677</v>
      </c>
      <c r="P90" s="46" t="s">
        <v>722</v>
      </c>
      <c r="Q90" s="43"/>
      <c r="R90" s="43"/>
      <c r="S90" s="43"/>
      <c r="T90" s="43"/>
      <c r="U90" s="43"/>
      <c r="V90" s="43"/>
      <c r="W90" s="43"/>
      <c r="X90" s="43"/>
      <c r="Y90" s="43"/>
      <c r="Z90" s="43"/>
      <c r="AA90" s="43"/>
      <c r="AB90" s="43"/>
      <c r="AC90" s="43"/>
      <c r="AD90" s="43"/>
      <c r="AE90" s="43"/>
    </row>
    <row r="91" spans="1:31">
      <c r="A91" s="43"/>
      <c r="B91" s="43"/>
      <c r="C91" s="43"/>
      <c r="D91" s="43"/>
      <c r="E91" s="55"/>
      <c r="F91" s="55"/>
      <c r="G91" s="55"/>
      <c r="H91" s="55"/>
      <c r="I91" s="43"/>
      <c r="J91" s="43"/>
      <c r="K91" s="43"/>
      <c r="L91" s="43"/>
      <c r="M91" s="43"/>
      <c r="N91" s="55"/>
      <c r="O91" s="55">
        <f>+O90+N103</f>
        <v>15106831.160182964</v>
      </c>
      <c r="P91" s="368" t="s">
        <v>723</v>
      </c>
      <c r="Q91" s="43"/>
      <c r="R91" s="43"/>
      <c r="S91" s="43"/>
      <c r="T91" s="43"/>
      <c r="U91" s="43"/>
      <c r="V91" s="43"/>
      <c r="W91" s="43"/>
      <c r="X91" s="43"/>
      <c r="Y91" s="43"/>
      <c r="Z91" s="43"/>
      <c r="AA91" s="43"/>
      <c r="AB91" s="43"/>
      <c r="AC91" s="43"/>
      <c r="AD91" s="43"/>
      <c r="AE91" s="43"/>
    </row>
    <row r="92" spans="1:31" ht="14.65" customHeight="1" thickBot="1">
      <c r="A92" s="43"/>
      <c r="B92" s="43"/>
      <c r="C92" s="101" t="s">
        <v>724</v>
      </c>
      <c r="D92" s="369">
        <v>45638</v>
      </c>
      <c r="E92" s="55"/>
      <c r="F92" s="55"/>
      <c r="G92" s="55"/>
      <c r="H92" s="55"/>
      <c r="I92" s="43"/>
      <c r="J92" s="43"/>
      <c r="K92" s="43"/>
      <c r="L92" s="43"/>
      <c r="M92" s="43"/>
      <c r="N92" s="43"/>
      <c r="O92" s="370" t="s">
        <v>725</v>
      </c>
      <c r="P92" s="46" t="s">
        <v>726</v>
      </c>
      <c r="Q92" s="43"/>
      <c r="R92" s="43"/>
      <c r="S92" s="43"/>
      <c r="T92" s="43"/>
      <c r="U92" s="43"/>
      <c r="V92" s="43"/>
      <c r="W92" s="43"/>
      <c r="X92" s="43"/>
      <c r="Y92" s="43"/>
      <c r="Z92" s="43"/>
      <c r="AA92" s="43"/>
      <c r="AB92" s="43"/>
      <c r="AC92" s="43"/>
      <c r="AD92" s="43"/>
      <c r="AE92" s="43"/>
    </row>
    <row r="93" spans="1:31">
      <c r="A93" s="43"/>
      <c r="B93" s="43"/>
      <c r="C93" s="43"/>
      <c r="D93" s="310">
        <v>45657</v>
      </c>
      <c r="E93" s="369">
        <v>45747</v>
      </c>
      <c r="F93" s="369">
        <v>45838</v>
      </c>
      <c r="G93" s="369">
        <v>45930</v>
      </c>
      <c r="H93" s="369">
        <v>46022</v>
      </c>
      <c r="I93" s="369">
        <v>46112</v>
      </c>
      <c r="J93" s="369">
        <v>46203</v>
      </c>
      <c r="K93" s="369">
        <v>46295</v>
      </c>
      <c r="L93" s="369">
        <v>46387</v>
      </c>
      <c r="M93" s="369">
        <v>46752</v>
      </c>
      <c r="N93" s="369">
        <v>47118</v>
      </c>
      <c r="O93" s="369">
        <v>47483</v>
      </c>
      <c r="P93" s="369">
        <v>47848</v>
      </c>
      <c r="Q93" s="43"/>
      <c r="R93" s="43"/>
      <c r="S93" s="43"/>
      <c r="T93" s="43"/>
      <c r="U93" s="43"/>
      <c r="V93" s="43"/>
      <c r="W93" s="43"/>
      <c r="X93" s="43"/>
      <c r="Y93" s="43"/>
      <c r="Z93" s="43"/>
      <c r="AA93" s="43"/>
      <c r="AB93" s="43"/>
      <c r="AC93" s="43"/>
      <c r="AD93" s="43"/>
      <c r="AE93" s="43"/>
    </row>
    <row r="94" spans="1:31">
      <c r="A94" s="46" t="s">
        <v>727</v>
      </c>
      <c r="B94" s="43"/>
      <c r="C94" s="46" t="s">
        <v>728</v>
      </c>
      <c r="D94" s="62"/>
      <c r="E94" s="96" t="s">
        <v>3</v>
      </c>
      <c r="F94" s="96" t="s">
        <v>4</v>
      </c>
      <c r="G94" s="96" t="s">
        <v>5</v>
      </c>
      <c r="H94" s="96" t="s">
        <v>2</v>
      </c>
      <c r="I94" s="62"/>
      <c r="J94" s="62"/>
      <c r="K94" s="62"/>
      <c r="L94" s="62"/>
      <c r="M94" s="62"/>
      <c r="N94" s="62"/>
      <c r="O94" s="62"/>
      <c r="P94" s="62"/>
      <c r="Q94" s="43"/>
      <c r="R94" s="43"/>
      <c r="S94" s="43"/>
      <c r="T94" s="43"/>
      <c r="U94" s="43"/>
      <c r="V94" s="43"/>
      <c r="W94" s="43"/>
      <c r="X94" s="43"/>
      <c r="Y94" s="43"/>
      <c r="Z94" s="43"/>
      <c r="AA94" s="43"/>
      <c r="AB94" s="43"/>
      <c r="AC94" s="43"/>
      <c r="AD94" s="43"/>
      <c r="AE94" s="43"/>
    </row>
    <row r="95" spans="1:31">
      <c r="A95" s="43"/>
      <c r="B95" s="101" t="s">
        <v>729</v>
      </c>
      <c r="C95" s="121">
        <f>+H95/$D$101</f>
        <v>0</v>
      </c>
      <c r="D95" s="61"/>
      <c r="E95" s="323">
        <f t="shared" ref="E95:P95" si="29">+D95</f>
        <v>0</v>
      </c>
      <c r="F95" s="323">
        <f t="shared" si="29"/>
        <v>0</v>
      </c>
      <c r="G95" s="323">
        <f t="shared" si="29"/>
        <v>0</v>
      </c>
      <c r="H95" s="323">
        <f t="shared" si="29"/>
        <v>0</v>
      </c>
      <c r="I95" s="323">
        <f t="shared" si="29"/>
        <v>0</v>
      </c>
      <c r="J95" s="323">
        <f t="shared" si="29"/>
        <v>0</v>
      </c>
      <c r="K95" s="323">
        <f t="shared" si="29"/>
        <v>0</v>
      </c>
      <c r="L95" s="323">
        <f t="shared" si="29"/>
        <v>0</v>
      </c>
      <c r="M95" s="323">
        <f t="shared" si="29"/>
        <v>0</v>
      </c>
      <c r="N95" s="323">
        <f t="shared" si="29"/>
        <v>0</v>
      </c>
      <c r="O95" s="323">
        <f t="shared" si="29"/>
        <v>0</v>
      </c>
      <c r="P95" s="323">
        <f t="shared" si="29"/>
        <v>0</v>
      </c>
      <c r="Q95" s="43"/>
      <c r="R95" s="43"/>
      <c r="S95" s="43"/>
      <c r="T95" s="43"/>
      <c r="U95" s="43"/>
      <c r="V95" s="43"/>
      <c r="W95" s="43"/>
      <c r="X95" s="43"/>
      <c r="Y95" s="43"/>
      <c r="Z95" s="43"/>
      <c r="AA95" s="43"/>
      <c r="AB95" s="43"/>
      <c r="AC95" s="43"/>
      <c r="AD95" s="43"/>
      <c r="AE95" s="43"/>
    </row>
    <row r="96" spans="1:31">
      <c r="A96" s="43"/>
      <c r="B96" s="101" t="s">
        <v>730</v>
      </c>
      <c r="C96" s="121">
        <f>+D96/$D$101</f>
        <v>0.66604244036461402</v>
      </c>
      <c r="D96" s="190">
        <v>11062895</v>
      </c>
      <c r="E96" s="371">
        <f>+D96-5300000</f>
        <v>5762895</v>
      </c>
      <c r="F96" s="323">
        <f t="shared" ref="F96:N96" si="30">+E96</f>
        <v>5762895</v>
      </c>
      <c r="G96" s="323">
        <f t="shared" si="30"/>
        <v>5762895</v>
      </c>
      <c r="H96" s="323">
        <f t="shared" si="30"/>
        <v>5762895</v>
      </c>
      <c r="I96" s="323">
        <f t="shared" si="30"/>
        <v>5762895</v>
      </c>
      <c r="J96" s="323">
        <f t="shared" si="30"/>
        <v>5762895</v>
      </c>
      <c r="K96" s="323">
        <f t="shared" si="30"/>
        <v>5762895</v>
      </c>
      <c r="L96" s="323">
        <f t="shared" si="30"/>
        <v>5762895</v>
      </c>
      <c r="M96" s="323">
        <f t="shared" si="30"/>
        <v>5762895</v>
      </c>
      <c r="N96" s="323">
        <f t="shared" si="30"/>
        <v>5762895</v>
      </c>
      <c r="O96" s="372">
        <v>16609895</v>
      </c>
      <c r="P96" s="323">
        <f>+O96</f>
        <v>16609895</v>
      </c>
      <c r="Q96" s="43"/>
      <c r="R96" s="43"/>
      <c r="S96" s="43"/>
      <c r="T96" s="43"/>
      <c r="U96" s="43"/>
      <c r="V96" s="43"/>
      <c r="W96" s="43"/>
      <c r="X96" s="43"/>
      <c r="Y96" s="43"/>
      <c r="Z96" s="43"/>
      <c r="AA96" s="43"/>
      <c r="AB96" s="43"/>
      <c r="AC96" s="43"/>
      <c r="AD96" s="43"/>
      <c r="AE96" s="43"/>
    </row>
    <row r="97" spans="1:31">
      <c r="A97" s="43"/>
      <c r="B97" s="101" t="s">
        <v>731</v>
      </c>
      <c r="C97" s="121">
        <f>+D97/$D$101</f>
        <v>0.16255370669110189</v>
      </c>
      <c r="D97" s="190">
        <v>2700000</v>
      </c>
      <c r="E97" s="371">
        <f>+D97+3000000</f>
        <v>5700000</v>
      </c>
      <c r="F97" s="323">
        <f t="shared" ref="F97:N97" si="31">+E97</f>
        <v>5700000</v>
      </c>
      <c r="G97" s="323">
        <f t="shared" si="31"/>
        <v>5700000</v>
      </c>
      <c r="H97" s="323">
        <f t="shared" si="31"/>
        <v>5700000</v>
      </c>
      <c r="I97" s="323">
        <f t="shared" si="31"/>
        <v>5700000</v>
      </c>
      <c r="J97" s="323">
        <f t="shared" si="31"/>
        <v>5700000</v>
      </c>
      <c r="K97" s="323">
        <f t="shared" si="31"/>
        <v>5700000</v>
      </c>
      <c r="L97" s="323">
        <f t="shared" si="31"/>
        <v>5700000</v>
      </c>
      <c r="M97" s="323">
        <f t="shared" si="31"/>
        <v>5700000</v>
      </c>
      <c r="N97" s="323">
        <f t="shared" si="31"/>
        <v>5700000</v>
      </c>
      <c r="O97" s="323"/>
      <c r="P97" s="323"/>
      <c r="Q97" s="43"/>
      <c r="R97" s="43"/>
      <c r="S97" s="43"/>
      <c r="T97" s="43"/>
      <c r="U97" s="43"/>
      <c r="V97" s="43"/>
      <c r="W97" s="43"/>
      <c r="X97" s="43"/>
      <c r="Y97" s="43"/>
      <c r="Z97" s="43"/>
      <c r="AA97" s="43"/>
      <c r="AB97" s="43"/>
      <c r="AC97" s="43"/>
      <c r="AD97" s="43"/>
      <c r="AE97" s="43"/>
    </row>
    <row r="98" spans="1:31">
      <c r="A98" s="323"/>
      <c r="B98" s="101" t="s">
        <v>732</v>
      </c>
      <c r="C98" s="121">
        <f>+D98/$D$101</f>
        <v>8.4287107173163942E-2</v>
      </c>
      <c r="D98" s="190">
        <v>1400000</v>
      </c>
      <c r="E98" s="371">
        <f>+D98+1770000</f>
        <v>3170000</v>
      </c>
      <c r="F98" s="323">
        <f t="shared" ref="F98:N98" si="32">+E98</f>
        <v>3170000</v>
      </c>
      <c r="G98" s="323">
        <f t="shared" si="32"/>
        <v>3170000</v>
      </c>
      <c r="H98" s="323">
        <f t="shared" si="32"/>
        <v>3170000</v>
      </c>
      <c r="I98" s="323">
        <f t="shared" si="32"/>
        <v>3170000</v>
      </c>
      <c r="J98" s="323">
        <f t="shared" si="32"/>
        <v>3170000</v>
      </c>
      <c r="K98" s="323">
        <f t="shared" si="32"/>
        <v>3170000</v>
      </c>
      <c r="L98" s="323">
        <f t="shared" si="32"/>
        <v>3170000</v>
      </c>
      <c r="M98" s="323">
        <f t="shared" si="32"/>
        <v>3170000</v>
      </c>
      <c r="N98" s="323">
        <f t="shared" si="32"/>
        <v>3170000</v>
      </c>
      <c r="O98" s="323"/>
      <c r="P98" s="323"/>
      <c r="Q98" s="43"/>
      <c r="R98" s="43"/>
      <c r="S98" s="43"/>
      <c r="T98" s="43"/>
      <c r="U98" s="43"/>
      <c r="V98" s="43"/>
      <c r="W98" s="43"/>
      <c r="X98" s="43"/>
      <c r="Y98" s="43"/>
      <c r="Z98" s="43"/>
      <c r="AA98" s="43"/>
      <c r="AB98" s="43"/>
      <c r="AC98" s="43"/>
      <c r="AD98" s="43"/>
      <c r="AE98" s="43"/>
    </row>
    <row r="99" spans="1:31">
      <c r="A99" s="43"/>
      <c r="B99" s="101" t="s">
        <v>733</v>
      </c>
      <c r="C99" s="121">
        <f>+D99/$D$101</f>
        <v>2.4082030620903985E-2</v>
      </c>
      <c r="D99" s="190">
        <v>400000</v>
      </c>
      <c r="E99" s="371">
        <f>+D99+530000</f>
        <v>930000</v>
      </c>
      <c r="F99" s="323">
        <f t="shared" ref="F99:N99" si="33">+E99</f>
        <v>930000</v>
      </c>
      <c r="G99" s="323">
        <f t="shared" si="33"/>
        <v>930000</v>
      </c>
      <c r="H99" s="323">
        <f t="shared" si="33"/>
        <v>930000</v>
      </c>
      <c r="I99" s="323">
        <f t="shared" si="33"/>
        <v>930000</v>
      </c>
      <c r="J99" s="323">
        <f t="shared" si="33"/>
        <v>930000</v>
      </c>
      <c r="K99" s="323">
        <f t="shared" si="33"/>
        <v>930000</v>
      </c>
      <c r="L99" s="323">
        <f t="shared" si="33"/>
        <v>930000</v>
      </c>
      <c r="M99" s="323">
        <f t="shared" si="33"/>
        <v>930000</v>
      </c>
      <c r="N99" s="323">
        <f t="shared" si="33"/>
        <v>930000</v>
      </c>
      <c r="O99" s="323"/>
      <c r="P99" s="323"/>
      <c r="Q99" s="43"/>
      <c r="R99" s="43"/>
      <c r="S99" s="43"/>
      <c r="T99" s="43"/>
      <c r="U99" s="43"/>
      <c r="V99" s="43"/>
      <c r="W99" s="43"/>
      <c r="X99" s="43"/>
      <c r="Y99" s="43"/>
      <c r="Z99" s="43"/>
      <c r="AA99" s="43"/>
      <c r="AB99" s="43"/>
      <c r="AC99" s="43"/>
      <c r="AD99" s="43"/>
      <c r="AE99" s="43"/>
    </row>
    <row r="100" spans="1:31">
      <c r="A100" s="43"/>
      <c r="B100" s="101" t="s">
        <v>734</v>
      </c>
      <c r="C100" s="121">
        <f>+D100/$D$101</f>
        <v>6.3034715150216178E-2</v>
      </c>
      <c r="D100" s="190">
        <v>1047000</v>
      </c>
      <c r="E100" s="323">
        <f>+D100</f>
        <v>1047000</v>
      </c>
      <c r="F100" s="323">
        <f t="shared" ref="F100:N100" si="34">+E100</f>
        <v>1047000</v>
      </c>
      <c r="G100" s="323">
        <f t="shared" si="34"/>
        <v>1047000</v>
      </c>
      <c r="H100" s="323">
        <f t="shared" si="34"/>
        <v>1047000</v>
      </c>
      <c r="I100" s="323">
        <f t="shared" si="34"/>
        <v>1047000</v>
      </c>
      <c r="J100" s="323">
        <f t="shared" si="34"/>
        <v>1047000</v>
      </c>
      <c r="K100" s="323">
        <f t="shared" si="34"/>
        <v>1047000</v>
      </c>
      <c r="L100" s="323">
        <f t="shared" si="34"/>
        <v>1047000</v>
      </c>
      <c r="M100" s="323">
        <f t="shared" si="34"/>
        <v>1047000</v>
      </c>
      <c r="N100" s="323">
        <f t="shared" si="34"/>
        <v>1047000</v>
      </c>
      <c r="O100" s="323"/>
      <c r="P100" s="323"/>
      <c r="Q100" s="43"/>
      <c r="R100" s="43"/>
      <c r="S100" s="43"/>
      <c r="T100" s="43"/>
      <c r="U100" s="43"/>
      <c r="V100" s="43"/>
      <c r="W100" s="43"/>
      <c r="X100" s="43"/>
      <c r="Y100" s="43"/>
      <c r="Z100" s="43"/>
      <c r="AA100" s="43"/>
      <c r="AB100" s="43"/>
      <c r="AC100" s="43"/>
      <c r="AD100" s="43"/>
      <c r="AE100" s="43"/>
    </row>
    <row r="101" spans="1:31">
      <c r="A101" s="43"/>
      <c r="B101" s="101" t="s">
        <v>735</v>
      </c>
      <c r="C101" s="138">
        <f t="shared" ref="C101:P101" si="35">SUM(C95:C100)</f>
        <v>1</v>
      </c>
      <c r="D101" s="373">
        <f t="shared" si="35"/>
        <v>16609895</v>
      </c>
      <c r="E101" s="373">
        <f t="shared" si="35"/>
        <v>16609895</v>
      </c>
      <c r="F101" s="373">
        <f t="shared" si="35"/>
        <v>16609895</v>
      </c>
      <c r="G101" s="373">
        <f t="shared" si="35"/>
        <v>16609895</v>
      </c>
      <c r="H101" s="373">
        <f t="shared" si="35"/>
        <v>16609895</v>
      </c>
      <c r="I101" s="373">
        <f t="shared" si="35"/>
        <v>16609895</v>
      </c>
      <c r="J101" s="373">
        <f t="shared" si="35"/>
        <v>16609895</v>
      </c>
      <c r="K101" s="373">
        <f t="shared" si="35"/>
        <v>16609895</v>
      </c>
      <c r="L101" s="373">
        <f t="shared" si="35"/>
        <v>16609895</v>
      </c>
      <c r="M101" s="373">
        <f t="shared" si="35"/>
        <v>16609895</v>
      </c>
      <c r="N101" s="373">
        <f t="shared" si="35"/>
        <v>16609895</v>
      </c>
      <c r="O101" s="373">
        <f t="shared" si="35"/>
        <v>16609895</v>
      </c>
      <c r="P101" s="373">
        <f t="shared" si="35"/>
        <v>16609895</v>
      </c>
      <c r="Q101" s="43"/>
      <c r="R101" s="43"/>
      <c r="S101" s="43"/>
      <c r="T101" s="43"/>
      <c r="U101" s="43"/>
      <c r="V101" s="43"/>
      <c r="W101" s="43"/>
      <c r="X101" s="43"/>
      <c r="Y101" s="43"/>
      <c r="Z101" s="43"/>
      <c r="AA101" s="43"/>
      <c r="AB101" s="43"/>
      <c r="AC101" s="43"/>
      <c r="AD101" s="43"/>
      <c r="AE101" s="43"/>
    </row>
    <row r="102" spans="1:31">
      <c r="A102" s="43"/>
      <c r="B102" s="43"/>
      <c r="C102" s="72"/>
      <c r="D102" s="323"/>
      <c r="E102" s="323"/>
      <c r="F102" s="323"/>
      <c r="G102" s="323"/>
      <c r="H102" s="323"/>
      <c r="I102" s="50">
        <f>(I96/I101)*I105</f>
        <v>1724794.335193814</v>
      </c>
      <c r="J102" s="323"/>
      <c r="K102" s="323"/>
      <c r="L102" s="76"/>
      <c r="M102" s="76"/>
      <c r="N102" s="200">
        <f>+SUM(N97:N100)/N101</f>
        <v>0.65304446536236382</v>
      </c>
      <c r="O102" s="323"/>
      <c r="P102" s="323"/>
      <c r="Q102" s="46" t="s">
        <v>736</v>
      </c>
      <c r="R102" s="43"/>
      <c r="S102" s="43"/>
      <c r="T102" s="43"/>
      <c r="U102" s="43"/>
      <c r="V102" s="43"/>
      <c r="W102" s="43"/>
      <c r="X102" s="43"/>
      <c r="Y102" s="43"/>
      <c r="Z102" s="43"/>
      <c r="AA102" s="43"/>
      <c r="AB102" s="43"/>
      <c r="AC102" s="43"/>
      <c r="AD102" s="43"/>
      <c r="AE102" s="43"/>
    </row>
    <row r="103" spans="1:31">
      <c r="A103" s="46" t="s">
        <v>600</v>
      </c>
      <c r="B103" s="43"/>
      <c r="C103" s="76"/>
      <c r="D103" s="323"/>
      <c r="E103" s="323"/>
      <c r="F103" s="323"/>
      <c r="G103" s="323"/>
      <c r="H103" s="323"/>
      <c r="I103" s="323"/>
      <c r="J103" s="323"/>
      <c r="K103" s="323"/>
      <c r="L103" s="323"/>
      <c r="M103" s="323"/>
      <c r="N103" s="371">
        <f>+O55-(O64*(1+$T$64))</f>
        <v>-9186160.9081607126</v>
      </c>
      <c r="O103" s="323"/>
      <c r="P103" s="323"/>
      <c r="Q103" s="46" t="s">
        <v>737</v>
      </c>
      <c r="R103" s="43"/>
      <c r="S103" s="43"/>
      <c r="T103" s="43"/>
      <c r="U103" s="43"/>
      <c r="V103" s="43"/>
      <c r="W103" s="43"/>
      <c r="X103" s="43"/>
      <c r="Y103" s="43"/>
      <c r="Z103" s="43"/>
      <c r="AA103" s="43"/>
      <c r="AB103" s="43"/>
      <c r="AC103" s="43"/>
      <c r="AD103" s="43"/>
      <c r="AE103" s="43"/>
    </row>
    <row r="104" spans="1:31">
      <c r="A104" s="374" t="s">
        <v>738</v>
      </c>
      <c r="B104" s="310">
        <v>46732</v>
      </c>
      <c r="C104" s="46" t="s">
        <v>739</v>
      </c>
      <c r="D104" s="137">
        <f t="shared" ref="D104:M104" si="36">D101*(1+$B$105)^((D93-$D$92)/360)</f>
        <v>16785132.234663036</v>
      </c>
      <c r="E104" s="137">
        <f t="shared" si="36"/>
        <v>17640655.737796567</v>
      </c>
      <c r="F104" s="137">
        <f t="shared" si="36"/>
        <v>18550028.054328371</v>
      </c>
      <c r="G104" s="137">
        <f t="shared" si="36"/>
        <v>19517055.866424315</v>
      </c>
      <c r="H104" s="137">
        <f t="shared" si="36"/>
        <v>20534495.612487592</v>
      </c>
      <c r="I104" s="137">
        <f t="shared" si="36"/>
        <v>21581120.886323463</v>
      </c>
      <c r="J104" s="137">
        <f t="shared" si="36"/>
        <v>22693623.402411912</v>
      </c>
      <c r="K104" s="137">
        <f t="shared" si="36"/>
        <v>23876660.157024425</v>
      </c>
      <c r="L104" s="137">
        <f t="shared" si="36"/>
        <v>25121369.564696625</v>
      </c>
      <c r="M104" s="137">
        <f t="shared" si="36"/>
        <v>30732832.240704596</v>
      </c>
      <c r="N104" s="137">
        <f>N101*(1+$B$105)^((N93-$D$92)/360)+N103</f>
        <v>28432362.65170062</v>
      </c>
      <c r="O104" s="137">
        <f>+N104*1.22</f>
        <v>34687482.435074754</v>
      </c>
      <c r="P104" s="137">
        <f>+O104*1.22</f>
        <v>42318728.5707912</v>
      </c>
      <c r="Q104" s="43"/>
      <c r="R104" s="43"/>
      <c r="S104" s="43"/>
      <c r="T104" s="43"/>
      <c r="U104" s="43"/>
      <c r="V104" s="43"/>
      <c r="W104" s="43"/>
      <c r="X104" s="43"/>
      <c r="Y104" s="43"/>
      <c r="Z104" s="43"/>
      <c r="AA104" s="43"/>
      <c r="AB104" s="43"/>
      <c r="AC104" s="43"/>
      <c r="AD104" s="43"/>
      <c r="AE104" s="43"/>
    </row>
    <row r="105" spans="1:31" ht="14.65" customHeight="1" thickBot="1">
      <c r="A105" s="101" t="s">
        <v>740</v>
      </c>
      <c r="B105" s="105">
        <v>0.22</v>
      </c>
      <c r="C105" s="46" t="s">
        <v>596</v>
      </c>
      <c r="D105" s="50">
        <f t="shared" ref="D105:O105" si="37">+D104-D101</f>
        <v>175237.23466303572</v>
      </c>
      <c r="E105" s="50">
        <f t="shared" si="37"/>
        <v>1030760.7377965674</v>
      </c>
      <c r="F105" s="50">
        <f t="shared" si="37"/>
        <v>1940133.0543283708</v>
      </c>
      <c r="G105" s="50">
        <f t="shared" si="37"/>
        <v>2907160.8664243147</v>
      </c>
      <c r="H105" s="50">
        <f t="shared" si="37"/>
        <v>3924600.6124875918</v>
      </c>
      <c r="I105" s="50">
        <f t="shared" si="37"/>
        <v>4971225.8863234632</v>
      </c>
      <c r="J105" s="50">
        <f t="shared" si="37"/>
        <v>6083728.4024119116</v>
      </c>
      <c r="K105" s="50">
        <f t="shared" si="37"/>
        <v>7266765.1570244245</v>
      </c>
      <c r="L105" s="50">
        <f t="shared" si="37"/>
        <v>8511474.5646966249</v>
      </c>
      <c r="M105" s="50">
        <f t="shared" si="37"/>
        <v>14122937.240704596</v>
      </c>
      <c r="N105" s="50">
        <f t="shared" si="37"/>
        <v>11822467.65170062</v>
      </c>
      <c r="O105" s="50">
        <f t="shared" si="37"/>
        <v>18077587.435074754</v>
      </c>
      <c r="P105" s="50">
        <f>+P104-P101+P103</f>
        <v>25708833.5707912</v>
      </c>
      <c r="Q105" s="43"/>
      <c r="R105" s="43"/>
      <c r="S105" s="43"/>
      <c r="T105" s="43"/>
      <c r="U105" s="43"/>
      <c r="V105" s="43"/>
      <c r="W105" s="43"/>
      <c r="X105" s="43"/>
      <c r="Y105" s="43"/>
      <c r="Z105" s="43"/>
      <c r="AA105" s="43"/>
      <c r="AB105" s="43"/>
      <c r="AC105" s="43"/>
      <c r="AD105" s="43"/>
      <c r="AE105" s="43"/>
    </row>
    <row r="106" spans="1:31">
      <c r="A106" s="43"/>
      <c r="B106" s="43"/>
      <c r="C106" s="43"/>
      <c r="D106" s="43"/>
      <c r="E106" s="43"/>
      <c r="F106" s="43"/>
      <c r="G106" s="43"/>
      <c r="H106" s="43"/>
      <c r="I106" s="66"/>
      <c r="J106" s="43"/>
      <c r="K106" s="43"/>
      <c r="L106" s="43"/>
      <c r="M106" s="43"/>
      <c r="N106" s="43"/>
      <c r="O106" s="43"/>
      <c r="P106" s="43"/>
      <c r="Q106" s="43"/>
      <c r="R106" s="66"/>
      <c r="S106" s="43"/>
      <c r="T106" s="43"/>
      <c r="U106" s="43"/>
      <c r="V106" s="43"/>
      <c r="W106" s="43"/>
      <c r="X106" s="43"/>
      <c r="Y106" s="43"/>
      <c r="Z106" s="43"/>
      <c r="AA106" s="43"/>
      <c r="AB106" s="43"/>
      <c r="AC106" s="43"/>
      <c r="AD106" s="43"/>
      <c r="AE106" s="43"/>
    </row>
    <row r="107" spans="1:31" ht="14.65" customHeight="1" thickBot="1">
      <c r="A107" s="46" t="s">
        <v>192</v>
      </c>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c r="AB107" s="43"/>
      <c r="AC107" s="43"/>
      <c r="AD107" s="43"/>
      <c r="AE107" s="43"/>
    </row>
    <row r="108" spans="1:31">
      <c r="A108" s="43"/>
      <c r="B108" s="43"/>
      <c r="C108" s="43"/>
      <c r="D108" s="43"/>
      <c r="E108" s="310">
        <v>45657</v>
      </c>
      <c r="F108" s="310">
        <v>45747</v>
      </c>
      <c r="G108" s="310">
        <v>45838</v>
      </c>
      <c r="H108" s="310">
        <v>45930</v>
      </c>
      <c r="I108" s="310">
        <v>46022</v>
      </c>
      <c r="J108" s="310">
        <v>46112</v>
      </c>
      <c r="K108" s="310">
        <v>46203</v>
      </c>
      <c r="L108" s="310">
        <v>46295</v>
      </c>
      <c r="M108" s="310">
        <v>46387</v>
      </c>
      <c r="N108" s="310">
        <v>46752</v>
      </c>
      <c r="O108" s="310">
        <v>47118</v>
      </c>
      <c r="P108" s="310">
        <v>47483</v>
      </c>
      <c r="Q108" s="310">
        <v>47848</v>
      </c>
      <c r="R108" s="43"/>
      <c r="S108" s="43"/>
      <c r="T108" s="43"/>
      <c r="U108" s="43"/>
      <c r="V108" s="43"/>
      <c r="W108" s="43"/>
      <c r="X108" s="43"/>
      <c r="Y108" s="43"/>
      <c r="Z108" s="43"/>
      <c r="AA108" s="43"/>
      <c r="AB108" s="43"/>
      <c r="AC108" s="43"/>
      <c r="AD108" s="43"/>
      <c r="AE108" s="43"/>
    </row>
    <row r="109" spans="1:31">
      <c r="A109" s="46" t="s">
        <v>741</v>
      </c>
      <c r="B109" s="43"/>
      <c r="C109" s="43"/>
      <c r="D109" s="43"/>
      <c r="E109" s="119">
        <v>7777380.5277468348</v>
      </c>
      <c r="F109" s="55">
        <f t="shared" ref="F109:Q109" si="38">+F114+F120+F123+F128</f>
        <v>8032757.9684618833</v>
      </c>
      <c r="G109" s="55">
        <f t="shared" si="38"/>
        <v>8299499.794774903</v>
      </c>
      <c r="H109" s="55">
        <f t="shared" si="38"/>
        <v>8578178.106513653</v>
      </c>
      <c r="I109" s="55">
        <f t="shared" si="38"/>
        <v>8866213.8016313929</v>
      </c>
      <c r="J109" s="55">
        <f t="shared" si="38"/>
        <v>9157344.0840465482</v>
      </c>
      <c r="K109" s="55">
        <f t="shared" si="38"/>
        <v>9461429.7660433892</v>
      </c>
      <c r="L109" s="55">
        <f t="shared" si="38"/>
        <v>9779123.0414255653</v>
      </c>
      <c r="M109" s="55">
        <f t="shared" si="38"/>
        <v>10107483.733859789</v>
      </c>
      <c r="N109" s="55">
        <f t="shared" si="38"/>
        <v>11522531.456600159</v>
      </c>
      <c r="O109" s="55">
        <f t="shared" si="38"/>
        <v>13140402.175758786</v>
      </c>
      <c r="P109" s="55">
        <f t="shared" si="38"/>
        <v>14980058.480365019</v>
      </c>
      <c r="Q109" s="55">
        <f t="shared" si="38"/>
        <v>17077266.667616121</v>
      </c>
      <c r="R109" s="43"/>
      <c r="S109" s="43"/>
      <c r="T109" s="43"/>
      <c r="U109" s="43"/>
      <c r="V109" s="43"/>
      <c r="W109" s="43"/>
      <c r="X109" s="43"/>
      <c r="Y109" s="43"/>
      <c r="Z109" s="43"/>
      <c r="AA109" s="43"/>
      <c r="AB109" s="43"/>
      <c r="AC109" s="43"/>
      <c r="AD109" s="43"/>
      <c r="AE109" s="43"/>
    </row>
    <row r="110" spans="1:31">
      <c r="A110" s="43"/>
      <c r="B110" s="43"/>
      <c r="C110" s="43"/>
      <c r="D110" s="43"/>
      <c r="E110" s="55"/>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c r="AD110" s="43"/>
      <c r="AE110" s="43"/>
    </row>
    <row r="111" spans="1:31">
      <c r="A111" s="43"/>
      <c r="B111" s="310">
        <v>44039</v>
      </c>
      <c r="C111" s="43"/>
      <c r="D111" s="43"/>
      <c r="E111" s="310">
        <v>45657</v>
      </c>
      <c r="F111" s="283">
        <f t="shared" ref="F111:Q111" si="39">+F108</f>
        <v>45747</v>
      </c>
      <c r="G111" s="283">
        <f t="shared" si="39"/>
        <v>45838</v>
      </c>
      <c r="H111" s="283">
        <f t="shared" si="39"/>
        <v>45930</v>
      </c>
      <c r="I111" s="283">
        <f t="shared" si="39"/>
        <v>46022</v>
      </c>
      <c r="J111" s="283">
        <f t="shared" si="39"/>
        <v>46112</v>
      </c>
      <c r="K111" s="283">
        <f t="shared" si="39"/>
        <v>46203</v>
      </c>
      <c r="L111" s="283">
        <f t="shared" si="39"/>
        <v>46295</v>
      </c>
      <c r="M111" s="283">
        <f t="shared" si="39"/>
        <v>46387</v>
      </c>
      <c r="N111" s="283">
        <f t="shared" si="39"/>
        <v>46752</v>
      </c>
      <c r="O111" s="283">
        <f t="shared" si="39"/>
        <v>47118</v>
      </c>
      <c r="P111" s="283">
        <f t="shared" si="39"/>
        <v>47483</v>
      </c>
      <c r="Q111" s="283">
        <f t="shared" si="39"/>
        <v>47848</v>
      </c>
      <c r="R111" s="43"/>
      <c r="S111" s="43"/>
      <c r="T111" s="43"/>
      <c r="U111" s="43"/>
      <c r="V111" s="43"/>
      <c r="W111" s="43"/>
      <c r="X111" s="43"/>
      <c r="Y111" s="43"/>
      <c r="Z111" s="43"/>
      <c r="AA111" s="43"/>
      <c r="AB111" s="43"/>
      <c r="AC111" s="43"/>
      <c r="AD111" s="43"/>
      <c r="AE111" s="43"/>
    </row>
    <row r="112" spans="1:31">
      <c r="A112" s="46" t="s">
        <v>742</v>
      </c>
      <c r="B112" s="68">
        <v>2000000</v>
      </c>
      <c r="C112" s="43"/>
      <c r="D112" s="43"/>
      <c r="E112" s="68">
        <v>2000000</v>
      </c>
      <c r="F112" s="50">
        <f t="shared" ref="F112:Q112" si="40">+E112</f>
        <v>2000000</v>
      </c>
      <c r="G112" s="50">
        <f t="shared" si="40"/>
        <v>2000000</v>
      </c>
      <c r="H112" s="50">
        <f t="shared" si="40"/>
        <v>2000000</v>
      </c>
      <c r="I112" s="50">
        <f t="shared" si="40"/>
        <v>2000000</v>
      </c>
      <c r="J112" s="50">
        <f t="shared" si="40"/>
        <v>2000000</v>
      </c>
      <c r="K112" s="50">
        <f t="shared" si="40"/>
        <v>2000000</v>
      </c>
      <c r="L112" s="50">
        <f t="shared" si="40"/>
        <v>2000000</v>
      </c>
      <c r="M112" s="50">
        <f t="shared" si="40"/>
        <v>2000000</v>
      </c>
      <c r="N112" s="50">
        <f t="shared" si="40"/>
        <v>2000000</v>
      </c>
      <c r="O112" s="50">
        <f t="shared" si="40"/>
        <v>2000000</v>
      </c>
      <c r="P112" s="50">
        <f t="shared" si="40"/>
        <v>2000000</v>
      </c>
      <c r="Q112" s="50">
        <f t="shared" si="40"/>
        <v>2000000</v>
      </c>
      <c r="R112" s="43"/>
      <c r="S112" s="43"/>
      <c r="T112" s="43"/>
      <c r="U112" s="43"/>
      <c r="V112" s="43"/>
      <c r="W112" s="43"/>
      <c r="X112" s="43"/>
      <c r="Y112" s="43"/>
      <c r="Z112" s="43"/>
      <c r="AA112" s="43"/>
      <c r="AB112" s="43"/>
      <c r="AC112" s="43"/>
      <c r="AD112" s="43"/>
      <c r="AE112" s="43"/>
    </row>
    <row r="113" spans="1:31">
      <c r="A113" s="46" t="s">
        <v>743</v>
      </c>
      <c r="B113" s="43"/>
      <c r="C113" s="43"/>
      <c r="D113" s="43"/>
      <c r="E113" s="119">
        <v>1575050.541891976</v>
      </c>
      <c r="F113" s="55">
        <f t="shared" ref="F113:Q113" si="41">+F114-F112</f>
        <v>1692440.6135951821</v>
      </c>
      <c r="G113" s="55">
        <f t="shared" si="41"/>
        <v>1815054.5846235333</v>
      </c>
      <c r="H113" s="55">
        <f t="shared" si="41"/>
        <v>1943155.4337257175</v>
      </c>
      <c r="I113" s="55">
        <f t="shared" si="41"/>
        <v>2075557.6177568533</v>
      </c>
      <c r="J113" s="55">
        <f t="shared" si="41"/>
        <v>2209382.2994985087</v>
      </c>
      <c r="K113" s="55">
        <f t="shared" si="41"/>
        <v>2349162.2264708281</v>
      </c>
      <c r="L113" s="55">
        <f t="shared" si="41"/>
        <v>2495197.194447319</v>
      </c>
      <c r="M113" s="55">
        <f t="shared" si="41"/>
        <v>2646135.6842428129</v>
      </c>
      <c r="N113" s="55">
        <f t="shared" si="41"/>
        <v>3296594.6800368074</v>
      </c>
      <c r="O113" s="55">
        <f t="shared" si="41"/>
        <v>4040285.8972280109</v>
      </c>
      <c r="P113" s="55">
        <f t="shared" si="41"/>
        <v>4885925.922839934</v>
      </c>
      <c r="Q113" s="55">
        <f t="shared" si="41"/>
        <v>5849955.552037525</v>
      </c>
      <c r="R113" s="43"/>
      <c r="S113" s="43"/>
      <c r="T113" s="43"/>
      <c r="U113" s="43"/>
      <c r="V113" s="43"/>
      <c r="W113" s="43"/>
      <c r="X113" s="43"/>
      <c r="Y113" s="43"/>
      <c r="Z113" s="43"/>
      <c r="AA113" s="43"/>
      <c r="AB113" s="43"/>
      <c r="AC113" s="43"/>
      <c r="AD113" s="43"/>
      <c r="AE113" s="43"/>
    </row>
    <row r="114" spans="1:31">
      <c r="A114" s="101" t="s">
        <v>33</v>
      </c>
      <c r="B114" s="43"/>
      <c r="C114" s="72"/>
      <c r="D114" s="72"/>
      <c r="E114" s="68">
        <v>3575050.5418919758</v>
      </c>
      <c r="F114" s="137">
        <f t="shared" ref="F114:Q114" si="42">($B$112*(1+14%)^((F111-$B$111)/365))</f>
        <v>3692440.6135951821</v>
      </c>
      <c r="G114" s="137">
        <f t="shared" si="42"/>
        <v>3815054.5846235333</v>
      </c>
      <c r="H114" s="137">
        <f t="shared" si="42"/>
        <v>3943155.4337257175</v>
      </c>
      <c r="I114" s="137">
        <f t="shared" si="42"/>
        <v>4075557.6177568533</v>
      </c>
      <c r="J114" s="137">
        <f t="shared" si="42"/>
        <v>4209382.2994985087</v>
      </c>
      <c r="K114" s="137">
        <f t="shared" si="42"/>
        <v>4349162.2264708281</v>
      </c>
      <c r="L114" s="137">
        <f t="shared" si="42"/>
        <v>4495197.194447319</v>
      </c>
      <c r="M114" s="137">
        <f t="shared" si="42"/>
        <v>4646135.6842428129</v>
      </c>
      <c r="N114" s="137">
        <f t="shared" si="42"/>
        <v>5296594.6800368074</v>
      </c>
      <c r="O114" s="137">
        <f t="shared" si="42"/>
        <v>6040285.8972280109</v>
      </c>
      <c r="P114" s="137">
        <f t="shared" si="42"/>
        <v>6885925.922839934</v>
      </c>
      <c r="Q114" s="137">
        <f t="shared" si="42"/>
        <v>7849955.552037525</v>
      </c>
      <c r="R114" s="43"/>
      <c r="S114" s="43"/>
      <c r="T114" s="43"/>
      <c r="U114" s="43"/>
      <c r="V114" s="43"/>
      <c r="W114" s="43"/>
      <c r="X114" s="43"/>
      <c r="Y114" s="43"/>
      <c r="Z114" s="43"/>
      <c r="AA114" s="43"/>
      <c r="AB114" s="43"/>
      <c r="AC114" s="43"/>
      <c r="AD114" s="43"/>
      <c r="AE114" s="43"/>
    </row>
    <row r="115" spans="1:31">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c r="AB115" s="43"/>
      <c r="AC115" s="43"/>
      <c r="AD115" s="43"/>
      <c r="AE115" s="43"/>
    </row>
    <row r="116" spans="1:31">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c r="AB116" s="43"/>
      <c r="AC116" s="43"/>
      <c r="AD116" s="43"/>
      <c r="AE116" s="43"/>
    </row>
    <row r="117" spans="1:31">
      <c r="A117" s="43"/>
      <c r="B117" s="310">
        <v>43978</v>
      </c>
      <c r="C117" s="43"/>
      <c r="D117" s="43"/>
      <c r="E117" s="310">
        <v>45657</v>
      </c>
      <c r="F117" s="283">
        <f t="shared" ref="F117:Q117" si="43">+F108</f>
        <v>45747</v>
      </c>
      <c r="G117" s="283">
        <f t="shared" si="43"/>
        <v>45838</v>
      </c>
      <c r="H117" s="283">
        <f t="shared" si="43"/>
        <v>45930</v>
      </c>
      <c r="I117" s="283">
        <f t="shared" si="43"/>
        <v>46022</v>
      </c>
      <c r="J117" s="283">
        <f t="shared" si="43"/>
        <v>46112</v>
      </c>
      <c r="K117" s="283">
        <f t="shared" si="43"/>
        <v>46203</v>
      </c>
      <c r="L117" s="283">
        <f t="shared" si="43"/>
        <v>46295</v>
      </c>
      <c r="M117" s="283">
        <f t="shared" si="43"/>
        <v>46387</v>
      </c>
      <c r="N117" s="283">
        <f t="shared" si="43"/>
        <v>46752</v>
      </c>
      <c r="O117" s="283">
        <f t="shared" si="43"/>
        <v>47118</v>
      </c>
      <c r="P117" s="283">
        <f t="shared" si="43"/>
        <v>47483</v>
      </c>
      <c r="Q117" s="283">
        <f t="shared" si="43"/>
        <v>47848</v>
      </c>
      <c r="R117" s="43"/>
      <c r="S117" s="43"/>
      <c r="T117" s="43"/>
      <c r="U117" s="43"/>
      <c r="V117" s="43"/>
      <c r="W117" s="43"/>
      <c r="X117" s="43"/>
      <c r="Y117" s="43"/>
      <c r="Z117" s="43"/>
      <c r="AA117" s="43"/>
      <c r="AB117" s="43"/>
      <c r="AC117" s="43"/>
      <c r="AD117" s="43"/>
      <c r="AE117" s="43"/>
    </row>
    <row r="118" spans="1:31">
      <c r="A118" s="46" t="s">
        <v>742</v>
      </c>
      <c r="B118" s="68">
        <v>2300000</v>
      </c>
      <c r="C118" s="43"/>
      <c r="D118" s="43"/>
      <c r="E118" s="68">
        <v>1112818.5900000001</v>
      </c>
      <c r="F118" s="50">
        <f t="shared" ref="F118:Q118" si="44">+E118</f>
        <v>1112818.5900000001</v>
      </c>
      <c r="G118" s="50">
        <f t="shared" si="44"/>
        <v>1112818.5900000001</v>
      </c>
      <c r="H118" s="50">
        <f t="shared" si="44"/>
        <v>1112818.5900000001</v>
      </c>
      <c r="I118" s="50">
        <f t="shared" si="44"/>
        <v>1112818.5900000001</v>
      </c>
      <c r="J118" s="50">
        <f t="shared" si="44"/>
        <v>1112818.5900000001</v>
      </c>
      <c r="K118" s="50">
        <f t="shared" si="44"/>
        <v>1112818.5900000001</v>
      </c>
      <c r="L118" s="50">
        <f t="shared" si="44"/>
        <v>1112818.5900000001</v>
      </c>
      <c r="M118" s="50">
        <f t="shared" si="44"/>
        <v>1112818.5900000001</v>
      </c>
      <c r="N118" s="50">
        <f t="shared" si="44"/>
        <v>1112818.5900000001</v>
      </c>
      <c r="O118" s="50">
        <f t="shared" si="44"/>
        <v>1112818.5900000001</v>
      </c>
      <c r="P118" s="50">
        <f t="shared" si="44"/>
        <v>1112818.5900000001</v>
      </c>
      <c r="Q118" s="50">
        <f t="shared" si="44"/>
        <v>1112818.5900000001</v>
      </c>
      <c r="R118" s="43"/>
      <c r="S118" s="43"/>
      <c r="T118" s="43"/>
      <c r="U118" s="43"/>
      <c r="V118" s="43"/>
      <c r="W118" s="43"/>
      <c r="X118" s="43"/>
      <c r="Y118" s="43"/>
      <c r="Z118" s="43"/>
      <c r="AA118" s="43"/>
      <c r="AB118" s="43"/>
      <c r="AC118" s="43"/>
      <c r="AD118" s="43"/>
      <c r="AE118" s="43"/>
    </row>
    <row r="119" spans="1:31">
      <c r="A119" s="46" t="s">
        <v>743</v>
      </c>
      <c r="B119" s="43"/>
      <c r="C119" s="43"/>
      <c r="D119" s="43"/>
      <c r="E119" s="119">
        <v>920412.24894509744</v>
      </c>
      <c r="F119" s="55">
        <f t="shared" ref="F119:Q119" si="45">+F120-F118</f>
        <v>987175.25304143107</v>
      </c>
      <c r="G119" s="55">
        <f t="shared" si="45"/>
        <v>1056909.2342143042</v>
      </c>
      <c r="H119" s="55">
        <f t="shared" si="45"/>
        <v>1129763.7558043047</v>
      </c>
      <c r="I119" s="55">
        <f t="shared" si="45"/>
        <v>1205064.5663974111</v>
      </c>
      <c r="J119" s="55">
        <f t="shared" si="45"/>
        <v>1281174.3910672322</v>
      </c>
      <c r="K119" s="55">
        <f t="shared" si="45"/>
        <v>1360671.1296043072</v>
      </c>
      <c r="L119" s="55">
        <f t="shared" si="45"/>
        <v>1443725.284216908</v>
      </c>
      <c r="M119" s="55">
        <f t="shared" si="45"/>
        <v>1529568.2082930489</v>
      </c>
      <c r="N119" s="55">
        <f t="shared" si="45"/>
        <v>1899502.3600540764</v>
      </c>
      <c r="O119" s="55">
        <f t="shared" si="45"/>
        <v>2322460.2734394195</v>
      </c>
      <c r="P119" s="55">
        <f t="shared" si="45"/>
        <v>2803399.3143209387</v>
      </c>
      <c r="Q119" s="55">
        <f t="shared" si="45"/>
        <v>3351669.8209258709</v>
      </c>
      <c r="R119" s="43"/>
      <c r="S119" s="43"/>
      <c r="T119" s="43"/>
      <c r="U119" s="43"/>
      <c r="V119" s="43"/>
      <c r="W119" s="43"/>
      <c r="X119" s="43"/>
      <c r="Y119" s="43"/>
      <c r="Z119" s="43"/>
      <c r="AA119" s="43"/>
      <c r="AB119" s="43"/>
      <c r="AC119" s="43"/>
      <c r="AD119" s="43"/>
      <c r="AE119" s="43"/>
    </row>
    <row r="120" spans="1:31">
      <c r="A120" s="101" t="s">
        <v>33</v>
      </c>
      <c r="B120" s="43"/>
      <c r="C120" s="72"/>
      <c r="D120" s="72"/>
      <c r="E120" s="68">
        <v>2033230.838945098</v>
      </c>
      <c r="F120" s="137">
        <f t="shared" ref="F120:Q120" si="46">($E$118*(1+14%)^((F117-$B$117)/365))</f>
        <v>2099993.8430414312</v>
      </c>
      <c r="G120" s="137">
        <f t="shared" si="46"/>
        <v>2169727.8242143043</v>
      </c>
      <c r="H120" s="137">
        <f t="shared" si="46"/>
        <v>2242582.3458043048</v>
      </c>
      <c r="I120" s="137">
        <f t="shared" si="46"/>
        <v>2317883.1563974111</v>
      </c>
      <c r="J120" s="137">
        <f t="shared" si="46"/>
        <v>2393992.9810672323</v>
      </c>
      <c r="K120" s="137">
        <f t="shared" si="46"/>
        <v>2473489.7196043073</v>
      </c>
      <c r="L120" s="137">
        <f t="shared" si="46"/>
        <v>2556543.8742169081</v>
      </c>
      <c r="M120" s="137">
        <f t="shared" si="46"/>
        <v>2642386.798293049</v>
      </c>
      <c r="N120" s="137">
        <f t="shared" si="46"/>
        <v>3012320.9500540765</v>
      </c>
      <c r="O120" s="137">
        <f t="shared" si="46"/>
        <v>3435278.8634394198</v>
      </c>
      <c r="P120" s="137">
        <f t="shared" si="46"/>
        <v>3916217.904320939</v>
      </c>
      <c r="Q120" s="137">
        <f t="shared" si="46"/>
        <v>4464488.4109258708</v>
      </c>
      <c r="R120" s="43"/>
      <c r="S120" s="43"/>
      <c r="T120" s="43"/>
      <c r="U120" s="43"/>
      <c r="V120" s="43"/>
      <c r="W120" s="43"/>
      <c r="X120" s="43"/>
      <c r="Y120" s="43"/>
      <c r="Z120" s="43"/>
      <c r="AA120" s="43"/>
      <c r="AB120" s="43"/>
      <c r="AC120" s="43"/>
      <c r="AD120" s="43"/>
      <c r="AE120" s="43"/>
    </row>
    <row r="121" spans="1:3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c r="AB121" s="43"/>
      <c r="AC121" s="43"/>
      <c r="AD121" s="43"/>
      <c r="AE121" s="43"/>
    </row>
    <row r="122" spans="1:31">
      <c r="A122" s="46" t="s">
        <v>744</v>
      </c>
      <c r="B122" s="310">
        <v>43978</v>
      </c>
      <c r="C122" s="43"/>
      <c r="D122" s="43"/>
      <c r="E122" s="310">
        <v>45657</v>
      </c>
      <c r="F122" s="283">
        <f t="shared" ref="F122:Q122" si="47">+F108</f>
        <v>45747</v>
      </c>
      <c r="G122" s="283">
        <f t="shared" si="47"/>
        <v>45838</v>
      </c>
      <c r="H122" s="283">
        <f t="shared" si="47"/>
        <v>45930</v>
      </c>
      <c r="I122" s="283">
        <f t="shared" si="47"/>
        <v>46022</v>
      </c>
      <c r="J122" s="283">
        <f t="shared" si="47"/>
        <v>46112</v>
      </c>
      <c r="K122" s="283">
        <f t="shared" si="47"/>
        <v>46203</v>
      </c>
      <c r="L122" s="283">
        <f t="shared" si="47"/>
        <v>46295</v>
      </c>
      <c r="M122" s="283">
        <f t="shared" si="47"/>
        <v>46387</v>
      </c>
      <c r="N122" s="283">
        <f t="shared" si="47"/>
        <v>46752</v>
      </c>
      <c r="O122" s="283">
        <f t="shared" si="47"/>
        <v>47118</v>
      </c>
      <c r="P122" s="283">
        <f t="shared" si="47"/>
        <v>47483</v>
      </c>
      <c r="Q122" s="283">
        <f t="shared" si="47"/>
        <v>47848</v>
      </c>
      <c r="R122" s="43"/>
      <c r="S122" s="43"/>
      <c r="T122" s="43"/>
      <c r="U122" s="43"/>
      <c r="V122" s="43"/>
      <c r="W122" s="43"/>
      <c r="X122" s="43"/>
      <c r="Y122" s="43"/>
      <c r="Z122" s="43"/>
      <c r="AA122" s="43"/>
      <c r="AB122" s="43"/>
      <c r="AC122" s="43"/>
      <c r="AD122" s="43"/>
      <c r="AE122" s="43"/>
    </row>
    <row r="123" spans="1:31">
      <c r="A123" s="46" t="s">
        <v>745</v>
      </c>
      <c r="B123" s="136">
        <f>SUM(B124:B126)</f>
        <v>1187181.4099999999</v>
      </c>
      <c r="C123" s="43"/>
      <c r="D123" s="43"/>
      <c r="E123" s="68">
        <v>1187181.4099999999</v>
      </c>
      <c r="F123" s="136">
        <f t="shared" ref="F123:Q123" si="48">SUM(F124:F126)</f>
        <v>1187181.4099999999</v>
      </c>
      <c r="G123" s="136">
        <f t="shared" si="48"/>
        <v>1187181.4099999999</v>
      </c>
      <c r="H123" s="136">
        <f t="shared" si="48"/>
        <v>1187181.4099999999</v>
      </c>
      <c r="I123" s="136">
        <f t="shared" si="48"/>
        <v>1187181.4099999999</v>
      </c>
      <c r="J123" s="136">
        <f t="shared" si="48"/>
        <v>1187181.4099999999</v>
      </c>
      <c r="K123" s="136">
        <f t="shared" si="48"/>
        <v>1187181.4099999999</v>
      </c>
      <c r="L123" s="136">
        <f t="shared" si="48"/>
        <v>1187181.4099999999</v>
      </c>
      <c r="M123" s="136">
        <f t="shared" si="48"/>
        <v>1187181.4099999999</v>
      </c>
      <c r="N123" s="136">
        <f t="shared" si="48"/>
        <v>1187181.4099999999</v>
      </c>
      <c r="O123" s="136">
        <f t="shared" si="48"/>
        <v>1187181.4099999999</v>
      </c>
      <c r="P123" s="136">
        <f t="shared" si="48"/>
        <v>1187181.4099999999</v>
      </c>
      <c r="Q123" s="136">
        <f t="shared" si="48"/>
        <v>1187181.4099999999</v>
      </c>
      <c r="R123" s="43"/>
      <c r="S123" s="43"/>
      <c r="T123" s="43"/>
      <c r="U123" s="43"/>
      <c r="V123" s="43"/>
      <c r="W123" s="43"/>
      <c r="X123" s="43"/>
      <c r="Y123" s="43"/>
      <c r="Z123" s="43"/>
      <c r="AA123" s="43"/>
      <c r="AB123" s="43"/>
      <c r="AC123" s="43"/>
      <c r="AD123" s="43"/>
      <c r="AE123" s="43"/>
    </row>
    <row r="124" spans="1:31">
      <c r="A124" s="46" t="s">
        <v>434</v>
      </c>
      <c r="B124" s="68">
        <v>722632.16</v>
      </c>
      <c r="C124" s="43"/>
      <c r="D124" s="43"/>
      <c r="E124" s="68">
        <v>722632.16</v>
      </c>
      <c r="F124" s="50">
        <f t="shared" ref="F124:Q124" si="49">+E124</f>
        <v>722632.16</v>
      </c>
      <c r="G124" s="50">
        <f t="shared" si="49"/>
        <v>722632.16</v>
      </c>
      <c r="H124" s="50">
        <f t="shared" si="49"/>
        <v>722632.16</v>
      </c>
      <c r="I124" s="50">
        <f t="shared" si="49"/>
        <v>722632.16</v>
      </c>
      <c r="J124" s="50">
        <f t="shared" si="49"/>
        <v>722632.16</v>
      </c>
      <c r="K124" s="50">
        <f t="shared" si="49"/>
        <v>722632.16</v>
      </c>
      <c r="L124" s="50">
        <f t="shared" si="49"/>
        <v>722632.16</v>
      </c>
      <c r="M124" s="50">
        <f t="shared" si="49"/>
        <v>722632.16</v>
      </c>
      <c r="N124" s="50">
        <f t="shared" si="49"/>
        <v>722632.16</v>
      </c>
      <c r="O124" s="50">
        <f t="shared" si="49"/>
        <v>722632.16</v>
      </c>
      <c r="P124" s="50">
        <f t="shared" si="49"/>
        <v>722632.16</v>
      </c>
      <c r="Q124" s="50">
        <f t="shared" si="49"/>
        <v>722632.16</v>
      </c>
      <c r="R124" s="43"/>
      <c r="S124" s="43"/>
      <c r="T124" s="43"/>
      <c r="U124" s="43"/>
      <c r="V124" s="43"/>
      <c r="W124" s="43"/>
      <c r="X124" s="43"/>
      <c r="Y124" s="43"/>
      <c r="Z124" s="43"/>
      <c r="AA124" s="43"/>
      <c r="AB124" s="43"/>
      <c r="AC124" s="43"/>
      <c r="AD124" s="43"/>
      <c r="AE124" s="43"/>
    </row>
    <row r="125" spans="1:31">
      <c r="A125" s="46" t="s">
        <v>746</v>
      </c>
      <c r="B125" s="68">
        <v>361316.08</v>
      </c>
      <c r="C125" s="43"/>
      <c r="D125" s="43"/>
      <c r="E125" s="68">
        <v>361316.08</v>
      </c>
      <c r="F125" s="50">
        <f t="shared" ref="F125:Q125" si="50">+E125</f>
        <v>361316.08</v>
      </c>
      <c r="G125" s="50">
        <f t="shared" si="50"/>
        <v>361316.08</v>
      </c>
      <c r="H125" s="50">
        <f t="shared" si="50"/>
        <v>361316.08</v>
      </c>
      <c r="I125" s="50">
        <f t="shared" si="50"/>
        <v>361316.08</v>
      </c>
      <c r="J125" s="50">
        <f t="shared" si="50"/>
        <v>361316.08</v>
      </c>
      <c r="K125" s="50">
        <f t="shared" si="50"/>
        <v>361316.08</v>
      </c>
      <c r="L125" s="50">
        <f t="shared" si="50"/>
        <v>361316.08</v>
      </c>
      <c r="M125" s="50">
        <f t="shared" si="50"/>
        <v>361316.08</v>
      </c>
      <c r="N125" s="50">
        <f t="shared" si="50"/>
        <v>361316.08</v>
      </c>
      <c r="O125" s="50">
        <f t="shared" si="50"/>
        <v>361316.08</v>
      </c>
      <c r="P125" s="50">
        <f t="shared" si="50"/>
        <v>361316.08</v>
      </c>
      <c r="Q125" s="50">
        <f t="shared" si="50"/>
        <v>361316.08</v>
      </c>
      <c r="R125" s="43"/>
      <c r="S125" s="43"/>
      <c r="T125" s="43"/>
      <c r="U125" s="43"/>
      <c r="V125" s="43"/>
      <c r="W125" s="43"/>
      <c r="X125" s="43"/>
      <c r="Y125" s="43"/>
      <c r="Z125" s="43"/>
      <c r="AA125" s="43"/>
      <c r="AB125" s="43"/>
      <c r="AC125" s="43"/>
      <c r="AD125" s="43"/>
      <c r="AE125" s="43"/>
    </row>
    <row r="126" spans="1:31">
      <c r="A126" s="46" t="s">
        <v>747</v>
      </c>
      <c r="B126" s="68">
        <v>103233.17</v>
      </c>
      <c r="C126" s="43"/>
      <c r="D126" s="43"/>
      <c r="E126" s="68">
        <v>103233.17</v>
      </c>
      <c r="F126" s="50">
        <f t="shared" ref="F126:Q126" si="51">+E126</f>
        <v>103233.17</v>
      </c>
      <c r="G126" s="50">
        <f t="shared" si="51"/>
        <v>103233.17</v>
      </c>
      <c r="H126" s="50">
        <f t="shared" si="51"/>
        <v>103233.17</v>
      </c>
      <c r="I126" s="50">
        <f t="shared" si="51"/>
        <v>103233.17</v>
      </c>
      <c r="J126" s="50">
        <f t="shared" si="51"/>
        <v>103233.17</v>
      </c>
      <c r="K126" s="50">
        <f t="shared" si="51"/>
        <v>103233.17</v>
      </c>
      <c r="L126" s="50">
        <f t="shared" si="51"/>
        <v>103233.17</v>
      </c>
      <c r="M126" s="50">
        <f t="shared" si="51"/>
        <v>103233.17</v>
      </c>
      <c r="N126" s="50">
        <f t="shared" si="51"/>
        <v>103233.17</v>
      </c>
      <c r="O126" s="50">
        <f t="shared" si="51"/>
        <v>103233.17</v>
      </c>
      <c r="P126" s="50">
        <f t="shared" si="51"/>
        <v>103233.17</v>
      </c>
      <c r="Q126" s="50">
        <f t="shared" si="51"/>
        <v>103233.17</v>
      </c>
      <c r="R126" s="43"/>
      <c r="S126" s="43"/>
      <c r="T126" s="43"/>
      <c r="U126" s="43"/>
      <c r="V126" s="43"/>
      <c r="W126" s="43"/>
      <c r="X126" s="43"/>
      <c r="Y126" s="43"/>
      <c r="Z126" s="43"/>
      <c r="AA126" s="43"/>
      <c r="AB126" s="43"/>
      <c r="AC126" s="43"/>
      <c r="AD126" s="43"/>
      <c r="AE126" s="43"/>
    </row>
    <row r="127" spans="1:31">
      <c r="A127" s="43"/>
      <c r="B127" s="50"/>
      <c r="C127" s="43"/>
      <c r="D127" s="43"/>
      <c r="E127" s="50"/>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row>
    <row r="128" spans="1:31">
      <c r="A128" s="46" t="s">
        <v>748</v>
      </c>
      <c r="B128" s="43"/>
      <c r="C128" s="43"/>
      <c r="D128" s="43"/>
      <c r="E128" s="119">
        <v>981917.73690976144</v>
      </c>
      <c r="F128" s="366">
        <f t="shared" ref="F128:Q128" si="52">SUM(F129:F131)</f>
        <v>1053142.1018252696</v>
      </c>
      <c r="G128" s="366">
        <f t="shared" si="52"/>
        <v>1127535.9759370647</v>
      </c>
      <c r="H128" s="366">
        <f t="shared" si="52"/>
        <v>1205258.91698363</v>
      </c>
      <c r="I128" s="366">
        <f t="shared" si="52"/>
        <v>1285591.617477128</v>
      </c>
      <c r="J128" s="366">
        <f t="shared" si="52"/>
        <v>1366787.3934808078</v>
      </c>
      <c r="K128" s="366">
        <f t="shared" si="52"/>
        <v>1451596.4099682535</v>
      </c>
      <c r="L128" s="366">
        <f t="shared" si="52"/>
        <v>1540200.5627613389</v>
      </c>
      <c r="M128" s="366">
        <f t="shared" si="52"/>
        <v>1631779.8413239266</v>
      </c>
      <c r="N128" s="366">
        <f t="shared" si="52"/>
        <v>2026434.4165092765</v>
      </c>
      <c r="O128" s="366">
        <f t="shared" si="52"/>
        <v>2477656.0050913561</v>
      </c>
      <c r="P128" s="366">
        <f t="shared" si="52"/>
        <v>2990733.2432041466</v>
      </c>
      <c r="Q128" s="366">
        <f t="shared" si="52"/>
        <v>3575641.2946527274</v>
      </c>
      <c r="R128" s="43"/>
      <c r="S128" s="43"/>
      <c r="T128" s="43"/>
      <c r="U128" s="43"/>
      <c r="V128" s="43"/>
      <c r="W128" s="43"/>
      <c r="X128" s="43"/>
      <c r="Y128" s="43"/>
      <c r="Z128" s="43"/>
      <c r="AA128" s="43"/>
      <c r="AB128" s="43"/>
      <c r="AC128" s="43"/>
      <c r="AD128" s="43"/>
      <c r="AE128" s="43"/>
    </row>
    <row r="129" spans="1:31">
      <c r="A129" s="46" t="s">
        <v>434</v>
      </c>
      <c r="B129" s="43"/>
      <c r="C129" s="43"/>
      <c r="D129" s="43"/>
      <c r="E129" s="119">
        <v>597689.05509176792</v>
      </c>
      <c r="F129" s="367">
        <f t="shared" ref="F129:Q129" si="53">($B$124*(1+14%)^((F$117-$B$117)/365))-F124</f>
        <v>641043.01618817856</v>
      </c>
      <c r="G129" s="367">
        <f t="shared" si="53"/>
        <v>686326.24374492944</v>
      </c>
      <c r="H129" s="367">
        <f t="shared" si="53"/>
        <v>733635.85986335587</v>
      </c>
      <c r="I129" s="367">
        <f t="shared" si="53"/>
        <v>782534.02520461532</v>
      </c>
      <c r="J129" s="367">
        <f t="shared" si="53"/>
        <v>831957.54085452377</v>
      </c>
      <c r="K129" s="367">
        <f t="shared" si="53"/>
        <v>883580.42026921955</v>
      </c>
      <c r="L129" s="367">
        <f t="shared" si="53"/>
        <v>937513.38264422619</v>
      </c>
      <c r="M129" s="367">
        <f t="shared" si="53"/>
        <v>993257.29113326187</v>
      </c>
      <c r="N129" s="367">
        <f t="shared" si="53"/>
        <v>1233481.8142919187</v>
      </c>
      <c r="O129" s="367">
        <f t="shared" si="53"/>
        <v>1508138.4324373286</v>
      </c>
      <c r="P129" s="367">
        <f t="shared" si="53"/>
        <v>1820446.3153785551</v>
      </c>
      <c r="Q129" s="367">
        <f t="shared" si="53"/>
        <v>2176477.3019315531</v>
      </c>
      <c r="R129" s="43"/>
      <c r="S129" s="43"/>
      <c r="T129" s="43"/>
      <c r="U129" s="43"/>
      <c r="V129" s="43"/>
      <c r="W129" s="43"/>
      <c r="X129" s="43"/>
      <c r="Y129" s="43"/>
      <c r="Z129" s="43"/>
      <c r="AA129" s="43"/>
      <c r="AB129" s="43"/>
      <c r="AC129" s="43"/>
      <c r="AD129" s="43"/>
      <c r="AE129" s="43"/>
    </row>
    <row r="130" spans="1:31">
      <c r="A130" s="46" t="s">
        <v>746</v>
      </c>
      <c r="B130" s="43"/>
      <c r="C130" s="43"/>
      <c r="D130" s="43"/>
      <c r="E130" s="119">
        <v>298844.52754588402</v>
      </c>
      <c r="F130" s="367">
        <f t="shared" ref="F130:Q130" si="54">($B$125*(1+14%)^((F$117-$B$117)/365))-F125</f>
        <v>320521.50809408928</v>
      </c>
      <c r="G130" s="367">
        <f t="shared" si="54"/>
        <v>343163.12187246472</v>
      </c>
      <c r="H130" s="367">
        <f t="shared" si="54"/>
        <v>366817.92993167794</v>
      </c>
      <c r="I130" s="367">
        <f t="shared" si="54"/>
        <v>391267.01260230766</v>
      </c>
      <c r="J130" s="367">
        <f t="shared" si="54"/>
        <v>415978.77042726189</v>
      </c>
      <c r="K130" s="367">
        <f t="shared" si="54"/>
        <v>441790.21013460978</v>
      </c>
      <c r="L130" s="367">
        <f t="shared" si="54"/>
        <v>468756.6913221131</v>
      </c>
      <c r="M130" s="367">
        <f t="shared" si="54"/>
        <v>496628.64556663093</v>
      </c>
      <c r="N130" s="367">
        <f t="shared" si="54"/>
        <v>616740.90714595933</v>
      </c>
      <c r="O130" s="367">
        <f t="shared" si="54"/>
        <v>754069.21621866431</v>
      </c>
      <c r="P130" s="367">
        <f t="shared" si="54"/>
        <v>910223.15768927755</v>
      </c>
      <c r="Q130" s="367">
        <f t="shared" si="54"/>
        <v>1088238.6509657765</v>
      </c>
      <c r="R130" s="43"/>
      <c r="S130" s="43"/>
      <c r="T130" s="43"/>
      <c r="U130" s="43"/>
      <c r="V130" s="43"/>
      <c r="W130" s="43"/>
      <c r="X130" s="43"/>
      <c r="Y130" s="43"/>
      <c r="Z130" s="43"/>
      <c r="AA130" s="43"/>
      <c r="AB130" s="43"/>
      <c r="AC130" s="43"/>
      <c r="AD130" s="43"/>
      <c r="AE130" s="43"/>
    </row>
    <row r="131" spans="1:31">
      <c r="A131" s="46" t="s">
        <v>747</v>
      </c>
      <c r="B131" s="43"/>
      <c r="C131" s="43"/>
      <c r="D131" s="43"/>
      <c r="E131" s="119">
        <v>85384.154272109663</v>
      </c>
      <c r="F131" s="367">
        <f t="shared" ref="F131:Q131" si="55">($B$126*(1+14%)^((F$117-$B$117)/365))-F126</f>
        <v>91577.577543001928</v>
      </c>
      <c r="G131" s="367">
        <f t="shared" si="55"/>
        <v>98046.610319670421</v>
      </c>
      <c r="H131" s="367">
        <f t="shared" si="55"/>
        <v>104805.12718859619</v>
      </c>
      <c r="I131" s="367">
        <f t="shared" si="55"/>
        <v>111790.57967020503</v>
      </c>
      <c r="J131" s="367">
        <f t="shared" si="55"/>
        <v>118851.08219902225</v>
      </c>
      <c r="K131" s="367">
        <f t="shared" si="55"/>
        <v>126225.77956442429</v>
      </c>
      <c r="L131" s="367">
        <f t="shared" si="55"/>
        <v>133930.48879499972</v>
      </c>
      <c r="M131" s="367">
        <f t="shared" si="55"/>
        <v>141893.90462403378</v>
      </c>
      <c r="N131" s="367">
        <f t="shared" si="55"/>
        <v>176211.69507139857</v>
      </c>
      <c r="O131" s="367">
        <f t="shared" si="55"/>
        <v>215448.35643536301</v>
      </c>
      <c r="P131" s="367">
        <f t="shared" si="55"/>
        <v>260063.77013631386</v>
      </c>
      <c r="Q131" s="367">
        <f t="shared" si="55"/>
        <v>310925.34175539785</v>
      </c>
      <c r="R131" s="43"/>
      <c r="S131" s="43"/>
      <c r="T131" s="43"/>
      <c r="U131" s="43"/>
      <c r="V131" s="43"/>
      <c r="W131" s="43"/>
      <c r="X131" s="43"/>
      <c r="Y131" s="43"/>
      <c r="Z131" s="43"/>
      <c r="AA131" s="43"/>
      <c r="AB131" s="43"/>
      <c r="AC131" s="43"/>
      <c r="AD131" s="43"/>
      <c r="AE131" s="43"/>
    </row>
    <row r="132" spans="1:31" ht="14.65" customHeight="1" thickBot="1">
      <c r="A132" s="101" t="s">
        <v>33</v>
      </c>
      <c r="B132" s="43"/>
      <c r="C132" s="72"/>
      <c r="D132" s="72"/>
      <c r="E132" s="68">
        <v>2169099.1469097608</v>
      </c>
      <c r="F132" s="50">
        <f t="shared" ref="F132:Q132" si="56">+F128+F123</f>
        <v>2240323.5118252696</v>
      </c>
      <c r="G132" s="50">
        <f t="shared" si="56"/>
        <v>2314717.3859370649</v>
      </c>
      <c r="H132" s="50">
        <f t="shared" si="56"/>
        <v>2392440.3269836297</v>
      </c>
      <c r="I132" s="50">
        <f t="shared" si="56"/>
        <v>2472773.027477128</v>
      </c>
      <c r="J132" s="50">
        <f t="shared" si="56"/>
        <v>2553968.8034808077</v>
      </c>
      <c r="K132" s="50">
        <f t="shared" si="56"/>
        <v>2638777.8199682534</v>
      </c>
      <c r="L132" s="50">
        <f t="shared" si="56"/>
        <v>2727381.9727613386</v>
      </c>
      <c r="M132" s="50">
        <f t="shared" si="56"/>
        <v>2818961.2513239263</v>
      </c>
      <c r="N132" s="50">
        <f t="shared" si="56"/>
        <v>3213615.8265092764</v>
      </c>
      <c r="O132" s="50">
        <f t="shared" si="56"/>
        <v>3664837.4150913563</v>
      </c>
      <c r="P132" s="50">
        <f t="shared" si="56"/>
        <v>4177914.6532041468</v>
      </c>
      <c r="Q132" s="50">
        <f t="shared" si="56"/>
        <v>4762822.7046527276</v>
      </c>
      <c r="R132" s="43"/>
      <c r="S132" s="43"/>
      <c r="T132" s="43"/>
      <c r="U132" s="43"/>
      <c r="V132" s="43"/>
      <c r="W132" s="43"/>
      <c r="X132" s="43"/>
      <c r="Y132" s="43"/>
      <c r="Z132" s="43"/>
      <c r="AA132" s="43"/>
      <c r="AB132" s="43"/>
      <c r="AC132" s="43"/>
      <c r="AD132" s="43"/>
      <c r="AE132" s="43"/>
    </row>
    <row r="133" spans="1:31">
      <c r="A133" s="43"/>
      <c r="B133" s="43"/>
      <c r="C133" s="43"/>
      <c r="D133" s="43"/>
      <c r="E133" s="43"/>
      <c r="F133" s="43"/>
      <c r="G133" s="43"/>
      <c r="H133" s="43"/>
      <c r="I133" s="43"/>
      <c r="J133" s="43"/>
      <c r="K133" s="43"/>
      <c r="L133" s="50"/>
      <c r="M133" s="43"/>
      <c r="N133" s="43"/>
      <c r="O133" s="43"/>
      <c r="P133" s="43"/>
      <c r="Q133" s="43"/>
      <c r="R133" s="43"/>
      <c r="S133" s="43"/>
      <c r="T133" s="43"/>
      <c r="U133" s="43"/>
      <c r="V133" s="43"/>
      <c r="W133" s="43"/>
      <c r="X133" s="43"/>
      <c r="Y133" s="43"/>
      <c r="Z133" s="43"/>
      <c r="AA133" s="43"/>
      <c r="AB133" s="43"/>
      <c r="AC133" s="43"/>
      <c r="AD133" s="43"/>
      <c r="AE133" s="4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tabColor rgb="FFB4C6E7"/>
  </sheetPr>
  <dimension ref="A1:U105"/>
  <sheetViews>
    <sheetView showGridLines="0" zoomScale="85" zoomScaleNormal="85" workbookViewId="0">
      <pane xSplit="1" ySplit="2" topLeftCell="C3" activePane="bottomRight" state="frozen"/>
      <selection pane="topRight" activeCell="B1" sqref="B1"/>
      <selection pane="bottomLeft" activeCell="A3" sqref="A3"/>
      <selection pane="bottomRight" activeCell="K25" sqref="K25"/>
    </sheetView>
  </sheetViews>
  <sheetFormatPr defaultRowHeight="14.5"/>
  <cols>
    <col min="1" max="1" width="35.453125" bestFit="1" customWidth="1"/>
    <col min="2" max="5" width="17.26953125" bestFit="1" customWidth="1"/>
    <col min="6" max="6" width="17.6328125" bestFit="1" customWidth="1"/>
    <col min="7" max="7" width="24.453125" bestFit="1" customWidth="1"/>
    <col min="8" max="9" width="16.6328125" bestFit="1" customWidth="1"/>
    <col min="10" max="10" width="20.54296875" bestFit="1" customWidth="1"/>
    <col min="11" max="11" width="17.26953125" bestFit="1" customWidth="1"/>
    <col min="12" max="12" width="16.6328125" bestFit="1" customWidth="1"/>
    <col min="13" max="13" width="17.6328125" bestFit="1" customWidth="1"/>
    <col min="14" max="14" width="17.26953125" bestFit="1" customWidth="1"/>
    <col min="15" max="15" width="23.453125" bestFit="1" customWidth="1"/>
    <col min="16" max="16" width="19.6328125" bestFit="1" customWidth="1"/>
    <col min="17" max="17" width="11.26953125" bestFit="1" customWidth="1"/>
    <col min="18" max="21" width="12.54296875" bestFit="1" customWidth="1"/>
  </cols>
  <sheetData>
    <row r="1" spans="1:21" s="26" customFormat="1" ht="18.399999999999999" customHeight="1">
      <c r="A1" s="277" t="s">
        <v>196</v>
      </c>
      <c r="B1" s="278">
        <v>45657</v>
      </c>
      <c r="C1" s="278">
        <v>45747</v>
      </c>
      <c r="D1" s="278">
        <v>45838</v>
      </c>
      <c r="E1" s="278">
        <v>45930</v>
      </c>
      <c r="F1" s="278">
        <v>46022</v>
      </c>
      <c r="G1" s="278">
        <v>46112</v>
      </c>
      <c r="H1" s="278">
        <v>46203</v>
      </c>
      <c r="I1" s="278">
        <v>46295</v>
      </c>
      <c r="J1" s="278">
        <v>46387</v>
      </c>
      <c r="K1" s="278">
        <v>46752</v>
      </c>
      <c r="L1" s="278">
        <v>47118</v>
      </c>
      <c r="M1" s="278">
        <v>47483</v>
      </c>
      <c r="N1" s="278">
        <v>47848</v>
      </c>
      <c r="O1" s="279"/>
      <c r="P1" s="43"/>
      <c r="Q1" s="43"/>
      <c r="R1" s="43"/>
      <c r="S1" s="43"/>
      <c r="T1" s="43"/>
      <c r="U1" s="43"/>
    </row>
    <row r="2" spans="1:21" s="22" customFormat="1" ht="15.65" customHeight="1">
      <c r="A2" s="280" t="s">
        <v>749</v>
      </c>
      <c r="B2" s="375" t="s">
        <v>2</v>
      </c>
      <c r="C2" s="375" t="s">
        <v>3</v>
      </c>
      <c r="D2" s="375" t="s">
        <v>4</v>
      </c>
      <c r="E2" s="375" t="s">
        <v>5</v>
      </c>
      <c r="F2" s="375" t="s">
        <v>2</v>
      </c>
      <c r="G2" s="375" t="s">
        <v>3</v>
      </c>
      <c r="H2" s="375" t="s">
        <v>4</v>
      </c>
      <c r="I2" s="375" t="s">
        <v>5</v>
      </c>
      <c r="J2" s="375" t="s">
        <v>2</v>
      </c>
      <c r="K2" s="375" t="s">
        <v>2</v>
      </c>
      <c r="L2" s="375" t="s">
        <v>2</v>
      </c>
      <c r="M2" s="375" t="s">
        <v>2</v>
      </c>
      <c r="N2" s="375" t="s">
        <v>2</v>
      </c>
      <c r="O2" s="50"/>
      <c r="P2" s="43"/>
      <c r="Q2" s="43"/>
      <c r="R2" s="43"/>
      <c r="S2" s="43"/>
      <c r="T2" s="43"/>
      <c r="U2" s="43"/>
    </row>
    <row r="3" spans="1:21" ht="15.65" customHeight="1">
      <c r="A3" s="122"/>
      <c r="B3" s="51"/>
      <c r="C3" s="51"/>
      <c r="D3" s="51"/>
      <c r="E3" s="51"/>
      <c r="F3" s="51"/>
      <c r="G3" s="51"/>
      <c r="H3" s="51"/>
      <c r="I3" s="51"/>
      <c r="J3" s="51"/>
      <c r="K3" s="51"/>
      <c r="L3" s="51"/>
      <c r="M3" s="51"/>
      <c r="N3" s="51"/>
      <c r="O3" s="50"/>
      <c r="P3" s="43"/>
      <c r="Q3" s="43"/>
      <c r="R3" s="43"/>
      <c r="S3" s="43"/>
      <c r="T3" s="43"/>
      <c r="U3" s="43"/>
    </row>
    <row r="4" spans="1:21">
      <c r="A4" s="46" t="s">
        <v>616</v>
      </c>
      <c r="B4" s="50"/>
      <c r="C4" s="51"/>
      <c r="D4" s="51"/>
      <c r="E4" s="51"/>
      <c r="F4" s="51"/>
      <c r="G4" s="50"/>
      <c r="H4" s="50"/>
      <c r="I4" s="50"/>
      <c r="J4" s="50"/>
      <c r="K4" s="50"/>
      <c r="L4" s="50"/>
      <c r="M4" s="50"/>
      <c r="N4" s="50"/>
      <c r="O4" s="50"/>
      <c r="P4" s="43"/>
      <c r="Q4" s="43"/>
      <c r="R4" s="43"/>
      <c r="S4" s="43"/>
      <c r="T4" s="43"/>
      <c r="U4" s="43"/>
    </row>
    <row r="5" spans="1:21" ht="14.65" customHeight="1" thickBot="1">
      <c r="A5" s="56" t="s">
        <v>617</v>
      </c>
      <c r="B5" s="68">
        <v>0</v>
      </c>
      <c r="C5" s="320">
        <v>0</v>
      </c>
      <c r="D5" s="320">
        <v>0</v>
      </c>
      <c r="E5" s="320">
        <v>0</v>
      </c>
      <c r="F5" s="320">
        <v>0</v>
      </c>
      <c r="G5" s="68">
        <v>0</v>
      </c>
      <c r="H5" s="50"/>
      <c r="I5" s="50"/>
      <c r="J5" s="50"/>
      <c r="K5" s="68">
        <v>0</v>
      </c>
      <c r="L5" s="68">
        <v>3348930</v>
      </c>
      <c r="M5" s="68">
        <v>7372674.5376320239</v>
      </c>
      <c r="N5" s="68">
        <v>8142574</v>
      </c>
      <c r="O5" s="67" t="s">
        <v>750</v>
      </c>
      <c r="P5" s="43"/>
      <c r="Q5" s="76"/>
      <c r="R5" s="43"/>
      <c r="S5" s="43"/>
      <c r="T5" s="43"/>
      <c r="U5" s="43"/>
    </row>
    <row r="6" spans="1:21" ht="14.65" customHeight="1" thickBot="1">
      <c r="A6" s="46" t="s">
        <v>541</v>
      </c>
      <c r="B6" s="50"/>
      <c r="C6" s="51"/>
      <c r="D6" s="51"/>
      <c r="E6" s="51"/>
      <c r="F6" s="51"/>
      <c r="G6" s="50"/>
      <c r="H6" s="50"/>
      <c r="I6" s="50"/>
      <c r="J6" s="50"/>
      <c r="K6" s="137">
        <f>-K54*$P$6*(Q37-DATE(YEAR(K1),12,31))/365</f>
        <v>-2722191.7808219176</v>
      </c>
      <c r="L6" s="50">
        <f>+L54*$P$6</f>
        <v>-5400000</v>
      </c>
      <c r="M6" s="50">
        <f>+M54*$P$6</f>
        <v>-5400000</v>
      </c>
      <c r="N6" s="50">
        <f>+N54*$P$6</f>
        <v>-5400000</v>
      </c>
      <c r="O6" s="67" t="s">
        <v>751</v>
      </c>
      <c r="P6" s="78">
        <v>0.09</v>
      </c>
      <c r="Q6" s="321"/>
      <c r="R6" s="43"/>
      <c r="S6" s="43"/>
      <c r="T6" s="43"/>
      <c r="U6" s="43"/>
    </row>
    <row r="7" spans="1:21">
      <c r="A7" s="46" t="s">
        <v>543</v>
      </c>
      <c r="B7" s="50"/>
      <c r="C7" s="51"/>
      <c r="D7" s="51"/>
      <c r="E7" s="51"/>
      <c r="F7" s="51"/>
      <c r="G7" s="50"/>
      <c r="H7" s="50"/>
      <c r="I7" s="50"/>
      <c r="J7" s="50"/>
      <c r="K7" s="50"/>
      <c r="L7" s="50"/>
      <c r="M7" s="50"/>
      <c r="N7" s="50"/>
      <c r="O7" s="50"/>
      <c r="P7" s="43"/>
      <c r="Q7" s="59"/>
      <c r="R7" s="43"/>
      <c r="S7" s="43"/>
      <c r="T7" s="43"/>
      <c r="U7" s="43"/>
    </row>
    <row r="8" spans="1:21">
      <c r="A8" s="46" t="s">
        <v>618</v>
      </c>
      <c r="B8" s="136">
        <f t="shared" ref="B8:N8" si="0">SUM(B5:B7)</f>
        <v>0</v>
      </c>
      <c r="C8" s="322">
        <f t="shared" si="0"/>
        <v>0</v>
      </c>
      <c r="D8" s="322">
        <f t="shared" si="0"/>
        <v>0</v>
      </c>
      <c r="E8" s="322">
        <f t="shared" si="0"/>
        <v>0</v>
      </c>
      <c r="F8" s="322">
        <f t="shared" si="0"/>
        <v>0</v>
      </c>
      <c r="G8" s="136">
        <f t="shared" si="0"/>
        <v>0</v>
      </c>
      <c r="H8" s="136">
        <f t="shared" si="0"/>
        <v>0</v>
      </c>
      <c r="I8" s="136">
        <f t="shared" si="0"/>
        <v>0</v>
      </c>
      <c r="J8" s="136">
        <f t="shared" si="0"/>
        <v>0</v>
      </c>
      <c r="K8" s="136">
        <f t="shared" si="0"/>
        <v>-2722191.7808219176</v>
      </c>
      <c r="L8" s="136">
        <f t="shared" si="0"/>
        <v>-2051070</v>
      </c>
      <c r="M8" s="136">
        <f t="shared" si="0"/>
        <v>1972674.5376320239</v>
      </c>
      <c r="N8" s="136">
        <f t="shared" si="0"/>
        <v>2742574</v>
      </c>
      <c r="O8" s="50"/>
      <c r="P8" s="323"/>
      <c r="Q8" s="323"/>
      <c r="R8" s="323"/>
      <c r="S8" s="323"/>
      <c r="T8" s="43"/>
      <c r="U8" s="43"/>
    </row>
    <row r="9" spans="1:21">
      <c r="A9" s="46" t="s">
        <v>619</v>
      </c>
      <c r="B9" s="50"/>
      <c r="C9" s="51"/>
      <c r="D9" s="51"/>
      <c r="E9" s="51"/>
      <c r="F9" s="51"/>
      <c r="G9" s="50"/>
      <c r="H9" s="68">
        <v>0</v>
      </c>
      <c r="I9" s="68">
        <v>0</v>
      </c>
      <c r="J9" s="50"/>
      <c r="K9" s="50"/>
      <c r="L9" s="50"/>
      <c r="M9" s="50">
        <f>-M8</f>
        <v>-1972674.5376320239</v>
      </c>
      <c r="N9" s="50">
        <f>-N8</f>
        <v>-2742574</v>
      </c>
      <c r="O9" s="50"/>
      <c r="P9" s="43"/>
      <c r="Q9" s="43"/>
      <c r="R9" s="43"/>
      <c r="S9" s="43"/>
      <c r="T9" s="43"/>
      <c r="U9" s="43"/>
    </row>
    <row r="10" spans="1:21">
      <c r="A10" s="46" t="s">
        <v>546</v>
      </c>
      <c r="B10" s="136">
        <f t="shared" ref="B10:N10" si="1">SUM(B8:B9)</f>
        <v>0</v>
      </c>
      <c r="C10" s="322">
        <f t="shared" si="1"/>
        <v>0</v>
      </c>
      <c r="D10" s="322">
        <f t="shared" si="1"/>
        <v>0</v>
      </c>
      <c r="E10" s="322">
        <f t="shared" si="1"/>
        <v>0</v>
      </c>
      <c r="F10" s="322">
        <f t="shared" si="1"/>
        <v>0</v>
      </c>
      <c r="G10" s="136">
        <f t="shared" si="1"/>
        <v>0</v>
      </c>
      <c r="H10" s="136">
        <f t="shared" si="1"/>
        <v>0</v>
      </c>
      <c r="I10" s="136">
        <f t="shared" si="1"/>
        <v>0</v>
      </c>
      <c r="J10" s="136">
        <f t="shared" si="1"/>
        <v>0</v>
      </c>
      <c r="K10" s="136">
        <f t="shared" si="1"/>
        <v>-2722191.7808219176</v>
      </c>
      <c r="L10" s="136">
        <f t="shared" si="1"/>
        <v>-2051070</v>
      </c>
      <c r="M10" s="136">
        <f t="shared" si="1"/>
        <v>0</v>
      </c>
      <c r="N10" s="136">
        <f t="shared" si="1"/>
        <v>0</v>
      </c>
      <c r="O10" s="50"/>
      <c r="P10" s="50"/>
      <c r="Q10" s="50"/>
      <c r="R10" s="50"/>
      <c r="S10" s="50"/>
      <c r="T10" s="50"/>
      <c r="U10" s="324"/>
    </row>
    <row r="11" spans="1:21">
      <c r="A11" s="46" t="s">
        <v>620</v>
      </c>
      <c r="B11" s="68">
        <v>0</v>
      </c>
      <c r="C11" s="51">
        <f t="shared" ref="C11:N11" si="2">+B11+C10</f>
        <v>0</v>
      </c>
      <c r="D11" s="51">
        <f t="shared" si="2"/>
        <v>0</v>
      </c>
      <c r="E11" s="51">
        <f t="shared" si="2"/>
        <v>0</v>
      </c>
      <c r="F11" s="51">
        <f t="shared" si="2"/>
        <v>0</v>
      </c>
      <c r="G11" s="50">
        <f t="shared" si="2"/>
        <v>0</v>
      </c>
      <c r="H11" s="50">
        <f t="shared" si="2"/>
        <v>0</v>
      </c>
      <c r="I11" s="50">
        <f t="shared" si="2"/>
        <v>0</v>
      </c>
      <c r="J11" s="50">
        <f t="shared" si="2"/>
        <v>0</v>
      </c>
      <c r="K11" s="50">
        <f t="shared" si="2"/>
        <v>-2722191.7808219176</v>
      </c>
      <c r="L11" s="50">
        <f t="shared" si="2"/>
        <v>-4773261.7808219176</v>
      </c>
      <c r="M11" s="50">
        <f t="shared" si="2"/>
        <v>-4773261.7808219176</v>
      </c>
      <c r="N11" s="50">
        <f t="shared" si="2"/>
        <v>-4773261.7808219176</v>
      </c>
      <c r="O11" s="50"/>
      <c r="P11" s="50"/>
      <c r="Q11" s="50"/>
      <c r="R11" s="50"/>
      <c r="S11" s="50"/>
      <c r="T11" s="50"/>
      <c r="U11" s="50"/>
    </row>
    <row r="12" spans="1:21" s="2" customFormat="1">
      <c r="A12" s="43"/>
      <c r="B12" s="50"/>
      <c r="C12" s="51"/>
      <c r="D12" s="51"/>
      <c r="E12" s="51"/>
      <c r="F12" s="51"/>
      <c r="G12" s="50"/>
      <c r="H12" s="50"/>
      <c r="I12" s="50"/>
      <c r="J12" s="50"/>
      <c r="K12" s="50"/>
      <c r="L12" s="50"/>
      <c r="M12" s="50"/>
      <c r="N12" s="50"/>
      <c r="O12" s="50"/>
      <c r="P12" s="50"/>
      <c r="Q12" s="50"/>
      <c r="R12" s="50"/>
      <c r="S12" s="50"/>
      <c r="T12" s="50"/>
      <c r="U12" s="50"/>
    </row>
    <row r="13" spans="1:21">
      <c r="A13" s="46" t="s">
        <v>621</v>
      </c>
      <c r="B13" s="50"/>
      <c r="C13" s="50"/>
      <c r="D13" s="50"/>
      <c r="E13" s="50"/>
      <c r="F13" s="50"/>
      <c r="G13" s="50"/>
      <c r="H13" s="50"/>
      <c r="I13" s="50"/>
      <c r="J13" s="50"/>
      <c r="K13" s="50"/>
      <c r="L13" s="50"/>
      <c r="M13" s="50"/>
      <c r="N13" s="50"/>
      <c r="O13" s="50"/>
      <c r="P13" s="43"/>
      <c r="Q13" s="43"/>
      <c r="R13" s="43"/>
      <c r="S13" s="43"/>
      <c r="T13" s="43"/>
      <c r="U13" s="43"/>
    </row>
    <row r="14" spans="1:21" ht="14.65" customHeight="1" thickBot="1">
      <c r="A14" s="46" t="s">
        <v>507</v>
      </c>
      <c r="B14" s="50"/>
      <c r="C14" s="50"/>
      <c r="D14" s="50"/>
      <c r="E14" s="50"/>
      <c r="F14" s="50"/>
      <c r="G14" s="50"/>
      <c r="H14" s="50"/>
      <c r="I14" s="50"/>
      <c r="J14" s="50"/>
      <c r="K14" s="50"/>
      <c r="L14" s="50"/>
      <c r="M14" s="50"/>
      <c r="N14" s="50"/>
      <c r="O14" s="50"/>
      <c r="P14" s="43"/>
      <c r="Q14" s="43"/>
      <c r="R14" s="43"/>
      <c r="S14" s="43"/>
      <c r="T14" s="43"/>
      <c r="U14" s="43"/>
    </row>
    <row r="15" spans="1:21">
      <c r="A15" s="46" t="s">
        <v>752</v>
      </c>
      <c r="B15" s="50">
        <f t="shared" ref="B15:N15" si="3">+B9*-B61</f>
        <v>0</v>
      </c>
      <c r="C15" s="50">
        <f t="shared" si="3"/>
        <v>0</v>
      </c>
      <c r="D15" s="50">
        <f t="shared" si="3"/>
        <v>0</v>
      </c>
      <c r="E15" s="50">
        <f t="shared" si="3"/>
        <v>0</v>
      </c>
      <c r="F15" s="50">
        <f t="shared" si="3"/>
        <v>0</v>
      </c>
      <c r="G15" s="50">
        <f t="shared" si="3"/>
        <v>0</v>
      </c>
      <c r="H15" s="50">
        <f t="shared" si="3"/>
        <v>0</v>
      </c>
      <c r="I15" s="50">
        <f t="shared" si="3"/>
        <v>0</v>
      </c>
      <c r="J15" s="50">
        <f t="shared" si="3"/>
        <v>0</v>
      </c>
      <c r="K15" s="50">
        <f t="shared" si="3"/>
        <v>0</v>
      </c>
      <c r="L15" s="50">
        <f t="shared" si="3"/>
        <v>0</v>
      </c>
      <c r="M15" s="50">
        <f t="shared" si="3"/>
        <v>986337.26881601196</v>
      </c>
      <c r="N15" s="50">
        <f t="shared" si="3"/>
        <v>1371287</v>
      </c>
      <c r="O15" s="50"/>
      <c r="P15" s="43"/>
      <c r="Q15" s="43"/>
      <c r="R15" s="43"/>
      <c r="S15" s="43"/>
      <c r="T15" s="43"/>
      <c r="U15" s="43"/>
    </row>
    <row r="16" spans="1:21">
      <c r="A16" s="46" t="s">
        <v>668</v>
      </c>
      <c r="B16" s="50"/>
      <c r="C16" s="50"/>
      <c r="D16" s="50"/>
      <c r="E16" s="50"/>
      <c r="F16" s="50"/>
      <c r="G16" s="50"/>
      <c r="H16" s="50"/>
      <c r="I16" s="50"/>
      <c r="J16" s="50"/>
      <c r="K16" s="50">
        <f>K32</f>
        <v>-2300000</v>
      </c>
      <c r="L16" s="50"/>
      <c r="M16" s="50"/>
      <c r="N16" s="50"/>
      <c r="O16" s="50"/>
      <c r="P16" s="43"/>
      <c r="Q16" s="43"/>
      <c r="R16" s="43"/>
      <c r="S16" s="43"/>
      <c r="T16" s="43"/>
      <c r="U16" s="43"/>
    </row>
    <row r="17" spans="1:21">
      <c r="A17" s="46" t="s">
        <v>753</v>
      </c>
      <c r="B17" s="50"/>
      <c r="C17" s="50"/>
      <c r="D17" s="50"/>
      <c r="E17" s="50"/>
      <c r="F17" s="50"/>
      <c r="G17" s="50"/>
      <c r="H17" s="50"/>
      <c r="I17" s="50"/>
      <c r="J17" s="50"/>
      <c r="K17" s="50">
        <f>+-K56*K61</f>
        <v>24375000</v>
      </c>
      <c r="L17" s="50"/>
      <c r="M17" s="50"/>
      <c r="N17" s="50">
        <f>+-N56*N61</f>
        <v>0</v>
      </c>
      <c r="O17" s="50"/>
      <c r="P17" s="43"/>
      <c r="Q17" s="43"/>
      <c r="R17" s="43"/>
      <c r="S17" s="43"/>
      <c r="T17" s="43"/>
      <c r="U17" s="43"/>
    </row>
    <row r="18" spans="1:21">
      <c r="A18" s="46" t="s">
        <v>754</v>
      </c>
      <c r="B18" s="50"/>
      <c r="C18" s="50"/>
      <c r="D18" s="50"/>
      <c r="E18" s="50"/>
      <c r="F18" s="50"/>
      <c r="G18" s="50"/>
      <c r="H18" s="68">
        <v>350000</v>
      </c>
      <c r="I18" s="50"/>
      <c r="J18" s="50"/>
      <c r="K18" s="50"/>
      <c r="L18" s="50"/>
      <c r="M18" s="50"/>
      <c r="N18" s="50"/>
      <c r="O18" s="50"/>
      <c r="P18" s="43"/>
      <c r="Q18" s="43"/>
      <c r="R18" s="43"/>
      <c r="S18" s="43"/>
      <c r="T18" s="43"/>
      <c r="U18" s="43"/>
    </row>
    <row r="19" spans="1:21">
      <c r="A19" s="284" t="s">
        <v>755</v>
      </c>
      <c r="B19" s="68">
        <v>0</v>
      </c>
      <c r="C19" s="50"/>
      <c r="D19" s="50"/>
      <c r="E19" s="68">
        <v>0</v>
      </c>
      <c r="F19" s="68">
        <v>350000</v>
      </c>
      <c r="G19" s="68">
        <v>0</v>
      </c>
      <c r="H19" s="290">
        <v>0</v>
      </c>
      <c r="I19" s="290">
        <v>0</v>
      </c>
      <c r="J19" s="290">
        <v>0</v>
      </c>
      <c r="K19" s="290">
        <v>0</v>
      </c>
      <c r="L19" s="290">
        <v>0</v>
      </c>
      <c r="M19" s="290">
        <v>0</v>
      </c>
      <c r="N19" s="290">
        <v>0</v>
      </c>
      <c r="O19" s="287"/>
      <c r="P19" s="43"/>
      <c r="Q19" s="43"/>
      <c r="R19" s="43"/>
      <c r="S19" s="43"/>
      <c r="T19" s="43"/>
      <c r="U19" s="43"/>
    </row>
    <row r="20" spans="1:21">
      <c r="A20" s="101" t="s">
        <v>33</v>
      </c>
      <c r="B20" s="194">
        <f t="shared" ref="B20:N20" si="4">SUM(B15:B19)</f>
        <v>0</v>
      </c>
      <c r="C20" s="194">
        <f t="shared" si="4"/>
        <v>0</v>
      </c>
      <c r="D20" s="194">
        <f t="shared" si="4"/>
        <v>0</v>
      </c>
      <c r="E20" s="194">
        <f t="shared" si="4"/>
        <v>0</v>
      </c>
      <c r="F20" s="194">
        <f t="shared" si="4"/>
        <v>350000</v>
      </c>
      <c r="G20" s="194">
        <f t="shared" si="4"/>
        <v>0</v>
      </c>
      <c r="H20" s="194">
        <f t="shared" si="4"/>
        <v>350000</v>
      </c>
      <c r="I20" s="326">
        <f t="shared" si="4"/>
        <v>0</v>
      </c>
      <c r="J20" s="326">
        <f t="shared" si="4"/>
        <v>0</v>
      </c>
      <c r="K20" s="326">
        <f t="shared" si="4"/>
        <v>22075000</v>
      </c>
      <c r="L20" s="326">
        <f t="shared" si="4"/>
        <v>0</v>
      </c>
      <c r="M20" s="326">
        <f t="shared" si="4"/>
        <v>986337.26881601196</v>
      </c>
      <c r="N20" s="326">
        <f t="shared" si="4"/>
        <v>1371287</v>
      </c>
      <c r="O20" s="287"/>
      <c r="P20" s="43"/>
      <c r="Q20" s="43"/>
      <c r="R20" s="43"/>
      <c r="S20" s="43"/>
      <c r="T20" s="43"/>
      <c r="U20" s="43"/>
    </row>
    <row r="21" spans="1:21">
      <c r="A21" s="43"/>
      <c r="B21" s="50"/>
      <c r="C21" s="50"/>
      <c r="D21" s="50"/>
      <c r="E21" s="50"/>
      <c r="F21" s="50"/>
      <c r="G21" s="50"/>
      <c r="H21" s="50"/>
      <c r="I21" s="50"/>
      <c r="J21" s="50"/>
      <c r="K21" s="50"/>
      <c r="L21" s="50"/>
      <c r="M21" s="50"/>
      <c r="N21" s="50"/>
      <c r="O21" s="50"/>
      <c r="P21" s="43"/>
      <c r="Q21" s="43"/>
      <c r="R21" s="43"/>
      <c r="S21" s="43"/>
      <c r="T21" s="43"/>
      <c r="U21" s="43"/>
    </row>
    <row r="22" spans="1:21">
      <c r="A22" s="46" t="s">
        <v>513</v>
      </c>
      <c r="B22" s="50"/>
      <c r="C22" s="50"/>
      <c r="D22" s="50"/>
      <c r="E22" s="50"/>
      <c r="F22" s="50"/>
      <c r="G22" s="50"/>
      <c r="H22" s="50"/>
      <c r="I22" s="50"/>
      <c r="J22" s="50"/>
      <c r="K22" s="50"/>
      <c r="L22" s="50"/>
      <c r="M22" s="50"/>
      <c r="N22" s="50"/>
      <c r="O22" s="50"/>
      <c r="P22" s="43"/>
      <c r="Q22" s="43"/>
      <c r="R22" s="43"/>
      <c r="S22" s="43"/>
      <c r="T22" s="43"/>
      <c r="U22" s="43"/>
    </row>
    <row r="23" spans="1:21">
      <c r="A23" s="46" t="s">
        <v>756</v>
      </c>
      <c r="B23" s="50"/>
      <c r="C23" s="50"/>
      <c r="D23" s="50"/>
      <c r="E23" s="50"/>
      <c r="F23" s="68">
        <v>0</v>
      </c>
      <c r="G23" s="50"/>
      <c r="H23" s="50"/>
      <c r="I23" s="50"/>
      <c r="J23" s="50"/>
      <c r="K23" s="50"/>
      <c r="L23" s="50"/>
      <c r="M23" s="50"/>
      <c r="N23" s="50"/>
      <c r="O23" s="50"/>
      <c r="P23" s="43"/>
      <c r="Q23" s="43"/>
      <c r="R23" s="43"/>
      <c r="S23" s="43"/>
      <c r="T23" s="43"/>
      <c r="U23" s="43"/>
    </row>
    <row r="24" spans="1:21">
      <c r="A24" s="46" t="s">
        <v>757</v>
      </c>
      <c r="B24" s="50"/>
      <c r="C24" s="50"/>
      <c r="D24" s="50"/>
      <c r="E24" s="50"/>
      <c r="F24" s="50"/>
      <c r="G24" s="50"/>
      <c r="H24" s="50"/>
      <c r="I24" s="50"/>
      <c r="J24" s="50"/>
      <c r="K24" s="137">
        <f>+K8*0.5</f>
        <v>-1361095.8904109588</v>
      </c>
      <c r="L24" s="50"/>
      <c r="M24" s="50"/>
      <c r="N24" s="50"/>
      <c r="O24" s="50"/>
      <c r="P24" s="43"/>
      <c r="Q24" s="43"/>
      <c r="R24" s="43"/>
      <c r="S24" s="43"/>
      <c r="T24" s="43"/>
      <c r="U24" s="43"/>
    </row>
    <row r="25" spans="1:21">
      <c r="A25" s="46" t="s">
        <v>758</v>
      </c>
      <c r="B25" s="68">
        <v>0</v>
      </c>
      <c r="C25" s="68">
        <v>-382967</v>
      </c>
      <c r="D25" s="68">
        <v>-2326328</v>
      </c>
      <c r="E25" s="68">
        <v>-3292886</v>
      </c>
      <c r="F25" s="68">
        <v>-4878986</v>
      </c>
      <c r="G25" s="50"/>
      <c r="H25" s="68">
        <v>0</v>
      </c>
      <c r="I25" s="68">
        <v>0</v>
      </c>
      <c r="J25" s="68">
        <v>0</v>
      </c>
      <c r="K25" s="68">
        <v>0</v>
      </c>
      <c r="L25" s="68">
        <v>0</v>
      </c>
      <c r="M25" s="68">
        <v>0</v>
      </c>
      <c r="N25" s="68">
        <v>0</v>
      </c>
      <c r="O25" s="50"/>
      <c r="P25" s="43"/>
      <c r="Q25" s="43"/>
      <c r="R25" s="43"/>
      <c r="S25" s="43"/>
      <c r="T25" s="43"/>
      <c r="U25" s="43"/>
    </row>
    <row r="26" spans="1:21">
      <c r="A26" s="46" t="s">
        <v>759</v>
      </c>
      <c r="B26" s="50"/>
      <c r="C26" s="50"/>
      <c r="D26" s="50"/>
      <c r="E26" s="50"/>
      <c r="F26" s="68">
        <v>-227636</v>
      </c>
      <c r="G26" s="68">
        <v>-420000</v>
      </c>
      <c r="H26" s="68">
        <v>-200000</v>
      </c>
      <c r="I26" s="68">
        <v>-150000</v>
      </c>
      <c r="J26" s="68">
        <v>-550000</v>
      </c>
      <c r="K26" s="50"/>
      <c r="L26" s="50"/>
      <c r="M26" s="50"/>
      <c r="N26" s="50"/>
      <c r="O26" s="50"/>
      <c r="P26" s="43"/>
      <c r="Q26" s="43"/>
      <c r="R26" s="43"/>
      <c r="S26" s="43"/>
      <c r="T26" s="43"/>
      <c r="U26" s="43"/>
    </row>
    <row r="27" spans="1:21" ht="14.65" customHeight="1" thickBot="1">
      <c r="A27" s="101" t="s">
        <v>33</v>
      </c>
      <c r="B27" s="194">
        <f t="shared" ref="B27:N27" si="5">SUM(B23:B26)</f>
        <v>0</v>
      </c>
      <c r="C27" s="194">
        <f t="shared" si="5"/>
        <v>-382967</v>
      </c>
      <c r="D27" s="194">
        <f t="shared" si="5"/>
        <v>-2326328</v>
      </c>
      <c r="E27" s="194">
        <f t="shared" si="5"/>
        <v>-3292886</v>
      </c>
      <c r="F27" s="194">
        <f t="shared" si="5"/>
        <v>-5106622</v>
      </c>
      <c r="G27" s="194">
        <f t="shared" si="5"/>
        <v>-420000</v>
      </c>
      <c r="H27" s="194">
        <f t="shared" si="5"/>
        <v>-200000</v>
      </c>
      <c r="I27" s="194">
        <f t="shared" si="5"/>
        <v>-150000</v>
      </c>
      <c r="J27" s="194">
        <f t="shared" si="5"/>
        <v>-550000</v>
      </c>
      <c r="K27" s="194">
        <f t="shared" si="5"/>
        <v>-1361095.8904109588</v>
      </c>
      <c r="L27" s="194">
        <f t="shared" si="5"/>
        <v>0</v>
      </c>
      <c r="M27" s="194">
        <f t="shared" si="5"/>
        <v>0</v>
      </c>
      <c r="N27" s="194">
        <f t="shared" si="5"/>
        <v>0</v>
      </c>
      <c r="O27" s="50"/>
      <c r="P27" s="43"/>
      <c r="Q27" s="43"/>
      <c r="R27" s="43"/>
      <c r="S27" s="43"/>
      <c r="T27" s="43"/>
      <c r="U27" s="43"/>
    </row>
    <row r="28" spans="1:21">
      <c r="A28" s="72"/>
      <c r="B28" s="50"/>
      <c r="C28" s="50"/>
      <c r="D28" s="50"/>
      <c r="E28" s="50"/>
      <c r="F28" s="50"/>
      <c r="G28" s="50"/>
      <c r="H28" s="50"/>
      <c r="I28" s="50"/>
      <c r="J28" s="50"/>
      <c r="K28" s="50"/>
      <c r="L28" s="50"/>
      <c r="M28" s="50"/>
      <c r="N28" s="50"/>
      <c r="O28" s="50"/>
      <c r="P28" s="43"/>
      <c r="Q28" s="43"/>
      <c r="R28" s="43"/>
      <c r="S28" s="43"/>
      <c r="T28" s="43"/>
      <c r="U28" s="43"/>
    </row>
    <row r="29" spans="1:21">
      <c r="A29" s="101" t="s">
        <v>505</v>
      </c>
      <c r="B29" s="50">
        <f t="shared" ref="B29:N29" si="6">+B20+B27</f>
        <v>0</v>
      </c>
      <c r="C29" s="50">
        <f t="shared" si="6"/>
        <v>-382967</v>
      </c>
      <c r="D29" s="50">
        <f t="shared" si="6"/>
        <v>-2326328</v>
      </c>
      <c r="E29" s="50">
        <f t="shared" si="6"/>
        <v>-3292886</v>
      </c>
      <c r="F29" s="50">
        <f t="shared" si="6"/>
        <v>-4756622</v>
      </c>
      <c r="G29" s="50">
        <f t="shared" si="6"/>
        <v>-420000</v>
      </c>
      <c r="H29" s="50">
        <f t="shared" si="6"/>
        <v>150000</v>
      </c>
      <c r="I29" s="50">
        <f t="shared" si="6"/>
        <v>-150000</v>
      </c>
      <c r="J29" s="50">
        <f t="shared" si="6"/>
        <v>-550000</v>
      </c>
      <c r="K29" s="50">
        <f t="shared" si="6"/>
        <v>20713904.10958904</v>
      </c>
      <c r="L29" s="50">
        <f t="shared" si="6"/>
        <v>0</v>
      </c>
      <c r="M29" s="50">
        <f t="shared" si="6"/>
        <v>986337.26881601196</v>
      </c>
      <c r="N29" s="50">
        <f t="shared" si="6"/>
        <v>1371287</v>
      </c>
      <c r="O29" s="50"/>
      <c r="P29" s="43"/>
      <c r="Q29" s="43"/>
      <c r="R29" s="43"/>
      <c r="S29" s="43"/>
      <c r="T29" s="43"/>
      <c r="U29" s="43"/>
    </row>
    <row r="30" spans="1:21">
      <c r="A30" s="72"/>
      <c r="B30" s="50"/>
      <c r="C30" s="50"/>
      <c r="D30" s="50"/>
      <c r="E30" s="50"/>
      <c r="F30" s="50"/>
      <c r="G30" s="50"/>
      <c r="H30" s="50"/>
      <c r="I30" s="50"/>
      <c r="J30" s="50"/>
      <c r="K30" s="50"/>
      <c r="L30" s="50"/>
      <c r="M30" s="50"/>
      <c r="N30" s="50"/>
      <c r="O30" s="50"/>
      <c r="P30" s="43"/>
      <c r="Q30" s="43"/>
      <c r="R30" s="43"/>
      <c r="S30" s="43"/>
      <c r="T30" s="43"/>
      <c r="U30" s="43"/>
    </row>
    <row r="31" spans="1:21" s="30" customFormat="1">
      <c r="A31" s="101" t="s">
        <v>561</v>
      </c>
      <c r="B31" s="68">
        <v>0</v>
      </c>
      <c r="C31" s="68">
        <v>250000</v>
      </c>
      <c r="D31" s="68">
        <v>250000</v>
      </c>
      <c r="E31" s="68">
        <v>250000</v>
      </c>
      <c r="F31" s="68">
        <v>250000</v>
      </c>
      <c r="G31" s="68">
        <v>250000</v>
      </c>
      <c r="H31" s="68">
        <v>250000</v>
      </c>
      <c r="I31" s="68">
        <v>250000</v>
      </c>
      <c r="J31" s="68">
        <v>250000</v>
      </c>
      <c r="K31" s="68">
        <v>300000</v>
      </c>
      <c r="L31" s="68">
        <v>0</v>
      </c>
      <c r="M31" s="68">
        <v>0</v>
      </c>
      <c r="N31" s="68">
        <v>0</v>
      </c>
      <c r="O31" s="50"/>
      <c r="P31" s="62"/>
      <c r="Q31" s="43"/>
      <c r="R31" s="43"/>
      <c r="S31" s="43"/>
      <c r="T31" s="43"/>
      <c r="U31" s="43"/>
    </row>
    <row r="32" spans="1:21">
      <c r="A32" s="101" t="s">
        <v>562</v>
      </c>
      <c r="B32" s="141"/>
      <c r="C32" s="141"/>
      <c r="D32" s="141"/>
      <c r="E32" s="141"/>
      <c r="F32" s="141"/>
      <c r="G32" s="141"/>
      <c r="H32" s="141"/>
      <c r="I32" s="141"/>
      <c r="J32" s="141"/>
      <c r="K32" s="140">
        <v>-2300000</v>
      </c>
      <c r="L32" s="141"/>
      <c r="M32" s="141"/>
      <c r="N32" s="141"/>
      <c r="O32" s="50"/>
      <c r="P32" s="62"/>
      <c r="Q32" s="43"/>
      <c r="R32" s="43"/>
      <c r="S32" s="43"/>
      <c r="T32" s="43"/>
      <c r="U32" s="43"/>
    </row>
    <row r="33" spans="1:21">
      <c r="A33" s="101" t="s">
        <v>563</v>
      </c>
      <c r="B33" s="141"/>
      <c r="C33" s="141">
        <f t="shared" ref="C33:N33" si="7">B33+C31+C32</f>
        <v>250000</v>
      </c>
      <c r="D33" s="291">
        <f t="shared" si="7"/>
        <v>500000</v>
      </c>
      <c r="E33" s="291">
        <f t="shared" si="7"/>
        <v>750000</v>
      </c>
      <c r="F33" s="291">
        <f t="shared" si="7"/>
        <v>1000000</v>
      </c>
      <c r="G33" s="291">
        <f t="shared" si="7"/>
        <v>1250000</v>
      </c>
      <c r="H33" s="291">
        <f t="shared" si="7"/>
        <v>1500000</v>
      </c>
      <c r="I33" s="291">
        <f t="shared" si="7"/>
        <v>1750000</v>
      </c>
      <c r="J33" s="291">
        <f t="shared" si="7"/>
        <v>2000000</v>
      </c>
      <c r="K33" s="291">
        <f t="shared" si="7"/>
        <v>0</v>
      </c>
      <c r="L33" s="291">
        <f t="shared" si="7"/>
        <v>0</v>
      </c>
      <c r="M33" s="291">
        <f t="shared" si="7"/>
        <v>0</v>
      </c>
      <c r="N33" s="291">
        <f t="shared" si="7"/>
        <v>0</v>
      </c>
      <c r="O33" s="50"/>
      <c r="P33" s="50"/>
      <c r="Q33" s="50"/>
      <c r="R33" s="50"/>
      <c r="S33" s="50"/>
      <c r="T33" s="50"/>
      <c r="U33" s="43"/>
    </row>
    <row r="34" spans="1:21">
      <c r="A34" s="72"/>
      <c r="B34" s="50"/>
      <c r="C34" s="50"/>
      <c r="D34" s="50"/>
      <c r="E34" s="50"/>
      <c r="F34" s="50"/>
      <c r="G34" s="50"/>
      <c r="H34" s="50"/>
      <c r="I34" s="50"/>
      <c r="J34" s="50"/>
      <c r="K34" s="50"/>
      <c r="L34" s="50"/>
      <c r="M34" s="50"/>
      <c r="N34" s="50"/>
      <c r="O34" s="50"/>
      <c r="P34" s="43"/>
      <c r="Q34" s="43"/>
      <c r="R34" s="43"/>
      <c r="S34" s="43"/>
      <c r="T34" s="43"/>
      <c r="U34" s="43"/>
    </row>
    <row r="35" spans="1:21" ht="14.65" customHeight="1" thickBot="1">
      <c r="A35" s="46" t="s">
        <v>630</v>
      </c>
      <c r="B35" s="50"/>
      <c r="C35" s="51"/>
      <c r="D35" s="327"/>
      <c r="E35" s="327"/>
      <c r="F35" s="327"/>
      <c r="G35" s="66"/>
      <c r="H35" s="50"/>
      <c r="I35" s="50"/>
      <c r="J35" s="50"/>
      <c r="K35" s="50"/>
      <c r="L35" s="352">
        <f>+L5/L36</f>
        <v>2.9159164127122335E-2</v>
      </c>
      <c r="M35" s="352">
        <f>+M5/M36</f>
        <v>6.2960499894381072E-2</v>
      </c>
      <c r="N35" s="352">
        <f>+N5/N36</f>
        <v>6.7509920157860268E-2</v>
      </c>
      <c r="O35" s="67" t="s">
        <v>760</v>
      </c>
      <c r="P35" s="50"/>
      <c r="Q35" s="50"/>
      <c r="R35" s="50"/>
      <c r="S35" s="50"/>
      <c r="T35" s="50"/>
      <c r="U35" s="50"/>
    </row>
    <row r="36" spans="1:21" ht="14.65" customHeight="1" thickBot="1">
      <c r="A36" s="56" t="s">
        <v>631</v>
      </c>
      <c r="B36" s="68">
        <v>95600000</v>
      </c>
      <c r="C36" s="68">
        <v>95600000</v>
      </c>
      <c r="D36" s="68">
        <v>95600000</v>
      </c>
      <c r="E36" s="68">
        <v>95600000</v>
      </c>
      <c r="F36" s="68">
        <v>95600000</v>
      </c>
      <c r="G36" s="68">
        <v>95600000</v>
      </c>
      <c r="H36" s="68">
        <v>95600000</v>
      </c>
      <c r="I36" s="68">
        <v>95600000</v>
      </c>
      <c r="J36" s="68">
        <v>108100000</v>
      </c>
      <c r="K36" s="50">
        <f>AVERAGE(J36,M36)</f>
        <v>112600000</v>
      </c>
      <c r="L36" s="50">
        <f>+AVERAGE(M36,K36)</f>
        <v>114850000</v>
      </c>
      <c r="M36" s="68">
        <v>117100000</v>
      </c>
      <c r="N36" s="137">
        <f>+M36*1.03</f>
        <v>120613000</v>
      </c>
      <c r="O36" s="43"/>
      <c r="P36" s="67" t="s">
        <v>568</v>
      </c>
      <c r="Q36" s="297">
        <v>0.03</v>
      </c>
      <c r="R36" s="50"/>
      <c r="S36" s="50"/>
      <c r="T36" s="50"/>
      <c r="U36" s="50"/>
    </row>
    <row r="37" spans="1:21" ht="14.65" customHeight="1" thickBot="1">
      <c r="A37" s="56" t="s">
        <v>761</v>
      </c>
      <c r="B37" s="50"/>
      <c r="C37" s="68">
        <v>0</v>
      </c>
      <c r="D37" s="68">
        <v>0</v>
      </c>
      <c r="E37" s="68">
        <v>0</v>
      </c>
      <c r="F37" s="68">
        <v>0</v>
      </c>
      <c r="G37" s="68">
        <v>0</v>
      </c>
      <c r="H37" s="68">
        <v>0</v>
      </c>
      <c r="I37" s="68">
        <v>0</v>
      </c>
      <c r="J37" s="68">
        <v>0</v>
      </c>
      <c r="K37" s="68">
        <v>0</v>
      </c>
      <c r="L37" s="68">
        <v>0</v>
      </c>
      <c r="M37" s="68">
        <v>0</v>
      </c>
      <c r="N37" s="68">
        <v>0</v>
      </c>
      <c r="O37" s="50"/>
      <c r="P37" s="67" t="s">
        <v>762</v>
      </c>
      <c r="Q37" s="310">
        <v>46568</v>
      </c>
      <c r="R37" s="50"/>
      <c r="S37" s="50"/>
      <c r="T37" s="50"/>
      <c r="U37" s="50"/>
    </row>
    <row r="38" spans="1:21">
      <c r="A38" s="56" t="s">
        <v>763</v>
      </c>
      <c r="B38" s="50"/>
      <c r="C38" s="68">
        <v>0</v>
      </c>
      <c r="D38" s="68">
        <v>0</v>
      </c>
      <c r="E38" s="68">
        <v>0</v>
      </c>
      <c r="F38" s="68">
        <v>0</v>
      </c>
      <c r="G38" s="68">
        <v>0</v>
      </c>
      <c r="H38" s="68">
        <v>0</v>
      </c>
      <c r="I38" s="68">
        <v>0</v>
      </c>
      <c r="J38" s="68">
        <v>0</v>
      </c>
      <c r="K38" s="68">
        <v>0</v>
      </c>
      <c r="L38" s="68">
        <v>0</v>
      </c>
      <c r="M38" s="68">
        <v>0</v>
      </c>
      <c r="N38" s="68">
        <v>0</v>
      </c>
      <c r="O38" s="50"/>
      <c r="P38" s="50"/>
      <c r="Q38" s="50"/>
      <c r="R38" s="50"/>
      <c r="S38" s="50"/>
      <c r="T38" s="50"/>
      <c r="U38" s="50"/>
    </row>
    <row r="39" spans="1:21">
      <c r="A39" s="56" t="s">
        <v>764</v>
      </c>
      <c r="B39" s="50"/>
      <c r="C39" s="68">
        <v>0</v>
      </c>
      <c r="D39" s="68">
        <v>0</v>
      </c>
      <c r="E39" s="68">
        <v>0</v>
      </c>
      <c r="F39" s="68">
        <v>0</v>
      </c>
      <c r="G39" s="68">
        <v>0</v>
      </c>
      <c r="H39" s="68">
        <v>0</v>
      </c>
      <c r="I39" s="68">
        <v>0</v>
      </c>
      <c r="J39" s="68">
        <v>0</v>
      </c>
      <c r="K39" s="68">
        <v>0</v>
      </c>
      <c r="L39" s="68">
        <v>0</v>
      </c>
      <c r="M39" s="68">
        <v>0</v>
      </c>
      <c r="N39" s="68">
        <v>0</v>
      </c>
      <c r="O39" s="50"/>
      <c r="P39" s="50"/>
      <c r="Q39" s="50"/>
      <c r="R39" s="50"/>
      <c r="S39" s="50"/>
      <c r="T39" s="50"/>
      <c r="U39" s="50"/>
    </row>
    <row r="40" spans="1:21">
      <c r="A40" s="56" t="s">
        <v>765</v>
      </c>
      <c r="B40" s="50"/>
      <c r="C40" s="68">
        <v>0</v>
      </c>
      <c r="D40" s="68">
        <v>0</v>
      </c>
      <c r="E40" s="68">
        <v>0</v>
      </c>
      <c r="F40" s="68">
        <v>0</v>
      </c>
      <c r="G40" s="68">
        <v>0</v>
      </c>
      <c r="H40" s="68">
        <v>0</v>
      </c>
      <c r="I40" s="68">
        <v>0</v>
      </c>
      <c r="J40" s="68">
        <v>0</v>
      </c>
      <c r="K40" s="68">
        <v>0</v>
      </c>
      <c r="L40" s="68">
        <v>0</v>
      </c>
      <c r="M40" s="68">
        <v>0</v>
      </c>
      <c r="N40" s="68">
        <v>0</v>
      </c>
      <c r="O40" s="50"/>
      <c r="P40" s="50"/>
      <c r="Q40" s="50"/>
      <c r="R40" s="50"/>
      <c r="S40" s="50"/>
      <c r="T40" s="50"/>
      <c r="U40" s="50"/>
    </row>
    <row r="41" spans="1:21">
      <c r="A41" s="56" t="s">
        <v>766</v>
      </c>
      <c r="B41" s="68">
        <v>12305000</v>
      </c>
      <c r="C41" s="137">
        <f>(12305000+5500000)/2</f>
        <v>8902500</v>
      </c>
      <c r="D41" s="68">
        <v>12305000</v>
      </c>
      <c r="E41" s="68">
        <v>12305000</v>
      </c>
      <c r="F41" s="68">
        <v>12305000</v>
      </c>
      <c r="G41" s="68">
        <v>12305000</v>
      </c>
      <c r="H41" s="68">
        <v>12305000</v>
      </c>
      <c r="I41" s="68">
        <v>12305000</v>
      </c>
      <c r="J41" s="68">
        <v>12305000</v>
      </c>
      <c r="K41" s="137">
        <f>J41*(1+$Q$36)</f>
        <v>12674150</v>
      </c>
      <c r="L41" s="137">
        <f>K41*(1+$Q$36)</f>
        <v>13054374.5</v>
      </c>
      <c r="M41" s="137">
        <f>L41*(1+$Q$36)</f>
        <v>13446005.735000001</v>
      </c>
      <c r="N41" s="137">
        <f>M41*(1+$Q$36)</f>
        <v>13849385.907050002</v>
      </c>
      <c r="O41" s="50"/>
      <c r="P41" s="50"/>
      <c r="Q41" s="59"/>
      <c r="R41" s="59"/>
      <c r="S41" s="59"/>
      <c r="T41" s="59"/>
      <c r="U41" s="59"/>
    </row>
    <row r="42" spans="1:21">
      <c r="A42" s="56" t="s">
        <v>636</v>
      </c>
      <c r="B42" s="50">
        <f t="shared" ref="B42:N42" si="8">+B94</f>
        <v>14414873.863486797</v>
      </c>
      <c r="C42" s="50">
        <f t="shared" si="8"/>
        <v>14414873.863486797</v>
      </c>
      <c r="D42" s="50">
        <f t="shared" si="8"/>
        <v>14414873.863486797</v>
      </c>
      <c r="E42" s="50">
        <f t="shared" si="8"/>
        <v>14414873.863486797</v>
      </c>
      <c r="F42" s="50">
        <f t="shared" si="8"/>
        <v>3914873.8634867966</v>
      </c>
      <c r="G42" s="50">
        <f t="shared" si="8"/>
        <v>1831980</v>
      </c>
      <c r="H42" s="50">
        <f t="shared" si="8"/>
        <v>1831980</v>
      </c>
      <c r="I42" s="50">
        <f t="shared" si="8"/>
        <v>1831980</v>
      </c>
      <c r="J42" s="50">
        <f t="shared" si="8"/>
        <v>1831980</v>
      </c>
      <c r="K42" s="50">
        <f t="shared" si="8"/>
        <v>0</v>
      </c>
      <c r="L42" s="50">
        <f t="shared" si="8"/>
        <v>0</v>
      </c>
      <c r="M42" s="50">
        <f t="shared" si="8"/>
        <v>0</v>
      </c>
      <c r="N42" s="50">
        <f t="shared" si="8"/>
        <v>0</v>
      </c>
      <c r="O42" s="50"/>
      <c r="P42" s="50"/>
      <c r="Q42" s="59"/>
      <c r="R42" s="59"/>
      <c r="S42" s="59"/>
      <c r="T42" s="59"/>
      <c r="U42" s="59"/>
    </row>
    <row r="43" spans="1:21">
      <c r="A43" s="56" t="s">
        <v>767</v>
      </c>
      <c r="B43" s="290">
        <v>0</v>
      </c>
      <c r="C43" s="290">
        <v>-3700000</v>
      </c>
      <c r="D43" s="290">
        <v>-3700000</v>
      </c>
      <c r="E43" s="290">
        <v>-3700000</v>
      </c>
      <c r="F43" s="290">
        <v>-3700000</v>
      </c>
      <c r="G43" s="290">
        <v>-3700000</v>
      </c>
      <c r="H43" s="290">
        <v>-3700000</v>
      </c>
      <c r="I43" s="290">
        <v>-3700000</v>
      </c>
      <c r="J43" s="290">
        <v>-3700000</v>
      </c>
      <c r="K43" s="287"/>
      <c r="L43" s="287"/>
      <c r="M43" s="287"/>
      <c r="N43" s="287"/>
      <c r="O43" s="287"/>
      <c r="P43" s="50"/>
      <c r="Q43" s="50"/>
      <c r="R43" s="50"/>
      <c r="S43" s="50"/>
      <c r="T43" s="50"/>
      <c r="U43" s="64"/>
    </row>
    <row r="44" spans="1:21">
      <c r="A44" s="56" t="s">
        <v>768</v>
      </c>
      <c r="B44" s="287"/>
      <c r="C44" s="290">
        <v>-250000</v>
      </c>
      <c r="D44" s="290">
        <v>-250000</v>
      </c>
      <c r="E44" s="290">
        <v>-250000</v>
      </c>
      <c r="F44" s="290">
        <v>-250000</v>
      </c>
      <c r="G44" s="290">
        <v>-250000</v>
      </c>
      <c r="H44" s="290">
        <v>-250000</v>
      </c>
      <c r="I44" s="290">
        <v>-250000</v>
      </c>
      <c r="J44" s="290">
        <v>-250000</v>
      </c>
      <c r="K44" s="287"/>
      <c r="L44" s="287"/>
      <c r="M44" s="287"/>
      <c r="N44" s="287"/>
      <c r="O44" s="287"/>
      <c r="P44" s="50"/>
      <c r="Q44" s="50"/>
      <c r="R44" s="50"/>
      <c r="S44" s="50"/>
      <c r="T44" s="50"/>
      <c r="U44" s="64"/>
    </row>
    <row r="45" spans="1:21">
      <c r="A45" s="56" t="s">
        <v>646</v>
      </c>
      <c r="B45" s="290">
        <v>0</v>
      </c>
      <c r="C45" s="290">
        <v>-7300000</v>
      </c>
      <c r="D45" s="290">
        <v>-7300000</v>
      </c>
      <c r="E45" s="290">
        <v>-7300000</v>
      </c>
      <c r="F45" s="290">
        <v>-7300000</v>
      </c>
      <c r="G45" s="290">
        <v>-7300000</v>
      </c>
      <c r="H45" s="290">
        <v>-7300000</v>
      </c>
      <c r="I45" s="290">
        <v>-7300000</v>
      </c>
      <c r="J45" s="290">
        <v>-7300000</v>
      </c>
      <c r="K45" s="287"/>
      <c r="L45" s="287"/>
      <c r="M45" s="287"/>
      <c r="N45" s="287"/>
      <c r="O45" s="287"/>
      <c r="P45" s="43"/>
      <c r="Q45" s="43"/>
      <c r="R45" s="43"/>
      <c r="S45" s="43"/>
      <c r="T45" s="43"/>
      <c r="U45" s="43"/>
    </row>
    <row r="46" spans="1:21" ht="14.65" customHeight="1" thickBot="1">
      <c r="A46" s="56" t="s">
        <v>639</v>
      </c>
      <c r="B46" s="136">
        <f t="shared" ref="B46:N46" si="9">SUM(B36:B45)</f>
        <v>122319873.8634868</v>
      </c>
      <c r="C46" s="136">
        <f t="shared" si="9"/>
        <v>107667373.8634868</v>
      </c>
      <c r="D46" s="136">
        <f t="shared" si="9"/>
        <v>111069873.8634868</v>
      </c>
      <c r="E46" s="136">
        <f t="shared" si="9"/>
        <v>111069873.8634868</v>
      </c>
      <c r="F46" s="136">
        <f t="shared" si="9"/>
        <v>100569873.8634868</v>
      </c>
      <c r="G46" s="136">
        <f t="shared" si="9"/>
        <v>98486980</v>
      </c>
      <c r="H46" s="136">
        <f t="shared" si="9"/>
        <v>98486980</v>
      </c>
      <c r="I46" s="136">
        <f t="shared" si="9"/>
        <v>98486980</v>
      </c>
      <c r="J46" s="136">
        <f t="shared" si="9"/>
        <v>110986980</v>
      </c>
      <c r="K46" s="136">
        <f t="shared" si="9"/>
        <v>125274150</v>
      </c>
      <c r="L46" s="136">
        <f t="shared" si="9"/>
        <v>127904374.5</v>
      </c>
      <c r="M46" s="136">
        <f t="shared" si="9"/>
        <v>130546005.735</v>
      </c>
      <c r="N46" s="136">
        <f t="shared" si="9"/>
        <v>134462385.90705001</v>
      </c>
      <c r="O46" s="50"/>
      <c r="P46" s="50"/>
      <c r="Q46" s="321"/>
      <c r="R46" s="321"/>
      <c r="S46" s="321"/>
      <c r="T46" s="321"/>
      <c r="U46" s="59"/>
    </row>
    <row r="47" spans="1:21" ht="14.65" customHeight="1" thickTop="1">
      <c r="A47" s="292"/>
      <c r="B47" s="50"/>
      <c r="C47" s="50"/>
      <c r="D47" s="50"/>
      <c r="E47" s="50"/>
      <c r="F47" s="50"/>
      <c r="G47" s="50"/>
      <c r="H47" s="50"/>
      <c r="I47" s="50"/>
      <c r="J47" s="50"/>
      <c r="K47" s="51"/>
      <c r="L47" s="51"/>
      <c r="M47" s="50"/>
      <c r="N47" s="50"/>
      <c r="O47" s="50"/>
      <c r="P47" s="50"/>
      <c r="Q47" s="50"/>
      <c r="R47" s="50"/>
      <c r="S47" s="50"/>
      <c r="T47" s="50"/>
      <c r="U47" s="43"/>
    </row>
    <row r="48" spans="1:21">
      <c r="A48" s="56" t="s">
        <v>640</v>
      </c>
      <c r="B48" s="50"/>
      <c r="C48" s="50"/>
      <c r="D48" s="50"/>
      <c r="E48" s="50"/>
      <c r="F48" s="50"/>
      <c r="G48" s="50"/>
      <c r="H48" s="50"/>
      <c r="I48" s="50"/>
      <c r="J48" s="50"/>
      <c r="K48" s="283"/>
      <c r="L48" s="283"/>
      <c r="M48" s="50"/>
      <c r="N48" s="50"/>
      <c r="O48" s="50"/>
      <c r="P48" s="50"/>
      <c r="Q48" s="50"/>
      <c r="R48" s="50"/>
      <c r="S48" s="50"/>
      <c r="T48" s="50"/>
      <c r="U48" s="43"/>
    </row>
    <row r="49" spans="1:21">
      <c r="A49" s="56" t="s">
        <v>641</v>
      </c>
      <c r="B49" s="297">
        <v>0.2</v>
      </c>
      <c r="C49" s="297">
        <v>0.2</v>
      </c>
      <c r="D49" s="297">
        <v>0.2</v>
      </c>
      <c r="E49" s="297">
        <v>0.2</v>
      </c>
      <c r="F49" s="297">
        <v>0.2</v>
      </c>
      <c r="G49" s="142">
        <v>0.32500000000000001</v>
      </c>
      <c r="H49" s="142">
        <v>0.32500000000000001</v>
      </c>
      <c r="I49" s="142">
        <v>0.32500000000000001</v>
      </c>
      <c r="J49" s="142">
        <v>0.32500000000000001</v>
      </c>
      <c r="K49" s="68">
        <v>0</v>
      </c>
      <c r="L49" s="68">
        <v>0</v>
      </c>
      <c r="M49" s="68">
        <v>0</v>
      </c>
      <c r="N49" s="68">
        <v>0</v>
      </c>
      <c r="O49" s="50"/>
      <c r="P49" s="50"/>
      <c r="Q49" s="50"/>
      <c r="R49" s="50"/>
      <c r="S49" s="50"/>
      <c r="T49" s="50"/>
      <c r="U49" s="43"/>
    </row>
    <row r="50" spans="1:21">
      <c r="A50" s="56" t="s">
        <v>642</v>
      </c>
      <c r="B50" s="311">
        <f t="shared" ref="B50:N50" si="10">MAX(0,($Q$37-B1)/365)</f>
        <v>2.495890410958904</v>
      </c>
      <c r="C50" s="311">
        <f t="shared" si="10"/>
        <v>2.2493150684931509</v>
      </c>
      <c r="D50" s="311">
        <f t="shared" si="10"/>
        <v>2</v>
      </c>
      <c r="E50" s="311">
        <f t="shared" si="10"/>
        <v>1.747945205479452</v>
      </c>
      <c r="F50" s="311">
        <f t="shared" si="10"/>
        <v>1.4958904109589042</v>
      </c>
      <c r="G50" s="311">
        <f t="shared" si="10"/>
        <v>1.2493150684931507</v>
      </c>
      <c r="H50" s="311">
        <f t="shared" si="10"/>
        <v>1</v>
      </c>
      <c r="I50" s="311">
        <f t="shared" si="10"/>
        <v>0.74794520547945209</v>
      </c>
      <c r="J50" s="311">
        <f t="shared" si="10"/>
        <v>0.49589041095890413</v>
      </c>
      <c r="K50" s="137">
        <f t="shared" si="10"/>
        <v>0</v>
      </c>
      <c r="L50" s="137">
        <f t="shared" si="10"/>
        <v>0</v>
      </c>
      <c r="M50" s="137">
        <f t="shared" si="10"/>
        <v>0</v>
      </c>
      <c r="N50" s="137">
        <f t="shared" si="10"/>
        <v>0</v>
      </c>
      <c r="O50" s="50"/>
      <c r="P50" s="50"/>
      <c r="Q50" s="50"/>
      <c r="R50" s="50"/>
      <c r="S50" s="50"/>
      <c r="T50" s="50"/>
      <c r="U50" s="43"/>
    </row>
    <row r="51" spans="1:21">
      <c r="A51" s="294" t="s">
        <v>769</v>
      </c>
      <c r="B51" s="137">
        <f t="shared" ref="B51:N51" si="11">+B46/(1+B49)^B50</f>
        <v>77601356.298205227</v>
      </c>
      <c r="C51" s="137">
        <f t="shared" si="11"/>
        <v>71446432.843541861</v>
      </c>
      <c r="D51" s="137">
        <f t="shared" si="11"/>
        <v>77131856.849643618</v>
      </c>
      <c r="E51" s="137">
        <f t="shared" si="11"/>
        <v>80759161.152772069</v>
      </c>
      <c r="F51" s="137">
        <f t="shared" si="11"/>
        <v>76563440.115276083</v>
      </c>
      <c r="G51" s="137">
        <f t="shared" si="11"/>
        <v>69293529.37761943</v>
      </c>
      <c r="H51" s="137">
        <f t="shared" si="11"/>
        <v>74329796.226415098</v>
      </c>
      <c r="I51" s="137">
        <f t="shared" si="11"/>
        <v>79793596.502069578</v>
      </c>
      <c r="J51" s="137">
        <f t="shared" si="11"/>
        <v>96530899.288759202</v>
      </c>
      <c r="K51" s="137">
        <f t="shared" si="11"/>
        <v>125274150</v>
      </c>
      <c r="L51" s="137">
        <f t="shared" si="11"/>
        <v>127904374.5</v>
      </c>
      <c r="M51" s="137">
        <f t="shared" si="11"/>
        <v>130546005.735</v>
      </c>
      <c r="N51" s="137">
        <f t="shared" si="11"/>
        <v>134462385.90705001</v>
      </c>
      <c r="O51" s="50"/>
      <c r="P51" s="50"/>
      <c r="Q51" s="50"/>
      <c r="R51" s="50"/>
      <c r="S51" s="50"/>
      <c r="T51" s="50"/>
      <c r="U51" s="43"/>
    </row>
    <row r="52" spans="1:21">
      <c r="A52" s="292"/>
      <c r="B52" s="50"/>
      <c r="C52" s="50"/>
      <c r="D52" s="50"/>
      <c r="E52" s="50"/>
      <c r="F52" s="50"/>
      <c r="G52" s="50"/>
      <c r="H52" s="50"/>
      <c r="I52" s="50"/>
      <c r="J52" s="50"/>
      <c r="K52" s="50"/>
      <c r="L52" s="50"/>
      <c r="M52" s="50"/>
      <c r="N52" s="50"/>
      <c r="O52" s="50"/>
      <c r="P52" s="50"/>
      <c r="Q52" s="50"/>
      <c r="R52" s="50"/>
      <c r="S52" s="50"/>
      <c r="T52" s="50"/>
      <c r="U52" s="43"/>
    </row>
    <row r="53" spans="1:21">
      <c r="A53" s="56" t="s">
        <v>577</v>
      </c>
      <c r="B53" s="50"/>
      <c r="C53" s="50"/>
      <c r="D53" s="50"/>
      <c r="E53" s="50"/>
      <c r="F53" s="50"/>
      <c r="G53" s="50"/>
      <c r="H53" s="50"/>
      <c r="I53" s="50"/>
      <c r="J53" s="50"/>
      <c r="K53" s="282">
        <f>-K54/K46</f>
        <v>0.47894956780788372</v>
      </c>
      <c r="L53" s="282">
        <f>-L54/L46</f>
        <v>0.46910045285433144</v>
      </c>
      <c r="M53" s="50"/>
      <c r="N53" s="282"/>
      <c r="O53" s="67" t="s">
        <v>696</v>
      </c>
      <c r="P53" s="50"/>
      <c r="Q53" s="50"/>
      <c r="R53" s="50"/>
      <c r="S53" s="50"/>
      <c r="T53" s="50"/>
      <c r="U53" s="64"/>
    </row>
    <row r="54" spans="1:21">
      <c r="A54" s="56" t="s">
        <v>770</v>
      </c>
      <c r="B54" s="50"/>
      <c r="C54" s="50"/>
      <c r="D54" s="50"/>
      <c r="E54" s="50"/>
      <c r="F54" s="50"/>
      <c r="G54" s="50"/>
      <c r="H54" s="50"/>
      <c r="I54" s="50"/>
      <c r="J54" s="50"/>
      <c r="K54" s="68">
        <v>-60000000</v>
      </c>
      <c r="L54" s="68">
        <v>-60000000</v>
      </c>
      <c r="M54" s="68">
        <v>-60000000</v>
      </c>
      <c r="N54" s="68">
        <v>-60000000</v>
      </c>
      <c r="O54" s="50"/>
      <c r="P54" s="50"/>
      <c r="Q54" s="50"/>
      <c r="R54" s="50"/>
      <c r="S54" s="50"/>
      <c r="T54" s="50"/>
      <c r="U54" s="64"/>
    </row>
    <row r="55" spans="1:21" s="2" customFormat="1">
      <c r="A55" s="330" t="s">
        <v>587</v>
      </c>
      <c r="B55" s="290">
        <v>0</v>
      </c>
      <c r="C55" s="287">
        <f t="shared" ref="C55:N55" si="12">C54</f>
        <v>0</v>
      </c>
      <c r="D55" s="287">
        <f t="shared" si="12"/>
        <v>0</v>
      </c>
      <c r="E55" s="287">
        <f t="shared" si="12"/>
        <v>0</v>
      </c>
      <c r="F55" s="287">
        <f t="shared" si="12"/>
        <v>0</v>
      </c>
      <c r="G55" s="287">
        <f t="shared" si="12"/>
        <v>0</v>
      </c>
      <c r="H55" s="287">
        <f t="shared" si="12"/>
        <v>0</v>
      </c>
      <c r="I55" s="287">
        <f t="shared" si="12"/>
        <v>0</v>
      </c>
      <c r="J55" s="287">
        <f t="shared" si="12"/>
        <v>0</v>
      </c>
      <c r="K55" s="287">
        <f t="shared" si="12"/>
        <v>-60000000</v>
      </c>
      <c r="L55" s="287">
        <f t="shared" si="12"/>
        <v>-60000000</v>
      </c>
      <c r="M55" s="287">
        <f t="shared" si="12"/>
        <v>-60000000</v>
      </c>
      <c r="N55" s="287">
        <f t="shared" si="12"/>
        <v>-60000000</v>
      </c>
      <c r="O55" s="287"/>
      <c r="P55" s="43"/>
      <c r="Q55" s="43"/>
      <c r="R55" s="43"/>
      <c r="S55" s="43"/>
      <c r="T55" s="43"/>
      <c r="U55" s="43"/>
    </row>
    <row r="56" spans="1:21" s="2" customFormat="1">
      <c r="A56" s="83" t="s">
        <v>771</v>
      </c>
      <c r="B56" s="287"/>
      <c r="C56" s="287"/>
      <c r="D56" s="287"/>
      <c r="E56" s="287"/>
      <c r="F56" s="287"/>
      <c r="G56" s="287"/>
      <c r="H56" s="287"/>
      <c r="I56" s="287"/>
      <c r="J56" s="287"/>
      <c r="K56" s="287">
        <f>+K55-J55-SUM(J43:J45)</f>
        <v>-48750000</v>
      </c>
      <c r="L56" s="287">
        <f>+L55-K55-SUM(K42:K45)</f>
        <v>0</v>
      </c>
      <c r="M56" s="287">
        <f>+M55-L55-SUM(L42:L45)</f>
        <v>0</v>
      </c>
      <c r="N56" s="287">
        <f>+N55-M55-SUM(M42:M45)</f>
        <v>0</v>
      </c>
      <c r="O56" s="287"/>
      <c r="P56" s="43"/>
      <c r="Q56" s="43"/>
      <c r="R56" s="43"/>
      <c r="S56" s="43"/>
      <c r="T56" s="43"/>
      <c r="U56" s="43"/>
    </row>
    <row r="57" spans="1:21" s="2" customFormat="1">
      <c r="A57" s="72"/>
      <c r="B57" s="287"/>
      <c r="C57" s="287"/>
      <c r="D57" s="287"/>
      <c r="E57" s="287"/>
      <c r="F57" s="287"/>
      <c r="G57" s="287"/>
      <c r="H57" s="287"/>
      <c r="I57" s="287"/>
      <c r="J57" s="287"/>
      <c r="K57" s="287"/>
      <c r="L57" s="287"/>
      <c r="M57" s="287"/>
      <c r="N57" s="287"/>
      <c r="O57" s="287"/>
      <c r="P57" s="43"/>
      <c r="Q57" s="43"/>
      <c r="R57" s="43"/>
      <c r="S57" s="43"/>
      <c r="T57" s="43"/>
      <c r="U57" s="43"/>
    </row>
    <row r="58" spans="1:21" s="2" customFormat="1">
      <c r="A58" s="46" t="s">
        <v>647</v>
      </c>
      <c r="B58" s="50">
        <f t="shared" ref="B58:N58" si="13">+B51+B55</f>
        <v>77601356.298205227</v>
      </c>
      <c r="C58" s="50">
        <f t="shared" si="13"/>
        <v>71446432.843541861</v>
      </c>
      <c r="D58" s="50">
        <f t="shared" si="13"/>
        <v>77131856.849643618</v>
      </c>
      <c r="E58" s="50">
        <f t="shared" si="13"/>
        <v>80759161.152772069</v>
      </c>
      <c r="F58" s="50">
        <f t="shared" si="13"/>
        <v>76563440.115276083</v>
      </c>
      <c r="G58" s="50">
        <f t="shared" si="13"/>
        <v>69293529.37761943</v>
      </c>
      <c r="H58" s="50">
        <f t="shared" si="13"/>
        <v>74329796.226415098</v>
      </c>
      <c r="I58" s="50">
        <f t="shared" si="13"/>
        <v>79793596.502069578</v>
      </c>
      <c r="J58" s="50">
        <f t="shared" si="13"/>
        <v>96530899.288759202</v>
      </c>
      <c r="K58" s="50">
        <f t="shared" si="13"/>
        <v>65274150</v>
      </c>
      <c r="L58" s="50">
        <f t="shared" si="13"/>
        <v>67904374.5</v>
      </c>
      <c r="M58" s="50">
        <f t="shared" si="13"/>
        <v>70546005.734999999</v>
      </c>
      <c r="N58" s="50">
        <f t="shared" si="13"/>
        <v>74462385.907050014</v>
      </c>
      <c r="O58" s="66"/>
      <c r="P58" s="43"/>
      <c r="Q58" s="43"/>
      <c r="R58" s="43"/>
      <c r="S58" s="43"/>
      <c r="T58" s="43"/>
      <c r="U58" s="43"/>
    </row>
    <row r="59" spans="1:21" s="2" customFormat="1">
      <c r="A59" s="46" t="s">
        <v>772</v>
      </c>
      <c r="B59" s="50"/>
      <c r="C59" s="68">
        <v>0</v>
      </c>
      <c r="D59" s="68">
        <v>0</v>
      </c>
      <c r="E59" s="68">
        <v>0</v>
      </c>
      <c r="F59" s="68">
        <v>0</v>
      </c>
      <c r="G59" s="68">
        <v>0</v>
      </c>
      <c r="H59" s="68">
        <v>0</v>
      </c>
      <c r="I59" s="68">
        <v>0</v>
      </c>
      <c r="J59" s="68">
        <v>0</v>
      </c>
      <c r="K59" s="68">
        <v>0</v>
      </c>
      <c r="L59" s="68">
        <v>0</v>
      </c>
      <c r="M59" s="68">
        <v>0</v>
      </c>
      <c r="N59" s="68">
        <v>0</v>
      </c>
      <c r="O59" s="50"/>
      <c r="P59" s="43"/>
      <c r="Q59" s="43"/>
      <c r="R59" s="43"/>
      <c r="S59" s="43"/>
      <c r="T59" s="43"/>
      <c r="U59" s="43"/>
    </row>
    <row r="60" spans="1:21">
      <c r="A60" s="43"/>
      <c r="B60" s="61"/>
      <c r="C60" s="61"/>
      <c r="D60" s="61"/>
      <c r="E60" s="61"/>
      <c r="F60" s="61"/>
      <c r="G60" s="61"/>
      <c r="H60" s="61"/>
      <c r="I60" s="61"/>
      <c r="J60" s="61"/>
      <c r="K60" s="61"/>
      <c r="L60" s="61"/>
      <c r="M60" s="61"/>
      <c r="N60" s="61"/>
      <c r="O60" s="61"/>
      <c r="P60" s="43"/>
      <c r="Q60" s="43"/>
      <c r="R60" s="43"/>
      <c r="S60" s="43"/>
      <c r="T60" s="43"/>
      <c r="U60" s="43"/>
    </row>
    <row r="61" spans="1:21">
      <c r="A61" s="46" t="s">
        <v>648</v>
      </c>
      <c r="B61" s="331">
        <v>0.5</v>
      </c>
      <c r="C61" s="331">
        <v>0.5</v>
      </c>
      <c r="D61" s="331">
        <v>0.5</v>
      </c>
      <c r="E61" s="331">
        <v>0.5</v>
      </c>
      <c r="F61" s="331">
        <v>0.5</v>
      </c>
      <c r="G61" s="331">
        <v>0.5</v>
      </c>
      <c r="H61" s="331">
        <v>0.5</v>
      </c>
      <c r="I61" s="331">
        <v>0.5</v>
      </c>
      <c r="J61" s="331">
        <v>0.5</v>
      </c>
      <c r="K61" s="331">
        <v>0.5</v>
      </c>
      <c r="L61" s="331">
        <v>0.5</v>
      </c>
      <c r="M61" s="331">
        <v>0.5</v>
      </c>
      <c r="N61" s="331">
        <v>0.5</v>
      </c>
      <c r="O61" s="332"/>
      <c r="P61" s="43"/>
      <c r="Q61" s="43"/>
      <c r="R61" s="43"/>
      <c r="S61" s="43"/>
      <c r="T61" s="43"/>
      <c r="U61" s="43"/>
    </row>
    <row r="62" spans="1:21">
      <c r="A62" s="101" t="s">
        <v>649</v>
      </c>
      <c r="B62" s="136">
        <f t="shared" ref="B62:N62" si="14">SUM(B58:B59)*B61</f>
        <v>38800678.149102613</v>
      </c>
      <c r="C62" s="136">
        <f t="shared" si="14"/>
        <v>35723216.42177093</v>
      </c>
      <c r="D62" s="136">
        <f t="shared" si="14"/>
        <v>38565928.424821809</v>
      </c>
      <c r="E62" s="136">
        <f t="shared" si="14"/>
        <v>40379580.576386034</v>
      </c>
      <c r="F62" s="136">
        <f t="shared" si="14"/>
        <v>38281720.057638042</v>
      </c>
      <c r="G62" s="136">
        <f t="shared" si="14"/>
        <v>34646764.688809715</v>
      </c>
      <c r="H62" s="136">
        <f t="shared" si="14"/>
        <v>37164898.113207549</v>
      </c>
      <c r="I62" s="136">
        <f t="shared" si="14"/>
        <v>39896798.251034789</v>
      </c>
      <c r="J62" s="136">
        <f t="shared" si="14"/>
        <v>48265449.644379601</v>
      </c>
      <c r="K62" s="136">
        <f t="shared" si="14"/>
        <v>32637075</v>
      </c>
      <c r="L62" s="136">
        <f t="shared" si="14"/>
        <v>33952187.25</v>
      </c>
      <c r="M62" s="136">
        <f t="shared" si="14"/>
        <v>35273002.8675</v>
      </c>
      <c r="N62" s="136">
        <f t="shared" si="14"/>
        <v>37231192.953525007</v>
      </c>
      <c r="O62" s="50"/>
      <c r="P62" s="43"/>
      <c r="Q62" s="43"/>
      <c r="R62" s="43"/>
      <c r="S62" s="43"/>
      <c r="T62" s="43"/>
      <c r="U62" s="43"/>
    </row>
    <row r="63" spans="1:21">
      <c r="A63" s="43"/>
      <c r="B63" s="50"/>
      <c r="C63" s="50"/>
      <c r="D63" s="50"/>
      <c r="E63" s="50"/>
      <c r="F63" s="50"/>
      <c r="G63" s="50"/>
      <c r="H63" s="50"/>
      <c r="I63" s="50"/>
      <c r="J63" s="50"/>
      <c r="K63" s="50"/>
      <c r="L63" s="50"/>
      <c r="M63" s="50"/>
      <c r="N63" s="50"/>
      <c r="O63" s="50"/>
      <c r="P63" s="43"/>
      <c r="Q63" s="43"/>
      <c r="R63" s="43"/>
      <c r="S63" s="43"/>
      <c r="T63" s="43"/>
      <c r="U63" s="43"/>
    </row>
    <row r="64" spans="1:21">
      <c r="A64" s="46" t="s">
        <v>650</v>
      </c>
      <c r="B64" s="68">
        <v>30000000</v>
      </c>
      <c r="C64" s="68">
        <v>35000000</v>
      </c>
      <c r="D64" s="50">
        <f t="shared" ref="D64:N64" si="15">+C64</f>
        <v>35000000</v>
      </c>
      <c r="E64" s="50">
        <f t="shared" si="15"/>
        <v>35000000</v>
      </c>
      <c r="F64" s="50">
        <f t="shared" si="15"/>
        <v>35000000</v>
      </c>
      <c r="G64" s="50">
        <f t="shared" si="15"/>
        <v>35000000</v>
      </c>
      <c r="H64" s="50">
        <f t="shared" si="15"/>
        <v>35000000</v>
      </c>
      <c r="I64" s="50">
        <f t="shared" si="15"/>
        <v>35000000</v>
      </c>
      <c r="J64" s="50">
        <f t="shared" si="15"/>
        <v>35000000</v>
      </c>
      <c r="K64" s="50">
        <f t="shared" si="15"/>
        <v>35000000</v>
      </c>
      <c r="L64" s="50">
        <f t="shared" si="15"/>
        <v>35000000</v>
      </c>
      <c r="M64" s="50">
        <f t="shared" si="15"/>
        <v>35000000</v>
      </c>
      <c r="N64" s="50">
        <f t="shared" si="15"/>
        <v>35000000</v>
      </c>
      <c r="O64" s="50"/>
      <c r="P64" s="43"/>
      <c r="Q64" s="43"/>
      <c r="R64" s="43"/>
      <c r="S64" s="43"/>
      <c r="T64" s="43"/>
      <c r="U64" s="43"/>
    </row>
    <row r="65" spans="1:21">
      <c r="A65" s="46" t="s">
        <v>651</v>
      </c>
      <c r="B65" s="68">
        <v>-21801980</v>
      </c>
      <c r="C65" s="68">
        <v>-35000000</v>
      </c>
      <c r="D65" s="68">
        <v>-35000000</v>
      </c>
      <c r="E65" s="68">
        <v>-35000000</v>
      </c>
      <c r="F65" s="68">
        <v>-35000000</v>
      </c>
      <c r="G65" s="50">
        <f t="shared" ref="G65:N65" si="16">+F65</f>
        <v>-35000000</v>
      </c>
      <c r="H65" s="50">
        <f t="shared" si="16"/>
        <v>-35000000</v>
      </c>
      <c r="I65" s="50">
        <f t="shared" si="16"/>
        <v>-35000000</v>
      </c>
      <c r="J65" s="50">
        <f t="shared" si="16"/>
        <v>-35000000</v>
      </c>
      <c r="K65" s="50">
        <f t="shared" si="16"/>
        <v>-35000000</v>
      </c>
      <c r="L65" s="50">
        <f t="shared" si="16"/>
        <v>-35000000</v>
      </c>
      <c r="M65" s="50">
        <f t="shared" si="16"/>
        <v>-35000000</v>
      </c>
      <c r="N65" s="50">
        <f t="shared" si="16"/>
        <v>-35000000</v>
      </c>
      <c r="O65" s="50"/>
      <c r="P65" s="43"/>
      <c r="Q65" s="43"/>
      <c r="R65" s="43"/>
      <c r="S65" s="43"/>
      <c r="T65" s="43"/>
      <c r="U65" s="43"/>
    </row>
    <row r="66" spans="1:21">
      <c r="A66" s="46" t="s">
        <v>773</v>
      </c>
      <c r="B66" s="50">
        <f t="shared" ref="B66:N66" si="17">+B64+B65</f>
        <v>8198020</v>
      </c>
      <c r="C66" s="50">
        <f t="shared" si="17"/>
        <v>0</v>
      </c>
      <c r="D66" s="50">
        <f t="shared" si="17"/>
        <v>0</v>
      </c>
      <c r="E66" s="50">
        <f t="shared" si="17"/>
        <v>0</v>
      </c>
      <c r="F66" s="50">
        <f t="shared" si="17"/>
        <v>0</v>
      </c>
      <c r="G66" s="50">
        <f t="shared" si="17"/>
        <v>0</v>
      </c>
      <c r="H66" s="50">
        <f t="shared" si="17"/>
        <v>0</v>
      </c>
      <c r="I66" s="50">
        <f t="shared" si="17"/>
        <v>0</v>
      </c>
      <c r="J66" s="50">
        <f t="shared" si="17"/>
        <v>0</v>
      </c>
      <c r="K66" s="50">
        <f t="shared" si="17"/>
        <v>0</v>
      </c>
      <c r="L66" s="50">
        <f t="shared" si="17"/>
        <v>0</v>
      </c>
      <c r="M66" s="50">
        <f t="shared" si="17"/>
        <v>0</v>
      </c>
      <c r="N66" s="50">
        <f t="shared" si="17"/>
        <v>0</v>
      </c>
      <c r="O66" s="50"/>
      <c r="P66" s="43"/>
      <c r="Q66" s="43"/>
      <c r="R66" s="43"/>
      <c r="S66" s="43"/>
      <c r="T66" s="43"/>
      <c r="U66" s="43"/>
    </row>
    <row r="67" spans="1:21">
      <c r="A67" s="46" t="s">
        <v>774</v>
      </c>
      <c r="B67" s="50"/>
      <c r="C67" s="50"/>
      <c r="D67" s="50"/>
      <c r="E67" s="50"/>
      <c r="F67" s="50"/>
      <c r="G67" s="50"/>
      <c r="H67" s="50"/>
      <c r="I67" s="50"/>
      <c r="J67" s="50"/>
      <c r="K67" s="50"/>
      <c r="L67" s="50"/>
      <c r="M67" s="50"/>
      <c r="N67" s="50"/>
      <c r="O67" s="50"/>
      <c r="P67" s="43"/>
      <c r="Q67" s="43"/>
      <c r="R67" s="43"/>
      <c r="S67" s="43"/>
      <c r="T67" s="43"/>
      <c r="U67" s="43"/>
    </row>
    <row r="68" spans="1:21">
      <c r="A68" s="46" t="s">
        <v>775</v>
      </c>
      <c r="B68" s="68">
        <v>0</v>
      </c>
      <c r="C68" s="68">
        <v>0</v>
      </c>
      <c r="D68" s="68">
        <v>0</v>
      </c>
      <c r="E68" s="50"/>
      <c r="F68" s="50"/>
      <c r="G68" s="50"/>
      <c r="H68" s="68">
        <v>0</v>
      </c>
      <c r="I68" s="68">
        <v>0</v>
      </c>
      <c r="J68" s="68">
        <v>0</v>
      </c>
      <c r="K68" s="68">
        <v>0</v>
      </c>
      <c r="L68" s="68">
        <v>0</v>
      </c>
      <c r="M68" s="68">
        <v>0</v>
      </c>
      <c r="N68" s="68">
        <v>0</v>
      </c>
      <c r="O68" s="50"/>
      <c r="P68" s="43"/>
      <c r="Q68" s="43"/>
      <c r="R68" s="43"/>
      <c r="S68" s="43"/>
      <c r="T68" s="43"/>
      <c r="U68" s="43"/>
    </row>
    <row r="69" spans="1:21">
      <c r="A69" s="43"/>
      <c r="B69" s="50"/>
      <c r="C69" s="50"/>
      <c r="D69" s="50"/>
      <c r="E69" s="50"/>
      <c r="F69" s="50"/>
      <c r="G69" s="50"/>
      <c r="H69" s="50"/>
      <c r="I69" s="50"/>
      <c r="J69" s="50"/>
      <c r="K69" s="50"/>
      <c r="L69" s="50"/>
      <c r="M69" s="50"/>
      <c r="N69" s="50"/>
      <c r="O69" s="50"/>
      <c r="P69" s="43"/>
      <c r="Q69" s="43"/>
      <c r="R69" s="43"/>
      <c r="S69" s="43"/>
      <c r="T69" s="43"/>
      <c r="U69" s="43"/>
    </row>
    <row r="70" spans="1:21" ht="14.65" customHeight="1" thickBot="1">
      <c r="A70" s="101" t="s">
        <v>652</v>
      </c>
      <c r="B70" s="141">
        <f t="shared" ref="B70:N70" si="18">+B62-SUM(B66:B68)+B75</f>
        <v>30602658.149102613</v>
      </c>
      <c r="C70" s="141">
        <f t="shared" si="18"/>
        <v>35723216.42177093</v>
      </c>
      <c r="D70" s="141">
        <f t="shared" si="18"/>
        <v>38565928.424821809</v>
      </c>
      <c r="E70" s="141">
        <f t="shared" si="18"/>
        <v>40379580.576386034</v>
      </c>
      <c r="F70" s="141">
        <f t="shared" si="18"/>
        <v>40032700.798691444</v>
      </c>
      <c r="G70" s="141">
        <f t="shared" si="18"/>
        <v>36265000.089758396</v>
      </c>
      <c r="H70" s="141">
        <f t="shared" si="18"/>
        <v>38900747.169811323</v>
      </c>
      <c r="I70" s="141">
        <f t="shared" si="18"/>
        <v>41760245.297078438</v>
      </c>
      <c r="J70" s="141">
        <f t="shared" si="18"/>
        <v>50265874.093843371</v>
      </c>
      <c r="K70" s="141">
        <f t="shared" si="18"/>
        <v>32637075</v>
      </c>
      <c r="L70" s="141">
        <f t="shared" si="18"/>
        <v>33952187.25</v>
      </c>
      <c r="M70" s="141">
        <f t="shared" si="18"/>
        <v>35273002.8675</v>
      </c>
      <c r="N70" s="141">
        <f t="shared" si="18"/>
        <v>37231192.953525007</v>
      </c>
      <c r="O70" s="50"/>
      <c r="P70" s="43"/>
      <c r="Q70" s="43"/>
      <c r="R70" s="43"/>
      <c r="S70" s="43"/>
      <c r="T70" s="43"/>
      <c r="U70" s="43"/>
    </row>
    <row r="71" spans="1:21">
      <c r="A71" s="46" t="s">
        <v>591</v>
      </c>
      <c r="B71" s="50"/>
      <c r="C71" s="50"/>
      <c r="D71" s="50"/>
      <c r="E71" s="50"/>
      <c r="F71" s="50"/>
      <c r="G71" s="50"/>
      <c r="H71" s="50"/>
      <c r="I71" s="50"/>
      <c r="J71" s="299">
        <f>((J70+SUM($G$29:J29))/$G$70)^(365/(J1-$G$1))-1</f>
        <v>0.5029891114971623</v>
      </c>
      <c r="K71" s="299">
        <f>((K70+K29)/J70)^(365/(K1-J1))-1</f>
        <v>6.137573595131296E-2</v>
      </c>
      <c r="L71" s="299">
        <f>((L70+L29)/K70)^(365/(L1-K1))-1</f>
        <v>4.0182761599024897E-2</v>
      </c>
      <c r="M71" s="299">
        <f>((M70+M29)/L70)^(365/(M1-L1))-1</f>
        <v>6.7952997234839607E-2</v>
      </c>
      <c r="N71" s="299">
        <f>((N70+N29)/M70)^(365/(N1-M1))-1</f>
        <v>9.4391654108154643E-2</v>
      </c>
      <c r="O71" s="50"/>
      <c r="P71" s="43"/>
      <c r="Q71" s="43"/>
      <c r="R71" s="43"/>
      <c r="S71" s="43"/>
      <c r="T71" s="43"/>
      <c r="U71" s="43"/>
    </row>
    <row r="72" spans="1:21">
      <c r="A72" s="300" t="s">
        <v>592</v>
      </c>
      <c r="B72" s="50"/>
      <c r="C72" s="50"/>
      <c r="D72" s="50"/>
      <c r="E72" s="50"/>
      <c r="F72" s="50"/>
      <c r="G72" s="50"/>
      <c r="H72" s="50"/>
      <c r="I72" s="50"/>
      <c r="J72" s="302">
        <f>XIRR(CHOOSE({1,2,3,4,5},-$G$70,$G$29,$H$29,$I$29,J29+J70),CHOOSE({1,2,3,4,5},$G$1,$G$1,$H$1,$I$1,J1))</f>
        <v>0.49766618609428404</v>
      </c>
      <c r="K72" s="302">
        <f>XIRR(CHOOSE({1,2,3,4,5,6},-$G$70,$G$29,$H$29,$I$29,$J$29,$K$29+K70),CHOOSE({1,2,3,4,5,6},$G$1,$G$1,$H$1,$I$1,$J$1,K1))</f>
        <v>0.22928732037544255</v>
      </c>
      <c r="L72" s="302">
        <f>XIRR(CHOOSE({1,2,3,4,5,6,7},-$G$70,$G$29,$H$29,$I$29,$J$29,$K$29,L29+L70),CHOOSE({1,2,3,4,5,6,7},$G$1,$G$1,$H$1,$I$1,$J$1,$K$1,L1))</f>
        <v>0.17790673375129704</v>
      </c>
      <c r="M72" s="302">
        <f>XIRR(CHOOSE({1,2,3,4,5,6,7,8},-$G$70,$G$29,$H$29,$I$29,$J$29,$K$29,$L$29,M29+M70),CHOOSE({1,2,3,4,5,6,7,8},$G$1,$G$1,$H$1,$I$1,$J$1,$K$1,$L$1,M1))</f>
        <v>0.15520626902580265</v>
      </c>
      <c r="N72" s="302">
        <f>XIRR(CHOOSE({1,2,3,4,5,6,7,8,9},-$G$70,$G$29,$H$29,$I$29,$J$29,$K$29,$L$29,$M$29,N29+N70),CHOOSE({1,2,3,4,5,6,7,8,9},$G$1,$G$1,$H$1,$I$1,$J$1,$K$1,$L$1,$M$1,N1))</f>
        <v>0.14523409008979804</v>
      </c>
      <c r="O72" s="50"/>
      <c r="P72" s="43"/>
      <c r="Q72" s="43"/>
      <c r="R72" s="43"/>
      <c r="S72" s="43"/>
      <c r="T72" s="43"/>
      <c r="U72" s="43"/>
    </row>
    <row r="73" spans="1:21">
      <c r="A73" s="43"/>
      <c r="B73" s="50"/>
      <c r="C73" s="50"/>
      <c r="D73" s="50"/>
      <c r="E73" s="50"/>
      <c r="F73" s="50"/>
      <c r="G73" s="50"/>
      <c r="H73" s="50"/>
      <c r="I73" s="50"/>
      <c r="J73" s="50"/>
      <c r="K73" s="339"/>
      <c r="L73" s="50"/>
      <c r="M73" s="50"/>
      <c r="N73" s="339"/>
      <c r="O73" s="50"/>
      <c r="P73" s="43"/>
      <c r="Q73" s="43"/>
      <c r="R73" s="43"/>
      <c r="S73" s="43"/>
      <c r="T73" s="43"/>
      <c r="U73" s="43"/>
    </row>
    <row r="74" spans="1:21" s="2" customFormat="1">
      <c r="A74" s="46" t="s">
        <v>776</v>
      </c>
      <c r="B74" s="50"/>
      <c r="C74" s="50"/>
      <c r="D74" s="50"/>
      <c r="E74" s="50"/>
      <c r="F74" s="68">
        <v>2300000</v>
      </c>
      <c r="G74" s="68">
        <v>2300000</v>
      </c>
      <c r="H74" s="68">
        <v>2300000</v>
      </c>
      <c r="I74" s="68">
        <v>2300000</v>
      </c>
      <c r="J74" s="68">
        <v>2300000</v>
      </c>
      <c r="K74" s="50"/>
      <c r="L74" s="50"/>
      <c r="M74" s="50"/>
      <c r="N74" s="50"/>
      <c r="O74" s="67" t="s">
        <v>777</v>
      </c>
      <c r="P74" s="50"/>
      <c r="Q74" s="59"/>
      <c r="R74" s="321"/>
      <c r="S74" s="321"/>
      <c r="T74" s="321"/>
      <c r="U74" s="59"/>
    </row>
    <row r="75" spans="1:21">
      <c r="A75" s="101" t="s">
        <v>778</v>
      </c>
      <c r="B75" s="50"/>
      <c r="C75" s="50"/>
      <c r="D75" s="50"/>
      <c r="E75" s="50"/>
      <c r="F75" s="137">
        <f>+F74/(1+F49)^F50</f>
        <v>1750980.7410533992</v>
      </c>
      <c r="G75" s="137">
        <f>+G74/(1+G49)^G50</f>
        <v>1618235.4009486807</v>
      </c>
      <c r="H75" s="137">
        <f>+H74/(1+H49)^H50</f>
        <v>1735849.0566037737</v>
      </c>
      <c r="I75" s="137">
        <f>+I74/(1+I49)^I50</f>
        <v>1863447.0460436498</v>
      </c>
      <c r="J75" s="137">
        <f>+J74/(1+J49)^J50</f>
        <v>2000424.4494637675</v>
      </c>
      <c r="K75" s="50"/>
      <c r="L75" s="50"/>
      <c r="M75" s="50"/>
      <c r="N75" s="282"/>
      <c r="O75" s="50"/>
      <c r="P75" s="43"/>
      <c r="Q75" s="43"/>
      <c r="R75" s="43"/>
      <c r="S75" s="43"/>
      <c r="T75" s="43"/>
      <c r="U75" s="43"/>
    </row>
    <row r="76" spans="1:21">
      <c r="A76" s="43"/>
      <c r="B76" s="50"/>
      <c r="C76" s="50"/>
      <c r="D76" s="50"/>
      <c r="E76" s="50"/>
      <c r="F76" s="50"/>
      <c r="G76" s="50"/>
      <c r="H76" s="50"/>
      <c r="I76" s="50"/>
      <c r="J76" s="50"/>
      <c r="K76" s="50"/>
      <c r="L76" s="50"/>
      <c r="M76" s="50"/>
      <c r="N76" s="50"/>
      <c r="O76" s="50"/>
      <c r="P76" s="43"/>
      <c r="Q76" s="43"/>
      <c r="R76" s="43"/>
      <c r="S76" s="43"/>
      <c r="T76" s="43"/>
      <c r="U76" s="43"/>
    </row>
    <row r="77" spans="1:21">
      <c r="A77" s="43"/>
      <c r="B77" s="43"/>
      <c r="C77" s="43"/>
      <c r="D77" s="43"/>
      <c r="E77" s="50"/>
      <c r="F77" s="50"/>
      <c r="G77" s="43"/>
      <c r="H77" s="50"/>
      <c r="I77" s="50"/>
      <c r="J77" s="50"/>
      <c r="K77" s="50"/>
      <c r="L77" s="50"/>
      <c r="M77" s="50"/>
      <c r="N77" s="50"/>
      <c r="O77" s="50"/>
      <c r="P77" s="43"/>
      <c r="Q77" s="43"/>
      <c r="R77" s="43"/>
      <c r="S77" s="43"/>
      <c r="T77" s="43"/>
      <c r="U77" s="43"/>
    </row>
    <row r="78" spans="1:21">
      <c r="A78" s="43"/>
      <c r="B78" s="43"/>
      <c r="C78" s="43"/>
      <c r="D78" s="43"/>
      <c r="E78" s="50"/>
      <c r="F78" s="50"/>
      <c r="G78" s="43"/>
      <c r="H78" s="50"/>
      <c r="I78" s="50"/>
      <c r="J78" s="50"/>
      <c r="K78" s="50"/>
      <c r="L78" s="50"/>
      <c r="M78" s="50"/>
      <c r="N78" s="50"/>
      <c r="O78" s="50"/>
      <c r="P78" s="43"/>
      <c r="Q78" s="43"/>
      <c r="R78" s="43"/>
      <c r="S78" s="43"/>
      <c r="T78" s="43"/>
      <c r="U78" s="43"/>
    </row>
    <row r="79" spans="1:21">
      <c r="A79" s="43"/>
      <c r="B79" s="43"/>
      <c r="C79" s="43"/>
      <c r="D79" s="43"/>
      <c r="E79" s="43"/>
      <c r="F79" s="43"/>
      <c r="G79" s="43"/>
      <c r="H79" s="50"/>
      <c r="I79" s="50"/>
      <c r="J79" s="50"/>
      <c r="K79" s="50"/>
      <c r="L79" s="50"/>
      <c r="M79" s="50"/>
      <c r="N79" s="50"/>
      <c r="O79" s="50"/>
      <c r="P79" s="43"/>
      <c r="Q79" s="43"/>
      <c r="R79" s="43"/>
      <c r="S79" s="43"/>
      <c r="T79" s="43"/>
      <c r="U79" s="43"/>
    </row>
    <row r="80" spans="1:21">
      <c r="A80" s="43"/>
      <c r="B80" s="43"/>
      <c r="C80" s="43"/>
      <c r="D80" s="43"/>
      <c r="E80" s="43"/>
      <c r="F80" s="43"/>
      <c r="G80" s="43"/>
      <c r="H80" s="50"/>
      <c r="I80" s="50"/>
      <c r="J80" s="50"/>
      <c r="K80" s="50"/>
      <c r="L80" s="50"/>
      <c r="M80" s="50"/>
      <c r="N80" s="50"/>
      <c r="O80" s="50"/>
      <c r="P80" s="43"/>
      <c r="Q80" s="43"/>
      <c r="R80" s="43"/>
      <c r="S80" s="43"/>
      <c r="T80" s="43"/>
      <c r="U80" s="43"/>
    </row>
    <row r="81" spans="1:21">
      <c r="A81" s="43"/>
      <c r="B81" s="43"/>
      <c r="C81" s="43"/>
      <c r="D81" s="43"/>
      <c r="E81" s="43"/>
      <c r="F81" s="43"/>
      <c r="G81" s="43"/>
      <c r="H81" s="50"/>
      <c r="I81" s="50"/>
      <c r="J81" s="50"/>
      <c r="K81" s="50"/>
      <c r="L81" s="50"/>
      <c r="M81" s="50"/>
      <c r="N81" s="50"/>
      <c r="O81" s="50"/>
      <c r="P81" s="43"/>
      <c r="Q81" s="43"/>
      <c r="R81" s="43"/>
      <c r="S81" s="43"/>
      <c r="T81" s="43"/>
      <c r="U81" s="43"/>
    </row>
    <row r="82" spans="1:21" s="22" customFormat="1" ht="15.65" customHeight="1">
      <c r="A82" s="43"/>
      <c r="B82" s="334">
        <f t="shared" ref="B82:N82" si="19">+B1</f>
        <v>45657</v>
      </c>
      <c r="C82" s="334">
        <f t="shared" si="19"/>
        <v>45747</v>
      </c>
      <c r="D82" s="334">
        <f t="shared" si="19"/>
        <v>45838</v>
      </c>
      <c r="E82" s="334">
        <f t="shared" si="19"/>
        <v>45930</v>
      </c>
      <c r="F82" s="334">
        <f t="shared" si="19"/>
        <v>46022</v>
      </c>
      <c r="G82" s="334">
        <f t="shared" si="19"/>
        <v>46112</v>
      </c>
      <c r="H82" s="334">
        <f t="shared" si="19"/>
        <v>46203</v>
      </c>
      <c r="I82" s="334">
        <f t="shared" si="19"/>
        <v>46295</v>
      </c>
      <c r="J82" s="334">
        <f t="shared" si="19"/>
        <v>46387</v>
      </c>
      <c r="K82" s="334">
        <f t="shared" si="19"/>
        <v>46752</v>
      </c>
      <c r="L82" s="334">
        <f t="shared" si="19"/>
        <v>47118</v>
      </c>
      <c r="M82" s="334">
        <f t="shared" si="19"/>
        <v>47483</v>
      </c>
      <c r="N82" s="334">
        <f t="shared" si="19"/>
        <v>47848</v>
      </c>
      <c r="O82" s="43"/>
      <c r="P82" s="43"/>
      <c r="Q82" s="43"/>
      <c r="R82" s="43"/>
      <c r="S82" s="43"/>
      <c r="T82" s="43"/>
      <c r="U82" s="43"/>
    </row>
    <row r="83" spans="1:21" s="22" customFormat="1" ht="15.65" customHeight="1">
      <c r="A83" s="222" t="s">
        <v>653</v>
      </c>
      <c r="B83" s="335" t="str">
        <f t="shared" ref="B83:N83" si="20">+B2</f>
        <v>Q4</v>
      </c>
      <c r="C83" s="335" t="str">
        <f t="shared" si="20"/>
        <v>Q1</v>
      </c>
      <c r="D83" s="335" t="str">
        <f t="shared" si="20"/>
        <v>Q2</v>
      </c>
      <c r="E83" s="335" t="str">
        <f t="shared" si="20"/>
        <v>Q3</v>
      </c>
      <c r="F83" s="335" t="str">
        <f t="shared" si="20"/>
        <v>Q4</v>
      </c>
      <c r="G83" s="335" t="str">
        <f t="shared" si="20"/>
        <v>Q1</v>
      </c>
      <c r="H83" s="335" t="str">
        <f t="shared" si="20"/>
        <v>Q2</v>
      </c>
      <c r="I83" s="335" t="str">
        <f t="shared" si="20"/>
        <v>Q3</v>
      </c>
      <c r="J83" s="335" t="str">
        <f t="shared" si="20"/>
        <v>Q4</v>
      </c>
      <c r="K83" s="335" t="str">
        <f t="shared" si="20"/>
        <v>Q4</v>
      </c>
      <c r="L83" s="335" t="str">
        <f t="shared" si="20"/>
        <v>Q4</v>
      </c>
      <c r="M83" s="335" t="str">
        <f t="shared" si="20"/>
        <v>Q4</v>
      </c>
      <c r="N83" s="335" t="str">
        <f t="shared" si="20"/>
        <v>Q4</v>
      </c>
      <c r="O83" s="43"/>
      <c r="P83" s="43"/>
      <c r="Q83" s="43"/>
      <c r="R83" s="43"/>
      <c r="S83" s="43"/>
      <c r="T83" s="43"/>
      <c r="U83" s="43"/>
    </row>
    <row r="84" spans="1:21">
      <c r="A84" s="46" t="s">
        <v>654</v>
      </c>
      <c r="B84" s="50">
        <f>201500000</f>
        <v>201500000</v>
      </c>
      <c r="C84" s="50">
        <f>201500000</f>
        <v>201500000</v>
      </c>
      <c r="D84" s="50">
        <f>201500000</f>
        <v>201500000</v>
      </c>
      <c r="E84" s="50">
        <f>201500000</f>
        <v>201500000</v>
      </c>
      <c r="F84" s="50">
        <f>217000000</f>
        <v>217000000</v>
      </c>
      <c r="G84" s="50">
        <f>217000000</f>
        <v>217000000</v>
      </c>
      <c r="H84" s="50">
        <f>217000000</f>
        <v>217000000</v>
      </c>
      <c r="I84" s="50">
        <f>217000000</f>
        <v>217000000</v>
      </c>
      <c r="J84" s="50">
        <f>217000000</f>
        <v>217000000</v>
      </c>
      <c r="K84" s="50"/>
      <c r="L84" s="43"/>
      <c r="M84" s="43"/>
      <c r="N84" s="43"/>
      <c r="O84" s="43"/>
      <c r="P84" s="43"/>
      <c r="Q84" s="43"/>
      <c r="R84" s="43"/>
      <c r="S84" s="43"/>
      <c r="T84" s="43"/>
      <c r="U84" s="43"/>
    </row>
    <row r="85" spans="1:21">
      <c r="A85" s="46" t="s">
        <v>655</v>
      </c>
      <c r="B85" s="68">
        <v>-5500000</v>
      </c>
      <c r="C85" s="68">
        <v>-5500000</v>
      </c>
      <c r="D85" s="68">
        <v>-5500000</v>
      </c>
      <c r="E85" s="68">
        <v>-5500000</v>
      </c>
      <c r="F85" s="68">
        <v>-5500000</v>
      </c>
      <c r="G85" s="68">
        <v>-5500000</v>
      </c>
      <c r="H85" s="68">
        <v>-5500000</v>
      </c>
      <c r="I85" s="68">
        <v>-5500000</v>
      </c>
      <c r="J85" s="68">
        <v>-5500000</v>
      </c>
      <c r="K85" s="50"/>
      <c r="L85" s="43"/>
      <c r="M85" s="43"/>
      <c r="N85" s="43"/>
      <c r="O85" s="43"/>
      <c r="P85" s="43"/>
      <c r="Q85" s="43"/>
      <c r="R85" s="43"/>
      <c r="S85" s="43"/>
      <c r="T85" s="43"/>
      <c r="U85" s="43"/>
    </row>
    <row r="86" spans="1:21">
      <c r="A86" s="46" t="s">
        <v>189</v>
      </c>
      <c r="B86" s="68">
        <v>30000000</v>
      </c>
      <c r="C86" s="68">
        <v>30000000</v>
      </c>
      <c r="D86" s="68">
        <v>30000000</v>
      </c>
      <c r="E86" s="68">
        <v>30000000</v>
      </c>
      <c r="F86" s="68">
        <v>35000000</v>
      </c>
      <c r="G86" s="68">
        <v>35000000</v>
      </c>
      <c r="H86" s="68">
        <v>35000000</v>
      </c>
      <c r="I86" s="68">
        <v>35000000</v>
      </c>
      <c r="J86" s="68">
        <v>35000000</v>
      </c>
      <c r="K86" s="50"/>
      <c r="L86" s="43"/>
      <c r="M86" s="43"/>
      <c r="N86" s="43"/>
      <c r="O86" s="43"/>
      <c r="P86" s="43"/>
      <c r="Q86" s="43"/>
      <c r="R86" s="43"/>
      <c r="S86" s="43"/>
      <c r="T86" s="43"/>
      <c r="U86" s="43"/>
    </row>
    <row r="87" spans="1:21">
      <c r="A87" s="46" t="s">
        <v>779</v>
      </c>
      <c r="B87" s="68">
        <v>30000000</v>
      </c>
      <c r="C87" s="68">
        <v>30000000</v>
      </c>
      <c r="D87" s="68">
        <v>30000000</v>
      </c>
      <c r="E87" s="68">
        <v>30000000</v>
      </c>
      <c r="F87" s="68">
        <v>30000000</v>
      </c>
      <c r="G87" s="68">
        <v>30000000</v>
      </c>
      <c r="H87" s="68">
        <v>30000000</v>
      </c>
      <c r="I87" s="68">
        <v>30000000</v>
      </c>
      <c r="J87" s="68">
        <v>30000000</v>
      </c>
      <c r="K87" s="50"/>
      <c r="L87" s="43"/>
      <c r="M87" s="43"/>
      <c r="N87" s="43"/>
      <c r="O87" s="43"/>
      <c r="P87" s="43"/>
      <c r="Q87" s="43"/>
      <c r="R87" s="43"/>
      <c r="S87" s="43"/>
      <c r="T87" s="43"/>
      <c r="U87" s="43"/>
    </row>
    <row r="88" spans="1:21">
      <c r="A88" s="46" t="s">
        <v>658</v>
      </c>
      <c r="B88" s="50">
        <f>22500000</f>
        <v>22500000</v>
      </c>
      <c r="C88" s="50">
        <f>22500000</f>
        <v>22500000</v>
      </c>
      <c r="D88" s="50">
        <f>22500000</f>
        <v>22500000</v>
      </c>
      <c r="E88" s="50">
        <f>22500000</f>
        <v>22500000</v>
      </c>
      <c r="F88" s="68">
        <v>33000000</v>
      </c>
      <c r="G88" s="68">
        <v>33000000</v>
      </c>
      <c r="H88" s="68">
        <v>33000000</v>
      </c>
      <c r="I88" s="68">
        <v>33000000</v>
      </c>
      <c r="J88" s="68">
        <v>33000000</v>
      </c>
      <c r="K88" s="50"/>
      <c r="L88" s="43"/>
      <c r="M88" s="43"/>
      <c r="N88" s="43"/>
      <c r="O88" s="43"/>
      <c r="P88" s="43"/>
      <c r="Q88" s="43"/>
      <c r="R88" s="43"/>
      <c r="S88" s="43"/>
      <c r="T88" s="43"/>
      <c r="U88" s="43"/>
    </row>
    <row r="89" spans="1:21">
      <c r="A89" s="46" t="s">
        <v>660</v>
      </c>
      <c r="B89" s="50">
        <f t="shared" ref="B89:J89" si="21">+B84-SUM(B86:B88)+B85</f>
        <v>113500000</v>
      </c>
      <c r="C89" s="50">
        <f t="shared" si="21"/>
        <v>113500000</v>
      </c>
      <c r="D89" s="50">
        <f t="shared" si="21"/>
        <v>113500000</v>
      </c>
      <c r="E89" s="50">
        <f t="shared" si="21"/>
        <v>113500000</v>
      </c>
      <c r="F89" s="50">
        <f t="shared" si="21"/>
        <v>113500000</v>
      </c>
      <c r="G89" s="50">
        <f t="shared" si="21"/>
        <v>113500000</v>
      </c>
      <c r="H89" s="50">
        <f t="shared" si="21"/>
        <v>113500000</v>
      </c>
      <c r="I89" s="50">
        <f t="shared" si="21"/>
        <v>113500000</v>
      </c>
      <c r="J89" s="50">
        <f t="shared" si="21"/>
        <v>113500000</v>
      </c>
      <c r="K89" s="50"/>
      <c r="L89" s="43"/>
      <c r="M89" s="43"/>
      <c r="N89" s="43"/>
      <c r="O89" s="43"/>
      <c r="P89" s="43"/>
      <c r="Q89" s="43"/>
      <c r="R89" s="43"/>
      <c r="S89" s="43"/>
      <c r="T89" s="43"/>
      <c r="U89" s="43"/>
    </row>
    <row r="90" spans="1:21">
      <c r="A90" s="43"/>
      <c r="B90" s="43"/>
      <c r="C90" s="43"/>
      <c r="D90" s="43"/>
      <c r="E90" s="43"/>
      <c r="F90" s="43"/>
      <c r="G90" s="43"/>
      <c r="H90" s="43"/>
      <c r="I90" s="43"/>
      <c r="J90" s="43"/>
      <c r="K90" s="43"/>
      <c r="L90" s="43"/>
      <c r="M90" s="43"/>
      <c r="N90" s="43"/>
      <c r="O90" s="43"/>
      <c r="P90" s="43"/>
      <c r="Q90" s="43"/>
      <c r="R90" s="43"/>
      <c r="S90" s="43"/>
      <c r="T90" s="43"/>
      <c r="U90" s="43"/>
    </row>
    <row r="91" spans="1:21">
      <c r="A91" s="46" t="s">
        <v>661</v>
      </c>
      <c r="B91" s="68">
        <v>150414873.8634868</v>
      </c>
      <c r="C91" s="68">
        <v>150414873.8634868</v>
      </c>
      <c r="D91" s="68">
        <v>150414873.8634868</v>
      </c>
      <c r="E91" s="68">
        <v>150414873.8634868</v>
      </c>
      <c r="F91" s="68">
        <v>150414873.8634868</v>
      </c>
      <c r="G91" s="68">
        <v>148331980</v>
      </c>
      <c r="H91" s="68">
        <v>148331980</v>
      </c>
      <c r="I91" s="68">
        <v>148331980</v>
      </c>
      <c r="J91" s="68">
        <v>148331980</v>
      </c>
      <c r="K91" s="50"/>
      <c r="L91" s="43"/>
      <c r="M91" s="43"/>
      <c r="N91" s="43"/>
      <c r="O91" s="43"/>
      <c r="P91" s="43"/>
      <c r="Q91" s="43"/>
      <c r="R91" s="43"/>
      <c r="S91" s="43"/>
      <c r="T91" s="43"/>
      <c r="U91" s="43"/>
    </row>
    <row r="92" spans="1:21">
      <c r="A92" s="46" t="s">
        <v>662</v>
      </c>
      <c r="B92" s="55">
        <f t="shared" ref="B92:J92" si="22">+B91-B88</f>
        <v>127914873.8634868</v>
      </c>
      <c r="C92" s="55">
        <f t="shared" si="22"/>
        <v>127914873.8634868</v>
      </c>
      <c r="D92" s="55">
        <f t="shared" si="22"/>
        <v>127914873.8634868</v>
      </c>
      <c r="E92" s="55">
        <f t="shared" si="22"/>
        <v>127914873.8634868</v>
      </c>
      <c r="F92" s="55">
        <f t="shared" si="22"/>
        <v>117414873.8634868</v>
      </c>
      <c r="G92" s="55">
        <f t="shared" si="22"/>
        <v>115331980</v>
      </c>
      <c r="H92" s="55">
        <f t="shared" si="22"/>
        <v>115331980</v>
      </c>
      <c r="I92" s="55">
        <f t="shared" si="22"/>
        <v>115331980</v>
      </c>
      <c r="J92" s="55">
        <f t="shared" si="22"/>
        <v>115331980</v>
      </c>
      <c r="K92" s="55"/>
      <c r="L92" s="43"/>
      <c r="M92" s="43"/>
      <c r="N92" s="43"/>
      <c r="O92" s="43"/>
      <c r="P92" s="43"/>
      <c r="Q92" s="43"/>
      <c r="R92" s="43"/>
      <c r="S92" s="43"/>
      <c r="T92" s="43"/>
      <c r="U92" s="43"/>
    </row>
    <row r="93" spans="1:21">
      <c r="A93" s="43"/>
      <c r="B93" s="43"/>
      <c r="C93" s="43"/>
      <c r="D93" s="43"/>
      <c r="E93" s="43"/>
      <c r="F93" s="43"/>
      <c r="G93" s="43"/>
      <c r="H93" s="43"/>
      <c r="I93" s="43"/>
      <c r="J93" s="43"/>
      <c r="K93" s="43"/>
      <c r="L93" s="43"/>
      <c r="M93" s="43"/>
      <c r="N93" s="43"/>
      <c r="O93" s="43"/>
      <c r="P93" s="43"/>
      <c r="Q93" s="43"/>
      <c r="R93" s="43"/>
      <c r="S93" s="43"/>
      <c r="T93" s="43"/>
      <c r="U93" s="43"/>
    </row>
    <row r="94" spans="1:21">
      <c r="A94" s="46" t="s">
        <v>663</v>
      </c>
      <c r="B94" s="55">
        <f t="shared" ref="B94:J94" si="23">+B92-B89</f>
        <v>14414873.863486797</v>
      </c>
      <c r="C94" s="55">
        <f t="shared" si="23"/>
        <v>14414873.863486797</v>
      </c>
      <c r="D94" s="55">
        <f t="shared" si="23"/>
        <v>14414873.863486797</v>
      </c>
      <c r="E94" s="55">
        <f t="shared" si="23"/>
        <v>14414873.863486797</v>
      </c>
      <c r="F94" s="55">
        <f t="shared" si="23"/>
        <v>3914873.8634867966</v>
      </c>
      <c r="G94" s="55">
        <f t="shared" si="23"/>
        <v>1831980</v>
      </c>
      <c r="H94" s="55">
        <f t="shared" si="23"/>
        <v>1831980</v>
      </c>
      <c r="I94" s="55">
        <f t="shared" si="23"/>
        <v>1831980</v>
      </c>
      <c r="J94" s="55">
        <f t="shared" si="23"/>
        <v>1831980</v>
      </c>
      <c r="K94" s="55"/>
      <c r="L94" s="43"/>
      <c r="M94" s="43"/>
      <c r="N94" s="43"/>
      <c r="O94" s="43"/>
      <c r="P94" s="43"/>
      <c r="Q94" s="43"/>
      <c r="R94" s="43"/>
      <c r="S94" s="43"/>
      <c r="T94" s="43"/>
      <c r="U94" s="43"/>
    </row>
    <row r="95" spans="1:21">
      <c r="A95" s="43"/>
      <c r="B95" s="43"/>
      <c r="C95" s="43"/>
      <c r="D95" s="43"/>
      <c r="E95" s="43"/>
      <c r="F95" s="43"/>
      <c r="G95" s="43"/>
      <c r="H95" s="43"/>
      <c r="I95" s="43"/>
      <c r="J95" s="43"/>
      <c r="K95" s="43"/>
      <c r="L95" s="43"/>
      <c r="M95" s="43"/>
      <c r="N95" s="43"/>
      <c r="O95" s="43"/>
      <c r="P95" s="43"/>
      <c r="Q95" s="43"/>
      <c r="R95" s="43"/>
      <c r="S95" s="43"/>
      <c r="T95" s="43"/>
      <c r="U95" s="43"/>
    </row>
    <row r="96" spans="1:21">
      <c r="A96" s="43"/>
      <c r="B96" s="43"/>
      <c r="C96" s="43"/>
      <c r="D96" s="43"/>
      <c r="E96" s="43"/>
      <c r="F96" s="43"/>
      <c r="G96" s="43"/>
      <c r="H96" s="43"/>
      <c r="I96" s="43"/>
      <c r="J96" s="43"/>
      <c r="K96" s="43"/>
      <c r="L96" s="43"/>
      <c r="M96" s="43"/>
      <c r="N96" s="43"/>
      <c r="O96" s="43"/>
      <c r="P96" s="43"/>
      <c r="Q96" s="43"/>
      <c r="R96" s="43"/>
      <c r="S96" s="43"/>
      <c r="T96" s="43"/>
      <c r="U96" s="43"/>
    </row>
    <row r="97" spans="1:21">
      <c r="A97" s="43"/>
      <c r="B97" s="43"/>
      <c r="C97" s="43"/>
      <c r="D97" s="43"/>
      <c r="E97" s="43"/>
      <c r="F97" s="43"/>
      <c r="G97" s="43"/>
      <c r="H97" s="43"/>
      <c r="I97" s="43"/>
      <c r="J97" s="43"/>
      <c r="K97" s="43"/>
      <c r="L97" s="43"/>
      <c r="M97" s="43"/>
      <c r="N97" s="43"/>
      <c r="O97" s="43"/>
      <c r="P97" s="43"/>
      <c r="Q97" s="43"/>
      <c r="R97" s="43"/>
      <c r="S97" s="43"/>
      <c r="T97" s="43"/>
      <c r="U97" s="43"/>
    </row>
    <row r="98" spans="1:21">
      <c r="A98" s="43"/>
      <c r="B98" s="43"/>
      <c r="C98" s="43"/>
      <c r="D98" s="43"/>
      <c r="E98" s="43"/>
      <c r="F98" s="376">
        <f>(F91-F99)*$I$98</f>
        <v>42165949.545394719</v>
      </c>
      <c r="G98" s="46" t="s">
        <v>780</v>
      </c>
      <c r="H98" s="43"/>
      <c r="I98" s="377">
        <v>0.4</v>
      </c>
      <c r="J98" s="46" t="s">
        <v>781</v>
      </c>
      <c r="K98" s="43"/>
      <c r="L98" s="43"/>
      <c r="M98" s="43"/>
      <c r="N98" s="43"/>
      <c r="O98" s="43"/>
      <c r="P98" s="43"/>
      <c r="Q98" s="43"/>
      <c r="R98" s="43"/>
      <c r="S98" s="43"/>
      <c r="T98" s="43"/>
      <c r="U98" s="43"/>
    </row>
    <row r="99" spans="1:21">
      <c r="A99" s="43"/>
      <c r="B99" s="43"/>
      <c r="C99" s="43"/>
      <c r="D99" s="43"/>
      <c r="E99" s="43"/>
      <c r="F99" s="378">
        <v>45000000</v>
      </c>
      <c r="G99" s="46" t="s">
        <v>782</v>
      </c>
      <c r="H99" s="43"/>
      <c r="I99" s="379">
        <f>+(1-I98)*E91</f>
        <v>90248924.318092078</v>
      </c>
      <c r="J99" s="46" t="s">
        <v>783</v>
      </c>
      <c r="K99" s="43"/>
      <c r="L99" s="43"/>
      <c r="M99" s="43"/>
      <c r="N99" s="43"/>
      <c r="O99" s="43"/>
      <c r="P99" s="43"/>
      <c r="Q99" s="43"/>
      <c r="R99" s="43"/>
      <c r="S99" s="43"/>
      <c r="T99" s="43"/>
      <c r="U99" s="43"/>
    </row>
    <row r="100" spans="1:21">
      <c r="A100" s="43"/>
      <c r="B100" s="43"/>
      <c r="C100" s="43"/>
      <c r="D100" s="43"/>
      <c r="E100" s="43"/>
      <c r="F100" s="380">
        <f>SUM(F98:F99)</f>
        <v>87165949.545394719</v>
      </c>
      <c r="G100" s="46" t="s">
        <v>784</v>
      </c>
      <c r="H100" s="43"/>
      <c r="I100" s="43"/>
      <c r="J100" s="43"/>
      <c r="K100" s="43"/>
      <c r="L100" s="43"/>
      <c r="M100" s="43"/>
      <c r="N100" s="43"/>
      <c r="O100" s="43"/>
      <c r="P100" s="43"/>
      <c r="Q100" s="43"/>
      <c r="R100" s="43"/>
      <c r="S100" s="43"/>
      <c r="T100" s="43"/>
      <c r="U100" s="43"/>
    </row>
    <row r="101" spans="1:21">
      <c r="A101" s="43"/>
      <c r="B101" s="43"/>
      <c r="C101" s="43"/>
      <c r="D101" s="43"/>
      <c r="E101" s="43"/>
      <c r="F101" s="43"/>
      <c r="G101" s="43"/>
      <c r="H101" s="43"/>
      <c r="I101" s="43"/>
      <c r="J101" s="43"/>
      <c r="K101" s="43"/>
      <c r="L101" s="43"/>
      <c r="M101" s="43"/>
      <c r="N101" s="43"/>
      <c r="O101" s="43"/>
      <c r="P101" s="43"/>
      <c r="Q101" s="43"/>
      <c r="R101" s="43"/>
      <c r="S101" s="43"/>
      <c r="T101" s="43"/>
      <c r="U101" s="43"/>
    </row>
    <row r="102" spans="1:21">
      <c r="A102" s="43"/>
      <c r="B102" s="43"/>
      <c r="C102" s="43"/>
      <c r="D102" s="43"/>
      <c r="E102" s="43"/>
      <c r="F102" s="227">
        <f>+F84-F100</f>
        <v>129834050.45460528</v>
      </c>
      <c r="G102" s="46" t="s">
        <v>785</v>
      </c>
      <c r="H102" s="43"/>
      <c r="I102" s="43"/>
      <c r="J102" s="43"/>
      <c r="K102" s="43"/>
      <c r="L102" s="43"/>
      <c r="M102" s="43"/>
      <c r="N102" s="43"/>
      <c r="O102" s="43"/>
      <c r="P102" s="43"/>
      <c r="Q102" s="43"/>
      <c r="R102" s="43"/>
      <c r="S102" s="43"/>
      <c r="T102" s="43"/>
      <c r="U102" s="43"/>
    </row>
    <row r="103" spans="1:21">
      <c r="A103" s="43"/>
      <c r="B103" s="43"/>
      <c r="C103" s="43"/>
      <c r="D103" s="43"/>
      <c r="E103" s="43"/>
      <c r="F103" s="227">
        <f>-F87</f>
        <v>-30000000</v>
      </c>
      <c r="G103" s="46" t="s">
        <v>786</v>
      </c>
      <c r="H103" s="43"/>
      <c r="I103" s="43"/>
      <c r="J103" s="43"/>
      <c r="K103" s="43"/>
      <c r="L103" s="43"/>
      <c r="M103" s="43"/>
      <c r="N103" s="43"/>
      <c r="O103" s="43"/>
      <c r="P103" s="43"/>
      <c r="Q103" s="43"/>
      <c r="R103" s="43"/>
      <c r="S103" s="43"/>
      <c r="T103" s="43"/>
      <c r="U103" s="43"/>
    </row>
    <row r="104" spans="1:21">
      <c r="A104" s="43"/>
      <c r="B104" s="43"/>
      <c r="C104" s="43"/>
      <c r="D104" s="43"/>
      <c r="E104" s="43"/>
      <c r="F104" s="227">
        <f>-F64</f>
        <v>-35000000</v>
      </c>
      <c r="G104" s="46" t="s">
        <v>516</v>
      </c>
      <c r="H104" s="43"/>
      <c r="I104" s="43"/>
      <c r="J104" s="43"/>
      <c r="K104" s="43"/>
      <c r="L104" s="43"/>
      <c r="M104" s="43"/>
      <c r="N104" s="43"/>
      <c r="O104" s="43"/>
      <c r="P104" s="43"/>
      <c r="Q104" s="43"/>
      <c r="R104" s="43"/>
      <c r="S104" s="43"/>
      <c r="T104" s="43"/>
      <c r="U104" s="43"/>
    </row>
    <row r="105" spans="1:21">
      <c r="A105" s="43"/>
      <c r="B105" s="43"/>
      <c r="C105" s="43"/>
      <c r="D105" s="43"/>
      <c r="E105" s="43"/>
      <c r="F105" s="380">
        <f>SUM(F102:F104)</f>
        <v>64834050.454605281</v>
      </c>
      <c r="G105" s="46" t="s">
        <v>787</v>
      </c>
      <c r="H105" s="43"/>
      <c r="I105" s="43"/>
      <c r="J105" s="43"/>
      <c r="K105" s="43"/>
      <c r="L105" s="43"/>
      <c r="M105" s="43"/>
      <c r="N105" s="43"/>
      <c r="O105" s="43"/>
      <c r="P105" s="43"/>
      <c r="Q105" s="43"/>
      <c r="R105" s="43"/>
      <c r="S105" s="43"/>
      <c r="T105" s="43"/>
      <c r="U105" s="43"/>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tabColor rgb="FFB4C6E7"/>
  </sheetPr>
  <dimension ref="A1:U73"/>
  <sheetViews>
    <sheetView showGridLines="0" zoomScale="85" zoomScaleNormal="85" workbookViewId="0">
      <pane xSplit="1" ySplit="2" topLeftCell="B4" activePane="bottomRight" state="frozen"/>
      <selection pane="topRight" activeCell="B1" sqref="B1"/>
      <selection pane="bottomLeft" activeCell="A3" sqref="A3"/>
      <selection pane="bottomRight" activeCell="J14" sqref="J14"/>
    </sheetView>
  </sheetViews>
  <sheetFormatPr defaultColWidth="8.6328125" defaultRowHeight="14.5"/>
  <cols>
    <col min="1" max="1" width="31.6328125" customWidth="1"/>
    <col min="2" max="4" width="14" customWidth="1"/>
    <col min="5" max="5" width="16.54296875" customWidth="1"/>
    <col min="6" max="6" width="14.26953125" customWidth="1"/>
    <col min="7" max="7" width="18.26953125" bestFit="1" customWidth="1"/>
    <col min="8" max="8" width="16.6328125" bestFit="1" customWidth="1"/>
    <col min="9" max="9" width="18.26953125" bestFit="1" customWidth="1"/>
    <col min="10" max="10" width="17.26953125" bestFit="1" customWidth="1"/>
    <col min="11" max="11" width="18" bestFit="1" customWidth="1"/>
    <col min="12" max="12" width="17.26953125" bestFit="1" customWidth="1"/>
    <col min="13" max="13" width="18.26953125" bestFit="1" customWidth="1"/>
    <col min="14" max="17" width="16.54296875" customWidth="1"/>
    <col min="18" max="18" width="24.26953125" customWidth="1"/>
    <col min="19" max="19" width="24.6328125" customWidth="1"/>
    <col min="21" max="21" width="15.6328125" customWidth="1"/>
    <col min="22" max="24" width="14.54296875" customWidth="1"/>
  </cols>
  <sheetData>
    <row r="1" spans="1:21" s="27" customFormat="1" ht="17.649999999999999" customHeight="1">
      <c r="A1" s="281" t="s">
        <v>788</v>
      </c>
      <c r="B1" s="278">
        <v>45657</v>
      </c>
      <c r="C1" s="278">
        <v>45747</v>
      </c>
      <c r="D1" s="278">
        <v>45838</v>
      </c>
      <c r="E1" s="278">
        <v>45930</v>
      </c>
      <c r="F1" s="278">
        <v>46022</v>
      </c>
      <c r="G1" s="278">
        <v>46112</v>
      </c>
      <c r="H1" s="278">
        <v>46203</v>
      </c>
      <c r="I1" s="278">
        <v>46295</v>
      </c>
      <c r="J1" s="278">
        <v>46387</v>
      </c>
      <c r="K1" s="278">
        <v>46752</v>
      </c>
      <c r="L1" s="278">
        <v>47118</v>
      </c>
      <c r="M1" s="278">
        <v>47483</v>
      </c>
      <c r="N1" s="278">
        <v>47848</v>
      </c>
      <c r="O1" s="279"/>
      <c r="P1" s="43"/>
      <c r="Q1" s="43"/>
      <c r="R1" s="43"/>
      <c r="S1" s="43"/>
      <c r="T1" s="43"/>
      <c r="U1" s="43"/>
    </row>
    <row r="2" spans="1:21" s="22" customFormat="1" ht="15" customHeight="1">
      <c r="A2" s="83" t="s">
        <v>789</v>
      </c>
      <c r="B2" s="375" t="s">
        <v>2</v>
      </c>
      <c r="C2" s="375" t="s">
        <v>3</v>
      </c>
      <c r="D2" s="375" t="s">
        <v>4</v>
      </c>
      <c r="E2" s="375" t="s">
        <v>5</v>
      </c>
      <c r="F2" s="375" t="s">
        <v>2</v>
      </c>
      <c r="G2" s="375" t="s">
        <v>3</v>
      </c>
      <c r="H2" s="375" t="s">
        <v>4</v>
      </c>
      <c r="I2" s="375" t="s">
        <v>5</v>
      </c>
      <c r="J2" s="375" t="s">
        <v>2</v>
      </c>
      <c r="K2" s="375" t="s">
        <v>2</v>
      </c>
      <c r="L2" s="375" t="s">
        <v>2</v>
      </c>
      <c r="M2" s="375" t="s">
        <v>2</v>
      </c>
      <c r="N2" s="375" t="s">
        <v>2</v>
      </c>
      <c r="O2" s="50"/>
      <c r="P2" s="43"/>
      <c r="Q2" s="43"/>
      <c r="R2" s="43"/>
      <c r="S2" s="43"/>
      <c r="T2" s="43"/>
      <c r="U2" s="43"/>
    </row>
    <row r="3" spans="1:21" ht="15" customHeight="1">
      <c r="A3" s="46" t="s">
        <v>679</v>
      </c>
      <c r="B3" s="381"/>
      <c r="C3" s="382"/>
      <c r="D3" s="382"/>
      <c r="E3" s="382"/>
      <c r="F3" s="382"/>
      <c r="G3" s="381"/>
      <c r="H3" s="381"/>
      <c r="I3" s="381"/>
      <c r="J3" s="381"/>
      <c r="K3" s="381"/>
      <c r="L3" s="381"/>
      <c r="M3" s="381"/>
      <c r="N3" s="381"/>
      <c r="O3" s="62"/>
      <c r="P3" s="381"/>
      <c r="Q3" s="381"/>
      <c r="R3" s="381"/>
      <c r="S3" s="43"/>
      <c r="T3" s="43"/>
      <c r="U3" s="381"/>
    </row>
    <row r="4" spans="1:21" ht="15" customHeight="1">
      <c r="A4" s="56" t="s">
        <v>617</v>
      </c>
      <c r="B4" s="381"/>
      <c r="C4" s="382"/>
      <c r="D4" s="383">
        <v>0</v>
      </c>
      <c r="E4" s="383">
        <v>0</v>
      </c>
      <c r="F4" s="383">
        <v>911085.07185736496</v>
      </c>
      <c r="G4" s="384">
        <v>3573869.1709978301</v>
      </c>
      <c r="H4" s="384">
        <v>3681085.2461277698</v>
      </c>
      <c r="I4" s="384">
        <v>0</v>
      </c>
      <c r="J4" s="384">
        <v>0</v>
      </c>
      <c r="K4" s="384">
        <v>0</v>
      </c>
      <c r="L4" s="384">
        <v>0</v>
      </c>
      <c r="M4" s="384">
        <v>0</v>
      </c>
      <c r="N4" s="384">
        <v>0</v>
      </c>
      <c r="O4" s="62"/>
      <c r="P4" s="381"/>
      <c r="Q4" s="381"/>
      <c r="R4" s="381"/>
      <c r="S4" s="381"/>
      <c r="T4" s="381"/>
      <c r="U4" s="381"/>
    </row>
    <row r="5" spans="1:21" s="14" customFormat="1" ht="15" customHeight="1">
      <c r="A5" s="101" t="s">
        <v>541</v>
      </c>
      <c r="B5" s="381"/>
      <c r="C5" s="381"/>
      <c r="D5" s="381"/>
      <c r="E5" s="381"/>
      <c r="F5" s="381"/>
      <c r="G5" s="385">
        <f>-40000000*0.075</f>
        <v>-3000000</v>
      </c>
      <c r="H5" s="385">
        <f>-40000000*0.075</f>
        <v>-3000000</v>
      </c>
      <c r="I5" s="381"/>
      <c r="J5" s="381"/>
      <c r="K5" s="381"/>
      <c r="L5" s="381"/>
      <c r="M5" s="381"/>
      <c r="N5" s="381"/>
      <c r="O5" s="62"/>
      <c r="P5" s="43"/>
      <c r="Q5" s="43"/>
      <c r="R5" s="43"/>
      <c r="S5" s="43"/>
      <c r="T5" s="43"/>
      <c r="U5" s="43"/>
    </row>
    <row r="6" spans="1:21" s="14" customFormat="1" ht="15" customHeight="1">
      <c r="A6" s="83" t="s">
        <v>618</v>
      </c>
      <c r="B6" s="384">
        <v>0</v>
      </c>
      <c r="C6" s="386">
        <f t="shared" ref="C6:N6" si="0">SUM(C4:C5)</f>
        <v>0</v>
      </c>
      <c r="D6" s="386">
        <f t="shared" si="0"/>
        <v>0</v>
      </c>
      <c r="E6" s="386">
        <f t="shared" si="0"/>
        <v>0</v>
      </c>
      <c r="F6" s="386">
        <f t="shared" si="0"/>
        <v>911085.07185736496</v>
      </c>
      <c r="G6" s="386">
        <f t="shared" si="0"/>
        <v>573869.17099783011</v>
      </c>
      <c r="H6" s="386">
        <f t="shared" si="0"/>
        <v>681085.24612776982</v>
      </c>
      <c r="I6" s="386">
        <f t="shared" si="0"/>
        <v>0</v>
      </c>
      <c r="J6" s="386">
        <f t="shared" si="0"/>
        <v>0</v>
      </c>
      <c r="K6" s="386">
        <f t="shared" si="0"/>
        <v>0</v>
      </c>
      <c r="L6" s="386">
        <f t="shared" si="0"/>
        <v>0</v>
      </c>
      <c r="M6" s="386">
        <f t="shared" si="0"/>
        <v>0</v>
      </c>
      <c r="N6" s="386">
        <f t="shared" si="0"/>
        <v>0</v>
      </c>
      <c r="O6" s="62"/>
      <c r="P6" s="43"/>
      <c r="Q6" s="43"/>
      <c r="R6" s="43"/>
      <c r="S6" s="43"/>
      <c r="T6" s="43"/>
      <c r="U6" s="43"/>
    </row>
    <row r="7" spans="1:21" s="14" customFormat="1" ht="15" customHeight="1">
      <c r="A7" s="83" t="s">
        <v>619</v>
      </c>
      <c r="B7" s="381"/>
      <c r="C7" s="381"/>
      <c r="D7" s="381"/>
      <c r="E7" s="381"/>
      <c r="F7" s="381"/>
      <c r="G7" s="381"/>
      <c r="H7" s="381"/>
      <c r="I7" s="381"/>
      <c r="J7" s="381"/>
      <c r="K7" s="381"/>
      <c r="L7" s="381"/>
      <c r="M7" s="381"/>
      <c r="N7" s="381"/>
      <c r="O7" s="62"/>
      <c r="P7" s="43"/>
      <c r="Q7" s="43"/>
      <c r="R7" s="43"/>
      <c r="S7" s="43"/>
      <c r="T7" s="43"/>
      <c r="U7" s="43"/>
    </row>
    <row r="8" spans="1:21" s="14" customFormat="1" ht="15" customHeight="1">
      <c r="A8" s="83" t="s">
        <v>546</v>
      </c>
      <c r="B8" s="384">
        <v>0</v>
      </c>
      <c r="C8" s="386">
        <f t="shared" ref="C8:N8" si="1">SUM(C6:C7)</f>
        <v>0</v>
      </c>
      <c r="D8" s="386">
        <f t="shared" si="1"/>
        <v>0</v>
      </c>
      <c r="E8" s="386">
        <f t="shared" si="1"/>
        <v>0</v>
      </c>
      <c r="F8" s="386">
        <f t="shared" si="1"/>
        <v>911085.07185736496</v>
      </c>
      <c r="G8" s="386">
        <f t="shared" si="1"/>
        <v>573869.17099783011</v>
      </c>
      <c r="H8" s="386">
        <f t="shared" si="1"/>
        <v>681085.24612776982</v>
      </c>
      <c r="I8" s="386">
        <f t="shared" si="1"/>
        <v>0</v>
      </c>
      <c r="J8" s="386">
        <f t="shared" si="1"/>
        <v>0</v>
      </c>
      <c r="K8" s="386">
        <f t="shared" si="1"/>
        <v>0</v>
      </c>
      <c r="L8" s="386">
        <f t="shared" si="1"/>
        <v>0</v>
      </c>
      <c r="M8" s="386">
        <f t="shared" si="1"/>
        <v>0</v>
      </c>
      <c r="N8" s="386">
        <f t="shared" si="1"/>
        <v>0</v>
      </c>
      <c r="O8" s="62"/>
      <c r="P8" s="43"/>
      <c r="Q8" s="43"/>
      <c r="R8" s="43"/>
      <c r="S8" s="43"/>
      <c r="T8" s="43"/>
      <c r="U8" s="43"/>
    </row>
    <row r="9" spans="1:21" s="14" customFormat="1" ht="15" customHeight="1">
      <c r="A9" s="101" t="s">
        <v>620</v>
      </c>
      <c r="B9" s="384">
        <v>0</v>
      </c>
      <c r="C9" s="381">
        <f t="shared" ref="C9:N9" si="2">+C8+B9</f>
        <v>0</v>
      </c>
      <c r="D9" s="381">
        <f t="shared" si="2"/>
        <v>0</v>
      </c>
      <c r="E9" s="381">
        <f t="shared" si="2"/>
        <v>0</v>
      </c>
      <c r="F9" s="381">
        <f t="shared" si="2"/>
        <v>911085.07185736496</v>
      </c>
      <c r="G9" s="381">
        <f t="shared" si="2"/>
        <v>1484954.242855195</v>
      </c>
      <c r="H9" s="381">
        <f t="shared" si="2"/>
        <v>2166039.4889829648</v>
      </c>
      <c r="I9" s="381">
        <f t="shared" si="2"/>
        <v>2166039.4889829648</v>
      </c>
      <c r="J9" s="381">
        <f t="shared" si="2"/>
        <v>2166039.4889829648</v>
      </c>
      <c r="K9" s="381">
        <f t="shared" si="2"/>
        <v>2166039.4889829648</v>
      </c>
      <c r="L9" s="381">
        <f t="shared" si="2"/>
        <v>2166039.4889829648</v>
      </c>
      <c r="M9" s="381">
        <f t="shared" si="2"/>
        <v>2166039.4889829648</v>
      </c>
      <c r="N9" s="381">
        <f t="shared" si="2"/>
        <v>2166039.4889829648</v>
      </c>
      <c r="O9" s="62"/>
      <c r="P9" s="43"/>
      <c r="Q9" s="43"/>
      <c r="R9" s="43"/>
      <c r="S9" s="43"/>
      <c r="T9" s="43"/>
      <c r="U9" s="43"/>
    </row>
    <row r="10" spans="1:21" s="14" customFormat="1" ht="15" customHeight="1">
      <c r="A10" s="72"/>
      <c r="B10" s="381"/>
      <c r="C10" s="381"/>
      <c r="D10" s="381"/>
      <c r="E10" s="381"/>
      <c r="F10" s="381"/>
      <c r="G10" s="381"/>
      <c r="H10" s="381"/>
      <c r="I10" s="381"/>
      <c r="J10" s="381"/>
      <c r="K10" s="381"/>
      <c r="L10" s="381"/>
      <c r="M10" s="381"/>
      <c r="N10" s="381"/>
      <c r="O10" s="62"/>
      <c r="P10" s="43"/>
      <c r="Q10" s="43"/>
      <c r="R10" s="43"/>
      <c r="S10" s="43"/>
      <c r="T10" s="43"/>
      <c r="U10" s="43"/>
    </row>
    <row r="11" spans="1:21" ht="15" customHeight="1">
      <c r="A11" s="46" t="s">
        <v>621</v>
      </c>
      <c r="B11" s="381"/>
      <c r="C11" s="381"/>
      <c r="D11" s="381"/>
      <c r="E11" s="381"/>
      <c r="F11" s="381"/>
      <c r="G11" s="381"/>
      <c r="H11" s="381"/>
      <c r="I11" s="381"/>
      <c r="J11" s="381"/>
      <c r="K11" s="381"/>
      <c r="L11" s="381"/>
      <c r="M11" s="381"/>
      <c r="N11" s="381"/>
      <c r="O11" s="62"/>
      <c r="P11" s="43"/>
      <c r="Q11" s="43"/>
      <c r="R11" s="43"/>
      <c r="S11" s="43"/>
      <c r="T11" s="43"/>
      <c r="U11" s="43"/>
    </row>
    <row r="12" spans="1:21" ht="15" customHeight="1" thickBot="1">
      <c r="A12" s="46" t="s">
        <v>507</v>
      </c>
      <c r="B12" s="381"/>
      <c r="C12" s="381"/>
      <c r="D12" s="381"/>
      <c r="E12" s="381"/>
      <c r="F12" s="381"/>
      <c r="G12" s="381"/>
      <c r="H12" s="381"/>
      <c r="I12" s="381"/>
      <c r="J12" s="381"/>
      <c r="K12" s="381"/>
      <c r="L12" s="381"/>
      <c r="M12" s="381"/>
      <c r="N12" s="381"/>
      <c r="O12" s="62"/>
      <c r="P12" s="43"/>
      <c r="Q12" s="43"/>
      <c r="R12" s="43"/>
      <c r="S12" s="43"/>
      <c r="T12" s="43"/>
      <c r="U12" s="43"/>
    </row>
    <row r="13" spans="1:21" ht="15" customHeight="1">
      <c r="A13" s="56" t="s">
        <v>790</v>
      </c>
      <c r="B13" s="381"/>
      <c r="C13" s="381"/>
      <c r="D13" s="381"/>
      <c r="E13" s="381"/>
      <c r="F13" s="381"/>
      <c r="G13" s="381"/>
      <c r="H13" s="381"/>
      <c r="I13" s="384">
        <v>0</v>
      </c>
      <c r="J13" s="384">
        <v>0</v>
      </c>
      <c r="K13" s="384">
        <v>0</v>
      </c>
      <c r="L13" s="384">
        <v>0</v>
      </c>
      <c r="M13" s="384">
        <v>0</v>
      </c>
      <c r="N13" s="384">
        <v>0</v>
      </c>
      <c r="O13" s="95" t="s">
        <v>791</v>
      </c>
      <c r="P13" s="43"/>
      <c r="Q13" s="43"/>
      <c r="R13" s="43"/>
      <c r="S13" s="43"/>
      <c r="T13" s="43"/>
      <c r="U13" s="43"/>
    </row>
    <row r="14" spans="1:21" ht="15" customHeight="1">
      <c r="A14" s="56" t="s">
        <v>792</v>
      </c>
      <c r="B14" s="381"/>
      <c r="C14" s="381"/>
      <c r="D14" s="381"/>
      <c r="E14" s="381"/>
      <c r="F14" s="381"/>
      <c r="G14" s="381"/>
      <c r="H14" s="381"/>
      <c r="I14" s="381"/>
      <c r="J14" s="386">
        <f>+SUM(M63,M64,M68,M69)*O47+J58*J56-P14+J29</f>
        <v>15400000</v>
      </c>
      <c r="K14" s="381"/>
      <c r="L14" s="381"/>
      <c r="M14" s="381"/>
      <c r="N14" s="381"/>
      <c r="O14" s="320">
        <v>16400000</v>
      </c>
      <c r="P14" s="119">
        <v>4199171.448433198</v>
      </c>
      <c r="Q14" s="43"/>
      <c r="R14" s="43"/>
      <c r="S14" s="43"/>
      <c r="T14" s="43"/>
      <c r="U14" s="43"/>
    </row>
    <row r="15" spans="1:21" ht="15" customHeight="1">
      <c r="A15" s="284" t="s">
        <v>793</v>
      </c>
      <c r="B15" s="381"/>
      <c r="C15" s="381"/>
      <c r="D15" s="381"/>
      <c r="E15" s="381"/>
      <c r="F15" s="381"/>
      <c r="G15" s="381"/>
      <c r="H15" s="381"/>
      <c r="I15" s="384">
        <v>0</v>
      </c>
      <c r="J15" s="384">
        <v>0</v>
      </c>
      <c r="K15" s="384">
        <v>0</v>
      </c>
      <c r="L15" s="384">
        <v>0</v>
      </c>
      <c r="M15" s="384">
        <v>0</v>
      </c>
      <c r="N15" s="384">
        <v>0</v>
      </c>
      <c r="O15" s="62"/>
      <c r="P15" s="43"/>
      <c r="Q15" s="43"/>
      <c r="R15" s="43"/>
      <c r="S15" s="43"/>
      <c r="T15" s="43"/>
      <c r="U15" s="43"/>
    </row>
    <row r="16" spans="1:21" s="14" customFormat="1" ht="15" customHeight="1">
      <c r="A16" s="284" t="s">
        <v>794</v>
      </c>
      <c r="B16" s="381"/>
      <c r="C16" s="381"/>
      <c r="D16" s="384">
        <v>0</v>
      </c>
      <c r="E16" s="384">
        <v>0</v>
      </c>
      <c r="F16" s="381"/>
      <c r="G16" s="384">
        <v>2400000</v>
      </c>
      <c r="H16" s="384">
        <v>3600000</v>
      </c>
      <c r="I16" s="384">
        <v>0</v>
      </c>
      <c r="J16" s="384">
        <v>1500000</v>
      </c>
      <c r="K16" s="384">
        <v>0</v>
      </c>
      <c r="L16" s="384">
        <v>0</v>
      </c>
      <c r="M16" s="384">
        <v>0</v>
      </c>
      <c r="N16" s="384">
        <v>0</v>
      </c>
      <c r="O16" s="62"/>
      <c r="P16" s="43"/>
      <c r="Q16" s="43"/>
      <c r="R16" s="43"/>
      <c r="S16" s="43"/>
      <c r="T16" s="43"/>
      <c r="U16" s="43"/>
    </row>
    <row r="17" spans="1:21" ht="15" customHeight="1">
      <c r="A17" s="330" t="s">
        <v>260</v>
      </c>
      <c r="B17" s="387">
        <v>0</v>
      </c>
      <c r="C17" s="388">
        <f t="shared" ref="C17:N17" si="3">SUM(C13:C16)</f>
        <v>0</v>
      </c>
      <c r="D17" s="388">
        <f t="shared" si="3"/>
        <v>0</v>
      </c>
      <c r="E17" s="388">
        <f t="shared" si="3"/>
        <v>0</v>
      </c>
      <c r="F17" s="388">
        <f t="shared" si="3"/>
        <v>0</v>
      </c>
      <c r="G17" s="388">
        <f t="shared" si="3"/>
        <v>2400000</v>
      </c>
      <c r="H17" s="388">
        <f t="shared" si="3"/>
        <v>3600000</v>
      </c>
      <c r="I17" s="388">
        <f t="shared" si="3"/>
        <v>0</v>
      </c>
      <c r="J17" s="388">
        <f t="shared" si="3"/>
        <v>16900000</v>
      </c>
      <c r="K17" s="388">
        <f t="shared" si="3"/>
        <v>0</v>
      </c>
      <c r="L17" s="388">
        <f t="shared" si="3"/>
        <v>0</v>
      </c>
      <c r="M17" s="388">
        <f t="shared" si="3"/>
        <v>0</v>
      </c>
      <c r="N17" s="388">
        <f t="shared" si="3"/>
        <v>0</v>
      </c>
      <c r="O17" s="62"/>
      <c r="P17" s="43"/>
      <c r="Q17" s="43"/>
      <c r="R17" s="43"/>
      <c r="S17" s="43"/>
      <c r="T17" s="43"/>
      <c r="U17" s="43"/>
    </row>
    <row r="18" spans="1:21" ht="15" customHeight="1">
      <c r="A18" s="389" t="s">
        <v>513</v>
      </c>
      <c r="B18" s="381"/>
      <c r="C18" s="381"/>
      <c r="D18" s="381"/>
      <c r="E18" s="381"/>
      <c r="F18" s="381"/>
      <c r="G18" s="381"/>
      <c r="H18" s="381"/>
      <c r="I18" s="381"/>
      <c r="J18" s="381"/>
      <c r="K18" s="381"/>
      <c r="L18" s="381"/>
      <c r="M18" s="381"/>
      <c r="N18" s="381"/>
      <c r="O18" s="62"/>
      <c r="P18" s="43"/>
      <c r="Q18" s="43"/>
      <c r="R18" s="43"/>
      <c r="S18" s="43"/>
      <c r="T18" s="43"/>
      <c r="U18" s="43"/>
    </row>
    <row r="19" spans="1:21" ht="15" customHeight="1">
      <c r="A19" s="46" t="s">
        <v>795</v>
      </c>
      <c r="B19" s="381"/>
      <c r="C19" s="381"/>
      <c r="D19" s="381"/>
      <c r="E19" s="381"/>
      <c r="F19" s="381"/>
      <c r="G19" s="384">
        <v>0</v>
      </c>
      <c r="H19" s="384">
        <v>0</v>
      </c>
      <c r="I19" s="384">
        <v>0</v>
      </c>
      <c r="J19" s="384">
        <v>0</v>
      </c>
      <c r="K19" s="384">
        <v>0</v>
      </c>
      <c r="L19" s="384">
        <v>0</v>
      </c>
      <c r="M19" s="384">
        <v>0</v>
      </c>
      <c r="N19" s="384">
        <v>0</v>
      </c>
      <c r="O19" s="62"/>
      <c r="P19" s="43"/>
      <c r="Q19" s="43"/>
      <c r="R19" s="43"/>
      <c r="S19" s="43"/>
      <c r="T19" s="43"/>
      <c r="U19" s="43"/>
    </row>
    <row r="20" spans="1:21" ht="15" customHeight="1">
      <c r="A20" s="46" t="s">
        <v>796</v>
      </c>
      <c r="B20" s="381"/>
      <c r="C20" s="381"/>
      <c r="D20" s="381"/>
      <c r="E20" s="384">
        <v>0</v>
      </c>
      <c r="F20" s="384">
        <v>0</v>
      </c>
      <c r="G20" s="381"/>
      <c r="H20" s="384">
        <v>0</v>
      </c>
      <c r="I20" s="384">
        <v>0</v>
      </c>
      <c r="J20" s="384">
        <v>0</v>
      </c>
      <c r="K20" s="384">
        <v>0</v>
      </c>
      <c r="L20" s="384">
        <v>0</v>
      </c>
      <c r="M20" s="384">
        <v>0</v>
      </c>
      <c r="N20" s="384">
        <v>0</v>
      </c>
      <c r="O20" s="62"/>
      <c r="P20" s="43"/>
      <c r="Q20" s="43"/>
      <c r="R20" s="43"/>
      <c r="S20" s="43"/>
      <c r="T20" s="43"/>
      <c r="U20" s="43"/>
    </row>
    <row r="21" spans="1:21" ht="15" customHeight="1">
      <c r="A21" s="46" t="s">
        <v>797</v>
      </c>
      <c r="B21" s="381"/>
      <c r="C21" s="381"/>
      <c r="D21" s="381"/>
      <c r="E21" s="381"/>
      <c r="F21" s="381"/>
      <c r="G21" s="381"/>
      <c r="H21" s="381"/>
      <c r="I21" s="381"/>
      <c r="J21" s="381"/>
      <c r="K21" s="381"/>
      <c r="L21" s="381"/>
      <c r="M21" s="381"/>
      <c r="N21" s="381"/>
      <c r="O21" s="62"/>
      <c r="P21" s="43"/>
      <c r="Q21" s="43"/>
      <c r="R21" s="43"/>
      <c r="S21" s="43"/>
      <c r="T21" s="43"/>
      <c r="U21" s="43"/>
    </row>
    <row r="22" spans="1:21" ht="15" customHeight="1">
      <c r="A22" s="46" t="s">
        <v>798</v>
      </c>
      <c r="B22" s="381"/>
      <c r="C22" s="381"/>
      <c r="D22" s="381"/>
      <c r="E22" s="381"/>
      <c r="F22" s="384">
        <v>-860000</v>
      </c>
      <c r="G22" s="381"/>
      <c r="H22" s="381"/>
      <c r="I22" s="381"/>
      <c r="J22" s="381"/>
      <c r="K22" s="381"/>
      <c r="L22" s="381"/>
      <c r="M22" s="381"/>
      <c r="N22" s="381"/>
      <c r="O22" s="62"/>
      <c r="P22" s="43"/>
      <c r="Q22" s="43"/>
      <c r="R22" s="43"/>
      <c r="S22" s="43"/>
      <c r="T22" s="43"/>
      <c r="U22" s="43"/>
    </row>
    <row r="23" spans="1:21" ht="15" customHeight="1">
      <c r="A23" s="46" t="s">
        <v>799</v>
      </c>
      <c r="B23" s="381"/>
      <c r="C23" s="381"/>
      <c r="D23" s="381"/>
      <c r="E23" s="381"/>
      <c r="F23" s="381"/>
      <c r="G23" s="381"/>
      <c r="H23" s="384">
        <v>-1750000</v>
      </c>
      <c r="I23" s="384">
        <v>0</v>
      </c>
      <c r="J23" s="384">
        <v>0</v>
      </c>
      <c r="K23" s="384">
        <v>0</v>
      </c>
      <c r="L23" s="384">
        <v>0</v>
      </c>
      <c r="M23" s="384">
        <v>0</v>
      </c>
      <c r="N23" s="384">
        <v>0</v>
      </c>
      <c r="O23" s="62"/>
      <c r="P23" s="43"/>
      <c r="Q23" s="43"/>
      <c r="R23" s="43"/>
      <c r="S23" s="43"/>
      <c r="T23" s="43"/>
      <c r="U23" s="43"/>
    </row>
    <row r="24" spans="1:21" ht="15" customHeight="1">
      <c r="A24" s="101" t="s">
        <v>262</v>
      </c>
      <c r="B24" s="387">
        <v>0</v>
      </c>
      <c r="C24" s="388">
        <f t="shared" ref="C24:N24" si="4">SUM(C19:C23)</f>
        <v>0</v>
      </c>
      <c r="D24" s="388">
        <f t="shared" si="4"/>
        <v>0</v>
      </c>
      <c r="E24" s="388">
        <f t="shared" si="4"/>
        <v>0</v>
      </c>
      <c r="F24" s="388">
        <f t="shared" si="4"/>
        <v>-860000</v>
      </c>
      <c r="G24" s="388">
        <f t="shared" si="4"/>
        <v>0</v>
      </c>
      <c r="H24" s="388">
        <f t="shared" si="4"/>
        <v>-1750000</v>
      </c>
      <c r="I24" s="388">
        <f t="shared" si="4"/>
        <v>0</v>
      </c>
      <c r="J24" s="388">
        <f t="shared" si="4"/>
        <v>0</v>
      </c>
      <c r="K24" s="388">
        <f t="shared" si="4"/>
        <v>0</v>
      </c>
      <c r="L24" s="388">
        <f t="shared" si="4"/>
        <v>0</v>
      </c>
      <c r="M24" s="388">
        <f t="shared" si="4"/>
        <v>0</v>
      </c>
      <c r="N24" s="388">
        <f t="shared" si="4"/>
        <v>0</v>
      </c>
      <c r="O24" s="62"/>
      <c r="P24" s="43"/>
      <c r="Q24" s="43"/>
      <c r="R24" s="43"/>
      <c r="S24" s="43"/>
      <c r="T24" s="43"/>
      <c r="U24" s="43"/>
    </row>
    <row r="25" spans="1:21" ht="15" customHeight="1">
      <c r="A25" s="72"/>
      <c r="B25" s="381"/>
      <c r="C25" s="381"/>
      <c r="D25" s="381"/>
      <c r="E25" s="381"/>
      <c r="F25" s="381"/>
      <c r="G25" s="381"/>
      <c r="H25" s="381"/>
      <c r="I25" s="381"/>
      <c r="J25" s="381"/>
      <c r="K25" s="381"/>
      <c r="L25" s="381"/>
      <c r="M25" s="381"/>
      <c r="N25" s="381"/>
      <c r="O25" s="62"/>
      <c r="P25" s="43"/>
      <c r="Q25" s="43"/>
      <c r="R25" s="43"/>
      <c r="S25" s="43"/>
      <c r="T25" s="43"/>
      <c r="U25" s="43"/>
    </row>
    <row r="26" spans="1:21" ht="15" customHeight="1">
      <c r="A26" s="101" t="s">
        <v>800</v>
      </c>
      <c r="B26" s="384">
        <v>0</v>
      </c>
      <c r="C26" s="381">
        <f t="shared" ref="C26:N26" si="5">+C17+C24</f>
        <v>0</v>
      </c>
      <c r="D26" s="381">
        <f t="shared" si="5"/>
        <v>0</v>
      </c>
      <c r="E26" s="381">
        <f t="shared" si="5"/>
        <v>0</v>
      </c>
      <c r="F26" s="381">
        <f t="shared" si="5"/>
        <v>-860000</v>
      </c>
      <c r="G26" s="381">
        <f t="shared" si="5"/>
        <v>2400000</v>
      </c>
      <c r="H26" s="381">
        <f t="shared" si="5"/>
        <v>1850000</v>
      </c>
      <c r="I26" s="381">
        <f t="shared" si="5"/>
        <v>0</v>
      </c>
      <c r="J26" s="381">
        <f t="shared" si="5"/>
        <v>16900000</v>
      </c>
      <c r="K26" s="381">
        <f t="shared" si="5"/>
        <v>0</v>
      </c>
      <c r="L26" s="381">
        <f t="shared" si="5"/>
        <v>0</v>
      </c>
      <c r="M26" s="381">
        <f t="shared" si="5"/>
        <v>0</v>
      </c>
      <c r="N26" s="381">
        <f t="shared" si="5"/>
        <v>0</v>
      </c>
      <c r="O26" s="62"/>
      <c r="P26" s="43"/>
      <c r="Q26" s="43"/>
      <c r="R26" s="43"/>
      <c r="S26" s="43"/>
      <c r="T26" s="43"/>
      <c r="U26" s="43"/>
    </row>
    <row r="27" spans="1:21" ht="15" customHeight="1">
      <c r="A27" s="43"/>
      <c r="B27" s="381"/>
      <c r="C27" s="381"/>
      <c r="D27" s="381"/>
      <c r="E27" s="381"/>
      <c r="F27" s="381"/>
      <c r="G27" s="381"/>
      <c r="H27" s="381"/>
      <c r="I27" s="381"/>
      <c r="J27" s="381"/>
      <c r="K27" s="381"/>
      <c r="L27" s="381"/>
      <c r="M27" s="381"/>
      <c r="N27" s="381"/>
      <c r="O27" s="62"/>
      <c r="P27" s="43"/>
      <c r="Q27" s="43"/>
      <c r="R27" s="43"/>
      <c r="S27" s="43"/>
      <c r="T27" s="43"/>
      <c r="U27" s="43"/>
    </row>
    <row r="28" spans="1:21" s="30" customFormat="1">
      <c r="A28" s="101" t="s">
        <v>561</v>
      </c>
      <c r="B28" s="68">
        <v>0</v>
      </c>
      <c r="C28" s="68">
        <v>0</v>
      </c>
      <c r="D28" s="68">
        <v>0</v>
      </c>
      <c r="E28" s="68">
        <v>0</v>
      </c>
      <c r="F28" s="68">
        <v>200000</v>
      </c>
      <c r="G28" s="68">
        <v>200000</v>
      </c>
      <c r="H28" s="68">
        <v>200000</v>
      </c>
      <c r="I28" s="68">
        <v>200000</v>
      </c>
      <c r="J28" s="68">
        <v>200000</v>
      </c>
      <c r="K28" s="68">
        <v>0</v>
      </c>
      <c r="L28" s="68">
        <v>0</v>
      </c>
      <c r="M28" s="68">
        <v>0</v>
      </c>
      <c r="N28" s="68">
        <v>0</v>
      </c>
      <c r="O28" s="50"/>
      <c r="P28" s="62"/>
      <c r="Q28" s="43"/>
      <c r="R28" s="43"/>
      <c r="S28" s="43"/>
      <c r="T28" s="43"/>
      <c r="U28" s="43"/>
    </row>
    <row r="29" spans="1:21">
      <c r="A29" s="101" t="s">
        <v>562</v>
      </c>
      <c r="B29" s="141"/>
      <c r="C29" s="141"/>
      <c r="D29" s="141"/>
      <c r="E29" s="141"/>
      <c r="F29" s="141"/>
      <c r="G29" s="141"/>
      <c r="H29" s="141"/>
      <c r="I29" s="141"/>
      <c r="J29" s="140">
        <v>-1000000</v>
      </c>
      <c r="K29" s="141"/>
      <c r="L29" s="141"/>
      <c r="M29" s="141"/>
      <c r="N29" s="141"/>
      <c r="O29" s="50"/>
      <c r="P29" s="62"/>
      <c r="Q29" s="43"/>
      <c r="R29" s="43"/>
      <c r="S29" s="43"/>
      <c r="T29" s="43"/>
      <c r="U29" s="43"/>
    </row>
    <row r="30" spans="1:21">
      <c r="A30" s="101" t="s">
        <v>563</v>
      </c>
      <c r="B30" s="141"/>
      <c r="C30" s="141">
        <f t="shared" ref="C30:N30" si="6">B30+C28+C29</f>
        <v>0</v>
      </c>
      <c r="D30" s="291">
        <f t="shared" si="6"/>
        <v>0</v>
      </c>
      <c r="E30" s="291">
        <f t="shared" si="6"/>
        <v>0</v>
      </c>
      <c r="F30" s="291">
        <f t="shared" si="6"/>
        <v>200000</v>
      </c>
      <c r="G30" s="291">
        <f t="shared" si="6"/>
        <v>400000</v>
      </c>
      <c r="H30" s="291">
        <f t="shared" si="6"/>
        <v>600000</v>
      </c>
      <c r="I30" s="291">
        <f t="shared" si="6"/>
        <v>800000</v>
      </c>
      <c r="J30" s="291">
        <f t="shared" si="6"/>
        <v>0</v>
      </c>
      <c r="K30" s="291">
        <f t="shared" si="6"/>
        <v>0</v>
      </c>
      <c r="L30" s="291">
        <f t="shared" si="6"/>
        <v>0</v>
      </c>
      <c r="M30" s="291">
        <f t="shared" si="6"/>
        <v>0</v>
      </c>
      <c r="N30" s="291">
        <f t="shared" si="6"/>
        <v>0</v>
      </c>
      <c r="O30" s="50"/>
      <c r="P30" s="50"/>
      <c r="Q30" s="50"/>
      <c r="R30" s="50"/>
      <c r="S30" s="50"/>
      <c r="T30" s="50"/>
      <c r="U30" s="43"/>
    </row>
    <row r="31" spans="1:21" s="14" customFormat="1" ht="15" customHeight="1">
      <c r="A31" s="72"/>
      <c r="B31" s="381"/>
      <c r="C31" s="381"/>
      <c r="D31" s="381"/>
      <c r="E31" s="381"/>
      <c r="F31" s="381"/>
      <c r="G31" s="390"/>
      <c r="H31" s="390"/>
      <c r="I31" s="390"/>
      <c r="J31" s="390"/>
      <c r="K31" s="381"/>
      <c r="L31" s="381"/>
      <c r="M31" s="381"/>
      <c r="N31" s="381"/>
      <c r="O31" s="62"/>
      <c r="P31" s="43"/>
      <c r="Q31" s="43"/>
      <c r="R31" s="43"/>
      <c r="S31" s="43"/>
      <c r="T31" s="43"/>
      <c r="U31" s="43"/>
    </row>
    <row r="32" spans="1:21" s="14" customFormat="1" ht="15" customHeight="1" thickBot="1">
      <c r="A32" s="46" t="s">
        <v>630</v>
      </c>
      <c r="B32" s="381"/>
      <c r="C32" s="391"/>
      <c r="D32" s="391"/>
      <c r="E32" s="391"/>
      <c r="F32" s="391"/>
      <c r="G32" s="381"/>
      <c r="H32" s="381"/>
      <c r="I32" s="381"/>
      <c r="J32" s="381"/>
      <c r="K32" s="381"/>
      <c r="L32" s="381"/>
      <c r="M32" s="381"/>
      <c r="N32" s="381"/>
      <c r="O32" s="62"/>
      <c r="P32" s="43"/>
      <c r="Q32" s="43"/>
      <c r="R32" s="43"/>
      <c r="S32" s="43"/>
      <c r="T32" s="43"/>
      <c r="U32" s="43"/>
    </row>
    <row r="33" spans="1:21" ht="15" customHeight="1">
      <c r="A33" s="56" t="s">
        <v>801</v>
      </c>
      <c r="B33" s="381"/>
      <c r="C33" s="381"/>
      <c r="D33" s="384">
        <v>54039278.079999998</v>
      </c>
      <c r="E33" s="384">
        <v>54039278.079999998</v>
      </c>
      <c r="F33" s="384">
        <v>54039278.079999998</v>
      </c>
      <c r="G33" s="384">
        <v>54039278.079999998</v>
      </c>
      <c r="H33" s="384">
        <v>54039278.079999998</v>
      </c>
      <c r="I33" s="384">
        <v>54039278.079999998</v>
      </c>
      <c r="J33" s="381">
        <f>+I33</f>
        <v>54039278.079999998</v>
      </c>
      <c r="K33" s="384">
        <v>0</v>
      </c>
      <c r="L33" s="384">
        <v>0</v>
      </c>
      <c r="M33" s="384">
        <v>0</v>
      </c>
      <c r="N33" s="384">
        <v>0</v>
      </c>
      <c r="O33" s="62"/>
      <c r="P33" s="381"/>
      <c r="Q33" s="381"/>
      <c r="R33" s="381"/>
      <c r="S33" s="381"/>
      <c r="T33" s="381"/>
      <c r="U33" s="381"/>
    </row>
    <row r="34" spans="1:21" ht="15" customHeight="1">
      <c r="A34" s="56" t="s">
        <v>802</v>
      </c>
      <c r="B34" s="381"/>
      <c r="C34" s="381"/>
      <c r="D34" s="384">
        <v>12500000</v>
      </c>
      <c r="E34" s="384">
        <v>12500000</v>
      </c>
      <c r="F34" s="385">
        <f>12500000-2500000</f>
        <v>10000000</v>
      </c>
      <c r="G34" s="385">
        <f>+F34-2400000</f>
        <v>7600000</v>
      </c>
      <c r="H34" s="381">
        <f>+G34</f>
        <v>7600000</v>
      </c>
      <c r="I34" s="385">
        <f>+H34-3800000</f>
        <v>3800000</v>
      </c>
      <c r="J34" s="385">
        <f>+(I34-3800000)</f>
        <v>0</v>
      </c>
      <c r="K34" s="381"/>
      <c r="L34" s="381"/>
      <c r="M34" s="381"/>
      <c r="N34" s="381"/>
      <c r="O34" s="62"/>
      <c r="P34" s="381"/>
      <c r="Q34" s="381"/>
      <c r="R34" s="381"/>
      <c r="S34" s="381"/>
      <c r="T34" s="381"/>
      <c r="U34" s="381"/>
    </row>
    <row r="35" spans="1:21" ht="15" customHeight="1">
      <c r="A35" s="56" t="s">
        <v>803</v>
      </c>
      <c r="B35" s="381"/>
      <c r="C35" s="381"/>
      <c r="D35" s="384">
        <v>4700000</v>
      </c>
      <c r="E35" s="384">
        <v>4700000</v>
      </c>
      <c r="F35" s="384">
        <v>4700000</v>
      </c>
      <c r="G35" s="384">
        <v>4700000</v>
      </c>
      <c r="H35" s="384">
        <v>4700000</v>
      </c>
      <c r="I35" s="384">
        <v>4700000</v>
      </c>
      <c r="J35" s="385">
        <f>4700000-4700000</f>
        <v>0</v>
      </c>
      <c r="K35" s="381"/>
      <c r="L35" s="381"/>
      <c r="M35" s="381"/>
      <c r="N35" s="381"/>
      <c r="O35" s="62"/>
      <c r="P35" s="381"/>
      <c r="Q35" s="381"/>
      <c r="R35" s="381"/>
      <c r="S35" s="381"/>
      <c r="T35" s="381"/>
      <c r="U35" s="381"/>
    </row>
    <row r="36" spans="1:21" ht="15" customHeight="1">
      <c r="A36" s="56" t="s">
        <v>804</v>
      </c>
      <c r="B36" s="381"/>
      <c r="C36" s="381"/>
      <c r="D36" s="384">
        <v>3600000</v>
      </c>
      <c r="E36" s="384">
        <v>3600000</v>
      </c>
      <c r="F36" s="384">
        <v>3600000</v>
      </c>
      <c r="G36" s="384">
        <v>3600000</v>
      </c>
      <c r="H36" s="381"/>
      <c r="I36" s="381">
        <f>+H36</f>
        <v>0</v>
      </c>
      <c r="J36" s="381">
        <f>+I36</f>
        <v>0</v>
      </c>
      <c r="K36" s="381"/>
      <c r="L36" s="381"/>
      <c r="M36" s="381"/>
      <c r="N36" s="381"/>
      <c r="O36" s="62"/>
      <c r="P36" s="381"/>
      <c r="Q36" s="381"/>
      <c r="R36" s="381"/>
      <c r="S36" s="381"/>
      <c r="T36" s="381"/>
      <c r="U36" s="381"/>
    </row>
    <row r="37" spans="1:21" ht="15" customHeight="1">
      <c r="A37" s="56" t="s">
        <v>805</v>
      </c>
      <c r="B37" s="381"/>
      <c r="C37" s="381"/>
      <c r="D37" s="381"/>
      <c r="E37" s="381"/>
      <c r="F37" s="384">
        <v>1750000</v>
      </c>
      <c r="G37" s="384">
        <v>1750000</v>
      </c>
      <c r="H37" s="381"/>
      <c r="I37" s="381"/>
      <c r="J37" s="381"/>
      <c r="K37" s="381"/>
      <c r="L37" s="381"/>
      <c r="M37" s="381"/>
      <c r="N37" s="381"/>
      <c r="O37" s="62"/>
      <c r="P37" s="381"/>
      <c r="Q37" s="381"/>
      <c r="R37" s="381"/>
      <c r="S37" s="381"/>
      <c r="T37" s="381"/>
      <c r="U37" s="381"/>
    </row>
    <row r="38" spans="1:21" ht="15" customHeight="1">
      <c r="A38" s="294" t="s">
        <v>639</v>
      </c>
      <c r="B38" s="381"/>
      <c r="C38" s="381"/>
      <c r="D38" s="386">
        <f t="shared" ref="D38:J38" si="7">SUM(D33:D37)</f>
        <v>74839278.079999998</v>
      </c>
      <c r="E38" s="386">
        <f t="shared" si="7"/>
        <v>74839278.079999998</v>
      </c>
      <c r="F38" s="386">
        <f t="shared" si="7"/>
        <v>74089278.079999998</v>
      </c>
      <c r="G38" s="386">
        <f t="shared" si="7"/>
        <v>71689278.079999998</v>
      </c>
      <c r="H38" s="386">
        <f t="shared" si="7"/>
        <v>66339278.079999998</v>
      </c>
      <c r="I38" s="386">
        <f t="shared" si="7"/>
        <v>62539278.079999998</v>
      </c>
      <c r="J38" s="386">
        <f t="shared" si="7"/>
        <v>54039278.079999998</v>
      </c>
      <c r="K38" s="381"/>
      <c r="L38" s="381"/>
      <c r="M38" s="381"/>
      <c r="N38" s="381"/>
      <c r="O38" s="62"/>
      <c r="P38" s="381"/>
      <c r="Q38" s="381"/>
      <c r="R38" s="381"/>
      <c r="S38" s="381"/>
      <c r="T38" s="381"/>
      <c r="U38" s="381"/>
    </row>
    <row r="39" spans="1:21" s="15" customFormat="1" ht="15" customHeight="1">
      <c r="A39" s="46" t="s">
        <v>806</v>
      </c>
      <c r="B39" s="392"/>
      <c r="C39" s="392"/>
      <c r="D39" s="392"/>
      <c r="E39" s="392"/>
      <c r="F39" s="392"/>
      <c r="G39" s="392"/>
      <c r="H39" s="392"/>
      <c r="I39" s="392"/>
      <c r="J39" s="392"/>
      <c r="K39" s="392"/>
      <c r="L39" s="392"/>
      <c r="M39" s="392"/>
      <c r="N39" s="392"/>
      <c r="O39" s="62"/>
      <c r="P39" s="43"/>
      <c r="Q39" s="43"/>
      <c r="R39" s="43"/>
      <c r="S39" s="43"/>
      <c r="T39" s="43"/>
      <c r="U39" s="43"/>
    </row>
    <row r="40" spans="1:21" s="14" customFormat="1" ht="15" customHeight="1">
      <c r="A40" s="46" t="s">
        <v>641</v>
      </c>
      <c r="B40" s="392"/>
      <c r="C40" s="392"/>
      <c r="D40" s="393">
        <v>0.15</v>
      </c>
      <c r="E40" s="393">
        <v>0.15</v>
      </c>
      <c r="F40" s="393">
        <v>0.15</v>
      </c>
      <c r="G40" s="393">
        <v>0.15</v>
      </c>
      <c r="H40" s="393">
        <v>0.15</v>
      </c>
      <c r="I40" s="393">
        <v>0.15</v>
      </c>
      <c r="J40" s="393">
        <v>0.15</v>
      </c>
      <c r="K40" s="392"/>
      <c r="L40" s="392"/>
      <c r="M40" s="392"/>
      <c r="N40" s="392"/>
      <c r="O40" s="62"/>
      <c r="P40" s="43"/>
      <c r="Q40" s="43"/>
      <c r="R40" s="43"/>
      <c r="S40" s="43"/>
      <c r="T40" s="43"/>
      <c r="U40" s="43"/>
    </row>
    <row r="41" spans="1:21" ht="15" customHeight="1" thickBot="1">
      <c r="A41" s="394" t="s">
        <v>807</v>
      </c>
      <c r="B41" s="395"/>
      <c r="C41" s="395"/>
      <c r="D41" s="396">
        <f t="shared" ref="D41:N41" si="8">($P$43-D1)/365</f>
        <v>1.5041095890410958</v>
      </c>
      <c r="E41" s="396">
        <f t="shared" si="8"/>
        <v>1.252054794520548</v>
      </c>
      <c r="F41" s="396">
        <f t="shared" si="8"/>
        <v>1</v>
      </c>
      <c r="G41" s="396">
        <f t="shared" si="8"/>
        <v>0.75342465753424659</v>
      </c>
      <c r="H41" s="396">
        <f t="shared" si="8"/>
        <v>0.50410958904109593</v>
      </c>
      <c r="I41" s="396">
        <f t="shared" si="8"/>
        <v>0.25205479452054796</v>
      </c>
      <c r="J41" s="396">
        <f t="shared" si="8"/>
        <v>0</v>
      </c>
      <c r="K41" s="396">
        <f t="shared" si="8"/>
        <v>-1</v>
      </c>
      <c r="L41" s="396">
        <f t="shared" si="8"/>
        <v>-2.0027397260273974</v>
      </c>
      <c r="M41" s="396">
        <f t="shared" si="8"/>
        <v>-3.0027397260273974</v>
      </c>
      <c r="N41" s="396">
        <f t="shared" si="8"/>
        <v>-4.0027397260273974</v>
      </c>
      <c r="O41" s="62"/>
      <c r="P41" s="381"/>
      <c r="Q41" s="381"/>
      <c r="R41" s="381"/>
      <c r="S41" s="381"/>
      <c r="T41" s="381"/>
      <c r="U41" s="381"/>
    </row>
    <row r="42" spans="1:21" s="13" customFormat="1" ht="15" customHeight="1" thickBot="1">
      <c r="A42" s="397" t="s">
        <v>576</v>
      </c>
      <c r="B42" s="398">
        <v>0</v>
      </c>
      <c r="C42" s="396">
        <f t="shared" ref="C42:J42" si="9">+C38*(1+C40)^-C41</f>
        <v>0</v>
      </c>
      <c r="D42" s="399">
        <f t="shared" si="9"/>
        <v>60650360.388301924</v>
      </c>
      <c r="E42" s="399">
        <f t="shared" si="9"/>
        <v>62825010.159360722</v>
      </c>
      <c r="F42" s="399">
        <f t="shared" si="9"/>
        <v>64425459.200000003</v>
      </c>
      <c r="G42" s="399">
        <f t="shared" si="9"/>
        <v>64524248.844028488</v>
      </c>
      <c r="H42" s="399">
        <f t="shared" si="9"/>
        <v>61826174.846628666</v>
      </c>
      <c r="I42" s="399">
        <f t="shared" si="9"/>
        <v>60374518.75224378</v>
      </c>
      <c r="J42" s="399">
        <f t="shared" si="9"/>
        <v>54039278.079999998</v>
      </c>
      <c r="K42" s="395"/>
      <c r="L42" s="395"/>
      <c r="M42" s="395"/>
      <c r="N42" s="395"/>
      <c r="O42" s="101" t="s">
        <v>808</v>
      </c>
      <c r="P42" s="400">
        <v>45772</v>
      </c>
      <c r="Q42" s="381"/>
      <c r="R42" s="381"/>
      <c r="S42" s="381"/>
      <c r="T42" s="381"/>
      <c r="U42" s="381"/>
    </row>
    <row r="43" spans="1:21" ht="15" customHeight="1" thickBot="1">
      <c r="A43" s="401"/>
      <c r="B43" s="395"/>
      <c r="C43" s="395"/>
      <c r="D43" s="395"/>
      <c r="E43" s="395"/>
      <c r="F43" s="395"/>
      <c r="G43" s="395"/>
      <c r="H43" s="395"/>
      <c r="I43" s="395"/>
      <c r="J43" s="395"/>
      <c r="K43" s="395"/>
      <c r="L43" s="395"/>
      <c r="M43" s="395"/>
      <c r="N43" s="395"/>
      <c r="O43" s="101" t="s">
        <v>809</v>
      </c>
      <c r="P43" s="400">
        <v>46387</v>
      </c>
      <c r="Q43" s="381"/>
      <c r="R43" s="381"/>
      <c r="S43" s="381"/>
      <c r="T43" s="381"/>
      <c r="U43" s="381"/>
    </row>
    <row r="44" spans="1:21" ht="15" customHeight="1">
      <c r="A44" s="56" t="s">
        <v>810</v>
      </c>
      <c r="B44" s="402"/>
      <c r="C44" s="402"/>
      <c r="D44" s="403">
        <v>-40000000</v>
      </c>
      <c r="E44" s="403">
        <v>-40000000</v>
      </c>
      <c r="F44" s="403">
        <v>-39500000</v>
      </c>
      <c r="G44" s="402">
        <f>+F44</f>
        <v>-39500000</v>
      </c>
      <c r="H44" s="402">
        <f>+G44</f>
        <v>-39500000</v>
      </c>
      <c r="I44" s="404">
        <f>+H44+3800000</f>
        <v>-35700000</v>
      </c>
      <c r="J44" s="404">
        <f>+I44+3800000+2500000</f>
        <v>-29400000</v>
      </c>
      <c r="K44" s="403">
        <v>0</v>
      </c>
      <c r="L44" s="403">
        <v>0</v>
      </c>
      <c r="M44" s="403">
        <v>0</v>
      </c>
      <c r="N44" s="403">
        <v>0</v>
      </c>
      <c r="O44" s="62"/>
      <c r="P44" s="381"/>
      <c r="Q44" s="381"/>
      <c r="R44" s="381"/>
      <c r="S44" s="381"/>
      <c r="T44" s="381"/>
      <c r="U44" s="381"/>
    </row>
    <row r="45" spans="1:21" ht="15" customHeight="1">
      <c r="A45" s="56" t="s">
        <v>811</v>
      </c>
      <c r="B45" s="402"/>
      <c r="C45" s="402"/>
      <c r="D45" s="402"/>
      <c r="E45" s="402"/>
      <c r="F45" s="402"/>
      <c r="G45" s="402"/>
      <c r="H45" s="402"/>
      <c r="I45" s="402"/>
      <c r="J45" s="402"/>
      <c r="K45" s="402"/>
      <c r="L45" s="402"/>
      <c r="M45" s="402"/>
      <c r="N45" s="402"/>
      <c r="O45" s="62"/>
      <c r="P45" s="381"/>
      <c r="Q45" s="381"/>
      <c r="R45" s="381"/>
      <c r="S45" s="381"/>
      <c r="T45" s="381"/>
      <c r="U45" s="381"/>
    </row>
    <row r="46" spans="1:21" ht="15" customHeight="1">
      <c r="A46" s="56" t="s">
        <v>812</v>
      </c>
      <c r="B46" s="402"/>
      <c r="C46" s="402"/>
      <c r="D46" s="402"/>
      <c r="E46" s="402"/>
      <c r="F46" s="402"/>
      <c r="G46" s="402"/>
      <c r="H46" s="402"/>
      <c r="I46" s="402"/>
      <c r="J46" s="402"/>
      <c r="K46" s="402"/>
      <c r="L46" s="402"/>
      <c r="M46" s="402"/>
      <c r="N46" s="402"/>
      <c r="O46" s="62"/>
      <c r="P46" s="381"/>
      <c r="Q46" s="381"/>
      <c r="R46" s="381"/>
      <c r="S46" s="381"/>
      <c r="T46" s="381"/>
      <c r="U46" s="381"/>
    </row>
    <row r="47" spans="1:21" ht="15" customHeight="1">
      <c r="A47" s="56" t="s">
        <v>813</v>
      </c>
      <c r="B47" s="402"/>
      <c r="C47" s="402"/>
      <c r="D47" s="402">
        <f t="shared" ref="D47:J48" si="10">-G63-G68</f>
        <v>-13800000</v>
      </c>
      <c r="E47" s="402">
        <f t="shared" si="10"/>
        <v>-13800000</v>
      </c>
      <c r="F47" s="402">
        <f t="shared" si="10"/>
        <v>-13800000</v>
      </c>
      <c r="G47" s="402">
        <f t="shared" si="10"/>
        <v>-13800000</v>
      </c>
      <c r="H47" s="402">
        <f t="shared" si="10"/>
        <v>-13800000</v>
      </c>
      <c r="I47" s="402">
        <f t="shared" si="10"/>
        <v>-13800000</v>
      </c>
      <c r="J47" s="402">
        <f t="shared" si="10"/>
        <v>-13800000</v>
      </c>
      <c r="K47" s="402"/>
      <c r="L47" s="402"/>
      <c r="M47" s="402"/>
      <c r="N47" s="402"/>
      <c r="O47" s="405">
        <f>+(J47+1700000)/-13800000</f>
        <v>0.87681159420289856</v>
      </c>
      <c r="P47" s="406" t="s">
        <v>814</v>
      </c>
      <c r="Q47" s="381"/>
      <c r="R47" s="381"/>
      <c r="S47" s="381"/>
      <c r="T47" s="381"/>
      <c r="U47" s="381"/>
    </row>
    <row r="48" spans="1:21" ht="15" customHeight="1">
      <c r="A48" s="56" t="s">
        <v>815</v>
      </c>
      <c r="B48" s="402"/>
      <c r="C48" s="402"/>
      <c r="D48" s="402">
        <f t="shared" si="10"/>
        <v>-474067.00737978669</v>
      </c>
      <c r="E48" s="402">
        <f t="shared" si="10"/>
        <v>-993107.09908830258</v>
      </c>
      <c r="F48" s="402">
        <f t="shared" si="10"/>
        <v>-1531020.7617742773</v>
      </c>
      <c r="G48" s="402">
        <f t="shared" si="10"/>
        <v>-2076162.3684164416</v>
      </c>
      <c r="H48" s="402">
        <f t="shared" si="10"/>
        <v>-2647072.130259403</v>
      </c>
      <c r="I48" s="402">
        <f t="shared" si="10"/>
        <v>-3245128.0187747711</v>
      </c>
      <c r="J48" s="402">
        <f t="shared" si="10"/>
        <v>-3864930.6864709673</v>
      </c>
      <c r="K48" s="402"/>
      <c r="L48" s="402"/>
      <c r="M48" s="402"/>
      <c r="N48" s="402"/>
      <c r="O48" s="62"/>
      <c r="P48" s="381"/>
      <c r="Q48" s="381"/>
      <c r="R48" s="381"/>
      <c r="S48" s="381"/>
      <c r="T48" s="381"/>
      <c r="U48" s="381"/>
    </row>
    <row r="49" spans="1:21" s="14" customFormat="1" ht="15" customHeight="1">
      <c r="A49" s="46" t="s">
        <v>557</v>
      </c>
      <c r="B49" s="381"/>
      <c r="C49" s="381"/>
      <c r="D49" s="384">
        <v>0</v>
      </c>
      <c r="E49" s="384">
        <v>0</v>
      </c>
      <c r="F49" s="403">
        <v>-1750000</v>
      </c>
      <c r="G49" s="403">
        <v>-1750000</v>
      </c>
      <c r="H49" s="381"/>
      <c r="I49" s="381"/>
      <c r="J49" s="381"/>
      <c r="K49" s="381"/>
      <c r="L49" s="381"/>
      <c r="M49" s="381"/>
      <c r="N49" s="381"/>
      <c r="O49" s="62"/>
      <c r="P49" s="43"/>
      <c r="Q49" s="43"/>
      <c r="R49" s="43"/>
      <c r="S49" s="43"/>
      <c r="T49" s="43"/>
      <c r="U49" s="43"/>
    </row>
    <row r="50" spans="1:21" s="14" customFormat="1" ht="15" customHeight="1">
      <c r="A50" s="46" t="s">
        <v>816</v>
      </c>
      <c r="B50" s="381"/>
      <c r="C50" s="381"/>
      <c r="D50" s="384">
        <v>-1250000</v>
      </c>
      <c r="E50" s="384">
        <v>-1250000</v>
      </c>
      <c r="F50" s="403">
        <v>-1250000</v>
      </c>
      <c r="G50" s="403">
        <v>-1250000</v>
      </c>
      <c r="H50" s="384">
        <v>-1250000</v>
      </c>
      <c r="I50" s="384">
        <v>-1250000</v>
      </c>
      <c r="J50" s="381"/>
      <c r="K50" s="381"/>
      <c r="L50" s="381"/>
      <c r="M50" s="381"/>
      <c r="N50" s="381"/>
      <c r="O50" s="62"/>
      <c r="P50" s="43"/>
      <c r="Q50" s="43"/>
      <c r="R50" s="43"/>
      <c r="S50" s="43"/>
      <c r="T50" s="43"/>
      <c r="U50" s="43"/>
    </row>
    <row r="51" spans="1:21" s="14" customFormat="1" ht="15" customHeight="1">
      <c r="A51" s="46" t="s">
        <v>817</v>
      </c>
      <c r="B51" s="381"/>
      <c r="C51" s="381"/>
      <c r="D51" s="384">
        <v>-2500000</v>
      </c>
      <c r="E51" s="384">
        <v>-2500000</v>
      </c>
      <c r="F51" s="384">
        <v>-2500000</v>
      </c>
      <c r="G51" s="403">
        <v>-2500000</v>
      </c>
      <c r="H51" s="384">
        <v>-2500000</v>
      </c>
      <c r="I51" s="384">
        <v>-2500000</v>
      </c>
      <c r="J51" s="381"/>
      <c r="K51" s="381"/>
      <c r="L51" s="381"/>
      <c r="M51" s="381"/>
      <c r="N51" s="381"/>
      <c r="O51" s="62"/>
      <c r="P51" s="64"/>
      <c r="Q51" s="43"/>
      <c r="R51" s="43"/>
      <c r="S51" s="43"/>
      <c r="T51" s="43"/>
      <c r="U51" s="43"/>
    </row>
    <row r="52" spans="1:21" s="14" customFormat="1" ht="15" customHeight="1">
      <c r="A52" s="294" t="s">
        <v>587</v>
      </c>
      <c r="B52" s="384">
        <v>0</v>
      </c>
      <c r="C52" s="386">
        <f t="shared" ref="C52:J52" si="11">SUM(C44:C51)</f>
        <v>0</v>
      </c>
      <c r="D52" s="386">
        <f t="shared" si="11"/>
        <v>-58024067.007379785</v>
      </c>
      <c r="E52" s="386">
        <f t="shared" si="11"/>
        <v>-58543107.099088304</v>
      </c>
      <c r="F52" s="386">
        <f t="shared" si="11"/>
        <v>-60331020.761774279</v>
      </c>
      <c r="G52" s="386">
        <f t="shared" si="11"/>
        <v>-60876162.368416443</v>
      </c>
      <c r="H52" s="386">
        <f t="shared" si="11"/>
        <v>-59697072.130259402</v>
      </c>
      <c r="I52" s="386">
        <f t="shared" si="11"/>
        <v>-56495128.01877477</v>
      </c>
      <c r="J52" s="386">
        <f t="shared" si="11"/>
        <v>-47064930.686470971</v>
      </c>
      <c r="K52" s="386">
        <f>SUM(K44:K49)</f>
        <v>0</v>
      </c>
      <c r="L52" s="386">
        <f>SUM(L44:L49)</f>
        <v>0</v>
      </c>
      <c r="M52" s="386">
        <f>SUM(M44:M49)</f>
        <v>0</v>
      </c>
      <c r="N52" s="386">
        <f>SUM(N44:N49)</f>
        <v>0</v>
      </c>
      <c r="O52" s="62"/>
      <c r="P52" s="64"/>
      <c r="Q52" s="43"/>
      <c r="R52" s="43"/>
      <c r="S52" s="43"/>
      <c r="T52" s="43"/>
      <c r="U52" s="43"/>
    </row>
    <row r="53" spans="1:21" s="15" customFormat="1" ht="15" customHeight="1">
      <c r="A53" s="101" t="s">
        <v>771</v>
      </c>
      <c r="B53" s="381"/>
      <c r="C53" s="381"/>
      <c r="D53" s="381"/>
      <c r="E53" s="381"/>
      <c r="F53" s="381"/>
      <c r="G53" s="381"/>
      <c r="H53" s="381"/>
      <c r="I53" s="381"/>
      <c r="J53" s="381"/>
      <c r="K53" s="381"/>
      <c r="L53" s="381">
        <f>+L52-K52</f>
        <v>0</v>
      </c>
      <c r="M53" s="381">
        <f>+M52-L52</f>
        <v>0</v>
      </c>
      <c r="N53" s="381">
        <f>+N52-M52</f>
        <v>0</v>
      </c>
      <c r="O53" s="62"/>
      <c r="P53" s="43"/>
      <c r="Q53" s="43"/>
      <c r="R53" s="43"/>
      <c r="S53" s="43"/>
      <c r="T53" s="43"/>
      <c r="U53" s="43"/>
    </row>
    <row r="54" spans="1:21" s="15" customFormat="1" ht="15" customHeight="1">
      <c r="A54" s="101" t="s">
        <v>818</v>
      </c>
      <c r="B54" s="384">
        <v>0</v>
      </c>
      <c r="C54" s="381">
        <f t="shared" ref="C54:J54" si="12">+C42+C52</f>
        <v>0</v>
      </c>
      <c r="D54" s="381">
        <f t="shared" si="12"/>
        <v>2626293.3809221387</v>
      </c>
      <c r="E54" s="381">
        <f t="shared" si="12"/>
        <v>4281903.060272418</v>
      </c>
      <c r="F54" s="381">
        <f t="shared" si="12"/>
        <v>4094438.4382257238</v>
      </c>
      <c r="G54" s="381">
        <f t="shared" si="12"/>
        <v>3648086.4756120443</v>
      </c>
      <c r="H54" s="381">
        <f t="shared" si="12"/>
        <v>2129102.7163692638</v>
      </c>
      <c r="I54" s="381">
        <f t="shared" si="12"/>
        <v>3879390.7334690094</v>
      </c>
      <c r="J54" s="381">
        <f t="shared" si="12"/>
        <v>6974347.3935290277</v>
      </c>
      <c r="K54" s="381"/>
      <c r="L54" s="381"/>
      <c r="M54" s="381"/>
      <c r="N54" s="381"/>
      <c r="O54" s="70"/>
      <c r="P54" s="43"/>
      <c r="Q54" s="43"/>
      <c r="R54" s="43"/>
      <c r="S54" s="43"/>
      <c r="T54" s="43"/>
      <c r="U54" s="43"/>
    </row>
    <row r="55" spans="1:21" s="15" customFormat="1" ht="15" customHeight="1">
      <c r="A55" s="72"/>
      <c r="B55" s="381"/>
      <c r="C55" s="381"/>
      <c r="D55" s="381"/>
      <c r="E55" s="381"/>
      <c r="F55" s="381"/>
      <c r="G55" s="381"/>
      <c r="H55" s="381"/>
      <c r="I55" s="381"/>
      <c r="J55" s="381"/>
      <c r="K55" s="381"/>
      <c r="L55" s="381"/>
      <c r="M55" s="381"/>
      <c r="N55" s="381"/>
      <c r="O55" s="62"/>
      <c r="P55" s="43"/>
      <c r="Q55" s="43"/>
      <c r="R55" s="43"/>
      <c r="S55" s="43"/>
      <c r="T55" s="43"/>
      <c r="U55" s="43"/>
    </row>
    <row r="56" spans="1:21" s="15" customFormat="1" ht="15" customHeight="1">
      <c r="A56" s="46" t="s">
        <v>589</v>
      </c>
      <c r="B56" s="393">
        <v>0</v>
      </c>
      <c r="C56" s="393">
        <v>0</v>
      </c>
      <c r="D56" s="393">
        <v>0.8</v>
      </c>
      <c r="E56" s="393">
        <v>0.8</v>
      </c>
      <c r="F56" s="393">
        <v>0.8</v>
      </c>
      <c r="G56" s="393">
        <v>0.8</v>
      </c>
      <c r="H56" s="393">
        <v>0.8</v>
      </c>
      <c r="I56" s="393">
        <v>0.8</v>
      </c>
      <c r="J56" s="393">
        <v>0.85599999999999998</v>
      </c>
      <c r="K56" s="392"/>
      <c r="L56" s="392"/>
      <c r="M56" s="392"/>
      <c r="N56" s="392"/>
      <c r="O56" s="62"/>
      <c r="P56" s="43"/>
      <c r="Q56" s="43"/>
      <c r="R56" s="43"/>
      <c r="S56" s="43"/>
      <c r="T56" s="43"/>
      <c r="U56" s="43"/>
    </row>
    <row r="57" spans="1:21" ht="15" customHeight="1">
      <c r="A57" s="325"/>
      <c r="B57" s="402"/>
      <c r="C57" s="402"/>
      <c r="D57" s="402"/>
      <c r="E57" s="402"/>
      <c r="F57" s="402"/>
      <c r="G57" s="402"/>
      <c r="H57" s="402"/>
      <c r="I57" s="402"/>
      <c r="J57" s="402"/>
      <c r="K57" s="402"/>
      <c r="L57" s="402"/>
      <c r="M57" s="402"/>
      <c r="N57" s="402"/>
      <c r="O57" s="62"/>
      <c r="P57" s="43"/>
      <c r="Q57" s="43"/>
      <c r="R57" s="43"/>
      <c r="S57" s="43"/>
      <c r="T57" s="43"/>
      <c r="U57" s="43"/>
    </row>
    <row r="58" spans="1:21" s="15" customFormat="1" ht="15" customHeight="1">
      <c r="A58" s="101" t="s">
        <v>111</v>
      </c>
      <c r="B58" s="393">
        <v>0</v>
      </c>
      <c r="C58" s="381">
        <f t="shared" ref="C58:J58" si="13">+C54*C56</f>
        <v>0</v>
      </c>
      <c r="D58" s="381">
        <f t="shared" si="13"/>
        <v>2101034.7047377112</v>
      </c>
      <c r="E58" s="381">
        <f t="shared" si="13"/>
        <v>3425522.4482179345</v>
      </c>
      <c r="F58" s="381">
        <f t="shared" si="13"/>
        <v>3275550.750580579</v>
      </c>
      <c r="G58" s="381">
        <f t="shared" si="13"/>
        <v>2918469.1804896356</v>
      </c>
      <c r="H58" s="381">
        <f t="shared" si="13"/>
        <v>1703282.1730954112</v>
      </c>
      <c r="I58" s="381">
        <f t="shared" si="13"/>
        <v>3103512.5867752079</v>
      </c>
      <c r="J58" s="381">
        <f t="shared" si="13"/>
        <v>5970041.3688608473</v>
      </c>
      <c r="K58" s="392"/>
      <c r="L58" s="392"/>
      <c r="M58" s="392"/>
      <c r="N58" s="392"/>
      <c r="O58" s="62"/>
      <c r="P58" s="43"/>
      <c r="Q58" s="43"/>
      <c r="R58" s="43"/>
      <c r="S58" s="43"/>
      <c r="T58" s="43"/>
      <c r="U58" s="43"/>
    </row>
    <row r="59" spans="1:21" ht="15" customHeight="1">
      <c r="A59" s="43"/>
      <c r="B59" s="43"/>
      <c r="C59" s="43"/>
      <c r="D59" s="43"/>
      <c r="E59" s="43"/>
      <c r="F59" s="43"/>
      <c r="G59" s="43"/>
      <c r="H59" s="43"/>
      <c r="I59" s="43"/>
      <c r="J59" s="43"/>
      <c r="K59" s="43"/>
      <c r="L59" s="43"/>
      <c r="M59" s="43"/>
      <c r="N59" s="43"/>
      <c r="O59" s="62"/>
      <c r="P59" s="43"/>
      <c r="Q59" s="43"/>
      <c r="R59" s="43"/>
      <c r="S59" s="43"/>
      <c r="T59" s="43"/>
      <c r="U59" s="43"/>
    </row>
    <row r="60" spans="1:21" ht="15" customHeight="1" thickBot="1">
      <c r="A60" s="101" t="s">
        <v>819</v>
      </c>
      <c r="B60" s="407">
        <v>0</v>
      </c>
      <c r="C60" s="408">
        <f t="shared" ref="C60:N60" si="14">IF(C$1&lt;$P$43,C58+F65,0)</f>
        <v>11353679.54322795</v>
      </c>
      <c r="D60" s="408">
        <f t="shared" si="14"/>
        <v>13799239.652720192</v>
      </c>
      <c r="E60" s="408">
        <f t="shared" si="14"/>
        <v>15549102.824653054</v>
      </c>
      <c r="F60" s="409">
        <f t="shared" si="14"/>
        <v>15839974.24952361</v>
      </c>
      <c r="G60" s="409">
        <f t="shared" si="14"/>
        <v>15929659.409396553</v>
      </c>
      <c r="H60" s="409">
        <f t="shared" si="14"/>
        <v>15182357.230999554</v>
      </c>
      <c r="I60" s="409">
        <f t="shared" si="14"/>
        <v>17072719.878932104</v>
      </c>
      <c r="J60" s="409">
        <f t="shared" si="14"/>
        <v>0</v>
      </c>
      <c r="K60" s="409">
        <f t="shared" si="14"/>
        <v>0</v>
      </c>
      <c r="L60" s="409">
        <f t="shared" si="14"/>
        <v>0</v>
      </c>
      <c r="M60" s="409">
        <f t="shared" si="14"/>
        <v>0</v>
      </c>
      <c r="N60" s="409">
        <f t="shared" si="14"/>
        <v>0</v>
      </c>
      <c r="O60" s="62"/>
      <c r="P60" s="43"/>
      <c r="Q60" s="43"/>
      <c r="R60" s="43"/>
      <c r="S60" s="43"/>
      <c r="T60" s="43"/>
      <c r="U60" s="43"/>
    </row>
    <row r="61" spans="1:21" ht="15" customHeight="1">
      <c r="A61" s="43"/>
      <c r="B61" s="43"/>
      <c r="C61" s="43"/>
      <c r="D61" s="43"/>
      <c r="E61" s="43"/>
      <c r="F61" s="43"/>
      <c r="G61" s="43"/>
      <c r="H61" s="43"/>
      <c r="I61" s="43"/>
      <c r="J61" s="43"/>
      <c r="K61" s="43"/>
      <c r="L61" s="43"/>
      <c r="M61" s="43"/>
      <c r="N61" s="43"/>
      <c r="O61" s="43"/>
      <c r="P61" s="43"/>
      <c r="Q61" s="43"/>
      <c r="R61" s="62"/>
      <c r="S61" s="43"/>
      <c r="T61" s="43"/>
      <c r="U61" s="43"/>
    </row>
    <row r="62" spans="1:21" ht="15" customHeight="1">
      <c r="A62" s="46" t="s">
        <v>820</v>
      </c>
      <c r="B62" s="43"/>
      <c r="C62" s="95" t="s">
        <v>596</v>
      </c>
      <c r="D62" s="95" t="s">
        <v>821</v>
      </c>
      <c r="E62" s="95" t="s">
        <v>822</v>
      </c>
      <c r="F62" s="310">
        <v>45761</v>
      </c>
      <c r="G62" s="283">
        <f t="shared" ref="G62:Q62" si="15">+D1</f>
        <v>45838</v>
      </c>
      <c r="H62" s="283">
        <f t="shared" si="15"/>
        <v>45930</v>
      </c>
      <c r="I62" s="283">
        <f t="shared" si="15"/>
        <v>46022</v>
      </c>
      <c r="J62" s="283">
        <f t="shared" si="15"/>
        <v>46112</v>
      </c>
      <c r="K62" s="283">
        <f t="shared" si="15"/>
        <v>46203</v>
      </c>
      <c r="L62" s="283">
        <f t="shared" si="15"/>
        <v>46295</v>
      </c>
      <c r="M62" s="283">
        <f t="shared" si="15"/>
        <v>46387</v>
      </c>
      <c r="N62" s="283">
        <f t="shared" si="15"/>
        <v>46752</v>
      </c>
      <c r="O62" s="283">
        <f t="shared" si="15"/>
        <v>47118</v>
      </c>
      <c r="P62" s="283">
        <f t="shared" si="15"/>
        <v>47483</v>
      </c>
      <c r="Q62" s="283">
        <f t="shared" si="15"/>
        <v>47848</v>
      </c>
      <c r="R62" s="62"/>
      <c r="S62" s="43"/>
      <c r="T62" s="43"/>
      <c r="U62" s="43"/>
    </row>
    <row r="63" spans="1:21" ht="15" customHeight="1">
      <c r="A63" s="46" t="s">
        <v>823</v>
      </c>
      <c r="B63" s="43"/>
      <c r="C63" s="377">
        <v>0.15</v>
      </c>
      <c r="D63" s="384">
        <v>13800000</v>
      </c>
      <c r="E63" s="310">
        <v>45751</v>
      </c>
      <c r="F63" s="227">
        <f t="shared" ref="F63:Q63" si="16">+$D$63-F68</f>
        <v>11300000</v>
      </c>
      <c r="G63" s="227">
        <f t="shared" si="16"/>
        <v>11300000</v>
      </c>
      <c r="H63" s="227">
        <f t="shared" si="16"/>
        <v>11300000</v>
      </c>
      <c r="I63" s="227">
        <f t="shared" si="16"/>
        <v>11300000</v>
      </c>
      <c r="J63" s="227">
        <f t="shared" si="16"/>
        <v>11300000</v>
      </c>
      <c r="K63" s="227">
        <f t="shared" si="16"/>
        <v>11300000</v>
      </c>
      <c r="L63" s="227">
        <f t="shared" si="16"/>
        <v>11300000</v>
      </c>
      <c r="M63" s="227">
        <f t="shared" si="16"/>
        <v>11300000</v>
      </c>
      <c r="N63" s="227">
        <f t="shared" si="16"/>
        <v>11300000</v>
      </c>
      <c r="O63" s="227">
        <f t="shared" si="16"/>
        <v>11300000</v>
      </c>
      <c r="P63" s="227">
        <f t="shared" si="16"/>
        <v>11300000</v>
      </c>
      <c r="Q63" s="227">
        <f t="shared" si="16"/>
        <v>11300000</v>
      </c>
      <c r="R63" s="62"/>
      <c r="S63" s="43"/>
      <c r="T63" s="43"/>
      <c r="U63" s="43"/>
    </row>
    <row r="64" spans="1:21" ht="15" customHeight="1">
      <c r="A64" s="46" t="s">
        <v>824</v>
      </c>
      <c r="B64" s="76"/>
      <c r="C64" s="381"/>
      <c r="D64" s="43"/>
      <c r="E64" s="283"/>
      <c r="F64" s="410">
        <f>+(D63*(1+$C$63)^((F62-E63)/360))-D63</f>
        <v>53679.543227950111</v>
      </c>
      <c r="G64" s="385">
        <f t="shared" ref="G64:Q64" si="17">(F63*(1+$C$63)^((G62-F62)/360)-F63)+(F64*(1+$C$63)^((G62-F62)/360))</f>
        <v>398204.94798248133</v>
      </c>
      <c r="H64" s="385">
        <f t="shared" si="17"/>
        <v>823580.37643511943</v>
      </c>
      <c r="I64" s="385">
        <f t="shared" si="17"/>
        <v>1264423.4989430299</v>
      </c>
      <c r="J64" s="385">
        <f t="shared" si="17"/>
        <v>1711190.2289069174</v>
      </c>
      <c r="K64" s="385">
        <f t="shared" si="17"/>
        <v>2179075.0579041434</v>
      </c>
      <c r="L64" s="385">
        <f t="shared" si="17"/>
        <v>2669207.2921568942</v>
      </c>
      <c r="M64" s="385">
        <f t="shared" si="17"/>
        <v>3177161.9367769444</v>
      </c>
      <c r="N64" s="385">
        <f t="shared" si="17"/>
        <v>5381085.1099769594</v>
      </c>
      <c r="O64" s="385">
        <f t="shared" si="17"/>
        <v>7927984.760264636</v>
      </c>
      <c r="P64" s="385">
        <f t="shared" si="17"/>
        <v>10855146.960435366</v>
      </c>
      <c r="Q64" s="385">
        <f t="shared" si="17"/>
        <v>14227924.166699456</v>
      </c>
      <c r="R64" s="62"/>
      <c r="S64" s="43"/>
      <c r="T64" s="43"/>
      <c r="U64" s="43"/>
    </row>
    <row r="65" spans="1:21" ht="15" customHeight="1">
      <c r="A65" s="46" t="s">
        <v>741</v>
      </c>
      <c r="B65" s="76"/>
      <c r="C65" s="381"/>
      <c r="D65" s="43"/>
      <c r="E65" s="283"/>
      <c r="F65" s="386">
        <f t="shared" ref="F65:L65" si="18">SUM(F63:F64)</f>
        <v>11353679.54322795</v>
      </c>
      <c r="G65" s="386">
        <f t="shared" si="18"/>
        <v>11698204.947982481</v>
      </c>
      <c r="H65" s="386">
        <f t="shared" si="18"/>
        <v>12123580.37643512</v>
      </c>
      <c r="I65" s="386">
        <f t="shared" si="18"/>
        <v>12564423.498943031</v>
      </c>
      <c r="J65" s="386">
        <f t="shared" si="18"/>
        <v>13011190.228906918</v>
      </c>
      <c r="K65" s="386">
        <f t="shared" si="18"/>
        <v>13479075.057904143</v>
      </c>
      <c r="L65" s="386">
        <f t="shared" si="18"/>
        <v>13969207.292156894</v>
      </c>
      <c r="M65" s="381"/>
      <c r="N65" s="381"/>
      <c r="O65" s="381"/>
      <c r="P65" s="381"/>
      <c r="Q65" s="381"/>
      <c r="R65" s="62"/>
      <c r="S65" s="43"/>
      <c r="T65" s="43"/>
      <c r="U65" s="43"/>
    </row>
    <row r="66" spans="1:21" ht="15" customHeight="1">
      <c r="A66" s="43"/>
      <c r="B66" s="76"/>
      <c r="C66" s="381"/>
      <c r="D66" s="43"/>
      <c r="E66" s="283"/>
      <c r="F66" s="43"/>
      <c r="G66" s="381"/>
      <c r="H66" s="43"/>
      <c r="I66" s="43"/>
      <c r="J66" s="43"/>
      <c r="K66" s="43"/>
      <c r="L66" s="43"/>
      <c r="M66" s="43"/>
      <c r="N66" s="43"/>
      <c r="O66" s="43"/>
      <c r="P66" s="43"/>
      <c r="Q66" s="43"/>
      <c r="R66" s="62"/>
      <c r="S66" s="43"/>
      <c r="T66" s="43"/>
      <c r="U66" s="43"/>
    </row>
    <row r="67" spans="1:21" ht="15" customHeight="1">
      <c r="A67" s="46" t="s">
        <v>744</v>
      </c>
      <c r="B67" s="43"/>
      <c r="C67" s="95" t="s">
        <v>596</v>
      </c>
      <c r="D67" s="95" t="s">
        <v>821</v>
      </c>
      <c r="E67" s="95" t="s">
        <v>822</v>
      </c>
      <c r="F67" s="43"/>
      <c r="G67" s="381"/>
      <c r="H67" s="43"/>
      <c r="I67" s="43"/>
      <c r="J67" s="43"/>
      <c r="K67" s="43"/>
      <c r="L67" s="43"/>
      <c r="M67" s="43"/>
      <c r="N67" s="43"/>
      <c r="O67" s="43"/>
      <c r="P67" s="43"/>
      <c r="Q67" s="43"/>
      <c r="R67" s="62"/>
      <c r="S67" s="43"/>
      <c r="T67" s="43"/>
      <c r="U67" s="43"/>
    </row>
    <row r="68" spans="1:21" ht="15" customHeight="1">
      <c r="A68" s="46" t="s">
        <v>825</v>
      </c>
      <c r="B68" s="43"/>
      <c r="C68" s="76">
        <f>+C63</f>
        <v>0.15</v>
      </c>
      <c r="D68" s="384">
        <v>2500000</v>
      </c>
      <c r="E68" s="310">
        <v>45761</v>
      </c>
      <c r="F68" s="227">
        <f>+D68</f>
        <v>2500000</v>
      </c>
      <c r="G68" s="381">
        <f t="shared" ref="G68:Q68" si="19">+F68</f>
        <v>2500000</v>
      </c>
      <c r="H68" s="227">
        <f t="shared" si="19"/>
        <v>2500000</v>
      </c>
      <c r="I68" s="381">
        <f t="shared" si="19"/>
        <v>2500000</v>
      </c>
      <c r="J68" s="381">
        <f t="shared" si="19"/>
        <v>2500000</v>
      </c>
      <c r="K68" s="381">
        <f t="shared" si="19"/>
        <v>2500000</v>
      </c>
      <c r="L68" s="381">
        <f t="shared" si="19"/>
        <v>2500000</v>
      </c>
      <c r="M68" s="381">
        <f t="shared" si="19"/>
        <v>2500000</v>
      </c>
      <c r="N68" s="381">
        <f t="shared" si="19"/>
        <v>2500000</v>
      </c>
      <c r="O68" s="381">
        <f t="shared" si="19"/>
        <v>2500000</v>
      </c>
      <c r="P68" s="381">
        <f t="shared" si="19"/>
        <v>2500000</v>
      </c>
      <c r="Q68" s="381">
        <f t="shared" si="19"/>
        <v>2500000</v>
      </c>
      <c r="R68" s="62"/>
      <c r="S68" s="43"/>
      <c r="T68" s="43"/>
      <c r="U68" s="43"/>
    </row>
    <row r="69" spans="1:21" ht="15" customHeight="1">
      <c r="A69" s="46" t="s">
        <v>826</v>
      </c>
      <c r="B69" s="43"/>
      <c r="C69" s="76"/>
      <c r="D69" s="381"/>
      <c r="E69" s="283"/>
      <c r="F69" s="381"/>
      <c r="G69" s="381">
        <f t="shared" ref="G69:Q69" si="20">+G70-G68</f>
        <v>75862.059397305362</v>
      </c>
      <c r="H69" s="381">
        <f t="shared" si="20"/>
        <v>169526.72265318315</v>
      </c>
      <c r="I69" s="381">
        <f t="shared" si="20"/>
        <v>266597.26283124741</v>
      </c>
      <c r="J69" s="381">
        <f t="shared" si="20"/>
        <v>364972.13950952422</v>
      </c>
      <c r="K69" s="381">
        <f t="shared" si="20"/>
        <v>467997.07235525968</v>
      </c>
      <c r="L69" s="381">
        <f t="shared" si="20"/>
        <v>575920.72661787691</v>
      </c>
      <c r="M69" s="381">
        <f t="shared" si="20"/>
        <v>687768.74969402282</v>
      </c>
      <c r="N69" s="381">
        <f t="shared" si="20"/>
        <v>1173057.0575084202</v>
      </c>
      <c r="O69" s="381">
        <f t="shared" si="20"/>
        <v>1733866.3617940107</v>
      </c>
      <c r="P69" s="381">
        <f t="shared" si="20"/>
        <v>2378406.7922830572</v>
      </c>
      <c r="Q69" s="381">
        <f t="shared" si="20"/>
        <v>3121068.4979932178</v>
      </c>
      <c r="R69" s="62"/>
      <c r="S69" s="43"/>
      <c r="T69" s="43"/>
      <c r="U69" s="43"/>
    </row>
    <row r="70" spans="1:21" ht="15" customHeight="1">
      <c r="A70" s="46" t="s">
        <v>741</v>
      </c>
      <c r="B70" s="43"/>
      <c r="C70" s="76"/>
      <c r="D70" s="381"/>
      <c r="E70" s="283"/>
      <c r="F70" s="381"/>
      <c r="G70" s="385">
        <f t="shared" ref="G70:Q70" si="21">+G68*(1+$C$68)^((G62-$E$68)/360)</f>
        <v>2575862.0593973054</v>
      </c>
      <c r="H70" s="185">
        <f t="shared" si="21"/>
        <v>2669526.7226531832</v>
      </c>
      <c r="I70" s="385">
        <f t="shared" si="21"/>
        <v>2766597.2628312474</v>
      </c>
      <c r="J70" s="385">
        <f t="shared" si="21"/>
        <v>2864972.1395095242</v>
      </c>
      <c r="K70" s="385">
        <f t="shared" si="21"/>
        <v>2967997.0723552597</v>
      </c>
      <c r="L70" s="385">
        <f t="shared" si="21"/>
        <v>3075920.7266178769</v>
      </c>
      <c r="M70" s="385">
        <f t="shared" si="21"/>
        <v>3187768.7496940228</v>
      </c>
      <c r="N70" s="385">
        <f t="shared" si="21"/>
        <v>3673057.0575084202</v>
      </c>
      <c r="O70" s="385">
        <f t="shared" si="21"/>
        <v>4233866.3617940107</v>
      </c>
      <c r="P70" s="385">
        <f t="shared" si="21"/>
        <v>4878406.7922830572</v>
      </c>
      <c r="Q70" s="385">
        <f t="shared" si="21"/>
        <v>5621068.4979932178</v>
      </c>
      <c r="R70" s="62"/>
      <c r="S70" s="43"/>
      <c r="T70" s="43"/>
      <c r="U70" s="43"/>
    </row>
    <row r="71" spans="1:21" ht="15" customHeight="1">
      <c r="A71" s="43"/>
      <c r="B71" s="43"/>
      <c r="C71" s="43"/>
      <c r="D71" s="43"/>
      <c r="E71" s="43"/>
      <c r="F71" s="43"/>
      <c r="G71" s="43"/>
      <c r="H71" s="43"/>
      <c r="I71" s="43"/>
      <c r="J71" s="43"/>
      <c r="K71" s="43"/>
      <c r="L71" s="43"/>
      <c r="M71" s="43"/>
      <c r="N71" s="43"/>
      <c r="O71" s="43"/>
      <c r="P71" s="43"/>
      <c r="Q71" s="43"/>
      <c r="R71" s="62"/>
      <c r="S71" s="43"/>
      <c r="T71" s="43"/>
      <c r="U71" s="43"/>
    </row>
    <row r="72" spans="1:21" ht="15" customHeight="1">
      <c r="A72" s="43"/>
      <c r="B72" s="43"/>
      <c r="C72" s="43"/>
      <c r="D72" s="43"/>
      <c r="E72" s="43"/>
      <c r="F72" s="43"/>
      <c r="G72" s="43"/>
      <c r="H72" s="43"/>
      <c r="I72" s="43"/>
      <c r="J72" s="411"/>
      <c r="K72" s="43"/>
      <c r="L72" s="43"/>
      <c r="M72" s="43"/>
      <c r="N72" s="43"/>
      <c r="O72" s="43"/>
      <c r="P72" s="43"/>
      <c r="Q72" s="43"/>
      <c r="R72" s="62"/>
      <c r="S72" s="43"/>
      <c r="T72" s="43"/>
      <c r="U72" s="43"/>
    </row>
    <row r="73" spans="1:21" ht="15" customHeight="1">
      <c r="A73" s="43"/>
      <c r="B73" s="43"/>
      <c r="C73" s="43"/>
      <c r="D73" s="43"/>
      <c r="E73" s="43"/>
      <c r="F73" s="43"/>
      <c r="G73" s="43"/>
      <c r="H73" s="43"/>
      <c r="I73" s="43"/>
      <c r="J73" s="43"/>
      <c r="K73" s="43"/>
      <c r="L73" s="43"/>
      <c r="M73" s="43"/>
      <c r="N73" s="43"/>
      <c r="O73" s="43"/>
      <c r="P73" s="43"/>
      <c r="Q73" s="43"/>
      <c r="R73" s="62"/>
      <c r="S73" s="43"/>
      <c r="T73" s="43"/>
      <c r="U73" s="43"/>
    </row>
  </sheetData>
  <pageMargins left="0.7" right="0.7" top="0.75" bottom="0.75" header="0.3" footer="0.3"/>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0">
    <tabColor rgb="FFB4C6E7"/>
  </sheetPr>
  <dimension ref="A1:U70"/>
  <sheetViews>
    <sheetView showGridLines="0" zoomScale="80" zoomScaleNormal="85" workbookViewId="0">
      <pane xSplit="1" ySplit="2" topLeftCell="B3" activePane="bottomRight" state="frozen"/>
      <selection pane="topRight" activeCell="B1" sqref="B1"/>
      <selection pane="bottomLeft" activeCell="A3" sqref="A3"/>
      <selection pane="bottomRight" activeCell="H30" sqref="H30"/>
    </sheetView>
  </sheetViews>
  <sheetFormatPr defaultColWidth="8.6328125" defaultRowHeight="14.5"/>
  <cols>
    <col min="1" max="1" width="31.6328125" customWidth="1"/>
    <col min="2" max="2" width="16.54296875" customWidth="1"/>
    <col min="3" max="3" width="14.26953125" customWidth="1"/>
    <col min="4" max="4" width="18.26953125" bestFit="1" customWidth="1"/>
    <col min="5" max="5" width="16.6328125" bestFit="1" customWidth="1"/>
    <col min="6" max="6" width="18.26953125" bestFit="1" customWidth="1"/>
    <col min="7" max="7" width="17.26953125" bestFit="1" customWidth="1"/>
    <col min="8" max="8" width="18" bestFit="1" customWidth="1"/>
    <col min="9" max="9" width="17.26953125" bestFit="1" customWidth="1"/>
    <col min="10" max="10" width="18.26953125" bestFit="1" customWidth="1"/>
    <col min="11" max="14" width="16.54296875" customWidth="1"/>
    <col min="15" max="15" width="24.26953125" customWidth="1"/>
    <col min="16" max="16" width="24.6328125" customWidth="1"/>
    <col min="18" max="18" width="15.6328125" customWidth="1"/>
    <col min="19" max="21" width="14.54296875" customWidth="1"/>
  </cols>
  <sheetData>
    <row r="1" spans="1:21" s="27" customFormat="1" ht="17.649999999999999" customHeight="1">
      <c r="A1" s="281" t="s">
        <v>827</v>
      </c>
      <c r="B1" s="278">
        <v>45657</v>
      </c>
      <c r="C1" s="278">
        <v>45747</v>
      </c>
      <c r="D1" s="278">
        <v>45838</v>
      </c>
      <c r="E1" s="278">
        <v>45930</v>
      </c>
      <c r="F1" s="278">
        <v>46022</v>
      </c>
      <c r="G1" s="278">
        <v>46112</v>
      </c>
      <c r="H1" s="278">
        <v>46203</v>
      </c>
      <c r="I1" s="278">
        <v>46295</v>
      </c>
      <c r="J1" s="278">
        <v>46387</v>
      </c>
      <c r="K1" s="278">
        <v>46752</v>
      </c>
      <c r="L1" s="278">
        <v>47118</v>
      </c>
      <c r="M1" s="278">
        <v>47483</v>
      </c>
      <c r="N1" s="278">
        <v>47848</v>
      </c>
      <c r="O1" s="279"/>
      <c r="P1" s="43"/>
      <c r="Q1" s="43"/>
      <c r="R1" s="43"/>
      <c r="S1" s="43"/>
      <c r="T1" s="43"/>
      <c r="U1" s="43"/>
    </row>
    <row r="2" spans="1:21" s="22" customFormat="1" ht="15" customHeight="1">
      <c r="A2" s="111"/>
      <c r="B2" s="375" t="s">
        <v>2</v>
      </c>
      <c r="C2" s="375" t="s">
        <v>3</v>
      </c>
      <c r="D2" s="375" t="s">
        <v>4</v>
      </c>
      <c r="E2" s="375" t="s">
        <v>5</v>
      </c>
      <c r="F2" s="375" t="s">
        <v>2</v>
      </c>
      <c r="G2" s="375" t="s">
        <v>3</v>
      </c>
      <c r="H2" s="375" t="s">
        <v>4</v>
      </c>
      <c r="I2" s="375" t="s">
        <v>5</v>
      </c>
      <c r="J2" s="375" t="s">
        <v>2</v>
      </c>
      <c r="K2" s="375" t="s">
        <v>2</v>
      </c>
      <c r="L2" s="375" t="s">
        <v>2</v>
      </c>
      <c r="M2" s="375" t="s">
        <v>2</v>
      </c>
      <c r="N2" s="375" t="s">
        <v>2</v>
      </c>
      <c r="O2" s="50"/>
      <c r="P2" s="43"/>
      <c r="Q2" s="43"/>
      <c r="R2" s="43"/>
      <c r="S2" s="43"/>
      <c r="T2" s="43"/>
      <c r="U2" s="43"/>
    </row>
    <row r="3" spans="1:21" ht="15" customHeight="1">
      <c r="A3" s="46" t="s">
        <v>679</v>
      </c>
      <c r="B3" s="381"/>
      <c r="C3" s="382"/>
      <c r="D3" s="382"/>
      <c r="E3" s="382"/>
      <c r="F3" s="382"/>
      <c r="G3" s="381"/>
      <c r="H3" s="381"/>
      <c r="I3" s="381"/>
      <c r="J3" s="381"/>
      <c r="K3" s="381"/>
      <c r="L3" s="381"/>
      <c r="M3" s="381"/>
      <c r="N3" s="381"/>
      <c r="O3" s="62"/>
      <c r="P3" s="381"/>
      <c r="Q3" s="381"/>
      <c r="R3" s="381"/>
      <c r="S3" s="43"/>
      <c r="T3" s="43"/>
      <c r="U3" s="381"/>
    </row>
    <row r="4" spans="1:21" ht="15" customHeight="1">
      <c r="A4" s="56" t="s">
        <v>617</v>
      </c>
      <c r="B4" s="381"/>
      <c r="C4" s="382"/>
      <c r="D4" s="383">
        <v>0</v>
      </c>
      <c r="E4" s="383">
        <v>0</v>
      </c>
      <c r="F4" s="383">
        <v>0</v>
      </c>
      <c r="G4" s="384">
        <v>0</v>
      </c>
      <c r="H4" s="381"/>
      <c r="I4" s="384">
        <v>0</v>
      </c>
      <c r="J4" s="384">
        <v>0</v>
      </c>
      <c r="K4" s="384">
        <v>0</v>
      </c>
      <c r="L4" s="384">
        <v>0</v>
      </c>
      <c r="M4" s="384">
        <v>0</v>
      </c>
      <c r="N4" s="384">
        <v>0</v>
      </c>
      <c r="O4" s="62"/>
      <c r="P4" s="381"/>
      <c r="Q4" s="381"/>
      <c r="R4" s="381"/>
      <c r="S4" s="381"/>
      <c r="T4" s="381"/>
      <c r="U4" s="381"/>
    </row>
    <row r="5" spans="1:21" s="14" customFormat="1" ht="15" customHeight="1">
      <c r="A5" s="101" t="s">
        <v>541</v>
      </c>
      <c r="B5" s="381"/>
      <c r="C5" s="381"/>
      <c r="D5" s="381"/>
      <c r="E5" s="381"/>
      <c r="F5" s="381"/>
      <c r="G5" s="384">
        <v>0</v>
      </c>
      <c r="H5" s="381"/>
      <c r="I5" s="381"/>
      <c r="J5" s="381"/>
      <c r="K5" s="381"/>
      <c r="L5" s="381"/>
      <c r="M5" s="381"/>
      <c r="N5" s="381"/>
      <c r="O5" s="62"/>
      <c r="P5" s="43"/>
      <c r="Q5" s="43"/>
      <c r="R5" s="43"/>
      <c r="S5" s="43"/>
      <c r="T5" s="43"/>
      <c r="U5" s="43"/>
    </row>
    <row r="6" spans="1:21" s="14" customFormat="1" ht="15" customHeight="1">
      <c r="A6" s="83" t="s">
        <v>618</v>
      </c>
      <c r="B6" s="386">
        <f>SUM(B4:B5)</f>
        <v>0</v>
      </c>
      <c r="C6" s="386">
        <f>SUM(C4:C5)</f>
        <v>0</v>
      </c>
      <c r="D6" s="386">
        <f>SUM(D4:D5)</f>
        <v>0</v>
      </c>
      <c r="E6" s="386">
        <f>SUM(E4:E5)</f>
        <v>0</v>
      </c>
      <c r="F6" s="386">
        <f>SUM(F4:F5)</f>
        <v>0</v>
      </c>
      <c r="G6" s="384">
        <v>0</v>
      </c>
      <c r="H6" s="381"/>
      <c r="I6" s="386">
        <f t="shared" ref="I6:N6" si="0">SUM(I4:I5)</f>
        <v>0</v>
      </c>
      <c r="J6" s="386">
        <f t="shared" si="0"/>
        <v>0</v>
      </c>
      <c r="K6" s="386">
        <f t="shared" si="0"/>
        <v>0</v>
      </c>
      <c r="L6" s="386">
        <f t="shared" si="0"/>
        <v>0</v>
      </c>
      <c r="M6" s="386">
        <f t="shared" si="0"/>
        <v>0</v>
      </c>
      <c r="N6" s="386">
        <f t="shared" si="0"/>
        <v>0</v>
      </c>
      <c r="O6" s="62"/>
      <c r="P6" s="43"/>
      <c r="Q6" s="43"/>
      <c r="R6" s="43"/>
      <c r="S6" s="43"/>
      <c r="T6" s="43"/>
      <c r="U6" s="43"/>
    </row>
    <row r="7" spans="1:21" s="14" customFormat="1" ht="15" customHeight="1">
      <c r="A7" s="83" t="s">
        <v>619</v>
      </c>
      <c r="B7" s="381"/>
      <c r="C7" s="381"/>
      <c r="D7" s="381"/>
      <c r="E7" s="381"/>
      <c r="F7" s="381"/>
      <c r="G7" s="384">
        <v>0</v>
      </c>
      <c r="H7" s="381"/>
      <c r="I7" s="381"/>
      <c r="J7" s="381"/>
      <c r="K7" s="381"/>
      <c r="L7" s="381"/>
      <c r="M7" s="381"/>
      <c r="N7" s="381"/>
      <c r="O7" s="62"/>
      <c r="P7" s="46" t="s">
        <v>828</v>
      </c>
      <c r="Q7" s="300">
        <v>2030</v>
      </c>
      <c r="R7" s="43"/>
      <c r="S7" s="43"/>
      <c r="T7" s="43"/>
      <c r="U7" s="43"/>
    </row>
    <row r="8" spans="1:21" s="14" customFormat="1" ht="15" customHeight="1">
      <c r="A8" s="83" t="s">
        <v>546</v>
      </c>
      <c r="B8" s="386">
        <f t="shared" ref="B8:G8" si="1">SUM(B6:B7)</f>
        <v>0</v>
      </c>
      <c r="C8" s="386">
        <f t="shared" si="1"/>
        <v>0</v>
      </c>
      <c r="D8" s="386">
        <f t="shared" si="1"/>
        <v>0</v>
      </c>
      <c r="E8" s="386">
        <f t="shared" si="1"/>
        <v>0</v>
      </c>
      <c r="F8" s="386">
        <f t="shared" si="1"/>
        <v>0</v>
      </c>
      <c r="G8" s="386">
        <f t="shared" si="1"/>
        <v>0</v>
      </c>
      <c r="H8" s="381"/>
      <c r="I8" s="386">
        <f t="shared" ref="I8:N8" si="2">SUM(I6:I7)</f>
        <v>0</v>
      </c>
      <c r="J8" s="386">
        <f t="shared" si="2"/>
        <v>0</v>
      </c>
      <c r="K8" s="386">
        <f t="shared" si="2"/>
        <v>0</v>
      </c>
      <c r="L8" s="386">
        <f t="shared" si="2"/>
        <v>0</v>
      </c>
      <c r="M8" s="386">
        <f t="shared" si="2"/>
        <v>0</v>
      </c>
      <c r="N8" s="386">
        <f t="shared" si="2"/>
        <v>0</v>
      </c>
      <c r="O8" s="62"/>
      <c r="P8" s="101" t="s">
        <v>829</v>
      </c>
      <c r="Q8" s="120">
        <v>5.5</v>
      </c>
      <c r="R8" s="43"/>
      <c r="S8" s="43"/>
      <c r="T8" s="43"/>
      <c r="U8" s="43"/>
    </row>
    <row r="9" spans="1:21" s="14" customFormat="1" ht="15" customHeight="1">
      <c r="A9" s="101" t="s">
        <v>620</v>
      </c>
      <c r="B9" s="384">
        <v>0</v>
      </c>
      <c r="C9" s="384">
        <v>0</v>
      </c>
      <c r="D9" s="384">
        <v>0</v>
      </c>
      <c r="E9" s="384">
        <v>0</v>
      </c>
      <c r="F9" s="384">
        <v>0</v>
      </c>
      <c r="G9" s="381">
        <f>+G8+F9</f>
        <v>0</v>
      </c>
      <c r="H9" s="381"/>
      <c r="I9" s="381"/>
      <c r="J9" s="381"/>
      <c r="K9" s="381"/>
      <c r="L9" s="381"/>
      <c r="M9" s="381"/>
      <c r="N9" s="381"/>
      <c r="O9" s="62"/>
      <c r="P9" s="72"/>
      <c r="Q9" s="43"/>
      <c r="R9" s="43"/>
      <c r="S9" s="43"/>
      <c r="T9" s="43"/>
      <c r="U9" s="43"/>
    </row>
    <row r="10" spans="1:21" s="14" customFormat="1" ht="15" customHeight="1">
      <c r="A10" s="72"/>
      <c r="B10" s="381"/>
      <c r="C10" s="381"/>
      <c r="D10" s="381"/>
      <c r="E10" s="381"/>
      <c r="F10" s="381"/>
      <c r="G10" s="381"/>
      <c r="H10" s="381"/>
      <c r="I10" s="381"/>
      <c r="J10" s="381"/>
      <c r="K10" s="381"/>
      <c r="L10" s="381"/>
      <c r="M10" s="381"/>
      <c r="N10" s="381"/>
      <c r="O10" s="62"/>
      <c r="P10" s="72"/>
      <c r="Q10" s="43"/>
      <c r="R10" s="43"/>
      <c r="S10" s="43"/>
      <c r="T10" s="43"/>
      <c r="U10" s="43"/>
    </row>
    <row r="11" spans="1:21" ht="15" customHeight="1">
      <c r="A11" s="46" t="s">
        <v>621</v>
      </c>
      <c r="B11" s="381"/>
      <c r="C11" s="381"/>
      <c r="D11" s="381"/>
      <c r="E11" s="381"/>
      <c r="F11" s="381"/>
      <c r="G11" s="381"/>
      <c r="H11" s="381"/>
      <c r="I11" s="381"/>
      <c r="J11" s="381"/>
      <c r="K11" s="381"/>
      <c r="L11" s="381"/>
      <c r="M11" s="381"/>
      <c r="N11" s="381"/>
      <c r="O11" s="62"/>
      <c r="P11" s="43"/>
      <c r="Q11" s="43"/>
      <c r="R11" s="43"/>
      <c r="S11" s="43"/>
      <c r="T11" s="43"/>
      <c r="U11" s="43"/>
    </row>
    <row r="12" spans="1:21" ht="15" customHeight="1">
      <c r="A12" s="46" t="s">
        <v>507</v>
      </c>
      <c r="B12" s="381"/>
      <c r="C12" s="381"/>
      <c r="D12" s="381"/>
      <c r="E12" s="381"/>
      <c r="F12" s="381"/>
      <c r="G12" s="381"/>
      <c r="H12" s="381"/>
      <c r="I12" s="381"/>
      <c r="J12" s="381"/>
      <c r="K12" s="381"/>
      <c r="L12" s="381"/>
      <c r="M12" s="381"/>
      <c r="N12" s="381"/>
      <c r="O12" s="62"/>
      <c r="P12" s="43"/>
      <c r="Q12" s="43"/>
      <c r="R12" s="43"/>
      <c r="S12" s="43"/>
      <c r="T12" s="43"/>
      <c r="U12" s="43"/>
    </row>
    <row r="13" spans="1:21" ht="15" customHeight="1">
      <c r="A13" s="46" t="s">
        <v>830</v>
      </c>
      <c r="B13" s="58">
        <v>0</v>
      </c>
      <c r="C13" s="58">
        <v>0</v>
      </c>
      <c r="D13" s="58">
        <v>0</v>
      </c>
      <c r="E13" s="58">
        <v>0</v>
      </c>
      <c r="F13" s="43"/>
      <c r="G13" s="59"/>
      <c r="H13" s="59"/>
      <c r="I13" s="59"/>
      <c r="J13" s="58">
        <v>-16000000</v>
      </c>
      <c r="K13" s="185">
        <f>20000000*0</f>
        <v>0</v>
      </c>
      <c r="L13" s="43"/>
      <c r="M13" s="43"/>
      <c r="N13" s="43"/>
      <c r="O13" s="46" t="s">
        <v>831</v>
      </c>
      <c r="P13" s="43"/>
      <c r="Q13" s="43"/>
      <c r="R13" s="43"/>
      <c r="S13" s="43"/>
      <c r="T13" s="43"/>
      <c r="U13" s="43"/>
    </row>
    <row r="14" spans="1:21" ht="15" customHeight="1">
      <c r="A14" s="56" t="s">
        <v>832</v>
      </c>
      <c r="B14" s="381"/>
      <c r="C14" s="381"/>
      <c r="D14" s="381"/>
      <c r="E14" s="381"/>
      <c r="F14" s="381"/>
      <c r="G14" s="381"/>
      <c r="H14" s="381"/>
      <c r="I14" s="381"/>
      <c r="J14" s="381"/>
      <c r="K14" s="381"/>
      <c r="L14" s="381"/>
      <c r="M14" s="381"/>
      <c r="N14" s="381"/>
      <c r="O14" s="51"/>
      <c r="P14" s="43"/>
      <c r="Q14" s="43"/>
      <c r="R14" s="43"/>
      <c r="S14" s="43"/>
      <c r="T14" s="43"/>
      <c r="U14" s="43"/>
    </row>
    <row r="15" spans="1:21" ht="15" customHeight="1">
      <c r="A15" s="56" t="s">
        <v>832</v>
      </c>
      <c r="B15" s="381"/>
      <c r="C15" s="381"/>
      <c r="D15" s="381"/>
      <c r="E15" s="381"/>
      <c r="F15" s="381"/>
      <c r="G15" s="381"/>
      <c r="H15" s="381"/>
      <c r="I15" s="381"/>
      <c r="J15" s="381"/>
      <c r="K15" s="381"/>
      <c r="L15" s="381"/>
      <c r="M15" s="381"/>
      <c r="N15" s="381"/>
      <c r="O15" s="62"/>
      <c r="P15" s="43"/>
      <c r="Q15" s="43"/>
      <c r="R15" s="43"/>
      <c r="S15" s="43"/>
      <c r="T15" s="43"/>
      <c r="U15" s="43"/>
    </row>
    <row r="16" spans="1:21" s="14" customFormat="1" ht="15" customHeight="1">
      <c r="A16" s="56" t="s">
        <v>832</v>
      </c>
      <c r="B16" s="381"/>
      <c r="C16" s="381"/>
      <c r="D16" s="381"/>
      <c r="E16" s="381"/>
      <c r="F16" s="381"/>
      <c r="G16" s="381"/>
      <c r="H16" s="381"/>
      <c r="I16" s="381"/>
      <c r="J16" s="381"/>
      <c r="K16" s="381"/>
      <c r="L16" s="381"/>
      <c r="M16" s="381"/>
      <c r="N16" s="381"/>
      <c r="O16" s="62"/>
      <c r="P16" s="43"/>
      <c r="Q16" s="43"/>
      <c r="R16" s="43"/>
      <c r="S16" s="43"/>
      <c r="T16" s="43"/>
      <c r="U16" s="43"/>
    </row>
    <row r="17" spans="1:21" ht="15" customHeight="1">
      <c r="A17" s="330" t="s">
        <v>260</v>
      </c>
      <c r="B17" s="388">
        <f t="shared" ref="B17:N17" si="3">SUM(B13:B16)</f>
        <v>0</v>
      </c>
      <c r="C17" s="388">
        <f t="shared" si="3"/>
        <v>0</v>
      </c>
      <c r="D17" s="388">
        <f t="shared" si="3"/>
        <v>0</v>
      </c>
      <c r="E17" s="388">
        <f t="shared" si="3"/>
        <v>0</v>
      </c>
      <c r="F17" s="388">
        <f t="shared" si="3"/>
        <v>0</v>
      </c>
      <c r="G17" s="388">
        <f t="shared" si="3"/>
        <v>0</v>
      </c>
      <c r="H17" s="388">
        <f t="shared" si="3"/>
        <v>0</v>
      </c>
      <c r="I17" s="388">
        <f t="shared" si="3"/>
        <v>0</v>
      </c>
      <c r="J17" s="388">
        <f t="shared" si="3"/>
        <v>-16000000</v>
      </c>
      <c r="K17" s="388">
        <f t="shared" si="3"/>
        <v>0</v>
      </c>
      <c r="L17" s="388">
        <f t="shared" si="3"/>
        <v>0</v>
      </c>
      <c r="M17" s="388">
        <f t="shared" si="3"/>
        <v>0</v>
      </c>
      <c r="N17" s="388">
        <f t="shared" si="3"/>
        <v>0</v>
      </c>
      <c r="O17" s="62"/>
      <c r="P17" s="46" t="s">
        <v>833</v>
      </c>
      <c r="Q17" s="377">
        <v>7.0000000000000007E-2</v>
      </c>
      <c r="R17" s="43"/>
      <c r="S17" s="43"/>
      <c r="T17" s="43"/>
      <c r="U17" s="43"/>
    </row>
    <row r="18" spans="1:21" ht="15" customHeight="1">
      <c r="A18" s="389" t="s">
        <v>513</v>
      </c>
      <c r="B18" s="381"/>
      <c r="C18" s="381"/>
      <c r="D18" s="381"/>
      <c r="E18" s="381"/>
      <c r="F18" s="381"/>
      <c r="G18" s="381"/>
      <c r="H18" s="381"/>
      <c r="I18" s="381"/>
      <c r="J18" s="381"/>
      <c r="K18" s="381"/>
      <c r="L18" s="381"/>
      <c r="M18" s="381"/>
      <c r="N18" s="381"/>
      <c r="O18" s="62"/>
      <c r="P18" s="46" t="s">
        <v>834</v>
      </c>
      <c r="Q18" s="43">
        <f>+Q8/Q17</f>
        <v>78.571428571428569</v>
      </c>
      <c r="R18" s="43"/>
      <c r="S18" s="43"/>
      <c r="T18" s="43"/>
      <c r="U18" s="43"/>
    </row>
    <row r="19" spans="1:21">
      <c r="A19" s="43"/>
      <c r="B19" s="43"/>
      <c r="C19" s="43"/>
      <c r="D19" s="43"/>
      <c r="E19" s="43"/>
      <c r="F19" s="43"/>
      <c r="G19" s="43"/>
      <c r="H19" s="43"/>
      <c r="I19" s="43"/>
      <c r="J19" s="43"/>
      <c r="K19" s="43"/>
      <c r="L19" s="43"/>
      <c r="M19" s="43"/>
      <c r="N19" s="43"/>
      <c r="O19" s="43"/>
      <c r="P19" s="46" t="s">
        <v>835</v>
      </c>
      <c r="Q19" s="120">
        <v>5</v>
      </c>
      <c r="R19" s="43"/>
      <c r="S19" s="43"/>
      <c r="T19" s="43"/>
      <c r="U19" s="43"/>
    </row>
    <row r="20" spans="1:21">
      <c r="A20" s="46" t="s">
        <v>836</v>
      </c>
      <c r="B20" s="59"/>
      <c r="C20" s="59"/>
      <c r="D20" s="59"/>
      <c r="E20" s="59"/>
      <c r="F20" s="43"/>
      <c r="G20" s="59"/>
      <c r="H20" s="59"/>
      <c r="I20" s="59"/>
      <c r="J20" s="58">
        <v>-1000000</v>
      </c>
      <c r="K20" s="59"/>
      <c r="L20" s="43"/>
      <c r="M20" s="43"/>
      <c r="N20" s="43"/>
      <c r="O20" s="43"/>
      <c r="P20" s="43"/>
      <c r="Q20" s="43">
        <f>+Q18-Q19</f>
        <v>73.571428571428569</v>
      </c>
      <c r="R20" s="43"/>
      <c r="S20" s="43"/>
      <c r="T20" s="43"/>
      <c r="U20" s="43"/>
    </row>
    <row r="21" spans="1:21">
      <c r="A21" s="46" t="s">
        <v>837</v>
      </c>
      <c r="B21" s="59"/>
      <c r="C21" s="59"/>
      <c r="D21" s="59"/>
      <c r="E21" s="59"/>
      <c r="F21" s="43"/>
      <c r="G21" s="59"/>
      <c r="H21" s="59"/>
      <c r="I21" s="59"/>
      <c r="J21" s="58">
        <v>1000000</v>
      </c>
      <c r="K21" s="59"/>
      <c r="L21" s="43"/>
      <c r="M21" s="43"/>
      <c r="N21" s="43"/>
      <c r="O21" s="46" t="s">
        <v>838</v>
      </c>
      <c r="P21" s="43"/>
      <c r="Q21" s="43"/>
      <c r="R21" s="43"/>
      <c r="S21" s="43"/>
      <c r="T21" s="43"/>
      <c r="U21" s="43"/>
    </row>
    <row r="22" spans="1:21">
      <c r="A22" s="46" t="s">
        <v>839</v>
      </c>
      <c r="B22" s="59"/>
      <c r="C22" s="59"/>
      <c r="D22" s="59"/>
      <c r="E22" s="59"/>
      <c r="F22" s="43"/>
      <c r="G22" s="59"/>
      <c r="H22" s="59"/>
      <c r="I22" s="59"/>
      <c r="J22" s="59"/>
      <c r="K22" s="59"/>
      <c r="L22" s="59"/>
      <c r="M22" s="59"/>
      <c r="N22" s="58">
        <v>1750000</v>
      </c>
      <c r="O22" s="43"/>
      <c r="P22" s="43"/>
      <c r="Q22" s="43"/>
      <c r="R22" s="43"/>
      <c r="S22" s="43"/>
      <c r="T22" s="43"/>
      <c r="U22" s="43"/>
    </row>
    <row r="23" spans="1:21">
      <c r="A23" s="46" t="s">
        <v>840</v>
      </c>
      <c r="B23" s="59"/>
      <c r="C23" s="59"/>
      <c r="D23" s="59"/>
      <c r="E23" s="59"/>
      <c r="F23" s="43"/>
      <c r="G23" s="59"/>
      <c r="H23" s="59"/>
      <c r="I23" s="59"/>
      <c r="J23" s="59"/>
      <c r="K23" s="59"/>
      <c r="L23" s="59">
        <f>+sat_cs2!P36</f>
        <v>20862012.987012967</v>
      </c>
      <c r="M23" s="59"/>
      <c r="N23" s="59"/>
      <c r="O23" s="43"/>
      <c r="P23" s="101" t="s">
        <v>829</v>
      </c>
      <c r="Q23" s="120">
        <v>5.5</v>
      </c>
      <c r="R23" s="43"/>
      <c r="S23" s="43"/>
      <c r="T23" s="43"/>
      <c r="U23" s="43"/>
    </row>
    <row r="24" spans="1:21" ht="15" customHeight="1">
      <c r="A24" s="330" t="s">
        <v>260</v>
      </c>
      <c r="B24" s="388">
        <f t="shared" ref="B24:N24" si="4">SUM(B20:B23)</f>
        <v>0</v>
      </c>
      <c r="C24" s="388">
        <f t="shared" si="4"/>
        <v>0</v>
      </c>
      <c r="D24" s="388">
        <f t="shared" si="4"/>
        <v>0</v>
      </c>
      <c r="E24" s="388">
        <f t="shared" si="4"/>
        <v>0</v>
      </c>
      <c r="F24" s="388">
        <f t="shared" si="4"/>
        <v>0</v>
      </c>
      <c r="G24" s="388">
        <f t="shared" si="4"/>
        <v>0</v>
      </c>
      <c r="H24" s="388">
        <f t="shared" si="4"/>
        <v>0</v>
      </c>
      <c r="I24" s="388">
        <f t="shared" si="4"/>
        <v>0</v>
      </c>
      <c r="J24" s="388">
        <f t="shared" si="4"/>
        <v>0</v>
      </c>
      <c r="K24" s="388">
        <f t="shared" si="4"/>
        <v>0</v>
      </c>
      <c r="L24" s="388">
        <f t="shared" si="4"/>
        <v>20862012.987012967</v>
      </c>
      <c r="M24" s="388">
        <f t="shared" si="4"/>
        <v>0</v>
      </c>
      <c r="N24" s="388">
        <f t="shared" si="4"/>
        <v>1750000</v>
      </c>
      <c r="O24" s="62"/>
      <c r="P24" s="43"/>
      <c r="Q24" s="43"/>
      <c r="R24" s="43"/>
      <c r="S24" s="43"/>
      <c r="T24" s="43"/>
      <c r="U24" s="43"/>
    </row>
    <row r="25" spans="1:21" ht="15" customHeight="1">
      <c r="A25" s="72"/>
      <c r="B25" s="381"/>
      <c r="C25" s="381"/>
      <c r="D25" s="381"/>
      <c r="E25" s="381"/>
      <c r="F25" s="381"/>
      <c r="G25" s="381"/>
      <c r="H25" s="381"/>
      <c r="I25" s="381"/>
      <c r="J25" s="381"/>
      <c r="K25" s="381"/>
      <c r="L25" s="381"/>
      <c r="M25" s="381"/>
      <c r="N25" s="381"/>
      <c r="O25" s="62"/>
      <c r="P25" s="43"/>
      <c r="Q25" s="43"/>
      <c r="R25" s="43"/>
      <c r="S25" s="43"/>
      <c r="T25" s="43"/>
      <c r="U25" s="43"/>
    </row>
    <row r="26" spans="1:21" ht="15" customHeight="1">
      <c r="A26" s="101" t="s">
        <v>505</v>
      </c>
      <c r="B26" s="58">
        <v>0</v>
      </c>
      <c r="C26" s="59">
        <f t="shared" ref="C26:N26" si="5">C24+C17</f>
        <v>0</v>
      </c>
      <c r="D26" s="59">
        <f t="shared" si="5"/>
        <v>0</v>
      </c>
      <c r="E26" s="59">
        <f t="shared" si="5"/>
        <v>0</v>
      </c>
      <c r="F26" s="59">
        <f t="shared" si="5"/>
        <v>0</v>
      </c>
      <c r="G26" s="59">
        <f t="shared" si="5"/>
        <v>0</v>
      </c>
      <c r="H26" s="59">
        <f t="shared" si="5"/>
        <v>0</v>
      </c>
      <c r="I26" s="59">
        <f t="shared" si="5"/>
        <v>0</v>
      </c>
      <c r="J26" s="59">
        <f t="shared" si="5"/>
        <v>-16000000</v>
      </c>
      <c r="K26" s="59">
        <f t="shared" si="5"/>
        <v>0</v>
      </c>
      <c r="L26" s="59">
        <f t="shared" si="5"/>
        <v>20862012.987012967</v>
      </c>
      <c r="M26" s="59">
        <f t="shared" si="5"/>
        <v>0</v>
      </c>
      <c r="N26" s="59">
        <f t="shared" si="5"/>
        <v>1750000</v>
      </c>
      <c r="O26" s="62"/>
      <c r="P26" s="120">
        <v>31</v>
      </c>
      <c r="Q26" s="412">
        <f>(1-Q35)*Q28</f>
        <v>53.339285714285708</v>
      </c>
      <c r="R26" s="43"/>
      <c r="S26" s="43"/>
      <c r="T26" s="43"/>
      <c r="U26" s="43"/>
    </row>
    <row r="27" spans="1:21" ht="15" customHeight="1">
      <c r="A27" s="43"/>
      <c r="B27" s="381"/>
      <c r="C27" s="381"/>
      <c r="D27" s="381"/>
      <c r="E27" s="381"/>
      <c r="F27" s="381"/>
      <c r="G27" s="381"/>
      <c r="H27" s="381"/>
      <c r="I27" s="381"/>
      <c r="J27" s="381"/>
      <c r="K27" s="381"/>
      <c r="L27" s="381"/>
      <c r="M27" s="381"/>
      <c r="N27" s="381"/>
      <c r="O27" s="62"/>
      <c r="P27" s="120">
        <v>15</v>
      </c>
      <c r="Q27" s="102">
        <f>+Q28-Q26</f>
        <v>20.232142857142861</v>
      </c>
      <c r="R27" s="43"/>
      <c r="S27" s="43"/>
      <c r="T27" s="43"/>
      <c r="U27" s="43"/>
    </row>
    <row r="28" spans="1:21">
      <c r="A28" s="101" t="s">
        <v>561</v>
      </c>
      <c r="B28" s="68">
        <v>0</v>
      </c>
      <c r="C28" s="50"/>
      <c r="D28" s="50"/>
      <c r="E28" s="50"/>
      <c r="F28" s="50"/>
      <c r="G28" s="50"/>
      <c r="H28" s="50"/>
      <c r="I28" s="50"/>
      <c r="J28" s="50"/>
      <c r="K28" s="50"/>
      <c r="L28" s="50"/>
      <c r="M28" s="50"/>
      <c r="N28" s="50"/>
      <c r="O28" s="50"/>
      <c r="P28" s="201">
        <f>+SUM(P26:P27)</f>
        <v>46</v>
      </c>
      <c r="Q28" s="102">
        <f>+Q20</f>
        <v>73.571428571428569</v>
      </c>
      <c r="R28" s="412">
        <f>+Q28*0.7</f>
        <v>51.499999999999993</v>
      </c>
      <c r="S28" s="43">
        <f>+R28-P26</f>
        <v>20.499999999999993</v>
      </c>
      <c r="T28" s="43"/>
      <c r="U28" s="43"/>
    </row>
    <row r="29" spans="1:21">
      <c r="A29" s="101" t="s">
        <v>562</v>
      </c>
      <c r="B29" s="50"/>
      <c r="C29" s="50"/>
      <c r="D29" s="50"/>
      <c r="E29" s="50"/>
      <c r="F29" s="50"/>
      <c r="G29" s="50"/>
      <c r="H29" s="50"/>
      <c r="I29" s="50"/>
      <c r="J29" s="50"/>
      <c r="K29" s="50"/>
      <c r="L29" s="50"/>
      <c r="M29" s="50"/>
      <c r="N29" s="50"/>
      <c r="O29" s="50"/>
      <c r="P29" s="43"/>
      <c r="Q29" s="102">
        <f>+Q28-P28</f>
        <v>27.571428571428569</v>
      </c>
      <c r="R29" s="43"/>
      <c r="S29" s="43"/>
      <c r="T29" s="43"/>
      <c r="U29" s="43"/>
    </row>
    <row r="30" spans="1:21">
      <c r="A30" s="101" t="s">
        <v>563</v>
      </c>
      <c r="B30" s="50"/>
      <c r="C30" s="50">
        <f t="shared" ref="C30:N30" si="6">B30+C28+C29</f>
        <v>0</v>
      </c>
      <c r="D30" s="55">
        <f t="shared" si="6"/>
        <v>0</v>
      </c>
      <c r="E30" s="55">
        <f t="shared" si="6"/>
        <v>0</v>
      </c>
      <c r="F30" s="55">
        <f t="shared" si="6"/>
        <v>0</v>
      </c>
      <c r="G30" s="55">
        <f t="shared" si="6"/>
        <v>0</v>
      </c>
      <c r="H30" s="55">
        <f t="shared" si="6"/>
        <v>0</v>
      </c>
      <c r="I30" s="55">
        <f t="shared" si="6"/>
        <v>0</v>
      </c>
      <c r="J30" s="55">
        <f t="shared" si="6"/>
        <v>0</v>
      </c>
      <c r="K30" s="55">
        <f t="shared" si="6"/>
        <v>0</v>
      </c>
      <c r="L30" s="55">
        <f t="shared" si="6"/>
        <v>0</v>
      </c>
      <c r="M30" s="55">
        <f t="shared" si="6"/>
        <v>0</v>
      </c>
      <c r="N30" s="55">
        <f t="shared" si="6"/>
        <v>0</v>
      </c>
      <c r="O30" s="50"/>
      <c r="P30" s="43"/>
      <c r="Q30" s="102">
        <f>+Q27-P27</f>
        <v>5.2321428571428612</v>
      </c>
      <c r="R30" s="43"/>
      <c r="S30" s="43"/>
      <c r="T30" s="50"/>
      <c r="U30" s="43"/>
    </row>
    <row r="31" spans="1:21" s="14" customFormat="1" ht="15" customHeight="1">
      <c r="A31" s="72"/>
      <c r="B31" s="381"/>
      <c r="C31" s="381"/>
      <c r="D31" s="381"/>
      <c r="E31" s="381"/>
      <c r="F31" s="381"/>
      <c r="G31" s="390"/>
      <c r="H31" s="390"/>
      <c r="I31" s="390"/>
      <c r="J31" s="390"/>
      <c r="K31" s="381"/>
      <c r="L31" s="381"/>
      <c r="M31" s="381"/>
      <c r="N31" s="381"/>
      <c r="O31" s="62"/>
      <c r="P31" s="43"/>
      <c r="Q31" s="102">
        <f>+Q29-Q30</f>
        <v>22.339285714285708</v>
      </c>
      <c r="R31" s="43"/>
      <c r="S31" s="43"/>
      <c r="T31" s="43"/>
      <c r="U31" s="43"/>
    </row>
    <row r="32" spans="1:21" s="14" customFormat="1" ht="15" customHeight="1" thickBot="1">
      <c r="A32" s="46" t="s">
        <v>630</v>
      </c>
      <c r="B32" s="381"/>
      <c r="C32" s="391"/>
      <c r="D32" s="391"/>
      <c r="E32" s="391"/>
      <c r="F32" s="391"/>
      <c r="G32" s="381"/>
      <c r="H32" s="381"/>
      <c r="I32" s="381"/>
      <c r="J32" s="381"/>
      <c r="K32" s="381"/>
      <c r="L32" s="381"/>
      <c r="M32" s="381"/>
      <c r="N32" s="381"/>
      <c r="O32" s="62"/>
      <c r="P32" s="43"/>
      <c r="Q32" s="43"/>
      <c r="R32" s="43"/>
      <c r="S32" s="43"/>
      <c r="T32" s="43"/>
      <c r="U32" s="43"/>
    </row>
    <row r="33" spans="1:21" ht="15" customHeight="1">
      <c r="A33" s="56" t="s">
        <v>841</v>
      </c>
      <c r="B33" s="188"/>
      <c r="C33" s="188">
        <f>B33-sat_cs2!C13</f>
        <v>0</v>
      </c>
      <c r="D33" s="188">
        <f>C33-sat_cs2!D13</f>
        <v>0</v>
      </c>
      <c r="E33" s="188">
        <f>D33-sat_cs2!E13</f>
        <v>0</v>
      </c>
      <c r="F33" s="188">
        <f>E33-sat_cs2!F13</f>
        <v>0</v>
      </c>
      <c r="G33" s="413">
        <f>-SUM(sat_cs2!$G$26:G26)</f>
        <v>0</v>
      </c>
      <c r="H33" s="186">
        <v>0</v>
      </c>
      <c r="I33" s="186">
        <v>0</v>
      </c>
      <c r="J33" s="413">
        <f>-SUM(sat_cs2!$G$26:J26)</f>
        <v>16000000</v>
      </c>
      <c r="K33" s="188">
        <f>+J33</f>
        <v>16000000</v>
      </c>
      <c r="L33" s="187">
        <f>+K33+13000000/3</f>
        <v>20333333.333333332</v>
      </c>
      <c r="M33" s="187">
        <f>+L33+((sat_cs2!Q27-sat_cs2!P27)/3)*1000000</f>
        <v>22077380.952380951</v>
      </c>
      <c r="N33" s="187">
        <f>+sat_cs2!Q28*1000000-sat_cs2!P35</f>
        <v>21709415.5844156</v>
      </c>
      <c r="O33" s="62"/>
      <c r="P33" s="43"/>
      <c r="Q33" s="43"/>
      <c r="R33" s="43"/>
      <c r="S33" s="43"/>
      <c r="T33" s="381"/>
      <c r="U33" s="381"/>
    </row>
    <row r="34" spans="1:21" ht="15" customHeight="1">
      <c r="A34" s="292"/>
      <c r="B34" s="381"/>
      <c r="C34" s="381"/>
      <c r="D34" s="381"/>
      <c r="E34" s="381"/>
      <c r="F34" s="381"/>
      <c r="G34" s="381"/>
      <c r="H34" s="381"/>
      <c r="I34" s="381"/>
      <c r="J34" s="381"/>
      <c r="K34" s="381"/>
      <c r="L34" s="381"/>
      <c r="M34" s="381"/>
      <c r="N34" s="381"/>
      <c r="O34" s="62"/>
      <c r="P34" s="50">
        <f>+P35+sat_cs2!M33</f>
        <v>73939393.939393923</v>
      </c>
      <c r="Q34" s="43"/>
      <c r="R34" s="43"/>
      <c r="S34" s="43"/>
      <c r="T34" s="381"/>
      <c r="U34" s="381"/>
    </row>
    <row r="35" spans="1:21" ht="15" customHeight="1">
      <c r="A35" s="292"/>
      <c r="B35" s="381"/>
      <c r="C35" s="381"/>
      <c r="D35" s="381"/>
      <c r="E35" s="381"/>
      <c r="F35" s="381"/>
      <c r="G35" s="381"/>
      <c r="H35" s="381"/>
      <c r="I35" s="381"/>
      <c r="J35" s="381"/>
      <c r="K35" s="381"/>
      <c r="L35" s="381"/>
      <c r="M35" s="381"/>
      <c r="N35" s="381"/>
      <c r="O35" s="62"/>
      <c r="P35" s="50">
        <f>+(sat_cs2!L33/$Q$35)-sat_cs2!M33</f>
        <v>51862012.987012967</v>
      </c>
      <c r="Q35" s="414">
        <v>0.27500000000000002</v>
      </c>
      <c r="R35" s="46" t="s">
        <v>842</v>
      </c>
      <c r="S35" s="43"/>
      <c r="T35" s="381"/>
      <c r="U35" s="381"/>
    </row>
    <row r="36" spans="1:21" ht="15" customHeight="1">
      <c r="A36" s="292"/>
      <c r="B36" s="381"/>
      <c r="C36" s="381"/>
      <c r="D36" s="381"/>
      <c r="E36" s="381"/>
      <c r="F36" s="381"/>
      <c r="G36" s="381"/>
      <c r="H36" s="381"/>
      <c r="I36" s="381"/>
      <c r="J36" s="381"/>
      <c r="K36" s="381"/>
      <c r="L36" s="381"/>
      <c r="M36" s="381"/>
      <c r="N36" s="381"/>
      <c r="O36" s="62"/>
      <c r="P36" s="137">
        <f>+P35-P26*1000000</f>
        <v>20862012.987012967</v>
      </c>
      <c r="Q36" s="104">
        <f>1-Q35</f>
        <v>0.72499999999999998</v>
      </c>
      <c r="R36" s="46" t="s">
        <v>696</v>
      </c>
      <c r="S36" s="43"/>
      <c r="T36" s="381"/>
      <c r="U36" s="381"/>
    </row>
    <row r="37" spans="1:21" ht="15" customHeight="1">
      <c r="A37" s="292"/>
      <c r="B37" s="381"/>
      <c r="C37" s="381"/>
      <c r="D37" s="381"/>
      <c r="E37" s="381"/>
      <c r="F37" s="381"/>
      <c r="G37" s="381"/>
      <c r="H37" s="381"/>
      <c r="I37" s="381"/>
      <c r="J37" s="381"/>
      <c r="K37" s="381"/>
      <c r="L37" s="381"/>
      <c r="M37" s="381"/>
      <c r="N37" s="381"/>
      <c r="O37" s="62"/>
      <c r="P37" s="43"/>
      <c r="Q37" s="43"/>
      <c r="R37" s="43"/>
      <c r="S37" s="43"/>
      <c r="T37" s="381"/>
      <c r="U37" s="381"/>
    </row>
    <row r="38" spans="1:21" ht="15" customHeight="1">
      <c r="A38" s="415"/>
      <c r="B38" s="381"/>
      <c r="C38" s="381"/>
      <c r="D38" s="381"/>
      <c r="E38" s="381"/>
      <c r="F38" s="381"/>
      <c r="G38" s="381"/>
      <c r="H38" s="381"/>
      <c r="I38" s="381"/>
      <c r="J38" s="381"/>
      <c r="K38" s="381"/>
      <c r="L38" s="381"/>
      <c r="M38" s="381"/>
      <c r="N38" s="381"/>
      <c r="O38" s="62"/>
      <c r="P38" s="43"/>
      <c r="Q38" s="43"/>
      <c r="R38" s="43"/>
      <c r="S38" s="43"/>
      <c r="T38" s="381"/>
      <c r="U38" s="381"/>
    </row>
    <row r="39" spans="1:21" s="15" customFormat="1" ht="15" customHeight="1">
      <c r="A39" s="43"/>
      <c r="B39" s="392"/>
      <c r="C39" s="392"/>
      <c r="D39" s="392"/>
      <c r="E39" s="392"/>
      <c r="F39" s="392"/>
      <c r="G39" s="392"/>
      <c r="H39" s="392"/>
      <c r="I39" s="392"/>
      <c r="J39" s="392"/>
      <c r="K39" s="392"/>
      <c r="L39" s="392"/>
      <c r="M39" s="392"/>
      <c r="N39" s="392"/>
      <c r="O39" s="62"/>
      <c r="P39" s="43"/>
      <c r="Q39" s="43"/>
      <c r="R39" s="43"/>
      <c r="S39" s="43"/>
      <c r="T39" s="43"/>
      <c r="U39" s="43"/>
    </row>
    <row r="40" spans="1:21" s="14" customFormat="1" ht="15" customHeight="1">
      <c r="A40" s="43"/>
      <c r="B40" s="392"/>
      <c r="C40" s="392"/>
      <c r="D40" s="392"/>
      <c r="E40" s="392"/>
      <c r="F40" s="392"/>
      <c r="G40" s="392"/>
      <c r="H40" s="392"/>
      <c r="I40" s="392"/>
      <c r="J40" s="392"/>
      <c r="K40" s="392"/>
      <c r="L40" s="392"/>
      <c r="M40" s="392"/>
      <c r="N40" s="392"/>
      <c r="O40" s="62"/>
      <c r="P40" s="43"/>
      <c r="Q40" s="43"/>
      <c r="R40" s="43"/>
      <c r="S40" s="43"/>
      <c r="T40" s="43"/>
      <c r="U40" s="43"/>
    </row>
    <row r="41" spans="1:21" ht="15" customHeight="1">
      <c r="A41" s="64"/>
      <c r="B41" s="395"/>
      <c r="C41" s="395"/>
      <c r="D41" s="395"/>
      <c r="E41" s="395"/>
      <c r="F41" s="395"/>
      <c r="G41" s="395"/>
      <c r="H41" s="395"/>
      <c r="I41" s="395"/>
      <c r="J41" s="395"/>
      <c r="K41" s="395"/>
      <c r="L41" s="395"/>
      <c r="M41" s="395"/>
      <c r="N41" s="395"/>
      <c r="O41" s="62"/>
      <c r="P41" s="43"/>
      <c r="Q41" s="43"/>
      <c r="R41" s="43"/>
      <c r="S41" s="43"/>
      <c r="T41" s="381"/>
      <c r="U41" s="381"/>
    </row>
    <row r="42" spans="1:21" s="13" customFormat="1" ht="15" customHeight="1">
      <c r="A42" s="401"/>
      <c r="B42" s="395"/>
      <c r="C42" s="395"/>
      <c r="D42" s="416"/>
      <c r="E42" s="416"/>
      <c r="F42" s="416"/>
      <c r="G42" s="416"/>
      <c r="H42" s="416"/>
      <c r="I42" s="416"/>
      <c r="J42" s="416"/>
      <c r="K42" s="395"/>
      <c r="L42" s="395"/>
      <c r="M42" s="395"/>
      <c r="N42" s="395"/>
      <c r="O42" s="72"/>
      <c r="P42" s="43"/>
      <c r="Q42" s="43"/>
      <c r="R42" s="43"/>
      <c r="S42" s="43"/>
      <c r="T42" s="381"/>
      <c r="U42" s="381"/>
    </row>
    <row r="43" spans="1:21" ht="15" customHeight="1">
      <c r="A43" s="401"/>
      <c r="B43" s="395"/>
      <c r="C43" s="395"/>
      <c r="D43" s="395"/>
      <c r="E43" s="395"/>
      <c r="F43" s="395"/>
      <c r="G43" s="395"/>
      <c r="H43" s="395"/>
      <c r="I43" s="395"/>
      <c r="J43" s="395"/>
      <c r="K43" s="395"/>
      <c r="L43" s="395"/>
      <c r="M43" s="395"/>
      <c r="N43" s="395"/>
      <c r="O43" s="72"/>
      <c r="P43" s="43"/>
      <c r="Q43" s="43"/>
      <c r="R43" s="43"/>
      <c r="S43" s="43"/>
      <c r="T43" s="381"/>
      <c r="U43" s="381"/>
    </row>
    <row r="44" spans="1:21" ht="15" customHeight="1">
      <c r="A44" s="292"/>
      <c r="B44" s="402"/>
      <c r="C44" s="402"/>
      <c r="D44" s="402"/>
      <c r="E44" s="402"/>
      <c r="F44" s="402"/>
      <c r="G44" s="402"/>
      <c r="H44" s="402"/>
      <c r="I44" s="402"/>
      <c r="J44" s="402"/>
      <c r="K44" s="402"/>
      <c r="L44" s="402"/>
      <c r="M44" s="402"/>
      <c r="N44" s="402"/>
      <c r="O44" s="62"/>
      <c r="P44" s="43"/>
      <c r="Q44" s="43"/>
      <c r="R44" s="43"/>
      <c r="S44" s="43"/>
      <c r="T44" s="381"/>
      <c r="U44" s="381"/>
    </row>
    <row r="45" spans="1:21" ht="15" customHeight="1">
      <c r="A45" s="292"/>
      <c r="B45" s="402"/>
      <c r="C45" s="402"/>
      <c r="D45" s="402"/>
      <c r="E45" s="402"/>
      <c r="F45" s="402"/>
      <c r="G45" s="402"/>
      <c r="H45" s="402"/>
      <c r="I45" s="402"/>
      <c r="J45" s="402"/>
      <c r="K45" s="402"/>
      <c r="L45" s="402"/>
      <c r="M45" s="402"/>
      <c r="N45" s="402"/>
      <c r="O45" s="62"/>
      <c r="P45" s="43"/>
      <c r="Q45" s="43"/>
      <c r="R45" s="43"/>
      <c r="S45" s="43"/>
      <c r="T45" s="381"/>
      <c r="U45" s="381"/>
    </row>
    <row r="46" spans="1:21" ht="15" customHeight="1">
      <c r="A46" s="292"/>
      <c r="B46" s="402"/>
      <c r="C46" s="402"/>
      <c r="D46" s="402"/>
      <c r="E46" s="402"/>
      <c r="F46" s="402"/>
      <c r="G46" s="402"/>
      <c r="H46" s="402"/>
      <c r="I46" s="402"/>
      <c r="J46" s="402"/>
      <c r="K46" s="402"/>
      <c r="L46" s="402"/>
      <c r="M46" s="402"/>
      <c r="N46" s="402"/>
      <c r="O46" s="62"/>
      <c r="P46" s="43"/>
      <c r="Q46" s="43"/>
      <c r="R46" s="43"/>
      <c r="S46" s="43"/>
      <c r="T46" s="381"/>
      <c r="U46" s="381"/>
    </row>
    <row r="47" spans="1:21" ht="15" customHeight="1">
      <c r="A47" s="292"/>
      <c r="B47" s="402"/>
      <c r="C47" s="402"/>
      <c r="D47" s="402"/>
      <c r="E47" s="402"/>
      <c r="F47" s="402"/>
      <c r="G47" s="402"/>
      <c r="H47" s="402"/>
      <c r="I47" s="402"/>
      <c r="J47" s="402"/>
      <c r="K47" s="402"/>
      <c r="L47" s="402"/>
      <c r="M47" s="402"/>
      <c r="N47" s="402"/>
      <c r="O47" s="69"/>
      <c r="P47" s="381"/>
      <c r="Q47" s="381"/>
      <c r="R47" s="381"/>
      <c r="S47" s="381"/>
      <c r="T47" s="381"/>
      <c r="U47" s="381"/>
    </row>
    <row r="48" spans="1:21" ht="15" customHeight="1">
      <c r="A48" s="292"/>
      <c r="B48" s="402"/>
      <c r="C48" s="402"/>
      <c r="D48" s="402"/>
      <c r="E48" s="402"/>
      <c r="F48" s="402"/>
      <c r="G48" s="402"/>
      <c r="H48" s="402"/>
      <c r="I48" s="402"/>
      <c r="J48" s="402"/>
      <c r="K48" s="402"/>
      <c r="L48" s="402"/>
      <c r="M48" s="402"/>
      <c r="N48" s="402"/>
      <c r="O48" s="62"/>
      <c r="P48" s="381"/>
      <c r="Q48" s="381"/>
      <c r="R48" s="381"/>
      <c r="S48" s="381"/>
      <c r="T48" s="381"/>
      <c r="U48" s="381"/>
    </row>
    <row r="49" spans="1:21" s="14" customFormat="1" ht="15" customHeight="1">
      <c r="A49" s="43"/>
      <c r="B49" s="381"/>
      <c r="C49" s="381"/>
      <c r="D49" s="381"/>
      <c r="E49" s="381"/>
      <c r="F49" s="402"/>
      <c r="G49" s="402"/>
      <c r="H49" s="381"/>
      <c r="I49" s="381"/>
      <c r="J49" s="381"/>
      <c r="K49" s="381"/>
      <c r="L49" s="381"/>
      <c r="M49" s="381"/>
      <c r="N49" s="381"/>
      <c r="O49" s="62"/>
      <c r="P49" s="43"/>
      <c r="Q49" s="43"/>
      <c r="R49" s="43"/>
      <c r="S49" s="43"/>
      <c r="T49" s="43"/>
      <c r="U49" s="43"/>
    </row>
    <row r="50" spans="1:21" s="14" customFormat="1" ht="15" customHeight="1">
      <c r="A50" s="43"/>
      <c r="B50" s="381"/>
      <c r="C50" s="381"/>
      <c r="D50" s="381"/>
      <c r="E50" s="381"/>
      <c r="F50" s="402"/>
      <c r="G50" s="402"/>
      <c r="H50" s="381"/>
      <c r="I50" s="381"/>
      <c r="J50" s="381"/>
      <c r="K50" s="381"/>
      <c r="L50" s="381"/>
      <c r="M50" s="381"/>
      <c r="N50" s="381"/>
      <c r="O50" s="62"/>
      <c r="P50" s="43"/>
      <c r="Q50" s="43"/>
      <c r="R50" s="43"/>
      <c r="S50" s="43"/>
      <c r="T50" s="43"/>
      <c r="U50" s="43"/>
    </row>
    <row r="51" spans="1:21" s="14" customFormat="1" ht="15" customHeight="1">
      <c r="A51" s="43"/>
      <c r="B51" s="381"/>
      <c r="C51" s="381"/>
      <c r="D51" s="381"/>
      <c r="E51" s="381"/>
      <c r="F51" s="381"/>
      <c r="G51" s="402"/>
      <c r="H51" s="381"/>
      <c r="I51" s="381"/>
      <c r="J51" s="381"/>
      <c r="K51" s="381"/>
      <c r="L51" s="381"/>
      <c r="M51" s="381"/>
      <c r="N51" s="381"/>
      <c r="O51" s="62"/>
      <c r="P51" s="64"/>
      <c r="Q51" s="43"/>
      <c r="R51" s="43"/>
      <c r="S51" s="43"/>
      <c r="T51" s="43"/>
      <c r="U51" s="43"/>
    </row>
    <row r="52" spans="1:21" s="14" customFormat="1" ht="15" customHeight="1">
      <c r="A52" s="415"/>
      <c r="B52" s="381"/>
      <c r="C52" s="381"/>
      <c r="D52" s="381"/>
      <c r="E52" s="381"/>
      <c r="F52" s="381"/>
      <c r="G52" s="381"/>
      <c r="H52" s="381"/>
      <c r="I52" s="381"/>
      <c r="J52" s="381"/>
      <c r="K52" s="381"/>
      <c r="L52" s="381"/>
      <c r="M52" s="381"/>
      <c r="N52" s="381"/>
      <c r="O52" s="62"/>
      <c r="P52" s="64"/>
      <c r="Q52" s="43"/>
      <c r="R52" s="43"/>
      <c r="S52" s="43"/>
      <c r="T52" s="43"/>
      <c r="U52" s="43"/>
    </row>
    <row r="53" spans="1:21" s="15" customFormat="1" ht="15" customHeight="1">
      <c r="A53" s="72"/>
      <c r="B53" s="381"/>
      <c r="C53" s="381"/>
      <c r="D53" s="381"/>
      <c r="E53" s="381"/>
      <c r="F53" s="381"/>
      <c r="G53" s="381"/>
      <c r="H53" s="381"/>
      <c r="I53" s="381"/>
      <c r="J53" s="381"/>
      <c r="K53" s="381"/>
      <c r="L53" s="381"/>
      <c r="M53" s="381"/>
      <c r="N53" s="381"/>
      <c r="O53" s="62"/>
      <c r="P53" s="43"/>
      <c r="Q53" s="43"/>
      <c r="R53" s="43"/>
      <c r="S53" s="43"/>
      <c r="T53" s="43"/>
      <c r="U53" s="43"/>
    </row>
    <row r="54" spans="1:21" s="15" customFormat="1" ht="15" customHeight="1">
      <c r="A54" s="101" t="s">
        <v>818</v>
      </c>
      <c r="B54" s="381">
        <f t="shared" ref="B54:J54" si="7">+B42+B52</f>
        <v>0</v>
      </c>
      <c r="C54" s="381">
        <f t="shared" si="7"/>
        <v>0</v>
      </c>
      <c r="D54" s="381">
        <f t="shared" si="7"/>
        <v>0</v>
      </c>
      <c r="E54" s="381">
        <f t="shared" si="7"/>
        <v>0</v>
      </c>
      <c r="F54" s="381">
        <f t="shared" si="7"/>
        <v>0</v>
      </c>
      <c r="G54" s="381">
        <f t="shared" si="7"/>
        <v>0</v>
      </c>
      <c r="H54" s="381">
        <f t="shared" si="7"/>
        <v>0</v>
      </c>
      <c r="I54" s="381">
        <f t="shared" si="7"/>
        <v>0</v>
      </c>
      <c r="J54" s="381">
        <f t="shared" si="7"/>
        <v>0</v>
      </c>
      <c r="K54" s="381"/>
      <c r="L54" s="381"/>
      <c r="M54" s="381"/>
      <c r="N54" s="381"/>
      <c r="O54" s="70"/>
      <c r="P54" s="43"/>
      <c r="Q54" s="43"/>
      <c r="R54" s="43"/>
      <c r="S54" s="43"/>
      <c r="T54" s="43"/>
      <c r="U54" s="43"/>
    </row>
    <row r="55" spans="1:21" s="15" customFormat="1" ht="15" customHeight="1">
      <c r="A55" s="72"/>
      <c r="B55" s="381"/>
      <c r="C55" s="381"/>
      <c r="D55" s="381"/>
      <c r="E55" s="381"/>
      <c r="F55" s="381"/>
      <c r="G55" s="381"/>
      <c r="H55" s="381"/>
      <c r="I55" s="381"/>
      <c r="J55" s="381"/>
      <c r="K55" s="381"/>
      <c r="L55" s="381"/>
      <c r="M55" s="381"/>
      <c r="N55" s="381"/>
      <c r="O55" s="62"/>
      <c r="P55" s="43"/>
      <c r="Q55" s="43"/>
      <c r="R55" s="43"/>
      <c r="S55" s="43"/>
      <c r="T55" s="43"/>
      <c r="U55" s="43"/>
    </row>
    <row r="56" spans="1:21" s="15" customFormat="1" ht="15" customHeight="1">
      <c r="A56" s="46" t="s">
        <v>589</v>
      </c>
      <c r="B56" s="392"/>
      <c r="C56" s="392"/>
      <c r="D56" s="393">
        <v>0</v>
      </c>
      <c r="E56" s="393">
        <v>0</v>
      </c>
      <c r="F56" s="393">
        <v>0</v>
      </c>
      <c r="G56" s="393">
        <v>0</v>
      </c>
      <c r="H56" s="393">
        <v>1</v>
      </c>
      <c r="I56" s="393">
        <v>1</v>
      </c>
      <c r="J56" s="393">
        <v>1</v>
      </c>
      <c r="K56" s="393">
        <v>1</v>
      </c>
      <c r="L56" s="393">
        <v>1</v>
      </c>
      <c r="M56" s="393">
        <v>1</v>
      </c>
      <c r="N56" s="393">
        <v>1</v>
      </c>
      <c r="O56" s="62"/>
      <c r="P56" s="43"/>
      <c r="Q56" s="43"/>
      <c r="R56" s="43"/>
      <c r="S56" s="43"/>
      <c r="T56" s="43"/>
      <c r="U56" s="43"/>
    </row>
    <row r="57" spans="1:21" ht="15" customHeight="1">
      <c r="A57" s="325"/>
      <c r="B57" s="402"/>
      <c r="C57" s="402"/>
      <c r="D57" s="402"/>
      <c r="E57" s="402"/>
      <c r="F57" s="402"/>
      <c r="G57" s="402"/>
      <c r="H57" s="402"/>
      <c r="I57" s="402"/>
      <c r="J57" s="402"/>
      <c r="K57" s="402"/>
      <c r="L57" s="402"/>
      <c r="M57" s="402"/>
      <c r="N57" s="402"/>
      <c r="O57" s="62"/>
      <c r="P57" s="43"/>
      <c r="Q57" s="43"/>
      <c r="R57" s="43"/>
      <c r="S57" s="43"/>
      <c r="T57" s="43"/>
      <c r="U57" s="43"/>
    </row>
    <row r="58" spans="1:21" s="15" customFormat="1" ht="15" customHeight="1">
      <c r="A58" s="101" t="s">
        <v>111</v>
      </c>
      <c r="B58" s="392">
        <f t="shared" ref="B58:J58" si="8">+B54*B56</f>
        <v>0</v>
      </c>
      <c r="C58" s="381">
        <f t="shared" si="8"/>
        <v>0</v>
      </c>
      <c r="D58" s="381">
        <f t="shared" si="8"/>
        <v>0</v>
      </c>
      <c r="E58" s="381">
        <f t="shared" si="8"/>
        <v>0</v>
      </c>
      <c r="F58" s="381">
        <f t="shared" si="8"/>
        <v>0</v>
      </c>
      <c r="G58" s="381">
        <f t="shared" si="8"/>
        <v>0</v>
      </c>
      <c r="H58" s="381">
        <f t="shared" si="8"/>
        <v>0</v>
      </c>
      <c r="I58" s="381">
        <f t="shared" si="8"/>
        <v>0</v>
      </c>
      <c r="J58" s="381">
        <f t="shared" si="8"/>
        <v>0</v>
      </c>
      <c r="K58" s="392"/>
      <c r="L58" s="392"/>
      <c r="M58" s="392"/>
      <c r="N58" s="392"/>
      <c r="O58" s="62"/>
      <c r="P58" s="43"/>
      <c r="Q58" s="43"/>
      <c r="R58" s="43"/>
      <c r="S58" s="43"/>
      <c r="T58" s="43"/>
      <c r="U58" s="43"/>
    </row>
    <row r="59" spans="1:21" ht="15" customHeight="1">
      <c r="A59" s="43"/>
      <c r="B59" s="43"/>
      <c r="C59" s="43"/>
      <c r="D59" s="43"/>
      <c r="E59" s="43"/>
      <c r="F59" s="43"/>
      <c r="G59" s="43"/>
      <c r="H59" s="43"/>
      <c r="I59" s="43"/>
      <c r="J59" s="43"/>
      <c r="K59" s="43"/>
      <c r="L59" s="43"/>
      <c r="M59" s="43"/>
      <c r="N59" s="43"/>
      <c r="O59" s="62"/>
      <c r="P59" s="43"/>
      <c r="Q59" s="43"/>
      <c r="R59" s="43"/>
      <c r="S59" s="43"/>
      <c r="T59" s="43"/>
      <c r="U59" s="43"/>
    </row>
    <row r="60" spans="1:21" ht="15" customHeight="1" thickBot="1">
      <c r="A60" s="72"/>
      <c r="B60" s="43"/>
      <c r="C60" s="227"/>
      <c r="D60" s="227"/>
      <c r="E60" s="227"/>
      <c r="F60" s="381"/>
      <c r="G60" s="381"/>
      <c r="H60" s="381"/>
      <c r="I60" s="381"/>
      <c r="J60" s="381"/>
      <c r="K60" s="381"/>
      <c r="L60" s="381"/>
      <c r="M60" s="381"/>
      <c r="N60" s="381"/>
      <c r="O60" s="62"/>
      <c r="P60" s="43"/>
      <c r="Q60" s="43"/>
      <c r="R60" s="43"/>
      <c r="S60" s="43"/>
      <c r="T60" s="43"/>
      <c r="U60" s="43"/>
    </row>
    <row r="61" spans="1:21">
      <c r="A61" s="43"/>
      <c r="B61" s="50"/>
      <c r="C61" s="50"/>
      <c r="D61" s="50"/>
      <c r="E61" s="50"/>
      <c r="F61" s="50"/>
      <c r="G61" s="50"/>
      <c r="H61" s="50"/>
      <c r="I61" s="50"/>
      <c r="J61" s="302"/>
      <c r="K61" s="302"/>
      <c r="L61" s="302"/>
      <c r="M61" s="302"/>
      <c r="N61" s="302"/>
      <c r="O61" s="50"/>
      <c r="P61" s="43"/>
      <c r="Q61" s="43"/>
      <c r="R61" s="43"/>
      <c r="S61" s="43"/>
      <c r="T61" s="43"/>
      <c r="U61" s="43"/>
    </row>
    <row r="62" spans="1:21" ht="15" customHeight="1">
      <c r="A62" s="43"/>
      <c r="B62" s="381"/>
      <c r="C62" s="381"/>
      <c r="D62" s="381"/>
      <c r="E62" s="381"/>
      <c r="F62" s="381"/>
      <c r="G62" s="381"/>
      <c r="H62" s="381"/>
      <c r="I62" s="381"/>
      <c r="J62" s="381"/>
      <c r="K62" s="381"/>
      <c r="L62" s="381"/>
      <c r="M62" s="381"/>
      <c r="N62" s="381"/>
      <c r="O62" s="381"/>
      <c r="P62" s="43"/>
      <c r="Q62" s="43"/>
      <c r="R62" s="43"/>
      <c r="S62" s="43"/>
      <c r="T62" s="43"/>
      <c r="U62" s="43"/>
    </row>
    <row r="63" spans="1:21" ht="15" customHeight="1">
      <c r="A63" s="43"/>
      <c r="B63" s="381"/>
      <c r="C63" s="381"/>
      <c r="D63" s="381"/>
      <c r="E63" s="381"/>
      <c r="F63" s="381"/>
      <c r="G63" s="381"/>
      <c r="H63" s="381"/>
      <c r="I63" s="381"/>
      <c r="J63" s="381"/>
      <c r="K63" s="381"/>
      <c r="L63" s="381"/>
      <c r="M63" s="381"/>
      <c r="N63" s="381"/>
      <c r="O63" s="381"/>
      <c r="P63" s="43"/>
      <c r="Q63" s="43"/>
      <c r="R63" s="43"/>
      <c r="S63" s="43"/>
      <c r="T63" s="43"/>
      <c r="U63" s="43"/>
    </row>
    <row r="64" spans="1:21" ht="15" customHeight="1">
      <c r="A64" s="43"/>
      <c r="B64" s="381"/>
      <c r="C64" s="381"/>
      <c r="D64" s="381"/>
      <c r="E64" s="381"/>
      <c r="F64" s="381"/>
      <c r="G64" s="381"/>
      <c r="H64" s="381"/>
      <c r="I64" s="381"/>
      <c r="J64" s="381"/>
      <c r="K64" s="381"/>
      <c r="L64" s="381"/>
      <c r="M64" s="381"/>
      <c r="N64" s="381"/>
      <c r="O64" s="381"/>
      <c r="P64" s="43"/>
      <c r="Q64" s="43"/>
      <c r="R64" s="43"/>
      <c r="S64" s="43"/>
      <c r="T64" s="43"/>
      <c r="U64" s="43"/>
    </row>
    <row r="65" spans="1:21" ht="15" customHeight="1">
      <c r="A65" s="43"/>
      <c r="B65" s="43"/>
      <c r="C65" s="381"/>
      <c r="D65" s="381"/>
      <c r="E65" s="381"/>
      <c r="F65" s="381"/>
      <c r="G65" s="43"/>
      <c r="H65" s="43"/>
      <c r="I65" s="43"/>
      <c r="J65" s="43"/>
      <c r="K65" s="43"/>
      <c r="L65" s="43"/>
      <c r="M65" s="43"/>
      <c r="N65" s="43"/>
      <c r="O65" s="62"/>
      <c r="P65" s="43"/>
      <c r="Q65" s="43"/>
      <c r="R65" s="43"/>
      <c r="S65" s="43"/>
      <c r="T65" s="43"/>
      <c r="U65" s="43"/>
    </row>
    <row r="66" spans="1:21" ht="15" customHeight="1">
      <c r="A66" s="43"/>
      <c r="B66" s="43"/>
      <c r="C66" s="381"/>
      <c r="D66" s="381"/>
      <c r="E66" s="381"/>
      <c r="F66" s="381"/>
      <c r="G66" s="43"/>
      <c r="H66" s="43"/>
      <c r="I66" s="43"/>
      <c r="J66" s="43"/>
      <c r="K66" s="43"/>
      <c r="L66" s="43"/>
      <c r="M66" s="43"/>
      <c r="N66" s="43"/>
      <c r="O66" s="62"/>
      <c r="P66" s="43"/>
      <c r="Q66" s="43"/>
      <c r="R66" s="43"/>
      <c r="S66" s="43"/>
      <c r="T66" s="43"/>
      <c r="U66" s="43"/>
    </row>
    <row r="67" spans="1:21" ht="15" customHeight="1">
      <c r="A67" s="43"/>
      <c r="B67" s="43"/>
      <c r="C67" s="381"/>
      <c r="D67" s="381"/>
      <c r="E67" s="381"/>
      <c r="F67" s="381"/>
      <c r="G67" s="43"/>
      <c r="H67" s="43"/>
      <c r="I67" s="43"/>
      <c r="J67" s="43"/>
      <c r="K67" s="43"/>
      <c r="L67" s="43"/>
      <c r="M67" s="43"/>
      <c r="N67" s="43"/>
      <c r="O67" s="62"/>
      <c r="P67" s="43"/>
      <c r="Q67" s="43"/>
      <c r="R67" s="43"/>
      <c r="S67" s="43"/>
      <c r="T67" s="43"/>
      <c r="U67" s="43"/>
    </row>
    <row r="68" spans="1:21" ht="15" customHeight="1">
      <c r="A68" s="43"/>
      <c r="B68" s="43"/>
      <c r="C68" s="43"/>
      <c r="D68" s="43"/>
      <c r="E68" s="43"/>
      <c r="F68" s="43"/>
      <c r="G68" s="43"/>
      <c r="H68" s="43"/>
      <c r="I68" s="43"/>
      <c r="J68" s="43"/>
      <c r="K68" s="43"/>
      <c r="L68" s="43"/>
      <c r="M68" s="43"/>
      <c r="N68" s="43"/>
      <c r="O68" s="62"/>
      <c r="P68" s="43"/>
      <c r="Q68" s="43"/>
      <c r="R68" s="43"/>
      <c r="S68" s="43"/>
      <c r="T68" s="43"/>
      <c r="U68" s="43"/>
    </row>
    <row r="69" spans="1:21" ht="15" customHeight="1">
      <c r="A69" s="43"/>
      <c r="B69" s="43"/>
      <c r="C69" s="43"/>
      <c r="D69" s="43"/>
      <c r="E69" s="43"/>
      <c r="F69" s="43"/>
      <c r="G69" s="411"/>
      <c r="H69" s="43"/>
      <c r="I69" s="43"/>
      <c r="J69" s="43"/>
      <c r="K69" s="43"/>
      <c r="L69" s="43"/>
      <c r="M69" s="43"/>
      <c r="N69" s="43"/>
      <c r="O69" s="62"/>
      <c r="P69" s="43"/>
      <c r="Q69" s="43"/>
      <c r="R69" s="43"/>
      <c r="S69" s="43"/>
      <c r="T69" s="43"/>
      <c r="U69" s="43"/>
    </row>
    <row r="70" spans="1:21" ht="15" customHeight="1">
      <c r="A70" s="43"/>
      <c r="B70" s="43"/>
      <c r="C70" s="43"/>
      <c r="D70" s="43"/>
      <c r="E70" s="43"/>
      <c r="F70" s="43"/>
      <c r="G70" s="43"/>
      <c r="H70" s="43"/>
      <c r="I70" s="43"/>
      <c r="J70" s="43"/>
      <c r="K70" s="43"/>
      <c r="L70" s="43"/>
      <c r="M70" s="43"/>
      <c r="N70" s="43"/>
      <c r="O70" s="62"/>
      <c r="P70" s="43"/>
      <c r="Q70" s="43"/>
      <c r="R70" s="43"/>
      <c r="S70" s="43"/>
      <c r="T70" s="43"/>
      <c r="U70" s="43"/>
    </row>
  </sheetData>
  <pageMargins left="0.7" right="0.7" top="0.75" bottom="0.75" header="0.3" footer="0.3"/>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1F2"/>
  </sheetPr>
  <dimension ref="A1:BB123"/>
  <sheetViews>
    <sheetView topLeftCell="U1" zoomScale="81" workbookViewId="0">
      <selection activeCell="AE27" sqref="AE27"/>
    </sheetView>
  </sheetViews>
  <sheetFormatPr defaultColWidth="9.26953125" defaultRowHeight="14.5"/>
  <cols>
    <col min="1" max="2" width="3.54296875" style="4" customWidth="1"/>
    <col min="3" max="3" width="35" bestFit="1" customWidth="1"/>
    <col min="4" max="4" width="16.26953125" bestFit="1" customWidth="1"/>
    <col min="5" max="5" width="17.26953125" customWidth="1"/>
    <col min="6" max="7" width="16.26953125" customWidth="1"/>
    <col min="8" max="12" width="16.26953125" bestFit="1" customWidth="1"/>
    <col min="14" max="22" width="13" style="18" customWidth="1"/>
    <col min="24" max="24" width="35" style="30" bestFit="1" customWidth="1"/>
    <col min="25" max="33" width="13.453125" style="31" bestFit="1" customWidth="1"/>
    <col min="35" max="43" width="13" style="18" customWidth="1"/>
    <col min="45" max="45" width="35" style="30" bestFit="1" customWidth="1"/>
    <col min="46" max="54" width="13.453125" style="31" bestFit="1" customWidth="1"/>
  </cols>
  <sheetData>
    <row r="1" spans="1:54" s="3" customFormat="1" ht="14.65" customHeight="1">
      <c r="A1" s="83" t="s">
        <v>181</v>
      </c>
      <c r="B1" s="83" t="s">
        <v>182</v>
      </c>
      <c r="C1" s="111" t="str">
        <f t="array" aca="1" ref="C1" ca="1">_xlfn.TEXTAFTER(CELL("filename",C1),"]")</f>
        <v>lgh_diags</v>
      </c>
      <c r="D1" s="111"/>
      <c r="E1" s="111"/>
      <c r="F1" s="111"/>
      <c r="G1" s="111"/>
      <c r="H1" s="111"/>
      <c r="I1" s="111"/>
      <c r="J1" s="111"/>
      <c r="K1" s="111"/>
      <c r="L1" s="111"/>
      <c r="M1" s="43"/>
      <c r="N1" s="111"/>
      <c r="O1" s="111"/>
      <c r="P1" s="111"/>
      <c r="Q1" s="111"/>
      <c r="R1" s="111"/>
      <c r="S1" s="111"/>
      <c r="T1" s="111"/>
      <c r="U1" s="111"/>
      <c r="V1" s="111"/>
      <c r="W1" s="43"/>
      <c r="X1" s="111" t="str">
        <f t="array" aca="1" ref="X1" ca="1">_xlfn.TEXTAFTER(CELL("filename",X1),"]")</f>
        <v>lgh_diags</v>
      </c>
      <c r="Y1" s="111"/>
      <c r="Z1" s="111"/>
      <c r="AA1" s="111"/>
      <c r="AB1" s="111"/>
      <c r="AC1" s="111"/>
      <c r="AD1" s="111"/>
      <c r="AE1" s="111"/>
      <c r="AF1" s="111"/>
      <c r="AG1" s="111"/>
      <c r="AI1" s="616" t="s">
        <v>1145</v>
      </c>
      <c r="AJ1" s="111"/>
      <c r="AK1" s="111"/>
      <c r="AL1" s="111"/>
      <c r="AM1" s="111"/>
      <c r="AN1" s="111"/>
      <c r="AO1" s="111"/>
      <c r="AP1" s="111"/>
      <c r="AQ1" s="111"/>
      <c r="AR1" s="43"/>
      <c r="AS1" s="111" t="str">
        <f t="array" aca="1" ref="AS1" ca="1">_xlfn.TEXTAFTER(CELL("filename",AS1),"]")</f>
        <v>lgh_diags</v>
      </c>
      <c r="AT1" s="111"/>
      <c r="AU1" s="111"/>
      <c r="AV1" s="111"/>
      <c r="AW1" s="111"/>
      <c r="AX1" s="111"/>
      <c r="AY1" s="111"/>
      <c r="AZ1" s="111"/>
      <c r="BA1" s="111"/>
      <c r="BB1" s="111"/>
    </row>
    <row r="2" spans="1:54">
      <c r="A2" s="43"/>
      <c r="B2" s="43"/>
      <c r="C2" s="101" t="s">
        <v>0</v>
      </c>
      <c r="D2" s="112">
        <v>46022</v>
      </c>
      <c r="E2" s="112">
        <v>46112</v>
      </c>
      <c r="F2" s="112">
        <v>46203</v>
      </c>
      <c r="G2" s="112">
        <v>46295</v>
      </c>
      <c r="H2" s="112">
        <v>46387</v>
      </c>
      <c r="I2" s="112">
        <v>46752</v>
      </c>
      <c r="J2" s="112">
        <v>47118</v>
      </c>
      <c r="K2" s="112">
        <v>47483</v>
      </c>
      <c r="L2" s="112">
        <v>47848</v>
      </c>
      <c r="M2" s="43"/>
      <c r="N2" s="112">
        <v>46022</v>
      </c>
      <c r="O2" s="112">
        <v>46112</v>
      </c>
      <c r="P2" s="112">
        <v>46203</v>
      </c>
      <c r="Q2" s="112">
        <v>46295</v>
      </c>
      <c r="R2" s="112">
        <v>46387</v>
      </c>
      <c r="S2" s="112">
        <v>46752</v>
      </c>
      <c r="T2" s="112">
        <v>47118</v>
      </c>
      <c r="U2" s="112">
        <v>47483</v>
      </c>
      <c r="V2" s="112">
        <v>47848</v>
      </c>
      <c r="W2" s="113"/>
      <c r="X2" s="101" t="s">
        <v>0</v>
      </c>
      <c r="Y2" s="112">
        <v>46022</v>
      </c>
      <c r="Z2" s="112">
        <v>46112</v>
      </c>
      <c r="AA2" s="112">
        <v>46203</v>
      </c>
      <c r="AB2" s="112">
        <v>46295</v>
      </c>
      <c r="AC2" s="112">
        <v>46387</v>
      </c>
      <c r="AD2" s="112">
        <v>46752</v>
      </c>
      <c r="AE2" s="112">
        <v>47118</v>
      </c>
      <c r="AF2" s="112">
        <v>47483</v>
      </c>
      <c r="AG2" s="112">
        <v>47848</v>
      </c>
      <c r="AI2" s="112">
        <v>46022</v>
      </c>
      <c r="AJ2" s="112">
        <v>46112</v>
      </c>
      <c r="AK2" s="112">
        <v>46203</v>
      </c>
      <c r="AL2" s="112">
        <v>46295</v>
      </c>
      <c r="AM2" s="112">
        <v>46387</v>
      </c>
      <c r="AN2" s="112">
        <v>46752</v>
      </c>
      <c r="AO2" s="112">
        <v>47118</v>
      </c>
      <c r="AP2" s="112">
        <v>47483</v>
      </c>
      <c r="AQ2" s="112">
        <v>47848</v>
      </c>
      <c r="AR2" s="113"/>
      <c r="AS2" s="101" t="s">
        <v>0</v>
      </c>
      <c r="AT2" s="112">
        <v>46022</v>
      </c>
      <c r="AU2" s="112">
        <v>46112</v>
      </c>
      <c r="AV2" s="112">
        <v>46203</v>
      </c>
      <c r="AW2" s="112">
        <v>46295</v>
      </c>
      <c r="AX2" s="112">
        <v>46387</v>
      </c>
      <c r="AY2" s="112">
        <v>46752</v>
      </c>
      <c r="AZ2" s="112">
        <v>47118</v>
      </c>
      <c r="BA2" s="112">
        <v>47483</v>
      </c>
      <c r="BB2" s="112">
        <v>47848</v>
      </c>
    </row>
    <row r="3" spans="1:54">
      <c r="A3" s="43"/>
      <c r="B3" s="43"/>
      <c r="C3" s="101" t="s">
        <v>1</v>
      </c>
      <c r="D3" s="114" t="s">
        <v>2</v>
      </c>
      <c r="E3" s="114" t="s">
        <v>3</v>
      </c>
      <c r="F3" s="114" t="s">
        <v>4</v>
      </c>
      <c r="G3" s="114" t="s">
        <v>5</v>
      </c>
      <c r="H3" s="114" t="s">
        <v>2</v>
      </c>
      <c r="I3" s="114" t="s">
        <v>2</v>
      </c>
      <c r="J3" s="114" t="s">
        <v>2</v>
      </c>
      <c r="K3" s="114" t="s">
        <v>2</v>
      </c>
      <c r="L3" s="114" t="s">
        <v>2</v>
      </c>
      <c r="M3" s="43"/>
      <c r="N3" s="114" t="s">
        <v>2</v>
      </c>
      <c r="O3" s="114" t="s">
        <v>3</v>
      </c>
      <c r="P3" s="114" t="s">
        <v>4</v>
      </c>
      <c r="Q3" s="114" t="s">
        <v>5</v>
      </c>
      <c r="R3" s="114" t="s">
        <v>2</v>
      </c>
      <c r="S3" s="114" t="s">
        <v>2</v>
      </c>
      <c r="T3" s="114" t="s">
        <v>2</v>
      </c>
      <c r="U3" s="114" t="s">
        <v>2</v>
      </c>
      <c r="V3" s="114" t="s">
        <v>2</v>
      </c>
      <c r="W3" s="115"/>
      <c r="X3" s="101" t="s">
        <v>1</v>
      </c>
      <c r="Y3" s="114" t="s">
        <v>2</v>
      </c>
      <c r="Z3" s="114" t="s">
        <v>3</v>
      </c>
      <c r="AA3" s="114" t="s">
        <v>4</v>
      </c>
      <c r="AB3" s="114" t="s">
        <v>5</v>
      </c>
      <c r="AC3" s="114" t="s">
        <v>2</v>
      </c>
      <c r="AD3" s="114" t="s">
        <v>2</v>
      </c>
      <c r="AE3" s="114" t="s">
        <v>2</v>
      </c>
      <c r="AF3" s="114" t="s">
        <v>2</v>
      </c>
      <c r="AG3" s="114" t="s">
        <v>2</v>
      </c>
      <c r="AI3" s="114" t="s">
        <v>2</v>
      </c>
      <c r="AJ3" s="114" t="s">
        <v>3</v>
      </c>
      <c r="AK3" s="114" t="s">
        <v>4</v>
      </c>
      <c r="AL3" s="114" t="s">
        <v>5</v>
      </c>
      <c r="AM3" s="114" t="s">
        <v>2</v>
      </c>
      <c r="AN3" s="114" t="s">
        <v>2</v>
      </c>
      <c r="AO3" s="114" t="s">
        <v>2</v>
      </c>
      <c r="AP3" s="114" t="s">
        <v>2</v>
      </c>
      <c r="AQ3" s="114" t="s">
        <v>2</v>
      </c>
      <c r="AR3" s="115"/>
      <c r="AS3" s="101" t="s">
        <v>1</v>
      </c>
      <c r="AT3" s="114" t="s">
        <v>2</v>
      </c>
      <c r="AU3" s="114" t="s">
        <v>3</v>
      </c>
      <c r="AV3" s="114" t="s">
        <v>4</v>
      </c>
      <c r="AW3" s="114" t="s">
        <v>5</v>
      </c>
      <c r="AX3" s="114" t="s">
        <v>2</v>
      </c>
      <c r="AY3" s="114" t="s">
        <v>2</v>
      </c>
      <c r="AZ3" s="114" t="s">
        <v>2</v>
      </c>
      <c r="BA3" s="114" t="s">
        <v>2</v>
      </c>
      <c r="BB3" s="114" t="s">
        <v>2</v>
      </c>
    </row>
    <row r="4" spans="1:54" ht="15" customHeight="1">
      <c r="A4" s="43"/>
      <c r="B4" s="43"/>
      <c r="C4" s="83" t="s">
        <v>183</v>
      </c>
      <c r="D4" s="116"/>
      <c r="E4" s="116"/>
      <c r="F4" s="61"/>
      <c r="G4" s="61"/>
      <c r="H4" s="61"/>
      <c r="I4" s="61"/>
      <c r="J4" s="61"/>
      <c r="K4" s="61"/>
      <c r="L4" s="61"/>
      <c r="M4" s="43"/>
      <c r="N4" s="116"/>
      <c r="O4" s="116"/>
      <c r="P4" s="61"/>
      <c r="Q4" s="61"/>
      <c r="R4" s="61"/>
      <c r="S4" s="61"/>
      <c r="T4" s="61"/>
      <c r="U4" s="61"/>
      <c r="V4" s="61"/>
      <c r="W4" s="61"/>
      <c r="X4" s="83" t="s">
        <v>183</v>
      </c>
      <c r="Y4" s="116"/>
      <c r="Z4" s="116"/>
      <c r="AA4" s="61"/>
      <c r="AB4" s="61"/>
      <c r="AC4" s="61"/>
      <c r="AD4" s="61"/>
      <c r="AE4" s="61"/>
      <c r="AF4" s="61"/>
      <c r="AG4" s="61"/>
      <c r="AI4" s="116"/>
      <c r="AJ4" s="116"/>
      <c r="AK4" s="61"/>
      <c r="AL4" s="61"/>
      <c r="AM4" s="61"/>
      <c r="AN4" s="61"/>
      <c r="AO4" s="61"/>
      <c r="AP4" s="61"/>
      <c r="AQ4" s="61"/>
      <c r="AR4" s="61"/>
      <c r="AS4" s="83" t="s">
        <v>183</v>
      </c>
      <c r="AT4" s="116"/>
      <c r="AU4" s="116"/>
      <c r="AV4" s="61"/>
      <c r="AW4" s="61"/>
      <c r="AX4" s="61"/>
      <c r="AY4" s="61"/>
      <c r="AZ4" s="61"/>
      <c r="BA4" s="61"/>
      <c r="BB4" s="61"/>
    </row>
    <row r="5" spans="1:54">
      <c r="A5" s="46" t="s">
        <v>184</v>
      </c>
      <c r="B5" s="46" t="s">
        <v>138</v>
      </c>
      <c r="C5" s="46" t="s">
        <v>185</v>
      </c>
      <c r="D5" s="50">
        <f>lgh_bs!H5</f>
        <v>421256.06726545282</v>
      </c>
      <c r="E5" s="50">
        <f>lgh_bs!I5</f>
        <v>5590388.0830080388</v>
      </c>
      <c r="F5" s="50">
        <f>lgh_bs!J5</f>
        <v>10863126.247797264</v>
      </c>
      <c r="G5" s="50">
        <f>lgh_bs!K5</f>
        <v>7305682.2124279132</v>
      </c>
      <c r="H5" s="50">
        <f>lgh_bs!L5</f>
        <v>3057475.3633489949</v>
      </c>
      <c r="I5" s="50">
        <f>lgh_bs!M5</f>
        <v>6085325.9761546906</v>
      </c>
      <c r="J5" s="50">
        <f>lgh_bs!N5</f>
        <v>13391915.791192669</v>
      </c>
      <c r="K5" s="50">
        <f>lgh_bs!O5</f>
        <v>23226176.108435497</v>
      </c>
      <c r="L5" s="50">
        <f>lgh_bs!P5</f>
        <v>27896239.818470523</v>
      </c>
      <c r="M5" s="43"/>
      <c r="N5" s="421">
        <v>-1019175.657020261</v>
      </c>
      <c r="O5" s="68">
        <v>2214269.8450758965</v>
      </c>
      <c r="P5" s="68">
        <v>7461688.1230806317</v>
      </c>
      <c r="Q5" s="68">
        <v>3878734.3017759067</v>
      </c>
      <c r="R5" s="68">
        <v>-395173.65663290193</v>
      </c>
      <c r="S5" s="68">
        <v>2529098.5155733349</v>
      </c>
      <c r="T5" s="68">
        <v>9729002.5676938724</v>
      </c>
      <c r="U5" s="68">
        <v>19453376.580958731</v>
      </c>
      <c r="V5" s="68">
        <v>24010257.430678263</v>
      </c>
      <c r="W5" s="50"/>
      <c r="X5" s="46" t="s">
        <v>185</v>
      </c>
      <c r="Y5" s="50">
        <f t="shared" ref="Y5:Y36" si="0">D5-N5</f>
        <v>1440431.7242857139</v>
      </c>
      <c r="Z5" s="50">
        <f t="shared" ref="Z5:Z36" si="1">E5-O5</f>
        <v>3376118.2379321423</v>
      </c>
      <c r="AA5" s="50">
        <f t="shared" ref="AA5:AA36" si="2">F5-P5</f>
        <v>3401438.1247166321</v>
      </c>
      <c r="AB5" s="50">
        <f t="shared" ref="AB5:AB36" si="3">G5-Q5</f>
        <v>3426947.9106520065</v>
      </c>
      <c r="AC5" s="50">
        <f t="shared" ref="AC5:AC36" si="4">H5-R5</f>
        <v>3452649.019981897</v>
      </c>
      <c r="AD5" s="50">
        <f t="shared" ref="AD5:AD36" si="5">I5-S5</f>
        <v>3556227.4605813557</v>
      </c>
      <c r="AE5" s="50">
        <f t="shared" ref="AE5:AE36" si="6">J5-T5</f>
        <v>3662913.223498797</v>
      </c>
      <c r="AF5" s="50">
        <f t="shared" ref="AF5:AF36" si="7">K5-U5</f>
        <v>3772799.5274767652</v>
      </c>
      <c r="AG5" s="50">
        <f t="shared" ref="AG5:AG36" si="8">L5-V5</f>
        <v>3885982.3877922595</v>
      </c>
      <c r="AI5" s="628">
        <v>421309.35297973827</v>
      </c>
      <c r="AJ5" s="629">
        <v>3004754.9189604204</v>
      </c>
      <c r="AK5" s="629">
        <v>8121004.3843232896</v>
      </c>
      <c r="AL5" s="629">
        <v>4353548.6234584805</v>
      </c>
      <c r="AM5" s="629">
        <v>418312.49682895746</v>
      </c>
      <c r="AN5" s="629">
        <v>2435212.2214517226</v>
      </c>
      <c r="AO5" s="629">
        <v>6750563.7603085078</v>
      </c>
      <c r="AP5" s="629">
        <v>6873131.0546805738</v>
      </c>
      <c r="AQ5" s="629">
        <v>9816011.4440200888</v>
      </c>
      <c r="AR5" s="50"/>
      <c r="AS5" s="46" t="s">
        <v>185</v>
      </c>
      <c r="AT5" s="50">
        <f>D5-AI5</f>
        <v>-53.285714285448194</v>
      </c>
      <c r="AU5" s="50">
        <f t="shared" ref="AU5:BB5" si="9">E5-AJ5</f>
        <v>2585633.1640476184</v>
      </c>
      <c r="AV5" s="50">
        <f t="shared" si="9"/>
        <v>2742121.8634739742</v>
      </c>
      <c r="AW5" s="50">
        <f t="shared" si="9"/>
        <v>2952133.5889694327</v>
      </c>
      <c r="AX5" s="50">
        <f t="shared" si="9"/>
        <v>2639162.8665200374</v>
      </c>
      <c r="AY5" s="50">
        <f t="shared" si="9"/>
        <v>3650113.7547029681</v>
      </c>
      <c r="AZ5" s="50">
        <f t="shared" si="9"/>
        <v>6641352.0308841616</v>
      </c>
      <c r="BA5" s="50">
        <f t="shared" si="9"/>
        <v>16353045.053754922</v>
      </c>
      <c r="BB5" s="50">
        <f t="shared" si="9"/>
        <v>18080228.374450434</v>
      </c>
    </row>
    <row r="6" spans="1:54">
      <c r="A6" s="43"/>
      <c r="B6" s="43"/>
      <c r="C6" s="46" t="s">
        <v>186</v>
      </c>
      <c r="D6" s="50">
        <f>lgh_bs!H6</f>
        <v>46803856.975500621</v>
      </c>
      <c r="E6" s="50">
        <f>lgh_bs!I6</f>
        <v>46688396.145441398</v>
      </c>
      <c r="F6" s="50">
        <f>lgh_bs!J6</f>
        <v>47318458.658028975</v>
      </c>
      <c r="G6" s="50">
        <f>lgh_bs!K6</f>
        <v>47193848.832517855</v>
      </c>
      <c r="H6" s="50">
        <f>lgh_bs!L6</f>
        <v>60232309.356816709</v>
      </c>
      <c r="I6" s="50">
        <f>lgh_bs!M6</f>
        <v>68658852.64218013</v>
      </c>
      <c r="J6" s="50">
        <f>lgh_bs!N6</f>
        <v>78031616.129979655</v>
      </c>
      <c r="K6" s="50">
        <f>lgh_bs!O6</f>
        <v>73752764.644625396</v>
      </c>
      <c r="L6" s="50">
        <f>lgh_bs!P6</f>
        <v>85421359.86438784</v>
      </c>
      <c r="M6" s="43"/>
      <c r="N6" s="68">
        <v>46803856.975500621</v>
      </c>
      <c r="O6" s="68">
        <v>46688396.145441398</v>
      </c>
      <c r="P6" s="68">
        <v>47318458.658028975</v>
      </c>
      <c r="Q6" s="68">
        <v>47193848.832517855</v>
      </c>
      <c r="R6" s="68">
        <v>60232309.356816709</v>
      </c>
      <c r="S6" s="68">
        <v>68658852.64218013</v>
      </c>
      <c r="T6" s="68">
        <v>78031616.129979655</v>
      </c>
      <c r="U6" s="68">
        <v>73752764.644625396</v>
      </c>
      <c r="V6" s="68">
        <v>85421359.86438784</v>
      </c>
      <c r="W6" s="50"/>
      <c r="X6" s="46" t="s">
        <v>186</v>
      </c>
      <c r="Y6" s="50">
        <f t="shared" si="0"/>
        <v>0</v>
      </c>
      <c r="Z6" s="50">
        <f t="shared" si="1"/>
        <v>0</v>
      </c>
      <c r="AA6" s="50">
        <f t="shared" si="2"/>
        <v>0</v>
      </c>
      <c r="AB6" s="50">
        <f t="shared" si="3"/>
        <v>0</v>
      </c>
      <c r="AC6" s="50">
        <f t="shared" si="4"/>
        <v>0</v>
      </c>
      <c r="AD6" s="50">
        <f t="shared" si="5"/>
        <v>0</v>
      </c>
      <c r="AE6" s="50">
        <f t="shared" si="6"/>
        <v>0</v>
      </c>
      <c r="AF6" s="50">
        <f t="shared" si="7"/>
        <v>0</v>
      </c>
      <c r="AG6" s="50">
        <f t="shared" si="8"/>
        <v>0</v>
      </c>
      <c r="AI6" s="629">
        <v>46803856.975500621</v>
      </c>
      <c r="AJ6" s="629">
        <v>46688396.145441398</v>
      </c>
      <c r="AK6" s="629">
        <v>47318458.658028975</v>
      </c>
      <c r="AL6" s="629">
        <v>47193848.832517855</v>
      </c>
      <c r="AM6" s="629">
        <v>60232309.356816709</v>
      </c>
      <c r="AN6" s="629">
        <v>68658852.64218013</v>
      </c>
      <c r="AO6" s="629">
        <v>78031616.129979655</v>
      </c>
      <c r="AP6" s="629">
        <v>73752764.644625396</v>
      </c>
      <c r="AQ6" s="629">
        <v>85421359.86438784</v>
      </c>
      <c r="AR6" s="50"/>
      <c r="AS6" s="46" t="s">
        <v>186</v>
      </c>
      <c r="AT6" s="50">
        <f t="shared" ref="AT6:AT53" si="10">D6-AI6</f>
        <v>0</v>
      </c>
      <c r="AU6" s="50">
        <f t="shared" ref="AU6:AU53" si="11">E6-AJ6</f>
        <v>0</v>
      </c>
      <c r="AV6" s="50">
        <f t="shared" ref="AV6:AV53" si="12">F6-AK6</f>
        <v>0</v>
      </c>
      <c r="AW6" s="50">
        <f t="shared" ref="AW6:AW53" si="13">G6-AL6</f>
        <v>0</v>
      </c>
      <c r="AX6" s="50">
        <f t="shared" ref="AX6:AX53" si="14">H6-AM6</f>
        <v>0</v>
      </c>
      <c r="AY6" s="50">
        <f t="shared" ref="AY6:AY53" si="15">I6-AN6</f>
        <v>0</v>
      </c>
      <c r="AZ6" s="50">
        <f t="shared" ref="AZ6:AZ53" si="16">J6-AO6</f>
        <v>0</v>
      </c>
      <c r="BA6" s="50">
        <f t="shared" ref="BA6:BA53" si="17">K6-AP6</f>
        <v>0</v>
      </c>
      <c r="BB6" s="50">
        <f t="shared" ref="BB6:BB53" si="18">L6-AQ6</f>
        <v>0</v>
      </c>
    </row>
    <row r="7" spans="1:54">
      <c r="A7" s="46" t="s">
        <v>187</v>
      </c>
      <c r="B7" s="46" t="s">
        <v>188</v>
      </c>
      <c r="C7" s="46" t="s">
        <v>189</v>
      </c>
      <c r="D7" s="50">
        <f>lgh_bs!H7</f>
        <v>46803856.975500621</v>
      </c>
      <c r="E7" s="50">
        <f>lgh_bs!I7</f>
        <v>46688396.145441398</v>
      </c>
      <c r="F7" s="50">
        <f>lgh_bs!J7</f>
        <v>47318458.658028975</v>
      </c>
      <c r="G7" s="50">
        <f>lgh_bs!K7</f>
        <v>47193848.832517855</v>
      </c>
      <c r="H7" s="50">
        <f>lgh_bs!L7</f>
        <v>60232309.356816709</v>
      </c>
      <c r="I7" s="50">
        <f>lgh_bs!M7</f>
        <v>68658852.64218013</v>
      </c>
      <c r="J7" s="50">
        <f>lgh_bs!N7</f>
        <v>78031616.129979655</v>
      </c>
      <c r="K7" s="50">
        <f>lgh_bs!O7</f>
        <v>73752764.644625396</v>
      </c>
      <c r="L7" s="50">
        <f>lgh_bs!P7</f>
        <v>85421359.86438784</v>
      </c>
      <c r="M7" s="43"/>
      <c r="N7" s="68">
        <v>46803856.975500621</v>
      </c>
      <c r="O7" s="68">
        <v>46688396.145441398</v>
      </c>
      <c r="P7" s="68">
        <v>47318458.658028975</v>
      </c>
      <c r="Q7" s="68">
        <v>47193848.832517855</v>
      </c>
      <c r="R7" s="68">
        <v>60232309.356816709</v>
      </c>
      <c r="S7" s="68">
        <v>68658852.64218013</v>
      </c>
      <c r="T7" s="68">
        <v>78031616.129979655</v>
      </c>
      <c r="U7" s="68">
        <v>73752764.644625396</v>
      </c>
      <c r="V7" s="68">
        <v>85421359.86438784</v>
      </c>
      <c r="W7" s="50"/>
      <c r="X7" s="46" t="s">
        <v>189</v>
      </c>
      <c r="Y7" s="50">
        <f t="shared" si="0"/>
        <v>0</v>
      </c>
      <c r="Z7" s="50">
        <f t="shared" si="1"/>
        <v>0</v>
      </c>
      <c r="AA7" s="50">
        <f t="shared" si="2"/>
        <v>0</v>
      </c>
      <c r="AB7" s="50">
        <f t="shared" si="3"/>
        <v>0</v>
      </c>
      <c r="AC7" s="50">
        <f t="shared" si="4"/>
        <v>0</v>
      </c>
      <c r="AD7" s="50">
        <f t="shared" si="5"/>
        <v>0</v>
      </c>
      <c r="AE7" s="50">
        <f t="shared" si="6"/>
        <v>0</v>
      </c>
      <c r="AF7" s="50">
        <f t="shared" si="7"/>
        <v>0</v>
      </c>
      <c r="AG7" s="50">
        <f t="shared" si="8"/>
        <v>0</v>
      </c>
      <c r="AI7" s="629">
        <v>46803856.975500621</v>
      </c>
      <c r="AJ7" s="629">
        <v>46688396.145441398</v>
      </c>
      <c r="AK7" s="629">
        <v>47318458.658028975</v>
      </c>
      <c r="AL7" s="629">
        <v>47193848.832517855</v>
      </c>
      <c r="AM7" s="629">
        <v>60232309.356816709</v>
      </c>
      <c r="AN7" s="629">
        <v>68658852.64218013</v>
      </c>
      <c r="AO7" s="629">
        <v>78031616.129979655</v>
      </c>
      <c r="AP7" s="629">
        <v>73752764.644625396</v>
      </c>
      <c r="AQ7" s="629">
        <v>85421359.86438784</v>
      </c>
      <c r="AR7" s="50"/>
      <c r="AS7" s="46" t="s">
        <v>189</v>
      </c>
      <c r="AT7" s="50">
        <f t="shared" si="10"/>
        <v>0</v>
      </c>
      <c r="AU7" s="50">
        <f t="shared" si="11"/>
        <v>0</v>
      </c>
      <c r="AV7" s="50">
        <f t="shared" si="12"/>
        <v>0</v>
      </c>
      <c r="AW7" s="50">
        <f t="shared" si="13"/>
        <v>0</v>
      </c>
      <c r="AX7" s="50">
        <f t="shared" si="14"/>
        <v>0</v>
      </c>
      <c r="AY7" s="50">
        <f t="shared" si="15"/>
        <v>0</v>
      </c>
      <c r="AZ7" s="50">
        <f t="shared" si="16"/>
        <v>0</v>
      </c>
      <c r="BA7" s="50">
        <f t="shared" si="17"/>
        <v>0</v>
      </c>
      <c r="BB7" s="50">
        <f t="shared" si="18"/>
        <v>0</v>
      </c>
    </row>
    <row r="8" spans="1:54">
      <c r="A8" s="43"/>
      <c r="B8" s="43"/>
      <c r="C8" s="46" t="s">
        <v>190</v>
      </c>
      <c r="D8" s="50">
        <f>lgh_bs!H8</f>
        <v>18560900.092840675</v>
      </c>
      <c r="E8" s="50">
        <f>lgh_bs!I8</f>
        <v>18168834.975128654</v>
      </c>
      <c r="F8" s="50">
        <f>lgh_bs!J8</f>
        <v>20455751.332310468</v>
      </c>
      <c r="G8" s="50">
        <f>lgh_bs!K8</f>
        <v>20019625.632090211</v>
      </c>
      <c r="H8" s="50">
        <f>lgh_bs!L8</f>
        <v>20380869.458477151</v>
      </c>
      <c r="I8" s="50">
        <f>lgh_bs!M8</f>
        <v>20527641.94701767</v>
      </c>
      <c r="J8" s="50">
        <f>lgh_bs!N8</f>
        <v>17612726.142882496</v>
      </c>
      <c r="K8" s="50">
        <f>lgh_bs!O8</f>
        <v>39638789.311446816</v>
      </c>
      <c r="L8" s="50">
        <f>lgh_bs!P8</f>
        <v>47083185.362348847</v>
      </c>
      <c r="M8" s="43"/>
      <c r="N8" s="68">
        <v>18560900.092840675</v>
      </c>
      <c r="O8" s="68">
        <v>18168834.975128654</v>
      </c>
      <c r="P8" s="68">
        <v>20455751.332310468</v>
      </c>
      <c r="Q8" s="68">
        <v>20019625.632090211</v>
      </c>
      <c r="R8" s="68">
        <v>20380869.458477151</v>
      </c>
      <c r="S8" s="68">
        <v>20527641.94701767</v>
      </c>
      <c r="T8" s="68">
        <v>17612726.142882496</v>
      </c>
      <c r="U8" s="68">
        <v>39638789.311446816</v>
      </c>
      <c r="V8" s="68">
        <v>47083185.362348847</v>
      </c>
      <c r="W8" s="50"/>
      <c r="X8" s="46" t="s">
        <v>190</v>
      </c>
      <c r="Y8" s="50">
        <f t="shared" si="0"/>
        <v>0</v>
      </c>
      <c r="Z8" s="50">
        <f t="shared" si="1"/>
        <v>0</v>
      </c>
      <c r="AA8" s="50">
        <f t="shared" si="2"/>
        <v>0</v>
      </c>
      <c r="AB8" s="50">
        <f t="shared" si="3"/>
        <v>0</v>
      </c>
      <c r="AC8" s="50">
        <f t="shared" si="4"/>
        <v>0</v>
      </c>
      <c r="AD8" s="50">
        <f t="shared" si="5"/>
        <v>0</v>
      </c>
      <c r="AE8" s="50">
        <f t="shared" si="6"/>
        <v>0</v>
      </c>
      <c r="AF8" s="50">
        <f t="shared" si="7"/>
        <v>0</v>
      </c>
      <c r="AG8" s="50">
        <f t="shared" si="8"/>
        <v>0</v>
      </c>
      <c r="AI8" s="629">
        <v>17920353.404340673</v>
      </c>
      <c r="AJ8" s="629">
        <v>16879339.975128654</v>
      </c>
      <c r="AK8" s="629">
        <v>18546256.332310468</v>
      </c>
      <c r="AL8" s="629">
        <v>18110130.632090211</v>
      </c>
      <c r="AM8" s="629">
        <v>17721374.458477151</v>
      </c>
      <c r="AN8" s="629">
        <v>17469222.69701767</v>
      </c>
      <c r="AO8" s="629">
        <v>14095544.005382499</v>
      </c>
      <c r="AP8" s="629">
        <v>39638789.311446816</v>
      </c>
      <c r="AQ8" s="629">
        <v>47083185.362348847</v>
      </c>
      <c r="AR8" s="50"/>
      <c r="AS8" s="46" t="s">
        <v>190</v>
      </c>
      <c r="AT8" s="50">
        <f t="shared" si="10"/>
        <v>640546.68850000203</v>
      </c>
      <c r="AU8" s="50">
        <f t="shared" si="11"/>
        <v>1289495</v>
      </c>
      <c r="AV8" s="50">
        <f t="shared" si="12"/>
        <v>1909495</v>
      </c>
      <c r="AW8" s="50">
        <f t="shared" si="13"/>
        <v>1909495</v>
      </c>
      <c r="AX8" s="50">
        <f t="shared" si="14"/>
        <v>2659495</v>
      </c>
      <c r="AY8" s="50">
        <f t="shared" si="15"/>
        <v>3058419.25</v>
      </c>
      <c r="AZ8" s="50">
        <f t="shared" si="16"/>
        <v>3517182.1374999974</v>
      </c>
      <c r="BA8" s="50">
        <f t="shared" si="17"/>
        <v>0</v>
      </c>
      <c r="BB8" s="50">
        <f t="shared" si="18"/>
        <v>0</v>
      </c>
    </row>
    <row r="9" spans="1:54">
      <c r="A9" s="46" t="s">
        <v>191</v>
      </c>
      <c r="B9" s="46" t="s">
        <v>111</v>
      </c>
      <c r="C9" s="46" t="s">
        <v>189</v>
      </c>
      <c r="D9" s="50">
        <f>lgh_bs!H9</f>
        <v>7753407.414941581</v>
      </c>
      <c r="E9" s="50">
        <f>lgh_bs!I9</f>
        <v>6038275.3593691019</v>
      </c>
      <c r="F9" s="50">
        <f>lgh_bs!J9</f>
        <v>4849926.1457863338</v>
      </c>
      <c r="G9" s="50">
        <f>lgh_bs!K9</f>
        <v>3974250.1732844282</v>
      </c>
      <c r="H9" s="50">
        <f>lgh_bs!L9</f>
        <v>3116853.7677923306</v>
      </c>
      <c r="I9" s="50">
        <f>lgh_bs!M9</f>
        <v>0</v>
      </c>
      <c r="J9" s="50">
        <f>lgh_bs!N9</f>
        <v>0</v>
      </c>
      <c r="K9" s="50">
        <f>lgh_bs!O9</f>
        <v>0</v>
      </c>
      <c r="L9" s="50">
        <f>lgh_bs!P9</f>
        <v>0</v>
      </c>
      <c r="M9" s="43"/>
      <c r="N9" s="68">
        <v>7753407.414941581</v>
      </c>
      <c r="O9" s="68">
        <v>6038275.3593691019</v>
      </c>
      <c r="P9" s="68">
        <v>4849926.1457863338</v>
      </c>
      <c r="Q9" s="68">
        <v>3974250.1732844282</v>
      </c>
      <c r="R9" s="68">
        <v>3116853.7677923306</v>
      </c>
      <c r="S9" s="68">
        <v>0</v>
      </c>
      <c r="T9" s="68">
        <v>0</v>
      </c>
      <c r="U9" s="68">
        <v>0</v>
      </c>
      <c r="V9" s="68">
        <v>0</v>
      </c>
      <c r="W9" s="50"/>
      <c r="X9" s="46" t="s">
        <v>189</v>
      </c>
      <c r="Y9" s="50">
        <f t="shared" si="0"/>
        <v>0</v>
      </c>
      <c r="Z9" s="50">
        <f t="shared" si="1"/>
        <v>0</v>
      </c>
      <c r="AA9" s="50">
        <f t="shared" si="2"/>
        <v>0</v>
      </c>
      <c r="AB9" s="50">
        <f t="shared" si="3"/>
        <v>0</v>
      </c>
      <c r="AC9" s="50">
        <f t="shared" si="4"/>
        <v>0</v>
      </c>
      <c r="AD9" s="50">
        <f t="shared" si="5"/>
        <v>0</v>
      </c>
      <c r="AE9" s="50">
        <f t="shared" si="6"/>
        <v>0</v>
      </c>
      <c r="AF9" s="50">
        <f t="shared" si="7"/>
        <v>0</v>
      </c>
      <c r="AG9" s="50">
        <f t="shared" si="8"/>
        <v>0</v>
      </c>
      <c r="AI9" s="629">
        <v>7402355.7264415808</v>
      </c>
      <c r="AJ9" s="629">
        <v>6038275.3593691019</v>
      </c>
      <c r="AK9" s="629">
        <v>4849926.1457863338</v>
      </c>
      <c r="AL9" s="629">
        <v>3974250.1732844282</v>
      </c>
      <c r="AM9" s="629">
        <v>3116853.7677923306</v>
      </c>
      <c r="AN9" s="629">
        <v>0</v>
      </c>
      <c r="AO9" s="629">
        <v>0</v>
      </c>
      <c r="AP9" s="629">
        <v>0</v>
      </c>
      <c r="AQ9" s="629">
        <v>0</v>
      </c>
      <c r="AR9" s="50"/>
      <c r="AS9" s="46" t="s">
        <v>189</v>
      </c>
      <c r="AT9" s="50">
        <f t="shared" si="10"/>
        <v>351051.68850000016</v>
      </c>
      <c r="AU9" s="50">
        <f t="shared" si="11"/>
        <v>0</v>
      </c>
      <c r="AV9" s="50">
        <f t="shared" si="12"/>
        <v>0</v>
      </c>
      <c r="AW9" s="50">
        <f t="shared" si="13"/>
        <v>0</v>
      </c>
      <c r="AX9" s="50">
        <f t="shared" si="14"/>
        <v>0</v>
      </c>
      <c r="AY9" s="50">
        <f t="shared" si="15"/>
        <v>0</v>
      </c>
      <c r="AZ9" s="50">
        <f t="shared" si="16"/>
        <v>0</v>
      </c>
      <c r="BA9" s="50">
        <f t="shared" si="17"/>
        <v>0</v>
      </c>
      <c r="BB9" s="50">
        <f t="shared" si="18"/>
        <v>0</v>
      </c>
    </row>
    <row r="10" spans="1:54">
      <c r="A10" s="46" t="s">
        <v>191</v>
      </c>
      <c r="B10" s="46" t="s">
        <v>113</v>
      </c>
      <c r="C10" s="46" t="s">
        <v>192</v>
      </c>
      <c r="D10" s="50">
        <f>lgh_bs!H10</f>
        <v>6393440.7741542654</v>
      </c>
      <c r="E10" s="50">
        <f>lgh_bs!I10</f>
        <v>6603375.2805657405</v>
      </c>
      <c r="F10" s="50">
        <f>lgh_bs!J10</f>
        <v>6822651.9460751358</v>
      </c>
      <c r="G10" s="50">
        <f>lgh_bs!K10</f>
        <v>7051741.0686642267</v>
      </c>
      <c r="H10" s="50">
        <f>lgh_bs!L10</f>
        <v>7288522.4825358614</v>
      </c>
      <c r="I10" s="50">
        <f>lgh_bs!M10</f>
        <v>6806296.4560152246</v>
      </c>
      <c r="J10" s="50">
        <f>lgh_bs!N10</f>
        <v>4230778.4205505513</v>
      </c>
      <c r="K10" s="50">
        <f>lgh_bs!O10</f>
        <v>4951306.8763720598</v>
      </c>
      <c r="L10" s="50">
        <f>lgh_bs!P10</f>
        <v>4764456.7915576464</v>
      </c>
      <c r="M10" s="43"/>
      <c r="N10" s="68">
        <v>6393440.7741542654</v>
      </c>
      <c r="O10" s="68">
        <v>6603375.2805657405</v>
      </c>
      <c r="P10" s="68">
        <v>6822651.9460751358</v>
      </c>
      <c r="Q10" s="68">
        <v>7051741.0686642267</v>
      </c>
      <c r="R10" s="68">
        <v>7288522.4825358614</v>
      </c>
      <c r="S10" s="68">
        <v>6806296.4560152246</v>
      </c>
      <c r="T10" s="68">
        <v>4230778.4205505513</v>
      </c>
      <c r="U10" s="68">
        <v>4951306.8763720598</v>
      </c>
      <c r="V10" s="68">
        <v>4764456.7915576464</v>
      </c>
      <c r="W10" s="50"/>
      <c r="X10" s="46" t="s">
        <v>192</v>
      </c>
      <c r="Y10" s="50">
        <f t="shared" si="0"/>
        <v>0</v>
      </c>
      <c r="Z10" s="50">
        <f t="shared" si="1"/>
        <v>0</v>
      </c>
      <c r="AA10" s="50">
        <f t="shared" si="2"/>
        <v>0</v>
      </c>
      <c r="AB10" s="50">
        <f t="shared" si="3"/>
        <v>0</v>
      </c>
      <c r="AC10" s="50">
        <f t="shared" si="4"/>
        <v>0</v>
      </c>
      <c r="AD10" s="50">
        <f t="shared" si="5"/>
        <v>0</v>
      </c>
      <c r="AE10" s="50">
        <f t="shared" si="6"/>
        <v>0</v>
      </c>
      <c r="AF10" s="50">
        <f t="shared" si="7"/>
        <v>0</v>
      </c>
      <c r="AG10" s="50">
        <f t="shared" si="8"/>
        <v>0</v>
      </c>
      <c r="AI10" s="629">
        <v>6393440.7741542654</v>
      </c>
      <c r="AJ10" s="629">
        <v>6603375.2805657405</v>
      </c>
      <c r="AK10" s="629">
        <v>6822651.9460751358</v>
      </c>
      <c r="AL10" s="629">
        <v>7051741.0686642267</v>
      </c>
      <c r="AM10" s="629">
        <v>7288522.4825358614</v>
      </c>
      <c r="AN10" s="629">
        <v>6806296.4560152246</v>
      </c>
      <c r="AO10" s="629">
        <v>4230778.4205505513</v>
      </c>
      <c r="AP10" s="629">
        <v>4951306.8763720598</v>
      </c>
      <c r="AQ10" s="629">
        <v>4764456.7915576464</v>
      </c>
      <c r="AR10" s="50"/>
      <c r="AS10" s="46" t="s">
        <v>192</v>
      </c>
      <c r="AT10" s="50">
        <f t="shared" si="10"/>
        <v>0</v>
      </c>
      <c r="AU10" s="50">
        <f t="shared" si="11"/>
        <v>0</v>
      </c>
      <c r="AV10" s="50">
        <f t="shared" si="12"/>
        <v>0</v>
      </c>
      <c r="AW10" s="50">
        <f t="shared" si="13"/>
        <v>0</v>
      </c>
      <c r="AX10" s="50">
        <f t="shared" si="14"/>
        <v>0</v>
      </c>
      <c r="AY10" s="50">
        <f t="shared" si="15"/>
        <v>0</v>
      </c>
      <c r="AZ10" s="50">
        <f t="shared" si="16"/>
        <v>0</v>
      </c>
      <c r="BA10" s="50">
        <f t="shared" si="17"/>
        <v>0</v>
      </c>
      <c r="BB10" s="50">
        <f t="shared" si="18"/>
        <v>0</v>
      </c>
    </row>
    <row r="11" spans="1:54">
      <c r="A11" s="46" t="s">
        <v>191</v>
      </c>
      <c r="B11" s="46" t="s">
        <v>112</v>
      </c>
      <c r="C11" s="46" t="s">
        <v>193</v>
      </c>
      <c r="D11" s="50">
        <f>lgh_bs!H11</f>
        <v>4124556.903744827</v>
      </c>
      <c r="E11" s="50">
        <f>lgh_bs!I11</f>
        <v>4237689.3351938138</v>
      </c>
      <c r="F11" s="50">
        <f>lgh_bs!J11</f>
        <v>6873678.2404489974</v>
      </c>
      <c r="G11" s="50">
        <f>lgh_bs!K11</f>
        <v>7084139.3901415551</v>
      </c>
      <c r="H11" s="50">
        <f>lgh_bs!L11</f>
        <v>7315998.2081489582</v>
      </c>
      <c r="I11" s="50">
        <f>lgh_bs!M11</f>
        <v>10662926.241002446</v>
      </c>
      <c r="J11" s="50">
        <f>lgh_bs!N11</f>
        <v>9864765.5848319475</v>
      </c>
      <c r="K11" s="50">
        <f>lgh_bs!O11</f>
        <v>34687482.435074754</v>
      </c>
      <c r="L11" s="50">
        <f>lgh_bs!P11</f>
        <v>42318728.5707912</v>
      </c>
      <c r="M11" s="43"/>
      <c r="N11" s="68">
        <v>4124556.903744827</v>
      </c>
      <c r="O11" s="68">
        <v>4237689.3351938138</v>
      </c>
      <c r="P11" s="68">
        <v>6873678.2404489974</v>
      </c>
      <c r="Q11" s="68">
        <v>7084139.3901415551</v>
      </c>
      <c r="R11" s="68">
        <v>7315998.2081489582</v>
      </c>
      <c r="S11" s="68">
        <v>10662926.241002446</v>
      </c>
      <c r="T11" s="68">
        <v>9864765.5848319475</v>
      </c>
      <c r="U11" s="68">
        <v>34687482.435074754</v>
      </c>
      <c r="V11" s="68">
        <v>42318728.5707912</v>
      </c>
      <c r="W11" s="50"/>
      <c r="X11" s="46" t="s">
        <v>193</v>
      </c>
      <c r="Y11" s="50">
        <f t="shared" si="0"/>
        <v>0</v>
      </c>
      <c r="Z11" s="50">
        <f t="shared" si="1"/>
        <v>0</v>
      </c>
      <c r="AA11" s="50">
        <f t="shared" si="2"/>
        <v>0</v>
      </c>
      <c r="AB11" s="50">
        <f t="shared" si="3"/>
        <v>0</v>
      </c>
      <c r="AC11" s="50">
        <f t="shared" si="4"/>
        <v>0</v>
      </c>
      <c r="AD11" s="50">
        <f t="shared" si="5"/>
        <v>0</v>
      </c>
      <c r="AE11" s="50">
        <f t="shared" si="6"/>
        <v>0</v>
      </c>
      <c r="AF11" s="50">
        <f t="shared" si="7"/>
        <v>0</v>
      </c>
      <c r="AG11" s="50">
        <f t="shared" si="8"/>
        <v>0</v>
      </c>
      <c r="AI11" s="629">
        <v>4124556.903744827</v>
      </c>
      <c r="AJ11" s="629">
        <v>4237689.3351938138</v>
      </c>
      <c r="AK11" s="629">
        <v>6873678.2404489974</v>
      </c>
      <c r="AL11" s="629">
        <v>7084139.3901415551</v>
      </c>
      <c r="AM11" s="629">
        <v>7315998.2081489582</v>
      </c>
      <c r="AN11" s="629">
        <v>10662926.241002446</v>
      </c>
      <c r="AO11" s="629">
        <v>9864765.5848319475</v>
      </c>
      <c r="AP11" s="629">
        <v>34687482.435074754</v>
      </c>
      <c r="AQ11" s="629">
        <v>42318728.5707912</v>
      </c>
      <c r="AR11" s="50"/>
      <c r="AS11" s="46" t="s">
        <v>193</v>
      </c>
      <c r="AT11" s="50">
        <f t="shared" si="10"/>
        <v>0</v>
      </c>
      <c r="AU11" s="50">
        <f t="shared" si="11"/>
        <v>0</v>
      </c>
      <c r="AV11" s="50">
        <f t="shared" si="12"/>
        <v>0</v>
      </c>
      <c r="AW11" s="50">
        <f t="shared" si="13"/>
        <v>0</v>
      </c>
      <c r="AX11" s="50">
        <f t="shared" si="14"/>
        <v>0</v>
      </c>
      <c r="AY11" s="50">
        <f t="shared" si="15"/>
        <v>0</v>
      </c>
      <c r="AZ11" s="50">
        <f t="shared" si="16"/>
        <v>0</v>
      </c>
      <c r="BA11" s="50">
        <f t="shared" si="17"/>
        <v>0</v>
      </c>
      <c r="BB11" s="50">
        <f t="shared" si="18"/>
        <v>0</v>
      </c>
    </row>
    <row r="12" spans="1:54">
      <c r="A12" s="43"/>
      <c r="B12" s="43"/>
      <c r="C12" s="46" t="s">
        <v>194</v>
      </c>
      <c r="D12" s="50">
        <f>lgh_bs!H12</f>
        <v>289495</v>
      </c>
      <c r="E12" s="50">
        <f>lgh_bs!I12</f>
        <v>1289495</v>
      </c>
      <c r="F12" s="50">
        <f>lgh_bs!J12</f>
        <v>1909495</v>
      </c>
      <c r="G12" s="50">
        <f>lgh_bs!K12</f>
        <v>1909495</v>
      </c>
      <c r="H12" s="50">
        <f>lgh_bs!L12</f>
        <v>2659495</v>
      </c>
      <c r="I12" s="50">
        <f>lgh_bs!M12</f>
        <v>3058419.2499999995</v>
      </c>
      <c r="J12" s="50">
        <f>lgh_bs!N12</f>
        <v>3517182.1374999993</v>
      </c>
      <c r="K12" s="50">
        <f>lgh_bs!O12</f>
        <v>0</v>
      </c>
      <c r="L12" s="50">
        <f>lgh_bs!P12</f>
        <v>0</v>
      </c>
      <c r="M12" s="43"/>
      <c r="N12" s="68">
        <v>289495</v>
      </c>
      <c r="O12" s="68">
        <v>1289495</v>
      </c>
      <c r="P12" s="68">
        <v>1909495</v>
      </c>
      <c r="Q12" s="68">
        <v>1909495</v>
      </c>
      <c r="R12" s="68">
        <v>2659495</v>
      </c>
      <c r="S12" s="68">
        <v>3058419.2499999995</v>
      </c>
      <c r="T12" s="68">
        <v>3517182.1374999993</v>
      </c>
      <c r="U12" s="68">
        <v>0</v>
      </c>
      <c r="V12" s="68">
        <v>0</v>
      </c>
      <c r="W12" s="50"/>
      <c r="X12" s="46" t="s">
        <v>194</v>
      </c>
      <c r="Y12" s="50">
        <f t="shared" si="0"/>
        <v>0</v>
      </c>
      <c r="Z12" s="50">
        <f t="shared" si="1"/>
        <v>0</v>
      </c>
      <c r="AA12" s="50">
        <f t="shared" si="2"/>
        <v>0</v>
      </c>
      <c r="AB12" s="50">
        <f t="shared" si="3"/>
        <v>0</v>
      </c>
      <c r="AC12" s="50">
        <f t="shared" si="4"/>
        <v>0</v>
      </c>
      <c r="AD12" s="50">
        <f t="shared" si="5"/>
        <v>0</v>
      </c>
      <c r="AE12" s="50">
        <f t="shared" si="6"/>
        <v>0</v>
      </c>
      <c r="AF12" s="50">
        <f t="shared" si="7"/>
        <v>0</v>
      </c>
      <c r="AG12" s="50">
        <f t="shared" si="8"/>
        <v>0</v>
      </c>
      <c r="AI12" s="629"/>
      <c r="AJ12" s="629"/>
      <c r="AK12" s="629"/>
      <c r="AL12" s="629"/>
      <c r="AM12" s="629"/>
      <c r="AN12" s="629"/>
      <c r="AO12" s="629"/>
      <c r="AP12" s="629"/>
      <c r="AQ12" s="629"/>
      <c r="AR12" s="50"/>
      <c r="AS12" s="46" t="s">
        <v>194</v>
      </c>
      <c r="AT12" s="50">
        <f t="shared" si="10"/>
        <v>289495</v>
      </c>
      <c r="AU12" s="50">
        <f t="shared" si="11"/>
        <v>1289495</v>
      </c>
      <c r="AV12" s="50">
        <f t="shared" si="12"/>
        <v>1909495</v>
      </c>
      <c r="AW12" s="50">
        <f t="shared" si="13"/>
        <v>1909495</v>
      </c>
      <c r="AX12" s="50">
        <f t="shared" si="14"/>
        <v>2659495</v>
      </c>
      <c r="AY12" s="50">
        <f t="shared" si="15"/>
        <v>3058419.2499999995</v>
      </c>
      <c r="AZ12" s="50">
        <f t="shared" si="16"/>
        <v>3517182.1374999993</v>
      </c>
      <c r="BA12" s="50">
        <f t="shared" si="17"/>
        <v>0</v>
      </c>
      <c r="BB12" s="50">
        <f t="shared" si="18"/>
        <v>0</v>
      </c>
    </row>
    <row r="13" spans="1:54">
      <c r="A13" s="43"/>
      <c r="B13" s="43"/>
      <c r="C13" s="46" t="s">
        <v>195</v>
      </c>
      <c r="D13" s="50">
        <f>lgh_bs!H13</f>
        <v>40032700.798691444</v>
      </c>
      <c r="E13" s="50">
        <f>lgh_bs!I13</f>
        <v>36265000.089758396</v>
      </c>
      <c r="F13" s="50">
        <f>lgh_bs!J13</f>
        <v>38900747.169811323</v>
      </c>
      <c r="G13" s="50">
        <f>lgh_bs!K13</f>
        <v>41760245.297078438</v>
      </c>
      <c r="H13" s="50">
        <f>lgh_bs!L13</f>
        <v>50265874.093843371</v>
      </c>
      <c r="I13" s="50">
        <f>lgh_bs!M13</f>
        <v>32637075</v>
      </c>
      <c r="J13" s="50">
        <f>lgh_bs!N13</f>
        <v>33952187.25</v>
      </c>
      <c r="K13" s="50">
        <f>lgh_bs!O13</f>
        <v>35273002.8675</v>
      </c>
      <c r="L13" s="50">
        <f>lgh_bs!P13</f>
        <v>37231192.953525007</v>
      </c>
      <c r="M13" s="43"/>
      <c r="N13" s="68">
        <v>40032700.798691444</v>
      </c>
      <c r="O13" s="68">
        <v>36265000.089758396</v>
      </c>
      <c r="P13" s="68">
        <v>38900747.169811323</v>
      </c>
      <c r="Q13" s="68">
        <v>41760245.297078438</v>
      </c>
      <c r="R13" s="68">
        <v>50265874.093843371</v>
      </c>
      <c r="S13" s="68">
        <v>32637075</v>
      </c>
      <c r="T13" s="68">
        <v>33952187.25</v>
      </c>
      <c r="U13" s="68">
        <v>35273002.8675</v>
      </c>
      <c r="V13" s="68">
        <v>37231192.953525007</v>
      </c>
      <c r="W13" s="50"/>
      <c r="X13" s="46" t="s">
        <v>195</v>
      </c>
      <c r="Y13" s="50">
        <f t="shared" si="0"/>
        <v>0</v>
      </c>
      <c r="Z13" s="50">
        <f t="shared" si="1"/>
        <v>0</v>
      </c>
      <c r="AA13" s="50">
        <f t="shared" si="2"/>
        <v>0</v>
      </c>
      <c r="AB13" s="50">
        <f t="shared" si="3"/>
        <v>0</v>
      </c>
      <c r="AC13" s="50">
        <f t="shared" si="4"/>
        <v>0</v>
      </c>
      <c r="AD13" s="50">
        <f t="shared" si="5"/>
        <v>0</v>
      </c>
      <c r="AE13" s="50">
        <f t="shared" si="6"/>
        <v>0</v>
      </c>
      <c r="AF13" s="50">
        <f t="shared" si="7"/>
        <v>0</v>
      </c>
      <c r="AG13" s="50">
        <f t="shared" si="8"/>
        <v>0</v>
      </c>
      <c r="AI13" s="629">
        <v>40032700.798691459</v>
      </c>
      <c r="AJ13" s="629">
        <v>36265000.089758396</v>
      </c>
      <c r="AK13" s="629">
        <v>38900747.169811323</v>
      </c>
      <c r="AL13" s="629">
        <v>41760245.297078438</v>
      </c>
      <c r="AM13" s="629">
        <v>50265874.093843371</v>
      </c>
      <c r="AN13" s="629">
        <v>32637075</v>
      </c>
      <c r="AO13" s="629">
        <v>33952187.25</v>
      </c>
      <c r="AP13" s="629">
        <v>35273002.8675</v>
      </c>
      <c r="AQ13" s="629">
        <v>37231192.953525007</v>
      </c>
      <c r="AR13" s="50"/>
      <c r="AS13" s="46" t="s">
        <v>195</v>
      </c>
      <c r="AT13" s="50">
        <f t="shared" si="10"/>
        <v>0</v>
      </c>
      <c r="AU13" s="50">
        <f t="shared" si="11"/>
        <v>0</v>
      </c>
      <c r="AV13" s="50">
        <f t="shared" si="12"/>
        <v>0</v>
      </c>
      <c r="AW13" s="50">
        <f t="shared" si="13"/>
        <v>0</v>
      </c>
      <c r="AX13" s="50">
        <f t="shared" si="14"/>
        <v>0</v>
      </c>
      <c r="AY13" s="50">
        <f t="shared" si="15"/>
        <v>0</v>
      </c>
      <c r="AZ13" s="50">
        <f t="shared" si="16"/>
        <v>0</v>
      </c>
      <c r="BA13" s="50">
        <f t="shared" si="17"/>
        <v>0</v>
      </c>
      <c r="BB13" s="50">
        <f t="shared" si="18"/>
        <v>0</v>
      </c>
    </row>
    <row r="14" spans="1:54">
      <c r="A14" s="46" t="s">
        <v>196</v>
      </c>
      <c r="B14" s="46" t="s">
        <v>111</v>
      </c>
      <c r="C14" s="46" t="s">
        <v>189</v>
      </c>
      <c r="D14" s="50">
        <f>lgh_bs!H14</f>
        <v>40032700.798691444</v>
      </c>
      <c r="E14" s="50">
        <f>lgh_bs!I14</f>
        <v>36265000.089758396</v>
      </c>
      <c r="F14" s="50">
        <f>lgh_bs!J14</f>
        <v>38900747.169811323</v>
      </c>
      <c r="G14" s="50">
        <f>lgh_bs!K14</f>
        <v>41760245.297078438</v>
      </c>
      <c r="H14" s="50">
        <f>lgh_bs!L14</f>
        <v>50265874.093843371</v>
      </c>
      <c r="I14" s="50">
        <f>lgh_bs!M14</f>
        <v>32637075</v>
      </c>
      <c r="J14" s="50">
        <f>lgh_bs!N14</f>
        <v>33952187.25</v>
      </c>
      <c r="K14" s="50">
        <f>lgh_bs!O14</f>
        <v>35273002.8675</v>
      </c>
      <c r="L14" s="50">
        <f>lgh_bs!P14</f>
        <v>37231192.953525007</v>
      </c>
      <c r="M14" s="43"/>
      <c r="N14" s="68">
        <v>40032700.798691444</v>
      </c>
      <c r="O14" s="68">
        <v>36265000.089758396</v>
      </c>
      <c r="P14" s="68">
        <v>38900747.169811323</v>
      </c>
      <c r="Q14" s="68">
        <v>41760245.297078438</v>
      </c>
      <c r="R14" s="68">
        <v>50265874.093843371</v>
      </c>
      <c r="S14" s="68">
        <v>32637075</v>
      </c>
      <c r="T14" s="68">
        <v>33952187.25</v>
      </c>
      <c r="U14" s="68">
        <v>35273002.8675</v>
      </c>
      <c r="V14" s="68">
        <v>37231192.953525007</v>
      </c>
      <c r="W14" s="50"/>
      <c r="X14" s="46" t="s">
        <v>189</v>
      </c>
      <c r="Y14" s="50">
        <f t="shared" si="0"/>
        <v>0</v>
      </c>
      <c r="Z14" s="50">
        <f t="shared" si="1"/>
        <v>0</v>
      </c>
      <c r="AA14" s="50">
        <f t="shared" si="2"/>
        <v>0</v>
      </c>
      <c r="AB14" s="50">
        <f t="shared" si="3"/>
        <v>0</v>
      </c>
      <c r="AC14" s="50">
        <f t="shared" si="4"/>
        <v>0</v>
      </c>
      <c r="AD14" s="50">
        <f t="shared" si="5"/>
        <v>0</v>
      </c>
      <c r="AE14" s="50">
        <f t="shared" si="6"/>
        <v>0</v>
      </c>
      <c r="AF14" s="50">
        <f t="shared" si="7"/>
        <v>0</v>
      </c>
      <c r="AG14" s="50">
        <f t="shared" si="8"/>
        <v>0</v>
      </c>
      <c r="AI14" s="629">
        <v>40032700.798691459</v>
      </c>
      <c r="AJ14" s="629">
        <v>36265000.089758396</v>
      </c>
      <c r="AK14" s="629">
        <v>38900747.169811323</v>
      </c>
      <c r="AL14" s="629">
        <v>41760245.297078438</v>
      </c>
      <c r="AM14" s="629">
        <v>50265874.093843371</v>
      </c>
      <c r="AN14" s="629">
        <v>32637075</v>
      </c>
      <c r="AO14" s="629">
        <v>33952187.25</v>
      </c>
      <c r="AP14" s="629">
        <v>35273002.8675</v>
      </c>
      <c r="AQ14" s="629">
        <v>37231192.953525007</v>
      </c>
      <c r="AR14" s="50"/>
      <c r="AS14" s="46" t="s">
        <v>189</v>
      </c>
      <c r="AT14" s="50">
        <f t="shared" si="10"/>
        <v>0</v>
      </c>
      <c r="AU14" s="50">
        <f t="shared" si="11"/>
        <v>0</v>
      </c>
      <c r="AV14" s="50">
        <f t="shared" si="12"/>
        <v>0</v>
      </c>
      <c r="AW14" s="50">
        <f t="shared" si="13"/>
        <v>0</v>
      </c>
      <c r="AX14" s="50">
        <f t="shared" si="14"/>
        <v>0</v>
      </c>
      <c r="AY14" s="50">
        <f t="shared" si="15"/>
        <v>0</v>
      </c>
      <c r="AZ14" s="50">
        <f t="shared" si="16"/>
        <v>0</v>
      </c>
      <c r="BA14" s="50">
        <f t="shared" si="17"/>
        <v>0</v>
      </c>
      <c r="BB14" s="50">
        <f t="shared" si="18"/>
        <v>0</v>
      </c>
    </row>
    <row r="15" spans="1:54">
      <c r="A15" s="43"/>
      <c r="B15" s="43"/>
      <c r="C15" s="46" t="s">
        <v>197</v>
      </c>
      <c r="D15" s="50">
        <f>lgh_bs!H15</f>
        <v>22999221.710629381</v>
      </c>
      <c r="E15" s="50">
        <f>lgh_bs!I15</f>
        <v>28009536.136664666</v>
      </c>
      <c r="F15" s="50">
        <f>lgh_bs!J15</f>
        <v>30460556.806394603</v>
      </c>
      <c r="G15" s="50">
        <f>lgh_bs!K15</f>
        <v>33156609.146139551</v>
      </c>
      <c r="H15" s="50">
        <f>lgh_bs!L15</f>
        <v>36091288.056792036</v>
      </c>
      <c r="I15" s="50">
        <f>lgh_bs!M15</f>
        <v>56628545.428496853</v>
      </c>
      <c r="J15" s="50">
        <f>lgh_bs!N15</f>
        <v>76968139.315230623</v>
      </c>
      <c r="K15" s="50">
        <f>lgh_bs!O15</f>
        <v>97729625</v>
      </c>
      <c r="L15" s="50">
        <f>lgh_bs!P15</f>
        <v>104879625</v>
      </c>
      <c r="M15" s="43"/>
      <c r="N15" s="68">
        <v>22999221.710629381</v>
      </c>
      <c r="O15" s="68">
        <v>28009536.136664666</v>
      </c>
      <c r="P15" s="68">
        <v>30460556.806394603</v>
      </c>
      <c r="Q15" s="68">
        <v>33156609.146139551</v>
      </c>
      <c r="R15" s="68">
        <v>36091288.056792036</v>
      </c>
      <c r="S15" s="68">
        <v>56628545.428496853</v>
      </c>
      <c r="T15" s="68">
        <v>76968139.315230623</v>
      </c>
      <c r="U15" s="68">
        <v>97729625</v>
      </c>
      <c r="V15" s="68">
        <v>104879625</v>
      </c>
      <c r="W15" s="50"/>
      <c r="X15" s="46" t="s">
        <v>197</v>
      </c>
      <c r="Y15" s="50">
        <f t="shared" si="0"/>
        <v>0</v>
      </c>
      <c r="Z15" s="50">
        <f t="shared" si="1"/>
        <v>0</v>
      </c>
      <c r="AA15" s="50">
        <f t="shared" si="2"/>
        <v>0</v>
      </c>
      <c r="AB15" s="50">
        <f t="shared" si="3"/>
        <v>0</v>
      </c>
      <c r="AC15" s="50">
        <f t="shared" si="4"/>
        <v>0</v>
      </c>
      <c r="AD15" s="50">
        <f t="shared" si="5"/>
        <v>0</v>
      </c>
      <c r="AE15" s="50">
        <f t="shared" si="6"/>
        <v>0</v>
      </c>
      <c r="AF15" s="50">
        <f t="shared" si="7"/>
        <v>0</v>
      </c>
      <c r="AG15" s="50">
        <f t="shared" si="8"/>
        <v>0</v>
      </c>
      <c r="AI15" s="629">
        <v>22999221.710629381</v>
      </c>
      <c r="AJ15" s="629">
        <v>28009536.136664666</v>
      </c>
      <c r="AK15" s="629">
        <v>30460556.806394603</v>
      </c>
      <c r="AL15" s="629">
        <v>33156609.146139551</v>
      </c>
      <c r="AM15" s="629">
        <v>36091288.056792036</v>
      </c>
      <c r="AN15" s="629">
        <v>56628545.428496853</v>
      </c>
      <c r="AO15" s="629">
        <v>76968139.315230623</v>
      </c>
      <c r="AP15" s="629">
        <v>97729625</v>
      </c>
      <c r="AQ15" s="629">
        <v>104879625</v>
      </c>
      <c r="AR15" s="50"/>
      <c r="AS15" s="46" t="s">
        <v>197</v>
      </c>
      <c r="AT15" s="50">
        <f t="shared" si="10"/>
        <v>0</v>
      </c>
      <c r="AU15" s="50">
        <f t="shared" si="11"/>
        <v>0</v>
      </c>
      <c r="AV15" s="50">
        <f t="shared" si="12"/>
        <v>0</v>
      </c>
      <c r="AW15" s="50">
        <f t="shared" si="13"/>
        <v>0</v>
      </c>
      <c r="AX15" s="50">
        <f t="shared" si="14"/>
        <v>0</v>
      </c>
      <c r="AY15" s="50">
        <f t="shared" si="15"/>
        <v>0</v>
      </c>
      <c r="AZ15" s="50">
        <f t="shared" si="16"/>
        <v>0</v>
      </c>
      <c r="BA15" s="50">
        <f t="shared" si="17"/>
        <v>0</v>
      </c>
      <c r="BB15" s="50">
        <f t="shared" si="18"/>
        <v>0</v>
      </c>
    </row>
    <row r="16" spans="1:54">
      <c r="A16" s="46" t="s">
        <v>198</v>
      </c>
      <c r="B16" s="46" t="s">
        <v>111</v>
      </c>
      <c r="C16" s="46" t="s">
        <v>199</v>
      </c>
      <c r="D16" s="50">
        <f>lgh_bs!H16</f>
        <v>22999221.710629381</v>
      </c>
      <c r="E16" s="50">
        <f>lgh_bs!I16</f>
        <v>28009536.136664666</v>
      </c>
      <c r="F16" s="50">
        <f>lgh_bs!J16</f>
        <v>30460556.806394603</v>
      </c>
      <c r="G16" s="50">
        <f>lgh_bs!K16</f>
        <v>33156609.146139551</v>
      </c>
      <c r="H16" s="50">
        <f>lgh_bs!L16</f>
        <v>36091288.056792036</v>
      </c>
      <c r="I16" s="50">
        <f>lgh_bs!M16</f>
        <v>56628545.428496853</v>
      </c>
      <c r="J16" s="50">
        <f>lgh_bs!N16</f>
        <v>76968139.315230623</v>
      </c>
      <c r="K16" s="50">
        <f>lgh_bs!O16</f>
        <v>97729625</v>
      </c>
      <c r="L16" s="50">
        <f>lgh_bs!P16</f>
        <v>104879625</v>
      </c>
      <c r="M16" s="43"/>
      <c r="N16" s="68">
        <v>22999221.710629381</v>
      </c>
      <c r="O16" s="68">
        <v>28009536.136664666</v>
      </c>
      <c r="P16" s="68">
        <v>30460556.806394603</v>
      </c>
      <c r="Q16" s="68">
        <v>33156609.146139551</v>
      </c>
      <c r="R16" s="68">
        <v>36091288.056792036</v>
      </c>
      <c r="S16" s="68">
        <v>56628545.428496853</v>
      </c>
      <c r="T16" s="68">
        <v>76968139.315230623</v>
      </c>
      <c r="U16" s="68">
        <v>97729625</v>
      </c>
      <c r="V16" s="68">
        <v>104879625</v>
      </c>
      <c r="W16" s="50"/>
      <c r="X16" s="46" t="s">
        <v>199</v>
      </c>
      <c r="Y16" s="50">
        <f t="shared" si="0"/>
        <v>0</v>
      </c>
      <c r="Z16" s="50">
        <f t="shared" si="1"/>
        <v>0</v>
      </c>
      <c r="AA16" s="50">
        <f t="shared" si="2"/>
        <v>0</v>
      </c>
      <c r="AB16" s="50">
        <f t="shared" si="3"/>
        <v>0</v>
      </c>
      <c r="AC16" s="50">
        <f t="shared" si="4"/>
        <v>0</v>
      </c>
      <c r="AD16" s="50">
        <f t="shared" si="5"/>
        <v>0</v>
      </c>
      <c r="AE16" s="50">
        <f t="shared" si="6"/>
        <v>0</v>
      </c>
      <c r="AF16" s="50">
        <f t="shared" si="7"/>
        <v>0</v>
      </c>
      <c r="AG16" s="50">
        <f t="shared" si="8"/>
        <v>0</v>
      </c>
      <c r="AI16" s="629">
        <v>22999221.710629381</v>
      </c>
      <c r="AJ16" s="629">
        <v>28009536.136664666</v>
      </c>
      <c r="AK16" s="629">
        <v>30460556.806394603</v>
      </c>
      <c r="AL16" s="629">
        <v>33156609.146139551</v>
      </c>
      <c r="AM16" s="629">
        <v>36091288.056792036</v>
      </c>
      <c r="AN16" s="629">
        <v>56628545.428496853</v>
      </c>
      <c r="AO16" s="629">
        <v>76968139.315230623</v>
      </c>
      <c r="AP16" s="629">
        <v>97729625</v>
      </c>
      <c r="AQ16" s="629">
        <v>104879625</v>
      </c>
      <c r="AR16" s="50"/>
      <c r="AS16" s="46" t="s">
        <v>199</v>
      </c>
      <c r="AT16" s="50">
        <f t="shared" si="10"/>
        <v>0</v>
      </c>
      <c r="AU16" s="50">
        <f t="shared" si="11"/>
        <v>0</v>
      </c>
      <c r="AV16" s="50">
        <f t="shared" si="12"/>
        <v>0</v>
      </c>
      <c r="AW16" s="50">
        <f t="shared" si="13"/>
        <v>0</v>
      </c>
      <c r="AX16" s="50">
        <f t="shared" si="14"/>
        <v>0</v>
      </c>
      <c r="AY16" s="50">
        <f t="shared" si="15"/>
        <v>0</v>
      </c>
      <c r="AZ16" s="50">
        <f t="shared" si="16"/>
        <v>0</v>
      </c>
      <c r="BA16" s="50">
        <f t="shared" si="17"/>
        <v>0</v>
      </c>
      <c r="BB16" s="50">
        <f t="shared" si="18"/>
        <v>0</v>
      </c>
    </row>
    <row r="17" spans="1:54">
      <c r="A17" s="43"/>
      <c r="B17" s="43"/>
      <c r="C17" s="46" t="s">
        <v>200</v>
      </c>
      <c r="D17" s="50">
        <f>lgh_bs!H17</f>
        <v>15839974.24952361</v>
      </c>
      <c r="E17" s="50">
        <f>lgh_bs!I17</f>
        <v>15929659.409396553</v>
      </c>
      <c r="F17" s="50">
        <f>lgh_bs!J17</f>
        <v>15182357.230999554</v>
      </c>
      <c r="G17" s="50">
        <f>lgh_bs!K17</f>
        <v>17072719.878932104</v>
      </c>
      <c r="H17" s="50">
        <f>lgh_bs!L17</f>
        <v>0</v>
      </c>
      <c r="I17" s="50">
        <f>lgh_bs!M17</f>
        <v>0</v>
      </c>
      <c r="J17" s="50">
        <f>lgh_bs!N17</f>
        <v>0</v>
      </c>
      <c r="K17" s="50">
        <f>lgh_bs!O17</f>
        <v>0</v>
      </c>
      <c r="L17" s="50">
        <f>lgh_bs!P17</f>
        <v>0</v>
      </c>
      <c r="M17" s="43"/>
      <c r="N17" s="68">
        <v>15839974.24952361</v>
      </c>
      <c r="O17" s="68">
        <v>15929659.409396553</v>
      </c>
      <c r="P17" s="68">
        <v>15182357.230999554</v>
      </c>
      <c r="Q17" s="68">
        <v>17072719.878932104</v>
      </c>
      <c r="R17" s="68">
        <v>0</v>
      </c>
      <c r="S17" s="68">
        <v>0</v>
      </c>
      <c r="T17" s="68">
        <v>0</v>
      </c>
      <c r="U17" s="68">
        <v>0</v>
      </c>
      <c r="V17" s="68">
        <v>0</v>
      </c>
      <c r="W17" s="50"/>
      <c r="X17" s="46" t="s">
        <v>200</v>
      </c>
      <c r="Y17" s="50">
        <f t="shared" si="0"/>
        <v>0</v>
      </c>
      <c r="Z17" s="50">
        <f t="shared" si="1"/>
        <v>0</v>
      </c>
      <c r="AA17" s="50">
        <f t="shared" si="2"/>
        <v>0</v>
      </c>
      <c r="AB17" s="50">
        <f t="shared" si="3"/>
        <v>0</v>
      </c>
      <c r="AC17" s="50">
        <f t="shared" si="4"/>
        <v>0</v>
      </c>
      <c r="AD17" s="50">
        <f t="shared" si="5"/>
        <v>0</v>
      </c>
      <c r="AE17" s="50">
        <f t="shared" si="6"/>
        <v>0</v>
      </c>
      <c r="AF17" s="50">
        <f t="shared" si="7"/>
        <v>0</v>
      </c>
      <c r="AG17" s="50">
        <f t="shared" si="8"/>
        <v>0</v>
      </c>
      <c r="AI17" s="629">
        <v>15839974.24952361</v>
      </c>
      <c r="AJ17" s="629">
        <v>15929659.409396553</v>
      </c>
      <c r="AK17" s="629">
        <v>15182357.230999554</v>
      </c>
      <c r="AL17" s="629">
        <v>17072719.878932104</v>
      </c>
      <c r="AM17" s="629">
        <v>0</v>
      </c>
      <c r="AN17" s="629">
        <v>0</v>
      </c>
      <c r="AO17" s="629">
        <v>0</v>
      </c>
      <c r="AP17" s="629">
        <v>0</v>
      </c>
      <c r="AQ17" s="629">
        <v>0</v>
      </c>
      <c r="AR17" s="50"/>
      <c r="AS17" s="46" t="s">
        <v>200</v>
      </c>
      <c r="AT17" s="50">
        <f t="shared" si="10"/>
        <v>0</v>
      </c>
      <c r="AU17" s="50">
        <f t="shared" si="11"/>
        <v>0</v>
      </c>
      <c r="AV17" s="50">
        <f t="shared" si="12"/>
        <v>0</v>
      </c>
      <c r="AW17" s="50">
        <f t="shared" si="13"/>
        <v>0</v>
      </c>
      <c r="AX17" s="50">
        <f t="shared" si="14"/>
        <v>0</v>
      </c>
      <c r="AY17" s="50">
        <f t="shared" si="15"/>
        <v>0</v>
      </c>
      <c r="AZ17" s="50">
        <f t="shared" si="16"/>
        <v>0</v>
      </c>
      <c r="BA17" s="50">
        <f t="shared" si="17"/>
        <v>0</v>
      </c>
      <c r="BB17" s="50">
        <f t="shared" si="18"/>
        <v>0</v>
      </c>
    </row>
    <row r="18" spans="1:54">
      <c r="A18" s="46" t="s">
        <v>200</v>
      </c>
      <c r="B18" s="46" t="s">
        <v>111</v>
      </c>
      <c r="C18" s="46" t="s">
        <v>200</v>
      </c>
      <c r="D18" s="50">
        <f>lgh_bs!H18</f>
        <v>15839974.24952361</v>
      </c>
      <c r="E18" s="50">
        <f>lgh_bs!I18</f>
        <v>15929659.409396553</v>
      </c>
      <c r="F18" s="50">
        <f>lgh_bs!J18</f>
        <v>15182357.230999554</v>
      </c>
      <c r="G18" s="50">
        <f>lgh_bs!K18</f>
        <v>17072719.878932104</v>
      </c>
      <c r="H18" s="50">
        <f>lgh_bs!L18</f>
        <v>0</v>
      </c>
      <c r="I18" s="50">
        <f>lgh_bs!M18</f>
        <v>0</v>
      </c>
      <c r="J18" s="50">
        <f>lgh_bs!N18</f>
        <v>0</v>
      </c>
      <c r="K18" s="50">
        <f>lgh_bs!O18</f>
        <v>0</v>
      </c>
      <c r="L18" s="50">
        <f>lgh_bs!P18</f>
        <v>0</v>
      </c>
      <c r="M18" s="43"/>
      <c r="N18" s="68">
        <v>15839974.24952361</v>
      </c>
      <c r="O18" s="68">
        <v>15929659.409396553</v>
      </c>
      <c r="P18" s="68">
        <v>15182357.230999554</v>
      </c>
      <c r="Q18" s="68">
        <v>17072719.878932104</v>
      </c>
      <c r="R18" s="68">
        <v>0</v>
      </c>
      <c r="S18" s="68">
        <v>0</v>
      </c>
      <c r="T18" s="68">
        <v>0</v>
      </c>
      <c r="U18" s="68">
        <v>0</v>
      </c>
      <c r="V18" s="68">
        <v>0</v>
      </c>
      <c r="W18" s="50"/>
      <c r="X18" s="46" t="s">
        <v>200</v>
      </c>
      <c r="Y18" s="50">
        <f t="shared" si="0"/>
        <v>0</v>
      </c>
      <c r="Z18" s="50">
        <f t="shared" si="1"/>
        <v>0</v>
      </c>
      <c r="AA18" s="50">
        <f t="shared" si="2"/>
        <v>0</v>
      </c>
      <c r="AB18" s="50">
        <f t="shared" si="3"/>
        <v>0</v>
      </c>
      <c r="AC18" s="50">
        <f t="shared" si="4"/>
        <v>0</v>
      </c>
      <c r="AD18" s="50">
        <f t="shared" si="5"/>
        <v>0</v>
      </c>
      <c r="AE18" s="50">
        <f t="shared" si="6"/>
        <v>0</v>
      </c>
      <c r="AF18" s="50">
        <f t="shared" si="7"/>
        <v>0</v>
      </c>
      <c r="AG18" s="50">
        <f t="shared" si="8"/>
        <v>0</v>
      </c>
      <c r="AI18" s="629">
        <v>15839974.24952361</v>
      </c>
      <c r="AJ18" s="629">
        <v>15929659.409396553</v>
      </c>
      <c r="AK18" s="629">
        <v>15182357.230999554</v>
      </c>
      <c r="AL18" s="629">
        <v>17072719.878932104</v>
      </c>
      <c r="AM18" s="629">
        <v>0</v>
      </c>
      <c r="AN18" s="629">
        <v>0</v>
      </c>
      <c r="AO18" s="629">
        <v>0</v>
      </c>
      <c r="AP18" s="629">
        <v>0</v>
      </c>
      <c r="AQ18" s="629">
        <v>0</v>
      </c>
      <c r="AR18" s="50"/>
      <c r="AS18" s="46" t="s">
        <v>200</v>
      </c>
      <c r="AT18" s="50">
        <f t="shared" si="10"/>
        <v>0</v>
      </c>
      <c r="AU18" s="50">
        <f t="shared" si="11"/>
        <v>0</v>
      </c>
      <c r="AV18" s="50">
        <f t="shared" si="12"/>
        <v>0</v>
      </c>
      <c r="AW18" s="50">
        <f t="shared" si="13"/>
        <v>0</v>
      </c>
      <c r="AX18" s="50">
        <f t="shared" si="14"/>
        <v>0</v>
      </c>
      <c r="AY18" s="50">
        <f t="shared" si="15"/>
        <v>0</v>
      </c>
      <c r="AZ18" s="50">
        <f t="shared" si="16"/>
        <v>0</v>
      </c>
      <c r="BA18" s="50">
        <f t="shared" si="17"/>
        <v>0</v>
      </c>
      <c r="BB18" s="50">
        <f t="shared" si="18"/>
        <v>0</v>
      </c>
    </row>
    <row r="19" spans="1:54">
      <c r="A19" s="43"/>
      <c r="B19" s="43"/>
      <c r="C19" s="117" t="str">
        <f>+C20</f>
        <v>[LSAT]</v>
      </c>
      <c r="D19" s="50">
        <f>lgh_bs!H19</f>
        <v>0</v>
      </c>
      <c r="E19" s="50">
        <f>lgh_bs!I19</f>
        <v>0</v>
      </c>
      <c r="F19" s="50">
        <f>lgh_bs!J19</f>
        <v>0</v>
      </c>
      <c r="G19" s="50">
        <f>lgh_bs!K19</f>
        <v>0</v>
      </c>
      <c r="H19" s="50">
        <f>lgh_bs!L19</f>
        <v>16000000</v>
      </c>
      <c r="I19" s="50">
        <f>lgh_bs!M19</f>
        <v>16000000</v>
      </c>
      <c r="J19" s="50">
        <f>lgh_bs!N19</f>
        <v>20333333.333333332</v>
      </c>
      <c r="K19" s="50">
        <f>lgh_bs!O19</f>
        <v>22077380.952380951</v>
      </c>
      <c r="L19" s="50">
        <f>lgh_bs!P19</f>
        <v>21709415.5844156</v>
      </c>
      <c r="M19" s="43"/>
      <c r="N19" s="68">
        <v>0</v>
      </c>
      <c r="O19" s="68">
        <v>0</v>
      </c>
      <c r="P19" s="68">
        <v>0</v>
      </c>
      <c r="Q19" s="68">
        <v>0</v>
      </c>
      <c r="R19" s="68">
        <v>16000000</v>
      </c>
      <c r="S19" s="68">
        <v>16000000</v>
      </c>
      <c r="T19" s="68">
        <v>20333333.333333332</v>
      </c>
      <c r="U19" s="68">
        <v>22077380.952380951</v>
      </c>
      <c r="V19" s="68">
        <v>21709415.5844156</v>
      </c>
      <c r="W19" s="50"/>
      <c r="X19" s="117" t="str">
        <f>+X20</f>
        <v>[LSAT]</v>
      </c>
      <c r="Y19" s="50">
        <f t="shared" si="0"/>
        <v>0</v>
      </c>
      <c r="Z19" s="50">
        <f t="shared" si="1"/>
        <v>0</v>
      </c>
      <c r="AA19" s="50">
        <f t="shared" si="2"/>
        <v>0</v>
      </c>
      <c r="AB19" s="50">
        <f t="shared" si="3"/>
        <v>0</v>
      </c>
      <c r="AC19" s="50">
        <f t="shared" si="4"/>
        <v>0</v>
      </c>
      <c r="AD19" s="50">
        <f t="shared" si="5"/>
        <v>0</v>
      </c>
      <c r="AE19" s="50">
        <f t="shared" si="6"/>
        <v>0</v>
      </c>
      <c r="AF19" s="50">
        <f t="shared" si="7"/>
        <v>0</v>
      </c>
      <c r="AG19" s="50">
        <f t="shared" si="8"/>
        <v>0</v>
      </c>
      <c r="AI19" s="629">
        <v>0</v>
      </c>
      <c r="AJ19" s="629">
        <v>0</v>
      </c>
      <c r="AK19" s="629">
        <v>4000000</v>
      </c>
      <c r="AL19" s="629">
        <v>10000000</v>
      </c>
      <c r="AM19" s="629">
        <v>16000000</v>
      </c>
      <c r="AN19" s="629">
        <v>16000000</v>
      </c>
      <c r="AO19" s="629">
        <v>20333333.333333332</v>
      </c>
      <c r="AP19" s="629">
        <v>22077380.952380951</v>
      </c>
      <c r="AQ19" s="629">
        <v>21709415.5844156</v>
      </c>
      <c r="AR19" s="50"/>
      <c r="AS19" s="117" t="str">
        <f>+AS20</f>
        <v>[LSAT]</v>
      </c>
      <c r="AT19" s="50">
        <f t="shared" si="10"/>
        <v>0</v>
      </c>
      <c r="AU19" s="50">
        <f t="shared" si="11"/>
        <v>0</v>
      </c>
      <c r="AV19" s="50">
        <f t="shared" si="12"/>
        <v>-4000000</v>
      </c>
      <c r="AW19" s="50">
        <f t="shared" si="13"/>
        <v>-10000000</v>
      </c>
      <c r="AX19" s="50">
        <f t="shared" si="14"/>
        <v>0</v>
      </c>
      <c r="AY19" s="50">
        <f t="shared" si="15"/>
        <v>0</v>
      </c>
      <c r="AZ19" s="50">
        <f t="shared" si="16"/>
        <v>0</v>
      </c>
      <c r="BA19" s="50">
        <f t="shared" si="17"/>
        <v>0</v>
      </c>
      <c r="BB19" s="50">
        <f t="shared" si="18"/>
        <v>0</v>
      </c>
    </row>
    <row r="20" spans="1:54">
      <c r="A20" s="46" t="s">
        <v>201</v>
      </c>
      <c r="B20" s="46" t="s">
        <v>136</v>
      </c>
      <c r="C20" s="46" t="s">
        <v>202</v>
      </c>
      <c r="D20" s="50">
        <f>lgh_bs!H20</f>
        <v>0</v>
      </c>
      <c r="E20" s="50">
        <f>lgh_bs!I20</f>
        <v>0</v>
      </c>
      <c r="F20" s="50">
        <f>lgh_bs!J20</f>
        <v>0</v>
      </c>
      <c r="G20" s="50">
        <f>lgh_bs!K20</f>
        <v>0</v>
      </c>
      <c r="H20" s="50">
        <f>lgh_bs!L20</f>
        <v>16000000</v>
      </c>
      <c r="I20" s="50">
        <f>lgh_bs!M20</f>
        <v>16000000</v>
      </c>
      <c r="J20" s="50">
        <f>lgh_bs!N20</f>
        <v>20333333.333333332</v>
      </c>
      <c r="K20" s="50">
        <f>lgh_bs!O20</f>
        <v>22077380.952380951</v>
      </c>
      <c r="L20" s="50">
        <f>lgh_bs!P20</f>
        <v>21709415.5844156</v>
      </c>
      <c r="M20" s="43"/>
      <c r="N20" s="68">
        <v>0</v>
      </c>
      <c r="O20" s="68">
        <v>0</v>
      </c>
      <c r="P20" s="68">
        <v>0</v>
      </c>
      <c r="Q20" s="68">
        <v>0</v>
      </c>
      <c r="R20" s="68">
        <v>16000000</v>
      </c>
      <c r="S20" s="68">
        <v>16000000</v>
      </c>
      <c r="T20" s="68">
        <v>20333333.333333332</v>
      </c>
      <c r="U20" s="68">
        <v>22077380.952380951</v>
      </c>
      <c r="V20" s="68">
        <v>21709415.5844156</v>
      </c>
      <c r="W20" s="50"/>
      <c r="X20" s="46" t="s">
        <v>202</v>
      </c>
      <c r="Y20" s="50">
        <f t="shared" si="0"/>
        <v>0</v>
      </c>
      <c r="Z20" s="50">
        <f t="shared" si="1"/>
        <v>0</v>
      </c>
      <c r="AA20" s="50">
        <f t="shared" si="2"/>
        <v>0</v>
      </c>
      <c r="AB20" s="50">
        <f t="shared" si="3"/>
        <v>0</v>
      </c>
      <c r="AC20" s="50">
        <f t="shared" si="4"/>
        <v>0</v>
      </c>
      <c r="AD20" s="50">
        <f t="shared" si="5"/>
        <v>0</v>
      </c>
      <c r="AE20" s="50">
        <f t="shared" si="6"/>
        <v>0</v>
      </c>
      <c r="AF20" s="50">
        <f t="shared" si="7"/>
        <v>0</v>
      </c>
      <c r="AG20" s="50">
        <f t="shared" si="8"/>
        <v>0</v>
      </c>
      <c r="AI20" s="629">
        <v>0</v>
      </c>
      <c r="AJ20" s="629">
        <v>0</v>
      </c>
      <c r="AK20" s="629">
        <v>4000000</v>
      </c>
      <c r="AL20" s="629">
        <v>10000000</v>
      </c>
      <c r="AM20" s="629">
        <v>16000000</v>
      </c>
      <c r="AN20" s="629">
        <v>16000000</v>
      </c>
      <c r="AO20" s="629">
        <v>20333333.333333332</v>
      </c>
      <c r="AP20" s="629">
        <v>22077380.952380951</v>
      </c>
      <c r="AQ20" s="629">
        <v>21709415.5844156</v>
      </c>
      <c r="AR20" s="50"/>
      <c r="AS20" s="46" t="s">
        <v>202</v>
      </c>
      <c r="AT20" s="50">
        <f t="shared" si="10"/>
        <v>0</v>
      </c>
      <c r="AU20" s="50">
        <f t="shared" si="11"/>
        <v>0</v>
      </c>
      <c r="AV20" s="50">
        <f t="shared" si="12"/>
        <v>-4000000</v>
      </c>
      <c r="AW20" s="50">
        <f t="shared" si="13"/>
        <v>-10000000</v>
      </c>
      <c r="AX20" s="50">
        <f t="shared" si="14"/>
        <v>0</v>
      </c>
      <c r="AY20" s="50">
        <f t="shared" si="15"/>
        <v>0</v>
      </c>
      <c r="AZ20" s="50">
        <f t="shared" si="16"/>
        <v>0</v>
      </c>
      <c r="BA20" s="50">
        <f t="shared" si="17"/>
        <v>0</v>
      </c>
      <c r="BB20" s="50">
        <f t="shared" si="18"/>
        <v>0</v>
      </c>
    </row>
    <row r="21" spans="1:54">
      <c r="A21" s="43"/>
      <c r="B21" s="43"/>
      <c r="C21" s="117" t="str">
        <f>+C22</f>
        <v>[L4]</v>
      </c>
      <c r="D21" s="50">
        <f>lgh_bs!H21</f>
        <v>0</v>
      </c>
      <c r="E21" s="50">
        <f>lgh_bs!I21</f>
        <v>0</v>
      </c>
      <c r="F21" s="50">
        <f>lgh_bs!J21</f>
        <v>0</v>
      </c>
      <c r="G21" s="50">
        <f>lgh_bs!K21</f>
        <v>0</v>
      </c>
      <c r="H21" s="50">
        <f>lgh_bs!L21</f>
        <v>0</v>
      </c>
      <c r="I21" s="50">
        <f>lgh_bs!M21</f>
        <v>12500000</v>
      </c>
      <c r="J21" s="50">
        <f>lgh_bs!N21</f>
        <v>18750000</v>
      </c>
      <c r="K21" s="50">
        <f>lgh_bs!O21</f>
        <v>25000000</v>
      </c>
      <c r="L21" s="50">
        <f>lgh_bs!P21</f>
        <v>45000000</v>
      </c>
      <c r="M21" s="43"/>
      <c r="N21" s="68">
        <v>0</v>
      </c>
      <c r="O21" s="68">
        <v>0</v>
      </c>
      <c r="P21" s="68">
        <v>0</v>
      </c>
      <c r="Q21" s="68">
        <v>0</v>
      </c>
      <c r="R21" s="68">
        <v>0</v>
      </c>
      <c r="S21" s="68">
        <v>12500000</v>
      </c>
      <c r="T21" s="68">
        <v>18750000</v>
      </c>
      <c r="U21" s="68">
        <v>25000000</v>
      </c>
      <c r="V21" s="68">
        <v>45000000</v>
      </c>
      <c r="W21" s="50"/>
      <c r="X21" s="117" t="str">
        <f>+X22</f>
        <v>[L4]</v>
      </c>
      <c r="Y21" s="50">
        <f t="shared" si="0"/>
        <v>0</v>
      </c>
      <c r="Z21" s="50">
        <f t="shared" si="1"/>
        <v>0</v>
      </c>
      <c r="AA21" s="50">
        <f t="shared" si="2"/>
        <v>0</v>
      </c>
      <c r="AB21" s="50">
        <f t="shared" si="3"/>
        <v>0</v>
      </c>
      <c r="AC21" s="50">
        <f t="shared" si="4"/>
        <v>0</v>
      </c>
      <c r="AD21" s="50">
        <f t="shared" si="5"/>
        <v>0</v>
      </c>
      <c r="AE21" s="50">
        <f t="shared" si="6"/>
        <v>0</v>
      </c>
      <c r="AF21" s="50">
        <f t="shared" si="7"/>
        <v>0</v>
      </c>
      <c r="AG21" s="50">
        <f t="shared" si="8"/>
        <v>0</v>
      </c>
      <c r="AI21" s="629">
        <v>0</v>
      </c>
      <c r="AJ21" s="629">
        <v>0</v>
      </c>
      <c r="AK21" s="629">
        <v>0</v>
      </c>
      <c r="AL21" s="629">
        <v>0</v>
      </c>
      <c r="AM21" s="629">
        <v>0</v>
      </c>
      <c r="AN21" s="629">
        <v>12500000</v>
      </c>
      <c r="AO21" s="629">
        <v>18750000</v>
      </c>
      <c r="AP21" s="629">
        <v>25000000</v>
      </c>
      <c r="AQ21" s="629">
        <v>45000000</v>
      </c>
      <c r="AR21" s="50"/>
      <c r="AS21" s="117" t="str">
        <f>+AS22</f>
        <v>[L4]</v>
      </c>
      <c r="AT21" s="50">
        <f t="shared" si="10"/>
        <v>0</v>
      </c>
      <c r="AU21" s="50">
        <f t="shared" si="11"/>
        <v>0</v>
      </c>
      <c r="AV21" s="50">
        <f t="shared" si="12"/>
        <v>0</v>
      </c>
      <c r="AW21" s="50">
        <f t="shared" si="13"/>
        <v>0</v>
      </c>
      <c r="AX21" s="50">
        <f t="shared" si="14"/>
        <v>0</v>
      </c>
      <c r="AY21" s="50">
        <f t="shared" si="15"/>
        <v>0</v>
      </c>
      <c r="AZ21" s="50">
        <f t="shared" si="16"/>
        <v>0</v>
      </c>
      <c r="BA21" s="50">
        <f t="shared" si="17"/>
        <v>0</v>
      </c>
      <c r="BB21" s="50">
        <f t="shared" si="18"/>
        <v>0</v>
      </c>
    </row>
    <row r="22" spans="1:54">
      <c r="A22" s="46" t="s">
        <v>201</v>
      </c>
      <c r="B22" s="46" t="s">
        <v>137</v>
      </c>
      <c r="C22" s="46" t="s">
        <v>203</v>
      </c>
      <c r="D22" s="50">
        <f>lgh_bs!H22</f>
        <v>0</v>
      </c>
      <c r="E22" s="50">
        <f>lgh_bs!I22</f>
        <v>0</v>
      </c>
      <c r="F22" s="50">
        <f>lgh_bs!J22</f>
        <v>0</v>
      </c>
      <c r="G22" s="50">
        <f>lgh_bs!K22</f>
        <v>0</v>
      </c>
      <c r="H22" s="50">
        <f>lgh_bs!L22</f>
        <v>0</v>
      </c>
      <c r="I22" s="50">
        <f>lgh_bs!M22</f>
        <v>12500000</v>
      </c>
      <c r="J22" s="50">
        <f>lgh_bs!N22</f>
        <v>18750000</v>
      </c>
      <c r="K22" s="50">
        <f>lgh_bs!O22</f>
        <v>25000000</v>
      </c>
      <c r="L22" s="50">
        <f>lgh_bs!P22</f>
        <v>45000000</v>
      </c>
      <c r="M22" s="43"/>
      <c r="N22" s="68">
        <v>0</v>
      </c>
      <c r="O22" s="68">
        <v>0</v>
      </c>
      <c r="P22" s="68">
        <v>0</v>
      </c>
      <c r="Q22" s="68">
        <v>0</v>
      </c>
      <c r="R22" s="68">
        <v>0</v>
      </c>
      <c r="S22" s="68">
        <v>12500000</v>
      </c>
      <c r="T22" s="68">
        <v>18750000</v>
      </c>
      <c r="U22" s="68">
        <v>25000000</v>
      </c>
      <c r="V22" s="68">
        <v>45000000</v>
      </c>
      <c r="W22" s="50"/>
      <c r="X22" s="46" t="s">
        <v>203</v>
      </c>
      <c r="Y22" s="50">
        <f t="shared" si="0"/>
        <v>0</v>
      </c>
      <c r="Z22" s="50">
        <f t="shared" si="1"/>
        <v>0</v>
      </c>
      <c r="AA22" s="50">
        <f t="shared" si="2"/>
        <v>0</v>
      </c>
      <c r="AB22" s="50">
        <f t="shared" si="3"/>
        <v>0</v>
      </c>
      <c r="AC22" s="50">
        <f t="shared" si="4"/>
        <v>0</v>
      </c>
      <c r="AD22" s="50">
        <f t="shared" si="5"/>
        <v>0</v>
      </c>
      <c r="AE22" s="50">
        <f t="shared" si="6"/>
        <v>0</v>
      </c>
      <c r="AF22" s="50">
        <f t="shared" si="7"/>
        <v>0</v>
      </c>
      <c r="AG22" s="50">
        <f t="shared" si="8"/>
        <v>0</v>
      </c>
      <c r="AI22" s="629">
        <v>0</v>
      </c>
      <c r="AJ22" s="629">
        <v>0</v>
      </c>
      <c r="AK22" s="629">
        <v>0</v>
      </c>
      <c r="AL22" s="629">
        <v>0</v>
      </c>
      <c r="AM22" s="629">
        <v>0</v>
      </c>
      <c r="AN22" s="629">
        <v>12500000</v>
      </c>
      <c r="AO22" s="629">
        <v>18750000</v>
      </c>
      <c r="AP22" s="629">
        <v>25000000</v>
      </c>
      <c r="AQ22" s="629">
        <v>45000000</v>
      </c>
      <c r="AR22" s="50"/>
      <c r="AS22" s="46" t="s">
        <v>203</v>
      </c>
      <c r="AT22" s="50">
        <f t="shared" si="10"/>
        <v>0</v>
      </c>
      <c r="AU22" s="50">
        <f t="shared" si="11"/>
        <v>0</v>
      </c>
      <c r="AV22" s="50">
        <f t="shared" si="12"/>
        <v>0</v>
      </c>
      <c r="AW22" s="50">
        <f t="shared" si="13"/>
        <v>0</v>
      </c>
      <c r="AX22" s="50">
        <f t="shared" si="14"/>
        <v>0</v>
      </c>
      <c r="AY22" s="50">
        <f t="shared" si="15"/>
        <v>0</v>
      </c>
      <c r="AZ22" s="50">
        <f t="shared" si="16"/>
        <v>0</v>
      </c>
      <c r="BA22" s="50">
        <f t="shared" si="17"/>
        <v>0</v>
      </c>
      <c r="BB22" s="50">
        <f t="shared" si="18"/>
        <v>0</v>
      </c>
    </row>
    <row r="23" spans="1:54">
      <c r="A23" s="43"/>
      <c r="B23" s="43"/>
      <c r="C23" s="117" t="str">
        <f>+C24</f>
        <v>PV Loren fees (Key money)</v>
      </c>
      <c r="D23" s="50">
        <f>lgh_bs!H23</f>
        <v>20000000</v>
      </c>
      <c r="E23" s="50">
        <f>lgh_bs!I23</f>
        <v>20000000</v>
      </c>
      <c r="F23" s="50">
        <f>lgh_bs!J23</f>
        <v>20000000</v>
      </c>
      <c r="G23" s="50">
        <f>lgh_bs!K23</f>
        <v>25000000</v>
      </c>
      <c r="H23" s="50">
        <f>lgh_bs!L23</f>
        <v>25000000</v>
      </c>
      <c r="I23" s="50">
        <f>lgh_bs!M23</f>
        <v>25000000</v>
      </c>
      <c r="J23" s="50">
        <f>lgh_bs!N23</f>
        <v>30000000</v>
      </c>
      <c r="K23" s="50">
        <f>lgh_bs!O23</f>
        <v>30000000</v>
      </c>
      <c r="L23" s="50">
        <f>lgh_bs!P23</f>
        <v>35000000</v>
      </c>
      <c r="M23" s="43"/>
      <c r="N23" s="68">
        <v>20000000</v>
      </c>
      <c r="O23" s="68">
        <v>20600000</v>
      </c>
      <c r="P23" s="68">
        <v>21218000</v>
      </c>
      <c r="Q23" s="68">
        <v>26854540</v>
      </c>
      <c r="R23" s="68">
        <v>27660176.199999999</v>
      </c>
      <c r="S23" s="68">
        <v>28489981.486000001</v>
      </c>
      <c r="T23" s="68">
        <v>34344680.930580005</v>
      </c>
      <c r="U23" s="68">
        <v>35375021.358497404</v>
      </c>
      <c r="V23" s="68">
        <v>41436271.999252327</v>
      </c>
      <c r="W23" s="50"/>
      <c r="X23" s="117" t="str">
        <f>+X24</f>
        <v>PV Loren fees (Key money)</v>
      </c>
      <c r="Y23" s="50">
        <f t="shared" si="0"/>
        <v>0</v>
      </c>
      <c r="Z23" s="50">
        <f t="shared" si="1"/>
        <v>-600000</v>
      </c>
      <c r="AA23" s="50">
        <f t="shared" si="2"/>
        <v>-1218000</v>
      </c>
      <c r="AB23" s="50">
        <f t="shared" si="3"/>
        <v>-1854540</v>
      </c>
      <c r="AC23" s="50">
        <f t="shared" si="4"/>
        <v>-2660176.1999999993</v>
      </c>
      <c r="AD23" s="50">
        <f t="shared" si="5"/>
        <v>-3489981.4860000014</v>
      </c>
      <c r="AE23" s="50">
        <f t="shared" si="6"/>
        <v>-4344680.930580005</v>
      </c>
      <c r="AF23" s="50">
        <f t="shared" si="7"/>
        <v>-5375021.3584974036</v>
      </c>
      <c r="AG23" s="50">
        <f t="shared" si="8"/>
        <v>-6436271.9992523268</v>
      </c>
      <c r="AI23" s="629">
        <v>20000000</v>
      </c>
      <c r="AJ23" s="629">
        <v>20600000</v>
      </c>
      <c r="AK23" s="629">
        <v>21218000</v>
      </c>
      <c r="AL23" s="629">
        <v>26854540</v>
      </c>
      <c r="AM23" s="629">
        <v>27660176.199999999</v>
      </c>
      <c r="AN23" s="629">
        <v>28489981.486000001</v>
      </c>
      <c r="AO23" s="629">
        <v>34344680.930580005</v>
      </c>
      <c r="AP23" s="629">
        <v>35375021.358497404</v>
      </c>
      <c r="AQ23" s="629">
        <v>41436271.999252327</v>
      </c>
      <c r="AR23" s="50"/>
      <c r="AS23" s="117" t="str">
        <f>+AS24</f>
        <v>PV Loren fees (Key money)</v>
      </c>
      <c r="AT23" s="50">
        <f t="shared" si="10"/>
        <v>0</v>
      </c>
      <c r="AU23" s="50">
        <f t="shared" si="11"/>
        <v>-600000</v>
      </c>
      <c r="AV23" s="50">
        <f t="shared" si="12"/>
        <v>-1218000</v>
      </c>
      <c r="AW23" s="50">
        <f t="shared" si="13"/>
        <v>-1854540</v>
      </c>
      <c r="AX23" s="50">
        <f t="shared" si="14"/>
        <v>-2660176.1999999993</v>
      </c>
      <c r="AY23" s="50">
        <f t="shared" si="15"/>
        <v>-3489981.4860000014</v>
      </c>
      <c r="AZ23" s="50">
        <f t="shared" si="16"/>
        <v>-4344680.930580005</v>
      </c>
      <c r="BA23" s="50">
        <f t="shared" si="17"/>
        <v>-5375021.3584974036</v>
      </c>
      <c r="BB23" s="50">
        <f t="shared" si="18"/>
        <v>-6436271.9992523268</v>
      </c>
    </row>
    <row r="24" spans="1:54">
      <c r="A24" s="46" t="s">
        <v>204</v>
      </c>
      <c r="B24" s="46" t="s">
        <v>120</v>
      </c>
      <c r="C24" s="46" t="s">
        <v>120</v>
      </c>
      <c r="D24" s="50">
        <f>lgh_bs!H24</f>
        <v>20000000</v>
      </c>
      <c r="E24" s="50">
        <f>lgh_bs!I24</f>
        <v>20000000</v>
      </c>
      <c r="F24" s="50">
        <f>lgh_bs!J24</f>
        <v>20000000</v>
      </c>
      <c r="G24" s="50">
        <f>lgh_bs!K24</f>
        <v>25000000</v>
      </c>
      <c r="H24" s="50">
        <f>lgh_bs!L24</f>
        <v>25000000</v>
      </c>
      <c r="I24" s="50">
        <f>lgh_bs!M24</f>
        <v>25000000</v>
      </c>
      <c r="J24" s="50">
        <f>lgh_bs!N24</f>
        <v>30000000</v>
      </c>
      <c r="K24" s="50">
        <f>lgh_bs!O24</f>
        <v>30000000</v>
      </c>
      <c r="L24" s="50">
        <f>lgh_bs!P24</f>
        <v>35000000</v>
      </c>
      <c r="M24" s="43"/>
      <c r="N24" s="68">
        <v>20000000</v>
      </c>
      <c r="O24" s="68">
        <v>20600000</v>
      </c>
      <c r="P24" s="68">
        <v>21218000</v>
      </c>
      <c r="Q24" s="68">
        <v>26854540</v>
      </c>
      <c r="R24" s="68">
        <v>27660176.199999999</v>
      </c>
      <c r="S24" s="68">
        <v>28489981.486000001</v>
      </c>
      <c r="T24" s="68">
        <v>34344680.930580005</v>
      </c>
      <c r="U24" s="68">
        <v>35375021.358497404</v>
      </c>
      <c r="V24" s="68">
        <v>41436271.999252327</v>
      </c>
      <c r="W24" s="50"/>
      <c r="X24" s="46" t="s">
        <v>120</v>
      </c>
      <c r="Y24" s="50">
        <f t="shared" si="0"/>
        <v>0</v>
      </c>
      <c r="Z24" s="50">
        <f t="shared" si="1"/>
        <v>-600000</v>
      </c>
      <c r="AA24" s="50">
        <f t="shared" si="2"/>
        <v>-1218000</v>
      </c>
      <c r="AB24" s="50">
        <f t="shared" si="3"/>
        <v>-1854540</v>
      </c>
      <c r="AC24" s="50">
        <f t="shared" si="4"/>
        <v>-2660176.1999999993</v>
      </c>
      <c r="AD24" s="50">
        <f t="shared" si="5"/>
        <v>-3489981.4860000014</v>
      </c>
      <c r="AE24" s="50">
        <f t="shared" si="6"/>
        <v>-4344680.930580005</v>
      </c>
      <c r="AF24" s="50">
        <f t="shared" si="7"/>
        <v>-5375021.3584974036</v>
      </c>
      <c r="AG24" s="50">
        <f t="shared" si="8"/>
        <v>-6436271.9992523268</v>
      </c>
      <c r="AI24" s="629">
        <v>20000000</v>
      </c>
      <c r="AJ24" s="629">
        <v>20600000</v>
      </c>
      <c r="AK24" s="629">
        <v>21218000</v>
      </c>
      <c r="AL24" s="629">
        <v>26854540</v>
      </c>
      <c r="AM24" s="629">
        <v>27660176.199999999</v>
      </c>
      <c r="AN24" s="629">
        <v>28489981.486000001</v>
      </c>
      <c r="AO24" s="629">
        <v>34344680.930580005</v>
      </c>
      <c r="AP24" s="629">
        <v>35375021.358497404</v>
      </c>
      <c r="AQ24" s="629">
        <v>41436271.999252327</v>
      </c>
      <c r="AR24" s="50"/>
      <c r="AS24" s="46" t="s">
        <v>120</v>
      </c>
      <c r="AT24" s="50">
        <f t="shared" si="10"/>
        <v>0</v>
      </c>
      <c r="AU24" s="50">
        <f t="shared" si="11"/>
        <v>-600000</v>
      </c>
      <c r="AV24" s="50">
        <f t="shared" si="12"/>
        <v>-1218000</v>
      </c>
      <c r="AW24" s="50">
        <f t="shared" si="13"/>
        <v>-1854540</v>
      </c>
      <c r="AX24" s="50">
        <f t="shared" si="14"/>
        <v>-2660176.1999999993</v>
      </c>
      <c r="AY24" s="50">
        <f t="shared" si="15"/>
        <v>-3489981.4860000014</v>
      </c>
      <c r="AZ24" s="50">
        <f t="shared" si="16"/>
        <v>-4344680.930580005</v>
      </c>
      <c r="BA24" s="50">
        <f t="shared" si="17"/>
        <v>-5375021.3584974036</v>
      </c>
      <c r="BB24" s="50">
        <f t="shared" si="18"/>
        <v>-6436271.9992523268</v>
      </c>
    </row>
    <row r="25" spans="1:54">
      <c r="A25" s="43"/>
      <c r="B25" s="43"/>
      <c r="C25" s="46" t="s">
        <v>205</v>
      </c>
      <c r="D25" s="50">
        <f>lgh_bs!H25</f>
        <v>4325793.7757142857</v>
      </c>
      <c r="E25" s="50">
        <f>lgh_bs!I25</f>
        <v>3150708.9751250003</v>
      </c>
      <c r="F25" s="50">
        <f>lgh_bs!J25</f>
        <v>3175738.2727500005</v>
      </c>
      <c r="G25" s="50">
        <f>lgh_bs!K25</f>
        <v>3356358.0703750001</v>
      </c>
      <c r="H25" s="50">
        <f>lgh_bs!L25</f>
        <v>3280322.0305000003</v>
      </c>
      <c r="I25" s="50">
        <f>lgh_bs!M25</f>
        <v>3183766.1042149998</v>
      </c>
      <c r="J25" s="50">
        <f>lgh_bs!N25</f>
        <v>2489194.6254014503</v>
      </c>
      <c r="K25" s="50">
        <f>lgh_bs!O25</f>
        <v>4037736.0022234935</v>
      </c>
      <c r="L25" s="50">
        <f>lgh_bs!P25</f>
        <v>5265898.3396666665</v>
      </c>
      <c r="M25" s="43"/>
      <c r="N25" s="68">
        <v>2400909.5</v>
      </c>
      <c r="O25" s="68">
        <v>3150708.9751250003</v>
      </c>
      <c r="P25" s="68">
        <v>3175738.2727500005</v>
      </c>
      <c r="Q25" s="68">
        <v>3356358.0703750001</v>
      </c>
      <c r="R25" s="68">
        <v>3280322.0305000003</v>
      </c>
      <c r="S25" s="68">
        <v>3183766.1042149998</v>
      </c>
      <c r="T25" s="68">
        <v>2489194.6254014503</v>
      </c>
      <c r="U25" s="68">
        <v>4037736.0022234935</v>
      </c>
      <c r="V25" s="68">
        <v>5265898.3396666665</v>
      </c>
      <c r="W25" s="50"/>
      <c r="X25" s="46" t="s">
        <v>205</v>
      </c>
      <c r="Y25" s="50">
        <f t="shared" si="0"/>
        <v>1924884.2757142857</v>
      </c>
      <c r="Z25" s="50">
        <f t="shared" si="1"/>
        <v>0</v>
      </c>
      <c r="AA25" s="50">
        <f t="shared" si="2"/>
        <v>0</v>
      </c>
      <c r="AB25" s="50">
        <f t="shared" si="3"/>
        <v>0</v>
      </c>
      <c r="AC25" s="50">
        <f t="shared" si="4"/>
        <v>0</v>
      </c>
      <c r="AD25" s="50">
        <f t="shared" si="5"/>
        <v>0</v>
      </c>
      <c r="AE25" s="50">
        <f t="shared" si="6"/>
        <v>0</v>
      </c>
      <c r="AF25" s="50">
        <f t="shared" si="7"/>
        <v>0</v>
      </c>
      <c r="AG25" s="50">
        <f t="shared" si="8"/>
        <v>0</v>
      </c>
      <c r="AI25" s="629">
        <v>4397214.49</v>
      </c>
      <c r="AJ25" s="629">
        <v>8130085.6322500007</v>
      </c>
      <c r="AK25" s="629">
        <v>8361313.9869999997</v>
      </c>
      <c r="AL25" s="629">
        <v>8205723.3417500006</v>
      </c>
      <c r="AM25" s="629">
        <v>7808593.6465000007</v>
      </c>
      <c r="AN25" s="629">
        <v>6597505.9230199996</v>
      </c>
      <c r="AO25" s="629">
        <v>6303210.2286530994</v>
      </c>
      <c r="AP25" s="629">
        <v>4448477.7518301923</v>
      </c>
      <c r="AQ25" s="629">
        <v>5600000.2333333343</v>
      </c>
      <c r="AR25" s="50"/>
      <c r="AS25" s="46" t="s">
        <v>205</v>
      </c>
      <c r="AT25" s="50">
        <f t="shared" si="10"/>
        <v>-71420.714285714552</v>
      </c>
      <c r="AU25" s="50">
        <f t="shared" si="11"/>
        <v>-4979376.6571249999</v>
      </c>
      <c r="AV25" s="50">
        <f t="shared" si="12"/>
        <v>-5185575.7142499993</v>
      </c>
      <c r="AW25" s="50">
        <f t="shared" si="13"/>
        <v>-4849365.2713750005</v>
      </c>
      <c r="AX25" s="50">
        <f t="shared" si="14"/>
        <v>-4528271.6160000004</v>
      </c>
      <c r="AY25" s="50">
        <f t="shared" si="15"/>
        <v>-3413739.8188049998</v>
      </c>
      <c r="AZ25" s="50">
        <f t="shared" si="16"/>
        <v>-3814015.6032516491</v>
      </c>
      <c r="BA25" s="50">
        <f t="shared" si="17"/>
        <v>-410741.74960669875</v>
      </c>
      <c r="BB25" s="50">
        <f t="shared" si="18"/>
        <v>-334101.89366666786</v>
      </c>
    </row>
    <row r="26" spans="1:54">
      <c r="A26" s="46" t="s">
        <v>201</v>
      </c>
      <c r="B26" s="46" t="s">
        <v>135</v>
      </c>
      <c r="C26" s="46" t="s">
        <v>206</v>
      </c>
      <c r="D26" s="50">
        <f>lgh_bs!H26</f>
        <v>4325793.7757142857</v>
      </c>
      <c r="E26" s="50">
        <f>lgh_bs!I26</f>
        <v>3150708.9751250003</v>
      </c>
      <c r="F26" s="50">
        <f>lgh_bs!J26</f>
        <v>3175738.2727500005</v>
      </c>
      <c r="G26" s="50">
        <f>lgh_bs!K26</f>
        <v>3356358.0703750001</v>
      </c>
      <c r="H26" s="50">
        <f>lgh_bs!L26</f>
        <v>3280322.0305000003</v>
      </c>
      <c r="I26" s="50">
        <f>lgh_bs!M26</f>
        <v>3183766.1042149998</v>
      </c>
      <c r="J26" s="50">
        <f>lgh_bs!N26</f>
        <v>2489194.6254014503</v>
      </c>
      <c r="K26" s="50">
        <f>lgh_bs!O26</f>
        <v>4037736.0022234935</v>
      </c>
      <c r="L26" s="50">
        <f>lgh_bs!P26</f>
        <v>5265898.3396666665</v>
      </c>
      <c r="M26" s="43"/>
      <c r="N26" s="68">
        <v>2400909.5</v>
      </c>
      <c r="O26" s="68">
        <v>3150708.9751250003</v>
      </c>
      <c r="P26" s="68">
        <v>3175738.2727500005</v>
      </c>
      <c r="Q26" s="68">
        <v>3356358.0703750001</v>
      </c>
      <c r="R26" s="68">
        <v>3280322.0305000003</v>
      </c>
      <c r="S26" s="68">
        <v>3183766.1042149998</v>
      </c>
      <c r="T26" s="68">
        <v>2489194.6254014503</v>
      </c>
      <c r="U26" s="68">
        <v>4037736.0022234935</v>
      </c>
      <c r="V26" s="68">
        <v>5265898.3396666665</v>
      </c>
      <c r="W26" s="50"/>
      <c r="X26" s="46" t="s">
        <v>206</v>
      </c>
      <c r="Y26" s="50">
        <f t="shared" si="0"/>
        <v>1924884.2757142857</v>
      </c>
      <c r="Z26" s="50">
        <f t="shared" si="1"/>
        <v>0</v>
      </c>
      <c r="AA26" s="50">
        <f t="shared" si="2"/>
        <v>0</v>
      </c>
      <c r="AB26" s="50">
        <f t="shared" si="3"/>
        <v>0</v>
      </c>
      <c r="AC26" s="50">
        <f t="shared" si="4"/>
        <v>0</v>
      </c>
      <c r="AD26" s="50">
        <f t="shared" si="5"/>
        <v>0</v>
      </c>
      <c r="AE26" s="50">
        <f t="shared" si="6"/>
        <v>0</v>
      </c>
      <c r="AF26" s="50">
        <f t="shared" si="7"/>
        <v>0</v>
      </c>
      <c r="AG26" s="50">
        <f t="shared" si="8"/>
        <v>0</v>
      </c>
      <c r="AI26" s="629">
        <v>4397214.49</v>
      </c>
      <c r="AJ26" s="629">
        <v>8130085.6322500007</v>
      </c>
      <c r="AK26" s="629">
        <v>8361313.9869999997</v>
      </c>
      <c r="AL26" s="629">
        <v>8205723.3417500006</v>
      </c>
      <c r="AM26" s="629">
        <v>7808593.6465000007</v>
      </c>
      <c r="AN26" s="629">
        <v>6597505.9230199996</v>
      </c>
      <c r="AO26" s="629">
        <v>6303210.2286530994</v>
      </c>
      <c r="AP26" s="629">
        <v>4448477.7518301923</v>
      </c>
      <c r="AQ26" s="629">
        <v>5600000.2333333343</v>
      </c>
      <c r="AR26" s="50"/>
      <c r="AS26" s="46" t="s">
        <v>206</v>
      </c>
      <c r="AT26" s="50">
        <f t="shared" si="10"/>
        <v>-71420.714285714552</v>
      </c>
      <c r="AU26" s="50">
        <f t="shared" si="11"/>
        <v>-4979376.6571249999</v>
      </c>
      <c r="AV26" s="50">
        <f t="shared" si="12"/>
        <v>-5185575.7142499993</v>
      </c>
      <c r="AW26" s="50">
        <f t="shared" si="13"/>
        <v>-4849365.2713750005</v>
      </c>
      <c r="AX26" s="50">
        <f t="shared" si="14"/>
        <v>-4528271.6160000004</v>
      </c>
      <c r="AY26" s="50">
        <f t="shared" si="15"/>
        <v>-3413739.8188049998</v>
      </c>
      <c r="AZ26" s="50">
        <f t="shared" si="16"/>
        <v>-3814015.6032516491</v>
      </c>
      <c r="BA26" s="50">
        <f t="shared" si="17"/>
        <v>-410741.74960669875</v>
      </c>
      <c r="BB26" s="50">
        <f t="shared" si="18"/>
        <v>-334101.89366666786</v>
      </c>
    </row>
    <row r="27" spans="1:54" s="2" customFormat="1">
      <c r="A27" s="43"/>
      <c r="B27" s="43"/>
      <c r="C27" s="46" t="s">
        <v>207</v>
      </c>
      <c r="D27" s="50">
        <f>lgh_bs!H27</f>
        <v>168983703.67016545</v>
      </c>
      <c r="E27" s="50">
        <f>lgh_bs!I27</f>
        <v>173802523.81452271</v>
      </c>
      <c r="F27" s="50">
        <f>lgh_bs!J27</f>
        <v>186356735.71809217</v>
      </c>
      <c r="G27" s="50">
        <f>lgh_bs!K27</f>
        <v>194865089.06956109</v>
      </c>
      <c r="H27" s="50">
        <f>lgh_bs!L27</f>
        <v>214308138.35977826</v>
      </c>
      <c r="I27" s="50">
        <f>lgh_bs!M27</f>
        <v>241221207.09806433</v>
      </c>
      <c r="J27" s="50">
        <f>lgh_bs!N27</f>
        <v>291529112.58802027</v>
      </c>
      <c r="K27" s="50">
        <f>lgh_bs!O27</f>
        <v>350735474.88661218</v>
      </c>
      <c r="L27" s="50">
        <f>lgh_bs!P27</f>
        <v>409486916.92281449</v>
      </c>
      <c r="M27" s="43"/>
      <c r="N27" s="68">
        <v>165618387.67016545</v>
      </c>
      <c r="O27" s="68">
        <v>171026405.5765906</v>
      </c>
      <c r="P27" s="68">
        <v>184173297.59337553</v>
      </c>
      <c r="Q27" s="68">
        <v>193292681.15890905</v>
      </c>
      <c r="R27" s="68">
        <v>213515665.53979635</v>
      </c>
      <c r="S27" s="68">
        <v>241154961.12348297</v>
      </c>
      <c r="T27" s="68">
        <v>292210880.2951014</v>
      </c>
      <c r="U27" s="68">
        <v>352337696.71763277</v>
      </c>
      <c r="V27" s="68">
        <v>412037206.53427458</v>
      </c>
      <c r="W27" s="50"/>
      <c r="X27" s="46" t="s">
        <v>207</v>
      </c>
      <c r="Y27" s="50">
        <f t="shared" si="0"/>
        <v>3365316</v>
      </c>
      <c r="Z27" s="50">
        <f t="shared" si="1"/>
        <v>2776118.2379321158</v>
      </c>
      <c r="AA27" s="50">
        <f t="shared" si="2"/>
        <v>2183438.1247166395</v>
      </c>
      <c r="AB27" s="50">
        <f t="shared" si="3"/>
        <v>1572407.9106520414</v>
      </c>
      <c r="AC27" s="50">
        <f t="shared" si="4"/>
        <v>792472.81998190284</v>
      </c>
      <c r="AD27" s="50">
        <f t="shared" si="5"/>
        <v>66245.974581360817</v>
      </c>
      <c r="AE27" s="50">
        <f t="shared" si="6"/>
        <v>-681767.70708113909</v>
      </c>
      <c r="AF27" s="50">
        <f t="shared" si="7"/>
        <v>-1602221.8310205936</v>
      </c>
      <c r="AG27" s="50">
        <f t="shared" si="8"/>
        <v>-2550289.6114600897</v>
      </c>
      <c r="AI27" s="629">
        <v>168414630.98166549</v>
      </c>
      <c r="AJ27" s="629">
        <v>175506772.30760011</v>
      </c>
      <c r="AK27" s="629">
        <v>192108694.56886822</v>
      </c>
      <c r="AL27" s="629">
        <v>206707365.75196663</v>
      </c>
      <c r="AM27" s="629">
        <v>216197928.30925822</v>
      </c>
      <c r="AN27" s="629">
        <v>241416395.39816639</v>
      </c>
      <c r="AO27" s="629">
        <v>289529274.95346773</v>
      </c>
      <c r="AP27" s="629">
        <v>340168192.9409613</v>
      </c>
      <c r="AQ27" s="629">
        <v>398177062.44128305</v>
      </c>
      <c r="AR27" s="50"/>
      <c r="AS27" s="46" t="s">
        <v>207</v>
      </c>
      <c r="AT27" s="50">
        <f t="shared" si="10"/>
        <v>569072.68849995732</v>
      </c>
      <c r="AU27" s="50">
        <f t="shared" si="11"/>
        <v>-1704248.4930773973</v>
      </c>
      <c r="AV27" s="50">
        <f t="shared" si="12"/>
        <v>-5751958.8507760465</v>
      </c>
      <c r="AW27" s="50">
        <f t="shared" si="13"/>
        <v>-11842276.682405531</v>
      </c>
      <c r="AX27" s="50">
        <f t="shared" si="14"/>
        <v>-1889789.9494799674</v>
      </c>
      <c r="AY27" s="50">
        <f t="shared" si="15"/>
        <v>-195188.30010205507</v>
      </c>
      <c r="AZ27" s="50">
        <f t="shared" si="16"/>
        <v>1999837.6345525384</v>
      </c>
      <c r="BA27" s="50">
        <f t="shared" si="17"/>
        <v>10567281.945650876</v>
      </c>
      <c r="BB27" s="50">
        <f t="shared" si="18"/>
        <v>11309854.481531441</v>
      </c>
    </row>
    <row r="28" spans="1:54">
      <c r="A28" s="43"/>
      <c r="B28" s="43"/>
      <c r="C28" s="83" t="s">
        <v>208</v>
      </c>
      <c r="D28" s="62">
        <f>lgh_bs!H28</f>
        <v>0</v>
      </c>
      <c r="E28" s="62">
        <f>lgh_bs!I28</f>
        <v>0</v>
      </c>
      <c r="F28" s="62">
        <f>lgh_bs!J28</f>
        <v>0</v>
      </c>
      <c r="G28" s="62">
        <f>lgh_bs!K28</f>
        <v>0</v>
      </c>
      <c r="H28" s="62">
        <f>lgh_bs!L28</f>
        <v>0</v>
      </c>
      <c r="I28" s="62">
        <f>lgh_bs!M28</f>
        <v>0</v>
      </c>
      <c r="J28" s="62">
        <f>lgh_bs!N28</f>
        <v>0</v>
      </c>
      <c r="K28" s="62">
        <f>lgh_bs!O28</f>
        <v>0</v>
      </c>
      <c r="L28" s="62">
        <f>lgh_bs!P28</f>
        <v>0</v>
      </c>
      <c r="M28" s="43"/>
      <c r="N28" s="118">
        <v>0</v>
      </c>
      <c r="O28" s="118">
        <v>0</v>
      </c>
      <c r="P28" s="118">
        <v>0</v>
      </c>
      <c r="Q28" s="118">
        <v>0</v>
      </c>
      <c r="R28" s="118">
        <v>0</v>
      </c>
      <c r="S28" s="118">
        <v>0</v>
      </c>
      <c r="T28" s="118">
        <v>0</v>
      </c>
      <c r="U28" s="118">
        <v>0</v>
      </c>
      <c r="V28" s="118">
        <v>0</v>
      </c>
      <c r="W28" s="62"/>
      <c r="X28" s="83" t="s">
        <v>208</v>
      </c>
      <c r="Y28" s="50">
        <f t="shared" si="0"/>
        <v>0</v>
      </c>
      <c r="Z28" s="50">
        <f t="shared" si="1"/>
        <v>0</v>
      </c>
      <c r="AA28" s="50">
        <f t="shared" si="2"/>
        <v>0</v>
      </c>
      <c r="AB28" s="50">
        <f t="shared" si="3"/>
        <v>0</v>
      </c>
      <c r="AC28" s="50">
        <f t="shared" si="4"/>
        <v>0</v>
      </c>
      <c r="AD28" s="50">
        <f t="shared" si="5"/>
        <v>0</v>
      </c>
      <c r="AE28" s="50">
        <f t="shared" si="6"/>
        <v>0</v>
      </c>
      <c r="AF28" s="50">
        <f t="shared" si="7"/>
        <v>0</v>
      </c>
      <c r="AG28" s="50">
        <f t="shared" si="8"/>
        <v>0</v>
      </c>
      <c r="AI28" s="630"/>
      <c r="AJ28" s="630"/>
      <c r="AK28" s="630"/>
      <c r="AL28" s="630"/>
      <c r="AM28" s="630"/>
      <c r="AN28" s="630"/>
      <c r="AO28" s="630"/>
      <c r="AP28" s="630"/>
      <c r="AQ28" s="630"/>
      <c r="AR28" s="62"/>
      <c r="AS28" s="83" t="s">
        <v>208</v>
      </c>
      <c r="AT28" s="50">
        <f t="shared" si="10"/>
        <v>0</v>
      </c>
      <c r="AU28" s="50">
        <f t="shared" si="11"/>
        <v>0</v>
      </c>
      <c r="AV28" s="50">
        <f t="shared" si="12"/>
        <v>0</v>
      </c>
      <c r="AW28" s="50">
        <f t="shared" si="13"/>
        <v>0</v>
      </c>
      <c r="AX28" s="50">
        <f t="shared" si="14"/>
        <v>0</v>
      </c>
      <c r="AY28" s="50">
        <f t="shared" si="15"/>
        <v>0</v>
      </c>
      <c r="AZ28" s="50">
        <f t="shared" si="16"/>
        <v>0</v>
      </c>
      <c r="BA28" s="50">
        <f t="shared" si="17"/>
        <v>0</v>
      </c>
      <c r="BB28" s="50">
        <f t="shared" si="18"/>
        <v>0</v>
      </c>
    </row>
    <row r="29" spans="1:54">
      <c r="A29" s="46" t="s">
        <v>209</v>
      </c>
      <c r="B29" s="46" t="s">
        <v>130</v>
      </c>
      <c r="C29" s="46" t="s">
        <v>210</v>
      </c>
      <c r="D29" s="50">
        <f>lgh_bs!H29</f>
        <v>8575632.538205862</v>
      </c>
      <c r="E29" s="50">
        <f>lgh_bs!I29</f>
        <v>7900128.8430335149</v>
      </c>
      <c r="F29" s="50">
        <f>lgh_bs!J29</f>
        <v>12239223.025316527</v>
      </c>
      <c r="G29" s="50">
        <f>lgh_bs!K29</f>
        <v>12195991.877848445</v>
      </c>
      <c r="H29" s="50">
        <f>lgh_bs!L29</f>
        <v>7400513.4327920657</v>
      </c>
      <c r="I29" s="50">
        <f>lgh_bs!M29</f>
        <v>0</v>
      </c>
      <c r="J29" s="50">
        <f>lgh_bs!N29</f>
        <v>0</v>
      </c>
      <c r="K29" s="50">
        <f>lgh_bs!O29</f>
        <v>0</v>
      </c>
      <c r="L29" s="50">
        <f>lgh_bs!P29</f>
        <v>0</v>
      </c>
      <c r="M29" s="43"/>
      <c r="N29" s="68">
        <v>8575632.538205862</v>
      </c>
      <c r="O29" s="68">
        <v>7900128.8430335149</v>
      </c>
      <c r="P29" s="68">
        <v>12239223.025316527</v>
      </c>
      <c r="Q29" s="68">
        <v>12195991.877848445</v>
      </c>
      <c r="R29" s="68">
        <v>7400513.4327920657</v>
      </c>
      <c r="S29" s="68">
        <v>0</v>
      </c>
      <c r="T29" s="68">
        <v>0</v>
      </c>
      <c r="U29" s="68">
        <v>0</v>
      </c>
      <c r="V29" s="68">
        <v>0</v>
      </c>
      <c r="W29" s="50"/>
      <c r="X29" s="46" t="s">
        <v>210</v>
      </c>
      <c r="Y29" s="50">
        <f t="shared" si="0"/>
        <v>0</v>
      </c>
      <c r="Z29" s="50">
        <f t="shared" si="1"/>
        <v>0</v>
      </c>
      <c r="AA29" s="50">
        <f t="shared" si="2"/>
        <v>0</v>
      </c>
      <c r="AB29" s="50">
        <f t="shared" si="3"/>
        <v>0</v>
      </c>
      <c r="AC29" s="50">
        <f t="shared" si="4"/>
        <v>0</v>
      </c>
      <c r="AD29" s="50">
        <f t="shared" si="5"/>
        <v>0</v>
      </c>
      <c r="AE29" s="50">
        <f t="shared" si="6"/>
        <v>0</v>
      </c>
      <c r="AF29" s="50">
        <f t="shared" si="7"/>
        <v>0</v>
      </c>
      <c r="AG29" s="50">
        <f t="shared" si="8"/>
        <v>0</v>
      </c>
      <c r="AI29" s="629">
        <v>8575632.538205862</v>
      </c>
      <c r="AJ29" s="629">
        <v>7900128.8430335149</v>
      </c>
      <c r="AK29" s="629">
        <v>12239223.025316527</v>
      </c>
      <c r="AL29" s="629">
        <v>12195991.877848445</v>
      </c>
      <c r="AM29" s="629">
        <v>7400513.4327920657</v>
      </c>
      <c r="AN29" s="629">
        <v>0</v>
      </c>
      <c r="AO29" s="629">
        <v>0</v>
      </c>
      <c r="AP29" s="629">
        <v>0</v>
      </c>
      <c r="AQ29" s="629">
        <v>0</v>
      </c>
      <c r="AR29" s="50"/>
      <c r="AS29" s="46" t="s">
        <v>210</v>
      </c>
      <c r="AT29" s="50">
        <f t="shared" si="10"/>
        <v>0</v>
      </c>
      <c r="AU29" s="50">
        <f t="shared" si="11"/>
        <v>0</v>
      </c>
      <c r="AV29" s="50">
        <f t="shared" si="12"/>
        <v>0</v>
      </c>
      <c r="AW29" s="50">
        <f t="shared" si="13"/>
        <v>0</v>
      </c>
      <c r="AX29" s="50">
        <f t="shared" si="14"/>
        <v>0</v>
      </c>
      <c r="AY29" s="50">
        <f t="shared" si="15"/>
        <v>0</v>
      </c>
      <c r="AZ29" s="50">
        <f t="shared" si="16"/>
        <v>0</v>
      </c>
      <c r="BA29" s="50">
        <f t="shared" si="17"/>
        <v>0</v>
      </c>
      <c r="BB29" s="50">
        <f t="shared" si="18"/>
        <v>0</v>
      </c>
    </row>
    <row r="30" spans="1:54">
      <c r="A30" s="46" t="s">
        <v>201</v>
      </c>
      <c r="B30" s="46" t="s">
        <v>142</v>
      </c>
      <c r="C30" s="46" t="s">
        <v>211</v>
      </c>
      <c r="D30" s="50">
        <f>lgh_bs!H30</f>
        <v>0</v>
      </c>
      <c r="E30" s="50">
        <f>lgh_bs!I30</f>
        <v>0</v>
      </c>
      <c r="F30" s="50">
        <f>lgh_bs!J30</f>
        <v>0</v>
      </c>
      <c r="G30" s="50">
        <f>lgh_bs!K30</f>
        <v>0</v>
      </c>
      <c r="H30" s="50">
        <f>lgh_bs!L30</f>
        <v>0</v>
      </c>
      <c r="I30" s="50">
        <f>lgh_bs!M30</f>
        <v>0</v>
      </c>
      <c r="J30" s="50">
        <f>lgh_bs!N30</f>
        <v>0</v>
      </c>
      <c r="K30" s="50">
        <f>lgh_bs!O30</f>
        <v>0</v>
      </c>
      <c r="L30" s="50">
        <f>lgh_bs!P30</f>
        <v>0</v>
      </c>
      <c r="M30" s="43"/>
      <c r="N30" s="68">
        <v>0</v>
      </c>
      <c r="O30" s="68">
        <v>0</v>
      </c>
      <c r="P30" s="68">
        <v>0</v>
      </c>
      <c r="Q30" s="68">
        <v>0</v>
      </c>
      <c r="R30" s="68">
        <v>0</v>
      </c>
      <c r="S30" s="68">
        <v>0</v>
      </c>
      <c r="T30" s="68">
        <v>0</v>
      </c>
      <c r="U30" s="68">
        <v>0</v>
      </c>
      <c r="V30" s="68">
        <v>0</v>
      </c>
      <c r="W30" s="50"/>
      <c r="X30" s="46" t="s">
        <v>211</v>
      </c>
      <c r="Y30" s="50">
        <f t="shared" si="0"/>
        <v>0</v>
      </c>
      <c r="Z30" s="50">
        <f t="shared" si="1"/>
        <v>0</v>
      </c>
      <c r="AA30" s="50">
        <f t="shared" si="2"/>
        <v>0</v>
      </c>
      <c r="AB30" s="50">
        <f t="shared" si="3"/>
        <v>0</v>
      </c>
      <c r="AC30" s="50">
        <f t="shared" si="4"/>
        <v>0</v>
      </c>
      <c r="AD30" s="50">
        <f t="shared" si="5"/>
        <v>0</v>
      </c>
      <c r="AE30" s="50">
        <f t="shared" si="6"/>
        <v>0</v>
      </c>
      <c r="AF30" s="50">
        <f t="shared" si="7"/>
        <v>0</v>
      </c>
      <c r="AG30" s="50">
        <f t="shared" si="8"/>
        <v>0</v>
      </c>
      <c r="AI30" s="629">
        <v>0</v>
      </c>
      <c r="AJ30" s="629">
        <v>0</v>
      </c>
      <c r="AK30" s="629">
        <v>4000000</v>
      </c>
      <c r="AL30" s="629">
        <v>10000000</v>
      </c>
      <c r="AM30" s="629">
        <v>16000000</v>
      </c>
      <c r="AN30" s="629">
        <v>18400000</v>
      </c>
      <c r="AO30" s="629">
        <v>21160000</v>
      </c>
      <c r="AP30" s="629">
        <v>24333999.999999996</v>
      </c>
      <c r="AQ30" s="629">
        <v>27984099.999999993</v>
      </c>
      <c r="AR30" s="50"/>
      <c r="AS30" s="46" t="s">
        <v>211</v>
      </c>
      <c r="AT30" s="50">
        <f t="shared" si="10"/>
        <v>0</v>
      </c>
      <c r="AU30" s="50">
        <f t="shared" si="11"/>
        <v>0</v>
      </c>
      <c r="AV30" s="50">
        <f t="shared" si="12"/>
        <v>-4000000</v>
      </c>
      <c r="AW30" s="50">
        <f t="shared" si="13"/>
        <v>-10000000</v>
      </c>
      <c r="AX30" s="50">
        <f t="shared" si="14"/>
        <v>-16000000</v>
      </c>
      <c r="AY30" s="50">
        <f t="shared" si="15"/>
        <v>-18400000</v>
      </c>
      <c r="AZ30" s="50">
        <f t="shared" si="16"/>
        <v>-21160000</v>
      </c>
      <c r="BA30" s="50">
        <f t="shared" si="17"/>
        <v>-24333999.999999996</v>
      </c>
      <c r="BB30" s="50">
        <f t="shared" si="18"/>
        <v>-27984099.999999993</v>
      </c>
    </row>
    <row r="31" spans="1:54">
      <c r="A31" s="46" t="s">
        <v>212</v>
      </c>
      <c r="B31" s="46" t="s">
        <v>128</v>
      </c>
      <c r="C31" s="46" t="s">
        <v>213</v>
      </c>
      <c r="D31" s="50">
        <f>lgh_bs!H31</f>
        <v>6989833.6678437497</v>
      </c>
      <c r="E31" s="50">
        <f>lgh_bs!I31</f>
        <v>8001344.413481757</v>
      </c>
      <c r="F31" s="50">
        <f>lgh_bs!J31</f>
        <v>8575801.243056858</v>
      </c>
      <c r="G31" s="50">
        <f>lgh_bs!K31</f>
        <v>8582691.7381072436</v>
      </c>
      <c r="H31" s="50">
        <f>lgh_bs!L31</f>
        <v>17286474.095939837</v>
      </c>
      <c r="I31" s="50">
        <f>lgh_bs!M31</f>
        <v>18797445.210330814</v>
      </c>
      <c r="J31" s="50">
        <f>lgh_bs!N31</f>
        <v>21168561.991880435</v>
      </c>
      <c r="K31" s="50">
        <f>lgh_bs!O31</f>
        <v>24343846.290662497</v>
      </c>
      <c r="L31" s="50">
        <f>lgh_bs!P31</f>
        <v>27995423.23426187</v>
      </c>
      <c r="M31" s="43"/>
      <c r="N31" s="68">
        <v>6989833.6678437497</v>
      </c>
      <c r="O31" s="68">
        <v>8001344.413481757</v>
      </c>
      <c r="P31" s="68">
        <v>8575801.243056858</v>
      </c>
      <c r="Q31" s="68">
        <v>8582691.7381072436</v>
      </c>
      <c r="R31" s="68">
        <v>17286474.095939837</v>
      </c>
      <c r="S31" s="68">
        <v>18797445.210330814</v>
      </c>
      <c r="T31" s="68">
        <v>21168561.991880435</v>
      </c>
      <c r="U31" s="68">
        <v>24343846.290662497</v>
      </c>
      <c r="V31" s="68">
        <v>27995423.23426187</v>
      </c>
      <c r="W31" s="50"/>
      <c r="X31" s="46" t="s">
        <v>213</v>
      </c>
      <c r="Y31" s="50">
        <f t="shared" si="0"/>
        <v>0</v>
      </c>
      <c r="Z31" s="50">
        <f t="shared" si="1"/>
        <v>0</v>
      </c>
      <c r="AA31" s="50">
        <f t="shared" si="2"/>
        <v>0</v>
      </c>
      <c r="AB31" s="50">
        <f t="shared" si="3"/>
        <v>0</v>
      </c>
      <c r="AC31" s="50">
        <f t="shared" si="4"/>
        <v>0</v>
      </c>
      <c r="AD31" s="50">
        <f t="shared" si="5"/>
        <v>0</v>
      </c>
      <c r="AE31" s="50">
        <f t="shared" si="6"/>
        <v>0</v>
      </c>
      <c r="AF31" s="50">
        <f t="shared" si="7"/>
        <v>0</v>
      </c>
      <c r="AG31" s="50">
        <f t="shared" si="8"/>
        <v>0</v>
      </c>
      <c r="AI31" s="629">
        <v>6989833.6678437497</v>
      </c>
      <c r="AJ31" s="629">
        <v>8001344.413481757</v>
      </c>
      <c r="AK31" s="629">
        <v>8575801.243056858</v>
      </c>
      <c r="AL31" s="629">
        <v>8582691.7381072436</v>
      </c>
      <c r="AM31" s="629">
        <v>1280000</v>
      </c>
      <c r="AN31" s="629">
        <v>390000</v>
      </c>
      <c r="AO31" s="629">
        <v>0</v>
      </c>
      <c r="AP31" s="629">
        <v>0</v>
      </c>
      <c r="AQ31" s="629">
        <v>0</v>
      </c>
      <c r="AR31" s="50"/>
      <c r="AS31" s="46" t="s">
        <v>213</v>
      </c>
      <c r="AT31" s="50">
        <f t="shared" si="10"/>
        <v>0</v>
      </c>
      <c r="AU31" s="50">
        <f t="shared" si="11"/>
        <v>0</v>
      </c>
      <c r="AV31" s="50">
        <f t="shared" si="12"/>
        <v>0</v>
      </c>
      <c r="AW31" s="50">
        <f t="shared" si="13"/>
        <v>0</v>
      </c>
      <c r="AX31" s="50">
        <f t="shared" si="14"/>
        <v>16006474.095939837</v>
      </c>
      <c r="AY31" s="50">
        <f t="shared" si="15"/>
        <v>18407445.210330814</v>
      </c>
      <c r="AZ31" s="50">
        <f t="shared" si="16"/>
        <v>21168561.991880435</v>
      </c>
      <c r="BA31" s="50">
        <f t="shared" si="17"/>
        <v>24343846.290662497</v>
      </c>
      <c r="BB31" s="50">
        <f t="shared" si="18"/>
        <v>27995423.23426187</v>
      </c>
    </row>
    <row r="32" spans="1:54">
      <c r="A32" s="43"/>
      <c r="B32" s="43"/>
      <c r="C32" s="46" t="s">
        <v>214</v>
      </c>
      <c r="D32" s="50">
        <f>lgh_bs!H32</f>
        <v>15565466.206049612</v>
      </c>
      <c r="E32" s="50">
        <f>lgh_bs!I32</f>
        <v>15901473.256515272</v>
      </c>
      <c r="F32" s="50">
        <f>lgh_bs!J32</f>
        <v>20815024.268373385</v>
      </c>
      <c r="G32" s="50">
        <f>lgh_bs!K32</f>
        <v>20778683.615955688</v>
      </c>
      <c r="H32" s="50">
        <f>lgh_bs!L32</f>
        <v>24686987.528731905</v>
      </c>
      <c r="I32" s="50">
        <f>lgh_bs!M32</f>
        <v>18797445.210330814</v>
      </c>
      <c r="J32" s="50">
        <f>lgh_bs!N32</f>
        <v>21168561.991880435</v>
      </c>
      <c r="K32" s="50">
        <f>lgh_bs!O32</f>
        <v>24343846.290662497</v>
      </c>
      <c r="L32" s="50">
        <f>lgh_bs!P32</f>
        <v>27995423.23426187</v>
      </c>
      <c r="M32" s="43"/>
      <c r="N32" s="68">
        <v>15565466.206049612</v>
      </c>
      <c r="O32" s="68">
        <v>15901473.256515272</v>
      </c>
      <c r="P32" s="68">
        <v>20815024.268373385</v>
      </c>
      <c r="Q32" s="68">
        <v>20778683.615955688</v>
      </c>
      <c r="R32" s="68">
        <v>24686987.528731905</v>
      </c>
      <c r="S32" s="68">
        <v>18797445.210330814</v>
      </c>
      <c r="T32" s="68">
        <v>21168561.991880435</v>
      </c>
      <c r="U32" s="68">
        <v>24343846.290662497</v>
      </c>
      <c r="V32" s="68">
        <v>27995423.23426187</v>
      </c>
      <c r="W32" s="50"/>
      <c r="X32" s="46" t="s">
        <v>214</v>
      </c>
      <c r="Y32" s="50">
        <f t="shared" si="0"/>
        <v>0</v>
      </c>
      <c r="Z32" s="50">
        <f t="shared" si="1"/>
        <v>0</v>
      </c>
      <c r="AA32" s="50">
        <f t="shared" si="2"/>
        <v>0</v>
      </c>
      <c r="AB32" s="50">
        <f t="shared" si="3"/>
        <v>0</v>
      </c>
      <c r="AC32" s="50">
        <f t="shared" si="4"/>
        <v>0</v>
      </c>
      <c r="AD32" s="50">
        <f t="shared" si="5"/>
        <v>0</v>
      </c>
      <c r="AE32" s="50">
        <f t="shared" si="6"/>
        <v>0</v>
      </c>
      <c r="AF32" s="50">
        <f t="shared" si="7"/>
        <v>0</v>
      </c>
      <c r="AG32" s="50">
        <f t="shared" si="8"/>
        <v>0</v>
      </c>
      <c r="AI32" s="629">
        <v>15565466.206049612</v>
      </c>
      <c r="AJ32" s="629">
        <v>15901473.256515272</v>
      </c>
      <c r="AK32" s="629">
        <v>24815024.268373385</v>
      </c>
      <c r="AL32" s="629">
        <v>30778683.615955688</v>
      </c>
      <c r="AM32" s="629">
        <v>24680513.432792068</v>
      </c>
      <c r="AN32" s="629">
        <v>18790000</v>
      </c>
      <c r="AO32" s="629">
        <v>21160000</v>
      </c>
      <c r="AP32" s="629">
        <v>24333999.999999996</v>
      </c>
      <c r="AQ32" s="629">
        <v>27984099.999999993</v>
      </c>
      <c r="AR32" s="50"/>
      <c r="AS32" s="46" t="s">
        <v>214</v>
      </c>
      <c r="AT32" s="50">
        <f t="shared" si="10"/>
        <v>0</v>
      </c>
      <c r="AU32" s="50">
        <f t="shared" si="11"/>
        <v>0</v>
      </c>
      <c r="AV32" s="50">
        <f t="shared" si="12"/>
        <v>-4000000</v>
      </c>
      <c r="AW32" s="50">
        <f t="shared" si="13"/>
        <v>-10000000</v>
      </c>
      <c r="AX32" s="50">
        <f t="shared" si="14"/>
        <v>6474.0959398373961</v>
      </c>
      <c r="AY32" s="50">
        <f t="shared" si="15"/>
        <v>7445.2103308141232</v>
      </c>
      <c r="AZ32" s="50">
        <f t="shared" si="16"/>
        <v>8561.9918804354966</v>
      </c>
      <c r="BA32" s="50">
        <f t="shared" si="17"/>
        <v>9846.2906625010073</v>
      </c>
      <c r="BB32" s="50">
        <f t="shared" si="18"/>
        <v>11323.234261877835</v>
      </c>
    </row>
    <row r="33" spans="1:54">
      <c r="A33" s="43"/>
      <c r="B33" s="43"/>
      <c r="C33" s="46" t="s">
        <v>110</v>
      </c>
      <c r="D33" s="50">
        <f>lgh_bs!H33</f>
        <v>153418237.46411583</v>
      </c>
      <c r="E33" s="50">
        <f>lgh_bs!I33</f>
        <v>157901050.55800745</v>
      </c>
      <c r="F33" s="50">
        <f>lgh_bs!J33</f>
        <v>165541711.44971877</v>
      </c>
      <c r="G33" s="50">
        <f>lgh_bs!K33</f>
        <v>174086405.45360541</v>
      </c>
      <c r="H33" s="50">
        <f>lgh_bs!L33</f>
        <v>189621150.83104634</v>
      </c>
      <c r="I33" s="50">
        <f>lgh_bs!M33</f>
        <v>222423761.88773352</v>
      </c>
      <c r="J33" s="50">
        <f>lgh_bs!N33</f>
        <v>270360550.59613985</v>
      </c>
      <c r="K33" s="50">
        <f>lgh_bs!O33</f>
        <v>326391628.59594965</v>
      </c>
      <c r="L33" s="50">
        <f>lgh_bs!P33</f>
        <v>381491493.68855262</v>
      </c>
      <c r="M33" s="43"/>
      <c r="N33" s="68">
        <v>150052921.46411583</v>
      </c>
      <c r="O33" s="68">
        <v>155124932.32007533</v>
      </c>
      <c r="P33" s="68">
        <v>163358273.32500213</v>
      </c>
      <c r="Q33" s="68">
        <v>172513997.54295337</v>
      </c>
      <c r="R33" s="68">
        <v>188828678.01106444</v>
      </c>
      <c r="S33" s="68">
        <v>222357515.91315216</v>
      </c>
      <c r="T33" s="68">
        <v>271042318.30322099</v>
      </c>
      <c r="U33" s="68">
        <v>327993850.42697024</v>
      </c>
      <c r="V33" s="68">
        <v>384041783.30001271</v>
      </c>
      <c r="W33" s="50"/>
      <c r="X33" s="46" t="s">
        <v>110</v>
      </c>
      <c r="Y33" s="50">
        <f t="shared" si="0"/>
        <v>3365316</v>
      </c>
      <c r="Z33" s="50">
        <f t="shared" si="1"/>
        <v>2776118.2379321158</v>
      </c>
      <c r="AA33" s="50">
        <f t="shared" si="2"/>
        <v>2183438.1247166395</v>
      </c>
      <c r="AB33" s="50">
        <f t="shared" si="3"/>
        <v>1572407.9106520414</v>
      </c>
      <c r="AC33" s="50">
        <f t="shared" si="4"/>
        <v>792472.81998190284</v>
      </c>
      <c r="AD33" s="50">
        <f t="shared" si="5"/>
        <v>66245.974581360817</v>
      </c>
      <c r="AE33" s="50">
        <f t="shared" si="6"/>
        <v>-681767.70708113909</v>
      </c>
      <c r="AF33" s="50">
        <f t="shared" si="7"/>
        <v>-1602221.8310205936</v>
      </c>
      <c r="AG33" s="50">
        <f t="shared" si="8"/>
        <v>-2550289.6114600897</v>
      </c>
      <c r="AI33" s="629">
        <v>152849164.77561587</v>
      </c>
      <c r="AJ33" s="629">
        <v>159605299.05108485</v>
      </c>
      <c r="AK33" s="629">
        <v>167293670.30049485</v>
      </c>
      <c r="AL33" s="629">
        <v>175928682.13601094</v>
      </c>
      <c r="AM33" s="629">
        <v>191517414.87646616</v>
      </c>
      <c r="AN33" s="629">
        <v>222626395.39816639</v>
      </c>
      <c r="AO33" s="629">
        <v>268369274.95346773</v>
      </c>
      <c r="AP33" s="629">
        <v>315834192.9409613</v>
      </c>
      <c r="AQ33" s="629">
        <v>370192962.44128305</v>
      </c>
      <c r="AR33" s="50"/>
      <c r="AS33" s="46" t="s">
        <v>110</v>
      </c>
      <c r="AT33" s="50">
        <f t="shared" si="10"/>
        <v>569072.68849995732</v>
      </c>
      <c r="AU33" s="50">
        <f t="shared" si="11"/>
        <v>-1704248.4930773973</v>
      </c>
      <c r="AV33" s="50">
        <f t="shared" si="12"/>
        <v>-1751958.8507760763</v>
      </c>
      <c r="AW33" s="50">
        <f t="shared" si="13"/>
        <v>-1842276.6824055314</v>
      </c>
      <c r="AX33" s="50">
        <f t="shared" si="14"/>
        <v>-1896264.0454198122</v>
      </c>
      <c r="AY33" s="50">
        <f t="shared" si="15"/>
        <v>-202633.5104328692</v>
      </c>
      <c r="AZ33" s="50">
        <f t="shared" si="16"/>
        <v>1991275.6426721215</v>
      </c>
      <c r="BA33" s="50">
        <f t="shared" si="17"/>
        <v>10557435.654988348</v>
      </c>
      <c r="BB33" s="50">
        <f t="shared" si="18"/>
        <v>11298531.247269571</v>
      </c>
    </row>
    <row r="34" spans="1:54">
      <c r="A34" s="43"/>
      <c r="B34" s="43"/>
      <c r="C34" s="83" t="s">
        <v>215</v>
      </c>
      <c r="D34" s="50">
        <f>lgh_bs!H34</f>
        <v>0</v>
      </c>
      <c r="E34" s="50">
        <f>lgh_bs!I34</f>
        <v>0</v>
      </c>
      <c r="F34" s="50">
        <f>lgh_bs!J34</f>
        <v>0</v>
      </c>
      <c r="G34" s="50">
        <f>lgh_bs!K34</f>
        <v>0</v>
      </c>
      <c r="H34" s="50">
        <f>lgh_bs!L34</f>
        <v>0</v>
      </c>
      <c r="I34" s="50">
        <f>lgh_bs!M34</f>
        <v>0</v>
      </c>
      <c r="J34" s="50">
        <f>lgh_bs!N34</f>
        <v>0</v>
      </c>
      <c r="K34" s="50">
        <f>lgh_bs!O34</f>
        <v>0</v>
      </c>
      <c r="L34" s="50">
        <f>lgh_bs!P34</f>
        <v>0</v>
      </c>
      <c r="M34" s="43"/>
      <c r="N34" s="68">
        <v>0</v>
      </c>
      <c r="O34" s="68">
        <v>0</v>
      </c>
      <c r="P34" s="68">
        <v>0</v>
      </c>
      <c r="Q34" s="68">
        <v>0</v>
      </c>
      <c r="R34" s="68">
        <v>0</v>
      </c>
      <c r="S34" s="68">
        <v>0</v>
      </c>
      <c r="T34" s="68">
        <v>0</v>
      </c>
      <c r="U34" s="68">
        <v>0</v>
      </c>
      <c r="V34" s="68">
        <v>0</v>
      </c>
      <c r="W34" s="50"/>
      <c r="X34" s="83" t="s">
        <v>215</v>
      </c>
      <c r="Y34" s="50">
        <f t="shared" si="0"/>
        <v>0</v>
      </c>
      <c r="Z34" s="50">
        <f t="shared" si="1"/>
        <v>0</v>
      </c>
      <c r="AA34" s="50">
        <f t="shared" si="2"/>
        <v>0</v>
      </c>
      <c r="AB34" s="50">
        <f t="shared" si="3"/>
        <v>0</v>
      </c>
      <c r="AC34" s="50">
        <f t="shared" si="4"/>
        <v>0</v>
      </c>
      <c r="AD34" s="50">
        <f t="shared" si="5"/>
        <v>0</v>
      </c>
      <c r="AE34" s="50">
        <f t="shared" si="6"/>
        <v>0</v>
      </c>
      <c r="AF34" s="50">
        <f t="shared" si="7"/>
        <v>0</v>
      </c>
      <c r="AG34" s="50">
        <f t="shared" si="8"/>
        <v>0</v>
      </c>
      <c r="AI34" s="629"/>
      <c r="AJ34" s="629"/>
      <c r="AK34" s="629"/>
      <c r="AL34" s="629"/>
      <c r="AM34" s="629"/>
      <c r="AN34" s="629"/>
      <c r="AO34" s="629"/>
      <c r="AP34" s="629"/>
      <c r="AQ34" s="629"/>
      <c r="AR34" s="50"/>
      <c r="AS34" s="83" t="s">
        <v>215</v>
      </c>
      <c r="AT34" s="50">
        <f t="shared" si="10"/>
        <v>0</v>
      </c>
      <c r="AU34" s="50">
        <f t="shared" si="11"/>
        <v>0</v>
      </c>
      <c r="AV34" s="50">
        <f t="shared" si="12"/>
        <v>0</v>
      </c>
      <c r="AW34" s="50">
        <f t="shared" si="13"/>
        <v>0</v>
      </c>
      <c r="AX34" s="50">
        <f t="shared" si="14"/>
        <v>0</v>
      </c>
      <c r="AY34" s="50">
        <f t="shared" si="15"/>
        <v>0</v>
      </c>
      <c r="AZ34" s="50">
        <f t="shared" si="16"/>
        <v>0</v>
      </c>
      <c r="BA34" s="50">
        <f t="shared" si="17"/>
        <v>0</v>
      </c>
      <c r="BB34" s="50">
        <f t="shared" si="18"/>
        <v>0</v>
      </c>
    </row>
    <row r="35" spans="1:54">
      <c r="A35" s="46" t="s">
        <v>216</v>
      </c>
      <c r="B35" s="46" t="s">
        <v>140</v>
      </c>
      <c r="C35" s="83" t="s">
        <v>217</v>
      </c>
      <c r="D35" s="50">
        <f>lgh_bs!H35</f>
        <v>1196383.1124405398</v>
      </c>
      <c r="E35" s="50">
        <f>lgh_bs!I35</f>
        <v>2765367.695302607</v>
      </c>
      <c r="F35" s="50">
        <f>lgh_bs!J35</f>
        <v>5439599.0074015707</v>
      </c>
      <c r="G35" s="50">
        <f>lgh_bs!K35</f>
        <v>8430241.9087618943</v>
      </c>
      <c r="H35" s="50">
        <f>lgh_bs!L35</f>
        <v>13867402.790866219</v>
      </c>
      <c r="I35" s="50">
        <f>lgh_bs!M35</f>
        <v>25348316.660706729</v>
      </c>
      <c r="J35" s="50">
        <f>lgh_bs!N35</f>
        <v>42126192.708648942</v>
      </c>
      <c r="K35" s="50">
        <f>lgh_bs!O35</f>
        <v>61737070.008582376</v>
      </c>
      <c r="L35" s="50">
        <f>lgh_bs!P35</f>
        <v>81022022.790993407</v>
      </c>
      <c r="M35" s="43"/>
      <c r="N35" s="68">
        <v>18522.512440539896</v>
      </c>
      <c r="O35" s="68">
        <v>1793726.3120263666</v>
      </c>
      <c r="P35" s="68">
        <v>4675395.6637507463</v>
      </c>
      <c r="Q35" s="68">
        <v>7879899.14003368</v>
      </c>
      <c r="R35" s="68">
        <v>13590037.303872554</v>
      </c>
      <c r="S35" s="68">
        <v>25325130.569603253</v>
      </c>
      <c r="T35" s="68">
        <v>42364811.406127341</v>
      </c>
      <c r="U35" s="68">
        <v>62297847.649439581</v>
      </c>
      <c r="V35" s="68">
        <v>81914624.155004442</v>
      </c>
      <c r="W35" s="50"/>
      <c r="X35" s="83" t="s">
        <v>217</v>
      </c>
      <c r="Y35" s="50">
        <f t="shared" si="0"/>
        <v>1177860.5999999999</v>
      </c>
      <c r="Z35" s="50">
        <f t="shared" si="1"/>
        <v>971641.38327624043</v>
      </c>
      <c r="AA35" s="50">
        <f t="shared" si="2"/>
        <v>764203.34365082439</v>
      </c>
      <c r="AB35" s="50">
        <f t="shared" si="3"/>
        <v>550342.76872821432</v>
      </c>
      <c r="AC35" s="50">
        <f t="shared" si="4"/>
        <v>277365.48699366488</v>
      </c>
      <c r="AD35" s="50">
        <f t="shared" si="5"/>
        <v>23186.091103475541</v>
      </c>
      <c r="AE35" s="50">
        <f t="shared" si="6"/>
        <v>-238618.69747839868</v>
      </c>
      <c r="AF35" s="50">
        <f t="shared" si="7"/>
        <v>-560777.64085720479</v>
      </c>
      <c r="AG35" s="50">
        <f t="shared" si="8"/>
        <v>-892601.36401103437</v>
      </c>
      <c r="AI35" s="629">
        <v>854749.43268476124</v>
      </c>
      <c r="AJ35" s="629">
        <v>2881589.7153254538</v>
      </c>
      <c r="AK35" s="629">
        <v>5188101.0901484545</v>
      </c>
      <c r="AL35" s="629">
        <v>7778604.6408032831</v>
      </c>
      <c r="AM35" s="629">
        <v>12455224.462939845</v>
      </c>
      <c r="AN35" s="629">
        <v>21787918.619449917</v>
      </c>
      <c r="AO35" s="629">
        <v>35510782.486040317</v>
      </c>
      <c r="AP35" s="629">
        <v>49750257.882288389</v>
      </c>
      <c r="AQ35" s="629">
        <v>66057888.732384913</v>
      </c>
      <c r="AR35" s="50"/>
      <c r="AS35" s="83" t="s">
        <v>217</v>
      </c>
      <c r="AT35" s="50">
        <f t="shared" si="10"/>
        <v>341633.67975577852</v>
      </c>
      <c r="AU35" s="50">
        <f t="shared" si="11"/>
        <v>-116222.02002284676</v>
      </c>
      <c r="AV35" s="50">
        <f t="shared" si="12"/>
        <v>251497.91725311615</v>
      </c>
      <c r="AW35" s="50">
        <f t="shared" si="13"/>
        <v>651637.26795861125</v>
      </c>
      <c r="AX35" s="50">
        <f t="shared" si="14"/>
        <v>1412178.3279263731</v>
      </c>
      <c r="AY35" s="50">
        <f t="shared" si="15"/>
        <v>3560398.0412568115</v>
      </c>
      <c r="AZ35" s="50">
        <f t="shared" si="16"/>
        <v>6615410.2226086259</v>
      </c>
      <c r="BA35" s="50">
        <f t="shared" si="17"/>
        <v>11986812.126293987</v>
      </c>
      <c r="BB35" s="50">
        <f t="shared" si="18"/>
        <v>14964134.058608495</v>
      </c>
    </row>
    <row r="36" spans="1:54">
      <c r="A36" s="46" t="s">
        <v>218</v>
      </c>
      <c r="B36" s="46" t="s">
        <v>128</v>
      </c>
      <c r="C36" s="83" t="s">
        <v>192</v>
      </c>
      <c r="D36" s="50">
        <f>lgh_bs!H36</f>
        <v>54144868.927339561</v>
      </c>
      <c r="E36" s="50">
        <f>lgh_bs!I36</f>
        <v>56742197.629923344</v>
      </c>
      <c r="F36" s="50">
        <f>lgh_bs!J36</f>
        <v>58896375.909288213</v>
      </c>
      <c r="G36" s="50">
        <f>lgh_bs!K36</f>
        <v>60074303.427473977</v>
      </c>
      <c r="H36" s="50">
        <f>lgh_bs!L36</f>
        <v>64275789.496023461</v>
      </c>
      <c r="I36" s="50">
        <f>lgh_bs!M36</f>
        <v>69417852.655705363</v>
      </c>
      <c r="J36" s="50">
        <f>lgh_bs!N36</f>
        <v>74971280.868161783</v>
      </c>
      <c r="K36" s="50">
        <f>lgh_bs!O36</f>
        <v>80968983.337614715</v>
      </c>
      <c r="L36" s="50">
        <f>lgh_bs!P36</f>
        <v>87446502.004623935</v>
      </c>
      <c r="M36" s="43"/>
      <c r="N36" s="68">
        <v>54144868.927339561</v>
      </c>
      <c r="O36" s="68">
        <v>56742197.629923344</v>
      </c>
      <c r="P36" s="68">
        <v>58896375.909288213</v>
      </c>
      <c r="Q36" s="68">
        <v>60074303.427473977</v>
      </c>
      <c r="R36" s="68">
        <v>64275789.496023461</v>
      </c>
      <c r="S36" s="68">
        <v>69417852.655705363</v>
      </c>
      <c r="T36" s="68">
        <v>74971280.868161783</v>
      </c>
      <c r="U36" s="68">
        <v>80968983.337614715</v>
      </c>
      <c r="V36" s="68">
        <v>87446502.004623935</v>
      </c>
      <c r="W36" s="50"/>
      <c r="X36" s="83" t="s">
        <v>192</v>
      </c>
      <c r="Y36" s="50">
        <f t="shared" si="0"/>
        <v>0</v>
      </c>
      <c r="Z36" s="50">
        <f t="shared" si="1"/>
        <v>0</v>
      </c>
      <c r="AA36" s="50">
        <f t="shared" si="2"/>
        <v>0</v>
      </c>
      <c r="AB36" s="50">
        <f t="shared" si="3"/>
        <v>0</v>
      </c>
      <c r="AC36" s="50">
        <f t="shared" si="4"/>
        <v>0</v>
      </c>
      <c r="AD36" s="50">
        <f t="shared" si="5"/>
        <v>0</v>
      </c>
      <c r="AE36" s="50">
        <f t="shared" si="6"/>
        <v>0</v>
      </c>
      <c r="AF36" s="50">
        <f t="shared" si="7"/>
        <v>0</v>
      </c>
      <c r="AG36" s="50">
        <f t="shared" si="8"/>
        <v>0</v>
      </c>
      <c r="AI36" s="629">
        <v>54144868.927339561</v>
      </c>
      <c r="AJ36" s="629">
        <v>56742197.629923344</v>
      </c>
      <c r="AK36" s="629">
        <v>58896375.909288213</v>
      </c>
      <c r="AL36" s="629">
        <v>60074303.427473977</v>
      </c>
      <c r="AM36" s="629">
        <v>64275789.496023461</v>
      </c>
      <c r="AN36" s="629">
        <v>69417852.655705363</v>
      </c>
      <c r="AO36" s="629">
        <v>74971280.868161783</v>
      </c>
      <c r="AP36" s="629">
        <v>80968983.337614715</v>
      </c>
      <c r="AQ36" s="629">
        <v>87446502.004623935</v>
      </c>
      <c r="AR36" s="50"/>
      <c r="AS36" s="83" t="s">
        <v>192</v>
      </c>
      <c r="AT36" s="50">
        <f t="shared" si="10"/>
        <v>0</v>
      </c>
      <c r="AU36" s="50">
        <f t="shared" si="11"/>
        <v>0</v>
      </c>
      <c r="AV36" s="50">
        <f t="shared" si="12"/>
        <v>0</v>
      </c>
      <c r="AW36" s="50">
        <f t="shared" si="13"/>
        <v>0</v>
      </c>
      <c r="AX36" s="50">
        <f t="shared" si="14"/>
        <v>0</v>
      </c>
      <c r="AY36" s="50">
        <f t="shared" si="15"/>
        <v>0</v>
      </c>
      <c r="AZ36" s="50">
        <f t="shared" si="16"/>
        <v>0</v>
      </c>
      <c r="BA36" s="50">
        <f t="shared" si="17"/>
        <v>0</v>
      </c>
      <c r="BB36" s="50">
        <f t="shared" si="18"/>
        <v>0</v>
      </c>
    </row>
    <row r="37" spans="1:54">
      <c r="A37" s="46" t="s">
        <v>219</v>
      </c>
      <c r="B37" s="46" t="s">
        <v>143</v>
      </c>
      <c r="C37" s="83" t="s">
        <v>220</v>
      </c>
      <c r="D37" s="50">
        <f>lgh_bs!H37</f>
        <v>0</v>
      </c>
      <c r="E37" s="50">
        <f>lgh_bs!I37</f>
        <v>0</v>
      </c>
      <c r="F37" s="50">
        <f>lgh_bs!J37</f>
        <v>0</v>
      </c>
      <c r="G37" s="50">
        <f>lgh_bs!K37</f>
        <v>0</v>
      </c>
      <c r="H37" s="50">
        <f>lgh_bs!L37</f>
        <v>0</v>
      </c>
      <c r="I37" s="50">
        <f>lgh_bs!M37</f>
        <v>0</v>
      </c>
      <c r="J37" s="50">
        <f>lgh_bs!N37</f>
        <v>0</v>
      </c>
      <c r="K37" s="50">
        <f>lgh_bs!O37</f>
        <v>0</v>
      </c>
      <c r="L37" s="50">
        <f>lgh_bs!P37</f>
        <v>0</v>
      </c>
      <c r="M37" s="43"/>
      <c r="N37" s="68">
        <v>0</v>
      </c>
      <c r="O37" s="68">
        <v>0</v>
      </c>
      <c r="P37" s="68">
        <v>0</v>
      </c>
      <c r="Q37" s="68">
        <v>0</v>
      </c>
      <c r="R37" s="68">
        <v>0</v>
      </c>
      <c r="S37" s="68">
        <v>0</v>
      </c>
      <c r="T37" s="68">
        <v>0</v>
      </c>
      <c r="U37" s="68">
        <v>0</v>
      </c>
      <c r="V37" s="68">
        <v>0</v>
      </c>
      <c r="W37" s="50"/>
      <c r="X37" s="83" t="s">
        <v>220</v>
      </c>
      <c r="Y37" s="50">
        <f t="shared" ref="Y37:Y53" si="19">D37-N37</f>
        <v>0</v>
      </c>
      <c r="Z37" s="50">
        <f t="shared" ref="Z37:Z53" si="20">E37-O37</f>
        <v>0</v>
      </c>
      <c r="AA37" s="50">
        <f t="shared" ref="AA37:AA53" si="21">F37-P37</f>
        <v>0</v>
      </c>
      <c r="AB37" s="50">
        <f t="shared" ref="AB37:AB53" si="22">G37-Q37</f>
        <v>0</v>
      </c>
      <c r="AC37" s="50">
        <f t="shared" ref="AC37:AC53" si="23">H37-R37</f>
        <v>0</v>
      </c>
      <c r="AD37" s="50">
        <f t="shared" ref="AD37:AD53" si="24">I37-S37</f>
        <v>0</v>
      </c>
      <c r="AE37" s="50">
        <f t="shared" ref="AE37:AE53" si="25">J37-T37</f>
        <v>0</v>
      </c>
      <c r="AF37" s="50">
        <f t="shared" ref="AF37:AF53" si="26">K37-U37</f>
        <v>0</v>
      </c>
      <c r="AG37" s="50">
        <f t="shared" ref="AG37:AG53" si="27">L37-V37</f>
        <v>0</v>
      </c>
      <c r="AI37" s="629">
        <v>0</v>
      </c>
      <c r="AJ37" s="629">
        <v>0</v>
      </c>
      <c r="AK37" s="629">
        <v>0</v>
      </c>
      <c r="AL37" s="629">
        <v>0</v>
      </c>
      <c r="AM37" s="629">
        <v>0</v>
      </c>
      <c r="AN37" s="629">
        <v>0</v>
      </c>
      <c r="AO37" s="629">
        <v>0</v>
      </c>
      <c r="AP37" s="629">
        <v>0</v>
      </c>
      <c r="AQ37" s="629">
        <v>0</v>
      </c>
      <c r="AR37" s="50"/>
      <c r="AS37" s="83" t="s">
        <v>220</v>
      </c>
      <c r="AT37" s="50">
        <f t="shared" si="10"/>
        <v>0</v>
      </c>
      <c r="AU37" s="50">
        <f t="shared" si="11"/>
        <v>0</v>
      </c>
      <c r="AV37" s="50">
        <f t="shared" si="12"/>
        <v>0</v>
      </c>
      <c r="AW37" s="50">
        <f t="shared" si="13"/>
        <v>0</v>
      </c>
      <c r="AX37" s="50">
        <f t="shared" si="14"/>
        <v>0</v>
      </c>
      <c r="AY37" s="50">
        <f t="shared" si="15"/>
        <v>0</v>
      </c>
      <c r="AZ37" s="50">
        <f t="shared" si="16"/>
        <v>0</v>
      </c>
      <c r="BA37" s="50">
        <f t="shared" si="17"/>
        <v>0</v>
      </c>
      <c r="BB37" s="50">
        <f t="shared" si="18"/>
        <v>0</v>
      </c>
    </row>
    <row r="38" spans="1:54">
      <c r="A38" s="43"/>
      <c r="B38" s="43"/>
      <c r="C38" s="83" t="s">
        <v>163</v>
      </c>
      <c r="D38" s="50">
        <f>lgh_bs!H38</f>
        <v>98076985.424335748</v>
      </c>
      <c r="E38" s="50">
        <f>lgh_bs!I38</f>
        <v>98393485.2327815</v>
      </c>
      <c r="F38" s="50">
        <f>lgh_bs!J38</f>
        <v>101205736.53302898</v>
      </c>
      <c r="G38" s="50">
        <f>lgh_bs!K38</f>
        <v>105581860.11736955</v>
      </c>
      <c r="H38" s="50">
        <f>lgh_bs!L38</f>
        <v>111477958.54415666</v>
      </c>
      <c r="I38" s="50">
        <f>lgh_bs!M38</f>
        <v>127657592.57132143</v>
      </c>
      <c r="J38" s="50">
        <f>lgh_bs!N38</f>
        <v>153263077.01932913</v>
      </c>
      <c r="K38" s="50">
        <f>lgh_bs!O38</f>
        <v>183685575.24975255</v>
      </c>
      <c r="L38" s="50">
        <f>lgh_bs!P38</f>
        <v>213022968.89293528</v>
      </c>
      <c r="M38" s="43"/>
      <c r="N38" s="68">
        <v>95889530.024335742</v>
      </c>
      <c r="O38" s="68">
        <v>96589008.378125608</v>
      </c>
      <c r="P38" s="68">
        <v>99786501.751963183</v>
      </c>
      <c r="Q38" s="68">
        <v>104559794.9754457</v>
      </c>
      <c r="R38" s="68">
        <v>110962851.21116842</v>
      </c>
      <c r="S38" s="68">
        <v>127614532.68784353</v>
      </c>
      <c r="T38" s="68">
        <v>153706226.02893186</v>
      </c>
      <c r="U38" s="68">
        <v>184727019.43991596</v>
      </c>
      <c r="V38" s="68">
        <v>214680657.14038432</v>
      </c>
      <c r="W38" s="50"/>
      <c r="X38" s="83" t="s">
        <v>163</v>
      </c>
      <c r="Y38" s="50">
        <f t="shared" si="19"/>
        <v>2187455.400000006</v>
      </c>
      <c r="Z38" s="50">
        <f t="shared" si="20"/>
        <v>1804476.8546558917</v>
      </c>
      <c r="AA38" s="50">
        <f t="shared" si="21"/>
        <v>1419234.7810657918</v>
      </c>
      <c r="AB38" s="50">
        <f t="shared" si="22"/>
        <v>1022065.1419238448</v>
      </c>
      <c r="AC38" s="50">
        <f t="shared" si="23"/>
        <v>515107.33298823237</v>
      </c>
      <c r="AD38" s="50">
        <f t="shared" si="24"/>
        <v>43059.883477896452</v>
      </c>
      <c r="AE38" s="50">
        <f t="shared" si="25"/>
        <v>-443149.00960272551</v>
      </c>
      <c r="AF38" s="50">
        <f t="shared" si="26"/>
        <v>-1041444.1901634037</v>
      </c>
      <c r="AG38" s="50">
        <f t="shared" si="27"/>
        <v>-1657688.2474490404</v>
      </c>
      <c r="AI38" s="629">
        <v>97849546.415591568</v>
      </c>
      <c r="AJ38" s="629">
        <v>99981511.705836058</v>
      </c>
      <c r="AK38" s="629">
        <v>103209193.30105819</v>
      </c>
      <c r="AL38" s="629">
        <v>108075774.06773369</v>
      </c>
      <c r="AM38" s="629">
        <v>114786400.91750284</v>
      </c>
      <c r="AN38" s="629">
        <v>131420624.12301111</v>
      </c>
      <c r="AO38" s="629">
        <v>157887211.59926564</v>
      </c>
      <c r="AP38" s="629">
        <v>185114951.72105819</v>
      </c>
      <c r="AQ38" s="629">
        <v>216688571.70427418</v>
      </c>
      <c r="AR38" s="50"/>
      <c r="AS38" s="83" t="s">
        <v>163</v>
      </c>
      <c r="AT38" s="50">
        <f t="shared" si="10"/>
        <v>227439.0087441802</v>
      </c>
      <c r="AU38" s="50">
        <f t="shared" si="11"/>
        <v>-1588026.473054558</v>
      </c>
      <c r="AV38" s="50">
        <f t="shared" si="12"/>
        <v>-2003456.768029213</v>
      </c>
      <c r="AW38" s="50">
        <f t="shared" si="13"/>
        <v>-2493913.9503641427</v>
      </c>
      <c r="AX38" s="50">
        <f t="shared" si="14"/>
        <v>-3308442.3733461797</v>
      </c>
      <c r="AY38" s="50">
        <f t="shared" si="15"/>
        <v>-3763031.5516896844</v>
      </c>
      <c r="AZ38" s="50">
        <f t="shared" si="16"/>
        <v>-4624134.5799365044</v>
      </c>
      <c r="BA38" s="50">
        <f t="shared" si="17"/>
        <v>-1429376.4713056386</v>
      </c>
      <c r="BB38" s="50">
        <f t="shared" si="18"/>
        <v>-3665602.8113389015</v>
      </c>
    </row>
    <row r="39" spans="1:54">
      <c r="A39" s="43"/>
      <c r="B39" s="43"/>
      <c r="C39" s="46" t="s">
        <v>221</v>
      </c>
      <c r="D39" s="50">
        <f>lgh_bs!H39</f>
        <v>153418237.46411586</v>
      </c>
      <c r="E39" s="50">
        <f>lgh_bs!I39</f>
        <v>157901050.55800745</v>
      </c>
      <c r="F39" s="50">
        <f>lgh_bs!J39</f>
        <v>165541711.44971877</v>
      </c>
      <c r="G39" s="50">
        <f>lgh_bs!K39</f>
        <v>174086405.45360541</v>
      </c>
      <c r="H39" s="50">
        <f>lgh_bs!L39</f>
        <v>189621150.83104634</v>
      </c>
      <c r="I39" s="50">
        <f>lgh_bs!M39</f>
        <v>222423761.88773352</v>
      </c>
      <c r="J39" s="50">
        <f>lgh_bs!N39</f>
        <v>270360550.59613985</v>
      </c>
      <c r="K39" s="50">
        <f>lgh_bs!O39</f>
        <v>326391628.59594965</v>
      </c>
      <c r="L39" s="50">
        <f>lgh_bs!P39</f>
        <v>381491493.68855262</v>
      </c>
      <c r="M39" s="43"/>
      <c r="N39" s="68">
        <v>150052921.46411586</v>
      </c>
      <c r="O39" s="68">
        <v>155124932.32007533</v>
      </c>
      <c r="P39" s="68">
        <v>163358273.32500213</v>
      </c>
      <c r="Q39" s="68">
        <v>172513997.54295337</v>
      </c>
      <c r="R39" s="68">
        <v>188828678.01106444</v>
      </c>
      <c r="S39" s="68">
        <v>222357515.91315216</v>
      </c>
      <c r="T39" s="68">
        <v>271042318.30322099</v>
      </c>
      <c r="U39" s="68">
        <v>327993850.42697024</v>
      </c>
      <c r="V39" s="68">
        <v>384041783.30001271</v>
      </c>
      <c r="W39" s="50"/>
      <c r="X39" s="46" t="s">
        <v>221</v>
      </c>
      <c r="Y39" s="50">
        <f t="shared" si="19"/>
        <v>3365316</v>
      </c>
      <c r="Z39" s="50">
        <f t="shared" si="20"/>
        <v>2776118.2379321158</v>
      </c>
      <c r="AA39" s="50">
        <f t="shared" si="21"/>
        <v>2183438.1247166395</v>
      </c>
      <c r="AB39" s="50">
        <f t="shared" si="22"/>
        <v>1572407.9106520414</v>
      </c>
      <c r="AC39" s="50">
        <f t="shared" si="23"/>
        <v>792472.81998190284</v>
      </c>
      <c r="AD39" s="50">
        <f t="shared" si="24"/>
        <v>66245.974581360817</v>
      </c>
      <c r="AE39" s="50">
        <f t="shared" si="25"/>
        <v>-681767.70708113909</v>
      </c>
      <c r="AF39" s="50">
        <f t="shared" si="26"/>
        <v>-1602221.8310205936</v>
      </c>
      <c r="AG39" s="50">
        <f t="shared" si="27"/>
        <v>-2550289.6114600897</v>
      </c>
      <c r="AI39" s="629">
        <v>152849164.7756159</v>
      </c>
      <c r="AJ39" s="629">
        <v>159605299.05108485</v>
      </c>
      <c r="AK39" s="629">
        <v>167293670.30049485</v>
      </c>
      <c r="AL39" s="629">
        <v>175928682.13601094</v>
      </c>
      <c r="AM39" s="629">
        <v>191517414.87646616</v>
      </c>
      <c r="AN39" s="629">
        <v>222626395.39816639</v>
      </c>
      <c r="AO39" s="629">
        <v>268369274.95346773</v>
      </c>
      <c r="AP39" s="629">
        <v>315834192.9409613</v>
      </c>
      <c r="AQ39" s="629">
        <v>370192962.44128299</v>
      </c>
      <c r="AR39" s="50"/>
      <c r="AS39" s="46" t="s">
        <v>221</v>
      </c>
      <c r="AT39" s="50">
        <f t="shared" si="10"/>
        <v>569072.68849995732</v>
      </c>
      <c r="AU39" s="50">
        <f t="shared" si="11"/>
        <v>-1704248.4930773973</v>
      </c>
      <c r="AV39" s="50">
        <f t="shared" si="12"/>
        <v>-1751958.8507760763</v>
      </c>
      <c r="AW39" s="50">
        <f t="shared" si="13"/>
        <v>-1842276.6824055314</v>
      </c>
      <c r="AX39" s="50">
        <f t="shared" si="14"/>
        <v>-1896264.0454198122</v>
      </c>
      <c r="AY39" s="50">
        <f t="shared" si="15"/>
        <v>-202633.5104328692</v>
      </c>
      <c r="AZ39" s="50">
        <f t="shared" si="16"/>
        <v>1991275.6426721215</v>
      </c>
      <c r="BA39" s="50">
        <f t="shared" si="17"/>
        <v>10557435.654988348</v>
      </c>
      <c r="BB39" s="50">
        <f t="shared" si="18"/>
        <v>11298531.24726963</v>
      </c>
    </row>
    <row r="40" spans="1:54">
      <c r="A40" s="46" t="s">
        <v>191</v>
      </c>
      <c r="B40" s="46" t="s">
        <v>114</v>
      </c>
      <c r="C40" s="46" t="s">
        <v>222</v>
      </c>
      <c r="D40" s="50">
        <f>lgh_bs!H40</f>
        <v>-4196895.6973556336</v>
      </c>
      <c r="E40" s="50">
        <f>lgh_bs!I40</f>
        <v>-4334704.6265079249</v>
      </c>
      <c r="F40" s="50">
        <f>lgh_bs!J40</f>
        <v>-4478646.1012967657</v>
      </c>
      <c r="G40" s="50">
        <f>lgh_bs!K40</f>
        <v>-4629028.8430579603</v>
      </c>
      <c r="H40" s="50">
        <f>lgh_bs!L40</f>
        <v>-4784461.0949854217</v>
      </c>
      <c r="I40" s="50">
        <f>lgh_bs!M40</f>
        <v>-3951666.4742077221</v>
      </c>
      <c r="J40" s="50">
        <f>lgh_bs!N40</f>
        <v>-975331.80578404618</v>
      </c>
      <c r="K40" s="50">
        <f>lgh_bs!O40</f>
        <v>-771958.81360219419</v>
      </c>
      <c r="L40" s="50">
        <f>lgh_bs!P40</f>
        <v>0</v>
      </c>
      <c r="M40" s="43"/>
      <c r="N40" s="68">
        <v>-4196895.6973556336</v>
      </c>
      <c r="O40" s="68">
        <v>-4334704.6265079249</v>
      </c>
      <c r="P40" s="68">
        <v>-4478646.1012967657</v>
      </c>
      <c r="Q40" s="68">
        <v>-4629028.8430579603</v>
      </c>
      <c r="R40" s="68">
        <v>-4784461.0949854217</v>
      </c>
      <c r="S40" s="68">
        <v>-3951666.4742077221</v>
      </c>
      <c r="T40" s="68">
        <v>-975331.80578404618</v>
      </c>
      <c r="U40" s="68">
        <v>-771958.81360219419</v>
      </c>
      <c r="V40" s="68">
        <v>0</v>
      </c>
      <c r="W40" s="50"/>
      <c r="X40" s="46" t="s">
        <v>222</v>
      </c>
      <c r="Y40" s="50">
        <f t="shared" si="19"/>
        <v>0</v>
      </c>
      <c r="Z40" s="50">
        <f t="shared" si="20"/>
        <v>0</v>
      </c>
      <c r="AA40" s="50">
        <f t="shared" si="21"/>
        <v>0</v>
      </c>
      <c r="AB40" s="50">
        <f t="shared" si="22"/>
        <v>0</v>
      </c>
      <c r="AC40" s="50">
        <f t="shared" si="23"/>
        <v>0</v>
      </c>
      <c r="AD40" s="50">
        <f t="shared" si="24"/>
        <v>0</v>
      </c>
      <c r="AE40" s="50">
        <f t="shared" si="25"/>
        <v>0</v>
      </c>
      <c r="AF40" s="50">
        <f t="shared" si="26"/>
        <v>0</v>
      </c>
      <c r="AG40" s="50">
        <f t="shared" si="27"/>
        <v>0</v>
      </c>
      <c r="AI40" s="629">
        <v>-4196895.6973556336</v>
      </c>
      <c r="AJ40" s="629">
        <v>-4334704.6265079249</v>
      </c>
      <c r="AK40" s="629">
        <v>-4478646.1012967657</v>
      </c>
      <c r="AL40" s="629">
        <v>-4629028.8430579603</v>
      </c>
      <c r="AM40" s="629">
        <v>-4784461.0949854217</v>
      </c>
      <c r="AN40" s="629">
        <v>-3951666.4742077221</v>
      </c>
      <c r="AO40" s="629">
        <v>-975331.80578404618</v>
      </c>
      <c r="AP40" s="629">
        <v>-771958.81360219419</v>
      </c>
      <c r="AQ40" s="629">
        <v>0</v>
      </c>
      <c r="AR40" s="50"/>
      <c r="AS40" s="46" t="s">
        <v>222</v>
      </c>
      <c r="AT40" s="50">
        <f t="shared" si="10"/>
        <v>0</v>
      </c>
      <c r="AU40" s="50">
        <f t="shared" si="11"/>
        <v>0</v>
      </c>
      <c r="AV40" s="50">
        <f t="shared" si="12"/>
        <v>0</v>
      </c>
      <c r="AW40" s="50">
        <f t="shared" si="13"/>
        <v>0</v>
      </c>
      <c r="AX40" s="50">
        <f t="shared" si="14"/>
        <v>0</v>
      </c>
      <c r="AY40" s="50">
        <f t="shared" si="15"/>
        <v>0</v>
      </c>
      <c r="AZ40" s="50">
        <f t="shared" si="16"/>
        <v>0</v>
      </c>
      <c r="BA40" s="50">
        <f t="shared" si="17"/>
        <v>0</v>
      </c>
      <c r="BB40" s="50">
        <f t="shared" si="18"/>
        <v>0</v>
      </c>
    </row>
    <row r="41" spans="1:54">
      <c r="A41" s="46" t="s">
        <v>191</v>
      </c>
      <c r="B41" s="46" t="s">
        <v>115</v>
      </c>
      <c r="C41" s="46" t="s">
        <v>223</v>
      </c>
      <c r="D41" s="50">
        <f>lgh_bs!H41</f>
        <v>-7753407.414941581</v>
      </c>
      <c r="E41" s="50">
        <f>lgh_bs!I41</f>
        <v>-6038275.3593691019</v>
      </c>
      <c r="F41" s="50">
        <f>lgh_bs!J41</f>
        <v>-4849926.1457863338</v>
      </c>
      <c r="G41" s="50">
        <f>lgh_bs!K41</f>
        <v>-3974250.1732844282</v>
      </c>
      <c r="H41" s="50">
        <f>lgh_bs!L41</f>
        <v>-3116853.7677923306</v>
      </c>
      <c r="I41" s="50">
        <f>lgh_bs!M41</f>
        <v>0</v>
      </c>
      <c r="J41" s="50">
        <f>lgh_bs!N41</f>
        <v>0</v>
      </c>
      <c r="K41" s="50">
        <f>lgh_bs!O41</f>
        <v>0</v>
      </c>
      <c r="L41" s="50">
        <f>lgh_bs!P41</f>
        <v>0</v>
      </c>
      <c r="M41" s="43"/>
      <c r="N41" s="68">
        <v>-7753407.414941581</v>
      </c>
      <c r="O41" s="68">
        <v>-6038275.3593691019</v>
      </c>
      <c r="P41" s="68">
        <v>-4849926.1457863338</v>
      </c>
      <c r="Q41" s="68">
        <v>-3974250.1732844282</v>
      </c>
      <c r="R41" s="68">
        <v>-3116853.7677923306</v>
      </c>
      <c r="S41" s="68">
        <v>0</v>
      </c>
      <c r="T41" s="68">
        <v>0</v>
      </c>
      <c r="U41" s="68">
        <v>0</v>
      </c>
      <c r="V41" s="68">
        <v>0</v>
      </c>
      <c r="W41" s="50"/>
      <c r="X41" s="46" t="s">
        <v>223</v>
      </c>
      <c r="Y41" s="50">
        <f t="shared" si="19"/>
        <v>0</v>
      </c>
      <c r="Z41" s="50">
        <f t="shared" si="20"/>
        <v>0</v>
      </c>
      <c r="AA41" s="50">
        <f t="shared" si="21"/>
        <v>0</v>
      </c>
      <c r="AB41" s="50">
        <f t="shared" si="22"/>
        <v>0</v>
      </c>
      <c r="AC41" s="50">
        <f t="shared" si="23"/>
        <v>0</v>
      </c>
      <c r="AD41" s="50">
        <f t="shared" si="24"/>
        <v>0</v>
      </c>
      <c r="AE41" s="50">
        <f t="shared" si="25"/>
        <v>0</v>
      </c>
      <c r="AF41" s="50">
        <f t="shared" si="26"/>
        <v>0</v>
      </c>
      <c r="AG41" s="50">
        <f t="shared" si="27"/>
        <v>0</v>
      </c>
      <c r="AI41" s="629">
        <v>-7402355.7264415808</v>
      </c>
      <c r="AJ41" s="629">
        <v>-6038275.3593691019</v>
      </c>
      <c r="AK41" s="629">
        <v>-4849926.1457863338</v>
      </c>
      <c r="AL41" s="629">
        <v>-3974250.1732844282</v>
      </c>
      <c r="AM41" s="629">
        <v>-3116853.7677923306</v>
      </c>
      <c r="AN41" s="629">
        <v>0</v>
      </c>
      <c r="AO41" s="629">
        <v>0</v>
      </c>
      <c r="AP41" s="629">
        <v>0</v>
      </c>
      <c r="AQ41" s="629">
        <v>0</v>
      </c>
      <c r="AR41" s="50"/>
      <c r="AS41" s="46" t="s">
        <v>223</v>
      </c>
      <c r="AT41" s="50">
        <f t="shared" si="10"/>
        <v>-351051.68850000016</v>
      </c>
      <c r="AU41" s="50">
        <f t="shared" si="11"/>
        <v>0</v>
      </c>
      <c r="AV41" s="50">
        <f t="shared" si="12"/>
        <v>0</v>
      </c>
      <c r="AW41" s="50">
        <f t="shared" si="13"/>
        <v>0</v>
      </c>
      <c r="AX41" s="50">
        <f t="shared" si="14"/>
        <v>0</v>
      </c>
      <c r="AY41" s="50">
        <f t="shared" si="15"/>
        <v>0</v>
      </c>
      <c r="AZ41" s="50">
        <f t="shared" si="16"/>
        <v>0</v>
      </c>
      <c r="BA41" s="50">
        <f t="shared" si="17"/>
        <v>0</v>
      </c>
      <c r="BB41" s="50">
        <f t="shared" si="18"/>
        <v>0</v>
      </c>
    </row>
    <row r="42" spans="1:54">
      <c r="A42" s="46" t="s">
        <v>204</v>
      </c>
      <c r="B42" s="46" t="s">
        <v>121</v>
      </c>
      <c r="C42" s="46" t="s">
        <v>224</v>
      </c>
      <c r="D42" s="50">
        <f>lgh_bs!H42</f>
        <v>10000000</v>
      </c>
      <c r="E42" s="50">
        <f>lgh_bs!I42</f>
        <v>10000000</v>
      </c>
      <c r="F42" s="50">
        <f>lgh_bs!J42</f>
        <v>12000000</v>
      </c>
      <c r="G42" s="50">
        <f>lgh_bs!K42</f>
        <v>17500000</v>
      </c>
      <c r="H42" s="50">
        <f>lgh_bs!L42</f>
        <v>20000000</v>
      </c>
      <c r="I42" s="50">
        <f>lgh_bs!M42</f>
        <v>27500000.000000004</v>
      </c>
      <c r="J42" s="50">
        <f>lgh_bs!N42</f>
        <v>42000000</v>
      </c>
      <c r="K42" s="50">
        <f>lgh_bs!O42</f>
        <v>51000000</v>
      </c>
      <c r="L42" s="50">
        <f>lgh_bs!P42</f>
        <v>70000000</v>
      </c>
      <c r="M42" s="43"/>
      <c r="N42" s="68">
        <v>10000000</v>
      </c>
      <c r="O42" s="68">
        <v>10300000</v>
      </c>
      <c r="P42" s="68">
        <v>12730800</v>
      </c>
      <c r="Q42" s="68">
        <v>18798178</v>
      </c>
      <c r="R42" s="68">
        <v>22128140.960000001</v>
      </c>
      <c r="S42" s="68">
        <v>31338979.634600002</v>
      </c>
      <c r="T42" s="68">
        <v>48082553.302812003</v>
      </c>
      <c r="U42" s="68">
        <v>60137536.309445582</v>
      </c>
      <c r="V42" s="68">
        <v>82872543.998504654</v>
      </c>
      <c r="W42" s="50"/>
      <c r="X42" s="46" t="s">
        <v>224</v>
      </c>
      <c r="Y42" s="50">
        <f t="shared" si="19"/>
        <v>0</v>
      </c>
      <c r="Z42" s="50">
        <f t="shared" si="20"/>
        <v>-300000</v>
      </c>
      <c r="AA42" s="50">
        <f t="shared" si="21"/>
        <v>-730800</v>
      </c>
      <c r="AB42" s="50">
        <f t="shared" si="22"/>
        <v>-1298178</v>
      </c>
      <c r="AC42" s="50">
        <f t="shared" si="23"/>
        <v>-2128140.9600000009</v>
      </c>
      <c r="AD42" s="50">
        <f t="shared" si="24"/>
        <v>-3838979.6345999986</v>
      </c>
      <c r="AE42" s="50">
        <f t="shared" si="25"/>
        <v>-6082553.3028120026</v>
      </c>
      <c r="AF42" s="50">
        <f t="shared" si="26"/>
        <v>-9137536.3094455823</v>
      </c>
      <c r="AG42" s="50">
        <f t="shared" si="27"/>
        <v>-12872543.998504654</v>
      </c>
      <c r="AI42" s="629">
        <v>10000000</v>
      </c>
      <c r="AJ42" s="629">
        <v>10300000</v>
      </c>
      <c r="AK42" s="629">
        <v>12730800</v>
      </c>
      <c r="AL42" s="629">
        <v>18798178</v>
      </c>
      <c r="AM42" s="629">
        <v>22128140.960000001</v>
      </c>
      <c r="AN42" s="629">
        <v>31338979.634600002</v>
      </c>
      <c r="AO42" s="629">
        <v>48082553.302812003</v>
      </c>
      <c r="AP42" s="629">
        <v>60137536.309445582</v>
      </c>
      <c r="AQ42" s="629">
        <v>82872543.998504654</v>
      </c>
      <c r="AR42" s="50"/>
      <c r="AS42" s="46" t="s">
        <v>224</v>
      </c>
      <c r="AT42" s="50">
        <f t="shared" si="10"/>
        <v>0</v>
      </c>
      <c r="AU42" s="50">
        <f t="shared" si="11"/>
        <v>-300000</v>
      </c>
      <c r="AV42" s="50">
        <f t="shared" si="12"/>
        <v>-730800</v>
      </c>
      <c r="AW42" s="50">
        <f t="shared" si="13"/>
        <v>-1298178</v>
      </c>
      <c r="AX42" s="50">
        <f t="shared" si="14"/>
        <v>-2128140.9600000009</v>
      </c>
      <c r="AY42" s="50">
        <f t="shared" si="15"/>
        <v>-3838979.6345999986</v>
      </c>
      <c r="AZ42" s="50">
        <f t="shared" si="16"/>
        <v>-6082553.3028120026</v>
      </c>
      <c r="BA42" s="50">
        <f t="shared" si="17"/>
        <v>-9137536.3094455823</v>
      </c>
      <c r="BB42" s="50">
        <f t="shared" si="18"/>
        <v>-12872543.998504654</v>
      </c>
    </row>
    <row r="43" spans="1:54">
      <c r="A43" s="46" t="s">
        <v>204</v>
      </c>
      <c r="B43" s="46" t="s">
        <v>122</v>
      </c>
      <c r="C43" s="46" t="s">
        <v>225</v>
      </c>
      <c r="D43" s="50">
        <f>lgh_bs!H43</f>
        <v>0</v>
      </c>
      <c r="E43" s="50">
        <f>lgh_bs!I43</f>
        <v>0</v>
      </c>
      <c r="F43" s="50">
        <f>lgh_bs!J43</f>
        <v>0</v>
      </c>
      <c r="G43" s="50">
        <f>lgh_bs!K43</f>
        <v>0</v>
      </c>
      <c r="H43" s="50">
        <f>lgh_bs!L43</f>
        <v>0</v>
      </c>
      <c r="I43" s="50">
        <f>lgh_bs!M43</f>
        <v>0</v>
      </c>
      <c r="J43" s="50">
        <f>lgh_bs!N43</f>
        <v>25000000</v>
      </c>
      <c r="K43" s="50">
        <f>lgh_bs!O43</f>
        <v>50000000</v>
      </c>
      <c r="L43" s="50">
        <f>lgh_bs!P43</f>
        <v>100000000</v>
      </c>
      <c r="M43" s="43"/>
      <c r="N43" s="68">
        <v>0</v>
      </c>
      <c r="O43" s="68">
        <v>0</v>
      </c>
      <c r="P43" s="68">
        <v>0</v>
      </c>
      <c r="Q43" s="68">
        <v>0</v>
      </c>
      <c r="R43" s="68">
        <v>0</v>
      </c>
      <c r="S43" s="68">
        <v>0</v>
      </c>
      <c r="T43" s="68">
        <v>25000000</v>
      </c>
      <c r="U43" s="68">
        <v>50000000</v>
      </c>
      <c r="V43" s="68">
        <v>100000000</v>
      </c>
      <c r="W43" s="50"/>
      <c r="X43" s="46" t="s">
        <v>225</v>
      </c>
      <c r="Y43" s="50">
        <f t="shared" si="19"/>
        <v>0</v>
      </c>
      <c r="Z43" s="50">
        <f t="shared" si="20"/>
        <v>0</v>
      </c>
      <c r="AA43" s="50">
        <f t="shared" si="21"/>
        <v>0</v>
      </c>
      <c r="AB43" s="50">
        <f t="shared" si="22"/>
        <v>0</v>
      </c>
      <c r="AC43" s="50">
        <f t="shared" si="23"/>
        <v>0</v>
      </c>
      <c r="AD43" s="50">
        <f t="shared" si="24"/>
        <v>0</v>
      </c>
      <c r="AE43" s="50">
        <f t="shared" si="25"/>
        <v>0</v>
      </c>
      <c r="AF43" s="50">
        <f t="shared" si="26"/>
        <v>0</v>
      </c>
      <c r="AG43" s="50">
        <f t="shared" si="27"/>
        <v>0</v>
      </c>
      <c r="AI43" s="629">
        <v>0</v>
      </c>
      <c r="AJ43" s="629">
        <v>0</v>
      </c>
      <c r="AK43" s="629">
        <v>0</v>
      </c>
      <c r="AL43" s="629">
        <v>0</v>
      </c>
      <c r="AM43" s="629">
        <v>0</v>
      </c>
      <c r="AN43" s="629">
        <v>0</v>
      </c>
      <c r="AO43" s="629">
        <v>25000000</v>
      </c>
      <c r="AP43" s="629">
        <v>50000000</v>
      </c>
      <c r="AQ43" s="629">
        <v>100000000</v>
      </c>
      <c r="AR43" s="50"/>
      <c r="AS43" s="46" t="s">
        <v>225</v>
      </c>
      <c r="AT43" s="50">
        <f t="shared" si="10"/>
        <v>0</v>
      </c>
      <c r="AU43" s="50">
        <f t="shared" si="11"/>
        <v>0</v>
      </c>
      <c r="AV43" s="50">
        <f t="shared" si="12"/>
        <v>0</v>
      </c>
      <c r="AW43" s="50">
        <f t="shared" si="13"/>
        <v>0</v>
      </c>
      <c r="AX43" s="50">
        <f t="shared" si="14"/>
        <v>0</v>
      </c>
      <c r="AY43" s="50">
        <f t="shared" si="15"/>
        <v>0</v>
      </c>
      <c r="AZ43" s="50">
        <f t="shared" si="16"/>
        <v>0</v>
      </c>
      <c r="BA43" s="50">
        <f t="shared" si="17"/>
        <v>0</v>
      </c>
      <c r="BB43" s="50">
        <f t="shared" si="18"/>
        <v>0</v>
      </c>
    </row>
    <row r="44" spans="1:54">
      <c r="A44" s="43"/>
      <c r="B44" s="43"/>
      <c r="C44" s="46" t="s">
        <v>226</v>
      </c>
      <c r="D44" s="50">
        <f>lgh_bs!H44</f>
        <v>151467934.35181865</v>
      </c>
      <c r="E44" s="50">
        <f>lgh_bs!I44</f>
        <v>157528070.57213041</v>
      </c>
      <c r="F44" s="50">
        <f>lgh_bs!J44</f>
        <v>168213139.20263568</v>
      </c>
      <c r="G44" s="50">
        <f>lgh_bs!K44</f>
        <v>182983126.43726301</v>
      </c>
      <c r="H44" s="50">
        <f>lgh_bs!L44</f>
        <v>201719835.96826857</v>
      </c>
      <c r="I44" s="50">
        <f>lgh_bs!M44</f>
        <v>245972095.41352579</v>
      </c>
      <c r="J44" s="50">
        <f>lgh_bs!N44</f>
        <v>336385218.7903558</v>
      </c>
      <c r="K44" s="50">
        <f>lgh_bs!O44</f>
        <v>426619669.78234744</v>
      </c>
      <c r="L44" s="50">
        <f>lgh_bs!P44</f>
        <v>551491493.68855262</v>
      </c>
      <c r="M44" s="43"/>
      <c r="N44" s="68">
        <v>148102618.35181865</v>
      </c>
      <c r="O44" s="68">
        <v>155051952.3341983</v>
      </c>
      <c r="P44" s="68">
        <v>166760501.07791904</v>
      </c>
      <c r="Q44" s="68">
        <v>182708896.52661097</v>
      </c>
      <c r="R44" s="68">
        <v>203055504.10828668</v>
      </c>
      <c r="S44" s="68">
        <v>249744829.07354444</v>
      </c>
      <c r="T44" s="68">
        <v>343149539.80024892</v>
      </c>
      <c r="U44" s="68">
        <v>437359427.92281359</v>
      </c>
      <c r="V44" s="68">
        <v>566914327.29851735</v>
      </c>
      <c r="W44" s="50"/>
      <c r="X44" s="46" t="s">
        <v>226</v>
      </c>
      <c r="Y44" s="50">
        <f t="shared" si="19"/>
        <v>3365316</v>
      </c>
      <c r="Z44" s="50">
        <f t="shared" si="20"/>
        <v>2476118.2379321158</v>
      </c>
      <c r="AA44" s="50">
        <f t="shared" si="21"/>
        <v>1452638.1247166395</v>
      </c>
      <c r="AB44" s="50">
        <f t="shared" si="22"/>
        <v>274229.91065204144</v>
      </c>
      <c r="AC44" s="50">
        <f t="shared" si="23"/>
        <v>-1335668.1400181055</v>
      </c>
      <c r="AD44" s="50">
        <f t="shared" si="24"/>
        <v>-3772733.6600186527</v>
      </c>
      <c r="AE44" s="50">
        <f t="shared" si="25"/>
        <v>-6764321.0098931193</v>
      </c>
      <c r="AF44" s="50">
        <f t="shared" si="26"/>
        <v>-10739758.140466154</v>
      </c>
      <c r="AG44" s="50">
        <f t="shared" si="27"/>
        <v>-15422833.609964728</v>
      </c>
      <c r="AI44" s="629">
        <v>151249913.35181868</v>
      </c>
      <c r="AJ44" s="629">
        <v>159532319.06520781</v>
      </c>
      <c r="AK44" s="629">
        <v>170695898.05341175</v>
      </c>
      <c r="AL44" s="629">
        <v>186123581.11966854</v>
      </c>
      <c r="AM44" s="629">
        <v>205744240.97368839</v>
      </c>
      <c r="AN44" s="629">
        <v>250013708.55855867</v>
      </c>
      <c r="AO44" s="629">
        <v>340476496.45049566</v>
      </c>
      <c r="AP44" s="629">
        <v>425199770.43680465</v>
      </c>
      <c r="AQ44" s="629">
        <v>553065506.43978763</v>
      </c>
      <c r="AR44" s="50"/>
      <c r="AS44" s="46" t="s">
        <v>226</v>
      </c>
      <c r="AT44" s="50">
        <f t="shared" si="10"/>
        <v>218020.9999999702</v>
      </c>
      <c r="AU44" s="50">
        <f t="shared" si="11"/>
        <v>-2004248.4930773973</v>
      </c>
      <c r="AV44" s="50">
        <f t="shared" si="12"/>
        <v>-2482758.8507760763</v>
      </c>
      <c r="AW44" s="50">
        <f t="shared" si="13"/>
        <v>-3140454.6824055314</v>
      </c>
      <c r="AX44" s="50">
        <f t="shared" si="14"/>
        <v>-4024405.0054198205</v>
      </c>
      <c r="AY44" s="50">
        <f t="shared" si="15"/>
        <v>-4041613.1450328827</v>
      </c>
      <c r="AZ44" s="50">
        <f t="shared" si="16"/>
        <v>-4091277.6601398587</v>
      </c>
      <c r="BA44" s="50">
        <f t="shared" si="17"/>
        <v>1419899.3455427885</v>
      </c>
      <c r="BB44" s="50">
        <f t="shared" si="18"/>
        <v>-1574012.7512350082</v>
      </c>
    </row>
    <row r="45" spans="1:54">
      <c r="A45" s="43"/>
      <c r="B45" s="43"/>
      <c r="C45" s="46" t="s">
        <v>227</v>
      </c>
      <c r="D45" s="50">
        <f>lgh_bs!H45</f>
        <v>-682606.08930401201</v>
      </c>
      <c r="E45" s="50">
        <f>lgh_bs!I45</f>
        <v>-130542.99505696306</v>
      </c>
      <c r="F45" s="50">
        <f>lgh_bs!J45</f>
        <v>934999.71352091525</v>
      </c>
      <c r="G45" s="50">
        <f>lgh_bs!K45</f>
        <v>3113852.3442801591</v>
      </c>
      <c r="H45" s="50">
        <f>lgh_bs!L45</f>
        <v>4234539.7980277799</v>
      </c>
      <c r="I45" s="50">
        <f>lgh_bs!M45</f>
        <v>8241916.7340272963</v>
      </c>
      <c r="J45" s="50">
        <f>lgh_bs!N45</f>
        <v>23108633.867975585</v>
      </c>
      <c r="K45" s="50">
        <f>lgh_bs!O45</f>
        <v>35079814.415239222</v>
      </c>
      <c r="L45" s="50">
        <f>lgh_bs!P45</f>
        <v>59500000.000000015</v>
      </c>
      <c r="M45" s="43"/>
      <c r="N45" s="68">
        <v>-18522.512440539896</v>
      </c>
      <c r="O45" s="68">
        <v>-25542.99505696306</v>
      </c>
      <c r="P45" s="68">
        <v>1190779.7135209162</v>
      </c>
      <c r="Q45" s="68">
        <v>3568214.6442801589</v>
      </c>
      <c r="R45" s="68">
        <v>4979389.134027781</v>
      </c>
      <c r="S45" s="68">
        <v>9585559.6061373018</v>
      </c>
      <c r="T45" s="68">
        <v>25237527.523959778</v>
      </c>
      <c r="U45" s="68">
        <v>38277952.123545177</v>
      </c>
      <c r="V45" s="68">
        <v>64005390.399476618</v>
      </c>
      <c r="W45" s="50"/>
      <c r="X45" s="46" t="s">
        <v>227</v>
      </c>
      <c r="Y45" s="50">
        <f t="shared" si="19"/>
        <v>-664083.57686347212</v>
      </c>
      <c r="Z45" s="50">
        <f t="shared" si="20"/>
        <v>-105000</v>
      </c>
      <c r="AA45" s="50">
        <f t="shared" si="21"/>
        <v>-255780.00000000093</v>
      </c>
      <c r="AB45" s="50">
        <f t="shared" si="22"/>
        <v>-454362.29999999981</v>
      </c>
      <c r="AC45" s="50">
        <f t="shared" si="23"/>
        <v>-744849.33600000106</v>
      </c>
      <c r="AD45" s="50">
        <f t="shared" si="24"/>
        <v>-1343642.8721100055</v>
      </c>
      <c r="AE45" s="50">
        <f t="shared" si="25"/>
        <v>-2128893.6559841931</v>
      </c>
      <c r="AF45" s="50">
        <f t="shared" si="26"/>
        <v>-3198137.7083059549</v>
      </c>
      <c r="AG45" s="50">
        <f t="shared" si="27"/>
        <v>-4505390.3994766027</v>
      </c>
      <c r="AI45" s="629">
        <v>-479775.42713916599</v>
      </c>
      <c r="AJ45" s="629">
        <v>-21893.995763110928</v>
      </c>
      <c r="AK45" s="629">
        <v>1020668.3258750709</v>
      </c>
      <c r="AL45" s="629">
        <v>3058469.6950972788</v>
      </c>
      <c r="AM45" s="629">
        <v>4268047.8291666713</v>
      </c>
      <c r="AN45" s="629">
        <v>8216193.9481176846</v>
      </c>
      <c r="AO45" s="629">
        <v>21632166.449108377</v>
      </c>
      <c r="AP45" s="629">
        <v>32809673.248753004</v>
      </c>
      <c r="AQ45" s="629">
        <v>54861763.199551366</v>
      </c>
      <c r="AR45" s="50"/>
      <c r="AS45" s="46" t="s">
        <v>227</v>
      </c>
      <c r="AT45" s="50">
        <f t="shared" si="10"/>
        <v>-202830.66216484603</v>
      </c>
      <c r="AU45" s="50">
        <f t="shared" si="11"/>
        <v>-108648.99929385213</v>
      </c>
      <c r="AV45" s="50">
        <f t="shared" si="12"/>
        <v>-85668.61235415563</v>
      </c>
      <c r="AW45" s="50">
        <f t="shared" si="13"/>
        <v>55382.649182880297</v>
      </c>
      <c r="AX45" s="50">
        <f t="shared" si="14"/>
        <v>-33508.031138891354</v>
      </c>
      <c r="AY45" s="50">
        <f t="shared" si="15"/>
        <v>25722.785909611732</v>
      </c>
      <c r="AZ45" s="50">
        <f t="shared" si="16"/>
        <v>1476467.4188672081</v>
      </c>
      <c r="BA45" s="50">
        <f t="shared" si="17"/>
        <v>2270141.1664862186</v>
      </c>
      <c r="BB45" s="50">
        <f t="shared" si="18"/>
        <v>4638236.8004486486</v>
      </c>
    </row>
    <row r="46" spans="1:54">
      <c r="A46" s="43"/>
      <c r="B46" s="43"/>
      <c r="C46" s="46" t="s">
        <v>228</v>
      </c>
      <c r="D46" s="50">
        <f>lgh_bs!H46</f>
        <v>9006828.7425699625</v>
      </c>
      <c r="E46" s="50">
        <f>lgh_bs!I46</f>
        <v>9012792.5675587952</v>
      </c>
      <c r="F46" s="50">
        <f>lgh_bs!J46</f>
        <v>8903722.2915154323</v>
      </c>
      <c r="G46" s="50">
        <f>lgh_bs!K46</f>
        <v>8612217.8910127003</v>
      </c>
      <c r="H46" s="50">
        <f>lgh_bs!L46</f>
        <v>8707493.5341523308</v>
      </c>
      <c r="I46" s="50">
        <f>lgh_bs!M46</f>
        <v>7181361.1784096779</v>
      </c>
      <c r="J46" s="50">
        <f>lgh_bs!N46</f>
        <v>5259464.856822568</v>
      </c>
      <c r="K46" s="50">
        <f>lgh_bs!O46</f>
        <v>2891749.4049148099</v>
      </c>
      <c r="L46" s="50">
        <f>lgh_bs!P46</f>
        <v>0</v>
      </c>
      <c r="M46" s="43"/>
      <c r="N46" s="68">
        <v>9006828.7425699625</v>
      </c>
      <c r="O46" s="68">
        <v>9012792.5675587952</v>
      </c>
      <c r="P46" s="68">
        <v>8903722.2915154323</v>
      </c>
      <c r="Q46" s="68">
        <v>8612217.8910127003</v>
      </c>
      <c r="R46" s="68">
        <v>8707493.5341523308</v>
      </c>
      <c r="S46" s="68">
        <v>7181361.1784096779</v>
      </c>
      <c r="T46" s="68">
        <v>5259464.856822568</v>
      </c>
      <c r="U46" s="68">
        <v>2891749.4049148099</v>
      </c>
      <c r="V46" s="68">
        <v>0</v>
      </c>
      <c r="W46" s="50"/>
      <c r="X46" s="46" t="s">
        <v>228</v>
      </c>
      <c r="Y46" s="50">
        <f t="shared" si="19"/>
        <v>0</v>
      </c>
      <c r="Z46" s="50">
        <f t="shared" si="20"/>
        <v>0</v>
      </c>
      <c r="AA46" s="50">
        <f t="shared" si="21"/>
        <v>0</v>
      </c>
      <c r="AB46" s="50">
        <f t="shared" si="22"/>
        <v>0</v>
      </c>
      <c r="AC46" s="50">
        <f t="shared" si="23"/>
        <v>0</v>
      </c>
      <c r="AD46" s="50">
        <f t="shared" si="24"/>
        <v>0</v>
      </c>
      <c r="AE46" s="50">
        <f t="shared" si="25"/>
        <v>0</v>
      </c>
      <c r="AF46" s="50">
        <f t="shared" si="26"/>
        <v>0</v>
      </c>
      <c r="AG46" s="50">
        <f t="shared" si="27"/>
        <v>0</v>
      </c>
      <c r="AI46" s="629">
        <v>9006828.7425699625</v>
      </c>
      <c r="AJ46" s="629">
        <v>9012792.5675587952</v>
      </c>
      <c r="AK46" s="629">
        <v>8903722.2915154323</v>
      </c>
      <c r="AL46" s="629">
        <v>8612217.8910127003</v>
      </c>
      <c r="AM46" s="629">
        <v>8707493.5341523308</v>
      </c>
      <c r="AN46" s="629">
        <v>7181361.1784096779</v>
      </c>
      <c r="AO46" s="629">
        <v>5259464.856822568</v>
      </c>
      <c r="AP46" s="629">
        <v>2891749.4049148099</v>
      </c>
      <c r="AQ46" s="629">
        <v>0</v>
      </c>
      <c r="AR46" s="50"/>
      <c r="AS46" s="46" t="s">
        <v>228</v>
      </c>
      <c r="AT46" s="50">
        <f t="shared" si="10"/>
        <v>0</v>
      </c>
      <c r="AU46" s="50">
        <f t="shared" si="11"/>
        <v>0</v>
      </c>
      <c r="AV46" s="50">
        <f t="shared" si="12"/>
        <v>0</v>
      </c>
      <c r="AW46" s="50">
        <f t="shared" si="13"/>
        <v>0</v>
      </c>
      <c r="AX46" s="50">
        <f t="shared" si="14"/>
        <v>0</v>
      </c>
      <c r="AY46" s="50">
        <f t="shared" si="15"/>
        <v>0</v>
      </c>
      <c r="AZ46" s="50">
        <f t="shared" si="16"/>
        <v>0</v>
      </c>
      <c r="BA46" s="50">
        <f t="shared" si="17"/>
        <v>0</v>
      </c>
      <c r="BB46" s="50">
        <f t="shared" si="18"/>
        <v>0</v>
      </c>
    </row>
    <row r="47" spans="1:54">
      <c r="A47" s="43"/>
      <c r="B47" s="43"/>
      <c r="C47" s="46" t="s">
        <v>229</v>
      </c>
      <c r="D47" s="50">
        <f>lgh_bs!H47</f>
        <v>14953045.608010937</v>
      </c>
      <c r="E47" s="50">
        <f>lgh_bs!I47</f>
        <v>15808404.77599936</v>
      </c>
      <c r="F47" s="50">
        <f>lgh_bs!J47</f>
        <v>16573356.36881949</v>
      </c>
      <c r="G47" s="50">
        <f>lgh_bs!K47</f>
        <v>17428816.044503361</v>
      </c>
      <c r="H47" s="50">
        <f>lgh_bs!L47</f>
        <v>18984090.959716503</v>
      </c>
      <c r="I47" s="50">
        <f>lgh_bs!M47</f>
        <v>22268153.677863412</v>
      </c>
      <c r="J47" s="50">
        <f>lgh_bs!N47</f>
        <v>27067388.115418028</v>
      </c>
      <c r="K47" s="50">
        <f>lgh_bs!O47</f>
        <v>32676989.558387451</v>
      </c>
      <c r="L47" s="50">
        <f>lgh_bs!P47</f>
        <v>38193361.78902588</v>
      </c>
      <c r="M47" s="43"/>
      <c r="N47" s="68">
        <v>14625042.076845752</v>
      </c>
      <c r="O47" s="68">
        <v>15530471.217887007</v>
      </c>
      <c r="P47" s="68">
        <v>16354759.509856924</v>
      </c>
      <c r="Q47" s="68">
        <v>17271393.02143462</v>
      </c>
      <c r="R47" s="68">
        <v>18904751.835195288</v>
      </c>
      <c r="S47" s="68">
        <v>22261521.402921215</v>
      </c>
      <c r="T47" s="68">
        <v>27135643.898635797</v>
      </c>
      <c r="U47" s="68">
        <v>32837397.428735401</v>
      </c>
      <c r="V47" s="68">
        <v>38448686.312399931</v>
      </c>
      <c r="W47" s="50"/>
      <c r="X47" s="46" t="s">
        <v>229</v>
      </c>
      <c r="Y47" s="50">
        <f t="shared" si="19"/>
        <v>328003.53116518445</v>
      </c>
      <c r="Z47" s="50">
        <f t="shared" si="20"/>
        <v>277933.55811235309</v>
      </c>
      <c r="AA47" s="50">
        <f t="shared" si="21"/>
        <v>218596.85896256566</v>
      </c>
      <c r="AB47" s="50">
        <f t="shared" si="22"/>
        <v>157423.02306874096</v>
      </c>
      <c r="AC47" s="50">
        <f t="shared" si="23"/>
        <v>79339.124521214515</v>
      </c>
      <c r="AD47" s="50">
        <f t="shared" si="24"/>
        <v>6632.2749421969056</v>
      </c>
      <c r="AE47" s="50">
        <f t="shared" si="25"/>
        <v>-68255.783217769116</v>
      </c>
      <c r="AF47" s="50">
        <f t="shared" si="26"/>
        <v>-160407.87034795061</v>
      </c>
      <c r="AG47" s="50">
        <f t="shared" si="27"/>
        <v>-255324.52337405086</v>
      </c>
      <c r="AI47" s="629">
        <v>14897580.429906519</v>
      </c>
      <c r="AJ47" s="629">
        <v>15979027.136789519</v>
      </c>
      <c r="AK47" s="629">
        <v>16748755.294704335</v>
      </c>
      <c r="AL47" s="629">
        <v>17613257.220809232</v>
      </c>
      <c r="AM47" s="629">
        <v>19173937.129113317</v>
      </c>
      <c r="AN47" s="629">
        <v>22288440.512832429</v>
      </c>
      <c r="AO47" s="629">
        <v>26868029.775060546</v>
      </c>
      <c r="AP47" s="629">
        <v>31620022.453730274</v>
      </c>
      <c r="AQ47" s="629">
        <v>37062199.236909099</v>
      </c>
      <c r="AR47" s="50"/>
      <c r="AS47" s="46" t="s">
        <v>229</v>
      </c>
      <c r="AT47" s="50">
        <f t="shared" si="10"/>
        <v>55465.178104417399</v>
      </c>
      <c r="AU47" s="50">
        <f t="shared" si="11"/>
        <v>-170622.36079015955</v>
      </c>
      <c r="AV47" s="50">
        <f t="shared" si="12"/>
        <v>-175398.92588484474</v>
      </c>
      <c r="AW47" s="50">
        <f t="shared" si="13"/>
        <v>-184441.17630587146</v>
      </c>
      <c r="AX47" s="50">
        <f t="shared" si="14"/>
        <v>-189846.16939681396</v>
      </c>
      <c r="AY47" s="50">
        <f t="shared" si="15"/>
        <v>-20286.834969017655</v>
      </c>
      <c r="AZ47" s="50">
        <f t="shared" si="16"/>
        <v>199358.34035748243</v>
      </c>
      <c r="BA47" s="50">
        <f t="shared" si="17"/>
        <v>1056967.1046571769</v>
      </c>
      <c r="BB47" s="50">
        <f t="shared" si="18"/>
        <v>1131162.5521167815</v>
      </c>
    </row>
    <row r="48" spans="1:54">
      <c r="A48" s="43"/>
      <c r="B48" s="43"/>
      <c r="C48" s="46" t="s">
        <v>220</v>
      </c>
      <c r="D48" s="50">
        <f>lgh_bs!H48</f>
        <v>0</v>
      </c>
      <c r="E48" s="50">
        <f>lgh_bs!I48</f>
        <v>0</v>
      </c>
      <c r="F48" s="50">
        <f>lgh_bs!J48</f>
        <v>0</v>
      </c>
      <c r="G48" s="50">
        <f>lgh_bs!K48</f>
        <v>0</v>
      </c>
      <c r="H48" s="50">
        <f>lgh_bs!L48</f>
        <v>0</v>
      </c>
      <c r="I48" s="50">
        <f>lgh_bs!M48</f>
        <v>0</v>
      </c>
      <c r="J48" s="50">
        <f>lgh_bs!N48</f>
        <v>0</v>
      </c>
      <c r="K48" s="50">
        <f>lgh_bs!O48</f>
        <v>0</v>
      </c>
      <c r="L48" s="50">
        <f>lgh_bs!P48</f>
        <v>0</v>
      </c>
      <c r="M48" s="43"/>
      <c r="N48" s="68">
        <v>0</v>
      </c>
      <c r="O48" s="68">
        <v>0</v>
      </c>
      <c r="P48" s="68">
        <v>0</v>
      </c>
      <c r="Q48" s="68">
        <v>0</v>
      </c>
      <c r="R48" s="68">
        <v>0</v>
      </c>
      <c r="S48" s="68">
        <v>0</v>
      </c>
      <c r="T48" s="68">
        <v>0</v>
      </c>
      <c r="U48" s="68">
        <v>0</v>
      </c>
      <c r="V48" s="68">
        <v>0</v>
      </c>
      <c r="W48" s="50"/>
      <c r="X48" s="46" t="s">
        <v>220</v>
      </c>
      <c r="Y48" s="50">
        <f t="shared" si="19"/>
        <v>0</v>
      </c>
      <c r="Z48" s="50">
        <f t="shared" si="20"/>
        <v>0</v>
      </c>
      <c r="AA48" s="50">
        <f t="shared" si="21"/>
        <v>0</v>
      </c>
      <c r="AB48" s="50">
        <f t="shared" si="22"/>
        <v>0</v>
      </c>
      <c r="AC48" s="50">
        <f t="shared" si="23"/>
        <v>0</v>
      </c>
      <c r="AD48" s="50">
        <f t="shared" si="24"/>
        <v>0</v>
      </c>
      <c r="AE48" s="50">
        <f t="shared" si="25"/>
        <v>0</v>
      </c>
      <c r="AF48" s="50">
        <f t="shared" si="26"/>
        <v>0</v>
      </c>
      <c r="AG48" s="50">
        <f t="shared" si="27"/>
        <v>0</v>
      </c>
      <c r="AI48" s="629">
        <v>0</v>
      </c>
      <c r="AJ48" s="629">
        <v>0</v>
      </c>
      <c r="AK48" s="629">
        <v>0</v>
      </c>
      <c r="AL48" s="629">
        <v>0</v>
      </c>
      <c r="AM48" s="629">
        <v>0</v>
      </c>
      <c r="AN48" s="629">
        <v>0</v>
      </c>
      <c r="AO48" s="629">
        <v>0</v>
      </c>
      <c r="AP48" s="629">
        <v>0</v>
      </c>
      <c r="AQ48" s="629">
        <v>0</v>
      </c>
      <c r="AR48" s="50"/>
      <c r="AS48" s="46" t="s">
        <v>220</v>
      </c>
      <c r="AT48" s="50">
        <f t="shared" si="10"/>
        <v>0</v>
      </c>
      <c r="AU48" s="50">
        <f t="shared" si="11"/>
        <v>0</v>
      </c>
      <c r="AV48" s="50">
        <f t="shared" si="12"/>
        <v>0</v>
      </c>
      <c r="AW48" s="50">
        <f t="shared" si="13"/>
        <v>0</v>
      </c>
      <c r="AX48" s="50">
        <f t="shared" si="14"/>
        <v>0</v>
      </c>
      <c r="AY48" s="50">
        <f t="shared" si="15"/>
        <v>0</v>
      </c>
      <c r="AZ48" s="50">
        <f t="shared" si="16"/>
        <v>0</v>
      </c>
      <c r="BA48" s="50">
        <f t="shared" si="17"/>
        <v>0</v>
      </c>
      <c r="BB48" s="50">
        <f t="shared" si="18"/>
        <v>0</v>
      </c>
    </row>
    <row r="49" spans="1:54">
      <c r="A49" s="43"/>
      <c r="B49" s="43"/>
      <c r="C49" s="46" t="s">
        <v>230</v>
      </c>
      <c r="D49" s="55">
        <f>lgh_bs!H49</f>
        <v>45138040.184769601</v>
      </c>
      <c r="E49" s="55">
        <f>lgh_bs!I49</f>
        <v>47729405.062364548</v>
      </c>
      <c r="F49" s="55">
        <f>lgh_bs!J49</f>
        <v>49992653.61777278</v>
      </c>
      <c r="G49" s="55">
        <f>lgh_bs!K49</f>
        <v>51462085.536461279</v>
      </c>
      <c r="H49" s="55">
        <f>lgh_bs!L49</f>
        <v>55568295.961871132</v>
      </c>
      <c r="I49" s="55">
        <f>lgh_bs!M49</f>
        <v>62236491.477295682</v>
      </c>
      <c r="J49" s="55">
        <f>lgh_bs!N49</f>
        <v>69711816.011339217</v>
      </c>
      <c r="K49" s="55">
        <f>lgh_bs!O49</f>
        <v>78077233.932699904</v>
      </c>
      <c r="L49" s="55">
        <f>lgh_bs!P49</f>
        <v>87446502.004623935</v>
      </c>
      <c r="M49" s="43"/>
      <c r="N49" s="119">
        <v>45138040.184769601</v>
      </c>
      <c r="O49" s="119">
        <v>47729405.062364548</v>
      </c>
      <c r="P49" s="119">
        <v>49992653.61777278</v>
      </c>
      <c r="Q49" s="119">
        <v>51462085.536461279</v>
      </c>
      <c r="R49" s="119">
        <v>55568295.961871132</v>
      </c>
      <c r="S49" s="119">
        <v>62236491.477295682</v>
      </c>
      <c r="T49" s="119">
        <v>69711816.011339217</v>
      </c>
      <c r="U49" s="119">
        <v>78077233.932699904</v>
      </c>
      <c r="V49" s="119">
        <v>87446502.004623935</v>
      </c>
      <c r="W49" s="55"/>
      <c r="X49" s="46" t="s">
        <v>230</v>
      </c>
      <c r="Y49" s="50">
        <f t="shared" si="19"/>
        <v>0</v>
      </c>
      <c r="Z49" s="50">
        <f t="shared" si="20"/>
        <v>0</v>
      </c>
      <c r="AA49" s="50">
        <f t="shared" si="21"/>
        <v>0</v>
      </c>
      <c r="AB49" s="50">
        <f t="shared" si="22"/>
        <v>0</v>
      </c>
      <c r="AC49" s="50">
        <f t="shared" si="23"/>
        <v>0</v>
      </c>
      <c r="AD49" s="50">
        <f t="shared" si="24"/>
        <v>0</v>
      </c>
      <c r="AE49" s="50">
        <f t="shared" si="25"/>
        <v>0</v>
      </c>
      <c r="AF49" s="50">
        <f t="shared" si="26"/>
        <v>0</v>
      </c>
      <c r="AG49" s="50">
        <f t="shared" si="27"/>
        <v>0</v>
      </c>
      <c r="AI49" s="631">
        <v>45138040.184769601</v>
      </c>
      <c r="AJ49" s="631">
        <v>47729405.062364548</v>
      </c>
      <c r="AK49" s="631">
        <v>49992653.61777278</v>
      </c>
      <c r="AL49" s="631">
        <v>51462085.536461279</v>
      </c>
      <c r="AM49" s="631">
        <v>55568295.961871132</v>
      </c>
      <c r="AN49" s="631">
        <v>62236491.477295682</v>
      </c>
      <c r="AO49" s="631">
        <v>69711816.011339217</v>
      </c>
      <c r="AP49" s="631">
        <v>78077233.932699904</v>
      </c>
      <c r="AQ49" s="631">
        <v>87446502.004623935</v>
      </c>
      <c r="AR49" s="55"/>
      <c r="AS49" s="46" t="s">
        <v>230</v>
      </c>
      <c r="AT49" s="50">
        <f t="shared" si="10"/>
        <v>0</v>
      </c>
      <c r="AU49" s="50">
        <f t="shared" si="11"/>
        <v>0</v>
      </c>
      <c r="AV49" s="50">
        <f t="shared" si="12"/>
        <v>0</v>
      </c>
      <c r="AW49" s="50">
        <f t="shared" si="13"/>
        <v>0</v>
      </c>
      <c r="AX49" s="50">
        <f t="shared" si="14"/>
        <v>0</v>
      </c>
      <c r="AY49" s="50">
        <f t="shared" si="15"/>
        <v>0</v>
      </c>
      <c r="AZ49" s="50">
        <f t="shared" si="16"/>
        <v>0</v>
      </c>
      <c r="BA49" s="50">
        <f t="shared" si="17"/>
        <v>0</v>
      </c>
      <c r="BB49" s="50">
        <f t="shared" si="18"/>
        <v>0</v>
      </c>
    </row>
    <row r="50" spans="1:54">
      <c r="A50" s="43"/>
      <c r="B50" s="43"/>
      <c r="C50" s="46" t="s">
        <v>231</v>
      </c>
      <c r="D50" s="55">
        <f>lgh_bs!H50</f>
        <v>513777.02313652774</v>
      </c>
      <c r="E50" s="55">
        <f>lgh_bs!I50</f>
        <v>2634824.700245644</v>
      </c>
      <c r="F50" s="55">
        <f>lgh_bs!J50</f>
        <v>6374598.7209224859</v>
      </c>
      <c r="G50" s="55">
        <f>lgh_bs!K50</f>
        <v>11544094.253042053</v>
      </c>
      <c r="H50" s="55">
        <f>lgh_bs!L50</f>
        <v>18101942.588893998</v>
      </c>
      <c r="I50" s="55">
        <f>lgh_bs!M50</f>
        <v>33590233.394734025</v>
      </c>
      <c r="J50" s="55">
        <f>lgh_bs!N50</f>
        <v>65234826.576624528</v>
      </c>
      <c r="K50" s="55">
        <f>lgh_bs!O50</f>
        <v>96816884.423821598</v>
      </c>
      <c r="L50" s="55">
        <f>lgh_bs!P50</f>
        <v>140522022.79099342</v>
      </c>
      <c r="M50" s="43"/>
      <c r="N50" s="119">
        <v>0</v>
      </c>
      <c r="O50" s="119">
        <v>1768183.3169694035</v>
      </c>
      <c r="P50" s="119">
        <v>5866175.3772716625</v>
      </c>
      <c r="Q50" s="119">
        <v>11448113.784313839</v>
      </c>
      <c r="R50" s="119">
        <v>18569426.437900335</v>
      </c>
      <c r="S50" s="119">
        <v>34910690.175740555</v>
      </c>
      <c r="T50" s="119">
        <v>67602338.930087119</v>
      </c>
      <c r="U50" s="119">
        <v>100575799.77298476</v>
      </c>
      <c r="V50" s="119">
        <v>145920014.55448106</v>
      </c>
      <c r="W50" s="55"/>
      <c r="X50" s="46" t="s">
        <v>231</v>
      </c>
      <c r="Y50" s="50">
        <f t="shared" si="19"/>
        <v>513777.02313652774</v>
      </c>
      <c r="Z50" s="50">
        <f t="shared" si="20"/>
        <v>866641.38327624043</v>
      </c>
      <c r="AA50" s="50">
        <f t="shared" si="21"/>
        <v>508423.34365082346</v>
      </c>
      <c r="AB50" s="50">
        <f t="shared" si="22"/>
        <v>95980.468728214502</v>
      </c>
      <c r="AC50" s="50">
        <f t="shared" si="23"/>
        <v>-467483.84900633618</v>
      </c>
      <c r="AD50" s="50">
        <f t="shared" si="24"/>
        <v>-1320456.7810065299</v>
      </c>
      <c r="AE50" s="50">
        <f t="shared" si="25"/>
        <v>-2367512.3534625918</v>
      </c>
      <c r="AF50" s="50">
        <f t="shared" si="26"/>
        <v>-3758915.3491631597</v>
      </c>
      <c r="AG50" s="50">
        <f t="shared" si="27"/>
        <v>-5397991.763487637</v>
      </c>
      <c r="AI50" s="631">
        <v>374974.00554559525</v>
      </c>
      <c r="AJ50" s="631">
        <v>2859695.7195623429</v>
      </c>
      <c r="AK50" s="631">
        <v>6208769.4160235254</v>
      </c>
      <c r="AL50" s="631">
        <v>10837074.335900562</v>
      </c>
      <c r="AM50" s="631">
        <v>16723272.292106517</v>
      </c>
      <c r="AN50" s="631">
        <v>30004112.567567602</v>
      </c>
      <c r="AO50" s="631">
        <v>57142948.935148694</v>
      </c>
      <c r="AP50" s="631">
        <v>82559931.131041393</v>
      </c>
      <c r="AQ50" s="631">
        <v>120919651.93193628</v>
      </c>
      <c r="AR50" s="55"/>
      <c r="AS50" s="46" t="s">
        <v>231</v>
      </c>
      <c r="AT50" s="50">
        <f t="shared" si="10"/>
        <v>138803.01759093249</v>
      </c>
      <c r="AU50" s="50">
        <f t="shared" si="11"/>
        <v>-224871.01931669889</v>
      </c>
      <c r="AV50" s="50">
        <f t="shared" si="12"/>
        <v>165829.30489896052</v>
      </c>
      <c r="AW50" s="50">
        <f t="shared" si="13"/>
        <v>707019.91714149155</v>
      </c>
      <c r="AX50" s="50">
        <f t="shared" si="14"/>
        <v>1378670.2967874818</v>
      </c>
      <c r="AY50" s="50">
        <f t="shared" si="15"/>
        <v>3586120.8271664232</v>
      </c>
      <c r="AZ50" s="50">
        <f t="shared" si="16"/>
        <v>8091877.641475834</v>
      </c>
      <c r="BA50" s="50">
        <f t="shared" si="17"/>
        <v>14256953.292780206</v>
      </c>
      <c r="BB50" s="50">
        <f t="shared" si="18"/>
        <v>19602370.859057143</v>
      </c>
    </row>
    <row r="51" spans="1:54">
      <c r="A51" s="43"/>
      <c r="B51" s="43"/>
      <c r="C51" s="46" t="s">
        <v>232</v>
      </c>
      <c r="D51" s="50">
        <f>lgh_bs!H51</f>
        <v>105816117.14391252</v>
      </c>
      <c r="E51" s="50">
        <f>lgh_bs!I51</f>
        <v>107163840.80952023</v>
      </c>
      <c r="F51" s="50">
        <f>lgh_bs!J51</f>
        <v>111845886.86394039</v>
      </c>
      <c r="G51" s="50">
        <f>lgh_bs!K51</f>
        <v>119976946.64775971</v>
      </c>
      <c r="H51" s="50">
        <f>lgh_bs!L51</f>
        <v>128049597.41750345</v>
      </c>
      <c r="I51" s="50">
        <f>lgh_bs!M51</f>
        <v>150145370.54149607</v>
      </c>
      <c r="J51" s="50">
        <f>lgh_bs!N51</f>
        <v>201438576.20239207</v>
      </c>
      <c r="K51" s="50">
        <f>lgh_bs!O51</f>
        <v>251725551.42582595</v>
      </c>
      <c r="L51" s="50">
        <f>lgh_bs!P51</f>
        <v>323522968.89293528</v>
      </c>
      <c r="M51" s="43"/>
      <c r="N51" s="68">
        <v>102964578.16704905</v>
      </c>
      <c r="O51" s="68">
        <v>105554363.95486434</v>
      </c>
      <c r="P51" s="68">
        <v>110901672.0828746</v>
      </c>
      <c r="Q51" s="68">
        <v>119798697.20583585</v>
      </c>
      <c r="R51" s="68">
        <v>128917781.70851523</v>
      </c>
      <c r="S51" s="68">
        <v>152597647.42050818</v>
      </c>
      <c r="T51" s="68">
        <v>205835384.85882261</v>
      </c>
      <c r="U51" s="68">
        <v>258706394.21712893</v>
      </c>
      <c r="V51" s="68">
        <v>333547810.73941231</v>
      </c>
      <c r="W51" s="50"/>
      <c r="X51" s="46" t="s">
        <v>232</v>
      </c>
      <c r="Y51" s="50">
        <f t="shared" si="19"/>
        <v>2851538.9768634737</v>
      </c>
      <c r="Z51" s="50">
        <f t="shared" si="20"/>
        <v>1609476.8546558917</v>
      </c>
      <c r="AA51" s="50">
        <f t="shared" si="21"/>
        <v>944214.78106579185</v>
      </c>
      <c r="AB51" s="50">
        <f t="shared" si="22"/>
        <v>178249.44192385674</v>
      </c>
      <c r="AC51" s="50">
        <f t="shared" si="23"/>
        <v>-868184.2910117805</v>
      </c>
      <c r="AD51" s="50">
        <f t="shared" si="24"/>
        <v>-2452276.8790121078</v>
      </c>
      <c r="AE51" s="50">
        <f t="shared" si="25"/>
        <v>-4396808.6564305425</v>
      </c>
      <c r="AF51" s="50">
        <f t="shared" si="26"/>
        <v>-6980842.791302979</v>
      </c>
      <c r="AG51" s="50">
        <f t="shared" si="27"/>
        <v>-10024841.846477032</v>
      </c>
      <c r="AI51" s="629">
        <v>105736899.16150348</v>
      </c>
      <c r="AJ51" s="629">
        <v>108943218.28328094</v>
      </c>
      <c r="AK51" s="629">
        <v>114494475.01961544</v>
      </c>
      <c r="AL51" s="629">
        <v>123824421.24730672</v>
      </c>
      <c r="AM51" s="629">
        <v>133452672.71971075</v>
      </c>
      <c r="AN51" s="629">
        <v>157773104.51369539</v>
      </c>
      <c r="AO51" s="629">
        <v>213621731.50400782</v>
      </c>
      <c r="AP51" s="629">
        <v>264562605.37306333</v>
      </c>
      <c r="AQ51" s="629">
        <v>344699352.50322747</v>
      </c>
      <c r="AR51" s="50"/>
      <c r="AS51" s="46" t="s">
        <v>232</v>
      </c>
      <c r="AT51" s="50">
        <f t="shared" si="10"/>
        <v>79217.9824090451</v>
      </c>
      <c r="AU51" s="50">
        <f t="shared" si="11"/>
        <v>-1779377.4737607092</v>
      </c>
      <c r="AV51" s="50">
        <f t="shared" si="12"/>
        <v>-2648588.1556750536</v>
      </c>
      <c r="AW51" s="50">
        <f t="shared" si="13"/>
        <v>-3847474.5995470136</v>
      </c>
      <c r="AX51" s="50">
        <f t="shared" si="14"/>
        <v>-5403075.302207306</v>
      </c>
      <c r="AY51" s="50">
        <f t="shared" si="15"/>
        <v>-7627733.9721993208</v>
      </c>
      <c r="AZ51" s="50">
        <f t="shared" si="16"/>
        <v>-12183155.301615745</v>
      </c>
      <c r="BA51" s="50">
        <f t="shared" si="17"/>
        <v>-12837053.947237372</v>
      </c>
      <c r="BB51" s="50">
        <f t="shared" si="18"/>
        <v>-21176383.610292196</v>
      </c>
    </row>
    <row r="52" spans="1:54">
      <c r="A52" s="43"/>
      <c r="B52" s="43"/>
      <c r="C52" s="46" t="s">
        <v>233</v>
      </c>
      <c r="D52" s="50">
        <f>lgh_bs!H52</f>
        <v>151467934.35181865</v>
      </c>
      <c r="E52" s="50">
        <f>lgh_bs!I52</f>
        <v>157528070.57213041</v>
      </c>
      <c r="F52" s="50">
        <f>lgh_bs!J52</f>
        <v>168213139.20263565</v>
      </c>
      <c r="G52" s="50">
        <f>lgh_bs!K52</f>
        <v>182983126.43726304</v>
      </c>
      <c r="H52" s="50">
        <f>lgh_bs!L52</f>
        <v>201719835.96826857</v>
      </c>
      <c r="I52" s="50">
        <f>lgh_bs!M52</f>
        <v>245972095.41352576</v>
      </c>
      <c r="J52" s="50">
        <f>lgh_bs!N52</f>
        <v>336385218.7903558</v>
      </c>
      <c r="K52" s="50">
        <f>lgh_bs!O52</f>
        <v>426619669.78234744</v>
      </c>
      <c r="L52" s="50">
        <f>lgh_bs!P52</f>
        <v>551491493.68855262</v>
      </c>
      <c r="M52" s="43"/>
      <c r="N52" s="68">
        <v>148102618.35181865</v>
      </c>
      <c r="O52" s="68">
        <v>155051952.3341983</v>
      </c>
      <c r="P52" s="68">
        <v>166760501.07791904</v>
      </c>
      <c r="Q52" s="68">
        <v>182708896.52661097</v>
      </c>
      <c r="R52" s="68">
        <v>203055504.10828668</v>
      </c>
      <c r="S52" s="68">
        <v>249744829.07354441</v>
      </c>
      <c r="T52" s="68">
        <v>343149539.80024898</v>
      </c>
      <c r="U52" s="68">
        <v>437359427.92281359</v>
      </c>
      <c r="V52" s="68">
        <v>566914327.29851723</v>
      </c>
      <c r="W52" s="50"/>
      <c r="X52" s="46" t="s">
        <v>233</v>
      </c>
      <c r="Y52" s="50">
        <f t="shared" si="19"/>
        <v>3365316</v>
      </c>
      <c r="Z52" s="50">
        <f t="shared" si="20"/>
        <v>2476118.2379321158</v>
      </c>
      <c r="AA52" s="50">
        <f t="shared" si="21"/>
        <v>1452638.1247166097</v>
      </c>
      <c r="AB52" s="50">
        <f t="shared" si="22"/>
        <v>274229.91065207124</v>
      </c>
      <c r="AC52" s="50">
        <f t="shared" si="23"/>
        <v>-1335668.1400181055</v>
      </c>
      <c r="AD52" s="50">
        <f t="shared" si="24"/>
        <v>-3772733.6600186527</v>
      </c>
      <c r="AE52" s="50">
        <f t="shared" si="25"/>
        <v>-6764321.0098931789</v>
      </c>
      <c r="AF52" s="50">
        <f t="shared" si="26"/>
        <v>-10739758.140466154</v>
      </c>
      <c r="AG52" s="50">
        <f t="shared" si="27"/>
        <v>-15422833.609964609</v>
      </c>
      <c r="AI52" s="629">
        <v>151249913.35181868</v>
      </c>
      <c r="AJ52" s="629">
        <v>159532319.06520784</v>
      </c>
      <c r="AK52" s="629">
        <v>170695898.05341175</v>
      </c>
      <c r="AL52" s="629">
        <v>186123581.11966854</v>
      </c>
      <c r="AM52" s="629">
        <v>205744240.97368842</v>
      </c>
      <c r="AN52" s="629">
        <v>250013708.55855867</v>
      </c>
      <c r="AO52" s="629">
        <v>340476496.45049572</v>
      </c>
      <c r="AP52" s="629">
        <v>425199770.43680465</v>
      </c>
      <c r="AQ52" s="629">
        <v>553065506.43978763</v>
      </c>
      <c r="AR52" s="50"/>
      <c r="AS52" s="46" t="s">
        <v>233</v>
      </c>
      <c r="AT52" s="50">
        <f t="shared" si="10"/>
        <v>218020.9999999702</v>
      </c>
      <c r="AU52" s="50">
        <f t="shared" si="11"/>
        <v>-2004248.4930774271</v>
      </c>
      <c r="AV52" s="50">
        <f t="shared" si="12"/>
        <v>-2482758.8507761061</v>
      </c>
      <c r="AW52" s="50">
        <f t="shared" si="13"/>
        <v>-3140454.6824055016</v>
      </c>
      <c r="AX52" s="50">
        <f t="shared" si="14"/>
        <v>-4024405.0054198503</v>
      </c>
      <c r="AY52" s="50">
        <f t="shared" si="15"/>
        <v>-4041613.1450329125</v>
      </c>
      <c r="AZ52" s="50">
        <f t="shared" si="16"/>
        <v>-4091277.6601399183</v>
      </c>
      <c r="BA52" s="50">
        <f t="shared" si="17"/>
        <v>1419899.3455427885</v>
      </c>
      <c r="BB52" s="50">
        <f t="shared" si="18"/>
        <v>-1574012.7512350082</v>
      </c>
    </row>
    <row r="53" spans="1:54">
      <c r="A53" s="43"/>
      <c r="B53" s="43"/>
      <c r="C53" s="46" t="s">
        <v>234</v>
      </c>
      <c r="D53" s="50">
        <f>lgh_bs!H53</f>
        <v>150954157.32868212</v>
      </c>
      <c r="E53" s="50">
        <f>lgh_bs!I53</f>
        <v>154893245.87188476</v>
      </c>
      <c r="F53" s="50">
        <f>lgh_bs!J53</f>
        <v>161838540.48171315</v>
      </c>
      <c r="G53" s="50">
        <f>lgh_bs!K53</f>
        <v>171439032.184221</v>
      </c>
      <c r="H53" s="50">
        <f>lgh_bs!L53</f>
        <v>183617893.37937456</v>
      </c>
      <c r="I53" s="50">
        <f>lgh_bs!M53</f>
        <v>212381862.01879174</v>
      </c>
      <c r="J53" s="50">
        <f>lgh_bs!N53</f>
        <v>271150392.21373129</v>
      </c>
      <c r="K53" s="50">
        <f>lgh_bs!O53</f>
        <v>329802785.35852587</v>
      </c>
      <c r="L53" s="50">
        <f>lgh_bs!P53</f>
        <v>410969470.89755917</v>
      </c>
      <c r="M53" s="43"/>
      <c r="N53" s="68">
        <v>148102618.35181865</v>
      </c>
      <c r="O53" s="68">
        <v>153283769.0172289</v>
      </c>
      <c r="P53" s="68">
        <v>160894325.70064738</v>
      </c>
      <c r="Q53" s="68">
        <v>171260782.74229714</v>
      </c>
      <c r="R53" s="68">
        <v>184486077.67038634</v>
      </c>
      <c r="S53" s="68">
        <v>214834138.89780384</v>
      </c>
      <c r="T53" s="68">
        <v>275547200.87016189</v>
      </c>
      <c r="U53" s="68">
        <v>336783628.14982885</v>
      </c>
      <c r="V53" s="68">
        <v>420994312.7440362</v>
      </c>
      <c r="W53" s="50"/>
      <c r="X53" s="46" t="s">
        <v>234</v>
      </c>
      <c r="Y53" s="50">
        <f t="shared" si="19"/>
        <v>2851538.9768634737</v>
      </c>
      <c r="Z53" s="50">
        <f t="shared" si="20"/>
        <v>1609476.8546558619</v>
      </c>
      <c r="AA53" s="50">
        <f t="shared" si="21"/>
        <v>944214.78106576204</v>
      </c>
      <c r="AB53" s="50">
        <f t="shared" si="22"/>
        <v>178249.44192385674</v>
      </c>
      <c r="AC53" s="50">
        <f t="shared" si="23"/>
        <v>-868184.2910117805</v>
      </c>
      <c r="AD53" s="50">
        <f t="shared" si="24"/>
        <v>-2452276.8790121078</v>
      </c>
      <c r="AE53" s="50">
        <f t="shared" si="25"/>
        <v>-4396808.6564306021</v>
      </c>
      <c r="AF53" s="50">
        <f t="shared" si="26"/>
        <v>-6980842.791302979</v>
      </c>
      <c r="AG53" s="50">
        <f t="shared" si="27"/>
        <v>-10024841.846477032</v>
      </c>
      <c r="AI53" s="629">
        <v>150874939.34627309</v>
      </c>
      <c r="AJ53" s="629">
        <v>156672623.34564549</v>
      </c>
      <c r="AK53" s="629">
        <v>164487128.63738823</v>
      </c>
      <c r="AL53" s="629">
        <v>175286506.78376797</v>
      </c>
      <c r="AM53" s="629">
        <v>189020968.68158191</v>
      </c>
      <c r="AN53" s="629">
        <v>220009595.99099106</v>
      </c>
      <c r="AO53" s="629">
        <v>283333547.515347</v>
      </c>
      <c r="AP53" s="629">
        <v>342639839.30576324</v>
      </c>
      <c r="AQ53" s="629">
        <v>432145854.50785136</v>
      </c>
      <c r="AR53" s="50"/>
      <c r="AS53" s="46" t="s">
        <v>234</v>
      </c>
      <c r="AT53" s="50">
        <f t="shared" si="10"/>
        <v>79217.982409030199</v>
      </c>
      <c r="AU53" s="50">
        <f t="shared" si="11"/>
        <v>-1779377.4737607241</v>
      </c>
      <c r="AV53" s="50">
        <f t="shared" si="12"/>
        <v>-2648588.1556750834</v>
      </c>
      <c r="AW53" s="50">
        <f t="shared" si="13"/>
        <v>-3847474.5995469689</v>
      </c>
      <c r="AX53" s="50">
        <f t="shared" si="14"/>
        <v>-5403075.3022073507</v>
      </c>
      <c r="AY53" s="50">
        <f t="shared" si="15"/>
        <v>-7627733.9721993208</v>
      </c>
      <c r="AZ53" s="50">
        <f t="shared" si="16"/>
        <v>-12183155.301615715</v>
      </c>
      <c r="BA53" s="50">
        <f t="shared" si="17"/>
        <v>-12837053.947237372</v>
      </c>
      <c r="BB53" s="50">
        <f t="shared" si="18"/>
        <v>-21176383.610292196</v>
      </c>
    </row>
    <row r="54" spans="1:54">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c r="AI54" s="43"/>
      <c r="AJ54" s="43"/>
      <c r="AK54" s="43"/>
      <c r="AL54" s="43"/>
      <c r="AM54" s="43"/>
      <c r="AN54" s="43"/>
      <c r="AO54" s="43"/>
      <c r="AP54" s="43"/>
      <c r="AQ54" s="43"/>
      <c r="AR54" s="43"/>
      <c r="AS54" s="43"/>
      <c r="AT54" s="43"/>
      <c r="AU54" s="43"/>
      <c r="AV54" s="43"/>
      <c r="AW54" s="43"/>
      <c r="AX54" s="43"/>
      <c r="AY54" s="43"/>
      <c r="AZ54" s="43"/>
      <c r="BA54" s="43"/>
      <c r="BB54" s="43"/>
    </row>
    <row r="55" spans="1:54">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I55" s="43"/>
      <c r="AJ55" s="43"/>
      <c r="AK55" s="43"/>
      <c r="AL55" s="43"/>
      <c r="AM55" s="43"/>
      <c r="AN55" s="43"/>
      <c r="AO55" s="43"/>
      <c r="AP55" s="43"/>
      <c r="AQ55" s="43"/>
      <c r="AR55" s="43"/>
      <c r="AS55" s="43"/>
      <c r="AT55" s="43"/>
      <c r="AU55" s="43"/>
      <c r="AV55" s="43"/>
      <c r="AW55" s="43"/>
      <c r="AX55" s="43"/>
      <c r="AY55" s="43"/>
      <c r="AZ55" s="43"/>
      <c r="BA55" s="43"/>
      <c r="BB55" s="43"/>
    </row>
    <row r="56" spans="1:54">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c r="AB56" s="43"/>
      <c r="AC56" s="43"/>
      <c r="AD56" s="43"/>
      <c r="AE56" s="43"/>
      <c r="AF56" s="43"/>
      <c r="AG56" s="43"/>
      <c r="AI56" s="43"/>
      <c r="AJ56" s="43"/>
      <c r="AK56" s="43"/>
      <c r="AL56" s="43"/>
      <c r="AM56" s="43"/>
      <c r="AN56" s="43"/>
      <c r="AO56" s="43"/>
      <c r="AP56" s="43"/>
      <c r="AQ56" s="43"/>
      <c r="AR56" s="43"/>
      <c r="AS56" s="43"/>
      <c r="AT56" s="43"/>
      <c r="AU56" s="43"/>
      <c r="AV56" s="43"/>
      <c r="AW56" s="43"/>
      <c r="AX56" s="43"/>
      <c r="AY56" s="43"/>
      <c r="AZ56" s="43"/>
      <c r="BA56" s="43"/>
      <c r="BB56" s="43"/>
    </row>
    <row r="57" spans="1:54">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c r="AE57" s="43"/>
      <c r="AF57" s="43"/>
      <c r="AG57" s="43"/>
      <c r="AI57" s="43"/>
      <c r="AJ57" s="43"/>
      <c r="AK57" s="43"/>
      <c r="AL57" s="43"/>
      <c r="AM57" s="43"/>
      <c r="AN57" s="43"/>
      <c r="AO57" s="43"/>
      <c r="AP57" s="43"/>
      <c r="AQ57" s="43"/>
      <c r="AR57" s="43"/>
      <c r="AS57" s="43"/>
      <c r="AT57" s="43"/>
      <c r="AU57" s="43"/>
      <c r="AV57" s="43"/>
      <c r="AW57" s="43"/>
      <c r="AX57" s="43"/>
      <c r="AY57" s="43"/>
      <c r="AZ57" s="43"/>
      <c r="BA57" s="43"/>
      <c r="BB57" s="43"/>
    </row>
    <row r="58" spans="1:54">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I58" s="43"/>
      <c r="AJ58" s="43"/>
      <c r="AK58" s="43"/>
      <c r="AL58" s="43"/>
      <c r="AM58" s="43"/>
      <c r="AN58" s="43"/>
      <c r="AO58" s="43"/>
      <c r="AP58" s="43"/>
      <c r="AQ58" s="43"/>
      <c r="AR58" s="43"/>
      <c r="AS58" s="43"/>
      <c r="AT58" s="43"/>
      <c r="AU58" s="43"/>
      <c r="AV58" s="43"/>
      <c r="AW58" s="43"/>
      <c r="AX58" s="43"/>
      <c r="AY58" s="43"/>
      <c r="AZ58" s="43"/>
      <c r="BA58" s="43"/>
      <c r="BB58" s="43"/>
    </row>
    <row r="59" spans="1:54">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I59" s="43"/>
      <c r="AJ59" s="43"/>
      <c r="AK59" s="43"/>
      <c r="AL59" s="43"/>
      <c r="AM59" s="43"/>
      <c r="AN59" s="43"/>
      <c r="AO59" s="43"/>
      <c r="AP59" s="43"/>
      <c r="AQ59" s="43"/>
      <c r="AR59" s="43"/>
      <c r="AS59" s="43"/>
      <c r="AT59" s="43"/>
      <c r="AU59" s="43"/>
      <c r="AV59" s="43"/>
      <c r="AW59" s="43"/>
      <c r="AX59" s="43"/>
      <c r="AY59" s="43"/>
      <c r="AZ59" s="43"/>
      <c r="BA59" s="43"/>
      <c r="BB59" s="43"/>
    </row>
    <row r="60" spans="1:54">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c r="AI60" s="43"/>
      <c r="AJ60" s="43"/>
      <c r="AK60" s="43"/>
      <c r="AL60" s="43"/>
      <c r="AM60" s="43"/>
      <c r="AN60" s="43"/>
      <c r="AO60" s="43"/>
      <c r="AP60" s="43"/>
      <c r="AQ60" s="43"/>
      <c r="AR60" s="43"/>
      <c r="AS60" s="43"/>
      <c r="AT60" s="43"/>
      <c r="AU60" s="43"/>
      <c r="AV60" s="43"/>
      <c r="AW60" s="43"/>
      <c r="AX60" s="43"/>
      <c r="AY60" s="43"/>
      <c r="AZ60" s="43"/>
      <c r="BA60" s="43"/>
      <c r="BB60" s="43"/>
    </row>
    <row r="61" spans="1:54">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c r="AD61" s="43"/>
      <c r="AE61" s="43"/>
      <c r="AF61" s="43"/>
      <c r="AG61" s="43"/>
      <c r="AI61" s="43"/>
      <c r="AJ61" s="43"/>
      <c r="AK61" s="43"/>
      <c r="AL61" s="43"/>
      <c r="AM61" s="43"/>
      <c r="AN61" s="43"/>
      <c r="AO61" s="43"/>
      <c r="AP61" s="43"/>
      <c r="AQ61" s="43"/>
      <c r="AR61" s="43"/>
      <c r="AS61" s="43"/>
      <c r="AT61" s="43"/>
      <c r="AU61" s="43"/>
      <c r="AV61" s="43"/>
      <c r="AW61" s="43"/>
      <c r="AX61" s="43"/>
      <c r="AY61" s="43"/>
      <c r="AZ61" s="43"/>
      <c r="BA61" s="43"/>
      <c r="BB61" s="43"/>
    </row>
    <row r="62" spans="1:54">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I62" s="43"/>
      <c r="AJ62" s="43"/>
      <c r="AK62" s="43"/>
      <c r="AL62" s="43"/>
      <c r="AM62" s="43"/>
      <c r="AN62" s="43"/>
      <c r="AO62" s="43"/>
      <c r="AP62" s="43"/>
      <c r="AQ62" s="43"/>
      <c r="AR62" s="43"/>
      <c r="AS62" s="43"/>
      <c r="AT62" s="43"/>
      <c r="AU62" s="43"/>
      <c r="AV62" s="43"/>
      <c r="AW62" s="43"/>
      <c r="AX62" s="43"/>
      <c r="AY62" s="43"/>
      <c r="AZ62" s="43"/>
      <c r="BA62" s="43"/>
      <c r="BB62" s="43"/>
    </row>
    <row r="63" spans="1:54">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c r="AD63" s="43"/>
      <c r="AE63" s="43"/>
      <c r="AF63" s="43"/>
      <c r="AG63" s="43"/>
      <c r="AI63" s="43"/>
      <c r="AJ63" s="43"/>
      <c r="AK63" s="43"/>
      <c r="AL63" s="43"/>
      <c r="AM63" s="43"/>
      <c r="AN63" s="43"/>
      <c r="AO63" s="43"/>
      <c r="AP63" s="43"/>
      <c r="AQ63" s="43"/>
      <c r="AR63" s="43"/>
      <c r="AS63" s="43"/>
      <c r="AT63" s="43"/>
      <c r="AU63" s="43"/>
      <c r="AV63" s="43"/>
      <c r="AW63" s="43"/>
      <c r="AX63" s="43"/>
      <c r="AY63" s="43"/>
      <c r="AZ63" s="43"/>
      <c r="BA63" s="43"/>
      <c r="BB63" s="43"/>
    </row>
    <row r="64" spans="1:54">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I64" s="43"/>
      <c r="AJ64" s="43"/>
      <c r="AK64" s="43"/>
      <c r="AL64" s="43"/>
      <c r="AM64" s="43"/>
      <c r="AN64" s="43"/>
      <c r="AO64" s="43"/>
      <c r="AP64" s="43"/>
      <c r="AQ64" s="43"/>
      <c r="AR64" s="43"/>
      <c r="AS64" s="43"/>
      <c r="AT64" s="43"/>
      <c r="AU64" s="43"/>
      <c r="AV64" s="43"/>
      <c r="AW64" s="43"/>
      <c r="AX64" s="43"/>
      <c r="AY64" s="43"/>
      <c r="AZ64" s="43"/>
      <c r="BA64" s="43"/>
      <c r="BB64" s="43"/>
    </row>
    <row r="65" spans="1:54">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I65" s="43"/>
      <c r="AJ65" s="43"/>
      <c r="AK65" s="43"/>
      <c r="AL65" s="43"/>
      <c r="AM65" s="43"/>
      <c r="AN65" s="43"/>
      <c r="AO65" s="43"/>
      <c r="AP65" s="43"/>
      <c r="AQ65" s="43"/>
      <c r="AR65" s="43"/>
      <c r="AS65" s="43"/>
      <c r="AT65" s="43"/>
      <c r="AU65" s="43"/>
      <c r="AV65" s="43"/>
      <c r="AW65" s="43"/>
      <c r="AX65" s="43"/>
      <c r="AY65" s="43"/>
      <c r="AZ65" s="43"/>
      <c r="BA65" s="43"/>
      <c r="BB65" s="43"/>
    </row>
    <row r="66" spans="1:54">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c r="AC66" s="43"/>
      <c r="AD66" s="43"/>
      <c r="AE66" s="43"/>
      <c r="AF66" s="43"/>
      <c r="AG66" s="43"/>
      <c r="AI66" s="43"/>
      <c r="AJ66" s="43"/>
      <c r="AK66" s="43"/>
      <c r="AL66" s="43"/>
      <c r="AM66" s="43"/>
      <c r="AN66" s="43"/>
      <c r="AO66" s="43"/>
      <c r="AP66" s="43"/>
      <c r="AQ66" s="43"/>
      <c r="AR66" s="43"/>
      <c r="AS66" s="43"/>
      <c r="AT66" s="43"/>
      <c r="AU66" s="43"/>
      <c r="AV66" s="43"/>
      <c r="AW66" s="43"/>
      <c r="AX66" s="43"/>
      <c r="AY66" s="43"/>
      <c r="AZ66" s="43"/>
      <c r="BA66" s="43"/>
      <c r="BB66" s="43"/>
    </row>
    <row r="67" spans="1:54">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3"/>
      <c r="AC67" s="43"/>
      <c r="AD67" s="43"/>
      <c r="AE67" s="43"/>
      <c r="AF67" s="43"/>
      <c r="AG67" s="43"/>
      <c r="AI67" s="43"/>
      <c r="AJ67" s="43"/>
      <c r="AK67" s="43"/>
      <c r="AL67" s="43"/>
      <c r="AM67" s="43"/>
      <c r="AN67" s="43"/>
      <c r="AO67" s="43"/>
      <c r="AP67" s="43"/>
      <c r="AQ67" s="43"/>
      <c r="AR67" s="43"/>
      <c r="AS67" s="43"/>
      <c r="AT67" s="43"/>
      <c r="AU67" s="43"/>
      <c r="AV67" s="43"/>
      <c r="AW67" s="43"/>
      <c r="AX67" s="43"/>
      <c r="AY67" s="43"/>
      <c r="AZ67" s="43"/>
      <c r="BA67" s="43"/>
      <c r="BB67" s="43"/>
    </row>
    <row r="68" spans="1:54">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c r="AB68" s="43"/>
      <c r="AC68" s="43"/>
      <c r="AD68" s="43"/>
      <c r="AE68" s="43"/>
      <c r="AF68" s="43"/>
      <c r="AG68" s="43"/>
      <c r="AI68" s="43"/>
      <c r="AJ68" s="43"/>
      <c r="AK68" s="43"/>
      <c r="AL68" s="43"/>
      <c r="AM68" s="43"/>
      <c r="AN68" s="43"/>
      <c r="AO68" s="43"/>
      <c r="AP68" s="43"/>
      <c r="AQ68" s="43"/>
      <c r="AR68" s="43"/>
      <c r="AS68" s="43"/>
      <c r="AT68" s="43"/>
      <c r="AU68" s="43"/>
      <c r="AV68" s="43"/>
      <c r="AW68" s="43"/>
      <c r="AX68" s="43"/>
      <c r="AY68" s="43"/>
      <c r="AZ68" s="43"/>
      <c r="BA68" s="43"/>
      <c r="BB68" s="43"/>
    </row>
    <row r="69" spans="1:54">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c r="AE69" s="43"/>
      <c r="AF69" s="43"/>
      <c r="AG69" s="43"/>
      <c r="AI69" s="43"/>
      <c r="AJ69" s="43"/>
      <c r="AK69" s="43"/>
      <c r="AL69" s="43"/>
      <c r="AM69" s="43"/>
      <c r="AN69" s="43"/>
      <c r="AO69" s="43"/>
      <c r="AP69" s="43"/>
      <c r="AQ69" s="43"/>
      <c r="AR69" s="43"/>
      <c r="AS69" s="43"/>
      <c r="AT69" s="43"/>
      <c r="AU69" s="43"/>
      <c r="AV69" s="43"/>
      <c r="AW69" s="43"/>
      <c r="AX69" s="43"/>
      <c r="AY69" s="43"/>
      <c r="AZ69" s="43"/>
      <c r="BA69" s="43"/>
      <c r="BB69" s="43"/>
    </row>
    <row r="70" spans="1:54">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I70" s="43"/>
      <c r="AJ70" s="43"/>
      <c r="AK70" s="43"/>
      <c r="AL70" s="43"/>
      <c r="AM70" s="43"/>
      <c r="AN70" s="43"/>
      <c r="AO70" s="43"/>
      <c r="AP70" s="43"/>
      <c r="AQ70" s="43"/>
      <c r="AR70" s="43"/>
      <c r="AS70" s="43"/>
      <c r="AT70" s="43"/>
      <c r="AU70" s="43"/>
      <c r="AV70" s="43"/>
      <c r="AW70" s="43"/>
      <c r="AX70" s="43"/>
      <c r="AY70" s="43"/>
      <c r="AZ70" s="43"/>
      <c r="BA70" s="43"/>
      <c r="BB70" s="43"/>
    </row>
    <row r="71" spans="1:54">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c r="AE71" s="43"/>
      <c r="AF71" s="43"/>
      <c r="AG71" s="43"/>
      <c r="AI71" s="43"/>
      <c r="AJ71" s="43"/>
      <c r="AK71" s="43"/>
      <c r="AL71" s="43"/>
      <c r="AM71" s="43"/>
      <c r="AN71" s="43"/>
      <c r="AO71" s="43"/>
      <c r="AP71" s="43"/>
      <c r="AQ71" s="43"/>
      <c r="AR71" s="43"/>
      <c r="AS71" s="43"/>
      <c r="AT71" s="43"/>
      <c r="AU71" s="43"/>
      <c r="AV71" s="43"/>
      <c r="AW71" s="43"/>
      <c r="AX71" s="43"/>
      <c r="AY71" s="43"/>
      <c r="AZ71" s="43"/>
      <c r="BA71" s="43"/>
      <c r="BB71" s="43"/>
    </row>
    <row r="72" spans="1:54">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I72" s="43"/>
      <c r="AJ72" s="43"/>
      <c r="AK72" s="43"/>
      <c r="AL72" s="43"/>
      <c r="AM72" s="43"/>
      <c r="AN72" s="43"/>
      <c r="AO72" s="43"/>
      <c r="AP72" s="43"/>
      <c r="AQ72" s="43"/>
      <c r="AR72" s="43"/>
      <c r="AS72" s="43"/>
      <c r="AT72" s="43"/>
      <c r="AU72" s="43"/>
      <c r="AV72" s="43"/>
      <c r="AW72" s="43"/>
      <c r="AX72" s="43"/>
      <c r="AY72" s="43"/>
      <c r="AZ72" s="43"/>
      <c r="BA72" s="43"/>
      <c r="BB72" s="43"/>
    </row>
    <row r="73" spans="1:54">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3"/>
      <c r="AG73" s="43"/>
      <c r="AI73" s="43"/>
      <c r="AJ73" s="43"/>
      <c r="AK73" s="43"/>
      <c r="AL73" s="43"/>
      <c r="AM73" s="43"/>
      <c r="AN73" s="43"/>
      <c r="AO73" s="43"/>
      <c r="AP73" s="43"/>
      <c r="AQ73" s="43"/>
      <c r="AR73" s="43"/>
      <c r="AS73" s="43"/>
      <c r="AT73" s="43"/>
      <c r="AU73" s="43"/>
      <c r="AV73" s="43"/>
      <c r="AW73" s="43"/>
      <c r="AX73" s="43"/>
      <c r="AY73" s="43"/>
      <c r="AZ73" s="43"/>
      <c r="BA73" s="43"/>
      <c r="BB73" s="43"/>
    </row>
    <row r="74" spans="1:54">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I74" s="43"/>
      <c r="AJ74" s="43"/>
      <c r="AK74" s="43"/>
      <c r="AL74" s="43"/>
      <c r="AM74" s="43"/>
      <c r="AN74" s="43"/>
      <c r="AO74" s="43"/>
      <c r="AP74" s="43"/>
      <c r="AQ74" s="43"/>
      <c r="AR74" s="43"/>
      <c r="AS74" s="43"/>
      <c r="AT74" s="43"/>
      <c r="AU74" s="43"/>
      <c r="AV74" s="43"/>
      <c r="AW74" s="43"/>
      <c r="AX74" s="43"/>
      <c r="AY74" s="43"/>
      <c r="AZ74" s="43"/>
      <c r="BA74" s="43"/>
      <c r="BB74" s="43"/>
    </row>
    <row r="75" spans="1:54">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43"/>
      <c r="AI75" s="43"/>
      <c r="AJ75" s="43"/>
      <c r="AK75" s="43"/>
      <c r="AL75" s="43"/>
      <c r="AM75" s="43"/>
      <c r="AN75" s="43"/>
      <c r="AO75" s="43"/>
      <c r="AP75" s="43"/>
      <c r="AQ75" s="43"/>
      <c r="AR75" s="43"/>
      <c r="AS75" s="43"/>
      <c r="AT75" s="43"/>
      <c r="AU75" s="43"/>
      <c r="AV75" s="43"/>
      <c r="AW75" s="43"/>
      <c r="AX75" s="43"/>
      <c r="AY75" s="43"/>
      <c r="AZ75" s="43"/>
      <c r="BA75" s="43"/>
      <c r="BB75" s="43"/>
    </row>
    <row r="76" spans="1:54">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c r="AE76" s="43"/>
      <c r="AF76" s="43"/>
      <c r="AG76" s="43"/>
      <c r="AI76" s="43"/>
      <c r="AJ76" s="43"/>
      <c r="AK76" s="43"/>
      <c r="AL76" s="43"/>
      <c r="AM76" s="43"/>
      <c r="AN76" s="43"/>
      <c r="AO76" s="43"/>
      <c r="AP76" s="43"/>
      <c r="AQ76" s="43"/>
      <c r="AR76" s="43"/>
      <c r="AS76" s="43"/>
      <c r="AT76" s="43"/>
      <c r="AU76" s="43"/>
      <c r="AV76" s="43"/>
      <c r="AW76" s="43"/>
      <c r="AX76" s="43"/>
      <c r="AY76" s="43"/>
      <c r="AZ76" s="43"/>
      <c r="BA76" s="43"/>
      <c r="BB76" s="43"/>
    </row>
    <row r="77" spans="1:54">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c r="AG77" s="43"/>
      <c r="AI77" s="43"/>
      <c r="AJ77" s="43"/>
      <c r="AK77" s="43"/>
      <c r="AL77" s="43"/>
      <c r="AM77" s="43"/>
      <c r="AN77" s="43"/>
      <c r="AO77" s="43"/>
      <c r="AP77" s="43"/>
      <c r="AQ77" s="43"/>
      <c r="AR77" s="43"/>
      <c r="AS77" s="43"/>
      <c r="AT77" s="43"/>
      <c r="AU77" s="43"/>
      <c r="AV77" s="43"/>
      <c r="AW77" s="43"/>
      <c r="AX77" s="43"/>
      <c r="AY77" s="43"/>
      <c r="AZ77" s="43"/>
      <c r="BA77" s="43"/>
      <c r="BB77" s="43"/>
    </row>
    <row r="78" spans="1:54">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I78" s="43"/>
      <c r="AJ78" s="43"/>
      <c r="AK78" s="43"/>
      <c r="AL78" s="43"/>
      <c r="AM78" s="43"/>
      <c r="AN78" s="43"/>
      <c r="AO78" s="43"/>
      <c r="AP78" s="43"/>
      <c r="AQ78" s="43"/>
      <c r="AR78" s="43"/>
      <c r="AS78" s="43"/>
      <c r="AT78" s="43"/>
      <c r="AU78" s="43"/>
      <c r="AV78" s="43"/>
      <c r="AW78" s="43"/>
      <c r="AX78" s="43"/>
      <c r="AY78" s="43"/>
      <c r="AZ78" s="43"/>
      <c r="BA78" s="43"/>
      <c r="BB78" s="43"/>
    </row>
    <row r="79" spans="1:54">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I79" s="43"/>
      <c r="AJ79" s="43"/>
      <c r="AK79" s="43"/>
      <c r="AL79" s="43"/>
      <c r="AM79" s="43"/>
      <c r="AN79" s="43"/>
      <c r="AO79" s="43"/>
      <c r="AP79" s="43"/>
      <c r="AQ79" s="43"/>
      <c r="AR79" s="43"/>
      <c r="AS79" s="43"/>
      <c r="AT79" s="43"/>
      <c r="AU79" s="43"/>
      <c r="AV79" s="43"/>
      <c r="AW79" s="43"/>
      <c r="AX79" s="43"/>
      <c r="AY79" s="43"/>
      <c r="AZ79" s="43"/>
      <c r="BA79" s="43"/>
      <c r="BB79" s="43"/>
    </row>
    <row r="80" spans="1:54">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I80" s="43"/>
      <c r="AJ80" s="43"/>
      <c r="AK80" s="43"/>
      <c r="AL80" s="43"/>
      <c r="AM80" s="43"/>
      <c r="AN80" s="43"/>
      <c r="AO80" s="43"/>
      <c r="AP80" s="43"/>
      <c r="AQ80" s="43"/>
      <c r="AR80" s="43"/>
      <c r="AS80" s="43"/>
      <c r="AT80" s="43"/>
      <c r="AU80" s="43"/>
      <c r="AV80" s="43"/>
      <c r="AW80" s="43"/>
      <c r="AX80" s="43"/>
      <c r="AY80" s="43"/>
      <c r="AZ80" s="43"/>
      <c r="BA80" s="43"/>
      <c r="BB80" s="43"/>
    </row>
    <row r="81" spans="1:54">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I81" s="43"/>
      <c r="AJ81" s="43"/>
      <c r="AK81" s="43"/>
      <c r="AL81" s="43"/>
      <c r="AM81" s="43"/>
      <c r="AN81" s="43"/>
      <c r="AO81" s="43"/>
      <c r="AP81" s="43"/>
      <c r="AQ81" s="43"/>
      <c r="AR81" s="43"/>
      <c r="AS81" s="43"/>
      <c r="AT81" s="43"/>
      <c r="AU81" s="43"/>
      <c r="AV81" s="43"/>
      <c r="AW81" s="43"/>
      <c r="AX81" s="43"/>
      <c r="AY81" s="43"/>
      <c r="AZ81" s="43"/>
      <c r="BA81" s="43"/>
      <c r="BB81" s="43"/>
    </row>
    <row r="82" spans="1:54">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I82" s="43"/>
      <c r="AJ82" s="43"/>
      <c r="AK82" s="43"/>
      <c r="AL82" s="43"/>
      <c r="AM82" s="43"/>
      <c r="AN82" s="43"/>
      <c r="AO82" s="43"/>
      <c r="AP82" s="43"/>
      <c r="AQ82" s="43"/>
      <c r="AR82" s="43"/>
      <c r="AS82" s="43"/>
      <c r="AT82" s="43"/>
      <c r="AU82" s="43"/>
      <c r="AV82" s="43"/>
      <c r="AW82" s="43"/>
      <c r="AX82" s="43"/>
      <c r="AY82" s="43"/>
      <c r="AZ82" s="43"/>
      <c r="BA82" s="43"/>
      <c r="BB82" s="43"/>
    </row>
    <row r="83" spans="1:54">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I83" s="43"/>
      <c r="AJ83" s="43"/>
      <c r="AK83" s="43"/>
      <c r="AL83" s="43"/>
      <c r="AM83" s="43"/>
      <c r="AN83" s="43"/>
      <c r="AO83" s="43"/>
      <c r="AP83" s="43"/>
      <c r="AQ83" s="43"/>
      <c r="AR83" s="43"/>
      <c r="AS83" s="43"/>
      <c r="AT83" s="43"/>
      <c r="AU83" s="43"/>
      <c r="AV83" s="43"/>
      <c r="AW83" s="43"/>
      <c r="AX83" s="43"/>
      <c r="AY83" s="43"/>
      <c r="AZ83" s="43"/>
      <c r="BA83" s="43"/>
      <c r="BB83" s="43"/>
    </row>
    <row r="84" spans="1:54">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I84" s="43"/>
      <c r="AJ84" s="43"/>
      <c r="AK84" s="43"/>
      <c r="AL84" s="43"/>
      <c r="AM84" s="43"/>
      <c r="AN84" s="43"/>
      <c r="AO84" s="43"/>
      <c r="AP84" s="43"/>
      <c r="AQ84" s="43"/>
      <c r="AR84" s="43"/>
      <c r="AS84" s="43"/>
      <c r="AT84" s="43"/>
      <c r="AU84" s="43"/>
      <c r="AV84" s="43"/>
      <c r="AW84" s="43"/>
      <c r="AX84" s="43"/>
      <c r="AY84" s="43"/>
      <c r="AZ84" s="43"/>
      <c r="BA84" s="43"/>
      <c r="BB84" s="43"/>
    </row>
    <row r="85" spans="1:54">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I85" s="43"/>
      <c r="AJ85" s="43"/>
      <c r="AK85" s="43"/>
      <c r="AL85" s="43"/>
      <c r="AM85" s="43"/>
      <c r="AN85" s="43"/>
      <c r="AO85" s="43"/>
      <c r="AP85" s="43"/>
      <c r="AQ85" s="43"/>
      <c r="AR85" s="43"/>
      <c r="AS85" s="43"/>
      <c r="AT85" s="43"/>
      <c r="AU85" s="43"/>
      <c r="AV85" s="43"/>
      <c r="AW85" s="43"/>
      <c r="AX85" s="43"/>
      <c r="AY85" s="43"/>
      <c r="AZ85" s="43"/>
      <c r="BA85" s="43"/>
      <c r="BB85" s="43"/>
    </row>
    <row r="86" spans="1:54">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I86" s="43"/>
      <c r="AJ86" s="43"/>
      <c r="AK86" s="43"/>
      <c r="AL86" s="43"/>
      <c r="AM86" s="43"/>
      <c r="AN86" s="43"/>
      <c r="AO86" s="43"/>
      <c r="AP86" s="43"/>
      <c r="AQ86" s="43"/>
      <c r="AR86" s="43"/>
      <c r="AS86" s="43"/>
      <c r="AT86" s="43"/>
      <c r="AU86" s="43"/>
      <c r="AV86" s="43"/>
      <c r="AW86" s="43"/>
      <c r="AX86" s="43"/>
      <c r="AY86" s="43"/>
      <c r="AZ86" s="43"/>
      <c r="BA86" s="43"/>
      <c r="BB86" s="43"/>
    </row>
    <row r="87" spans="1:54">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I87" s="43"/>
      <c r="AJ87" s="43"/>
      <c r="AK87" s="43"/>
      <c r="AL87" s="43"/>
      <c r="AM87" s="43"/>
      <c r="AN87" s="43"/>
      <c r="AO87" s="43"/>
      <c r="AP87" s="43"/>
      <c r="AQ87" s="43"/>
      <c r="AR87" s="43"/>
      <c r="AS87" s="43"/>
      <c r="AT87" s="43"/>
      <c r="AU87" s="43"/>
      <c r="AV87" s="43"/>
      <c r="AW87" s="43"/>
      <c r="AX87" s="43"/>
      <c r="AY87" s="43"/>
      <c r="AZ87" s="43"/>
      <c r="BA87" s="43"/>
      <c r="BB87" s="43"/>
    </row>
    <row r="88" spans="1:54">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I88" s="43"/>
      <c r="AJ88" s="43"/>
      <c r="AK88" s="43"/>
      <c r="AL88" s="43"/>
      <c r="AM88" s="43"/>
      <c r="AN88" s="43"/>
      <c r="AO88" s="43"/>
      <c r="AP88" s="43"/>
      <c r="AQ88" s="43"/>
      <c r="AR88" s="43"/>
      <c r="AS88" s="43"/>
      <c r="AT88" s="43"/>
      <c r="AU88" s="43"/>
      <c r="AV88" s="43"/>
      <c r="AW88" s="43"/>
      <c r="AX88" s="43"/>
      <c r="AY88" s="43"/>
      <c r="AZ88" s="43"/>
      <c r="BA88" s="43"/>
      <c r="BB88" s="43"/>
    </row>
    <row r="89" spans="1:54">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I89" s="43"/>
      <c r="AJ89" s="43"/>
      <c r="AK89" s="43"/>
      <c r="AL89" s="43"/>
      <c r="AM89" s="43"/>
      <c r="AN89" s="43"/>
      <c r="AO89" s="43"/>
      <c r="AP89" s="43"/>
      <c r="AQ89" s="43"/>
      <c r="AR89" s="43"/>
      <c r="AS89" s="43"/>
      <c r="AT89" s="43"/>
      <c r="AU89" s="43"/>
      <c r="AV89" s="43"/>
      <c r="AW89" s="43"/>
      <c r="AX89" s="43"/>
      <c r="AY89" s="43"/>
      <c r="AZ89" s="43"/>
      <c r="BA89" s="43"/>
      <c r="BB89" s="43"/>
    </row>
    <row r="90" spans="1:54" ht="15.65" customHeight="1">
      <c r="A90" s="43"/>
      <c r="B90" s="122"/>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I90" s="43"/>
      <c r="AJ90" s="43"/>
      <c r="AK90" s="43"/>
      <c r="AL90" s="43"/>
      <c r="AM90" s="43"/>
      <c r="AN90" s="43"/>
      <c r="AO90" s="43"/>
      <c r="AP90" s="43"/>
      <c r="AQ90" s="43"/>
      <c r="AR90" s="43"/>
      <c r="AS90" s="43"/>
      <c r="AT90" s="43"/>
      <c r="AU90" s="43"/>
      <c r="AV90" s="43"/>
      <c r="AW90" s="43"/>
      <c r="AX90" s="43"/>
      <c r="AY90" s="43"/>
      <c r="AZ90" s="43"/>
      <c r="BA90" s="43"/>
      <c r="BB90" s="43"/>
    </row>
    <row r="91" spans="1:54">
      <c r="A91" s="43"/>
      <c r="B91" s="123"/>
      <c r="C91" s="124"/>
      <c r="D91" s="43"/>
      <c r="E91" s="43"/>
      <c r="F91" s="43"/>
      <c r="G91" s="43"/>
      <c r="H91" s="43"/>
      <c r="I91" s="43"/>
      <c r="J91" s="43"/>
      <c r="K91" s="43"/>
      <c r="L91" s="43"/>
      <c r="M91" s="43"/>
      <c r="N91" s="43"/>
      <c r="O91" s="43"/>
      <c r="P91" s="43"/>
      <c r="Q91" s="43"/>
      <c r="R91" s="43"/>
      <c r="S91" s="43"/>
      <c r="T91" s="43"/>
      <c r="U91" s="43"/>
      <c r="V91" s="43"/>
      <c r="W91" s="43"/>
      <c r="X91" s="124"/>
      <c r="Y91" s="43"/>
      <c r="Z91" s="43"/>
      <c r="AA91" s="43"/>
      <c r="AB91" s="43"/>
      <c r="AC91" s="43"/>
      <c r="AD91" s="43"/>
      <c r="AE91" s="43"/>
      <c r="AF91" s="43"/>
      <c r="AG91" s="43"/>
      <c r="AI91" s="43"/>
      <c r="AJ91" s="43"/>
      <c r="AK91" s="43"/>
      <c r="AL91" s="43"/>
      <c r="AM91" s="43"/>
      <c r="AN91" s="43"/>
      <c r="AO91" s="43"/>
      <c r="AP91" s="43"/>
      <c r="AQ91" s="43"/>
      <c r="AR91" s="43"/>
      <c r="AS91" s="124"/>
      <c r="AT91" s="43"/>
      <c r="AU91" s="43"/>
      <c r="AV91" s="43"/>
      <c r="AW91" s="43"/>
      <c r="AX91" s="43"/>
      <c r="AY91" s="43"/>
      <c r="AZ91" s="43"/>
      <c r="BA91" s="43"/>
      <c r="BB91" s="43"/>
    </row>
    <row r="92" spans="1:54">
      <c r="A92" s="43"/>
      <c r="B92" s="43"/>
      <c r="C92" s="72"/>
      <c r="D92" s="43"/>
      <c r="E92" s="43"/>
      <c r="F92" s="43"/>
      <c r="G92" s="43"/>
      <c r="H92" s="43"/>
      <c r="I92" s="43"/>
      <c r="J92" s="43"/>
      <c r="K92" s="43"/>
      <c r="L92" s="43"/>
      <c r="M92" s="43"/>
      <c r="N92" s="124"/>
      <c r="O92" s="43"/>
      <c r="P92" s="43"/>
      <c r="Q92" s="43"/>
      <c r="R92" s="43"/>
      <c r="S92" s="43"/>
      <c r="T92" s="43"/>
      <c r="U92" s="43"/>
      <c r="V92" s="43"/>
      <c r="W92" s="43"/>
      <c r="X92" s="72"/>
      <c r="Y92" s="43"/>
      <c r="Z92" s="43"/>
      <c r="AA92" s="43"/>
      <c r="AB92" s="43"/>
      <c r="AC92" s="43"/>
      <c r="AD92" s="43"/>
      <c r="AE92" s="43"/>
      <c r="AF92" s="43"/>
      <c r="AG92" s="43"/>
      <c r="AI92" s="124"/>
      <c r="AJ92" s="43"/>
      <c r="AK92" s="43"/>
      <c r="AL92" s="43"/>
      <c r="AM92" s="43"/>
      <c r="AN92" s="43"/>
      <c r="AO92" s="43"/>
      <c r="AP92" s="43"/>
      <c r="AQ92" s="43"/>
      <c r="AR92" s="43"/>
      <c r="AS92" s="72"/>
      <c r="AT92" s="43"/>
      <c r="AU92" s="43"/>
      <c r="AV92" s="43"/>
      <c r="AW92" s="43"/>
      <c r="AX92" s="43"/>
      <c r="AY92" s="43"/>
      <c r="AZ92" s="43"/>
      <c r="BA92" s="43"/>
      <c r="BB92" s="43"/>
    </row>
    <row r="93" spans="1:54">
      <c r="A93" s="43"/>
      <c r="B93" s="43"/>
      <c r="C93" s="72"/>
      <c r="D93" s="43"/>
      <c r="E93" s="43"/>
      <c r="F93" s="43"/>
      <c r="G93" s="43"/>
      <c r="H93" s="43"/>
      <c r="I93" s="43"/>
      <c r="J93" s="43"/>
      <c r="K93" s="43"/>
      <c r="L93" s="43"/>
      <c r="M93" s="43"/>
      <c r="N93" s="72"/>
      <c r="O93" s="43"/>
      <c r="P93" s="43"/>
      <c r="Q93" s="43"/>
      <c r="R93" s="43"/>
      <c r="S93" s="43"/>
      <c r="T93" s="43"/>
      <c r="U93" s="43"/>
      <c r="V93" s="43"/>
      <c r="W93" s="43"/>
      <c r="X93" s="72"/>
      <c r="Y93" s="43"/>
      <c r="Z93" s="43"/>
      <c r="AA93" s="43"/>
      <c r="AB93" s="43"/>
      <c r="AC93" s="43"/>
      <c r="AD93" s="43"/>
      <c r="AE93" s="43"/>
      <c r="AF93" s="43"/>
      <c r="AG93" s="43"/>
      <c r="AI93" s="72"/>
      <c r="AJ93" s="43"/>
      <c r="AK93" s="43"/>
      <c r="AL93" s="43"/>
      <c r="AM93" s="43"/>
      <c r="AN93" s="43"/>
      <c r="AO93" s="43"/>
      <c r="AP93" s="43"/>
      <c r="AQ93" s="43"/>
      <c r="AR93" s="43"/>
      <c r="AS93" s="72"/>
      <c r="AT93" s="43"/>
      <c r="AU93" s="43"/>
      <c r="AV93" s="43"/>
      <c r="AW93" s="43"/>
      <c r="AX93" s="43"/>
      <c r="AY93" s="43"/>
      <c r="AZ93" s="43"/>
      <c r="BA93" s="43"/>
      <c r="BB93" s="43"/>
    </row>
    <row r="94" spans="1:54">
      <c r="A94" s="43"/>
      <c r="B94" s="43"/>
      <c r="C94" s="72"/>
      <c r="D94" s="125"/>
      <c r="E94" s="43"/>
      <c r="F94" s="43"/>
      <c r="G94" s="43"/>
      <c r="H94" s="43"/>
      <c r="I94" s="43"/>
      <c r="J94" s="43"/>
      <c r="K94" s="43"/>
      <c r="L94" s="43"/>
      <c r="M94" s="43"/>
      <c r="N94" s="72"/>
      <c r="O94" s="43"/>
      <c r="P94" s="43"/>
      <c r="Q94" s="43"/>
      <c r="R94" s="43"/>
      <c r="S94" s="43"/>
      <c r="T94" s="43"/>
      <c r="U94" s="43"/>
      <c r="V94" s="43"/>
      <c r="W94" s="43"/>
      <c r="X94" s="72"/>
      <c r="Y94" s="43"/>
      <c r="Z94" s="43"/>
      <c r="AA94" s="43"/>
      <c r="AB94" s="43"/>
      <c r="AC94" s="43"/>
      <c r="AD94" s="43"/>
      <c r="AE94" s="43"/>
      <c r="AF94" s="43"/>
      <c r="AG94" s="43"/>
      <c r="AI94" s="72"/>
      <c r="AJ94" s="43"/>
      <c r="AK94" s="43"/>
      <c r="AL94" s="43"/>
      <c r="AM94" s="43"/>
      <c r="AN94" s="43"/>
      <c r="AO94" s="43"/>
      <c r="AP94" s="43"/>
      <c r="AQ94" s="43"/>
      <c r="AR94" s="43"/>
      <c r="AS94" s="72"/>
      <c r="AT94" s="43"/>
      <c r="AU94" s="43"/>
      <c r="AV94" s="43"/>
      <c r="AW94" s="43"/>
      <c r="AX94" s="43"/>
      <c r="AY94" s="43"/>
      <c r="AZ94" s="43"/>
      <c r="BA94" s="43"/>
      <c r="BB94" s="43"/>
    </row>
    <row r="95" spans="1:54">
      <c r="A95" s="43"/>
      <c r="B95" s="123"/>
      <c r="C95" s="72"/>
      <c r="D95" s="43"/>
      <c r="E95" s="43"/>
      <c r="F95" s="43"/>
      <c r="G95" s="43"/>
      <c r="H95" s="43"/>
      <c r="I95" s="43"/>
      <c r="J95" s="43"/>
      <c r="K95" s="43"/>
      <c r="L95" s="43"/>
      <c r="M95" s="43"/>
      <c r="N95" s="72"/>
      <c r="O95" s="43"/>
      <c r="P95" s="43"/>
      <c r="Q95" s="43"/>
      <c r="R95" s="43"/>
      <c r="S95" s="43"/>
      <c r="T95" s="43"/>
      <c r="U95" s="43"/>
      <c r="V95" s="43"/>
      <c r="W95" s="43"/>
      <c r="X95" s="72"/>
      <c r="Y95" s="43"/>
      <c r="Z95" s="43"/>
      <c r="AA95" s="43"/>
      <c r="AB95" s="43"/>
      <c r="AC95" s="43"/>
      <c r="AD95" s="43"/>
      <c r="AE95" s="43"/>
      <c r="AF95" s="43"/>
      <c r="AG95" s="43"/>
      <c r="AI95" s="72"/>
      <c r="AJ95" s="43"/>
      <c r="AK95" s="43"/>
      <c r="AL95" s="43"/>
      <c r="AM95" s="43"/>
      <c r="AN95" s="43"/>
      <c r="AO95" s="43"/>
      <c r="AP95" s="43"/>
      <c r="AQ95" s="43"/>
      <c r="AR95" s="43"/>
      <c r="AS95" s="72"/>
      <c r="AT95" s="43"/>
      <c r="AU95" s="43"/>
      <c r="AV95" s="43"/>
      <c r="AW95" s="43"/>
      <c r="AX95" s="43"/>
      <c r="AY95" s="43"/>
      <c r="AZ95" s="43"/>
      <c r="BA95" s="43"/>
      <c r="BB95" s="43"/>
    </row>
    <row r="96" spans="1:54">
      <c r="A96" s="43"/>
      <c r="B96" s="43"/>
      <c r="C96" s="126"/>
      <c r="D96" s="110"/>
      <c r="E96" s="43"/>
      <c r="F96" s="43"/>
      <c r="G96" s="43"/>
      <c r="H96" s="43"/>
      <c r="I96" s="43"/>
      <c r="J96" s="43"/>
      <c r="K96" s="43"/>
      <c r="L96" s="43"/>
      <c r="M96" s="43"/>
      <c r="N96" s="72"/>
      <c r="O96" s="43"/>
      <c r="P96" s="43"/>
      <c r="Q96" s="43"/>
      <c r="R96" s="43"/>
      <c r="S96" s="43"/>
      <c r="T96" s="43"/>
      <c r="U96" s="43"/>
      <c r="V96" s="43"/>
      <c r="W96" s="43"/>
      <c r="X96" s="126"/>
      <c r="Y96" s="43"/>
      <c r="Z96" s="43"/>
      <c r="AA96" s="43"/>
      <c r="AB96" s="43"/>
      <c r="AC96" s="43"/>
      <c r="AD96" s="43"/>
      <c r="AE96" s="43"/>
      <c r="AF96" s="43"/>
      <c r="AG96" s="43"/>
      <c r="AI96" s="72"/>
      <c r="AJ96" s="43"/>
      <c r="AK96" s="43"/>
      <c r="AL96" s="43"/>
      <c r="AM96" s="43"/>
      <c r="AN96" s="43"/>
      <c r="AO96" s="43"/>
      <c r="AP96" s="43"/>
      <c r="AQ96" s="43"/>
      <c r="AR96" s="43"/>
      <c r="AS96" s="126"/>
      <c r="AT96" s="43"/>
      <c r="AU96" s="43"/>
      <c r="AV96" s="43"/>
      <c r="AW96" s="43"/>
      <c r="AX96" s="43"/>
      <c r="AY96" s="43"/>
      <c r="AZ96" s="43"/>
      <c r="BA96" s="43"/>
      <c r="BB96" s="43"/>
    </row>
    <row r="97" spans="1:54">
      <c r="A97" s="43"/>
      <c r="B97" s="43"/>
      <c r="C97" s="127"/>
      <c r="D97" s="110"/>
      <c r="E97" s="43"/>
      <c r="F97" s="43"/>
      <c r="G97" s="43"/>
      <c r="H97" s="43"/>
      <c r="I97" s="43"/>
      <c r="J97" s="43"/>
      <c r="K97" s="43"/>
      <c r="L97" s="43"/>
      <c r="M97" s="43"/>
      <c r="N97" s="126"/>
      <c r="O97" s="43"/>
      <c r="P97" s="43"/>
      <c r="Q97" s="43"/>
      <c r="R97" s="43"/>
      <c r="S97" s="43"/>
      <c r="T97" s="43"/>
      <c r="U97" s="43"/>
      <c r="V97" s="43"/>
      <c r="W97" s="43"/>
      <c r="X97" s="127"/>
      <c r="Y97" s="43"/>
      <c r="Z97" s="43"/>
      <c r="AA97" s="43"/>
      <c r="AB97" s="43"/>
      <c r="AC97" s="43"/>
      <c r="AD97" s="43"/>
      <c r="AE97" s="43"/>
      <c r="AF97" s="43"/>
      <c r="AG97" s="43"/>
      <c r="AI97" s="126"/>
      <c r="AJ97" s="43"/>
      <c r="AK97" s="43"/>
      <c r="AL97" s="43"/>
      <c r="AM97" s="43"/>
      <c r="AN97" s="43"/>
      <c r="AO97" s="43"/>
      <c r="AP97" s="43"/>
      <c r="AQ97" s="43"/>
      <c r="AR97" s="43"/>
      <c r="AS97" s="127"/>
      <c r="AT97" s="43"/>
      <c r="AU97" s="43"/>
      <c r="AV97" s="43"/>
      <c r="AW97" s="43"/>
      <c r="AX97" s="43"/>
      <c r="AY97" s="43"/>
      <c r="AZ97" s="43"/>
      <c r="BA97" s="43"/>
      <c r="BB97" s="43"/>
    </row>
    <row r="98" spans="1:54">
      <c r="A98" s="43"/>
      <c r="B98" s="43"/>
      <c r="C98" s="128"/>
      <c r="D98" s="110"/>
      <c r="E98" s="43"/>
      <c r="F98" s="43"/>
      <c r="G98" s="43"/>
      <c r="H98" s="43"/>
      <c r="I98" s="43"/>
      <c r="J98" s="43"/>
      <c r="K98" s="43"/>
      <c r="L98" s="43"/>
      <c r="M98" s="43"/>
      <c r="N98" s="127"/>
      <c r="O98" s="43"/>
      <c r="P98" s="43"/>
      <c r="Q98" s="43"/>
      <c r="R98" s="43"/>
      <c r="S98" s="43"/>
      <c r="T98" s="43"/>
      <c r="U98" s="43"/>
      <c r="V98" s="43"/>
      <c r="W98" s="43"/>
      <c r="X98" s="128"/>
      <c r="Y98" s="43"/>
      <c r="Z98" s="43"/>
      <c r="AA98" s="43"/>
      <c r="AB98" s="43"/>
      <c r="AC98" s="43"/>
      <c r="AD98" s="43"/>
      <c r="AE98" s="43"/>
      <c r="AF98" s="43"/>
      <c r="AG98" s="43"/>
      <c r="AI98" s="127"/>
      <c r="AJ98" s="43"/>
      <c r="AK98" s="43"/>
      <c r="AL98" s="43"/>
      <c r="AM98" s="43"/>
      <c r="AN98" s="43"/>
      <c r="AO98" s="43"/>
      <c r="AP98" s="43"/>
      <c r="AQ98" s="43"/>
      <c r="AR98" s="43"/>
      <c r="AS98" s="128"/>
      <c r="AT98" s="43"/>
      <c r="AU98" s="43"/>
      <c r="AV98" s="43"/>
      <c r="AW98" s="43"/>
      <c r="AX98" s="43"/>
      <c r="AY98" s="43"/>
      <c r="AZ98" s="43"/>
      <c r="BA98" s="43"/>
      <c r="BB98" s="43"/>
    </row>
    <row r="99" spans="1:54">
      <c r="A99" s="43"/>
      <c r="B99" s="43"/>
      <c r="C99" s="128"/>
      <c r="D99" s="110"/>
      <c r="E99" s="43"/>
      <c r="F99" s="43"/>
      <c r="G99" s="43"/>
      <c r="H99" s="43"/>
      <c r="I99" s="43"/>
      <c r="J99" s="43"/>
      <c r="K99" s="43"/>
      <c r="L99" s="43"/>
      <c r="M99" s="43"/>
      <c r="N99" s="128"/>
      <c r="O99" s="43"/>
      <c r="P99" s="43"/>
      <c r="Q99" s="43"/>
      <c r="R99" s="43"/>
      <c r="S99" s="43"/>
      <c r="T99" s="43"/>
      <c r="U99" s="43"/>
      <c r="V99" s="43"/>
      <c r="W99" s="43"/>
      <c r="X99" s="128"/>
      <c r="Y99" s="43"/>
      <c r="Z99" s="43"/>
      <c r="AA99" s="43"/>
      <c r="AB99" s="43"/>
      <c r="AC99" s="43"/>
      <c r="AD99" s="43"/>
      <c r="AE99" s="43"/>
      <c r="AF99" s="43"/>
      <c r="AG99" s="43"/>
      <c r="AI99" s="128"/>
      <c r="AJ99" s="43"/>
      <c r="AK99" s="43"/>
      <c r="AL99" s="43"/>
      <c r="AM99" s="43"/>
      <c r="AN99" s="43"/>
      <c r="AO99" s="43"/>
      <c r="AP99" s="43"/>
      <c r="AQ99" s="43"/>
      <c r="AR99" s="43"/>
      <c r="AS99" s="128"/>
      <c r="AT99" s="43"/>
      <c r="AU99" s="43"/>
      <c r="AV99" s="43"/>
      <c r="AW99" s="43"/>
      <c r="AX99" s="43"/>
      <c r="AY99" s="43"/>
      <c r="AZ99" s="43"/>
      <c r="BA99" s="43"/>
      <c r="BB99" s="43"/>
    </row>
    <row r="100" spans="1:54">
      <c r="A100" s="43"/>
      <c r="B100" s="43"/>
      <c r="C100" s="128"/>
      <c r="D100" s="110"/>
      <c r="E100" s="43"/>
      <c r="F100" s="43"/>
      <c r="G100" s="43"/>
      <c r="H100" s="43"/>
      <c r="I100" s="43"/>
      <c r="J100" s="43"/>
      <c r="K100" s="43"/>
      <c r="L100" s="43"/>
      <c r="M100" s="43"/>
      <c r="N100" s="128"/>
      <c r="O100" s="43"/>
      <c r="P100" s="43"/>
      <c r="Q100" s="43"/>
      <c r="R100" s="43"/>
      <c r="S100" s="43"/>
      <c r="T100" s="43"/>
      <c r="U100" s="43"/>
      <c r="V100" s="43"/>
      <c r="W100" s="43"/>
      <c r="X100" s="128"/>
      <c r="Y100" s="43"/>
      <c r="Z100" s="43"/>
      <c r="AA100" s="43"/>
      <c r="AB100" s="43"/>
      <c r="AC100" s="43"/>
      <c r="AD100" s="43"/>
      <c r="AE100" s="43"/>
      <c r="AF100" s="43"/>
      <c r="AG100" s="43"/>
      <c r="AI100" s="128"/>
      <c r="AJ100" s="43"/>
      <c r="AK100" s="43"/>
      <c r="AL100" s="43"/>
      <c r="AM100" s="43"/>
      <c r="AN100" s="43"/>
      <c r="AO100" s="43"/>
      <c r="AP100" s="43"/>
      <c r="AQ100" s="43"/>
      <c r="AR100" s="43"/>
      <c r="AS100" s="128"/>
      <c r="AT100" s="43"/>
      <c r="AU100" s="43"/>
      <c r="AV100" s="43"/>
      <c r="AW100" s="43"/>
      <c r="AX100" s="43"/>
      <c r="AY100" s="43"/>
      <c r="AZ100" s="43"/>
      <c r="BA100" s="43"/>
      <c r="BB100" s="43"/>
    </row>
    <row r="101" spans="1:54">
      <c r="A101" s="43"/>
      <c r="B101" s="43"/>
      <c r="C101" s="129"/>
      <c r="D101" s="43"/>
      <c r="E101" s="43"/>
      <c r="F101" s="43"/>
      <c r="G101" s="43"/>
      <c r="H101" s="43"/>
      <c r="I101" s="43"/>
      <c r="J101" s="43"/>
      <c r="K101" s="43"/>
      <c r="L101" s="43"/>
      <c r="M101" s="43"/>
      <c r="N101" s="128"/>
      <c r="O101" s="43"/>
      <c r="P101" s="43"/>
      <c r="Q101" s="43"/>
      <c r="R101" s="43"/>
      <c r="S101" s="43"/>
      <c r="T101" s="43"/>
      <c r="U101" s="43"/>
      <c r="V101" s="43"/>
      <c r="W101" s="43"/>
      <c r="X101" s="129"/>
      <c r="Y101" s="43"/>
      <c r="Z101" s="43"/>
      <c r="AA101" s="43"/>
      <c r="AB101" s="43"/>
      <c r="AC101" s="43"/>
      <c r="AD101" s="43"/>
      <c r="AE101" s="43"/>
      <c r="AF101" s="43"/>
      <c r="AG101" s="43"/>
      <c r="AI101" s="128"/>
      <c r="AJ101" s="43"/>
      <c r="AK101" s="43"/>
      <c r="AL101" s="43"/>
      <c r="AM101" s="43"/>
      <c r="AN101" s="43"/>
      <c r="AO101" s="43"/>
      <c r="AP101" s="43"/>
      <c r="AQ101" s="43"/>
      <c r="AR101" s="43"/>
      <c r="AS101" s="129"/>
      <c r="AT101" s="43"/>
      <c r="AU101" s="43"/>
      <c r="AV101" s="43"/>
      <c r="AW101" s="43"/>
      <c r="AX101" s="43"/>
      <c r="AY101" s="43"/>
      <c r="AZ101" s="43"/>
      <c r="BA101" s="43"/>
      <c r="BB101" s="43"/>
    </row>
    <row r="102" spans="1:54">
      <c r="A102" s="43"/>
      <c r="B102" s="123"/>
      <c r="C102" s="130"/>
      <c r="D102" s="43"/>
      <c r="E102" s="43"/>
      <c r="F102" s="43"/>
      <c r="G102" s="43"/>
      <c r="H102" s="43"/>
      <c r="I102" s="43"/>
      <c r="J102" s="43"/>
      <c r="K102" s="43"/>
      <c r="L102" s="43"/>
      <c r="M102" s="43"/>
      <c r="N102" s="129"/>
      <c r="O102" s="43"/>
      <c r="P102" s="43"/>
      <c r="Q102" s="43"/>
      <c r="R102" s="43"/>
      <c r="S102" s="43"/>
      <c r="T102" s="43"/>
      <c r="U102" s="43"/>
      <c r="V102" s="43"/>
      <c r="W102" s="43"/>
      <c r="X102" s="130"/>
      <c r="Y102" s="43"/>
      <c r="Z102" s="43"/>
      <c r="AA102" s="43"/>
      <c r="AB102" s="43"/>
      <c r="AC102" s="43"/>
      <c r="AD102" s="43"/>
      <c r="AE102" s="43"/>
      <c r="AF102" s="43"/>
      <c r="AG102" s="43"/>
      <c r="AI102" s="129"/>
      <c r="AJ102" s="43"/>
      <c r="AK102" s="43"/>
      <c r="AL102" s="43"/>
      <c r="AM102" s="43"/>
      <c r="AN102" s="43"/>
      <c r="AO102" s="43"/>
      <c r="AP102" s="43"/>
      <c r="AQ102" s="43"/>
      <c r="AR102" s="43"/>
      <c r="AS102" s="130"/>
      <c r="AT102" s="43"/>
      <c r="AU102" s="43"/>
      <c r="AV102" s="43"/>
      <c r="AW102" s="43"/>
      <c r="AX102" s="43"/>
      <c r="AY102" s="43"/>
      <c r="AZ102" s="43"/>
      <c r="BA102" s="43"/>
      <c r="BB102" s="43"/>
    </row>
    <row r="103" spans="1:54">
      <c r="A103" s="43"/>
      <c r="B103" s="123"/>
      <c r="C103" s="130"/>
      <c r="D103" s="43"/>
      <c r="E103" s="43"/>
      <c r="F103" s="43"/>
      <c r="G103" s="43"/>
      <c r="H103" s="43"/>
      <c r="I103" s="43"/>
      <c r="J103" s="43"/>
      <c r="K103" s="43"/>
      <c r="L103" s="43"/>
      <c r="M103" s="43"/>
      <c r="N103" s="130"/>
      <c r="O103" s="43"/>
      <c r="P103" s="43"/>
      <c r="Q103" s="43"/>
      <c r="R103" s="43"/>
      <c r="S103" s="43"/>
      <c r="T103" s="43"/>
      <c r="U103" s="43"/>
      <c r="V103" s="43"/>
      <c r="W103" s="43"/>
      <c r="X103" s="130"/>
      <c r="Y103" s="43"/>
      <c r="Z103" s="43"/>
      <c r="AA103" s="43"/>
      <c r="AB103" s="43"/>
      <c r="AC103" s="43"/>
      <c r="AD103" s="43"/>
      <c r="AE103" s="43"/>
      <c r="AF103" s="43"/>
      <c r="AG103" s="43"/>
      <c r="AI103" s="130"/>
      <c r="AJ103" s="43"/>
      <c r="AK103" s="43"/>
      <c r="AL103" s="43"/>
      <c r="AM103" s="43"/>
      <c r="AN103" s="43"/>
      <c r="AO103" s="43"/>
      <c r="AP103" s="43"/>
      <c r="AQ103" s="43"/>
      <c r="AR103" s="43"/>
      <c r="AS103" s="130"/>
      <c r="AT103" s="43"/>
      <c r="AU103" s="43"/>
      <c r="AV103" s="43"/>
      <c r="AW103" s="43"/>
      <c r="AX103" s="43"/>
      <c r="AY103" s="43"/>
      <c r="AZ103" s="43"/>
      <c r="BA103" s="43"/>
      <c r="BB103" s="43"/>
    </row>
    <row r="104" spans="1:54">
      <c r="A104" s="43"/>
      <c r="B104" s="43"/>
      <c r="C104" s="126"/>
      <c r="D104" s="43"/>
      <c r="E104" s="43"/>
      <c r="F104" s="43"/>
      <c r="G104" s="43"/>
      <c r="H104" s="43"/>
      <c r="I104" s="43"/>
      <c r="J104" s="43"/>
      <c r="K104" s="43"/>
      <c r="L104" s="43"/>
      <c r="M104" s="43"/>
      <c r="N104" s="130"/>
      <c r="O104" s="43"/>
      <c r="P104" s="43"/>
      <c r="Q104" s="43"/>
      <c r="R104" s="43"/>
      <c r="S104" s="43"/>
      <c r="T104" s="43"/>
      <c r="U104" s="43"/>
      <c r="V104" s="43"/>
      <c r="W104" s="43"/>
      <c r="X104" s="126"/>
      <c r="Y104" s="43"/>
      <c r="Z104" s="43"/>
      <c r="AA104" s="43"/>
      <c r="AB104" s="43"/>
      <c r="AC104" s="43"/>
      <c r="AD104" s="43"/>
      <c r="AE104" s="43"/>
      <c r="AF104" s="43"/>
      <c r="AG104" s="43"/>
      <c r="AI104" s="130"/>
      <c r="AJ104" s="43"/>
      <c r="AK104" s="43"/>
      <c r="AL104" s="43"/>
      <c r="AM104" s="43"/>
      <c r="AN104" s="43"/>
      <c r="AO104" s="43"/>
      <c r="AP104" s="43"/>
      <c r="AQ104" s="43"/>
      <c r="AR104" s="43"/>
      <c r="AS104" s="126"/>
      <c r="AT104" s="43"/>
      <c r="AU104" s="43"/>
      <c r="AV104" s="43"/>
      <c r="AW104" s="43"/>
      <c r="AX104" s="43"/>
      <c r="AY104" s="43"/>
      <c r="AZ104" s="43"/>
      <c r="BA104" s="43"/>
      <c r="BB104" s="43"/>
    </row>
    <row r="105" spans="1:54">
      <c r="A105" s="43"/>
      <c r="B105" s="43"/>
      <c r="C105" s="128"/>
      <c r="D105" s="110"/>
      <c r="E105" s="43"/>
      <c r="F105" s="43"/>
      <c r="G105" s="43"/>
      <c r="H105" s="43"/>
      <c r="I105" s="43"/>
      <c r="J105" s="43"/>
      <c r="K105" s="43"/>
      <c r="L105" s="43"/>
      <c r="M105" s="43"/>
      <c r="N105" s="126"/>
      <c r="O105" s="43"/>
      <c r="P105" s="43"/>
      <c r="Q105" s="43"/>
      <c r="R105" s="43"/>
      <c r="S105" s="43"/>
      <c r="T105" s="43"/>
      <c r="U105" s="43"/>
      <c r="V105" s="43"/>
      <c r="W105" s="43"/>
      <c r="X105" s="128"/>
      <c r="Y105" s="43"/>
      <c r="Z105" s="43"/>
      <c r="AA105" s="43"/>
      <c r="AB105" s="43"/>
      <c r="AC105" s="43"/>
      <c r="AD105" s="43"/>
      <c r="AE105" s="43"/>
      <c r="AF105" s="43"/>
      <c r="AG105" s="43"/>
      <c r="AI105" s="126"/>
      <c r="AJ105" s="43"/>
      <c r="AK105" s="43"/>
      <c r="AL105" s="43"/>
      <c r="AM105" s="43"/>
      <c r="AN105" s="43"/>
      <c r="AO105" s="43"/>
      <c r="AP105" s="43"/>
      <c r="AQ105" s="43"/>
      <c r="AR105" s="43"/>
      <c r="AS105" s="128"/>
      <c r="AT105" s="43"/>
      <c r="AU105" s="43"/>
      <c r="AV105" s="43"/>
      <c r="AW105" s="43"/>
      <c r="AX105" s="43"/>
      <c r="AY105" s="43"/>
      <c r="AZ105" s="43"/>
      <c r="BA105" s="43"/>
      <c r="BB105" s="43"/>
    </row>
    <row r="106" spans="1:54">
      <c r="A106" s="43"/>
      <c r="B106" s="43"/>
      <c r="C106" s="126"/>
      <c r="D106" s="110"/>
      <c r="E106" s="43"/>
      <c r="F106" s="43"/>
      <c r="G106" s="43"/>
      <c r="H106" s="43"/>
      <c r="I106" s="43"/>
      <c r="J106" s="43"/>
      <c r="K106" s="43"/>
      <c r="L106" s="43"/>
      <c r="M106" s="43"/>
      <c r="N106" s="128"/>
      <c r="O106" s="43"/>
      <c r="P106" s="43"/>
      <c r="Q106" s="43"/>
      <c r="R106" s="43"/>
      <c r="S106" s="43"/>
      <c r="T106" s="43"/>
      <c r="U106" s="43"/>
      <c r="V106" s="43"/>
      <c r="W106" s="43"/>
      <c r="X106" s="126"/>
      <c r="Y106" s="43"/>
      <c r="Z106" s="43"/>
      <c r="AA106" s="43"/>
      <c r="AB106" s="43"/>
      <c r="AC106" s="43"/>
      <c r="AD106" s="43"/>
      <c r="AE106" s="43"/>
      <c r="AF106" s="43"/>
      <c r="AG106" s="43"/>
      <c r="AI106" s="128"/>
      <c r="AJ106" s="43"/>
      <c r="AK106" s="43"/>
      <c r="AL106" s="43"/>
      <c r="AM106" s="43"/>
      <c r="AN106" s="43"/>
      <c r="AO106" s="43"/>
      <c r="AP106" s="43"/>
      <c r="AQ106" s="43"/>
      <c r="AR106" s="43"/>
      <c r="AS106" s="126"/>
      <c r="AT106" s="43"/>
      <c r="AU106" s="43"/>
      <c r="AV106" s="43"/>
      <c r="AW106" s="43"/>
      <c r="AX106" s="43"/>
      <c r="AY106" s="43"/>
      <c r="AZ106" s="43"/>
      <c r="BA106" s="43"/>
      <c r="BB106" s="43"/>
    </row>
    <row r="107" spans="1:54">
      <c r="A107" s="43"/>
      <c r="B107" s="43"/>
      <c r="C107" s="126"/>
      <c r="D107" s="131"/>
      <c r="E107" s="43"/>
      <c r="F107" s="43"/>
      <c r="G107" s="43"/>
      <c r="H107" s="43"/>
      <c r="I107" s="43"/>
      <c r="J107" s="43"/>
      <c r="K107" s="43"/>
      <c r="L107" s="43"/>
      <c r="M107" s="43"/>
      <c r="N107" s="126"/>
      <c r="O107" s="43"/>
      <c r="P107" s="43"/>
      <c r="Q107" s="43"/>
      <c r="R107" s="43"/>
      <c r="S107" s="43"/>
      <c r="T107" s="43"/>
      <c r="U107" s="43"/>
      <c r="V107" s="43"/>
      <c r="W107" s="43"/>
      <c r="X107" s="126"/>
      <c r="Y107" s="43"/>
      <c r="Z107" s="43"/>
      <c r="AA107" s="43"/>
      <c r="AB107" s="43"/>
      <c r="AC107" s="43"/>
      <c r="AD107" s="43"/>
      <c r="AE107" s="43"/>
      <c r="AF107" s="43"/>
      <c r="AG107" s="43"/>
      <c r="AI107" s="126"/>
      <c r="AJ107" s="43"/>
      <c r="AK107" s="43"/>
      <c r="AL107" s="43"/>
      <c r="AM107" s="43"/>
      <c r="AN107" s="43"/>
      <c r="AO107" s="43"/>
      <c r="AP107" s="43"/>
      <c r="AQ107" s="43"/>
      <c r="AR107" s="43"/>
      <c r="AS107" s="126"/>
      <c r="AT107" s="43"/>
      <c r="AU107" s="43"/>
      <c r="AV107" s="43"/>
      <c r="AW107" s="43"/>
      <c r="AX107" s="43"/>
      <c r="AY107" s="43"/>
      <c r="AZ107" s="43"/>
      <c r="BA107" s="43"/>
      <c r="BB107" s="43"/>
    </row>
    <row r="108" spans="1:54">
      <c r="A108" s="43"/>
      <c r="B108" s="43"/>
      <c r="C108" s="126"/>
      <c r="D108" s="132"/>
      <c r="E108" s="43"/>
      <c r="F108" s="43"/>
      <c r="G108" s="43"/>
      <c r="H108" s="43"/>
      <c r="I108" s="43"/>
      <c r="J108" s="43"/>
      <c r="K108" s="43"/>
      <c r="L108" s="43"/>
      <c r="M108" s="43"/>
      <c r="N108" s="126"/>
      <c r="O108" s="43"/>
      <c r="P108" s="43"/>
      <c r="Q108" s="43"/>
      <c r="R108" s="43"/>
      <c r="S108" s="43"/>
      <c r="T108" s="43"/>
      <c r="U108" s="43"/>
      <c r="V108" s="43"/>
      <c r="W108" s="43"/>
      <c r="X108" s="126"/>
      <c r="Y108" s="43"/>
      <c r="Z108" s="43"/>
      <c r="AA108" s="43"/>
      <c r="AB108" s="43"/>
      <c r="AC108" s="43"/>
      <c r="AD108" s="43"/>
      <c r="AE108" s="43"/>
      <c r="AF108" s="43"/>
      <c r="AG108" s="43"/>
      <c r="AI108" s="126"/>
      <c r="AJ108" s="43"/>
      <c r="AK108" s="43"/>
      <c r="AL108" s="43"/>
      <c r="AM108" s="43"/>
      <c r="AN108" s="43"/>
      <c r="AO108" s="43"/>
      <c r="AP108" s="43"/>
      <c r="AQ108" s="43"/>
      <c r="AR108" s="43"/>
      <c r="AS108" s="126"/>
      <c r="AT108" s="43"/>
      <c r="AU108" s="43"/>
      <c r="AV108" s="43"/>
      <c r="AW108" s="43"/>
      <c r="AX108" s="43"/>
      <c r="AY108" s="43"/>
      <c r="AZ108" s="43"/>
      <c r="BA108" s="43"/>
      <c r="BB108" s="43"/>
    </row>
    <row r="109" spans="1:54">
      <c r="A109" s="43"/>
      <c r="B109" s="43"/>
      <c r="C109" s="130"/>
      <c r="D109" s="43"/>
      <c r="E109" s="43"/>
      <c r="F109" s="43"/>
      <c r="G109" s="43"/>
      <c r="H109" s="43"/>
      <c r="I109" s="43"/>
      <c r="J109" s="43"/>
      <c r="K109" s="43"/>
      <c r="L109" s="43"/>
      <c r="M109" s="43"/>
      <c r="N109" s="126"/>
      <c r="O109" s="43"/>
      <c r="P109" s="43"/>
      <c r="Q109" s="43"/>
      <c r="R109" s="43"/>
      <c r="S109" s="43"/>
      <c r="T109" s="43"/>
      <c r="U109" s="43"/>
      <c r="V109" s="43"/>
      <c r="W109" s="43"/>
      <c r="X109" s="130"/>
      <c r="Y109" s="43"/>
      <c r="Z109" s="43"/>
      <c r="AA109" s="43"/>
      <c r="AB109" s="43"/>
      <c r="AC109" s="43"/>
      <c r="AD109" s="43"/>
      <c r="AE109" s="43"/>
      <c r="AF109" s="43"/>
      <c r="AG109" s="43"/>
      <c r="AI109" s="126"/>
      <c r="AJ109" s="43"/>
      <c r="AK109" s="43"/>
      <c r="AL109" s="43"/>
      <c r="AM109" s="43"/>
      <c r="AN109" s="43"/>
      <c r="AO109" s="43"/>
      <c r="AP109" s="43"/>
      <c r="AQ109" s="43"/>
      <c r="AR109" s="43"/>
      <c r="AS109" s="130"/>
      <c r="AT109" s="43"/>
      <c r="AU109" s="43"/>
      <c r="AV109" s="43"/>
      <c r="AW109" s="43"/>
      <c r="AX109" s="43"/>
      <c r="AY109" s="43"/>
      <c r="AZ109" s="43"/>
      <c r="BA109" s="43"/>
      <c r="BB109" s="43"/>
    </row>
    <row r="110" spans="1:54">
      <c r="A110" s="43"/>
      <c r="B110" s="123"/>
      <c r="C110" s="130"/>
      <c r="D110" s="43"/>
      <c r="E110" s="43"/>
      <c r="F110" s="43"/>
      <c r="G110" s="43"/>
      <c r="H110" s="43"/>
      <c r="I110" s="43"/>
      <c r="J110" s="43"/>
      <c r="K110" s="43"/>
      <c r="L110" s="43"/>
      <c r="M110" s="43"/>
      <c r="N110" s="130"/>
      <c r="O110" s="43"/>
      <c r="P110" s="43"/>
      <c r="Q110" s="43"/>
      <c r="R110" s="43"/>
      <c r="S110" s="43"/>
      <c r="T110" s="43"/>
      <c r="U110" s="43"/>
      <c r="V110" s="43"/>
      <c r="W110" s="43"/>
      <c r="X110" s="130"/>
      <c r="Y110" s="43"/>
      <c r="Z110" s="43"/>
      <c r="AA110" s="43"/>
      <c r="AB110" s="43"/>
      <c r="AC110" s="43"/>
      <c r="AD110" s="43"/>
      <c r="AE110" s="43"/>
      <c r="AF110" s="43"/>
      <c r="AG110" s="43"/>
      <c r="AI110" s="130"/>
      <c r="AJ110" s="43"/>
      <c r="AK110" s="43"/>
      <c r="AL110" s="43"/>
      <c r="AM110" s="43"/>
      <c r="AN110" s="43"/>
      <c r="AO110" s="43"/>
      <c r="AP110" s="43"/>
      <c r="AQ110" s="43"/>
      <c r="AR110" s="43"/>
      <c r="AS110" s="130"/>
      <c r="AT110" s="43"/>
      <c r="AU110" s="43"/>
      <c r="AV110" s="43"/>
      <c r="AW110" s="43"/>
      <c r="AX110" s="43"/>
      <c r="AY110" s="43"/>
      <c r="AZ110" s="43"/>
      <c r="BA110" s="43"/>
      <c r="BB110" s="43"/>
    </row>
    <row r="111" spans="1:54">
      <c r="A111" s="43"/>
      <c r="B111" s="43"/>
      <c r="C111" s="126"/>
      <c r="D111" s="110"/>
      <c r="E111" s="43"/>
      <c r="F111" s="43"/>
      <c r="G111" s="43"/>
      <c r="H111" s="43"/>
      <c r="I111" s="43"/>
      <c r="J111" s="43"/>
      <c r="K111" s="43"/>
      <c r="L111" s="43"/>
      <c r="M111" s="43"/>
      <c r="N111" s="130"/>
      <c r="O111" s="43"/>
      <c r="P111" s="43"/>
      <c r="Q111" s="43"/>
      <c r="R111" s="43"/>
      <c r="S111" s="43"/>
      <c r="T111" s="43"/>
      <c r="U111" s="43"/>
      <c r="V111" s="43"/>
      <c r="W111" s="43"/>
      <c r="X111" s="126"/>
      <c r="Y111" s="43"/>
      <c r="Z111" s="43"/>
      <c r="AA111" s="43"/>
      <c r="AB111" s="43"/>
      <c r="AC111" s="43"/>
      <c r="AD111" s="43"/>
      <c r="AE111" s="43"/>
      <c r="AF111" s="43"/>
      <c r="AG111" s="43"/>
      <c r="AI111" s="130"/>
      <c r="AJ111" s="43"/>
      <c r="AK111" s="43"/>
      <c r="AL111" s="43"/>
      <c r="AM111" s="43"/>
      <c r="AN111" s="43"/>
      <c r="AO111" s="43"/>
      <c r="AP111" s="43"/>
      <c r="AQ111" s="43"/>
      <c r="AR111" s="43"/>
      <c r="AS111" s="126"/>
      <c r="AT111" s="43"/>
      <c r="AU111" s="43"/>
      <c r="AV111" s="43"/>
      <c r="AW111" s="43"/>
      <c r="AX111" s="43"/>
      <c r="AY111" s="43"/>
      <c r="AZ111" s="43"/>
      <c r="BA111" s="43"/>
      <c r="BB111" s="43"/>
    </row>
    <row r="112" spans="1:54">
      <c r="A112" s="43"/>
      <c r="B112" s="43"/>
      <c r="C112" s="126"/>
      <c r="D112" s="110"/>
      <c r="E112" s="43"/>
      <c r="F112" s="43"/>
      <c r="G112" s="43"/>
      <c r="H112" s="43"/>
      <c r="I112" s="43"/>
      <c r="J112" s="43"/>
      <c r="K112" s="43"/>
      <c r="L112" s="43"/>
      <c r="M112" s="43"/>
      <c r="N112" s="126"/>
      <c r="O112" s="43"/>
      <c r="P112" s="43"/>
      <c r="Q112" s="43"/>
      <c r="R112" s="43"/>
      <c r="S112" s="43"/>
      <c r="T112" s="43"/>
      <c r="U112" s="43"/>
      <c r="V112" s="43"/>
      <c r="W112" s="43"/>
      <c r="X112" s="126"/>
      <c r="Y112" s="43"/>
      <c r="Z112" s="43"/>
      <c r="AA112" s="43"/>
      <c r="AB112" s="43"/>
      <c r="AC112" s="43"/>
      <c r="AD112" s="43"/>
      <c r="AE112" s="43"/>
      <c r="AF112" s="43"/>
      <c r="AG112" s="43"/>
      <c r="AI112" s="126"/>
      <c r="AJ112" s="43"/>
      <c r="AK112" s="43"/>
      <c r="AL112" s="43"/>
      <c r="AM112" s="43"/>
      <c r="AN112" s="43"/>
      <c r="AO112" s="43"/>
      <c r="AP112" s="43"/>
      <c r="AQ112" s="43"/>
      <c r="AR112" s="43"/>
      <c r="AS112" s="126"/>
      <c r="AT112" s="43"/>
      <c r="AU112" s="43"/>
      <c r="AV112" s="43"/>
      <c r="AW112" s="43"/>
      <c r="AX112" s="43"/>
      <c r="AY112" s="43"/>
      <c r="AZ112" s="43"/>
      <c r="BA112" s="43"/>
      <c r="BB112" s="43"/>
    </row>
    <row r="113" spans="1:54">
      <c r="A113" s="43"/>
      <c r="B113" s="43"/>
      <c r="C113" s="126"/>
      <c r="D113" s="110"/>
      <c r="E113" s="43"/>
      <c r="F113" s="43"/>
      <c r="G113" s="43"/>
      <c r="H113" s="43"/>
      <c r="I113" s="43"/>
      <c r="J113" s="43"/>
      <c r="K113" s="43"/>
      <c r="L113" s="43"/>
      <c r="M113" s="43"/>
      <c r="N113" s="126"/>
      <c r="O113" s="43"/>
      <c r="P113" s="43"/>
      <c r="Q113" s="43"/>
      <c r="R113" s="43"/>
      <c r="S113" s="43"/>
      <c r="T113" s="43"/>
      <c r="U113" s="43"/>
      <c r="V113" s="43"/>
      <c r="W113" s="43"/>
      <c r="X113" s="126"/>
      <c r="Y113" s="43"/>
      <c r="Z113" s="43"/>
      <c r="AA113" s="43"/>
      <c r="AB113" s="43"/>
      <c r="AC113" s="43"/>
      <c r="AD113" s="43"/>
      <c r="AE113" s="43"/>
      <c r="AF113" s="43"/>
      <c r="AG113" s="43"/>
      <c r="AI113" s="126"/>
      <c r="AJ113" s="43"/>
      <c r="AK113" s="43"/>
      <c r="AL113" s="43"/>
      <c r="AM113" s="43"/>
      <c r="AN113" s="43"/>
      <c r="AO113" s="43"/>
      <c r="AP113" s="43"/>
      <c r="AQ113" s="43"/>
      <c r="AR113" s="43"/>
      <c r="AS113" s="126"/>
      <c r="AT113" s="43"/>
      <c r="AU113" s="43"/>
      <c r="AV113" s="43"/>
      <c r="AW113" s="43"/>
      <c r="AX113" s="43"/>
      <c r="AY113" s="43"/>
      <c r="AZ113" s="43"/>
      <c r="BA113" s="43"/>
      <c r="BB113" s="43"/>
    </row>
    <row r="114" spans="1:54">
      <c r="A114" s="43"/>
      <c r="B114" s="43"/>
      <c r="C114" s="126"/>
      <c r="D114" s="110"/>
      <c r="E114" s="43"/>
      <c r="F114" s="43"/>
      <c r="G114" s="43"/>
      <c r="H114" s="43"/>
      <c r="I114" s="43"/>
      <c r="J114" s="43"/>
      <c r="K114" s="43"/>
      <c r="L114" s="43"/>
      <c r="M114" s="43"/>
      <c r="N114" s="126"/>
      <c r="O114" s="43"/>
      <c r="P114" s="43"/>
      <c r="Q114" s="43"/>
      <c r="R114" s="43"/>
      <c r="S114" s="43"/>
      <c r="T114" s="43"/>
      <c r="U114" s="43"/>
      <c r="V114" s="43"/>
      <c r="W114" s="43"/>
      <c r="X114" s="126"/>
      <c r="Y114" s="43"/>
      <c r="Z114" s="43"/>
      <c r="AA114" s="43"/>
      <c r="AB114" s="43"/>
      <c r="AC114" s="43"/>
      <c r="AD114" s="43"/>
      <c r="AE114" s="43"/>
      <c r="AF114" s="43"/>
      <c r="AG114" s="43"/>
      <c r="AI114" s="126"/>
      <c r="AJ114" s="43"/>
      <c r="AK114" s="43"/>
      <c r="AL114" s="43"/>
      <c r="AM114" s="43"/>
      <c r="AN114" s="43"/>
      <c r="AO114" s="43"/>
      <c r="AP114" s="43"/>
      <c r="AQ114" s="43"/>
      <c r="AR114" s="43"/>
      <c r="AS114" s="126"/>
      <c r="AT114" s="43"/>
      <c r="AU114" s="43"/>
      <c r="AV114" s="43"/>
      <c r="AW114" s="43"/>
      <c r="AX114" s="43"/>
      <c r="AY114" s="43"/>
      <c r="AZ114" s="43"/>
      <c r="BA114" s="43"/>
      <c r="BB114" s="43"/>
    </row>
    <row r="115" spans="1:54">
      <c r="A115" s="43"/>
      <c r="B115" s="43"/>
      <c r="C115" s="126"/>
      <c r="D115" s="125"/>
      <c r="E115" s="43"/>
      <c r="F115" s="43"/>
      <c r="G115" s="43"/>
      <c r="H115" s="43"/>
      <c r="I115" s="43"/>
      <c r="J115" s="43"/>
      <c r="K115" s="43"/>
      <c r="L115" s="43"/>
      <c r="M115" s="43"/>
      <c r="N115" s="126"/>
      <c r="O115" s="43"/>
      <c r="P115" s="43"/>
      <c r="Q115" s="43"/>
      <c r="R115" s="43"/>
      <c r="S115" s="43"/>
      <c r="T115" s="43"/>
      <c r="U115" s="43"/>
      <c r="V115" s="43"/>
      <c r="W115" s="43"/>
      <c r="X115" s="126"/>
      <c r="Y115" s="43"/>
      <c r="Z115" s="43"/>
      <c r="AA115" s="43"/>
      <c r="AB115" s="43"/>
      <c r="AC115" s="43"/>
      <c r="AD115" s="43"/>
      <c r="AE115" s="43"/>
      <c r="AF115" s="43"/>
      <c r="AG115" s="43"/>
      <c r="AI115" s="126"/>
      <c r="AJ115" s="43"/>
      <c r="AK115" s="43"/>
      <c r="AL115" s="43"/>
      <c r="AM115" s="43"/>
      <c r="AN115" s="43"/>
      <c r="AO115" s="43"/>
      <c r="AP115" s="43"/>
      <c r="AQ115" s="43"/>
      <c r="AR115" s="43"/>
      <c r="AS115" s="126"/>
      <c r="AT115" s="43"/>
      <c r="AU115" s="43"/>
      <c r="AV115" s="43"/>
      <c r="AW115" s="43"/>
      <c r="AX115" s="43"/>
      <c r="AY115" s="43"/>
      <c r="AZ115" s="43"/>
      <c r="BA115" s="43"/>
      <c r="BB115" s="43"/>
    </row>
    <row r="116" spans="1:54">
      <c r="A116" s="43"/>
      <c r="B116" s="43"/>
      <c r="C116" s="126"/>
      <c r="D116" s="125"/>
      <c r="E116" s="43"/>
      <c r="F116" s="43"/>
      <c r="G116" s="43"/>
      <c r="H116" s="43"/>
      <c r="I116" s="43"/>
      <c r="J116" s="43"/>
      <c r="K116" s="43"/>
      <c r="L116" s="43"/>
      <c r="M116" s="43"/>
      <c r="N116" s="126"/>
      <c r="O116" s="43"/>
      <c r="P116" s="43"/>
      <c r="Q116" s="43"/>
      <c r="R116" s="43"/>
      <c r="S116" s="43"/>
      <c r="T116" s="43"/>
      <c r="U116" s="43"/>
      <c r="V116" s="43"/>
      <c r="W116" s="43"/>
      <c r="X116" s="126"/>
      <c r="Y116" s="43"/>
      <c r="Z116" s="43"/>
      <c r="AA116" s="43"/>
      <c r="AB116" s="43"/>
      <c r="AC116" s="43"/>
      <c r="AD116" s="43"/>
      <c r="AE116" s="43"/>
      <c r="AF116" s="43"/>
      <c r="AG116" s="43"/>
      <c r="AI116" s="126"/>
      <c r="AJ116" s="43"/>
      <c r="AK116" s="43"/>
      <c r="AL116" s="43"/>
      <c r="AM116" s="43"/>
      <c r="AN116" s="43"/>
      <c r="AO116" s="43"/>
      <c r="AP116" s="43"/>
      <c r="AQ116" s="43"/>
      <c r="AR116" s="43"/>
      <c r="AS116" s="126"/>
      <c r="AT116" s="43"/>
      <c r="AU116" s="43"/>
      <c r="AV116" s="43"/>
      <c r="AW116" s="43"/>
      <c r="AX116" s="43"/>
      <c r="AY116" s="43"/>
      <c r="AZ116" s="43"/>
      <c r="BA116" s="43"/>
      <c r="BB116" s="43"/>
    </row>
    <row r="117" spans="1:54">
      <c r="A117" s="43"/>
      <c r="B117" s="43"/>
      <c r="C117" s="126"/>
      <c r="D117" s="125"/>
      <c r="E117" s="43"/>
      <c r="F117" s="43"/>
      <c r="G117" s="43"/>
      <c r="H117" s="43"/>
      <c r="I117" s="43"/>
      <c r="J117" s="43"/>
      <c r="K117" s="43"/>
      <c r="L117" s="43"/>
      <c r="M117" s="43"/>
      <c r="N117" s="126"/>
      <c r="O117" s="43"/>
      <c r="P117" s="43"/>
      <c r="Q117" s="43"/>
      <c r="R117" s="43"/>
      <c r="S117" s="43"/>
      <c r="T117" s="43"/>
      <c r="U117" s="43"/>
      <c r="V117" s="43"/>
      <c r="W117" s="43"/>
      <c r="X117" s="126"/>
      <c r="Y117" s="43"/>
      <c r="Z117" s="43"/>
      <c r="AA117" s="43"/>
      <c r="AB117" s="43"/>
      <c r="AC117" s="43"/>
      <c r="AD117" s="43"/>
      <c r="AE117" s="43"/>
      <c r="AF117" s="43"/>
      <c r="AG117" s="43"/>
      <c r="AI117" s="126"/>
      <c r="AJ117" s="43"/>
      <c r="AK117" s="43"/>
      <c r="AL117" s="43"/>
      <c r="AM117" s="43"/>
      <c r="AN117" s="43"/>
      <c r="AO117" s="43"/>
      <c r="AP117" s="43"/>
      <c r="AQ117" s="43"/>
      <c r="AR117" s="43"/>
      <c r="AS117" s="126"/>
      <c r="AT117" s="43"/>
      <c r="AU117" s="43"/>
      <c r="AV117" s="43"/>
      <c r="AW117" s="43"/>
      <c r="AX117" s="43"/>
      <c r="AY117" s="43"/>
      <c r="AZ117" s="43"/>
      <c r="BA117" s="43"/>
      <c r="BB117" s="43"/>
    </row>
    <row r="118" spans="1:54">
      <c r="A118" s="43"/>
      <c r="B118" s="43"/>
      <c r="C118" s="126"/>
      <c r="D118" s="110"/>
      <c r="E118" s="43"/>
      <c r="F118" s="43"/>
      <c r="G118" s="43"/>
      <c r="H118" s="43"/>
      <c r="I118" s="43"/>
      <c r="J118" s="43"/>
      <c r="K118" s="43"/>
      <c r="L118" s="43"/>
      <c r="M118" s="43"/>
      <c r="N118" s="126"/>
      <c r="O118" s="43"/>
      <c r="P118" s="43"/>
      <c r="Q118" s="43"/>
      <c r="R118" s="43"/>
      <c r="S118" s="43"/>
      <c r="T118" s="43"/>
      <c r="U118" s="43"/>
      <c r="V118" s="43"/>
      <c r="W118" s="43"/>
      <c r="X118" s="126"/>
      <c r="Y118" s="43"/>
      <c r="Z118" s="43"/>
      <c r="AA118" s="43"/>
      <c r="AB118" s="43"/>
      <c r="AC118" s="43"/>
      <c r="AD118" s="43"/>
      <c r="AE118" s="43"/>
      <c r="AF118" s="43"/>
      <c r="AG118" s="43"/>
      <c r="AI118" s="126"/>
      <c r="AJ118" s="43"/>
      <c r="AK118" s="43"/>
      <c r="AL118" s="43"/>
      <c r="AM118" s="43"/>
      <c r="AN118" s="43"/>
      <c r="AO118" s="43"/>
      <c r="AP118" s="43"/>
      <c r="AQ118" s="43"/>
      <c r="AR118" s="43"/>
      <c r="AS118" s="126"/>
      <c r="AT118" s="43"/>
      <c r="AU118" s="43"/>
      <c r="AV118" s="43"/>
      <c r="AW118" s="43"/>
      <c r="AX118" s="43"/>
      <c r="AY118" s="43"/>
      <c r="AZ118" s="43"/>
      <c r="BA118" s="43"/>
      <c r="BB118" s="43"/>
    </row>
    <row r="119" spans="1:54">
      <c r="A119" s="43"/>
      <c r="B119" s="43"/>
      <c r="C119" s="126"/>
      <c r="D119" s="131"/>
      <c r="E119" s="43"/>
      <c r="F119" s="43"/>
      <c r="G119" s="43"/>
      <c r="H119" s="43"/>
      <c r="I119" s="43"/>
      <c r="J119" s="43"/>
      <c r="K119" s="43"/>
      <c r="L119" s="43"/>
      <c r="M119" s="43"/>
      <c r="N119" s="126"/>
      <c r="O119" s="43"/>
      <c r="P119" s="43"/>
      <c r="Q119" s="43"/>
      <c r="R119" s="43"/>
      <c r="S119" s="43"/>
      <c r="T119" s="43"/>
      <c r="U119" s="43"/>
      <c r="V119" s="43"/>
      <c r="W119" s="43"/>
      <c r="X119" s="126"/>
      <c r="Y119" s="43"/>
      <c r="Z119" s="43"/>
      <c r="AA119" s="43"/>
      <c r="AB119" s="43"/>
      <c r="AC119" s="43"/>
      <c r="AD119" s="43"/>
      <c r="AE119" s="43"/>
      <c r="AF119" s="43"/>
      <c r="AG119" s="43"/>
      <c r="AI119" s="126"/>
      <c r="AJ119" s="43"/>
      <c r="AK119" s="43"/>
      <c r="AL119" s="43"/>
      <c r="AM119" s="43"/>
      <c r="AN119" s="43"/>
      <c r="AO119" s="43"/>
      <c r="AP119" s="43"/>
      <c r="AQ119" s="43"/>
      <c r="AR119" s="43"/>
      <c r="AS119" s="126"/>
      <c r="AT119" s="43"/>
      <c r="AU119" s="43"/>
      <c r="AV119" s="43"/>
      <c r="AW119" s="43"/>
      <c r="AX119" s="43"/>
      <c r="AY119" s="43"/>
      <c r="AZ119" s="43"/>
      <c r="BA119" s="43"/>
      <c r="BB119" s="43"/>
    </row>
    <row r="120" spans="1:54">
      <c r="A120" s="43"/>
      <c r="B120" s="43"/>
      <c r="C120" s="126"/>
      <c r="D120" s="132"/>
      <c r="E120" s="43"/>
      <c r="F120" s="43"/>
      <c r="G120" s="43"/>
      <c r="H120" s="43"/>
      <c r="I120" s="43"/>
      <c r="J120" s="43"/>
      <c r="K120" s="43"/>
      <c r="L120" s="43"/>
      <c r="M120" s="43"/>
      <c r="N120" s="126"/>
      <c r="O120" s="43"/>
      <c r="P120" s="43"/>
      <c r="Q120" s="43"/>
      <c r="R120" s="43"/>
      <c r="S120" s="43"/>
      <c r="T120" s="43"/>
      <c r="U120" s="43"/>
      <c r="V120" s="43"/>
      <c r="W120" s="43"/>
      <c r="X120" s="126"/>
      <c r="Y120" s="43"/>
      <c r="Z120" s="43"/>
      <c r="AA120" s="43"/>
      <c r="AB120" s="43"/>
      <c r="AC120" s="43"/>
      <c r="AD120" s="43"/>
      <c r="AE120" s="43"/>
      <c r="AF120" s="43"/>
      <c r="AG120" s="43"/>
      <c r="AI120" s="126"/>
      <c r="AJ120" s="43"/>
      <c r="AK120" s="43"/>
      <c r="AL120" s="43"/>
      <c r="AM120" s="43"/>
      <c r="AN120" s="43"/>
      <c r="AO120" s="43"/>
      <c r="AP120" s="43"/>
      <c r="AQ120" s="43"/>
      <c r="AR120" s="43"/>
      <c r="AS120" s="126"/>
      <c r="AT120" s="43"/>
      <c r="AU120" s="43"/>
      <c r="AV120" s="43"/>
      <c r="AW120" s="43"/>
      <c r="AX120" s="43"/>
      <c r="AY120" s="43"/>
      <c r="AZ120" s="43"/>
      <c r="BA120" s="43"/>
      <c r="BB120" s="43"/>
    </row>
    <row r="121" spans="1:54">
      <c r="A121" s="43"/>
      <c r="B121" s="43"/>
      <c r="C121" s="130"/>
      <c r="D121" s="43"/>
      <c r="E121" s="43"/>
      <c r="F121" s="43"/>
      <c r="G121" s="43"/>
      <c r="H121" s="43"/>
      <c r="I121" s="43"/>
      <c r="J121" s="43"/>
      <c r="K121" s="43"/>
      <c r="L121" s="43"/>
      <c r="M121" s="43"/>
      <c r="N121" s="126"/>
      <c r="O121" s="43"/>
      <c r="P121" s="43"/>
      <c r="Q121" s="43"/>
      <c r="R121" s="43"/>
      <c r="S121" s="43"/>
      <c r="T121" s="43"/>
      <c r="U121" s="43"/>
      <c r="V121" s="43"/>
      <c r="W121" s="43"/>
      <c r="X121" s="130"/>
      <c r="Y121" s="43"/>
      <c r="Z121" s="43"/>
      <c r="AA121" s="43"/>
      <c r="AB121" s="43"/>
      <c r="AC121" s="43"/>
      <c r="AD121" s="43"/>
      <c r="AE121" s="43"/>
      <c r="AF121" s="43"/>
      <c r="AG121" s="43"/>
      <c r="AI121" s="126"/>
      <c r="AJ121" s="43"/>
      <c r="AK121" s="43"/>
      <c r="AL121" s="43"/>
      <c r="AM121" s="43"/>
      <c r="AN121" s="43"/>
      <c r="AO121" s="43"/>
      <c r="AP121" s="43"/>
      <c r="AQ121" s="43"/>
      <c r="AR121" s="43"/>
      <c r="AS121" s="130"/>
      <c r="AT121" s="43"/>
      <c r="AU121" s="43"/>
      <c r="AV121" s="43"/>
      <c r="AW121" s="43"/>
      <c r="AX121" s="43"/>
      <c r="AY121" s="43"/>
      <c r="AZ121" s="43"/>
      <c r="BA121" s="43"/>
      <c r="BB121" s="43"/>
    </row>
    <row r="122" spans="1:54">
      <c r="A122" s="43"/>
      <c r="B122" s="43"/>
      <c r="C122" s="126"/>
      <c r="D122" s="43"/>
      <c r="E122" s="43"/>
      <c r="F122" s="43"/>
      <c r="G122" s="43"/>
      <c r="H122" s="43"/>
      <c r="I122" s="43"/>
      <c r="J122" s="43"/>
      <c r="K122" s="43"/>
      <c r="L122" s="43"/>
      <c r="M122" s="43"/>
      <c r="N122" s="130"/>
      <c r="O122" s="43"/>
      <c r="P122" s="43"/>
      <c r="Q122" s="43"/>
      <c r="R122" s="43"/>
      <c r="S122" s="43"/>
      <c r="T122" s="43"/>
      <c r="U122" s="43"/>
      <c r="V122" s="43"/>
      <c r="W122" s="43"/>
      <c r="X122" s="126"/>
      <c r="Y122" s="43"/>
      <c r="Z122" s="43"/>
      <c r="AA122" s="43"/>
      <c r="AB122" s="43"/>
      <c r="AC122" s="43"/>
      <c r="AD122" s="43"/>
      <c r="AE122" s="43"/>
      <c r="AF122" s="43"/>
      <c r="AG122" s="43"/>
      <c r="AI122" s="130"/>
      <c r="AJ122" s="43"/>
      <c r="AK122" s="43"/>
      <c r="AL122" s="43"/>
      <c r="AM122" s="43"/>
      <c r="AN122" s="43"/>
      <c r="AO122" s="43"/>
      <c r="AP122" s="43"/>
      <c r="AQ122" s="43"/>
      <c r="AR122" s="43"/>
      <c r="AS122" s="126"/>
      <c r="AT122" s="43"/>
      <c r="AU122" s="43"/>
      <c r="AV122" s="43"/>
      <c r="AW122" s="43"/>
      <c r="AX122" s="43"/>
      <c r="AY122" s="43"/>
      <c r="AZ122" s="43"/>
      <c r="BA122" s="43"/>
      <c r="BB122" s="43"/>
    </row>
    <row r="123" spans="1:54">
      <c r="A123" s="43"/>
      <c r="B123" s="43"/>
      <c r="C123" s="43"/>
      <c r="D123" s="43"/>
      <c r="E123" s="43"/>
      <c r="F123" s="43"/>
      <c r="G123" s="43"/>
      <c r="H123" s="43"/>
      <c r="I123" s="43"/>
      <c r="J123" s="43"/>
      <c r="K123" s="43"/>
      <c r="L123" s="43"/>
      <c r="M123" s="43"/>
      <c r="N123" s="126"/>
      <c r="O123" s="43"/>
      <c r="P123" s="43"/>
      <c r="Q123" s="43"/>
      <c r="R123" s="43"/>
      <c r="S123" s="43"/>
      <c r="T123" s="43"/>
      <c r="U123" s="43"/>
      <c r="V123" s="43"/>
      <c r="W123" s="43"/>
      <c r="X123" s="43"/>
      <c r="Y123" s="43"/>
      <c r="Z123" s="43"/>
      <c r="AA123" s="43"/>
      <c r="AB123" s="43"/>
      <c r="AC123" s="43"/>
      <c r="AD123" s="43"/>
      <c r="AE123" s="43"/>
      <c r="AF123" s="43"/>
      <c r="AG123" s="43"/>
      <c r="AI123" s="126"/>
      <c r="AJ123" s="43"/>
      <c r="AK123" s="43"/>
      <c r="AL123" s="43"/>
      <c r="AM123" s="43"/>
      <c r="AN123" s="43"/>
      <c r="AO123" s="43"/>
      <c r="AP123" s="43"/>
      <c r="AQ123" s="43"/>
      <c r="AR123" s="43"/>
      <c r="AS123" s="43"/>
      <c r="AT123" s="43"/>
      <c r="AU123" s="43"/>
      <c r="AV123" s="43"/>
      <c r="AW123" s="43"/>
      <c r="AX123" s="43"/>
      <c r="AY123" s="43"/>
      <c r="AZ123" s="43"/>
      <c r="BA123" s="43"/>
      <c r="BB123" s="43"/>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4B084"/>
  </sheetPr>
  <dimension ref="A1:BE150"/>
  <sheetViews>
    <sheetView workbookViewId="0">
      <pane xSplit="4" ySplit="3" topLeftCell="E4" activePane="bottomRight" state="frozen"/>
      <selection pane="topRight"/>
      <selection pane="bottomLeft"/>
      <selection pane="bottomRight" activeCell="E9" sqref="E9"/>
    </sheetView>
  </sheetViews>
  <sheetFormatPr defaultRowHeight="14.5"/>
  <cols>
    <col min="1" max="1" width="23.6328125" customWidth="1"/>
    <col min="2" max="2" width="4.453125" style="424" customWidth="1"/>
    <col min="3" max="3" width="19.90625" style="418" customWidth="1"/>
    <col min="4" max="4" width="7.6328125" style="424" customWidth="1"/>
    <col min="5" max="5" width="10.26953125" customWidth="1"/>
  </cols>
  <sheetData>
    <row r="1" spans="1:57" s="426" customFormat="1">
      <c r="A1" s="430"/>
      <c r="B1" s="431"/>
      <c r="C1" s="432"/>
      <c r="D1" s="431"/>
      <c r="E1" s="430"/>
      <c r="F1" s="430"/>
      <c r="G1" s="430"/>
      <c r="H1" s="430"/>
      <c r="I1" s="430"/>
      <c r="J1" s="430"/>
      <c r="K1" s="430"/>
      <c r="L1" s="430"/>
      <c r="M1" s="430"/>
      <c r="N1" s="430"/>
      <c r="O1" s="430"/>
      <c r="P1" s="430"/>
      <c r="Q1" s="430"/>
      <c r="R1" s="430"/>
      <c r="S1" s="430"/>
      <c r="T1" s="430"/>
      <c r="U1" s="430"/>
      <c r="V1" s="430"/>
      <c r="W1" s="430"/>
      <c r="X1" s="430"/>
      <c r="Y1" s="430"/>
      <c r="Z1" s="430"/>
      <c r="AA1" s="430"/>
      <c r="AB1" s="430"/>
      <c r="AC1" s="430"/>
      <c r="AD1" s="430"/>
      <c r="AE1" s="430"/>
      <c r="AF1" s="430"/>
      <c r="AG1" s="430"/>
      <c r="AH1" s="430"/>
      <c r="AI1" s="430"/>
      <c r="AJ1" s="430"/>
      <c r="AK1" s="430"/>
      <c r="AL1" s="430"/>
      <c r="AM1" s="430"/>
      <c r="AN1" s="430"/>
      <c r="AO1" s="430"/>
      <c r="AP1" s="430"/>
      <c r="AQ1" s="430"/>
      <c r="AR1" s="430"/>
      <c r="AS1" s="430"/>
      <c r="AT1" s="430"/>
      <c r="AU1" s="430"/>
      <c r="AV1" s="430"/>
      <c r="AW1" s="430"/>
      <c r="AX1" s="430"/>
      <c r="AY1" s="430"/>
      <c r="AZ1" s="430"/>
      <c r="BA1" s="430"/>
      <c r="BB1" s="430"/>
      <c r="BC1" s="430"/>
      <c r="BD1" s="430"/>
      <c r="BE1" s="430"/>
    </row>
    <row r="2" spans="1:57">
      <c r="A2" s="433" t="s">
        <v>0</v>
      </c>
      <c r="B2" s="434"/>
      <c r="C2" s="434"/>
      <c r="D2" s="434"/>
      <c r="E2" s="435"/>
      <c r="F2" s="436"/>
      <c r="G2" s="436"/>
      <c r="H2" s="436"/>
      <c r="I2" s="436"/>
      <c r="J2" s="436"/>
      <c r="K2" s="436"/>
      <c r="L2" s="436"/>
      <c r="M2" s="436"/>
      <c r="N2" s="436"/>
      <c r="O2" s="436"/>
      <c r="P2" s="436"/>
      <c r="Q2" s="436"/>
      <c r="R2" s="437"/>
      <c r="S2" s="437"/>
      <c r="T2" s="437"/>
      <c r="U2" s="437"/>
      <c r="V2" s="437"/>
      <c r="W2" s="437"/>
      <c r="X2" s="437"/>
      <c r="Y2" s="437"/>
      <c r="Z2" s="437"/>
      <c r="AA2" s="437"/>
      <c r="AB2" s="437"/>
      <c r="AC2" s="437"/>
      <c r="AD2" s="437"/>
      <c r="AE2" s="437"/>
      <c r="AF2" s="437"/>
      <c r="AG2" s="437"/>
      <c r="AH2" s="437"/>
      <c r="AI2" s="437"/>
      <c r="AJ2" s="437"/>
      <c r="AK2" s="437"/>
      <c r="AL2" s="437"/>
      <c r="AM2" s="437"/>
      <c r="AN2" s="437"/>
      <c r="AO2" s="437"/>
      <c r="AP2" s="437"/>
      <c r="AQ2" s="437"/>
      <c r="AR2" s="437"/>
      <c r="AS2" s="437"/>
      <c r="AT2" s="437"/>
      <c r="AU2" s="437"/>
      <c r="AV2" s="437"/>
      <c r="AW2" s="437"/>
      <c r="AX2" s="437"/>
      <c r="AY2" s="437"/>
      <c r="AZ2" s="437"/>
      <c r="BA2" s="437"/>
      <c r="BB2" s="437"/>
      <c r="BC2" s="437"/>
      <c r="BD2" s="437"/>
      <c r="BE2" s="437"/>
    </row>
    <row r="3" spans="1:57">
      <c r="A3" s="433" t="s">
        <v>1</v>
      </c>
      <c r="B3" s="434"/>
      <c r="C3" s="434"/>
      <c r="D3" s="434"/>
      <c r="E3" s="438"/>
      <c r="F3" s="439"/>
      <c r="G3" s="439"/>
      <c r="H3" s="439"/>
      <c r="I3" s="439"/>
      <c r="J3" s="439"/>
      <c r="K3" s="439"/>
      <c r="L3" s="439"/>
      <c r="M3" s="439"/>
      <c r="N3" s="439"/>
      <c r="O3" s="439"/>
      <c r="P3" s="439"/>
      <c r="Q3" s="439"/>
      <c r="R3" s="437"/>
      <c r="S3" s="437"/>
      <c r="T3" s="437"/>
      <c r="U3" s="437"/>
      <c r="V3" s="437"/>
      <c r="W3" s="437"/>
      <c r="X3" s="437"/>
      <c r="Y3" s="437"/>
      <c r="Z3" s="437"/>
      <c r="AA3" s="437"/>
      <c r="AB3" s="437"/>
      <c r="AC3" s="437"/>
      <c r="AD3" s="437"/>
      <c r="AE3" s="437"/>
      <c r="AF3" s="437"/>
      <c r="AG3" s="437"/>
      <c r="AH3" s="437"/>
      <c r="AI3" s="437"/>
      <c r="AJ3" s="437"/>
      <c r="AK3" s="437"/>
      <c r="AL3" s="437"/>
      <c r="AM3" s="437"/>
      <c r="AN3" s="437"/>
      <c r="AO3" s="437"/>
      <c r="AP3" s="437"/>
      <c r="AQ3" s="437"/>
      <c r="AR3" s="437"/>
      <c r="AS3" s="437"/>
      <c r="AT3" s="437"/>
      <c r="AU3" s="437"/>
      <c r="AV3" s="437"/>
      <c r="AW3" s="437"/>
      <c r="AX3" s="437"/>
      <c r="AY3" s="437"/>
      <c r="AZ3" s="437"/>
      <c r="BA3" s="437"/>
      <c r="BB3" s="437"/>
      <c r="BC3" s="437"/>
      <c r="BD3" s="437"/>
      <c r="BE3" s="437"/>
    </row>
    <row r="4" spans="1:57" ht="18.5" customHeight="1">
      <c r="A4" s="430"/>
      <c r="B4" s="440" t="s">
        <v>6</v>
      </c>
      <c r="C4" s="441" t="s">
        <v>7</v>
      </c>
      <c r="D4" s="440" t="s">
        <v>8</v>
      </c>
      <c r="E4" s="430"/>
      <c r="F4" s="430"/>
      <c r="G4" s="430"/>
      <c r="H4" s="430"/>
      <c r="I4" s="430"/>
      <c r="J4" s="430"/>
      <c r="K4" s="430"/>
      <c r="L4" s="430"/>
      <c r="M4" s="430"/>
      <c r="N4" s="430"/>
      <c r="O4" s="430"/>
      <c r="P4" s="430"/>
      <c r="Q4" s="430"/>
      <c r="R4" s="430"/>
      <c r="S4" s="430"/>
      <c r="T4" s="430"/>
      <c r="U4" s="430"/>
      <c r="V4" s="430"/>
      <c r="W4" s="430"/>
      <c r="X4" s="430"/>
      <c r="Y4" s="430"/>
      <c r="Z4" s="430"/>
      <c r="AA4" s="430"/>
      <c r="AB4" s="430"/>
      <c r="AC4" s="430"/>
      <c r="AD4" s="430"/>
      <c r="AE4" s="430"/>
      <c r="AF4" s="430"/>
      <c r="AG4" s="430"/>
      <c r="AH4" s="430"/>
      <c r="AI4" s="430"/>
      <c r="AJ4" s="430"/>
      <c r="AK4" s="430"/>
      <c r="AL4" s="430"/>
      <c r="AM4" s="430"/>
      <c r="AN4" s="430"/>
      <c r="AO4" s="430"/>
      <c r="AP4" s="430"/>
      <c r="AQ4" s="430"/>
      <c r="AR4" s="430"/>
      <c r="AS4" s="430"/>
      <c r="AT4" s="430"/>
      <c r="AU4" s="430"/>
      <c r="AV4" s="430"/>
      <c r="AW4" s="430"/>
      <c r="AX4" s="430"/>
      <c r="AY4" s="430"/>
      <c r="AZ4" s="430"/>
      <c r="BA4" s="430"/>
      <c r="BB4" s="430"/>
      <c r="BC4" s="430"/>
      <c r="BD4" s="430"/>
      <c r="BE4" s="430"/>
    </row>
    <row r="5" spans="1:57">
      <c r="A5" s="442" t="s">
        <v>843</v>
      </c>
      <c r="B5" s="443" t="s">
        <v>18</v>
      </c>
      <c r="C5" s="444" t="s">
        <v>844</v>
      </c>
      <c r="D5" s="445"/>
      <c r="E5" s="446">
        <v>0.03</v>
      </c>
      <c r="F5" s="430"/>
      <c r="G5" s="430"/>
      <c r="H5" s="430"/>
      <c r="I5" s="430"/>
      <c r="J5" s="430"/>
      <c r="K5" s="430"/>
      <c r="L5" s="430"/>
      <c r="M5" s="430"/>
      <c r="N5" s="430"/>
      <c r="O5" s="430"/>
      <c r="P5" s="430"/>
      <c r="Q5" s="430"/>
      <c r="R5" s="430"/>
      <c r="S5" s="430"/>
      <c r="T5" s="430"/>
      <c r="U5" s="430"/>
      <c r="V5" s="430"/>
      <c r="W5" s="430"/>
      <c r="X5" s="430"/>
      <c r="Y5" s="430"/>
      <c r="Z5" s="430"/>
      <c r="AA5" s="430"/>
      <c r="AB5" s="430"/>
      <c r="AC5" s="430"/>
      <c r="AD5" s="430"/>
      <c r="AE5" s="430"/>
      <c r="AF5" s="430"/>
      <c r="AG5" s="430"/>
      <c r="AH5" s="430"/>
      <c r="AI5" s="430"/>
      <c r="AJ5" s="430"/>
      <c r="AK5" s="430"/>
      <c r="AL5" s="430"/>
      <c r="AM5" s="430"/>
      <c r="AN5" s="430"/>
      <c r="AO5" s="430"/>
      <c r="AP5" s="430"/>
      <c r="AQ5" s="430"/>
      <c r="AR5" s="430"/>
      <c r="AS5" s="430"/>
      <c r="AT5" s="430"/>
      <c r="AU5" s="430"/>
      <c r="AV5" s="430"/>
      <c r="AW5" s="430"/>
      <c r="AX5" s="430"/>
      <c r="AY5" s="430"/>
      <c r="AZ5" s="430"/>
      <c r="BA5" s="430"/>
      <c r="BB5" s="430"/>
      <c r="BC5" s="430"/>
      <c r="BD5" s="430"/>
      <c r="BE5" s="430"/>
    </row>
    <row r="6" spans="1:57">
      <c r="A6" s="430"/>
      <c r="B6" s="445"/>
      <c r="C6" s="447"/>
      <c r="D6" s="448"/>
      <c r="E6" s="430"/>
      <c r="F6" s="430"/>
      <c r="G6" s="430"/>
      <c r="H6" s="430"/>
      <c r="I6" s="430"/>
      <c r="J6" s="430"/>
      <c r="K6" s="430"/>
      <c r="L6" s="430"/>
      <c r="M6" s="430"/>
      <c r="N6" s="430"/>
      <c r="O6" s="430"/>
      <c r="P6" s="430"/>
      <c r="Q6" s="430"/>
      <c r="R6" s="430"/>
      <c r="S6" s="430"/>
      <c r="T6" s="430"/>
      <c r="U6" s="430"/>
      <c r="V6" s="430"/>
      <c r="W6" s="430"/>
      <c r="X6" s="430"/>
      <c r="Y6" s="430"/>
      <c r="Z6" s="430"/>
      <c r="AA6" s="430"/>
      <c r="AB6" s="430"/>
      <c r="AC6" s="430"/>
      <c r="AD6" s="430"/>
      <c r="AE6" s="430"/>
      <c r="AF6" s="430"/>
      <c r="AG6" s="430"/>
      <c r="AH6" s="430"/>
      <c r="AI6" s="430"/>
      <c r="AJ6" s="430"/>
      <c r="AK6" s="430"/>
      <c r="AL6" s="430"/>
      <c r="AM6" s="430"/>
      <c r="AN6" s="430"/>
      <c r="AO6" s="430"/>
      <c r="AP6" s="430"/>
      <c r="AQ6" s="430"/>
      <c r="AR6" s="430"/>
      <c r="AS6" s="430"/>
      <c r="AT6" s="430"/>
      <c r="AU6" s="430"/>
      <c r="AV6" s="430"/>
      <c r="AW6" s="430"/>
      <c r="AX6" s="430"/>
      <c r="AY6" s="430"/>
      <c r="AZ6" s="430"/>
      <c r="BA6" s="430"/>
      <c r="BB6" s="430"/>
      <c r="BC6" s="430"/>
      <c r="BD6" s="430"/>
      <c r="BE6" s="430"/>
    </row>
    <row r="7" spans="1:57">
      <c r="A7" s="442" t="s">
        <v>845</v>
      </c>
      <c r="B7" s="443" t="s">
        <v>18</v>
      </c>
      <c r="C7" s="444" t="s">
        <v>846</v>
      </c>
      <c r="D7" s="448"/>
      <c r="E7" s="449">
        <v>0.05</v>
      </c>
      <c r="F7" s="430"/>
      <c r="G7" s="430"/>
      <c r="H7" s="430"/>
      <c r="I7" s="430"/>
      <c r="J7" s="430"/>
      <c r="K7" s="430"/>
      <c r="L7" s="430"/>
      <c r="M7" s="430"/>
      <c r="N7" s="430"/>
      <c r="O7" s="430"/>
      <c r="P7" s="430"/>
      <c r="Q7" s="430"/>
      <c r="R7" s="430"/>
      <c r="S7" s="430"/>
      <c r="T7" s="430"/>
      <c r="U7" s="430"/>
      <c r="V7" s="430"/>
      <c r="W7" s="430"/>
      <c r="X7" s="430"/>
      <c r="Y7" s="430"/>
      <c r="Z7" s="430"/>
      <c r="AA7" s="430"/>
      <c r="AB7" s="430"/>
      <c r="AC7" s="430"/>
      <c r="AD7" s="430"/>
      <c r="AE7" s="430"/>
      <c r="AF7" s="430"/>
      <c r="AG7" s="430"/>
      <c r="AH7" s="430"/>
      <c r="AI7" s="430"/>
      <c r="AJ7" s="430"/>
      <c r="AK7" s="430"/>
      <c r="AL7" s="430"/>
      <c r="AM7" s="430"/>
      <c r="AN7" s="430"/>
      <c r="AO7" s="430"/>
      <c r="AP7" s="430"/>
      <c r="AQ7" s="430"/>
      <c r="AR7" s="430"/>
      <c r="AS7" s="430"/>
      <c r="AT7" s="430"/>
      <c r="AU7" s="430"/>
      <c r="AV7" s="430"/>
      <c r="AW7" s="430"/>
      <c r="AX7" s="430"/>
      <c r="AY7" s="430"/>
      <c r="AZ7" s="430"/>
      <c r="BA7" s="430"/>
      <c r="BB7" s="430"/>
      <c r="BC7" s="430"/>
      <c r="BD7" s="430"/>
      <c r="BE7" s="430"/>
    </row>
    <row r="8" spans="1:57">
      <c r="A8" s="442" t="s">
        <v>847</v>
      </c>
      <c r="B8" s="443" t="s">
        <v>18</v>
      </c>
      <c r="C8" s="444" t="s">
        <v>848</v>
      </c>
      <c r="D8" s="448"/>
      <c r="E8" s="450">
        <v>0.35</v>
      </c>
      <c r="F8" s="430"/>
      <c r="G8" s="430"/>
      <c r="H8" s="430"/>
      <c r="I8" s="430"/>
      <c r="J8" s="430"/>
      <c r="K8" s="430"/>
      <c r="L8" s="430"/>
      <c r="M8" s="430"/>
      <c r="N8" s="430"/>
      <c r="O8" s="430"/>
      <c r="P8" s="430"/>
      <c r="Q8" s="430"/>
      <c r="R8" s="430"/>
      <c r="S8" s="430"/>
      <c r="T8" s="430"/>
      <c r="U8" s="430"/>
      <c r="V8" s="430"/>
      <c r="W8" s="430"/>
      <c r="X8" s="430"/>
      <c r="Y8" s="430"/>
      <c r="Z8" s="430"/>
      <c r="AA8" s="430"/>
      <c r="AB8" s="430"/>
      <c r="AC8" s="430"/>
      <c r="AD8" s="430"/>
      <c r="AE8" s="430"/>
      <c r="AF8" s="430"/>
      <c r="AG8" s="430"/>
      <c r="AH8" s="430"/>
      <c r="AI8" s="430"/>
      <c r="AJ8" s="430"/>
      <c r="AK8" s="430"/>
      <c r="AL8" s="430"/>
      <c r="AM8" s="430"/>
      <c r="AN8" s="430"/>
      <c r="AO8" s="430"/>
      <c r="AP8" s="430"/>
      <c r="AQ8" s="430"/>
      <c r="AR8" s="430"/>
      <c r="AS8" s="430"/>
      <c r="AT8" s="430"/>
      <c r="AU8" s="430"/>
      <c r="AV8" s="430"/>
      <c r="AW8" s="430"/>
      <c r="AX8" s="430"/>
      <c r="AY8" s="430"/>
      <c r="AZ8" s="430"/>
      <c r="BA8" s="430"/>
      <c r="BB8" s="430"/>
      <c r="BC8" s="430"/>
      <c r="BD8" s="430"/>
      <c r="BE8" s="430"/>
    </row>
    <row r="9" spans="1:57">
      <c r="A9" s="430"/>
      <c r="B9" s="430"/>
      <c r="C9" s="430"/>
      <c r="D9" s="430"/>
      <c r="E9" s="430"/>
      <c r="F9" s="430"/>
      <c r="G9" s="430"/>
      <c r="H9" s="430"/>
      <c r="I9" s="430"/>
      <c r="J9" s="430"/>
      <c r="K9" s="430"/>
      <c r="L9" s="430"/>
      <c r="M9" s="430"/>
      <c r="N9" s="430"/>
      <c r="O9" s="430"/>
      <c r="P9" s="430"/>
      <c r="Q9" s="430"/>
      <c r="R9" s="430"/>
      <c r="S9" s="430"/>
      <c r="T9" s="430"/>
      <c r="U9" s="430"/>
      <c r="V9" s="430"/>
      <c r="W9" s="430"/>
      <c r="X9" s="430"/>
      <c r="Y9" s="430"/>
      <c r="Z9" s="430"/>
      <c r="AA9" s="430"/>
      <c r="AB9" s="430"/>
      <c r="AC9" s="430"/>
      <c r="AD9" s="430"/>
      <c r="AE9" s="430"/>
      <c r="AF9" s="430"/>
      <c r="AG9" s="430"/>
      <c r="AH9" s="430"/>
      <c r="AI9" s="430"/>
      <c r="AJ9" s="430"/>
      <c r="AK9" s="430"/>
      <c r="AL9" s="430"/>
      <c r="AM9" s="430"/>
      <c r="AN9" s="430"/>
      <c r="AO9" s="430"/>
      <c r="AP9" s="430"/>
      <c r="AQ9" s="430"/>
      <c r="AR9" s="430"/>
      <c r="AS9" s="430"/>
      <c r="AT9" s="430"/>
      <c r="AU9" s="430"/>
      <c r="AV9" s="430"/>
      <c r="AW9" s="430"/>
      <c r="AX9" s="430"/>
      <c r="AY9" s="430"/>
      <c r="AZ9" s="430"/>
      <c r="BA9" s="430"/>
      <c r="BB9" s="430"/>
      <c r="BC9" s="430"/>
      <c r="BD9" s="430"/>
      <c r="BE9" s="430"/>
    </row>
    <row r="10" spans="1:57">
      <c r="A10" s="430"/>
      <c r="B10" s="430"/>
      <c r="C10" s="430"/>
      <c r="D10" s="430"/>
      <c r="E10" s="430"/>
      <c r="F10" s="430"/>
      <c r="G10" s="430"/>
      <c r="H10" s="430"/>
      <c r="I10" s="430"/>
      <c r="J10" s="430"/>
      <c r="K10" s="430"/>
      <c r="L10" s="430"/>
      <c r="M10" s="430"/>
      <c r="N10" s="430"/>
      <c r="O10" s="430"/>
      <c r="P10" s="430"/>
      <c r="Q10" s="430"/>
      <c r="R10" s="430"/>
      <c r="S10" s="430"/>
      <c r="T10" s="430"/>
      <c r="U10" s="430"/>
      <c r="V10" s="430"/>
      <c r="W10" s="430"/>
      <c r="X10" s="430"/>
      <c r="Y10" s="430"/>
      <c r="Z10" s="430"/>
      <c r="AA10" s="430"/>
      <c r="AB10" s="430"/>
      <c r="AC10" s="430"/>
      <c r="AD10" s="430"/>
      <c r="AE10" s="430"/>
      <c r="AF10" s="430"/>
      <c r="AG10" s="430"/>
      <c r="AH10" s="430"/>
      <c r="AI10" s="430"/>
      <c r="AJ10" s="430"/>
      <c r="AK10" s="430"/>
      <c r="AL10" s="430"/>
      <c r="AM10" s="430"/>
      <c r="AN10" s="430"/>
      <c r="AO10" s="430"/>
      <c r="AP10" s="430"/>
      <c r="AQ10" s="430"/>
      <c r="AR10" s="430"/>
      <c r="AS10" s="430"/>
      <c r="AT10" s="430"/>
      <c r="AU10" s="430"/>
      <c r="AV10" s="430"/>
      <c r="AW10" s="430"/>
      <c r="AX10" s="430"/>
      <c r="AY10" s="430"/>
      <c r="AZ10" s="430"/>
      <c r="BA10" s="430"/>
      <c r="BB10" s="430"/>
      <c r="BC10" s="430"/>
      <c r="BD10" s="430"/>
      <c r="BE10" s="430"/>
    </row>
    <row r="11" spans="1:57">
      <c r="A11" s="430"/>
      <c r="B11" s="430"/>
      <c r="C11" s="430"/>
      <c r="D11" s="430"/>
      <c r="E11" s="430"/>
      <c r="F11" s="430"/>
      <c r="G11" s="430"/>
      <c r="H11" s="430"/>
      <c r="I11" s="430"/>
      <c r="J11" s="430"/>
      <c r="K11" s="430"/>
      <c r="L11" s="430"/>
      <c r="M11" s="430"/>
      <c r="N11" s="430"/>
      <c r="O11" s="430"/>
      <c r="P11" s="430"/>
      <c r="Q11" s="430"/>
      <c r="R11" s="430"/>
      <c r="S11" s="430"/>
      <c r="T11" s="430"/>
      <c r="U11" s="430"/>
      <c r="V11" s="430"/>
      <c r="W11" s="430"/>
      <c r="X11" s="430"/>
      <c r="Y11" s="430"/>
      <c r="Z11" s="430"/>
      <c r="AA11" s="430"/>
      <c r="AB11" s="430"/>
      <c r="AC11" s="430"/>
      <c r="AD11" s="430"/>
      <c r="AE11" s="430"/>
      <c r="AF11" s="430"/>
      <c r="AG11" s="430"/>
      <c r="AH11" s="430"/>
      <c r="AI11" s="430"/>
      <c r="AJ11" s="430"/>
      <c r="AK11" s="430"/>
      <c r="AL11" s="430"/>
      <c r="AM11" s="430"/>
      <c r="AN11" s="430"/>
      <c r="AO11" s="430"/>
      <c r="AP11" s="430"/>
      <c r="AQ11" s="430"/>
      <c r="AR11" s="430"/>
      <c r="AS11" s="430"/>
      <c r="AT11" s="430"/>
      <c r="AU11" s="430"/>
      <c r="AV11" s="430"/>
      <c r="AW11" s="430"/>
      <c r="AX11" s="430"/>
      <c r="AY11" s="430"/>
      <c r="AZ11" s="430"/>
      <c r="BA11" s="430"/>
      <c r="BB11" s="430"/>
      <c r="BC11" s="430"/>
      <c r="BD11" s="430"/>
      <c r="BE11" s="430"/>
    </row>
    <row r="12" spans="1:57">
      <c r="A12" s="430"/>
      <c r="B12" s="430"/>
      <c r="C12" s="430"/>
      <c r="D12" s="430"/>
      <c r="E12" s="430"/>
      <c r="F12" s="430"/>
      <c r="G12" s="430"/>
      <c r="H12" s="430"/>
      <c r="I12" s="430"/>
      <c r="J12" s="430"/>
      <c r="K12" s="430"/>
      <c r="L12" s="430"/>
      <c r="M12" s="430"/>
      <c r="N12" s="430"/>
      <c r="O12" s="430"/>
      <c r="P12" s="430"/>
      <c r="Q12" s="430"/>
      <c r="R12" s="430"/>
      <c r="S12" s="430"/>
      <c r="T12" s="430"/>
      <c r="U12" s="430"/>
      <c r="V12" s="430"/>
      <c r="W12" s="430"/>
      <c r="X12" s="430"/>
      <c r="Y12" s="430"/>
      <c r="Z12" s="430"/>
      <c r="AA12" s="430"/>
      <c r="AB12" s="430"/>
      <c r="AC12" s="430"/>
      <c r="AD12" s="430"/>
      <c r="AE12" s="430"/>
      <c r="AF12" s="430"/>
      <c r="AG12" s="430"/>
      <c r="AH12" s="430"/>
      <c r="AI12" s="430"/>
      <c r="AJ12" s="430"/>
      <c r="AK12" s="430"/>
      <c r="AL12" s="430"/>
      <c r="AM12" s="430"/>
      <c r="AN12" s="430"/>
      <c r="AO12" s="430"/>
      <c r="AP12" s="430"/>
      <c r="AQ12" s="430"/>
      <c r="AR12" s="430"/>
      <c r="AS12" s="430"/>
      <c r="AT12" s="430"/>
      <c r="AU12" s="430"/>
      <c r="AV12" s="430"/>
      <c r="AW12" s="430"/>
      <c r="AX12" s="430"/>
      <c r="AY12" s="430"/>
      <c r="AZ12" s="430"/>
      <c r="BA12" s="430"/>
      <c r="BB12" s="430"/>
      <c r="BC12" s="430"/>
      <c r="BD12" s="430"/>
      <c r="BE12" s="430"/>
    </row>
    <row r="13" spans="1:57">
      <c r="A13" s="430"/>
      <c r="B13" s="430"/>
      <c r="C13" s="430"/>
      <c r="D13" s="430"/>
      <c r="E13" s="430"/>
      <c r="F13" s="430"/>
      <c r="G13" s="430"/>
      <c r="H13" s="430"/>
      <c r="I13" s="430"/>
      <c r="J13" s="430"/>
      <c r="K13" s="430"/>
      <c r="L13" s="430"/>
      <c r="M13" s="430"/>
      <c r="N13" s="430"/>
      <c r="O13" s="430"/>
      <c r="P13" s="430"/>
      <c r="Q13" s="430"/>
      <c r="R13" s="430"/>
      <c r="S13" s="430"/>
      <c r="T13" s="430"/>
      <c r="U13" s="430"/>
      <c r="V13" s="430"/>
      <c r="W13" s="430"/>
      <c r="X13" s="430"/>
      <c r="Y13" s="430"/>
      <c r="Z13" s="430"/>
      <c r="AA13" s="430"/>
      <c r="AB13" s="430"/>
      <c r="AC13" s="430"/>
      <c r="AD13" s="430"/>
      <c r="AE13" s="430"/>
      <c r="AF13" s="430"/>
      <c r="AG13" s="430"/>
      <c r="AH13" s="430"/>
      <c r="AI13" s="430"/>
      <c r="AJ13" s="430"/>
      <c r="AK13" s="430"/>
      <c r="AL13" s="430"/>
      <c r="AM13" s="430"/>
      <c r="AN13" s="430"/>
      <c r="AO13" s="430"/>
      <c r="AP13" s="430"/>
      <c r="AQ13" s="430"/>
      <c r="AR13" s="430"/>
      <c r="AS13" s="430"/>
      <c r="AT13" s="430"/>
      <c r="AU13" s="430"/>
      <c r="AV13" s="430"/>
      <c r="AW13" s="430"/>
      <c r="AX13" s="430"/>
      <c r="AY13" s="430"/>
      <c r="AZ13" s="430"/>
      <c r="BA13" s="430"/>
      <c r="BB13" s="430"/>
      <c r="BC13" s="430"/>
      <c r="BD13" s="430"/>
      <c r="BE13" s="430"/>
    </row>
    <row r="14" spans="1:57">
      <c r="A14" s="430"/>
      <c r="B14" s="430"/>
      <c r="C14" s="430"/>
      <c r="D14" s="430"/>
      <c r="E14" s="430"/>
      <c r="F14" s="430"/>
      <c r="G14" s="430"/>
      <c r="H14" s="430"/>
      <c r="I14" s="430"/>
      <c r="J14" s="430"/>
      <c r="K14" s="430"/>
      <c r="L14" s="430"/>
      <c r="M14" s="430"/>
      <c r="N14" s="430"/>
      <c r="O14" s="430"/>
      <c r="P14" s="430"/>
      <c r="Q14" s="430"/>
      <c r="R14" s="430"/>
      <c r="S14" s="430"/>
      <c r="T14" s="430"/>
      <c r="U14" s="430"/>
      <c r="V14" s="430"/>
      <c r="W14" s="430"/>
      <c r="X14" s="430"/>
      <c r="Y14" s="430"/>
      <c r="Z14" s="430"/>
      <c r="AA14" s="430"/>
      <c r="AB14" s="430"/>
      <c r="AC14" s="430"/>
      <c r="AD14" s="430"/>
      <c r="AE14" s="430"/>
      <c r="AF14" s="430"/>
      <c r="AG14" s="430"/>
      <c r="AH14" s="430"/>
      <c r="AI14" s="430"/>
      <c r="AJ14" s="430"/>
      <c r="AK14" s="430"/>
      <c r="AL14" s="430"/>
      <c r="AM14" s="430"/>
      <c r="AN14" s="430"/>
      <c r="AO14" s="430"/>
      <c r="AP14" s="430"/>
      <c r="AQ14" s="430"/>
      <c r="AR14" s="430"/>
      <c r="AS14" s="430"/>
      <c r="AT14" s="430"/>
      <c r="AU14" s="430"/>
      <c r="AV14" s="430"/>
      <c r="AW14" s="430"/>
      <c r="AX14" s="430"/>
      <c r="AY14" s="430"/>
      <c r="AZ14" s="430"/>
      <c r="BA14" s="430"/>
      <c r="BB14" s="430"/>
      <c r="BC14" s="430"/>
      <c r="BD14" s="430"/>
      <c r="BE14" s="430"/>
    </row>
    <row r="15" spans="1:57">
      <c r="A15" s="430"/>
      <c r="B15" s="430"/>
      <c r="C15" s="430"/>
      <c r="D15" s="430"/>
      <c r="E15" s="430"/>
      <c r="F15" s="430"/>
      <c r="G15" s="430"/>
      <c r="H15" s="430"/>
      <c r="I15" s="430"/>
      <c r="J15" s="430"/>
      <c r="K15" s="430"/>
      <c r="L15" s="430"/>
      <c r="M15" s="430"/>
      <c r="N15" s="430"/>
      <c r="O15" s="430"/>
      <c r="P15" s="430"/>
      <c r="Q15" s="430"/>
      <c r="R15" s="430"/>
      <c r="S15" s="430"/>
      <c r="T15" s="430"/>
      <c r="U15" s="430"/>
      <c r="V15" s="430"/>
      <c r="W15" s="430"/>
      <c r="X15" s="430"/>
      <c r="Y15" s="430"/>
      <c r="Z15" s="430"/>
      <c r="AA15" s="430"/>
      <c r="AB15" s="430"/>
      <c r="AC15" s="430"/>
      <c r="AD15" s="430"/>
      <c r="AE15" s="430"/>
      <c r="AF15" s="430"/>
      <c r="AG15" s="430"/>
      <c r="AH15" s="430"/>
      <c r="AI15" s="430"/>
      <c r="AJ15" s="430"/>
      <c r="AK15" s="430"/>
      <c r="AL15" s="430"/>
      <c r="AM15" s="430"/>
      <c r="AN15" s="430"/>
      <c r="AO15" s="430"/>
      <c r="AP15" s="430"/>
      <c r="AQ15" s="430"/>
      <c r="AR15" s="430"/>
      <c r="AS15" s="430"/>
      <c r="AT15" s="430"/>
      <c r="AU15" s="430"/>
      <c r="AV15" s="430"/>
      <c r="AW15" s="430"/>
      <c r="AX15" s="430"/>
      <c r="AY15" s="430"/>
      <c r="AZ15" s="430"/>
      <c r="BA15" s="430"/>
      <c r="BB15" s="430"/>
      <c r="BC15" s="430"/>
      <c r="BD15" s="430"/>
      <c r="BE15" s="430"/>
    </row>
    <row r="16" spans="1:57">
      <c r="A16" s="430"/>
      <c r="B16" s="430"/>
      <c r="C16" s="430"/>
      <c r="D16" s="430"/>
      <c r="E16" s="430"/>
      <c r="F16" s="430"/>
      <c r="G16" s="430"/>
      <c r="H16" s="430"/>
      <c r="I16" s="430"/>
      <c r="J16" s="430"/>
      <c r="K16" s="430"/>
      <c r="L16" s="430"/>
      <c r="M16" s="430"/>
      <c r="N16" s="430"/>
      <c r="O16" s="430"/>
      <c r="P16" s="430"/>
      <c r="Q16" s="430"/>
      <c r="R16" s="430"/>
      <c r="S16" s="430"/>
      <c r="T16" s="430"/>
      <c r="U16" s="430"/>
      <c r="V16" s="430"/>
      <c r="W16" s="430"/>
      <c r="X16" s="430"/>
      <c r="Y16" s="430"/>
      <c r="Z16" s="430"/>
      <c r="AA16" s="430"/>
      <c r="AB16" s="430"/>
      <c r="AC16" s="430"/>
      <c r="AD16" s="430"/>
      <c r="AE16" s="430"/>
      <c r="AF16" s="430"/>
      <c r="AG16" s="430"/>
      <c r="AH16" s="430"/>
      <c r="AI16" s="430"/>
      <c r="AJ16" s="430"/>
      <c r="AK16" s="430"/>
      <c r="AL16" s="430"/>
      <c r="AM16" s="430"/>
      <c r="AN16" s="430"/>
      <c r="AO16" s="430"/>
      <c r="AP16" s="430"/>
      <c r="AQ16" s="430"/>
      <c r="AR16" s="430"/>
      <c r="AS16" s="430"/>
      <c r="AT16" s="430"/>
      <c r="AU16" s="430"/>
      <c r="AV16" s="430"/>
      <c r="AW16" s="430"/>
      <c r="AX16" s="430"/>
      <c r="AY16" s="430"/>
      <c r="AZ16" s="430"/>
      <c r="BA16" s="430"/>
      <c r="BB16" s="430"/>
      <c r="BC16" s="430"/>
      <c r="BD16" s="430"/>
      <c r="BE16" s="430"/>
    </row>
    <row r="17" spans="1:57">
      <c r="A17" s="430"/>
      <c r="B17" s="430"/>
      <c r="C17" s="430"/>
      <c r="D17" s="430"/>
      <c r="E17" s="430"/>
      <c r="F17" s="430"/>
      <c r="G17" s="430"/>
      <c r="H17" s="430"/>
      <c r="I17" s="430"/>
      <c r="J17" s="430"/>
      <c r="K17" s="430"/>
      <c r="L17" s="430"/>
      <c r="M17" s="430"/>
      <c r="N17" s="430"/>
      <c r="O17" s="430"/>
      <c r="P17" s="430"/>
      <c r="Q17" s="430"/>
      <c r="R17" s="430"/>
      <c r="S17" s="430"/>
      <c r="T17" s="430"/>
      <c r="U17" s="430"/>
      <c r="V17" s="430"/>
      <c r="W17" s="430"/>
      <c r="X17" s="430"/>
      <c r="Y17" s="430"/>
      <c r="Z17" s="430"/>
      <c r="AA17" s="430"/>
      <c r="AB17" s="430"/>
      <c r="AC17" s="430"/>
      <c r="AD17" s="430"/>
      <c r="AE17" s="430"/>
      <c r="AF17" s="430"/>
      <c r="AG17" s="430"/>
      <c r="AH17" s="430"/>
      <c r="AI17" s="430"/>
      <c r="AJ17" s="430"/>
      <c r="AK17" s="430"/>
      <c r="AL17" s="430"/>
      <c r="AM17" s="430"/>
      <c r="AN17" s="430"/>
      <c r="AO17" s="430"/>
      <c r="AP17" s="430"/>
      <c r="AQ17" s="430"/>
      <c r="AR17" s="430"/>
      <c r="AS17" s="430"/>
      <c r="AT17" s="430"/>
      <c r="AU17" s="430"/>
      <c r="AV17" s="430"/>
      <c r="AW17" s="430"/>
      <c r="AX17" s="430"/>
      <c r="AY17" s="430"/>
      <c r="AZ17" s="430"/>
      <c r="BA17" s="430"/>
      <c r="BB17" s="430"/>
      <c r="BC17" s="430"/>
      <c r="BD17" s="430"/>
      <c r="BE17" s="430"/>
    </row>
    <row r="18" spans="1:57">
      <c r="A18" s="430"/>
      <c r="B18" s="430"/>
      <c r="C18" s="430"/>
      <c r="D18" s="430"/>
      <c r="E18" s="430"/>
      <c r="F18" s="430"/>
      <c r="G18" s="430"/>
      <c r="H18" s="430"/>
      <c r="I18" s="430"/>
      <c r="J18" s="430"/>
      <c r="K18" s="430"/>
      <c r="L18" s="430"/>
      <c r="M18" s="430"/>
      <c r="N18" s="430"/>
      <c r="O18" s="430"/>
      <c r="P18" s="430"/>
      <c r="Q18" s="430"/>
      <c r="R18" s="430"/>
      <c r="S18" s="430"/>
      <c r="T18" s="430"/>
      <c r="U18" s="430"/>
      <c r="V18" s="430"/>
      <c r="W18" s="430"/>
      <c r="X18" s="430"/>
      <c r="Y18" s="430"/>
      <c r="Z18" s="430"/>
      <c r="AA18" s="430"/>
      <c r="AB18" s="430"/>
      <c r="AC18" s="430"/>
      <c r="AD18" s="430"/>
      <c r="AE18" s="430"/>
      <c r="AF18" s="430"/>
      <c r="AG18" s="430"/>
      <c r="AH18" s="430"/>
      <c r="AI18" s="430"/>
      <c r="AJ18" s="430"/>
      <c r="AK18" s="430"/>
      <c r="AL18" s="430"/>
      <c r="AM18" s="430"/>
      <c r="AN18" s="430"/>
      <c r="AO18" s="430"/>
      <c r="AP18" s="430"/>
      <c r="AQ18" s="430"/>
      <c r="AR18" s="430"/>
      <c r="AS18" s="430"/>
      <c r="AT18" s="430"/>
      <c r="AU18" s="430"/>
      <c r="AV18" s="430"/>
      <c r="AW18" s="430"/>
      <c r="AX18" s="430"/>
      <c r="AY18" s="430"/>
      <c r="AZ18" s="430"/>
      <c r="BA18" s="430"/>
      <c r="BB18" s="430"/>
      <c r="BC18" s="430"/>
      <c r="BD18" s="430"/>
      <c r="BE18" s="430"/>
    </row>
    <row r="19" spans="1:57">
      <c r="A19" s="430"/>
      <c r="B19" s="430"/>
      <c r="C19" s="430"/>
      <c r="D19" s="430"/>
      <c r="E19" s="430"/>
      <c r="F19" s="430"/>
      <c r="G19" s="430"/>
      <c r="H19" s="430"/>
      <c r="I19" s="430"/>
      <c r="J19" s="430"/>
      <c r="K19" s="430"/>
      <c r="L19" s="430"/>
      <c r="M19" s="430"/>
      <c r="N19" s="430"/>
      <c r="O19" s="430"/>
      <c r="P19" s="430"/>
      <c r="Q19" s="430"/>
      <c r="R19" s="430"/>
      <c r="S19" s="430"/>
      <c r="T19" s="430"/>
      <c r="U19" s="430"/>
      <c r="V19" s="430"/>
      <c r="W19" s="430"/>
      <c r="X19" s="430"/>
      <c r="Y19" s="430"/>
      <c r="Z19" s="430"/>
      <c r="AA19" s="430"/>
      <c r="AB19" s="430"/>
      <c r="AC19" s="430"/>
      <c r="AD19" s="430"/>
      <c r="AE19" s="430"/>
      <c r="AF19" s="430"/>
      <c r="AG19" s="430"/>
      <c r="AH19" s="430"/>
      <c r="AI19" s="430"/>
      <c r="AJ19" s="430"/>
      <c r="AK19" s="430"/>
      <c r="AL19" s="430"/>
      <c r="AM19" s="430"/>
      <c r="AN19" s="430"/>
      <c r="AO19" s="430"/>
      <c r="AP19" s="430"/>
      <c r="AQ19" s="430"/>
      <c r="AR19" s="430"/>
      <c r="AS19" s="430"/>
      <c r="AT19" s="430"/>
      <c r="AU19" s="430"/>
      <c r="AV19" s="430"/>
      <c r="AW19" s="430"/>
      <c r="AX19" s="430"/>
      <c r="AY19" s="430"/>
      <c r="AZ19" s="430"/>
      <c r="BA19" s="430"/>
      <c r="BB19" s="430"/>
      <c r="BC19" s="430"/>
      <c r="BD19" s="430"/>
      <c r="BE19" s="430"/>
    </row>
    <row r="20" spans="1:57">
      <c r="A20" s="430"/>
      <c r="B20" s="430"/>
      <c r="C20" s="430"/>
      <c r="D20" s="430"/>
      <c r="E20" s="430"/>
      <c r="F20" s="430"/>
      <c r="G20" s="430"/>
      <c r="H20" s="430"/>
      <c r="I20" s="430"/>
      <c r="J20" s="430"/>
      <c r="K20" s="430"/>
      <c r="L20" s="430"/>
      <c r="M20" s="430"/>
      <c r="N20" s="430"/>
      <c r="O20" s="430"/>
      <c r="P20" s="430"/>
      <c r="Q20" s="430"/>
      <c r="R20" s="430"/>
      <c r="S20" s="430"/>
      <c r="T20" s="430"/>
      <c r="U20" s="430"/>
      <c r="V20" s="430"/>
      <c r="W20" s="430"/>
      <c r="X20" s="430"/>
      <c r="Y20" s="430"/>
      <c r="Z20" s="430"/>
      <c r="AA20" s="430"/>
      <c r="AB20" s="430"/>
      <c r="AC20" s="430"/>
      <c r="AD20" s="430"/>
      <c r="AE20" s="430"/>
      <c r="AF20" s="430"/>
      <c r="AG20" s="430"/>
      <c r="AH20" s="430"/>
      <c r="AI20" s="430"/>
      <c r="AJ20" s="430"/>
      <c r="AK20" s="430"/>
      <c r="AL20" s="430"/>
      <c r="AM20" s="430"/>
      <c r="AN20" s="430"/>
      <c r="AO20" s="430"/>
      <c r="AP20" s="430"/>
      <c r="AQ20" s="430"/>
      <c r="AR20" s="430"/>
      <c r="AS20" s="430"/>
      <c r="AT20" s="430"/>
      <c r="AU20" s="430"/>
      <c r="AV20" s="430"/>
      <c r="AW20" s="430"/>
      <c r="AX20" s="430"/>
      <c r="AY20" s="430"/>
      <c r="AZ20" s="430"/>
      <c r="BA20" s="430"/>
      <c r="BB20" s="430"/>
      <c r="BC20" s="430"/>
      <c r="BD20" s="430"/>
      <c r="BE20" s="430"/>
    </row>
    <row r="21" spans="1:57">
      <c r="A21" s="430"/>
      <c r="B21" s="430"/>
      <c r="C21" s="430"/>
      <c r="D21" s="430"/>
      <c r="E21" s="430"/>
      <c r="F21" s="430"/>
      <c r="G21" s="430"/>
      <c r="H21" s="430"/>
      <c r="I21" s="430"/>
      <c r="J21" s="430"/>
      <c r="K21" s="430"/>
      <c r="L21" s="430"/>
      <c r="M21" s="430"/>
      <c r="N21" s="430"/>
      <c r="O21" s="430"/>
      <c r="P21" s="430"/>
      <c r="Q21" s="430"/>
      <c r="R21" s="430"/>
      <c r="S21" s="430"/>
      <c r="T21" s="430"/>
      <c r="U21" s="430"/>
      <c r="V21" s="430"/>
      <c r="W21" s="430"/>
      <c r="X21" s="430"/>
      <c r="Y21" s="430"/>
      <c r="Z21" s="430"/>
      <c r="AA21" s="430"/>
      <c r="AB21" s="430"/>
      <c r="AC21" s="430"/>
      <c r="AD21" s="430"/>
      <c r="AE21" s="430"/>
      <c r="AF21" s="430"/>
      <c r="AG21" s="430"/>
      <c r="AH21" s="430"/>
      <c r="AI21" s="430"/>
      <c r="AJ21" s="430"/>
      <c r="AK21" s="430"/>
      <c r="AL21" s="430"/>
      <c r="AM21" s="430"/>
      <c r="AN21" s="430"/>
      <c r="AO21" s="430"/>
      <c r="AP21" s="430"/>
      <c r="AQ21" s="430"/>
      <c r="AR21" s="430"/>
      <c r="AS21" s="430"/>
      <c r="AT21" s="430"/>
      <c r="AU21" s="430"/>
      <c r="AV21" s="430"/>
      <c r="AW21" s="430"/>
      <c r="AX21" s="430"/>
      <c r="AY21" s="430"/>
      <c r="AZ21" s="430"/>
      <c r="BA21" s="430"/>
      <c r="BB21" s="430"/>
      <c r="BC21" s="430"/>
      <c r="BD21" s="430"/>
      <c r="BE21" s="430"/>
    </row>
    <row r="22" spans="1:57">
      <c r="A22" s="430"/>
      <c r="B22" s="430"/>
      <c r="C22" s="430"/>
      <c r="D22" s="430"/>
      <c r="E22" s="430"/>
      <c r="F22" s="430"/>
      <c r="G22" s="430"/>
      <c r="H22" s="430"/>
      <c r="I22" s="430"/>
      <c r="J22" s="430"/>
      <c r="K22" s="430"/>
      <c r="L22" s="430"/>
      <c r="M22" s="430"/>
      <c r="N22" s="430"/>
      <c r="O22" s="430"/>
      <c r="P22" s="430"/>
      <c r="Q22" s="430"/>
      <c r="R22" s="430"/>
      <c r="S22" s="430"/>
      <c r="T22" s="430"/>
      <c r="U22" s="430"/>
      <c r="V22" s="430"/>
      <c r="W22" s="430"/>
      <c r="X22" s="430"/>
      <c r="Y22" s="430"/>
      <c r="Z22" s="430"/>
      <c r="AA22" s="430"/>
      <c r="AB22" s="430"/>
      <c r="AC22" s="430"/>
      <c r="AD22" s="430"/>
      <c r="AE22" s="430"/>
      <c r="AF22" s="430"/>
      <c r="AG22" s="430"/>
      <c r="AH22" s="430"/>
      <c r="AI22" s="430"/>
      <c r="AJ22" s="430"/>
      <c r="AK22" s="430"/>
      <c r="AL22" s="430"/>
      <c r="AM22" s="430"/>
      <c r="AN22" s="430"/>
      <c r="AO22" s="430"/>
      <c r="AP22" s="430"/>
      <c r="AQ22" s="430"/>
      <c r="AR22" s="430"/>
      <c r="AS22" s="430"/>
      <c r="AT22" s="430"/>
      <c r="AU22" s="430"/>
      <c r="AV22" s="430"/>
      <c r="AW22" s="430"/>
      <c r="AX22" s="430"/>
      <c r="AY22" s="430"/>
      <c r="AZ22" s="430"/>
      <c r="BA22" s="430"/>
      <c r="BB22" s="430"/>
      <c r="BC22" s="430"/>
      <c r="BD22" s="430"/>
      <c r="BE22" s="430"/>
    </row>
    <row r="23" spans="1:57">
      <c r="A23" s="430"/>
      <c r="B23" s="430"/>
      <c r="C23" s="430"/>
      <c r="D23" s="430"/>
      <c r="E23" s="430"/>
      <c r="F23" s="430"/>
      <c r="G23" s="430"/>
      <c r="H23" s="430"/>
      <c r="I23" s="430"/>
      <c r="J23" s="430"/>
      <c r="K23" s="430"/>
      <c r="L23" s="430"/>
      <c r="M23" s="430"/>
      <c r="N23" s="430"/>
      <c r="O23" s="430"/>
      <c r="P23" s="430"/>
      <c r="Q23" s="430"/>
      <c r="R23" s="430"/>
      <c r="S23" s="430"/>
      <c r="T23" s="430"/>
      <c r="U23" s="430"/>
      <c r="V23" s="430"/>
      <c r="W23" s="430"/>
      <c r="X23" s="430"/>
      <c r="Y23" s="430"/>
      <c r="Z23" s="430"/>
      <c r="AA23" s="430"/>
      <c r="AB23" s="430"/>
      <c r="AC23" s="430"/>
      <c r="AD23" s="430"/>
      <c r="AE23" s="430"/>
      <c r="AF23" s="430"/>
      <c r="AG23" s="430"/>
      <c r="AH23" s="430"/>
      <c r="AI23" s="430"/>
      <c r="AJ23" s="430"/>
      <c r="AK23" s="430"/>
      <c r="AL23" s="430"/>
      <c r="AM23" s="430"/>
      <c r="AN23" s="430"/>
      <c r="AO23" s="430"/>
      <c r="AP23" s="430"/>
      <c r="AQ23" s="430"/>
      <c r="AR23" s="430"/>
      <c r="AS23" s="430"/>
      <c r="AT23" s="430"/>
      <c r="AU23" s="430"/>
      <c r="AV23" s="430"/>
      <c r="AW23" s="430"/>
      <c r="AX23" s="430"/>
      <c r="AY23" s="430"/>
      <c r="AZ23" s="430"/>
      <c r="BA23" s="430"/>
      <c r="BB23" s="430"/>
      <c r="BC23" s="430"/>
      <c r="BD23" s="430"/>
      <c r="BE23" s="430"/>
    </row>
    <row r="24" spans="1:57">
      <c r="A24" s="430"/>
      <c r="B24" s="430"/>
      <c r="C24" s="430"/>
      <c r="D24" s="430"/>
      <c r="E24" s="430"/>
      <c r="F24" s="430"/>
      <c r="G24" s="430"/>
      <c r="H24" s="430"/>
      <c r="I24" s="430"/>
      <c r="J24" s="430"/>
      <c r="K24" s="430"/>
      <c r="L24" s="430"/>
      <c r="M24" s="430"/>
      <c r="N24" s="430"/>
      <c r="O24" s="430"/>
      <c r="P24" s="430"/>
      <c r="Q24" s="430"/>
      <c r="R24" s="430"/>
      <c r="S24" s="430"/>
      <c r="T24" s="430"/>
      <c r="U24" s="430"/>
      <c r="V24" s="430"/>
      <c r="W24" s="430"/>
      <c r="X24" s="430"/>
      <c r="Y24" s="430"/>
      <c r="Z24" s="430"/>
      <c r="AA24" s="430"/>
      <c r="AB24" s="430"/>
      <c r="AC24" s="430"/>
      <c r="AD24" s="430"/>
      <c r="AE24" s="430"/>
      <c r="AF24" s="430"/>
      <c r="AG24" s="430"/>
      <c r="AH24" s="430"/>
      <c r="AI24" s="430"/>
      <c r="AJ24" s="430"/>
      <c r="AK24" s="430"/>
      <c r="AL24" s="430"/>
      <c r="AM24" s="430"/>
      <c r="AN24" s="430"/>
      <c r="AO24" s="430"/>
      <c r="AP24" s="430"/>
      <c r="AQ24" s="430"/>
      <c r="AR24" s="430"/>
      <c r="AS24" s="430"/>
      <c r="AT24" s="430"/>
      <c r="AU24" s="430"/>
      <c r="AV24" s="430"/>
      <c r="AW24" s="430"/>
      <c r="AX24" s="430"/>
      <c r="AY24" s="430"/>
      <c r="AZ24" s="430"/>
      <c r="BA24" s="430"/>
      <c r="BB24" s="430"/>
      <c r="BC24" s="430"/>
      <c r="BD24" s="430"/>
      <c r="BE24" s="430"/>
    </row>
    <row r="25" spans="1:57">
      <c r="A25" s="430"/>
      <c r="B25" s="430"/>
      <c r="C25" s="430"/>
      <c r="D25" s="430"/>
      <c r="E25" s="430"/>
      <c r="F25" s="430"/>
      <c r="G25" s="430"/>
      <c r="H25" s="430"/>
      <c r="I25" s="430"/>
      <c r="J25" s="430"/>
      <c r="K25" s="430"/>
      <c r="L25" s="430"/>
      <c r="M25" s="430"/>
      <c r="N25" s="430"/>
      <c r="O25" s="430"/>
      <c r="P25" s="430"/>
      <c r="Q25" s="430"/>
      <c r="R25" s="430"/>
      <c r="S25" s="430"/>
      <c r="T25" s="430"/>
      <c r="U25" s="430"/>
      <c r="V25" s="430"/>
      <c r="W25" s="430"/>
      <c r="X25" s="430"/>
      <c r="Y25" s="430"/>
      <c r="Z25" s="430"/>
      <c r="AA25" s="430"/>
      <c r="AB25" s="430"/>
      <c r="AC25" s="430"/>
      <c r="AD25" s="430"/>
      <c r="AE25" s="430"/>
      <c r="AF25" s="430"/>
      <c r="AG25" s="430"/>
      <c r="AH25" s="430"/>
      <c r="AI25" s="430"/>
      <c r="AJ25" s="430"/>
      <c r="AK25" s="430"/>
      <c r="AL25" s="430"/>
      <c r="AM25" s="430"/>
      <c r="AN25" s="430"/>
      <c r="AO25" s="430"/>
      <c r="AP25" s="430"/>
      <c r="AQ25" s="430"/>
      <c r="AR25" s="430"/>
      <c r="AS25" s="430"/>
      <c r="AT25" s="430"/>
      <c r="AU25" s="430"/>
      <c r="AV25" s="430"/>
      <c r="AW25" s="430"/>
      <c r="AX25" s="430"/>
      <c r="AY25" s="430"/>
      <c r="AZ25" s="430"/>
      <c r="BA25" s="430"/>
      <c r="BB25" s="430"/>
      <c r="BC25" s="430"/>
      <c r="BD25" s="430"/>
      <c r="BE25" s="430"/>
    </row>
    <row r="26" spans="1:57">
      <c r="A26" s="430"/>
      <c r="B26" s="430"/>
      <c r="C26" s="430"/>
      <c r="D26" s="430"/>
      <c r="E26" s="430"/>
      <c r="F26" s="430"/>
      <c r="G26" s="430"/>
      <c r="H26" s="430"/>
      <c r="I26" s="430"/>
      <c r="J26" s="430"/>
      <c r="K26" s="430"/>
      <c r="L26" s="430"/>
      <c r="M26" s="430"/>
      <c r="N26" s="430"/>
      <c r="O26" s="430"/>
      <c r="P26" s="430"/>
      <c r="Q26" s="430"/>
      <c r="R26" s="430"/>
      <c r="S26" s="430"/>
      <c r="T26" s="430"/>
      <c r="U26" s="430"/>
      <c r="V26" s="430"/>
      <c r="W26" s="430"/>
      <c r="X26" s="430"/>
      <c r="Y26" s="430"/>
      <c r="Z26" s="430"/>
      <c r="AA26" s="430"/>
      <c r="AB26" s="430"/>
      <c r="AC26" s="430"/>
      <c r="AD26" s="430"/>
      <c r="AE26" s="430"/>
      <c r="AF26" s="430"/>
      <c r="AG26" s="430"/>
      <c r="AH26" s="430"/>
      <c r="AI26" s="430"/>
      <c r="AJ26" s="430"/>
      <c r="AK26" s="430"/>
      <c r="AL26" s="430"/>
      <c r="AM26" s="430"/>
      <c r="AN26" s="430"/>
      <c r="AO26" s="430"/>
      <c r="AP26" s="430"/>
      <c r="AQ26" s="430"/>
      <c r="AR26" s="430"/>
      <c r="AS26" s="430"/>
      <c r="AT26" s="430"/>
      <c r="AU26" s="430"/>
      <c r="AV26" s="430"/>
      <c r="AW26" s="430"/>
      <c r="AX26" s="430"/>
      <c r="AY26" s="430"/>
      <c r="AZ26" s="430"/>
      <c r="BA26" s="430"/>
      <c r="BB26" s="430"/>
      <c r="BC26" s="430"/>
      <c r="BD26" s="430"/>
      <c r="BE26" s="430"/>
    </row>
    <row r="27" spans="1:57">
      <c r="A27" s="430"/>
      <c r="B27" s="430"/>
      <c r="C27" s="430"/>
      <c r="D27" s="430"/>
      <c r="E27" s="430"/>
      <c r="F27" s="430"/>
      <c r="G27" s="430"/>
      <c r="H27" s="430"/>
      <c r="I27" s="430"/>
      <c r="J27" s="430"/>
      <c r="K27" s="430"/>
      <c r="L27" s="430"/>
      <c r="M27" s="430"/>
      <c r="N27" s="430"/>
      <c r="O27" s="430"/>
      <c r="P27" s="430"/>
      <c r="Q27" s="430"/>
      <c r="R27" s="430"/>
      <c r="S27" s="430"/>
      <c r="T27" s="430"/>
      <c r="U27" s="430"/>
      <c r="V27" s="430"/>
      <c r="W27" s="430"/>
      <c r="X27" s="430"/>
      <c r="Y27" s="430"/>
      <c r="Z27" s="430"/>
      <c r="AA27" s="430"/>
      <c r="AB27" s="430"/>
      <c r="AC27" s="430"/>
      <c r="AD27" s="430"/>
      <c r="AE27" s="430"/>
      <c r="AF27" s="430"/>
      <c r="AG27" s="430"/>
      <c r="AH27" s="430"/>
      <c r="AI27" s="430"/>
      <c r="AJ27" s="430"/>
      <c r="AK27" s="430"/>
      <c r="AL27" s="430"/>
      <c r="AM27" s="430"/>
      <c r="AN27" s="430"/>
      <c r="AO27" s="430"/>
      <c r="AP27" s="430"/>
      <c r="AQ27" s="430"/>
      <c r="AR27" s="430"/>
      <c r="AS27" s="430"/>
      <c r="AT27" s="430"/>
      <c r="AU27" s="430"/>
      <c r="AV27" s="430"/>
      <c r="AW27" s="430"/>
      <c r="AX27" s="430"/>
      <c r="AY27" s="430"/>
      <c r="AZ27" s="430"/>
      <c r="BA27" s="430"/>
      <c r="BB27" s="430"/>
      <c r="BC27" s="430"/>
      <c r="BD27" s="430"/>
      <c r="BE27" s="430"/>
    </row>
    <row r="28" spans="1:57">
      <c r="A28" s="430"/>
      <c r="B28" s="430"/>
      <c r="C28" s="430"/>
      <c r="D28" s="430"/>
      <c r="E28" s="430"/>
      <c r="F28" s="430"/>
      <c r="G28" s="430"/>
      <c r="H28" s="430"/>
      <c r="I28" s="430"/>
      <c r="J28" s="430"/>
      <c r="K28" s="430"/>
      <c r="L28" s="430"/>
      <c r="M28" s="430"/>
      <c r="N28" s="430"/>
      <c r="O28" s="430"/>
      <c r="P28" s="430"/>
      <c r="Q28" s="430"/>
      <c r="R28" s="430"/>
      <c r="S28" s="430"/>
      <c r="T28" s="430"/>
      <c r="U28" s="430"/>
      <c r="V28" s="430"/>
      <c r="W28" s="430"/>
      <c r="X28" s="430"/>
      <c r="Y28" s="430"/>
      <c r="Z28" s="430"/>
      <c r="AA28" s="430"/>
      <c r="AB28" s="430"/>
      <c r="AC28" s="430"/>
      <c r="AD28" s="430"/>
      <c r="AE28" s="430"/>
      <c r="AF28" s="430"/>
      <c r="AG28" s="430"/>
      <c r="AH28" s="430"/>
      <c r="AI28" s="430"/>
      <c r="AJ28" s="430"/>
      <c r="AK28" s="430"/>
      <c r="AL28" s="430"/>
      <c r="AM28" s="430"/>
      <c r="AN28" s="430"/>
      <c r="AO28" s="430"/>
      <c r="AP28" s="430"/>
      <c r="AQ28" s="430"/>
      <c r="AR28" s="430"/>
      <c r="AS28" s="430"/>
      <c r="AT28" s="430"/>
      <c r="AU28" s="430"/>
      <c r="AV28" s="430"/>
      <c r="AW28" s="430"/>
      <c r="AX28" s="430"/>
      <c r="AY28" s="430"/>
      <c r="AZ28" s="430"/>
      <c r="BA28" s="430"/>
      <c r="BB28" s="430"/>
      <c r="BC28" s="430"/>
      <c r="BD28" s="430"/>
      <c r="BE28" s="430"/>
    </row>
    <row r="29" spans="1:57">
      <c r="A29" s="430"/>
      <c r="B29" s="430"/>
      <c r="C29" s="430"/>
      <c r="D29" s="430"/>
      <c r="E29" s="430"/>
      <c r="F29" s="430"/>
      <c r="G29" s="430"/>
      <c r="H29" s="430"/>
      <c r="I29" s="430"/>
      <c r="J29" s="430"/>
      <c r="K29" s="430"/>
      <c r="L29" s="430"/>
      <c r="M29" s="430"/>
      <c r="N29" s="430"/>
      <c r="O29" s="430"/>
      <c r="P29" s="430"/>
      <c r="Q29" s="430"/>
      <c r="R29" s="430"/>
      <c r="S29" s="430"/>
      <c r="T29" s="430"/>
      <c r="U29" s="430"/>
      <c r="V29" s="430"/>
      <c r="W29" s="430"/>
      <c r="X29" s="430"/>
      <c r="Y29" s="430"/>
      <c r="Z29" s="430"/>
      <c r="AA29" s="430"/>
      <c r="AB29" s="430"/>
      <c r="AC29" s="430"/>
      <c r="AD29" s="430"/>
      <c r="AE29" s="430"/>
      <c r="AF29" s="430"/>
      <c r="AG29" s="430"/>
      <c r="AH29" s="430"/>
      <c r="AI29" s="430"/>
      <c r="AJ29" s="430"/>
      <c r="AK29" s="430"/>
      <c r="AL29" s="430"/>
      <c r="AM29" s="430"/>
      <c r="AN29" s="430"/>
      <c r="AO29" s="430"/>
      <c r="AP29" s="430"/>
      <c r="AQ29" s="430"/>
      <c r="AR29" s="430"/>
      <c r="AS29" s="430"/>
      <c r="AT29" s="430"/>
      <c r="AU29" s="430"/>
      <c r="AV29" s="430"/>
      <c r="AW29" s="430"/>
      <c r="AX29" s="430"/>
      <c r="AY29" s="430"/>
      <c r="AZ29" s="430"/>
      <c r="BA29" s="430"/>
      <c r="BB29" s="430"/>
      <c r="BC29" s="430"/>
      <c r="BD29" s="430"/>
      <c r="BE29" s="430"/>
    </row>
    <row r="30" spans="1:57">
      <c r="A30" s="430"/>
      <c r="B30" s="430"/>
      <c r="C30" s="430"/>
      <c r="D30" s="430"/>
      <c r="E30" s="430"/>
      <c r="F30" s="430"/>
      <c r="G30" s="430"/>
      <c r="H30" s="430"/>
      <c r="I30" s="430"/>
      <c r="J30" s="430"/>
      <c r="K30" s="430"/>
      <c r="L30" s="430"/>
      <c r="M30" s="430"/>
      <c r="N30" s="430"/>
      <c r="O30" s="430"/>
      <c r="P30" s="430"/>
      <c r="Q30" s="430"/>
      <c r="R30" s="430"/>
      <c r="S30" s="430"/>
      <c r="T30" s="430"/>
      <c r="U30" s="430"/>
      <c r="V30" s="430"/>
      <c r="W30" s="430"/>
      <c r="X30" s="430"/>
      <c r="Y30" s="430"/>
      <c r="Z30" s="430"/>
      <c r="AA30" s="430"/>
      <c r="AB30" s="430"/>
      <c r="AC30" s="430"/>
      <c r="AD30" s="430"/>
      <c r="AE30" s="430"/>
      <c r="AF30" s="430"/>
      <c r="AG30" s="430"/>
      <c r="AH30" s="430"/>
      <c r="AI30" s="430"/>
      <c r="AJ30" s="430"/>
      <c r="AK30" s="430"/>
      <c r="AL30" s="430"/>
      <c r="AM30" s="430"/>
      <c r="AN30" s="430"/>
      <c r="AO30" s="430"/>
      <c r="AP30" s="430"/>
      <c r="AQ30" s="430"/>
      <c r="AR30" s="430"/>
      <c r="AS30" s="430"/>
      <c r="AT30" s="430"/>
      <c r="AU30" s="430"/>
      <c r="AV30" s="430"/>
      <c r="AW30" s="430"/>
      <c r="AX30" s="430"/>
      <c r="AY30" s="430"/>
      <c r="AZ30" s="430"/>
      <c r="BA30" s="430"/>
      <c r="BB30" s="430"/>
      <c r="BC30" s="430"/>
      <c r="BD30" s="430"/>
      <c r="BE30" s="430"/>
    </row>
    <row r="31" spans="1:57">
      <c r="A31" s="430"/>
      <c r="B31" s="430"/>
      <c r="C31" s="430"/>
      <c r="D31" s="430"/>
      <c r="E31" s="430"/>
      <c r="F31" s="430"/>
      <c r="G31" s="430"/>
      <c r="H31" s="430"/>
      <c r="I31" s="430"/>
      <c r="J31" s="430"/>
      <c r="K31" s="430"/>
      <c r="L31" s="430"/>
      <c r="M31" s="430"/>
      <c r="N31" s="430"/>
      <c r="O31" s="430"/>
      <c r="P31" s="430"/>
      <c r="Q31" s="430"/>
      <c r="R31" s="430"/>
      <c r="S31" s="430"/>
      <c r="T31" s="430"/>
      <c r="U31" s="430"/>
      <c r="V31" s="430"/>
      <c r="W31" s="430"/>
      <c r="X31" s="430"/>
      <c r="Y31" s="430"/>
      <c r="Z31" s="430"/>
      <c r="AA31" s="430"/>
      <c r="AB31" s="430"/>
      <c r="AC31" s="430"/>
      <c r="AD31" s="430"/>
      <c r="AE31" s="430"/>
      <c r="AF31" s="430"/>
      <c r="AG31" s="430"/>
      <c r="AH31" s="430"/>
      <c r="AI31" s="430"/>
      <c r="AJ31" s="430"/>
      <c r="AK31" s="430"/>
      <c r="AL31" s="430"/>
      <c r="AM31" s="430"/>
      <c r="AN31" s="430"/>
      <c r="AO31" s="430"/>
      <c r="AP31" s="430"/>
      <c r="AQ31" s="430"/>
      <c r="AR31" s="430"/>
      <c r="AS31" s="430"/>
      <c r="AT31" s="430"/>
      <c r="AU31" s="430"/>
      <c r="AV31" s="430"/>
      <c r="AW31" s="430"/>
      <c r="AX31" s="430"/>
      <c r="AY31" s="430"/>
      <c r="AZ31" s="430"/>
      <c r="BA31" s="430"/>
      <c r="BB31" s="430"/>
      <c r="BC31" s="430"/>
      <c r="BD31" s="430"/>
      <c r="BE31" s="430"/>
    </row>
    <row r="32" spans="1:57">
      <c r="A32" s="430"/>
      <c r="B32" s="430"/>
      <c r="C32" s="430"/>
      <c r="D32" s="430"/>
      <c r="E32" s="430"/>
      <c r="F32" s="430"/>
      <c r="G32" s="430"/>
      <c r="H32" s="430"/>
      <c r="I32" s="430"/>
      <c r="J32" s="430"/>
      <c r="K32" s="430"/>
      <c r="L32" s="430"/>
      <c r="M32" s="430"/>
      <c r="N32" s="430"/>
      <c r="O32" s="430"/>
      <c r="P32" s="430"/>
      <c r="Q32" s="430"/>
      <c r="R32" s="430"/>
      <c r="S32" s="430"/>
      <c r="T32" s="430"/>
      <c r="U32" s="430"/>
      <c r="V32" s="430"/>
      <c r="W32" s="430"/>
      <c r="X32" s="430"/>
      <c r="Y32" s="430"/>
      <c r="Z32" s="430"/>
      <c r="AA32" s="430"/>
      <c r="AB32" s="430"/>
      <c r="AC32" s="430"/>
      <c r="AD32" s="430"/>
      <c r="AE32" s="430"/>
      <c r="AF32" s="430"/>
      <c r="AG32" s="430"/>
      <c r="AH32" s="430"/>
      <c r="AI32" s="430"/>
      <c r="AJ32" s="430"/>
      <c r="AK32" s="430"/>
      <c r="AL32" s="430"/>
      <c r="AM32" s="430"/>
      <c r="AN32" s="430"/>
      <c r="AO32" s="430"/>
      <c r="AP32" s="430"/>
      <c r="AQ32" s="430"/>
      <c r="AR32" s="430"/>
      <c r="AS32" s="430"/>
      <c r="AT32" s="430"/>
      <c r="AU32" s="430"/>
      <c r="AV32" s="430"/>
      <c r="AW32" s="430"/>
      <c r="AX32" s="430"/>
      <c r="AY32" s="430"/>
      <c r="AZ32" s="430"/>
      <c r="BA32" s="430"/>
      <c r="BB32" s="430"/>
      <c r="BC32" s="430"/>
      <c r="BD32" s="430"/>
      <c r="BE32" s="430"/>
    </row>
    <row r="33" spans="1:57">
      <c r="A33" s="430"/>
      <c r="B33" s="430"/>
      <c r="C33" s="430"/>
      <c r="D33" s="430"/>
      <c r="E33" s="430"/>
      <c r="F33" s="430"/>
      <c r="G33" s="430"/>
      <c r="H33" s="430"/>
      <c r="I33" s="430"/>
      <c r="J33" s="430"/>
      <c r="K33" s="430"/>
      <c r="L33" s="430"/>
      <c r="M33" s="430"/>
      <c r="N33" s="430"/>
      <c r="O33" s="430"/>
      <c r="P33" s="430"/>
      <c r="Q33" s="430"/>
      <c r="R33" s="430"/>
      <c r="S33" s="430"/>
      <c r="T33" s="430"/>
      <c r="U33" s="430"/>
      <c r="V33" s="430"/>
      <c r="W33" s="430"/>
      <c r="X33" s="430"/>
      <c r="Y33" s="430"/>
      <c r="Z33" s="430"/>
      <c r="AA33" s="430"/>
      <c r="AB33" s="430"/>
      <c r="AC33" s="430"/>
      <c r="AD33" s="430"/>
      <c r="AE33" s="430"/>
      <c r="AF33" s="430"/>
      <c r="AG33" s="430"/>
      <c r="AH33" s="430"/>
      <c r="AI33" s="430"/>
      <c r="AJ33" s="430"/>
      <c r="AK33" s="430"/>
      <c r="AL33" s="430"/>
      <c r="AM33" s="430"/>
      <c r="AN33" s="430"/>
      <c r="AO33" s="430"/>
      <c r="AP33" s="430"/>
      <c r="AQ33" s="430"/>
      <c r="AR33" s="430"/>
      <c r="AS33" s="430"/>
      <c r="AT33" s="430"/>
      <c r="AU33" s="430"/>
      <c r="AV33" s="430"/>
      <c r="AW33" s="430"/>
      <c r="AX33" s="430"/>
      <c r="AY33" s="430"/>
      <c r="AZ33" s="430"/>
      <c r="BA33" s="430"/>
      <c r="BB33" s="430"/>
      <c r="BC33" s="430"/>
      <c r="BD33" s="430"/>
      <c r="BE33" s="430"/>
    </row>
    <row r="34" spans="1:57">
      <c r="A34" s="430"/>
      <c r="B34" s="430"/>
      <c r="C34" s="430"/>
      <c r="D34" s="430"/>
      <c r="E34" s="430"/>
      <c r="F34" s="430"/>
      <c r="G34" s="430"/>
      <c r="H34" s="430"/>
      <c r="I34" s="430"/>
      <c r="J34" s="430"/>
      <c r="K34" s="430"/>
      <c r="L34" s="430"/>
      <c r="M34" s="430"/>
      <c r="N34" s="430"/>
      <c r="O34" s="430"/>
      <c r="P34" s="430"/>
      <c r="Q34" s="430"/>
      <c r="R34" s="430"/>
      <c r="S34" s="430"/>
      <c r="T34" s="430"/>
      <c r="U34" s="430"/>
      <c r="V34" s="430"/>
      <c r="W34" s="430"/>
      <c r="X34" s="430"/>
      <c r="Y34" s="430"/>
      <c r="Z34" s="430"/>
      <c r="AA34" s="430"/>
      <c r="AB34" s="430"/>
      <c r="AC34" s="430"/>
      <c r="AD34" s="430"/>
      <c r="AE34" s="430"/>
      <c r="AF34" s="430"/>
      <c r="AG34" s="430"/>
      <c r="AH34" s="430"/>
      <c r="AI34" s="430"/>
      <c r="AJ34" s="430"/>
      <c r="AK34" s="430"/>
      <c r="AL34" s="430"/>
      <c r="AM34" s="430"/>
      <c r="AN34" s="430"/>
      <c r="AO34" s="430"/>
      <c r="AP34" s="430"/>
      <c r="AQ34" s="430"/>
      <c r="AR34" s="430"/>
      <c r="AS34" s="430"/>
      <c r="AT34" s="430"/>
      <c r="AU34" s="430"/>
      <c r="AV34" s="430"/>
      <c r="AW34" s="430"/>
      <c r="AX34" s="430"/>
      <c r="AY34" s="430"/>
      <c r="AZ34" s="430"/>
      <c r="BA34" s="430"/>
      <c r="BB34" s="430"/>
      <c r="BC34" s="430"/>
      <c r="BD34" s="430"/>
      <c r="BE34" s="430"/>
    </row>
    <row r="35" spans="1:57">
      <c r="A35" s="430"/>
      <c r="B35" s="430"/>
      <c r="C35" s="430"/>
      <c r="D35" s="430"/>
      <c r="E35" s="430"/>
      <c r="F35" s="430"/>
      <c r="G35" s="430"/>
      <c r="H35" s="430"/>
      <c r="I35" s="430"/>
      <c r="J35" s="430"/>
      <c r="K35" s="430"/>
      <c r="L35" s="430"/>
      <c r="M35" s="430"/>
      <c r="N35" s="430"/>
      <c r="O35" s="430"/>
      <c r="P35" s="430"/>
      <c r="Q35" s="430"/>
      <c r="R35" s="430"/>
      <c r="S35" s="430"/>
      <c r="T35" s="430"/>
      <c r="U35" s="430"/>
      <c r="V35" s="430"/>
      <c r="W35" s="430"/>
      <c r="X35" s="430"/>
      <c r="Y35" s="430"/>
      <c r="Z35" s="430"/>
      <c r="AA35" s="430"/>
      <c r="AB35" s="430"/>
      <c r="AC35" s="430"/>
      <c r="AD35" s="430"/>
      <c r="AE35" s="430"/>
      <c r="AF35" s="430"/>
      <c r="AG35" s="430"/>
      <c r="AH35" s="430"/>
      <c r="AI35" s="430"/>
      <c r="AJ35" s="430"/>
      <c r="AK35" s="430"/>
      <c r="AL35" s="430"/>
      <c r="AM35" s="430"/>
      <c r="AN35" s="430"/>
      <c r="AO35" s="430"/>
      <c r="AP35" s="430"/>
      <c r="AQ35" s="430"/>
      <c r="AR35" s="430"/>
      <c r="AS35" s="430"/>
      <c r="AT35" s="430"/>
      <c r="AU35" s="430"/>
      <c r="AV35" s="430"/>
      <c r="AW35" s="430"/>
      <c r="AX35" s="430"/>
      <c r="AY35" s="430"/>
      <c r="AZ35" s="430"/>
      <c r="BA35" s="430"/>
      <c r="BB35" s="430"/>
      <c r="BC35" s="430"/>
      <c r="BD35" s="430"/>
      <c r="BE35" s="430"/>
    </row>
    <row r="36" spans="1:57">
      <c r="A36" s="430"/>
      <c r="B36" s="430"/>
      <c r="C36" s="430"/>
      <c r="D36" s="430"/>
      <c r="E36" s="430"/>
      <c r="F36" s="430"/>
      <c r="G36" s="430"/>
      <c r="H36" s="430"/>
      <c r="I36" s="430"/>
      <c r="J36" s="430"/>
      <c r="K36" s="430"/>
      <c r="L36" s="430"/>
      <c r="M36" s="430"/>
      <c r="N36" s="430"/>
      <c r="O36" s="430"/>
      <c r="P36" s="430"/>
      <c r="Q36" s="430"/>
      <c r="R36" s="430"/>
      <c r="S36" s="430"/>
      <c r="T36" s="430"/>
      <c r="U36" s="430"/>
      <c r="V36" s="430"/>
      <c r="W36" s="430"/>
      <c r="X36" s="430"/>
      <c r="Y36" s="430"/>
      <c r="Z36" s="430"/>
      <c r="AA36" s="430"/>
      <c r="AB36" s="430"/>
      <c r="AC36" s="430"/>
      <c r="AD36" s="430"/>
      <c r="AE36" s="430"/>
      <c r="AF36" s="430"/>
      <c r="AG36" s="430"/>
      <c r="AH36" s="430"/>
      <c r="AI36" s="430"/>
      <c r="AJ36" s="430"/>
      <c r="AK36" s="430"/>
      <c r="AL36" s="430"/>
      <c r="AM36" s="430"/>
      <c r="AN36" s="430"/>
      <c r="AO36" s="430"/>
      <c r="AP36" s="430"/>
      <c r="AQ36" s="430"/>
      <c r="AR36" s="430"/>
      <c r="AS36" s="430"/>
      <c r="AT36" s="430"/>
      <c r="AU36" s="430"/>
      <c r="AV36" s="430"/>
      <c r="AW36" s="430"/>
      <c r="AX36" s="430"/>
      <c r="AY36" s="430"/>
      <c r="AZ36" s="430"/>
      <c r="BA36" s="430"/>
      <c r="BB36" s="430"/>
      <c r="BC36" s="430"/>
      <c r="BD36" s="430"/>
      <c r="BE36" s="430"/>
    </row>
    <row r="37" spans="1:57">
      <c r="A37" s="430"/>
      <c r="B37" s="430"/>
      <c r="C37" s="430"/>
      <c r="D37" s="430"/>
      <c r="E37" s="430"/>
      <c r="F37" s="430"/>
      <c r="G37" s="430"/>
      <c r="H37" s="430"/>
      <c r="I37" s="430"/>
      <c r="J37" s="430"/>
      <c r="K37" s="430"/>
      <c r="L37" s="430"/>
      <c r="M37" s="430"/>
      <c r="N37" s="430"/>
      <c r="O37" s="430"/>
      <c r="P37" s="430"/>
      <c r="Q37" s="430"/>
      <c r="R37" s="430"/>
      <c r="S37" s="430"/>
      <c r="T37" s="430"/>
      <c r="U37" s="430"/>
      <c r="V37" s="430"/>
      <c r="W37" s="430"/>
      <c r="X37" s="430"/>
      <c r="Y37" s="430"/>
      <c r="Z37" s="430"/>
      <c r="AA37" s="430"/>
      <c r="AB37" s="430"/>
      <c r="AC37" s="430"/>
      <c r="AD37" s="430"/>
      <c r="AE37" s="430"/>
      <c r="AF37" s="430"/>
      <c r="AG37" s="430"/>
      <c r="AH37" s="430"/>
      <c r="AI37" s="430"/>
      <c r="AJ37" s="430"/>
      <c r="AK37" s="430"/>
      <c r="AL37" s="430"/>
      <c r="AM37" s="430"/>
      <c r="AN37" s="430"/>
      <c r="AO37" s="430"/>
      <c r="AP37" s="430"/>
      <c r="AQ37" s="430"/>
      <c r="AR37" s="430"/>
      <c r="AS37" s="430"/>
      <c r="AT37" s="430"/>
      <c r="AU37" s="430"/>
      <c r="AV37" s="430"/>
      <c r="AW37" s="430"/>
      <c r="AX37" s="430"/>
      <c r="AY37" s="430"/>
      <c r="AZ37" s="430"/>
      <c r="BA37" s="430"/>
      <c r="BB37" s="430"/>
      <c r="BC37" s="430"/>
      <c r="BD37" s="430"/>
      <c r="BE37" s="430"/>
    </row>
    <row r="38" spans="1:57">
      <c r="A38" s="430"/>
      <c r="B38" s="430"/>
      <c r="C38" s="430"/>
      <c r="D38" s="430"/>
      <c r="E38" s="430"/>
      <c r="F38" s="430"/>
      <c r="G38" s="430"/>
      <c r="H38" s="430"/>
      <c r="I38" s="430"/>
      <c r="J38" s="430"/>
      <c r="K38" s="430"/>
      <c r="L38" s="430"/>
      <c r="M38" s="430"/>
      <c r="N38" s="430"/>
      <c r="O38" s="430"/>
      <c r="P38" s="430"/>
      <c r="Q38" s="430"/>
      <c r="R38" s="430"/>
      <c r="S38" s="430"/>
      <c r="T38" s="430"/>
      <c r="U38" s="430"/>
      <c r="V38" s="430"/>
      <c r="W38" s="430"/>
      <c r="X38" s="430"/>
      <c r="Y38" s="430"/>
      <c r="Z38" s="430"/>
      <c r="AA38" s="430"/>
      <c r="AB38" s="430"/>
      <c r="AC38" s="430"/>
      <c r="AD38" s="430"/>
      <c r="AE38" s="430"/>
      <c r="AF38" s="430"/>
      <c r="AG38" s="430"/>
      <c r="AH38" s="430"/>
      <c r="AI38" s="430"/>
      <c r="AJ38" s="430"/>
      <c r="AK38" s="430"/>
      <c r="AL38" s="430"/>
      <c r="AM38" s="430"/>
      <c r="AN38" s="430"/>
      <c r="AO38" s="430"/>
      <c r="AP38" s="430"/>
      <c r="AQ38" s="430"/>
      <c r="AR38" s="430"/>
      <c r="AS38" s="430"/>
      <c r="AT38" s="430"/>
      <c r="AU38" s="430"/>
      <c r="AV38" s="430"/>
      <c r="AW38" s="430"/>
      <c r="AX38" s="430"/>
      <c r="AY38" s="430"/>
      <c r="AZ38" s="430"/>
      <c r="BA38" s="430"/>
      <c r="BB38" s="430"/>
      <c r="BC38" s="430"/>
      <c r="BD38" s="430"/>
      <c r="BE38" s="430"/>
    </row>
    <row r="39" spans="1:57">
      <c r="A39" s="430"/>
      <c r="B39" s="430"/>
      <c r="C39" s="430"/>
      <c r="D39" s="430"/>
      <c r="E39" s="430"/>
      <c r="F39" s="430"/>
      <c r="G39" s="430"/>
      <c r="H39" s="430"/>
      <c r="I39" s="430"/>
      <c r="J39" s="430"/>
      <c r="K39" s="430"/>
      <c r="L39" s="430"/>
      <c r="M39" s="430"/>
      <c r="N39" s="430"/>
      <c r="O39" s="430"/>
      <c r="P39" s="430"/>
      <c r="Q39" s="430"/>
      <c r="R39" s="430"/>
      <c r="S39" s="430"/>
      <c r="T39" s="430"/>
      <c r="U39" s="430"/>
      <c r="V39" s="430"/>
      <c r="W39" s="430"/>
      <c r="X39" s="430"/>
      <c r="Y39" s="430"/>
      <c r="Z39" s="430"/>
      <c r="AA39" s="430"/>
      <c r="AB39" s="430"/>
      <c r="AC39" s="430"/>
      <c r="AD39" s="430"/>
      <c r="AE39" s="430"/>
      <c r="AF39" s="430"/>
      <c r="AG39" s="430"/>
      <c r="AH39" s="430"/>
      <c r="AI39" s="430"/>
      <c r="AJ39" s="430"/>
      <c r="AK39" s="430"/>
      <c r="AL39" s="430"/>
      <c r="AM39" s="430"/>
      <c r="AN39" s="430"/>
      <c r="AO39" s="430"/>
      <c r="AP39" s="430"/>
      <c r="AQ39" s="430"/>
      <c r="AR39" s="430"/>
      <c r="AS39" s="430"/>
      <c r="AT39" s="430"/>
      <c r="AU39" s="430"/>
      <c r="AV39" s="430"/>
      <c r="AW39" s="430"/>
      <c r="AX39" s="430"/>
      <c r="AY39" s="430"/>
      <c r="AZ39" s="430"/>
      <c r="BA39" s="430"/>
      <c r="BB39" s="430"/>
      <c r="BC39" s="430"/>
      <c r="BD39" s="430"/>
      <c r="BE39" s="430"/>
    </row>
    <row r="40" spans="1:57">
      <c r="A40" s="430"/>
      <c r="B40" s="430"/>
      <c r="C40" s="430"/>
      <c r="D40" s="430"/>
      <c r="E40" s="430"/>
      <c r="F40" s="430"/>
      <c r="G40" s="430"/>
      <c r="H40" s="430"/>
      <c r="I40" s="430"/>
      <c r="J40" s="430"/>
      <c r="K40" s="430"/>
      <c r="L40" s="430"/>
      <c r="M40" s="430"/>
      <c r="N40" s="430"/>
      <c r="O40" s="430"/>
      <c r="P40" s="430"/>
      <c r="Q40" s="430"/>
      <c r="R40" s="430"/>
      <c r="S40" s="430"/>
      <c r="T40" s="430"/>
      <c r="U40" s="430"/>
      <c r="V40" s="430"/>
      <c r="W40" s="430"/>
      <c r="X40" s="430"/>
      <c r="Y40" s="430"/>
      <c r="Z40" s="430"/>
      <c r="AA40" s="430"/>
      <c r="AB40" s="430"/>
      <c r="AC40" s="430"/>
      <c r="AD40" s="430"/>
      <c r="AE40" s="430"/>
      <c r="AF40" s="430"/>
      <c r="AG40" s="430"/>
      <c r="AH40" s="430"/>
      <c r="AI40" s="430"/>
      <c r="AJ40" s="430"/>
      <c r="AK40" s="430"/>
      <c r="AL40" s="430"/>
      <c r="AM40" s="430"/>
      <c r="AN40" s="430"/>
      <c r="AO40" s="430"/>
      <c r="AP40" s="430"/>
      <c r="AQ40" s="430"/>
      <c r="AR40" s="430"/>
      <c r="AS40" s="430"/>
      <c r="AT40" s="430"/>
      <c r="AU40" s="430"/>
      <c r="AV40" s="430"/>
      <c r="AW40" s="430"/>
      <c r="AX40" s="430"/>
      <c r="AY40" s="430"/>
      <c r="AZ40" s="430"/>
      <c r="BA40" s="430"/>
      <c r="BB40" s="430"/>
      <c r="BC40" s="430"/>
      <c r="BD40" s="430"/>
      <c r="BE40" s="430"/>
    </row>
    <row r="41" spans="1:57">
      <c r="A41" s="430"/>
      <c r="B41" s="430"/>
      <c r="C41" s="430"/>
      <c r="D41" s="430"/>
      <c r="E41" s="430"/>
      <c r="F41" s="430"/>
      <c r="G41" s="430"/>
      <c r="H41" s="430"/>
      <c r="I41" s="430"/>
      <c r="J41" s="430"/>
      <c r="K41" s="430"/>
      <c r="L41" s="430"/>
      <c r="M41" s="430"/>
      <c r="N41" s="430"/>
      <c r="O41" s="430"/>
      <c r="P41" s="430"/>
      <c r="Q41" s="430"/>
      <c r="R41" s="430"/>
      <c r="S41" s="430"/>
      <c r="T41" s="430"/>
      <c r="U41" s="430"/>
      <c r="V41" s="430"/>
      <c r="W41" s="430"/>
      <c r="X41" s="430"/>
      <c r="Y41" s="430"/>
      <c r="Z41" s="430"/>
      <c r="AA41" s="430"/>
      <c r="AB41" s="430"/>
      <c r="AC41" s="430"/>
      <c r="AD41" s="430"/>
      <c r="AE41" s="430"/>
      <c r="AF41" s="430"/>
      <c r="AG41" s="430"/>
      <c r="AH41" s="430"/>
      <c r="AI41" s="430"/>
      <c r="AJ41" s="430"/>
      <c r="AK41" s="430"/>
      <c r="AL41" s="430"/>
      <c r="AM41" s="430"/>
      <c r="AN41" s="430"/>
      <c r="AO41" s="430"/>
      <c r="AP41" s="430"/>
      <c r="AQ41" s="430"/>
      <c r="AR41" s="430"/>
      <c r="AS41" s="430"/>
      <c r="AT41" s="430"/>
      <c r="AU41" s="430"/>
      <c r="AV41" s="430"/>
      <c r="AW41" s="430"/>
      <c r="AX41" s="430"/>
      <c r="AY41" s="430"/>
      <c r="AZ41" s="430"/>
      <c r="BA41" s="430"/>
      <c r="BB41" s="430"/>
      <c r="BC41" s="430"/>
      <c r="BD41" s="430"/>
      <c r="BE41" s="430"/>
    </row>
    <row r="42" spans="1:57">
      <c r="A42" s="430"/>
      <c r="B42" s="430"/>
      <c r="C42" s="430"/>
      <c r="D42" s="430"/>
      <c r="E42" s="430"/>
      <c r="F42" s="430"/>
      <c r="G42" s="430"/>
      <c r="H42" s="430"/>
      <c r="I42" s="430"/>
      <c r="J42" s="430"/>
      <c r="K42" s="430"/>
      <c r="L42" s="430"/>
      <c r="M42" s="430"/>
      <c r="N42" s="430"/>
      <c r="O42" s="430"/>
      <c r="P42" s="430"/>
      <c r="Q42" s="430"/>
      <c r="R42" s="430"/>
      <c r="S42" s="430"/>
      <c r="T42" s="430"/>
      <c r="U42" s="430"/>
      <c r="V42" s="430"/>
      <c r="W42" s="430"/>
      <c r="X42" s="430"/>
      <c r="Y42" s="430"/>
      <c r="Z42" s="430"/>
      <c r="AA42" s="430"/>
      <c r="AB42" s="430"/>
      <c r="AC42" s="430"/>
      <c r="AD42" s="430"/>
      <c r="AE42" s="430"/>
      <c r="AF42" s="430"/>
      <c r="AG42" s="430"/>
      <c r="AH42" s="430"/>
      <c r="AI42" s="430"/>
      <c r="AJ42" s="430"/>
      <c r="AK42" s="430"/>
      <c r="AL42" s="430"/>
      <c r="AM42" s="430"/>
      <c r="AN42" s="430"/>
      <c r="AO42" s="430"/>
      <c r="AP42" s="430"/>
      <c r="AQ42" s="430"/>
      <c r="AR42" s="430"/>
      <c r="AS42" s="430"/>
      <c r="AT42" s="430"/>
      <c r="AU42" s="430"/>
      <c r="AV42" s="430"/>
      <c r="AW42" s="430"/>
      <c r="AX42" s="430"/>
      <c r="AY42" s="430"/>
      <c r="AZ42" s="430"/>
      <c r="BA42" s="430"/>
      <c r="BB42" s="430"/>
      <c r="BC42" s="430"/>
      <c r="BD42" s="430"/>
      <c r="BE42" s="430"/>
    </row>
    <row r="43" spans="1:57">
      <c r="A43" s="430"/>
      <c r="B43" s="430"/>
      <c r="C43" s="430"/>
      <c r="D43" s="430"/>
      <c r="E43" s="430"/>
      <c r="F43" s="430"/>
      <c r="G43" s="430"/>
      <c r="H43" s="430"/>
      <c r="I43" s="430"/>
      <c r="J43" s="430"/>
      <c r="K43" s="430"/>
      <c r="L43" s="430"/>
      <c r="M43" s="430"/>
      <c r="N43" s="430"/>
      <c r="O43" s="430"/>
      <c r="P43" s="430"/>
      <c r="Q43" s="430"/>
      <c r="R43" s="430"/>
      <c r="S43" s="430"/>
      <c r="T43" s="430"/>
      <c r="U43" s="430"/>
      <c r="V43" s="430"/>
      <c r="W43" s="430"/>
      <c r="X43" s="430"/>
      <c r="Y43" s="430"/>
      <c r="Z43" s="430"/>
      <c r="AA43" s="430"/>
      <c r="AB43" s="430"/>
      <c r="AC43" s="430"/>
      <c r="AD43" s="430"/>
      <c r="AE43" s="430"/>
      <c r="AF43" s="430"/>
      <c r="AG43" s="430"/>
      <c r="AH43" s="430"/>
      <c r="AI43" s="430"/>
      <c r="AJ43" s="430"/>
      <c r="AK43" s="430"/>
      <c r="AL43" s="430"/>
      <c r="AM43" s="430"/>
      <c r="AN43" s="430"/>
      <c r="AO43" s="430"/>
      <c r="AP43" s="430"/>
      <c r="AQ43" s="430"/>
      <c r="AR43" s="430"/>
      <c r="AS43" s="430"/>
      <c r="AT43" s="430"/>
      <c r="AU43" s="430"/>
      <c r="AV43" s="430"/>
      <c r="AW43" s="430"/>
      <c r="AX43" s="430"/>
      <c r="AY43" s="430"/>
      <c r="AZ43" s="430"/>
      <c r="BA43" s="430"/>
      <c r="BB43" s="430"/>
      <c r="BC43" s="430"/>
      <c r="BD43" s="430"/>
      <c r="BE43" s="430"/>
    </row>
    <row r="44" spans="1:57">
      <c r="A44" s="430"/>
      <c r="B44" s="430"/>
      <c r="C44" s="430"/>
      <c r="D44" s="430"/>
      <c r="E44" s="430"/>
      <c r="F44" s="430"/>
      <c r="G44" s="430"/>
      <c r="H44" s="430"/>
      <c r="I44" s="430"/>
      <c r="J44" s="430"/>
      <c r="K44" s="430"/>
      <c r="L44" s="430"/>
      <c r="M44" s="430"/>
      <c r="N44" s="430"/>
      <c r="O44" s="430"/>
      <c r="P44" s="430"/>
      <c r="Q44" s="430"/>
      <c r="R44" s="430"/>
      <c r="S44" s="430"/>
      <c r="T44" s="430"/>
      <c r="U44" s="430"/>
      <c r="V44" s="430"/>
      <c r="W44" s="430"/>
      <c r="X44" s="430"/>
      <c r="Y44" s="430"/>
      <c r="Z44" s="430"/>
      <c r="AA44" s="430"/>
      <c r="AB44" s="430"/>
      <c r="AC44" s="430"/>
      <c r="AD44" s="430"/>
      <c r="AE44" s="430"/>
      <c r="AF44" s="430"/>
      <c r="AG44" s="430"/>
      <c r="AH44" s="430"/>
      <c r="AI44" s="430"/>
      <c r="AJ44" s="430"/>
      <c r="AK44" s="430"/>
      <c r="AL44" s="430"/>
      <c r="AM44" s="430"/>
      <c r="AN44" s="430"/>
      <c r="AO44" s="430"/>
      <c r="AP44" s="430"/>
      <c r="AQ44" s="430"/>
      <c r="AR44" s="430"/>
      <c r="AS44" s="430"/>
      <c r="AT44" s="430"/>
      <c r="AU44" s="430"/>
      <c r="AV44" s="430"/>
      <c r="AW44" s="430"/>
      <c r="AX44" s="430"/>
      <c r="AY44" s="430"/>
      <c r="AZ44" s="430"/>
      <c r="BA44" s="430"/>
      <c r="BB44" s="430"/>
      <c r="BC44" s="430"/>
      <c r="BD44" s="430"/>
      <c r="BE44" s="430"/>
    </row>
    <row r="45" spans="1:57">
      <c r="A45" s="430"/>
      <c r="B45" s="430"/>
      <c r="C45" s="430"/>
      <c r="D45" s="430"/>
      <c r="E45" s="430"/>
      <c r="F45" s="430"/>
      <c r="G45" s="430"/>
      <c r="H45" s="430"/>
      <c r="I45" s="430"/>
      <c r="J45" s="430"/>
      <c r="K45" s="430"/>
      <c r="L45" s="430"/>
      <c r="M45" s="430"/>
      <c r="N45" s="430"/>
      <c r="O45" s="430"/>
      <c r="P45" s="430"/>
      <c r="Q45" s="430"/>
      <c r="R45" s="430"/>
      <c r="S45" s="430"/>
      <c r="T45" s="430"/>
      <c r="U45" s="430"/>
      <c r="V45" s="430"/>
      <c r="W45" s="430"/>
      <c r="X45" s="430"/>
      <c r="Y45" s="430"/>
      <c r="Z45" s="430"/>
      <c r="AA45" s="430"/>
      <c r="AB45" s="430"/>
      <c r="AC45" s="430"/>
      <c r="AD45" s="430"/>
      <c r="AE45" s="430"/>
      <c r="AF45" s="430"/>
      <c r="AG45" s="430"/>
      <c r="AH45" s="430"/>
      <c r="AI45" s="430"/>
      <c r="AJ45" s="430"/>
      <c r="AK45" s="430"/>
      <c r="AL45" s="430"/>
      <c r="AM45" s="430"/>
      <c r="AN45" s="430"/>
      <c r="AO45" s="430"/>
      <c r="AP45" s="430"/>
      <c r="AQ45" s="430"/>
      <c r="AR45" s="430"/>
      <c r="AS45" s="430"/>
      <c r="AT45" s="430"/>
      <c r="AU45" s="430"/>
      <c r="AV45" s="430"/>
      <c r="AW45" s="430"/>
      <c r="AX45" s="430"/>
      <c r="AY45" s="430"/>
      <c r="AZ45" s="430"/>
      <c r="BA45" s="430"/>
      <c r="BB45" s="430"/>
      <c r="BC45" s="430"/>
      <c r="BD45" s="430"/>
      <c r="BE45" s="430"/>
    </row>
    <row r="46" spans="1:57">
      <c r="A46" s="430"/>
      <c r="B46" s="430"/>
      <c r="C46" s="430"/>
      <c r="D46" s="430"/>
      <c r="E46" s="430"/>
      <c r="F46" s="430"/>
      <c r="G46" s="430"/>
      <c r="H46" s="430"/>
      <c r="I46" s="430"/>
      <c r="J46" s="430"/>
      <c r="K46" s="430"/>
      <c r="L46" s="430"/>
      <c r="M46" s="430"/>
      <c r="N46" s="430"/>
      <c r="O46" s="430"/>
      <c r="P46" s="430"/>
      <c r="Q46" s="430"/>
      <c r="R46" s="430"/>
      <c r="S46" s="430"/>
      <c r="T46" s="430"/>
      <c r="U46" s="430"/>
      <c r="V46" s="430"/>
      <c r="W46" s="430"/>
      <c r="X46" s="430"/>
      <c r="Y46" s="430"/>
      <c r="Z46" s="430"/>
      <c r="AA46" s="430"/>
      <c r="AB46" s="430"/>
      <c r="AC46" s="430"/>
      <c r="AD46" s="430"/>
      <c r="AE46" s="430"/>
      <c r="AF46" s="430"/>
      <c r="AG46" s="430"/>
      <c r="AH46" s="430"/>
      <c r="AI46" s="430"/>
      <c r="AJ46" s="430"/>
      <c r="AK46" s="430"/>
      <c r="AL46" s="430"/>
      <c r="AM46" s="430"/>
      <c r="AN46" s="430"/>
      <c r="AO46" s="430"/>
      <c r="AP46" s="430"/>
      <c r="AQ46" s="430"/>
      <c r="AR46" s="430"/>
      <c r="AS46" s="430"/>
      <c r="AT46" s="430"/>
      <c r="AU46" s="430"/>
      <c r="AV46" s="430"/>
      <c r="AW46" s="430"/>
      <c r="AX46" s="430"/>
      <c r="AY46" s="430"/>
      <c r="AZ46" s="430"/>
      <c r="BA46" s="430"/>
      <c r="BB46" s="430"/>
      <c r="BC46" s="430"/>
      <c r="BD46" s="430"/>
      <c r="BE46" s="430"/>
    </row>
    <row r="47" spans="1:57">
      <c r="A47" s="430"/>
      <c r="B47" s="430"/>
      <c r="C47" s="430"/>
      <c r="D47" s="430"/>
      <c r="E47" s="430"/>
      <c r="F47" s="430"/>
      <c r="G47" s="430"/>
      <c r="H47" s="430"/>
      <c r="I47" s="430"/>
      <c r="J47" s="430"/>
      <c r="K47" s="430"/>
      <c r="L47" s="430"/>
      <c r="M47" s="430"/>
      <c r="N47" s="430"/>
      <c r="O47" s="430"/>
      <c r="P47" s="430"/>
      <c r="Q47" s="430"/>
      <c r="R47" s="430"/>
      <c r="S47" s="430"/>
      <c r="T47" s="430"/>
      <c r="U47" s="430"/>
      <c r="V47" s="430"/>
      <c r="W47" s="430"/>
      <c r="X47" s="430"/>
      <c r="Y47" s="430"/>
      <c r="Z47" s="430"/>
      <c r="AA47" s="430"/>
      <c r="AB47" s="430"/>
      <c r="AC47" s="430"/>
      <c r="AD47" s="430"/>
      <c r="AE47" s="430"/>
      <c r="AF47" s="430"/>
      <c r="AG47" s="430"/>
      <c r="AH47" s="430"/>
      <c r="AI47" s="430"/>
      <c r="AJ47" s="430"/>
      <c r="AK47" s="430"/>
      <c r="AL47" s="430"/>
      <c r="AM47" s="430"/>
      <c r="AN47" s="430"/>
      <c r="AO47" s="430"/>
      <c r="AP47" s="430"/>
      <c r="AQ47" s="430"/>
      <c r="AR47" s="430"/>
      <c r="AS47" s="430"/>
      <c r="AT47" s="430"/>
      <c r="AU47" s="430"/>
      <c r="AV47" s="430"/>
      <c r="AW47" s="430"/>
      <c r="AX47" s="430"/>
      <c r="AY47" s="430"/>
      <c r="AZ47" s="430"/>
      <c r="BA47" s="430"/>
      <c r="BB47" s="430"/>
      <c r="BC47" s="430"/>
      <c r="BD47" s="430"/>
      <c r="BE47" s="430"/>
    </row>
    <row r="48" spans="1:57">
      <c r="A48" s="430"/>
      <c r="B48" s="430"/>
      <c r="C48" s="430"/>
      <c r="D48" s="430"/>
      <c r="E48" s="430"/>
      <c r="F48" s="430"/>
      <c r="G48" s="430"/>
      <c r="H48" s="430"/>
      <c r="I48" s="430"/>
      <c r="J48" s="430"/>
      <c r="K48" s="430"/>
      <c r="L48" s="430"/>
      <c r="M48" s="430"/>
      <c r="N48" s="430"/>
      <c r="O48" s="430"/>
      <c r="P48" s="430"/>
      <c r="Q48" s="430"/>
      <c r="R48" s="430"/>
      <c r="S48" s="430"/>
      <c r="T48" s="430"/>
      <c r="U48" s="430"/>
      <c r="V48" s="430"/>
      <c r="W48" s="430"/>
      <c r="X48" s="430"/>
      <c r="Y48" s="430"/>
      <c r="Z48" s="430"/>
      <c r="AA48" s="430"/>
      <c r="AB48" s="430"/>
      <c r="AC48" s="430"/>
      <c r="AD48" s="430"/>
      <c r="AE48" s="430"/>
      <c r="AF48" s="430"/>
      <c r="AG48" s="430"/>
      <c r="AH48" s="430"/>
      <c r="AI48" s="430"/>
      <c r="AJ48" s="430"/>
      <c r="AK48" s="430"/>
      <c r="AL48" s="430"/>
      <c r="AM48" s="430"/>
      <c r="AN48" s="430"/>
      <c r="AO48" s="430"/>
      <c r="AP48" s="430"/>
      <c r="AQ48" s="430"/>
      <c r="AR48" s="430"/>
      <c r="AS48" s="430"/>
      <c r="AT48" s="430"/>
      <c r="AU48" s="430"/>
      <c r="AV48" s="430"/>
      <c r="AW48" s="430"/>
      <c r="AX48" s="430"/>
      <c r="AY48" s="430"/>
      <c r="AZ48" s="430"/>
      <c r="BA48" s="430"/>
      <c r="BB48" s="430"/>
      <c r="BC48" s="430"/>
      <c r="BD48" s="430"/>
      <c r="BE48" s="430"/>
    </row>
    <row r="49" spans="1:57">
      <c r="A49" s="430"/>
      <c r="B49" s="430"/>
      <c r="C49" s="430"/>
      <c r="D49" s="430"/>
      <c r="E49" s="430"/>
      <c r="F49" s="430"/>
      <c r="G49" s="430"/>
      <c r="H49" s="430"/>
      <c r="I49" s="430"/>
      <c r="J49" s="430"/>
      <c r="K49" s="430"/>
      <c r="L49" s="430"/>
      <c r="M49" s="430"/>
      <c r="N49" s="430"/>
      <c r="O49" s="430"/>
      <c r="P49" s="430"/>
      <c r="Q49" s="430"/>
      <c r="R49" s="430"/>
      <c r="S49" s="430"/>
      <c r="T49" s="430"/>
      <c r="U49" s="430"/>
      <c r="V49" s="430"/>
      <c r="W49" s="430"/>
      <c r="X49" s="430"/>
      <c r="Y49" s="430"/>
      <c r="Z49" s="430"/>
      <c r="AA49" s="430"/>
      <c r="AB49" s="430"/>
      <c r="AC49" s="430"/>
      <c r="AD49" s="430"/>
      <c r="AE49" s="430"/>
      <c r="AF49" s="430"/>
      <c r="AG49" s="430"/>
      <c r="AH49" s="430"/>
      <c r="AI49" s="430"/>
      <c r="AJ49" s="430"/>
      <c r="AK49" s="430"/>
      <c r="AL49" s="430"/>
      <c r="AM49" s="430"/>
      <c r="AN49" s="430"/>
      <c r="AO49" s="430"/>
      <c r="AP49" s="430"/>
      <c r="AQ49" s="430"/>
      <c r="AR49" s="430"/>
      <c r="AS49" s="430"/>
      <c r="AT49" s="430"/>
      <c r="AU49" s="430"/>
      <c r="AV49" s="430"/>
      <c r="AW49" s="430"/>
      <c r="AX49" s="430"/>
      <c r="AY49" s="430"/>
      <c r="AZ49" s="430"/>
      <c r="BA49" s="430"/>
      <c r="BB49" s="430"/>
      <c r="BC49" s="430"/>
      <c r="BD49" s="430"/>
      <c r="BE49" s="430"/>
    </row>
    <row r="50" spans="1:57">
      <c r="A50" s="430"/>
      <c r="B50" s="430"/>
      <c r="C50" s="430"/>
      <c r="D50" s="430"/>
      <c r="E50" s="430"/>
      <c r="F50" s="430"/>
      <c r="G50" s="430"/>
      <c r="H50" s="430"/>
      <c r="I50" s="430"/>
      <c r="J50" s="430"/>
      <c r="K50" s="430"/>
      <c r="L50" s="430"/>
      <c r="M50" s="430"/>
      <c r="N50" s="430"/>
      <c r="O50" s="430"/>
      <c r="P50" s="430"/>
      <c r="Q50" s="430"/>
      <c r="R50" s="430"/>
      <c r="S50" s="430"/>
      <c r="T50" s="430"/>
      <c r="U50" s="430"/>
      <c r="V50" s="430"/>
      <c r="W50" s="430"/>
      <c r="X50" s="430"/>
      <c r="Y50" s="430"/>
      <c r="Z50" s="430"/>
      <c r="AA50" s="430"/>
      <c r="AB50" s="430"/>
      <c r="AC50" s="430"/>
      <c r="AD50" s="430"/>
      <c r="AE50" s="430"/>
      <c r="AF50" s="430"/>
      <c r="AG50" s="430"/>
      <c r="AH50" s="430"/>
      <c r="AI50" s="430"/>
      <c r="AJ50" s="430"/>
      <c r="AK50" s="430"/>
      <c r="AL50" s="430"/>
      <c r="AM50" s="430"/>
      <c r="AN50" s="430"/>
      <c r="AO50" s="430"/>
      <c r="AP50" s="430"/>
      <c r="AQ50" s="430"/>
      <c r="AR50" s="430"/>
      <c r="AS50" s="430"/>
      <c r="AT50" s="430"/>
      <c r="AU50" s="430"/>
      <c r="AV50" s="430"/>
      <c r="AW50" s="430"/>
      <c r="AX50" s="430"/>
      <c r="AY50" s="430"/>
      <c r="AZ50" s="430"/>
      <c r="BA50" s="430"/>
      <c r="BB50" s="430"/>
      <c r="BC50" s="430"/>
      <c r="BD50" s="430"/>
      <c r="BE50" s="430"/>
    </row>
    <row r="51" spans="1:57">
      <c r="A51" s="430"/>
      <c r="B51" s="430"/>
      <c r="C51" s="430"/>
      <c r="D51" s="430"/>
      <c r="E51" s="430"/>
      <c r="F51" s="430"/>
      <c r="G51" s="430"/>
      <c r="H51" s="430"/>
      <c r="I51" s="430"/>
      <c r="J51" s="430"/>
      <c r="K51" s="430"/>
      <c r="L51" s="430"/>
      <c r="M51" s="430"/>
      <c r="N51" s="430"/>
      <c r="O51" s="430"/>
      <c r="P51" s="430"/>
      <c r="Q51" s="430"/>
      <c r="R51" s="430"/>
      <c r="S51" s="430"/>
      <c r="T51" s="430"/>
      <c r="U51" s="430"/>
      <c r="V51" s="430"/>
      <c r="W51" s="430"/>
      <c r="X51" s="430"/>
      <c r="Y51" s="430"/>
      <c r="Z51" s="430"/>
      <c r="AA51" s="430"/>
      <c r="AB51" s="430"/>
      <c r="AC51" s="430"/>
      <c r="AD51" s="430"/>
      <c r="AE51" s="430"/>
      <c r="AF51" s="430"/>
      <c r="AG51" s="430"/>
      <c r="AH51" s="430"/>
      <c r="AI51" s="430"/>
      <c r="AJ51" s="430"/>
      <c r="AK51" s="430"/>
      <c r="AL51" s="430"/>
      <c r="AM51" s="430"/>
      <c r="AN51" s="430"/>
      <c r="AO51" s="430"/>
      <c r="AP51" s="430"/>
      <c r="AQ51" s="430"/>
      <c r="AR51" s="430"/>
      <c r="AS51" s="430"/>
      <c r="AT51" s="430"/>
      <c r="AU51" s="430"/>
      <c r="AV51" s="430"/>
      <c r="AW51" s="430"/>
      <c r="AX51" s="430"/>
      <c r="AY51" s="430"/>
      <c r="AZ51" s="430"/>
      <c r="BA51" s="430"/>
      <c r="BB51" s="430"/>
      <c r="BC51" s="430"/>
      <c r="BD51" s="430"/>
      <c r="BE51" s="430"/>
    </row>
    <row r="52" spans="1:57">
      <c r="A52" s="430"/>
      <c r="B52" s="430"/>
      <c r="C52" s="430"/>
      <c r="D52" s="430"/>
      <c r="E52" s="430"/>
      <c r="F52" s="430"/>
      <c r="G52" s="430"/>
      <c r="H52" s="430"/>
      <c r="I52" s="430"/>
      <c r="J52" s="430"/>
      <c r="K52" s="430"/>
      <c r="L52" s="430"/>
      <c r="M52" s="430"/>
      <c r="N52" s="430"/>
      <c r="O52" s="430"/>
      <c r="P52" s="430"/>
      <c r="Q52" s="430"/>
      <c r="R52" s="430"/>
      <c r="S52" s="430"/>
      <c r="T52" s="430"/>
      <c r="U52" s="430"/>
      <c r="V52" s="430"/>
      <c r="W52" s="430"/>
      <c r="X52" s="430"/>
      <c r="Y52" s="430"/>
      <c r="Z52" s="430"/>
      <c r="AA52" s="430"/>
      <c r="AB52" s="430"/>
      <c r="AC52" s="430"/>
      <c r="AD52" s="430"/>
      <c r="AE52" s="430"/>
      <c r="AF52" s="430"/>
      <c r="AG52" s="430"/>
      <c r="AH52" s="430"/>
      <c r="AI52" s="430"/>
      <c r="AJ52" s="430"/>
      <c r="AK52" s="430"/>
      <c r="AL52" s="430"/>
      <c r="AM52" s="430"/>
      <c r="AN52" s="430"/>
      <c r="AO52" s="430"/>
      <c r="AP52" s="430"/>
      <c r="AQ52" s="430"/>
      <c r="AR52" s="430"/>
      <c r="AS52" s="430"/>
      <c r="AT52" s="430"/>
      <c r="AU52" s="430"/>
      <c r="AV52" s="430"/>
      <c r="AW52" s="430"/>
      <c r="AX52" s="430"/>
      <c r="AY52" s="430"/>
      <c r="AZ52" s="430"/>
      <c r="BA52" s="430"/>
      <c r="BB52" s="430"/>
      <c r="BC52" s="430"/>
      <c r="BD52" s="430"/>
      <c r="BE52" s="430"/>
    </row>
    <row r="53" spans="1:57">
      <c r="A53" s="430"/>
      <c r="B53" s="430"/>
      <c r="C53" s="430"/>
      <c r="D53" s="430"/>
      <c r="E53" s="430"/>
      <c r="F53" s="430"/>
      <c r="G53" s="430"/>
      <c r="H53" s="430"/>
      <c r="I53" s="430"/>
      <c r="J53" s="430"/>
      <c r="K53" s="430"/>
      <c r="L53" s="430"/>
      <c r="M53" s="430"/>
      <c r="N53" s="430"/>
      <c r="O53" s="430"/>
      <c r="P53" s="430"/>
      <c r="Q53" s="430"/>
      <c r="R53" s="430"/>
      <c r="S53" s="430"/>
      <c r="T53" s="430"/>
      <c r="U53" s="430"/>
      <c r="V53" s="430"/>
      <c r="W53" s="430"/>
      <c r="X53" s="430"/>
      <c r="Y53" s="430"/>
      <c r="Z53" s="430"/>
      <c r="AA53" s="430"/>
      <c r="AB53" s="430"/>
      <c r="AC53" s="430"/>
      <c r="AD53" s="430"/>
      <c r="AE53" s="430"/>
      <c r="AF53" s="430"/>
      <c r="AG53" s="430"/>
      <c r="AH53" s="430"/>
      <c r="AI53" s="430"/>
      <c r="AJ53" s="430"/>
      <c r="AK53" s="430"/>
      <c r="AL53" s="430"/>
      <c r="AM53" s="430"/>
      <c r="AN53" s="430"/>
      <c r="AO53" s="430"/>
      <c r="AP53" s="430"/>
      <c r="AQ53" s="430"/>
      <c r="AR53" s="430"/>
      <c r="AS53" s="430"/>
      <c r="AT53" s="430"/>
      <c r="AU53" s="430"/>
      <c r="AV53" s="430"/>
      <c r="AW53" s="430"/>
      <c r="AX53" s="430"/>
      <c r="AY53" s="430"/>
      <c r="AZ53" s="430"/>
      <c r="BA53" s="430"/>
      <c r="BB53" s="430"/>
      <c r="BC53" s="430"/>
      <c r="BD53" s="430"/>
      <c r="BE53" s="430"/>
    </row>
    <row r="54" spans="1:57">
      <c r="A54" s="430"/>
      <c r="B54" s="430"/>
      <c r="C54" s="430"/>
      <c r="D54" s="430"/>
      <c r="E54" s="430"/>
      <c r="F54" s="430"/>
      <c r="G54" s="430"/>
      <c r="H54" s="430"/>
      <c r="I54" s="430"/>
      <c r="J54" s="430"/>
      <c r="K54" s="430"/>
      <c r="L54" s="430"/>
      <c r="M54" s="430"/>
      <c r="N54" s="430"/>
      <c r="O54" s="430"/>
      <c r="P54" s="430"/>
      <c r="Q54" s="430"/>
      <c r="R54" s="430"/>
      <c r="S54" s="430"/>
      <c r="T54" s="430"/>
      <c r="U54" s="430"/>
      <c r="V54" s="430"/>
      <c r="W54" s="430"/>
      <c r="X54" s="430"/>
      <c r="Y54" s="430"/>
      <c r="Z54" s="430"/>
      <c r="AA54" s="430"/>
      <c r="AB54" s="430"/>
      <c r="AC54" s="430"/>
      <c r="AD54" s="430"/>
      <c r="AE54" s="430"/>
      <c r="AF54" s="430"/>
      <c r="AG54" s="430"/>
      <c r="AH54" s="430"/>
      <c r="AI54" s="430"/>
      <c r="AJ54" s="430"/>
      <c r="AK54" s="430"/>
      <c r="AL54" s="430"/>
      <c r="AM54" s="430"/>
      <c r="AN54" s="430"/>
      <c r="AO54" s="430"/>
      <c r="AP54" s="430"/>
      <c r="AQ54" s="430"/>
      <c r="AR54" s="430"/>
      <c r="AS54" s="430"/>
      <c r="AT54" s="430"/>
      <c r="AU54" s="430"/>
      <c r="AV54" s="430"/>
      <c r="AW54" s="430"/>
      <c r="AX54" s="430"/>
      <c r="AY54" s="430"/>
      <c r="AZ54" s="430"/>
      <c r="BA54" s="430"/>
      <c r="BB54" s="430"/>
      <c r="BC54" s="430"/>
      <c r="BD54" s="430"/>
      <c r="BE54" s="430"/>
    </row>
    <row r="55" spans="1:57">
      <c r="A55" s="430"/>
      <c r="B55" s="430"/>
      <c r="C55" s="430"/>
      <c r="D55" s="430"/>
      <c r="E55" s="430"/>
      <c r="F55" s="430"/>
      <c r="G55" s="430"/>
      <c r="H55" s="430"/>
      <c r="I55" s="430"/>
      <c r="J55" s="430"/>
      <c r="K55" s="430"/>
      <c r="L55" s="430"/>
      <c r="M55" s="430"/>
      <c r="N55" s="430"/>
      <c r="O55" s="430"/>
      <c r="P55" s="430"/>
      <c r="Q55" s="430"/>
      <c r="R55" s="430"/>
      <c r="S55" s="430"/>
      <c r="T55" s="430"/>
      <c r="U55" s="430"/>
      <c r="V55" s="430"/>
      <c r="W55" s="430"/>
      <c r="X55" s="430"/>
      <c r="Y55" s="430"/>
      <c r="Z55" s="430"/>
      <c r="AA55" s="430"/>
      <c r="AB55" s="430"/>
      <c r="AC55" s="430"/>
      <c r="AD55" s="430"/>
      <c r="AE55" s="430"/>
      <c r="AF55" s="430"/>
      <c r="AG55" s="430"/>
      <c r="AH55" s="430"/>
      <c r="AI55" s="430"/>
      <c r="AJ55" s="430"/>
      <c r="AK55" s="430"/>
      <c r="AL55" s="430"/>
      <c r="AM55" s="430"/>
      <c r="AN55" s="430"/>
      <c r="AO55" s="430"/>
      <c r="AP55" s="430"/>
      <c r="AQ55" s="430"/>
      <c r="AR55" s="430"/>
      <c r="AS55" s="430"/>
      <c r="AT55" s="430"/>
      <c r="AU55" s="430"/>
      <c r="AV55" s="430"/>
      <c r="AW55" s="430"/>
      <c r="AX55" s="430"/>
      <c r="AY55" s="430"/>
      <c r="AZ55" s="430"/>
      <c r="BA55" s="430"/>
      <c r="BB55" s="430"/>
      <c r="BC55" s="430"/>
      <c r="BD55" s="430"/>
      <c r="BE55" s="430"/>
    </row>
    <row r="56" spans="1:57">
      <c r="A56" s="430"/>
      <c r="B56" s="430"/>
      <c r="C56" s="430"/>
      <c r="D56" s="430"/>
      <c r="E56" s="430"/>
      <c r="F56" s="430"/>
      <c r="G56" s="430"/>
      <c r="H56" s="430"/>
      <c r="I56" s="430"/>
      <c r="J56" s="430"/>
      <c r="K56" s="430"/>
      <c r="L56" s="430"/>
      <c r="M56" s="430"/>
      <c r="N56" s="430"/>
      <c r="O56" s="430"/>
      <c r="P56" s="430"/>
      <c r="Q56" s="430"/>
      <c r="R56" s="430"/>
      <c r="S56" s="430"/>
      <c r="T56" s="430"/>
      <c r="U56" s="430"/>
      <c r="V56" s="430"/>
      <c r="W56" s="430"/>
      <c r="X56" s="430"/>
      <c r="Y56" s="430"/>
      <c r="Z56" s="430"/>
      <c r="AA56" s="430"/>
      <c r="AB56" s="430"/>
      <c r="AC56" s="430"/>
      <c r="AD56" s="430"/>
      <c r="AE56" s="430"/>
      <c r="AF56" s="430"/>
      <c r="AG56" s="430"/>
      <c r="AH56" s="430"/>
      <c r="AI56" s="430"/>
      <c r="AJ56" s="430"/>
      <c r="AK56" s="430"/>
      <c r="AL56" s="430"/>
      <c r="AM56" s="430"/>
      <c r="AN56" s="430"/>
      <c r="AO56" s="430"/>
      <c r="AP56" s="430"/>
      <c r="AQ56" s="430"/>
      <c r="AR56" s="430"/>
      <c r="AS56" s="430"/>
      <c r="AT56" s="430"/>
      <c r="AU56" s="430"/>
      <c r="AV56" s="430"/>
      <c r="AW56" s="430"/>
      <c r="AX56" s="430"/>
      <c r="AY56" s="430"/>
      <c r="AZ56" s="430"/>
      <c r="BA56" s="430"/>
      <c r="BB56" s="430"/>
      <c r="BC56" s="430"/>
      <c r="BD56" s="430"/>
      <c r="BE56" s="430"/>
    </row>
    <row r="57" spans="1:57">
      <c r="A57" s="430"/>
      <c r="B57" s="430"/>
      <c r="C57" s="430"/>
      <c r="D57" s="430"/>
      <c r="E57" s="430"/>
      <c r="F57" s="430"/>
      <c r="G57" s="430"/>
      <c r="H57" s="430"/>
      <c r="I57" s="430"/>
      <c r="J57" s="430"/>
      <c r="K57" s="430"/>
      <c r="L57" s="430"/>
      <c r="M57" s="430"/>
      <c r="N57" s="430"/>
      <c r="O57" s="430"/>
      <c r="P57" s="430"/>
      <c r="Q57" s="430"/>
      <c r="R57" s="430"/>
      <c r="S57" s="430"/>
      <c r="T57" s="430"/>
      <c r="U57" s="430"/>
      <c r="V57" s="430"/>
      <c r="W57" s="430"/>
      <c r="X57" s="430"/>
      <c r="Y57" s="430"/>
      <c r="Z57" s="430"/>
      <c r="AA57" s="430"/>
      <c r="AB57" s="430"/>
      <c r="AC57" s="430"/>
      <c r="AD57" s="430"/>
      <c r="AE57" s="430"/>
      <c r="AF57" s="430"/>
      <c r="AG57" s="430"/>
      <c r="AH57" s="430"/>
      <c r="AI57" s="430"/>
      <c r="AJ57" s="430"/>
      <c r="AK57" s="430"/>
      <c r="AL57" s="430"/>
      <c r="AM57" s="430"/>
      <c r="AN57" s="430"/>
      <c r="AO57" s="430"/>
      <c r="AP57" s="430"/>
      <c r="AQ57" s="430"/>
      <c r="AR57" s="430"/>
      <c r="AS57" s="430"/>
      <c r="AT57" s="430"/>
      <c r="AU57" s="430"/>
      <c r="AV57" s="430"/>
      <c r="AW57" s="430"/>
      <c r="AX57" s="430"/>
      <c r="AY57" s="430"/>
      <c r="AZ57" s="430"/>
      <c r="BA57" s="430"/>
      <c r="BB57" s="430"/>
      <c r="BC57" s="430"/>
      <c r="BD57" s="430"/>
      <c r="BE57" s="430"/>
    </row>
    <row r="58" spans="1:57">
      <c r="A58" s="430"/>
      <c r="B58" s="430"/>
      <c r="C58" s="430"/>
      <c r="D58" s="430"/>
      <c r="E58" s="430"/>
      <c r="F58" s="430"/>
      <c r="G58" s="430"/>
      <c r="H58" s="430"/>
      <c r="I58" s="430"/>
      <c r="J58" s="430"/>
      <c r="K58" s="430"/>
      <c r="L58" s="430"/>
      <c r="M58" s="430"/>
      <c r="N58" s="430"/>
      <c r="O58" s="430"/>
      <c r="P58" s="430"/>
      <c r="Q58" s="430"/>
      <c r="R58" s="430"/>
      <c r="S58" s="430"/>
      <c r="T58" s="430"/>
      <c r="U58" s="430"/>
      <c r="V58" s="430"/>
      <c r="W58" s="430"/>
      <c r="X58" s="430"/>
      <c r="Y58" s="430"/>
      <c r="Z58" s="430"/>
      <c r="AA58" s="430"/>
      <c r="AB58" s="430"/>
      <c r="AC58" s="430"/>
      <c r="AD58" s="430"/>
      <c r="AE58" s="430"/>
      <c r="AF58" s="430"/>
      <c r="AG58" s="430"/>
      <c r="AH58" s="430"/>
      <c r="AI58" s="430"/>
      <c r="AJ58" s="430"/>
      <c r="AK58" s="430"/>
      <c r="AL58" s="430"/>
      <c r="AM58" s="430"/>
      <c r="AN58" s="430"/>
      <c r="AO58" s="430"/>
      <c r="AP58" s="430"/>
      <c r="AQ58" s="430"/>
      <c r="AR58" s="430"/>
      <c r="AS58" s="430"/>
      <c r="AT58" s="430"/>
      <c r="AU58" s="430"/>
      <c r="AV58" s="430"/>
      <c r="AW58" s="430"/>
      <c r="AX58" s="430"/>
      <c r="AY58" s="430"/>
      <c r="AZ58" s="430"/>
      <c r="BA58" s="430"/>
      <c r="BB58" s="430"/>
      <c r="BC58" s="430"/>
      <c r="BD58" s="430"/>
      <c r="BE58" s="430"/>
    </row>
    <row r="59" spans="1:57">
      <c r="A59" s="430"/>
      <c r="B59" s="430"/>
      <c r="C59" s="430"/>
      <c r="D59" s="430"/>
      <c r="E59" s="430"/>
      <c r="F59" s="430"/>
      <c r="G59" s="430"/>
      <c r="H59" s="430"/>
      <c r="I59" s="430"/>
      <c r="J59" s="430"/>
      <c r="K59" s="430"/>
      <c r="L59" s="430"/>
      <c r="M59" s="430"/>
      <c r="N59" s="430"/>
      <c r="O59" s="430"/>
      <c r="P59" s="430"/>
      <c r="Q59" s="430"/>
      <c r="R59" s="430"/>
      <c r="S59" s="430"/>
      <c r="T59" s="430"/>
      <c r="U59" s="430"/>
      <c r="V59" s="430"/>
      <c r="W59" s="430"/>
      <c r="X59" s="430"/>
      <c r="Y59" s="430"/>
      <c r="Z59" s="430"/>
      <c r="AA59" s="430"/>
      <c r="AB59" s="430"/>
      <c r="AC59" s="430"/>
      <c r="AD59" s="430"/>
      <c r="AE59" s="430"/>
      <c r="AF59" s="430"/>
      <c r="AG59" s="430"/>
      <c r="AH59" s="430"/>
      <c r="AI59" s="430"/>
      <c r="AJ59" s="430"/>
      <c r="AK59" s="430"/>
      <c r="AL59" s="430"/>
      <c r="AM59" s="430"/>
      <c r="AN59" s="430"/>
      <c r="AO59" s="430"/>
      <c r="AP59" s="430"/>
      <c r="AQ59" s="430"/>
      <c r="AR59" s="430"/>
      <c r="AS59" s="430"/>
      <c r="AT59" s="430"/>
      <c r="AU59" s="430"/>
      <c r="AV59" s="430"/>
      <c r="AW59" s="430"/>
      <c r="AX59" s="430"/>
      <c r="AY59" s="430"/>
      <c r="AZ59" s="430"/>
      <c r="BA59" s="430"/>
      <c r="BB59" s="430"/>
      <c r="BC59" s="430"/>
      <c r="BD59" s="430"/>
      <c r="BE59" s="430"/>
    </row>
    <row r="60" spans="1:57">
      <c r="A60" s="430"/>
      <c r="B60" s="430"/>
      <c r="C60" s="430"/>
      <c r="D60" s="430"/>
      <c r="E60" s="430"/>
      <c r="F60" s="430"/>
      <c r="G60" s="430"/>
      <c r="H60" s="430"/>
      <c r="I60" s="430"/>
      <c r="J60" s="430"/>
      <c r="K60" s="430"/>
      <c r="L60" s="430"/>
      <c r="M60" s="430"/>
      <c r="N60" s="430"/>
      <c r="O60" s="430"/>
      <c r="P60" s="430"/>
      <c r="Q60" s="430"/>
      <c r="R60" s="430"/>
      <c r="S60" s="430"/>
      <c r="T60" s="430"/>
      <c r="U60" s="430"/>
      <c r="V60" s="430"/>
      <c r="W60" s="430"/>
      <c r="X60" s="430"/>
      <c r="Y60" s="430"/>
      <c r="Z60" s="430"/>
      <c r="AA60" s="430"/>
      <c r="AB60" s="430"/>
      <c r="AC60" s="430"/>
      <c r="AD60" s="430"/>
      <c r="AE60" s="430"/>
      <c r="AF60" s="430"/>
      <c r="AG60" s="430"/>
      <c r="AH60" s="430"/>
      <c r="AI60" s="430"/>
      <c r="AJ60" s="430"/>
      <c r="AK60" s="430"/>
      <c r="AL60" s="430"/>
      <c r="AM60" s="430"/>
      <c r="AN60" s="430"/>
      <c r="AO60" s="430"/>
      <c r="AP60" s="430"/>
      <c r="AQ60" s="430"/>
      <c r="AR60" s="430"/>
      <c r="AS60" s="430"/>
      <c r="AT60" s="430"/>
      <c r="AU60" s="430"/>
      <c r="AV60" s="430"/>
      <c r="AW60" s="430"/>
      <c r="AX60" s="430"/>
      <c r="AY60" s="430"/>
      <c r="AZ60" s="430"/>
      <c r="BA60" s="430"/>
      <c r="BB60" s="430"/>
      <c r="BC60" s="430"/>
      <c r="BD60" s="430"/>
      <c r="BE60" s="430"/>
    </row>
    <row r="61" spans="1:57">
      <c r="A61" s="430"/>
      <c r="B61" s="430"/>
      <c r="C61" s="430"/>
      <c r="D61" s="430"/>
      <c r="E61" s="430"/>
      <c r="F61" s="430"/>
      <c r="G61" s="430"/>
      <c r="H61" s="430"/>
      <c r="I61" s="430"/>
      <c r="J61" s="430"/>
      <c r="K61" s="430"/>
      <c r="L61" s="430"/>
      <c r="M61" s="430"/>
      <c r="N61" s="430"/>
      <c r="O61" s="430"/>
      <c r="P61" s="430"/>
      <c r="Q61" s="430"/>
      <c r="R61" s="430"/>
      <c r="S61" s="430"/>
      <c r="T61" s="430"/>
      <c r="U61" s="430"/>
      <c r="V61" s="430"/>
      <c r="W61" s="430"/>
      <c r="X61" s="430"/>
      <c r="Y61" s="430"/>
      <c r="Z61" s="430"/>
      <c r="AA61" s="430"/>
      <c r="AB61" s="430"/>
      <c r="AC61" s="430"/>
      <c r="AD61" s="430"/>
      <c r="AE61" s="430"/>
      <c r="AF61" s="430"/>
      <c r="AG61" s="430"/>
      <c r="AH61" s="430"/>
      <c r="AI61" s="430"/>
      <c r="AJ61" s="430"/>
      <c r="AK61" s="430"/>
      <c r="AL61" s="430"/>
      <c r="AM61" s="430"/>
      <c r="AN61" s="430"/>
      <c r="AO61" s="430"/>
      <c r="AP61" s="430"/>
      <c r="AQ61" s="430"/>
      <c r="AR61" s="430"/>
      <c r="AS61" s="430"/>
      <c r="AT61" s="430"/>
      <c r="AU61" s="430"/>
      <c r="AV61" s="430"/>
      <c r="AW61" s="430"/>
      <c r="AX61" s="430"/>
      <c r="AY61" s="430"/>
      <c r="AZ61" s="430"/>
      <c r="BA61" s="430"/>
      <c r="BB61" s="430"/>
      <c r="BC61" s="430"/>
      <c r="BD61" s="430"/>
      <c r="BE61" s="430"/>
    </row>
    <row r="62" spans="1:57">
      <c r="A62" s="430"/>
      <c r="B62" s="430"/>
      <c r="C62" s="430"/>
      <c r="D62" s="430"/>
      <c r="E62" s="430"/>
      <c r="F62" s="430"/>
      <c r="G62" s="430"/>
      <c r="H62" s="430"/>
      <c r="I62" s="430"/>
      <c r="J62" s="430"/>
      <c r="K62" s="430"/>
      <c r="L62" s="430"/>
      <c r="M62" s="430"/>
      <c r="N62" s="430"/>
      <c r="O62" s="430"/>
      <c r="P62" s="430"/>
      <c r="Q62" s="430"/>
      <c r="R62" s="430"/>
      <c r="S62" s="430"/>
      <c r="T62" s="430"/>
      <c r="U62" s="430"/>
      <c r="V62" s="430"/>
      <c r="W62" s="430"/>
      <c r="X62" s="430"/>
      <c r="Y62" s="430"/>
      <c r="Z62" s="430"/>
      <c r="AA62" s="430"/>
      <c r="AB62" s="430"/>
      <c r="AC62" s="430"/>
      <c r="AD62" s="430"/>
      <c r="AE62" s="430"/>
      <c r="AF62" s="430"/>
      <c r="AG62" s="430"/>
      <c r="AH62" s="430"/>
      <c r="AI62" s="430"/>
      <c r="AJ62" s="430"/>
      <c r="AK62" s="430"/>
      <c r="AL62" s="430"/>
      <c r="AM62" s="430"/>
      <c r="AN62" s="430"/>
      <c r="AO62" s="430"/>
      <c r="AP62" s="430"/>
      <c r="AQ62" s="430"/>
      <c r="AR62" s="430"/>
      <c r="AS62" s="430"/>
      <c r="AT62" s="430"/>
      <c r="AU62" s="430"/>
      <c r="AV62" s="430"/>
      <c r="AW62" s="430"/>
      <c r="AX62" s="430"/>
      <c r="AY62" s="430"/>
      <c r="AZ62" s="430"/>
      <c r="BA62" s="430"/>
      <c r="BB62" s="430"/>
      <c r="BC62" s="430"/>
      <c r="BD62" s="430"/>
      <c r="BE62" s="430"/>
    </row>
    <row r="63" spans="1:57">
      <c r="A63" s="430"/>
      <c r="B63" s="430"/>
      <c r="C63" s="430"/>
      <c r="D63" s="430"/>
      <c r="E63" s="430"/>
      <c r="F63" s="430"/>
      <c r="G63" s="430"/>
      <c r="H63" s="430"/>
      <c r="I63" s="430"/>
      <c r="J63" s="430"/>
      <c r="K63" s="430"/>
      <c r="L63" s="430"/>
      <c r="M63" s="430"/>
      <c r="N63" s="430"/>
      <c r="O63" s="430"/>
      <c r="P63" s="430"/>
      <c r="Q63" s="430"/>
      <c r="R63" s="430"/>
      <c r="S63" s="430"/>
      <c r="T63" s="430"/>
      <c r="U63" s="430"/>
      <c r="V63" s="430"/>
      <c r="W63" s="430"/>
      <c r="X63" s="430"/>
      <c r="Y63" s="430"/>
      <c r="Z63" s="430"/>
      <c r="AA63" s="430"/>
      <c r="AB63" s="430"/>
      <c r="AC63" s="430"/>
      <c r="AD63" s="430"/>
      <c r="AE63" s="430"/>
      <c r="AF63" s="430"/>
      <c r="AG63" s="430"/>
      <c r="AH63" s="430"/>
      <c r="AI63" s="430"/>
      <c r="AJ63" s="430"/>
      <c r="AK63" s="430"/>
      <c r="AL63" s="430"/>
      <c r="AM63" s="430"/>
      <c r="AN63" s="430"/>
      <c r="AO63" s="430"/>
      <c r="AP63" s="430"/>
      <c r="AQ63" s="430"/>
      <c r="AR63" s="430"/>
      <c r="AS63" s="430"/>
      <c r="AT63" s="430"/>
      <c r="AU63" s="430"/>
      <c r="AV63" s="430"/>
      <c r="AW63" s="430"/>
      <c r="AX63" s="430"/>
      <c r="AY63" s="430"/>
      <c r="AZ63" s="430"/>
      <c r="BA63" s="430"/>
      <c r="BB63" s="430"/>
      <c r="BC63" s="430"/>
      <c r="BD63" s="430"/>
      <c r="BE63" s="430"/>
    </row>
    <row r="64" spans="1:57">
      <c r="A64" s="430"/>
      <c r="B64" s="430"/>
      <c r="C64" s="430"/>
      <c r="D64" s="430"/>
      <c r="E64" s="430"/>
      <c r="F64" s="430"/>
      <c r="G64" s="430"/>
      <c r="H64" s="430"/>
      <c r="I64" s="430"/>
      <c r="J64" s="430"/>
      <c r="K64" s="430"/>
      <c r="L64" s="430"/>
      <c r="M64" s="430"/>
      <c r="N64" s="430"/>
      <c r="O64" s="430"/>
      <c r="P64" s="430"/>
      <c r="Q64" s="430"/>
      <c r="R64" s="430"/>
      <c r="S64" s="430"/>
      <c r="T64" s="430"/>
      <c r="U64" s="430"/>
      <c r="V64" s="430"/>
      <c r="W64" s="430"/>
      <c r="X64" s="430"/>
      <c r="Y64" s="430"/>
      <c r="Z64" s="430"/>
      <c r="AA64" s="430"/>
      <c r="AB64" s="430"/>
      <c r="AC64" s="430"/>
      <c r="AD64" s="430"/>
      <c r="AE64" s="430"/>
      <c r="AF64" s="430"/>
      <c r="AG64" s="430"/>
      <c r="AH64" s="430"/>
      <c r="AI64" s="430"/>
      <c r="AJ64" s="430"/>
      <c r="AK64" s="430"/>
      <c r="AL64" s="430"/>
      <c r="AM64" s="430"/>
      <c r="AN64" s="430"/>
      <c r="AO64" s="430"/>
      <c r="AP64" s="430"/>
      <c r="AQ64" s="430"/>
      <c r="AR64" s="430"/>
      <c r="AS64" s="430"/>
      <c r="AT64" s="430"/>
      <c r="AU64" s="430"/>
      <c r="AV64" s="430"/>
      <c r="AW64" s="430"/>
      <c r="AX64" s="430"/>
      <c r="AY64" s="430"/>
      <c r="AZ64" s="430"/>
      <c r="BA64" s="430"/>
      <c r="BB64" s="430"/>
      <c r="BC64" s="430"/>
      <c r="BD64" s="430"/>
      <c r="BE64" s="430"/>
    </row>
    <row r="65" spans="1:57">
      <c r="A65" s="430"/>
      <c r="B65" s="430"/>
      <c r="C65" s="430"/>
      <c r="D65" s="430"/>
      <c r="E65" s="430"/>
      <c r="F65" s="430"/>
      <c r="G65" s="430"/>
      <c r="H65" s="430"/>
      <c r="I65" s="430"/>
      <c r="J65" s="430"/>
      <c r="K65" s="430"/>
      <c r="L65" s="430"/>
      <c r="M65" s="430"/>
      <c r="N65" s="430"/>
      <c r="O65" s="430"/>
      <c r="P65" s="430"/>
      <c r="Q65" s="430"/>
      <c r="R65" s="430"/>
      <c r="S65" s="430"/>
      <c r="T65" s="430"/>
      <c r="U65" s="430"/>
      <c r="V65" s="430"/>
      <c r="W65" s="430"/>
      <c r="X65" s="430"/>
      <c r="Y65" s="430"/>
      <c r="Z65" s="430"/>
      <c r="AA65" s="430"/>
      <c r="AB65" s="430"/>
      <c r="AC65" s="430"/>
      <c r="AD65" s="430"/>
      <c r="AE65" s="430"/>
      <c r="AF65" s="430"/>
      <c r="AG65" s="430"/>
      <c r="AH65" s="430"/>
      <c r="AI65" s="430"/>
      <c r="AJ65" s="430"/>
      <c r="AK65" s="430"/>
      <c r="AL65" s="430"/>
      <c r="AM65" s="430"/>
      <c r="AN65" s="430"/>
      <c r="AO65" s="430"/>
      <c r="AP65" s="430"/>
      <c r="AQ65" s="430"/>
      <c r="AR65" s="430"/>
      <c r="AS65" s="430"/>
      <c r="AT65" s="430"/>
      <c r="AU65" s="430"/>
      <c r="AV65" s="430"/>
      <c r="AW65" s="430"/>
      <c r="AX65" s="430"/>
      <c r="AY65" s="430"/>
      <c r="AZ65" s="430"/>
      <c r="BA65" s="430"/>
      <c r="BB65" s="430"/>
      <c r="BC65" s="430"/>
      <c r="BD65" s="430"/>
      <c r="BE65" s="430"/>
    </row>
    <row r="66" spans="1:57">
      <c r="A66" s="430"/>
      <c r="B66" s="430"/>
      <c r="C66" s="430"/>
      <c r="D66" s="430"/>
      <c r="E66" s="430"/>
      <c r="F66" s="430"/>
      <c r="G66" s="430"/>
      <c r="H66" s="430"/>
      <c r="I66" s="430"/>
      <c r="J66" s="430"/>
      <c r="K66" s="430"/>
      <c r="L66" s="430"/>
      <c r="M66" s="430"/>
      <c r="N66" s="430"/>
      <c r="O66" s="430"/>
      <c r="P66" s="430"/>
      <c r="Q66" s="430"/>
      <c r="R66" s="430"/>
      <c r="S66" s="430"/>
      <c r="T66" s="430"/>
      <c r="U66" s="430"/>
      <c r="V66" s="430"/>
      <c r="W66" s="430"/>
      <c r="X66" s="430"/>
      <c r="Y66" s="430"/>
      <c r="Z66" s="430"/>
      <c r="AA66" s="430"/>
      <c r="AB66" s="430"/>
      <c r="AC66" s="430"/>
      <c r="AD66" s="430"/>
      <c r="AE66" s="430"/>
      <c r="AF66" s="430"/>
      <c r="AG66" s="430"/>
      <c r="AH66" s="430"/>
      <c r="AI66" s="430"/>
      <c r="AJ66" s="430"/>
      <c r="AK66" s="430"/>
      <c r="AL66" s="430"/>
      <c r="AM66" s="430"/>
      <c r="AN66" s="430"/>
      <c r="AO66" s="430"/>
      <c r="AP66" s="430"/>
      <c r="AQ66" s="430"/>
      <c r="AR66" s="430"/>
      <c r="AS66" s="430"/>
      <c r="AT66" s="430"/>
      <c r="AU66" s="430"/>
      <c r="AV66" s="430"/>
      <c r="AW66" s="430"/>
      <c r="AX66" s="430"/>
      <c r="AY66" s="430"/>
      <c r="AZ66" s="430"/>
      <c r="BA66" s="430"/>
      <c r="BB66" s="430"/>
      <c r="BC66" s="430"/>
      <c r="BD66" s="430"/>
      <c r="BE66" s="430"/>
    </row>
    <row r="67" spans="1:57">
      <c r="A67" s="430"/>
      <c r="B67" s="430"/>
      <c r="C67" s="430"/>
      <c r="D67" s="430"/>
      <c r="E67" s="430"/>
      <c r="F67" s="430"/>
      <c r="G67" s="430"/>
      <c r="H67" s="430"/>
      <c r="I67" s="430"/>
      <c r="J67" s="430"/>
      <c r="K67" s="430"/>
      <c r="L67" s="430"/>
      <c r="M67" s="430"/>
      <c r="N67" s="430"/>
      <c r="O67" s="430"/>
      <c r="P67" s="430"/>
      <c r="Q67" s="430"/>
      <c r="R67" s="430"/>
      <c r="S67" s="430"/>
      <c r="T67" s="430"/>
      <c r="U67" s="430"/>
      <c r="V67" s="430"/>
      <c r="W67" s="430"/>
      <c r="X67" s="430"/>
      <c r="Y67" s="430"/>
      <c r="Z67" s="430"/>
      <c r="AA67" s="430"/>
      <c r="AB67" s="430"/>
      <c r="AC67" s="430"/>
      <c r="AD67" s="430"/>
      <c r="AE67" s="430"/>
      <c r="AF67" s="430"/>
      <c r="AG67" s="430"/>
      <c r="AH67" s="430"/>
      <c r="AI67" s="430"/>
      <c r="AJ67" s="430"/>
      <c r="AK67" s="430"/>
      <c r="AL67" s="430"/>
      <c r="AM67" s="430"/>
      <c r="AN67" s="430"/>
      <c r="AO67" s="430"/>
      <c r="AP67" s="430"/>
      <c r="AQ67" s="430"/>
      <c r="AR67" s="430"/>
      <c r="AS67" s="430"/>
      <c r="AT67" s="430"/>
      <c r="AU67" s="430"/>
      <c r="AV67" s="430"/>
      <c r="AW67" s="430"/>
      <c r="AX67" s="430"/>
      <c r="AY67" s="430"/>
      <c r="AZ67" s="430"/>
      <c r="BA67" s="430"/>
      <c r="BB67" s="430"/>
      <c r="BC67" s="430"/>
      <c r="BD67" s="430"/>
      <c r="BE67" s="430"/>
    </row>
    <row r="68" spans="1:57">
      <c r="A68" s="430"/>
      <c r="B68" s="430"/>
      <c r="C68" s="430"/>
      <c r="D68" s="430"/>
      <c r="E68" s="430"/>
      <c r="F68" s="430"/>
      <c r="G68" s="430"/>
      <c r="H68" s="430"/>
      <c r="I68" s="430"/>
      <c r="J68" s="430"/>
      <c r="K68" s="430"/>
      <c r="L68" s="430"/>
      <c r="M68" s="430"/>
      <c r="N68" s="430"/>
      <c r="O68" s="430"/>
      <c r="P68" s="430"/>
      <c r="Q68" s="430"/>
      <c r="R68" s="430"/>
      <c r="S68" s="430"/>
      <c r="T68" s="430"/>
      <c r="U68" s="430"/>
      <c r="V68" s="430"/>
      <c r="W68" s="430"/>
      <c r="X68" s="430"/>
      <c r="Y68" s="430"/>
      <c r="Z68" s="430"/>
      <c r="AA68" s="430"/>
      <c r="AB68" s="430"/>
      <c r="AC68" s="430"/>
      <c r="AD68" s="430"/>
      <c r="AE68" s="430"/>
      <c r="AF68" s="430"/>
      <c r="AG68" s="430"/>
      <c r="AH68" s="430"/>
      <c r="AI68" s="430"/>
      <c r="AJ68" s="430"/>
      <c r="AK68" s="430"/>
      <c r="AL68" s="430"/>
      <c r="AM68" s="430"/>
      <c r="AN68" s="430"/>
      <c r="AO68" s="430"/>
      <c r="AP68" s="430"/>
      <c r="AQ68" s="430"/>
      <c r="AR68" s="430"/>
      <c r="AS68" s="430"/>
      <c r="AT68" s="430"/>
      <c r="AU68" s="430"/>
      <c r="AV68" s="430"/>
      <c r="AW68" s="430"/>
      <c r="AX68" s="430"/>
      <c r="AY68" s="430"/>
      <c r="AZ68" s="430"/>
      <c r="BA68" s="430"/>
      <c r="BB68" s="430"/>
      <c r="BC68" s="430"/>
      <c r="BD68" s="430"/>
      <c r="BE68" s="430"/>
    </row>
    <row r="69" spans="1:57">
      <c r="A69" s="430"/>
      <c r="B69" s="430"/>
      <c r="C69" s="430"/>
      <c r="D69" s="430"/>
      <c r="E69" s="430"/>
      <c r="F69" s="430"/>
      <c r="G69" s="430"/>
      <c r="H69" s="430"/>
      <c r="I69" s="430"/>
      <c r="J69" s="430"/>
      <c r="K69" s="430"/>
      <c r="L69" s="430"/>
      <c r="M69" s="430"/>
      <c r="N69" s="430"/>
      <c r="O69" s="430"/>
      <c r="P69" s="430"/>
      <c r="Q69" s="430"/>
      <c r="R69" s="430"/>
      <c r="S69" s="430"/>
      <c r="T69" s="430"/>
      <c r="U69" s="430"/>
      <c r="V69" s="430"/>
      <c r="W69" s="430"/>
      <c r="X69" s="430"/>
      <c r="Y69" s="430"/>
      <c r="Z69" s="430"/>
      <c r="AA69" s="430"/>
      <c r="AB69" s="430"/>
      <c r="AC69" s="430"/>
      <c r="AD69" s="430"/>
      <c r="AE69" s="430"/>
      <c r="AF69" s="430"/>
      <c r="AG69" s="430"/>
      <c r="AH69" s="430"/>
      <c r="AI69" s="430"/>
      <c r="AJ69" s="430"/>
      <c r="AK69" s="430"/>
      <c r="AL69" s="430"/>
      <c r="AM69" s="430"/>
      <c r="AN69" s="430"/>
      <c r="AO69" s="430"/>
      <c r="AP69" s="430"/>
      <c r="AQ69" s="430"/>
      <c r="AR69" s="430"/>
      <c r="AS69" s="430"/>
      <c r="AT69" s="430"/>
      <c r="AU69" s="430"/>
      <c r="AV69" s="430"/>
      <c r="AW69" s="430"/>
      <c r="AX69" s="430"/>
      <c r="AY69" s="430"/>
      <c r="AZ69" s="430"/>
      <c r="BA69" s="430"/>
      <c r="BB69" s="430"/>
      <c r="BC69" s="430"/>
      <c r="BD69" s="430"/>
      <c r="BE69" s="430"/>
    </row>
    <row r="70" spans="1:57">
      <c r="A70" s="430"/>
      <c r="B70" s="430"/>
      <c r="C70" s="430"/>
      <c r="D70" s="430"/>
      <c r="E70" s="430"/>
      <c r="F70" s="430"/>
      <c r="G70" s="430"/>
      <c r="H70" s="430"/>
      <c r="I70" s="430"/>
      <c r="J70" s="430"/>
      <c r="K70" s="430"/>
      <c r="L70" s="430"/>
      <c r="M70" s="430"/>
      <c r="N70" s="430"/>
      <c r="O70" s="430"/>
      <c r="P70" s="430"/>
      <c r="Q70" s="430"/>
      <c r="R70" s="430"/>
      <c r="S70" s="430"/>
      <c r="T70" s="430"/>
      <c r="U70" s="430"/>
      <c r="V70" s="430"/>
      <c r="W70" s="430"/>
      <c r="X70" s="430"/>
      <c r="Y70" s="430"/>
      <c r="Z70" s="430"/>
      <c r="AA70" s="430"/>
      <c r="AB70" s="430"/>
      <c r="AC70" s="430"/>
      <c r="AD70" s="430"/>
      <c r="AE70" s="430"/>
      <c r="AF70" s="430"/>
      <c r="AG70" s="430"/>
      <c r="AH70" s="430"/>
      <c r="AI70" s="430"/>
      <c r="AJ70" s="430"/>
      <c r="AK70" s="430"/>
      <c r="AL70" s="430"/>
      <c r="AM70" s="430"/>
      <c r="AN70" s="430"/>
      <c r="AO70" s="430"/>
      <c r="AP70" s="430"/>
      <c r="AQ70" s="430"/>
      <c r="AR70" s="430"/>
      <c r="AS70" s="430"/>
      <c r="AT70" s="430"/>
      <c r="AU70" s="430"/>
      <c r="AV70" s="430"/>
      <c r="AW70" s="430"/>
      <c r="AX70" s="430"/>
      <c r="AY70" s="430"/>
      <c r="AZ70" s="430"/>
      <c r="BA70" s="430"/>
      <c r="BB70" s="430"/>
      <c r="BC70" s="430"/>
      <c r="BD70" s="430"/>
      <c r="BE70" s="430"/>
    </row>
    <row r="71" spans="1:57">
      <c r="A71" s="430"/>
      <c r="B71" s="430"/>
      <c r="C71" s="430"/>
      <c r="D71" s="430"/>
      <c r="E71" s="430"/>
      <c r="F71" s="430"/>
      <c r="G71" s="430"/>
      <c r="H71" s="430"/>
      <c r="I71" s="430"/>
      <c r="J71" s="430"/>
      <c r="K71" s="430"/>
      <c r="L71" s="430"/>
      <c r="M71" s="430"/>
      <c r="N71" s="430"/>
      <c r="O71" s="430"/>
      <c r="P71" s="430"/>
      <c r="Q71" s="430"/>
      <c r="R71" s="430"/>
      <c r="S71" s="430"/>
      <c r="T71" s="430"/>
      <c r="U71" s="430"/>
      <c r="V71" s="430"/>
      <c r="W71" s="430"/>
      <c r="X71" s="430"/>
      <c r="Y71" s="430"/>
      <c r="Z71" s="430"/>
      <c r="AA71" s="430"/>
      <c r="AB71" s="430"/>
      <c r="AC71" s="430"/>
      <c r="AD71" s="430"/>
      <c r="AE71" s="430"/>
      <c r="AF71" s="430"/>
      <c r="AG71" s="430"/>
      <c r="AH71" s="430"/>
      <c r="AI71" s="430"/>
      <c r="AJ71" s="430"/>
      <c r="AK71" s="430"/>
      <c r="AL71" s="430"/>
      <c r="AM71" s="430"/>
      <c r="AN71" s="430"/>
      <c r="AO71" s="430"/>
      <c r="AP71" s="430"/>
      <c r="AQ71" s="430"/>
      <c r="AR71" s="430"/>
      <c r="AS71" s="430"/>
      <c r="AT71" s="430"/>
      <c r="AU71" s="430"/>
      <c r="AV71" s="430"/>
      <c r="AW71" s="430"/>
      <c r="AX71" s="430"/>
      <c r="AY71" s="430"/>
      <c r="AZ71" s="430"/>
      <c r="BA71" s="430"/>
      <c r="BB71" s="430"/>
      <c r="BC71" s="430"/>
      <c r="BD71" s="430"/>
      <c r="BE71" s="430"/>
    </row>
    <row r="72" spans="1:57">
      <c r="A72" s="430"/>
      <c r="B72" s="430"/>
      <c r="C72" s="430"/>
      <c r="D72" s="430"/>
      <c r="E72" s="430"/>
      <c r="F72" s="430"/>
      <c r="G72" s="430"/>
      <c r="H72" s="430"/>
      <c r="I72" s="430"/>
      <c r="J72" s="430"/>
      <c r="K72" s="430"/>
      <c r="L72" s="430"/>
      <c r="M72" s="430"/>
      <c r="N72" s="430"/>
      <c r="O72" s="430"/>
      <c r="P72" s="430"/>
      <c r="Q72" s="430"/>
      <c r="R72" s="430"/>
      <c r="S72" s="430"/>
      <c r="T72" s="430"/>
      <c r="U72" s="430"/>
      <c r="V72" s="430"/>
      <c r="W72" s="430"/>
      <c r="X72" s="430"/>
      <c r="Y72" s="430"/>
      <c r="Z72" s="430"/>
      <c r="AA72" s="430"/>
      <c r="AB72" s="430"/>
      <c r="AC72" s="430"/>
      <c r="AD72" s="430"/>
      <c r="AE72" s="430"/>
      <c r="AF72" s="430"/>
      <c r="AG72" s="430"/>
      <c r="AH72" s="430"/>
      <c r="AI72" s="430"/>
      <c r="AJ72" s="430"/>
      <c r="AK72" s="430"/>
      <c r="AL72" s="430"/>
      <c r="AM72" s="430"/>
      <c r="AN72" s="430"/>
      <c r="AO72" s="430"/>
      <c r="AP72" s="430"/>
      <c r="AQ72" s="430"/>
      <c r="AR72" s="430"/>
      <c r="AS72" s="430"/>
      <c r="AT72" s="430"/>
      <c r="AU72" s="430"/>
      <c r="AV72" s="430"/>
      <c r="AW72" s="430"/>
      <c r="AX72" s="430"/>
      <c r="AY72" s="430"/>
      <c r="AZ72" s="430"/>
      <c r="BA72" s="430"/>
      <c r="BB72" s="430"/>
      <c r="BC72" s="430"/>
      <c r="BD72" s="430"/>
      <c r="BE72" s="430"/>
    </row>
    <row r="73" spans="1:57">
      <c r="A73" s="430"/>
      <c r="B73" s="430"/>
      <c r="C73" s="430"/>
      <c r="D73" s="430"/>
      <c r="E73" s="430"/>
      <c r="F73" s="430"/>
      <c r="G73" s="430"/>
      <c r="H73" s="430"/>
      <c r="I73" s="430"/>
      <c r="J73" s="430"/>
      <c r="K73" s="430"/>
      <c r="L73" s="430"/>
      <c r="M73" s="430"/>
      <c r="N73" s="430"/>
      <c r="O73" s="430"/>
      <c r="P73" s="430"/>
      <c r="Q73" s="430"/>
      <c r="R73" s="430"/>
      <c r="S73" s="430"/>
      <c r="T73" s="430"/>
      <c r="U73" s="430"/>
      <c r="V73" s="430"/>
      <c r="W73" s="430"/>
      <c r="X73" s="430"/>
      <c r="Y73" s="430"/>
      <c r="Z73" s="430"/>
      <c r="AA73" s="430"/>
      <c r="AB73" s="430"/>
      <c r="AC73" s="430"/>
      <c r="AD73" s="430"/>
      <c r="AE73" s="430"/>
      <c r="AF73" s="430"/>
      <c r="AG73" s="430"/>
      <c r="AH73" s="430"/>
      <c r="AI73" s="430"/>
      <c r="AJ73" s="430"/>
      <c r="AK73" s="430"/>
      <c r="AL73" s="430"/>
      <c r="AM73" s="430"/>
      <c r="AN73" s="430"/>
      <c r="AO73" s="430"/>
      <c r="AP73" s="430"/>
      <c r="AQ73" s="430"/>
      <c r="AR73" s="430"/>
      <c r="AS73" s="430"/>
      <c r="AT73" s="430"/>
      <c r="AU73" s="430"/>
      <c r="AV73" s="430"/>
      <c r="AW73" s="430"/>
      <c r="AX73" s="430"/>
      <c r="AY73" s="430"/>
      <c r="AZ73" s="430"/>
      <c r="BA73" s="430"/>
      <c r="BB73" s="430"/>
      <c r="BC73" s="430"/>
      <c r="BD73" s="430"/>
      <c r="BE73" s="430"/>
    </row>
    <row r="74" spans="1:57">
      <c r="A74" s="430"/>
      <c r="B74" s="430"/>
      <c r="C74" s="430"/>
      <c r="D74" s="430"/>
      <c r="E74" s="430"/>
      <c r="F74" s="430"/>
      <c r="G74" s="430"/>
      <c r="H74" s="430"/>
      <c r="I74" s="430"/>
      <c r="J74" s="430"/>
      <c r="K74" s="430"/>
      <c r="L74" s="430"/>
      <c r="M74" s="430"/>
      <c r="N74" s="430"/>
      <c r="O74" s="430"/>
      <c r="P74" s="430"/>
      <c r="Q74" s="430"/>
      <c r="R74" s="430"/>
      <c r="S74" s="430"/>
      <c r="T74" s="430"/>
      <c r="U74" s="430"/>
      <c r="V74" s="430"/>
      <c r="W74" s="430"/>
      <c r="X74" s="430"/>
      <c r="Y74" s="430"/>
      <c r="Z74" s="430"/>
      <c r="AA74" s="430"/>
      <c r="AB74" s="430"/>
      <c r="AC74" s="430"/>
      <c r="AD74" s="430"/>
      <c r="AE74" s="430"/>
      <c r="AF74" s="430"/>
      <c r="AG74" s="430"/>
      <c r="AH74" s="430"/>
      <c r="AI74" s="430"/>
      <c r="AJ74" s="430"/>
      <c r="AK74" s="430"/>
      <c r="AL74" s="430"/>
      <c r="AM74" s="430"/>
      <c r="AN74" s="430"/>
      <c r="AO74" s="430"/>
      <c r="AP74" s="430"/>
      <c r="AQ74" s="430"/>
      <c r="AR74" s="430"/>
      <c r="AS74" s="430"/>
      <c r="AT74" s="430"/>
      <c r="AU74" s="430"/>
      <c r="AV74" s="430"/>
      <c r="AW74" s="430"/>
      <c r="AX74" s="430"/>
      <c r="AY74" s="430"/>
      <c r="AZ74" s="430"/>
      <c r="BA74" s="430"/>
      <c r="BB74" s="430"/>
      <c r="BC74" s="430"/>
      <c r="BD74" s="430"/>
      <c r="BE74" s="430"/>
    </row>
    <row r="75" spans="1:57">
      <c r="A75" s="430"/>
      <c r="B75" s="430"/>
      <c r="C75" s="430"/>
      <c r="D75" s="430"/>
      <c r="E75" s="430"/>
      <c r="F75" s="430"/>
      <c r="G75" s="430"/>
      <c r="H75" s="430"/>
      <c r="I75" s="430"/>
      <c r="J75" s="430"/>
      <c r="K75" s="430"/>
      <c r="L75" s="430"/>
      <c r="M75" s="430"/>
      <c r="N75" s="430"/>
      <c r="O75" s="430"/>
      <c r="P75" s="430"/>
      <c r="Q75" s="430"/>
      <c r="R75" s="430"/>
      <c r="S75" s="430"/>
      <c r="T75" s="430"/>
      <c r="U75" s="430"/>
      <c r="V75" s="430"/>
      <c r="W75" s="430"/>
      <c r="X75" s="430"/>
      <c r="Y75" s="430"/>
      <c r="Z75" s="430"/>
      <c r="AA75" s="430"/>
      <c r="AB75" s="430"/>
      <c r="AC75" s="430"/>
      <c r="AD75" s="430"/>
      <c r="AE75" s="430"/>
      <c r="AF75" s="430"/>
      <c r="AG75" s="430"/>
      <c r="AH75" s="430"/>
      <c r="AI75" s="430"/>
      <c r="AJ75" s="430"/>
      <c r="AK75" s="430"/>
      <c r="AL75" s="430"/>
      <c r="AM75" s="430"/>
      <c r="AN75" s="430"/>
      <c r="AO75" s="430"/>
      <c r="AP75" s="430"/>
      <c r="AQ75" s="430"/>
      <c r="AR75" s="430"/>
      <c r="AS75" s="430"/>
      <c r="AT75" s="430"/>
      <c r="AU75" s="430"/>
      <c r="AV75" s="430"/>
      <c r="AW75" s="430"/>
      <c r="AX75" s="430"/>
      <c r="AY75" s="430"/>
      <c r="AZ75" s="430"/>
      <c r="BA75" s="430"/>
      <c r="BB75" s="430"/>
      <c r="BC75" s="430"/>
      <c r="BD75" s="430"/>
      <c r="BE75" s="430"/>
    </row>
    <row r="76" spans="1:57">
      <c r="A76" s="430"/>
      <c r="B76" s="430"/>
      <c r="C76" s="430"/>
      <c r="D76" s="430"/>
      <c r="E76" s="430"/>
      <c r="F76" s="430"/>
      <c r="G76" s="430"/>
      <c r="H76" s="430"/>
      <c r="I76" s="430"/>
      <c r="J76" s="430"/>
      <c r="K76" s="430"/>
      <c r="L76" s="430"/>
      <c r="M76" s="430"/>
      <c r="N76" s="430"/>
      <c r="O76" s="430"/>
      <c r="P76" s="430"/>
      <c r="Q76" s="430"/>
      <c r="R76" s="430"/>
      <c r="S76" s="430"/>
      <c r="T76" s="430"/>
      <c r="U76" s="430"/>
      <c r="V76" s="430"/>
      <c r="W76" s="430"/>
      <c r="X76" s="430"/>
      <c r="Y76" s="430"/>
      <c r="Z76" s="430"/>
      <c r="AA76" s="430"/>
      <c r="AB76" s="430"/>
      <c r="AC76" s="430"/>
      <c r="AD76" s="430"/>
      <c r="AE76" s="430"/>
      <c r="AF76" s="430"/>
      <c r="AG76" s="430"/>
      <c r="AH76" s="430"/>
      <c r="AI76" s="430"/>
      <c r="AJ76" s="430"/>
      <c r="AK76" s="430"/>
      <c r="AL76" s="430"/>
      <c r="AM76" s="430"/>
      <c r="AN76" s="430"/>
      <c r="AO76" s="430"/>
      <c r="AP76" s="430"/>
      <c r="AQ76" s="430"/>
      <c r="AR76" s="430"/>
      <c r="AS76" s="430"/>
      <c r="AT76" s="430"/>
      <c r="AU76" s="430"/>
      <c r="AV76" s="430"/>
      <c r="AW76" s="430"/>
      <c r="AX76" s="430"/>
      <c r="AY76" s="430"/>
      <c r="AZ76" s="430"/>
      <c r="BA76" s="430"/>
      <c r="BB76" s="430"/>
      <c r="BC76" s="430"/>
      <c r="BD76" s="430"/>
      <c r="BE76" s="430"/>
    </row>
    <row r="77" spans="1:57">
      <c r="A77" s="430"/>
      <c r="B77" s="430"/>
      <c r="C77" s="430"/>
      <c r="D77" s="430"/>
      <c r="E77" s="430"/>
      <c r="F77" s="430"/>
      <c r="G77" s="430"/>
      <c r="H77" s="430"/>
      <c r="I77" s="430"/>
      <c r="J77" s="430"/>
      <c r="K77" s="430"/>
      <c r="L77" s="430"/>
      <c r="M77" s="430"/>
      <c r="N77" s="430"/>
      <c r="O77" s="430"/>
      <c r="P77" s="430"/>
      <c r="Q77" s="430"/>
      <c r="R77" s="430"/>
      <c r="S77" s="430"/>
      <c r="T77" s="430"/>
      <c r="U77" s="430"/>
      <c r="V77" s="430"/>
      <c r="W77" s="430"/>
      <c r="X77" s="430"/>
      <c r="Y77" s="430"/>
      <c r="Z77" s="430"/>
      <c r="AA77" s="430"/>
      <c r="AB77" s="430"/>
      <c r="AC77" s="430"/>
      <c r="AD77" s="430"/>
      <c r="AE77" s="430"/>
      <c r="AF77" s="430"/>
      <c r="AG77" s="430"/>
      <c r="AH77" s="430"/>
      <c r="AI77" s="430"/>
      <c r="AJ77" s="430"/>
      <c r="AK77" s="430"/>
      <c r="AL77" s="430"/>
      <c r="AM77" s="430"/>
      <c r="AN77" s="430"/>
      <c r="AO77" s="430"/>
      <c r="AP77" s="430"/>
      <c r="AQ77" s="430"/>
      <c r="AR77" s="430"/>
      <c r="AS77" s="430"/>
      <c r="AT77" s="430"/>
      <c r="AU77" s="430"/>
      <c r="AV77" s="430"/>
      <c r="AW77" s="430"/>
      <c r="AX77" s="430"/>
      <c r="AY77" s="430"/>
      <c r="AZ77" s="430"/>
      <c r="BA77" s="430"/>
      <c r="BB77" s="430"/>
      <c r="BC77" s="430"/>
      <c r="BD77" s="430"/>
      <c r="BE77" s="430"/>
    </row>
    <row r="78" spans="1:57">
      <c r="A78" s="430"/>
      <c r="B78" s="430"/>
      <c r="C78" s="430"/>
      <c r="D78" s="430"/>
      <c r="E78" s="430"/>
      <c r="F78" s="430"/>
      <c r="G78" s="430"/>
      <c r="H78" s="430"/>
      <c r="I78" s="430"/>
      <c r="J78" s="430"/>
      <c r="K78" s="430"/>
      <c r="L78" s="430"/>
      <c r="M78" s="430"/>
      <c r="N78" s="430"/>
      <c r="O78" s="430"/>
      <c r="P78" s="430"/>
      <c r="Q78" s="430"/>
      <c r="R78" s="430"/>
      <c r="S78" s="430"/>
      <c r="T78" s="430"/>
      <c r="U78" s="430"/>
      <c r="V78" s="430"/>
      <c r="W78" s="430"/>
      <c r="X78" s="430"/>
      <c r="Y78" s="430"/>
      <c r="Z78" s="430"/>
      <c r="AA78" s="430"/>
      <c r="AB78" s="430"/>
      <c r="AC78" s="430"/>
      <c r="AD78" s="430"/>
      <c r="AE78" s="430"/>
      <c r="AF78" s="430"/>
      <c r="AG78" s="430"/>
      <c r="AH78" s="430"/>
      <c r="AI78" s="430"/>
      <c r="AJ78" s="430"/>
      <c r="AK78" s="430"/>
      <c r="AL78" s="430"/>
      <c r="AM78" s="430"/>
      <c r="AN78" s="430"/>
      <c r="AO78" s="430"/>
      <c r="AP78" s="430"/>
      <c r="AQ78" s="430"/>
      <c r="AR78" s="430"/>
      <c r="AS78" s="430"/>
      <c r="AT78" s="430"/>
      <c r="AU78" s="430"/>
      <c r="AV78" s="430"/>
      <c r="AW78" s="430"/>
      <c r="AX78" s="430"/>
      <c r="AY78" s="430"/>
      <c r="AZ78" s="430"/>
      <c r="BA78" s="430"/>
      <c r="BB78" s="430"/>
      <c r="BC78" s="430"/>
      <c r="BD78" s="430"/>
      <c r="BE78" s="430"/>
    </row>
    <row r="79" spans="1:57">
      <c r="A79" s="430"/>
      <c r="B79" s="430"/>
      <c r="C79" s="430"/>
      <c r="D79" s="430"/>
      <c r="E79" s="430"/>
      <c r="F79" s="430"/>
      <c r="G79" s="430"/>
      <c r="H79" s="430"/>
      <c r="I79" s="430"/>
      <c r="J79" s="430"/>
      <c r="K79" s="430"/>
      <c r="L79" s="430"/>
      <c r="M79" s="430"/>
      <c r="N79" s="430"/>
      <c r="O79" s="430"/>
      <c r="P79" s="430"/>
      <c r="Q79" s="430"/>
      <c r="R79" s="430"/>
      <c r="S79" s="430"/>
      <c r="T79" s="430"/>
      <c r="U79" s="430"/>
      <c r="V79" s="430"/>
      <c r="W79" s="430"/>
      <c r="X79" s="430"/>
      <c r="Y79" s="430"/>
      <c r="Z79" s="430"/>
      <c r="AA79" s="430"/>
      <c r="AB79" s="430"/>
      <c r="AC79" s="430"/>
      <c r="AD79" s="430"/>
      <c r="AE79" s="430"/>
      <c r="AF79" s="430"/>
      <c r="AG79" s="430"/>
      <c r="AH79" s="430"/>
      <c r="AI79" s="430"/>
      <c r="AJ79" s="430"/>
      <c r="AK79" s="430"/>
      <c r="AL79" s="430"/>
      <c r="AM79" s="430"/>
      <c r="AN79" s="430"/>
      <c r="AO79" s="430"/>
      <c r="AP79" s="430"/>
      <c r="AQ79" s="430"/>
      <c r="AR79" s="430"/>
      <c r="AS79" s="430"/>
      <c r="AT79" s="430"/>
      <c r="AU79" s="430"/>
      <c r="AV79" s="430"/>
      <c r="AW79" s="430"/>
      <c r="AX79" s="430"/>
      <c r="AY79" s="430"/>
      <c r="AZ79" s="430"/>
      <c r="BA79" s="430"/>
      <c r="BB79" s="430"/>
      <c r="BC79" s="430"/>
      <c r="BD79" s="430"/>
      <c r="BE79" s="430"/>
    </row>
    <row r="80" spans="1:57">
      <c r="A80" s="430"/>
      <c r="B80" s="430"/>
      <c r="C80" s="430"/>
      <c r="D80" s="430"/>
      <c r="E80" s="430"/>
      <c r="F80" s="430"/>
      <c r="G80" s="430"/>
      <c r="H80" s="430"/>
      <c r="I80" s="430"/>
      <c r="J80" s="430"/>
      <c r="K80" s="430"/>
      <c r="L80" s="430"/>
      <c r="M80" s="430"/>
      <c r="N80" s="430"/>
      <c r="O80" s="430"/>
      <c r="P80" s="430"/>
      <c r="Q80" s="430"/>
      <c r="R80" s="430"/>
      <c r="S80" s="430"/>
      <c r="T80" s="430"/>
      <c r="U80" s="430"/>
      <c r="V80" s="430"/>
      <c r="W80" s="430"/>
      <c r="X80" s="430"/>
      <c r="Y80" s="430"/>
      <c r="Z80" s="430"/>
      <c r="AA80" s="430"/>
      <c r="AB80" s="430"/>
      <c r="AC80" s="430"/>
      <c r="AD80" s="430"/>
      <c r="AE80" s="430"/>
      <c r="AF80" s="430"/>
      <c r="AG80" s="430"/>
      <c r="AH80" s="430"/>
      <c r="AI80" s="430"/>
      <c r="AJ80" s="430"/>
      <c r="AK80" s="430"/>
      <c r="AL80" s="430"/>
      <c r="AM80" s="430"/>
      <c r="AN80" s="430"/>
      <c r="AO80" s="430"/>
      <c r="AP80" s="430"/>
      <c r="AQ80" s="430"/>
      <c r="AR80" s="430"/>
      <c r="AS80" s="430"/>
      <c r="AT80" s="430"/>
      <c r="AU80" s="430"/>
      <c r="AV80" s="430"/>
      <c r="AW80" s="430"/>
      <c r="AX80" s="430"/>
      <c r="AY80" s="430"/>
      <c r="AZ80" s="430"/>
      <c r="BA80" s="430"/>
      <c r="BB80" s="430"/>
      <c r="BC80" s="430"/>
      <c r="BD80" s="430"/>
      <c r="BE80" s="430"/>
    </row>
    <row r="81" spans="1:57">
      <c r="A81" s="430"/>
      <c r="B81" s="430"/>
      <c r="C81" s="430"/>
      <c r="D81" s="430"/>
      <c r="E81" s="430"/>
      <c r="F81" s="430"/>
      <c r="G81" s="430"/>
      <c r="H81" s="430"/>
      <c r="I81" s="430"/>
      <c r="J81" s="430"/>
      <c r="K81" s="430"/>
      <c r="L81" s="430"/>
      <c r="M81" s="430"/>
      <c r="N81" s="430"/>
      <c r="O81" s="430"/>
      <c r="P81" s="430"/>
      <c r="Q81" s="430"/>
      <c r="R81" s="430"/>
      <c r="S81" s="430"/>
      <c r="T81" s="430"/>
      <c r="U81" s="430"/>
      <c r="V81" s="430"/>
      <c r="W81" s="430"/>
      <c r="X81" s="430"/>
      <c r="Y81" s="430"/>
      <c r="Z81" s="430"/>
      <c r="AA81" s="430"/>
      <c r="AB81" s="430"/>
      <c r="AC81" s="430"/>
      <c r="AD81" s="430"/>
      <c r="AE81" s="430"/>
      <c r="AF81" s="430"/>
      <c r="AG81" s="430"/>
      <c r="AH81" s="430"/>
      <c r="AI81" s="430"/>
      <c r="AJ81" s="430"/>
      <c r="AK81" s="430"/>
      <c r="AL81" s="430"/>
      <c r="AM81" s="430"/>
      <c r="AN81" s="430"/>
      <c r="AO81" s="430"/>
      <c r="AP81" s="430"/>
      <c r="AQ81" s="430"/>
      <c r="AR81" s="430"/>
      <c r="AS81" s="430"/>
      <c r="AT81" s="430"/>
      <c r="AU81" s="430"/>
      <c r="AV81" s="430"/>
      <c r="AW81" s="430"/>
      <c r="AX81" s="430"/>
      <c r="AY81" s="430"/>
      <c r="AZ81" s="430"/>
      <c r="BA81" s="430"/>
      <c r="BB81" s="430"/>
      <c r="BC81" s="430"/>
      <c r="BD81" s="430"/>
      <c r="BE81" s="430"/>
    </row>
    <row r="82" spans="1:57">
      <c r="A82" s="430"/>
      <c r="B82" s="430"/>
      <c r="C82" s="430"/>
      <c r="D82" s="430"/>
      <c r="E82" s="430"/>
      <c r="F82" s="430"/>
      <c r="G82" s="430"/>
      <c r="H82" s="430"/>
      <c r="I82" s="430"/>
      <c r="J82" s="430"/>
      <c r="K82" s="430"/>
      <c r="L82" s="430"/>
      <c r="M82" s="430"/>
      <c r="N82" s="430"/>
      <c r="O82" s="430"/>
      <c r="P82" s="430"/>
      <c r="Q82" s="430"/>
      <c r="R82" s="430"/>
      <c r="S82" s="430"/>
      <c r="T82" s="430"/>
      <c r="U82" s="430"/>
      <c r="V82" s="430"/>
      <c r="W82" s="430"/>
      <c r="X82" s="430"/>
      <c r="Y82" s="430"/>
      <c r="Z82" s="430"/>
      <c r="AA82" s="430"/>
      <c r="AB82" s="430"/>
      <c r="AC82" s="430"/>
      <c r="AD82" s="430"/>
      <c r="AE82" s="430"/>
      <c r="AF82" s="430"/>
      <c r="AG82" s="430"/>
      <c r="AH82" s="430"/>
      <c r="AI82" s="430"/>
      <c r="AJ82" s="430"/>
      <c r="AK82" s="430"/>
      <c r="AL82" s="430"/>
      <c r="AM82" s="430"/>
      <c r="AN82" s="430"/>
      <c r="AO82" s="430"/>
      <c r="AP82" s="430"/>
      <c r="AQ82" s="430"/>
      <c r="AR82" s="430"/>
      <c r="AS82" s="430"/>
      <c r="AT82" s="430"/>
      <c r="AU82" s="430"/>
      <c r="AV82" s="430"/>
      <c r="AW82" s="430"/>
      <c r="AX82" s="430"/>
      <c r="AY82" s="430"/>
      <c r="AZ82" s="430"/>
      <c r="BA82" s="430"/>
      <c r="BB82" s="430"/>
      <c r="BC82" s="430"/>
      <c r="BD82" s="430"/>
      <c r="BE82" s="430"/>
    </row>
    <row r="83" spans="1:57">
      <c r="A83" s="430"/>
      <c r="B83" s="430"/>
      <c r="C83" s="430"/>
      <c r="D83" s="430"/>
      <c r="E83" s="430"/>
      <c r="F83" s="430"/>
      <c r="G83" s="430"/>
      <c r="H83" s="430"/>
      <c r="I83" s="430"/>
      <c r="J83" s="430"/>
      <c r="K83" s="430"/>
      <c r="L83" s="430"/>
      <c r="M83" s="430"/>
      <c r="N83" s="430"/>
      <c r="O83" s="430"/>
      <c r="P83" s="430"/>
      <c r="Q83" s="430"/>
      <c r="R83" s="430"/>
      <c r="S83" s="430"/>
      <c r="T83" s="430"/>
      <c r="U83" s="430"/>
      <c r="V83" s="430"/>
      <c r="W83" s="430"/>
      <c r="X83" s="430"/>
      <c r="Y83" s="430"/>
      <c r="Z83" s="430"/>
      <c r="AA83" s="430"/>
      <c r="AB83" s="430"/>
      <c r="AC83" s="430"/>
      <c r="AD83" s="430"/>
      <c r="AE83" s="430"/>
      <c r="AF83" s="430"/>
      <c r="AG83" s="430"/>
      <c r="AH83" s="430"/>
      <c r="AI83" s="430"/>
      <c r="AJ83" s="430"/>
      <c r="AK83" s="430"/>
      <c r="AL83" s="430"/>
      <c r="AM83" s="430"/>
      <c r="AN83" s="430"/>
      <c r="AO83" s="430"/>
      <c r="AP83" s="430"/>
      <c r="AQ83" s="430"/>
      <c r="AR83" s="430"/>
      <c r="AS83" s="430"/>
      <c r="AT83" s="430"/>
      <c r="AU83" s="430"/>
      <c r="AV83" s="430"/>
      <c r="AW83" s="430"/>
      <c r="AX83" s="430"/>
      <c r="AY83" s="430"/>
      <c r="AZ83" s="430"/>
      <c r="BA83" s="430"/>
      <c r="BB83" s="430"/>
      <c r="BC83" s="430"/>
      <c r="BD83" s="430"/>
      <c r="BE83" s="430"/>
    </row>
    <row r="84" spans="1:57">
      <c r="A84" s="430"/>
      <c r="B84" s="430"/>
      <c r="C84" s="430"/>
      <c r="D84" s="430"/>
      <c r="E84" s="430"/>
      <c r="F84" s="430"/>
      <c r="G84" s="430"/>
      <c r="H84" s="430"/>
      <c r="I84" s="430"/>
      <c r="J84" s="430"/>
      <c r="K84" s="430"/>
      <c r="L84" s="430"/>
      <c r="M84" s="430"/>
      <c r="N84" s="430"/>
      <c r="O84" s="430"/>
      <c r="P84" s="430"/>
      <c r="Q84" s="430"/>
      <c r="R84" s="430"/>
      <c r="S84" s="430"/>
      <c r="T84" s="430"/>
      <c r="U84" s="430"/>
      <c r="V84" s="430"/>
      <c r="W84" s="430"/>
      <c r="X84" s="430"/>
      <c r="Y84" s="430"/>
      <c r="Z84" s="430"/>
      <c r="AA84" s="430"/>
      <c r="AB84" s="430"/>
      <c r="AC84" s="430"/>
      <c r="AD84" s="430"/>
      <c r="AE84" s="430"/>
      <c r="AF84" s="430"/>
      <c r="AG84" s="430"/>
      <c r="AH84" s="430"/>
      <c r="AI84" s="430"/>
      <c r="AJ84" s="430"/>
      <c r="AK84" s="430"/>
      <c r="AL84" s="430"/>
      <c r="AM84" s="430"/>
      <c r="AN84" s="430"/>
      <c r="AO84" s="430"/>
      <c r="AP84" s="430"/>
      <c r="AQ84" s="430"/>
      <c r="AR84" s="430"/>
      <c r="AS84" s="430"/>
      <c r="AT84" s="430"/>
      <c r="AU84" s="430"/>
      <c r="AV84" s="430"/>
      <c r="AW84" s="430"/>
      <c r="AX84" s="430"/>
      <c r="AY84" s="430"/>
      <c r="AZ84" s="430"/>
      <c r="BA84" s="430"/>
      <c r="BB84" s="430"/>
      <c r="BC84" s="430"/>
      <c r="BD84" s="430"/>
      <c r="BE84" s="430"/>
    </row>
    <row r="85" spans="1:57">
      <c r="A85" s="430"/>
      <c r="B85" s="430"/>
      <c r="C85" s="430"/>
      <c r="D85" s="430"/>
      <c r="E85" s="430"/>
      <c r="F85" s="430"/>
      <c r="G85" s="430"/>
      <c r="H85" s="430"/>
      <c r="I85" s="430"/>
      <c r="J85" s="430"/>
      <c r="K85" s="430"/>
      <c r="L85" s="430"/>
      <c r="M85" s="430"/>
      <c r="N85" s="430"/>
      <c r="O85" s="430"/>
      <c r="P85" s="430"/>
      <c r="Q85" s="430"/>
      <c r="R85" s="430"/>
      <c r="S85" s="430"/>
      <c r="T85" s="430"/>
      <c r="U85" s="430"/>
      <c r="V85" s="430"/>
      <c r="W85" s="430"/>
      <c r="X85" s="430"/>
      <c r="Y85" s="430"/>
      <c r="Z85" s="430"/>
      <c r="AA85" s="430"/>
      <c r="AB85" s="430"/>
      <c r="AC85" s="430"/>
      <c r="AD85" s="430"/>
      <c r="AE85" s="430"/>
      <c r="AF85" s="430"/>
      <c r="AG85" s="430"/>
      <c r="AH85" s="430"/>
      <c r="AI85" s="430"/>
      <c r="AJ85" s="430"/>
      <c r="AK85" s="430"/>
      <c r="AL85" s="430"/>
      <c r="AM85" s="430"/>
      <c r="AN85" s="430"/>
      <c r="AO85" s="430"/>
      <c r="AP85" s="430"/>
      <c r="AQ85" s="430"/>
      <c r="AR85" s="430"/>
      <c r="AS85" s="430"/>
      <c r="AT85" s="430"/>
      <c r="AU85" s="430"/>
      <c r="AV85" s="430"/>
      <c r="AW85" s="430"/>
      <c r="AX85" s="430"/>
      <c r="AY85" s="430"/>
      <c r="AZ85" s="430"/>
      <c r="BA85" s="430"/>
      <c r="BB85" s="430"/>
      <c r="BC85" s="430"/>
      <c r="BD85" s="430"/>
      <c r="BE85" s="430"/>
    </row>
    <row r="86" spans="1:57">
      <c r="A86" s="430"/>
      <c r="B86" s="430"/>
      <c r="C86" s="430"/>
      <c r="D86" s="430"/>
      <c r="E86" s="430"/>
      <c r="F86" s="430"/>
      <c r="G86" s="430"/>
      <c r="H86" s="430"/>
      <c r="I86" s="430"/>
      <c r="J86" s="430"/>
      <c r="K86" s="430"/>
      <c r="L86" s="430"/>
      <c r="M86" s="430"/>
      <c r="N86" s="430"/>
      <c r="O86" s="430"/>
      <c r="P86" s="430"/>
      <c r="Q86" s="430"/>
      <c r="R86" s="430"/>
      <c r="S86" s="430"/>
      <c r="T86" s="430"/>
      <c r="U86" s="430"/>
      <c r="V86" s="430"/>
      <c r="W86" s="430"/>
      <c r="X86" s="430"/>
      <c r="Y86" s="430"/>
      <c r="Z86" s="430"/>
      <c r="AA86" s="430"/>
      <c r="AB86" s="430"/>
      <c r="AC86" s="430"/>
      <c r="AD86" s="430"/>
      <c r="AE86" s="430"/>
      <c r="AF86" s="430"/>
      <c r="AG86" s="430"/>
      <c r="AH86" s="430"/>
      <c r="AI86" s="430"/>
      <c r="AJ86" s="430"/>
      <c r="AK86" s="430"/>
      <c r="AL86" s="430"/>
      <c r="AM86" s="430"/>
      <c r="AN86" s="430"/>
      <c r="AO86" s="430"/>
      <c r="AP86" s="430"/>
      <c r="AQ86" s="430"/>
      <c r="AR86" s="430"/>
      <c r="AS86" s="430"/>
      <c r="AT86" s="430"/>
      <c r="AU86" s="430"/>
      <c r="AV86" s="430"/>
      <c r="AW86" s="430"/>
      <c r="AX86" s="430"/>
      <c r="AY86" s="430"/>
      <c r="AZ86" s="430"/>
      <c r="BA86" s="430"/>
      <c r="BB86" s="430"/>
      <c r="BC86" s="430"/>
      <c r="BD86" s="430"/>
      <c r="BE86" s="430"/>
    </row>
    <row r="87" spans="1:57">
      <c r="A87" s="430"/>
      <c r="B87" s="430"/>
      <c r="C87" s="430"/>
      <c r="D87" s="430"/>
      <c r="E87" s="430"/>
      <c r="F87" s="430"/>
      <c r="G87" s="430"/>
      <c r="H87" s="430"/>
      <c r="I87" s="430"/>
      <c r="J87" s="430"/>
      <c r="K87" s="430"/>
      <c r="L87" s="430"/>
      <c r="M87" s="430"/>
      <c r="N87" s="430"/>
      <c r="O87" s="430"/>
      <c r="P87" s="430"/>
      <c r="Q87" s="430"/>
      <c r="R87" s="430"/>
      <c r="S87" s="430"/>
      <c r="T87" s="430"/>
      <c r="U87" s="430"/>
      <c r="V87" s="430"/>
      <c r="W87" s="430"/>
      <c r="X87" s="430"/>
      <c r="Y87" s="430"/>
      <c r="Z87" s="430"/>
      <c r="AA87" s="430"/>
      <c r="AB87" s="430"/>
      <c r="AC87" s="430"/>
      <c r="AD87" s="430"/>
      <c r="AE87" s="430"/>
      <c r="AF87" s="430"/>
      <c r="AG87" s="430"/>
      <c r="AH87" s="430"/>
      <c r="AI87" s="430"/>
      <c r="AJ87" s="430"/>
      <c r="AK87" s="430"/>
      <c r="AL87" s="430"/>
      <c r="AM87" s="430"/>
      <c r="AN87" s="430"/>
      <c r="AO87" s="430"/>
      <c r="AP87" s="430"/>
      <c r="AQ87" s="430"/>
      <c r="AR87" s="430"/>
      <c r="AS87" s="430"/>
      <c r="AT87" s="430"/>
      <c r="AU87" s="430"/>
      <c r="AV87" s="430"/>
      <c r="AW87" s="430"/>
      <c r="AX87" s="430"/>
      <c r="AY87" s="430"/>
      <c r="AZ87" s="430"/>
      <c r="BA87" s="430"/>
      <c r="BB87" s="430"/>
      <c r="BC87" s="430"/>
      <c r="BD87" s="430"/>
      <c r="BE87" s="430"/>
    </row>
    <row r="88" spans="1:57">
      <c r="A88" s="430"/>
      <c r="B88" s="430"/>
      <c r="C88" s="430"/>
      <c r="D88" s="430"/>
      <c r="E88" s="430"/>
      <c r="F88" s="430"/>
      <c r="G88" s="430"/>
      <c r="H88" s="430"/>
      <c r="I88" s="430"/>
      <c r="J88" s="430"/>
      <c r="K88" s="430"/>
      <c r="L88" s="430"/>
      <c r="M88" s="430"/>
      <c r="N88" s="430"/>
      <c r="O88" s="430"/>
      <c r="P88" s="430"/>
      <c r="Q88" s="430"/>
      <c r="R88" s="430"/>
      <c r="S88" s="430"/>
      <c r="T88" s="430"/>
      <c r="U88" s="430"/>
      <c r="V88" s="430"/>
      <c r="W88" s="430"/>
      <c r="X88" s="430"/>
      <c r="Y88" s="430"/>
      <c r="Z88" s="430"/>
      <c r="AA88" s="430"/>
      <c r="AB88" s="430"/>
      <c r="AC88" s="430"/>
      <c r="AD88" s="430"/>
      <c r="AE88" s="430"/>
      <c r="AF88" s="430"/>
      <c r="AG88" s="430"/>
      <c r="AH88" s="430"/>
      <c r="AI88" s="430"/>
      <c r="AJ88" s="430"/>
      <c r="AK88" s="430"/>
      <c r="AL88" s="430"/>
      <c r="AM88" s="430"/>
      <c r="AN88" s="430"/>
      <c r="AO88" s="430"/>
      <c r="AP88" s="430"/>
      <c r="AQ88" s="430"/>
      <c r="AR88" s="430"/>
      <c r="AS88" s="430"/>
      <c r="AT88" s="430"/>
      <c r="AU88" s="430"/>
      <c r="AV88" s="430"/>
      <c r="AW88" s="430"/>
      <c r="AX88" s="430"/>
      <c r="AY88" s="430"/>
      <c r="AZ88" s="430"/>
      <c r="BA88" s="430"/>
      <c r="BB88" s="430"/>
      <c r="BC88" s="430"/>
      <c r="BD88" s="430"/>
      <c r="BE88" s="430"/>
    </row>
    <row r="89" spans="1:57">
      <c r="A89" s="430"/>
      <c r="B89" s="430"/>
      <c r="C89" s="430"/>
      <c r="D89" s="430"/>
      <c r="E89" s="430"/>
      <c r="F89" s="430"/>
      <c r="G89" s="430"/>
      <c r="H89" s="430"/>
      <c r="I89" s="430"/>
      <c r="J89" s="430"/>
      <c r="K89" s="430"/>
      <c r="L89" s="430"/>
      <c r="M89" s="430"/>
      <c r="N89" s="430"/>
      <c r="O89" s="430"/>
      <c r="P89" s="430"/>
      <c r="Q89" s="430"/>
      <c r="R89" s="430"/>
      <c r="S89" s="430"/>
      <c r="T89" s="430"/>
      <c r="U89" s="430"/>
      <c r="V89" s="430"/>
      <c r="W89" s="430"/>
      <c r="X89" s="430"/>
      <c r="Y89" s="430"/>
      <c r="Z89" s="430"/>
      <c r="AA89" s="430"/>
      <c r="AB89" s="430"/>
      <c r="AC89" s="430"/>
      <c r="AD89" s="430"/>
      <c r="AE89" s="430"/>
      <c r="AF89" s="430"/>
      <c r="AG89" s="430"/>
      <c r="AH89" s="430"/>
      <c r="AI89" s="430"/>
      <c r="AJ89" s="430"/>
      <c r="AK89" s="430"/>
      <c r="AL89" s="430"/>
      <c r="AM89" s="430"/>
      <c r="AN89" s="430"/>
      <c r="AO89" s="430"/>
      <c r="AP89" s="430"/>
      <c r="AQ89" s="430"/>
      <c r="AR89" s="430"/>
      <c r="AS89" s="430"/>
      <c r="AT89" s="430"/>
      <c r="AU89" s="430"/>
      <c r="AV89" s="430"/>
      <c r="AW89" s="430"/>
      <c r="AX89" s="430"/>
      <c r="AY89" s="430"/>
      <c r="AZ89" s="430"/>
      <c r="BA89" s="430"/>
      <c r="BB89" s="430"/>
      <c r="BC89" s="430"/>
      <c r="BD89" s="430"/>
      <c r="BE89" s="430"/>
    </row>
    <row r="90" spans="1:57">
      <c r="A90" s="430"/>
      <c r="B90" s="430"/>
      <c r="C90" s="430"/>
      <c r="D90" s="430"/>
      <c r="E90" s="430"/>
      <c r="F90" s="430"/>
      <c r="G90" s="430"/>
      <c r="H90" s="430"/>
      <c r="I90" s="430"/>
      <c r="J90" s="430"/>
      <c r="K90" s="430"/>
      <c r="L90" s="430"/>
      <c r="M90" s="430"/>
      <c r="N90" s="430"/>
      <c r="O90" s="430"/>
      <c r="P90" s="430"/>
      <c r="Q90" s="430"/>
      <c r="R90" s="430"/>
      <c r="S90" s="430"/>
      <c r="T90" s="430"/>
      <c r="U90" s="430"/>
      <c r="V90" s="430"/>
      <c r="W90" s="430"/>
      <c r="X90" s="430"/>
      <c r="Y90" s="430"/>
      <c r="Z90" s="430"/>
      <c r="AA90" s="430"/>
      <c r="AB90" s="430"/>
      <c r="AC90" s="430"/>
      <c r="AD90" s="430"/>
      <c r="AE90" s="430"/>
      <c r="AF90" s="430"/>
      <c r="AG90" s="430"/>
      <c r="AH90" s="430"/>
      <c r="AI90" s="430"/>
      <c r="AJ90" s="430"/>
      <c r="AK90" s="430"/>
      <c r="AL90" s="430"/>
      <c r="AM90" s="430"/>
      <c r="AN90" s="430"/>
      <c r="AO90" s="430"/>
      <c r="AP90" s="430"/>
      <c r="AQ90" s="430"/>
      <c r="AR90" s="430"/>
      <c r="AS90" s="430"/>
      <c r="AT90" s="430"/>
      <c r="AU90" s="430"/>
      <c r="AV90" s="430"/>
      <c r="AW90" s="430"/>
      <c r="AX90" s="430"/>
      <c r="AY90" s="430"/>
      <c r="AZ90" s="430"/>
      <c r="BA90" s="430"/>
      <c r="BB90" s="430"/>
      <c r="BC90" s="430"/>
      <c r="BD90" s="430"/>
      <c r="BE90" s="430"/>
    </row>
    <row r="91" spans="1:57">
      <c r="A91" s="430"/>
      <c r="B91" s="430"/>
      <c r="C91" s="430"/>
      <c r="D91" s="430"/>
      <c r="E91" s="430"/>
      <c r="F91" s="430"/>
      <c r="G91" s="430"/>
      <c r="H91" s="430"/>
      <c r="I91" s="430"/>
      <c r="J91" s="430"/>
      <c r="K91" s="430"/>
      <c r="L91" s="430"/>
      <c r="M91" s="430"/>
      <c r="N91" s="430"/>
      <c r="O91" s="430"/>
      <c r="P91" s="430"/>
      <c r="Q91" s="430"/>
      <c r="R91" s="430"/>
      <c r="S91" s="430"/>
      <c r="T91" s="430"/>
      <c r="U91" s="430"/>
      <c r="V91" s="430"/>
      <c r="W91" s="430"/>
      <c r="X91" s="430"/>
      <c r="Y91" s="430"/>
      <c r="Z91" s="430"/>
      <c r="AA91" s="430"/>
      <c r="AB91" s="430"/>
      <c r="AC91" s="430"/>
      <c r="AD91" s="430"/>
      <c r="AE91" s="430"/>
      <c r="AF91" s="430"/>
      <c r="AG91" s="430"/>
      <c r="AH91" s="430"/>
      <c r="AI91" s="430"/>
      <c r="AJ91" s="430"/>
      <c r="AK91" s="430"/>
      <c r="AL91" s="430"/>
      <c r="AM91" s="430"/>
      <c r="AN91" s="430"/>
      <c r="AO91" s="430"/>
      <c r="AP91" s="430"/>
      <c r="AQ91" s="430"/>
      <c r="AR91" s="430"/>
      <c r="AS91" s="430"/>
      <c r="AT91" s="430"/>
      <c r="AU91" s="430"/>
      <c r="AV91" s="430"/>
      <c r="AW91" s="430"/>
      <c r="AX91" s="430"/>
      <c r="AY91" s="430"/>
      <c r="AZ91" s="430"/>
      <c r="BA91" s="430"/>
      <c r="BB91" s="430"/>
      <c r="BC91" s="430"/>
      <c r="BD91" s="430"/>
      <c r="BE91" s="430"/>
    </row>
    <row r="92" spans="1:57">
      <c r="A92" s="430"/>
      <c r="B92" s="430"/>
      <c r="C92" s="430"/>
      <c r="D92" s="430"/>
      <c r="E92" s="430"/>
      <c r="F92" s="430"/>
      <c r="G92" s="430"/>
      <c r="H92" s="430"/>
      <c r="I92" s="430"/>
      <c r="J92" s="430"/>
      <c r="K92" s="430"/>
      <c r="L92" s="430"/>
      <c r="M92" s="430"/>
      <c r="N92" s="430"/>
      <c r="O92" s="430"/>
      <c r="P92" s="430"/>
      <c r="Q92" s="430"/>
      <c r="R92" s="430"/>
      <c r="S92" s="430"/>
      <c r="T92" s="430"/>
      <c r="U92" s="430"/>
      <c r="V92" s="430"/>
      <c r="W92" s="430"/>
      <c r="X92" s="430"/>
      <c r="Y92" s="430"/>
      <c r="Z92" s="430"/>
      <c r="AA92" s="430"/>
      <c r="AB92" s="430"/>
      <c r="AC92" s="430"/>
      <c r="AD92" s="430"/>
      <c r="AE92" s="430"/>
      <c r="AF92" s="430"/>
      <c r="AG92" s="430"/>
      <c r="AH92" s="430"/>
      <c r="AI92" s="430"/>
      <c r="AJ92" s="430"/>
      <c r="AK92" s="430"/>
      <c r="AL92" s="430"/>
      <c r="AM92" s="430"/>
      <c r="AN92" s="430"/>
      <c r="AO92" s="430"/>
      <c r="AP92" s="430"/>
      <c r="AQ92" s="430"/>
      <c r="AR92" s="430"/>
      <c r="AS92" s="430"/>
      <c r="AT92" s="430"/>
      <c r="AU92" s="430"/>
      <c r="AV92" s="430"/>
      <c r="AW92" s="430"/>
      <c r="AX92" s="430"/>
      <c r="AY92" s="430"/>
      <c r="AZ92" s="430"/>
      <c r="BA92" s="430"/>
      <c r="BB92" s="430"/>
      <c r="BC92" s="430"/>
      <c r="BD92" s="430"/>
      <c r="BE92" s="430"/>
    </row>
    <row r="93" spans="1:57">
      <c r="A93" s="430"/>
      <c r="B93" s="430"/>
      <c r="C93" s="430"/>
      <c r="D93" s="430"/>
      <c r="E93" s="430"/>
      <c r="F93" s="430"/>
      <c r="G93" s="430"/>
      <c r="H93" s="430"/>
      <c r="I93" s="430"/>
      <c r="J93" s="430"/>
      <c r="K93" s="430"/>
      <c r="L93" s="430"/>
      <c r="M93" s="430"/>
      <c r="N93" s="430"/>
      <c r="O93" s="430"/>
      <c r="P93" s="430"/>
      <c r="Q93" s="430"/>
      <c r="R93" s="430"/>
      <c r="S93" s="430"/>
      <c r="T93" s="430"/>
      <c r="U93" s="430"/>
      <c r="V93" s="430"/>
      <c r="W93" s="430"/>
      <c r="X93" s="430"/>
      <c r="Y93" s="430"/>
      <c r="Z93" s="430"/>
      <c r="AA93" s="430"/>
      <c r="AB93" s="430"/>
      <c r="AC93" s="430"/>
      <c r="AD93" s="430"/>
      <c r="AE93" s="430"/>
      <c r="AF93" s="430"/>
      <c r="AG93" s="430"/>
      <c r="AH93" s="430"/>
      <c r="AI93" s="430"/>
      <c r="AJ93" s="430"/>
      <c r="AK93" s="430"/>
      <c r="AL93" s="430"/>
      <c r="AM93" s="430"/>
      <c r="AN93" s="430"/>
      <c r="AO93" s="430"/>
      <c r="AP93" s="430"/>
      <c r="AQ93" s="430"/>
      <c r="AR93" s="430"/>
      <c r="AS93" s="430"/>
      <c r="AT93" s="430"/>
      <c r="AU93" s="430"/>
      <c r="AV93" s="430"/>
      <c r="AW93" s="430"/>
      <c r="AX93" s="430"/>
      <c r="AY93" s="430"/>
      <c r="AZ93" s="430"/>
      <c r="BA93" s="430"/>
      <c r="BB93" s="430"/>
      <c r="BC93" s="430"/>
      <c r="BD93" s="430"/>
      <c r="BE93" s="430"/>
    </row>
    <row r="94" spans="1:57">
      <c r="A94" s="430"/>
      <c r="B94" s="430"/>
      <c r="C94" s="430"/>
      <c r="D94" s="430"/>
      <c r="E94" s="430"/>
      <c r="F94" s="430"/>
      <c r="G94" s="430"/>
      <c r="H94" s="430"/>
      <c r="I94" s="430"/>
      <c r="J94" s="430"/>
      <c r="K94" s="430"/>
      <c r="L94" s="430"/>
      <c r="M94" s="430"/>
      <c r="N94" s="430"/>
      <c r="O94" s="430"/>
      <c r="P94" s="430"/>
      <c r="Q94" s="430"/>
      <c r="R94" s="430"/>
      <c r="S94" s="430"/>
      <c r="T94" s="430"/>
      <c r="U94" s="430"/>
      <c r="V94" s="430"/>
      <c r="W94" s="430"/>
      <c r="X94" s="430"/>
      <c r="Y94" s="430"/>
      <c r="Z94" s="430"/>
      <c r="AA94" s="430"/>
      <c r="AB94" s="430"/>
      <c r="AC94" s="430"/>
      <c r="AD94" s="430"/>
      <c r="AE94" s="430"/>
      <c r="AF94" s="430"/>
      <c r="AG94" s="430"/>
      <c r="AH94" s="430"/>
      <c r="AI94" s="430"/>
      <c r="AJ94" s="430"/>
      <c r="AK94" s="430"/>
      <c r="AL94" s="430"/>
      <c r="AM94" s="430"/>
      <c r="AN94" s="430"/>
      <c r="AO94" s="430"/>
      <c r="AP94" s="430"/>
      <c r="AQ94" s="430"/>
      <c r="AR94" s="430"/>
      <c r="AS94" s="430"/>
      <c r="AT94" s="430"/>
      <c r="AU94" s="430"/>
      <c r="AV94" s="430"/>
      <c r="AW94" s="430"/>
      <c r="AX94" s="430"/>
      <c r="AY94" s="430"/>
      <c r="AZ94" s="430"/>
      <c r="BA94" s="430"/>
      <c r="BB94" s="430"/>
      <c r="BC94" s="430"/>
      <c r="BD94" s="430"/>
      <c r="BE94" s="430"/>
    </row>
    <row r="95" spans="1:57">
      <c r="A95" s="430"/>
      <c r="B95" s="430"/>
      <c r="C95" s="430"/>
      <c r="D95" s="430"/>
      <c r="E95" s="430"/>
      <c r="F95" s="430"/>
      <c r="G95" s="430"/>
      <c r="H95" s="430"/>
      <c r="I95" s="430"/>
      <c r="J95" s="430"/>
      <c r="K95" s="430"/>
      <c r="L95" s="430"/>
      <c r="M95" s="430"/>
      <c r="N95" s="430"/>
      <c r="O95" s="430"/>
      <c r="P95" s="430"/>
      <c r="Q95" s="430"/>
      <c r="R95" s="430"/>
      <c r="S95" s="430"/>
      <c r="T95" s="430"/>
      <c r="U95" s="430"/>
      <c r="V95" s="430"/>
      <c r="W95" s="430"/>
      <c r="X95" s="430"/>
      <c r="Y95" s="430"/>
      <c r="Z95" s="430"/>
      <c r="AA95" s="430"/>
      <c r="AB95" s="430"/>
      <c r="AC95" s="430"/>
      <c r="AD95" s="430"/>
      <c r="AE95" s="430"/>
      <c r="AF95" s="430"/>
      <c r="AG95" s="430"/>
      <c r="AH95" s="430"/>
      <c r="AI95" s="430"/>
      <c r="AJ95" s="430"/>
      <c r="AK95" s="430"/>
      <c r="AL95" s="430"/>
      <c r="AM95" s="430"/>
      <c r="AN95" s="430"/>
      <c r="AO95" s="430"/>
      <c r="AP95" s="430"/>
      <c r="AQ95" s="430"/>
      <c r="AR95" s="430"/>
      <c r="AS95" s="430"/>
      <c r="AT95" s="430"/>
      <c r="AU95" s="430"/>
      <c r="AV95" s="430"/>
      <c r="AW95" s="430"/>
      <c r="AX95" s="430"/>
      <c r="AY95" s="430"/>
      <c r="AZ95" s="430"/>
      <c r="BA95" s="430"/>
      <c r="BB95" s="430"/>
      <c r="BC95" s="430"/>
      <c r="BD95" s="430"/>
      <c r="BE95" s="430"/>
    </row>
    <row r="96" spans="1:57">
      <c r="A96" s="430"/>
      <c r="B96" s="430"/>
      <c r="C96" s="430"/>
      <c r="D96" s="430"/>
      <c r="E96" s="430"/>
      <c r="F96" s="430"/>
      <c r="G96" s="430"/>
      <c r="H96" s="430"/>
      <c r="I96" s="430"/>
      <c r="J96" s="430"/>
      <c r="K96" s="430"/>
      <c r="L96" s="430"/>
      <c r="M96" s="430"/>
      <c r="N96" s="430"/>
      <c r="O96" s="430"/>
      <c r="P96" s="430"/>
      <c r="Q96" s="430"/>
      <c r="R96" s="430"/>
      <c r="S96" s="430"/>
      <c r="T96" s="430"/>
      <c r="U96" s="430"/>
      <c r="V96" s="430"/>
      <c r="W96" s="430"/>
      <c r="X96" s="430"/>
      <c r="Y96" s="430"/>
      <c r="Z96" s="430"/>
      <c r="AA96" s="430"/>
      <c r="AB96" s="430"/>
      <c r="AC96" s="430"/>
      <c r="AD96" s="430"/>
      <c r="AE96" s="430"/>
      <c r="AF96" s="430"/>
      <c r="AG96" s="430"/>
      <c r="AH96" s="430"/>
      <c r="AI96" s="430"/>
      <c r="AJ96" s="430"/>
      <c r="AK96" s="430"/>
      <c r="AL96" s="430"/>
      <c r="AM96" s="430"/>
      <c r="AN96" s="430"/>
      <c r="AO96" s="430"/>
      <c r="AP96" s="430"/>
      <c r="AQ96" s="430"/>
      <c r="AR96" s="430"/>
      <c r="AS96" s="430"/>
      <c r="AT96" s="430"/>
      <c r="AU96" s="430"/>
      <c r="AV96" s="430"/>
      <c r="AW96" s="430"/>
      <c r="AX96" s="430"/>
      <c r="AY96" s="430"/>
      <c r="AZ96" s="430"/>
      <c r="BA96" s="430"/>
      <c r="BB96" s="430"/>
      <c r="BC96" s="430"/>
      <c r="BD96" s="430"/>
      <c r="BE96" s="430"/>
    </row>
    <row r="97" spans="1:57">
      <c r="A97" s="430"/>
      <c r="B97" s="430"/>
      <c r="C97" s="430"/>
      <c r="D97" s="430"/>
      <c r="E97" s="430"/>
      <c r="F97" s="430"/>
      <c r="G97" s="430"/>
      <c r="H97" s="430"/>
      <c r="I97" s="430"/>
      <c r="J97" s="430"/>
      <c r="K97" s="430"/>
      <c r="L97" s="430"/>
      <c r="M97" s="430"/>
      <c r="N97" s="430"/>
      <c r="O97" s="430"/>
      <c r="P97" s="430"/>
      <c r="Q97" s="430"/>
      <c r="R97" s="430"/>
      <c r="S97" s="430"/>
      <c r="T97" s="430"/>
      <c r="U97" s="430"/>
      <c r="V97" s="430"/>
      <c r="W97" s="430"/>
      <c r="X97" s="430"/>
      <c r="Y97" s="430"/>
      <c r="Z97" s="430"/>
      <c r="AA97" s="430"/>
      <c r="AB97" s="430"/>
      <c r="AC97" s="430"/>
      <c r="AD97" s="430"/>
      <c r="AE97" s="430"/>
      <c r="AF97" s="430"/>
      <c r="AG97" s="430"/>
      <c r="AH97" s="430"/>
      <c r="AI97" s="430"/>
      <c r="AJ97" s="430"/>
      <c r="AK97" s="430"/>
      <c r="AL97" s="430"/>
      <c r="AM97" s="430"/>
      <c r="AN97" s="430"/>
      <c r="AO97" s="430"/>
      <c r="AP97" s="430"/>
      <c r="AQ97" s="430"/>
      <c r="AR97" s="430"/>
      <c r="AS97" s="430"/>
      <c r="AT97" s="430"/>
      <c r="AU97" s="430"/>
      <c r="AV97" s="430"/>
      <c r="AW97" s="430"/>
      <c r="AX97" s="430"/>
      <c r="AY97" s="430"/>
      <c r="AZ97" s="430"/>
      <c r="BA97" s="430"/>
      <c r="BB97" s="430"/>
      <c r="BC97" s="430"/>
      <c r="BD97" s="430"/>
      <c r="BE97" s="430"/>
    </row>
    <row r="98" spans="1:57">
      <c r="A98" s="430"/>
      <c r="B98" s="430"/>
      <c r="C98" s="430"/>
      <c r="D98" s="430"/>
      <c r="E98" s="430"/>
      <c r="F98" s="430"/>
      <c r="G98" s="430"/>
      <c r="H98" s="430"/>
      <c r="I98" s="430"/>
      <c r="J98" s="430"/>
      <c r="K98" s="430"/>
      <c r="L98" s="430"/>
      <c r="M98" s="430"/>
      <c r="N98" s="430"/>
      <c r="O98" s="430"/>
      <c r="P98" s="430"/>
      <c r="Q98" s="430"/>
      <c r="R98" s="430"/>
      <c r="S98" s="430"/>
      <c r="T98" s="430"/>
      <c r="U98" s="430"/>
      <c r="V98" s="430"/>
      <c r="W98" s="430"/>
      <c r="X98" s="430"/>
      <c r="Y98" s="430"/>
      <c r="Z98" s="430"/>
      <c r="AA98" s="430"/>
      <c r="AB98" s="430"/>
      <c r="AC98" s="430"/>
      <c r="AD98" s="430"/>
      <c r="AE98" s="430"/>
      <c r="AF98" s="430"/>
      <c r="AG98" s="430"/>
      <c r="AH98" s="430"/>
      <c r="AI98" s="430"/>
      <c r="AJ98" s="430"/>
      <c r="AK98" s="430"/>
      <c r="AL98" s="430"/>
      <c r="AM98" s="430"/>
      <c r="AN98" s="430"/>
      <c r="AO98" s="430"/>
      <c r="AP98" s="430"/>
      <c r="AQ98" s="430"/>
      <c r="AR98" s="430"/>
      <c r="AS98" s="430"/>
      <c r="AT98" s="430"/>
      <c r="AU98" s="430"/>
      <c r="AV98" s="430"/>
      <c r="AW98" s="430"/>
      <c r="AX98" s="430"/>
      <c r="AY98" s="430"/>
      <c r="AZ98" s="430"/>
      <c r="BA98" s="430"/>
      <c r="BB98" s="430"/>
      <c r="BC98" s="430"/>
      <c r="BD98" s="430"/>
      <c r="BE98" s="430"/>
    </row>
    <row r="99" spans="1:57">
      <c r="A99" s="430"/>
      <c r="B99" s="430"/>
      <c r="C99" s="430"/>
      <c r="D99" s="430"/>
      <c r="E99" s="430"/>
      <c r="F99" s="430"/>
      <c r="G99" s="430"/>
      <c r="H99" s="430"/>
      <c r="I99" s="430"/>
      <c r="J99" s="430"/>
      <c r="K99" s="430"/>
      <c r="L99" s="430"/>
      <c r="M99" s="430"/>
      <c r="N99" s="430"/>
      <c r="O99" s="430"/>
      <c r="P99" s="430"/>
      <c r="Q99" s="430"/>
      <c r="R99" s="430"/>
      <c r="S99" s="430"/>
      <c r="T99" s="430"/>
      <c r="U99" s="430"/>
      <c r="V99" s="430"/>
      <c r="W99" s="430"/>
      <c r="X99" s="430"/>
      <c r="Y99" s="430"/>
      <c r="Z99" s="430"/>
      <c r="AA99" s="430"/>
      <c r="AB99" s="430"/>
      <c r="AC99" s="430"/>
      <c r="AD99" s="430"/>
      <c r="AE99" s="430"/>
      <c r="AF99" s="430"/>
      <c r="AG99" s="430"/>
      <c r="AH99" s="430"/>
      <c r="AI99" s="430"/>
      <c r="AJ99" s="430"/>
      <c r="AK99" s="430"/>
      <c r="AL99" s="430"/>
      <c r="AM99" s="430"/>
      <c r="AN99" s="430"/>
      <c r="AO99" s="430"/>
      <c r="AP99" s="430"/>
      <c r="AQ99" s="430"/>
      <c r="AR99" s="430"/>
      <c r="AS99" s="430"/>
      <c r="AT99" s="430"/>
      <c r="AU99" s="430"/>
      <c r="AV99" s="430"/>
      <c r="AW99" s="430"/>
      <c r="AX99" s="430"/>
      <c r="AY99" s="430"/>
      <c r="AZ99" s="430"/>
      <c r="BA99" s="430"/>
      <c r="BB99" s="430"/>
      <c r="BC99" s="430"/>
      <c r="BD99" s="430"/>
      <c r="BE99" s="430"/>
    </row>
    <row r="100" spans="1:57">
      <c r="A100" s="430"/>
      <c r="B100" s="430"/>
      <c r="C100" s="430"/>
      <c r="D100" s="430"/>
      <c r="E100" s="430"/>
      <c r="F100" s="430"/>
      <c r="G100" s="430"/>
      <c r="H100" s="430"/>
      <c r="I100" s="430"/>
      <c r="J100" s="430"/>
      <c r="K100" s="430"/>
      <c r="L100" s="430"/>
      <c r="M100" s="430"/>
      <c r="N100" s="430"/>
      <c r="O100" s="430"/>
      <c r="P100" s="430"/>
      <c r="Q100" s="430"/>
      <c r="R100" s="430"/>
      <c r="S100" s="430"/>
      <c r="T100" s="430"/>
      <c r="U100" s="430"/>
      <c r="V100" s="430"/>
      <c r="W100" s="430"/>
      <c r="X100" s="430"/>
      <c r="Y100" s="430"/>
      <c r="Z100" s="430"/>
      <c r="AA100" s="430"/>
      <c r="AB100" s="430"/>
      <c r="AC100" s="430"/>
      <c r="AD100" s="430"/>
      <c r="AE100" s="430"/>
      <c r="AF100" s="430"/>
      <c r="AG100" s="430"/>
      <c r="AH100" s="430"/>
      <c r="AI100" s="430"/>
      <c r="AJ100" s="430"/>
      <c r="AK100" s="430"/>
      <c r="AL100" s="430"/>
      <c r="AM100" s="430"/>
      <c r="AN100" s="430"/>
      <c r="AO100" s="430"/>
      <c r="AP100" s="430"/>
      <c r="AQ100" s="430"/>
      <c r="AR100" s="430"/>
      <c r="AS100" s="430"/>
      <c r="AT100" s="430"/>
      <c r="AU100" s="430"/>
      <c r="AV100" s="430"/>
      <c r="AW100" s="430"/>
      <c r="AX100" s="430"/>
      <c r="AY100" s="430"/>
      <c r="AZ100" s="430"/>
      <c r="BA100" s="430"/>
      <c r="BB100" s="430"/>
      <c r="BC100" s="430"/>
      <c r="BD100" s="430"/>
      <c r="BE100" s="430"/>
    </row>
    <row r="101" spans="1:57">
      <c r="A101" s="430"/>
      <c r="B101" s="430"/>
      <c r="C101" s="430"/>
      <c r="D101" s="430"/>
      <c r="E101" s="430"/>
      <c r="F101" s="430"/>
      <c r="G101" s="430"/>
      <c r="H101" s="430"/>
      <c r="I101" s="430"/>
      <c r="J101" s="430"/>
      <c r="K101" s="430"/>
      <c r="L101" s="430"/>
      <c r="M101" s="430"/>
      <c r="N101" s="430"/>
      <c r="O101" s="430"/>
      <c r="P101" s="430"/>
      <c r="Q101" s="430"/>
      <c r="R101" s="430"/>
      <c r="S101" s="430"/>
      <c r="T101" s="430"/>
      <c r="U101" s="430"/>
      <c r="V101" s="430"/>
      <c r="W101" s="430"/>
      <c r="X101" s="430"/>
      <c r="Y101" s="430"/>
      <c r="Z101" s="430"/>
      <c r="AA101" s="430"/>
      <c r="AB101" s="430"/>
      <c r="AC101" s="430"/>
      <c r="AD101" s="430"/>
      <c r="AE101" s="430"/>
      <c r="AF101" s="430"/>
      <c r="AG101" s="430"/>
      <c r="AH101" s="430"/>
      <c r="AI101" s="430"/>
      <c r="AJ101" s="430"/>
      <c r="AK101" s="430"/>
      <c r="AL101" s="430"/>
      <c r="AM101" s="430"/>
      <c r="AN101" s="430"/>
      <c r="AO101" s="430"/>
      <c r="AP101" s="430"/>
      <c r="AQ101" s="430"/>
      <c r="AR101" s="430"/>
      <c r="AS101" s="430"/>
      <c r="AT101" s="430"/>
      <c r="AU101" s="430"/>
      <c r="AV101" s="430"/>
      <c r="AW101" s="430"/>
      <c r="AX101" s="430"/>
      <c r="AY101" s="430"/>
      <c r="AZ101" s="430"/>
      <c r="BA101" s="430"/>
      <c r="BB101" s="430"/>
      <c r="BC101" s="430"/>
      <c r="BD101" s="430"/>
      <c r="BE101" s="430"/>
    </row>
    <row r="102" spans="1:57">
      <c r="A102" s="430"/>
      <c r="B102" s="430"/>
      <c r="C102" s="430"/>
      <c r="D102" s="430"/>
      <c r="E102" s="430"/>
      <c r="F102" s="430"/>
      <c r="G102" s="430"/>
      <c r="H102" s="430"/>
      <c r="I102" s="430"/>
      <c r="J102" s="430"/>
      <c r="K102" s="430"/>
      <c r="L102" s="430"/>
      <c r="M102" s="430"/>
      <c r="N102" s="430"/>
      <c r="O102" s="430"/>
      <c r="P102" s="430"/>
      <c r="Q102" s="430"/>
      <c r="R102" s="430"/>
      <c r="S102" s="430"/>
      <c r="T102" s="430"/>
      <c r="U102" s="430"/>
      <c r="V102" s="430"/>
      <c r="W102" s="430"/>
      <c r="X102" s="430"/>
      <c r="Y102" s="430"/>
      <c r="Z102" s="430"/>
      <c r="AA102" s="430"/>
      <c r="AB102" s="430"/>
      <c r="AC102" s="430"/>
      <c r="AD102" s="430"/>
      <c r="AE102" s="430"/>
      <c r="AF102" s="430"/>
      <c r="AG102" s="430"/>
      <c r="AH102" s="430"/>
      <c r="AI102" s="430"/>
      <c r="AJ102" s="430"/>
      <c r="AK102" s="430"/>
      <c r="AL102" s="430"/>
      <c r="AM102" s="430"/>
      <c r="AN102" s="430"/>
      <c r="AO102" s="430"/>
      <c r="AP102" s="430"/>
      <c r="AQ102" s="430"/>
      <c r="AR102" s="430"/>
      <c r="AS102" s="430"/>
      <c r="AT102" s="430"/>
      <c r="AU102" s="430"/>
      <c r="AV102" s="430"/>
      <c r="AW102" s="430"/>
      <c r="AX102" s="430"/>
      <c r="AY102" s="430"/>
      <c r="AZ102" s="430"/>
      <c r="BA102" s="430"/>
      <c r="BB102" s="430"/>
      <c r="BC102" s="430"/>
      <c r="BD102" s="430"/>
      <c r="BE102" s="430"/>
    </row>
    <row r="103" spans="1:57">
      <c r="A103" s="430"/>
      <c r="B103" s="430"/>
      <c r="C103" s="430"/>
      <c r="D103" s="430"/>
      <c r="E103" s="430"/>
      <c r="F103" s="430"/>
      <c r="G103" s="430"/>
      <c r="H103" s="430"/>
      <c r="I103" s="430"/>
      <c r="J103" s="430"/>
      <c r="K103" s="430"/>
      <c r="L103" s="430"/>
      <c r="M103" s="430"/>
      <c r="N103" s="430"/>
      <c r="O103" s="430"/>
      <c r="P103" s="430"/>
      <c r="Q103" s="430"/>
      <c r="R103" s="430"/>
      <c r="S103" s="430"/>
      <c r="T103" s="430"/>
      <c r="U103" s="430"/>
      <c r="V103" s="430"/>
      <c r="W103" s="430"/>
      <c r="X103" s="430"/>
      <c r="Y103" s="430"/>
      <c r="Z103" s="430"/>
      <c r="AA103" s="430"/>
      <c r="AB103" s="430"/>
      <c r="AC103" s="430"/>
      <c r="AD103" s="430"/>
      <c r="AE103" s="430"/>
      <c r="AF103" s="430"/>
      <c r="AG103" s="430"/>
      <c r="AH103" s="430"/>
      <c r="AI103" s="430"/>
      <c r="AJ103" s="430"/>
      <c r="AK103" s="430"/>
      <c r="AL103" s="430"/>
      <c r="AM103" s="430"/>
      <c r="AN103" s="430"/>
      <c r="AO103" s="430"/>
      <c r="AP103" s="430"/>
      <c r="AQ103" s="430"/>
      <c r="AR103" s="430"/>
      <c r="AS103" s="430"/>
      <c r="AT103" s="430"/>
      <c r="AU103" s="430"/>
      <c r="AV103" s="430"/>
      <c r="AW103" s="430"/>
      <c r="AX103" s="430"/>
      <c r="AY103" s="430"/>
      <c r="AZ103" s="430"/>
      <c r="BA103" s="430"/>
      <c r="BB103" s="430"/>
      <c r="BC103" s="430"/>
      <c r="BD103" s="430"/>
      <c r="BE103" s="430"/>
    </row>
    <row r="104" spans="1:57">
      <c r="A104" s="430"/>
      <c r="B104" s="430"/>
      <c r="C104" s="430"/>
      <c r="D104" s="430"/>
      <c r="E104" s="430"/>
      <c r="F104" s="430"/>
      <c r="G104" s="430"/>
      <c r="H104" s="430"/>
      <c r="I104" s="430"/>
      <c r="J104" s="430"/>
      <c r="K104" s="430"/>
      <c r="L104" s="430"/>
      <c r="M104" s="430"/>
      <c r="N104" s="430"/>
      <c r="O104" s="430"/>
      <c r="P104" s="430"/>
      <c r="Q104" s="430"/>
      <c r="R104" s="430"/>
      <c r="S104" s="430"/>
      <c r="T104" s="430"/>
      <c r="U104" s="430"/>
      <c r="V104" s="430"/>
      <c r="W104" s="430"/>
      <c r="X104" s="430"/>
      <c r="Y104" s="430"/>
      <c r="Z104" s="430"/>
      <c r="AA104" s="430"/>
      <c r="AB104" s="430"/>
      <c r="AC104" s="430"/>
      <c r="AD104" s="430"/>
      <c r="AE104" s="430"/>
      <c r="AF104" s="430"/>
      <c r="AG104" s="430"/>
      <c r="AH104" s="430"/>
      <c r="AI104" s="430"/>
      <c r="AJ104" s="430"/>
      <c r="AK104" s="430"/>
      <c r="AL104" s="430"/>
      <c r="AM104" s="430"/>
      <c r="AN104" s="430"/>
      <c r="AO104" s="430"/>
      <c r="AP104" s="430"/>
      <c r="AQ104" s="430"/>
      <c r="AR104" s="430"/>
      <c r="AS104" s="430"/>
      <c r="AT104" s="430"/>
      <c r="AU104" s="430"/>
      <c r="AV104" s="430"/>
      <c r="AW104" s="430"/>
      <c r="AX104" s="430"/>
      <c r="AY104" s="430"/>
      <c r="AZ104" s="430"/>
      <c r="BA104" s="430"/>
      <c r="BB104" s="430"/>
      <c r="BC104" s="430"/>
      <c r="BD104" s="430"/>
      <c r="BE104" s="430"/>
    </row>
    <row r="105" spans="1:57">
      <c r="A105" s="430"/>
      <c r="B105" s="430"/>
      <c r="C105" s="430"/>
      <c r="D105" s="430"/>
      <c r="E105" s="430"/>
      <c r="F105" s="430"/>
      <c r="G105" s="430"/>
      <c r="H105" s="430"/>
      <c r="I105" s="430"/>
      <c r="J105" s="430"/>
      <c r="K105" s="430"/>
      <c r="L105" s="430"/>
      <c r="M105" s="430"/>
      <c r="N105" s="430"/>
      <c r="O105" s="430"/>
      <c r="P105" s="430"/>
      <c r="Q105" s="430"/>
      <c r="R105" s="430"/>
      <c r="S105" s="430"/>
      <c r="T105" s="430"/>
      <c r="U105" s="430"/>
      <c r="V105" s="430"/>
      <c r="W105" s="430"/>
      <c r="X105" s="430"/>
      <c r="Y105" s="430"/>
      <c r="Z105" s="430"/>
      <c r="AA105" s="430"/>
      <c r="AB105" s="430"/>
      <c r="AC105" s="430"/>
      <c r="AD105" s="430"/>
      <c r="AE105" s="430"/>
      <c r="AF105" s="430"/>
      <c r="AG105" s="430"/>
      <c r="AH105" s="430"/>
      <c r="AI105" s="430"/>
      <c r="AJ105" s="430"/>
      <c r="AK105" s="430"/>
      <c r="AL105" s="430"/>
      <c r="AM105" s="430"/>
      <c r="AN105" s="430"/>
      <c r="AO105" s="430"/>
      <c r="AP105" s="430"/>
      <c r="AQ105" s="430"/>
      <c r="AR105" s="430"/>
      <c r="AS105" s="430"/>
      <c r="AT105" s="430"/>
      <c r="AU105" s="430"/>
      <c r="AV105" s="430"/>
      <c r="AW105" s="430"/>
      <c r="AX105" s="430"/>
      <c r="AY105" s="430"/>
      <c r="AZ105" s="430"/>
      <c r="BA105" s="430"/>
      <c r="BB105" s="430"/>
      <c r="BC105" s="430"/>
      <c r="BD105" s="430"/>
      <c r="BE105" s="430"/>
    </row>
    <row r="106" spans="1:57">
      <c r="A106" s="430"/>
      <c r="B106" s="430"/>
      <c r="C106" s="430"/>
      <c r="D106" s="430"/>
      <c r="E106" s="430"/>
      <c r="F106" s="430"/>
      <c r="G106" s="430"/>
      <c r="H106" s="430"/>
      <c r="I106" s="430"/>
      <c r="J106" s="430"/>
      <c r="K106" s="430"/>
      <c r="L106" s="430"/>
      <c r="M106" s="430"/>
      <c r="N106" s="430"/>
      <c r="O106" s="430"/>
      <c r="P106" s="430"/>
      <c r="Q106" s="430"/>
      <c r="R106" s="430"/>
      <c r="S106" s="430"/>
      <c r="T106" s="430"/>
      <c r="U106" s="430"/>
      <c r="V106" s="430"/>
      <c r="W106" s="430"/>
      <c r="X106" s="430"/>
      <c r="Y106" s="430"/>
      <c r="Z106" s="430"/>
      <c r="AA106" s="430"/>
      <c r="AB106" s="430"/>
      <c r="AC106" s="430"/>
      <c r="AD106" s="430"/>
      <c r="AE106" s="430"/>
      <c r="AF106" s="430"/>
      <c r="AG106" s="430"/>
      <c r="AH106" s="430"/>
      <c r="AI106" s="430"/>
      <c r="AJ106" s="430"/>
      <c r="AK106" s="430"/>
      <c r="AL106" s="430"/>
      <c r="AM106" s="430"/>
      <c r="AN106" s="430"/>
      <c r="AO106" s="430"/>
      <c r="AP106" s="430"/>
      <c r="AQ106" s="430"/>
      <c r="AR106" s="430"/>
      <c r="AS106" s="430"/>
      <c r="AT106" s="430"/>
      <c r="AU106" s="430"/>
      <c r="AV106" s="430"/>
      <c r="AW106" s="430"/>
      <c r="AX106" s="430"/>
      <c r="AY106" s="430"/>
      <c r="AZ106" s="430"/>
      <c r="BA106" s="430"/>
      <c r="BB106" s="430"/>
      <c r="BC106" s="430"/>
      <c r="BD106" s="430"/>
      <c r="BE106" s="430"/>
    </row>
    <row r="107" spans="1:57">
      <c r="A107" s="430"/>
      <c r="B107" s="430"/>
      <c r="C107" s="430"/>
      <c r="D107" s="430"/>
      <c r="E107" s="430"/>
      <c r="F107" s="430"/>
      <c r="G107" s="430"/>
      <c r="H107" s="430"/>
      <c r="I107" s="430"/>
      <c r="J107" s="430"/>
      <c r="K107" s="430"/>
      <c r="L107" s="430"/>
      <c r="M107" s="430"/>
      <c r="N107" s="430"/>
      <c r="O107" s="430"/>
      <c r="P107" s="430"/>
      <c r="Q107" s="430"/>
      <c r="R107" s="430"/>
      <c r="S107" s="430"/>
      <c r="T107" s="430"/>
      <c r="U107" s="430"/>
      <c r="V107" s="430"/>
      <c r="W107" s="430"/>
      <c r="X107" s="430"/>
      <c r="Y107" s="430"/>
      <c r="Z107" s="430"/>
      <c r="AA107" s="430"/>
      <c r="AB107" s="430"/>
      <c r="AC107" s="430"/>
      <c r="AD107" s="430"/>
      <c r="AE107" s="430"/>
      <c r="AF107" s="430"/>
      <c r="AG107" s="430"/>
      <c r="AH107" s="430"/>
      <c r="AI107" s="430"/>
      <c r="AJ107" s="430"/>
      <c r="AK107" s="430"/>
      <c r="AL107" s="430"/>
      <c r="AM107" s="430"/>
      <c r="AN107" s="430"/>
      <c r="AO107" s="430"/>
      <c r="AP107" s="430"/>
      <c r="AQ107" s="430"/>
      <c r="AR107" s="430"/>
      <c r="AS107" s="430"/>
      <c r="AT107" s="430"/>
      <c r="AU107" s="430"/>
      <c r="AV107" s="430"/>
      <c r="AW107" s="430"/>
      <c r="AX107" s="430"/>
      <c r="AY107" s="430"/>
      <c r="AZ107" s="430"/>
      <c r="BA107" s="430"/>
      <c r="BB107" s="430"/>
      <c r="BC107" s="430"/>
      <c r="BD107" s="430"/>
      <c r="BE107" s="430"/>
    </row>
    <row r="108" spans="1:57">
      <c r="A108" s="430"/>
      <c r="B108" s="430"/>
      <c r="C108" s="430"/>
      <c r="D108" s="430"/>
      <c r="E108" s="430"/>
      <c r="F108" s="430"/>
      <c r="G108" s="430"/>
      <c r="H108" s="430"/>
      <c r="I108" s="430"/>
      <c r="J108" s="430"/>
      <c r="K108" s="430"/>
      <c r="L108" s="430"/>
      <c r="M108" s="430"/>
      <c r="N108" s="430"/>
      <c r="O108" s="430"/>
      <c r="P108" s="430"/>
      <c r="Q108" s="430"/>
      <c r="R108" s="430"/>
      <c r="S108" s="430"/>
      <c r="T108" s="430"/>
      <c r="U108" s="430"/>
      <c r="V108" s="430"/>
      <c r="W108" s="430"/>
      <c r="X108" s="430"/>
      <c r="Y108" s="430"/>
      <c r="Z108" s="430"/>
      <c r="AA108" s="430"/>
      <c r="AB108" s="430"/>
      <c r="AC108" s="430"/>
      <c r="AD108" s="430"/>
      <c r="AE108" s="430"/>
      <c r="AF108" s="430"/>
      <c r="AG108" s="430"/>
      <c r="AH108" s="430"/>
      <c r="AI108" s="430"/>
      <c r="AJ108" s="430"/>
      <c r="AK108" s="430"/>
      <c r="AL108" s="430"/>
      <c r="AM108" s="430"/>
      <c r="AN108" s="430"/>
      <c r="AO108" s="430"/>
      <c r="AP108" s="430"/>
      <c r="AQ108" s="430"/>
      <c r="AR108" s="430"/>
      <c r="AS108" s="430"/>
      <c r="AT108" s="430"/>
      <c r="AU108" s="430"/>
      <c r="AV108" s="430"/>
      <c r="AW108" s="430"/>
      <c r="AX108" s="430"/>
      <c r="AY108" s="430"/>
      <c r="AZ108" s="430"/>
      <c r="BA108" s="430"/>
      <c r="BB108" s="430"/>
      <c r="BC108" s="430"/>
      <c r="BD108" s="430"/>
      <c r="BE108" s="430"/>
    </row>
    <row r="109" spans="1:57">
      <c r="A109" s="430"/>
      <c r="B109" s="430"/>
      <c r="C109" s="430"/>
      <c r="D109" s="430"/>
      <c r="E109" s="430"/>
      <c r="F109" s="430"/>
      <c r="G109" s="430"/>
      <c r="H109" s="430"/>
      <c r="I109" s="430"/>
      <c r="J109" s="430"/>
      <c r="K109" s="430"/>
      <c r="L109" s="430"/>
      <c r="M109" s="430"/>
      <c r="N109" s="430"/>
      <c r="O109" s="430"/>
      <c r="P109" s="430"/>
      <c r="Q109" s="430"/>
      <c r="R109" s="430"/>
      <c r="S109" s="430"/>
      <c r="T109" s="430"/>
      <c r="U109" s="430"/>
      <c r="V109" s="430"/>
      <c r="W109" s="430"/>
      <c r="X109" s="430"/>
      <c r="Y109" s="430"/>
      <c r="Z109" s="430"/>
      <c r="AA109" s="430"/>
      <c r="AB109" s="430"/>
      <c r="AC109" s="430"/>
      <c r="AD109" s="430"/>
      <c r="AE109" s="430"/>
      <c r="AF109" s="430"/>
      <c r="AG109" s="430"/>
      <c r="AH109" s="430"/>
      <c r="AI109" s="430"/>
      <c r="AJ109" s="430"/>
      <c r="AK109" s="430"/>
      <c r="AL109" s="430"/>
      <c r="AM109" s="430"/>
      <c r="AN109" s="430"/>
      <c r="AO109" s="430"/>
      <c r="AP109" s="430"/>
      <c r="AQ109" s="430"/>
      <c r="AR109" s="430"/>
      <c r="AS109" s="430"/>
      <c r="AT109" s="430"/>
      <c r="AU109" s="430"/>
      <c r="AV109" s="430"/>
      <c r="AW109" s="430"/>
      <c r="AX109" s="430"/>
      <c r="AY109" s="430"/>
      <c r="AZ109" s="430"/>
      <c r="BA109" s="430"/>
      <c r="BB109" s="430"/>
      <c r="BC109" s="430"/>
      <c r="BD109" s="430"/>
      <c r="BE109" s="430"/>
    </row>
    <row r="110" spans="1:57">
      <c r="A110" s="430"/>
      <c r="B110" s="430"/>
      <c r="C110" s="430"/>
      <c r="D110" s="430"/>
      <c r="E110" s="430"/>
      <c r="F110" s="430"/>
      <c r="G110" s="430"/>
      <c r="H110" s="430"/>
      <c r="I110" s="430"/>
      <c r="J110" s="430"/>
      <c r="K110" s="430"/>
      <c r="L110" s="430"/>
      <c r="M110" s="430"/>
      <c r="N110" s="430"/>
      <c r="O110" s="430"/>
      <c r="P110" s="430"/>
      <c r="Q110" s="430"/>
      <c r="R110" s="430"/>
      <c r="S110" s="430"/>
      <c r="T110" s="430"/>
      <c r="U110" s="430"/>
      <c r="V110" s="430"/>
      <c r="W110" s="430"/>
      <c r="X110" s="430"/>
      <c r="Y110" s="430"/>
      <c r="Z110" s="430"/>
      <c r="AA110" s="430"/>
      <c r="AB110" s="430"/>
      <c r="AC110" s="430"/>
      <c r="AD110" s="430"/>
      <c r="AE110" s="430"/>
      <c r="AF110" s="430"/>
      <c r="AG110" s="430"/>
      <c r="AH110" s="430"/>
      <c r="AI110" s="430"/>
      <c r="AJ110" s="430"/>
      <c r="AK110" s="430"/>
      <c r="AL110" s="430"/>
      <c r="AM110" s="430"/>
      <c r="AN110" s="430"/>
      <c r="AO110" s="430"/>
      <c r="AP110" s="430"/>
      <c r="AQ110" s="430"/>
      <c r="AR110" s="430"/>
      <c r="AS110" s="430"/>
      <c r="AT110" s="430"/>
      <c r="AU110" s="430"/>
      <c r="AV110" s="430"/>
      <c r="AW110" s="430"/>
      <c r="AX110" s="430"/>
      <c r="AY110" s="430"/>
      <c r="AZ110" s="430"/>
      <c r="BA110" s="430"/>
      <c r="BB110" s="430"/>
      <c r="BC110" s="430"/>
      <c r="BD110" s="430"/>
      <c r="BE110" s="430"/>
    </row>
    <row r="111" spans="1:57">
      <c r="A111" s="430"/>
      <c r="B111" s="430"/>
      <c r="C111" s="430"/>
      <c r="D111" s="430"/>
      <c r="E111" s="430"/>
      <c r="F111" s="430"/>
      <c r="G111" s="430"/>
      <c r="H111" s="430"/>
      <c r="I111" s="430"/>
      <c r="J111" s="430"/>
      <c r="K111" s="430"/>
      <c r="L111" s="430"/>
      <c r="M111" s="430"/>
      <c r="N111" s="430"/>
      <c r="O111" s="430"/>
      <c r="P111" s="430"/>
      <c r="Q111" s="430"/>
      <c r="R111" s="430"/>
      <c r="S111" s="430"/>
      <c r="T111" s="430"/>
      <c r="U111" s="430"/>
      <c r="V111" s="430"/>
      <c r="W111" s="430"/>
      <c r="X111" s="430"/>
      <c r="Y111" s="430"/>
      <c r="Z111" s="430"/>
      <c r="AA111" s="430"/>
      <c r="AB111" s="430"/>
      <c r="AC111" s="430"/>
      <c r="AD111" s="430"/>
      <c r="AE111" s="430"/>
      <c r="AF111" s="430"/>
      <c r="AG111" s="430"/>
      <c r="AH111" s="430"/>
      <c r="AI111" s="430"/>
      <c r="AJ111" s="430"/>
      <c r="AK111" s="430"/>
      <c r="AL111" s="430"/>
      <c r="AM111" s="430"/>
      <c r="AN111" s="430"/>
      <c r="AO111" s="430"/>
      <c r="AP111" s="430"/>
      <c r="AQ111" s="430"/>
      <c r="AR111" s="430"/>
      <c r="AS111" s="430"/>
      <c r="AT111" s="430"/>
      <c r="AU111" s="430"/>
      <c r="AV111" s="430"/>
      <c r="AW111" s="430"/>
      <c r="AX111" s="430"/>
      <c r="AY111" s="430"/>
      <c r="AZ111" s="430"/>
      <c r="BA111" s="430"/>
      <c r="BB111" s="430"/>
      <c r="BC111" s="430"/>
      <c r="BD111" s="430"/>
      <c r="BE111" s="430"/>
    </row>
    <row r="112" spans="1:57">
      <c r="A112" s="430"/>
      <c r="B112" s="451"/>
      <c r="C112" s="430"/>
      <c r="D112" s="451"/>
      <c r="E112" s="430"/>
      <c r="F112" s="430"/>
      <c r="G112" s="430"/>
      <c r="H112" s="430"/>
      <c r="I112" s="430"/>
      <c r="J112" s="430"/>
      <c r="K112" s="430"/>
      <c r="L112" s="430"/>
      <c r="M112" s="430"/>
      <c r="N112" s="430"/>
      <c r="O112" s="430"/>
      <c r="P112" s="430"/>
      <c r="Q112" s="430"/>
      <c r="R112" s="430"/>
      <c r="S112" s="430"/>
      <c r="T112" s="430"/>
      <c r="U112" s="430"/>
      <c r="V112" s="430"/>
      <c r="W112" s="430"/>
      <c r="X112" s="430"/>
      <c r="Y112" s="430"/>
      <c r="Z112" s="430"/>
      <c r="AA112" s="430"/>
      <c r="AB112" s="430"/>
      <c r="AC112" s="430"/>
      <c r="AD112" s="430"/>
      <c r="AE112" s="430"/>
      <c r="AF112" s="430"/>
      <c r="AG112" s="430"/>
      <c r="AH112" s="430"/>
      <c r="AI112" s="430"/>
      <c r="AJ112" s="430"/>
      <c r="AK112" s="430"/>
      <c r="AL112" s="430"/>
      <c r="AM112" s="430"/>
      <c r="AN112" s="430"/>
      <c r="AO112" s="430"/>
      <c r="AP112" s="430"/>
      <c r="AQ112" s="430"/>
      <c r="AR112" s="430"/>
      <c r="AS112" s="430"/>
      <c r="AT112" s="430"/>
      <c r="AU112" s="430"/>
      <c r="AV112" s="430"/>
      <c r="AW112" s="430"/>
      <c r="AX112" s="430"/>
      <c r="AY112" s="430"/>
      <c r="AZ112" s="430"/>
      <c r="BA112" s="430"/>
      <c r="BB112" s="430"/>
      <c r="BC112" s="430"/>
      <c r="BD112" s="430"/>
      <c r="BE112" s="430"/>
    </row>
    <row r="113" spans="1:57">
      <c r="A113" s="430"/>
      <c r="B113" s="451"/>
      <c r="C113" s="430"/>
      <c r="D113" s="451"/>
      <c r="E113" s="430"/>
      <c r="F113" s="430"/>
      <c r="G113" s="430"/>
      <c r="H113" s="430"/>
      <c r="I113" s="430"/>
      <c r="J113" s="430"/>
      <c r="K113" s="430"/>
      <c r="L113" s="430"/>
      <c r="M113" s="430"/>
      <c r="N113" s="430"/>
      <c r="O113" s="430"/>
      <c r="P113" s="430"/>
      <c r="Q113" s="430"/>
      <c r="R113" s="430"/>
      <c r="S113" s="430"/>
      <c r="T113" s="430"/>
      <c r="U113" s="430"/>
      <c r="V113" s="430"/>
      <c r="W113" s="430"/>
      <c r="X113" s="430"/>
      <c r="Y113" s="430"/>
      <c r="Z113" s="430"/>
      <c r="AA113" s="430"/>
      <c r="AB113" s="430"/>
      <c r="AC113" s="430"/>
      <c r="AD113" s="430"/>
      <c r="AE113" s="430"/>
      <c r="AF113" s="430"/>
      <c r="AG113" s="430"/>
      <c r="AH113" s="430"/>
      <c r="AI113" s="430"/>
      <c r="AJ113" s="430"/>
      <c r="AK113" s="430"/>
      <c r="AL113" s="430"/>
      <c r="AM113" s="430"/>
      <c r="AN113" s="430"/>
      <c r="AO113" s="430"/>
      <c r="AP113" s="430"/>
      <c r="AQ113" s="430"/>
      <c r="AR113" s="430"/>
      <c r="AS113" s="430"/>
      <c r="AT113" s="430"/>
      <c r="AU113" s="430"/>
      <c r="AV113" s="430"/>
      <c r="AW113" s="430"/>
      <c r="AX113" s="430"/>
      <c r="AY113" s="430"/>
      <c r="AZ113" s="430"/>
      <c r="BA113" s="430"/>
      <c r="BB113" s="430"/>
      <c r="BC113" s="430"/>
      <c r="BD113" s="430"/>
      <c r="BE113" s="430"/>
    </row>
    <row r="114" spans="1:57">
      <c r="A114" s="430"/>
      <c r="B114" s="451"/>
      <c r="C114" s="430"/>
      <c r="D114" s="451"/>
      <c r="E114" s="430"/>
      <c r="F114" s="430"/>
      <c r="G114" s="430"/>
      <c r="H114" s="430"/>
      <c r="I114" s="430"/>
      <c r="J114" s="430"/>
      <c r="K114" s="430"/>
      <c r="L114" s="430"/>
      <c r="M114" s="430"/>
      <c r="N114" s="430"/>
      <c r="O114" s="430"/>
      <c r="P114" s="430"/>
      <c r="Q114" s="430"/>
      <c r="R114" s="430"/>
      <c r="S114" s="430"/>
      <c r="T114" s="430"/>
      <c r="U114" s="430"/>
      <c r="V114" s="430"/>
      <c r="W114" s="430"/>
      <c r="X114" s="430"/>
      <c r="Y114" s="430"/>
      <c r="Z114" s="430"/>
      <c r="AA114" s="430"/>
      <c r="AB114" s="430"/>
      <c r="AC114" s="430"/>
      <c r="AD114" s="430"/>
      <c r="AE114" s="430"/>
      <c r="AF114" s="430"/>
      <c r="AG114" s="430"/>
      <c r="AH114" s="430"/>
      <c r="AI114" s="430"/>
      <c r="AJ114" s="430"/>
      <c r="AK114" s="430"/>
      <c r="AL114" s="430"/>
      <c r="AM114" s="430"/>
      <c r="AN114" s="430"/>
      <c r="AO114" s="430"/>
      <c r="AP114" s="430"/>
      <c r="AQ114" s="430"/>
      <c r="AR114" s="430"/>
      <c r="AS114" s="430"/>
      <c r="AT114" s="430"/>
      <c r="AU114" s="430"/>
      <c r="AV114" s="430"/>
      <c r="AW114" s="430"/>
      <c r="AX114" s="430"/>
      <c r="AY114" s="430"/>
      <c r="AZ114" s="430"/>
      <c r="BA114" s="430"/>
      <c r="BB114" s="430"/>
      <c r="BC114" s="430"/>
      <c r="BD114" s="430"/>
      <c r="BE114" s="430"/>
    </row>
    <row r="115" spans="1:57">
      <c r="A115" s="430"/>
      <c r="B115" s="451"/>
      <c r="C115" s="430"/>
      <c r="D115" s="451"/>
      <c r="E115" s="430"/>
      <c r="F115" s="430"/>
      <c r="G115" s="430"/>
      <c r="H115" s="430"/>
      <c r="I115" s="430"/>
      <c r="J115" s="430"/>
      <c r="K115" s="430"/>
      <c r="L115" s="430"/>
      <c r="M115" s="430"/>
      <c r="N115" s="430"/>
      <c r="O115" s="430"/>
      <c r="P115" s="430"/>
      <c r="Q115" s="430"/>
      <c r="R115" s="430"/>
      <c r="S115" s="430"/>
      <c r="T115" s="430"/>
      <c r="U115" s="430"/>
      <c r="V115" s="430"/>
      <c r="W115" s="430"/>
      <c r="X115" s="430"/>
      <c r="Y115" s="430"/>
      <c r="Z115" s="430"/>
      <c r="AA115" s="430"/>
      <c r="AB115" s="430"/>
      <c r="AC115" s="430"/>
      <c r="AD115" s="430"/>
      <c r="AE115" s="430"/>
      <c r="AF115" s="430"/>
      <c r="AG115" s="430"/>
      <c r="AH115" s="430"/>
      <c r="AI115" s="430"/>
      <c r="AJ115" s="430"/>
      <c r="AK115" s="430"/>
      <c r="AL115" s="430"/>
      <c r="AM115" s="430"/>
      <c r="AN115" s="430"/>
      <c r="AO115" s="430"/>
      <c r="AP115" s="430"/>
      <c r="AQ115" s="430"/>
      <c r="AR115" s="430"/>
      <c r="AS115" s="430"/>
      <c r="AT115" s="430"/>
      <c r="AU115" s="430"/>
      <c r="AV115" s="430"/>
      <c r="AW115" s="430"/>
      <c r="AX115" s="430"/>
      <c r="AY115" s="430"/>
      <c r="AZ115" s="430"/>
      <c r="BA115" s="430"/>
      <c r="BB115" s="430"/>
      <c r="BC115" s="430"/>
      <c r="BD115" s="430"/>
      <c r="BE115" s="430"/>
    </row>
    <row r="116" spans="1:57">
      <c r="A116" s="430"/>
      <c r="B116" s="451"/>
      <c r="C116" s="430"/>
      <c r="D116" s="451"/>
      <c r="E116" s="430"/>
      <c r="F116" s="430"/>
      <c r="G116" s="430"/>
      <c r="H116" s="430"/>
      <c r="I116" s="430"/>
      <c r="J116" s="430"/>
      <c r="K116" s="430"/>
      <c r="L116" s="430"/>
      <c r="M116" s="430"/>
      <c r="N116" s="430"/>
      <c r="O116" s="430"/>
      <c r="P116" s="430"/>
      <c r="Q116" s="430"/>
      <c r="R116" s="430"/>
      <c r="S116" s="430"/>
      <c r="T116" s="430"/>
      <c r="U116" s="430"/>
      <c r="V116" s="430"/>
      <c r="W116" s="430"/>
      <c r="X116" s="430"/>
      <c r="Y116" s="430"/>
      <c r="Z116" s="430"/>
      <c r="AA116" s="430"/>
      <c r="AB116" s="430"/>
      <c r="AC116" s="430"/>
      <c r="AD116" s="430"/>
      <c r="AE116" s="430"/>
      <c r="AF116" s="430"/>
      <c r="AG116" s="430"/>
      <c r="AH116" s="430"/>
      <c r="AI116" s="430"/>
      <c r="AJ116" s="430"/>
      <c r="AK116" s="430"/>
      <c r="AL116" s="430"/>
      <c r="AM116" s="430"/>
      <c r="AN116" s="430"/>
      <c r="AO116" s="430"/>
      <c r="AP116" s="430"/>
      <c r="AQ116" s="430"/>
      <c r="AR116" s="430"/>
      <c r="AS116" s="430"/>
      <c r="AT116" s="430"/>
      <c r="AU116" s="430"/>
      <c r="AV116" s="430"/>
      <c r="AW116" s="430"/>
      <c r="AX116" s="430"/>
      <c r="AY116" s="430"/>
      <c r="AZ116" s="430"/>
      <c r="BA116" s="430"/>
      <c r="BB116" s="430"/>
      <c r="BC116" s="430"/>
      <c r="BD116" s="430"/>
      <c r="BE116" s="430"/>
    </row>
    <row r="117" spans="1:57">
      <c r="A117" s="430"/>
      <c r="B117" s="451"/>
      <c r="C117" s="430"/>
      <c r="D117" s="451"/>
      <c r="E117" s="430"/>
      <c r="F117" s="430"/>
      <c r="G117" s="430"/>
      <c r="H117" s="430"/>
      <c r="I117" s="430"/>
      <c r="J117" s="430"/>
      <c r="K117" s="430"/>
      <c r="L117" s="430"/>
      <c r="M117" s="430"/>
      <c r="N117" s="430"/>
      <c r="O117" s="430"/>
      <c r="P117" s="430"/>
      <c r="Q117" s="430"/>
      <c r="R117" s="430"/>
      <c r="S117" s="430"/>
      <c r="T117" s="430"/>
      <c r="U117" s="430"/>
      <c r="V117" s="430"/>
      <c r="W117" s="430"/>
      <c r="X117" s="430"/>
      <c r="Y117" s="430"/>
      <c r="Z117" s="430"/>
      <c r="AA117" s="430"/>
      <c r="AB117" s="430"/>
      <c r="AC117" s="430"/>
      <c r="AD117" s="430"/>
      <c r="AE117" s="430"/>
      <c r="AF117" s="430"/>
      <c r="AG117" s="430"/>
      <c r="AH117" s="430"/>
      <c r="AI117" s="430"/>
      <c r="AJ117" s="430"/>
      <c r="AK117" s="430"/>
      <c r="AL117" s="430"/>
      <c r="AM117" s="430"/>
      <c r="AN117" s="430"/>
      <c r="AO117" s="430"/>
      <c r="AP117" s="430"/>
      <c r="AQ117" s="430"/>
      <c r="AR117" s="430"/>
      <c r="AS117" s="430"/>
      <c r="AT117" s="430"/>
      <c r="AU117" s="430"/>
      <c r="AV117" s="430"/>
      <c r="AW117" s="430"/>
      <c r="AX117" s="430"/>
      <c r="AY117" s="430"/>
      <c r="AZ117" s="430"/>
      <c r="BA117" s="430"/>
      <c r="BB117" s="430"/>
      <c r="BC117" s="430"/>
      <c r="BD117" s="430"/>
      <c r="BE117" s="430"/>
    </row>
    <row r="118" spans="1:57">
      <c r="A118" s="430"/>
      <c r="B118" s="451"/>
      <c r="C118" s="430"/>
      <c r="D118" s="451"/>
      <c r="E118" s="430"/>
      <c r="F118" s="430"/>
      <c r="G118" s="430"/>
      <c r="H118" s="430"/>
      <c r="I118" s="430"/>
      <c r="J118" s="430"/>
      <c r="K118" s="430"/>
      <c r="L118" s="430"/>
      <c r="M118" s="430"/>
      <c r="N118" s="430"/>
      <c r="O118" s="430"/>
      <c r="P118" s="430"/>
      <c r="Q118" s="430"/>
      <c r="R118" s="430"/>
      <c r="S118" s="430"/>
      <c r="T118" s="430"/>
      <c r="U118" s="430"/>
      <c r="V118" s="430"/>
      <c r="W118" s="430"/>
      <c r="X118" s="430"/>
      <c r="Y118" s="430"/>
      <c r="Z118" s="430"/>
      <c r="AA118" s="430"/>
      <c r="AB118" s="430"/>
      <c r="AC118" s="430"/>
      <c r="AD118" s="430"/>
      <c r="AE118" s="430"/>
      <c r="AF118" s="430"/>
      <c r="AG118" s="430"/>
      <c r="AH118" s="430"/>
      <c r="AI118" s="430"/>
      <c r="AJ118" s="430"/>
      <c r="AK118" s="430"/>
      <c r="AL118" s="430"/>
      <c r="AM118" s="430"/>
      <c r="AN118" s="430"/>
      <c r="AO118" s="430"/>
      <c r="AP118" s="430"/>
      <c r="AQ118" s="430"/>
      <c r="AR118" s="430"/>
      <c r="AS118" s="430"/>
      <c r="AT118" s="430"/>
      <c r="AU118" s="430"/>
      <c r="AV118" s="430"/>
      <c r="AW118" s="430"/>
      <c r="AX118" s="430"/>
      <c r="AY118" s="430"/>
      <c r="AZ118" s="430"/>
      <c r="BA118" s="430"/>
      <c r="BB118" s="430"/>
      <c r="BC118" s="430"/>
      <c r="BD118" s="430"/>
      <c r="BE118" s="430"/>
    </row>
    <row r="119" spans="1:57">
      <c r="A119" s="430"/>
      <c r="B119" s="451"/>
      <c r="C119" s="430"/>
      <c r="D119" s="451"/>
      <c r="E119" s="430"/>
      <c r="F119" s="430"/>
      <c r="G119" s="430"/>
      <c r="H119" s="430"/>
      <c r="I119" s="430"/>
      <c r="J119" s="430"/>
      <c r="K119" s="430"/>
      <c r="L119" s="430"/>
      <c r="M119" s="430"/>
      <c r="N119" s="430"/>
      <c r="O119" s="430"/>
      <c r="P119" s="430"/>
      <c r="Q119" s="430"/>
      <c r="R119" s="430"/>
      <c r="S119" s="430"/>
      <c r="T119" s="430"/>
      <c r="U119" s="430"/>
      <c r="V119" s="430"/>
      <c r="W119" s="430"/>
      <c r="X119" s="430"/>
      <c r="Y119" s="430"/>
      <c r="Z119" s="430"/>
      <c r="AA119" s="430"/>
      <c r="AB119" s="430"/>
      <c r="AC119" s="430"/>
      <c r="AD119" s="430"/>
      <c r="AE119" s="430"/>
      <c r="AF119" s="430"/>
      <c r="AG119" s="430"/>
      <c r="AH119" s="430"/>
      <c r="AI119" s="430"/>
      <c r="AJ119" s="430"/>
      <c r="AK119" s="430"/>
      <c r="AL119" s="430"/>
      <c r="AM119" s="430"/>
      <c r="AN119" s="430"/>
      <c r="AO119" s="430"/>
      <c r="AP119" s="430"/>
      <c r="AQ119" s="430"/>
      <c r="AR119" s="430"/>
      <c r="AS119" s="430"/>
      <c r="AT119" s="430"/>
      <c r="AU119" s="430"/>
      <c r="AV119" s="430"/>
      <c r="AW119" s="430"/>
      <c r="AX119" s="430"/>
      <c r="AY119" s="430"/>
      <c r="AZ119" s="430"/>
      <c r="BA119" s="430"/>
      <c r="BB119" s="430"/>
      <c r="BC119" s="430"/>
      <c r="BD119" s="430"/>
      <c r="BE119" s="430"/>
    </row>
    <row r="120" spans="1:57">
      <c r="A120" s="430"/>
      <c r="B120" s="451"/>
      <c r="C120" s="430"/>
      <c r="D120" s="451"/>
      <c r="E120" s="430"/>
      <c r="F120" s="430"/>
      <c r="G120" s="430"/>
      <c r="H120" s="430"/>
      <c r="I120" s="430"/>
      <c r="J120" s="430"/>
      <c r="K120" s="430"/>
      <c r="L120" s="430"/>
      <c r="M120" s="430"/>
      <c r="N120" s="430"/>
      <c r="O120" s="430"/>
      <c r="P120" s="430"/>
      <c r="Q120" s="430"/>
      <c r="R120" s="430"/>
      <c r="S120" s="430"/>
      <c r="T120" s="430"/>
      <c r="U120" s="430"/>
      <c r="V120" s="430"/>
      <c r="W120" s="430"/>
      <c r="X120" s="430"/>
      <c r="Y120" s="430"/>
      <c r="Z120" s="430"/>
      <c r="AA120" s="430"/>
      <c r="AB120" s="430"/>
      <c r="AC120" s="430"/>
      <c r="AD120" s="430"/>
      <c r="AE120" s="430"/>
      <c r="AF120" s="430"/>
      <c r="AG120" s="430"/>
      <c r="AH120" s="430"/>
      <c r="AI120" s="430"/>
      <c r="AJ120" s="430"/>
      <c r="AK120" s="430"/>
      <c r="AL120" s="430"/>
      <c r="AM120" s="430"/>
      <c r="AN120" s="430"/>
      <c r="AO120" s="430"/>
      <c r="AP120" s="430"/>
      <c r="AQ120" s="430"/>
      <c r="AR120" s="430"/>
      <c r="AS120" s="430"/>
      <c r="AT120" s="430"/>
      <c r="AU120" s="430"/>
      <c r="AV120" s="430"/>
      <c r="AW120" s="430"/>
      <c r="AX120" s="430"/>
      <c r="AY120" s="430"/>
      <c r="AZ120" s="430"/>
      <c r="BA120" s="430"/>
      <c r="BB120" s="430"/>
      <c r="BC120" s="430"/>
      <c r="BD120" s="430"/>
      <c r="BE120" s="430"/>
    </row>
    <row r="121" spans="1:57">
      <c r="A121" s="430"/>
      <c r="B121" s="451"/>
      <c r="C121" s="430"/>
      <c r="D121" s="451"/>
      <c r="E121" s="430"/>
      <c r="F121" s="430"/>
      <c r="G121" s="430"/>
      <c r="H121" s="430"/>
      <c r="I121" s="430"/>
      <c r="J121" s="430"/>
      <c r="K121" s="430"/>
      <c r="L121" s="430"/>
      <c r="M121" s="430"/>
      <c r="N121" s="430"/>
      <c r="O121" s="430"/>
      <c r="P121" s="430"/>
      <c r="Q121" s="430"/>
      <c r="R121" s="430"/>
      <c r="S121" s="430"/>
      <c r="T121" s="430"/>
      <c r="U121" s="430"/>
      <c r="V121" s="430"/>
      <c r="W121" s="430"/>
      <c r="X121" s="430"/>
      <c r="Y121" s="430"/>
      <c r="Z121" s="430"/>
      <c r="AA121" s="430"/>
      <c r="AB121" s="430"/>
      <c r="AC121" s="430"/>
      <c r="AD121" s="430"/>
      <c r="AE121" s="430"/>
      <c r="AF121" s="430"/>
      <c r="AG121" s="430"/>
      <c r="AH121" s="430"/>
      <c r="AI121" s="430"/>
      <c r="AJ121" s="430"/>
      <c r="AK121" s="430"/>
      <c r="AL121" s="430"/>
      <c r="AM121" s="430"/>
      <c r="AN121" s="430"/>
      <c r="AO121" s="430"/>
      <c r="AP121" s="430"/>
      <c r="AQ121" s="430"/>
      <c r="AR121" s="430"/>
      <c r="AS121" s="430"/>
      <c r="AT121" s="430"/>
      <c r="AU121" s="430"/>
      <c r="AV121" s="430"/>
      <c r="AW121" s="430"/>
      <c r="AX121" s="430"/>
      <c r="AY121" s="430"/>
      <c r="AZ121" s="430"/>
      <c r="BA121" s="430"/>
      <c r="BB121" s="430"/>
      <c r="BC121" s="430"/>
      <c r="BD121" s="430"/>
      <c r="BE121" s="430"/>
    </row>
    <row r="122" spans="1:57">
      <c r="A122" s="430"/>
      <c r="B122" s="451"/>
      <c r="C122" s="430"/>
      <c r="D122" s="451"/>
      <c r="E122" s="430"/>
      <c r="F122" s="430"/>
      <c r="G122" s="430"/>
      <c r="H122" s="430"/>
      <c r="I122" s="430"/>
      <c r="J122" s="430"/>
      <c r="K122" s="430"/>
      <c r="L122" s="430"/>
      <c r="M122" s="430"/>
      <c r="N122" s="430"/>
      <c r="O122" s="430"/>
      <c r="P122" s="430"/>
      <c r="Q122" s="430"/>
      <c r="R122" s="430"/>
      <c r="S122" s="430"/>
      <c r="T122" s="430"/>
      <c r="U122" s="430"/>
      <c r="V122" s="430"/>
      <c r="W122" s="430"/>
      <c r="X122" s="430"/>
      <c r="Y122" s="430"/>
      <c r="Z122" s="430"/>
      <c r="AA122" s="430"/>
      <c r="AB122" s="430"/>
      <c r="AC122" s="430"/>
      <c r="AD122" s="430"/>
      <c r="AE122" s="430"/>
      <c r="AF122" s="430"/>
      <c r="AG122" s="430"/>
      <c r="AH122" s="430"/>
      <c r="AI122" s="430"/>
      <c r="AJ122" s="430"/>
      <c r="AK122" s="430"/>
      <c r="AL122" s="430"/>
      <c r="AM122" s="430"/>
      <c r="AN122" s="430"/>
      <c r="AO122" s="430"/>
      <c r="AP122" s="430"/>
      <c r="AQ122" s="430"/>
      <c r="AR122" s="430"/>
      <c r="AS122" s="430"/>
      <c r="AT122" s="430"/>
      <c r="AU122" s="430"/>
      <c r="AV122" s="430"/>
      <c r="AW122" s="430"/>
      <c r="AX122" s="430"/>
      <c r="AY122" s="430"/>
      <c r="AZ122" s="430"/>
      <c r="BA122" s="430"/>
      <c r="BB122" s="430"/>
      <c r="BC122" s="430"/>
      <c r="BD122" s="430"/>
      <c r="BE122" s="430"/>
    </row>
    <row r="123" spans="1:57">
      <c r="A123" s="430"/>
      <c r="B123" s="451"/>
      <c r="C123" s="430"/>
      <c r="D123" s="451"/>
      <c r="E123" s="430"/>
      <c r="F123" s="430"/>
      <c r="G123" s="430"/>
      <c r="H123" s="430"/>
      <c r="I123" s="430"/>
      <c r="J123" s="430"/>
      <c r="K123" s="430"/>
      <c r="L123" s="430"/>
      <c r="M123" s="430"/>
      <c r="N123" s="430"/>
      <c r="O123" s="430"/>
      <c r="P123" s="430"/>
      <c r="Q123" s="430"/>
      <c r="R123" s="430"/>
      <c r="S123" s="430"/>
      <c r="T123" s="430"/>
      <c r="U123" s="430"/>
      <c r="V123" s="430"/>
      <c r="W123" s="430"/>
      <c r="X123" s="430"/>
      <c r="Y123" s="430"/>
      <c r="Z123" s="430"/>
      <c r="AA123" s="430"/>
      <c r="AB123" s="430"/>
      <c r="AC123" s="430"/>
      <c r="AD123" s="430"/>
      <c r="AE123" s="430"/>
      <c r="AF123" s="430"/>
      <c r="AG123" s="430"/>
      <c r="AH123" s="430"/>
      <c r="AI123" s="430"/>
      <c r="AJ123" s="430"/>
      <c r="AK123" s="430"/>
      <c r="AL123" s="430"/>
      <c r="AM123" s="430"/>
      <c r="AN123" s="430"/>
      <c r="AO123" s="430"/>
      <c r="AP123" s="430"/>
      <c r="AQ123" s="430"/>
      <c r="AR123" s="430"/>
      <c r="AS123" s="430"/>
      <c r="AT123" s="430"/>
      <c r="AU123" s="430"/>
      <c r="AV123" s="430"/>
      <c r="AW123" s="430"/>
      <c r="AX123" s="430"/>
      <c r="AY123" s="430"/>
      <c r="AZ123" s="430"/>
      <c r="BA123" s="430"/>
      <c r="BB123" s="430"/>
      <c r="BC123" s="430"/>
      <c r="BD123" s="430"/>
      <c r="BE123" s="430"/>
    </row>
    <row r="124" spans="1:57">
      <c r="A124" s="430"/>
      <c r="B124" s="451"/>
      <c r="C124" s="430"/>
      <c r="D124" s="451"/>
      <c r="E124" s="430"/>
      <c r="F124" s="430"/>
      <c r="G124" s="430"/>
      <c r="H124" s="430"/>
      <c r="I124" s="430"/>
      <c r="J124" s="430"/>
      <c r="K124" s="430"/>
      <c r="L124" s="430"/>
      <c r="M124" s="430"/>
      <c r="N124" s="430"/>
      <c r="O124" s="430"/>
      <c r="P124" s="430"/>
      <c r="Q124" s="430"/>
      <c r="R124" s="430"/>
      <c r="S124" s="430"/>
      <c r="T124" s="430"/>
      <c r="U124" s="430"/>
      <c r="V124" s="430"/>
      <c r="W124" s="430"/>
      <c r="X124" s="430"/>
      <c r="Y124" s="430"/>
      <c r="Z124" s="430"/>
      <c r="AA124" s="430"/>
      <c r="AB124" s="430"/>
      <c r="AC124" s="430"/>
      <c r="AD124" s="430"/>
      <c r="AE124" s="430"/>
      <c r="AF124" s="430"/>
      <c r="AG124" s="430"/>
      <c r="AH124" s="430"/>
      <c r="AI124" s="430"/>
      <c r="AJ124" s="430"/>
      <c r="AK124" s="430"/>
      <c r="AL124" s="430"/>
      <c r="AM124" s="430"/>
      <c r="AN124" s="430"/>
      <c r="AO124" s="430"/>
      <c r="AP124" s="430"/>
      <c r="AQ124" s="430"/>
      <c r="AR124" s="430"/>
      <c r="AS124" s="430"/>
      <c r="AT124" s="430"/>
      <c r="AU124" s="430"/>
      <c r="AV124" s="430"/>
      <c r="AW124" s="430"/>
      <c r="AX124" s="430"/>
      <c r="AY124" s="430"/>
      <c r="AZ124" s="430"/>
      <c r="BA124" s="430"/>
      <c r="BB124" s="430"/>
      <c r="BC124" s="430"/>
      <c r="BD124" s="430"/>
      <c r="BE124" s="430"/>
    </row>
    <row r="125" spans="1:57">
      <c r="A125" s="430"/>
      <c r="B125" s="451"/>
      <c r="C125" s="430"/>
      <c r="D125" s="451"/>
      <c r="E125" s="430"/>
      <c r="F125" s="430"/>
      <c r="G125" s="430"/>
      <c r="H125" s="430"/>
      <c r="I125" s="430"/>
      <c r="J125" s="430"/>
      <c r="K125" s="430"/>
      <c r="L125" s="430"/>
      <c r="M125" s="430"/>
      <c r="N125" s="430"/>
      <c r="O125" s="430"/>
      <c r="P125" s="430"/>
      <c r="Q125" s="430"/>
      <c r="R125" s="430"/>
      <c r="S125" s="430"/>
      <c r="T125" s="430"/>
      <c r="U125" s="430"/>
      <c r="V125" s="430"/>
      <c r="W125" s="430"/>
      <c r="X125" s="430"/>
      <c r="Y125" s="430"/>
      <c r="Z125" s="430"/>
      <c r="AA125" s="430"/>
      <c r="AB125" s="430"/>
      <c r="AC125" s="430"/>
      <c r="AD125" s="430"/>
      <c r="AE125" s="430"/>
      <c r="AF125" s="430"/>
      <c r="AG125" s="430"/>
      <c r="AH125" s="430"/>
      <c r="AI125" s="430"/>
      <c r="AJ125" s="430"/>
      <c r="AK125" s="430"/>
      <c r="AL125" s="430"/>
      <c r="AM125" s="430"/>
      <c r="AN125" s="430"/>
      <c r="AO125" s="430"/>
      <c r="AP125" s="430"/>
      <c r="AQ125" s="430"/>
      <c r="AR125" s="430"/>
      <c r="AS125" s="430"/>
      <c r="AT125" s="430"/>
      <c r="AU125" s="430"/>
      <c r="AV125" s="430"/>
      <c r="AW125" s="430"/>
      <c r="AX125" s="430"/>
      <c r="AY125" s="430"/>
      <c r="AZ125" s="430"/>
      <c r="BA125" s="430"/>
      <c r="BB125" s="430"/>
      <c r="BC125" s="430"/>
      <c r="BD125" s="430"/>
      <c r="BE125" s="430"/>
    </row>
    <row r="126" spans="1:57">
      <c r="A126" s="430"/>
      <c r="B126" s="451"/>
      <c r="C126" s="430"/>
      <c r="D126" s="451"/>
      <c r="E126" s="430"/>
      <c r="F126" s="430"/>
      <c r="G126" s="430"/>
      <c r="H126" s="430"/>
      <c r="I126" s="430"/>
      <c r="J126" s="430"/>
      <c r="K126" s="430"/>
      <c r="L126" s="430"/>
      <c r="M126" s="430"/>
      <c r="N126" s="430"/>
      <c r="O126" s="430"/>
      <c r="P126" s="430"/>
      <c r="Q126" s="430"/>
      <c r="R126" s="430"/>
      <c r="S126" s="430"/>
      <c r="T126" s="430"/>
      <c r="U126" s="430"/>
      <c r="V126" s="430"/>
      <c r="W126" s="430"/>
      <c r="X126" s="430"/>
      <c r="Y126" s="430"/>
      <c r="Z126" s="430"/>
      <c r="AA126" s="430"/>
      <c r="AB126" s="430"/>
      <c r="AC126" s="430"/>
      <c r="AD126" s="430"/>
      <c r="AE126" s="430"/>
      <c r="AF126" s="430"/>
      <c r="AG126" s="430"/>
      <c r="AH126" s="430"/>
      <c r="AI126" s="430"/>
      <c r="AJ126" s="430"/>
      <c r="AK126" s="430"/>
      <c r="AL126" s="430"/>
      <c r="AM126" s="430"/>
      <c r="AN126" s="430"/>
      <c r="AO126" s="430"/>
      <c r="AP126" s="430"/>
      <c r="AQ126" s="430"/>
      <c r="AR126" s="430"/>
      <c r="AS126" s="430"/>
      <c r="AT126" s="430"/>
      <c r="AU126" s="430"/>
      <c r="AV126" s="430"/>
      <c r="AW126" s="430"/>
      <c r="AX126" s="430"/>
      <c r="AY126" s="430"/>
      <c r="AZ126" s="430"/>
      <c r="BA126" s="430"/>
      <c r="BB126" s="430"/>
      <c r="BC126" s="430"/>
      <c r="BD126" s="430"/>
      <c r="BE126" s="430"/>
    </row>
    <row r="127" spans="1:57">
      <c r="A127" s="430"/>
      <c r="B127" s="451"/>
      <c r="C127" s="430"/>
      <c r="D127" s="451"/>
      <c r="E127" s="430"/>
      <c r="F127" s="430"/>
      <c r="G127" s="430"/>
      <c r="H127" s="430"/>
      <c r="I127" s="430"/>
      <c r="J127" s="430"/>
      <c r="K127" s="430"/>
      <c r="L127" s="430"/>
      <c r="M127" s="430"/>
      <c r="N127" s="430"/>
      <c r="O127" s="430"/>
      <c r="P127" s="430"/>
      <c r="Q127" s="430"/>
      <c r="R127" s="430"/>
      <c r="S127" s="430"/>
      <c r="T127" s="430"/>
      <c r="U127" s="430"/>
      <c r="V127" s="430"/>
      <c r="W127" s="430"/>
      <c r="X127" s="430"/>
      <c r="Y127" s="430"/>
      <c r="Z127" s="430"/>
      <c r="AA127" s="430"/>
      <c r="AB127" s="430"/>
      <c r="AC127" s="430"/>
      <c r="AD127" s="430"/>
      <c r="AE127" s="430"/>
      <c r="AF127" s="430"/>
      <c r="AG127" s="430"/>
      <c r="AH127" s="430"/>
      <c r="AI127" s="430"/>
      <c r="AJ127" s="430"/>
      <c r="AK127" s="430"/>
      <c r="AL127" s="430"/>
      <c r="AM127" s="430"/>
      <c r="AN127" s="430"/>
      <c r="AO127" s="430"/>
      <c r="AP127" s="430"/>
      <c r="AQ127" s="430"/>
      <c r="AR127" s="430"/>
      <c r="AS127" s="430"/>
      <c r="AT127" s="430"/>
      <c r="AU127" s="430"/>
      <c r="AV127" s="430"/>
      <c r="AW127" s="430"/>
      <c r="AX127" s="430"/>
      <c r="AY127" s="430"/>
      <c r="AZ127" s="430"/>
      <c r="BA127" s="430"/>
      <c r="BB127" s="430"/>
      <c r="BC127" s="430"/>
      <c r="BD127" s="430"/>
      <c r="BE127" s="430"/>
    </row>
    <row r="128" spans="1:57">
      <c r="A128" s="430"/>
      <c r="B128" s="451"/>
      <c r="C128" s="430"/>
      <c r="D128" s="451"/>
      <c r="E128" s="430"/>
      <c r="F128" s="430"/>
      <c r="G128" s="430"/>
      <c r="H128" s="430"/>
      <c r="I128" s="430"/>
      <c r="J128" s="430"/>
      <c r="K128" s="430"/>
      <c r="L128" s="430"/>
      <c r="M128" s="430"/>
      <c r="N128" s="430"/>
      <c r="O128" s="430"/>
      <c r="P128" s="430"/>
      <c r="Q128" s="430"/>
      <c r="R128" s="430"/>
      <c r="S128" s="430"/>
      <c r="T128" s="430"/>
      <c r="U128" s="430"/>
      <c r="V128" s="430"/>
      <c r="W128" s="430"/>
      <c r="X128" s="430"/>
      <c r="Y128" s="430"/>
      <c r="Z128" s="430"/>
      <c r="AA128" s="430"/>
      <c r="AB128" s="430"/>
      <c r="AC128" s="430"/>
      <c r="AD128" s="430"/>
      <c r="AE128" s="430"/>
      <c r="AF128" s="430"/>
      <c r="AG128" s="430"/>
      <c r="AH128" s="430"/>
      <c r="AI128" s="430"/>
      <c r="AJ128" s="430"/>
      <c r="AK128" s="430"/>
      <c r="AL128" s="430"/>
      <c r="AM128" s="430"/>
      <c r="AN128" s="430"/>
      <c r="AO128" s="430"/>
      <c r="AP128" s="430"/>
      <c r="AQ128" s="430"/>
      <c r="AR128" s="430"/>
      <c r="AS128" s="430"/>
      <c r="AT128" s="430"/>
      <c r="AU128" s="430"/>
      <c r="AV128" s="430"/>
      <c r="AW128" s="430"/>
      <c r="AX128" s="430"/>
      <c r="AY128" s="430"/>
      <c r="AZ128" s="430"/>
      <c r="BA128" s="430"/>
      <c r="BB128" s="430"/>
      <c r="BC128" s="430"/>
      <c r="BD128" s="430"/>
      <c r="BE128" s="430"/>
    </row>
    <row r="129" spans="1:57">
      <c r="A129" s="430"/>
      <c r="B129" s="451"/>
      <c r="C129" s="430"/>
      <c r="D129" s="451"/>
      <c r="E129" s="430"/>
      <c r="F129" s="430"/>
      <c r="G129" s="430"/>
      <c r="H129" s="430"/>
      <c r="I129" s="430"/>
      <c r="J129" s="430"/>
      <c r="K129" s="430"/>
      <c r="L129" s="430"/>
      <c r="M129" s="430"/>
      <c r="N129" s="430"/>
      <c r="O129" s="430"/>
      <c r="P129" s="430"/>
      <c r="Q129" s="430"/>
      <c r="R129" s="430"/>
      <c r="S129" s="430"/>
      <c r="T129" s="430"/>
      <c r="U129" s="430"/>
      <c r="V129" s="430"/>
      <c r="W129" s="430"/>
      <c r="X129" s="430"/>
      <c r="Y129" s="430"/>
      <c r="Z129" s="430"/>
      <c r="AA129" s="430"/>
      <c r="AB129" s="430"/>
      <c r="AC129" s="430"/>
      <c r="AD129" s="430"/>
      <c r="AE129" s="430"/>
      <c r="AF129" s="430"/>
      <c r="AG129" s="430"/>
      <c r="AH129" s="430"/>
      <c r="AI129" s="430"/>
      <c r="AJ129" s="430"/>
      <c r="AK129" s="430"/>
      <c r="AL129" s="430"/>
      <c r="AM129" s="430"/>
      <c r="AN129" s="430"/>
      <c r="AO129" s="430"/>
      <c r="AP129" s="430"/>
      <c r="AQ129" s="430"/>
      <c r="AR129" s="430"/>
      <c r="AS129" s="430"/>
      <c r="AT129" s="430"/>
      <c r="AU129" s="430"/>
      <c r="AV129" s="430"/>
      <c r="AW129" s="430"/>
      <c r="AX129" s="430"/>
      <c r="AY129" s="430"/>
      <c r="AZ129" s="430"/>
      <c r="BA129" s="430"/>
      <c r="BB129" s="430"/>
      <c r="BC129" s="430"/>
      <c r="BD129" s="430"/>
      <c r="BE129" s="430"/>
    </row>
    <row r="130" spans="1:57">
      <c r="A130" s="430"/>
      <c r="B130" s="451"/>
      <c r="C130" s="430"/>
      <c r="D130" s="451"/>
      <c r="E130" s="430"/>
      <c r="F130" s="430"/>
      <c r="G130" s="430"/>
      <c r="H130" s="430"/>
      <c r="I130" s="430"/>
      <c r="J130" s="430"/>
      <c r="K130" s="430"/>
      <c r="L130" s="430"/>
      <c r="M130" s="430"/>
      <c r="N130" s="430"/>
      <c r="O130" s="430"/>
      <c r="P130" s="430"/>
      <c r="Q130" s="430"/>
      <c r="R130" s="430"/>
      <c r="S130" s="430"/>
      <c r="T130" s="430"/>
      <c r="U130" s="430"/>
      <c r="V130" s="430"/>
      <c r="W130" s="430"/>
      <c r="X130" s="430"/>
      <c r="Y130" s="430"/>
      <c r="Z130" s="430"/>
      <c r="AA130" s="430"/>
      <c r="AB130" s="430"/>
      <c r="AC130" s="430"/>
      <c r="AD130" s="430"/>
      <c r="AE130" s="430"/>
      <c r="AF130" s="430"/>
      <c r="AG130" s="430"/>
      <c r="AH130" s="430"/>
      <c r="AI130" s="430"/>
      <c r="AJ130" s="430"/>
      <c r="AK130" s="430"/>
      <c r="AL130" s="430"/>
      <c r="AM130" s="430"/>
      <c r="AN130" s="430"/>
      <c r="AO130" s="430"/>
      <c r="AP130" s="430"/>
      <c r="AQ130" s="430"/>
      <c r="AR130" s="430"/>
      <c r="AS130" s="430"/>
      <c r="AT130" s="430"/>
      <c r="AU130" s="430"/>
      <c r="AV130" s="430"/>
      <c r="AW130" s="430"/>
      <c r="AX130" s="430"/>
      <c r="AY130" s="430"/>
      <c r="AZ130" s="430"/>
      <c r="BA130" s="430"/>
      <c r="BB130" s="430"/>
      <c r="BC130" s="430"/>
      <c r="BD130" s="430"/>
      <c r="BE130" s="430"/>
    </row>
    <row r="131" spans="1:57">
      <c r="A131" s="430"/>
      <c r="B131" s="451"/>
      <c r="C131" s="430"/>
      <c r="D131" s="451"/>
      <c r="E131" s="430"/>
      <c r="F131" s="430"/>
      <c r="G131" s="430"/>
      <c r="H131" s="430"/>
      <c r="I131" s="430"/>
      <c r="J131" s="430"/>
      <c r="K131" s="430"/>
      <c r="L131" s="430"/>
      <c r="M131" s="430"/>
      <c r="N131" s="430"/>
      <c r="O131" s="430"/>
      <c r="P131" s="430"/>
      <c r="Q131" s="430"/>
      <c r="R131" s="430"/>
      <c r="S131" s="430"/>
      <c r="T131" s="430"/>
      <c r="U131" s="430"/>
      <c r="V131" s="430"/>
      <c r="W131" s="430"/>
      <c r="X131" s="430"/>
      <c r="Y131" s="430"/>
      <c r="Z131" s="430"/>
      <c r="AA131" s="430"/>
      <c r="AB131" s="430"/>
      <c r="AC131" s="430"/>
      <c r="AD131" s="430"/>
      <c r="AE131" s="430"/>
      <c r="AF131" s="430"/>
      <c r="AG131" s="430"/>
      <c r="AH131" s="430"/>
      <c r="AI131" s="430"/>
      <c r="AJ131" s="430"/>
      <c r="AK131" s="430"/>
      <c r="AL131" s="430"/>
      <c r="AM131" s="430"/>
      <c r="AN131" s="430"/>
      <c r="AO131" s="430"/>
      <c r="AP131" s="430"/>
      <c r="AQ131" s="430"/>
      <c r="AR131" s="430"/>
      <c r="AS131" s="430"/>
      <c r="AT131" s="430"/>
      <c r="AU131" s="430"/>
      <c r="AV131" s="430"/>
      <c r="AW131" s="430"/>
      <c r="AX131" s="430"/>
      <c r="AY131" s="430"/>
      <c r="AZ131" s="430"/>
      <c r="BA131" s="430"/>
      <c r="BB131" s="430"/>
      <c r="BC131" s="430"/>
      <c r="BD131" s="430"/>
      <c r="BE131" s="430"/>
    </row>
    <row r="132" spans="1:57">
      <c r="A132" s="430"/>
      <c r="B132" s="451"/>
      <c r="C132" s="430"/>
      <c r="D132" s="451"/>
      <c r="E132" s="430"/>
      <c r="F132" s="430"/>
      <c r="G132" s="430"/>
      <c r="H132" s="430"/>
      <c r="I132" s="430"/>
      <c r="J132" s="430"/>
      <c r="K132" s="430"/>
      <c r="L132" s="430"/>
      <c r="M132" s="430"/>
      <c r="N132" s="430"/>
      <c r="O132" s="430"/>
      <c r="P132" s="430"/>
      <c r="Q132" s="430"/>
      <c r="R132" s="430"/>
      <c r="S132" s="430"/>
      <c r="T132" s="430"/>
      <c r="U132" s="430"/>
      <c r="V132" s="430"/>
      <c r="W132" s="430"/>
      <c r="X132" s="430"/>
      <c r="Y132" s="430"/>
      <c r="Z132" s="430"/>
      <c r="AA132" s="430"/>
      <c r="AB132" s="430"/>
      <c r="AC132" s="430"/>
      <c r="AD132" s="430"/>
      <c r="AE132" s="430"/>
      <c r="AF132" s="430"/>
      <c r="AG132" s="430"/>
      <c r="AH132" s="430"/>
      <c r="AI132" s="430"/>
      <c r="AJ132" s="430"/>
      <c r="AK132" s="430"/>
      <c r="AL132" s="430"/>
      <c r="AM132" s="430"/>
      <c r="AN132" s="430"/>
      <c r="AO132" s="430"/>
      <c r="AP132" s="430"/>
      <c r="AQ132" s="430"/>
      <c r="AR132" s="430"/>
      <c r="AS132" s="430"/>
      <c r="AT132" s="430"/>
      <c r="AU132" s="430"/>
      <c r="AV132" s="430"/>
      <c r="AW132" s="430"/>
      <c r="AX132" s="430"/>
      <c r="AY132" s="430"/>
      <c r="AZ132" s="430"/>
      <c r="BA132" s="430"/>
      <c r="BB132" s="430"/>
      <c r="BC132" s="430"/>
      <c r="BD132" s="430"/>
      <c r="BE132" s="430"/>
    </row>
    <row r="133" spans="1:57">
      <c r="A133" s="430"/>
      <c r="B133" s="451"/>
      <c r="C133" s="430"/>
      <c r="D133" s="451"/>
      <c r="E133" s="430"/>
      <c r="F133" s="430"/>
      <c r="G133" s="430"/>
      <c r="H133" s="430"/>
      <c r="I133" s="430"/>
      <c r="J133" s="430"/>
      <c r="K133" s="430"/>
      <c r="L133" s="430"/>
      <c r="M133" s="430"/>
      <c r="N133" s="430"/>
      <c r="O133" s="430"/>
      <c r="P133" s="430"/>
      <c r="Q133" s="430"/>
      <c r="R133" s="430"/>
      <c r="S133" s="430"/>
      <c r="T133" s="430"/>
      <c r="U133" s="430"/>
      <c r="V133" s="430"/>
      <c r="W133" s="430"/>
      <c r="X133" s="430"/>
      <c r="Y133" s="430"/>
      <c r="Z133" s="430"/>
      <c r="AA133" s="430"/>
      <c r="AB133" s="430"/>
      <c r="AC133" s="430"/>
      <c r="AD133" s="430"/>
      <c r="AE133" s="430"/>
      <c r="AF133" s="430"/>
      <c r="AG133" s="430"/>
      <c r="AH133" s="430"/>
      <c r="AI133" s="430"/>
      <c r="AJ133" s="430"/>
      <c r="AK133" s="430"/>
      <c r="AL133" s="430"/>
      <c r="AM133" s="430"/>
      <c r="AN133" s="430"/>
      <c r="AO133" s="430"/>
      <c r="AP133" s="430"/>
      <c r="AQ133" s="430"/>
      <c r="AR133" s="430"/>
      <c r="AS133" s="430"/>
      <c r="AT133" s="430"/>
      <c r="AU133" s="430"/>
      <c r="AV133" s="430"/>
      <c r="AW133" s="430"/>
      <c r="AX133" s="430"/>
      <c r="AY133" s="430"/>
      <c r="AZ133" s="430"/>
      <c r="BA133" s="430"/>
      <c r="BB133" s="430"/>
      <c r="BC133" s="430"/>
      <c r="BD133" s="430"/>
      <c r="BE133" s="430"/>
    </row>
    <row r="134" spans="1:57">
      <c r="A134" s="430"/>
      <c r="B134" s="451"/>
      <c r="C134" s="430"/>
      <c r="D134" s="451"/>
      <c r="E134" s="430"/>
      <c r="F134" s="430"/>
      <c r="G134" s="430"/>
      <c r="H134" s="430"/>
      <c r="I134" s="430"/>
      <c r="J134" s="430"/>
      <c r="K134" s="430"/>
      <c r="L134" s="430"/>
      <c r="M134" s="430"/>
      <c r="N134" s="430"/>
      <c r="O134" s="430"/>
      <c r="P134" s="430"/>
      <c r="Q134" s="430"/>
      <c r="R134" s="430"/>
      <c r="S134" s="430"/>
      <c r="T134" s="430"/>
      <c r="U134" s="430"/>
      <c r="V134" s="430"/>
      <c r="W134" s="430"/>
      <c r="X134" s="430"/>
      <c r="Y134" s="430"/>
      <c r="Z134" s="430"/>
      <c r="AA134" s="430"/>
      <c r="AB134" s="430"/>
      <c r="AC134" s="430"/>
      <c r="AD134" s="430"/>
      <c r="AE134" s="430"/>
      <c r="AF134" s="430"/>
      <c r="AG134" s="430"/>
      <c r="AH134" s="430"/>
      <c r="AI134" s="430"/>
      <c r="AJ134" s="430"/>
      <c r="AK134" s="430"/>
      <c r="AL134" s="430"/>
      <c r="AM134" s="430"/>
      <c r="AN134" s="430"/>
      <c r="AO134" s="430"/>
      <c r="AP134" s="430"/>
      <c r="AQ134" s="430"/>
      <c r="AR134" s="430"/>
      <c r="AS134" s="430"/>
      <c r="AT134" s="430"/>
      <c r="AU134" s="430"/>
      <c r="AV134" s="430"/>
      <c r="AW134" s="430"/>
      <c r="AX134" s="430"/>
      <c r="AY134" s="430"/>
      <c r="AZ134" s="430"/>
      <c r="BA134" s="430"/>
      <c r="BB134" s="430"/>
      <c r="BC134" s="430"/>
      <c r="BD134" s="430"/>
      <c r="BE134" s="430"/>
    </row>
    <row r="135" spans="1:57">
      <c r="A135" s="430"/>
      <c r="B135" s="451"/>
      <c r="C135" s="430"/>
      <c r="D135" s="451"/>
      <c r="E135" s="430"/>
      <c r="F135" s="430"/>
      <c r="G135" s="430"/>
      <c r="H135" s="430"/>
      <c r="I135" s="430"/>
      <c r="J135" s="430"/>
      <c r="K135" s="430"/>
      <c r="L135" s="430"/>
      <c r="M135" s="430"/>
      <c r="N135" s="430"/>
      <c r="O135" s="430"/>
      <c r="P135" s="430"/>
      <c r="Q135" s="430"/>
      <c r="R135" s="430"/>
      <c r="S135" s="430"/>
      <c r="T135" s="430"/>
      <c r="U135" s="430"/>
      <c r="V135" s="430"/>
      <c r="W135" s="430"/>
      <c r="X135" s="430"/>
      <c r="Y135" s="430"/>
      <c r="Z135" s="430"/>
      <c r="AA135" s="430"/>
      <c r="AB135" s="430"/>
      <c r="AC135" s="430"/>
      <c r="AD135" s="430"/>
      <c r="AE135" s="430"/>
      <c r="AF135" s="430"/>
      <c r="AG135" s="430"/>
      <c r="AH135" s="430"/>
      <c r="AI135" s="430"/>
      <c r="AJ135" s="430"/>
      <c r="AK135" s="430"/>
      <c r="AL135" s="430"/>
      <c r="AM135" s="430"/>
      <c r="AN135" s="430"/>
      <c r="AO135" s="430"/>
      <c r="AP135" s="430"/>
      <c r="AQ135" s="430"/>
      <c r="AR135" s="430"/>
      <c r="AS135" s="430"/>
      <c r="AT135" s="430"/>
      <c r="AU135" s="430"/>
      <c r="AV135" s="430"/>
      <c r="AW135" s="430"/>
      <c r="AX135" s="430"/>
      <c r="AY135" s="430"/>
      <c r="AZ135" s="430"/>
      <c r="BA135" s="430"/>
      <c r="BB135" s="430"/>
      <c r="BC135" s="430"/>
      <c r="BD135" s="430"/>
      <c r="BE135" s="430"/>
    </row>
    <row r="136" spans="1:57">
      <c r="A136" s="430"/>
      <c r="B136" s="451"/>
      <c r="C136" s="430"/>
      <c r="D136" s="451"/>
      <c r="E136" s="430"/>
      <c r="F136" s="430"/>
      <c r="G136" s="430"/>
      <c r="H136" s="430"/>
      <c r="I136" s="430"/>
      <c r="J136" s="430"/>
      <c r="K136" s="430"/>
      <c r="L136" s="430"/>
      <c r="M136" s="430"/>
      <c r="N136" s="430"/>
      <c r="O136" s="430"/>
      <c r="P136" s="430"/>
      <c r="Q136" s="430"/>
      <c r="R136" s="430"/>
      <c r="S136" s="430"/>
      <c r="T136" s="430"/>
      <c r="U136" s="430"/>
      <c r="V136" s="430"/>
      <c r="W136" s="430"/>
      <c r="X136" s="430"/>
      <c r="Y136" s="430"/>
      <c r="Z136" s="430"/>
      <c r="AA136" s="430"/>
      <c r="AB136" s="430"/>
      <c r="AC136" s="430"/>
      <c r="AD136" s="430"/>
      <c r="AE136" s="430"/>
      <c r="AF136" s="430"/>
      <c r="AG136" s="430"/>
      <c r="AH136" s="430"/>
      <c r="AI136" s="430"/>
      <c r="AJ136" s="430"/>
      <c r="AK136" s="430"/>
      <c r="AL136" s="430"/>
      <c r="AM136" s="430"/>
      <c r="AN136" s="430"/>
      <c r="AO136" s="430"/>
      <c r="AP136" s="430"/>
      <c r="AQ136" s="430"/>
      <c r="AR136" s="430"/>
      <c r="AS136" s="430"/>
      <c r="AT136" s="430"/>
      <c r="AU136" s="430"/>
      <c r="AV136" s="430"/>
      <c r="AW136" s="430"/>
      <c r="AX136" s="430"/>
      <c r="AY136" s="430"/>
      <c r="AZ136" s="430"/>
      <c r="BA136" s="430"/>
      <c r="BB136" s="430"/>
      <c r="BC136" s="430"/>
      <c r="BD136" s="430"/>
      <c r="BE136" s="430"/>
    </row>
    <row r="137" spans="1:57">
      <c r="A137" s="430"/>
      <c r="B137" s="451"/>
      <c r="C137" s="430"/>
      <c r="D137" s="451"/>
      <c r="E137" s="430"/>
      <c r="F137" s="430"/>
      <c r="G137" s="430"/>
      <c r="H137" s="430"/>
      <c r="I137" s="430"/>
      <c r="J137" s="430"/>
      <c r="K137" s="430"/>
      <c r="L137" s="430"/>
      <c r="M137" s="430"/>
      <c r="N137" s="430"/>
      <c r="O137" s="430"/>
      <c r="P137" s="430"/>
      <c r="Q137" s="430"/>
      <c r="R137" s="430"/>
      <c r="S137" s="430"/>
      <c r="T137" s="430"/>
      <c r="U137" s="430"/>
      <c r="V137" s="430"/>
      <c r="W137" s="430"/>
      <c r="X137" s="430"/>
      <c r="Y137" s="430"/>
      <c r="Z137" s="430"/>
      <c r="AA137" s="430"/>
      <c r="AB137" s="430"/>
      <c r="AC137" s="430"/>
      <c r="AD137" s="430"/>
      <c r="AE137" s="430"/>
      <c r="AF137" s="430"/>
      <c r="AG137" s="430"/>
      <c r="AH137" s="430"/>
      <c r="AI137" s="430"/>
      <c r="AJ137" s="430"/>
      <c r="AK137" s="430"/>
      <c r="AL137" s="430"/>
      <c r="AM137" s="430"/>
      <c r="AN137" s="430"/>
      <c r="AO137" s="430"/>
      <c r="AP137" s="430"/>
      <c r="AQ137" s="430"/>
      <c r="AR137" s="430"/>
      <c r="AS137" s="430"/>
      <c r="AT137" s="430"/>
      <c r="AU137" s="430"/>
      <c r="AV137" s="430"/>
      <c r="AW137" s="430"/>
      <c r="AX137" s="430"/>
      <c r="AY137" s="430"/>
      <c r="AZ137" s="430"/>
      <c r="BA137" s="430"/>
      <c r="BB137" s="430"/>
      <c r="BC137" s="430"/>
      <c r="BD137" s="430"/>
      <c r="BE137" s="430"/>
    </row>
    <row r="138" spans="1:57">
      <c r="A138" s="430"/>
      <c r="B138" s="451"/>
      <c r="C138" s="430"/>
      <c r="D138" s="451"/>
      <c r="E138" s="430"/>
      <c r="F138" s="430"/>
      <c r="G138" s="430"/>
      <c r="H138" s="430"/>
      <c r="I138" s="430"/>
      <c r="J138" s="430"/>
      <c r="K138" s="430"/>
      <c r="L138" s="430"/>
      <c r="M138" s="430"/>
      <c r="N138" s="430"/>
      <c r="O138" s="430"/>
      <c r="P138" s="430"/>
      <c r="Q138" s="430"/>
      <c r="R138" s="430"/>
      <c r="S138" s="430"/>
      <c r="T138" s="430"/>
      <c r="U138" s="430"/>
      <c r="V138" s="430"/>
      <c r="W138" s="430"/>
      <c r="X138" s="430"/>
      <c r="Y138" s="430"/>
      <c r="Z138" s="430"/>
      <c r="AA138" s="430"/>
      <c r="AB138" s="430"/>
      <c r="AC138" s="430"/>
      <c r="AD138" s="430"/>
      <c r="AE138" s="430"/>
      <c r="AF138" s="430"/>
      <c r="AG138" s="430"/>
      <c r="AH138" s="430"/>
      <c r="AI138" s="430"/>
      <c r="AJ138" s="430"/>
      <c r="AK138" s="430"/>
      <c r="AL138" s="430"/>
      <c r="AM138" s="430"/>
      <c r="AN138" s="430"/>
      <c r="AO138" s="430"/>
      <c r="AP138" s="430"/>
      <c r="AQ138" s="430"/>
      <c r="AR138" s="430"/>
      <c r="AS138" s="430"/>
      <c r="AT138" s="430"/>
      <c r="AU138" s="430"/>
      <c r="AV138" s="430"/>
      <c r="AW138" s="430"/>
      <c r="AX138" s="430"/>
      <c r="AY138" s="430"/>
      <c r="AZ138" s="430"/>
      <c r="BA138" s="430"/>
      <c r="BB138" s="430"/>
      <c r="BC138" s="430"/>
      <c r="BD138" s="430"/>
      <c r="BE138" s="430"/>
    </row>
    <row r="139" spans="1:57">
      <c r="A139" s="430"/>
      <c r="B139" s="451"/>
      <c r="C139" s="430"/>
      <c r="D139" s="451"/>
      <c r="E139" s="430"/>
      <c r="F139" s="430"/>
      <c r="G139" s="430"/>
      <c r="H139" s="430"/>
      <c r="I139" s="430"/>
      <c r="J139" s="430"/>
      <c r="K139" s="430"/>
      <c r="L139" s="430"/>
      <c r="M139" s="430"/>
      <c r="N139" s="430"/>
      <c r="O139" s="430"/>
      <c r="P139" s="430"/>
      <c r="Q139" s="430"/>
      <c r="R139" s="430"/>
      <c r="S139" s="430"/>
      <c r="T139" s="430"/>
      <c r="U139" s="430"/>
      <c r="V139" s="430"/>
      <c r="W139" s="430"/>
      <c r="X139" s="430"/>
      <c r="Y139" s="430"/>
      <c r="Z139" s="430"/>
      <c r="AA139" s="430"/>
      <c r="AB139" s="430"/>
      <c r="AC139" s="430"/>
      <c r="AD139" s="430"/>
      <c r="AE139" s="430"/>
      <c r="AF139" s="430"/>
      <c r="AG139" s="430"/>
      <c r="AH139" s="430"/>
      <c r="AI139" s="430"/>
      <c r="AJ139" s="430"/>
      <c r="AK139" s="430"/>
      <c r="AL139" s="430"/>
      <c r="AM139" s="430"/>
      <c r="AN139" s="430"/>
      <c r="AO139" s="430"/>
      <c r="AP139" s="430"/>
      <c r="AQ139" s="430"/>
      <c r="AR139" s="430"/>
      <c r="AS139" s="430"/>
      <c r="AT139" s="430"/>
      <c r="AU139" s="430"/>
      <c r="AV139" s="430"/>
      <c r="AW139" s="430"/>
      <c r="AX139" s="430"/>
      <c r="AY139" s="430"/>
      <c r="AZ139" s="430"/>
      <c r="BA139" s="430"/>
      <c r="BB139" s="430"/>
      <c r="BC139" s="430"/>
      <c r="BD139" s="430"/>
      <c r="BE139" s="430"/>
    </row>
    <row r="140" spans="1:57">
      <c r="A140" s="430"/>
      <c r="B140" s="451"/>
      <c r="C140" s="430"/>
      <c r="D140" s="451"/>
      <c r="E140" s="430"/>
      <c r="F140" s="430"/>
      <c r="G140" s="430"/>
      <c r="H140" s="430"/>
      <c r="I140" s="430"/>
      <c r="J140" s="430"/>
      <c r="K140" s="430"/>
      <c r="L140" s="430"/>
      <c r="M140" s="430"/>
      <c r="N140" s="430"/>
      <c r="O140" s="430"/>
      <c r="P140" s="430"/>
      <c r="Q140" s="430"/>
      <c r="R140" s="430"/>
      <c r="S140" s="430"/>
      <c r="T140" s="430"/>
      <c r="U140" s="430"/>
      <c r="V140" s="430"/>
      <c r="W140" s="430"/>
      <c r="X140" s="430"/>
      <c r="Y140" s="430"/>
      <c r="Z140" s="430"/>
      <c r="AA140" s="430"/>
      <c r="AB140" s="430"/>
      <c r="AC140" s="430"/>
      <c r="AD140" s="430"/>
      <c r="AE140" s="430"/>
      <c r="AF140" s="430"/>
      <c r="AG140" s="430"/>
      <c r="AH140" s="430"/>
      <c r="AI140" s="430"/>
      <c r="AJ140" s="430"/>
      <c r="AK140" s="430"/>
      <c r="AL140" s="430"/>
      <c r="AM140" s="430"/>
      <c r="AN140" s="430"/>
      <c r="AO140" s="430"/>
      <c r="AP140" s="430"/>
      <c r="AQ140" s="430"/>
      <c r="AR140" s="430"/>
      <c r="AS140" s="430"/>
      <c r="AT140" s="430"/>
      <c r="AU140" s="430"/>
      <c r="AV140" s="430"/>
      <c r="AW140" s="430"/>
      <c r="AX140" s="430"/>
      <c r="AY140" s="430"/>
      <c r="AZ140" s="430"/>
      <c r="BA140" s="430"/>
      <c r="BB140" s="430"/>
      <c r="BC140" s="430"/>
      <c r="BD140" s="430"/>
      <c r="BE140" s="430"/>
    </row>
    <row r="141" spans="1:57">
      <c r="A141" s="430"/>
      <c r="B141" s="451"/>
      <c r="C141" s="430"/>
      <c r="D141" s="451"/>
      <c r="E141" s="430"/>
      <c r="F141" s="430"/>
      <c r="G141" s="430"/>
      <c r="H141" s="430"/>
      <c r="I141" s="430"/>
      <c r="J141" s="430"/>
      <c r="K141" s="430"/>
      <c r="L141" s="430"/>
      <c r="M141" s="430"/>
      <c r="N141" s="430"/>
      <c r="O141" s="430"/>
      <c r="P141" s="430"/>
      <c r="Q141" s="430"/>
      <c r="R141" s="430"/>
      <c r="S141" s="430"/>
      <c r="T141" s="430"/>
      <c r="U141" s="430"/>
      <c r="V141" s="430"/>
      <c r="W141" s="430"/>
      <c r="X141" s="430"/>
      <c r="Y141" s="430"/>
      <c r="Z141" s="430"/>
      <c r="AA141" s="430"/>
      <c r="AB141" s="430"/>
      <c r="AC141" s="430"/>
      <c r="AD141" s="430"/>
      <c r="AE141" s="430"/>
      <c r="AF141" s="430"/>
      <c r="AG141" s="430"/>
      <c r="AH141" s="430"/>
      <c r="AI141" s="430"/>
      <c r="AJ141" s="430"/>
      <c r="AK141" s="430"/>
      <c r="AL141" s="430"/>
      <c r="AM141" s="430"/>
      <c r="AN141" s="430"/>
      <c r="AO141" s="430"/>
      <c r="AP141" s="430"/>
      <c r="AQ141" s="430"/>
      <c r="AR141" s="430"/>
      <c r="AS141" s="430"/>
      <c r="AT141" s="430"/>
      <c r="AU141" s="430"/>
      <c r="AV141" s="430"/>
      <c r="AW141" s="430"/>
      <c r="AX141" s="430"/>
      <c r="AY141" s="430"/>
      <c r="AZ141" s="430"/>
      <c r="BA141" s="430"/>
      <c r="BB141" s="430"/>
      <c r="BC141" s="430"/>
      <c r="BD141" s="430"/>
      <c r="BE141" s="430"/>
    </row>
    <row r="142" spans="1:57">
      <c r="A142" s="430"/>
      <c r="B142" s="451"/>
      <c r="C142" s="430"/>
      <c r="D142" s="451"/>
      <c r="E142" s="430"/>
      <c r="F142" s="430"/>
      <c r="G142" s="430"/>
      <c r="H142" s="430"/>
      <c r="I142" s="430"/>
      <c r="J142" s="430"/>
      <c r="K142" s="430"/>
      <c r="L142" s="430"/>
      <c r="M142" s="430"/>
      <c r="N142" s="430"/>
      <c r="O142" s="430"/>
      <c r="P142" s="430"/>
      <c r="Q142" s="430"/>
      <c r="R142" s="430"/>
      <c r="S142" s="430"/>
      <c r="T142" s="430"/>
      <c r="U142" s="430"/>
      <c r="V142" s="430"/>
      <c r="W142" s="430"/>
      <c r="X142" s="430"/>
      <c r="Y142" s="430"/>
      <c r="Z142" s="430"/>
      <c r="AA142" s="430"/>
      <c r="AB142" s="430"/>
      <c r="AC142" s="430"/>
      <c r="AD142" s="430"/>
      <c r="AE142" s="430"/>
      <c r="AF142" s="430"/>
      <c r="AG142" s="430"/>
      <c r="AH142" s="430"/>
      <c r="AI142" s="430"/>
      <c r="AJ142" s="430"/>
      <c r="AK142" s="430"/>
      <c r="AL142" s="430"/>
      <c r="AM142" s="430"/>
      <c r="AN142" s="430"/>
      <c r="AO142" s="430"/>
      <c r="AP142" s="430"/>
      <c r="AQ142" s="430"/>
      <c r="AR142" s="430"/>
      <c r="AS142" s="430"/>
      <c r="AT142" s="430"/>
      <c r="AU142" s="430"/>
      <c r="AV142" s="430"/>
      <c r="AW142" s="430"/>
      <c r="AX142" s="430"/>
      <c r="AY142" s="430"/>
      <c r="AZ142" s="430"/>
      <c r="BA142" s="430"/>
      <c r="BB142" s="430"/>
      <c r="BC142" s="430"/>
      <c r="BD142" s="430"/>
      <c r="BE142" s="430"/>
    </row>
    <row r="143" spans="1:57">
      <c r="A143" s="430"/>
      <c r="B143" s="451"/>
      <c r="C143" s="430"/>
      <c r="D143" s="451"/>
      <c r="E143" s="430"/>
      <c r="F143" s="430"/>
      <c r="G143" s="430"/>
      <c r="H143" s="430"/>
      <c r="I143" s="430"/>
      <c r="J143" s="430"/>
      <c r="K143" s="430"/>
      <c r="L143" s="430"/>
      <c r="M143" s="430"/>
      <c r="N143" s="430"/>
      <c r="O143" s="430"/>
      <c r="P143" s="430"/>
      <c r="Q143" s="430"/>
      <c r="R143" s="430"/>
      <c r="S143" s="430"/>
      <c r="T143" s="430"/>
      <c r="U143" s="430"/>
      <c r="V143" s="430"/>
      <c r="W143" s="430"/>
      <c r="X143" s="430"/>
      <c r="Y143" s="430"/>
      <c r="Z143" s="430"/>
      <c r="AA143" s="430"/>
      <c r="AB143" s="430"/>
      <c r="AC143" s="430"/>
      <c r="AD143" s="430"/>
      <c r="AE143" s="430"/>
      <c r="AF143" s="430"/>
      <c r="AG143" s="430"/>
      <c r="AH143" s="430"/>
      <c r="AI143" s="430"/>
      <c r="AJ143" s="430"/>
      <c r="AK143" s="430"/>
      <c r="AL143" s="430"/>
      <c r="AM143" s="430"/>
      <c r="AN143" s="430"/>
      <c r="AO143" s="430"/>
      <c r="AP143" s="430"/>
      <c r="AQ143" s="430"/>
      <c r="AR143" s="430"/>
      <c r="AS143" s="430"/>
      <c r="AT143" s="430"/>
      <c r="AU143" s="430"/>
      <c r="AV143" s="430"/>
      <c r="AW143" s="430"/>
      <c r="AX143" s="430"/>
      <c r="AY143" s="430"/>
      <c r="AZ143" s="430"/>
      <c r="BA143" s="430"/>
      <c r="BB143" s="430"/>
      <c r="BC143" s="430"/>
      <c r="BD143" s="430"/>
      <c r="BE143" s="430"/>
    </row>
    <row r="144" spans="1:57">
      <c r="A144" s="430"/>
      <c r="B144" s="451"/>
      <c r="C144" s="430"/>
      <c r="D144" s="451"/>
      <c r="E144" s="430"/>
      <c r="F144" s="430"/>
      <c r="G144" s="430"/>
      <c r="H144" s="430"/>
      <c r="I144" s="430"/>
      <c r="J144" s="430"/>
      <c r="K144" s="430"/>
      <c r="L144" s="430"/>
      <c r="M144" s="430"/>
      <c r="N144" s="430"/>
      <c r="O144" s="430"/>
      <c r="P144" s="430"/>
      <c r="Q144" s="430"/>
      <c r="R144" s="430"/>
      <c r="S144" s="430"/>
      <c r="T144" s="430"/>
      <c r="U144" s="430"/>
      <c r="V144" s="430"/>
      <c r="W144" s="430"/>
      <c r="X144" s="430"/>
      <c r="Y144" s="430"/>
      <c r="Z144" s="430"/>
      <c r="AA144" s="430"/>
      <c r="AB144" s="430"/>
      <c r="AC144" s="430"/>
      <c r="AD144" s="430"/>
      <c r="AE144" s="430"/>
      <c r="AF144" s="430"/>
      <c r="AG144" s="430"/>
      <c r="AH144" s="430"/>
      <c r="AI144" s="430"/>
      <c r="AJ144" s="430"/>
      <c r="AK144" s="430"/>
      <c r="AL144" s="430"/>
      <c r="AM144" s="430"/>
      <c r="AN144" s="430"/>
      <c r="AO144" s="430"/>
      <c r="AP144" s="430"/>
      <c r="AQ144" s="430"/>
      <c r="AR144" s="430"/>
      <c r="AS144" s="430"/>
      <c r="AT144" s="430"/>
      <c r="AU144" s="430"/>
      <c r="AV144" s="430"/>
      <c r="AW144" s="430"/>
      <c r="AX144" s="430"/>
      <c r="AY144" s="430"/>
      <c r="AZ144" s="430"/>
      <c r="BA144" s="430"/>
      <c r="BB144" s="430"/>
      <c r="BC144" s="430"/>
      <c r="BD144" s="430"/>
      <c r="BE144" s="430"/>
    </row>
    <row r="145" spans="1:57">
      <c r="A145" s="430"/>
      <c r="B145" s="451"/>
      <c r="C145" s="430"/>
      <c r="D145" s="451"/>
      <c r="E145" s="430"/>
      <c r="F145" s="430"/>
      <c r="G145" s="430"/>
      <c r="H145" s="430"/>
      <c r="I145" s="430"/>
      <c r="J145" s="430"/>
      <c r="K145" s="430"/>
      <c r="L145" s="430"/>
      <c r="M145" s="430"/>
      <c r="N145" s="430"/>
      <c r="O145" s="430"/>
      <c r="P145" s="430"/>
      <c r="Q145" s="430"/>
      <c r="R145" s="430"/>
      <c r="S145" s="430"/>
      <c r="T145" s="430"/>
      <c r="U145" s="430"/>
      <c r="V145" s="430"/>
      <c r="W145" s="430"/>
      <c r="X145" s="430"/>
      <c r="Y145" s="430"/>
      <c r="Z145" s="430"/>
      <c r="AA145" s="430"/>
      <c r="AB145" s="430"/>
      <c r="AC145" s="430"/>
      <c r="AD145" s="430"/>
      <c r="AE145" s="430"/>
      <c r="AF145" s="430"/>
      <c r="AG145" s="430"/>
      <c r="AH145" s="430"/>
      <c r="AI145" s="430"/>
      <c r="AJ145" s="430"/>
      <c r="AK145" s="430"/>
      <c r="AL145" s="430"/>
      <c r="AM145" s="430"/>
      <c r="AN145" s="430"/>
      <c r="AO145" s="430"/>
      <c r="AP145" s="430"/>
      <c r="AQ145" s="430"/>
      <c r="AR145" s="430"/>
      <c r="AS145" s="430"/>
      <c r="AT145" s="430"/>
      <c r="AU145" s="430"/>
      <c r="AV145" s="430"/>
      <c r="AW145" s="430"/>
      <c r="AX145" s="430"/>
      <c r="AY145" s="430"/>
      <c r="AZ145" s="430"/>
      <c r="BA145" s="430"/>
      <c r="BB145" s="430"/>
      <c r="BC145" s="430"/>
      <c r="BD145" s="430"/>
      <c r="BE145" s="430"/>
    </row>
    <row r="146" spans="1:57">
      <c r="A146" s="430"/>
      <c r="B146" s="451"/>
      <c r="C146" s="430"/>
      <c r="D146" s="451"/>
      <c r="E146" s="430"/>
      <c r="F146" s="430"/>
      <c r="G146" s="430"/>
      <c r="H146" s="430"/>
      <c r="I146" s="430"/>
      <c r="J146" s="430"/>
      <c r="K146" s="430"/>
      <c r="L146" s="430"/>
      <c r="M146" s="430"/>
      <c r="N146" s="430"/>
      <c r="O146" s="430"/>
      <c r="P146" s="430"/>
      <c r="Q146" s="430"/>
      <c r="R146" s="430"/>
      <c r="S146" s="430"/>
      <c r="T146" s="430"/>
      <c r="U146" s="430"/>
      <c r="V146" s="430"/>
      <c r="W146" s="430"/>
      <c r="X146" s="430"/>
      <c r="Y146" s="430"/>
      <c r="Z146" s="430"/>
      <c r="AA146" s="430"/>
      <c r="AB146" s="430"/>
      <c r="AC146" s="430"/>
      <c r="AD146" s="430"/>
      <c r="AE146" s="430"/>
      <c r="AF146" s="430"/>
      <c r="AG146" s="430"/>
      <c r="AH146" s="430"/>
      <c r="AI146" s="430"/>
      <c r="AJ146" s="430"/>
      <c r="AK146" s="430"/>
      <c r="AL146" s="430"/>
      <c r="AM146" s="430"/>
      <c r="AN146" s="430"/>
      <c r="AO146" s="430"/>
      <c r="AP146" s="430"/>
      <c r="AQ146" s="430"/>
      <c r="AR146" s="430"/>
      <c r="AS146" s="430"/>
      <c r="AT146" s="430"/>
      <c r="AU146" s="430"/>
      <c r="AV146" s="430"/>
      <c r="AW146" s="430"/>
      <c r="AX146" s="430"/>
      <c r="AY146" s="430"/>
      <c r="AZ146" s="430"/>
      <c r="BA146" s="430"/>
      <c r="BB146" s="430"/>
      <c r="BC146" s="430"/>
      <c r="BD146" s="430"/>
      <c r="BE146" s="430"/>
    </row>
    <row r="147" spans="1:57">
      <c r="A147" s="430"/>
      <c r="B147" s="451"/>
      <c r="C147" s="430"/>
      <c r="D147" s="451"/>
      <c r="E147" s="430"/>
      <c r="F147" s="430"/>
      <c r="G147" s="430"/>
      <c r="H147" s="430"/>
      <c r="I147" s="430"/>
      <c r="J147" s="430"/>
      <c r="K147" s="430"/>
      <c r="L147" s="430"/>
      <c r="M147" s="430"/>
      <c r="N147" s="430"/>
      <c r="O147" s="430"/>
      <c r="P147" s="430"/>
      <c r="Q147" s="430"/>
      <c r="R147" s="430"/>
      <c r="S147" s="430"/>
      <c r="T147" s="430"/>
      <c r="U147" s="430"/>
      <c r="V147" s="430"/>
      <c r="W147" s="430"/>
      <c r="X147" s="430"/>
      <c r="Y147" s="430"/>
      <c r="Z147" s="430"/>
      <c r="AA147" s="430"/>
      <c r="AB147" s="430"/>
      <c r="AC147" s="430"/>
      <c r="AD147" s="430"/>
      <c r="AE147" s="430"/>
      <c r="AF147" s="430"/>
      <c r="AG147" s="430"/>
      <c r="AH147" s="430"/>
      <c r="AI147" s="430"/>
      <c r="AJ147" s="430"/>
      <c r="AK147" s="430"/>
      <c r="AL147" s="430"/>
      <c r="AM147" s="430"/>
      <c r="AN147" s="430"/>
      <c r="AO147" s="430"/>
      <c r="AP147" s="430"/>
      <c r="AQ147" s="430"/>
      <c r="AR147" s="430"/>
      <c r="AS147" s="430"/>
      <c r="AT147" s="430"/>
      <c r="AU147" s="430"/>
      <c r="AV147" s="430"/>
      <c r="AW147" s="430"/>
      <c r="AX147" s="430"/>
      <c r="AY147" s="430"/>
      <c r="AZ147" s="430"/>
      <c r="BA147" s="430"/>
      <c r="BB147" s="430"/>
      <c r="BC147" s="430"/>
      <c r="BD147" s="430"/>
      <c r="BE147" s="430"/>
    </row>
    <row r="148" spans="1:57">
      <c r="A148" s="430"/>
      <c r="B148" s="451"/>
      <c r="C148" s="430"/>
      <c r="D148" s="451"/>
      <c r="E148" s="430"/>
      <c r="F148" s="430"/>
      <c r="G148" s="430"/>
      <c r="H148" s="430"/>
      <c r="I148" s="430"/>
      <c r="J148" s="430"/>
      <c r="K148" s="430"/>
      <c r="L148" s="430"/>
      <c r="M148" s="430"/>
      <c r="N148" s="430"/>
      <c r="O148" s="430"/>
      <c r="P148" s="430"/>
      <c r="Q148" s="430"/>
      <c r="R148" s="430"/>
      <c r="S148" s="430"/>
      <c r="T148" s="430"/>
      <c r="U148" s="430"/>
      <c r="V148" s="430"/>
      <c r="W148" s="430"/>
      <c r="X148" s="430"/>
      <c r="Y148" s="430"/>
      <c r="Z148" s="430"/>
      <c r="AA148" s="430"/>
      <c r="AB148" s="430"/>
      <c r="AC148" s="430"/>
      <c r="AD148" s="430"/>
      <c r="AE148" s="430"/>
      <c r="AF148" s="430"/>
      <c r="AG148" s="430"/>
      <c r="AH148" s="430"/>
      <c r="AI148" s="430"/>
      <c r="AJ148" s="430"/>
      <c r="AK148" s="430"/>
      <c r="AL148" s="430"/>
      <c r="AM148" s="430"/>
      <c r="AN148" s="430"/>
      <c r="AO148" s="430"/>
      <c r="AP148" s="430"/>
      <c r="AQ148" s="430"/>
      <c r="AR148" s="430"/>
      <c r="AS148" s="430"/>
      <c r="AT148" s="430"/>
      <c r="AU148" s="430"/>
      <c r="AV148" s="430"/>
      <c r="AW148" s="430"/>
      <c r="AX148" s="430"/>
      <c r="AY148" s="430"/>
      <c r="AZ148" s="430"/>
      <c r="BA148" s="430"/>
      <c r="BB148" s="430"/>
      <c r="BC148" s="430"/>
      <c r="BD148" s="430"/>
      <c r="BE148" s="430"/>
    </row>
    <row r="149" spans="1:57">
      <c r="A149" s="430"/>
      <c r="B149" s="451"/>
      <c r="C149" s="430"/>
      <c r="D149" s="451"/>
      <c r="E149" s="430"/>
      <c r="F149" s="430"/>
      <c r="G149" s="430"/>
      <c r="H149" s="430"/>
      <c r="I149" s="430"/>
      <c r="J149" s="430"/>
      <c r="K149" s="430"/>
      <c r="L149" s="430"/>
      <c r="M149" s="430"/>
      <c r="N149" s="430"/>
      <c r="O149" s="430"/>
      <c r="P149" s="430"/>
      <c r="Q149" s="430"/>
      <c r="R149" s="430"/>
      <c r="S149" s="430"/>
      <c r="T149" s="430"/>
      <c r="U149" s="430"/>
      <c r="V149" s="430"/>
      <c r="W149" s="430"/>
      <c r="X149" s="430"/>
      <c r="Y149" s="430"/>
      <c r="Z149" s="430"/>
      <c r="AA149" s="430"/>
      <c r="AB149" s="430"/>
      <c r="AC149" s="430"/>
      <c r="AD149" s="430"/>
      <c r="AE149" s="430"/>
      <c r="AF149" s="430"/>
      <c r="AG149" s="430"/>
      <c r="AH149" s="430"/>
      <c r="AI149" s="430"/>
      <c r="AJ149" s="430"/>
      <c r="AK149" s="430"/>
      <c r="AL149" s="430"/>
      <c r="AM149" s="430"/>
      <c r="AN149" s="430"/>
      <c r="AO149" s="430"/>
      <c r="AP149" s="430"/>
      <c r="AQ149" s="430"/>
      <c r="AR149" s="430"/>
      <c r="AS149" s="430"/>
      <c r="AT149" s="430"/>
      <c r="AU149" s="430"/>
      <c r="AV149" s="430"/>
      <c r="AW149" s="430"/>
      <c r="AX149" s="430"/>
      <c r="AY149" s="430"/>
      <c r="AZ149" s="430"/>
      <c r="BA149" s="430"/>
      <c r="BB149" s="430"/>
      <c r="BC149" s="430"/>
      <c r="BD149" s="430"/>
      <c r="BE149" s="430"/>
    </row>
    <row r="150" spans="1:57">
      <c r="A150" s="430"/>
      <c r="B150" s="451"/>
      <c r="C150" s="430"/>
      <c r="D150" s="451"/>
      <c r="E150" s="430"/>
      <c r="F150" s="430"/>
      <c r="G150" s="430"/>
      <c r="H150" s="430"/>
      <c r="I150" s="430"/>
      <c r="J150" s="430"/>
      <c r="K150" s="430"/>
      <c r="L150" s="430"/>
      <c r="M150" s="430"/>
      <c r="N150" s="430"/>
      <c r="O150" s="430"/>
      <c r="P150" s="430"/>
      <c r="Q150" s="430"/>
      <c r="R150" s="430"/>
      <c r="S150" s="430"/>
      <c r="T150" s="430"/>
      <c r="U150" s="430"/>
      <c r="V150" s="430"/>
      <c r="W150" s="430"/>
      <c r="X150" s="430"/>
      <c r="Y150" s="430"/>
      <c r="Z150" s="430"/>
      <c r="AA150" s="430"/>
      <c r="AB150" s="430"/>
      <c r="AC150" s="430"/>
      <c r="AD150" s="430"/>
      <c r="AE150" s="430"/>
      <c r="AF150" s="430"/>
      <c r="AG150" s="430"/>
      <c r="AH150" s="430"/>
      <c r="AI150" s="430"/>
      <c r="AJ150" s="430"/>
      <c r="AK150" s="430"/>
      <c r="AL150" s="430"/>
      <c r="AM150" s="430"/>
      <c r="AN150" s="430"/>
      <c r="AO150" s="430"/>
      <c r="AP150" s="430"/>
      <c r="AQ150" s="430"/>
      <c r="AR150" s="430"/>
      <c r="AS150" s="430"/>
      <c r="AT150" s="430"/>
      <c r="AU150" s="430"/>
      <c r="AV150" s="430"/>
      <c r="AW150" s="430"/>
      <c r="AX150" s="430"/>
      <c r="AY150" s="430"/>
      <c r="AZ150" s="430"/>
      <c r="BA150" s="430"/>
      <c r="BB150" s="430"/>
      <c r="BC150" s="430"/>
      <c r="BD150" s="430"/>
      <c r="BE150" s="430"/>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9">
    <tabColor rgb="FFF4B084"/>
    <pageSetUpPr autoPageBreaks="0"/>
  </sheetPr>
  <dimension ref="A1:BK148"/>
  <sheetViews>
    <sheetView showGridLines="0" zoomScale="99" zoomScaleNormal="85" workbookViewId="0">
      <pane xSplit="4" ySplit="3" topLeftCell="E50" activePane="bottomRight" state="frozen"/>
      <selection pane="topRight"/>
      <selection pane="bottomLeft" activeCell="E16" sqref="E16"/>
      <selection pane="bottomRight" activeCell="P61" sqref="P61"/>
    </sheetView>
  </sheetViews>
  <sheetFormatPr defaultRowHeight="14.5" outlineLevelCol="1"/>
  <cols>
    <col min="1" max="1" width="43.26953125" style="5" bestFit="1" customWidth="1"/>
    <col min="2" max="2" width="4.453125" style="424" customWidth="1"/>
    <col min="3" max="3" width="19.90625" style="424" customWidth="1"/>
    <col min="4" max="4" width="21.54296875" style="424" customWidth="1"/>
    <col min="5" max="5" width="14.26953125" style="423" customWidth="1"/>
    <col min="6" max="9" width="10.7265625" style="429" hidden="1" customWidth="1" outlineLevel="1"/>
    <col min="10" max="11" width="10.7265625" style="624" hidden="1" customWidth="1" outlineLevel="1"/>
    <col min="12" max="12" width="19.6328125" style="5" customWidth="1" collapsed="1"/>
    <col min="13" max="13" width="16" style="5" customWidth="1"/>
    <col min="14" max="14" width="16.26953125" style="5" customWidth="1"/>
    <col min="15" max="15" width="16.26953125" style="5" bestFit="1" customWidth="1"/>
    <col min="16" max="17" width="14.6328125" style="5" bestFit="1" customWidth="1"/>
    <col min="18" max="18" width="16.26953125" style="5" bestFit="1" customWidth="1"/>
    <col min="19" max="19" width="15.6328125" style="5" bestFit="1" customWidth="1"/>
    <col min="20" max="20" width="17.453125" style="5" bestFit="1" customWidth="1"/>
    <col min="21" max="21" width="15.6328125" style="5" bestFit="1" customWidth="1"/>
    <col min="22" max="22" width="16.26953125" style="5" bestFit="1" customWidth="1"/>
    <col min="23" max="23" width="17.453125" style="5" bestFit="1" customWidth="1"/>
    <col min="24" max="27" width="17.453125" bestFit="1" customWidth="1"/>
    <col min="28" max="28" width="18.6328125" bestFit="1" customWidth="1"/>
    <col min="29" max="29" width="24.26953125" bestFit="1" customWidth="1"/>
    <col min="30" max="30" width="18.6328125" bestFit="1" customWidth="1"/>
    <col min="31" max="31" width="28" bestFit="1" customWidth="1"/>
    <col min="32" max="32" width="9.6328125" bestFit="1" customWidth="1"/>
    <col min="33" max="33" width="14.453125" bestFit="1" customWidth="1"/>
    <col min="34" max="34" width="13.453125" bestFit="1" customWidth="1"/>
    <col min="35" max="35" width="14.453125" bestFit="1" customWidth="1"/>
    <col min="36" max="37" width="8.453125" bestFit="1" customWidth="1"/>
    <col min="38" max="38" width="5.26953125" bestFit="1" customWidth="1"/>
    <col min="39" max="39" width="7" bestFit="1" customWidth="1"/>
    <col min="40" max="40" width="5.54296875" bestFit="1" customWidth="1"/>
    <col min="41" max="41" width="6.26953125" bestFit="1" customWidth="1"/>
    <col min="42" max="42" width="7.453125" bestFit="1" customWidth="1"/>
    <col min="43" max="43" width="7" bestFit="1" customWidth="1"/>
    <col min="44" max="44" width="5.54296875" bestFit="1" customWidth="1"/>
    <col min="45" max="45" width="10.453125" bestFit="1" customWidth="1"/>
    <col min="46" max="46" width="5.453125" bestFit="1" customWidth="1"/>
    <col min="47" max="47" width="12.26953125" bestFit="1" customWidth="1"/>
    <col min="48" max="49" width="5.453125" bestFit="1" customWidth="1"/>
    <col min="50" max="50" width="7.54296875" bestFit="1" customWidth="1"/>
    <col min="51" max="51" width="7.453125" bestFit="1" customWidth="1"/>
    <col min="52" max="52" width="7" bestFit="1" customWidth="1"/>
    <col min="53" max="53" width="5.453125" bestFit="1" customWidth="1"/>
    <col min="54" max="54" width="6.26953125" bestFit="1" customWidth="1"/>
    <col min="55" max="57" width="5.453125" bestFit="1" customWidth="1"/>
    <col min="58" max="58" width="5.54296875" bestFit="1" customWidth="1"/>
    <col min="59" max="59" width="7.453125" bestFit="1" customWidth="1"/>
    <col min="60" max="60" width="7" bestFit="1" customWidth="1"/>
    <col min="61" max="61" width="5.26953125" bestFit="1" customWidth="1"/>
    <col min="62" max="62" width="22.6328125" bestFit="1" customWidth="1"/>
  </cols>
  <sheetData>
    <row r="1" spans="1:63" ht="18.399999999999999" customHeight="1">
      <c r="A1" s="452"/>
      <c r="B1" s="452"/>
      <c r="C1" s="452"/>
      <c r="D1" s="452"/>
      <c r="E1" s="619" t="s">
        <v>1146</v>
      </c>
      <c r="F1" s="430"/>
      <c r="G1" s="430"/>
      <c r="H1" s="430"/>
      <c r="I1" s="430"/>
      <c r="J1" s="430"/>
      <c r="K1" s="430"/>
      <c r="L1" s="619" t="s">
        <v>1147</v>
      </c>
      <c r="M1" s="453"/>
      <c r="N1" s="453"/>
      <c r="O1" s="453"/>
      <c r="P1" s="453"/>
      <c r="Q1" s="453"/>
      <c r="R1" s="453"/>
      <c r="S1" s="453"/>
      <c r="T1" s="453"/>
      <c r="U1" s="453"/>
      <c r="V1" s="453"/>
      <c r="W1" s="453"/>
      <c r="X1" s="430"/>
      <c r="Y1" s="454"/>
      <c r="Z1" s="430"/>
      <c r="AA1" s="430"/>
      <c r="AB1" s="430"/>
      <c r="AC1" s="430"/>
      <c r="AD1" s="430"/>
      <c r="AE1" s="430"/>
      <c r="AF1" s="430"/>
      <c r="AG1" s="430"/>
      <c r="AH1" s="430"/>
      <c r="AI1" s="430"/>
      <c r="AJ1" s="430"/>
      <c r="AK1" s="430"/>
      <c r="AL1" s="430"/>
      <c r="AM1" s="430"/>
      <c r="AN1" s="430"/>
      <c r="AO1" s="430"/>
      <c r="AP1" s="430"/>
      <c r="AQ1" s="430"/>
      <c r="AR1" s="430"/>
      <c r="AS1" s="430"/>
      <c r="AT1" s="430"/>
      <c r="AU1" s="430"/>
      <c r="AV1" s="430"/>
      <c r="AW1" s="430"/>
      <c r="AX1" s="430"/>
      <c r="AY1" s="430"/>
      <c r="AZ1" s="430"/>
      <c r="BA1" s="430"/>
      <c r="BB1" s="430"/>
      <c r="BC1" s="430"/>
      <c r="BD1" s="430"/>
      <c r="BE1" s="430"/>
      <c r="BF1" s="430"/>
      <c r="BG1" s="430"/>
      <c r="BH1" s="430"/>
      <c r="BI1" s="430"/>
      <c r="BJ1" s="430"/>
      <c r="BK1" s="430"/>
    </row>
    <row r="2" spans="1:63">
      <c r="A2" s="433" t="s">
        <v>0</v>
      </c>
      <c r="B2" s="434"/>
      <c r="C2" s="434"/>
      <c r="D2" s="434"/>
      <c r="E2" s="436">
        <v>45657</v>
      </c>
      <c r="F2" s="436">
        <v>45747</v>
      </c>
      <c r="G2" s="436">
        <v>45838</v>
      </c>
      <c r="H2" s="436">
        <v>45930</v>
      </c>
      <c r="I2" s="436">
        <v>46022</v>
      </c>
      <c r="J2" s="436">
        <v>46112</v>
      </c>
      <c r="K2" s="436">
        <v>46203</v>
      </c>
      <c r="L2" s="436">
        <v>45747</v>
      </c>
      <c r="M2" s="436">
        <v>45838</v>
      </c>
      <c r="N2" s="620">
        <v>45930</v>
      </c>
      <c r="O2" s="436">
        <v>46022</v>
      </c>
      <c r="P2" s="436">
        <v>46112</v>
      </c>
      <c r="Q2" s="620">
        <v>46203</v>
      </c>
      <c r="R2" s="436">
        <v>46295</v>
      </c>
      <c r="S2" s="436">
        <v>46387</v>
      </c>
      <c r="T2" s="436">
        <v>46752</v>
      </c>
      <c r="U2" s="436">
        <v>47118</v>
      </c>
      <c r="V2" s="436">
        <v>47483</v>
      </c>
      <c r="W2" s="436">
        <v>47848</v>
      </c>
      <c r="X2" s="437"/>
      <c r="Y2" s="437"/>
      <c r="Z2" s="437"/>
      <c r="AA2" s="437"/>
      <c r="AB2" s="437"/>
      <c r="AC2" s="437"/>
      <c r="AD2" s="437"/>
      <c r="AE2" s="437"/>
      <c r="AF2" s="437"/>
      <c r="AG2" s="437"/>
      <c r="AH2" s="437"/>
      <c r="AI2" s="437"/>
      <c r="AJ2" s="437"/>
      <c r="AK2" s="437"/>
      <c r="AL2" s="437"/>
      <c r="AM2" s="437"/>
      <c r="AN2" s="437"/>
      <c r="AO2" s="437"/>
      <c r="AP2" s="437"/>
      <c r="AQ2" s="437"/>
      <c r="AR2" s="437"/>
      <c r="AS2" s="437"/>
      <c r="AT2" s="437"/>
      <c r="AU2" s="437"/>
      <c r="AV2" s="437"/>
      <c r="AW2" s="437"/>
      <c r="AX2" s="437"/>
      <c r="AY2" s="437"/>
      <c r="AZ2" s="437"/>
      <c r="BA2" s="437"/>
      <c r="BB2" s="437"/>
      <c r="BC2" s="437"/>
      <c r="BD2" s="437"/>
      <c r="BE2" s="437"/>
      <c r="BF2" s="437"/>
      <c r="BG2" s="437"/>
      <c r="BH2" s="437"/>
      <c r="BI2" s="437"/>
      <c r="BJ2" s="437"/>
      <c r="BK2" s="437"/>
    </row>
    <row r="3" spans="1:63">
      <c r="A3" s="433" t="s">
        <v>1</v>
      </c>
      <c r="B3" s="437"/>
      <c r="C3" s="437"/>
      <c r="D3" s="437"/>
      <c r="E3" s="439" t="s">
        <v>2</v>
      </c>
      <c r="F3" s="439" t="s">
        <v>3</v>
      </c>
      <c r="G3" s="439" t="s">
        <v>4</v>
      </c>
      <c r="H3" s="439" t="s">
        <v>5</v>
      </c>
      <c r="I3" s="439" t="s">
        <v>2</v>
      </c>
      <c r="J3" s="625" t="s">
        <v>3</v>
      </c>
      <c r="K3" s="625" t="s">
        <v>4</v>
      </c>
      <c r="L3" s="439" t="s">
        <v>3</v>
      </c>
      <c r="M3" s="439" t="s">
        <v>4</v>
      </c>
      <c r="N3" s="439" t="s">
        <v>5</v>
      </c>
      <c r="O3" s="439" t="s">
        <v>2</v>
      </c>
      <c r="P3" s="439" t="s">
        <v>3</v>
      </c>
      <c r="Q3" s="439" t="s">
        <v>4</v>
      </c>
      <c r="R3" s="439" t="s">
        <v>5</v>
      </c>
      <c r="S3" s="439" t="s">
        <v>2</v>
      </c>
      <c r="T3" s="439" t="s">
        <v>2</v>
      </c>
      <c r="U3" s="439" t="s">
        <v>2</v>
      </c>
      <c r="V3" s="439" t="s">
        <v>2</v>
      </c>
      <c r="W3" s="439" t="s">
        <v>2</v>
      </c>
      <c r="X3" s="437"/>
      <c r="Y3" s="437"/>
      <c r="Z3" s="437"/>
      <c r="AA3" s="437"/>
      <c r="AB3" s="437"/>
      <c r="AC3" s="437"/>
      <c r="AD3" s="437"/>
      <c r="AE3" s="437"/>
      <c r="AF3" s="437"/>
      <c r="AG3" s="437"/>
      <c r="AH3" s="437"/>
      <c r="AI3" s="437"/>
      <c r="AJ3" s="437"/>
      <c r="AK3" s="437"/>
      <c r="AL3" s="437"/>
      <c r="AM3" s="437"/>
      <c r="AN3" s="437"/>
      <c r="AO3" s="437"/>
      <c r="AP3" s="437"/>
      <c r="AQ3" s="437"/>
      <c r="AR3" s="437"/>
      <c r="AS3" s="437"/>
      <c r="AT3" s="437"/>
      <c r="AU3" s="437"/>
      <c r="AV3" s="437"/>
      <c r="AW3" s="437"/>
      <c r="AX3" s="437"/>
      <c r="AY3" s="437"/>
      <c r="AZ3" s="437"/>
      <c r="BA3" s="437"/>
      <c r="BB3" s="437"/>
      <c r="BC3" s="437"/>
      <c r="BD3" s="437"/>
      <c r="BE3" s="437"/>
      <c r="BF3" s="437"/>
      <c r="BG3" s="437"/>
      <c r="BH3" s="437"/>
      <c r="BI3" s="437"/>
      <c r="BJ3" s="437"/>
      <c r="BK3" s="437"/>
    </row>
    <row r="4" spans="1:63" s="426" customFormat="1" ht="18.5" customHeight="1">
      <c r="A4" s="447"/>
      <c r="B4" s="440" t="s">
        <v>6</v>
      </c>
      <c r="C4" s="440" t="s">
        <v>7</v>
      </c>
      <c r="D4" s="440" t="s">
        <v>8</v>
      </c>
      <c r="E4" s="457"/>
      <c r="F4" s="430"/>
      <c r="G4" s="430"/>
      <c r="H4" s="430"/>
      <c r="I4" s="430"/>
      <c r="J4" s="430"/>
      <c r="K4" s="430"/>
      <c r="L4" s="457"/>
      <c r="M4" s="457"/>
      <c r="N4" s="457"/>
      <c r="O4" s="457"/>
      <c r="P4" s="457"/>
      <c r="Q4" s="457"/>
      <c r="R4" s="457"/>
      <c r="S4" s="457"/>
      <c r="T4" s="457"/>
      <c r="U4" s="457"/>
      <c r="V4" s="457"/>
      <c r="W4" s="457"/>
      <c r="X4" s="430"/>
      <c r="Y4" s="430"/>
      <c r="Z4" s="430"/>
      <c r="AA4" s="430"/>
      <c r="AB4" s="430"/>
      <c r="AC4" s="430"/>
      <c r="AD4" s="430"/>
      <c r="AE4" s="430"/>
      <c r="AF4" s="430"/>
      <c r="AG4" s="430"/>
      <c r="AH4" s="430"/>
      <c r="AI4" s="430"/>
      <c r="AJ4" s="430"/>
      <c r="AK4" s="430"/>
      <c r="AL4" s="430"/>
      <c r="AM4" s="430"/>
      <c r="AN4" s="430"/>
      <c r="AO4" s="430"/>
      <c r="AP4" s="430"/>
      <c r="AQ4" s="430"/>
      <c r="AR4" s="430"/>
      <c r="AS4" s="430"/>
      <c r="AT4" s="430"/>
      <c r="AU4" s="430"/>
      <c r="AV4" s="430"/>
      <c r="AW4" s="430"/>
      <c r="AX4" s="430"/>
      <c r="AY4" s="430"/>
      <c r="AZ4" s="430"/>
      <c r="BA4" s="430"/>
      <c r="BB4" s="430"/>
      <c r="BC4" s="430"/>
      <c r="BD4" s="430"/>
      <c r="BE4" s="430"/>
      <c r="BF4" s="430"/>
      <c r="BG4" s="430"/>
      <c r="BH4" s="430"/>
      <c r="BI4" s="430"/>
      <c r="BJ4" s="430"/>
      <c r="BK4" s="430"/>
    </row>
    <row r="5" spans="1:63">
      <c r="A5" s="444" t="s">
        <v>9</v>
      </c>
      <c r="B5" s="445"/>
      <c r="C5" s="445"/>
      <c r="D5" s="445"/>
      <c r="E5" s="447"/>
      <c r="F5" s="430"/>
      <c r="G5" s="430"/>
      <c r="H5" s="430"/>
      <c r="I5" s="430"/>
      <c r="J5" s="430"/>
      <c r="K5" s="430"/>
      <c r="L5" s="457"/>
      <c r="M5" s="457"/>
      <c r="N5" s="457"/>
      <c r="O5" s="457"/>
      <c r="P5" s="458"/>
      <c r="Q5" s="458"/>
      <c r="R5" s="458"/>
      <c r="S5" s="458"/>
      <c r="T5" s="459"/>
      <c r="U5" s="459"/>
      <c r="V5" s="459"/>
      <c r="W5" s="459"/>
      <c r="X5" s="430"/>
      <c r="Y5" s="430"/>
      <c r="Z5" s="430"/>
      <c r="AA5" s="430"/>
      <c r="AB5" s="430"/>
      <c r="AC5" s="430"/>
      <c r="AD5" s="430"/>
      <c r="AE5" s="430"/>
      <c r="AF5" s="430"/>
      <c r="AG5" s="430"/>
      <c r="AH5" s="430"/>
      <c r="AI5" s="430"/>
      <c r="AJ5" s="430"/>
      <c r="AK5" s="430"/>
      <c r="AL5" s="430"/>
      <c r="AM5" s="430"/>
      <c r="AN5" s="430"/>
      <c r="AO5" s="430"/>
      <c r="AP5" s="430"/>
      <c r="AQ5" s="430"/>
      <c r="AR5" s="430"/>
      <c r="AS5" s="430"/>
      <c r="AT5" s="430"/>
      <c r="AU5" s="430"/>
      <c r="AV5" s="430"/>
      <c r="AW5" s="430"/>
      <c r="AX5" s="430"/>
      <c r="AY5" s="430"/>
      <c r="AZ5" s="430"/>
      <c r="BA5" s="430"/>
      <c r="BB5" s="430"/>
      <c r="BC5" s="430"/>
      <c r="BD5" s="430"/>
      <c r="BE5" s="430"/>
      <c r="BF5" s="430"/>
      <c r="BG5" s="430"/>
      <c r="BH5" s="430"/>
      <c r="BI5" s="430"/>
      <c r="BJ5" s="430"/>
      <c r="BK5" s="430"/>
    </row>
    <row r="6" spans="1:63">
      <c r="A6" s="460" t="s">
        <v>10</v>
      </c>
      <c r="B6" s="445"/>
      <c r="C6" s="448"/>
      <c r="D6" s="448"/>
      <c r="E6" s="461"/>
      <c r="F6" s="430"/>
      <c r="G6" s="430"/>
      <c r="H6" s="430"/>
      <c r="I6" s="430"/>
      <c r="J6" s="430"/>
      <c r="K6" s="430"/>
      <c r="L6" s="461">
        <f>'c12_hm'!L70</f>
        <v>558947</v>
      </c>
      <c r="M6" s="461">
        <f>'c12_hm'!M70</f>
        <v>558947</v>
      </c>
      <c r="N6" s="461">
        <f>'c12_hm'!N70</f>
        <v>558947</v>
      </c>
      <c r="O6" s="461">
        <f>'c12_hm'!O70</f>
        <v>447597</v>
      </c>
      <c r="P6" s="461">
        <f>'c12_hm'!P70</f>
        <v>63035.789473684214</v>
      </c>
      <c r="Q6" s="461">
        <f>'c12_hm'!Q70</f>
        <v>398173.6519736842</v>
      </c>
      <c r="R6" s="461">
        <f>'c12_hm'!R70</f>
        <v>400447.33618421049</v>
      </c>
      <c r="S6" s="461">
        <f>'c12_hm'!S70</f>
        <v>662529.63026315777</v>
      </c>
      <c r="T6" s="461">
        <f>'c12_hm'!T70</f>
        <v>1158059.7503684212</v>
      </c>
      <c r="U6" s="461">
        <f>'c12_hm'!U70</f>
        <v>1728329.2744584209</v>
      </c>
      <c r="V6" s="461">
        <f>'c12_hm'!V70</f>
        <v>2694175.9822711209</v>
      </c>
      <c r="W6" s="461">
        <f>'c12_hm'!W70</f>
        <v>2432050.7995836935</v>
      </c>
      <c r="X6" s="430"/>
      <c r="Y6" s="430"/>
      <c r="Z6" s="430"/>
      <c r="AA6" s="430"/>
      <c r="AB6" s="430"/>
      <c r="AC6" s="430"/>
      <c r="AD6" s="430"/>
      <c r="AE6" s="430"/>
      <c r="AF6" s="430"/>
      <c r="AG6" s="430"/>
      <c r="AH6" s="430"/>
      <c r="AI6" s="430"/>
      <c r="AJ6" s="430"/>
      <c r="AK6" s="430"/>
      <c r="AL6" s="430"/>
      <c r="AM6" s="430"/>
      <c r="AN6" s="430"/>
      <c r="AO6" s="430"/>
      <c r="AP6" s="430"/>
      <c r="AQ6" s="430"/>
      <c r="AR6" s="430"/>
      <c r="AS6" s="430"/>
      <c r="AT6" s="430"/>
      <c r="AU6" s="430"/>
      <c r="AV6" s="430"/>
      <c r="AW6" s="430"/>
      <c r="AX6" s="430"/>
      <c r="AY6" s="430"/>
      <c r="AZ6" s="430"/>
      <c r="BA6" s="430"/>
      <c r="BB6" s="430"/>
      <c r="BC6" s="430"/>
      <c r="BD6" s="430"/>
      <c r="BE6" s="430"/>
      <c r="BF6" s="430"/>
      <c r="BG6" s="430"/>
      <c r="BH6" s="430"/>
      <c r="BI6" s="430"/>
      <c r="BJ6" s="430"/>
      <c r="BK6" s="430"/>
    </row>
    <row r="7" spans="1:63">
      <c r="A7" s="460" t="s">
        <v>11</v>
      </c>
      <c r="B7" s="445"/>
      <c r="C7" s="448"/>
      <c r="D7" s="448"/>
      <c r="E7" s="461"/>
      <c r="F7" s="430"/>
      <c r="G7" s="430"/>
      <c r="H7" s="430"/>
      <c r="I7" s="430"/>
      <c r="J7" s="430"/>
      <c r="K7" s="430"/>
      <c r="L7" s="461">
        <f>'c12_bi&amp;F'!L70</f>
        <v>0</v>
      </c>
      <c r="M7" s="461">
        <f>'c12_bi&amp;F'!M70</f>
        <v>0</v>
      </c>
      <c r="N7" s="461">
        <f>'c12_bi&amp;F'!N70</f>
        <v>0</v>
      </c>
      <c r="O7" s="461">
        <f>'c12_bi&amp;F'!O70</f>
        <v>0</v>
      </c>
      <c r="P7" s="461">
        <f>'c12_bi&amp;F'!P70</f>
        <v>16714.736842105263</v>
      </c>
      <c r="Q7" s="461">
        <f>'c12_bi&amp;F'!Q70</f>
        <v>16714.736842105263</v>
      </c>
      <c r="R7" s="461">
        <f>'c12_bi&amp;F'!R70</f>
        <v>22398.947368421053</v>
      </c>
      <c r="S7" s="461">
        <f>'c12_bi&amp;F'!S70</f>
        <v>27047.105263157893</v>
      </c>
      <c r="T7" s="461">
        <f>'c12_bi&amp;F'!T70</f>
        <v>105837.63157894737</v>
      </c>
      <c r="U7" s="461">
        <f>'c12_bi&amp;F'!U70</f>
        <v>137337.63157894736</v>
      </c>
      <c r="V7" s="461">
        <f>'c12_bi&amp;F'!V70</f>
        <v>137337.63157894736</v>
      </c>
      <c r="W7" s="461">
        <f>'c12_bi&amp;F'!W70</f>
        <v>137337.63157894736</v>
      </c>
      <c r="X7" s="430"/>
      <c r="Y7" s="454"/>
      <c r="Z7" s="430"/>
      <c r="AA7" s="430"/>
      <c r="AB7" s="430"/>
      <c r="AC7" s="430"/>
      <c r="AD7" s="430"/>
      <c r="AE7" s="430"/>
      <c r="AF7" s="430"/>
      <c r="AG7" s="430"/>
      <c r="AH7" s="430"/>
      <c r="AI7" s="430"/>
      <c r="AJ7" s="430"/>
      <c r="AK7" s="430"/>
      <c r="AL7" s="430"/>
      <c r="AM7" s="430"/>
      <c r="AN7" s="430"/>
      <c r="AO7" s="430"/>
      <c r="AP7" s="430"/>
      <c r="AQ7" s="430"/>
      <c r="AR7" s="430"/>
      <c r="AS7" s="430"/>
      <c r="AT7" s="430"/>
      <c r="AU7" s="430"/>
      <c r="AV7" s="430"/>
      <c r="AW7" s="430"/>
      <c r="AX7" s="430"/>
      <c r="AY7" s="430"/>
      <c r="AZ7" s="430"/>
      <c r="BA7" s="430"/>
      <c r="BB7" s="430"/>
      <c r="BC7" s="430"/>
      <c r="BD7" s="430"/>
      <c r="BE7" s="430"/>
      <c r="BF7" s="430"/>
      <c r="BG7" s="430"/>
      <c r="BH7" s="430"/>
      <c r="BI7" s="430"/>
      <c r="BJ7" s="430"/>
      <c r="BK7" s="430"/>
    </row>
    <row r="8" spans="1:63">
      <c r="A8" s="460" t="s">
        <v>12</v>
      </c>
      <c r="B8" s="445"/>
      <c r="C8" s="448"/>
      <c r="D8" s="448"/>
      <c r="E8" s="461"/>
      <c r="F8" s="430"/>
      <c r="G8" s="430"/>
      <c r="H8" s="430"/>
      <c r="I8" s="430"/>
      <c r="J8" s="430"/>
      <c r="K8" s="430"/>
      <c r="L8" s="461">
        <f>'c12_d&amp;s'!L70</f>
        <v>64367.75</v>
      </c>
      <c r="M8" s="461">
        <f>'c12_d&amp;s'!M70</f>
        <v>64367.75</v>
      </c>
      <c r="N8" s="461">
        <f>'c12_d&amp;s'!N70</f>
        <v>349567.75</v>
      </c>
      <c r="O8" s="461">
        <f>'c12_d&amp;s'!O70</f>
        <v>455617.75</v>
      </c>
      <c r="P8" s="461">
        <f>'c12_d&amp;s'!P70</f>
        <v>806580.95035087725</v>
      </c>
      <c r="Q8" s="461">
        <f>'c12_d&amp;s'!Q70</f>
        <v>1015405.0903508773</v>
      </c>
      <c r="R8" s="461">
        <f>'c12_d&amp;s'!R70</f>
        <v>935314.59035087726</v>
      </c>
      <c r="S8" s="461">
        <f>'c12_d&amp;s'!S70</f>
        <v>2208920.6166666662</v>
      </c>
      <c r="T8" s="461">
        <f>'c12_d&amp;s'!T70</f>
        <v>3652224.3497192976</v>
      </c>
      <c r="U8" s="461">
        <f>'c12_d&amp;s'!U70</f>
        <v>2410340.1441059648</v>
      </c>
      <c r="V8" s="461">
        <f>'c12_d&amp;s'!V70</f>
        <v>1422418.8082975647</v>
      </c>
      <c r="W8" s="461">
        <f>'c12_d&amp;s'!W70</f>
        <v>1408540.132414913</v>
      </c>
      <c r="X8" s="430"/>
      <c r="Y8" s="454"/>
      <c r="Z8" s="430"/>
      <c r="AA8" s="430"/>
      <c r="AB8" s="430"/>
      <c r="AC8" s="430"/>
      <c r="AD8" s="430"/>
      <c r="AE8" s="430"/>
      <c r="AF8" s="430"/>
      <c r="AG8" s="430"/>
      <c r="AH8" s="430"/>
      <c r="AI8" s="430"/>
      <c r="AJ8" s="430"/>
      <c r="AK8" s="430"/>
      <c r="AL8" s="430"/>
      <c r="AM8" s="430"/>
      <c r="AN8" s="430"/>
      <c r="AO8" s="430"/>
      <c r="AP8" s="430"/>
      <c r="AQ8" s="430"/>
      <c r="AR8" s="430"/>
      <c r="AS8" s="430"/>
      <c r="AT8" s="430"/>
      <c r="AU8" s="430"/>
      <c r="AV8" s="430"/>
      <c r="AW8" s="430"/>
      <c r="AX8" s="430"/>
      <c r="AY8" s="430"/>
      <c r="AZ8" s="430"/>
      <c r="BA8" s="430"/>
      <c r="BB8" s="430"/>
      <c r="BC8" s="430"/>
      <c r="BD8" s="430"/>
      <c r="BE8" s="430"/>
      <c r="BF8" s="430"/>
      <c r="BG8" s="430"/>
      <c r="BH8" s="430"/>
      <c r="BI8" s="430"/>
      <c r="BJ8" s="430"/>
      <c r="BK8" s="430"/>
    </row>
    <row r="9" spans="1:63" ht="15" customHeight="1" thickBot="1">
      <c r="A9" s="448"/>
      <c r="B9" s="445"/>
      <c r="C9" s="448"/>
      <c r="D9" s="448"/>
      <c r="E9" s="461"/>
      <c r="F9" s="430"/>
      <c r="G9" s="430"/>
      <c r="H9" s="430"/>
      <c r="I9" s="430"/>
      <c r="J9" s="430"/>
      <c r="K9" s="430"/>
      <c r="L9" s="461"/>
      <c r="M9" s="461"/>
      <c r="N9" s="461"/>
      <c r="O9" s="461"/>
      <c r="P9" s="461"/>
      <c r="Q9" s="461"/>
      <c r="R9" s="461"/>
      <c r="S9" s="461"/>
      <c r="T9" s="461"/>
      <c r="U9" s="461"/>
      <c r="V9" s="461"/>
      <c r="W9" s="461"/>
      <c r="X9" s="430"/>
      <c r="Y9" s="454"/>
      <c r="Z9" s="430"/>
      <c r="AA9" s="430"/>
      <c r="AB9" s="430"/>
      <c r="AC9" s="430"/>
      <c r="AD9" s="430"/>
      <c r="AE9" s="430"/>
      <c r="AF9" s="430"/>
      <c r="AG9" s="430"/>
      <c r="AH9" s="430"/>
      <c r="AI9" s="430"/>
      <c r="AJ9" s="430"/>
      <c r="AK9" s="430"/>
      <c r="AL9" s="430"/>
      <c r="AM9" s="430"/>
      <c r="AN9" s="430"/>
      <c r="AO9" s="430"/>
      <c r="AP9" s="430"/>
      <c r="AQ9" s="430"/>
      <c r="AR9" s="430"/>
      <c r="AS9" s="430"/>
      <c r="AT9" s="430"/>
      <c r="AU9" s="430"/>
      <c r="AV9" s="430"/>
      <c r="AW9" s="430"/>
      <c r="AX9" s="430"/>
      <c r="AY9" s="430"/>
      <c r="AZ9" s="430"/>
      <c r="BA9" s="430"/>
      <c r="BB9" s="430"/>
      <c r="BC9" s="430"/>
      <c r="BD9" s="430"/>
      <c r="BE9" s="430"/>
      <c r="BF9" s="430"/>
      <c r="BG9" s="430"/>
      <c r="BH9" s="430"/>
      <c r="BI9" s="430"/>
      <c r="BJ9" s="430"/>
      <c r="BK9" s="430"/>
    </row>
    <row r="10" spans="1:63" s="417" customFormat="1" ht="14.65" customHeight="1" thickTop="1" thickBot="1">
      <c r="A10" s="462" t="s">
        <v>13</v>
      </c>
      <c r="B10" s="443" t="s">
        <v>14</v>
      </c>
      <c r="C10" s="443" t="s">
        <v>15</v>
      </c>
      <c r="D10" s="445"/>
      <c r="E10" s="463">
        <v>2452451</v>
      </c>
      <c r="F10" s="464"/>
      <c r="G10" s="464"/>
      <c r="H10" s="464"/>
      <c r="I10" s="464"/>
      <c r="J10" s="464"/>
      <c r="K10" s="464"/>
      <c r="L10" s="465">
        <f t="shared" ref="L10:W10" si="0">SUM(L6:L9)</f>
        <v>623314.75</v>
      </c>
      <c r="M10" s="465">
        <f t="shared" si="0"/>
        <v>623314.75</v>
      </c>
      <c r="N10" s="465">
        <f t="shared" si="0"/>
        <v>908514.75</v>
      </c>
      <c r="O10" s="465">
        <f t="shared" si="0"/>
        <v>903214.75</v>
      </c>
      <c r="P10" s="465">
        <f t="shared" si="0"/>
        <v>886331.47666666668</v>
      </c>
      <c r="Q10" s="465">
        <f t="shared" si="0"/>
        <v>1430293.4791666667</v>
      </c>
      <c r="R10" s="465">
        <f t="shared" si="0"/>
        <v>1358160.8739035088</v>
      </c>
      <c r="S10" s="465">
        <f t="shared" si="0"/>
        <v>2898497.3521929821</v>
      </c>
      <c r="T10" s="466">
        <f t="shared" si="0"/>
        <v>4916121.7316666665</v>
      </c>
      <c r="U10" s="466">
        <f t="shared" si="0"/>
        <v>4276007.0501433332</v>
      </c>
      <c r="V10" s="466">
        <f t="shared" si="0"/>
        <v>4253932.4221476335</v>
      </c>
      <c r="W10" s="466">
        <f t="shared" si="0"/>
        <v>3977928.5635775542</v>
      </c>
      <c r="X10" s="442" t="s">
        <v>16</v>
      </c>
      <c r="Y10" s="454"/>
      <c r="Z10" s="430"/>
      <c r="AA10" s="430"/>
      <c r="AB10" s="430"/>
      <c r="AC10" s="430"/>
      <c r="AD10" s="430"/>
      <c r="AE10" s="430"/>
      <c r="AF10" s="430"/>
      <c r="AG10" s="430"/>
      <c r="AH10" s="430"/>
      <c r="AI10" s="430"/>
      <c r="AJ10" s="430"/>
      <c r="AK10" s="430"/>
      <c r="AL10" s="430"/>
      <c r="AM10" s="430"/>
      <c r="AN10" s="430"/>
      <c r="AO10" s="430"/>
      <c r="AP10" s="430"/>
      <c r="AQ10" s="430"/>
      <c r="AR10" s="430"/>
      <c r="AS10" s="430"/>
      <c r="AT10" s="430"/>
      <c r="AU10" s="430"/>
      <c r="AV10" s="430"/>
      <c r="AW10" s="430"/>
      <c r="AX10" s="430"/>
      <c r="AY10" s="430"/>
      <c r="AZ10" s="430"/>
      <c r="BA10" s="430"/>
      <c r="BB10" s="430"/>
      <c r="BC10" s="430"/>
      <c r="BD10" s="430"/>
      <c r="BE10" s="430"/>
      <c r="BF10" s="430"/>
      <c r="BG10" s="430"/>
      <c r="BH10" s="430"/>
      <c r="BI10" s="430"/>
      <c r="BJ10" s="430"/>
      <c r="BK10" s="430"/>
    </row>
    <row r="11" spans="1:63" s="28" customFormat="1" ht="15" customHeight="1" thickTop="1">
      <c r="A11" s="458"/>
      <c r="B11" s="445"/>
      <c r="C11" s="445"/>
      <c r="D11" s="445"/>
      <c r="E11" s="447"/>
      <c r="F11" s="430"/>
      <c r="G11" s="430"/>
      <c r="H11" s="430"/>
      <c r="I11" s="430"/>
      <c r="J11" s="430"/>
      <c r="K11" s="430"/>
      <c r="L11" s="461"/>
      <c r="M11" s="461"/>
      <c r="N11" s="461"/>
      <c r="O11" s="461"/>
      <c r="P11" s="461"/>
      <c r="Q11" s="461"/>
      <c r="R11" s="461"/>
      <c r="S11" s="461"/>
      <c r="T11" s="461"/>
      <c r="U11" s="461"/>
      <c r="V11" s="461"/>
      <c r="W11" s="461"/>
      <c r="X11" s="430"/>
      <c r="Y11" s="454"/>
      <c r="Z11" s="430"/>
      <c r="AA11" s="430"/>
      <c r="AB11" s="430"/>
      <c r="AC11" s="430"/>
      <c r="AD11" s="430"/>
      <c r="AE11" s="430"/>
      <c r="AF11" s="430"/>
      <c r="AG11" s="430"/>
      <c r="AH11" s="430"/>
      <c r="AI11" s="430"/>
      <c r="AJ11" s="430"/>
      <c r="AK11" s="430"/>
      <c r="AL11" s="430"/>
      <c r="AM11" s="430"/>
      <c r="AN11" s="430"/>
      <c r="AO11" s="430"/>
      <c r="AP11" s="430"/>
      <c r="AQ11" s="430"/>
      <c r="AR11" s="430"/>
      <c r="AS11" s="430"/>
      <c r="AT11" s="430"/>
      <c r="AU11" s="430"/>
      <c r="AV11" s="430"/>
      <c r="AW11" s="430"/>
      <c r="AX11" s="430"/>
      <c r="AY11" s="430"/>
      <c r="AZ11" s="430"/>
      <c r="BA11" s="430"/>
      <c r="BB11" s="430"/>
      <c r="BC11" s="430"/>
      <c r="BD11" s="430"/>
      <c r="BE11" s="430"/>
      <c r="BF11" s="430"/>
      <c r="BG11" s="430"/>
      <c r="BH11" s="430"/>
      <c r="BI11" s="430"/>
      <c r="BJ11" s="430"/>
      <c r="BK11" s="430"/>
    </row>
    <row r="12" spans="1:63" s="30" customFormat="1" ht="15" customHeight="1">
      <c r="A12" s="442" t="s">
        <v>17</v>
      </c>
      <c r="B12" s="467" t="s">
        <v>18</v>
      </c>
      <c r="C12" s="467" t="s">
        <v>19</v>
      </c>
      <c r="D12" s="467" t="s">
        <v>20</v>
      </c>
      <c r="E12" s="468"/>
      <c r="F12" s="469"/>
      <c r="G12" s="469"/>
      <c r="H12" s="469"/>
      <c r="I12" s="469"/>
      <c r="J12" s="469"/>
      <c r="K12" s="469"/>
      <c r="L12" s="470"/>
      <c r="M12" s="470"/>
      <c r="N12" s="470"/>
      <c r="O12" s="470"/>
      <c r="P12" s="471"/>
      <c r="Q12" s="472"/>
      <c r="R12" s="471"/>
      <c r="S12" s="471"/>
      <c r="T12" s="468">
        <v>0</v>
      </c>
      <c r="U12" s="454"/>
      <c r="V12" s="454"/>
      <c r="W12" s="454"/>
      <c r="X12" s="442" t="s">
        <v>21</v>
      </c>
      <c r="Y12" s="430"/>
      <c r="Z12" s="430"/>
      <c r="AA12" s="430"/>
      <c r="AB12" s="430"/>
      <c r="AC12" s="430"/>
      <c r="AD12" s="430"/>
      <c r="AE12" s="430"/>
      <c r="AF12" s="430"/>
      <c r="AG12" s="430"/>
      <c r="AH12" s="430"/>
      <c r="AI12" s="430"/>
      <c r="AJ12" s="430"/>
      <c r="AK12" s="430"/>
      <c r="AL12" s="430"/>
      <c r="AM12" s="430"/>
      <c r="AN12" s="430"/>
      <c r="AO12" s="430"/>
      <c r="AP12" s="430"/>
      <c r="AQ12" s="430"/>
      <c r="AR12" s="430"/>
      <c r="AS12" s="430"/>
      <c r="AT12" s="430"/>
      <c r="AU12" s="430"/>
      <c r="AV12" s="430"/>
      <c r="AW12" s="430"/>
      <c r="AX12" s="430"/>
      <c r="AY12" s="430"/>
      <c r="AZ12" s="430"/>
      <c r="BA12" s="430"/>
      <c r="BB12" s="430"/>
      <c r="BC12" s="430"/>
      <c r="BD12" s="430"/>
      <c r="BE12" s="430"/>
      <c r="BF12" s="430"/>
      <c r="BG12" s="430"/>
      <c r="BH12" s="430"/>
      <c r="BI12" s="430"/>
      <c r="BJ12" s="430"/>
      <c r="BK12" s="430"/>
    </row>
    <row r="13" spans="1:63" s="30" customFormat="1" ht="15" customHeight="1">
      <c r="A13" s="442" t="s">
        <v>22</v>
      </c>
      <c r="B13" s="467" t="s">
        <v>18</v>
      </c>
      <c r="C13" s="467" t="s">
        <v>19</v>
      </c>
      <c r="D13" s="467" t="s">
        <v>23</v>
      </c>
      <c r="E13" s="468"/>
      <c r="F13" s="469"/>
      <c r="G13" s="469"/>
      <c r="H13" s="469"/>
      <c r="I13" s="469"/>
      <c r="J13" s="469"/>
      <c r="K13" s="469"/>
      <c r="L13" s="470"/>
      <c r="M13" s="470"/>
      <c r="N13" s="471"/>
      <c r="O13" s="471"/>
      <c r="P13" s="470"/>
      <c r="Q13" s="471">
        <v>100000</v>
      </c>
      <c r="R13" s="471">
        <v>100000</v>
      </c>
      <c r="S13" s="471"/>
      <c r="T13" s="468">
        <v>100000</v>
      </c>
      <c r="U13" s="454"/>
      <c r="V13" s="454"/>
      <c r="W13" s="468"/>
      <c r="X13" s="430"/>
      <c r="Y13" s="430"/>
      <c r="Z13" s="430"/>
      <c r="AA13" s="430"/>
      <c r="AB13" s="430"/>
      <c r="AC13" s="430"/>
      <c r="AD13" s="430"/>
      <c r="AE13" s="430"/>
      <c r="AF13" s="430"/>
      <c r="AG13" s="430"/>
      <c r="AH13" s="430"/>
      <c r="AI13" s="430"/>
      <c r="AJ13" s="430"/>
      <c r="AK13" s="430"/>
      <c r="AL13" s="430"/>
      <c r="AM13" s="430"/>
      <c r="AN13" s="430"/>
      <c r="AO13" s="430"/>
      <c r="AP13" s="430"/>
      <c r="AQ13" s="430"/>
      <c r="AR13" s="430"/>
      <c r="AS13" s="430"/>
      <c r="AT13" s="430"/>
      <c r="AU13" s="430"/>
      <c r="AV13" s="430"/>
      <c r="AW13" s="430"/>
      <c r="AX13" s="430"/>
      <c r="AY13" s="430"/>
      <c r="AZ13" s="430"/>
      <c r="BA13" s="430"/>
      <c r="BB13" s="430"/>
      <c r="BC13" s="430"/>
      <c r="BD13" s="430"/>
      <c r="BE13" s="430"/>
      <c r="BF13" s="430"/>
      <c r="BG13" s="430"/>
      <c r="BH13" s="430"/>
      <c r="BI13" s="430"/>
      <c r="BJ13" s="430"/>
      <c r="BK13" s="430"/>
    </row>
    <row r="14" spans="1:63" s="30" customFormat="1">
      <c r="A14" s="442" t="s">
        <v>24</v>
      </c>
      <c r="B14" s="467" t="s">
        <v>18</v>
      </c>
      <c r="C14" s="467" t="s">
        <v>19</v>
      </c>
      <c r="D14" s="467" t="s">
        <v>25</v>
      </c>
      <c r="E14" s="468"/>
      <c r="F14" s="430"/>
      <c r="G14" s="430"/>
      <c r="H14" s="430"/>
      <c r="I14" s="430"/>
      <c r="J14" s="430"/>
      <c r="K14" s="430"/>
      <c r="L14" s="470"/>
      <c r="M14" s="470"/>
      <c r="N14" s="471"/>
      <c r="O14" s="471"/>
      <c r="P14" s="471"/>
      <c r="Q14" s="471">
        <v>100000</v>
      </c>
      <c r="R14" s="470"/>
      <c r="S14" s="470"/>
      <c r="T14" s="454"/>
      <c r="U14" s="454"/>
      <c r="V14" s="454"/>
      <c r="W14" s="454"/>
      <c r="X14" s="430"/>
      <c r="Y14" s="430"/>
      <c r="Z14" s="430"/>
      <c r="AA14" s="430"/>
      <c r="AB14" s="430"/>
      <c r="AC14" s="430"/>
      <c r="AD14" s="430"/>
      <c r="AE14" s="430"/>
      <c r="AF14" s="430"/>
      <c r="AG14" s="430"/>
      <c r="AH14" s="430"/>
      <c r="AI14" s="430"/>
      <c r="AJ14" s="430"/>
      <c r="AK14" s="430"/>
      <c r="AL14" s="430"/>
      <c r="AM14" s="430"/>
      <c r="AN14" s="430"/>
      <c r="AO14" s="430"/>
      <c r="AP14" s="430"/>
      <c r="AQ14" s="430"/>
      <c r="AR14" s="430"/>
      <c r="AS14" s="430"/>
      <c r="AT14" s="430"/>
      <c r="AU14" s="430"/>
      <c r="AV14" s="430"/>
      <c r="AW14" s="430"/>
      <c r="AX14" s="430"/>
      <c r="AY14" s="430"/>
      <c r="AZ14" s="430"/>
      <c r="BA14" s="430"/>
      <c r="BB14" s="430"/>
      <c r="BC14" s="430"/>
      <c r="BD14" s="430"/>
      <c r="BE14" s="430"/>
      <c r="BF14" s="430"/>
      <c r="BG14" s="430"/>
      <c r="BH14" s="430"/>
      <c r="BI14" s="430"/>
      <c r="BJ14" s="430"/>
      <c r="BK14" s="430"/>
    </row>
    <row r="15" spans="1:63" s="30" customFormat="1">
      <c r="A15" s="442" t="s">
        <v>26</v>
      </c>
      <c r="B15" s="467" t="s">
        <v>18</v>
      </c>
      <c r="C15" s="467" t="s">
        <v>19</v>
      </c>
      <c r="D15" s="467" t="s">
        <v>27</v>
      </c>
      <c r="E15" s="468"/>
      <c r="F15" s="430"/>
      <c r="G15" s="430"/>
      <c r="H15" s="430"/>
      <c r="I15" s="430"/>
      <c r="J15" s="430"/>
      <c r="K15" s="430"/>
      <c r="L15" s="470"/>
      <c r="M15" s="470"/>
      <c r="N15" s="470"/>
      <c r="O15" s="470"/>
      <c r="P15" s="470"/>
      <c r="Q15" s="470"/>
      <c r="R15" s="470"/>
      <c r="S15" s="470"/>
      <c r="T15" s="454"/>
      <c r="U15" s="454"/>
      <c r="V15" s="454"/>
      <c r="W15" s="454"/>
      <c r="X15" s="430"/>
      <c r="Y15" s="430"/>
      <c r="Z15" s="430"/>
      <c r="AA15" s="430"/>
      <c r="AB15" s="430"/>
      <c r="AC15" s="430"/>
      <c r="AD15" s="430"/>
      <c r="AE15" s="430"/>
      <c r="AF15" s="430"/>
      <c r="AG15" s="430"/>
      <c r="AH15" s="430"/>
      <c r="AI15" s="430"/>
      <c r="AJ15" s="430"/>
      <c r="AK15" s="430"/>
      <c r="AL15" s="430"/>
      <c r="AM15" s="430"/>
      <c r="AN15" s="430"/>
      <c r="AO15" s="430"/>
      <c r="AP15" s="430"/>
      <c r="AQ15" s="430"/>
      <c r="AR15" s="430"/>
      <c r="AS15" s="430"/>
      <c r="AT15" s="430"/>
      <c r="AU15" s="430"/>
      <c r="AV15" s="430"/>
      <c r="AW15" s="430"/>
      <c r="AX15" s="430"/>
      <c r="AY15" s="430"/>
      <c r="AZ15" s="430"/>
      <c r="BA15" s="430"/>
      <c r="BB15" s="430"/>
      <c r="BC15" s="430"/>
      <c r="BD15" s="430"/>
      <c r="BE15" s="430"/>
      <c r="BF15" s="430"/>
      <c r="BG15" s="430"/>
      <c r="BH15" s="430"/>
      <c r="BI15" s="430"/>
      <c r="BJ15" s="430"/>
      <c r="BK15" s="430"/>
    </row>
    <row r="16" spans="1:63" s="30" customFormat="1">
      <c r="A16" s="442" t="s">
        <v>28</v>
      </c>
      <c r="B16" s="467" t="s">
        <v>18</v>
      </c>
      <c r="C16" s="467" t="s">
        <v>19</v>
      </c>
      <c r="D16" s="467" t="s">
        <v>29</v>
      </c>
      <c r="E16" s="468"/>
      <c r="F16" s="430"/>
      <c r="G16" s="430"/>
      <c r="H16" s="430"/>
      <c r="I16" s="430"/>
      <c r="J16" s="430"/>
      <c r="K16" s="430"/>
      <c r="L16" s="470"/>
      <c r="M16" s="470"/>
      <c r="N16" s="470"/>
      <c r="O16" s="470"/>
      <c r="P16" s="471">
        <v>0</v>
      </c>
      <c r="Q16" s="471">
        <v>0</v>
      </c>
      <c r="R16" s="470">
        <v>0</v>
      </c>
      <c r="S16" s="471">
        <v>0</v>
      </c>
      <c r="T16" s="454"/>
      <c r="U16" s="454"/>
      <c r="V16" s="454"/>
      <c r="W16" s="454"/>
      <c r="X16" s="442" t="s">
        <v>30</v>
      </c>
      <c r="Y16" s="454"/>
      <c r="Z16" s="430"/>
      <c r="AA16" s="430"/>
      <c r="AB16" s="430"/>
      <c r="AC16" s="430"/>
      <c r="AD16" s="430"/>
      <c r="AE16" s="430"/>
      <c r="AF16" s="430"/>
      <c r="AG16" s="430"/>
      <c r="AH16" s="430"/>
      <c r="AI16" s="430"/>
      <c r="AJ16" s="430"/>
      <c r="AK16" s="430"/>
      <c r="AL16" s="430"/>
      <c r="AM16" s="430"/>
      <c r="AN16" s="430"/>
      <c r="AO16" s="430"/>
      <c r="AP16" s="430"/>
      <c r="AQ16" s="430"/>
      <c r="AR16" s="430"/>
      <c r="AS16" s="430"/>
      <c r="AT16" s="430"/>
      <c r="AU16" s="430"/>
      <c r="AV16" s="430"/>
      <c r="AW16" s="430"/>
      <c r="AX16" s="430"/>
      <c r="AY16" s="430"/>
      <c r="AZ16" s="430"/>
      <c r="BA16" s="430"/>
      <c r="BB16" s="430"/>
      <c r="BC16" s="430"/>
      <c r="BD16" s="430"/>
      <c r="BE16" s="430"/>
      <c r="BF16" s="430"/>
      <c r="BG16" s="430"/>
      <c r="BH16" s="430"/>
      <c r="BI16" s="430"/>
      <c r="BJ16" s="430"/>
      <c r="BK16" s="430"/>
    </row>
    <row r="17" spans="1:63" s="30" customFormat="1" ht="15" customHeight="1">
      <c r="A17" s="442" t="s">
        <v>31</v>
      </c>
      <c r="B17" s="467" t="s">
        <v>18</v>
      </c>
      <c r="C17" s="467" t="s">
        <v>19</v>
      </c>
      <c r="D17" s="467" t="s">
        <v>31</v>
      </c>
      <c r="E17" s="468"/>
      <c r="F17" s="473"/>
      <c r="G17" s="473"/>
      <c r="H17" s="473"/>
      <c r="I17" s="473"/>
      <c r="J17" s="473"/>
      <c r="K17" s="473"/>
      <c r="L17" s="470"/>
      <c r="M17" s="470"/>
      <c r="N17" s="470"/>
      <c r="O17" s="470"/>
      <c r="P17" s="471">
        <v>0</v>
      </c>
      <c r="Q17" s="471">
        <v>0</v>
      </c>
      <c r="R17" s="471">
        <v>0</v>
      </c>
      <c r="S17" s="471">
        <v>0</v>
      </c>
      <c r="T17" s="454"/>
      <c r="U17" s="454"/>
      <c r="V17" s="454"/>
      <c r="W17" s="454"/>
      <c r="X17" s="442" t="s">
        <v>32</v>
      </c>
      <c r="Y17" s="454"/>
      <c r="Z17" s="430"/>
      <c r="AA17" s="430"/>
      <c r="AB17" s="430"/>
      <c r="AC17" s="430"/>
      <c r="AD17" s="430"/>
      <c r="AE17" s="430"/>
      <c r="AF17" s="430"/>
      <c r="AG17" s="430"/>
      <c r="AH17" s="430"/>
      <c r="AI17" s="430"/>
      <c r="AJ17" s="430"/>
      <c r="AK17" s="430"/>
      <c r="AL17" s="430"/>
      <c r="AM17" s="430"/>
      <c r="AN17" s="430"/>
      <c r="AO17" s="430"/>
      <c r="AP17" s="430"/>
      <c r="AQ17" s="430"/>
      <c r="AR17" s="430"/>
      <c r="AS17" s="430"/>
      <c r="AT17" s="430"/>
      <c r="AU17" s="430"/>
      <c r="AV17" s="430"/>
      <c r="AW17" s="430"/>
      <c r="AX17" s="430"/>
      <c r="AY17" s="430"/>
      <c r="AZ17" s="430"/>
      <c r="BA17" s="430"/>
      <c r="BB17" s="430"/>
      <c r="BC17" s="430"/>
      <c r="BD17" s="430"/>
      <c r="BE17" s="430"/>
      <c r="BF17" s="430"/>
      <c r="BG17" s="430"/>
      <c r="BH17" s="430"/>
      <c r="BI17" s="430"/>
      <c r="BJ17" s="430"/>
      <c r="BK17" s="430"/>
    </row>
    <row r="18" spans="1:63" s="30" customFormat="1" ht="14.65" customHeight="1">
      <c r="A18" s="474" t="s">
        <v>33</v>
      </c>
      <c r="B18" s="467" t="s">
        <v>34</v>
      </c>
      <c r="C18" s="467" t="s">
        <v>35</v>
      </c>
      <c r="D18" s="451"/>
      <c r="E18" s="468"/>
      <c r="F18" s="473"/>
      <c r="G18" s="473"/>
      <c r="H18" s="473"/>
      <c r="I18" s="473"/>
      <c r="J18" s="473"/>
      <c r="K18" s="473"/>
      <c r="L18" s="468">
        <f t="shared" ref="L18:W18" si="1">SUM(L12:L17)</f>
        <v>0</v>
      </c>
      <c r="M18" s="468">
        <f t="shared" si="1"/>
        <v>0</v>
      </c>
      <c r="N18" s="468">
        <f t="shared" si="1"/>
        <v>0</v>
      </c>
      <c r="O18" s="468">
        <f t="shared" si="1"/>
        <v>0</v>
      </c>
      <c r="P18" s="468">
        <f t="shared" si="1"/>
        <v>0</v>
      </c>
      <c r="Q18" s="468">
        <f t="shared" si="1"/>
        <v>200000</v>
      </c>
      <c r="R18" s="468">
        <f t="shared" si="1"/>
        <v>100000</v>
      </c>
      <c r="S18" s="468">
        <f t="shared" si="1"/>
        <v>0</v>
      </c>
      <c r="T18" s="468">
        <f t="shared" si="1"/>
        <v>100000</v>
      </c>
      <c r="U18" s="468">
        <f t="shared" si="1"/>
        <v>0</v>
      </c>
      <c r="V18" s="468">
        <f t="shared" si="1"/>
        <v>0</v>
      </c>
      <c r="W18" s="468">
        <f t="shared" si="1"/>
        <v>0</v>
      </c>
      <c r="X18" s="430"/>
      <c r="Y18" s="454"/>
      <c r="Z18" s="430"/>
      <c r="AA18" s="430"/>
      <c r="AB18" s="430"/>
      <c r="AC18" s="430"/>
      <c r="AD18" s="430"/>
      <c r="AE18" s="430"/>
      <c r="AF18" s="430"/>
      <c r="AG18" s="430"/>
      <c r="AH18" s="430"/>
      <c r="AI18" s="430"/>
      <c r="AJ18" s="430"/>
      <c r="AK18" s="430"/>
      <c r="AL18" s="430"/>
      <c r="AM18" s="430"/>
      <c r="AN18" s="430"/>
      <c r="AO18" s="430"/>
      <c r="AP18" s="430"/>
      <c r="AQ18" s="430"/>
      <c r="AR18" s="430"/>
      <c r="AS18" s="430"/>
      <c r="AT18" s="430"/>
      <c r="AU18" s="430"/>
      <c r="AV18" s="430"/>
      <c r="AW18" s="430"/>
      <c r="AX18" s="430"/>
      <c r="AY18" s="430"/>
      <c r="AZ18" s="430"/>
      <c r="BA18" s="430"/>
      <c r="BB18" s="430"/>
      <c r="BC18" s="430"/>
      <c r="BD18" s="430"/>
      <c r="BE18" s="430"/>
      <c r="BF18" s="430"/>
      <c r="BG18" s="430"/>
      <c r="BH18" s="430"/>
      <c r="BI18" s="430"/>
      <c r="BJ18" s="430"/>
      <c r="BK18" s="430"/>
    </row>
    <row r="19" spans="1:63" s="8" customFormat="1">
      <c r="A19" s="475"/>
      <c r="B19" s="476"/>
      <c r="C19" s="477"/>
      <c r="D19" s="477"/>
      <c r="E19" s="461"/>
      <c r="F19" s="464"/>
      <c r="G19" s="464"/>
      <c r="H19" s="464"/>
      <c r="I19" s="464"/>
      <c r="J19" s="464"/>
      <c r="K19" s="464"/>
      <c r="L19" s="461"/>
      <c r="M19" s="461"/>
      <c r="N19" s="461"/>
      <c r="O19" s="461"/>
      <c r="P19" s="461"/>
      <c r="Q19" s="461"/>
      <c r="R19" s="461"/>
      <c r="S19" s="461"/>
      <c r="T19" s="461"/>
      <c r="U19" s="461"/>
      <c r="V19" s="461"/>
      <c r="W19" s="461"/>
      <c r="X19" s="430"/>
      <c r="Y19" s="454"/>
      <c r="Z19" s="430"/>
      <c r="AA19" s="430"/>
      <c r="AB19" s="430"/>
      <c r="AC19" s="430"/>
      <c r="AD19" s="430"/>
      <c r="AE19" s="430"/>
      <c r="AF19" s="430"/>
      <c r="AG19" s="430"/>
      <c r="AH19" s="430"/>
      <c r="AI19" s="430"/>
      <c r="AJ19" s="430"/>
      <c r="AK19" s="430"/>
      <c r="AL19" s="430"/>
      <c r="AM19" s="430"/>
      <c r="AN19" s="430"/>
      <c r="AO19" s="430"/>
      <c r="AP19" s="430"/>
      <c r="AQ19" s="430"/>
      <c r="AR19" s="430"/>
      <c r="AS19" s="430"/>
      <c r="AT19" s="430"/>
      <c r="AU19" s="430"/>
      <c r="AV19" s="430"/>
      <c r="AW19" s="430"/>
      <c r="AX19" s="430"/>
      <c r="AY19" s="430"/>
      <c r="AZ19" s="430"/>
      <c r="BA19" s="430"/>
      <c r="BB19" s="430"/>
      <c r="BC19" s="430"/>
      <c r="BD19" s="430"/>
      <c r="BE19" s="430"/>
      <c r="BF19" s="430"/>
      <c r="BG19" s="430"/>
      <c r="BH19" s="430"/>
      <c r="BI19" s="430"/>
      <c r="BJ19" s="430"/>
      <c r="BK19" s="430"/>
    </row>
    <row r="20" spans="1:63">
      <c r="A20" s="444" t="s">
        <v>36</v>
      </c>
      <c r="B20" s="445"/>
      <c r="C20" s="445"/>
      <c r="D20" s="445"/>
      <c r="E20" s="461"/>
      <c r="F20" s="430"/>
      <c r="G20" s="430"/>
      <c r="H20" s="430"/>
      <c r="I20" s="430"/>
      <c r="J20" s="430"/>
      <c r="K20" s="430"/>
      <c r="L20" s="461">
        <f t="shared" ref="L20:W20" si="2">-L39</f>
        <v>1637186</v>
      </c>
      <c r="M20" s="461">
        <f t="shared" si="2"/>
        <v>1733477</v>
      </c>
      <c r="N20" s="461">
        <f t="shared" si="2"/>
        <v>1694124</v>
      </c>
      <c r="O20" s="461">
        <f t="shared" si="2"/>
        <v>2917273</v>
      </c>
      <c r="P20" s="461">
        <f t="shared" si="2"/>
        <v>4057849.8571428573</v>
      </c>
      <c r="Q20" s="461">
        <f t="shared" si="2"/>
        <v>4457407</v>
      </c>
      <c r="R20" s="461">
        <f t="shared" si="2"/>
        <v>2834607</v>
      </c>
      <c r="S20" s="461">
        <f t="shared" si="2"/>
        <v>4930793.25</v>
      </c>
      <c r="T20" s="461">
        <f t="shared" si="2"/>
        <v>12027143.140000001</v>
      </c>
      <c r="U20" s="461">
        <f t="shared" si="2"/>
        <v>11730729.884199999</v>
      </c>
      <c r="V20" s="461">
        <f t="shared" si="2"/>
        <v>12082651.780726001</v>
      </c>
      <c r="W20" s="461">
        <f t="shared" si="2"/>
        <v>12445131.334147781</v>
      </c>
      <c r="X20" s="430"/>
      <c r="Y20" s="454"/>
      <c r="Z20" s="430"/>
      <c r="AA20" s="478"/>
      <c r="AB20" s="430"/>
      <c r="AC20" s="430"/>
      <c r="AD20" s="430"/>
      <c r="AE20" s="430"/>
      <c r="AF20" s="430"/>
      <c r="AG20" s="430"/>
      <c r="AH20" s="430"/>
      <c r="AI20" s="430"/>
      <c r="AJ20" s="430"/>
      <c r="AK20" s="430"/>
      <c r="AL20" s="430"/>
      <c r="AM20" s="430"/>
      <c r="AN20" s="430"/>
      <c r="AO20" s="430"/>
      <c r="AP20" s="430"/>
      <c r="AQ20" s="430"/>
      <c r="AR20" s="430"/>
      <c r="AS20" s="430"/>
      <c r="AT20" s="430"/>
      <c r="AU20" s="430"/>
      <c r="AV20" s="430"/>
      <c r="AW20" s="430"/>
      <c r="AX20" s="430"/>
      <c r="AY20" s="430"/>
      <c r="AZ20" s="430"/>
      <c r="BA20" s="430"/>
      <c r="BB20" s="430"/>
      <c r="BC20" s="430"/>
      <c r="BD20" s="430"/>
      <c r="BE20" s="430"/>
      <c r="BF20" s="430"/>
      <c r="BG20" s="430"/>
      <c r="BH20" s="430"/>
      <c r="BI20" s="430"/>
      <c r="BJ20" s="430"/>
      <c r="BK20" s="430"/>
    </row>
    <row r="21" spans="1:63">
      <c r="A21" s="447"/>
      <c r="B21" s="445"/>
      <c r="C21" s="445"/>
      <c r="D21" s="445"/>
      <c r="E21" s="461"/>
      <c r="F21" s="478"/>
      <c r="G21" s="478"/>
      <c r="H21" s="478"/>
      <c r="I21" s="478"/>
      <c r="J21" s="478"/>
      <c r="K21" s="478"/>
      <c r="L21" s="461"/>
      <c r="M21" s="461"/>
      <c r="N21" s="461"/>
      <c r="O21" s="461"/>
      <c r="P21" s="461"/>
      <c r="Q21" s="461"/>
      <c r="R21" s="461"/>
      <c r="S21" s="461"/>
      <c r="T21" s="461"/>
      <c r="U21" s="461"/>
      <c r="V21" s="461"/>
      <c r="W21" s="461"/>
      <c r="X21" s="430"/>
      <c r="Y21" s="454"/>
      <c r="Z21" s="430"/>
      <c r="AA21" s="478"/>
      <c r="AB21" s="430"/>
      <c r="AC21" s="430"/>
      <c r="AD21" s="430"/>
      <c r="AE21" s="430"/>
      <c r="AF21" s="430"/>
      <c r="AG21" s="430"/>
      <c r="AH21" s="430"/>
      <c r="AI21" s="430"/>
      <c r="AJ21" s="430"/>
      <c r="AK21" s="430"/>
      <c r="AL21" s="430"/>
      <c r="AM21" s="430"/>
      <c r="AN21" s="430"/>
      <c r="AO21" s="430"/>
      <c r="AP21" s="430"/>
      <c r="AQ21" s="430"/>
      <c r="AR21" s="430"/>
      <c r="AS21" s="430"/>
      <c r="AT21" s="430"/>
      <c r="AU21" s="430"/>
      <c r="AV21" s="430"/>
      <c r="AW21" s="430"/>
      <c r="AX21" s="430"/>
      <c r="AY21" s="430"/>
      <c r="AZ21" s="430"/>
      <c r="BA21" s="430"/>
      <c r="BB21" s="430"/>
      <c r="BC21" s="430"/>
      <c r="BD21" s="430"/>
      <c r="BE21" s="430"/>
      <c r="BF21" s="430"/>
      <c r="BG21" s="430"/>
      <c r="BH21" s="430"/>
      <c r="BI21" s="430"/>
      <c r="BJ21" s="430"/>
      <c r="BK21" s="430"/>
    </row>
    <row r="22" spans="1:63">
      <c r="A22" s="444" t="s">
        <v>37</v>
      </c>
      <c r="B22" s="445"/>
      <c r="C22" s="445"/>
      <c r="D22" s="445"/>
      <c r="E22" s="461"/>
      <c r="F22" s="464"/>
      <c r="G22" s="464"/>
      <c r="H22" s="464"/>
      <c r="I22" s="464"/>
      <c r="J22" s="464"/>
      <c r="K22" s="464"/>
      <c r="L22" s="461">
        <f t="shared" ref="L22:W22" si="3">L20+L10</f>
        <v>2260500.75</v>
      </c>
      <c r="M22" s="461">
        <f t="shared" si="3"/>
        <v>2356791.75</v>
      </c>
      <c r="N22" s="461">
        <f t="shared" si="3"/>
        <v>2602638.75</v>
      </c>
      <c r="O22" s="461">
        <f t="shared" si="3"/>
        <v>3820487.75</v>
      </c>
      <c r="P22" s="461">
        <f t="shared" si="3"/>
        <v>4944181.3338095238</v>
      </c>
      <c r="Q22" s="461">
        <f t="shared" si="3"/>
        <v>5887700.479166667</v>
      </c>
      <c r="R22" s="461">
        <f t="shared" si="3"/>
        <v>4192767.8739035088</v>
      </c>
      <c r="S22" s="461">
        <f t="shared" si="3"/>
        <v>7829290.6021929821</v>
      </c>
      <c r="T22" s="461">
        <f t="shared" si="3"/>
        <v>16943264.871666666</v>
      </c>
      <c r="U22" s="461">
        <f t="shared" si="3"/>
        <v>16006736.934343332</v>
      </c>
      <c r="V22" s="461">
        <f t="shared" si="3"/>
        <v>16336584.202873634</v>
      </c>
      <c r="W22" s="461">
        <f t="shared" si="3"/>
        <v>16423059.897725336</v>
      </c>
      <c r="X22" s="430"/>
      <c r="Y22" s="454"/>
      <c r="Z22" s="430"/>
      <c r="AA22" s="478"/>
      <c r="AB22" s="430"/>
      <c r="AC22" s="430"/>
      <c r="AD22" s="430"/>
      <c r="AE22" s="430"/>
      <c r="AF22" s="430"/>
      <c r="AG22" s="430"/>
      <c r="AH22" s="430"/>
      <c r="AI22" s="430"/>
      <c r="AJ22" s="430"/>
      <c r="AK22" s="430"/>
      <c r="AL22" s="430"/>
      <c r="AM22" s="430"/>
      <c r="AN22" s="430"/>
      <c r="AO22" s="430"/>
      <c r="AP22" s="430"/>
      <c r="AQ22" s="430"/>
      <c r="AR22" s="430"/>
      <c r="AS22" s="430"/>
      <c r="AT22" s="430"/>
      <c r="AU22" s="430"/>
      <c r="AV22" s="430"/>
      <c r="AW22" s="430"/>
      <c r="AX22" s="430"/>
      <c r="AY22" s="430"/>
      <c r="AZ22" s="430"/>
      <c r="BA22" s="430"/>
      <c r="BB22" s="430"/>
      <c r="BC22" s="430"/>
      <c r="BD22" s="430"/>
      <c r="BE22" s="430"/>
      <c r="BF22" s="430"/>
      <c r="BG22" s="430"/>
      <c r="BH22" s="430"/>
      <c r="BI22" s="430"/>
      <c r="BJ22" s="430"/>
      <c r="BK22" s="430"/>
    </row>
    <row r="23" spans="1:63">
      <c r="A23" s="447"/>
      <c r="B23" s="445"/>
      <c r="C23" s="445"/>
      <c r="D23" s="445"/>
      <c r="E23" s="461"/>
      <c r="F23" s="464"/>
      <c r="G23" s="464"/>
      <c r="H23" s="464"/>
      <c r="I23" s="464"/>
      <c r="J23" s="464"/>
      <c r="K23" s="464"/>
      <c r="L23" s="461"/>
      <c r="M23" s="461"/>
      <c r="N23" s="461"/>
      <c r="O23" s="461"/>
      <c r="P23" s="461"/>
      <c r="Q23" s="461"/>
      <c r="R23" s="461"/>
      <c r="S23" s="461"/>
      <c r="T23" s="461"/>
      <c r="U23" s="461"/>
      <c r="V23" s="461"/>
      <c r="W23" s="461"/>
      <c r="X23" s="430"/>
      <c r="Y23" s="454"/>
      <c r="Z23" s="430"/>
      <c r="AA23" s="478"/>
      <c r="AB23" s="430"/>
      <c r="AC23" s="430"/>
      <c r="AD23" s="430"/>
      <c r="AE23" s="430"/>
      <c r="AF23" s="430"/>
      <c r="AG23" s="430"/>
      <c r="AH23" s="430"/>
      <c r="AI23" s="430"/>
      <c r="AJ23" s="430"/>
      <c r="AK23" s="430"/>
      <c r="AL23" s="430"/>
      <c r="AM23" s="430"/>
      <c r="AN23" s="430"/>
      <c r="AO23" s="430"/>
      <c r="AP23" s="430"/>
      <c r="AQ23" s="430"/>
      <c r="AR23" s="430"/>
      <c r="AS23" s="430"/>
      <c r="AT23" s="430"/>
      <c r="AU23" s="430"/>
      <c r="AV23" s="430"/>
      <c r="AW23" s="430"/>
      <c r="AX23" s="430"/>
      <c r="AY23" s="430"/>
      <c r="AZ23" s="430"/>
      <c r="BA23" s="430"/>
      <c r="BB23" s="430"/>
      <c r="BC23" s="430"/>
      <c r="BD23" s="430"/>
      <c r="BE23" s="430"/>
      <c r="BF23" s="430"/>
      <c r="BG23" s="430"/>
      <c r="BH23" s="430"/>
      <c r="BI23" s="430"/>
      <c r="BJ23" s="430"/>
      <c r="BK23" s="430"/>
    </row>
    <row r="24" spans="1:63">
      <c r="A24" s="444" t="s">
        <v>38</v>
      </c>
      <c r="B24" s="445"/>
      <c r="C24" s="445"/>
      <c r="D24" s="445"/>
      <c r="E24" s="461"/>
      <c r="F24" s="464"/>
      <c r="G24" s="464"/>
      <c r="H24" s="464"/>
      <c r="I24" s="464"/>
      <c r="J24" s="464"/>
      <c r="K24" s="464"/>
      <c r="L24" s="461"/>
      <c r="M24" s="461"/>
      <c r="N24" s="461"/>
      <c r="O24" s="461"/>
      <c r="P24" s="461"/>
      <c r="Q24" s="461"/>
      <c r="R24" s="461"/>
      <c r="S24" s="461"/>
      <c r="T24" s="461"/>
      <c r="U24" s="461"/>
      <c r="V24" s="461"/>
      <c r="W24" s="461"/>
      <c r="X24" s="430"/>
      <c r="Y24" s="454"/>
      <c r="Z24" s="430"/>
      <c r="AA24" s="430"/>
      <c r="AB24" s="430"/>
      <c r="AC24" s="430"/>
      <c r="AD24" s="430"/>
      <c r="AE24" s="430"/>
      <c r="AF24" s="430"/>
      <c r="AG24" s="430"/>
      <c r="AH24" s="430"/>
      <c r="AI24" s="430"/>
      <c r="AJ24" s="430"/>
      <c r="AK24" s="430"/>
      <c r="AL24" s="430"/>
      <c r="AM24" s="430"/>
      <c r="AN24" s="430"/>
      <c r="AO24" s="430"/>
      <c r="AP24" s="430"/>
      <c r="AQ24" s="430"/>
      <c r="AR24" s="430"/>
      <c r="AS24" s="430"/>
      <c r="AT24" s="430"/>
      <c r="AU24" s="430"/>
      <c r="AV24" s="430"/>
      <c r="AW24" s="430"/>
      <c r="AX24" s="430"/>
      <c r="AY24" s="430"/>
      <c r="AZ24" s="430"/>
      <c r="BA24" s="430"/>
      <c r="BB24" s="430"/>
      <c r="BC24" s="430"/>
      <c r="BD24" s="430"/>
      <c r="BE24" s="430"/>
      <c r="BF24" s="430"/>
      <c r="BG24" s="430"/>
      <c r="BH24" s="430"/>
      <c r="BI24" s="430"/>
      <c r="BJ24" s="430"/>
      <c r="BK24" s="430"/>
    </row>
    <row r="25" spans="1:63">
      <c r="A25" s="460" t="s">
        <v>39</v>
      </c>
      <c r="B25" s="445"/>
      <c r="C25" s="448"/>
      <c r="D25" s="448"/>
      <c r="E25" s="461"/>
      <c r="F25" s="464"/>
      <c r="G25" s="464"/>
      <c r="H25" s="464"/>
      <c r="I25" s="464"/>
      <c r="J25" s="464"/>
      <c r="K25" s="464"/>
      <c r="L25" s="461">
        <f>-('c12_hm'!L78+'c12_hm'!L79)</f>
        <v>-298080</v>
      </c>
      <c r="M25" s="461">
        <f>-('c12_hm'!M78+'c12_hm'!M79)</f>
        <v>-298080</v>
      </c>
      <c r="N25" s="461">
        <f>-('c12_hm'!N78+'c12_hm'!N79)</f>
        <v>-298080</v>
      </c>
      <c r="O25" s="461">
        <f>-('c12_hm'!O78+'c12_hm'!O79)</f>
        <v>-770825</v>
      </c>
      <c r="P25" s="461">
        <f>-('c12_hm'!P78+'c12_hm'!P79)</f>
        <v>-391680</v>
      </c>
      <c r="Q25" s="461">
        <f>-('c12_hm'!Q78+'c12_hm'!Q79)</f>
        <v>-391680</v>
      </c>
      <c r="R25" s="461">
        <f>-('c12_hm'!R78+'c12_hm'!R79)</f>
        <v>-434880</v>
      </c>
      <c r="S25" s="461">
        <f>-('c12_hm'!S78+'c12_hm'!S79)</f>
        <v>-949185</v>
      </c>
      <c r="T25" s="461">
        <f>-('c12_hm'!T78+'c12_hm'!T79)</f>
        <v>-2518770</v>
      </c>
      <c r="U25" s="461">
        <f>-('c12_hm'!U78+'c12_hm'!U79)</f>
        <v>-2518770</v>
      </c>
      <c r="V25" s="461">
        <f>-('c12_hm'!V78+'c12_hm'!V79)</f>
        <v>-2518770</v>
      </c>
      <c r="W25" s="461">
        <f>-('c12_hm'!W78+'c12_hm'!W79)</f>
        <v>-2518770</v>
      </c>
      <c r="X25" s="430"/>
      <c r="Y25" s="454"/>
      <c r="Z25" s="430"/>
      <c r="AA25" s="430"/>
      <c r="AB25" s="430"/>
      <c r="AC25" s="430"/>
      <c r="AD25" s="430"/>
      <c r="AE25" s="430"/>
      <c r="AF25" s="430"/>
      <c r="AG25" s="430"/>
      <c r="AH25" s="430"/>
      <c r="AI25" s="430"/>
      <c r="AJ25" s="430"/>
      <c r="AK25" s="430"/>
      <c r="AL25" s="430"/>
      <c r="AM25" s="430"/>
      <c r="AN25" s="430"/>
      <c r="AO25" s="430"/>
      <c r="AP25" s="430"/>
      <c r="AQ25" s="430"/>
      <c r="AR25" s="430"/>
      <c r="AS25" s="430"/>
      <c r="AT25" s="430"/>
      <c r="AU25" s="430"/>
      <c r="AV25" s="430"/>
      <c r="AW25" s="430"/>
      <c r="AX25" s="430"/>
      <c r="AY25" s="430"/>
      <c r="AZ25" s="430"/>
      <c r="BA25" s="430"/>
      <c r="BB25" s="430"/>
      <c r="BC25" s="430"/>
      <c r="BD25" s="430"/>
      <c r="BE25" s="430"/>
      <c r="BF25" s="430"/>
      <c r="BG25" s="430"/>
      <c r="BH25" s="430"/>
      <c r="BI25" s="430"/>
      <c r="BJ25" s="430"/>
      <c r="BK25" s="430"/>
    </row>
    <row r="26" spans="1:63">
      <c r="A26" s="460" t="s">
        <v>40</v>
      </c>
      <c r="B26" s="445"/>
      <c r="C26" s="448"/>
      <c r="D26" s="448"/>
      <c r="E26" s="461"/>
      <c r="F26" s="464"/>
      <c r="G26" s="464"/>
      <c r="H26" s="464"/>
      <c r="I26" s="464"/>
      <c r="J26" s="464"/>
      <c r="K26" s="464"/>
      <c r="L26" s="461">
        <f>-('c12_bi&amp;F'!L78+'c12_bi&amp;F'!L79)</f>
        <v>-250560</v>
      </c>
      <c r="M26" s="461">
        <f>-('c12_bi&amp;F'!M78+'c12_bi&amp;F'!M79)</f>
        <v>-250560</v>
      </c>
      <c r="N26" s="461">
        <f>-('c12_bi&amp;F'!N78+'c12_bi&amp;F'!N79)</f>
        <v>-336959.99999999994</v>
      </c>
      <c r="O26" s="461">
        <f>-('c12_bi&amp;F'!O78+'c12_bi&amp;F'!O79)</f>
        <v>-602497.5</v>
      </c>
      <c r="P26" s="461">
        <f>-('c12_bi&amp;F'!P78+'c12_bi&amp;F'!P79)</f>
        <v>-296639.99999999994</v>
      </c>
      <c r="Q26" s="461">
        <f>-('c12_bi&amp;F'!Q78+'c12_bi&amp;F'!Q79)</f>
        <v>-477677.14285714284</v>
      </c>
      <c r="R26" s="461">
        <f>-('c12_bi&amp;F'!R78+'c12_bi&amp;F'!R79)</f>
        <v>-672077.14285714284</v>
      </c>
      <c r="S26" s="461">
        <f>-('c12_bi&amp;F'!S78+'c12_bi&amp;F'!S79)</f>
        <v>-1173394.6428571427</v>
      </c>
      <c r="T26" s="461">
        <f>-('c12_bi&amp;F'!T78+'c12_bi&amp;F'!T79)</f>
        <v>-3289116.0714285714</v>
      </c>
      <c r="U26" s="461">
        <f>-('c12_bi&amp;F'!U78+'c12_bi&amp;F'!U79)</f>
        <v>-3289116.0714285714</v>
      </c>
      <c r="V26" s="461">
        <f>-('c12_bi&amp;F'!V78+'c12_bi&amp;F'!V79)</f>
        <v>-3289116.0714285714</v>
      </c>
      <c r="W26" s="461">
        <f>-('c12_bi&amp;F'!W78+'c12_bi&amp;F'!W79)</f>
        <v>-3289116.0714285714</v>
      </c>
      <c r="X26" s="430"/>
      <c r="Y26" s="454"/>
      <c r="Z26" s="430"/>
      <c r="AA26" s="430"/>
      <c r="AB26" s="430"/>
      <c r="AC26" s="430"/>
      <c r="AD26" s="430"/>
      <c r="AE26" s="430"/>
      <c r="AF26" s="430"/>
      <c r="AG26" s="430"/>
      <c r="AH26" s="430"/>
      <c r="AI26" s="430"/>
      <c r="AJ26" s="430"/>
      <c r="AK26" s="430"/>
      <c r="AL26" s="430"/>
      <c r="AM26" s="430"/>
      <c r="AN26" s="430"/>
      <c r="AO26" s="430"/>
      <c r="AP26" s="430"/>
      <c r="AQ26" s="430"/>
      <c r="AR26" s="430"/>
      <c r="AS26" s="430"/>
      <c r="AT26" s="430"/>
      <c r="AU26" s="430"/>
      <c r="AV26" s="430"/>
      <c r="AW26" s="430"/>
      <c r="AX26" s="430"/>
      <c r="AY26" s="430"/>
      <c r="AZ26" s="430"/>
      <c r="BA26" s="430"/>
      <c r="BB26" s="430"/>
      <c r="BC26" s="430"/>
      <c r="BD26" s="430"/>
      <c r="BE26" s="430"/>
      <c r="BF26" s="430"/>
      <c r="BG26" s="430"/>
      <c r="BH26" s="430"/>
      <c r="BI26" s="430"/>
      <c r="BJ26" s="430"/>
      <c r="BK26" s="430"/>
    </row>
    <row r="27" spans="1:63">
      <c r="A27" s="460" t="s">
        <v>41</v>
      </c>
      <c r="B27" s="445"/>
      <c r="C27" s="448"/>
      <c r="D27" s="448"/>
      <c r="E27" s="461"/>
      <c r="F27" s="464"/>
      <c r="G27" s="464"/>
      <c r="H27" s="464"/>
      <c r="I27" s="464"/>
      <c r="J27" s="464"/>
      <c r="K27" s="464"/>
      <c r="L27" s="461">
        <f>-('c12_d&amp;s'!L78+'c12_d&amp;s'!L79)</f>
        <v>-515520</v>
      </c>
      <c r="M27" s="461">
        <f>-('c12_d&amp;s'!M78+'c12_d&amp;s'!M79)</f>
        <v>-515520</v>
      </c>
      <c r="N27" s="461">
        <f>-('c12_d&amp;s'!N78+'c12_d&amp;s'!N79)</f>
        <v>-515520</v>
      </c>
      <c r="O27" s="461">
        <f>-('c12_d&amp;s'!O78+'c12_d&amp;s'!O79)</f>
        <v>-1652177.5</v>
      </c>
      <c r="P27" s="461">
        <f>-('c12_d&amp;s'!P78+'c12_d&amp;s'!P79)</f>
        <v>-560160</v>
      </c>
      <c r="Q27" s="461">
        <f>-('c12_d&amp;s'!Q78+'c12_d&amp;s'!Q79)</f>
        <v>-520560</v>
      </c>
      <c r="R27" s="461">
        <f>-('c12_d&amp;s'!R78+'c12_d&amp;s'!R79)</f>
        <v>-560160</v>
      </c>
      <c r="S27" s="461">
        <f>-('c12_d&amp;s'!S78+'c12_d&amp;s'!S79)</f>
        <v>-1221223.75</v>
      </c>
      <c r="T27" s="461">
        <f>-('c12_d&amp;s'!T78+'c12_d&amp;s'!T79)</f>
        <v>-2809492.4999999995</v>
      </c>
      <c r="U27" s="461">
        <f>-('c12_d&amp;s'!U78+'c12_d&amp;s'!U79)</f>
        <v>-2809492.4999999995</v>
      </c>
      <c r="V27" s="461">
        <f>-('c12_d&amp;s'!V78+'c12_d&amp;s'!V79)</f>
        <v>-2809492.4999999995</v>
      </c>
      <c r="W27" s="461">
        <f>-('c12_d&amp;s'!W78+'c12_d&amp;s'!W79)</f>
        <v>-2809492.4999999995</v>
      </c>
      <c r="X27" s="430"/>
      <c r="Y27" s="454"/>
      <c r="Z27" s="430"/>
      <c r="AA27" s="430"/>
      <c r="AB27" s="430"/>
      <c r="AC27" s="430"/>
      <c r="AD27" s="430"/>
      <c r="AE27" s="430"/>
      <c r="AF27" s="430"/>
      <c r="AG27" s="430"/>
      <c r="AH27" s="430"/>
      <c r="AI27" s="430"/>
      <c r="AJ27" s="430"/>
      <c r="AK27" s="430"/>
      <c r="AL27" s="430"/>
      <c r="AM27" s="430"/>
      <c r="AN27" s="430"/>
      <c r="AO27" s="430"/>
      <c r="AP27" s="430"/>
      <c r="AQ27" s="430"/>
      <c r="AR27" s="430"/>
      <c r="AS27" s="430"/>
      <c r="AT27" s="430"/>
      <c r="AU27" s="430"/>
      <c r="AV27" s="430"/>
      <c r="AW27" s="430"/>
      <c r="AX27" s="430"/>
      <c r="AY27" s="430"/>
      <c r="AZ27" s="430"/>
      <c r="BA27" s="430"/>
      <c r="BB27" s="430"/>
      <c r="BC27" s="430"/>
      <c r="BD27" s="430"/>
      <c r="BE27" s="430"/>
      <c r="BF27" s="430"/>
      <c r="BG27" s="430"/>
      <c r="BH27" s="430"/>
      <c r="BI27" s="430"/>
      <c r="BJ27" s="430"/>
      <c r="BK27" s="430"/>
    </row>
    <row r="28" spans="1:63" s="8" customFormat="1">
      <c r="A28" s="479" t="s">
        <v>42</v>
      </c>
      <c r="B28" s="476"/>
      <c r="C28" s="477"/>
      <c r="D28" s="477"/>
      <c r="E28" s="461"/>
      <c r="F28" s="464"/>
      <c r="G28" s="464"/>
      <c r="H28" s="464"/>
      <c r="I28" s="464"/>
      <c r="J28" s="464"/>
      <c r="K28" s="464"/>
      <c r="L28" s="461">
        <f>-(L78-L81)</f>
        <v>-472542.85714285716</v>
      </c>
      <c r="M28" s="461">
        <f>-(M78-M81)</f>
        <v>-472542.85714285716</v>
      </c>
      <c r="N28" s="461">
        <f>-(N78-N81)</f>
        <v>-472542.85714285716</v>
      </c>
      <c r="O28" s="461">
        <f>-(O78-O81)</f>
        <v>-472542.85714285716</v>
      </c>
      <c r="P28" s="461">
        <f>-(P78-P81)</f>
        <v>-805022.85714285704</v>
      </c>
      <c r="Q28" s="461">
        <f>-(Q78-Q81)</f>
        <v>-383142.85714285716</v>
      </c>
      <c r="R28" s="461">
        <f>-(R78-R81)</f>
        <v>-383142.85714285716</v>
      </c>
      <c r="S28" s="461">
        <f>-(S78-S81)</f>
        <v>-902642.85714285704</v>
      </c>
      <c r="T28" s="461">
        <f>-(T78-T81)</f>
        <v>-2052071.4285714282</v>
      </c>
      <c r="U28" s="461">
        <f>-(U78-U81)</f>
        <v>-1532571.4285714286</v>
      </c>
      <c r="V28" s="461">
        <f>-(V78-V81)</f>
        <v>-1532571.4285714286</v>
      </c>
      <c r="W28" s="461">
        <f>-(W78-W81)</f>
        <v>-1532571.4285714286</v>
      </c>
      <c r="X28" s="442" t="s">
        <v>43</v>
      </c>
      <c r="Y28" s="454"/>
      <c r="Z28" s="430"/>
      <c r="AA28" s="430"/>
      <c r="AB28" s="430"/>
      <c r="AC28" s="430"/>
      <c r="AD28" s="430"/>
      <c r="AE28" s="430"/>
      <c r="AF28" s="430"/>
      <c r="AG28" s="430"/>
      <c r="AH28" s="430"/>
      <c r="AI28" s="430"/>
      <c r="AJ28" s="430"/>
      <c r="AK28" s="430"/>
      <c r="AL28" s="430"/>
      <c r="AM28" s="430"/>
      <c r="AN28" s="430"/>
      <c r="AO28" s="430"/>
      <c r="AP28" s="430"/>
      <c r="AQ28" s="430"/>
      <c r="AR28" s="430"/>
      <c r="AS28" s="430"/>
      <c r="AT28" s="430"/>
      <c r="AU28" s="430"/>
      <c r="AV28" s="430"/>
      <c r="AW28" s="430"/>
      <c r="AX28" s="430"/>
      <c r="AY28" s="430"/>
      <c r="AZ28" s="430"/>
      <c r="BA28" s="430"/>
      <c r="BB28" s="430"/>
      <c r="BC28" s="430"/>
      <c r="BD28" s="430"/>
      <c r="BE28" s="430"/>
      <c r="BF28" s="430"/>
      <c r="BG28" s="430"/>
      <c r="BH28" s="430"/>
      <c r="BI28" s="430"/>
      <c r="BJ28" s="430"/>
      <c r="BK28" s="430"/>
    </row>
    <row r="29" spans="1:63">
      <c r="A29" s="443" t="s">
        <v>44</v>
      </c>
      <c r="B29" s="445"/>
      <c r="C29" s="445"/>
      <c r="D29" s="445"/>
      <c r="E29" s="461"/>
      <c r="F29" s="464"/>
      <c r="G29" s="464"/>
      <c r="H29" s="464"/>
      <c r="I29" s="464"/>
      <c r="J29" s="464"/>
      <c r="K29" s="464"/>
      <c r="L29" s="461"/>
      <c r="M29" s="461"/>
      <c r="N29" s="461"/>
      <c r="O29" s="461"/>
      <c r="P29" s="461"/>
      <c r="Q29" s="461"/>
      <c r="R29" s="461"/>
      <c r="S29" s="461"/>
      <c r="T29" s="461"/>
      <c r="U29" s="461"/>
      <c r="V29" s="461"/>
      <c r="W29" s="461"/>
      <c r="X29" s="430"/>
      <c r="Y29" s="454"/>
      <c r="Z29" s="430"/>
      <c r="AA29" s="430"/>
      <c r="AB29" s="430"/>
      <c r="AC29" s="430"/>
      <c r="AD29" s="430"/>
      <c r="AE29" s="430"/>
      <c r="AF29" s="430"/>
      <c r="AG29" s="430"/>
      <c r="AH29" s="430"/>
      <c r="AI29" s="430"/>
      <c r="AJ29" s="430"/>
      <c r="AK29" s="430"/>
      <c r="AL29" s="430"/>
      <c r="AM29" s="430"/>
      <c r="AN29" s="430"/>
      <c r="AO29" s="430"/>
      <c r="AP29" s="430"/>
      <c r="AQ29" s="430"/>
      <c r="AR29" s="430"/>
      <c r="AS29" s="430"/>
      <c r="AT29" s="430"/>
      <c r="AU29" s="430"/>
      <c r="AV29" s="430"/>
      <c r="AW29" s="430"/>
      <c r="AX29" s="430"/>
      <c r="AY29" s="430"/>
      <c r="AZ29" s="430"/>
      <c r="BA29" s="430"/>
      <c r="BB29" s="430"/>
      <c r="BC29" s="430"/>
      <c r="BD29" s="430"/>
      <c r="BE29" s="430"/>
      <c r="BF29" s="430"/>
      <c r="BG29" s="430"/>
      <c r="BH29" s="430"/>
      <c r="BI29" s="430"/>
      <c r="BJ29" s="430"/>
      <c r="BK29" s="430"/>
    </row>
    <row r="30" spans="1:63">
      <c r="A30" s="479" t="s">
        <v>45</v>
      </c>
      <c r="B30" s="480" t="s">
        <v>18</v>
      </c>
      <c r="C30" s="479" t="s">
        <v>46</v>
      </c>
      <c r="D30" s="479" t="s">
        <v>47</v>
      </c>
      <c r="E30" s="461"/>
      <c r="F30" s="464"/>
      <c r="G30" s="464"/>
      <c r="H30" s="464"/>
      <c r="I30" s="464"/>
      <c r="J30" s="464"/>
      <c r="K30" s="464"/>
      <c r="L30" s="481">
        <f>-189940/4</f>
        <v>-47485</v>
      </c>
      <c r="M30" s="481">
        <f>-189940/4</f>
        <v>-47485</v>
      </c>
      <c r="N30" s="481">
        <f>-189940/4</f>
        <v>-47485</v>
      </c>
      <c r="O30" s="481">
        <f>-189940/4</f>
        <v>-47485</v>
      </c>
      <c r="P30" s="481">
        <f>-540000/4</f>
        <v>-135000</v>
      </c>
      <c r="Q30" s="481">
        <f>-540000/4</f>
        <v>-135000</v>
      </c>
      <c r="R30" s="481">
        <f>-540000/4</f>
        <v>-135000</v>
      </c>
      <c r="S30" s="481">
        <f>-540000/4</f>
        <v>-135000</v>
      </c>
      <c r="T30" s="461">
        <f>S30</f>
        <v>-135000</v>
      </c>
      <c r="U30" s="461">
        <f>T30</f>
        <v>-135000</v>
      </c>
      <c r="V30" s="461">
        <f>U30</f>
        <v>-135000</v>
      </c>
      <c r="W30" s="461">
        <f>V30</f>
        <v>-135000</v>
      </c>
      <c r="X30" s="442" t="s">
        <v>48</v>
      </c>
      <c r="Y30" s="454"/>
      <c r="Z30" s="430"/>
      <c r="AA30" s="430"/>
      <c r="AB30" s="430"/>
      <c r="AC30" s="430"/>
      <c r="AD30" s="430"/>
      <c r="AE30" s="430"/>
      <c r="AF30" s="430"/>
      <c r="AG30" s="430"/>
      <c r="AH30" s="430"/>
      <c r="AI30" s="430"/>
      <c r="AJ30" s="430"/>
      <c r="AK30" s="430"/>
      <c r="AL30" s="430"/>
      <c r="AM30" s="430"/>
      <c r="AN30" s="430"/>
      <c r="AO30" s="430"/>
      <c r="AP30" s="430"/>
      <c r="AQ30" s="430"/>
      <c r="AR30" s="430"/>
      <c r="AS30" s="430"/>
      <c r="AT30" s="430"/>
      <c r="AU30" s="430"/>
      <c r="AV30" s="430"/>
      <c r="AW30" s="430"/>
      <c r="AX30" s="430"/>
      <c r="AY30" s="430"/>
      <c r="AZ30" s="430"/>
      <c r="BA30" s="430"/>
      <c r="BB30" s="430"/>
      <c r="BC30" s="430"/>
      <c r="BD30" s="430"/>
      <c r="BE30" s="430"/>
      <c r="BF30" s="430"/>
      <c r="BG30" s="430"/>
      <c r="BH30" s="430"/>
      <c r="BI30" s="430"/>
      <c r="BJ30" s="430"/>
      <c r="BK30" s="430"/>
    </row>
    <row r="31" spans="1:63" s="18" customFormat="1">
      <c r="A31" s="482" t="s">
        <v>49</v>
      </c>
      <c r="B31" s="467" t="s">
        <v>18</v>
      </c>
      <c r="C31" s="482" t="s">
        <v>46</v>
      </c>
      <c r="D31" s="482" t="s">
        <v>50</v>
      </c>
      <c r="E31" s="461"/>
      <c r="F31" s="464"/>
      <c r="G31" s="464"/>
      <c r="H31" s="464"/>
      <c r="I31" s="464"/>
      <c r="J31" s="464"/>
      <c r="K31" s="464"/>
      <c r="L31" s="483">
        <v>-112553</v>
      </c>
      <c r="M31" s="483">
        <v>-186705</v>
      </c>
      <c r="N31" s="483">
        <v>-148699</v>
      </c>
      <c r="O31" s="483">
        <v>-249431</v>
      </c>
      <c r="P31" s="481">
        <v>-174347</v>
      </c>
      <c r="Q31" s="483">
        <v>-174347</v>
      </c>
      <c r="R31" s="483">
        <v>-174347</v>
      </c>
      <c r="S31" s="483">
        <v>-174347</v>
      </c>
      <c r="T31" s="484">
        <v>-697388</v>
      </c>
      <c r="U31" s="484">
        <v>-697388</v>
      </c>
      <c r="V31" s="484">
        <v>-697388</v>
      </c>
      <c r="W31" s="484">
        <v>-697388</v>
      </c>
      <c r="X31" s="442" t="s">
        <v>51</v>
      </c>
      <c r="Y31" s="454"/>
      <c r="Z31" s="430"/>
      <c r="AA31" s="430"/>
      <c r="AB31" s="430"/>
      <c r="AC31" s="430"/>
      <c r="AD31" s="430"/>
      <c r="AE31" s="430"/>
      <c r="AF31" s="430"/>
      <c r="AG31" s="430"/>
      <c r="AH31" s="430"/>
      <c r="AI31" s="430"/>
      <c r="AJ31" s="430"/>
      <c r="AK31" s="430"/>
      <c r="AL31" s="430"/>
      <c r="AM31" s="430"/>
      <c r="AN31" s="430"/>
      <c r="AO31" s="430"/>
      <c r="AP31" s="430"/>
      <c r="AQ31" s="430"/>
      <c r="AR31" s="430"/>
      <c r="AS31" s="430"/>
      <c r="AT31" s="430"/>
      <c r="AU31" s="430"/>
      <c r="AV31" s="430"/>
      <c r="AW31" s="430"/>
      <c r="AX31" s="430"/>
      <c r="AY31" s="430"/>
      <c r="AZ31" s="430"/>
      <c r="BA31" s="430"/>
      <c r="BB31" s="430"/>
      <c r="BC31" s="430"/>
      <c r="BD31" s="430"/>
      <c r="BE31" s="430"/>
      <c r="BF31" s="430"/>
      <c r="BG31" s="430"/>
      <c r="BH31" s="430"/>
      <c r="BI31" s="430"/>
      <c r="BJ31" s="430"/>
      <c r="BK31" s="430"/>
    </row>
    <row r="32" spans="1:63" s="18" customFormat="1">
      <c r="A32" s="482" t="s">
        <v>52</v>
      </c>
      <c r="B32" s="467" t="s">
        <v>18</v>
      </c>
      <c r="C32" s="482" t="s">
        <v>46</v>
      </c>
      <c r="D32" s="482" t="s">
        <v>53</v>
      </c>
      <c r="E32" s="461"/>
      <c r="F32" s="464"/>
      <c r="G32" s="464"/>
      <c r="H32" s="464"/>
      <c r="I32" s="464"/>
      <c r="J32" s="464"/>
      <c r="K32" s="464"/>
      <c r="L32" s="483"/>
      <c r="M32" s="483"/>
      <c r="N32" s="483"/>
      <c r="O32" s="483"/>
      <c r="P32" s="481">
        <v>-75000</v>
      </c>
      <c r="Q32" s="481">
        <v>-75000</v>
      </c>
      <c r="R32" s="481">
        <v>-75000</v>
      </c>
      <c r="S32" s="481">
        <v>-75000</v>
      </c>
      <c r="T32" s="461">
        <v>-75000</v>
      </c>
      <c r="U32" s="461">
        <v>-75000</v>
      </c>
      <c r="V32" s="461">
        <v>-75000</v>
      </c>
      <c r="W32" s="461">
        <v>-75000</v>
      </c>
      <c r="X32" s="442" t="s">
        <v>54</v>
      </c>
      <c r="Y32" s="454"/>
      <c r="Z32" s="430"/>
      <c r="AA32" s="430"/>
      <c r="AB32" s="430"/>
      <c r="AC32" s="430"/>
      <c r="AD32" s="430"/>
      <c r="AE32" s="430"/>
      <c r="AF32" s="430"/>
      <c r="AG32" s="430"/>
      <c r="AH32" s="430"/>
      <c r="AI32" s="430"/>
      <c r="AJ32" s="430"/>
      <c r="AK32" s="430"/>
      <c r="AL32" s="430"/>
      <c r="AM32" s="430"/>
      <c r="AN32" s="430"/>
      <c r="AO32" s="430"/>
      <c r="AP32" s="430"/>
      <c r="AQ32" s="430"/>
      <c r="AR32" s="430"/>
      <c r="AS32" s="430"/>
      <c r="AT32" s="430"/>
      <c r="AU32" s="430"/>
      <c r="AV32" s="430"/>
      <c r="AW32" s="430"/>
      <c r="AX32" s="430"/>
      <c r="AY32" s="430"/>
      <c r="AZ32" s="430"/>
      <c r="BA32" s="430"/>
      <c r="BB32" s="430"/>
      <c r="BC32" s="430"/>
      <c r="BD32" s="430"/>
      <c r="BE32" s="430"/>
      <c r="BF32" s="430"/>
      <c r="BG32" s="430"/>
      <c r="BH32" s="430"/>
      <c r="BI32" s="430"/>
      <c r="BJ32" s="430"/>
      <c r="BK32" s="430"/>
    </row>
    <row r="33" spans="1:63" s="30" customFormat="1">
      <c r="A33" s="479" t="s">
        <v>55</v>
      </c>
      <c r="B33" s="480" t="s">
        <v>18</v>
      </c>
      <c r="C33" s="479" t="s">
        <v>46</v>
      </c>
      <c r="D33" s="479" t="s">
        <v>56</v>
      </c>
      <c r="E33" s="484"/>
      <c r="F33" s="473"/>
      <c r="G33" s="473"/>
      <c r="H33" s="473"/>
      <c r="I33" s="473"/>
      <c r="J33" s="473"/>
      <c r="K33" s="473"/>
      <c r="L33" s="483">
        <f t="shared" ref="L33:W33" si="4">-L18</f>
        <v>0</v>
      </c>
      <c r="M33" s="483">
        <f t="shared" si="4"/>
        <v>0</v>
      </c>
      <c r="N33" s="483">
        <f t="shared" si="4"/>
        <v>0</v>
      </c>
      <c r="O33" s="483">
        <f t="shared" si="4"/>
        <v>0</v>
      </c>
      <c r="P33" s="483">
        <f t="shared" si="4"/>
        <v>0</v>
      </c>
      <c r="Q33" s="483">
        <f t="shared" si="4"/>
        <v>-200000</v>
      </c>
      <c r="R33" s="483">
        <f t="shared" si="4"/>
        <v>-100000</v>
      </c>
      <c r="S33" s="483">
        <f t="shared" si="4"/>
        <v>0</v>
      </c>
      <c r="T33" s="484">
        <f t="shared" si="4"/>
        <v>-100000</v>
      </c>
      <c r="U33" s="484">
        <f t="shared" si="4"/>
        <v>0</v>
      </c>
      <c r="V33" s="484">
        <f t="shared" si="4"/>
        <v>0</v>
      </c>
      <c r="W33" s="484">
        <f t="shared" si="4"/>
        <v>0</v>
      </c>
      <c r="X33" s="430"/>
      <c r="Y33" s="454"/>
      <c r="Z33" s="430"/>
      <c r="AA33" s="430"/>
      <c r="AB33" s="430"/>
      <c r="AC33" s="430"/>
      <c r="AD33" s="430"/>
      <c r="AE33" s="430"/>
      <c r="AF33" s="430"/>
      <c r="AG33" s="430"/>
      <c r="AH33" s="430"/>
      <c r="AI33" s="430"/>
      <c r="AJ33" s="430"/>
      <c r="AK33" s="430"/>
      <c r="AL33" s="430"/>
      <c r="AM33" s="430"/>
      <c r="AN33" s="430"/>
      <c r="AO33" s="430"/>
      <c r="AP33" s="430"/>
      <c r="AQ33" s="430"/>
      <c r="AR33" s="430"/>
      <c r="AS33" s="430"/>
      <c r="AT33" s="430"/>
      <c r="AU33" s="430"/>
      <c r="AV33" s="430"/>
      <c r="AW33" s="430"/>
      <c r="AX33" s="430"/>
      <c r="AY33" s="430"/>
      <c r="AZ33" s="430"/>
      <c r="BA33" s="430"/>
      <c r="BB33" s="430"/>
      <c r="BC33" s="430"/>
      <c r="BD33" s="430"/>
      <c r="BE33" s="430"/>
      <c r="BF33" s="430"/>
      <c r="BG33" s="430"/>
      <c r="BH33" s="430"/>
      <c r="BI33" s="430"/>
      <c r="BJ33" s="430"/>
      <c r="BK33" s="430"/>
    </row>
    <row r="34" spans="1:63">
      <c r="A34" s="479" t="s">
        <v>57</v>
      </c>
      <c r="B34" s="480" t="s">
        <v>18</v>
      </c>
      <c r="C34" s="479" t="s">
        <v>46</v>
      </c>
      <c r="D34" s="479" t="s">
        <v>58</v>
      </c>
      <c r="E34" s="461"/>
      <c r="F34" s="464"/>
      <c r="G34" s="464"/>
      <c r="H34" s="464"/>
      <c r="I34" s="464"/>
      <c r="J34" s="464"/>
      <c r="K34" s="464"/>
      <c r="L34" s="481"/>
      <c r="M34" s="481"/>
      <c r="N34" s="481">
        <v>-45000</v>
      </c>
      <c r="O34" s="481">
        <v>-599728</v>
      </c>
      <c r="P34" s="481">
        <v>-1620000</v>
      </c>
      <c r="Q34" s="481">
        <v>-2100000</v>
      </c>
      <c r="R34" s="481">
        <v>-300000</v>
      </c>
      <c r="S34" s="481">
        <v>-300000</v>
      </c>
      <c r="T34" s="461">
        <v>0</v>
      </c>
      <c r="U34" s="461">
        <v>0</v>
      </c>
      <c r="V34" s="461">
        <v>0</v>
      </c>
      <c r="W34" s="461">
        <v>0</v>
      </c>
      <c r="X34" s="442" t="s">
        <v>59</v>
      </c>
      <c r="Y34" s="454"/>
      <c r="Z34" s="430"/>
      <c r="AA34" s="478"/>
      <c r="AB34" s="430"/>
      <c r="AC34" s="430"/>
      <c r="AD34" s="430"/>
      <c r="AE34" s="430"/>
      <c r="AF34" s="430"/>
      <c r="AG34" s="430"/>
      <c r="AH34" s="430"/>
      <c r="AI34" s="430"/>
      <c r="AJ34" s="430"/>
      <c r="AK34" s="430"/>
      <c r="AL34" s="430"/>
      <c r="AM34" s="430"/>
      <c r="AN34" s="430"/>
      <c r="AO34" s="430"/>
      <c r="AP34" s="430"/>
      <c r="AQ34" s="430"/>
      <c r="AR34" s="430"/>
      <c r="AS34" s="430"/>
      <c r="AT34" s="430"/>
      <c r="AU34" s="430"/>
      <c r="AV34" s="430"/>
      <c r="AW34" s="430"/>
      <c r="AX34" s="430"/>
      <c r="AY34" s="430"/>
      <c r="AZ34" s="430"/>
      <c r="BA34" s="430"/>
      <c r="BB34" s="430"/>
      <c r="BC34" s="430"/>
      <c r="BD34" s="430"/>
      <c r="BE34" s="430"/>
      <c r="BF34" s="430"/>
      <c r="BG34" s="430"/>
      <c r="BH34" s="430"/>
      <c r="BI34" s="430"/>
      <c r="BJ34" s="430"/>
      <c r="BK34" s="430"/>
    </row>
    <row r="35" spans="1:63" s="36" customFormat="1">
      <c r="A35" s="485" t="s">
        <v>60</v>
      </c>
      <c r="B35" s="480" t="s">
        <v>18</v>
      </c>
      <c r="C35" s="486" t="s">
        <v>61</v>
      </c>
      <c r="D35" s="487"/>
      <c r="E35" s="488"/>
      <c r="F35" s="430"/>
      <c r="G35" s="430"/>
      <c r="H35" s="430"/>
      <c r="I35" s="430"/>
      <c r="J35" s="430"/>
      <c r="K35" s="430"/>
      <c r="L35" s="489">
        <v>1</v>
      </c>
      <c r="M35" s="489">
        <v>1</v>
      </c>
      <c r="N35" s="489">
        <v>1</v>
      </c>
      <c r="O35" s="489">
        <v>1</v>
      </c>
      <c r="P35" s="489">
        <v>1</v>
      </c>
      <c r="Q35" s="489">
        <v>1</v>
      </c>
      <c r="R35" s="489">
        <v>1</v>
      </c>
      <c r="S35" s="489">
        <v>1</v>
      </c>
      <c r="T35" s="488">
        <f>(1+'c12_inputs'!$E$5)</f>
        <v>1.03</v>
      </c>
      <c r="U35" s="488">
        <f>T35*(1+'c12_inputs'!$E$5)</f>
        <v>1.0609</v>
      </c>
      <c r="V35" s="488">
        <f>U35*(1+'c12_inputs'!$E$5)</f>
        <v>1.092727</v>
      </c>
      <c r="W35" s="488">
        <f>V35*(1+'c12_inputs'!$E$5)</f>
        <v>1.1255088100000001</v>
      </c>
      <c r="X35" s="430"/>
      <c r="Y35" s="430"/>
      <c r="Z35" s="430"/>
      <c r="AA35" s="430"/>
      <c r="AB35" s="430"/>
      <c r="AC35" s="430"/>
      <c r="AD35" s="430"/>
      <c r="AE35" s="430"/>
      <c r="AF35" s="430"/>
      <c r="AG35" s="430"/>
      <c r="AH35" s="430"/>
      <c r="AI35" s="430"/>
      <c r="AJ35" s="430"/>
      <c r="AK35" s="430"/>
      <c r="AL35" s="430"/>
      <c r="AM35" s="430"/>
      <c r="AN35" s="430"/>
      <c r="AO35" s="430"/>
      <c r="AP35" s="430"/>
      <c r="AQ35" s="430"/>
      <c r="AR35" s="430"/>
      <c r="AS35" s="430"/>
      <c r="AT35" s="430"/>
      <c r="AU35" s="430"/>
      <c r="AV35" s="430"/>
      <c r="AW35" s="430"/>
      <c r="AX35" s="430"/>
      <c r="AY35" s="430"/>
      <c r="AZ35" s="430"/>
      <c r="BA35" s="430"/>
      <c r="BB35" s="430"/>
      <c r="BC35" s="430"/>
      <c r="BD35" s="430"/>
      <c r="BE35" s="430"/>
      <c r="BF35" s="430"/>
      <c r="BG35" s="430"/>
      <c r="BH35" s="430"/>
      <c r="BI35" s="430"/>
      <c r="BJ35" s="430"/>
      <c r="BK35" s="430"/>
    </row>
    <row r="36" spans="1:63" s="30" customFormat="1">
      <c r="A36" s="479" t="s">
        <v>62</v>
      </c>
      <c r="B36" s="480" t="s">
        <v>34</v>
      </c>
      <c r="C36" s="479" t="s">
        <v>63</v>
      </c>
      <c r="D36" s="477"/>
      <c r="E36" s="461"/>
      <c r="F36" s="490"/>
      <c r="G36" s="490"/>
      <c r="H36" s="490"/>
      <c r="I36" s="490"/>
      <c r="J36" s="490"/>
      <c r="K36" s="490"/>
      <c r="L36" s="461">
        <f>(L35-1)*SUM(L25:L34)</f>
        <v>0</v>
      </c>
      <c r="M36" s="461">
        <f t="shared" ref="M36:W36" si="5">(M35-1)*SUM(M25:M34)</f>
        <v>0</v>
      </c>
      <c r="N36" s="461">
        <f t="shared" si="5"/>
        <v>0</v>
      </c>
      <c r="O36" s="461">
        <f t="shared" si="5"/>
        <v>0</v>
      </c>
      <c r="P36" s="461">
        <f t="shared" si="5"/>
        <v>0</v>
      </c>
      <c r="Q36" s="461">
        <f t="shared" si="5"/>
        <v>0</v>
      </c>
      <c r="R36" s="461">
        <f t="shared" si="5"/>
        <v>0</v>
      </c>
      <c r="S36" s="461">
        <f t="shared" si="5"/>
        <v>0</v>
      </c>
      <c r="T36" s="461">
        <f>(T35-1)*SUM(T25:T34)</f>
        <v>-350305.14000000031</v>
      </c>
      <c r="U36" s="461">
        <f t="shared" si="5"/>
        <v>-673391.88419999951</v>
      </c>
      <c r="V36" s="461">
        <f t="shared" si="5"/>
        <v>-1025313.7807260001</v>
      </c>
      <c r="W36" s="461">
        <f t="shared" si="5"/>
        <v>-1387793.3341477816</v>
      </c>
      <c r="X36" s="442" t="s">
        <v>64</v>
      </c>
      <c r="Y36" s="454"/>
      <c r="Z36" s="430"/>
      <c r="AA36" s="478"/>
      <c r="AB36" s="430"/>
      <c r="AC36" s="430"/>
      <c r="AD36" s="430"/>
      <c r="AE36" s="430"/>
      <c r="AF36" s="430"/>
      <c r="AG36" s="430"/>
      <c r="AH36" s="430"/>
      <c r="AI36" s="430"/>
      <c r="AJ36" s="430"/>
      <c r="AK36" s="430"/>
      <c r="AL36" s="430"/>
      <c r="AM36" s="430"/>
      <c r="AN36" s="430"/>
      <c r="AO36" s="430"/>
      <c r="AP36" s="430"/>
      <c r="AQ36" s="430"/>
      <c r="AR36" s="430"/>
      <c r="AS36" s="430"/>
      <c r="AT36" s="430"/>
      <c r="AU36" s="430"/>
      <c r="AV36" s="430"/>
      <c r="AW36" s="430"/>
      <c r="AX36" s="430"/>
      <c r="AY36" s="430"/>
      <c r="AZ36" s="430"/>
      <c r="BA36" s="430"/>
      <c r="BB36" s="430"/>
      <c r="BC36" s="430"/>
      <c r="BD36" s="430"/>
      <c r="BE36" s="430"/>
      <c r="BF36" s="430"/>
      <c r="BG36" s="430"/>
      <c r="BH36" s="430"/>
      <c r="BI36" s="430"/>
      <c r="BJ36" s="430"/>
      <c r="BK36" s="430"/>
    </row>
    <row r="37" spans="1:63">
      <c r="A37" s="622" t="s">
        <v>1148</v>
      </c>
      <c r="B37" s="632" t="s">
        <v>14</v>
      </c>
      <c r="C37" s="622" t="s">
        <v>1149</v>
      </c>
      <c r="D37" s="477"/>
      <c r="E37" s="491">
        <v>-3970569</v>
      </c>
      <c r="F37" s="481">
        <v>-1102148</v>
      </c>
      <c r="G37" s="481">
        <v>-1124287</v>
      </c>
      <c r="H37" s="481">
        <v>-1077940</v>
      </c>
      <c r="I37" s="481">
        <v>-1645629</v>
      </c>
      <c r="J37" s="481"/>
      <c r="K37" s="481"/>
      <c r="L37" s="627">
        <f>IF(AND((F37&lt;&gt;""),(L$2&lt;46204)),(F37),SUM(L25:L28))</f>
        <v>-1102148</v>
      </c>
      <c r="M37" s="627">
        <f t="shared" ref="M37:W37" si="6">IF(AND((G37&lt;&gt;""),(M$2&lt;46204)),(G37),SUM(M25:M28))</f>
        <v>-1124287</v>
      </c>
      <c r="N37" s="627">
        <f t="shared" si="6"/>
        <v>-1077940</v>
      </c>
      <c r="O37" s="627">
        <f t="shared" si="6"/>
        <v>-1645629</v>
      </c>
      <c r="P37" s="627">
        <f t="shared" si="6"/>
        <v>-2053502.857142857</v>
      </c>
      <c r="Q37" s="627">
        <f t="shared" si="6"/>
        <v>-1773060</v>
      </c>
      <c r="R37" s="627">
        <f t="shared" si="6"/>
        <v>-2050260</v>
      </c>
      <c r="S37" s="627">
        <f t="shared" si="6"/>
        <v>-4246446.25</v>
      </c>
      <c r="T37" s="627">
        <f t="shared" si="6"/>
        <v>-10669450</v>
      </c>
      <c r="U37" s="627">
        <f t="shared" si="6"/>
        <v>-10149950</v>
      </c>
      <c r="V37" s="627">
        <f t="shared" si="6"/>
        <v>-10149950</v>
      </c>
      <c r="W37" s="627">
        <f t="shared" si="6"/>
        <v>-10149950</v>
      </c>
      <c r="X37" s="430"/>
      <c r="Y37" s="454"/>
      <c r="Z37" s="430"/>
      <c r="AA37" s="478"/>
      <c r="AB37" s="430"/>
      <c r="AC37" s="430"/>
      <c r="AD37" s="430"/>
      <c r="AE37" s="430"/>
      <c r="AF37" s="430"/>
      <c r="AG37" s="430"/>
      <c r="AH37" s="430"/>
      <c r="AI37" s="430"/>
      <c r="AJ37" s="430"/>
      <c r="AK37" s="430"/>
      <c r="AL37" s="430"/>
      <c r="AM37" s="430"/>
      <c r="AN37" s="430"/>
      <c r="AO37" s="430"/>
      <c r="AP37" s="430"/>
      <c r="AQ37" s="430"/>
      <c r="AR37" s="430"/>
      <c r="AS37" s="430"/>
      <c r="AT37" s="430"/>
      <c r="AU37" s="430"/>
      <c r="AV37" s="430"/>
      <c r="AW37" s="430"/>
      <c r="AX37" s="430"/>
      <c r="AY37" s="430"/>
      <c r="AZ37" s="430"/>
      <c r="BA37" s="430"/>
      <c r="BB37" s="430"/>
      <c r="BC37" s="430"/>
      <c r="BD37" s="430"/>
      <c r="BE37" s="430"/>
      <c r="BF37" s="430"/>
      <c r="BG37" s="430"/>
      <c r="BH37" s="430"/>
      <c r="BI37" s="430"/>
      <c r="BJ37" s="430"/>
      <c r="BK37" s="430"/>
    </row>
    <row r="38" spans="1:63" ht="15" customHeight="1" thickBot="1">
      <c r="A38" s="621" t="s">
        <v>1150</v>
      </c>
      <c r="B38" s="623" t="s">
        <v>18</v>
      </c>
      <c r="C38" s="621" t="s">
        <v>1151</v>
      </c>
      <c r="D38" s="448"/>
      <c r="E38" s="461"/>
      <c r="F38" s="481">
        <v>-375000</v>
      </c>
      <c r="G38" s="481">
        <v>-375000</v>
      </c>
      <c r="H38" s="481">
        <v>-375000</v>
      </c>
      <c r="I38" s="481">
        <v>-375000</v>
      </c>
      <c r="J38" s="481"/>
      <c r="K38" s="481"/>
      <c r="L38" s="627">
        <f>IF(AND((F38&lt;&gt;""),(L$2&lt;46204)),(F38),0)</f>
        <v>-375000</v>
      </c>
      <c r="M38" s="627">
        <f t="shared" ref="M38:W38" si="7">IF(AND((G38&lt;&gt;""),(M$2&lt;46204)),(G38),0)</f>
        <v>-375000</v>
      </c>
      <c r="N38" s="627">
        <f t="shared" si="7"/>
        <v>-375000</v>
      </c>
      <c r="O38" s="627">
        <f t="shared" si="7"/>
        <v>-375000</v>
      </c>
      <c r="P38" s="627">
        <f t="shared" si="7"/>
        <v>0</v>
      </c>
      <c r="Q38" s="627">
        <f t="shared" si="7"/>
        <v>0</v>
      </c>
      <c r="R38" s="627">
        <f t="shared" si="7"/>
        <v>0</v>
      </c>
      <c r="S38" s="627">
        <f t="shared" si="7"/>
        <v>0</v>
      </c>
      <c r="T38" s="627">
        <f t="shared" si="7"/>
        <v>0</v>
      </c>
      <c r="U38" s="627">
        <f t="shared" si="7"/>
        <v>0</v>
      </c>
      <c r="V38" s="627">
        <f t="shared" si="7"/>
        <v>0</v>
      </c>
      <c r="W38" s="627">
        <f t="shared" si="7"/>
        <v>0</v>
      </c>
      <c r="X38" s="430"/>
      <c r="Y38" s="454"/>
      <c r="Z38" s="430"/>
      <c r="AA38" s="430"/>
      <c r="AB38" s="430"/>
      <c r="AC38" s="430"/>
      <c r="AD38" s="430"/>
      <c r="AE38" s="430"/>
      <c r="AF38" s="430"/>
      <c r="AG38" s="430"/>
      <c r="AH38" s="430"/>
      <c r="AI38" s="430"/>
      <c r="AJ38" s="430"/>
      <c r="AK38" s="430"/>
      <c r="AL38" s="430"/>
      <c r="AM38" s="430"/>
      <c r="AN38" s="430"/>
      <c r="AO38" s="430"/>
      <c r="AP38" s="430"/>
      <c r="AQ38" s="430"/>
      <c r="AR38" s="430"/>
      <c r="AS38" s="430"/>
      <c r="AT38" s="430"/>
      <c r="AU38" s="430"/>
      <c r="AV38" s="430"/>
      <c r="AW38" s="430"/>
      <c r="AX38" s="430"/>
      <c r="AY38" s="430"/>
      <c r="AZ38" s="430"/>
      <c r="BA38" s="430"/>
      <c r="BB38" s="430"/>
      <c r="BC38" s="430"/>
      <c r="BD38" s="430"/>
      <c r="BE38" s="430"/>
      <c r="BF38" s="492"/>
      <c r="BG38" s="430"/>
      <c r="BH38" s="430"/>
      <c r="BI38" s="430"/>
      <c r="BJ38" s="430"/>
      <c r="BK38" s="430"/>
    </row>
    <row r="39" spans="1:63" s="42" customFormat="1" ht="15.5" customHeight="1" thickTop="1" thickBot="1">
      <c r="A39" s="444" t="s">
        <v>65</v>
      </c>
      <c r="B39" s="443" t="s">
        <v>14</v>
      </c>
      <c r="C39" s="443" t="s">
        <v>66</v>
      </c>
      <c r="D39" s="445"/>
      <c r="E39" s="463">
        <v>-5450569</v>
      </c>
      <c r="F39" s="490"/>
      <c r="G39" s="490"/>
      <c r="H39" s="490"/>
      <c r="I39" s="490"/>
      <c r="J39" s="490"/>
      <c r="K39" s="490"/>
      <c r="L39" s="465">
        <f>SUM(L30:L34,L36,L37:L38)</f>
        <v>-1637186</v>
      </c>
      <c r="M39" s="465">
        <f t="shared" ref="M39:W39" si="8">SUM(M30:M34,M36,M37:M38)</f>
        <v>-1733477</v>
      </c>
      <c r="N39" s="465">
        <f t="shared" si="8"/>
        <v>-1694124</v>
      </c>
      <c r="O39" s="465">
        <f t="shared" si="8"/>
        <v>-2917273</v>
      </c>
      <c r="P39" s="465">
        <f t="shared" si="8"/>
        <v>-4057849.8571428573</v>
      </c>
      <c r="Q39" s="465">
        <f t="shared" si="8"/>
        <v>-4457407</v>
      </c>
      <c r="R39" s="465">
        <f t="shared" si="8"/>
        <v>-2834607</v>
      </c>
      <c r="S39" s="465">
        <f t="shared" si="8"/>
        <v>-4930793.25</v>
      </c>
      <c r="T39" s="465">
        <f t="shared" si="8"/>
        <v>-12027143.140000001</v>
      </c>
      <c r="U39" s="465">
        <f t="shared" si="8"/>
        <v>-11730729.884199999</v>
      </c>
      <c r="V39" s="465">
        <f t="shared" si="8"/>
        <v>-12082651.780726001</v>
      </c>
      <c r="W39" s="465">
        <f t="shared" si="8"/>
        <v>-12445131.334147781</v>
      </c>
      <c r="X39" s="430"/>
      <c r="Y39" s="454"/>
      <c r="Z39" s="430"/>
      <c r="AA39" s="430"/>
      <c r="AB39" s="430"/>
      <c r="AC39" s="430"/>
      <c r="AD39" s="430"/>
      <c r="AE39" s="430"/>
      <c r="AF39" s="430"/>
      <c r="AG39" s="430"/>
      <c r="AH39" s="430"/>
      <c r="AI39" s="430"/>
      <c r="AJ39" s="430"/>
      <c r="AK39" s="430"/>
      <c r="AL39" s="430"/>
      <c r="AM39" s="430"/>
      <c r="AN39" s="430"/>
      <c r="AO39" s="430"/>
      <c r="AP39" s="430"/>
      <c r="AQ39" s="430"/>
      <c r="AR39" s="430"/>
      <c r="AS39" s="430"/>
      <c r="AT39" s="430"/>
      <c r="AU39" s="430"/>
      <c r="AV39" s="430"/>
      <c r="AW39" s="430"/>
      <c r="AX39" s="430"/>
      <c r="AY39" s="430"/>
      <c r="AZ39" s="430"/>
      <c r="BA39" s="430"/>
      <c r="BB39" s="430"/>
      <c r="BC39" s="430"/>
      <c r="BD39" s="430"/>
      <c r="BE39" s="430"/>
      <c r="BF39" s="430"/>
      <c r="BG39" s="430"/>
      <c r="BH39" s="430"/>
      <c r="BI39" s="430"/>
      <c r="BJ39" s="430"/>
      <c r="BK39" s="430"/>
    </row>
    <row r="40" spans="1:63" s="42" customFormat="1" ht="15" customHeight="1" thickTop="1">
      <c r="A40" s="447"/>
      <c r="B40" s="445"/>
      <c r="C40" s="445"/>
      <c r="D40" s="445"/>
      <c r="E40" s="461"/>
      <c r="F40" s="464"/>
      <c r="G40" s="464"/>
      <c r="H40" s="464"/>
      <c r="I40" s="464"/>
      <c r="J40" s="464"/>
      <c r="K40" s="464"/>
      <c r="L40" s="461"/>
      <c r="M40" s="461"/>
      <c r="N40" s="461"/>
      <c r="O40" s="461"/>
      <c r="P40" s="461"/>
      <c r="Q40" s="461"/>
      <c r="R40" s="461"/>
      <c r="S40" s="461"/>
      <c r="T40" s="461"/>
      <c r="U40" s="461"/>
      <c r="V40" s="461"/>
      <c r="W40" s="461"/>
      <c r="X40" s="430"/>
      <c r="Y40" s="454"/>
      <c r="Z40" s="430"/>
      <c r="AA40" s="430"/>
      <c r="AB40" s="430"/>
      <c r="AC40" s="430"/>
      <c r="AD40" s="430"/>
      <c r="AE40" s="430"/>
      <c r="AF40" s="430"/>
      <c r="AG40" s="430"/>
      <c r="AH40" s="430"/>
      <c r="AI40" s="430"/>
      <c r="AJ40" s="430"/>
      <c r="AK40" s="430"/>
      <c r="AL40" s="430"/>
      <c r="AM40" s="430"/>
      <c r="AN40" s="430"/>
      <c r="AO40" s="430"/>
      <c r="AP40" s="430"/>
      <c r="AQ40" s="430"/>
      <c r="AR40" s="430"/>
      <c r="AS40" s="430"/>
      <c r="AT40" s="430"/>
      <c r="AU40" s="430"/>
      <c r="AV40" s="430"/>
      <c r="AW40" s="430"/>
      <c r="AX40" s="430"/>
      <c r="AY40" s="430"/>
      <c r="AZ40" s="430"/>
      <c r="BA40" s="430"/>
      <c r="BB40" s="430"/>
      <c r="BC40" s="430"/>
      <c r="BD40" s="430"/>
      <c r="BE40" s="430"/>
      <c r="BF40" s="430"/>
      <c r="BG40" s="430"/>
      <c r="BH40" s="430"/>
      <c r="BI40" s="430"/>
      <c r="BJ40" s="430"/>
      <c r="BK40" s="430"/>
    </row>
    <row r="41" spans="1:63">
      <c r="A41" s="480" t="s">
        <v>67</v>
      </c>
      <c r="B41" s="476"/>
      <c r="C41" s="476"/>
      <c r="D41" s="476"/>
      <c r="E41" s="492"/>
      <c r="F41" s="490"/>
      <c r="G41" s="490"/>
      <c r="H41" s="490"/>
      <c r="I41" s="490"/>
      <c r="J41" s="490"/>
      <c r="K41" s="490"/>
      <c r="L41" s="492">
        <f t="shared" ref="L41:W41" si="9">-L81</f>
        <v>-31928.571428571431</v>
      </c>
      <c r="M41" s="492">
        <f t="shared" si="9"/>
        <v>-31928.571428571431</v>
      </c>
      <c r="N41" s="492">
        <f t="shared" si="9"/>
        <v>-31928.571428571431</v>
      </c>
      <c r="O41" s="492">
        <f t="shared" si="9"/>
        <v>-42318.571428571435</v>
      </c>
      <c r="P41" s="492">
        <f t="shared" si="9"/>
        <v>-58237.71428571429</v>
      </c>
      <c r="Q41" s="492">
        <f t="shared" si="9"/>
        <v>-58237.71428571429</v>
      </c>
      <c r="R41" s="492">
        <f t="shared" si="9"/>
        <v>-58237.71428571429</v>
      </c>
      <c r="S41" s="492">
        <f t="shared" si="9"/>
        <v>-79017.71428571429</v>
      </c>
      <c r="T41" s="492">
        <f t="shared" si="9"/>
        <v>-253730.85714285716</v>
      </c>
      <c r="U41" s="492">
        <f t="shared" si="9"/>
        <v>-253730.85714285716</v>
      </c>
      <c r="V41" s="492">
        <f t="shared" si="9"/>
        <v>-253730.85714285716</v>
      </c>
      <c r="W41" s="492">
        <f t="shared" si="9"/>
        <v>-253730.85714285716</v>
      </c>
      <c r="X41" s="430"/>
      <c r="Y41" s="454"/>
      <c r="Z41" s="430"/>
      <c r="AA41" s="430"/>
      <c r="AB41" s="430"/>
      <c r="AC41" s="430"/>
      <c r="AD41" s="430"/>
      <c r="AE41" s="430"/>
      <c r="AF41" s="430"/>
      <c r="AG41" s="430"/>
      <c r="AH41" s="430"/>
      <c r="AI41" s="430"/>
      <c r="AJ41" s="430"/>
      <c r="AK41" s="430"/>
      <c r="AL41" s="430"/>
      <c r="AM41" s="430"/>
      <c r="AN41" s="430"/>
      <c r="AO41" s="430"/>
      <c r="AP41" s="430"/>
      <c r="AQ41" s="430"/>
      <c r="AR41" s="430"/>
      <c r="AS41" s="430"/>
      <c r="AT41" s="430"/>
      <c r="AU41" s="430"/>
      <c r="AV41" s="430"/>
      <c r="AW41" s="430"/>
      <c r="AX41" s="430"/>
      <c r="AY41" s="430"/>
      <c r="AZ41" s="430"/>
      <c r="BA41" s="430"/>
      <c r="BB41" s="430"/>
      <c r="BC41" s="430"/>
      <c r="BD41" s="430"/>
      <c r="BE41" s="430"/>
      <c r="BF41" s="430"/>
      <c r="BG41" s="430"/>
      <c r="BH41" s="430"/>
      <c r="BI41" s="430"/>
      <c r="BJ41" s="430"/>
      <c r="BK41" s="430"/>
    </row>
    <row r="42" spans="1:63" s="8" customFormat="1">
      <c r="A42" s="480" t="s">
        <v>68</v>
      </c>
      <c r="B42" s="480" t="s">
        <v>18</v>
      </c>
      <c r="C42" s="480" t="s">
        <v>69</v>
      </c>
      <c r="D42" s="476"/>
      <c r="E42" s="468"/>
      <c r="F42" s="490"/>
      <c r="G42" s="490"/>
      <c r="H42" s="490"/>
      <c r="I42" s="490"/>
      <c r="J42" s="490"/>
      <c r="K42" s="490"/>
      <c r="L42" s="481"/>
      <c r="M42" s="481"/>
      <c r="N42" s="481"/>
      <c r="O42" s="481"/>
      <c r="P42" s="481"/>
      <c r="Q42" s="481"/>
      <c r="R42" s="481"/>
      <c r="S42" s="481">
        <v>-200000</v>
      </c>
      <c r="T42" s="461">
        <v>-200000</v>
      </c>
      <c r="U42" s="461">
        <v>-200000</v>
      </c>
      <c r="V42" s="461">
        <v>-200000</v>
      </c>
      <c r="W42" s="461">
        <v>-200000</v>
      </c>
      <c r="X42" s="430"/>
      <c r="Y42" s="454"/>
      <c r="Z42" s="430"/>
      <c r="AA42" s="430"/>
      <c r="AB42" s="430"/>
      <c r="AC42" s="430"/>
      <c r="AD42" s="430"/>
      <c r="AE42" s="430"/>
      <c r="AF42" s="430"/>
      <c r="AG42" s="430"/>
      <c r="AH42" s="430"/>
      <c r="AI42" s="430"/>
      <c r="AJ42" s="430"/>
      <c r="AK42" s="430"/>
      <c r="AL42" s="430"/>
      <c r="AM42" s="430"/>
      <c r="AN42" s="430"/>
      <c r="AO42" s="430"/>
      <c r="AP42" s="430"/>
      <c r="AQ42" s="430"/>
      <c r="AR42" s="430"/>
      <c r="AS42" s="430"/>
      <c r="AT42" s="430"/>
      <c r="AU42" s="430"/>
      <c r="AV42" s="430"/>
      <c r="AW42" s="430"/>
      <c r="AX42" s="430"/>
      <c r="AY42" s="430"/>
      <c r="AZ42" s="430"/>
      <c r="BA42" s="430"/>
      <c r="BB42" s="430"/>
      <c r="BC42" s="430"/>
      <c r="BD42" s="430"/>
      <c r="BE42" s="430"/>
      <c r="BF42" s="430"/>
      <c r="BG42" s="430"/>
      <c r="BH42" s="430"/>
      <c r="BI42" s="430"/>
      <c r="BJ42" s="430"/>
      <c r="BK42" s="430"/>
    </row>
    <row r="43" spans="1:63">
      <c r="A43" s="444" t="s">
        <v>70</v>
      </c>
      <c r="B43" s="443" t="s">
        <v>34</v>
      </c>
      <c r="C43" s="443" t="s">
        <v>71</v>
      </c>
      <c r="D43" s="445"/>
      <c r="E43" s="461"/>
      <c r="F43" s="490"/>
      <c r="G43" s="490"/>
      <c r="H43" s="490"/>
      <c r="I43" s="490"/>
      <c r="J43" s="490"/>
      <c r="K43" s="490"/>
      <c r="L43" s="461">
        <f t="shared" ref="L43:W43" si="10">SUM(L41:L42)</f>
        <v>-31928.571428571431</v>
      </c>
      <c r="M43" s="461">
        <f t="shared" si="10"/>
        <v>-31928.571428571431</v>
      </c>
      <c r="N43" s="461">
        <f t="shared" si="10"/>
        <v>-31928.571428571431</v>
      </c>
      <c r="O43" s="461">
        <f t="shared" si="10"/>
        <v>-42318.571428571435</v>
      </c>
      <c r="P43" s="461">
        <f t="shared" si="10"/>
        <v>-58237.71428571429</v>
      </c>
      <c r="Q43" s="461">
        <f t="shared" si="10"/>
        <v>-58237.71428571429</v>
      </c>
      <c r="R43" s="461">
        <f t="shared" si="10"/>
        <v>-58237.71428571429</v>
      </c>
      <c r="S43" s="461">
        <f t="shared" si="10"/>
        <v>-279017.71428571432</v>
      </c>
      <c r="T43" s="461">
        <f t="shared" si="10"/>
        <v>-453730.85714285716</v>
      </c>
      <c r="U43" s="461">
        <f t="shared" si="10"/>
        <v>-453730.85714285716</v>
      </c>
      <c r="V43" s="461">
        <f t="shared" si="10"/>
        <v>-453730.85714285716</v>
      </c>
      <c r="W43" s="461">
        <f t="shared" si="10"/>
        <v>-453730.85714285716</v>
      </c>
      <c r="X43" s="430"/>
      <c r="Y43" s="454"/>
      <c r="Z43" s="430"/>
      <c r="AA43" s="478"/>
      <c r="AB43" s="430"/>
      <c r="AC43" s="430"/>
      <c r="AD43" s="430"/>
      <c r="AE43" s="430"/>
      <c r="AF43" s="430"/>
      <c r="AG43" s="430"/>
      <c r="AH43" s="430"/>
      <c r="AI43" s="430"/>
      <c r="AJ43" s="430"/>
      <c r="AK43" s="430"/>
      <c r="AL43" s="430"/>
      <c r="AM43" s="430"/>
      <c r="AN43" s="430"/>
      <c r="AO43" s="430"/>
      <c r="AP43" s="430"/>
      <c r="AQ43" s="430"/>
      <c r="AR43" s="430"/>
      <c r="AS43" s="430"/>
      <c r="AT43" s="430"/>
      <c r="AU43" s="430"/>
      <c r="AV43" s="430"/>
      <c r="AW43" s="430"/>
      <c r="AX43" s="430"/>
      <c r="AY43" s="430"/>
      <c r="AZ43" s="430"/>
      <c r="BA43" s="430"/>
      <c r="BB43" s="430"/>
      <c r="BC43" s="430"/>
      <c r="BD43" s="430"/>
      <c r="BE43" s="430"/>
      <c r="BF43" s="430"/>
      <c r="BG43" s="430"/>
      <c r="BH43" s="430"/>
      <c r="BI43" s="430"/>
      <c r="BJ43" s="430"/>
      <c r="BK43" s="430"/>
    </row>
    <row r="44" spans="1:63">
      <c r="A44" s="447"/>
      <c r="B44" s="445"/>
      <c r="C44" s="445"/>
      <c r="D44" s="445"/>
      <c r="E44" s="461"/>
      <c r="F44" s="490"/>
      <c r="G44" s="490"/>
      <c r="H44" s="490"/>
      <c r="I44" s="490"/>
      <c r="J44" s="490"/>
      <c r="K44" s="490"/>
      <c r="L44" s="461"/>
      <c r="M44" s="461"/>
      <c r="N44" s="461"/>
      <c r="O44" s="461"/>
      <c r="P44" s="461"/>
      <c r="Q44" s="461"/>
      <c r="R44" s="461"/>
      <c r="S44" s="461"/>
      <c r="T44" s="461"/>
      <c r="U44" s="461"/>
      <c r="V44" s="461"/>
      <c r="W44" s="461"/>
      <c r="X44" s="430"/>
      <c r="Y44" s="454"/>
      <c r="Z44" s="430"/>
      <c r="AA44" s="478"/>
      <c r="AB44" s="430"/>
      <c r="AC44" s="430"/>
      <c r="AD44" s="430"/>
      <c r="AE44" s="430"/>
      <c r="AF44" s="430"/>
      <c r="AG44" s="430"/>
      <c r="AH44" s="430"/>
      <c r="AI44" s="430"/>
      <c r="AJ44" s="430"/>
      <c r="AK44" s="430"/>
      <c r="AL44" s="430"/>
      <c r="AM44" s="430"/>
      <c r="AN44" s="430"/>
      <c r="AO44" s="430"/>
      <c r="AP44" s="430"/>
      <c r="AQ44" s="430"/>
      <c r="AR44" s="430"/>
      <c r="AS44" s="430"/>
      <c r="AT44" s="430"/>
      <c r="AU44" s="430"/>
      <c r="AV44" s="430"/>
      <c r="AW44" s="430"/>
      <c r="AX44" s="430"/>
      <c r="AY44" s="430"/>
      <c r="AZ44" s="430"/>
      <c r="BA44" s="430"/>
      <c r="BB44" s="430"/>
      <c r="BC44" s="430"/>
      <c r="BD44" s="430"/>
      <c r="BE44" s="430"/>
      <c r="BF44" s="430"/>
      <c r="BG44" s="430"/>
      <c r="BH44" s="430"/>
      <c r="BI44" s="430"/>
      <c r="BJ44" s="430"/>
      <c r="BK44" s="430"/>
    </row>
    <row r="45" spans="1:63">
      <c r="A45" s="444" t="s">
        <v>72</v>
      </c>
      <c r="B45" s="443" t="s">
        <v>34</v>
      </c>
      <c r="C45" s="443" t="s">
        <v>73</v>
      </c>
      <c r="D45" s="445"/>
      <c r="E45" s="461"/>
      <c r="F45" s="490"/>
      <c r="G45" s="490"/>
      <c r="H45" s="490"/>
      <c r="I45" s="490"/>
      <c r="J45" s="490"/>
      <c r="K45" s="490"/>
      <c r="L45" s="461">
        <f t="shared" ref="L45:W45" si="11">L43+L39</f>
        <v>-1669114.5714285714</v>
      </c>
      <c r="M45" s="461">
        <f t="shared" si="11"/>
        <v>-1765405.5714285714</v>
      </c>
      <c r="N45" s="461">
        <f t="shared" si="11"/>
        <v>-1726052.5714285714</v>
      </c>
      <c r="O45" s="461">
        <f t="shared" si="11"/>
        <v>-2959591.5714285714</v>
      </c>
      <c r="P45" s="461">
        <f t="shared" si="11"/>
        <v>-4116087.5714285714</v>
      </c>
      <c r="Q45" s="461">
        <f t="shared" si="11"/>
        <v>-4515644.7142857146</v>
      </c>
      <c r="R45" s="461">
        <f t="shared" si="11"/>
        <v>-2892844.7142857141</v>
      </c>
      <c r="S45" s="461">
        <f t="shared" si="11"/>
        <v>-5209810.9642857146</v>
      </c>
      <c r="T45" s="461">
        <f t="shared" si="11"/>
        <v>-12480873.997142857</v>
      </c>
      <c r="U45" s="461">
        <f t="shared" si="11"/>
        <v>-12184460.741342856</v>
      </c>
      <c r="V45" s="461">
        <f t="shared" si="11"/>
        <v>-12536382.637868857</v>
      </c>
      <c r="W45" s="461">
        <f t="shared" si="11"/>
        <v>-12898862.191290637</v>
      </c>
      <c r="X45" s="430"/>
      <c r="Y45" s="454"/>
      <c r="Z45" s="430"/>
      <c r="AA45" s="478"/>
      <c r="AB45" s="430"/>
      <c r="AC45" s="430"/>
      <c r="AD45" s="430"/>
      <c r="AE45" s="430"/>
      <c r="AF45" s="430"/>
      <c r="AG45" s="430"/>
      <c r="AH45" s="430"/>
      <c r="AI45" s="430"/>
      <c r="AJ45" s="430"/>
      <c r="AK45" s="430"/>
      <c r="AL45" s="430"/>
      <c r="AM45" s="430"/>
      <c r="AN45" s="430"/>
      <c r="AO45" s="430"/>
      <c r="AP45" s="430"/>
      <c r="AQ45" s="430"/>
      <c r="AR45" s="430"/>
      <c r="AS45" s="430"/>
      <c r="AT45" s="430"/>
      <c r="AU45" s="430"/>
      <c r="AV45" s="430"/>
      <c r="AW45" s="430"/>
      <c r="AX45" s="430"/>
      <c r="AY45" s="430"/>
      <c r="AZ45" s="430"/>
      <c r="BA45" s="430"/>
      <c r="BB45" s="430"/>
      <c r="BC45" s="430"/>
      <c r="BD45" s="430"/>
      <c r="BE45" s="430"/>
      <c r="BF45" s="430"/>
      <c r="BG45" s="430"/>
      <c r="BH45" s="430"/>
      <c r="BI45" s="430"/>
      <c r="BJ45" s="430"/>
      <c r="BK45" s="430"/>
    </row>
    <row r="46" spans="1:63">
      <c r="A46" s="447"/>
      <c r="B46" s="445"/>
      <c r="C46" s="445"/>
      <c r="D46" s="445"/>
      <c r="E46" s="461"/>
      <c r="F46" s="490"/>
      <c r="G46" s="490"/>
      <c r="H46" s="490"/>
      <c r="I46" s="490"/>
      <c r="J46" s="490"/>
      <c r="K46" s="490"/>
      <c r="L46" s="461"/>
      <c r="M46" s="461"/>
      <c r="N46" s="461"/>
      <c r="O46" s="461"/>
      <c r="P46" s="461"/>
      <c r="Q46" s="461"/>
      <c r="R46" s="461"/>
      <c r="S46" s="461"/>
      <c r="T46" s="461"/>
      <c r="U46" s="461"/>
      <c r="V46" s="461"/>
      <c r="W46" s="461"/>
      <c r="X46" s="430"/>
      <c r="Y46" s="454"/>
      <c r="Z46" s="430"/>
      <c r="AA46" s="478"/>
      <c r="AB46" s="430"/>
      <c r="AC46" s="430"/>
      <c r="AD46" s="430"/>
      <c r="AE46" s="430"/>
      <c r="AF46" s="430"/>
      <c r="AG46" s="430"/>
      <c r="AH46" s="430"/>
      <c r="AI46" s="430"/>
      <c r="AJ46" s="430"/>
      <c r="AK46" s="430"/>
      <c r="AL46" s="430"/>
      <c r="AM46" s="430"/>
      <c r="AN46" s="430"/>
      <c r="AO46" s="430"/>
      <c r="AP46" s="430"/>
      <c r="AQ46" s="430"/>
      <c r="AR46" s="430"/>
      <c r="AS46" s="430"/>
      <c r="AT46" s="430"/>
      <c r="AU46" s="430"/>
      <c r="AV46" s="430"/>
      <c r="AW46" s="430"/>
      <c r="AX46" s="430"/>
      <c r="AY46" s="430"/>
      <c r="AZ46" s="430"/>
      <c r="BA46" s="430"/>
      <c r="BB46" s="430"/>
      <c r="BC46" s="430"/>
      <c r="BD46" s="430"/>
      <c r="BE46" s="430"/>
      <c r="BF46" s="430"/>
      <c r="BG46" s="430"/>
      <c r="BH46" s="430"/>
      <c r="BI46" s="430"/>
      <c r="BJ46" s="430"/>
      <c r="BK46" s="430"/>
    </row>
    <row r="47" spans="1:63" ht="14.65" customHeight="1">
      <c r="A47" s="444" t="s">
        <v>74</v>
      </c>
      <c r="B47" s="443" t="s">
        <v>14</v>
      </c>
      <c r="C47" s="443" t="s">
        <v>75</v>
      </c>
      <c r="D47" s="445"/>
      <c r="E47" s="493">
        <v>3119951</v>
      </c>
      <c r="F47" s="490"/>
      <c r="G47" s="490"/>
      <c r="H47" s="490"/>
      <c r="I47" s="490"/>
      <c r="J47" s="490"/>
      <c r="K47" s="490"/>
      <c r="L47" s="494">
        <f>L22+L45</f>
        <v>591386.17857142864</v>
      </c>
      <c r="M47" s="494">
        <f>M22+M45</f>
        <v>591386.17857142864</v>
      </c>
      <c r="N47" s="494">
        <f>N22+N45</f>
        <v>876586.17857142864</v>
      </c>
      <c r="O47" s="494">
        <f>O22+O45</f>
        <v>860896.17857142864</v>
      </c>
      <c r="P47" s="494">
        <f>P22+P45</f>
        <v>828093.76238095248</v>
      </c>
      <c r="Q47" s="494">
        <f>Q22+Q45</f>
        <v>1372055.7648809524</v>
      </c>
      <c r="R47" s="494">
        <f>R22+R45</f>
        <v>1299923.1596177947</v>
      </c>
      <c r="S47" s="494">
        <f>S22+S45</f>
        <v>2619479.6379072675</v>
      </c>
      <c r="T47" s="495">
        <f>T22+T45</f>
        <v>4462390.8745238092</v>
      </c>
      <c r="U47" s="495">
        <f>U22+U45</f>
        <v>3822276.1930004768</v>
      </c>
      <c r="V47" s="495">
        <f>V22+V45</f>
        <v>3800201.5650047772</v>
      </c>
      <c r="W47" s="495">
        <f>W22+W45</f>
        <v>3524197.7064346988</v>
      </c>
      <c r="X47" s="430"/>
      <c r="Y47" s="454"/>
      <c r="Z47" s="430"/>
      <c r="AA47" s="430"/>
      <c r="AB47" s="430"/>
      <c r="AC47" s="430"/>
      <c r="AD47" s="430"/>
      <c r="AE47" s="430"/>
      <c r="AF47" s="430"/>
      <c r="AG47" s="496"/>
      <c r="AH47" s="496"/>
      <c r="AI47" s="497"/>
      <c r="AJ47" s="497"/>
      <c r="AK47" s="497"/>
      <c r="AL47" s="497"/>
      <c r="AM47" s="497"/>
      <c r="AN47" s="497"/>
      <c r="AO47" s="497"/>
      <c r="AP47" s="497"/>
      <c r="AQ47" s="430"/>
      <c r="AR47" s="430"/>
      <c r="AS47" s="430"/>
      <c r="AT47" s="430"/>
      <c r="AU47" s="430"/>
      <c r="AV47" s="430"/>
      <c r="AW47" s="430"/>
      <c r="AX47" s="430"/>
      <c r="AY47" s="430"/>
      <c r="AZ47" s="430"/>
      <c r="BA47" s="430"/>
      <c r="BB47" s="430"/>
      <c r="BC47" s="430"/>
      <c r="BD47" s="430"/>
      <c r="BE47" s="430"/>
      <c r="BF47" s="430"/>
      <c r="BG47" s="430"/>
      <c r="BH47" s="430"/>
      <c r="BI47" s="430"/>
      <c r="BJ47" s="430"/>
      <c r="BK47" s="430"/>
    </row>
    <row r="48" spans="1:63" s="39" customFormat="1">
      <c r="A48" s="498" t="s">
        <v>76</v>
      </c>
      <c r="B48" s="499" t="s">
        <v>34</v>
      </c>
      <c r="C48" s="499" t="s">
        <v>77</v>
      </c>
      <c r="D48" s="500"/>
      <c r="E48" s="468"/>
      <c r="F48" s="501"/>
      <c r="G48" s="501"/>
      <c r="H48" s="501"/>
      <c r="I48" s="501"/>
      <c r="J48" s="501"/>
      <c r="K48" s="501"/>
      <c r="L48" s="502">
        <f>L47/L22</f>
        <v>0.26161733349189492</v>
      </c>
      <c r="M48" s="502">
        <f>M47/M22</f>
        <v>0.25092848299873277</v>
      </c>
      <c r="N48" s="502">
        <f>N47/N22</f>
        <v>0.33680670380068256</v>
      </c>
      <c r="O48" s="502">
        <f>O47/O22</f>
        <v>0.22533672004874997</v>
      </c>
      <c r="P48" s="502">
        <f>P47/P22</f>
        <v>0.16748854996847393</v>
      </c>
      <c r="Q48" s="502">
        <f>Q47/Q22</f>
        <v>0.23303762984137916</v>
      </c>
      <c r="R48" s="502">
        <f>R47/R22</f>
        <v>0.31003938179090113</v>
      </c>
      <c r="S48" s="502">
        <f>S47/S22</f>
        <v>0.33457432748422339</v>
      </c>
      <c r="T48" s="502">
        <f>T47/T22</f>
        <v>0.26337254999690357</v>
      </c>
      <c r="U48" s="502">
        <f>U47/U22</f>
        <v>0.23879171680516431</v>
      </c>
      <c r="V48" s="502">
        <f>V47/V22</f>
        <v>0.23261910310089884</v>
      </c>
      <c r="W48" s="502">
        <f>W47/W22</f>
        <v>0.21458837320095356</v>
      </c>
      <c r="X48" s="430"/>
      <c r="Y48" s="454"/>
      <c r="Z48" s="430"/>
      <c r="AA48" s="430"/>
      <c r="AB48" s="430"/>
      <c r="AC48" s="430"/>
      <c r="AD48" s="430"/>
      <c r="AE48" s="430"/>
      <c r="AF48" s="430"/>
      <c r="AG48" s="503"/>
      <c r="AH48" s="503"/>
      <c r="AI48" s="504"/>
      <c r="AJ48" s="504"/>
      <c r="AK48" s="504"/>
      <c r="AL48" s="504"/>
      <c r="AM48" s="505"/>
      <c r="AN48" s="502"/>
      <c r="AO48" s="430"/>
      <c r="AP48" s="430"/>
      <c r="AQ48" s="430"/>
      <c r="AR48" s="430"/>
      <c r="AS48" s="430"/>
      <c r="AT48" s="430"/>
      <c r="AU48" s="430"/>
      <c r="AV48" s="430"/>
      <c r="AW48" s="430"/>
      <c r="AX48" s="430"/>
      <c r="AY48" s="430"/>
      <c r="AZ48" s="430"/>
      <c r="BA48" s="430"/>
      <c r="BB48" s="430"/>
      <c r="BC48" s="430"/>
      <c r="BD48" s="430"/>
      <c r="BE48" s="430"/>
      <c r="BF48" s="430"/>
      <c r="BG48" s="430"/>
      <c r="BH48" s="430"/>
      <c r="BI48" s="430"/>
      <c r="BJ48" s="430"/>
      <c r="BK48" s="430"/>
    </row>
    <row r="49" spans="1:63" s="38" customFormat="1">
      <c r="A49" s="506"/>
      <c r="B49" s="500"/>
      <c r="C49" s="500"/>
      <c r="D49" s="500"/>
      <c r="E49" s="507"/>
      <c r="F49" s="501"/>
      <c r="G49" s="501"/>
      <c r="H49" s="501"/>
      <c r="I49" s="501"/>
      <c r="J49" s="501"/>
      <c r="K49" s="501"/>
      <c r="L49" s="502"/>
      <c r="M49" s="502"/>
      <c r="N49" s="502"/>
      <c r="O49" s="502"/>
      <c r="P49" s="502"/>
      <c r="Q49" s="502"/>
      <c r="R49" s="502"/>
      <c r="S49" s="502"/>
      <c r="T49" s="502"/>
      <c r="U49" s="502"/>
      <c r="V49" s="502"/>
      <c r="W49" s="502"/>
      <c r="X49" s="430"/>
      <c r="Y49" s="454"/>
      <c r="Z49" s="430"/>
      <c r="AA49" s="430"/>
      <c r="AB49" s="430"/>
      <c r="AC49" s="430"/>
      <c r="AD49" s="430"/>
      <c r="AE49" s="430"/>
      <c r="AF49" s="430"/>
      <c r="AG49" s="503"/>
      <c r="AH49" s="503"/>
      <c r="AI49" s="504"/>
      <c r="AJ49" s="504"/>
      <c r="AK49" s="504"/>
      <c r="AL49" s="504"/>
      <c r="AM49" s="505"/>
      <c r="AN49" s="502"/>
      <c r="AO49" s="430"/>
      <c r="AP49" s="430"/>
      <c r="AQ49" s="430"/>
      <c r="AR49" s="430"/>
      <c r="AS49" s="430"/>
      <c r="AT49" s="430"/>
      <c r="AU49" s="430"/>
      <c r="AV49" s="430"/>
      <c r="AW49" s="430"/>
      <c r="AX49" s="430"/>
      <c r="AY49" s="430"/>
      <c r="AZ49" s="430"/>
      <c r="BA49" s="430"/>
      <c r="BB49" s="430"/>
      <c r="BC49" s="430"/>
      <c r="BD49" s="430"/>
      <c r="BE49" s="430"/>
      <c r="BF49" s="430"/>
      <c r="BG49" s="430"/>
      <c r="BH49" s="430"/>
      <c r="BI49" s="430"/>
      <c r="BJ49" s="430"/>
      <c r="BK49" s="430"/>
    </row>
    <row r="50" spans="1:63" s="38" customFormat="1">
      <c r="A50" s="506"/>
      <c r="B50" s="500"/>
      <c r="C50" s="500"/>
      <c r="D50" s="500"/>
      <c r="E50" s="507"/>
      <c r="F50" s="501"/>
      <c r="G50" s="501"/>
      <c r="H50" s="501"/>
      <c r="I50" s="501"/>
      <c r="J50" s="501"/>
      <c r="K50" s="501"/>
      <c r="L50" s="502"/>
      <c r="M50" s="502"/>
      <c r="N50" s="502"/>
      <c r="O50" s="502"/>
      <c r="P50" s="502"/>
      <c r="Q50" s="502"/>
      <c r="R50" s="502"/>
      <c r="S50" s="502"/>
      <c r="T50" s="502"/>
      <c r="U50" s="502"/>
      <c r="V50" s="502"/>
      <c r="W50" s="502"/>
      <c r="X50" s="430"/>
      <c r="Y50" s="454"/>
      <c r="Z50" s="430"/>
      <c r="AA50" s="430"/>
      <c r="AB50" s="430"/>
      <c r="AC50" s="430"/>
      <c r="AD50" s="430"/>
      <c r="AE50" s="430"/>
      <c r="AF50" s="430"/>
      <c r="AG50" s="503"/>
      <c r="AH50" s="503"/>
      <c r="AI50" s="504"/>
      <c r="AJ50" s="504"/>
      <c r="AK50" s="504"/>
      <c r="AL50" s="504"/>
      <c r="AM50" s="505"/>
      <c r="AN50" s="502"/>
      <c r="AO50" s="430"/>
      <c r="AP50" s="430"/>
      <c r="AQ50" s="430"/>
      <c r="AR50" s="430"/>
      <c r="AS50" s="430"/>
      <c r="AT50" s="430"/>
      <c r="AU50" s="430"/>
      <c r="AV50" s="430"/>
      <c r="AW50" s="430"/>
      <c r="AX50" s="430"/>
      <c r="AY50" s="430"/>
      <c r="AZ50" s="430"/>
      <c r="BA50" s="430"/>
      <c r="BB50" s="430"/>
      <c r="BC50" s="430"/>
      <c r="BD50" s="430"/>
      <c r="BE50" s="430"/>
      <c r="BF50" s="430"/>
      <c r="BG50" s="430"/>
      <c r="BH50" s="430"/>
      <c r="BI50" s="430"/>
      <c r="BJ50" s="430"/>
      <c r="BK50" s="430"/>
    </row>
    <row r="51" spans="1:63" s="16" customFormat="1">
      <c r="A51" s="498" t="s">
        <v>78</v>
      </c>
      <c r="B51" s="500"/>
      <c r="C51" s="500"/>
      <c r="D51" s="500"/>
      <c r="E51" s="507"/>
      <c r="F51" s="501"/>
      <c r="G51" s="501"/>
      <c r="H51" s="501"/>
      <c r="I51" s="501"/>
      <c r="J51" s="501"/>
      <c r="K51" s="501"/>
      <c r="L51" s="508"/>
      <c r="M51" s="430"/>
      <c r="N51" s="430"/>
      <c r="O51" s="430"/>
      <c r="P51" s="430"/>
      <c r="Q51" s="430"/>
      <c r="R51" s="430"/>
      <c r="S51" s="430"/>
      <c r="T51" s="430"/>
      <c r="U51" s="430"/>
      <c r="V51" s="430"/>
      <c r="W51" s="430"/>
      <c r="X51" s="430"/>
      <c r="Y51" s="454"/>
      <c r="Z51" s="430"/>
      <c r="AA51" s="430"/>
      <c r="AB51" s="430"/>
      <c r="AC51" s="430"/>
      <c r="AD51" s="430"/>
      <c r="AE51" s="430"/>
      <c r="AF51" s="430"/>
      <c r="AG51" s="503"/>
      <c r="AH51" s="503"/>
      <c r="AI51" s="504"/>
      <c r="AJ51" s="504"/>
      <c r="AK51" s="504"/>
      <c r="AL51" s="504"/>
      <c r="AM51" s="505"/>
      <c r="AN51" s="502"/>
      <c r="AO51" s="430"/>
      <c r="AP51" s="430"/>
      <c r="AQ51" s="430"/>
      <c r="AR51" s="430"/>
      <c r="AS51" s="430"/>
      <c r="AT51" s="430"/>
      <c r="AU51" s="430"/>
      <c r="AV51" s="430"/>
      <c r="AW51" s="430"/>
      <c r="AX51" s="430"/>
      <c r="AY51" s="430"/>
      <c r="AZ51" s="430"/>
      <c r="BA51" s="430"/>
      <c r="BB51" s="430"/>
      <c r="BC51" s="430"/>
      <c r="BD51" s="430"/>
      <c r="BE51" s="430"/>
      <c r="BF51" s="430"/>
      <c r="BG51" s="430"/>
      <c r="BH51" s="430"/>
      <c r="BI51" s="430"/>
      <c r="BJ51" s="430"/>
      <c r="BK51" s="430"/>
    </row>
    <row r="52" spans="1:63" s="425" customFormat="1">
      <c r="A52" s="509" t="s">
        <v>79</v>
      </c>
      <c r="B52" s="510" t="s">
        <v>18</v>
      </c>
      <c r="C52" s="510" t="s">
        <v>80</v>
      </c>
      <c r="D52" s="430"/>
      <c r="E52" s="430"/>
      <c r="F52" s="501"/>
      <c r="G52" s="501"/>
      <c r="H52" s="501"/>
      <c r="I52" s="501"/>
      <c r="J52" s="501"/>
      <c r="K52" s="501"/>
      <c r="L52" s="511">
        <f>-7701527.99/4</f>
        <v>-1925381.9975000001</v>
      </c>
      <c r="M52" s="511">
        <f>L52</f>
        <v>-1925381.9975000001</v>
      </c>
      <c r="N52" s="511">
        <f>M52</f>
        <v>-1925381.9975000001</v>
      </c>
      <c r="O52" s="511">
        <f>N52</f>
        <v>-1925381.9975000001</v>
      </c>
      <c r="P52" s="511">
        <f>+P51</f>
        <v>0</v>
      </c>
      <c r="Q52" s="511">
        <f>+Q51</f>
        <v>0</v>
      </c>
      <c r="R52" s="511">
        <f>+R51</f>
        <v>0</v>
      </c>
      <c r="S52" s="511">
        <f>+S51</f>
        <v>0</v>
      </c>
      <c r="T52" s="492">
        <v>-5500000</v>
      </c>
      <c r="U52" s="492">
        <v>-5500000</v>
      </c>
      <c r="V52" s="492">
        <v>-5500000</v>
      </c>
      <c r="W52" s="492">
        <v>-5500000</v>
      </c>
      <c r="X52" s="430"/>
      <c r="Y52" s="430"/>
      <c r="Z52" s="430"/>
      <c r="AA52" s="430"/>
      <c r="AB52" s="430"/>
      <c r="AC52" s="430"/>
      <c r="AD52" s="430"/>
      <c r="AE52" s="430"/>
      <c r="AF52" s="430"/>
      <c r="AG52" s="430"/>
      <c r="AH52" s="430"/>
      <c r="AI52" s="430"/>
      <c r="AJ52" s="430"/>
      <c r="AK52" s="430"/>
      <c r="AL52" s="430"/>
      <c r="AM52" s="430"/>
      <c r="AN52" s="430"/>
      <c r="AO52" s="430"/>
      <c r="AP52" s="430"/>
      <c r="AQ52" s="430"/>
      <c r="AR52" s="430"/>
      <c r="AS52" s="430"/>
      <c r="AT52" s="430"/>
      <c r="AU52" s="430"/>
      <c r="AV52" s="430"/>
      <c r="AW52" s="430"/>
      <c r="AX52" s="430"/>
      <c r="AY52" s="430"/>
      <c r="AZ52" s="430"/>
      <c r="BA52" s="430"/>
      <c r="BB52" s="430"/>
      <c r="BC52" s="430"/>
      <c r="BD52" s="430"/>
      <c r="BE52" s="430"/>
      <c r="BF52" s="430"/>
      <c r="BG52" s="430"/>
      <c r="BH52" s="430"/>
      <c r="BI52" s="430"/>
      <c r="BJ52" s="430"/>
      <c r="BK52" s="430"/>
    </row>
    <row r="53" spans="1:63" s="425" customFormat="1">
      <c r="A53" s="509" t="s">
        <v>81</v>
      </c>
      <c r="B53" s="430"/>
      <c r="C53" s="430"/>
      <c r="D53" s="430"/>
      <c r="E53" s="430"/>
      <c r="F53" s="430"/>
      <c r="G53" s="430"/>
      <c r="H53" s="430"/>
      <c r="I53" s="430"/>
      <c r="J53" s="430"/>
      <c r="K53" s="430"/>
      <c r="L53" s="492">
        <f>-L31</f>
        <v>112553</v>
      </c>
      <c r="M53" s="492">
        <f>-M31</f>
        <v>186705</v>
      </c>
      <c r="N53" s="492">
        <f>-N31</f>
        <v>148699</v>
      </c>
      <c r="O53" s="492">
        <f>-O31</f>
        <v>249431</v>
      </c>
      <c r="P53" s="492">
        <f>-P31</f>
        <v>174347</v>
      </c>
      <c r="Q53" s="492">
        <f>-Q31</f>
        <v>174347</v>
      </c>
      <c r="R53" s="492">
        <f>-R31</f>
        <v>174347</v>
      </c>
      <c r="S53" s="492">
        <f>-S31</f>
        <v>174347</v>
      </c>
      <c r="T53" s="492">
        <f>-T31</f>
        <v>697388</v>
      </c>
      <c r="U53" s="492">
        <f>-U31</f>
        <v>697388</v>
      </c>
      <c r="V53" s="492">
        <f>-V31</f>
        <v>697388</v>
      </c>
      <c r="W53" s="492">
        <f>-W31</f>
        <v>697388</v>
      </c>
      <c r="X53" s="430"/>
      <c r="Y53" s="430"/>
      <c r="Z53" s="430"/>
      <c r="AA53" s="430"/>
      <c r="AB53" s="430"/>
      <c r="AC53" s="430"/>
      <c r="AD53" s="430"/>
      <c r="AE53" s="430"/>
      <c r="AF53" s="430"/>
      <c r="AG53" s="430"/>
      <c r="AH53" s="430"/>
      <c r="AI53" s="430"/>
      <c r="AJ53" s="430"/>
      <c r="AK53" s="430"/>
      <c r="AL53" s="430"/>
      <c r="AM53" s="430"/>
      <c r="AN53" s="430"/>
      <c r="AO53" s="430"/>
      <c r="AP53" s="430"/>
      <c r="AQ53" s="430"/>
      <c r="AR53" s="430"/>
      <c r="AS53" s="430"/>
      <c r="AT53" s="430"/>
      <c r="AU53" s="430"/>
      <c r="AV53" s="430"/>
      <c r="AW53" s="430"/>
      <c r="AX53" s="430"/>
      <c r="AY53" s="430"/>
      <c r="AZ53" s="430"/>
      <c r="BA53" s="430"/>
      <c r="BB53" s="430"/>
      <c r="BC53" s="430"/>
      <c r="BD53" s="430"/>
      <c r="BE53" s="430"/>
      <c r="BF53" s="430"/>
      <c r="BG53" s="430"/>
      <c r="BH53" s="430"/>
      <c r="BI53" s="430"/>
      <c r="BJ53" s="430"/>
      <c r="BK53" s="430"/>
    </row>
    <row r="54" spans="1:63" s="425" customFormat="1">
      <c r="A54" s="509" t="s">
        <v>82</v>
      </c>
      <c r="B54" s="430"/>
      <c r="C54" s="430"/>
      <c r="D54" s="430"/>
      <c r="E54" s="430"/>
      <c r="F54" s="430"/>
      <c r="G54" s="430"/>
      <c r="H54" s="430"/>
      <c r="I54" s="430"/>
      <c r="J54" s="430"/>
      <c r="K54" s="430"/>
      <c r="L54" s="492">
        <f>registry!C60</f>
        <v>0</v>
      </c>
      <c r="M54" s="492">
        <f>registry!D60</f>
        <v>0</v>
      </c>
      <c r="N54" s="492">
        <f>registry!E60</f>
        <v>0</v>
      </c>
      <c r="O54" s="492">
        <f>registry!F60</f>
        <v>0</v>
      </c>
      <c r="P54" s="492">
        <f>registry!G60</f>
        <v>50000</v>
      </c>
      <c r="Q54" s="492">
        <f>registry!H60</f>
        <v>50000</v>
      </c>
      <c r="R54" s="492">
        <f>registry!I60</f>
        <v>50000</v>
      </c>
      <c r="S54" s="492">
        <f>registry!J60</f>
        <v>50000</v>
      </c>
      <c r="T54" s="492">
        <f>registry!K60</f>
        <v>250000</v>
      </c>
      <c r="U54" s="492">
        <f>registry!L60</f>
        <v>250000</v>
      </c>
      <c r="V54" s="492">
        <f>registry!M60</f>
        <v>250000</v>
      </c>
      <c r="W54" s="492">
        <f>registry!N60</f>
        <v>250000</v>
      </c>
      <c r="X54" s="430"/>
      <c r="Y54" s="430"/>
      <c r="Z54" s="430"/>
      <c r="AA54" s="430"/>
      <c r="AB54" s="430"/>
      <c r="AC54" s="430"/>
      <c r="AD54" s="430"/>
      <c r="AE54" s="430"/>
      <c r="AF54" s="430"/>
      <c r="AG54" s="430"/>
      <c r="AH54" s="430"/>
      <c r="AI54" s="430"/>
      <c r="AJ54" s="430"/>
      <c r="AK54" s="430"/>
      <c r="AL54" s="430"/>
      <c r="AM54" s="430"/>
      <c r="AN54" s="430"/>
      <c r="AO54" s="430"/>
      <c r="AP54" s="430"/>
      <c r="AQ54" s="430"/>
      <c r="AR54" s="430"/>
      <c r="AS54" s="430"/>
      <c r="AT54" s="430"/>
      <c r="AU54" s="430"/>
      <c r="AV54" s="430"/>
      <c r="AW54" s="430"/>
      <c r="AX54" s="430"/>
      <c r="AY54" s="430"/>
      <c r="AZ54" s="430"/>
      <c r="BA54" s="430"/>
      <c r="BB54" s="430"/>
      <c r="BC54" s="430"/>
      <c r="BD54" s="430"/>
      <c r="BE54" s="430"/>
      <c r="BF54" s="430"/>
      <c r="BG54" s="430"/>
      <c r="BH54" s="430"/>
      <c r="BI54" s="430"/>
      <c r="BJ54" s="430"/>
      <c r="BK54" s="430"/>
    </row>
    <row r="55" spans="1:63" s="425" customFormat="1">
      <c r="A55" s="509" t="s">
        <v>83</v>
      </c>
      <c r="B55" s="430"/>
      <c r="C55" s="430"/>
      <c r="D55" s="430"/>
      <c r="E55" s="430"/>
      <c r="F55" s="430"/>
      <c r="G55" s="430"/>
      <c r="H55" s="430"/>
      <c r="I55" s="430"/>
      <c r="J55" s="430"/>
      <c r="K55" s="430"/>
      <c r="L55" s="492">
        <f>'.c12_oc_hr'!L6</f>
        <v>375000</v>
      </c>
      <c r="M55" s="492">
        <f>'.c12_oc_hr'!M6</f>
        <v>375000</v>
      </c>
      <c r="N55" s="492">
        <f>'.c12_oc_hr'!N6</f>
        <v>375000</v>
      </c>
      <c r="O55" s="492">
        <f>'.c12_oc_hr'!O6</f>
        <v>375000</v>
      </c>
      <c r="P55" s="492">
        <f>'.c12_oc_hr'!P6</f>
        <v>375000</v>
      </c>
      <c r="Q55" s="492">
        <f>'.c12_oc_hr'!Q6</f>
        <v>375000</v>
      </c>
      <c r="R55" s="492">
        <f>'.c12_oc_hr'!R6</f>
        <v>375000</v>
      </c>
      <c r="S55" s="492">
        <f>'.c12_oc_hr'!S6</f>
        <v>375000</v>
      </c>
      <c r="T55" s="492">
        <f>'.c12_oc_hr'!T6</f>
        <v>1500000</v>
      </c>
      <c r="U55" s="492">
        <f>'.c12_oc_hr'!U6</f>
        <v>1500000</v>
      </c>
      <c r="V55" s="492">
        <f>'.c12_oc_hr'!V6</f>
        <v>1500000</v>
      </c>
      <c r="W55" s="492">
        <f>'.c12_oc_hr'!W6</f>
        <v>1500000</v>
      </c>
      <c r="X55" s="430"/>
      <c r="Y55" s="430"/>
      <c r="Z55" s="430"/>
      <c r="AA55" s="430"/>
      <c r="AB55" s="430"/>
      <c r="AC55" s="430"/>
      <c r="AD55" s="430"/>
      <c r="AE55" s="430"/>
      <c r="AF55" s="430"/>
      <c r="AG55" s="430"/>
      <c r="AH55" s="430"/>
      <c r="AI55" s="430"/>
      <c r="AJ55" s="430"/>
      <c r="AK55" s="430"/>
      <c r="AL55" s="430"/>
      <c r="AM55" s="430"/>
      <c r="AN55" s="430"/>
      <c r="AO55" s="430"/>
      <c r="AP55" s="430"/>
      <c r="AQ55" s="430"/>
      <c r="AR55" s="430"/>
      <c r="AS55" s="430"/>
      <c r="AT55" s="430"/>
      <c r="AU55" s="430"/>
      <c r="AV55" s="430"/>
      <c r="AW55" s="430"/>
      <c r="AX55" s="430"/>
      <c r="AY55" s="430"/>
      <c r="AZ55" s="430"/>
      <c r="BA55" s="430"/>
      <c r="BB55" s="430"/>
      <c r="BC55" s="430"/>
      <c r="BD55" s="430"/>
      <c r="BE55" s="430"/>
      <c r="BF55" s="430"/>
      <c r="BG55" s="430"/>
      <c r="BH55" s="430"/>
      <c r="BI55" s="430"/>
      <c r="BJ55" s="430"/>
      <c r="BK55" s="430"/>
    </row>
    <row r="56" spans="1:63" s="425" customFormat="1">
      <c r="A56" s="509" t="s">
        <v>84</v>
      </c>
      <c r="B56" s="430"/>
      <c r="C56" s="430"/>
      <c r="D56" s="430"/>
      <c r="E56" s="430"/>
      <c r="F56" s="430"/>
      <c r="G56" s="430"/>
      <c r="H56" s="430"/>
      <c r="I56" s="430"/>
      <c r="J56" s="430"/>
      <c r="K56" s="430"/>
      <c r="L56" s="492">
        <f>-registry!C83</f>
        <v>250000</v>
      </c>
      <c r="M56" s="492">
        <f>-registry!D83</f>
        <v>250000</v>
      </c>
      <c r="N56" s="492">
        <f>-registry!E83</f>
        <v>250000</v>
      </c>
      <c r="O56" s="492">
        <f>-registry!F83</f>
        <v>250000</v>
      </c>
      <c r="P56" s="492">
        <f>-registry!G83</f>
        <v>250000</v>
      </c>
      <c r="Q56" s="492">
        <f>-registry!H83</f>
        <v>250000</v>
      </c>
      <c r="R56" s="492">
        <f>-registry!I83</f>
        <v>250000</v>
      </c>
      <c r="S56" s="492">
        <f>-registry!J83</f>
        <v>250000</v>
      </c>
      <c r="T56" s="492">
        <f>-registry!K83</f>
        <v>1000000</v>
      </c>
      <c r="U56" s="492">
        <f>-registry!L83</f>
        <v>1000000</v>
      </c>
      <c r="V56" s="492">
        <f>-registry!M83</f>
        <v>1000000</v>
      </c>
      <c r="W56" s="492">
        <f>-registry!N83</f>
        <v>1000000</v>
      </c>
      <c r="X56" s="430"/>
      <c r="Y56" s="430"/>
      <c r="Z56" s="430"/>
      <c r="AA56" s="430"/>
      <c r="AB56" s="430"/>
      <c r="AC56" s="430"/>
      <c r="AD56" s="430"/>
      <c r="AE56" s="430"/>
      <c r="AF56" s="430"/>
      <c r="AG56" s="430"/>
      <c r="AH56" s="430"/>
      <c r="AI56" s="430"/>
      <c r="AJ56" s="430"/>
      <c r="AK56" s="430"/>
      <c r="AL56" s="430"/>
      <c r="AM56" s="430"/>
      <c r="AN56" s="430"/>
      <c r="AO56" s="430"/>
      <c r="AP56" s="430"/>
      <c r="AQ56" s="430"/>
      <c r="AR56" s="430"/>
      <c r="AS56" s="430"/>
      <c r="AT56" s="430"/>
      <c r="AU56" s="430"/>
      <c r="AV56" s="430"/>
      <c r="AW56" s="430"/>
      <c r="AX56" s="430"/>
      <c r="AY56" s="430"/>
      <c r="AZ56" s="430"/>
      <c r="BA56" s="430"/>
      <c r="BB56" s="430"/>
      <c r="BC56" s="430"/>
      <c r="BD56" s="430"/>
      <c r="BE56" s="430"/>
      <c r="BF56" s="430"/>
      <c r="BG56" s="430"/>
      <c r="BH56" s="430"/>
      <c r="BI56" s="430"/>
      <c r="BJ56" s="430"/>
      <c r="BK56" s="430"/>
    </row>
    <row r="57" spans="1:63" s="29" customFormat="1">
      <c r="A57" s="512"/>
      <c r="B57" s="500"/>
      <c r="C57" s="500"/>
      <c r="D57" s="500"/>
      <c r="E57" s="502"/>
      <c r="F57" s="430"/>
      <c r="G57" s="430"/>
      <c r="H57" s="430"/>
      <c r="I57" s="430"/>
      <c r="J57" s="430"/>
      <c r="K57" s="430"/>
      <c r="L57" s="513"/>
      <c r="M57" s="514"/>
      <c r="N57" s="502"/>
      <c r="O57" s="513"/>
      <c r="P57" s="514"/>
      <c r="Q57" s="514"/>
      <c r="R57" s="514"/>
      <c r="S57" s="514"/>
      <c r="T57" s="514"/>
      <c r="U57" s="514"/>
      <c r="V57" s="514"/>
      <c r="W57" s="514"/>
      <c r="X57" s="430"/>
      <c r="Y57" s="454"/>
      <c r="Z57" s="430"/>
      <c r="AA57" s="430"/>
      <c r="AB57" s="430"/>
      <c r="AC57" s="430"/>
      <c r="AD57" s="430"/>
      <c r="AE57" s="430"/>
      <c r="AF57" s="430"/>
      <c r="AG57" s="503"/>
      <c r="AH57" s="503"/>
      <c r="AI57" s="504"/>
      <c r="AJ57" s="504"/>
      <c r="AK57" s="504"/>
      <c r="AL57" s="504"/>
      <c r="AM57" s="505"/>
      <c r="AN57" s="502"/>
      <c r="AO57" s="430"/>
      <c r="AP57" s="430"/>
      <c r="AQ57" s="430"/>
      <c r="AR57" s="430"/>
      <c r="AS57" s="430"/>
      <c r="AT57" s="430"/>
      <c r="AU57" s="430"/>
      <c r="AV57" s="430"/>
      <c r="AW57" s="430"/>
      <c r="AX57" s="430"/>
      <c r="AY57" s="430"/>
      <c r="AZ57" s="430"/>
      <c r="BA57" s="430"/>
      <c r="BB57" s="430"/>
      <c r="BC57" s="430"/>
      <c r="BD57" s="430"/>
      <c r="BE57" s="430"/>
      <c r="BF57" s="430"/>
      <c r="BG57" s="430"/>
      <c r="BH57" s="430"/>
      <c r="BI57" s="430"/>
      <c r="BJ57" s="430"/>
      <c r="BK57" s="430"/>
    </row>
    <row r="58" spans="1:63" s="29" customFormat="1">
      <c r="A58" s="515" t="s">
        <v>85</v>
      </c>
      <c r="B58" s="500"/>
      <c r="C58" s="500"/>
      <c r="D58" s="500"/>
      <c r="E58" s="502"/>
      <c r="F58" s="430"/>
      <c r="G58" s="430"/>
      <c r="H58" s="430"/>
      <c r="I58" s="430"/>
      <c r="J58" s="430"/>
      <c r="K58" s="430"/>
      <c r="L58" s="513"/>
      <c r="M58" s="513">
        <f>registry!B102</f>
        <v>0</v>
      </c>
      <c r="N58" s="513">
        <f>registry!C102</f>
        <v>0</v>
      </c>
      <c r="O58" s="513">
        <f>-registry!D102</f>
        <v>1200000</v>
      </c>
      <c r="P58" s="513">
        <f>registry!C102</f>
        <v>0</v>
      </c>
      <c r="Q58" s="430"/>
      <c r="R58" s="513">
        <f>registry!E102</f>
        <v>0</v>
      </c>
      <c r="S58" s="513"/>
      <c r="T58" s="513">
        <f>registry!G102</f>
        <v>0</v>
      </c>
      <c r="U58" s="513">
        <f>registry!H102</f>
        <v>0</v>
      </c>
      <c r="V58" s="513">
        <f>registry!I102</f>
        <v>0</v>
      </c>
      <c r="W58" s="513">
        <f>registry!J102</f>
        <v>0</v>
      </c>
      <c r="X58" s="430"/>
      <c r="Y58" s="454"/>
      <c r="Z58" s="430"/>
      <c r="AA58" s="430"/>
      <c r="AB58" s="430"/>
      <c r="AC58" s="430"/>
      <c r="AD58" s="430"/>
      <c r="AE58" s="430"/>
      <c r="AF58" s="430"/>
      <c r="AG58" s="503"/>
      <c r="AH58" s="503"/>
      <c r="AI58" s="504"/>
      <c r="AJ58" s="504"/>
      <c r="AK58" s="504"/>
      <c r="AL58" s="504"/>
      <c r="AM58" s="505"/>
      <c r="AN58" s="502"/>
      <c r="AO58" s="430"/>
      <c r="AP58" s="430"/>
      <c r="AQ58" s="430"/>
      <c r="AR58" s="430"/>
      <c r="AS58" s="430"/>
      <c r="AT58" s="430"/>
      <c r="AU58" s="430"/>
      <c r="AV58" s="430"/>
      <c r="AW58" s="430"/>
      <c r="AX58" s="430"/>
      <c r="AY58" s="430"/>
      <c r="AZ58" s="430"/>
      <c r="BA58" s="430"/>
      <c r="BB58" s="430"/>
      <c r="BC58" s="430"/>
      <c r="BD58" s="430"/>
      <c r="BE58" s="430"/>
      <c r="BF58" s="430"/>
      <c r="BG58" s="430"/>
      <c r="BH58" s="430"/>
      <c r="BI58" s="430"/>
      <c r="BJ58" s="430"/>
      <c r="BK58" s="430"/>
    </row>
    <row r="59" spans="1:63" s="16" customFormat="1">
      <c r="A59" s="498" t="s">
        <v>86</v>
      </c>
      <c r="B59" s="499" t="s">
        <v>14</v>
      </c>
      <c r="C59" s="499" t="s">
        <v>87</v>
      </c>
      <c r="D59" s="500"/>
      <c r="E59" s="516">
        <v>-4651000</v>
      </c>
      <c r="F59" s="430"/>
      <c r="G59" s="430"/>
      <c r="H59" s="430"/>
      <c r="I59" s="430"/>
      <c r="J59" s="430"/>
      <c r="K59" s="430"/>
      <c r="L59" s="517">
        <f t="shared" ref="L59:W59" si="12">SUM(L52:L58)</f>
        <v>-1187828.9975000001</v>
      </c>
      <c r="M59" s="517">
        <f t="shared" si="12"/>
        <v>-1113676.9975000001</v>
      </c>
      <c r="N59" s="517">
        <f t="shared" si="12"/>
        <v>-1151682.9975000001</v>
      </c>
      <c r="O59" s="517">
        <f t="shared" si="12"/>
        <v>149049.00249999994</v>
      </c>
      <c r="P59" s="517">
        <f t="shared" si="12"/>
        <v>849347</v>
      </c>
      <c r="Q59" s="517">
        <f t="shared" si="12"/>
        <v>849347</v>
      </c>
      <c r="R59" s="517">
        <f t="shared" si="12"/>
        <v>849347</v>
      </c>
      <c r="S59" s="517">
        <f t="shared" si="12"/>
        <v>849347</v>
      </c>
      <c r="T59" s="518">
        <f t="shared" si="12"/>
        <v>-2052612</v>
      </c>
      <c r="U59" s="518">
        <f t="shared" si="12"/>
        <v>-2052612</v>
      </c>
      <c r="V59" s="518">
        <f t="shared" si="12"/>
        <v>-2052612</v>
      </c>
      <c r="W59" s="518">
        <f t="shared" si="12"/>
        <v>-2052612</v>
      </c>
      <c r="X59" s="430"/>
      <c r="Y59" s="454"/>
      <c r="Z59" s="430"/>
      <c r="AA59" s="430"/>
      <c r="AB59" s="430"/>
      <c r="AC59" s="430"/>
      <c r="AD59" s="430"/>
      <c r="AE59" s="430"/>
      <c r="AF59" s="430"/>
      <c r="AG59" s="503"/>
      <c r="AH59" s="503"/>
      <c r="AI59" s="504"/>
      <c r="AJ59" s="504"/>
      <c r="AK59" s="504"/>
      <c r="AL59" s="504"/>
      <c r="AM59" s="505"/>
      <c r="AN59" s="502"/>
      <c r="AO59" s="430"/>
      <c r="AP59" s="430"/>
      <c r="AQ59" s="430"/>
      <c r="AR59" s="430"/>
      <c r="AS59" s="430"/>
      <c r="AT59" s="430"/>
      <c r="AU59" s="430"/>
      <c r="AV59" s="430"/>
      <c r="AW59" s="430"/>
      <c r="AX59" s="430"/>
      <c r="AY59" s="430"/>
      <c r="AZ59" s="430"/>
      <c r="BA59" s="430"/>
      <c r="BB59" s="430"/>
      <c r="BC59" s="430"/>
      <c r="BD59" s="430"/>
      <c r="BE59" s="430"/>
      <c r="BF59" s="430"/>
      <c r="BG59" s="430"/>
      <c r="BH59" s="430"/>
      <c r="BI59" s="430"/>
      <c r="BJ59" s="430"/>
      <c r="BK59" s="430"/>
    </row>
    <row r="60" spans="1:63" s="16" customFormat="1">
      <c r="A60" s="498" t="s">
        <v>88</v>
      </c>
      <c r="B60" s="499" t="s">
        <v>34</v>
      </c>
      <c r="C60" s="499" t="s">
        <v>89</v>
      </c>
      <c r="D60" s="500"/>
      <c r="E60" s="516">
        <v>-1531049</v>
      </c>
      <c r="F60" s="430"/>
      <c r="G60" s="430"/>
      <c r="H60" s="430"/>
      <c r="I60" s="430"/>
      <c r="J60" s="430"/>
      <c r="K60" s="430"/>
      <c r="L60" s="518">
        <f t="shared" ref="L60:W60" si="13">+(L47+L59)</f>
        <v>-596442.81892857142</v>
      </c>
      <c r="M60" s="518">
        <f t="shared" si="13"/>
        <v>-522290.81892857142</v>
      </c>
      <c r="N60" s="518">
        <f t="shared" si="13"/>
        <v>-275096.81892857142</v>
      </c>
      <c r="O60" s="518">
        <f t="shared" si="13"/>
        <v>1009945.1810714286</v>
      </c>
      <c r="P60" s="518">
        <f t="shared" si="13"/>
        <v>1677440.7623809525</v>
      </c>
      <c r="Q60" s="518">
        <f t="shared" si="13"/>
        <v>2221402.7648809524</v>
      </c>
      <c r="R60" s="518">
        <f t="shared" si="13"/>
        <v>2149270.1596177947</v>
      </c>
      <c r="S60" s="518">
        <f t="shared" si="13"/>
        <v>3468826.6379072675</v>
      </c>
      <c r="T60" s="518">
        <f t="shared" si="13"/>
        <v>2409778.8745238092</v>
      </c>
      <c r="U60" s="518">
        <f t="shared" si="13"/>
        <v>1769664.1930004768</v>
      </c>
      <c r="V60" s="518">
        <f t="shared" si="13"/>
        <v>1747589.5650047772</v>
      </c>
      <c r="W60" s="518">
        <f t="shared" si="13"/>
        <v>1471585.7064346988</v>
      </c>
      <c r="X60" s="430"/>
      <c r="Y60" s="454"/>
      <c r="Z60" s="430"/>
      <c r="AA60" s="430"/>
      <c r="AB60" s="430"/>
      <c r="AC60" s="430"/>
      <c r="AD60" s="430"/>
      <c r="AE60" s="430"/>
      <c r="AF60" s="430"/>
      <c r="AG60" s="503"/>
      <c r="AH60" s="503"/>
      <c r="AI60" s="504"/>
      <c r="AJ60" s="504"/>
      <c r="AK60" s="504"/>
      <c r="AL60" s="504"/>
      <c r="AM60" s="505"/>
      <c r="AN60" s="502"/>
      <c r="AO60" s="430"/>
      <c r="AP60" s="430"/>
      <c r="AQ60" s="430"/>
      <c r="AR60" s="430"/>
      <c r="AS60" s="430"/>
      <c r="AT60" s="430"/>
      <c r="AU60" s="430"/>
      <c r="AV60" s="430"/>
      <c r="AW60" s="430"/>
      <c r="AX60" s="430"/>
      <c r="AY60" s="430"/>
      <c r="AZ60" s="430"/>
      <c r="BA60" s="430"/>
      <c r="BB60" s="430"/>
      <c r="BC60" s="430"/>
      <c r="BD60" s="430"/>
      <c r="BE60" s="430"/>
      <c r="BF60" s="430"/>
      <c r="BG60" s="430"/>
      <c r="BH60" s="430"/>
      <c r="BI60" s="430"/>
      <c r="BJ60" s="430"/>
      <c r="BK60" s="430"/>
    </row>
    <row r="61" spans="1:63" s="33" customFormat="1" ht="15" customHeight="1" thickBot="1">
      <c r="A61" s="498" t="s">
        <v>90</v>
      </c>
      <c r="B61" s="499" t="s">
        <v>18</v>
      </c>
      <c r="C61" s="499" t="s">
        <v>91</v>
      </c>
      <c r="D61" s="500"/>
      <c r="E61" s="518"/>
      <c r="F61" s="430"/>
      <c r="G61" s="430"/>
      <c r="H61" s="430"/>
      <c r="I61" s="430"/>
      <c r="J61" s="430"/>
      <c r="K61" s="430"/>
      <c r="L61" s="519"/>
      <c r="M61" s="519"/>
      <c r="N61" s="519"/>
      <c r="O61" s="519"/>
      <c r="P61" s="519">
        <v>1540999</v>
      </c>
      <c r="Q61" s="519"/>
      <c r="R61" s="519"/>
      <c r="S61" s="519"/>
      <c r="T61" s="518"/>
      <c r="U61" s="518"/>
      <c r="V61" s="518"/>
      <c r="W61" s="518"/>
      <c r="X61" s="430"/>
      <c r="Y61" s="454"/>
      <c r="Z61" s="430"/>
      <c r="AA61" s="430"/>
      <c r="AB61" s="430"/>
      <c r="AC61" s="430"/>
      <c r="AD61" s="430"/>
      <c r="AE61" s="430"/>
      <c r="AF61" s="430"/>
      <c r="AG61" s="503"/>
      <c r="AH61" s="503"/>
      <c r="AI61" s="504"/>
      <c r="AJ61" s="504"/>
      <c r="AK61" s="504"/>
      <c r="AL61" s="504"/>
      <c r="AM61" s="505"/>
      <c r="AN61" s="502"/>
      <c r="AO61" s="430"/>
      <c r="AP61" s="430"/>
      <c r="AQ61" s="430"/>
      <c r="AR61" s="430"/>
      <c r="AS61" s="430"/>
      <c r="AT61" s="430"/>
      <c r="AU61" s="430"/>
      <c r="AV61" s="430"/>
      <c r="AW61" s="430"/>
      <c r="AX61" s="430"/>
      <c r="AY61" s="430"/>
      <c r="AZ61" s="430"/>
      <c r="BA61" s="430"/>
      <c r="BB61" s="430"/>
      <c r="BC61" s="430"/>
      <c r="BD61" s="430"/>
      <c r="BE61" s="430"/>
      <c r="BF61" s="430"/>
      <c r="BG61" s="430"/>
      <c r="BH61" s="430"/>
      <c r="BI61" s="430"/>
      <c r="BJ61" s="430"/>
      <c r="BK61" s="430"/>
    </row>
    <row r="62" spans="1:63" s="419" customFormat="1" ht="15.5" customHeight="1" thickTop="1" thickBot="1">
      <c r="A62" s="498" t="s">
        <v>92</v>
      </c>
      <c r="B62" s="499" t="s">
        <v>14</v>
      </c>
      <c r="C62" s="499" t="s">
        <v>93</v>
      </c>
      <c r="D62" s="500"/>
      <c r="E62" s="520">
        <v>-1540999</v>
      </c>
      <c r="F62" s="430"/>
      <c r="G62" s="430"/>
      <c r="H62" s="430"/>
      <c r="I62" s="430"/>
      <c r="J62" s="430"/>
      <c r="K62" s="430"/>
      <c r="L62" s="521">
        <f>MIN(L60+E62+L61,0)</f>
        <v>-2137441.8189285714</v>
      </c>
      <c r="M62" s="521">
        <f t="shared" ref="M62:W62" si="14">MIN(M60+L62+M61,0)</f>
        <v>-2659732.6378571428</v>
      </c>
      <c r="N62" s="521">
        <f t="shared" si="14"/>
        <v>-2934829.4567857143</v>
      </c>
      <c r="O62" s="521">
        <f t="shared" si="14"/>
        <v>-1924884.2757142857</v>
      </c>
      <c r="P62" s="521">
        <f>MIN(P60+O62+P61,0)</f>
        <v>0</v>
      </c>
      <c r="Q62" s="521">
        <f t="shared" si="14"/>
        <v>0</v>
      </c>
      <c r="R62" s="521">
        <f t="shared" si="14"/>
        <v>0</v>
      </c>
      <c r="S62" s="521">
        <f t="shared" si="14"/>
        <v>0</v>
      </c>
      <c r="T62" s="522">
        <f t="shared" si="14"/>
        <v>0</v>
      </c>
      <c r="U62" s="522">
        <f t="shared" si="14"/>
        <v>0</v>
      </c>
      <c r="V62" s="522">
        <f t="shared" si="14"/>
        <v>0</v>
      </c>
      <c r="W62" s="522">
        <f t="shared" si="14"/>
        <v>0</v>
      </c>
      <c r="X62" s="430"/>
      <c r="Y62" s="454"/>
      <c r="Z62" s="430"/>
      <c r="AA62" s="430"/>
      <c r="AB62" s="430"/>
      <c r="AC62" s="430"/>
      <c r="AD62" s="430"/>
      <c r="AE62" s="430"/>
      <c r="AF62" s="430"/>
      <c r="AG62" s="503"/>
      <c r="AH62" s="503"/>
      <c r="AI62" s="504"/>
      <c r="AJ62" s="504"/>
      <c r="AK62" s="504"/>
      <c r="AL62" s="504"/>
      <c r="AM62" s="505"/>
      <c r="AN62" s="502"/>
      <c r="AO62" s="430"/>
      <c r="AP62" s="430"/>
      <c r="AQ62" s="430"/>
      <c r="AR62" s="430"/>
      <c r="AS62" s="430"/>
      <c r="AT62" s="430"/>
      <c r="AU62" s="430"/>
      <c r="AV62" s="430"/>
      <c r="AW62" s="430"/>
      <c r="AX62" s="430"/>
      <c r="AY62" s="430"/>
      <c r="AZ62" s="430"/>
      <c r="BA62" s="430"/>
      <c r="BB62" s="430"/>
      <c r="BC62" s="430"/>
      <c r="BD62" s="430"/>
      <c r="BE62" s="430"/>
      <c r="BF62" s="430"/>
      <c r="BG62" s="430"/>
      <c r="BH62" s="430"/>
      <c r="BI62" s="430"/>
      <c r="BJ62" s="430"/>
      <c r="BK62" s="430"/>
    </row>
    <row r="63" spans="1:63" ht="15" customHeight="1" thickTop="1">
      <c r="A63" s="430"/>
      <c r="B63" s="451"/>
      <c r="C63" s="451"/>
      <c r="D63" s="451"/>
      <c r="E63" s="523"/>
      <c r="F63" s="430"/>
      <c r="G63" s="430"/>
      <c r="H63" s="430"/>
      <c r="I63" s="430"/>
      <c r="J63" s="430"/>
      <c r="K63" s="430"/>
      <c r="L63" s="523"/>
      <c r="M63" s="523"/>
      <c r="N63" s="523"/>
      <c r="O63" s="523"/>
      <c r="P63" s="523"/>
      <c r="Q63" s="523"/>
      <c r="R63" s="523"/>
      <c r="S63" s="523"/>
      <c r="T63" s="523"/>
      <c r="U63" s="523"/>
      <c r="V63" s="523"/>
      <c r="W63" s="523"/>
      <c r="X63" s="430"/>
      <c r="Y63" s="454"/>
      <c r="Z63" s="430"/>
      <c r="AA63" s="430"/>
      <c r="AB63" s="430"/>
      <c r="AC63" s="430"/>
      <c r="AD63" s="430"/>
      <c r="AE63" s="430"/>
      <c r="AF63" s="430"/>
      <c r="AG63" s="497"/>
      <c r="AH63" s="497"/>
      <c r="AI63" s="524"/>
      <c r="AJ63" s="524"/>
      <c r="AK63" s="524"/>
      <c r="AL63" s="524"/>
      <c r="AM63" s="525"/>
      <c r="AN63" s="523"/>
      <c r="AO63" s="430"/>
      <c r="AP63" s="430"/>
      <c r="AQ63" s="430"/>
      <c r="AR63" s="430"/>
      <c r="AS63" s="430"/>
      <c r="AT63" s="430"/>
      <c r="AU63" s="430"/>
      <c r="AV63" s="430"/>
      <c r="AW63" s="430"/>
      <c r="AX63" s="430"/>
      <c r="AY63" s="430"/>
      <c r="AZ63" s="430"/>
      <c r="BA63" s="430"/>
      <c r="BB63" s="430"/>
      <c r="BC63" s="430"/>
      <c r="BD63" s="430"/>
      <c r="BE63" s="430"/>
      <c r="BF63" s="430"/>
      <c r="BG63" s="430"/>
      <c r="BH63" s="430"/>
      <c r="BI63" s="430"/>
      <c r="BJ63" s="430"/>
      <c r="BK63" s="430"/>
    </row>
    <row r="64" spans="1:63">
      <c r="A64" s="442" t="s">
        <v>94</v>
      </c>
      <c r="B64" s="451"/>
      <c r="C64" s="451"/>
      <c r="D64" s="451"/>
      <c r="E64" s="492"/>
      <c r="F64" s="430"/>
      <c r="G64" s="430"/>
      <c r="H64" s="430"/>
      <c r="I64" s="430"/>
      <c r="J64" s="430"/>
      <c r="K64" s="430"/>
      <c r="L64" s="492"/>
      <c r="M64" s="492"/>
      <c r="N64" s="492"/>
      <c r="O64" s="492"/>
      <c r="P64" s="492"/>
      <c r="Q64" s="492"/>
      <c r="R64" s="492"/>
      <c r="S64" s="492"/>
      <c r="T64" s="492"/>
      <c r="U64" s="492"/>
      <c r="V64" s="492"/>
      <c r="W64" s="492"/>
      <c r="X64" s="430"/>
      <c r="Y64" s="454"/>
      <c r="Z64" s="430"/>
      <c r="AA64" s="430"/>
      <c r="AB64" s="430"/>
      <c r="AC64" s="430"/>
      <c r="AD64" s="430"/>
      <c r="AE64" s="430"/>
      <c r="AF64" s="430"/>
      <c r="AG64" s="497"/>
      <c r="AH64" s="497"/>
      <c r="AI64" s="524"/>
      <c r="AJ64" s="524"/>
      <c r="AK64" s="524"/>
      <c r="AL64" s="524"/>
      <c r="AM64" s="525"/>
      <c r="AN64" s="523"/>
      <c r="AO64" s="430"/>
      <c r="AP64" s="430"/>
      <c r="AQ64" s="430"/>
      <c r="AR64" s="430"/>
      <c r="AS64" s="430"/>
      <c r="AT64" s="430"/>
      <c r="AU64" s="430"/>
      <c r="AV64" s="430"/>
      <c r="AW64" s="430"/>
      <c r="AX64" s="430"/>
      <c r="AY64" s="430"/>
      <c r="AZ64" s="430"/>
      <c r="BA64" s="430"/>
      <c r="BB64" s="430"/>
      <c r="BC64" s="430"/>
      <c r="BD64" s="430"/>
      <c r="BE64" s="430"/>
      <c r="BF64" s="430"/>
      <c r="BG64" s="430"/>
      <c r="BH64" s="430"/>
      <c r="BI64" s="430"/>
      <c r="BJ64" s="430"/>
      <c r="BK64" s="430"/>
    </row>
    <row r="65" spans="1:63">
      <c r="A65" s="442" t="s">
        <v>39</v>
      </c>
      <c r="B65" s="451"/>
      <c r="C65" s="451"/>
      <c r="D65" s="451"/>
      <c r="E65" s="492"/>
      <c r="F65" s="430"/>
      <c r="G65" s="430"/>
      <c r="H65" s="430"/>
      <c r="I65" s="430"/>
      <c r="J65" s="430"/>
      <c r="K65" s="430"/>
      <c r="L65" s="492">
        <f>-'c12_hm'!L62</f>
        <v>113077.75</v>
      </c>
      <c r="M65" s="492">
        <f>-'c12_hm'!M62</f>
        <v>226155.5</v>
      </c>
      <c r="N65" s="492">
        <f>-'c12_hm'!N62</f>
        <v>339233.25</v>
      </c>
      <c r="O65" s="492">
        <f>-'c12_hm'!O62</f>
        <v>563661</v>
      </c>
      <c r="P65" s="492">
        <f>-'c12_hm'!P62</f>
        <v>1162988.5925</v>
      </c>
      <c r="Q65" s="492">
        <f>-'c12_hm'!Q62</f>
        <v>1170394.6850000001</v>
      </c>
      <c r="R65" s="492">
        <f>-'c12_hm'!R62</f>
        <v>1177800.7775000001</v>
      </c>
      <c r="S65" s="492">
        <f>-'c12_hm'!S62</f>
        <v>16206.870000000112</v>
      </c>
      <c r="T65" s="492">
        <f>-'c12_hm'!T62</f>
        <v>1046719.9711</v>
      </c>
      <c r="U65" s="492">
        <f>-'c12_hm'!U62</f>
        <v>1078148.4652329998</v>
      </c>
      <c r="V65" s="492">
        <f>-'c12_hm'!V62</f>
        <v>110519.81418999005</v>
      </c>
      <c r="W65" s="492">
        <f>-'c12_hm'!W62</f>
        <v>0</v>
      </c>
      <c r="X65" s="430"/>
      <c r="Y65" s="454"/>
      <c r="Z65" s="430"/>
      <c r="AA65" s="430"/>
      <c r="AB65" s="430"/>
      <c r="AC65" s="430"/>
      <c r="AD65" s="430"/>
      <c r="AE65" s="430"/>
      <c r="AF65" s="430"/>
      <c r="AG65" s="497"/>
      <c r="AH65" s="497"/>
      <c r="AI65" s="524"/>
      <c r="AJ65" s="524"/>
      <c r="AK65" s="524"/>
      <c r="AL65" s="524"/>
      <c r="AM65" s="525"/>
      <c r="AN65" s="523"/>
      <c r="AO65" s="430"/>
      <c r="AP65" s="430"/>
      <c r="AQ65" s="430"/>
      <c r="AR65" s="430"/>
      <c r="AS65" s="430"/>
      <c r="AT65" s="430"/>
      <c r="AU65" s="430"/>
      <c r="AV65" s="430"/>
      <c r="AW65" s="430"/>
      <c r="AX65" s="430"/>
      <c r="AY65" s="430"/>
      <c r="AZ65" s="430"/>
      <c r="BA65" s="430"/>
      <c r="BB65" s="430"/>
      <c r="BC65" s="430"/>
      <c r="BD65" s="430"/>
      <c r="BE65" s="430"/>
      <c r="BF65" s="430"/>
      <c r="BG65" s="430"/>
      <c r="BH65" s="430"/>
      <c r="BI65" s="430"/>
      <c r="BJ65" s="430"/>
      <c r="BK65" s="430"/>
    </row>
    <row r="66" spans="1:63">
      <c r="A66" s="442" t="s">
        <v>40</v>
      </c>
      <c r="B66" s="451"/>
      <c r="C66" s="451"/>
      <c r="D66" s="451"/>
      <c r="E66" s="492"/>
      <c r="F66" s="430"/>
      <c r="G66" s="430"/>
      <c r="H66" s="430"/>
      <c r="I66" s="430"/>
      <c r="J66" s="430"/>
      <c r="K66" s="430"/>
      <c r="L66" s="492">
        <f>'c12_bi&amp;F'!L62</f>
        <v>0</v>
      </c>
      <c r="M66" s="492">
        <f>'c12_bi&amp;F'!M62</f>
        <v>0</v>
      </c>
      <c r="N66" s="492">
        <f>'c12_bi&amp;F'!N62</f>
        <v>0</v>
      </c>
      <c r="O66" s="492">
        <f>'c12_bi&amp;F'!O62</f>
        <v>0</v>
      </c>
      <c r="P66" s="492">
        <f>'c12_bi&amp;F'!P62</f>
        <v>0</v>
      </c>
      <c r="Q66" s="492">
        <f>'c12_bi&amp;F'!Q62</f>
        <v>0</v>
      </c>
      <c r="R66" s="492">
        <f>'c12_bi&amp;F'!R62</f>
        <v>0</v>
      </c>
      <c r="S66" s="492">
        <f>'c12_bi&amp;F'!S62</f>
        <v>0</v>
      </c>
      <c r="T66" s="492">
        <f>'c12_bi&amp;F'!T62</f>
        <v>0</v>
      </c>
      <c r="U66" s="492">
        <f>'c12_bi&amp;F'!U62</f>
        <v>0</v>
      </c>
      <c r="V66" s="492">
        <f>'c12_bi&amp;F'!V62</f>
        <v>0</v>
      </c>
      <c r="W66" s="492">
        <f>'c12_bi&amp;F'!W62</f>
        <v>0</v>
      </c>
      <c r="X66" s="430"/>
      <c r="Y66" s="454"/>
      <c r="Z66" s="430"/>
      <c r="AA66" s="430"/>
      <c r="AB66" s="430"/>
      <c r="AC66" s="430"/>
      <c r="AD66" s="430"/>
      <c r="AE66" s="430"/>
      <c r="AF66" s="430"/>
      <c r="AG66" s="497"/>
      <c r="AH66" s="497"/>
      <c r="AI66" s="524"/>
      <c r="AJ66" s="524"/>
      <c r="AK66" s="524"/>
      <c r="AL66" s="524"/>
      <c r="AM66" s="525"/>
      <c r="AN66" s="523"/>
      <c r="AO66" s="430"/>
      <c r="AP66" s="430"/>
      <c r="AQ66" s="430"/>
      <c r="AR66" s="430"/>
      <c r="AS66" s="430"/>
      <c r="AT66" s="430"/>
      <c r="AU66" s="430"/>
      <c r="AV66" s="430"/>
      <c r="AW66" s="430"/>
      <c r="AX66" s="430"/>
      <c r="AY66" s="430"/>
      <c r="AZ66" s="430"/>
      <c r="BA66" s="430"/>
      <c r="BB66" s="430"/>
      <c r="BC66" s="430"/>
      <c r="BD66" s="430"/>
      <c r="BE66" s="430"/>
      <c r="BF66" s="430"/>
      <c r="BG66" s="430"/>
      <c r="BH66" s="430"/>
      <c r="BI66" s="430"/>
      <c r="BJ66" s="430"/>
      <c r="BK66" s="430"/>
    </row>
    <row r="67" spans="1:63" ht="15" customHeight="1" thickBot="1">
      <c r="A67" s="442" t="s">
        <v>95</v>
      </c>
      <c r="B67" s="451"/>
      <c r="C67" s="451"/>
      <c r="D67" s="451"/>
      <c r="E67" s="492"/>
      <c r="F67" s="430"/>
      <c r="G67" s="430"/>
      <c r="H67" s="430"/>
      <c r="I67" s="430"/>
      <c r="J67" s="430"/>
      <c r="K67" s="430"/>
      <c r="L67" s="492">
        <f>-'c12_d&amp;s'!L62</f>
        <v>302954.75</v>
      </c>
      <c r="M67" s="492">
        <f>-'c12_d&amp;s'!M62</f>
        <v>2855909.5</v>
      </c>
      <c r="N67" s="492">
        <f>-'c12_d&amp;s'!N62</f>
        <v>4033864.25</v>
      </c>
      <c r="O67" s="492">
        <f>-'c12_d&amp;s'!O62</f>
        <v>4801819</v>
      </c>
      <c r="P67" s="492">
        <f>-'c12_d&amp;s'!P62</f>
        <v>4957879.68</v>
      </c>
      <c r="Q67" s="492">
        <f>-'c12_d&amp;s'!Q62</f>
        <v>4470379.68</v>
      </c>
      <c r="R67" s="492">
        <f>-'c12_d&amp;s'!R62</f>
        <v>4201060.68</v>
      </c>
      <c r="S67" s="492">
        <f>-'c12_d&amp;s'!S62</f>
        <v>4929060.68</v>
      </c>
      <c r="T67" s="492">
        <f>-'c12_d&amp;s'!T62</f>
        <v>3750000</v>
      </c>
      <c r="U67" s="492">
        <f>-'c12_d&amp;s'!U62</f>
        <v>2650000</v>
      </c>
      <c r="V67" s="492">
        <f>-'c12_d&amp;s'!V62</f>
        <v>6000000</v>
      </c>
      <c r="W67" s="492">
        <f>-'c12_d&amp;s'!W62</f>
        <v>8000000.333333333</v>
      </c>
      <c r="X67" s="430"/>
      <c r="Y67" s="454"/>
      <c r="Z67" s="430"/>
      <c r="AA67" s="430"/>
      <c r="AB67" s="430"/>
      <c r="AC67" s="430"/>
      <c r="AD67" s="430"/>
      <c r="AE67" s="430"/>
      <c r="AF67" s="430"/>
      <c r="AG67" s="497"/>
      <c r="AH67" s="497"/>
      <c r="AI67" s="524"/>
      <c r="AJ67" s="524"/>
      <c r="AK67" s="524"/>
      <c r="AL67" s="524"/>
      <c r="AM67" s="525"/>
      <c r="AN67" s="523"/>
      <c r="AO67" s="430"/>
      <c r="AP67" s="430"/>
      <c r="AQ67" s="430"/>
      <c r="AR67" s="430"/>
      <c r="AS67" s="430"/>
      <c r="AT67" s="430"/>
      <c r="AU67" s="430"/>
      <c r="AV67" s="430"/>
      <c r="AW67" s="430"/>
      <c r="AX67" s="430"/>
      <c r="AY67" s="430"/>
      <c r="AZ67" s="430"/>
      <c r="BA67" s="430"/>
      <c r="BB67" s="430"/>
      <c r="BC67" s="430"/>
      <c r="BD67" s="430"/>
      <c r="BE67" s="430"/>
      <c r="BF67" s="430"/>
      <c r="BG67" s="430"/>
      <c r="BH67" s="430"/>
      <c r="BI67" s="430"/>
      <c r="BJ67" s="430"/>
      <c r="BK67" s="430"/>
    </row>
    <row r="68" spans="1:63" s="417" customFormat="1" ht="15.5" customHeight="1" thickTop="1" thickBot="1">
      <c r="A68" s="474" t="s">
        <v>33</v>
      </c>
      <c r="B68" s="467" t="s">
        <v>14</v>
      </c>
      <c r="C68" s="467" t="s">
        <v>96</v>
      </c>
      <c r="D68" s="451"/>
      <c r="E68" s="526"/>
      <c r="F68" s="430"/>
      <c r="G68" s="430"/>
      <c r="H68" s="430"/>
      <c r="I68" s="430"/>
      <c r="J68" s="430"/>
      <c r="K68" s="430"/>
      <c r="L68" s="527">
        <f t="shared" ref="L68:W68" si="15">SUM(L65:L67)</f>
        <v>416032.5</v>
      </c>
      <c r="M68" s="527">
        <f t="shared" si="15"/>
        <v>3082065</v>
      </c>
      <c r="N68" s="527">
        <f t="shared" si="15"/>
        <v>4373097.5</v>
      </c>
      <c r="O68" s="527">
        <f t="shared" si="15"/>
        <v>5365480</v>
      </c>
      <c r="P68" s="527">
        <f t="shared" si="15"/>
        <v>6120868.2725</v>
      </c>
      <c r="Q68" s="527">
        <f t="shared" si="15"/>
        <v>5640774.3650000002</v>
      </c>
      <c r="R68" s="527">
        <f t="shared" si="15"/>
        <v>5378861.4574999996</v>
      </c>
      <c r="S68" s="527">
        <f t="shared" si="15"/>
        <v>4945267.55</v>
      </c>
      <c r="T68" s="526">
        <f t="shared" si="15"/>
        <v>4796719.9710999997</v>
      </c>
      <c r="U68" s="526">
        <f t="shared" si="15"/>
        <v>3728148.465233</v>
      </c>
      <c r="V68" s="526">
        <f t="shared" si="15"/>
        <v>6110519.8141899901</v>
      </c>
      <c r="W68" s="526">
        <f t="shared" si="15"/>
        <v>8000000.333333333</v>
      </c>
      <c r="X68" s="430"/>
      <c r="Y68" s="454"/>
      <c r="Z68" s="430"/>
      <c r="AA68" s="430"/>
      <c r="AB68" s="430"/>
      <c r="AC68" s="430"/>
      <c r="AD68" s="430"/>
      <c r="AE68" s="430"/>
      <c r="AF68" s="430"/>
      <c r="AG68" s="430"/>
      <c r="AH68" s="430"/>
      <c r="AI68" s="430"/>
      <c r="AJ68" s="430"/>
      <c r="AK68" s="430"/>
      <c r="AL68" s="430"/>
      <c r="AM68" s="430"/>
      <c r="AN68" s="430"/>
      <c r="AO68" s="430"/>
      <c r="AP68" s="430"/>
      <c r="AQ68" s="430"/>
      <c r="AR68" s="430"/>
      <c r="AS68" s="430"/>
      <c r="AT68" s="430"/>
      <c r="AU68" s="430"/>
      <c r="AV68" s="430"/>
      <c r="AW68" s="430"/>
      <c r="AX68" s="430"/>
      <c r="AY68" s="430"/>
      <c r="AZ68" s="430"/>
      <c r="BA68" s="430"/>
      <c r="BB68" s="430"/>
      <c r="BC68" s="430"/>
      <c r="BD68" s="430"/>
      <c r="BE68" s="430"/>
      <c r="BF68" s="430"/>
      <c r="BG68" s="430"/>
      <c r="BH68" s="430"/>
      <c r="BI68" s="430"/>
      <c r="BJ68" s="430"/>
      <c r="BK68" s="430"/>
    </row>
    <row r="69" spans="1:63" ht="15" customHeight="1" thickTop="1">
      <c r="A69" s="528"/>
      <c r="B69" s="451"/>
      <c r="C69" s="451"/>
      <c r="D69" s="451"/>
      <c r="E69" s="492"/>
      <c r="F69" s="430"/>
      <c r="G69" s="430"/>
      <c r="H69" s="430"/>
      <c r="I69" s="430"/>
      <c r="J69" s="430"/>
      <c r="K69" s="430"/>
      <c r="L69" s="492"/>
      <c r="M69" s="492"/>
      <c r="N69" s="492"/>
      <c r="O69" s="492"/>
      <c r="P69" s="492"/>
      <c r="Q69" s="492"/>
      <c r="R69" s="492"/>
      <c r="S69" s="492"/>
      <c r="T69" s="492"/>
      <c r="U69" s="492"/>
      <c r="V69" s="492"/>
      <c r="W69" s="492"/>
      <c r="X69" s="430"/>
      <c r="Y69" s="454"/>
      <c r="Z69" s="430"/>
      <c r="AA69" s="430"/>
      <c r="AB69" s="430"/>
      <c r="AC69" s="430"/>
      <c r="AD69" s="430"/>
      <c r="AE69" s="430"/>
      <c r="AF69" s="430"/>
      <c r="AG69" s="497"/>
      <c r="AH69" s="497"/>
      <c r="AI69" s="524"/>
      <c r="AJ69" s="524"/>
      <c r="AK69" s="524"/>
      <c r="AL69" s="524"/>
      <c r="AM69" s="524"/>
      <c r="AN69" s="525"/>
      <c r="AO69" s="523"/>
      <c r="AP69" s="464"/>
      <c r="AQ69" s="464"/>
      <c r="AR69" s="430"/>
      <c r="AS69" s="430"/>
      <c r="AT69" s="430"/>
      <c r="AU69" s="430"/>
      <c r="AV69" s="430"/>
      <c r="AW69" s="430"/>
      <c r="AX69" s="430"/>
      <c r="AY69" s="430"/>
      <c r="AZ69" s="430"/>
      <c r="BA69" s="430"/>
      <c r="BB69" s="430"/>
      <c r="BC69" s="430"/>
      <c r="BD69" s="430"/>
      <c r="BE69" s="430"/>
      <c r="BF69" s="430"/>
      <c r="BG69" s="430"/>
      <c r="BH69" s="430"/>
      <c r="BI69" s="430"/>
      <c r="BJ69" s="430"/>
      <c r="BK69" s="430"/>
    </row>
    <row r="70" spans="1:63">
      <c r="A70" s="467" t="s">
        <v>97</v>
      </c>
      <c r="B70" s="451"/>
      <c r="C70" s="451"/>
      <c r="D70" s="451"/>
      <c r="E70" s="492"/>
      <c r="F70" s="430"/>
      <c r="G70" s="430"/>
      <c r="H70" s="430"/>
      <c r="I70" s="430"/>
      <c r="J70" s="430"/>
      <c r="K70" s="430"/>
      <c r="L70" s="492"/>
      <c r="M70" s="492"/>
      <c r="N70" s="492"/>
      <c r="O70" s="492"/>
      <c r="P70" s="492"/>
      <c r="Q70" s="492"/>
      <c r="R70" s="492"/>
      <c r="S70" s="492"/>
      <c r="T70" s="492"/>
      <c r="U70" s="492"/>
      <c r="V70" s="492"/>
      <c r="W70" s="492"/>
      <c r="X70" s="430"/>
      <c r="Y70" s="454"/>
      <c r="Z70" s="430"/>
      <c r="AA70" s="430"/>
      <c r="AB70" s="430"/>
      <c r="AC70" s="430"/>
      <c r="AD70" s="430"/>
      <c r="AE70" s="430"/>
      <c r="AF70" s="430"/>
      <c r="AG70" s="497"/>
      <c r="AH70" s="497"/>
      <c r="AI70" s="524"/>
      <c r="AJ70" s="524"/>
      <c r="AK70" s="524"/>
      <c r="AL70" s="524"/>
      <c r="AM70" s="524"/>
      <c r="AN70" s="525"/>
      <c r="AO70" s="523"/>
      <c r="AP70" s="464"/>
      <c r="AQ70" s="464"/>
      <c r="AR70" s="430"/>
      <c r="AS70" s="430"/>
      <c r="AT70" s="430"/>
      <c r="AU70" s="430"/>
      <c r="AV70" s="430"/>
      <c r="AW70" s="430"/>
      <c r="AX70" s="430"/>
      <c r="AY70" s="430"/>
      <c r="AZ70" s="430"/>
      <c r="BA70" s="430"/>
      <c r="BB70" s="430"/>
      <c r="BC70" s="430"/>
      <c r="BD70" s="430"/>
      <c r="BE70" s="430"/>
      <c r="BF70" s="430"/>
      <c r="BG70" s="430"/>
      <c r="BH70" s="430"/>
      <c r="BI70" s="430"/>
      <c r="BJ70" s="430"/>
      <c r="BK70" s="430"/>
    </row>
    <row r="71" spans="1:63">
      <c r="A71" s="442" t="s">
        <v>39</v>
      </c>
      <c r="B71" s="451"/>
      <c r="C71" s="451"/>
      <c r="D71" s="451"/>
      <c r="E71" s="492"/>
      <c r="F71" s="430"/>
      <c r="G71" s="430"/>
      <c r="H71" s="430"/>
      <c r="I71" s="430"/>
      <c r="J71" s="430"/>
      <c r="K71" s="430"/>
      <c r="L71" s="492">
        <f>+'c12_hm'!L74</f>
        <v>113077.75</v>
      </c>
      <c r="M71" s="492">
        <f>+'c12_hm'!M74</f>
        <v>226155.5</v>
      </c>
      <c r="N71" s="492">
        <f>+'c12_hm'!N74</f>
        <v>339233.25</v>
      </c>
      <c r="O71" s="492">
        <f>+'c12_hm'!O74</f>
        <v>563661</v>
      </c>
      <c r="P71" s="492">
        <f>+'c12_hm'!P74</f>
        <v>740925.65737499995</v>
      </c>
      <c r="Q71" s="492">
        <f>+'c12_hm'!Q74</f>
        <v>583052.45224999997</v>
      </c>
      <c r="R71" s="492">
        <f>+'c12_hm'!R74</f>
        <v>425179.24712499999</v>
      </c>
      <c r="S71" s="492">
        <f>+'c12_hm'!S74</f>
        <v>18621.379500000039</v>
      </c>
      <c r="T71" s="492">
        <f>+'c12_hm'!T74</f>
        <v>379300.96488499996</v>
      </c>
      <c r="U71" s="492">
        <f>+'c12_hm'!U74</f>
        <v>390300.93783154996</v>
      </c>
      <c r="V71" s="492">
        <f>+'c12_hm'!V74</f>
        <v>51630.909966496518</v>
      </c>
      <c r="W71" s="492">
        <f>+'c12_hm'!W74</f>
        <v>12948.975000000006</v>
      </c>
      <c r="X71" s="430"/>
      <c r="Y71" s="454"/>
      <c r="Z71" s="430"/>
      <c r="AA71" s="430"/>
      <c r="AB71" s="430"/>
      <c r="AC71" s="430"/>
      <c r="AD71" s="430"/>
      <c r="AE71" s="430"/>
      <c r="AF71" s="430"/>
      <c r="AG71" s="497"/>
      <c r="AH71" s="497"/>
      <c r="AI71" s="524"/>
      <c r="AJ71" s="524"/>
      <c r="AK71" s="524"/>
      <c r="AL71" s="524"/>
      <c r="AM71" s="524"/>
      <c r="AN71" s="525"/>
      <c r="AO71" s="523"/>
      <c r="AP71" s="464"/>
      <c r="AQ71" s="464"/>
      <c r="AR71" s="430"/>
      <c r="AS71" s="430"/>
      <c r="AT71" s="430"/>
      <c r="AU71" s="430"/>
      <c r="AV71" s="430"/>
      <c r="AW71" s="430"/>
      <c r="AX71" s="430"/>
      <c r="AY71" s="430"/>
      <c r="AZ71" s="430"/>
      <c r="BA71" s="430"/>
      <c r="BB71" s="430"/>
      <c r="BC71" s="430"/>
      <c r="BD71" s="430"/>
      <c r="BE71" s="430"/>
      <c r="BF71" s="430"/>
      <c r="BG71" s="430"/>
      <c r="BH71" s="430"/>
      <c r="BI71" s="430"/>
      <c r="BJ71" s="430"/>
      <c r="BK71" s="430"/>
    </row>
    <row r="72" spans="1:63">
      <c r="A72" s="442" t="s">
        <v>98</v>
      </c>
      <c r="B72" s="451"/>
      <c r="C72" s="451"/>
      <c r="D72" s="451"/>
      <c r="E72" s="492"/>
      <c r="F72" s="430"/>
      <c r="G72" s="430"/>
      <c r="H72" s="430"/>
      <c r="I72" s="430"/>
      <c r="J72" s="430"/>
      <c r="K72" s="430"/>
      <c r="L72" s="492">
        <f>'c12_bi&amp;F'!L74</f>
        <v>0</v>
      </c>
      <c r="M72" s="492">
        <f>'c12_bi&amp;F'!M74</f>
        <v>0</v>
      </c>
      <c r="N72" s="492">
        <f>'c12_bi&amp;F'!N74</f>
        <v>0</v>
      </c>
      <c r="O72" s="492">
        <f>'c12_bi&amp;F'!O74</f>
        <v>0</v>
      </c>
      <c r="P72" s="492">
        <f>'c12_bi&amp;F'!P74</f>
        <v>0</v>
      </c>
      <c r="Q72" s="492">
        <f>'c12_bi&amp;F'!Q74</f>
        <v>0</v>
      </c>
      <c r="R72" s="492">
        <f>'c12_bi&amp;F'!R74</f>
        <v>0</v>
      </c>
      <c r="S72" s="492">
        <f>'c12_bi&amp;F'!S74</f>
        <v>0</v>
      </c>
      <c r="T72" s="492">
        <f>'c12_bi&amp;F'!T74</f>
        <v>0</v>
      </c>
      <c r="U72" s="492">
        <f>'c12_bi&amp;F'!U74</f>
        <v>0</v>
      </c>
      <c r="V72" s="492">
        <f>'c12_bi&amp;F'!V74</f>
        <v>0</v>
      </c>
      <c r="W72" s="492">
        <f>'c12_bi&amp;F'!W74</f>
        <v>0</v>
      </c>
      <c r="X72" s="430"/>
      <c r="Y72" s="454"/>
      <c r="Z72" s="430"/>
      <c r="AA72" s="430"/>
      <c r="AB72" s="430"/>
      <c r="AC72" s="430"/>
      <c r="AD72" s="430"/>
      <c r="AE72" s="430"/>
      <c r="AF72" s="430"/>
      <c r="AG72" s="497"/>
      <c r="AH72" s="497"/>
      <c r="AI72" s="524"/>
      <c r="AJ72" s="524"/>
      <c r="AK72" s="524"/>
      <c r="AL72" s="524"/>
      <c r="AM72" s="524"/>
      <c r="AN72" s="525"/>
      <c r="AO72" s="523"/>
      <c r="AP72" s="464"/>
      <c r="AQ72" s="464"/>
      <c r="AR72" s="430"/>
      <c r="AS72" s="430"/>
      <c r="AT72" s="430"/>
      <c r="AU72" s="430"/>
      <c r="AV72" s="430"/>
      <c r="AW72" s="430"/>
      <c r="AX72" s="430"/>
      <c r="AY72" s="430"/>
      <c r="AZ72" s="430"/>
      <c r="BA72" s="430"/>
      <c r="BB72" s="430"/>
      <c r="BC72" s="430"/>
      <c r="BD72" s="430"/>
      <c r="BE72" s="430"/>
      <c r="BF72" s="430"/>
      <c r="BG72" s="430"/>
      <c r="BH72" s="430"/>
      <c r="BI72" s="430"/>
      <c r="BJ72" s="430"/>
      <c r="BK72" s="430"/>
    </row>
    <row r="73" spans="1:63" ht="15" customHeight="1" thickBot="1">
      <c r="A73" s="442" t="s">
        <v>95</v>
      </c>
      <c r="B73" s="451"/>
      <c r="C73" s="451"/>
      <c r="D73" s="451"/>
      <c r="E73" s="484"/>
      <c r="F73" s="430"/>
      <c r="G73" s="430"/>
      <c r="H73" s="430"/>
      <c r="I73" s="430"/>
      <c r="J73" s="430"/>
      <c r="K73" s="430"/>
      <c r="L73" s="484">
        <f>'c12_d&amp;s'!L74</f>
        <v>151477.375</v>
      </c>
      <c r="M73" s="484">
        <f>'c12_d&amp;s'!M74</f>
        <v>1427954.75</v>
      </c>
      <c r="N73" s="484">
        <f>'c12_d&amp;s'!N74</f>
        <v>2016932.125</v>
      </c>
      <c r="O73" s="484">
        <f>'c12_d&amp;s'!O74</f>
        <v>2400909.5</v>
      </c>
      <c r="P73" s="484">
        <f>'c12_d&amp;s'!P74</f>
        <v>2229233.6399999997</v>
      </c>
      <c r="Q73" s="484">
        <f>'c12_d&amp;s'!Q74</f>
        <v>1881983.6399999997</v>
      </c>
      <c r="R73" s="484">
        <f>'c12_d&amp;s'!R74</f>
        <v>1597324.1399999997</v>
      </c>
      <c r="S73" s="484">
        <f>'c12_d&amp;s'!S74</f>
        <v>1646324.1399999997</v>
      </c>
      <c r="T73" s="484">
        <f>'c12_d&amp;s'!T74</f>
        <v>1233652.9019999998</v>
      </c>
      <c r="U73" s="484">
        <f>'c12_d&amp;s'!U74</f>
        <v>848652.90199999965</v>
      </c>
      <c r="V73" s="484">
        <f>'c12_d&amp;s'!V74</f>
        <v>2021152.9019999998</v>
      </c>
      <c r="W73" s="484">
        <f>'c12_d&amp;s'!W74</f>
        <v>2721153.0186666665</v>
      </c>
      <c r="X73" s="484"/>
      <c r="Y73" s="454"/>
      <c r="Z73" s="430"/>
      <c r="AA73" s="430"/>
      <c r="AB73" s="430"/>
      <c r="AC73" s="430"/>
      <c r="AD73" s="430"/>
      <c r="AE73" s="430"/>
      <c r="AF73" s="430"/>
      <c r="AG73" s="430"/>
      <c r="AH73" s="430"/>
      <c r="AI73" s="430"/>
      <c r="AJ73" s="430"/>
      <c r="AK73" s="430"/>
      <c r="AL73" s="430"/>
      <c r="AM73" s="430"/>
      <c r="AN73" s="430"/>
      <c r="AO73" s="492"/>
      <c r="AP73" s="492"/>
      <c r="AQ73" s="492"/>
      <c r="AR73" s="492"/>
      <c r="AS73" s="492"/>
      <c r="AT73" s="492"/>
      <c r="AU73" s="492"/>
      <c r="AV73" s="492"/>
      <c r="AW73" s="492"/>
      <c r="AX73" s="430"/>
      <c r="AY73" s="492"/>
      <c r="AZ73" s="492"/>
      <c r="BA73" s="492"/>
      <c r="BB73" s="492"/>
      <c r="BC73" s="492"/>
      <c r="BD73" s="492"/>
      <c r="BE73" s="492"/>
      <c r="BF73" s="430"/>
      <c r="BG73" s="430"/>
      <c r="BH73" s="430"/>
      <c r="BI73" s="430"/>
      <c r="BJ73" s="430"/>
      <c r="BK73" s="430"/>
    </row>
    <row r="74" spans="1:63" s="417" customFormat="1" ht="15.5" customHeight="1" thickTop="1" thickBot="1">
      <c r="A74" s="474" t="s">
        <v>33</v>
      </c>
      <c r="B74" s="467" t="s">
        <v>14</v>
      </c>
      <c r="C74" s="467" t="s">
        <v>99</v>
      </c>
      <c r="D74" s="451"/>
      <c r="E74" s="529"/>
      <c r="F74" s="430"/>
      <c r="G74" s="430"/>
      <c r="H74" s="430"/>
      <c r="I74" s="430"/>
      <c r="J74" s="430"/>
      <c r="K74" s="430"/>
      <c r="L74" s="530">
        <f t="shared" ref="L74:W74" si="16">SUM(L71:L73)</f>
        <v>264555.125</v>
      </c>
      <c r="M74" s="530">
        <f t="shared" si="16"/>
        <v>1654110.25</v>
      </c>
      <c r="N74" s="530">
        <f t="shared" si="16"/>
        <v>2356165.375</v>
      </c>
      <c r="O74" s="530">
        <f t="shared" si="16"/>
        <v>2964570.5</v>
      </c>
      <c r="P74" s="530">
        <f t="shared" si="16"/>
        <v>2970159.2973749996</v>
      </c>
      <c r="Q74" s="530">
        <f t="shared" si="16"/>
        <v>2465036.0922499998</v>
      </c>
      <c r="R74" s="530">
        <f t="shared" si="16"/>
        <v>2022503.3871249997</v>
      </c>
      <c r="S74" s="530">
        <f t="shared" si="16"/>
        <v>1664945.5194999997</v>
      </c>
      <c r="T74" s="529">
        <f t="shared" si="16"/>
        <v>1612953.8668849997</v>
      </c>
      <c r="U74" s="529">
        <f t="shared" si="16"/>
        <v>1238953.8398315497</v>
      </c>
      <c r="V74" s="529">
        <f t="shared" si="16"/>
        <v>2072783.8119664963</v>
      </c>
      <c r="W74" s="529">
        <f t="shared" si="16"/>
        <v>2734101.9936666666</v>
      </c>
      <c r="X74" s="430"/>
      <c r="Y74" s="454"/>
      <c r="Z74" s="430"/>
      <c r="AA74" s="430"/>
      <c r="AB74" s="430"/>
      <c r="AC74" s="430"/>
      <c r="AD74" s="430"/>
      <c r="AE74" s="430"/>
      <c r="AF74" s="430"/>
      <c r="AG74" s="430"/>
      <c r="AH74" s="430"/>
      <c r="AI74" s="430"/>
      <c r="AJ74" s="430"/>
      <c r="AK74" s="430"/>
      <c r="AL74" s="430"/>
      <c r="AM74" s="430"/>
      <c r="AN74" s="430"/>
      <c r="AO74" s="430"/>
      <c r="AP74" s="430"/>
      <c r="AQ74" s="492"/>
      <c r="AR74" s="492"/>
      <c r="AS74" s="492"/>
      <c r="AT74" s="492"/>
      <c r="AU74" s="492"/>
      <c r="AV74" s="492"/>
      <c r="AW74" s="492"/>
      <c r="AX74" s="430"/>
      <c r="AY74" s="492"/>
      <c r="AZ74" s="492"/>
      <c r="BA74" s="492"/>
      <c r="BB74" s="492"/>
      <c r="BC74" s="492"/>
      <c r="BD74" s="492"/>
      <c r="BE74" s="492"/>
      <c r="BF74" s="430"/>
      <c r="BG74" s="430"/>
      <c r="BH74" s="430"/>
      <c r="BI74" s="430"/>
      <c r="BJ74" s="430"/>
      <c r="BK74" s="430"/>
    </row>
    <row r="75" spans="1:63" ht="15" customHeight="1" thickTop="1">
      <c r="A75" s="528"/>
      <c r="B75" s="451"/>
      <c r="C75" s="451"/>
      <c r="D75" s="451"/>
      <c r="E75" s="484"/>
      <c r="F75" s="430"/>
      <c r="G75" s="430"/>
      <c r="H75" s="430"/>
      <c r="I75" s="430"/>
      <c r="J75" s="430"/>
      <c r="K75" s="430"/>
      <c r="L75" s="484"/>
      <c r="M75" s="484"/>
      <c r="N75" s="484"/>
      <c r="O75" s="484"/>
      <c r="P75" s="484"/>
      <c r="Q75" s="484"/>
      <c r="R75" s="484"/>
      <c r="S75" s="484"/>
      <c r="T75" s="484"/>
      <c r="U75" s="484"/>
      <c r="V75" s="484"/>
      <c r="W75" s="484"/>
      <c r="X75" s="430"/>
      <c r="Y75" s="454"/>
      <c r="Z75" s="430"/>
      <c r="AA75" s="430"/>
      <c r="AB75" s="430"/>
      <c r="AC75" s="430"/>
      <c r="AD75" s="430"/>
      <c r="AE75" s="430"/>
      <c r="AF75" s="430"/>
      <c r="AG75" s="430"/>
      <c r="AH75" s="430"/>
      <c r="AI75" s="430"/>
      <c r="AJ75" s="430"/>
      <c r="AK75" s="430"/>
      <c r="AL75" s="430"/>
      <c r="AM75" s="430"/>
      <c r="AN75" s="430"/>
      <c r="AO75" s="430"/>
      <c r="AP75" s="430"/>
      <c r="AQ75" s="492"/>
      <c r="AR75" s="492"/>
      <c r="AS75" s="492"/>
      <c r="AT75" s="492"/>
      <c r="AU75" s="492"/>
      <c r="AV75" s="492"/>
      <c r="AW75" s="492"/>
      <c r="AX75" s="430"/>
      <c r="AY75" s="492"/>
      <c r="AZ75" s="492"/>
      <c r="BA75" s="492"/>
      <c r="BB75" s="492"/>
      <c r="BC75" s="492"/>
      <c r="BD75" s="492"/>
      <c r="BE75" s="492"/>
      <c r="BF75" s="430"/>
      <c r="BG75" s="430"/>
      <c r="BH75" s="430"/>
      <c r="BI75" s="430"/>
      <c r="BJ75" s="430"/>
      <c r="BK75" s="430"/>
    </row>
    <row r="76" spans="1:63">
      <c r="A76" s="528"/>
      <c r="B76" s="451"/>
      <c r="C76" s="451"/>
      <c r="D76" s="451"/>
      <c r="E76" s="430"/>
      <c r="F76" s="430"/>
      <c r="G76" s="430"/>
      <c r="H76" s="430"/>
      <c r="I76" s="430"/>
      <c r="J76" s="430"/>
      <c r="K76" s="430"/>
      <c r="L76" s="430"/>
      <c r="M76" s="430"/>
      <c r="N76" s="430"/>
      <c r="O76" s="484"/>
      <c r="P76" s="484"/>
      <c r="Q76" s="484"/>
      <c r="R76" s="484"/>
      <c r="S76" s="484"/>
      <c r="T76" s="430"/>
      <c r="U76" s="430"/>
      <c r="V76" s="430"/>
      <c r="W76" s="430"/>
      <c r="X76" s="430"/>
      <c r="Y76" s="430"/>
      <c r="Z76" s="430"/>
      <c r="AA76" s="430"/>
      <c r="AB76" s="430"/>
      <c r="AC76" s="454"/>
      <c r="AD76" s="430"/>
      <c r="AE76" s="430"/>
      <c r="AF76" s="430"/>
      <c r="AG76" s="430"/>
      <c r="AH76" s="430"/>
      <c r="AI76" s="430"/>
      <c r="AJ76" s="430"/>
      <c r="AK76" s="430"/>
      <c r="AL76" s="430"/>
      <c r="AM76" s="430"/>
      <c r="AN76" s="430"/>
      <c r="AO76" s="430"/>
      <c r="AP76" s="430"/>
      <c r="AQ76" s="430"/>
      <c r="AR76" s="430"/>
      <c r="AS76" s="430"/>
      <c r="AT76" s="430"/>
      <c r="AU76" s="492"/>
      <c r="AV76" s="492"/>
      <c r="AW76" s="492"/>
      <c r="AX76" s="492"/>
      <c r="AY76" s="492"/>
      <c r="AZ76" s="492"/>
      <c r="BA76" s="492"/>
      <c r="BB76" s="430"/>
      <c r="BC76" s="492"/>
      <c r="BD76" s="492"/>
      <c r="BE76" s="492"/>
      <c r="BF76" s="492"/>
      <c r="BG76" s="492"/>
      <c r="BH76" s="492"/>
      <c r="BI76" s="492"/>
      <c r="BJ76" s="430"/>
      <c r="BK76" s="430"/>
    </row>
    <row r="77" spans="1:63">
      <c r="A77" s="467" t="s">
        <v>100</v>
      </c>
      <c r="B77" s="451"/>
      <c r="C77" s="451"/>
      <c r="D77" s="451"/>
      <c r="E77" s="430"/>
      <c r="F77" s="430"/>
      <c r="G77" s="430"/>
      <c r="H77" s="430"/>
      <c r="I77" s="430"/>
      <c r="J77" s="430"/>
      <c r="K77" s="430"/>
      <c r="L77" s="430"/>
      <c r="M77" s="430"/>
      <c r="N77" s="430"/>
      <c r="O77" s="484"/>
      <c r="P77" s="484"/>
      <c r="Q77" s="484"/>
      <c r="R77" s="484"/>
      <c r="S77" s="484"/>
      <c r="T77" s="430"/>
      <c r="U77" s="430"/>
      <c r="V77" s="430"/>
      <c r="W77" s="430"/>
      <c r="X77" s="430"/>
      <c r="Y77" s="430"/>
      <c r="Z77" s="430"/>
      <c r="AA77" s="430"/>
      <c r="AB77" s="430"/>
      <c r="AC77" s="454"/>
      <c r="AD77" s="430"/>
      <c r="AE77" s="430"/>
      <c r="AF77" s="430"/>
      <c r="AG77" s="430"/>
      <c r="AH77" s="430"/>
      <c r="AI77" s="430"/>
      <c r="AJ77" s="430"/>
      <c r="AK77" s="430"/>
      <c r="AL77" s="430"/>
      <c r="AM77" s="430"/>
      <c r="AN77" s="430"/>
      <c r="AO77" s="430"/>
      <c r="AP77" s="430"/>
      <c r="AQ77" s="430"/>
      <c r="AR77" s="430"/>
      <c r="AS77" s="430"/>
      <c r="AT77" s="430"/>
      <c r="AU77" s="492"/>
      <c r="AV77" s="492"/>
      <c r="AW77" s="492"/>
      <c r="AX77" s="492"/>
      <c r="AY77" s="492"/>
      <c r="AZ77" s="492"/>
      <c r="BA77" s="492"/>
      <c r="BB77" s="430"/>
      <c r="BC77" s="492"/>
      <c r="BD77" s="492"/>
      <c r="BE77" s="492"/>
      <c r="BF77" s="492"/>
      <c r="BG77" s="492"/>
      <c r="BH77" s="492"/>
      <c r="BI77" s="492"/>
      <c r="BJ77" s="430"/>
      <c r="BK77" s="430"/>
    </row>
    <row r="78" spans="1:63" s="30" customFormat="1" ht="14.65" customHeight="1">
      <c r="A78" s="492" t="str">
        <f>'.c12_oc_hr'!A30</f>
        <v>Grand Total</v>
      </c>
      <c r="B78" s="531"/>
      <c r="C78" s="531"/>
      <c r="D78" s="531"/>
      <c r="E78" s="492"/>
      <c r="F78" s="430"/>
      <c r="G78" s="430"/>
      <c r="H78" s="430"/>
      <c r="I78" s="430"/>
      <c r="J78" s="430"/>
      <c r="K78" s="430"/>
      <c r="L78" s="492">
        <f>'.c12_oc_hr'!L30</f>
        <v>504471.42857142858</v>
      </c>
      <c r="M78" s="492">
        <f>'.c12_oc_hr'!M30</f>
        <v>504471.42857142858</v>
      </c>
      <c r="N78" s="492">
        <f>'.c12_oc_hr'!N30</f>
        <v>504471.42857142858</v>
      </c>
      <c r="O78" s="492">
        <f>'.c12_oc_hr'!O30</f>
        <v>514861.42857142858</v>
      </c>
      <c r="P78" s="492">
        <f>'.c12_oc_hr'!P30</f>
        <v>863260.57142857136</v>
      </c>
      <c r="Q78" s="492">
        <f>'.c12_oc_hr'!Q30</f>
        <v>441380.57142857142</v>
      </c>
      <c r="R78" s="492">
        <f>'.c12_oc_hr'!R30</f>
        <v>441380.57142857142</v>
      </c>
      <c r="S78" s="492">
        <f>'.c12_oc_hr'!S30</f>
        <v>981660.57142857136</v>
      </c>
      <c r="T78" s="492">
        <f>'.c12_oc_hr'!T30</f>
        <v>2305802.2857142854</v>
      </c>
      <c r="U78" s="492">
        <f>'.c12_oc_hr'!U30</f>
        <v>1786302.2857142857</v>
      </c>
      <c r="V78" s="492">
        <f>'.c12_oc_hr'!V30</f>
        <v>1786302.2857142857</v>
      </c>
      <c r="W78" s="492">
        <f>'.c12_oc_hr'!W30</f>
        <v>1786302.2857142857</v>
      </c>
      <c r="X78" s="490"/>
      <c r="Y78" s="532"/>
      <c r="Z78" s="430"/>
      <c r="AA78" s="430"/>
      <c r="AB78" s="430"/>
      <c r="AC78" s="430"/>
      <c r="AD78" s="430"/>
      <c r="AE78" s="430"/>
      <c r="AF78" s="430"/>
      <c r="AG78" s="430"/>
      <c r="AH78" s="430"/>
      <c r="AI78" s="430"/>
      <c r="AJ78" s="430"/>
      <c r="AK78" s="430"/>
      <c r="AL78" s="430"/>
      <c r="AM78" s="430"/>
      <c r="AN78" s="430"/>
      <c r="AO78" s="430"/>
      <c r="AP78" s="430"/>
      <c r="AQ78" s="430"/>
      <c r="AR78" s="430"/>
      <c r="AS78" s="430"/>
      <c r="AT78" s="430"/>
      <c r="AU78" s="430"/>
      <c r="AV78" s="430"/>
      <c r="AW78" s="430"/>
      <c r="AX78" s="430"/>
      <c r="AY78" s="430"/>
      <c r="AZ78" s="430"/>
      <c r="BA78" s="430"/>
      <c r="BB78" s="430"/>
      <c r="BC78" s="430"/>
      <c r="BD78" s="430"/>
      <c r="BE78" s="430"/>
      <c r="BF78" s="430"/>
      <c r="BG78" s="430"/>
      <c r="BH78" s="430"/>
      <c r="BI78" s="430"/>
      <c r="BJ78" s="430"/>
      <c r="BK78" s="430"/>
    </row>
    <row r="79" spans="1:63" s="30" customFormat="1" ht="14.65" customHeight="1">
      <c r="A79" s="492" t="str">
        <f>'.c12_oc_hr'!A31</f>
        <v>reimbersable to hotel</v>
      </c>
      <c r="B79" s="531"/>
      <c r="C79" s="531"/>
      <c r="D79" s="531"/>
      <c r="E79" s="492"/>
      <c r="F79" s="430"/>
      <c r="G79" s="430"/>
      <c r="H79" s="430"/>
      <c r="I79" s="430"/>
      <c r="J79" s="430"/>
      <c r="K79" s="430"/>
      <c r="L79" s="492">
        <f>'.c12_oc_hr'!L31</f>
        <v>0</v>
      </c>
      <c r="M79" s="492">
        <f>'.c12_oc_hr'!M31</f>
        <v>0</v>
      </c>
      <c r="N79" s="492">
        <f>'.c12_oc_hr'!N31</f>
        <v>0</v>
      </c>
      <c r="O79" s="492">
        <f>'.c12_oc_hr'!O31</f>
        <v>0</v>
      </c>
      <c r="P79" s="492">
        <f>'.c12_oc_hr'!P31</f>
        <v>0</v>
      </c>
      <c r="Q79" s="492">
        <f>'.c12_oc_hr'!Q31</f>
        <v>0</v>
      </c>
      <c r="R79" s="492">
        <f>'.c12_oc_hr'!R31</f>
        <v>0</v>
      </c>
      <c r="S79" s="492">
        <f>'.c12_oc_hr'!S31</f>
        <v>0</v>
      </c>
      <c r="T79" s="492">
        <f>'.c12_oc_hr'!T31</f>
        <v>0</v>
      </c>
      <c r="U79" s="492">
        <f>'.c12_oc_hr'!U31</f>
        <v>0</v>
      </c>
      <c r="V79" s="492">
        <f>'.c12_oc_hr'!V31</f>
        <v>0</v>
      </c>
      <c r="W79" s="492">
        <f>'.c12_oc_hr'!W31</f>
        <v>0</v>
      </c>
      <c r="X79" s="490"/>
      <c r="Y79" s="532"/>
      <c r="Z79" s="430"/>
      <c r="AA79" s="430"/>
      <c r="AB79" s="430"/>
      <c r="AC79" s="430"/>
      <c r="AD79" s="430"/>
      <c r="AE79" s="430"/>
      <c r="AF79" s="430"/>
      <c r="AG79" s="430"/>
      <c r="AH79" s="430"/>
      <c r="AI79" s="430"/>
      <c r="AJ79" s="430"/>
      <c r="AK79" s="430"/>
      <c r="AL79" s="430"/>
      <c r="AM79" s="430"/>
      <c r="AN79" s="430"/>
      <c r="AO79" s="430"/>
      <c r="AP79" s="430"/>
      <c r="AQ79" s="430"/>
      <c r="AR79" s="430"/>
      <c r="AS79" s="430"/>
      <c r="AT79" s="430"/>
      <c r="AU79" s="430"/>
      <c r="AV79" s="430"/>
      <c r="AW79" s="430"/>
      <c r="AX79" s="430"/>
      <c r="AY79" s="430"/>
      <c r="AZ79" s="430"/>
      <c r="BA79" s="430"/>
      <c r="BB79" s="430"/>
      <c r="BC79" s="430"/>
      <c r="BD79" s="430"/>
      <c r="BE79" s="430"/>
      <c r="BF79" s="430"/>
      <c r="BG79" s="430"/>
      <c r="BH79" s="430"/>
      <c r="BI79" s="430"/>
      <c r="BJ79" s="430"/>
      <c r="BK79" s="430"/>
    </row>
    <row r="80" spans="1:63" s="30" customFormat="1">
      <c r="A80" s="492" t="str">
        <f>'.c12_oc_hr'!A32</f>
        <v>not reimbersable by hotel, but paid by lgh</v>
      </c>
      <c r="B80" s="531"/>
      <c r="C80" s="531"/>
      <c r="D80" s="531"/>
      <c r="E80" s="492"/>
      <c r="F80" s="430"/>
      <c r="G80" s="430"/>
      <c r="H80" s="430"/>
      <c r="I80" s="430"/>
      <c r="J80" s="430"/>
      <c r="K80" s="430"/>
      <c r="L80" s="492">
        <f>'.c12_oc_hr'!L32</f>
        <v>472542.85714285716</v>
      </c>
      <c r="M80" s="492">
        <f>'.c12_oc_hr'!M32</f>
        <v>472542.85714285716</v>
      </c>
      <c r="N80" s="492">
        <f>'.c12_oc_hr'!N32</f>
        <v>472542.85714285716</v>
      </c>
      <c r="O80" s="492">
        <f>'.c12_oc_hr'!O32</f>
        <v>472542.85714285716</v>
      </c>
      <c r="P80" s="492">
        <f>'.c12_oc_hr'!P32</f>
        <v>805022.85714285716</v>
      </c>
      <c r="Q80" s="492">
        <f>'.c12_oc_hr'!Q32</f>
        <v>383142.85714285716</v>
      </c>
      <c r="R80" s="492">
        <f>'.c12_oc_hr'!R32</f>
        <v>383142.85714285716</v>
      </c>
      <c r="S80" s="492">
        <f>'.c12_oc_hr'!S32</f>
        <v>902642.85714285704</v>
      </c>
      <c r="T80" s="492">
        <f>'.c12_oc_hr'!T32</f>
        <v>2052071.4285714286</v>
      </c>
      <c r="U80" s="492">
        <f>'.c12_oc_hr'!U32</f>
        <v>1532571.4285714286</v>
      </c>
      <c r="V80" s="492">
        <f>'.c12_oc_hr'!V32</f>
        <v>1532571.4285714286</v>
      </c>
      <c r="W80" s="492">
        <f>'.c12_oc_hr'!W32</f>
        <v>1532571.4285714286</v>
      </c>
      <c r="X80" s="430"/>
      <c r="Y80" s="430"/>
      <c r="Z80" s="430"/>
      <c r="AA80" s="430"/>
      <c r="AB80" s="430"/>
      <c r="AC80" s="430"/>
      <c r="AD80" s="430"/>
      <c r="AE80" s="430"/>
      <c r="AF80" s="430"/>
      <c r="AG80" s="430"/>
      <c r="AH80" s="430"/>
      <c r="AI80" s="478"/>
      <c r="AJ80" s="430"/>
      <c r="AK80" s="430"/>
      <c r="AL80" s="430"/>
      <c r="AM80" s="430"/>
      <c r="AN80" s="430"/>
      <c r="AO80" s="430"/>
      <c r="AP80" s="430"/>
      <c r="AQ80" s="430"/>
      <c r="AR80" s="430"/>
      <c r="AS80" s="430"/>
      <c r="AT80" s="430"/>
      <c r="AU80" s="430"/>
      <c r="AV80" s="430"/>
      <c r="AW80" s="430"/>
      <c r="AX80" s="430"/>
      <c r="AY80" s="430"/>
      <c r="AZ80" s="430"/>
      <c r="BA80" s="430"/>
      <c r="BB80" s="430"/>
      <c r="BC80" s="430"/>
      <c r="BD80" s="430"/>
      <c r="BE80" s="430"/>
      <c r="BF80" s="430"/>
      <c r="BG80" s="430"/>
      <c r="BH80" s="430"/>
      <c r="BI80" s="430"/>
      <c r="BJ80" s="430"/>
      <c r="BK80" s="430"/>
    </row>
    <row r="81" spans="1:63" s="30" customFormat="1">
      <c r="A81" s="492" t="str">
        <f>'.c12_oc_hr'!A33</f>
        <v>only paid by c12</v>
      </c>
      <c r="B81" s="531"/>
      <c r="C81" s="531"/>
      <c r="D81" s="531"/>
      <c r="E81" s="492"/>
      <c r="F81" s="430"/>
      <c r="G81" s="430"/>
      <c r="H81" s="430"/>
      <c r="I81" s="430"/>
      <c r="J81" s="430"/>
      <c r="K81" s="430"/>
      <c r="L81" s="492">
        <f>'.c12_oc_hr'!L33</f>
        <v>31928.571428571431</v>
      </c>
      <c r="M81" s="492">
        <f>'.c12_oc_hr'!M33</f>
        <v>31928.571428571431</v>
      </c>
      <c r="N81" s="492">
        <f>'.c12_oc_hr'!N33</f>
        <v>31928.571428571431</v>
      </c>
      <c r="O81" s="492">
        <f>'.c12_oc_hr'!O33</f>
        <v>42318.571428571435</v>
      </c>
      <c r="P81" s="492">
        <f>'.c12_oc_hr'!P33</f>
        <v>58237.71428571429</v>
      </c>
      <c r="Q81" s="492">
        <f>'.c12_oc_hr'!Q33</f>
        <v>58237.71428571429</v>
      </c>
      <c r="R81" s="492">
        <f>'.c12_oc_hr'!R33</f>
        <v>58237.71428571429</v>
      </c>
      <c r="S81" s="492">
        <f>'.c12_oc_hr'!S33</f>
        <v>79017.71428571429</v>
      </c>
      <c r="T81" s="492">
        <f>'.c12_oc_hr'!T33</f>
        <v>253730.85714285716</v>
      </c>
      <c r="U81" s="492">
        <f>'.c12_oc_hr'!U33</f>
        <v>253730.85714285716</v>
      </c>
      <c r="V81" s="492">
        <f>'.c12_oc_hr'!V33</f>
        <v>253730.85714285716</v>
      </c>
      <c r="W81" s="492">
        <f>'.c12_oc_hr'!W33</f>
        <v>253730.85714285716</v>
      </c>
      <c r="X81" s="430"/>
      <c r="Y81" s="430"/>
      <c r="Z81" s="430"/>
      <c r="AA81" s="430"/>
      <c r="AB81" s="430"/>
      <c r="AC81" s="430"/>
      <c r="AD81" s="430"/>
      <c r="AE81" s="430"/>
      <c r="AF81" s="430"/>
      <c r="AG81" s="430"/>
      <c r="AH81" s="430"/>
      <c r="AI81" s="478"/>
      <c r="AJ81" s="430"/>
      <c r="AK81" s="430"/>
      <c r="AL81" s="430"/>
      <c r="AM81" s="430"/>
      <c r="AN81" s="430"/>
      <c r="AO81" s="430"/>
      <c r="AP81" s="430"/>
      <c r="AQ81" s="430"/>
      <c r="AR81" s="430"/>
      <c r="AS81" s="430"/>
      <c r="AT81" s="430"/>
      <c r="AU81" s="430"/>
      <c r="AV81" s="430"/>
      <c r="AW81" s="430"/>
      <c r="AX81" s="430"/>
      <c r="AY81" s="430"/>
      <c r="AZ81" s="430"/>
      <c r="BA81" s="430"/>
      <c r="BB81" s="430"/>
      <c r="BC81" s="430"/>
      <c r="BD81" s="430"/>
      <c r="BE81" s="430"/>
      <c r="BF81" s="430"/>
      <c r="BG81" s="430"/>
      <c r="BH81" s="430"/>
      <c r="BI81" s="430"/>
      <c r="BJ81" s="430"/>
      <c r="BK81" s="430"/>
    </row>
    <row r="82" spans="1:63">
      <c r="A82" s="430"/>
      <c r="B82" s="451"/>
      <c r="C82" s="451"/>
      <c r="D82" s="451"/>
      <c r="E82" s="430"/>
      <c r="F82" s="430"/>
      <c r="G82" s="430"/>
      <c r="H82" s="430"/>
      <c r="I82" s="430"/>
      <c r="J82" s="430"/>
      <c r="K82" s="430"/>
      <c r="L82" s="430"/>
      <c r="M82" s="430"/>
      <c r="N82" s="430"/>
      <c r="O82" s="430"/>
      <c r="P82" s="430"/>
      <c r="Q82" s="430"/>
      <c r="R82" s="430"/>
      <c r="S82" s="430"/>
      <c r="T82" s="430"/>
      <c r="U82" s="430"/>
      <c r="V82" s="430"/>
      <c r="W82" s="430"/>
      <c r="X82" s="430"/>
      <c r="Y82" s="430"/>
      <c r="Z82" s="430"/>
      <c r="AA82" s="430"/>
      <c r="AB82" s="430"/>
      <c r="AC82" s="430"/>
      <c r="AD82" s="430"/>
      <c r="AE82" s="430"/>
      <c r="AF82" s="430"/>
      <c r="AG82" s="430"/>
      <c r="AH82" s="430"/>
      <c r="AI82" s="430"/>
      <c r="AJ82" s="430"/>
      <c r="AK82" s="430"/>
      <c r="AL82" s="430"/>
      <c r="AM82" s="430"/>
      <c r="AN82" s="430"/>
      <c r="AO82" s="430"/>
      <c r="AP82" s="430"/>
      <c r="AQ82" s="430"/>
      <c r="AR82" s="430"/>
      <c r="AS82" s="430"/>
      <c r="AT82" s="430"/>
      <c r="AU82" s="430"/>
      <c r="AV82" s="430"/>
      <c r="AW82" s="430"/>
      <c r="AX82" s="430"/>
      <c r="AY82" s="430"/>
      <c r="AZ82" s="430"/>
      <c r="BA82" s="430"/>
      <c r="BB82" s="430"/>
      <c r="BC82" s="430"/>
      <c r="BD82" s="430"/>
      <c r="BE82" s="430"/>
      <c r="BF82" s="430"/>
      <c r="BG82" s="430"/>
      <c r="BH82" s="430"/>
      <c r="BI82" s="430"/>
      <c r="BJ82" s="430"/>
      <c r="BK82" s="430"/>
    </row>
    <row r="83" spans="1:63" s="30" customFormat="1">
      <c r="A83" s="533" t="s">
        <v>101</v>
      </c>
      <c r="B83" s="431"/>
      <c r="C83" s="431"/>
      <c r="D83" s="431"/>
      <c r="E83" s="432"/>
      <c r="F83" s="430"/>
      <c r="G83" s="430"/>
      <c r="H83" s="430"/>
      <c r="I83" s="430"/>
      <c r="J83" s="430"/>
      <c r="K83" s="430"/>
      <c r="L83" s="432"/>
      <c r="M83" s="432"/>
      <c r="N83" s="432"/>
      <c r="O83" s="432"/>
      <c r="P83" s="432"/>
      <c r="Q83" s="432"/>
      <c r="R83" s="432"/>
      <c r="S83" s="432"/>
      <c r="T83" s="432"/>
      <c r="U83" s="432"/>
      <c r="V83" s="432"/>
      <c r="W83" s="432"/>
      <c r="X83" s="430"/>
      <c r="Y83" s="430"/>
      <c r="Z83" s="430"/>
      <c r="AA83" s="430"/>
      <c r="AB83" s="430"/>
      <c r="AC83" s="430"/>
      <c r="AD83" s="430"/>
      <c r="AE83" s="430"/>
      <c r="AF83" s="430"/>
      <c r="AG83" s="430"/>
      <c r="AH83" s="430"/>
      <c r="AI83" s="430"/>
      <c r="AJ83" s="430"/>
      <c r="AK83" s="430"/>
      <c r="AL83" s="430"/>
      <c r="AM83" s="430"/>
      <c r="AN83" s="430"/>
      <c r="AO83" s="430"/>
      <c r="AP83" s="430"/>
      <c r="AQ83" s="430"/>
      <c r="AR83" s="430"/>
      <c r="AS83" s="430"/>
      <c r="AT83" s="430"/>
      <c r="AU83" s="430"/>
      <c r="AV83" s="430"/>
      <c r="AW83" s="430"/>
      <c r="AX83" s="430"/>
      <c r="AY83" s="430"/>
      <c r="AZ83" s="430"/>
      <c r="BA83" s="430"/>
      <c r="BB83" s="430"/>
      <c r="BC83" s="430"/>
      <c r="BD83" s="430"/>
      <c r="BE83" s="430"/>
      <c r="BF83" s="430"/>
      <c r="BG83" s="430"/>
      <c r="BH83" s="430"/>
      <c r="BI83" s="430"/>
      <c r="BJ83" s="430"/>
      <c r="BK83" s="430"/>
    </row>
    <row r="84" spans="1:63" s="30" customFormat="1">
      <c r="A84" s="533" t="s">
        <v>102</v>
      </c>
      <c r="B84" s="431"/>
      <c r="C84" s="431"/>
      <c r="D84" s="431"/>
      <c r="E84" s="534">
        <v>1639651</v>
      </c>
      <c r="F84" s="430"/>
      <c r="G84" s="430"/>
      <c r="H84" s="430"/>
      <c r="I84" s="430"/>
      <c r="J84" s="430"/>
      <c r="K84" s="430"/>
      <c r="L84" s="492">
        <f>'c12_hm'!L60</f>
        <v>558947</v>
      </c>
      <c r="M84" s="492">
        <f>'c12_hm'!M60</f>
        <v>558947</v>
      </c>
      <c r="N84" s="492">
        <f>'c12_hm'!N60</f>
        <v>558947</v>
      </c>
      <c r="O84" s="492">
        <f>'c12_hm'!O60</f>
        <v>447597</v>
      </c>
      <c r="P84" s="492">
        <f>'c12_hm'!P60</f>
        <v>310715.78947368416</v>
      </c>
      <c r="Q84" s="492">
        <f>'c12_hm'!Q60</f>
        <v>902637.28947368416</v>
      </c>
      <c r="R84" s="492">
        <f>'c12_hm'!R60</f>
        <v>948110.97368421056</v>
      </c>
      <c r="S84" s="492">
        <f>'c12_hm'!S60</f>
        <v>2385063.6052631577</v>
      </c>
      <c r="T84" s="492">
        <f>'c12_hm'!T60</f>
        <v>4592895.5273684207</v>
      </c>
      <c r="U84" s="492">
        <f>'c12_hm'!U60</f>
        <v>6222237.0247684205</v>
      </c>
      <c r="V84" s="492">
        <f>'c12_hm'!V60</f>
        <v>8981799.0470904205</v>
      </c>
      <c r="W84" s="492">
        <f>'c12_hm'!W60</f>
        <v>8232869.9536977708</v>
      </c>
      <c r="X84" s="430"/>
      <c r="Y84" s="430"/>
      <c r="Z84" s="430"/>
      <c r="AA84" s="430"/>
      <c r="AB84" s="430"/>
      <c r="AC84" s="430"/>
      <c r="AD84" s="430"/>
      <c r="AE84" s="430"/>
      <c r="AF84" s="430"/>
      <c r="AG84" s="430"/>
      <c r="AH84" s="430"/>
      <c r="AI84" s="430"/>
      <c r="AJ84" s="430"/>
      <c r="AK84" s="430"/>
      <c r="AL84" s="430"/>
      <c r="AM84" s="430"/>
      <c r="AN84" s="430"/>
      <c r="AO84" s="430"/>
      <c r="AP84" s="430"/>
      <c r="AQ84" s="430"/>
      <c r="AR84" s="430"/>
      <c r="AS84" s="430"/>
      <c r="AT84" s="430"/>
      <c r="AU84" s="430"/>
      <c r="AV84" s="430"/>
      <c r="AW84" s="430"/>
      <c r="AX84" s="430"/>
      <c r="AY84" s="430"/>
      <c r="AZ84" s="430"/>
      <c r="BA84" s="430"/>
      <c r="BB84" s="430"/>
      <c r="BC84" s="430"/>
      <c r="BD84" s="430"/>
      <c r="BE84" s="430"/>
      <c r="BF84" s="430"/>
      <c r="BG84" s="430"/>
      <c r="BH84" s="430"/>
      <c r="BI84" s="430"/>
      <c r="BJ84" s="430"/>
      <c r="BK84" s="430"/>
    </row>
    <row r="85" spans="1:63" s="30" customFormat="1">
      <c r="A85" s="533" t="s">
        <v>103</v>
      </c>
      <c r="B85" s="431"/>
      <c r="C85" s="431"/>
      <c r="D85" s="431"/>
      <c r="E85" s="534">
        <v>1480300</v>
      </c>
      <c r="F85" s="430"/>
      <c r="G85" s="430"/>
      <c r="H85" s="430"/>
      <c r="I85" s="430"/>
      <c r="J85" s="430"/>
      <c r="K85" s="430"/>
      <c r="L85" s="492">
        <f>'c12_d&amp;s'!L60</f>
        <v>128735.5</v>
      </c>
      <c r="M85" s="492">
        <f>'c12_d&amp;s'!M60</f>
        <v>128735.5</v>
      </c>
      <c r="N85" s="492">
        <f>'c12_d&amp;s'!N60</f>
        <v>699135.5</v>
      </c>
      <c r="O85" s="492">
        <f>'c12_d&amp;s'!O60</f>
        <v>911235.5</v>
      </c>
      <c r="P85" s="492">
        <f>'c12_d&amp;s'!P60</f>
        <v>1735259.1270175439</v>
      </c>
      <c r="Q85" s="492">
        <f>'c12_d&amp;s'!Q60</f>
        <v>2473819.8070175434</v>
      </c>
      <c r="R85" s="492">
        <f>'c12_d&amp;s'!R60</f>
        <v>2205638.8070175434</v>
      </c>
      <c r="S85" s="492">
        <f>'c12_d&amp;s'!S60</f>
        <v>5828630.333333333</v>
      </c>
      <c r="T85" s="492">
        <f>'c12_d&amp;s'!T60</f>
        <v>10772271.074385963</v>
      </c>
      <c r="U85" s="492">
        <f>'c12_d&amp;s'!U60</f>
        <v>7224030.4869192978</v>
      </c>
      <c r="V85" s="492">
        <f>'c12_d&amp;s'!V60</f>
        <v>4401398.0988952974</v>
      </c>
      <c r="W85" s="492">
        <f>'c12_d&amp;s'!W60</f>
        <v>4361744.7392305788</v>
      </c>
      <c r="X85" s="430"/>
      <c r="Y85" s="430"/>
      <c r="Z85" s="430"/>
      <c r="AA85" s="430"/>
      <c r="AB85" s="430"/>
      <c r="AC85" s="430"/>
      <c r="AD85" s="430"/>
      <c r="AE85" s="430"/>
      <c r="AF85" s="430"/>
      <c r="AG85" s="430"/>
      <c r="AH85" s="430"/>
      <c r="AI85" s="430"/>
      <c r="AJ85" s="430"/>
      <c r="AK85" s="430"/>
      <c r="AL85" s="430"/>
      <c r="AM85" s="430"/>
      <c r="AN85" s="430"/>
      <c r="AO85" s="430"/>
      <c r="AP85" s="430"/>
      <c r="AQ85" s="430"/>
      <c r="AR85" s="430"/>
      <c r="AS85" s="430"/>
      <c r="AT85" s="430"/>
      <c r="AU85" s="430"/>
      <c r="AV85" s="430"/>
      <c r="AW85" s="430"/>
      <c r="AX85" s="430"/>
      <c r="AY85" s="430"/>
      <c r="AZ85" s="430"/>
      <c r="BA85" s="430"/>
      <c r="BB85" s="430"/>
      <c r="BC85" s="430"/>
      <c r="BD85" s="430"/>
      <c r="BE85" s="430"/>
      <c r="BF85" s="430"/>
      <c r="BG85" s="430"/>
      <c r="BH85" s="430"/>
      <c r="BI85" s="430"/>
      <c r="BJ85" s="430"/>
      <c r="BK85" s="430"/>
    </row>
    <row r="86" spans="1:63" s="30" customFormat="1" ht="15" customHeight="1" thickBot="1">
      <c r="A86" s="533" t="s">
        <v>104</v>
      </c>
      <c r="B86" s="431"/>
      <c r="C86" s="431"/>
      <c r="D86" s="431"/>
      <c r="E86" s="492"/>
      <c r="F86" s="430"/>
      <c r="G86" s="430"/>
      <c r="H86" s="430"/>
      <c r="I86" s="430"/>
      <c r="J86" s="430"/>
      <c r="K86" s="430"/>
      <c r="L86" s="492">
        <f>'c12_bi&amp;F'!L60</f>
        <v>0</v>
      </c>
      <c r="M86" s="492">
        <f>'c12_bi&amp;F'!M60</f>
        <v>0</v>
      </c>
      <c r="N86" s="492">
        <f>'c12_bi&amp;F'!N60</f>
        <v>0</v>
      </c>
      <c r="O86" s="492">
        <f>'c12_bi&amp;F'!O60</f>
        <v>0</v>
      </c>
      <c r="P86" s="492">
        <f>'c12_bi&amp;F'!P60</f>
        <v>154294.73684210522</v>
      </c>
      <c r="Q86" s="492">
        <f>'c12_bi&amp;F'!Q60</f>
        <v>154294.73684210522</v>
      </c>
      <c r="R86" s="492">
        <f>'c12_bi&amp;F'!R60</f>
        <v>267978.94736842101</v>
      </c>
      <c r="S86" s="492">
        <f>'c12_bi&amp;F'!S60</f>
        <v>360942.10526315786</v>
      </c>
      <c r="T86" s="492">
        <f>'c12_bi&amp;F'!T60</f>
        <v>1216752.6315789474</v>
      </c>
      <c r="U86" s="492">
        <f>'c12_bi&amp;F'!U60</f>
        <v>1306752.6315789474</v>
      </c>
      <c r="V86" s="492">
        <f>'c12_bi&amp;F'!V60</f>
        <v>1306752.6315789474</v>
      </c>
      <c r="W86" s="492">
        <f>'c12_bi&amp;F'!W60</f>
        <v>1306752.6315789474</v>
      </c>
      <c r="X86" s="430"/>
      <c r="Y86" s="430"/>
      <c r="Z86" s="430"/>
      <c r="AA86" s="430"/>
      <c r="AB86" s="430"/>
      <c r="AC86" s="430"/>
      <c r="AD86" s="430"/>
      <c r="AE86" s="430"/>
      <c r="AF86" s="430"/>
      <c r="AG86" s="430"/>
      <c r="AH86" s="430"/>
      <c r="AI86" s="430"/>
      <c r="AJ86" s="430"/>
      <c r="AK86" s="430"/>
      <c r="AL86" s="430"/>
      <c r="AM86" s="430"/>
      <c r="AN86" s="430"/>
      <c r="AO86" s="430"/>
      <c r="AP86" s="430"/>
      <c r="AQ86" s="430"/>
      <c r="AR86" s="430"/>
      <c r="AS86" s="430"/>
      <c r="AT86" s="430"/>
      <c r="AU86" s="430"/>
      <c r="AV86" s="430"/>
      <c r="AW86" s="430"/>
      <c r="AX86" s="430"/>
      <c r="AY86" s="430"/>
      <c r="AZ86" s="430"/>
      <c r="BA86" s="430"/>
      <c r="BB86" s="430"/>
      <c r="BC86" s="430"/>
      <c r="BD86" s="430"/>
      <c r="BE86" s="430"/>
      <c r="BF86" s="430"/>
      <c r="BG86" s="430"/>
      <c r="BH86" s="430"/>
      <c r="BI86" s="430"/>
      <c r="BJ86" s="430"/>
      <c r="BK86" s="430"/>
    </row>
    <row r="87" spans="1:63" s="30" customFormat="1" ht="15.5" customHeight="1" thickTop="1" thickBot="1">
      <c r="A87" s="533" t="s">
        <v>105</v>
      </c>
      <c r="B87" s="535" t="s">
        <v>14</v>
      </c>
      <c r="C87" s="535" t="s">
        <v>106</v>
      </c>
      <c r="D87" s="431"/>
      <c r="E87" s="536"/>
      <c r="F87" s="430"/>
      <c r="G87" s="430"/>
      <c r="H87" s="430"/>
      <c r="I87" s="430"/>
      <c r="J87" s="430"/>
      <c r="K87" s="430"/>
      <c r="L87" s="537">
        <f t="shared" ref="L87:W87" si="17">SUM(L84:L86)</f>
        <v>687682.5</v>
      </c>
      <c r="M87" s="537">
        <f t="shared" si="17"/>
        <v>687682.5</v>
      </c>
      <c r="N87" s="537">
        <f t="shared" si="17"/>
        <v>1258082.5</v>
      </c>
      <c r="O87" s="537">
        <f t="shared" si="17"/>
        <v>1358832.5</v>
      </c>
      <c r="P87" s="537">
        <f t="shared" si="17"/>
        <v>2200269.6533333333</v>
      </c>
      <c r="Q87" s="537">
        <f t="shared" si="17"/>
        <v>3530751.8333333326</v>
      </c>
      <c r="R87" s="537">
        <f t="shared" si="17"/>
        <v>3421728.7280701748</v>
      </c>
      <c r="S87" s="537">
        <f t="shared" si="17"/>
        <v>8574636.0438596494</v>
      </c>
      <c r="T87" s="536">
        <f t="shared" si="17"/>
        <v>16581919.233333331</v>
      </c>
      <c r="U87" s="536">
        <f t="shared" si="17"/>
        <v>14753020.143266667</v>
      </c>
      <c r="V87" s="536">
        <f t="shared" si="17"/>
        <v>14689949.777564667</v>
      </c>
      <c r="W87" s="536">
        <f t="shared" si="17"/>
        <v>13901367.324507296</v>
      </c>
      <c r="X87" s="430"/>
      <c r="Y87" s="430"/>
      <c r="Z87" s="430"/>
      <c r="AA87" s="430"/>
      <c r="AB87" s="430"/>
      <c r="AC87" s="430"/>
      <c r="AD87" s="430"/>
      <c r="AE87" s="430"/>
      <c r="AF87" s="430"/>
      <c r="AG87" s="430"/>
      <c r="AH87" s="430"/>
      <c r="AI87" s="430"/>
      <c r="AJ87" s="430"/>
      <c r="AK87" s="430"/>
      <c r="AL87" s="430"/>
      <c r="AM87" s="430"/>
      <c r="AN87" s="430"/>
      <c r="AO87" s="430"/>
      <c r="AP87" s="430"/>
      <c r="AQ87" s="430"/>
      <c r="AR87" s="430"/>
      <c r="AS87" s="430"/>
      <c r="AT87" s="430"/>
      <c r="AU87" s="430"/>
      <c r="AV87" s="430"/>
      <c r="AW87" s="430"/>
      <c r="AX87" s="430"/>
      <c r="AY87" s="430"/>
      <c r="AZ87" s="430"/>
      <c r="BA87" s="430"/>
      <c r="BB87" s="430"/>
      <c r="BC87" s="430"/>
      <c r="BD87" s="430"/>
      <c r="BE87" s="430"/>
      <c r="BF87" s="430"/>
      <c r="BG87" s="430"/>
      <c r="BH87" s="430"/>
      <c r="BI87" s="430"/>
      <c r="BJ87" s="430"/>
      <c r="BK87" s="430"/>
    </row>
    <row r="88" spans="1:63" ht="15" customHeight="1" thickTop="1">
      <c r="A88" s="430"/>
      <c r="B88" s="451"/>
      <c r="C88" s="451"/>
      <c r="D88" s="451"/>
      <c r="E88" s="430"/>
      <c r="F88" s="430"/>
      <c r="G88" s="430"/>
      <c r="H88" s="430"/>
      <c r="I88" s="430"/>
      <c r="J88" s="430"/>
      <c r="K88" s="430"/>
      <c r="L88" s="430"/>
      <c r="M88" s="430"/>
      <c r="N88" s="430"/>
      <c r="O88" s="430"/>
      <c r="P88" s="430"/>
      <c r="Q88" s="430"/>
      <c r="R88" s="430"/>
      <c r="S88" s="430"/>
      <c r="T88" s="430"/>
      <c r="U88" s="430"/>
      <c r="V88" s="430"/>
      <c r="W88" s="430"/>
      <c r="X88" s="430"/>
      <c r="Y88" s="430"/>
      <c r="Z88" s="430"/>
      <c r="AA88" s="430"/>
      <c r="AB88" s="430"/>
      <c r="AC88" s="430"/>
      <c r="AD88" s="430"/>
      <c r="AE88" s="430"/>
      <c r="AF88" s="430"/>
      <c r="AG88" s="430"/>
      <c r="AH88" s="430"/>
      <c r="AI88" s="430"/>
      <c r="AJ88" s="430"/>
      <c r="AK88" s="430"/>
      <c r="AL88" s="430"/>
      <c r="AM88" s="430"/>
      <c r="AN88" s="430"/>
      <c r="AO88" s="430"/>
      <c r="AP88" s="430"/>
      <c r="AQ88" s="430"/>
      <c r="AR88" s="430"/>
      <c r="AS88" s="430"/>
      <c r="AT88" s="430"/>
      <c r="AU88" s="430"/>
      <c r="AV88" s="430"/>
      <c r="AW88" s="430"/>
      <c r="AX88" s="430"/>
      <c r="AY88" s="430"/>
      <c r="AZ88" s="430"/>
      <c r="BA88" s="430"/>
      <c r="BB88" s="430"/>
      <c r="BC88" s="430"/>
      <c r="BD88" s="430"/>
      <c r="BE88" s="430"/>
      <c r="BF88" s="430"/>
      <c r="BG88" s="430"/>
      <c r="BH88" s="430"/>
      <c r="BI88" s="430"/>
      <c r="BJ88" s="430"/>
      <c r="BK88" s="430"/>
    </row>
    <row r="89" spans="1:63">
      <c r="A89" s="430"/>
      <c r="B89" s="451"/>
      <c r="C89" s="451"/>
      <c r="D89" s="451"/>
      <c r="E89" s="430"/>
      <c r="F89" s="430"/>
      <c r="G89" s="430"/>
      <c r="H89" s="430"/>
      <c r="I89" s="430"/>
      <c r="J89" s="430"/>
      <c r="K89" s="430"/>
      <c r="L89" s="430"/>
      <c r="M89" s="430"/>
      <c r="N89" s="430"/>
      <c r="O89" s="430"/>
      <c r="P89" s="430"/>
      <c r="Q89" s="430"/>
      <c r="R89" s="430"/>
      <c r="S89" s="430"/>
      <c r="T89" s="430"/>
      <c r="U89" s="430"/>
      <c r="V89" s="430"/>
      <c r="W89" s="430"/>
      <c r="X89" s="430"/>
      <c r="Y89" s="430"/>
      <c r="Z89" s="430"/>
      <c r="AA89" s="430"/>
      <c r="AB89" s="430"/>
      <c r="AC89" s="430"/>
      <c r="AD89" s="430"/>
      <c r="AE89" s="430"/>
      <c r="AF89" s="430"/>
      <c r="AG89" s="430"/>
      <c r="AH89" s="430"/>
      <c r="AI89" s="430"/>
      <c r="AJ89" s="430"/>
      <c r="AK89" s="430"/>
      <c r="AL89" s="430"/>
      <c r="AM89" s="430"/>
      <c r="AN89" s="430"/>
      <c r="AO89" s="430"/>
      <c r="AP89" s="430"/>
      <c r="AQ89" s="430"/>
      <c r="AR89" s="430"/>
      <c r="AS89" s="430"/>
      <c r="AT89" s="430"/>
      <c r="AU89" s="430"/>
      <c r="AV89" s="430"/>
      <c r="AW89" s="430"/>
      <c r="AX89" s="430"/>
      <c r="AY89" s="430"/>
      <c r="AZ89" s="430"/>
      <c r="BA89" s="430"/>
      <c r="BB89" s="430"/>
      <c r="BC89" s="430"/>
      <c r="BD89" s="430"/>
      <c r="BE89" s="430"/>
      <c r="BF89" s="430"/>
      <c r="BG89" s="430"/>
      <c r="BH89" s="430"/>
      <c r="BI89" s="430"/>
      <c r="BJ89" s="430"/>
      <c r="BK89" s="430"/>
    </row>
    <row r="90" spans="1:63">
      <c r="A90" s="430"/>
      <c r="B90" s="451"/>
      <c r="C90" s="451"/>
      <c r="D90" s="451"/>
      <c r="E90" s="430"/>
      <c r="F90" s="430"/>
      <c r="G90" s="430"/>
      <c r="H90" s="430"/>
      <c r="I90" s="430"/>
      <c r="J90" s="430"/>
      <c r="K90" s="430"/>
      <c r="L90" s="430"/>
      <c r="M90" s="430"/>
      <c r="N90" s="430"/>
      <c r="O90" s="430"/>
      <c r="P90" s="430"/>
      <c r="Q90" s="430"/>
      <c r="R90" s="430"/>
      <c r="S90" s="430"/>
      <c r="T90" s="430"/>
      <c r="U90" s="430"/>
      <c r="V90" s="430"/>
      <c r="W90" s="430"/>
      <c r="X90" s="430"/>
      <c r="Y90" s="430"/>
      <c r="Z90" s="430"/>
      <c r="AA90" s="430"/>
      <c r="AB90" s="430"/>
      <c r="AC90" s="430"/>
      <c r="AD90" s="430"/>
      <c r="AE90" s="430"/>
      <c r="AF90" s="430"/>
      <c r="AG90" s="430"/>
      <c r="AH90" s="430"/>
      <c r="AI90" s="430"/>
      <c r="AJ90" s="430"/>
      <c r="AK90" s="430"/>
      <c r="AL90" s="430"/>
      <c r="AM90" s="430"/>
      <c r="AN90" s="430"/>
      <c r="AO90" s="430"/>
      <c r="AP90" s="430"/>
      <c r="AQ90" s="430"/>
      <c r="AR90" s="430"/>
      <c r="AS90" s="430"/>
      <c r="AT90" s="430"/>
      <c r="AU90" s="430"/>
      <c r="AV90" s="430"/>
      <c r="AW90" s="430"/>
      <c r="AX90" s="430"/>
      <c r="AY90" s="430"/>
      <c r="AZ90" s="430"/>
      <c r="BA90" s="430"/>
      <c r="BB90" s="430"/>
      <c r="BC90" s="430"/>
      <c r="BD90" s="430"/>
      <c r="BE90" s="430"/>
      <c r="BF90" s="430"/>
      <c r="BG90" s="430"/>
      <c r="BH90" s="430"/>
      <c r="BI90" s="430"/>
      <c r="BJ90" s="430"/>
      <c r="BK90" s="430"/>
    </row>
    <row r="91" spans="1:63">
      <c r="A91" s="430"/>
      <c r="B91" s="451"/>
      <c r="C91" s="451"/>
      <c r="D91" s="451"/>
      <c r="E91" s="430"/>
      <c r="F91" s="430"/>
      <c r="G91" s="430"/>
      <c r="H91" s="430"/>
      <c r="I91" s="430"/>
      <c r="J91" s="430"/>
      <c r="K91" s="430"/>
      <c r="L91" s="430"/>
      <c r="M91" s="430"/>
      <c r="N91" s="430"/>
      <c r="O91" s="430"/>
      <c r="P91" s="430"/>
      <c r="Q91" s="430"/>
      <c r="R91" s="430"/>
      <c r="S91" s="430"/>
      <c r="T91" s="430"/>
      <c r="U91" s="430"/>
      <c r="V91" s="430"/>
      <c r="W91" s="430"/>
      <c r="X91" s="430"/>
      <c r="Y91" s="430"/>
      <c r="Z91" s="430"/>
      <c r="AA91" s="430"/>
      <c r="AB91" s="430"/>
      <c r="AC91" s="430"/>
      <c r="AD91" s="430"/>
      <c r="AE91" s="430"/>
      <c r="AF91" s="430"/>
      <c r="AG91" s="430"/>
      <c r="AH91" s="430"/>
      <c r="AI91" s="430"/>
      <c r="AJ91" s="430"/>
      <c r="AK91" s="430"/>
      <c r="AL91" s="430"/>
      <c r="AM91" s="430"/>
      <c r="AN91" s="430"/>
      <c r="AO91" s="430"/>
      <c r="AP91" s="430"/>
      <c r="AQ91" s="430"/>
      <c r="AR91" s="430"/>
      <c r="AS91" s="430"/>
      <c r="AT91" s="430"/>
      <c r="AU91" s="430"/>
      <c r="AV91" s="430"/>
      <c r="AW91" s="430"/>
      <c r="AX91" s="430"/>
      <c r="AY91" s="430"/>
      <c r="AZ91" s="430"/>
      <c r="BA91" s="430"/>
      <c r="BB91" s="430"/>
      <c r="BC91" s="430"/>
      <c r="BD91" s="430"/>
      <c r="BE91" s="430"/>
      <c r="BF91" s="430"/>
      <c r="BG91" s="430"/>
      <c r="BH91" s="430"/>
      <c r="BI91" s="430"/>
      <c r="BJ91" s="430"/>
      <c r="BK91" s="430"/>
    </row>
    <row r="92" spans="1:63">
      <c r="A92" s="430"/>
      <c r="B92" s="451"/>
      <c r="C92" s="451"/>
      <c r="D92" s="451"/>
      <c r="E92" s="430"/>
      <c r="F92" s="430"/>
      <c r="G92" s="430"/>
      <c r="H92" s="430"/>
      <c r="I92" s="430"/>
      <c r="J92" s="430"/>
      <c r="K92" s="430"/>
      <c r="L92" s="430"/>
      <c r="M92" s="430"/>
      <c r="N92" s="430"/>
      <c r="O92" s="430"/>
      <c r="P92" s="430"/>
      <c r="Q92" s="430"/>
      <c r="R92" s="430"/>
      <c r="S92" s="430"/>
      <c r="T92" s="430"/>
      <c r="U92" s="430"/>
      <c r="V92" s="430"/>
      <c r="W92" s="430"/>
      <c r="X92" s="430"/>
      <c r="Y92" s="430"/>
      <c r="Z92" s="430"/>
      <c r="AA92" s="430"/>
      <c r="AB92" s="430"/>
      <c r="AC92" s="430"/>
      <c r="AD92" s="430"/>
      <c r="AE92" s="430"/>
      <c r="AF92" s="430"/>
      <c r="AG92" s="430"/>
      <c r="AH92" s="430"/>
      <c r="AI92" s="430"/>
      <c r="AJ92" s="430"/>
      <c r="AK92" s="430"/>
      <c r="AL92" s="430"/>
      <c r="AM92" s="430"/>
      <c r="AN92" s="430"/>
      <c r="AO92" s="430"/>
      <c r="AP92" s="430"/>
      <c r="AQ92" s="430"/>
      <c r="AR92" s="430"/>
      <c r="AS92" s="430"/>
      <c r="AT92" s="430"/>
      <c r="AU92" s="430"/>
      <c r="AV92" s="430"/>
      <c r="AW92" s="430"/>
      <c r="AX92" s="430"/>
      <c r="AY92" s="430"/>
      <c r="AZ92" s="430"/>
      <c r="BA92" s="430"/>
      <c r="BB92" s="430"/>
      <c r="BC92" s="430"/>
      <c r="BD92" s="430"/>
      <c r="BE92" s="430"/>
      <c r="BF92" s="430"/>
      <c r="BG92" s="430"/>
      <c r="BH92" s="430"/>
      <c r="BI92" s="430"/>
      <c r="BJ92" s="430"/>
      <c r="BK92" s="430"/>
    </row>
    <row r="93" spans="1:63">
      <c r="A93" s="430"/>
      <c r="B93" s="451"/>
      <c r="C93" s="451"/>
      <c r="D93" s="451"/>
      <c r="E93" s="430"/>
      <c r="F93" s="430"/>
      <c r="G93" s="430"/>
      <c r="H93" s="430"/>
      <c r="I93" s="430"/>
      <c r="J93" s="430"/>
      <c r="K93" s="430"/>
      <c r="L93" s="430"/>
      <c r="M93" s="430"/>
      <c r="N93" s="430"/>
      <c r="O93" s="430"/>
      <c r="P93" s="430"/>
      <c r="Q93" s="430"/>
      <c r="R93" s="430"/>
      <c r="S93" s="430"/>
      <c r="T93" s="430"/>
      <c r="U93" s="430"/>
      <c r="V93" s="430"/>
      <c r="W93" s="430"/>
      <c r="X93" s="430"/>
      <c r="Y93" s="430"/>
      <c r="Z93" s="430"/>
      <c r="AA93" s="430"/>
      <c r="AB93" s="430"/>
      <c r="AC93" s="430"/>
      <c r="AD93" s="430"/>
      <c r="AE93" s="430"/>
      <c r="AF93" s="430"/>
      <c r="AG93" s="430"/>
      <c r="AH93" s="430"/>
      <c r="AI93" s="430"/>
      <c r="AJ93" s="430"/>
      <c r="AK93" s="430"/>
      <c r="AL93" s="430"/>
      <c r="AM93" s="430"/>
      <c r="AN93" s="430"/>
      <c r="AO93" s="430"/>
      <c r="AP93" s="430"/>
      <c r="AQ93" s="430"/>
      <c r="AR93" s="430"/>
      <c r="AS93" s="430"/>
      <c r="AT93" s="430"/>
      <c r="AU93" s="430"/>
      <c r="AV93" s="430"/>
      <c r="AW93" s="430"/>
      <c r="AX93" s="430"/>
      <c r="AY93" s="430"/>
      <c r="AZ93" s="430"/>
      <c r="BA93" s="430"/>
      <c r="BB93" s="430"/>
      <c r="BC93" s="430"/>
      <c r="BD93" s="430"/>
      <c r="BE93" s="430"/>
      <c r="BF93" s="430"/>
      <c r="BG93" s="430"/>
      <c r="BH93" s="430"/>
      <c r="BI93" s="430"/>
      <c r="BJ93" s="430"/>
      <c r="BK93" s="430"/>
    </row>
    <row r="94" spans="1:63">
      <c r="A94" s="430"/>
      <c r="B94" s="451"/>
      <c r="C94" s="451"/>
      <c r="D94" s="451"/>
      <c r="E94" s="430"/>
      <c r="F94" s="430"/>
      <c r="G94" s="430"/>
      <c r="H94" s="430"/>
      <c r="I94" s="430"/>
      <c r="J94" s="430"/>
      <c r="K94" s="430"/>
      <c r="L94" s="430"/>
      <c r="M94" s="430"/>
      <c r="N94" s="430"/>
      <c r="O94" s="430"/>
      <c r="P94" s="430"/>
      <c r="Q94" s="430"/>
      <c r="R94" s="430"/>
      <c r="S94" s="430"/>
      <c r="T94" s="430"/>
      <c r="U94" s="430"/>
      <c r="V94" s="430"/>
      <c r="W94" s="430"/>
      <c r="X94" s="430"/>
      <c r="Y94" s="430"/>
      <c r="Z94" s="430"/>
      <c r="AA94" s="430"/>
      <c r="AB94" s="430"/>
      <c r="AC94" s="430"/>
      <c r="AD94" s="430"/>
      <c r="AE94" s="430"/>
      <c r="AF94" s="430"/>
      <c r="AG94" s="430"/>
      <c r="AH94" s="430"/>
      <c r="AI94" s="430"/>
      <c r="AJ94" s="430"/>
      <c r="AK94" s="430"/>
      <c r="AL94" s="430"/>
      <c r="AM94" s="430"/>
      <c r="AN94" s="430"/>
      <c r="AO94" s="430"/>
      <c r="AP94" s="430"/>
      <c r="AQ94" s="430"/>
      <c r="AR94" s="430"/>
      <c r="AS94" s="430"/>
      <c r="AT94" s="430"/>
      <c r="AU94" s="430"/>
      <c r="AV94" s="430"/>
      <c r="AW94" s="430"/>
      <c r="AX94" s="430"/>
      <c r="AY94" s="430"/>
      <c r="AZ94" s="430"/>
      <c r="BA94" s="430"/>
      <c r="BB94" s="430"/>
      <c r="BC94" s="430"/>
      <c r="BD94" s="430"/>
      <c r="BE94" s="430"/>
      <c r="BF94" s="430"/>
      <c r="BG94" s="430"/>
      <c r="BH94" s="430"/>
      <c r="BI94" s="430"/>
      <c r="BJ94" s="430"/>
      <c r="BK94" s="430"/>
    </row>
    <row r="95" spans="1:63">
      <c r="A95" s="430"/>
      <c r="B95" s="451"/>
      <c r="C95" s="451"/>
      <c r="D95" s="451"/>
      <c r="E95" s="430"/>
      <c r="F95" s="430"/>
      <c r="G95" s="430"/>
      <c r="H95" s="430"/>
      <c r="I95" s="430"/>
      <c r="J95" s="430"/>
      <c r="K95" s="430"/>
      <c r="L95" s="430"/>
      <c r="M95" s="430"/>
      <c r="N95" s="430"/>
      <c r="O95" s="430"/>
      <c r="P95" s="430"/>
      <c r="Q95" s="430"/>
      <c r="R95" s="430"/>
      <c r="S95" s="430"/>
      <c r="T95" s="430"/>
      <c r="U95" s="430"/>
      <c r="V95" s="430"/>
      <c r="W95" s="430"/>
      <c r="X95" s="430"/>
      <c r="Y95" s="430"/>
      <c r="Z95" s="430"/>
      <c r="AA95" s="430"/>
      <c r="AB95" s="430"/>
      <c r="AC95" s="430"/>
      <c r="AD95" s="430"/>
      <c r="AE95" s="430"/>
      <c r="AF95" s="430"/>
      <c r="AG95" s="430"/>
      <c r="AH95" s="430"/>
      <c r="AI95" s="430"/>
      <c r="AJ95" s="430"/>
      <c r="AK95" s="430"/>
      <c r="AL95" s="430"/>
      <c r="AM95" s="430"/>
      <c r="AN95" s="430"/>
      <c r="AO95" s="430"/>
      <c r="AP95" s="430"/>
      <c r="AQ95" s="430"/>
      <c r="AR95" s="430"/>
      <c r="AS95" s="430"/>
      <c r="AT95" s="430"/>
      <c r="AU95" s="430"/>
      <c r="AV95" s="430"/>
      <c r="AW95" s="430"/>
      <c r="AX95" s="430"/>
      <c r="AY95" s="430"/>
      <c r="AZ95" s="430"/>
      <c r="BA95" s="430"/>
      <c r="BB95" s="430"/>
      <c r="BC95" s="430"/>
      <c r="BD95" s="430"/>
      <c r="BE95" s="430"/>
      <c r="BF95" s="430"/>
      <c r="BG95" s="430"/>
      <c r="BH95" s="430"/>
      <c r="BI95" s="430"/>
      <c r="BJ95" s="430"/>
      <c r="BK95" s="430"/>
    </row>
    <row r="96" spans="1:63">
      <c r="A96" s="430"/>
      <c r="B96" s="451"/>
      <c r="C96" s="451"/>
      <c r="D96" s="451"/>
      <c r="E96" s="430"/>
      <c r="F96" s="430"/>
      <c r="G96" s="430"/>
      <c r="H96" s="430"/>
      <c r="I96" s="430"/>
      <c r="J96" s="430"/>
      <c r="K96" s="430"/>
      <c r="L96" s="430"/>
      <c r="M96" s="430"/>
      <c r="N96" s="430"/>
      <c r="O96" s="430"/>
      <c r="P96" s="430"/>
      <c r="Q96" s="430"/>
      <c r="R96" s="430"/>
      <c r="S96" s="430"/>
      <c r="T96" s="430"/>
      <c r="U96" s="430"/>
      <c r="V96" s="430"/>
      <c r="W96" s="430"/>
      <c r="X96" s="430"/>
      <c r="Y96" s="430"/>
      <c r="Z96" s="430"/>
      <c r="AA96" s="430"/>
      <c r="AB96" s="430"/>
      <c r="AC96" s="430"/>
      <c r="AD96" s="430"/>
      <c r="AE96" s="430"/>
      <c r="AF96" s="430"/>
      <c r="AG96" s="430"/>
      <c r="AH96" s="430"/>
      <c r="AI96" s="430"/>
      <c r="AJ96" s="430"/>
      <c r="AK96" s="430"/>
      <c r="AL96" s="430"/>
      <c r="AM96" s="430"/>
      <c r="AN96" s="430"/>
      <c r="AO96" s="430"/>
      <c r="AP96" s="430"/>
      <c r="AQ96" s="430"/>
      <c r="AR96" s="430"/>
      <c r="AS96" s="430"/>
      <c r="AT96" s="430"/>
      <c r="AU96" s="430"/>
      <c r="AV96" s="430"/>
      <c r="AW96" s="430"/>
      <c r="AX96" s="430"/>
      <c r="AY96" s="430"/>
      <c r="AZ96" s="430"/>
      <c r="BA96" s="430"/>
      <c r="BB96" s="430"/>
      <c r="BC96" s="430"/>
      <c r="BD96" s="430"/>
      <c r="BE96" s="430"/>
      <c r="BF96" s="430"/>
      <c r="BG96" s="430"/>
      <c r="BH96" s="430"/>
      <c r="BI96" s="430"/>
      <c r="BJ96" s="430"/>
      <c r="BK96" s="430"/>
    </row>
    <row r="97" spans="1:63">
      <c r="A97" s="430"/>
      <c r="B97" s="451"/>
      <c r="C97" s="451"/>
      <c r="D97" s="451"/>
      <c r="E97" s="430"/>
      <c r="F97" s="430"/>
      <c r="G97" s="430"/>
      <c r="H97" s="430"/>
      <c r="I97" s="430"/>
      <c r="J97" s="430"/>
      <c r="K97" s="430"/>
      <c r="L97" s="430"/>
      <c r="M97" s="430"/>
      <c r="N97" s="430"/>
      <c r="O97" s="430"/>
      <c r="P97" s="430"/>
      <c r="Q97" s="430"/>
      <c r="R97" s="430"/>
      <c r="S97" s="430"/>
      <c r="T97" s="430"/>
      <c r="U97" s="430"/>
      <c r="V97" s="430"/>
      <c r="W97" s="430"/>
      <c r="X97" s="430"/>
      <c r="Y97" s="430"/>
      <c r="Z97" s="430"/>
      <c r="AA97" s="430"/>
      <c r="AB97" s="430"/>
      <c r="AC97" s="430"/>
      <c r="AD97" s="430"/>
      <c r="AE97" s="430"/>
      <c r="AF97" s="430"/>
      <c r="AG97" s="430"/>
      <c r="AH97" s="430"/>
      <c r="AI97" s="430"/>
      <c r="AJ97" s="430"/>
      <c r="AK97" s="430"/>
      <c r="AL97" s="430"/>
      <c r="AM97" s="430"/>
      <c r="AN97" s="430"/>
      <c r="AO97" s="430"/>
      <c r="AP97" s="430"/>
      <c r="AQ97" s="430"/>
      <c r="AR97" s="430"/>
      <c r="AS97" s="430"/>
      <c r="AT97" s="430"/>
      <c r="AU97" s="430"/>
      <c r="AV97" s="430"/>
      <c r="AW97" s="430"/>
      <c r="AX97" s="430"/>
      <c r="AY97" s="430"/>
      <c r="AZ97" s="430"/>
      <c r="BA97" s="430"/>
      <c r="BB97" s="430"/>
      <c r="BC97" s="430"/>
      <c r="BD97" s="430"/>
      <c r="BE97" s="430"/>
      <c r="BF97" s="430"/>
      <c r="BG97" s="430"/>
      <c r="BH97" s="430"/>
      <c r="BI97" s="430"/>
      <c r="BJ97" s="430"/>
      <c r="BK97" s="430"/>
    </row>
    <row r="98" spans="1:63">
      <c r="A98" s="430"/>
      <c r="B98" s="451"/>
      <c r="C98" s="451"/>
      <c r="D98" s="451"/>
      <c r="E98" s="430"/>
      <c r="F98" s="430"/>
      <c r="G98" s="430"/>
      <c r="H98" s="430"/>
      <c r="I98" s="430"/>
      <c r="J98" s="430"/>
      <c r="K98" s="430"/>
      <c r="L98" s="430"/>
      <c r="M98" s="430"/>
      <c r="N98" s="430"/>
      <c r="O98" s="430"/>
      <c r="P98" s="430"/>
      <c r="Q98" s="430"/>
      <c r="R98" s="430"/>
      <c r="S98" s="430"/>
      <c r="T98" s="430"/>
      <c r="U98" s="430"/>
      <c r="V98" s="430"/>
      <c r="W98" s="430"/>
      <c r="X98" s="430"/>
      <c r="Y98" s="430"/>
      <c r="Z98" s="430"/>
      <c r="AA98" s="430"/>
      <c r="AB98" s="430"/>
      <c r="AC98" s="430"/>
      <c r="AD98" s="430"/>
      <c r="AE98" s="430"/>
      <c r="AF98" s="430"/>
      <c r="AG98" s="430"/>
      <c r="AH98" s="430"/>
      <c r="AI98" s="430"/>
      <c r="AJ98" s="430"/>
      <c r="AK98" s="430"/>
      <c r="AL98" s="430"/>
      <c r="AM98" s="430"/>
      <c r="AN98" s="430"/>
      <c r="AO98" s="430"/>
      <c r="AP98" s="430"/>
      <c r="AQ98" s="430"/>
      <c r="AR98" s="430"/>
      <c r="AS98" s="430"/>
      <c r="AT98" s="430"/>
      <c r="AU98" s="430"/>
      <c r="AV98" s="430"/>
      <c r="AW98" s="430"/>
      <c r="AX98" s="430"/>
      <c r="AY98" s="430"/>
      <c r="AZ98" s="430"/>
      <c r="BA98" s="430"/>
      <c r="BB98" s="430"/>
      <c r="BC98" s="430"/>
      <c r="BD98" s="430"/>
      <c r="BE98" s="430"/>
      <c r="BF98" s="430"/>
      <c r="BG98" s="430"/>
      <c r="BH98" s="430"/>
      <c r="BI98" s="430"/>
      <c r="BJ98" s="430"/>
      <c r="BK98" s="430"/>
    </row>
    <row r="99" spans="1:63">
      <c r="A99" s="430"/>
      <c r="B99" s="451"/>
      <c r="C99" s="451"/>
      <c r="D99" s="451"/>
      <c r="E99" s="430"/>
      <c r="F99" s="430"/>
      <c r="G99" s="430"/>
      <c r="H99" s="430"/>
      <c r="I99" s="430"/>
      <c r="J99" s="430"/>
      <c r="K99" s="430"/>
      <c r="L99" s="430"/>
      <c r="M99" s="430"/>
      <c r="N99" s="430"/>
      <c r="O99" s="430"/>
      <c r="P99" s="430"/>
      <c r="Q99" s="430"/>
      <c r="R99" s="430"/>
      <c r="S99" s="430"/>
      <c r="T99" s="430"/>
      <c r="U99" s="430"/>
      <c r="V99" s="430"/>
      <c r="W99" s="430"/>
      <c r="X99" s="430"/>
      <c r="Y99" s="430"/>
      <c r="Z99" s="430"/>
      <c r="AA99" s="430"/>
      <c r="AB99" s="430"/>
      <c r="AC99" s="430"/>
      <c r="AD99" s="430"/>
      <c r="AE99" s="430"/>
      <c r="AF99" s="430"/>
      <c r="AG99" s="430"/>
      <c r="AH99" s="430"/>
      <c r="AI99" s="430"/>
      <c r="AJ99" s="430"/>
      <c r="AK99" s="430"/>
      <c r="AL99" s="430"/>
      <c r="AM99" s="430"/>
      <c r="AN99" s="430"/>
      <c r="AO99" s="430"/>
      <c r="AP99" s="430"/>
      <c r="AQ99" s="430"/>
      <c r="AR99" s="430"/>
      <c r="AS99" s="430"/>
      <c r="AT99" s="430"/>
      <c r="AU99" s="430"/>
      <c r="AV99" s="430"/>
      <c r="AW99" s="430"/>
      <c r="AX99" s="430"/>
      <c r="AY99" s="430"/>
      <c r="AZ99" s="430"/>
      <c r="BA99" s="430"/>
      <c r="BB99" s="430"/>
      <c r="BC99" s="430"/>
      <c r="BD99" s="430"/>
      <c r="BE99" s="430"/>
      <c r="BF99" s="430"/>
      <c r="BG99" s="430"/>
      <c r="BH99" s="430"/>
      <c r="BI99" s="430"/>
      <c r="BJ99" s="430"/>
      <c r="BK99" s="430"/>
    </row>
    <row r="100" spans="1:63">
      <c r="A100" s="430"/>
      <c r="B100" s="451"/>
      <c r="C100" s="451"/>
      <c r="D100" s="451"/>
      <c r="E100" s="430"/>
      <c r="F100" s="430"/>
      <c r="G100" s="430"/>
      <c r="H100" s="430"/>
      <c r="I100" s="430"/>
      <c r="J100" s="430"/>
      <c r="K100" s="430"/>
      <c r="L100" s="430"/>
      <c r="M100" s="430"/>
      <c r="N100" s="430"/>
      <c r="O100" s="430"/>
      <c r="P100" s="430"/>
      <c r="Q100" s="430"/>
      <c r="R100" s="430"/>
      <c r="S100" s="430"/>
      <c r="T100" s="430"/>
      <c r="U100" s="430"/>
      <c r="V100" s="430"/>
      <c r="W100" s="430"/>
      <c r="X100" s="430"/>
      <c r="Y100" s="430"/>
      <c r="Z100" s="430"/>
      <c r="AA100" s="430"/>
      <c r="AB100" s="430"/>
      <c r="AC100" s="430"/>
      <c r="AD100" s="430"/>
      <c r="AE100" s="430"/>
      <c r="AF100" s="430"/>
      <c r="AG100" s="430"/>
      <c r="AH100" s="430"/>
      <c r="AI100" s="430"/>
      <c r="AJ100" s="430"/>
      <c r="AK100" s="430"/>
      <c r="AL100" s="430"/>
      <c r="AM100" s="430"/>
      <c r="AN100" s="430"/>
      <c r="AO100" s="430"/>
      <c r="AP100" s="430"/>
      <c r="AQ100" s="430"/>
      <c r="AR100" s="430"/>
      <c r="AS100" s="430"/>
      <c r="AT100" s="430"/>
      <c r="AU100" s="430"/>
      <c r="AV100" s="430"/>
      <c r="AW100" s="430"/>
      <c r="AX100" s="430"/>
      <c r="AY100" s="430"/>
      <c r="AZ100" s="430"/>
      <c r="BA100" s="430"/>
      <c r="BB100" s="430"/>
      <c r="BC100" s="430"/>
      <c r="BD100" s="430"/>
      <c r="BE100" s="430"/>
      <c r="BF100" s="430"/>
      <c r="BG100" s="430"/>
      <c r="BH100" s="430"/>
      <c r="BI100" s="430"/>
      <c r="BJ100" s="430"/>
      <c r="BK100" s="430"/>
    </row>
    <row r="101" spans="1:63">
      <c r="A101" s="430"/>
      <c r="B101" s="451"/>
      <c r="C101" s="451"/>
      <c r="D101" s="451"/>
      <c r="E101" s="430"/>
      <c r="F101" s="430"/>
      <c r="G101" s="430"/>
      <c r="H101" s="430"/>
      <c r="I101" s="430"/>
      <c r="J101" s="430"/>
      <c r="K101" s="430"/>
      <c r="L101" s="430"/>
      <c r="M101" s="430"/>
      <c r="N101" s="430"/>
      <c r="O101" s="430"/>
      <c r="P101" s="430"/>
      <c r="Q101" s="430"/>
      <c r="R101" s="430"/>
      <c r="S101" s="430"/>
      <c r="T101" s="430"/>
      <c r="U101" s="430"/>
      <c r="V101" s="430"/>
      <c r="W101" s="430"/>
      <c r="X101" s="430"/>
      <c r="Y101" s="430"/>
      <c r="Z101" s="430"/>
      <c r="AA101" s="430"/>
      <c r="AB101" s="430"/>
      <c r="AC101" s="430"/>
      <c r="AD101" s="430"/>
      <c r="AE101" s="430"/>
      <c r="AF101" s="430"/>
      <c r="AG101" s="430"/>
      <c r="AH101" s="430"/>
      <c r="AI101" s="430"/>
      <c r="AJ101" s="430"/>
      <c r="AK101" s="430"/>
      <c r="AL101" s="430"/>
      <c r="AM101" s="430"/>
      <c r="AN101" s="430"/>
      <c r="AO101" s="430"/>
      <c r="AP101" s="430"/>
      <c r="AQ101" s="430"/>
      <c r="AR101" s="430"/>
      <c r="AS101" s="430"/>
      <c r="AT101" s="430"/>
      <c r="AU101" s="430"/>
      <c r="AV101" s="430"/>
      <c r="AW101" s="430"/>
      <c r="AX101" s="430"/>
      <c r="AY101" s="430"/>
      <c r="AZ101" s="430"/>
      <c r="BA101" s="430"/>
      <c r="BB101" s="430"/>
      <c r="BC101" s="430"/>
      <c r="BD101" s="430"/>
      <c r="BE101" s="430"/>
      <c r="BF101" s="430"/>
      <c r="BG101" s="430"/>
      <c r="BH101" s="430"/>
      <c r="BI101" s="430"/>
      <c r="BJ101" s="430"/>
      <c r="BK101" s="430"/>
    </row>
    <row r="102" spans="1:63">
      <c r="A102" s="430"/>
      <c r="B102" s="451"/>
      <c r="C102" s="451"/>
      <c r="D102" s="451"/>
      <c r="E102" s="430"/>
      <c r="F102" s="430"/>
      <c r="G102" s="430"/>
      <c r="H102" s="430"/>
      <c r="I102" s="430"/>
      <c r="J102" s="430"/>
      <c r="K102" s="430"/>
      <c r="L102" s="430"/>
      <c r="M102" s="430"/>
      <c r="N102" s="430"/>
      <c r="O102" s="430"/>
      <c r="P102" s="430"/>
      <c r="Q102" s="430"/>
      <c r="R102" s="430"/>
      <c r="S102" s="430"/>
      <c r="T102" s="430"/>
      <c r="U102" s="430"/>
      <c r="V102" s="430"/>
      <c r="W102" s="430"/>
      <c r="X102" s="430"/>
      <c r="Y102" s="430"/>
      <c r="Z102" s="430"/>
      <c r="AA102" s="430"/>
      <c r="AB102" s="430"/>
      <c r="AC102" s="430"/>
      <c r="AD102" s="430"/>
      <c r="AE102" s="430"/>
      <c r="AF102" s="430"/>
      <c r="AG102" s="430"/>
      <c r="AH102" s="430"/>
      <c r="AI102" s="430"/>
      <c r="AJ102" s="430"/>
      <c r="AK102" s="430"/>
      <c r="AL102" s="430"/>
      <c r="AM102" s="430"/>
      <c r="AN102" s="430"/>
      <c r="AO102" s="430"/>
      <c r="AP102" s="430"/>
      <c r="AQ102" s="430"/>
      <c r="AR102" s="430"/>
      <c r="AS102" s="430"/>
      <c r="AT102" s="430"/>
      <c r="AU102" s="430"/>
      <c r="AV102" s="430"/>
      <c r="AW102" s="430"/>
      <c r="AX102" s="430"/>
      <c r="AY102" s="430"/>
      <c r="AZ102" s="430"/>
      <c r="BA102" s="430"/>
      <c r="BB102" s="430"/>
      <c r="BC102" s="430"/>
      <c r="BD102" s="430"/>
      <c r="BE102" s="430"/>
      <c r="BF102" s="430"/>
      <c r="BG102" s="430"/>
      <c r="BH102" s="430"/>
      <c r="BI102" s="430"/>
      <c r="BJ102" s="430"/>
      <c r="BK102" s="430"/>
    </row>
    <row r="103" spans="1:63">
      <c r="A103" s="430"/>
      <c r="B103" s="451"/>
      <c r="C103" s="451"/>
      <c r="D103" s="451"/>
      <c r="E103" s="430"/>
      <c r="F103" s="430"/>
      <c r="G103" s="430"/>
      <c r="H103" s="430"/>
      <c r="I103" s="430"/>
      <c r="J103" s="430"/>
      <c r="K103" s="430"/>
      <c r="L103" s="430"/>
      <c r="M103" s="430"/>
      <c r="N103" s="430"/>
      <c r="O103" s="430"/>
      <c r="P103" s="430"/>
      <c r="Q103" s="430"/>
      <c r="R103" s="430"/>
      <c r="S103" s="430"/>
      <c r="T103" s="430"/>
      <c r="U103" s="430"/>
      <c r="V103" s="430"/>
      <c r="W103" s="430"/>
      <c r="X103" s="430"/>
      <c r="Y103" s="430"/>
      <c r="Z103" s="430"/>
      <c r="AA103" s="430"/>
      <c r="AB103" s="430"/>
      <c r="AC103" s="430"/>
      <c r="AD103" s="430"/>
      <c r="AE103" s="430"/>
      <c r="AF103" s="430"/>
      <c r="AG103" s="430"/>
      <c r="AH103" s="430"/>
      <c r="AI103" s="430"/>
      <c r="AJ103" s="430"/>
      <c r="AK103" s="430"/>
      <c r="AL103" s="430"/>
      <c r="AM103" s="430"/>
      <c r="AN103" s="430"/>
      <c r="AO103" s="430"/>
      <c r="AP103" s="430"/>
      <c r="AQ103" s="430"/>
      <c r="AR103" s="430"/>
      <c r="AS103" s="430"/>
      <c r="AT103" s="430"/>
      <c r="AU103" s="430"/>
      <c r="AV103" s="430"/>
      <c r="AW103" s="430"/>
      <c r="AX103" s="430"/>
      <c r="AY103" s="430"/>
      <c r="AZ103" s="430"/>
      <c r="BA103" s="430"/>
      <c r="BB103" s="430"/>
      <c r="BC103" s="430"/>
      <c r="BD103" s="430"/>
      <c r="BE103" s="430"/>
      <c r="BF103" s="430"/>
      <c r="BG103" s="430"/>
      <c r="BH103" s="430"/>
      <c r="BI103" s="430"/>
      <c r="BJ103" s="430"/>
      <c r="BK103" s="430"/>
    </row>
    <row r="104" spans="1:63">
      <c r="A104" s="430"/>
      <c r="B104" s="451"/>
      <c r="C104" s="451"/>
      <c r="D104" s="451"/>
      <c r="E104" s="430"/>
      <c r="F104" s="430"/>
      <c r="G104" s="430"/>
      <c r="H104" s="430"/>
      <c r="I104" s="430"/>
      <c r="J104" s="430"/>
      <c r="K104" s="430"/>
      <c r="L104" s="430"/>
      <c r="M104" s="430"/>
      <c r="N104" s="430"/>
      <c r="O104" s="430"/>
      <c r="P104" s="430"/>
      <c r="Q104" s="430"/>
      <c r="R104" s="430"/>
      <c r="S104" s="430"/>
      <c r="T104" s="430"/>
      <c r="U104" s="430"/>
      <c r="V104" s="430"/>
      <c r="W104" s="430"/>
      <c r="X104" s="430"/>
      <c r="Y104" s="430"/>
      <c r="Z104" s="430"/>
      <c r="AA104" s="430"/>
      <c r="AB104" s="430"/>
      <c r="AC104" s="430"/>
      <c r="AD104" s="430"/>
      <c r="AE104" s="430"/>
      <c r="AF104" s="430"/>
      <c r="AG104" s="430"/>
      <c r="AH104" s="430"/>
      <c r="AI104" s="430"/>
      <c r="AJ104" s="430"/>
      <c r="AK104" s="430"/>
      <c r="AL104" s="430"/>
      <c r="AM104" s="430"/>
      <c r="AN104" s="430"/>
      <c r="AO104" s="430"/>
      <c r="AP104" s="430"/>
      <c r="AQ104" s="430"/>
      <c r="AR104" s="430"/>
      <c r="AS104" s="430"/>
      <c r="AT104" s="430"/>
      <c r="AU104" s="430"/>
      <c r="AV104" s="430"/>
      <c r="AW104" s="430"/>
      <c r="AX104" s="430"/>
      <c r="AY104" s="430"/>
      <c r="AZ104" s="430"/>
      <c r="BA104" s="430"/>
      <c r="BB104" s="430"/>
      <c r="BC104" s="430"/>
      <c r="BD104" s="430"/>
      <c r="BE104" s="430"/>
      <c r="BF104" s="430"/>
      <c r="BG104" s="430"/>
      <c r="BH104" s="430"/>
      <c r="BI104" s="430"/>
      <c r="BJ104" s="430"/>
      <c r="BK104" s="430"/>
    </row>
    <row r="105" spans="1:63">
      <c r="A105" s="430"/>
      <c r="B105" s="451"/>
      <c r="C105" s="451"/>
      <c r="D105" s="451"/>
      <c r="E105" s="430"/>
      <c r="F105" s="430"/>
      <c r="G105" s="430"/>
      <c r="H105" s="430"/>
      <c r="I105" s="430"/>
      <c r="J105" s="430"/>
      <c r="K105" s="430"/>
      <c r="L105" s="430"/>
      <c r="M105" s="430"/>
      <c r="N105" s="430"/>
      <c r="O105" s="430"/>
      <c r="P105" s="430"/>
      <c r="Q105" s="430"/>
      <c r="R105" s="430"/>
      <c r="S105" s="430"/>
      <c r="T105" s="430"/>
      <c r="U105" s="430"/>
      <c r="V105" s="430"/>
      <c r="W105" s="430"/>
      <c r="X105" s="430"/>
      <c r="Y105" s="430"/>
      <c r="Z105" s="430"/>
      <c r="AA105" s="430"/>
      <c r="AB105" s="430"/>
      <c r="AC105" s="430"/>
      <c r="AD105" s="430"/>
      <c r="AE105" s="430"/>
      <c r="AF105" s="430"/>
      <c r="AG105" s="430"/>
      <c r="AH105" s="430"/>
      <c r="AI105" s="430"/>
      <c r="AJ105" s="430"/>
      <c r="AK105" s="430"/>
      <c r="AL105" s="430"/>
      <c r="AM105" s="430"/>
      <c r="AN105" s="430"/>
      <c r="AO105" s="430"/>
      <c r="AP105" s="430"/>
      <c r="AQ105" s="430"/>
      <c r="AR105" s="430"/>
      <c r="AS105" s="430"/>
      <c r="AT105" s="430"/>
      <c r="AU105" s="430"/>
      <c r="AV105" s="430"/>
      <c r="AW105" s="430"/>
      <c r="AX105" s="430"/>
      <c r="AY105" s="430"/>
      <c r="AZ105" s="430"/>
      <c r="BA105" s="430"/>
      <c r="BB105" s="430"/>
      <c r="BC105" s="430"/>
      <c r="BD105" s="430"/>
      <c r="BE105" s="430"/>
      <c r="BF105" s="430"/>
      <c r="BG105" s="430"/>
      <c r="BH105" s="430"/>
      <c r="BI105" s="430"/>
      <c r="BJ105" s="430"/>
      <c r="BK105" s="430"/>
    </row>
    <row r="106" spans="1:63">
      <c r="A106" s="430"/>
      <c r="B106" s="451"/>
      <c r="C106" s="451"/>
      <c r="D106" s="451"/>
      <c r="E106" s="430"/>
      <c r="F106" s="430"/>
      <c r="G106" s="430"/>
      <c r="H106" s="430"/>
      <c r="I106" s="430"/>
      <c r="J106" s="430"/>
      <c r="K106" s="430"/>
      <c r="L106" s="430"/>
      <c r="M106" s="430"/>
      <c r="N106" s="430"/>
      <c r="O106" s="430"/>
      <c r="P106" s="430"/>
      <c r="Q106" s="430"/>
      <c r="R106" s="430"/>
      <c r="S106" s="430"/>
      <c r="T106" s="430"/>
      <c r="U106" s="430"/>
      <c r="V106" s="430"/>
      <c r="W106" s="430"/>
      <c r="X106" s="430"/>
      <c r="Y106" s="430"/>
      <c r="Z106" s="430"/>
      <c r="AA106" s="430"/>
      <c r="AB106" s="430"/>
      <c r="AC106" s="430"/>
      <c r="AD106" s="430"/>
      <c r="AE106" s="430"/>
      <c r="AF106" s="430"/>
      <c r="AG106" s="430"/>
      <c r="AH106" s="430"/>
      <c r="AI106" s="430"/>
      <c r="AJ106" s="430"/>
      <c r="AK106" s="430"/>
      <c r="AL106" s="430"/>
      <c r="AM106" s="430"/>
      <c r="AN106" s="430"/>
      <c r="AO106" s="430"/>
      <c r="AP106" s="430"/>
      <c r="AQ106" s="430"/>
      <c r="AR106" s="430"/>
      <c r="AS106" s="430"/>
      <c r="AT106" s="430"/>
      <c r="AU106" s="430"/>
      <c r="AV106" s="430"/>
      <c r="AW106" s="430"/>
      <c r="AX106" s="430"/>
      <c r="AY106" s="430"/>
      <c r="AZ106" s="430"/>
      <c r="BA106" s="430"/>
      <c r="BB106" s="430"/>
      <c r="BC106" s="430"/>
      <c r="BD106" s="430"/>
      <c r="BE106" s="430"/>
      <c r="BF106" s="430"/>
      <c r="BG106" s="430"/>
      <c r="BH106" s="430"/>
      <c r="BI106" s="430"/>
      <c r="BJ106" s="430"/>
      <c r="BK106" s="430"/>
    </row>
    <row r="107" spans="1:63">
      <c r="A107" s="430"/>
      <c r="B107" s="451"/>
      <c r="C107" s="451"/>
      <c r="D107" s="451"/>
      <c r="E107" s="430"/>
      <c r="F107" s="430"/>
      <c r="G107" s="430"/>
      <c r="H107" s="430"/>
      <c r="I107" s="430"/>
      <c r="J107" s="430"/>
      <c r="K107" s="430"/>
      <c r="L107" s="430"/>
      <c r="M107" s="430"/>
      <c r="N107" s="430"/>
      <c r="O107" s="430"/>
      <c r="P107" s="430"/>
      <c r="Q107" s="430"/>
      <c r="R107" s="430"/>
      <c r="S107" s="430"/>
      <c r="T107" s="430"/>
      <c r="U107" s="430"/>
      <c r="V107" s="430"/>
      <c r="W107" s="430"/>
      <c r="X107" s="430"/>
      <c r="Y107" s="430"/>
      <c r="Z107" s="430"/>
      <c r="AA107" s="430"/>
      <c r="AB107" s="430"/>
      <c r="AC107" s="430"/>
      <c r="AD107" s="430"/>
      <c r="AE107" s="430"/>
      <c r="AF107" s="430"/>
      <c r="AG107" s="430"/>
      <c r="AH107" s="430"/>
      <c r="AI107" s="430"/>
      <c r="AJ107" s="430"/>
      <c r="AK107" s="430"/>
      <c r="AL107" s="430"/>
      <c r="AM107" s="430"/>
      <c r="AN107" s="430"/>
      <c r="AO107" s="430"/>
      <c r="AP107" s="430"/>
      <c r="AQ107" s="430"/>
      <c r="AR107" s="430"/>
      <c r="AS107" s="430"/>
      <c r="AT107" s="430"/>
      <c r="AU107" s="430"/>
      <c r="AV107" s="430"/>
      <c r="AW107" s="430"/>
      <c r="AX107" s="430"/>
      <c r="AY107" s="430"/>
      <c r="AZ107" s="430"/>
      <c r="BA107" s="430"/>
      <c r="BB107" s="430"/>
      <c r="BC107" s="430"/>
      <c r="BD107" s="430"/>
      <c r="BE107" s="430"/>
      <c r="BF107" s="430"/>
      <c r="BG107" s="430"/>
      <c r="BH107" s="430"/>
      <c r="BI107" s="430"/>
      <c r="BJ107" s="430"/>
      <c r="BK107" s="430"/>
    </row>
    <row r="108" spans="1:63">
      <c r="A108" s="430"/>
      <c r="B108" s="451"/>
      <c r="C108" s="451"/>
      <c r="D108" s="451"/>
      <c r="E108" s="430"/>
      <c r="F108" s="430"/>
      <c r="G108" s="430"/>
      <c r="H108" s="430"/>
      <c r="I108" s="430"/>
      <c r="J108" s="430"/>
      <c r="K108" s="430"/>
      <c r="L108" s="430"/>
      <c r="M108" s="430"/>
      <c r="N108" s="430"/>
      <c r="O108" s="430"/>
      <c r="P108" s="430"/>
      <c r="Q108" s="430"/>
      <c r="R108" s="430"/>
      <c r="S108" s="430"/>
      <c r="T108" s="430"/>
      <c r="U108" s="430"/>
      <c r="V108" s="430"/>
      <c r="W108" s="430"/>
      <c r="X108" s="430"/>
      <c r="Y108" s="430"/>
      <c r="Z108" s="430"/>
      <c r="AA108" s="430"/>
      <c r="AB108" s="430"/>
      <c r="AC108" s="430"/>
      <c r="AD108" s="430"/>
      <c r="AE108" s="430"/>
      <c r="AF108" s="430"/>
      <c r="AG108" s="430"/>
      <c r="AH108" s="430"/>
      <c r="AI108" s="430"/>
      <c r="AJ108" s="430"/>
      <c r="AK108" s="430"/>
      <c r="AL108" s="430"/>
      <c r="AM108" s="430"/>
      <c r="AN108" s="430"/>
      <c r="AO108" s="430"/>
      <c r="AP108" s="430"/>
      <c r="AQ108" s="430"/>
      <c r="AR108" s="430"/>
      <c r="AS108" s="430"/>
      <c r="AT108" s="430"/>
      <c r="AU108" s="430"/>
      <c r="AV108" s="430"/>
      <c r="AW108" s="430"/>
      <c r="AX108" s="430"/>
      <c r="AY108" s="430"/>
      <c r="AZ108" s="430"/>
      <c r="BA108" s="430"/>
      <c r="BB108" s="430"/>
      <c r="BC108" s="430"/>
      <c r="BD108" s="430"/>
      <c r="BE108" s="430"/>
      <c r="BF108" s="430"/>
      <c r="BG108" s="430"/>
      <c r="BH108" s="430"/>
      <c r="BI108" s="430"/>
      <c r="BJ108" s="430"/>
      <c r="BK108" s="430"/>
    </row>
    <row r="109" spans="1:63">
      <c r="A109" s="430"/>
      <c r="B109" s="451"/>
      <c r="C109" s="451"/>
      <c r="D109" s="451"/>
      <c r="E109" s="430"/>
      <c r="F109" s="430"/>
      <c r="G109" s="430"/>
      <c r="H109" s="430"/>
      <c r="I109" s="430"/>
      <c r="J109" s="430"/>
      <c r="K109" s="430"/>
      <c r="L109" s="430"/>
      <c r="M109" s="430"/>
      <c r="N109" s="430"/>
      <c r="O109" s="430"/>
      <c r="P109" s="430"/>
      <c r="Q109" s="430"/>
      <c r="R109" s="430"/>
      <c r="S109" s="430"/>
      <c r="T109" s="430"/>
      <c r="U109" s="430"/>
      <c r="V109" s="430"/>
      <c r="W109" s="430"/>
      <c r="X109" s="430"/>
      <c r="Y109" s="430"/>
      <c r="Z109" s="430"/>
      <c r="AA109" s="430"/>
      <c r="AB109" s="430"/>
      <c r="AC109" s="430"/>
      <c r="AD109" s="430"/>
      <c r="AE109" s="430"/>
      <c r="AF109" s="430"/>
      <c r="AG109" s="430"/>
      <c r="AH109" s="430"/>
      <c r="AI109" s="430"/>
      <c r="AJ109" s="430"/>
      <c r="AK109" s="430"/>
      <c r="AL109" s="430"/>
      <c r="AM109" s="430"/>
      <c r="AN109" s="430"/>
      <c r="AO109" s="430"/>
      <c r="AP109" s="430"/>
      <c r="AQ109" s="430"/>
      <c r="AR109" s="430"/>
      <c r="AS109" s="430"/>
      <c r="AT109" s="430"/>
      <c r="AU109" s="430"/>
      <c r="AV109" s="430"/>
      <c r="AW109" s="430"/>
      <c r="AX109" s="430"/>
      <c r="AY109" s="430"/>
      <c r="AZ109" s="430"/>
      <c r="BA109" s="430"/>
      <c r="BB109" s="430"/>
      <c r="BC109" s="430"/>
      <c r="BD109" s="430"/>
      <c r="BE109" s="430"/>
      <c r="BF109" s="430"/>
      <c r="BG109" s="430"/>
      <c r="BH109" s="430"/>
      <c r="BI109" s="430"/>
      <c r="BJ109" s="430"/>
      <c r="BK109" s="430"/>
    </row>
    <row r="110" spans="1:63">
      <c r="A110" s="430"/>
      <c r="B110" s="451"/>
      <c r="C110" s="451"/>
      <c r="D110" s="451"/>
      <c r="E110" s="430"/>
      <c r="F110" s="430"/>
      <c r="G110" s="430"/>
      <c r="H110" s="430"/>
      <c r="I110" s="430"/>
      <c r="J110" s="430"/>
      <c r="K110" s="430"/>
      <c r="L110" s="430"/>
      <c r="M110" s="430"/>
      <c r="N110" s="430"/>
      <c r="O110" s="430"/>
      <c r="P110" s="430"/>
      <c r="Q110" s="430"/>
      <c r="R110" s="430"/>
      <c r="S110" s="430"/>
      <c r="T110" s="430"/>
      <c r="U110" s="430"/>
      <c r="V110" s="430"/>
      <c r="W110" s="430"/>
      <c r="X110" s="430"/>
      <c r="Y110" s="430"/>
      <c r="Z110" s="430"/>
      <c r="AA110" s="430"/>
      <c r="AB110" s="430"/>
      <c r="AC110" s="430"/>
      <c r="AD110" s="430"/>
      <c r="AE110" s="430"/>
      <c r="AF110" s="430"/>
      <c r="AG110" s="430"/>
      <c r="AH110" s="430"/>
      <c r="AI110" s="430"/>
      <c r="AJ110" s="430"/>
      <c r="AK110" s="430"/>
      <c r="AL110" s="430"/>
      <c r="AM110" s="430"/>
      <c r="AN110" s="430"/>
      <c r="AO110" s="430"/>
      <c r="AP110" s="430"/>
      <c r="AQ110" s="430"/>
      <c r="AR110" s="430"/>
      <c r="AS110" s="430"/>
      <c r="AT110" s="430"/>
      <c r="AU110" s="430"/>
      <c r="AV110" s="430"/>
      <c r="AW110" s="430"/>
      <c r="AX110" s="430"/>
      <c r="AY110" s="430"/>
      <c r="AZ110" s="430"/>
      <c r="BA110" s="430"/>
      <c r="BB110" s="430"/>
      <c r="BC110" s="430"/>
      <c r="BD110" s="430"/>
      <c r="BE110" s="430"/>
      <c r="BF110" s="430"/>
      <c r="BG110" s="430"/>
      <c r="BH110" s="430"/>
      <c r="BI110" s="430"/>
      <c r="BJ110" s="430"/>
      <c r="BK110" s="430"/>
    </row>
    <row r="111" spans="1:63">
      <c r="A111" s="430"/>
      <c r="B111" s="451"/>
      <c r="C111" s="451"/>
      <c r="D111" s="451"/>
      <c r="E111" s="430"/>
      <c r="F111" s="430"/>
      <c r="G111" s="430"/>
      <c r="H111" s="430"/>
      <c r="I111" s="430"/>
      <c r="J111" s="430"/>
      <c r="K111" s="430"/>
      <c r="L111" s="430"/>
      <c r="M111" s="430"/>
      <c r="N111" s="430"/>
      <c r="O111" s="430"/>
      <c r="P111" s="430"/>
      <c r="Q111" s="430"/>
      <c r="R111" s="430"/>
      <c r="S111" s="430"/>
      <c r="T111" s="430"/>
      <c r="U111" s="430"/>
      <c r="V111" s="430"/>
      <c r="W111" s="430"/>
      <c r="X111" s="430"/>
      <c r="Y111" s="430"/>
      <c r="Z111" s="430"/>
      <c r="AA111" s="430"/>
      <c r="AB111" s="430"/>
      <c r="AC111" s="430"/>
      <c r="AD111" s="430"/>
      <c r="AE111" s="430"/>
      <c r="AF111" s="430"/>
      <c r="AG111" s="430"/>
      <c r="AH111" s="430"/>
      <c r="AI111" s="430"/>
      <c r="AJ111" s="430"/>
      <c r="AK111" s="430"/>
      <c r="AL111" s="430"/>
      <c r="AM111" s="430"/>
      <c r="AN111" s="430"/>
      <c r="AO111" s="430"/>
      <c r="AP111" s="430"/>
      <c r="AQ111" s="430"/>
      <c r="AR111" s="430"/>
      <c r="AS111" s="430"/>
      <c r="AT111" s="430"/>
      <c r="AU111" s="430"/>
      <c r="AV111" s="430"/>
      <c r="AW111" s="430"/>
      <c r="AX111" s="430"/>
      <c r="AY111" s="430"/>
      <c r="AZ111" s="430"/>
      <c r="BA111" s="430"/>
      <c r="BB111" s="430"/>
      <c r="BC111" s="430"/>
      <c r="BD111" s="430"/>
      <c r="BE111" s="430"/>
      <c r="BF111" s="430"/>
      <c r="BG111" s="430"/>
      <c r="BH111" s="430"/>
      <c r="BI111" s="430"/>
      <c r="BJ111" s="430"/>
      <c r="BK111" s="430"/>
    </row>
    <row r="112" spans="1:63">
      <c r="A112" s="430"/>
      <c r="B112" s="451"/>
      <c r="C112" s="451"/>
      <c r="D112" s="451"/>
      <c r="E112" s="430"/>
      <c r="F112" s="430"/>
      <c r="G112" s="430"/>
      <c r="H112" s="430"/>
      <c r="I112" s="430"/>
      <c r="J112" s="430"/>
      <c r="K112" s="430"/>
      <c r="L112" s="430"/>
      <c r="M112" s="430"/>
      <c r="N112" s="430"/>
      <c r="O112" s="430"/>
      <c r="P112" s="430"/>
      <c r="Q112" s="430"/>
      <c r="R112" s="430"/>
      <c r="S112" s="430"/>
      <c r="T112" s="430"/>
      <c r="U112" s="430"/>
      <c r="V112" s="430"/>
      <c r="W112" s="430"/>
      <c r="X112" s="430"/>
      <c r="Y112" s="430"/>
      <c r="Z112" s="430"/>
      <c r="AA112" s="430"/>
      <c r="AB112" s="430"/>
      <c r="AC112" s="430"/>
      <c r="AD112" s="430"/>
      <c r="AE112" s="430"/>
      <c r="AF112" s="430"/>
      <c r="AG112" s="430"/>
      <c r="AH112" s="430"/>
      <c r="AI112" s="430"/>
      <c r="AJ112" s="430"/>
      <c r="AK112" s="430"/>
      <c r="AL112" s="430"/>
      <c r="AM112" s="430"/>
      <c r="AN112" s="430"/>
      <c r="AO112" s="430"/>
      <c r="AP112" s="430"/>
      <c r="AQ112" s="430"/>
      <c r="AR112" s="430"/>
      <c r="AS112" s="430"/>
      <c r="AT112" s="430"/>
      <c r="AU112" s="430"/>
      <c r="AV112" s="430"/>
      <c r="AW112" s="430"/>
      <c r="AX112" s="430"/>
      <c r="AY112" s="430"/>
      <c r="AZ112" s="430"/>
      <c r="BA112" s="430"/>
      <c r="BB112" s="430"/>
      <c r="BC112" s="430"/>
      <c r="BD112" s="430"/>
      <c r="BE112" s="430"/>
      <c r="BF112" s="430"/>
      <c r="BG112" s="430"/>
      <c r="BH112" s="430"/>
      <c r="BI112" s="430"/>
      <c r="BJ112" s="430"/>
      <c r="BK112" s="430"/>
    </row>
    <row r="113" spans="1:63">
      <c r="A113" s="430"/>
      <c r="B113" s="451"/>
      <c r="C113" s="451"/>
      <c r="D113" s="451"/>
      <c r="E113" s="430"/>
      <c r="F113" s="430"/>
      <c r="G113" s="430"/>
      <c r="H113" s="430"/>
      <c r="I113" s="430"/>
      <c r="J113" s="430"/>
      <c r="K113" s="430"/>
      <c r="L113" s="430"/>
      <c r="M113" s="430"/>
      <c r="N113" s="430"/>
      <c r="O113" s="430"/>
      <c r="P113" s="430"/>
      <c r="Q113" s="430"/>
      <c r="R113" s="430"/>
      <c r="S113" s="430"/>
      <c r="T113" s="430"/>
      <c r="U113" s="430"/>
      <c r="V113" s="430"/>
      <c r="W113" s="430"/>
      <c r="X113" s="430"/>
      <c r="Y113" s="430"/>
      <c r="Z113" s="430"/>
      <c r="AA113" s="430"/>
      <c r="AB113" s="430"/>
      <c r="AC113" s="430"/>
      <c r="AD113" s="430"/>
      <c r="AE113" s="430"/>
      <c r="AF113" s="430"/>
      <c r="AG113" s="430"/>
      <c r="AH113" s="430"/>
      <c r="AI113" s="430"/>
      <c r="AJ113" s="430"/>
      <c r="AK113" s="430"/>
      <c r="AL113" s="430"/>
      <c r="AM113" s="430"/>
      <c r="AN113" s="430"/>
      <c r="AO113" s="430"/>
      <c r="AP113" s="430"/>
      <c r="AQ113" s="430"/>
      <c r="AR113" s="430"/>
      <c r="AS113" s="430"/>
      <c r="AT113" s="430"/>
      <c r="AU113" s="430"/>
      <c r="AV113" s="430"/>
      <c r="AW113" s="430"/>
      <c r="AX113" s="430"/>
      <c r="AY113" s="430"/>
      <c r="AZ113" s="430"/>
      <c r="BA113" s="430"/>
      <c r="BB113" s="430"/>
      <c r="BC113" s="430"/>
      <c r="BD113" s="430"/>
      <c r="BE113" s="430"/>
      <c r="BF113" s="430"/>
      <c r="BG113" s="430"/>
      <c r="BH113" s="430"/>
      <c r="BI113" s="430"/>
      <c r="BJ113" s="430"/>
      <c r="BK113" s="430"/>
    </row>
    <row r="114" spans="1:63">
      <c r="A114" s="430"/>
      <c r="B114" s="451"/>
      <c r="C114" s="451"/>
      <c r="D114" s="451"/>
      <c r="E114" s="430"/>
      <c r="F114" s="430"/>
      <c r="G114" s="430"/>
      <c r="H114" s="430"/>
      <c r="I114" s="430"/>
      <c r="J114" s="430"/>
      <c r="K114" s="430"/>
      <c r="L114" s="430"/>
      <c r="M114" s="430"/>
      <c r="N114" s="430"/>
      <c r="O114" s="430"/>
      <c r="P114" s="430"/>
      <c r="Q114" s="430"/>
      <c r="R114" s="430"/>
      <c r="S114" s="430"/>
      <c r="T114" s="430"/>
      <c r="U114" s="430"/>
      <c r="V114" s="430"/>
      <c r="W114" s="430"/>
      <c r="X114" s="430"/>
      <c r="Y114" s="430"/>
      <c r="Z114" s="430"/>
      <c r="AA114" s="430"/>
      <c r="AB114" s="430"/>
      <c r="AC114" s="430"/>
      <c r="AD114" s="430"/>
      <c r="AE114" s="430"/>
      <c r="AF114" s="430"/>
      <c r="AG114" s="430"/>
      <c r="AH114" s="430"/>
      <c r="AI114" s="430"/>
      <c r="AJ114" s="430"/>
      <c r="AK114" s="430"/>
      <c r="AL114" s="430"/>
      <c r="AM114" s="430"/>
      <c r="AN114" s="430"/>
      <c r="AO114" s="430"/>
      <c r="AP114" s="430"/>
      <c r="AQ114" s="430"/>
      <c r="AR114" s="430"/>
      <c r="AS114" s="430"/>
      <c r="AT114" s="430"/>
      <c r="AU114" s="430"/>
      <c r="AV114" s="430"/>
      <c r="AW114" s="430"/>
      <c r="AX114" s="430"/>
      <c r="AY114" s="430"/>
      <c r="AZ114" s="430"/>
      <c r="BA114" s="430"/>
      <c r="BB114" s="430"/>
      <c r="BC114" s="430"/>
      <c r="BD114" s="430"/>
      <c r="BE114" s="430"/>
      <c r="BF114" s="430"/>
      <c r="BG114" s="430"/>
      <c r="BH114" s="430"/>
      <c r="BI114" s="430"/>
      <c r="BJ114" s="430"/>
      <c r="BK114" s="430"/>
    </row>
    <row r="115" spans="1:63">
      <c r="A115" s="430"/>
      <c r="B115" s="451"/>
      <c r="C115" s="451"/>
      <c r="D115" s="451"/>
      <c r="E115" s="430"/>
      <c r="F115" s="430"/>
      <c r="G115" s="430"/>
      <c r="H115" s="430"/>
      <c r="I115" s="430"/>
      <c r="J115" s="430"/>
      <c r="K115" s="430"/>
      <c r="L115" s="430"/>
      <c r="M115" s="430"/>
      <c r="N115" s="430"/>
      <c r="O115" s="430"/>
      <c r="P115" s="430"/>
      <c r="Q115" s="430"/>
      <c r="R115" s="430"/>
      <c r="S115" s="430"/>
      <c r="T115" s="430"/>
      <c r="U115" s="430"/>
      <c r="V115" s="430"/>
      <c r="W115" s="430"/>
      <c r="X115" s="430"/>
      <c r="Y115" s="430"/>
      <c r="Z115" s="430"/>
      <c r="AA115" s="430"/>
      <c r="AB115" s="430"/>
      <c r="AC115" s="430"/>
      <c r="AD115" s="430"/>
      <c r="AE115" s="430"/>
      <c r="AF115" s="430"/>
      <c r="AG115" s="430"/>
      <c r="AH115" s="430"/>
      <c r="AI115" s="430"/>
      <c r="AJ115" s="430"/>
      <c r="AK115" s="430"/>
      <c r="AL115" s="430"/>
      <c r="AM115" s="430"/>
      <c r="AN115" s="430"/>
      <c r="AO115" s="430"/>
      <c r="AP115" s="430"/>
      <c r="AQ115" s="430"/>
      <c r="AR115" s="430"/>
      <c r="AS115" s="430"/>
      <c r="AT115" s="430"/>
      <c r="AU115" s="430"/>
      <c r="AV115" s="430"/>
      <c r="AW115" s="430"/>
      <c r="AX115" s="430"/>
      <c r="AY115" s="430"/>
      <c r="AZ115" s="430"/>
      <c r="BA115" s="430"/>
      <c r="BB115" s="430"/>
      <c r="BC115" s="430"/>
      <c r="BD115" s="430"/>
      <c r="BE115" s="430"/>
      <c r="BF115" s="430"/>
      <c r="BG115" s="430"/>
      <c r="BH115" s="430"/>
      <c r="BI115" s="430"/>
      <c r="BJ115" s="430"/>
      <c r="BK115" s="430"/>
    </row>
    <row r="116" spans="1:63">
      <c r="A116" s="430"/>
      <c r="B116" s="451"/>
      <c r="C116" s="451"/>
      <c r="D116" s="451"/>
      <c r="E116" s="430"/>
      <c r="F116" s="430"/>
      <c r="G116" s="430"/>
      <c r="H116" s="430"/>
      <c r="I116" s="430"/>
      <c r="J116" s="430"/>
      <c r="K116" s="430"/>
      <c r="L116" s="430"/>
      <c r="M116" s="430"/>
      <c r="N116" s="430"/>
      <c r="O116" s="430"/>
      <c r="P116" s="430"/>
      <c r="Q116" s="430"/>
      <c r="R116" s="430"/>
      <c r="S116" s="430"/>
      <c r="T116" s="430"/>
      <c r="U116" s="430"/>
      <c r="V116" s="430"/>
      <c r="W116" s="430"/>
      <c r="X116" s="430"/>
      <c r="Y116" s="430"/>
      <c r="Z116" s="430"/>
      <c r="AA116" s="430"/>
      <c r="AB116" s="430"/>
      <c r="AC116" s="430"/>
      <c r="AD116" s="430"/>
      <c r="AE116" s="430"/>
      <c r="AF116" s="430"/>
      <c r="AG116" s="430"/>
      <c r="AH116" s="430"/>
      <c r="AI116" s="430"/>
      <c r="AJ116" s="430"/>
      <c r="AK116" s="430"/>
      <c r="AL116" s="430"/>
      <c r="AM116" s="430"/>
      <c r="AN116" s="430"/>
      <c r="AO116" s="430"/>
      <c r="AP116" s="430"/>
      <c r="AQ116" s="430"/>
      <c r="AR116" s="430"/>
      <c r="AS116" s="430"/>
      <c r="AT116" s="430"/>
      <c r="AU116" s="430"/>
      <c r="AV116" s="430"/>
      <c r="AW116" s="430"/>
      <c r="AX116" s="430"/>
      <c r="AY116" s="430"/>
      <c r="AZ116" s="430"/>
      <c r="BA116" s="430"/>
      <c r="BB116" s="430"/>
      <c r="BC116" s="430"/>
      <c r="BD116" s="430"/>
      <c r="BE116" s="430"/>
      <c r="BF116" s="430"/>
      <c r="BG116" s="430"/>
      <c r="BH116" s="430"/>
      <c r="BI116" s="430"/>
      <c r="BJ116" s="430"/>
      <c r="BK116" s="430"/>
    </row>
    <row r="117" spans="1:63">
      <c r="A117" s="430"/>
      <c r="B117" s="451"/>
      <c r="C117" s="451"/>
      <c r="D117" s="451"/>
      <c r="E117" s="430"/>
      <c r="F117" s="430"/>
      <c r="G117" s="430"/>
      <c r="H117" s="430"/>
      <c r="I117" s="430"/>
      <c r="J117" s="430"/>
      <c r="K117" s="430"/>
      <c r="L117" s="430"/>
      <c r="M117" s="430"/>
      <c r="N117" s="430"/>
      <c r="O117" s="430"/>
      <c r="P117" s="430"/>
      <c r="Q117" s="430"/>
      <c r="R117" s="430"/>
      <c r="S117" s="430"/>
      <c r="T117" s="430"/>
      <c r="U117" s="430"/>
      <c r="V117" s="430"/>
      <c r="W117" s="430"/>
      <c r="X117" s="430"/>
      <c r="Y117" s="430"/>
      <c r="Z117" s="430"/>
      <c r="AA117" s="430"/>
      <c r="AB117" s="430"/>
      <c r="AC117" s="430"/>
      <c r="AD117" s="430"/>
      <c r="AE117" s="430"/>
      <c r="AF117" s="430"/>
      <c r="AG117" s="430"/>
      <c r="AH117" s="430"/>
      <c r="AI117" s="430"/>
      <c r="AJ117" s="430"/>
      <c r="AK117" s="430"/>
      <c r="AL117" s="430"/>
      <c r="AM117" s="430"/>
      <c r="AN117" s="430"/>
      <c r="AO117" s="430"/>
      <c r="AP117" s="430"/>
      <c r="AQ117" s="430"/>
      <c r="AR117" s="430"/>
      <c r="AS117" s="430"/>
      <c r="AT117" s="430"/>
      <c r="AU117" s="430"/>
      <c r="AV117" s="430"/>
      <c r="AW117" s="430"/>
      <c r="AX117" s="430"/>
      <c r="AY117" s="430"/>
      <c r="AZ117" s="430"/>
      <c r="BA117" s="430"/>
      <c r="BB117" s="430"/>
      <c r="BC117" s="430"/>
      <c r="BD117" s="430"/>
      <c r="BE117" s="430"/>
      <c r="BF117" s="430"/>
      <c r="BG117" s="430"/>
      <c r="BH117" s="430"/>
      <c r="BI117" s="430"/>
      <c r="BJ117" s="430"/>
      <c r="BK117" s="430"/>
    </row>
    <row r="118" spans="1:63">
      <c r="A118" s="430"/>
      <c r="B118" s="451"/>
      <c r="C118" s="451"/>
      <c r="D118" s="451"/>
      <c r="E118" s="430"/>
      <c r="F118" s="430"/>
      <c r="G118" s="430"/>
      <c r="H118" s="430"/>
      <c r="I118" s="430"/>
      <c r="J118" s="430"/>
      <c r="K118" s="430"/>
      <c r="L118" s="430"/>
      <c r="M118" s="430"/>
      <c r="N118" s="430"/>
      <c r="O118" s="430"/>
      <c r="P118" s="430"/>
      <c r="Q118" s="430"/>
      <c r="R118" s="430"/>
      <c r="S118" s="430"/>
      <c r="T118" s="430"/>
      <c r="U118" s="430"/>
      <c r="V118" s="430"/>
      <c r="W118" s="430"/>
      <c r="X118" s="430"/>
      <c r="Y118" s="430"/>
      <c r="Z118" s="430"/>
      <c r="AA118" s="430"/>
      <c r="AB118" s="430"/>
      <c r="AC118" s="430"/>
      <c r="AD118" s="430"/>
      <c r="AE118" s="430"/>
      <c r="AF118" s="430"/>
      <c r="AG118" s="430"/>
      <c r="AH118" s="430"/>
      <c r="AI118" s="430"/>
      <c r="AJ118" s="430"/>
      <c r="AK118" s="430"/>
      <c r="AL118" s="430"/>
      <c r="AM118" s="430"/>
      <c r="AN118" s="430"/>
      <c r="AO118" s="430"/>
      <c r="AP118" s="430"/>
      <c r="AQ118" s="430"/>
      <c r="AR118" s="430"/>
      <c r="AS118" s="430"/>
      <c r="AT118" s="430"/>
      <c r="AU118" s="430"/>
      <c r="AV118" s="430"/>
      <c r="AW118" s="430"/>
      <c r="AX118" s="430"/>
      <c r="AY118" s="430"/>
      <c r="AZ118" s="430"/>
      <c r="BA118" s="430"/>
      <c r="BB118" s="430"/>
      <c r="BC118" s="430"/>
      <c r="BD118" s="430"/>
      <c r="BE118" s="430"/>
      <c r="BF118" s="430"/>
      <c r="BG118" s="430"/>
      <c r="BH118" s="430"/>
      <c r="BI118" s="430"/>
      <c r="BJ118" s="430"/>
      <c r="BK118" s="430"/>
    </row>
    <row r="119" spans="1:63">
      <c r="A119" s="430"/>
      <c r="B119" s="451"/>
      <c r="C119" s="451"/>
      <c r="D119" s="451"/>
      <c r="E119" s="430"/>
      <c r="F119" s="430"/>
      <c r="G119" s="430"/>
      <c r="H119" s="430"/>
      <c r="I119" s="430"/>
      <c r="J119" s="430"/>
      <c r="K119" s="430"/>
      <c r="L119" s="430"/>
      <c r="M119" s="430"/>
      <c r="N119" s="430"/>
      <c r="O119" s="430"/>
      <c r="P119" s="430"/>
      <c r="Q119" s="430"/>
      <c r="R119" s="430"/>
      <c r="S119" s="430"/>
      <c r="T119" s="430"/>
      <c r="U119" s="430"/>
      <c r="V119" s="430"/>
      <c r="W119" s="430"/>
      <c r="X119" s="430"/>
      <c r="Y119" s="430"/>
      <c r="Z119" s="430"/>
      <c r="AA119" s="430"/>
      <c r="AB119" s="430"/>
      <c r="AC119" s="430"/>
      <c r="AD119" s="430"/>
      <c r="AE119" s="430"/>
      <c r="AF119" s="430"/>
      <c r="AG119" s="430"/>
      <c r="AH119" s="430"/>
      <c r="AI119" s="430"/>
      <c r="AJ119" s="430"/>
      <c r="AK119" s="430"/>
      <c r="AL119" s="430"/>
      <c r="AM119" s="430"/>
      <c r="AN119" s="430"/>
      <c r="AO119" s="430"/>
      <c r="AP119" s="430"/>
      <c r="AQ119" s="430"/>
      <c r="AR119" s="430"/>
      <c r="AS119" s="430"/>
      <c r="AT119" s="430"/>
      <c r="AU119" s="430"/>
      <c r="AV119" s="430"/>
      <c r="AW119" s="430"/>
      <c r="AX119" s="430"/>
      <c r="AY119" s="430"/>
      <c r="AZ119" s="430"/>
      <c r="BA119" s="430"/>
      <c r="BB119" s="430"/>
      <c r="BC119" s="430"/>
      <c r="BD119" s="430"/>
      <c r="BE119" s="430"/>
      <c r="BF119" s="430"/>
      <c r="BG119" s="430"/>
      <c r="BH119" s="430"/>
      <c r="BI119" s="430"/>
      <c r="BJ119" s="430"/>
      <c r="BK119" s="430"/>
    </row>
    <row r="120" spans="1:63">
      <c r="A120" s="430"/>
      <c r="B120" s="451"/>
      <c r="C120" s="451"/>
      <c r="D120" s="451"/>
      <c r="E120" s="430"/>
      <c r="F120" s="430"/>
      <c r="G120" s="430"/>
      <c r="H120" s="430"/>
      <c r="I120" s="430"/>
      <c r="J120" s="430"/>
      <c r="K120" s="430"/>
      <c r="L120" s="430"/>
      <c r="M120" s="430"/>
      <c r="N120" s="430"/>
      <c r="O120" s="430"/>
      <c r="P120" s="430"/>
      <c r="Q120" s="430"/>
      <c r="R120" s="430"/>
      <c r="S120" s="430"/>
      <c r="T120" s="430"/>
      <c r="U120" s="430"/>
      <c r="V120" s="430"/>
      <c r="W120" s="430"/>
      <c r="X120" s="430"/>
      <c r="Y120" s="430"/>
      <c r="Z120" s="430"/>
      <c r="AA120" s="430"/>
      <c r="AB120" s="430"/>
      <c r="AC120" s="430"/>
      <c r="AD120" s="430"/>
      <c r="AE120" s="430"/>
      <c r="AF120" s="430"/>
      <c r="AG120" s="430"/>
      <c r="AH120" s="430"/>
      <c r="AI120" s="430"/>
      <c r="AJ120" s="430"/>
      <c r="AK120" s="430"/>
      <c r="AL120" s="430"/>
      <c r="AM120" s="430"/>
      <c r="AN120" s="430"/>
      <c r="AO120" s="430"/>
      <c r="AP120" s="430"/>
      <c r="AQ120" s="430"/>
      <c r="AR120" s="430"/>
      <c r="AS120" s="430"/>
      <c r="AT120" s="430"/>
      <c r="AU120" s="430"/>
      <c r="AV120" s="430"/>
      <c r="AW120" s="430"/>
      <c r="AX120" s="430"/>
      <c r="AY120" s="430"/>
      <c r="AZ120" s="430"/>
      <c r="BA120" s="430"/>
      <c r="BB120" s="430"/>
      <c r="BC120" s="430"/>
      <c r="BD120" s="430"/>
      <c r="BE120" s="430"/>
      <c r="BF120" s="430"/>
      <c r="BG120" s="430"/>
      <c r="BH120" s="430"/>
      <c r="BI120" s="430"/>
      <c r="BJ120" s="430"/>
      <c r="BK120" s="430"/>
    </row>
    <row r="121" spans="1:63">
      <c r="A121" s="430"/>
      <c r="B121" s="451"/>
      <c r="C121" s="451"/>
      <c r="D121" s="451"/>
      <c r="E121" s="430"/>
      <c r="F121" s="430"/>
      <c r="G121" s="430"/>
      <c r="H121" s="430"/>
      <c r="I121" s="430"/>
      <c r="J121" s="430"/>
      <c r="K121" s="430"/>
      <c r="L121" s="430"/>
      <c r="M121" s="430"/>
      <c r="N121" s="430"/>
      <c r="O121" s="430"/>
      <c r="P121" s="430"/>
      <c r="Q121" s="430"/>
      <c r="R121" s="430"/>
      <c r="S121" s="430"/>
      <c r="T121" s="430"/>
      <c r="U121" s="430"/>
      <c r="V121" s="430"/>
      <c r="W121" s="430"/>
      <c r="X121" s="430"/>
      <c r="Y121" s="430"/>
      <c r="Z121" s="430"/>
      <c r="AA121" s="430"/>
      <c r="AB121" s="430"/>
      <c r="AC121" s="430"/>
      <c r="AD121" s="430"/>
      <c r="AE121" s="430"/>
      <c r="AF121" s="430"/>
      <c r="AG121" s="430"/>
      <c r="AH121" s="430"/>
      <c r="AI121" s="430"/>
      <c r="AJ121" s="430"/>
      <c r="AK121" s="430"/>
      <c r="AL121" s="430"/>
      <c r="AM121" s="430"/>
      <c r="AN121" s="430"/>
      <c r="AO121" s="430"/>
      <c r="AP121" s="430"/>
      <c r="AQ121" s="430"/>
      <c r="AR121" s="430"/>
      <c r="AS121" s="430"/>
      <c r="AT121" s="430"/>
      <c r="AU121" s="430"/>
      <c r="AV121" s="430"/>
      <c r="AW121" s="430"/>
      <c r="AX121" s="430"/>
      <c r="AY121" s="430"/>
      <c r="AZ121" s="430"/>
      <c r="BA121" s="430"/>
      <c r="BB121" s="430"/>
      <c r="BC121" s="430"/>
      <c r="BD121" s="430"/>
      <c r="BE121" s="430"/>
      <c r="BF121" s="430"/>
      <c r="BG121" s="430"/>
      <c r="BH121" s="430"/>
      <c r="BI121" s="430"/>
      <c r="BJ121" s="430"/>
      <c r="BK121" s="430"/>
    </row>
    <row r="122" spans="1:63">
      <c r="A122" s="430"/>
      <c r="B122" s="451"/>
      <c r="C122" s="451"/>
      <c r="D122" s="451"/>
      <c r="E122" s="430"/>
      <c r="F122" s="430"/>
      <c r="G122" s="430"/>
      <c r="H122" s="430"/>
      <c r="I122" s="430"/>
      <c r="J122" s="430"/>
      <c r="K122" s="430"/>
      <c r="L122" s="430"/>
      <c r="M122" s="430"/>
      <c r="N122" s="430"/>
      <c r="O122" s="430"/>
      <c r="P122" s="430"/>
      <c r="Q122" s="430"/>
      <c r="R122" s="430"/>
      <c r="S122" s="430"/>
      <c r="T122" s="430"/>
      <c r="U122" s="430"/>
      <c r="V122" s="430"/>
      <c r="W122" s="430"/>
      <c r="X122" s="430"/>
      <c r="Y122" s="430"/>
      <c r="Z122" s="430"/>
      <c r="AA122" s="430"/>
      <c r="AB122" s="430"/>
      <c r="AC122" s="430"/>
      <c r="AD122" s="430"/>
      <c r="AE122" s="430"/>
      <c r="AF122" s="430"/>
      <c r="AG122" s="430"/>
      <c r="AH122" s="430"/>
      <c r="AI122" s="430"/>
      <c r="AJ122" s="430"/>
      <c r="AK122" s="430"/>
      <c r="AL122" s="430"/>
      <c r="AM122" s="430"/>
      <c r="AN122" s="430"/>
      <c r="AO122" s="430"/>
      <c r="AP122" s="430"/>
      <c r="AQ122" s="430"/>
      <c r="AR122" s="430"/>
      <c r="AS122" s="430"/>
      <c r="AT122" s="430"/>
      <c r="AU122" s="430"/>
      <c r="AV122" s="430"/>
      <c r="AW122" s="430"/>
      <c r="AX122" s="430"/>
      <c r="AY122" s="430"/>
      <c r="AZ122" s="430"/>
      <c r="BA122" s="430"/>
      <c r="BB122" s="430"/>
      <c r="BC122" s="430"/>
      <c r="BD122" s="430"/>
      <c r="BE122" s="430"/>
      <c r="BF122" s="430"/>
      <c r="BG122" s="430"/>
      <c r="BH122" s="430"/>
      <c r="BI122" s="430"/>
      <c r="BJ122" s="430"/>
      <c r="BK122" s="430"/>
    </row>
    <row r="123" spans="1:63">
      <c r="A123" s="430"/>
      <c r="B123" s="451"/>
      <c r="C123" s="451"/>
      <c r="D123" s="451"/>
      <c r="E123" s="430"/>
      <c r="F123" s="430"/>
      <c r="G123" s="430"/>
      <c r="H123" s="430"/>
      <c r="I123" s="430"/>
      <c r="J123" s="430"/>
      <c r="K123" s="430"/>
      <c r="L123" s="430"/>
      <c r="M123" s="430"/>
      <c r="N123" s="430"/>
      <c r="O123" s="430"/>
      <c r="P123" s="430"/>
      <c r="Q123" s="430"/>
      <c r="R123" s="430"/>
      <c r="S123" s="430"/>
      <c r="T123" s="430"/>
      <c r="U123" s="430"/>
      <c r="V123" s="430"/>
      <c r="W123" s="430"/>
      <c r="X123" s="430"/>
      <c r="Y123" s="430"/>
      <c r="Z123" s="430"/>
      <c r="AA123" s="430"/>
      <c r="AB123" s="430"/>
      <c r="AC123" s="430"/>
      <c r="AD123" s="430"/>
      <c r="AE123" s="430"/>
      <c r="AF123" s="430"/>
      <c r="AG123" s="430"/>
      <c r="AH123" s="430"/>
      <c r="AI123" s="430"/>
      <c r="AJ123" s="430"/>
      <c r="AK123" s="430"/>
      <c r="AL123" s="430"/>
      <c r="AM123" s="430"/>
      <c r="AN123" s="430"/>
      <c r="AO123" s="430"/>
      <c r="AP123" s="430"/>
      <c r="AQ123" s="430"/>
      <c r="AR123" s="430"/>
      <c r="AS123" s="430"/>
      <c r="AT123" s="430"/>
      <c r="AU123" s="430"/>
      <c r="AV123" s="430"/>
      <c r="AW123" s="430"/>
      <c r="AX123" s="430"/>
      <c r="AY123" s="430"/>
      <c r="AZ123" s="430"/>
      <c r="BA123" s="430"/>
      <c r="BB123" s="430"/>
      <c r="BC123" s="430"/>
      <c r="BD123" s="430"/>
      <c r="BE123" s="430"/>
      <c r="BF123" s="430"/>
      <c r="BG123" s="430"/>
      <c r="BH123" s="430"/>
      <c r="BI123" s="430"/>
      <c r="BJ123" s="430"/>
      <c r="BK123" s="430"/>
    </row>
    <row r="124" spans="1:63">
      <c r="A124" s="430"/>
      <c r="B124" s="451"/>
      <c r="C124" s="451"/>
      <c r="D124" s="451"/>
      <c r="E124" s="430"/>
      <c r="F124" s="430"/>
      <c r="G124" s="430"/>
      <c r="H124" s="430"/>
      <c r="I124" s="430"/>
      <c r="J124" s="430"/>
      <c r="K124" s="430"/>
      <c r="L124" s="430"/>
      <c r="M124" s="430"/>
      <c r="N124" s="430"/>
      <c r="O124" s="430"/>
      <c r="P124" s="430"/>
      <c r="Q124" s="430"/>
      <c r="R124" s="430"/>
      <c r="S124" s="430"/>
      <c r="T124" s="430"/>
      <c r="U124" s="430"/>
      <c r="V124" s="430"/>
      <c r="W124" s="430"/>
      <c r="X124" s="430"/>
      <c r="Y124" s="430"/>
      <c r="Z124" s="430"/>
      <c r="AA124" s="430"/>
      <c r="AB124" s="430"/>
      <c r="AC124" s="430"/>
      <c r="AD124" s="430"/>
      <c r="AE124" s="430"/>
      <c r="AF124" s="430"/>
      <c r="AG124" s="430"/>
      <c r="AH124" s="430"/>
      <c r="AI124" s="430"/>
      <c r="AJ124" s="430"/>
      <c r="AK124" s="430"/>
      <c r="AL124" s="430"/>
      <c r="AM124" s="430"/>
      <c r="AN124" s="430"/>
      <c r="AO124" s="430"/>
      <c r="AP124" s="430"/>
      <c r="AQ124" s="430"/>
      <c r="AR124" s="430"/>
      <c r="AS124" s="430"/>
      <c r="AT124" s="430"/>
      <c r="AU124" s="430"/>
      <c r="AV124" s="430"/>
      <c r="AW124" s="430"/>
      <c r="AX124" s="430"/>
      <c r="AY124" s="430"/>
      <c r="AZ124" s="430"/>
      <c r="BA124" s="430"/>
      <c r="BB124" s="430"/>
      <c r="BC124" s="430"/>
      <c r="BD124" s="430"/>
      <c r="BE124" s="430"/>
      <c r="BF124" s="430"/>
      <c r="BG124" s="430"/>
      <c r="BH124" s="430"/>
      <c r="BI124" s="430"/>
      <c r="BJ124" s="430"/>
      <c r="BK124" s="430"/>
    </row>
    <row r="125" spans="1:63">
      <c r="A125" s="430"/>
      <c r="B125" s="451"/>
      <c r="C125" s="451"/>
      <c r="D125" s="451"/>
      <c r="E125" s="430"/>
      <c r="F125" s="430"/>
      <c r="G125" s="430"/>
      <c r="H125" s="430"/>
      <c r="I125" s="430"/>
      <c r="J125" s="430"/>
      <c r="K125" s="430"/>
      <c r="L125" s="430"/>
      <c r="M125" s="430"/>
      <c r="N125" s="430"/>
      <c r="O125" s="430"/>
      <c r="P125" s="430"/>
      <c r="Q125" s="430"/>
      <c r="R125" s="430"/>
      <c r="S125" s="430"/>
      <c r="T125" s="430"/>
      <c r="U125" s="430"/>
      <c r="V125" s="430"/>
      <c r="W125" s="430"/>
      <c r="X125" s="430"/>
      <c r="Y125" s="430"/>
      <c r="Z125" s="430"/>
      <c r="AA125" s="430"/>
      <c r="AB125" s="430"/>
      <c r="AC125" s="430"/>
      <c r="AD125" s="430"/>
      <c r="AE125" s="430"/>
      <c r="AF125" s="430"/>
      <c r="AG125" s="430"/>
      <c r="AH125" s="430"/>
      <c r="AI125" s="430"/>
      <c r="AJ125" s="430"/>
      <c r="AK125" s="430"/>
      <c r="AL125" s="430"/>
      <c r="AM125" s="430"/>
      <c r="AN125" s="430"/>
      <c r="AO125" s="430"/>
      <c r="AP125" s="430"/>
      <c r="AQ125" s="430"/>
      <c r="AR125" s="430"/>
      <c r="AS125" s="430"/>
      <c r="AT125" s="430"/>
      <c r="AU125" s="430"/>
      <c r="AV125" s="430"/>
      <c r="AW125" s="430"/>
      <c r="AX125" s="430"/>
      <c r="AY125" s="430"/>
      <c r="AZ125" s="430"/>
      <c r="BA125" s="430"/>
      <c r="BB125" s="430"/>
      <c r="BC125" s="430"/>
      <c r="BD125" s="430"/>
      <c r="BE125" s="430"/>
      <c r="BF125" s="430"/>
      <c r="BG125" s="430"/>
      <c r="BH125" s="430"/>
      <c r="BI125" s="430"/>
      <c r="BJ125" s="430"/>
      <c r="BK125" s="430"/>
    </row>
    <row r="126" spans="1:63">
      <c r="A126" s="430"/>
      <c r="B126" s="451"/>
      <c r="C126" s="451"/>
      <c r="D126" s="451"/>
      <c r="E126" s="430"/>
      <c r="F126" s="430"/>
      <c r="G126" s="430"/>
      <c r="H126" s="430"/>
      <c r="I126" s="430"/>
      <c r="J126" s="430"/>
      <c r="K126" s="430"/>
      <c r="L126" s="430"/>
      <c r="M126" s="430"/>
      <c r="N126" s="430"/>
      <c r="O126" s="430"/>
      <c r="P126" s="430"/>
      <c r="Q126" s="430"/>
      <c r="R126" s="430"/>
      <c r="S126" s="430"/>
      <c r="T126" s="430"/>
      <c r="U126" s="430"/>
      <c r="V126" s="430"/>
      <c r="W126" s="430"/>
      <c r="X126" s="430"/>
      <c r="Y126" s="430"/>
      <c r="Z126" s="430"/>
      <c r="AA126" s="430"/>
      <c r="AB126" s="430"/>
      <c r="AC126" s="430"/>
      <c r="AD126" s="430"/>
      <c r="AE126" s="430"/>
      <c r="AF126" s="430"/>
      <c r="AG126" s="430"/>
      <c r="AH126" s="430"/>
      <c r="AI126" s="430"/>
      <c r="AJ126" s="430"/>
      <c r="AK126" s="430"/>
      <c r="AL126" s="430"/>
      <c r="AM126" s="430"/>
      <c r="AN126" s="430"/>
      <c r="AO126" s="430"/>
      <c r="AP126" s="430"/>
      <c r="AQ126" s="430"/>
      <c r="AR126" s="430"/>
      <c r="AS126" s="430"/>
      <c r="AT126" s="430"/>
      <c r="AU126" s="430"/>
      <c r="AV126" s="430"/>
      <c r="AW126" s="430"/>
      <c r="AX126" s="430"/>
      <c r="AY126" s="430"/>
      <c r="AZ126" s="430"/>
      <c r="BA126" s="430"/>
      <c r="BB126" s="430"/>
      <c r="BC126" s="430"/>
      <c r="BD126" s="430"/>
      <c r="BE126" s="430"/>
      <c r="BF126" s="430"/>
      <c r="BG126" s="430"/>
      <c r="BH126" s="430"/>
      <c r="BI126" s="430"/>
      <c r="BJ126" s="430"/>
      <c r="BK126" s="430"/>
    </row>
    <row r="127" spans="1:63">
      <c r="A127" s="430"/>
      <c r="B127" s="451"/>
      <c r="C127" s="451"/>
      <c r="D127" s="451"/>
      <c r="E127" s="430"/>
      <c r="F127" s="430"/>
      <c r="G127" s="430"/>
      <c r="H127" s="430"/>
      <c r="I127" s="430"/>
      <c r="J127" s="430"/>
      <c r="K127" s="430"/>
      <c r="L127" s="430"/>
      <c r="M127" s="430"/>
      <c r="N127" s="430"/>
      <c r="O127" s="430"/>
      <c r="P127" s="430"/>
      <c r="Q127" s="430"/>
      <c r="R127" s="430"/>
      <c r="S127" s="430"/>
      <c r="T127" s="430"/>
      <c r="U127" s="430"/>
      <c r="V127" s="430"/>
      <c r="W127" s="430"/>
      <c r="X127" s="430"/>
      <c r="Y127" s="430"/>
      <c r="Z127" s="430"/>
      <c r="AA127" s="430"/>
      <c r="AB127" s="430"/>
      <c r="AC127" s="430"/>
      <c r="AD127" s="430"/>
      <c r="AE127" s="430"/>
      <c r="AF127" s="430"/>
      <c r="AG127" s="430"/>
      <c r="AH127" s="430"/>
      <c r="AI127" s="430"/>
      <c r="AJ127" s="430"/>
      <c r="AK127" s="430"/>
      <c r="AL127" s="430"/>
      <c r="AM127" s="430"/>
      <c r="AN127" s="430"/>
      <c r="AO127" s="430"/>
      <c r="AP127" s="430"/>
      <c r="AQ127" s="430"/>
      <c r="AR127" s="430"/>
      <c r="AS127" s="430"/>
      <c r="AT127" s="430"/>
      <c r="AU127" s="430"/>
      <c r="AV127" s="430"/>
      <c r="AW127" s="430"/>
      <c r="AX127" s="430"/>
      <c r="AY127" s="430"/>
      <c r="AZ127" s="430"/>
      <c r="BA127" s="430"/>
      <c r="BB127" s="430"/>
      <c r="BC127" s="430"/>
      <c r="BD127" s="430"/>
      <c r="BE127" s="430"/>
      <c r="BF127" s="430"/>
      <c r="BG127" s="430"/>
      <c r="BH127" s="430"/>
      <c r="BI127" s="430"/>
      <c r="BJ127" s="430"/>
      <c r="BK127" s="430"/>
    </row>
    <row r="128" spans="1:63">
      <c r="A128" s="430"/>
      <c r="B128" s="451"/>
      <c r="C128" s="451"/>
      <c r="D128" s="451"/>
      <c r="E128" s="430"/>
      <c r="F128" s="430"/>
      <c r="G128" s="430"/>
      <c r="H128" s="430"/>
      <c r="I128" s="430"/>
      <c r="J128" s="430"/>
      <c r="K128" s="430"/>
      <c r="L128" s="430"/>
      <c r="M128" s="430"/>
      <c r="N128" s="430"/>
      <c r="O128" s="430"/>
      <c r="P128" s="430"/>
      <c r="Q128" s="430"/>
      <c r="R128" s="430"/>
      <c r="S128" s="430"/>
      <c r="T128" s="430"/>
      <c r="U128" s="430"/>
      <c r="V128" s="430"/>
      <c r="W128" s="430"/>
      <c r="X128" s="430"/>
      <c r="Y128" s="430"/>
      <c r="Z128" s="430"/>
      <c r="AA128" s="430"/>
      <c r="AB128" s="430"/>
      <c r="AC128" s="430"/>
      <c r="AD128" s="430"/>
      <c r="AE128" s="430"/>
      <c r="AF128" s="430"/>
      <c r="AG128" s="430"/>
      <c r="AH128" s="430"/>
      <c r="AI128" s="430"/>
      <c r="AJ128" s="430"/>
      <c r="AK128" s="430"/>
      <c r="AL128" s="430"/>
      <c r="AM128" s="430"/>
      <c r="AN128" s="430"/>
      <c r="AO128" s="430"/>
      <c r="AP128" s="430"/>
      <c r="AQ128" s="430"/>
      <c r="AR128" s="430"/>
      <c r="AS128" s="430"/>
      <c r="AT128" s="430"/>
      <c r="AU128" s="430"/>
      <c r="AV128" s="430"/>
      <c r="AW128" s="430"/>
      <c r="AX128" s="430"/>
      <c r="AY128" s="430"/>
      <c r="AZ128" s="430"/>
      <c r="BA128" s="430"/>
      <c r="BB128" s="430"/>
      <c r="BC128" s="430"/>
      <c r="BD128" s="430"/>
      <c r="BE128" s="430"/>
      <c r="BF128" s="430"/>
      <c r="BG128" s="430"/>
      <c r="BH128" s="430"/>
      <c r="BI128" s="430"/>
      <c r="BJ128" s="430"/>
      <c r="BK128" s="430"/>
    </row>
    <row r="129" spans="1:63">
      <c r="A129" s="430"/>
      <c r="B129" s="451"/>
      <c r="C129" s="451"/>
      <c r="D129" s="451"/>
      <c r="E129" s="430"/>
      <c r="F129" s="430"/>
      <c r="G129" s="430"/>
      <c r="H129" s="430"/>
      <c r="I129" s="430"/>
      <c r="J129" s="430"/>
      <c r="K129" s="430"/>
      <c r="L129" s="430"/>
      <c r="M129" s="430"/>
      <c r="N129" s="430"/>
      <c r="O129" s="430"/>
      <c r="P129" s="430"/>
      <c r="Q129" s="430"/>
      <c r="R129" s="430"/>
      <c r="S129" s="430"/>
      <c r="T129" s="430"/>
      <c r="U129" s="430"/>
      <c r="V129" s="430"/>
      <c r="W129" s="430"/>
      <c r="X129" s="430"/>
      <c r="Y129" s="430"/>
      <c r="Z129" s="430"/>
      <c r="AA129" s="430"/>
      <c r="AB129" s="430"/>
      <c r="AC129" s="430"/>
      <c r="AD129" s="430"/>
      <c r="AE129" s="430"/>
      <c r="AF129" s="430"/>
      <c r="AG129" s="430"/>
      <c r="AH129" s="430"/>
      <c r="AI129" s="430"/>
      <c r="AJ129" s="430"/>
      <c r="AK129" s="430"/>
      <c r="AL129" s="430"/>
      <c r="AM129" s="430"/>
      <c r="AN129" s="430"/>
      <c r="AO129" s="430"/>
      <c r="AP129" s="430"/>
      <c r="AQ129" s="430"/>
      <c r="AR129" s="430"/>
      <c r="AS129" s="430"/>
      <c r="AT129" s="430"/>
      <c r="AU129" s="430"/>
      <c r="AV129" s="430"/>
      <c r="AW129" s="430"/>
      <c r="AX129" s="430"/>
      <c r="AY129" s="430"/>
      <c r="AZ129" s="430"/>
      <c r="BA129" s="430"/>
      <c r="BB129" s="430"/>
      <c r="BC129" s="430"/>
      <c r="BD129" s="430"/>
      <c r="BE129" s="430"/>
      <c r="BF129" s="430"/>
      <c r="BG129" s="430"/>
      <c r="BH129" s="430"/>
      <c r="BI129" s="430"/>
      <c r="BJ129" s="430"/>
      <c r="BK129" s="430"/>
    </row>
    <row r="130" spans="1:63">
      <c r="A130" s="430"/>
      <c r="B130" s="451"/>
      <c r="C130" s="451"/>
      <c r="D130" s="451"/>
      <c r="E130" s="430"/>
      <c r="F130" s="430"/>
      <c r="G130" s="430"/>
      <c r="H130" s="430"/>
      <c r="I130" s="430"/>
      <c r="J130" s="430"/>
      <c r="K130" s="430"/>
      <c r="L130" s="430"/>
      <c r="M130" s="430"/>
      <c r="N130" s="430"/>
      <c r="O130" s="430"/>
      <c r="P130" s="430"/>
      <c r="Q130" s="430"/>
      <c r="R130" s="430"/>
      <c r="S130" s="430"/>
      <c r="T130" s="430"/>
      <c r="U130" s="430"/>
      <c r="V130" s="430"/>
      <c r="W130" s="430"/>
      <c r="X130" s="430"/>
      <c r="Y130" s="430"/>
      <c r="Z130" s="430"/>
      <c r="AA130" s="430"/>
      <c r="AB130" s="430"/>
      <c r="AC130" s="430"/>
      <c r="AD130" s="430"/>
      <c r="AE130" s="430"/>
      <c r="AF130" s="430"/>
      <c r="AG130" s="430"/>
      <c r="AH130" s="430"/>
      <c r="AI130" s="430"/>
      <c r="AJ130" s="430"/>
      <c r="AK130" s="430"/>
      <c r="AL130" s="430"/>
      <c r="AM130" s="430"/>
      <c r="AN130" s="430"/>
      <c r="AO130" s="430"/>
      <c r="AP130" s="430"/>
      <c r="AQ130" s="430"/>
      <c r="AR130" s="430"/>
      <c r="AS130" s="430"/>
      <c r="AT130" s="430"/>
      <c r="AU130" s="430"/>
      <c r="AV130" s="430"/>
      <c r="AW130" s="430"/>
      <c r="AX130" s="430"/>
      <c r="AY130" s="430"/>
      <c r="AZ130" s="430"/>
      <c r="BA130" s="430"/>
      <c r="BB130" s="430"/>
      <c r="BC130" s="430"/>
      <c r="BD130" s="430"/>
      <c r="BE130" s="430"/>
      <c r="BF130" s="430"/>
      <c r="BG130" s="430"/>
      <c r="BH130" s="430"/>
      <c r="BI130" s="430"/>
      <c r="BJ130" s="430"/>
      <c r="BK130" s="430"/>
    </row>
    <row r="131" spans="1:63">
      <c r="A131" s="430"/>
      <c r="B131" s="451"/>
      <c r="C131" s="451"/>
      <c r="D131" s="451"/>
      <c r="E131" s="430"/>
      <c r="F131" s="430"/>
      <c r="G131" s="430"/>
      <c r="H131" s="430"/>
      <c r="I131" s="430"/>
      <c r="J131" s="430"/>
      <c r="K131" s="430"/>
      <c r="L131" s="430"/>
      <c r="M131" s="430"/>
      <c r="N131" s="430"/>
      <c r="O131" s="430"/>
      <c r="P131" s="430"/>
      <c r="Q131" s="430"/>
      <c r="R131" s="430"/>
      <c r="S131" s="430"/>
      <c r="T131" s="430"/>
      <c r="U131" s="430"/>
      <c r="V131" s="430"/>
      <c r="W131" s="430"/>
      <c r="X131" s="430"/>
      <c r="Y131" s="430"/>
      <c r="Z131" s="430"/>
      <c r="AA131" s="430"/>
      <c r="AB131" s="430"/>
      <c r="AC131" s="430"/>
      <c r="AD131" s="430"/>
      <c r="AE131" s="430"/>
      <c r="AF131" s="430"/>
      <c r="AG131" s="430"/>
      <c r="AH131" s="430"/>
      <c r="AI131" s="430"/>
      <c r="AJ131" s="430"/>
      <c r="AK131" s="430"/>
      <c r="AL131" s="430"/>
      <c r="AM131" s="430"/>
      <c r="AN131" s="430"/>
      <c r="AO131" s="430"/>
      <c r="AP131" s="430"/>
      <c r="AQ131" s="430"/>
      <c r="AR131" s="430"/>
      <c r="AS131" s="430"/>
      <c r="AT131" s="430"/>
      <c r="AU131" s="430"/>
      <c r="AV131" s="430"/>
      <c r="AW131" s="430"/>
      <c r="AX131" s="430"/>
      <c r="AY131" s="430"/>
      <c r="AZ131" s="430"/>
      <c r="BA131" s="430"/>
      <c r="BB131" s="430"/>
      <c r="BC131" s="430"/>
      <c r="BD131" s="430"/>
      <c r="BE131" s="430"/>
      <c r="BF131" s="430"/>
      <c r="BG131" s="430"/>
      <c r="BH131" s="430"/>
      <c r="BI131" s="430"/>
      <c r="BJ131" s="430"/>
      <c r="BK131" s="430"/>
    </row>
    <row r="132" spans="1:63">
      <c r="A132" s="430"/>
      <c r="B132" s="451"/>
      <c r="C132" s="451"/>
      <c r="D132" s="451"/>
      <c r="E132" s="430"/>
      <c r="F132" s="430"/>
      <c r="G132" s="430"/>
      <c r="H132" s="430"/>
      <c r="I132" s="430"/>
      <c r="J132" s="430"/>
      <c r="K132" s="430"/>
      <c r="L132" s="430"/>
      <c r="M132" s="430"/>
      <c r="N132" s="430"/>
      <c r="O132" s="430"/>
      <c r="P132" s="430"/>
      <c r="Q132" s="430"/>
      <c r="R132" s="430"/>
      <c r="S132" s="430"/>
      <c r="T132" s="430"/>
      <c r="U132" s="430"/>
      <c r="V132" s="430"/>
      <c r="W132" s="430"/>
      <c r="X132" s="430"/>
      <c r="Y132" s="430"/>
      <c r="Z132" s="430"/>
      <c r="AA132" s="430"/>
      <c r="AB132" s="430"/>
      <c r="AC132" s="430"/>
      <c r="AD132" s="430"/>
      <c r="AE132" s="430"/>
      <c r="AF132" s="430"/>
      <c r="AG132" s="430"/>
      <c r="AH132" s="430"/>
      <c r="AI132" s="430"/>
      <c r="AJ132" s="430"/>
      <c r="AK132" s="430"/>
      <c r="AL132" s="430"/>
      <c r="AM132" s="430"/>
      <c r="AN132" s="430"/>
      <c r="AO132" s="430"/>
      <c r="AP132" s="430"/>
      <c r="AQ132" s="430"/>
      <c r="AR132" s="430"/>
      <c r="AS132" s="430"/>
      <c r="AT132" s="430"/>
      <c r="AU132" s="430"/>
      <c r="AV132" s="430"/>
      <c r="AW132" s="430"/>
      <c r="AX132" s="430"/>
      <c r="AY132" s="430"/>
      <c r="AZ132" s="430"/>
      <c r="BA132" s="430"/>
      <c r="BB132" s="430"/>
      <c r="BC132" s="430"/>
      <c r="BD132" s="430"/>
      <c r="BE132" s="430"/>
      <c r="BF132" s="430"/>
      <c r="BG132" s="430"/>
      <c r="BH132" s="430"/>
      <c r="BI132" s="430"/>
      <c r="BJ132" s="430"/>
      <c r="BK132" s="430"/>
    </row>
    <row r="133" spans="1:63">
      <c r="A133" s="430"/>
      <c r="B133" s="451"/>
      <c r="C133" s="451"/>
      <c r="D133" s="451"/>
      <c r="E133" s="430"/>
      <c r="F133" s="430"/>
      <c r="G133" s="430"/>
      <c r="H133" s="430"/>
      <c r="I133" s="430"/>
      <c r="J133" s="430"/>
      <c r="K133" s="430"/>
      <c r="L133" s="430"/>
      <c r="M133" s="430"/>
      <c r="N133" s="430"/>
      <c r="O133" s="430"/>
      <c r="P133" s="430"/>
      <c r="Q133" s="430"/>
      <c r="R133" s="430"/>
      <c r="S133" s="430"/>
      <c r="T133" s="430"/>
      <c r="U133" s="430"/>
      <c r="V133" s="430"/>
      <c r="W133" s="430"/>
      <c r="X133" s="430"/>
      <c r="Y133" s="430"/>
      <c r="Z133" s="430"/>
      <c r="AA133" s="430"/>
      <c r="AB133" s="430"/>
      <c r="AC133" s="430"/>
      <c r="AD133" s="430"/>
      <c r="AE133" s="430"/>
      <c r="AF133" s="430"/>
      <c r="AG133" s="430"/>
      <c r="AH133" s="430"/>
      <c r="AI133" s="430"/>
      <c r="AJ133" s="430"/>
      <c r="AK133" s="430"/>
      <c r="AL133" s="430"/>
      <c r="AM133" s="430"/>
      <c r="AN133" s="430"/>
      <c r="AO133" s="430"/>
      <c r="AP133" s="430"/>
      <c r="AQ133" s="430"/>
      <c r="AR133" s="430"/>
      <c r="AS133" s="430"/>
      <c r="AT133" s="430"/>
      <c r="AU133" s="430"/>
      <c r="AV133" s="430"/>
      <c r="AW133" s="430"/>
      <c r="AX133" s="430"/>
      <c r="AY133" s="430"/>
      <c r="AZ133" s="430"/>
      <c r="BA133" s="430"/>
      <c r="BB133" s="430"/>
      <c r="BC133" s="430"/>
      <c r="BD133" s="430"/>
      <c r="BE133" s="430"/>
      <c r="BF133" s="430"/>
      <c r="BG133" s="430"/>
      <c r="BH133" s="430"/>
      <c r="BI133" s="430"/>
      <c r="BJ133" s="430"/>
      <c r="BK133" s="430"/>
    </row>
    <row r="134" spans="1:63">
      <c r="A134" s="430"/>
      <c r="B134" s="451"/>
      <c r="C134" s="451"/>
      <c r="D134" s="451"/>
      <c r="E134" s="430"/>
      <c r="F134" s="430"/>
      <c r="G134" s="430"/>
      <c r="H134" s="430"/>
      <c r="I134" s="430"/>
      <c r="J134" s="430"/>
      <c r="K134" s="430"/>
      <c r="L134" s="430"/>
      <c r="M134" s="430"/>
      <c r="N134" s="430"/>
      <c r="O134" s="430"/>
      <c r="P134" s="430"/>
      <c r="Q134" s="430"/>
      <c r="R134" s="430"/>
      <c r="S134" s="430"/>
      <c r="T134" s="430"/>
      <c r="U134" s="430"/>
      <c r="V134" s="430"/>
      <c r="W134" s="430"/>
      <c r="X134" s="430"/>
      <c r="Y134" s="430"/>
      <c r="Z134" s="430"/>
      <c r="AA134" s="430"/>
      <c r="AB134" s="430"/>
      <c r="AC134" s="430"/>
      <c r="AD134" s="430"/>
      <c r="AE134" s="430"/>
      <c r="AF134" s="430"/>
      <c r="AG134" s="430"/>
      <c r="AH134" s="430"/>
      <c r="AI134" s="430"/>
      <c r="AJ134" s="430"/>
      <c r="AK134" s="430"/>
      <c r="AL134" s="430"/>
      <c r="AM134" s="430"/>
      <c r="AN134" s="430"/>
      <c r="AO134" s="430"/>
      <c r="AP134" s="430"/>
      <c r="AQ134" s="430"/>
      <c r="AR134" s="430"/>
      <c r="AS134" s="430"/>
      <c r="AT134" s="430"/>
      <c r="AU134" s="430"/>
      <c r="AV134" s="430"/>
      <c r="AW134" s="430"/>
      <c r="AX134" s="430"/>
      <c r="AY134" s="430"/>
      <c r="AZ134" s="430"/>
      <c r="BA134" s="430"/>
      <c r="BB134" s="430"/>
      <c r="BC134" s="430"/>
      <c r="BD134" s="430"/>
      <c r="BE134" s="430"/>
      <c r="BF134" s="430"/>
      <c r="BG134" s="430"/>
      <c r="BH134" s="430"/>
      <c r="BI134" s="430"/>
      <c r="BJ134" s="430"/>
      <c r="BK134" s="430"/>
    </row>
    <row r="135" spans="1:63">
      <c r="A135" s="430"/>
      <c r="B135" s="451"/>
      <c r="C135" s="451"/>
      <c r="D135" s="451"/>
      <c r="E135" s="430"/>
      <c r="F135" s="430"/>
      <c r="G135" s="430"/>
      <c r="H135" s="430"/>
      <c r="I135" s="430"/>
      <c r="J135" s="430"/>
      <c r="K135" s="430"/>
      <c r="L135" s="430"/>
      <c r="M135" s="430"/>
      <c r="N135" s="430"/>
      <c r="O135" s="430"/>
      <c r="P135" s="430"/>
      <c r="Q135" s="430"/>
      <c r="R135" s="430"/>
      <c r="S135" s="430"/>
      <c r="T135" s="430"/>
      <c r="U135" s="430"/>
      <c r="V135" s="430"/>
      <c r="W135" s="430"/>
      <c r="X135" s="430"/>
      <c r="Y135" s="430"/>
      <c r="Z135" s="430"/>
      <c r="AA135" s="430"/>
      <c r="AB135" s="430"/>
      <c r="AC135" s="430"/>
      <c r="AD135" s="430"/>
      <c r="AE135" s="430"/>
      <c r="AF135" s="430"/>
      <c r="AG135" s="430"/>
      <c r="AH135" s="430"/>
      <c r="AI135" s="430"/>
      <c r="AJ135" s="430"/>
      <c r="AK135" s="430"/>
      <c r="AL135" s="430"/>
      <c r="AM135" s="430"/>
      <c r="AN135" s="430"/>
      <c r="AO135" s="430"/>
      <c r="AP135" s="430"/>
      <c r="AQ135" s="430"/>
      <c r="AR135" s="430"/>
      <c r="AS135" s="430"/>
      <c r="AT135" s="430"/>
      <c r="AU135" s="430"/>
      <c r="AV135" s="430"/>
      <c r="AW135" s="430"/>
      <c r="AX135" s="430"/>
      <c r="AY135" s="430"/>
      <c r="AZ135" s="430"/>
      <c r="BA135" s="430"/>
      <c r="BB135" s="430"/>
      <c r="BC135" s="430"/>
      <c r="BD135" s="430"/>
      <c r="BE135" s="430"/>
      <c r="BF135" s="430"/>
      <c r="BG135" s="430"/>
      <c r="BH135" s="430"/>
      <c r="BI135" s="430"/>
      <c r="BJ135" s="430"/>
      <c r="BK135" s="430"/>
    </row>
    <row r="136" spans="1:63">
      <c r="A136" s="430"/>
      <c r="B136" s="451"/>
      <c r="C136" s="451"/>
      <c r="D136" s="451"/>
      <c r="E136" s="430"/>
      <c r="F136" s="430"/>
      <c r="G136" s="430"/>
      <c r="H136" s="430"/>
      <c r="I136" s="430"/>
      <c r="J136" s="430"/>
      <c r="K136" s="430"/>
      <c r="L136" s="430"/>
      <c r="M136" s="430"/>
      <c r="N136" s="430"/>
      <c r="O136" s="430"/>
      <c r="P136" s="430"/>
      <c r="Q136" s="430"/>
      <c r="R136" s="430"/>
      <c r="S136" s="430"/>
      <c r="T136" s="430"/>
      <c r="U136" s="430"/>
      <c r="V136" s="430"/>
      <c r="W136" s="430"/>
      <c r="X136" s="430"/>
      <c r="Y136" s="430"/>
      <c r="Z136" s="430"/>
      <c r="AA136" s="430"/>
      <c r="AB136" s="430"/>
      <c r="AC136" s="430"/>
      <c r="AD136" s="430"/>
      <c r="AE136" s="430"/>
      <c r="AF136" s="430"/>
      <c r="AG136" s="430"/>
      <c r="AH136" s="430"/>
      <c r="AI136" s="430"/>
      <c r="AJ136" s="430"/>
      <c r="AK136" s="430"/>
      <c r="AL136" s="430"/>
      <c r="AM136" s="430"/>
      <c r="AN136" s="430"/>
      <c r="AO136" s="430"/>
      <c r="AP136" s="430"/>
      <c r="AQ136" s="430"/>
      <c r="AR136" s="430"/>
      <c r="AS136" s="430"/>
      <c r="AT136" s="430"/>
      <c r="AU136" s="430"/>
      <c r="AV136" s="430"/>
      <c r="AW136" s="430"/>
      <c r="AX136" s="430"/>
      <c r="AY136" s="430"/>
      <c r="AZ136" s="430"/>
      <c r="BA136" s="430"/>
      <c r="BB136" s="430"/>
      <c r="BC136" s="430"/>
      <c r="BD136" s="430"/>
      <c r="BE136" s="430"/>
      <c r="BF136" s="430"/>
      <c r="BG136" s="430"/>
      <c r="BH136" s="430"/>
      <c r="BI136" s="430"/>
      <c r="BJ136" s="430"/>
      <c r="BK136" s="430"/>
    </row>
    <row r="137" spans="1:63">
      <c r="A137" s="430"/>
      <c r="B137" s="451"/>
      <c r="C137" s="451"/>
      <c r="D137" s="451"/>
      <c r="E137" s="430"/>
      <c r="F137" s="430"/>
      <c r="G137" s="430"/>
      <c r="H137" s="430"/>
      <c r="I137" s="430"/>
      <c r="J137" s="430"/>
      <c r="K137" s="430"/>
      <c r="L137" s="430"/>
      <c r="M137" s="430"/>
      <c r="N137" s="430"/>
      <c r="O137" s="430"/>
      <c r="P137" s="430"/>
      <c r="Q137" s="430"/>
      <c r="R137" s="430"/>
      <c r="S137" s="430"/>
      <c r="T137" s="430"/>
      <c r="U137" s="430"/>
      <c r="V137" s="430"/>
      <c r="W137" s="430"/>
      <c r="X137" s="430"/>
      <c r="Y137" s="430"/>
      <c r="Z137" s="430"/>
      <c r="AA137" s="430"/>
      <c r="AB137" s="430"/>
      <c r="AC137" s="430"/>
      <c r="AD137" s="430"/>
      <c r="AE137" s="430"/>
      <c r="AF137" s="430"/>
      <c r="AG137" s="430"/>
      <c r="AH137" s="430"/>
      <c r="AI137" s="430"/>
      <c r="AJ137" s="430"/>
      <c r="AK137" s="430"/>
      <c r="AL137" s="430"/>
      <c r="AM137" s="430"/>
      <c r="AN137" s="430"/>
      <c r="AO137" s="430"/>
      <c r="AP137" s="430"/>
      <c r="AQ137" s="430"/>
      <c r="AR137" s="430"/>
      <c r="AS137" s="430"/>
      <c r="AT137" s="430"/>
      <c r="AU137" s="430"/>
      <c r="AV137" s="430"/>
      <c r="AW137" s="430"/>
      <c r="AX137" s="430"/>
      <c r="AY137" s="430"/>
      <c r="AZ137" s="430"/>
      <c r="BA137" s="430"/>
      <c r="BB137" s="430"/>
      <c r="BC137" s="430"/>
      <c r="BD137" s="430"/>
      <c r="BE137" s="430"/>
      <c r="BF137" s="430"/>
      <c r="BG137" s="430"/>
      <c r="BH137" s="430"/>
      <c r="BI137" s="430"/>
      <c r="BJ137" s="430"/>
      <c r="BK137" s="430"/>
    </row>
    <row r="138" spans="1:63">
      <c r="A138" s="430"/>
      <c r="B138" s="451"/>
      <c r="C138" s="451"/>
      <c r="D138" s="451"/>
      <c r="E138" s="430"/>
      <c r="F138" s="430"/>
      <c r="G138" s="430"/>
      <c r="H138" s="430"/>
      <c r="I138" s="430"/>
      <c r="J138" s="430"/>
      <c r="K138" s="430"/>
      <c r="L138" s="430"/>
      <c r="M138" s="430"/>
      <c r="N138" s="430"/>
      <c r="O138" s="430"/>
      <c r="P138" s="430"/>
      <c r="Q138" s="430"/>
      <c r="R138" s="430"/>
      <c r="S138" s="430"/>
      <c r="T138" s="430"/>
      <c r="U138" s="430"/>
      <c r="V138" s="430"/>
      <c r="W138" s="430"/>
      <c r="X138" s="430"/>
      <c r="Y138" s="430"/>
      <c r="Z138" s="430"/>
      <c r="AA138" s="430"/>
      <c r="AB138" s="430"/>
      <c r="AC138" s="430"/>
      <c r="AD138" s="430"/>
      <c r="AE138" s="430"/>
      <c r="AF138" s="430"/>
      <c r="AG138" s="430"/>
      <c r="AH138" s="430"/>
      <c r="AI138" s="430"/>
      <c r="AJ138" s="430"/>
      <c r="AK138" s="430"/>
      <c r="AL138" s="430"/>
      <c r="AM138" s="430"/>
      <c r="AN138" s="430"/>
      <c r="AO138" s="430"/>
      <c r="AP138" s="430"/>
      <c r="AQ138" s="430"/>
      <c r="AR138" s="430"/>
      <c r="AS138" s="430"/>
      <c r="AT138" s="430"/>
      <c r="AU138" s="430"/>
      <c r="AV138" s="430"/>
      <c r="AW138" s="430"/>
      <c r="AX138" s="430"/>
      <c r="AY138" s="430"/>
      <c r="AZ138" s="430"/>
      <c r="BA138" s="430"/>
      <c r="BB138" s="430"/>
      <c r="BC138" s="430"/>
      <c r="BD138" s="430"/>
      <c r="BE138" s="430"/>
      <c r="BF138" s="430"/>
      <c r="BG138" s="430"/>
      <c r="BH138" s="430"/>
      <c r="BI138" s="430"/>
      <c r="BJ138" s="430"/>
      <c r="BK138" s="430"/>
    </row>
    <row r="139" spans="1:63">
      <c r="A139" s="430"/>
      <c r="B139" s="451"/>
      <c r="C139" s="451"/>
      <c r="D139" s="451"/>
      <c r="E139" s="430"/>
      <c r="F139" s="430"/>
      <c r="G139" s="430"/>
      <c r="H139" s="430"/>
      <c r="I139" s="430"/>
      <c r="J139" s="430"/>
      <c r="K139" s="430"/>
      <c r="L139" s="430"/>
      <c r="M139" s="430"/>
      <c r="N139" s="430"/>
      <c r="O139" s="430"/>
      <c r="P139" s="430"/>
      <c r="Q139" s="430"/>
      <c r="R139" s="430"/>
      <c r="S139" s="430"/>
      <c r="T139" s="430"/>
      <c r="U139" s="430"/>
      <c r="V139" s="430"/>
      <c r="W139" s="430"/>
      <c r="X139" s="430"/>
      <c r="Y139" s="430"/>
      <c r="Z139" s="430"/>
      <c r="AA139" s="430"/>
      <c r="AB139" s="430"/>
      <c r="AC139" s="430"/>
      <c r="AD139" s="430"/>
      <c r="AE139" s="430"/>
      <c r="AF139" s="430"/>
      <c r="AG139" s="430"/>
      <c r="AH139" s="430"/>
      <c r="AI139" s="430"/>
      <c r="AJ139" s="430"/>
      <c r="AK139" s="430"/>
      <c r="AL139" s="430"/>
      <c r="AM139" s="430"/>
      <c r="AN139" s="430"/>
      <c r="AO139" s="430"/>
      <c r="AP139" s="430"/>
      <c r="AQ139" s="430"/>
      <c r="AR139" s="430"/>
      <c r="AS139" s="430"/>
      <c r="AT139" s="430"/>
      <c r="AU139" s="430"/>
      <c r="AV139" s="430"/>
      <c r="AW139" s="430"/>
      <c r="AX139" s="430"/>
      <c r="AY139" s="430"/>
      <c r="AZ139" s="430"/>
      <c r="BA139" s="430"/>
      <c r="BB139" s="430"/>
      <c r="BC139" s="430"/>
      <c r="BD139" s="430"/>
      <c r="BE139" s="430"/>
      <c r="BF139" s="430"/>
      <c r="BG139" s="430"/>
      <c r="BH139" s="430"/>
      <c r="BI139" s="430"/>
      <c r="BJ139" s="430"/>
      <c r="BK139" s="430"/>
    </row>
    <row r="140" spans="1:63">
      <c r="A140" s="430"/>
      <c r="B140" s="451"/>
      <c r="C140" s="451"/>
      <c r="D140" s="451"/>
      <c r="E140" s="430"/>
      <c r="F140" s="430"/>
      <c r="G140" s="430"/>
      <c r="H140" s="430"/>
      <c r="I140" s="430"/>
      <c r="J140" s="430"/>
      <c r="K140" s="430"/>
      <c r="L140" s="430"/>
      <c r="M140" s="430"/>
      <c r="N140" s="430"/>
      <c r="O140" s="430"/>
      <c r="P140" s="430"/>
      <c r="Q140" s="430"/>
      <c r="R140" s="430"/>
      <c r="S140" s="430"/>
      <c r="T140" s="430"/>
      <c r="U140" s="430"/>
      <c r="V140" s="430"/>
      <c r="W140" s="430"/>
      <c r="X140" s="430"/>
      <c r="Y140" s="430"/>
      <c r="Z140" s="430"/>
      <c r="AA140" s="430"/>
      <c r="AB140" s="430"/>
      <c r="AC140" s="430"/>
      <c r="AD140" s="430"/>
      <c r="AE140" s="430"/>
      <c r="AF140" s="430"/>
      <c r="AG140" s="430"/>
      <c r="AH140" s="430"/>
      <c r="AI140" s="430"/>
      <c r="AJ140" s="430"/>
      <c r="AK140" s="430"/>
      <c r="AL140" s="430"/>
      <c r="AM140" s="430"/>
      <c r="AN140" s="430"/>
      <c r="AO140" s="430"/>
      <c r="AP140" s="430"/>
      <c r="AQ140" s="430"/>
      <c r="AR140" s="430"/>
      <c r="AS140" s="430"/>
      <c r="AT140" s="430"/>
      <c r="AU140" s="430"/>
      <c r="AV140" s="430"/>
      <c r="AW140" s="430"/>
      <c r="AX140" s="430"/>
      <c r="AY140" s="430"/>
      <c r="AZ140" s="430"/>
      <c r="BA140" s="430"/>
      <c r="BB140" s="430"/>
      <c r="BC140" s="430"/>
      <c r="BD140" s="430"/>
      <c r="BE140" s="430"/>
      <c r="BF140" s="430"/>
      <c r="BG140" s="430"/>
      <c r="BH140" s="430"/>
      <c r="BI140" s="430"/>
      <c r="BJ140" s="430"/>
      <c r="BK140" s="430"/>
    </row>
    <row r="141" spans="1:63">
      <c r="A141" s="430"/>
      <c r="B141" s="451"/>
      <c r="C141" s="451"/>
      <c r="D141" s="451"/>
      <c r="E141" s="430"/>
      <c r="F141" s="430"/>
      <c r="G141" s="430"/>
      <c r="H141" s="430"/>
      <c r="I141" s="430"/>
      <c r="J141" s="430"/>
      <c r="K141" s="430"/>
      <c r="L141" s="430"/>
      <c r="M141" s="430"/>
      <c r="N141" s="430"/>
      <c r="O141" s="430"/>
      <c r="P141" s="430"/>
      <c r="Q141" s="430"/>
      <c r="R141" s="430"/>
      <c r="S141" s="430"/>
      <c r="T141" s="430"/>
      <c r="U141" s="430"/>
      <c r="V141" s="430"/>
      <c r="W141" s="430"/>
      <c r="X141" s="430"/>
      <c r="Y141" s="430"/>
      <c r="Z141" s="430"/>
      <c r="AA141" s="430"/>
      <c r="AB141" s="430"/>
      <c r="AC141" s="430"/>
      <c r="AD141" s="430"/>
      <c r="AE141" s="430"/>
      <c r="AF141" s="430"/>
      <c r="AG141" s="430"/>
      <c r="AH141" s="430"/>
      <c r="AI141" s="430"/>
      <c r="AJ141" s="430"/>
      <c r="AK141" s="430"/>
      <c r="AL141" s="430"/>
      <c r="AM141" s="430"/>
      <c r="AN141" s="430"/>
      <c r="AO141" s="430"/>
      <c r="AP141" s="430"/>
      <c r="AQ141" s="430"/>
      <c r="AR141" s="430"/>
      <c r="AS141" s="430"/>
      <c r="AT141" s="430"/>
      <c r="AU141" s="430"/>
      <c r="AV141" s="430"/>
      <c r="AW141" s="430"/>
      <c r="AX141" s="430"/>
      <c r="AY141" s="430"/>
      <c r="AZ141" s="430"/>
      <c r="BA141" s="430"/>
      <c r="BB141" s="430"/>
      <c r="BC141" s="430"/>
      <c r="BD141" s="430"/>
      <c r="BE141" s="430"/>
      <c r="BF141" s="430"/>
      <c r="BG141" s="430"/>
      <c r="BH141" s="430"/>
      <c r="BI141" s="430"/>
      <c r="BJ141" s="430"/>
      <c r="BK141" s="430"/>
    </row>
    <row r="142" spans="1:63">
      <c r="A142" s="430"/>
      <c r="B142" s="451"/>
      <c r="C142" s="451"/>
      <c r="D142" s="451"/>
      <c r="E142" s="430"/>
      <c r="F142" s="430"/>
      <c r="G142" s="430"/>
      <c r="H142" s="430"/>
      <c r="I142" s="430"/>
      <c r="J142" s="430"/>
      <c r="K142" s="430"/>
      <c r="L142" s="430"/>
      <c r="M142" s="430"/>
      <c r="N142" s="430"/>
      <c r="O142" s="430"/>
      <c r="P142" s="430"/>
      <c r="Q142" s="430"/>
      <c r="R142" s="430"/>
      <c r="S142" s="430"/>
      <c r="T142" s="430"/>
      <c r="U142" s="430"/>
      <c r="V142" s="430"/>
      <c r="W142" s="430"/>
      <c r="X142" s="430"/>
      <c r="Y142" s="430"/>
      <c r="Z142" s="430"/>
      <c r="AA142" s="430"/>
      <c r="AB142" s="430"/>
      <c r="AC142" s="430"/>
      <c r="AD142" s="430"/>
      <c r="AE142" s="430"/>
      <c r="AF142" s="430"/>
      <c r="AG142" s="430"/>
      <c r="AH142" s="430"/>
      <c r="AI142" s="430"/>
      <c r="AJ142" s="430"/>
      <c r="AK142" s="430"/>
      <c r="AL142" s="430"/>
      <c r="AM142" s="430"/>
      <c r="AN142" s="430"/>
      <c r="AO142" s="430"/>
      <c r="AP142" s="430"/>
      <c r="AQ142" s="430"/>
      <c r="AR142" s="430"/>
      <c r="AS142" s="430"/>
      <c r="AT142" s="430"/>
      <c r="AU142" s="430"/>
      <c r="AV142" s="430"/>
      <c r="AW142" s="430"/>
      <c r="AX142" s="430"/>
      <c r="AY142" s="430"/>
      <c r="AZ142" s="430"/>
      <c r="BA142" s="430"/>
      <c r="BB142" s="430"/>
      <c r="BC142" s="430"/>
      <c r="BD142" s="430"/>
      <c r="BE142" s="430"/>
      <c r="BF142" s="430"/>
      <c r="BG142" s="430"/>
      <c r="BH142" s="430"/>
      <c r="BI142" s="430"/>
      <c r="BJ142" s="430"/>
      <c r="BK142" s="430"/>
    </row>
    <row r="143" spans="1:63">
      <c r="A143" s="430"/>
      <c r="B143" s="451"/>
      <c r="C143" s="451"/>
      <c r="D143" s="451"/>
      <c r="E143" s="430"/>
      <c r="F143" s="430"/>
      <c r="G143" s="430"/>
      <c r="H143" s="430"/>
      <c r="I143" s="430"/>
      <c r="J143" s="430"/>
      <c r="K143" s="430"/>
      <c r="L143" s="430"/>
      <c r="M143" s="430"/>
      <c r="N143" s="430"/>
      <c r="O143" s="430"/>
      <c r="P143" s="430"/>
      <c r="Q143" s="430"/>
      <c r="R143" s="430"/>
      <c r="S143" s="430"/>
      <c r="T143" s="430"/>
      <c r="U143" s="430"/>
      <c r="V143" s="430"/>
      <c r="W143" s="430"/>
      <c r="X143" s="430"/>
      <c r="Y143" s="430"/>
      <c r="Z143" s="430"/>
      <c r="AA143" s="430"/>
      <c r="AB143" s="430"/>
      <c r="AC143" s="430"/>
      <c r="AD143" s="430"/>
      <c r="AE143" s="430"/>
      <c r="AF143" s="430"/>
      <c r="AG143" s="430"/>
      <c r="AH143" s="430"/>
      <c r="AI143" s="430"/>
      <c r="AJ143" s="430"/>
      <c r="AK143" s="430"/>
      <c r="AL143" s="430"/>
      <c r="AM143" s="430"/>
      <c r="AN143" s="430"/>
      <c r="AO143" s="430"/>
      <c r="AP143" s="430"/>
      <c r="AQ143" s="430"/>
      <c r="AR143" s="430"/>
      <c r="AS143" s="430"/>
      <c r="AT143" s="430"/>
      <c r="AU143" s="430"/>
      <c r="AV143" s="430"/>
      <c r="AW143" s="430"/>
      <c r="AX143" s="430"/>
      <c r="AY143" s="430"/>
      <c r="AZ143" s="430"/>
      <c r="BA143" s="430"/>
      <c r="BB143" s="430"/>
      <c r="BC143" s="430"/>
      <c r="BD143" s="430"/>
      <c r="BE143" s="430"/>
      <c r="BF143" s="430"/>
      <c r="BG143" s="430"/>
      <c r="BH143" s="430"/>
      <c r="BI143" s="430"/>
      <c r="BJ143" s="430"/>
      <c r="BK143" s="430"/>
    </row>
    <row r="144" spans="1:63">
      <c r="A144" s="430"/>
      <c r="B144" s="451"/>
      <c r="C144" s="451"/>
      <c r="D144" s="451"/>
      <c r="E144" s="430"/>
      <c r="F144" s="430"/>
      <c r="G144" s="430"/>
      <c r="H144" s="430"/>
      <c r="I144" s="430"/>
      <c r="J144" s="430"/>
      <c r="K144" s="430"/>
      <c r="L144" s="430"/>
      <c r="M144" s="430"/>
      <c r="N144" s="430"/>
      <c r="O144" s="430"/>
      <c r="P144" s="430"/>
      <c r="Q144" s="430"/>
      <c r="R144" s="430"/>
      <c r="S144" s="430"/>
      <c r="T144" s="430"/>
      <c r="U144" s="430"/>
      <c r="V144" s="430"/>
      <c r="W144" s="430"/>
      <c r="X144" s="430"/>
      <c r="Y144" s="430"/>
      <c r="Z144" s="430"/>
      <c r="AA144" s="430"/>
      <c r="AB144" s="430"/>
      <c r="AC144" s="430"/>
      <c r="AD144" s="430"/>
      <c r="AE144" s="430"/>
      <c r="AF144" s="430"/>
      <c r="AG144" s="430"/>
      <c r="AH144" s="430"/>
      <c r="AI144" s="430"/>
      <c r="AJ144" s="430"/>
      <c r="AK144" s="430"/>
      <c r="AL144" s="430"/>
      <c r="AM144" s="430"/>
      <c r="AN144" s="430"/>
      <c r="AO144" s="430"/>
      <c r="AP144" s="430"/>
      <c r="AQ144" s="430"/>
      <c r="AR144" s="430"/>
      <c r="AS144" s="430"/>
      <c r="AT144" s="430"/>
      <c r="AU144" s="430"/>
      <c r="AV144" s="430"/>
      <c r="AW144" s="430"/>
      <c r="AX144" s="430"/>
      <c r="AY144" s="430"/>
      <c r="AZ144" s="430"/>
      <c r="BA144" s="430"/>
      <c r="BB144" s="430"/>
      <c r="BC144" s="430"/>
      <c r="BD144" s="430"/>
      <c r="BE144" s="430"/>
      <c r="BF144" s="430"/>
      <c r="BG144" s="430"/>
      <c r="BH144" s="430"/>
      <c r="BI144" s="430"/>
      <c r="BJ144" s="430"/>
      <c r="BK144" s="430"/>
    </row>
    <row r="145" spans="1:63" ht="14.65" customHeight="1">
      <c r="A145" s="430"/>
      <c r="B145" s="451"/>
      <c r="C145" s="451"/>
      <c r="D145" s="451"/>
      <c r="E145" s="430"/>
      <c r="F145" s="430"/>
      <c r="G145" s="430"/>
      <c r="H145" s="430"/>
      <c r="I145" s="430"/>
      <c r="J145" s="430"/>
      <c r="K145" s="430"/>
      <c r="L145" s="430"/>
      <c r="M145" s="430"/>
      <c r="N145" s="430"/>
      <c r="O145" s="430"/>
      <c r="P145" s="430"/>
      <c r="Q145" s="430"/>
      <c r="R145" s="430"/>
      <c r="S145" s="430"/>
      <c r="T145" s="430"/>
      <c r="U145" s="430"/>
      <c r="V145" s="430"/>
      <c r="W145" s="430"/>
      <c r="X145" s="430"/>
      <c r="Y145" s="430"/>
      <c r="Z145" s="430"/>
      <c r="AA145" s="430"/>
      <c r="AB145" s="430"/>
      <c r="AC145" s="430"/>
      <c r="AD145" s="430"/>
      <c r="AE145" s="430"/>
      <c r="AF145" s="430"/>
      <c r="AG145" s="430"/>
      <c r="AH145" s="430"/>
      <c r="AI145" s="430"/>
      <c r="AJ145" s="430"/>
      <c r="AK145" s="430"/>
      <c r="AL145" s="430"/>
      <c r="AM145" s="430"/>
      <c r="AN145" s="430"/>
      <c r="AO145" s="430"/>
      <c r="AP145" s="430"/>
      <c r="AQ145" s="430"/>
      <c r="AR145" s="430"/>
      <c r="AS145" s="430"/>
      <c r="AT145" s="430"/>
      <c r="AU145" s="430"/>
      <c r="AV145" s="430"/>
      <c r="AW145" s="430"/>
      <c r="AX145" s="430"/>
      <c r="AY145" s="430"/>
      <c r="AZ145" s="430"/>
      <c r="BA145" s="430"/>
      <c r="BB145" s="430"/>
      <c r="BC145" s="430"/>
      <c r="BD145" s="430"/>
      <c r="BE145" s="430"/>
      <c r="BF145" s="430"/>
      <c r="BG145" s="430"/>
      <c r="BH145" s="430"/>
      <c r="BI145" s="430"/>
      <c r="BJ145" s="430"/>
      <c r="BK145" s="430"/>
    </row>
    <row r="146" spans="1:63" ht="14.65" customHeight="1">
      <c r="A146" s="430"/>
      <c r="B146" s="451"/>
      <c r="C146" s="451"/>
      <c r="D146" s="451"/>
      <c r="E146" s="430"/>
      <c r="F146" s="430"/>
      <c r="G146" s="430"/>
      <c r="H146" s="430"/>
      <c r="I146" s="430"/>
      <c r="J146" s="430"/>
      <c r="K146" s="430"/>
      <c r="L146" s="430"/>
      <c r="M146" s="430"/>
      <c r="N146" s="430"/>
      <c r="O146" s="430"/>
      <c r="P146" s="430"/>
      <c r="Q146" s="430"/>
      <c r="R146" s="430"/>
      <c r="S146" s="430"/>
      <c r="T146" s="430"/>
      <c r="U146" s="430"/>
      <c r="V146" s="430"/>
      <c r="W146" s="430"/>
      <c r="X146" s="430"/>
      <c r="Y146" s="430"/>
      <c r="Z146" s="430"/>
      <c r="AA146" s="430"/>
      <c r="AB146" s="430"/>
      <c r="AC146" s="430"/>
      <c r="AD146" s="430"/>
      <c r="AE146" s="430"/>
      <c r="AF146" s="430"/>
      <c r="AG146" s="430"/>
      <c r="AH146" s="430"/>
      <c r="AI146" s="430"/>
      <c r="AJ146" s="430"/>
      <c r="AK146" s="430"/>
      <c r="AL146" s="430"/>
      <c r="AM146" s="430"/>
      <c r="AN146" s="430"/>
      <c r="AO146" s="430"/>
      <c r="AP146" s="430"/>
      <c r="AQ146" s="430"/>
      <c r="AR146" s="430"/>
      <c r="AS146" s="430"/>
      <c r="AT146" s="430"/>
      <c r="AU146" s="430"/>
      <c r="AV146" s="430"/>
      <c r="AW146" s="430"/>
      <c r="AX146" s="430"/>
      <c r="AY146" s="430"/>
      <c r="AZ146" s="430"/>
      <c r="BA146" s="430"/>
      <c r="BB146" s="430"/>
      <c r="BC146" s="430"/>
      <c r="BD146" s="430"/>
      <c r="BE146" s="430"/>
      <c r="BF146" s="430"/>
      <c r="BG146" s="430"/>
      <c r="BH146" s="430"/>
      <c r="BI146" s="430"/>
      <c r="BJ146" s="430"/>
      <c r="BK146" s="430"/>
    </row>
    <row r="147" spans="1:63">
      <c r="A147" s="430"/>
      <c r="B147" s="430"/>
      <c r="C147" s="430"/>
      <c r="D147" s="430"/>
      <c r="E147" s="430"/>
      <c r="F147" s="430"/>
      <c r="G147" s="430"/>
      <c r="H147" s="430"/>
      <c r="I147" s="430"/>
      <c r="J147" s="430"/>
      <c r="K147" s="430"/>
      <c r="L147" s="430"/>
      <c r="M147" s="430"/>
      <c r="N147" s="430"/>
      <c r="O147" s="430"/>
      <c r="P147" s="430"/>
      <c r="Q147" s="430"/>
      <c r="R147" s="430"/>
      <c r="S147" s="430"/>
      <c r="T147" s="430"/>
      <c r="U147" s="430"/>
      <c r="V147" s="430"/>
      <c r="W147" s="430"/>
      <c r="X147" s="430"/>
      <c r="Y147" s="430"/>
      <c r="Z147" s="430"/>
      <c r="AA147" s="430"/>
      <c r="AB147" s="430"/>
      <c r="AC147" s="430"/>
      <c r="AD147" s="430"/>
      <c r="AE147" s="430"/>
      <c r="AF147" s="430"/>
      <c r="AG147" s="430"/>
      <c r="AH147" s="430"/>
      <c r="AI147" s="430"/>
      <c r="AJ147" s="430"/>
      <c r="AK147" s="430"/>
      <c r="AL147" s="430"/>
      <c r="AM147" s="430"/>
      <c r="AN147" s="430"/>
      <c r="AO147" s="430"/>
      <c r="AP147" s="430"/>
      <c r="AQ147" s="430"/>
      <c r="AR147" s="430"/>
      <c r="AS147" s="430"/>
      <c r="AT147" s="430"/>
      <c r="AU147" s="430"/>
      <c r="AV147" s="430"/>
      <c r="AW147" s="430"/>
      <c r="AX147" s="430"/>
      <c r="AY147" s="430"/>
      <c r="AZ147" s="430"/>
      <c r="BA147" s="430"/>
      <c r="BB147" s="430"/>
      <c r="BC147" s="430"/>
      <c r="BD147" s="430"/>
      <c r="BE147" s="430"/>
      <c r="BF147" s="430"/>
      <c r="BG147" s="430"/>
      <c r="BH147" s="430"/>
      <c r="BI147" s="430"/>
      <c r="BJ147" s="430"/>
      <c r="BK147" s="430"/>
    </row>
    <row r="148" spans="1:63">
      <c r="A148" s="430"/>
      <c r="B148" s="430"/>
      <c r="C148" s="430"/>
      <c r="D148" s="430"/>
      <c r="E148" s="430"/>
      <c r="F148" s="430"/>
      <c r="G148" s="430"/>
      <c r="H148" s="430"/>
      <c r="I148" s="430"/>
      <c r="J148" s="430"/>
      <c r="K148" s="430"/>
      <c r="L148" s="430"/>
      <c r="M148" s="430"/>
      <c r="N148" s="430"/>
      <c r="O148" s="430"/>
      <c r="P148" s="430"/>
      <c r="Q148" s="430"/>
      <c r="R148" s="430"/>
      <c r="S148" s="430"/>
      <c r="T148" s="430"/>
      <c r="U148" s="430"/>
      <c r="V148" s="430"/>
      <c r="W148" s="430"/>
      <c r="X148" s="430"/>
      <c r="Y148" s="430"/>
      <c r="Z148" s="430"/>
      <c r="AA148" s="430"/>
      <c r="AB148" s="430"/>
      <c r="AC148" s="430"/>
      <c r="AD148" s="430"/>
      <c r="AE148" s="430"/>
      <c r="AF148" s="430"/>
      <c r="AG148" s="430"/>
      <c r="AH148" s="430"/>
      <c r="AI148" s="430"/>
      <c r="AJ148" s="430"/>
      <c r="AK148" s="430"/>
      <c r="AL148" s="430"/>
      <c r="AM148" s="430"/>
      <c r="AN148" s="430"/>
      <c r="AO148" s="430"/>
      <c r="AP148" s="430"/>
      <c r="AQ148" s="430"/>
      <c r="AR148" s="430"/>
      <c r="AS148" s="430"/>
      <c r="AT148" s="430"/>
      <c r="AU148" s="430"/>
      <c r="AV148" s="430"/>
      <c r="AW148" s="430"/>
      <c r="AX148" s="430"/>
      <c r="AY148" s="430"/>
      <c r="AZ148" s="430"/>
      <c r="BA148" s="430"/>
      <c r="BB148" s="430"/>
      <c r="BC148" s="430"/>
      <c r="BD148" s="430"/>
      <c r="BE148" s="430"/>
      <c r="BF148" s="430"/>
      <c r="BG148" s="430"/>
      <c r="BH148" s="430"/>
      <c r="BI148" s="430"/>
      <c r="BJ148" s="430"/>
      <c r="BK148" s="430"/>
    </row>
  </sheetData>
  <pageMargins left="0.7" right="0.7" top="0.75" bottom="0.75" header="0.3" footer="0.3"/>
  <pageSetup orientation="portrait"/>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4B084"/>
  </sheetPr>
  <dimension ref="A1:BK149"/>
  <sheetViews>
    <sheetView zoomScale="81" workbookViewId="0">
      <selection activeCell="F39" sqref="F39"/>
    </sheetView>
  </sheetViews>
  <sheetFormatPr defaultColWidth="12.54296875" defaultRowHeight="14.5" outlineLevelCol="1"/>
  <cols>
    <col min="1" max="1" width="26" customWidth="1"/>
    <col min="2" max="2" width="4.453125" style="424" customWidth="1"/>
    <col min="3" max="3" width="19.90625" style="418" customWidth="1"/>
    <col min="4" max="4" width="7.6328125" style="424" customWidth="1"/>
    <col min="5" max="5" width="13.26953125" bestFit="1" customWidth="1"/>
    <col min="6" max="9" width="10.7265625" style="429" customWidth="1" outlineLevel="1"/>
    <col min="10" max="11" width="10.7265625" style="624" customWidth="1" outlineLevel="1"/>
    <col min="12" max="12" width="12.6328125" bestFit="1" customWidth="1"/>
  </cols>
  <sheetData>
    <row r="1" spans="1:63">
      <c r="A1" s="430"/>
      <c r="B1" s="430"/>
      <c r="C1" s="430"/>
      <c r="D1" s="430"/>
      <c r="E1" s="430"/>
      <c r="F1" s="430"/>
      <c r="G1" s="430"/>
      <c r="H1" s="430"/>
      <c r="I1" s="430"/>
      <c r="J1" s="430"/>
      <c r="K1" s="430"/>
      <c r="L1" s="430"/>
      <c r="M1" s="430"/>
      <c r="N1" s="430"/>
      <c r="O1" s="430"/>
      <c r="P1" s="430"/>
      <c r="Q1" s="430"/>
      <c r="R1" s="430"/>
      <c r="S1" s="430"/>
      <c r="T1" s="430"/>
      <c r="U1" s="430"/>
      <c r="V1" s="430"/>
      <c r="W1" s="430"/>
      <c r="X1" s="430"/>
      <c r="Y1" s="430"/>
      <c r="Z1" s="430"/>
      <c r="AA1" s="430"/>
      <c r="AB1" s="430"/>
      <c r="AC1" s="430"/>
      <c r="AD1" s="430"/>
      <c r="AE1" s="430"/>
      <c r="AF1" s="430"/>
      <c r="AG1" s="430"/>
      <c r="AH1" s="430"/>
      <c r="AI1" s="430"/>
      <c r="AJ1" s="430"/>
      <c r="AK1" s="430"/>
      <c r="AL1" s="430"/>
      <c r="AM1" s="430"/>
      <c r="AN1" s="430"/>
      <c r="AO1" s="430"/>
      <c r="AP1" s="430"/>
      <c r="AQ1" s="430"/>
      <c r="AR1" s="430"/>
      <c r="AS1" s="430"/>
      <c r="AT1" s="430"/>
      <c r="AU1" s="430"/>
      <c r="AV1" s="430"/>
      <c r="AW1" s="430"/>
      <c r="AX1" s="430"/>
      <c r="AY1" s="430"/>
      <c r="AZ1" s="430"/>
      <c r="BA1" s="430"/>
      <c r="BB1" s="430"/>
      <c r="BC1" s="430"/>
      <c r="BD1" s="430"/>
      <c r="BE1" s="430"/>
      <c r="BF1" s="430"/>
      <c r="BG1" s="430"/>
      <c r="BH1" s="430"/>
      <c r="BI1" s="430"/>
      <c r="BJ1" s="430"/>
      <c r="BK1" s="430"/>
    </row>
    <row r="2" spans="1:63">
      <c r="A2" s="433" t="s">
        <v>0</v>
      </c>
      <c r="B2" s="434"/>
      <c r="C2" s="434"/>
      <c r="D2" s="434"/>
      <c r="E2" s="436">
        <v>45657</v>
      </c>
      <c r="F2" s="436">
        <v>45747</v>
      </c>
      <c r="G2" s="436">
        <v>45838</v>
      </c>
      <c r="H2" s="436">
        <v>45930</v>
      </c>
      <c r="I2" s="436">
        <v>46022</v>
      </c>
      <c r="J2" s="436">
        <v>46112</v>
      </c>
      <c r="K2" s="436">
        <v>46203</v>
      </c>
      <c r="L2" s="436">
        <v>45747</v>
      </c>
      <c r="M2" s="436">
        <v>45838</v>
      </c>
      <c r="N2" s="436">
        <v>45930</v>
      </c>
      <c r="O2" s="436">
        <v>46022</v>
      </c>
      <c r="P2" s="436">
        <v>46112</v>
      </c>
      <c r="Q2" s="436">
        <v>46203</v>
      </c>
      <c r="R2" s="436">
        <v>46295</v>
      </c>
      <c r="S2" s="436">
        <v>46387</v>
      </c>
      <c r="T2" s="436">
        <v>46752</v>
      </c>
      <c r="U2" s="436">
        <v>47118</v>
      </c>
      <c r="V2" s="436">
        <v>47483</v>
      </c>
      <c r="W2" s="436">
        <v>47848</v>
      </c>
      <c r="X2" s="437"/>
      <c r="Y2" s="437"/>
      <c r="Z2" s="437"/>
      <c r="AA2" s="437"/>
      <c r="AB2" s="437"/>
      <c r="AC2" s="437"/>
      <c r="AD2" s="437"/>
      <c r="AE2" s="437"/>
      <c r="AF2" s="437"/>
      <c r="AG2" s="437"/>
      <c r="AH2" s="437"/>
      <c r="AI2" s="437"/>
      <c r="AJ2" s="437"/>
      <c r="AK2" s="437"/>
      <c r="AL2" s="437"/>
      <c r="AM2" s="437"/>
      <c r="AN2" s="437"/>
      <c r="AO2" s="437"/>
      <c r="AP2" s="437"/>
      <c r="AQ2" s="437"/>
      <c r="AR2" s="437"/>
      <c r="AS2" s="437"/>
      <c r="AT2" s="437"/>
      <c r="AU2" s="437"/>
      <c r="AV2" s="437"/>
      <c r="AW2" s="437"/>
      <c r="AX2" s="437"/>
      <c r="AY2" s="437"/>
      <c r="AZ2" s="437"/>
      <c r="BA2" s="437"/>
      <c r="BB2" s="437"/>
      <c r="BC2" s="437"/>
      <c r="BD2" s="437"/>
      <c r="BE2" s="437"/>
      <c r="BF2" s="437"/>
      <c r="BG2" s="437"/>
      <c r="BH2" s="437"/>
      <c r="BI2" s="437"/>
      <c r="BJ2" s="437"/>
      <c r="BK2" s="437"/>
    </row>
    <row r="3" spans="1:63">
      <c r="A3" s="433" t="s">
        <v>1</v>
      </c>
      <c r="B3" s="434"/>
      <c r="C3" s="434"/>
      <c r="D3" s="434"/>
      <c r="E3" s="439" t="s">
        <v>2</v>
      </c>
      <c r="F3" s="439" t="s">
        <v>3</v>
      </c>
      <c r="G3" s="439" t="s">
        <v>4</v>
      </c>
      <c r="H3" s="439" t="s">
        <v>5</v>
      </c>
      <c r="I3" s="439" t="s">
        <v>2</v>
      </c>
      <c r="J3" s="625" t="s">
        <v>3</v>
      </c>
      <c r="K3" s="625" t="s">
        <v>4</v>
      </c>
      <c r="L3" s="439" t="s">
        <v>3</v>
      </c>
      <c r="M3" s="439" t="s">
        <v>4</v>
      </c>
      <c r="N3" s="439" t="s">
        <v>5</v>
      </c>
      <c r="O3" s="439" t="s">
        <v>2</v>
      </c>
      <c r="P3" s="439" t="s">
        <v>3</v>
      </c>
      <c r="Q3" s="439" t="s">
        <v>4</v>
      </c>
      <c r="R3" s="439" t="s">
        <v>5</v>
      </c>
      <c r="S3" s="439" t="s">
        <v>2</v>
      </c>
      <c r="T3" s="439" t="s">
        <v>2</v>
      </c>
      <c r="U3" s="439" t="s">
        <v>2</v>
      </c>
      <c r="V3" s="439" t="s">
        <v>2</v>
      </c>
      <c r="W3" s="439" t="s">
        <v>2</v>
      </c>
      <c r="X3" s="437"/>
      <c r="Y3" s="437"/>
      <c r="Z3" s="437"/>
      <c r="AA3" s="437"/>
      <c r="AB3" s="437"/>
      <c r="AC3" s="437"/>
      <c r="AD3" s="437"/>
      <c r="AE3" s="437"/>
      <c r="AF3" s="437"/>
      <c r="AG3" s="437"/>
      <c r="AH3" s="437"/>
      <c r="AI3" s="437"/>
      <c r="AJ3" s="437"/>
      <c r="AK3" s="437"/>
      <c r="AL3" s="437"/>
      <c r="AM3" s="437"/>
      <c r="AN3" s="437"/>
      <c r="AO3" s="437"/>
      <c r="AP3" s="437"/>
      <c r="AQ3" s="437"/>
      <c r="AR3" s="437"/>
      <c r="AS3" s="437"/>
      <c r="AT3" s="437"/>
      <c r="AU3" s="437"/>
      <c r="AV3" s="437"/>
      <c r="AW3" s="437"/>
      <c r="AX3" s="437"/>
      <c r="AY3" s="437"/>
      <c r="AZ3" s="437"/>
      <c r="BA3" s="437"/>
      <c r="BB3" s="437"/>
      <c r="BC3" s="437"/>
      <c r="BD3" s="437"/>
      <c r="BE3" s="437"/>
      <c r="BF3" s="437"/>
      <c r="BG3" s="437"/>
      <c r="BH3" s="437"/>
      <c r="BI3" s="437"/>
      <c r="BJ3" s="437"/>
      <c r="BK3" s="437"/>
    </row>
    <row r="4" spans="1:63" ht="18.5" customHeight="1">
      <c r="A4" s="430"/>
      <c r="B4" s="440" t="s">
        <v>6</v>
      </c>
      <c r="C4" s="441" t="s">
        <v>7</v>
      </c>
      <c r="D4" s="440" t="s">
        <v>8</v>
      </c>
      <c r="E4" s="430"/>
      <c r="F4" s="430"/>
      <c r="G4" s="430"/>
      <c r="H4" s="430"/>
      <c r="I4" s="430"/>
      <c r="J4" s="430"/>
      <c r="K4" s="430"/>
      <c r="L4" s="430"/>
      <c r="M4" s="430"/>
      <c r="N4" s="430"/>
      <c r="O4" s="430"/>
      <c r="P4" s="430"/>
      <c r="Q4" s="430"/>
      <c r="R4" s="430"/>
      <c r="S4" s="430"/>
      <c r="T4" s="430"/>
      <c r="U4" s="430"/>
      <c r="V4" s="430"/>
      <c r="W4" s="430"/>
      <c r="X4" s="430"/>
      <c r="Y4" s="430"/>
      <c r="Z4" s="430"/>
      <c r="AA4" s="430"/>
      <c r="AB4" s="430"/>
      <c r="AC4" s="430"/>
      <c r="AD4" s="430"/>
      <c r="AE4" s="430"/>
      <c r="AF4" s="430"/>
      <c r="AG4" s="430"/>
      <c r="AH4" s="430"/>
      <c r="AI4" s="430"/>
      <c r="AJ4" s="430"/>
      <c r="AK4" s="430"/>
      <c r="AL4" s="430"/>
      <c r="AM4" s="430"/>
      <c r="AN4" s="430"/>
      <c r="AO4" s="430"/>
      <c r="AP4" s="430"/>
      <c r="AQ4" s="430"/>
      <c r="AR4" s="430"/>
      <c r="AS4" s="430"/>
      <c r="AT4" s="430"/>
      <c r="AU4" s="430"/>
      <c r="AV4" s="430"/>
      <c r="AW4" s="430"/>
      <c r="AX4" s="430"/>
      <c r="AY4" s="430"/>
      <c r="AZ4" s="430"/>
      <c r="BA4" s="430"/>
      <c r="BB4" s="430"/>
      <c r="BC4" s="430"/>
      <c r="BD4" s="430"/>
      <c r="BE4" s="430"/>
      <c r="BF4" s="430"/>
      <c r="BG4" s="430"/>
      <c r="BH4" s="430"/>
      <c r="BI4" s="430"/>
      <c r="BJ4" s="430"/>
      <c r="BK4" s="430"/>
    </row>
    <row r="5" spans="1:63" s="32" customFormat="1">
      <c r="A5" s="510" t="s">
        <v>849</v>
      </c>
      <c r="B5" s="445"/>
      <c r="C5" s="447"/>
      <c r="D5" s="445"/>
      <c r="E5" s="430"/>
      <c r="F5" s="430"/>
      <c r="G5" s="430"/>
      <c r="H5" s="430"/>
      <c r="I5" s="430"/>
      <c r="J5" s="430"/>
      <c r="K5" s="430"/>
      <c r="L5" s="430"/>
      <c r="M5" s="430"/>
      <c r="N5" s="430"/>
      <c r="O5" s="430"/>
      <c r="P5" s="430"/>
      <c r="Q5" s="430"/>
      <c r="R5" s="430"/>
      <c r="S5" s="430"/>
      <c r="T5" s="430"/>
      <c r="U5" s="430"/>
      <c r="V5" s="430"/>
      <c r="W5" s="430"/>
      <c r="X5" s="430"/>
      <c r="Y5" s="430"/>
      <c r="Z5" s="430"/>
      <c r="AA5" s="430"/>
      <c r="AB5" s="430"/>
      <c r="AC5" s="430"/>
      <c r="AD5" s="430"/>
      <c r="AE5" s="430"/>
      <c r="AF5" s="430"/>
      <c r="AG5" s="430"/>
      <c r="AH5" s="430"/>
      <c r="AI5" s="430"/>
      <c r="AJ5" s="430"/>
      <c r="AK5" s="430"/>
      <c r="AL5" s="430"/>
      <c r="AM5" s="430"/>
      <c r="AN5" s="430"/>
      <c r="AO5" s="430"/>
      <c r="AP5" s="430"/>
      <c r="AQ5" s="430"/>
      <c r="AR5" s="430"/>
      <c r="AS5" s="430"/>
      <c r="AT5" s="430"/>
      <c r="AU5" s="430"/>
      <c r="AV5" s="430"/>
      <c r="AW5" s="430"/>
      <c r="AX5" s="430"/>
      <c r="AY5" s="430"/>
      <c r="AZ5" s="430"/>
      <c r="BA5" s="430"/>
      <c r="BB5" s="430"/>
      <c r="BC5" s="430"/>
      <c r="BD5" s="430"/>
      <c r="BE5" s="430"/>
      <c r="BF5" s="430"/>
      <c r="BG5" s="430"/>
      <c r="BH5" s="430"/>
      <c r="BI5" s="430"/>
      <c r="BJ5" s="430"/>
      <c r="BK5" s="430"/>
    </row>
    <row r="6" spans="1:63" s="32" customFormat="1">
      <c r="A6" s="538" t="s">
        <v>850</v>
      </c>
      <c r="B6" s="445"/>
      <c r="C6" s="447"/>
      <c r="D6" s="448"/>
      <c r="E6" s="492">
        <f>0</f>
        <v>0</v>
      </c>
      <c r="F6" s="430"/>
      <c r="G6" s="430"/>
      <c r="H6" s="430"/>
      <c r="I6" s="430"/>
      <c r="J6" s="430"/>
      <c r="K6" s="430"/>
      <c r="L6" s="492">
        <f>E11</f>
        <v>9950</v>
      </c>
      <c r="M6" s="492">
        <f t="shared" ref="M6:W6" si="0">L11</f>
        <v>9950</v>
      </c>
      <c r="N6" s="492">
        <f t="shared" si="0"/>
        <v>9950</v>
      </c>
      <c r="O6" s="492">
        <f t="shared" si="0"/>
        <v>9950</v>
      </c>
      <c r="P6" s="492">
        <f t="shared" si="0"/>
        <v>9950</v>
      </c>
      <c r="Q6" s="492">
        <f t="shared" si="0"/>
        <v>1303505.4866666668</v>
      </c>
      <c r="R6" s="492">
        <f t="shared" si="0"/>
        <v>3524908.2515476192</v>
      </c>
      <c r="S6" s="492">
        <f t="shared" si="0"/>
        <v>5674178.4111654144</v>
      </c>
      <c r="T6" s="492">
        <f t="shared" si="0"/>
        <v>9143005.0490726829</v>
      </c>
      <c r="U6" s="492">
        <f t="shared" si="0"/>
        <v>11552783.923596492</v>
      </c>
      <c r="V6" s="492">
        <f t="shared" si="0"/>
        <v>12122448.116596969</v>
      </c>
      <c r="W6" s="492">
        <f t="shared" si="0"/>
        <v>13870037.681601746</v>
      </c>
      <c r="X6" s="430"/>
      <c r="Y6" s="430"/>
      <c r="Z6" s="430"/>
      <c r="AA6" s="430"/>
      <c r="AB6" s="430"/>
      <c r="AC6" s="430"/>
      <c r="AD6" s="430"/>
      <c r="AE6" s="430"/>
      <c r="AF6" s="430"/>
      <c r="AG6" s="430"/>
      <c r="AH6" s="430"/>
      <c r="AI6" s="430"/>
      <c r="AJ6" s="430"/>
      <c r="AK6" s="430"/>
      <c r="AL6" s="430"/>
      <c r="AM6" s="430"/>
      <c r="AN6" s="430"/>
      <c r="AO6" s="430"/>
      <c r="AP6" s="430"/>
      <c r="AQ6" s="430"/>
      <c r="AR6" s="430"/>
      <c r="AS6" s="430"/>
      <c r="AT6" s="430"/>
      <c r="AU6" s="430"/>
      <c r="AV6" s="430"/>
      <c r="AW6" s="430"/>
      <c r="AX6" s="430"/>
      <c r="AY6" s="430"/>
      <c r="AZ6" s="430"/>
      <c r="BA6" s="430"/>
      <c r="BB6" s="430"/>
      <c r="BC6" s="430"/>
      <c r="BD6" s="430"/>
      <c r="BE6" s="430"/>
      <c r="BF6" s="430"/>
      <c r="BG6" s="430"/>
      <c r="BH6" s="430"/>
      <c r="BI6" s="430"/>
      <c r="BJ6" s="430"/>
      <c r="BK6" s="430"/>
    </row>
    <row r="7" spans="1:63" s="32" customFormat="1">
      <c r="A7" s="538" t="s">
        <v>851</v>
      </c>
      <c r="B7" s="445"/>
      <c r="C7" s="447"/>
      <c r="D7" s="448"/>
      <c r="E7" s="492">
        <f>'c12_oc'!E47</f>
        <v>3119951</v>
      </c>
      <c r="F7" s="430"/>
      <c r="G7" s="430"/>
      <c r="H7" s="430"/>
      <c r="I7" s="430"/>
      <c r="J7" s="430"/>
      <c r="K7" s="430"/>
      <c r="L7" s="492">
        <f>'c12_oc'!L47</f>
        <v>591386.17857142864</v>
      </c>
      <c r="M7" s="492">
        <f>'c12_oc'!M47</f>
        <v>591386.17857142864</v>
      </c>
      <c r="N7" s="492">
        <f>'c12_oc'!N47</f>
        <v>876586.17857142864</v>
      </c>
      <c r="O7" s="492">
        <f>'c12_oc'!O47</f>
        <v>860896.17857142864</v>
      </c>
      <c r="P7" s="492">
        <f>'c12_oc'!P47</f>
        <v>828093.76238095248</v>
      </c>
      <c r="Q7" s="492">
        <f>'c12_oc'!Q47</f>
        <v>1372055.7648809524</v>
      </c>
      <c r="R7" s="492">
        <f>'c12_oc'!R47</f>
        <v>1299923.1596177947</v>
      </c>
      <c r="S7" s="492">
        <f>'c12_oc'!S47</f>
        <v>2619479.6379072675</v>
      </c>
      <c r="T7" s="492">
        <f>'c12_oc'!T47</f>
        <v>4462390.8745238092</v>
      </c>
      <c r="U7" s="492">
        <f>'c12_oc'!U47</f>
        <v>3822276.1930004768</v>
      </c>
      <c r="V7" s="492">
        <f>'c12_oc'!V47</f>
        <v>3800201.5650047772</v>
      </c>
      <c r="W7" s="492">
        <f>'c12_oc'!W47</f>
        <v>3524197.7064346988</v>
      </c>
      <c r="X7" s="430"/>
      <c r="Y7" s="430"/>
      <c r="Z7" s="430"/>
      <c r="AA7" s="430"/>
      <c r="AB7" s="430"/>
      <c r="AC7" s="430"/>
      <c r="AD7" s="430"/>
      <c r="AE7" s="430"/>
      <c r="AF7" s="430"/>
      <c r="AG7" s="430"/>
      <c r="AH7" s="430"/>
      <c r="AI7" s="430"/>
      <c r="AJ7" s="430"/>
      <c r="AK7" s="430"/>
      <c r="AL7" s="430"/>
      <c r="AM7" s="430"/>
      <c r="AN7" s="430"/>
      <c r="AO7" s="430"/>
      <c r="AP7" s="430"/>
      <c r="AQ7" s="430"/>
      <c r="AR7" s="430"/>
      <c r="AS7" s="430"/>
      <c r="AT7" s="430"/>
      <c r="AU7" s="430"/>
      <c r="AV7" s="430"/>
      <c r="AW7" s="430"/>
      <c r="AX7" s="430"/>
      <c r="AY7" s="430"/>
      <c r="AZ7" s="430"/>
      <c r="BA7" s="430"/>
      <c r="BB7" s="430"/>
      <c r="BC7" s="430"/>
      <c r="BD7" s="430"/>
      <c r="BE7" s="430"/>
      <c r="BF7" s="430"/>
      <c r="BG7" s="430"/>
      <c r="BH7" s="430"/>
      <c r="BI7" s="430"/>
      <c r="BJ7" s="430"/>
      <c r="BK7" s="430"/>
    </row>
    <row r="8" spans="1:63" s="32" customFormat="1">
      <c r="A8" s="538" t="s">
        <v>852</v>
      </c>
      <c r="B8" s="445"/>
      <c r="C8" s="447"/>
      <c r="D8" s="448"/>
      <c r="E8" s="492">
        <f>-'c12_oc'!E62</f>
        <v>1540999</v>
      </c>
      <c r="F8" s="430"/>
      <c r="G8" s="430"/>
      <c r="H8" s="430"/>
      <c r="I8" s="430"/>
      <c r="J8" s="430"/>
      <c r="K8" s="430"/>
      <c r="L8" s="492">
        <f>-'c12_oc'!L62+'c12_oc'!E62+'c12_oc'!L61</f>
        <v>596442.81892857142</v>
      </c>
      <c r="M8" s="492">
        <f>-'c12_oc'!M62+'c12_oc'!L62+'c12_oc'!M61</f>
        <v>522290.81892857142</v>
      </c>
      <c r="N8" s="492">
        <f>-'c12_oc'!N62+'c12_oc'!M62+'c12_oc'!N61</f>
        <v>275096.81892857142</v>
      </c>
      <c r="O8" s="492">
        <f>-'c12_oc'!O62+'c12_oc'!N62+'c12_oc'!O61</f>
        <v>-1009945.1810714286</v>
      </c>
      <c r="P8" s="492">
        <f>-'c12_oc'!P62+'c12_oc'!O62+'c12_oc'!P61</f>
        <v>-383885.27571428567</v>
      </c>
      <c r="Q8" s="492">
        <f>-'c12_oc'!Q62+'c12_oc'!P62+'c12_oc'!Q61</f>
        <v>0</v>
      </c>
      <c r="R8" s="492">
        <f>-'c12_oc'!R62+'c12_oc'!Q62+'c12_oc'!R61</f>
        <v>0</v>
      </c>
      <c r="S8" s="492">
        <f>-'c12_oc'!S62+'c12_oc'!R62+'c12_oc'!S61</f>
        <v>0</v>
      </c>
      <c r="T8" s="492">
        <f>-'c12_oc'!T62+'c12_oc'!S62+'c12_oc'!T61</f>
        <v>0</v>
      </c>
      <c r="U8" s="492">
        <f>-'c12_oc'!U62+'c12_oc'!T62+'c12_oc'!U61</f>
        <v>0</v>
      </c>
      <c r="V8" s="492">
        <f>-'c12_oc'!V62+'c12_oc'!U62+'c12_oc'!V61</f>
        <v>0</v>
      </c>
      <c r="W8" s="492">
        <f>-'c12_oc'!W62+'c12_oc'!V62+'c12_oc'!W61</f>
        <v>0</v>
      </c>
      <c r="X8" s="430"/>
      <c r="Y8" s="430"/>
      <c r="Z8" s="430"/>
      <c r="AA8" s="430"/>
      <c r="AB8" s="430"/>
      <c r="AC8" s="430"/>
      <c r="AD8" s="430"/>
      <c r="AE8" s="430"/>
      <c r="AF8" s="430"/>
      <c r="AG8" s="430"/>
      <c r="AH8" s="430"/>
      <c r="AI8" s="430"/>
      <c r="AJ8" s="430"/>
      <c r="AK8" s="430"/>
      <c r="AL8" s="430"/>
      <c r="AM8" s="430"/>
      <c r="AN8" s="430"/>
      <c r="AO8" s="430"/>
      <c r="AP8" s="430"/>
      <c r="AQ8" s="430"/>
      <c r="AR8" s="430"/>
      <c r="AS8" s="430"/>
      <c r="AT8" s="430"/>
      <c r="AU8" s="430"/>
      <c r="AV8" s="430"/>
      <c r="AW8" s="430"/>
      <c r="AX8" s="430"/>
      <c r="AY8" s="430"/>
      <c r="AZ8" s="430"/>
      <c r="BA8" s="430"/>
      <c r="BB8" s="430"/>
      <c r="BC8" s="430"/>
      <c r="BD8" s="430"/>
      <c r="BE8" s="430"/>
      <c r="BF8" s="430"/>
      <c r="BG8" s="430"/>
      <c r="BH8" s="430"/>
      <c r="BI8" s="430"/>
      <c r="BJ8" s="430"/>
      <c r="BK8" s="430"/>
    </row>
    <row r="9" spans="1:63" s="32" customFormat="1">
      <c r="A9" s="538" t="s">
        <v>853</v>
      </c>
      <c r="B9" s="431"/>
      <c r="C9" s="432"/>
      <c r="D9" s="431"/>
      <c r="E9" s="492">
        <f>'c12_oc'!E59</f>
        <v>-4651000</v>
      </c>
      <c r="F9" s="430"/>
      <c r="G9" s="430"/>
      <c r="H9" s="430"/>
      <c r="I9" s="430"/>
      <c r="J9" s="430"/>
      <c r="K9" s="430"/>
      <c r="L9" s="492">
        <f>'c12_oc'!L59</f>
        <v>-1187828.9975000001</v>
      </c>
      <c r="M9" s="492">
        <f>'c12_oc'!M59</f>
        <v>-1113676.9975000001</v>
      </c>
      <c r="N9" s="492">
        <f>'c12_oc'!N59</f>
        <v>-1151682.9975000001</v>
      </c>
      <c r="O9" s="492">
        <f>'c12_oc'!O59</f>
        <v>149049.00249999994</v>
      </c>
      <c r="P9" s="492">
        <f>'c12_oc'!P59</f>
        <v>849347</v>
      </c>
      <c r="Q9" s="492">
        <f>'c12_oc'!Q59</f>
        <v>849347</v>
      </c>
      <c r="R9" s="492">
        <f>'c12_oc'!R59</f>
        <v>849347</v>
      </c>
      <c r="S9" s="492">
        <f>'c12_oc'!S59</f>
        <v>849347</v>
      </c>
      <c r="T9" s="492">
        <f>'c12_oc'!T59</f>
        <v>-2052612</v>
      </c>
      <c r="U9" s="492">
        <f>'c12_oc'!U59</f>
        <v>-2052612</v>
      </c>
      <c r="V9" s="492">
        <f>'c12_oc'!V59</f>
        <v>-2052612</v>
      </c>
      <c r="W9" s="492">
        <f>'c12_oc'!W59</f>
        <v>-2052612</v>
      </c>
      <c r="X9" s="430"/>
      <c r="Y9" s="430"/>
      <c r="Z9" s="430"/>
      <c r="AA9" s="430"/>
      <c r="AB9" s="430"/>
      <c r="AC9" s="430"/>
      <c r="AD9" s="430"/>
      <c r="AE9" s="430"/>
      <c r="AF9" s="430"/>
      <c r="AG9" s="430"/>
      <c r="AH9" s="430"/>
      <c r="AI9" s="430"/>
      <c r="AJ9" s="430"/>
      <c r="AK9" s="430"/>
      <c r="AL9" s="430"/>
      <c r="AM9" s="430"/>
      <c r="AN9" s="430"/>
      <c r="AO9" s="430"/>
      <c r="AP9" s="430"/>
      <c r="AQ9" s="430"/>
      <c r="AR9" s="430"/>
      <c r="AS9" s="430"/>
      <c r="AT9" s="430"/>
      <c r="AU9" s="430"/>
      <c r="AV9" s="430"/>
      <c r="AW9" s="430"/>
      <c r="AX9" s="430"/>
      <c r="AY9" s="430"/>
      <c r="AZ9" s="430"/>
      <c r="BA9" s="430"/>
      <c r="BB9" s="430"/>
      <c r="BC9" s="430"/>
      <c r="BD9" s="430"/>
      <c r="BE9" s="430"/>
      <c r="BF9" s="430"/>
      <c r="BG9" s="430"/>
      <c r="BH9" s="430"/>
      <c r="BI9" s="430"/>
      <c r="BJ9" s="430"/>
      <c r="BK9" s="430"/>
    </row>
    <row r="10" spans="1:63" s="32" customFormat="1">
      <c r="A10" s="538" t="s">
        <v>854</v>
      </c>
      <c r="B10" s="535" t="s">
        <v>18</v>
      </c>
      <c r="C10" s="432"/>
      <c r="D10" s="431"/>
      <c r="E10" s="430"/>
      <c r="F10" s="464"/>
      <c r="G10" s="464"/>
      <c r="H10" s="464"/>
      <c r="I10" s="464"/>
      <c r="J10" s="464"/>
      <c r="K10" s="464"/>
      <c r="L10" s="539"/>
      <c r="M10" s="539"/>
      <c r="N10" s="539"/>
      <c r="O10" s="539"/>
      <c r="P10" s="539"/>
      <c r="Q10" s="539"/>
      <c r="R10" s="539"/>
      <c r="S10" s="539"/>
      <c r="T10" s="430"/>
      <c r="U10" s="492">
        <v>-1200000</v>
      </c>
      <c r="V10" s="430"/>
      <c r="W10" s="492">
        <v>-4200000</v>
      </c>
      <c r="X10" s="430"/>
      <c r="Y10" s="430"/>
      <c r="Z10" s="430"/>
      <c r="AA10" s="430"/>
      <c r="AB10" s="430"/>
      <c r="AC10" s="430"/>
      <c r="AD10" s="430"/>
      <c r="AE10" s="430"/>
      <c r="AF10" s="430"/>
      <c r="AG10" s="430"/>
      <c r="AH10" s="430"/>
      <c r="AI10" s="430"/>
      <c r="AJ10" s="430"/>
      <c r="AK10" s="430"/>
      <c r="AL10" s="430"/>
      <c r="AM10" s="430"/>
      <c r="AN10" s="430"/>
      <c r="AO10" s="430"/>
      <c r="AP10" s="430"/>
      <c r="AQ10" s="430"/>
      <c r="AR10" s="430"/>
      <c r="AS10" s="430"/>
      <c r="AT10" s="430"/>
      <c r="AU10" s="430"/>
      <c r="AV10" s="430"/>
      <c r="AW10" s="430"/>
      <c r="AX10" s="430"/>
      <c r="AY10" s="430"/>
      <c r="AZ10" s="430"/>
      <c r="BA10" s="430"/>
      <c r="BB10" s="430"/>
      <c r="BC10" s="430"/>
      <c r="BD10" s="430"/>
      <c r="BE10" s="430"/>
      <c r="BF10" s="430"/>
      <c r="BG10" s="430"/>
      <c r="BH10" s="430"/>
      <c r="BI10" s="430"/>
      <c r="BJ10" s="430"/>
      <c r="BK10" s="430"/>
    </row>
    <row r="11" spans="1:63" s="32" customFormat="1">
      <c r="A11" s="510" t="s">
        <v>855</v>
      </c>
      <c r="B11" s="431"/>
      <c r="C11" s="432"/>
      <c r="D11" s="431"/>
      <c r="E11" s="492">
        <f t="shared" ref="E11:W11" si="1">SUM(E6:E10)</f>
        <v>9950</v>
      </c>
      <c r="F11" s="430"/>
      <c r="G11" s="430"/>
      <c r="H11" s="430"/>
      <c r="I11" s="430"/>
      <c r="J11" s="430"/>
      <c r="K11" s="430"/>
      <c r="L11" s="492">
        <f t="shared" si="1"/>
        <v>9950</v>
      </c>
      <c r="M11" s="492">
        <f t="shared" si="1"/>
        <v>9950</v>
      </c>
      <c r="N11" s="492">
        <f t="shared" si="1"/>
        <v>9950</v>
      </c>
      <c r="O11" s="492">
        <f t="shared" si="1"/>
        <v>9950</v>
      </c>
      <c r="P11" s="492">
        <f t="shared" si="1"/>
        <v>1303505.4866666668</v>
      </c>
      <c r="Q11" s="492">
        <f t="shared" si="1"/>
        <v>3524908.2515476192</v>
      </c>
      <c r="R11" s="492">
        <f t="shared" si="1"/>
        <v>5674178.4111654144</v>
      </c>
      <c r="S11" s="492">
        <f t="shared" si="1"/>
        <v>9143005.0490726829</v>
      </c>
      <c r="T11" s="492">
        <f t="shared" si="1"/>
        <v>11552783.923596492</v>
      </c>
      <c r="U11" s="492">
        <f t="shared" si="1"/>
        <v>12122448.116596969</v>
      </c>
      <c r="V11" s="492">
        <f t="shared" si="1"/>
        <v>13870037.681601746</v>
      </c>
      <c r="W11" s="492">
        <f t="shared" si="1"/>
        <v>11141623.388036445</v>
      </c>
      <c r="X11" s="430"/>
      <c r="Y11" s="430"/>
      <c r="Z11" s="430"/>
      <c r="AA11" s="430"/>
      <c r="AB11" s="430"/>
      <c r="AC11" s="430"/>
      <c r="AD11" s="430"/>
      <c r="AE11" s="430"/>
      <c r="AF11" s="430"/>
      <c r="AG11" s="430"/>
      <c r="AH11" s="430"/>
      <c r="AI11" s="430"/>
      <c r="AJ11" s="430"/>
      <c r="AK11" s="430"/>
      <c r="AL11" s="430"/>
      <c r="AM11" s="430"/>
      <c r="AN11" s="430"/>
      <c r="AO11" s="430"/>
      <c r="AP11" s="430"/>
      <c r="AQ11" s="430"/>
      <c r="AR11" s="430"/>
      <c r="AS11" s="430"/>
      <c r="AT11" s="430"/>
      <c r="AU11" s="430"/>
      <c r="AV11" s="430"/>
      <c r="AW11" s="430"/>
      <c r="AX11" s="430"/>
      <c r="AY11" s="430"/>
      <c r="AZ11" s="430"/>
      <c r="BA11" s="430"/>
      <c r="BB11" s="430"/>
      <c r="BC11" s="430"/>
      <c r="BD11" s="430"/>
      <c r="BE11" s="430"/>
      <c r="BF11" s="430"/>
      <c r="BG11" s="430"/>
      <c r="BH11" s="430"/>
      <c r="BI11" s="430"/>
      <c r="BJ11" s="430"/>
      <c r="BK11" s="430"/>
    </row>
    <row r="12" spans="1:63" s="32" customFormat="1">
      <c r="A12" s="510" t="s">
        <v>856</v>
      </c>
      <c r="B12" s="431"/>
      <c r="C12" s="432"/>
      <c r="D12" s="431"/>
      <c r="E12" s="492">
        <f>-'c12_oc'!E74</f>
        <v>0</v>
      </c>
      <c r="F12" s="469"/>
      <c r="G12" s="469"/>
      <c r="H12" s="469"/>
      <c r="I12" s="469"/>
      <c r="J12" s="469"/>
      <c r="K12" s="469"/>
      <c r="L12" s="492">
        <f>-'c12_oc'!L74</f>
        <v>-264555.125</v>
      </c>
      <c r="M12" s="492">
        <f>-'c12_oc'!M74</f>
        <v>-1654110.25</v>
      </c>
      <c r="N12" s="492">
        <f>-'c12_oc'!N74</f>
        <v>-2356165.375</v>
      </c>
      <c r="O12" s="492">
        <f>-'c12_oc'!O74</f>
        <v>-2964570.5</v>
      </c>
      <c r="P12" s="492">
        <f>-'c12_oc'!P74</f>
        <v>-2970159.2973749996</v>
      </c>
      <c r="Q12" s="492">
        <f>-'c12_oc'!Q74</f>
        <v>-2465036.0922499998</v>
      </c>
      <c r="R12" s="492">
        <f>-'c12_oc'!R74</f>
        <v>-2022503.3871249997</v>
      </c>
      <c r="S12" s="492">
        <f>-'c12_oc'!S74</f>
        <v>-1664945.5194999997</v>
      </c>
      <c r="T12" s="492">
        <f>-'c12_oc'!T74</f>
        <v>-1612953.8668849997</v>
      </c>
      <c r="U12" s="492">
        <f>-'c12_oc'!U74</f>
        <v>-1238953.8398315497</v>
      </c>
      <c r="V12" s="492">
        <f>-'c12_oc'!V74</f>
        <v>-2072783.8119664963</v>
      </c>
      <c r="W12" s="492">
        <f>-'c12_oc'!W74</f>
        <v>-2734101.9936666666</v>
      </c>
      <c r="X12" s="430"/>
      <c r="Y12" s="430"/>
      <c r="Z12" s="430"/>
      <c r="AA12" s="430"/>
      <c r="AB12" s="430"/>
      <c r="AC12" s="430"/>
      <c r="AD12" s="430"/>
      <c r="AE12" s="430"/>
      <c r="AF12" s="430"/>
      <c r="AG12" s="430"/>
      <c r="AH12" s="430"/>
      <c r="AI12" s="430"/>
      <c r="AJ12" s="430"/>
      <c r="AK12" s="430"/>
      <c r="AL12" s="430"/>
      <c r="AM12" s="430"/>
      <c r="AN12" s="430"/>
      <c r="AO12" s="430"/>
      <c r="AP12" s="430"/>
      <c r="AQ12" s="430"/>
      <c r="AR12" s="430"/>
      <c r="AS12" s="430"/>
      <c r="AT12" s="430"/>
      <c r="AU12" s="430"/>
      <c r="AV12" s="430"/>
      <c r="AW12" s="430"/>
      <c r="AX12" s="430"/>
      <c r="AY12" s="430"/>
      <c r="AZ12" s="430"/>
      <c r="BA12" s="430"/>
      <c r="BB12" s="430"/>
      <c r="BC12" s="430"/>
      <c r="BD12" s="430"/>
      <c r="BE12" s="430"/>
      <c r="BF12" s="430"/>
      <c r="BG12" s="430"/>
      <c r="BH12" s="430"/>
      <c r="BI12" s="430"/>
      <c r="BJ12" s="430"/>
      <c r="BK12" s="430"/>
    </row>
    <row r="13" spans="1:63" s="32" customFormat="1">
      <c r="A13" s="510" t="s">
        <v>857</v>
      </c>
      <c r="B13" s="431"/>
      <c r="C13" s="432"/>
      <c r="D13" s="431"/>
      <c r="E13" s="492">
        <f t="shared" ref="E13:W13" si="2">SUM(E11:E12)</f>
        <v>9950</v>
      </c>
      <c r="F13" s="469"/>
      <c r="G13" s="469"/>
      <c r="H13" s="469"/>
      <c r="I13" s="469"/>
      <c r="J13" s="469"/>
      <c r="K13" s="469"/>
      <c r="L13" s="492">
        <f t="shared" si="2"/>
        <v>-254605.125</v>
      </c>
      <c r="M13" s="492">
        <f t="shared" si="2"/>
        <v>-1644160.25</v>
      </c>
      <c r="N13" s="492">
        <f t="shared" si="2"/>
        <v>-2346215.375</v>
      </c>
      <c r="O13" s="492">
        <f t="shared" si="2"/>
        <v>-2954620.5</v>
      </c>
      <c r="P13" s="492">
        <f t="shared" si="2"/>
        <v>-1666653.8107083328</v>
      </c>
      <c r="Q13" s="492">
        <f t="shared" si="2"/>
        <v>1059872.1592976195</v>
      </c>
      <c r="R13" s="492">
        <f t="shared" si="2"/>
        <v>3651675.024040415</v>
      </c>
      <c r="S13" s="492">
        <f t="shared" si="2"/>
        <v>7478059.5295726834</v>
      </c>
      <c r="T13" s="492">
        <f t="shared" si="2"/>
        <v>9939830.0567114931</v>
      </c>
      <c r="U13" s="492">
        <f t="shared" si="2"/>
        <v>10883494.276765419</v>
      </c>
      <c r="V13" s="492">
        <f t="shared" si="2"/>
        <v>11797253.86963525</v>
      </c>
      <c r="W13" s="492">
        <f t="shared" si="2"/>
        <v>8407521.3943697773</v>
      </c>
      <c r="X13" s="430"/>
      <c r="Y13" s="430"/>
      <c r="Z13" s="430"/>
      <c r="AA13" s="430"/>
      <c r="AB13" s="430"/>
      <c r="AC13" s="430"/>
      <c r="AD13" s="430"/>
      <c r="AE13" s="430"/>
      <c r="AF13" s="430"/>
      <c r="AG13" s="430"/>
      <c r="AH13" s="430"/>
      <c r="AI13" s="430"/>
      <c r="AJ13" s="430"/>
      <c r="AK13" s="430"/>
      <c r="AL13" s="430"/>
      <c r="AM13" s="430"/>
      <c r="AN13" s="430"/>
      <c r="AO13" s="430"/>
      <c r="AP13" s="430"/>
      <c r="AQ13" s="430"/>
      <c r="AR13" s="430"/>
      <c r="AS13" s="430"/>
      <c r="AT13" s="430"/>
      <c r="AU13" s="430"/>
      <c r="AV13" s="430"/>
      <c r="AW13" s="430"/>
      <c r="AX13" s="430"/>
      <c r="AY13" s="430"/>
      <c r="AZ13" s="430"/>
      <c r="BA13" s="430"/>
      <c r="BB13" s="430"/>
      <c r="BC13" s="430"/>
      <c r="BD13" s="430"/>
      <c r="BE13" s="430"/>
      <c r="BF13" s="430"/>
      <c r="BG13" s="430"/>
      <c r="BH13" s="430"/>
      <c r="BI13" s="430"/>
      <c r="BJ13" s="430"/>
      <c r="BK13" s="430"/>
    </row>
    <row r="14" spans="1:63" s="6" customFormat="1">
      <c r="A14" s="430"/>
      <c r="B14" s="431"/>
      <c r="C14" s="432"/>
      <c r="D14" s="431"/>
      <c r="E14" s="430"/>
      <c r="F14" s="430"/>
      <c r="G14" s="430"/>
      <c r="H14" s="430"/>
      <c r="I14" s="430"/>
      <c r="J14" s="430"/>
      <c r="K14" s="430"/>
      <c r="L14" s="430"/>
      <c r="M14" s="430"/>
      <c r="N14" s="430"/>
      <c r="O14" s="430"/>
      <c r="P14" s="430"/>
      <c r="Q14" s="430"/>
      <c r="R14" s="430"/>
      <c r="S14" s="430"/>
      <c r="T14" s="430"/>
      <c r="U14" s="430"/>
      <c r="V14" s="430"/>
      <c r="W14" s="430"/>
      <c r="X14" s="430"/>
      <c r="Y14" s="430"/>
      <c r="Z14" s="430"/>
      <c r="AA14" s="430"/>
      <c r="AB14" s="430"/>
      <c r="AC14" s="430"/>
      <c r="AD14" s="430"/>
      <c r="AE14" s="430"/>
      <c r="AF14" s="430"/>
      <c r="AG14" s="430"/>
      <c r="AH14" s="430"/>
      <c r="AI14" s="430"/>
      <c r="AJ14" s="430"/>
      <c r="AK14" s="430"/>
      <c r="AL14" s="430"/>
      <c r="AM14" s="430"/>
      <c r="AN14" s="430"/>
      <c r="AO14" s="430"/>
      <c r="AP14" s="430"/>
      <c r="AQ14" s="430"/>
      <c r="AR14" s="430"/>
      <c r="AS14" s="430"/>
      <c r="AT14" s="430"/>
      <c r="AU14" s="430"/>
      <c r="AV14" s="430"/>
      <c r="AW14" s="430"/>
      <c r="AX14" s="430"/>
      <c r="AY14" s="430"/>
      <c r="AZ14" s="430"/>
      <c r="BA14" s="430"/>
      <c r="BB14" s="430"/>
      <c r="BC14" s="430"/>
      <c r="BD14" s="430"/>
      <c r="BE14" s="430"/>
      <c r="BF14" s="430"/>
      <c r="BG14" s="430"/>
      <c r="BH14" s="430"/>
      <c r="BI14" s="430"/>
      <c r="BJ14" s="430"/>
      <c r="BK14" s="430"/>
    </row>
    <row r="15" spans="1:63" s="32" customFormat="1">
      <c r="A15" s="510" t="s">
        <v>858</v>
      </c>
      <c r="B15" s="431"/>
      <c r="C15" s="432"/>
      <c r="D15" s="431"/>
      <c r="E15" s="430"/>
      <c r="F15" s="430"/>
      <c r="G15" s="430"/>
      <c r="H15" s="430"/>
      <c r="I15" s="430"/>
      <c r="J15" s="430"/>
      <c r="K15" s="430"/>
      <c r="L15" s="430"/>
      <c r="M15" s="430"/>
      <c r="N15" s="430"/>
      <c r="O15" s="430"/>
      <c r="P15" s="430"/>
      <c r="Q15" s="430"/>
      <c r="R15" s="430"/>
      <c r="S15" s="430"/>
      <c r="T15" s="430"/>
      <c r="U15" s="430"/>
      <c r="V15" s="430"/>
      <c r="W15" s="430"/>
      <c r="X15" s="430"/>
      <c r="Y15" s="430"/>
      <c r="Z15" s="430"/>
      <c r="AA15" s="430"/>
      <c r="AB15" s="430"/>
      <c r="AC15" s="430"/>
      <c r="AD15" s="430"/>
      <c r="AE15" s="430"/>
      <c r="AF15" s="430"/>
      <c r="AG15" s="430"/>
      <c r="AH15" s="430"/>
      <c r="AI15" s="430"/>
      <c r="AJ15" s="430"/>
      <c r="AK15" s="430"/>
      <c r="AL15" s="430"/>
      <c r="AM15" s="430"/>
      <c r="AN15" s="430"/>
      <c r="AO15" s="430"/>
      <c r="AP15" s="430"/>
      <c r="AQ15" s="430"/>
      <c r="AR15" s="430"/>
      <c r="AS15" s="430"/>
      <c r="AT15" s="430"/>
      <c r="AU15" s="430"/>
      <c r="AV15" s="430"/>
      <c r="AW15" s="430"/>
      <c r="AX15" s="430"/>
      <c r="AY15" s="430"/>
      <c r="AZ15" s="430"/>
      <c r="BA15" s="430"/>
      <c r="BB15" s="430"/>
      <c r="BC15" s="430"/>
      <c r="BD15" s="430"/>
      <c r="BE15" s="430"/>
      <c r="BF15" s="430"/>
      <c r="BG15" s="430"/>
      <c r="BH15" s="430"/>
      <c r="BI15" s="430"/>
      <c r="BJ15" s="430"/>
      <c r="BK15" s="430"/>
    </row>
    <row r="16" spans="1:63" s="32" customFormat="1">
      <c r="A16" s="510" t="s">
        <v>859</v>
      </c>
      <c r="B16" s="431"/>
      <c r="C16" s="432"/>
      <c r="D16" s="431"/>
      <c r="E16" s="492">
        <f>'c12_oc'!E62</f>
        <v>-1540999</v>
      </c>
      <c r="F16" s="430"/>
      <c r="G16" s="430"/>
      <c r="H16" s="430"/>
      <c r="I16" s="430"/>
      <c r="J16" s="430"/>
      <c r="K16" s="430"/>
      <c r="L16" s="492">
        <f>'c12_oc'!L62</f>
        <v>-2137441.8189285714</v>
      </c>
      <c r="M16" s="492">
        <f>'c12_oc'!M62</f>
        <v>-2659732.6378571428</v>
      </c>
      <c r="N16" s="492">
        <f>'c12_oc'!N62</f>
        <v>-2934829.4567857143</v>
      </c>
      <c r="O16" s="492">
        <f>'c12_oc'!O62</f>
        <v>-1924884.2757142857</v>
      </c>
      <c r="P16" s="492">
        <f>'c12_oc'!P62</f>
        <v>0</v>
      </c>
      <c r="Q16" s="492">
        <f>'c12_oc'!Q62</f>
        <v>0</v>
      </c>
      <c r="R16" s="492">
        <f>'c12_oc'!R62</f>
        <v>0</v>
      </c>
      <c r="S16" s="492">
        <f>'c12_oc'!S62</f>
        <v>0</v>
      </c>
      <c r="T16" s="492">
        <f>'c12_oc'!T62</f>
        <v>0</v>
      </c>
      <c r="U16" s="492">
        <f>'c12_oc'!U62</f>
        <v>0</v>
      </c>
      <c r="V16" s="492">
        <f>'c12_oc'!V62</f>
        <v>0</v>
      </c>
      <c r="W16" s="492">
        <f>'c12_oc'!W62</f>
        <v>0</v>
      </c>
      <c r="X16" s="430"/>
      <c r="Y16" s="430"/>
      <c r="Z16" s="430"/>
      <c r="AA16" s="430"/>
      <c r="AB16" s="430"/>
      <c r="AC16" s="430"/>
      <c r="AD16" s="430"/>
      <c r="AE16" s="430"/>
      <c r="AF16" s="430"/>
      <c r="AG16" s="430"/>
      <c r="AH16" s="430"/>
      <c r="AI16" s="430"/>
      <c r="AJ16" s="430"/>
      <c r="AK16" s="430"/>
      <c r="AL16" s="430"/>
      <c r="AM16" s="430"/>
      <c r="AN16" s="430"/>
      <c r="AO16" s="430"/>
      <c r="AP16" s="430"/>
      <c r="AQ16" s="430"/>
      <c r="AR16" s="430"/>
      <c r="AS16" s="430"/>
      <c r="AT16" s="430"/>
      <c r="AU16" s="430"/>
      <c r="AV16" s="430"/>
      <c r="AW16" s="430"/>
      <c r="AX16" s="430"/>
      <c r="AY16" s="430"/>
      <c r="AZ16" s="430"/>
      <c r="BA16" s="430"/>
      <c r="BB16" s="430"/>
      <c r="BC16" s="430"/>
      <c r="BD16" s="430"/>
      <c r="BE16" s="430"/>
      <c r="BF16" s="430"/>
      <c r="BG16" s="430"/>
      <c r="BH16" s="430"/>
      <c r="BI16" s="430"/>
      <c r="BJ16" s="430"/>
      <c r="BK16" s="430"/>
    </row>
    <row r="17" spans="1:63" s="6" customFormat="1">
      <c r="A17" s="430"/>
      <c r="B17" s="431"/>
      <c r="C17" s="432"/>
      <c r="D17" s="431"/>
      <c r="E17" s="430"/>
      <c r="F17" s="473"/>
      <c r="G17" s="473"/>
      <c r="H17" s="473"/>
      <c r="I17" s="473"/>
      <c r="J17" s="473"/>
      <c r="K17" s="473"/>
      <c r="L17" s="430"/>
      <c r="M17" s="430"/>
      <c r="N17" s="430"/>
      <c r="O17" s="430"/>
      <c r="P17" s="430"/>
      <c r="Q17" s="430"/>
      <c r="R17" s="430"/>
      <c r="S17" s="430"/>
      <c r="T17" s="430"/>
      <c r="U17" s="430"/>
      <c r="V17" s="430"/>
      <c r="W17" s="430"/>
      <c r="X17" s="430"/>
      <c r="Y17" s="430"/>
      <c r="Z17" s="430"/>
      <c r="AA17" s="430"/>
      <c r="AB17" s="430"/>
      <c r="AC17" s="430"/>
      <c r="AD17" s="430"/>
      <c r="AE17" s="430"/>
      <c r="AF17" s="430"/>
      <c r="AG17" s="430"/>
      <c r="AH17" s="430"/>
      <c r="AI17" s="430"/>
      <c r="AJ17" s="430"/>
      <c r="AK17" s="430"/>
      <c r="AL17" s="430"/>
      <c r="AM17" s="430"/>
      <c r="AN17" s="430"/>
      <c r="AO17" s="430"/>
      <c r="AP17" s="430"/>
      <c r="AQ17" s="430"/>
      <c r="AR17" s="430"/>
      <c r="AS17" s="430"/>
      <c r="AT17" s="430"/>
      <c r="AU17" s="430"/>
      <c r="AV17" s="430"/>
      <c r="AW17" s="430"/>
      <c r="AX17" s="430"/>
      <c r="AY17" s="430"/>
      <c r="AZ17" s="430"/>
      <c r="BA17" s="430"/>
      <c r="BB17" s="430"/>
      <c r="BC17" s="430"/>
      <c r="BD17" s="430"/>
      <c r="BE17" s="430"/>
      <c r="BF17" s="430"/>
      <c r="BG17" s="430"/>
      <c r="BH17" s="430"/>
      <c r="BI17" s="430"/>
      <c r="BJ17" s="430"/>
      <c r="BK17" s="430"/>
    </row>
    <row r="18" spans="1:63" s="32" customFormat="1">
      <c r="A18" s="510" t="s">
        <v>235</v>
      </c>
      <c r="B18" s="431"/>
      <c r="C18" s="432"/>
      <c r="D18" s="431"/>
      <c r="E18" s="492">
        <f t="shared" ref="E18:W18" si="3">E16+E13</f>
        <v>-1531049</v>
      </c>
      <c r="F18" s="473"/>
      <c r="G18" s="473"/>
      <c r="H18" s="473"/>
      <c r="I18" s="473"/>
      <c r="J18" s="473"/>
      <c r="K18" s="473"/>
      <c r="L18" s="492">
        <f t="shared" si="3"/>
        <v>-2392046.9439285714</v>
      </c>
      <c r="M18" s="492">
        <f t="shared" si="3"/>
        <v>-4303892.8878571428</v>
      </c>
      <c r="N18" s="492">
        <f t="shared" si="3"/>
        <v>-5281044.8317857143</v>
      </c>
      <c r="O18" s="492">
        <f t="shared" si="3"/>
        <v>-4879504.7757142857</v>
      </c>
      <c r="P18" s="492">
        <f t="shared" si="3"/>
        <v>-1666653.8107083328</v>
      </c>
      <c r="Q18" s="492">
        <f t="shared" si="3"/>
        <v>1059872.1592976195</v>
      </c>
      <c r="R18" s="492">
        <f t="shared" si="3"/>
        <v>3651675.024040415</v>
      </c>
      <c r="S18" s="492">
        <f t="shared" si="3"/>
        <v>7478059.5295726834</v>
      </c>
      <c r="T18" s="492">
        <f t="shared" si="3"/>
        <v>9939830.0567114931</v>
      </c>
      <c r="U18" s="492">
        <f t="shared" si="3"/>
        <v>10883494.276765419</v>
      </c>
      <c r="V18" s="492">
        <f t="shared" si="3"/>
        <v>11797253.86963525</v>
      </c>
      <c r="W18" s="492">
        <f t="shared" si="3"/>
        <v>8407521.3943697773</v>
      </c>
      <c r="X18" s="430"/>
      <c r="Y18" s="430"/>
      <c r="Z18" s="430"/>
      <c r="AA18" s="430"/>
      <c r="AB18" s="430"/>
      <c r="AC18" s="430"/>
      <c r="AD18" s="430"/>
      <c r="AE18" s="430"/>
      <c r="AF18" s="430"/>
      <c r="AG18" s="430"/>
      <c r="AH18" s="430"/>
      <c r="AI18" s="430"/>
      <c r="AJ18" s="430"/>
      <c r="AK18" s="430"/>
      <c r="AL18" s="430"/>
      <c r="AM18" s="430"/>
      <c r="AN18" s="430"/>
      <c r="AO18" s="430"/>
      <c r="AP18" s="430"/>
      <c r="AQ18" s="430"/>
      <c r="AR18" s="430"/>
      <c r="AS18" s="430"/>
      <c r="AT18" s="430"/>
      <c r="AU18" s="430"/>
      <c r="AV18" s="430"/>
      <c r="AW18" s="430"/>
      <c r="AX18" s="430"/>
      <c r="AY18" s="430"/>
      <c r="AZ18" s="430"/>
      <c r="BA18" s="430"/>
      <c r="BB18" s="430"/>
      <c r="BC18" s="430"/>
      <c r="BD18" s="430"/>
      <c r="BE18" s="430"/>
      <c r="BF18" s="430"/>
      <c r="BG18" s="430"/>
      <c r="BH18" s="430"/>
      <c r="BI18" s="430"/>
      <c r="BJ18" s="430"/>
      <c r="BK18" s="430"/>
    </row>
    <row r="19" spans="1:63" s="6" customFormat="1">
      <c r="A19" s="430"/>
      <c r="B19" s="431"/>
      <c r="C19" s="432"/>
      <c r="D19" s="431"/>
      <c r="E19" s="430"/>
      <c r="F19" s="464"/>
      <c r="G19" s="464"/>
      <c r="H19" s="464"/>
      <c r="I19" s="464"/>
      <c r="J19" s="464"/>
      <c r="K19" s="464"/>
      <c r="L19" s="430"/>
      <c r="M19" s="430"/>
      <c r="N19" s="430"/>
      <c r="O19" s="430"/>
      <c r="P19" s="430"/>
      <c r="Q19" s="430"/>
      <c r="R19" s="430"/>
      <c r="S19" s="430"/>
      <c r="T19" s="430"/>
      <c r="U19" s="430"/>
      <c r="V19" s="430"/>
      <c r="W19" s="430"/>
      <c r="X19" s="430"/>
      <c r="Y19" s="430"/>
      <c r="Z19" s="430"/>
      <c r="AA19" s="430"/>
      <c r="AB19" s="430"/>
      <c r="AC19" s="430"/>
      <c r="AD19" s="430"/>
      <c r="AE19" s="430"/>
      <c r="AF19" s="430"/>
      <c r="AG19" s="430"/>
      <c r="AH19" s="430"/>
      <c r="AI19" s="430"/>
      <c r="AJ19" s="430"/>
      <c r="AK19" s="430"/>
      <c r="AL19" s="430"/>
      <c r="AM19" s="430"/>
      <c r="AN19" s="430"/>
      <c r="AO19" s="430"/>
      <c r="AP19" s="430"/>
      <c r="AQ19" s="430"/>
      <c r="AR19" s="430"/>
      <c r="AS19" s="430"/>
      <c r="AT19" s="430"/>
      <c r="AU19" s="430"/>
      <c r="AV19" s="430"/>
      <c r="AW19" s="430"/>
      <c r="AX19" s="430"/>
      <c r="AY19" s="430"/>
      <c r="AZ19" s="430"/>
      <c r="BA19" s="430"/>
      <c r="BB19" s="430"/>
      <c r="BC19" s="430"/>
      <c r="BD19" s="430"/>
      <c r="BE19" s="430"/>
      <c r="BF19" s="430"/>
      <c r="BG19" s="430"/>
      <c r="BH19" s="430"/>
      <c r="BI19" s="430"/>
      <c r="BJ19" s="430"/>
      <c r="BK19" s="430"/>
    </row>
    <row r="20" spans="1:63">
      <c r="A20" s="430"/>
      <c r="B20" s="430"/>
      <c r="C20" s="430"/>
      <c r="D20" s="430"/>
      <c r="E20" s="430"/>
      <c r="F20" s="430"/>
      <c r="G20" s="430"/>
      <c r="H20" s="430"/>
      <c r="I20" s="430"/>
      <c r="J20" s="430"/>
      <c r="K20" s="430"/>
      <c r="L20" s="430"/>
      <c r="M20" s="430"/>
      <c r="N20" s="430"/>
      <c r="O20" s="430"/>
      <c r="P20" s="430"/>
      <c r="Q20" s="430"/>
      <c r="R20" s="430"/>
      <c r="S20" s="430"/>
      <c r="T20" s="430"/>
      <c r="U20" s="430"/>
      <c r="V20" s="430"/>
      <c r="W20" s="430"/>
      <c r="X20" s="430"/>
      <c r="Y20" s="430"/>
      <c r="Z20" s="430"/>
      <c r="AA20" s="430"/>
      <c r="AB20" s="430"/>
      <c r="AC20" s="430"/>
      <c r="AD20" s="430"/>
      <c r="AE20" s="430"/>
      <c r="AF20" s="430"/>
      <c r="AG20" s="430"/>
      <c r="AH20" s="430"/>
      <c r="AI20" s="430"/>
      <c r="AJ20" s="430"/>
      <c r="AK20" s="430"/>
      <c r="AL20" s="430"/>
      <c r="AM20" s="430"/>
      <c r="AN20" s="430"/>
      <c r="AO20" s="430"/>
      <c r="AP20" s="430"/>
      <c r="AQ20" s="430"/>
      <c r="AR20" s="430"/>
      <c r="AS20" s="430"/>
      <c r="AT20" s="430"/>
      <c r="AU20" s="430"/>
      <c r="AV20" s="430"/>
      <c r="AW20" s="430"/>
      <c r="AX20" s="430"/>
      <c r="AY20" s="430"/>
      <c r="AZ20" s="430"/>
      <c r="BA20" s="430"/>
      <c r="BB20" s="430"/>
      <c r="BC20" s="430"/>
      <c r="BD20" s="430"/>
      <c r="BE20" s="430"/>
      <c r="BF20" s="430"/>
      <c r="BG20" s="430"/>
      <c r="BH20" s="430"/>
      <c r="BI20" s="430"/>
      <c r="BJ20" s="430"/>
      <c r="BK20" s="430"/>
    </row>
    <row r="21" spans="1:63">
      <c r="A21" s="430"/>
      <c r="B21" s="430"/>
      <c r="C21" s="430"/>
      <c r="D21" s="430"/>
      <c r="E21" s="430"/>
      <c r="F21" s="478"/>
      <c r="G21" s="478"/>
      <c r="H21" s="478"/>
      <c r="I21" s="478"/>
      <c r="J21" s="478"/>
      <c r="K21" s="478"/>
      <c r="L21" s="430"/>
      <c r="M21" s="430"/>
      <c r="N21" s="430"/>
      <c r="O21" s="430"/>
      <c r="P21" s="430"/>
      <c r="Q21" s="430"/>
      <c r="R21" s="430"/>
      <c r="S21" s="430"/>
      <c r="T21" s="430"/>
      <c r="U21" s="430"/>
      <c r="V21" s="430"/>
      <c r="W21" s="430"/>
      <c r="X21" s="430"/>
      <c r="Y21" s="430"/>
      <c r="Z21" s="430"/>
      <c r="AA21" s="430"/>
      <c r="AB21" s="430"/>
      <c r="AC21" s="430"/>
      <c r="AD21" s="430"/>
      <c r="AE21" s="430"/>
      <c r="AF21" s="430"/>
      <c r="AG21" s="430"/>
      <c r="AH21" s="430"/>
      <c r="AI21" s="430"/>
      <c r="AJ21" s="430"/>
      <c r="AK21" s="430"/>
      <c r="AL21" s="430"/>
      <c r="AM21" s="430"/>
      <c r="AN21" s="430"/>
      <c r="AO21" s="430"/>
      <c r="AP21" s="430"/>
      <c r="AQ21" s="430"/>
      <c r="AR21" s="430"/>
      <c r="AS21" s="430"/>
      <c r="AT21" s="430"/>
      <c r="AU21" s="430"/>
      <c r="AV21" s="430"/>
      <c r="AW21" s="430"/>
      <c r="AX21" s="430"/>
      <c r="AY21" s="430"/>
      <c r="AZ21" s="430"/>
      <c r="BA21" s="430"/>
      <c r="BB21" s="430"/>
      <c r="BC21" s="430"/>
      <c r="BD21" s="430"/>
      <c r="BE21" s="430"/>
      <c r="BF21" s="430"/>
      <c r="BG21" s="430"/>
      <c r="BH21" s="430"/>
      <c r="BI21" s="430"/>
      <c r="BJ21" s="430"/>
      <c r="BK21" s="430"/>
    </row>
    <row r="22" spans="1:63">
      <c r="A22" s="430"/>
      <c r="B22" s="430"/>
      <c r="C22" s="430"/>
      <c r="D22" s="430"/>
      <c r="E22" s="430"/>
      <c r="F22" s="464"/>
      <c r="G22" s="464"/>
      <c r="H22" s="464"/>
      <c r="I22" s="464"/>
      <c r="J22" s="464"/>
      <c r="K22" s="464"/>
      <c r="L22" s="430"/>
      <c r="M22" s="430"/>
      <c r="N22" s="430"/>
      <c r="O22" s="430"/>
      <c r="P22" s="430"/>
      <c r="Q22" s="430"/>
      <c r="R22" s="430"/>
      <c r="S22" s="430"/>
      <c r="T22" s="430"/>
      <c r="U22" s="430"/>
      <c r="V22" s="430"/>
      <c r="W22" s="430"/>
      <c r="X22" s="430"/>
      <c r="Y22" s="430"/>
      <c r="Z22" s="430"/>
      <c r="AA22" s="430"/>
      <c r="AB22" s="430"/>
      <c r="AC22" s="430"/>
      <c r="AD22" s="430"/>
      <c r="AE22" s="430"/>
      <c r="AF22" s="430"/>
      <c r="AG22" s="430"/>
      <c r="AH22" s="430"/>
      <c r="AI22" s="430"/>
      <c r="AJ22" s="430"/>
      <c r="AK22" s="430"/>
      <c r="AL22" s="430"/>
      <c r="AM22" s="430"/>
      <c r="AN22" s="430"/>
      <c r="AO22" s="430"/>
      <c r="AP22" s="430"/>
      <c r="AQ22" s="430"/>
      <c r="AR22" s="430"/>
      <c r="AS22" s="430"/>
      <c r="AT22" s="430"/>
      <c r="AU22" s="430"/>
      <c r="AV22" s="430"/>
      <c r="AW22" s="430"/>
      <c r="AX22" s="430"/>
      <c r="AY22" s="430"/>
      <c r="AZ22" s="430"/>
      <c r="BA22" s="430"/>
      <c r="BB22" s="430"/>
      <c r="BC22" s="430"/>
      <c r="BD22" s="430"/>
      <c r="BE22" s="430"/>
      <c r="BF22" s="430"/>
      <c r="BG22" s="430"/>
      <c r="BH22" s="430"/>
      <c r="BI22" s="430"/>
      <c r="BJ22" s="430"/>
      <c r="BK22" s="430"/>
    </row>
    <row r="23" spans="1:63">
      <c r="A23" s="430"/>
      <c r="B23" s="430"/>
      <c r="C23" s="430"/>
      <c r="D23" s="430"/>
      <c r="E23" s="430"/>
      <c r="F23" s="464"/>
      <c r="G23" s="464"/>
      <c r="H23" s="464"/>
      <c r="I23" s="464"/>
      <c r="J23" s="464"/>
      <c r="K23" s="464"/>
      <c r="L23" s="430"/>
      <c r="M23" s="430"/>
      <c r="N23" s="430"/>
      <c r="O23" s="430"/>
      <c r="P23" s="430"/>
      <c r="Q23" s="430"/>
      <c r="R23" s="430"/>
      <c r="S23" s="430"/>
      <c r="T23" s="430"/>
      <c r="U23" s="430"/>
      <c r="V23" s="430"/>
      <c r="W23" s="430"/>
      <c r="X23" s="430"/>
      <c r="Y23" s="430"/>
      <c r="Z23" s="430"/>
      <c r="AA23" s="430"/>
      <c r="AB23" s="430"/>
      <c r="AC23" s="430"/>
      <c r="AD23" s="430"/>
      <c r="AE23" s="430"/>
      <c r="AF23" s="430"/>
      <c r="AG23" s="430"/>
      <c r="AH23" s="430"/>
      <c r="AI23" s="430"/>
      <c r="AJ23" s="430"/>
      <c r="AK23" s="430"/>
      <c r="AL23" s="430"/>
      <c r="AM23" s="430"/>
      <c r="AN23" s="430"/>
      <c r="AO23" s="430"/>
      <c r="AP23" s="430"/>
      <c r="AQ23" s="430"/>
      <c r="AR23" s="430"/>
      <c r="AS23" s="430"/>
      <c r="AT23" s="430"/>
      <c r="AU23" s="430"/>
      <c r="AV23" s="430"/>
      <c r="AW23" s="430"/>
      <c r="AX23" s="430"/>
      <c r="AY23" s="430"/>
      <c r="AZ23" s="430"/>
      <c r="BA23" s="430"/>
      <c r="BB23" s="430"/>
      <c r="BC23" s="430"/>
      <c r="BD23" s="430"/>
      <c r="BE23" s="430"/>
      <c r="BF23" s="430"/>
      <c r="BG23" s="430"/>
      <c r="BH23" s="430"/>
      <c r="BI23" s="430"/>
      <c r="BJ23" s="430"/>
      <c r="BK23" s="430"/>
    </row>
    <row r="24" spans="1:63">
      <c r="A24" s="430"/>
      <c r="B24" s="430"/>
      <c r="C24" s="430"/>
      <c r="D24" s="430"/>
      <c r="E24" s="430"/>
      <c r="F24" s="464"/>
      <c r="G24" s="464"/>
      <c r="H24" s="464"/>
      <c r="I24" s="464"/>
      <c r="J24" s="464"/>
      <c r="K24" s="464"/>
      <c r="L24" s="430"/>
      <c r="M24" s="430"/>
      <c r="N24" s="430"/>
      <c r="O24" s="430"/>
      <c r="P24" s="430"/>
      <c r="Q24" s="430"/>
      <c r="R24" s="430"/>
      <c r="S24" s="430"/>
      <c r="T24" s="430"/>
      <c r="U24" s="430"/>
      <c r="V24" s="430"/>
      <c r="W24" s="430"/>
      <c r="X24" s="430"/>
      <c r="Y24" s="430"/>
      <c r="Z24" s="430"/>
      <c r="AA24" s="430"/>
      <c r="AB24" s="430"/>
      <c r="AC24" s="430"/>
      <c r="AD24" s="430"/>
      <c r="AE24" s="430"/>
      <c r="AF24" s="430"/>
      <c r="AG24" s="430"/>
      <c r="AH24" s="430"/>
      <c r="AI24" s="430"/>
      <c r="AJ24" s="430"/>
      <c r="AK24" s="430"/>
      <c r="AL24" s="430"/>
      <c r="AM24" s="430"/>
      <c r="AN24" s="430"/>
      <c r="AO24" s="430"/>
      <c r="AP24" s="430"/>
      <c r="AQ24" s="430"/>
      <c r="AR24" s="430"/>
      <c r="AS24" s="430"/>
      <c r="AT24" s="430"/>
      <c r="AU24" s="430"/>
      <c r="AV24" s="430"/>
      <c r="AW24" s="430"/>
      <c r="AX24" s="430"/>
      <c r="AY24" s="430"/>
      <c r="AZ24" s="430"/>
      <c r="BA24" s="430"/>
      <c r="BB24" s="430"/>
      <c r="BC24" s="430"/>
      <c r="BD24" s="430"/>
      <c r="BE24" s="430"/>
      <c r="BF24" s="430"/>
      <c r="BG24" s="430"/>
      <c r="BH24" s="430"/>
      <c r="BI24" s="430"/>
      <c r="BJ24" s="430"/>
      <c r="BK24" s="430"/>
    </row>
    <row r="25" spans="1:63">
      <c r="A25" s="430"/>
      <c r="B25" s="430"/>
      <c r="C25" s="430"/>
      <c r="D25" s="430"/>
      <c r="E25" s="430"/>
      <c r="F25" s="464"/>
      <c r="G25" s="464"/>
      <c r="H25" s="464"/>
      <c r="I25" s="464"/>
      <c r="J25" s="464"/>
      <c r="K25" s="464"/>
      <c r="L25" s="430"/>
      <c r="M25" s="430"/>
      <c r="N25" s="430"/>
      <c r="O25" s="430"/>
      <c r="P25" s="430"/>
      <c r="Q25" s="430"/>
      <c r="R25" s="430"/>
      <c r="S25" s="430"/>
      <c r="T25" s="430"/>
      <c r="U25" s="430"/>
      <c r="V25" s="430"/>
      <c r="W25" s="430"/>
      <c r="X25" s="430"/>
      <c r="Y25" s="430"/>
      <c r="Z25" s="430"/>
      <c r="AA25" s="430"/>
      <c r="AB25" s="430"/>
      <c r="AC25" s="430"/>
      <c r="AD25" s="430"/>
      <c r="AE25" s="430"/>
      <c r="AF25" s="430"/>
      <c r="AG25" s="430"/>
      <c r="AH25" s="430"/>
      <c r="AI25" s="430"/>
      <c r="AJ25" s="430"/>
      <c r="AK25" s="430"/>
      <c r="AL25" s="430"/>
      <c r="AM25" s="430"/>
      <c r="AN25" s="430"/>
      <c r="AO25" s="430"/>
      <c r="AP25" s="430"/>
      <c r="AQ25" s="430"/>
      <c r="AR25" s="430"/>
      <c r="AS25" s="430"/>
      <c r="AT25" s="430"/>
      <c r="AU25" s="430"/>
      <c r="AV25" s="430"/>
      <c r="AW25" s="430"/>
      <c r="AX25" s="430"/>
      <c r="AY25" s="430"/>
      <c r="AZ25" s="430"/>
      <c r="BA25" s="430"/>
      <c r="BB25" s="430"/>
      <c r="BC25" s="430"/>
      <c r="BD25" s="430"/>
      <c r="BE25" s="430"/>
      <c r="BF25" s="430"/>
      <c r="BG25" s="430"/>
      <c r="BH25" s="430"/>
      <c r="BI25" s="430"/>
      <c r="BJ25" s="430"/>
      <c r="BK25" s="430"/>
    </row>
    <row r="26" spans="1:63">
      <c r="A26" s="430"/>
      <c r="B26" s="430"/>
      <c r="C26" s="430"/>
      <c r="D26" s="430"/>
      <c r="E26" s="430"/>
      <c r="F26" s="464"/>
      <c r="G26" s="464"/>
      <c r="H26" s="464"/>
      <c r="I26" s="464"/>
      <c r="J26" s="464"/>
      <c r="K26" s="464"/>
      <c r="L26" s="430"/>
      <c r="M26" s="430"/>
      <c r="N26" s="430"/>
      <c r="O26" s="430"/>
      <c r="P26" s="430"/>
      <c r="Q26" s="430"/>
      <c r="R26" s="430"/>
      <c r="S26" s="430"/>
      <c r="T26" s="430"/>
      <c r="U26" s="430"/>
      <c r="V26" s="430"/>
      <c r="W26" s="430"/>
      <c r="X26" s="430"/>
      <c r="Y26" s="430"/>
      <c r="Z26" s="430"/>
      <c r="AA26" s="430"/>
      <c r="AB26" s="430"/>
      <c r="AC26" s="430"/>
      <c r="AD26" s="430"/>
      <c r="AE26" s="430"/>
      <c r="AF26" s="430"/>
      <c r="AG26" s="430"/>
      <c r="AH26" s="430"/>
      <c r="AI26" s="430"/>
      <c r="AJ26" s="430"/>
      <c r="AK26" s="430"/>
      <c r="AL26" s="430"/>
      <c r="AM26" s="430"/>
      <c r="AN26" s="430"/>
      <c r="AO26" s="430"/>
      <c r="AP26" s="430"/>
      <c r="AQ26" s="430"/>
      <c r="AR26" s="430"/>
      <c r="AS26" s="430"/>
      <c r="AT26" s="430"/>
      <c r="AU26" s="430"/>
      <c r="AV26" s="430"/>
      <c r="AW26" s="430"/>
      <c r="AX26" s="430"/>
      <c r="AY26" s="430"/>
      <c r="AZ26" s="430"/>
      <c r="BA26" s="430"/>
      <c r="BB26" s="430"/>
      <c r="BC26" s="430"/>
      <c r="BD26" s="430"/>
      <c r="BE26" s="430"/>
      <c r="BF26" s="430"/>
      <c r="BG26" s="430"/>
      <c r="BH26" s="430"/>
      <c r="BI26" s="430"/>
      <c r="BJ26" s="430"/>
      <c r="BK26" s="430"/>
    </row>
    <row r="27" spans="1:63">
      <c r="A27" s="430"/>
      <c r="B27" s="430"/>
      <c r="C27" s="430"/>
      <c r="D27" s="430"/>
      <c r="E27" s="430"/>
      <c r="F27" s="464"/>
      <c r="G27" s="464"/>
      <c r="H27" s="464"/>
      <c r="I27" s="464"/>
      <c r="J27" s="464"/>
      <c r="K27" s="464"/>
      <c r="L27" s="430"/>
      <c r="M27" s="430"/>
      <c r="N27" s="430"/>
      <c r="O27" s="430"/>
      <c r="P27" s="430"/>
      <c r="Q27" s="430"/>
      <c r="R27" s="430"/>
      <c r="S27" s="430"/>
      <c r="T27" s="430"/>
      <c r="U27" s="430"/>
      <c r="V27" s="430"/>
      <c r="W27" s="430"/>
      <c r="X27" s="430"/>
      <c r="Y27" s="430"/>
      <c r="Z27" s="430"/>
      <c r="AA27" s="430"/>
      <c r="AB27" s="430"/>
      <c r="AC27" s="430"/>
      <c r="AD27" s="430"/>
      <c r="AE27" s="430"/>
      <c r="AF27" s="430"/>
      <c r="AG27" s="430"/>
      <c r="AH27" s="430"/>
      <c r="AI27" s="430"/>
      <c r="AJ27" s="430"/>
      <c r="AK27" s="430"/>
      <c r="AL27" s="430"/>
      <c r="AM27" s="430"/>
      <c r="AN27" s="430"/>
      <c r="AO27" s="430"/>
      <c r="AP27" s="430"/>
      <c r="AQ27" s="430"/>
      <c r="AR27" s="430"/>
      <c r="AS27" s="430"/>
      <c r="AT27" s="430"/>
      <c r="AU27" s="430"/>
      <c r="AV27" s="430"/>
      <c r="AW27" s="430"/>
      <c r="AX27" s="430"/>
      <c r="AY27" s="430"/>
      <c r="AZ27" s="430"/>
      <c r="BA27" s="430"/>
      <c r="BB27" s="430"/>
      <c r="BC27" s="430"/>
      <c r="BD27" s="430"/>
      <c r="BE27" s="430"/>
      <c r="BF27" s="430"/>
      <c r="BG27" s="430"/>
      <c r="BH27" s="430"/>
      <c r="BI27" s="430"/>
      <c r="BJ27" s="430"/>
      <c r="BK27" s="430"/>
    </row>
    <row r="28" spans="1:63">
      <c r="A28" s="430"/>
      <c r="B28" s="430"/>
      <c r="C28" s="430"/>
      <c r="D28" s="430"/>
      <c r="E28" s="430"/>
      <c r="F28" s="464"/>
      <c r="G28" s="464"/>
      <c r="H28" s="464"/>
      <c r="I28" s="464"/>
      <c r="J28" s="464"/>
      <c r="K28" s="464"/>
      <c r="L28" s="430"/>
      <c r="M28" s="430"/>
      <c r="N28" s="430"/>
      <c r="O28" s="430"/>
      <c r="P28" s="430"/>
      <c r="Q28" s="430"/>
      <c r="R28" s="430"/>
      <c r="S28" s="430"/>
      <c r="T28" s="430"/>
      <c r="U28" s="430"/>
      <c r="V28" s="430"/>
      <c r="W28" s="430"/>
      <c r="X28" s="430"/>
      <c r="Y28" s="430"/>
      <c r="Z28" s="430"/>
      <c r="AA28" s="430"/>
      <c r="AB28" s="430"/>
      <c r="AC28" s="430"/>
      <c r="AD28" s="430"/>
      <c r="AE28" s="430"/>
      <c r="AF28" s="430"/>
      <c r="AG28" s="430"/>
      <c r="AH28" s="430"/>
      <c r="AI28" s="430"/>
      <c r="AJ28" s="430"/>
      <c r="AK28" s="430"/>
      <c r="AL28" s="430"/>
      <c r="AM28" s="430"/>
      <c r="AN28" s="430"/>
      <c r="AO28" s="430"/>
      <c r="AP28" s="430"/>
      <c r="AQ28" s="430"/>
      <c r="AR28" s="430"/>
      <c r="AS28" s="430"/>
      <c r="AT28" s="430"/>
      <c r="AU28" s="430"/>
      <c r="AV28" s="430"/>
      <c r="AW28" s="430"/>
      <c r="AX28" s="430"/>
      <c r="AY28" s="430"/>
      <c r="AZ28" s="430"/>
      <c r="BA28" s="430"/>
      <c r="BB28" s="430"/>
      <c r="BC28" s="430"/>
      <c r="BD28" s="430"/>
      <c r="BE28" s="430"/>
      <c r="BF28" s="430"/>
      <c r="BG28" s="430"/>
      <c r="BH28" s="430"/>
      <c r="BI28" s="430"/>
      <c r="BJ28" s="430"/>
      <c r="BK28" s="430"/>
    </row>
    <row r="29" spans="1:63">
      <c r="A29" s="430"/>
      <c r="B29" s="430"/>
      <c r="C29" s="430"/>
      <c r="D29" s="430"/>
      <c r="E29" s="430"/>
      <c r="F29" s="464"/>
      <c r="G29" s="464"/>
      <c r="H29" s="464"/>
      <c r="I29" s="464"/>
      <c r="J29" s="464"/>
      <c r="K29" s="464"/>
      <c r="L29" s="430"/>
      <c r="M29" s="430"/>
      <c r="N29" s="430"/>
      <c r="O29" s="430"/>
      <c r="P29" s="430"/>
      <c r="Q29" s="430"/>
      <c r="R29" s="430"/>
      <c r="S29" s="430"/>
      <c r="T29" s="430"/>
      <c r="U29" s="430"/>
      <c r="V29" s="430"/>
      <c r="W29" s="430"/>
      <c r="X29" s="430"/>
      <c r="Y29" s="430"/>
      <c r="Z29" s="430"/>
      <c r="AA29" s="430"/>
      <c r="AB29" s="430"/>
      <c r="AC29" s="430"/>
      <c r="AD29" s="430"/>
      <c r="AE29" s="430"/>
      <c r="AF29" s="430"/>
      <c r="AG29" s="430"/>
      <c r="AH29" s="430"/>
      <c r="AI29" s="430"/>
      <c r="AJ29" s="430"/>
      <c r="AK29" s="430"/>
      <c r="AL29" s="430"/>
      <c r="AM29" s="430"/>
      <c r="AN29" s="430"/>
      <c r="AO29" s="430"/>
      <c r="AP29" s="430"/>
      <c r="AQ29" s="430"/>
      <c r="AR29" s="430"/>
      <c r="AS29" s="430"/>
      <c r="AT29" s="430"/>
      <c r="AU29" s="430"/>
      <c r="AV29" s="430"/>
      <c r="AW29" s="430"/>
      <c r="AX29" s="430"/>
      <c r="AY29" s="430"/>
      <c r="AZ29" s="430"/>
      <c r="BA29" s="430"/>
      <c r="BB29" s="430"/>
      <c r="BC29" s="430"/>
      <c r="BD29" s="430"/>
      <c r="BE29" s="430"/>
      <c r="BF29" s="430"/>
      <c r="BG29" s="430"/>
      <c r="BH29" s="430"/>
      <c r="BI29" s="430"/>
      <c r="BJ29" s="430"/>
      <c r="BK29" s="430"/>
    </row>
    <row r="30" spans="1:63">
      <c r="A30" s="430"/>
      <c r="B30" s="430"/>
      <c r="C30" s="430"/>
      <c r="D30" s="430"/>
      <c r="E30" s="430"/>
      <c r="F30" s="464"/>
      <c r="G30" s="464"/>
      <c r="H30" s="464"/>
      <c r="I30" s="464"/>
      <c r="J30" s="464"/>
      <c r="K30" s="464"/>
      <c r="L30" s="430"/>
      <c r="M30" s="430"/>
      <c r="N30" s="430"/>
      <c r="O30" s="430"/>
      <c r="P30" s="430"/>
      <c r="Q30" s="430"/>
      <c r="R30" s="430"/>
      <c r="S30" s="430"/>
      <c r="T30" s="430"/>
      <c r="U30" s="430"/>
      <c r="V30" s="430"/>
      <c r="W30" s="430"/>
      <c r="X30" s="430"/>
      <c r="Y30" s="430"/>
      <c r="Z30" s="430"/>
      <c r="AA30" s="430"/>
      <c r="AB30" s="430"/>
      <c r="AC30" s="430"/>
      <c r="AD30" s="430"/>
      <c r="AE30" s="430"/>
      <c r="AF30" s="430"/>
      <c r="AG30" s="430"/>
      <c r="AH30" s="430"/>
      <c r="AI30" s="430"/>
      <c r="AJ30" s="430"/>
      <c r="AK30" s="430"/>
      <c r="AL30" s="430"/>
      <c r="AM30" s="430"/>
      <c r="AN30" s="430"/>
      <c r="AO30" s="430"/>
      <c r="AP30" s="430"/>
      <c r="AQ30" s="430"/>
      <c r="AR30" s="430"/>
      <c r="AS30" s="430"/>
      <c r="AT30" s="430"/>
      <c r="AU30" s="430"/>
      <c r="AV30" s="430"/>
      <c r="AW30" s="430"/>
      <c r="AX30" s="430"/>
      <c r="AY30" s="430"/>
      <c r="AZ30" s="430"/>
      <c r="BA30" s="430"/>
      <c r="BB30" s="430"/>
      <c r="BC30" s="430"/>
      <c r="BD30" s="430"/>
      <c r="BE30" s="430"/>
      <c r="BF30" s="430"/>
      <c r="BG30" s="430"/>
      <c r="BH30" s="430"/>
      <c r="BI30" s="430"/>
      <c r="BJ30" s="430"/>
      <c r="BK30" s="430"/>
    </row>
    <row r="31" spans="1:63">
      <c r="A31" s="430"/>
      <c r="B31" s="430"/>
      <c r="C31" s="430"/>
      <c r="D31" s="430"/>
      <c r="E31" s="430"/>
      <c r="F31" s="464"/>
      <c r="G31" s="464"/>
      <c r="H31" s="464"/>
      <c r="I31" s="464"/>
      <c r="J31" s="464"/>
      <c r="K31" s="464"/>
      <c r="L31" s="430"/>
      <c r="M31" s="430"/>
      <c r="N31" s="430"/>
      <c r="O31" s="430"/>
      <c r="P31" s="430"/>
      <c r="Q31" s="430"/>
      <c r="R31" s="430"/>
      <c r="S31" s="430"/>
      <c r="T31" s="430"/>
      <c r="U31" s="430"/>
      <c r="V31" s="430"/>
      <c r="W31" s="430"/>
      <c r="X31" s="430"/>
      <c r="Y31" s="430"/>
      <c r="Z31" s="430"/>
      <c r="AA31" s="430"/>
      <c r="AB31" s="430"/>
      <c r="AC31" s="430"/>
      <c r="AD31" s="430"/>
      <c r="AE31" s="430"/>
      <c r="AF31" s="430"/>
      <c r="AG31" s="430"/>
      <c r="AH31" s="430"/>
      <c r="AI31" s="430"/>
      <c r="AJ31" s="430"/>
      <c r="AK31" s="430"/>
      <c r="AL31" s="430"/>
      <c r="AM31" s="430"/>
      <c r="AN31" s="430"/>
      <c r="AO31" s="430"/>
      <c r="AP31" s="430"/>
      <c r="AQ31" s="430"/>
      <c r="AR31" s="430"/>
      <c r="AS31" s="430"/>
      <c r="AT31" s="430"/>
      <c r="AU31" s="430"/>
      <c r="AV31" s="430"/>
      <c r="AW31" s="430"/>
      <c r="AX31" s="430"/>
      <c r="AY31" s="430"/>
      <c r="AZ31" s="430"/>
      <c r="BA31" s="430"/>
      <c r="BB31" s="430"/>
      <c r="BC31" s="430"/>
      <c r="BD31" s="430"/>
      <c r="BE31" s="430"/>
      <c r="BF31" s="430"/>
      <c r="BG31" s="430"/>
      <c r="BH31" s="430"/>
      <c r="BI31" s="430"/>
      <c r="BJ31" s="430"/>
      <c r="BK31" s="430"/>
    </row>
    <row r="32" spans="1:63">
      <c r="A32" s="430"/>
      <c r="B32" s="430"/>
      <c r="C32" s="430"/>
      <c r="D32" s="430"/>
      <c r="E32" s="430"/>
      <c r="F32" s="464"/>
      <c r="G32" s="464"/>
      <c r="H32" s="464"/>
      <c r="I32" s="464"/>
      <c r="J32" s="464"/>
      <c r="K32" s="464"/>
      <c r="L32" s="430"/>
      <c r="M32" s="430"/>
      <c r="N32" s="430"/>
      <c r="O32" s="430"/>
      <c r="P32" s="430"/>
      <c r="Q32" s="430"/>
      <c r="R32" s="430"/>
      <c r="S32" s="430"/>
      <c r="T32" s="430"/>
      <c r="U32" s="430"/>
      <c r="V32" s="430"/>
      <c r="W32" s="430"/>
      <c r="X32" s="430"/>
      <c r="Y32" s="430"/>
      <c r="Z32" s="430"/>
      <c r="AA32" s="430"/>
      <c r="AB32" s="430"/>
      <c r="AC32" s="430"/>
      <c r="AD32" s="430"/>
      <c r="AE32" s="430"/>
      <c r="AF32" s="430"/>
      <c r="AG32" s="430"/>
      <c r="AH32" s="430"/>
      <c r="AI32" s="430"/>
      <c r="AJ32" s="430"/>
      <c r="AK32" s="430"/>
      <c r="AL32" s="430"/>
      <c r="AM32" s="430"/>
      <c r="AN32" s="430"/>
      <c r="AO32" s="430"/>
      <c r="AP32" s="430"/>
      <c r="AQ32" s="430"/>
      <c r="AR32" s="430"/>
      <c r="AS32" s="430"/>
      <c r="AT32" s="430"/>
      <c r="AU32" s="430"/>
      <c r="AV32" s="430"/>
      <c r="AW32" s="430"/>
      <c r="AX32" s="430"/>
      <c r="AY32" s="430"/>
      <c r="AZ32" s="430"/>
      <c r="BA32" s="430"/>
      <c r="BB32" s="430"/>
      <c r="BC32" s="430"/>
      <c r="BD32" s="430"/>
      <c r="BE32" s="430"/>
      <c r="BF32" s="430"/>
      <c r="BG32" s="430"/>
      <c r="BH32" s="430"/>
      <c r="BI32" s="430"/>
      <c r="BJ32" s="430"/>
      <c r="BK32" s="430"/>
    </row>
    <row r="33" spans="1:63">
      <c r="A33" s="430"/>
      <c r="B33" s="430"/>
      <c r="C33" s="430"/>
      <c r="D33" s="430"/>
      <c r="E33" s="430"/>
      <c r="F33" s="473"/>
      <c r="G33" s="473"/>
      <c r="H33" s="473"/>
      <c r="I33" s="473"/>
      <c r="J33" s="473"/>
      <c r="K33" s="473"/>
      <c r="L33" s="430"/>
      <c r="M33" s="430"/>
      <c r="N33" s="430"/>
      <c r="O33" s="430"/>
      <c r="P33" s="430"/>
      <c r="Q33" s="430"/>
      <c r="R33" s="430"/>
      <c r="S33" s="430"/>
      <c r="T33" s="430"/>
      <c r="U33" s="430"/>
      <c r="V33" s="430"/>
      <c r="W33" s="430"/>
      <c r="X33" s="430"/>
      <c r="Y33" s="430"/>
      <c r="Z33" s="430"/>
      <c r="AA33" s="430"/>
      <c r="AB33" s="430"/>
      <c r="AC33" s="430"/>
      <c r="AD33" s="430"/>
      <c r="AE33" s="430"/>
      <c r="AF33" s="430"/>
      <c r="AG33" s="430"/>
      <c r="AH33" s="430"/>
      <c r="AI33" s="430"/>
      <c r="AJ33" s="430"/>
      <c r="AK33" s="430"/>
      <c r="AL33" s="430"/>
      <c r="AM33" s="430"/>
      <c r="AN33" s="430"/>
      <c r="AO33" s="430"/>
      <c r="AP33" s="430"/>
      <c r="AQ33" s="430"/>
      <c r="AR33" s="430"/>
      <c r="AS33" s="430"/>
      <c r="AT33" s="430"/>
      <c r="AU33" s="430"/>
      <c r="AV33" s="430"/>
      <c r="AW33" s="430"/>
      <c r="AX33" s="430"/>
      <c r="AY33" s="430"/>
      <c r="AZ33" s="430"/>
      <c r="BA33" s="430"/>
      <c r="BB33" s="430"/>
      <c r="BC33" s="430"/>
      <c r="BD33" s="430"/>
      <c r="BE33" s="430"/>
      <c r="BF33" s="430"/>
      <c r="BG33" s="430"/>
      <c r="BH33" s="430"/>
      <c r="BI33" s="430"/>
      <c r="BJ33" s="430"/>
      <c r="BK33" s="430"/>
    </row>
    <row r="34" spans="1:63">
      <c r="A34" s="430"/>
      <c r="B34" s="430"/>
      <c r="C34" s="430"/>
      <c r="D34" s="430"/>
      <c r="E34" s="430"/>
      <c r="F34" s="464"/>
      <c r="G34" s="464"/>
      <c r="H34" s="464"/>
      <c r="I34" s="464"/>
      <c r="J34" s="464"/>
      <c r="K34" s="464"/>
      <c r="L34" s="430"/>
      <c r="M34" s="430"/>
      <c r="N34" s="430"/>
      <c r="O34" s="430"/>
      <c r="P34" s="430"/>
      <c r="Q34" s="430"/>
      <c r="R34" s="430"/>
      <c r="S34" s="430"/>
      <c r="T34" s="430"/>
      <c r="U34" s="430"/>
      <c r="V34" s="430"/>
      <c r="W34" s="430"/>
      <c r="X34" s="430"/>
      <c r="Y34" s="430"/>
      <c r="Z34" s="430"/>
      <c r="AA34" s="430"/>
      <c r="AB34" s="430"/>
      <c r="AC34" s="430"/>
      <c r="AD34" s="430"/>
      <c r="AE34" s="430"/>
      <c r="AF34" s="430"/>
      <c r="AG34" s="430"/>
      <c r="AH34" s="430"/>
      <c r="AI34" s="430"/>
      <c r="AJ34" s="430"/>
      <c r="AK34" s="430"/>
      <c r="AL34" s="430"/>
      <c r="AM34" s="430"/>
      <c r="AN34" s="430"/>
      <c r="AO34" s="430"/>
      <c r="AP34" s="430"/>
      <c r="AQ34" s="430"/>
      <c r="AR34" s="430"/>
      <c r="AS34" s="430"/>
      <c r="AT34" s="430"/>
      <c r="AU34" s="430"/>
      <c r="AV34" s="430"/>
      <c r="AW34" s="430"/>
      <c r="AX34" s="430"/>
      <c r="AY34" s="430"/>
      <c r="AZ34" s="430"/>
      <c r="BA34" s="430"/>
      <c r="BB34" s="430"/>
      <c r="BC34" s="430"/>
      <c r="BD34" s="430"/>
      <c r="BE34" s="430"/>
      <c r="BF34" s="430"/>
      <c r="BG34" s="430"/>
      <c r="BH34" s="430"/>
      <c r="BI34" s="430"/>
      <c r="BJ34" s="430"/>
      <c r="BK34" s="430"/>
    </row>
    <row r="35" spans="1:63">
      <c r="A35" s="430"/>
      <c r="B35" s="430"/>
      <c r="C35" s="430"/>
      <c r="D35" s="430"/>
      <c r="E35" s="430"/>
      <c r="F35" s="430"/>
      <c r="G35" s="430"/>
      <c r="H35" s="430"/>
      <c r="I35" s="430"/>
      <c r="J35" s="430"/>
      <c r="K35" s="430"/>
      <c r="L35" s="430"/>
      <c r="M35" s="430"/>
      <c r="N35" s="430"/>
      <c r="O35" s="430"/>
      <c r="P35" s="430"/>
      <c r="Q35" s="430"/>
      <c r="R35" s="430"/>
      <c r="S35" s="430"/>
      <c r="T35" s="430"/>
      <c r="U35" s="430"/>
      <c r="V35" s="430"/>
      <c r="W35" s="430"/>
      <c r="X35" s="430"/>
      <c r="Y35" s="430"/>
      <c r="Z35" s="430"/>
      <c r="AA35" s="430"/>
      <c r="AB35" s="430"/>
      <c r="AC35" s="430"/>
      <c r="AD35" s="430"/>
      <c r="AE35" s="430"/>
      <c r="AF35" s="430"/>
      <c r="AG35" s="430"/>
      <c r="AH35" s="430"/>
      <c r="AI35" s="430"/>
      <c r="AJ35" s="430"/>
      <c r="AK35" s="430"/>
      <c r="AL35" s="430"/>
      <c r="AM35" s="430"/>
      <c r="AN35" s="430"/>
      <c r="AO35" s="430"/>
      <c r="AP35" s="430"/>
      <c r="AQ35" s="430"/>
      <c r="AR35" s="430"/>
      <c r="AS35" s="430"/>
      <c r="AT35" s="430"/>
      <c r="AU35" s="430"/>
      <c r="AV35" s="430"/>
      <c r="AW35" s="430"/>
      <c r="AX35" s="430"/>
      <c r="AY35" s="430"/>
      <c r="AZ35" s="430"/>
      <c r="BA35" s="430"/>
      <c r="BB35" s="430"/>
      <c r="BC35" s="430"/>
      <c r="BD35" s="430"/>
      <c r="BE35" s="430"/>
      <c r="BF35" s="430"/>
      <c r="BG35" s="430"/>
      <c r="BH35" s="430"/>
      <c r="BI35" s="430"/>
      <c r="BJ35" s="430"/>
      <c r="BK35" s="430"/>
    </row>
    <row r="36" spans="1:63">
      <c r="A36" s="430"/>
      <c r="B36" s="430"/>
      <c r="C36" s="430"/>
      <c r="D36" s="430"/>
      <c r="E36" s="430"/>
      <c r="F36" s="490"/>
      <c r="G36" s="490"/>
      <c r="H36" s="490"/>
      <c r="I36" s="490"/>
      <c r="J36" s="490"/>
      <c r="K36" s="490"/>
      <c r="L36" s="430"/>
      <c r="M36" s="430"/>
      <c r="N36" s="430"/>
      <c r="O36" s="430"/>
      <c r="P36" s="430"/>
      <c r="Q36" s="430"/>
      <c r="R36" s="430"/>
      <c r="S36" s="430"/>
      <c r="T36" s="430"/>
      <c r="U36" s="430"/>
      <c r="V36" s="430"/>
      <c r="W36" s="430"/>
      <c r="X36" s="430"/>
      <c r="Y36" s="430"/>
      <c r="Z36" s="430"/>
      <c r="AA36" s="430"/>
      <c r="AB36" s="430"/>
      <c r="AC36" s="430"/>
      <c r="AD36" s="430"/>
      <c r="AE36" s="430"/>
      <c r="AF36" s="430"/>
      <c r="AG36" s="430"/>
      <c r="AH36" s="430"/>
      <c r="AI36" s="430"/>
      <c r="AJ36" s="430"/>
      <c r="AK36" s="430"/>
      <c r="AL36" s="430"/>
      <c r="AM36" s="430"/>
      <c r="AN36" s="430"/>
      <c r="AO36" s="430"/>
      <c r="AP36" s="430"/>
      <c r="AQ36" s="430"/>
      <c r="AR36" s="430"/>
      <c r="AS36" s="430"/>
      <c r="AT36" s="430"/>
      <c r="AU36" s="430"/>
      <c r="AV36" s="430"/>
      <c r="AW36" s="430"/>
      <c r="AX36" s="430"/>
      <c r="AY36" s="430"/>
      <c r="AZ36" s="430"/>
      <c r="BA36" s="430"/>
      <c r="BB36" s="430"/>
      <c r="BC36" s="430"/>
      <c r="BD36" s="430"/>
      <c r="BE36" s="430"/>
      <c r="BF36" s="430"/>
      <c r="BG36" s="430"/>
      <c r="BH36" s="430"/>
      <c r="BI36" s="430"/>
      <c r="BJ36" s="430"/>
      <c r="BK36" s="430"/>
    </row>
    <row r="37" spans="1:63">
      <c r="A37" s="430"/>
      <c r="B37" s="430"/>
      <c r="C37" s="430"/>
      <c r="D37" s="430"/>
      <c r="E37" s="430"/>
      <c r="F37" s="490"/>
      <c r="G37" s="490"/>
      <c r="H37" s="490"/>
      <c r="I37" s="490"/>
      <c r="J37" s="490"/>
      <c r="K37" s="490"/>
      <c r="L37" s="430"/>
      <c r="M37" s="430"/>
      <c r="N37" s="430"/>
      <c r="O37" s="430"/>
      <c r="P37" s="430"/>
      <c r="Q37" s="430"/>
      <c r="R37" s="430"/>
      <c r="S37" s="430"/>
      <c r="T37" s="430"/>
      <c r="U37" s="430"/>
      <c r="V37" s="430"/>
      <c r="W37" s="430"/>
      <c r="X37" s="430"/>
      <c r="Y37" s="430"/>
      <c r="Z37" s="430"/>
      <c r="AA37" s="430"/>
      <c r="AB37" s="430"/>
      <c r="AC37" s="430"/>
      <c r="AD37" s="430"/>
      <c r="AE37" s="430"/>
      <c r="AF37" s="430"/>
      <c r="AG37" s="430"/>
      <c r="AH37" s="430"/>
      <c r="AI37" s="430"/>
      <c r="AJ37" s="430"/>
      <c r="AK37" s="430"/>
      <c r="AL37" s="430"/>
      <c r="AM37" s="430"/>
      <c r="AN37" s="430"/>
      <c r="AO37" s="430"/>
      <c r="AP37" s="430"/>
      <c r="AQ37" s="430"/>
      <c r="AR37" s="430"/>
      <c r="AS37" s="430"/>
      <c r="AT37" s="430"/>
      <c r="AU37" s="430"/>
      <c r="AV37" s="430"/>
      <c r="AW37" s="430"/>
      <c r="AX37" s="430"/>
      <c r="AY37" s="430"/>
      <c r="AZ37" s="430"/>
      <c r="BA37" s="430"/>
      <c r="BB37" s="430"/>
      <c r="BC37" s="430"/>
      <c r="BD37" s="430"/>
      <c r="BE37" s="430"/>
      <c r="BF37" s="430"/>
      <c r="BG37" s="430"/>
      <c r="BH37" s="430"/>
      <c r="BI37" s="430"/>
      <c r="BJ37" s="430"/>
      <c r="BK37" s="430"/>
    </row>
    <row r="38" spans="1:63">
      <c r="A38" s="430"/>
      <c r="B38" s="430"/>
      <c r="C38" s="430"/>
      <c r="D38" s="430"/>
      <c r="E38" s="430"/>
      <c r="F38" s="490"/>
      <c r="G38" s="490"/>
      <c r="H38" s="490"/>
      <c r="I38" s="490"/>
      <c r="J38" s="490"/>
      <c r="K38" s="490"/>
      <c r="L38" s="430"/>
      <c r="M38" s="430"/>
      <c r="N38" s="430"/>
      <c r="O38" s="430"/>
      <c r="P38" s="430"/>
      <c r="Q38" s="430"/>
      <c r="R38" s="430"/>
      <c r="S38" s="430"/>
      <c r="T38" s="430"/>
      <c r="U38" s="430"/>
      <c r="V38" s="430"/>
      <c r="W38" s="430"/>
      <c r="X38" s="430"/>
      <c r="Y38" s="430"/>
      <c r="Z38" s="430"/>
      <c r="AA38" s="430"/>
      <c r="AB38" s="430"/>
      <c r="AC38" s="430"/>
      <c r="AD38" s="430"/>
      <c r="AE38" s="430"/>
      <c r="AF38" s="430"/>
      <c r="AG38" s="430"/>
      <c r="AH38" s="430"/>
      <c r="AI38" s="430"/>
      <c r="AJ38" s="430"/>
      <c r="AK38" s="430"/>
      <c r="AL38" s="430"/>
      <c r="AM38" s="430"/>
      <c r="AN38" s="430"/>
      <c r="AO38" s="430"/>
      <c r="AP38" s="430"/>
      <c r="AQ38" s="430"/>
      <c r="AR38" s="430"/>
      <c r="AS38" s="430"/>
      <c r="AT38" s="430"/>
      <c r="AU38" s="430"/>
      <c r="AV38" s="430"/>
      <c r="AW38" s="430"/>
      <c r="AX38" s="430"/>
      <c r="AY38" s="430"/>
      <c r="AZ38" s="430"/>
      <c r="BA38" s="430"/>
      <c r="BB38" s="430"/>
      <c r="BC38" s="430"/>
      <c r="BD38" s="430"/>
      <c r="BE38" s="430"/>
      <c r="BF38" s="430"/>
      <c r="BG38" s="430"/>
      <c r="BH38" s="430"/>
      <c r="BI38" s="430"/>
      <c r="BJ38" s="430"/>
      <c r="BK38" s="430"/>
    </row>
    <row r="39" spans="1:63">
      <c r="A39" s="430"/>
      <c r="B39" s="430"/>
      <c r="C39" s="430"/>
      <c r="D39" s="430"/>
      <c r="E39" s="430"/>
      <c r="F39" s="490"/>
      <c r="G39" s="490"/>
      <c r="H39" s="490"/>
      <c r="I39" s="490"/>
      <c r="J39" s="490"/>
      <c r="K39" s="490"/>
      <c r="L39" s="430"/>
      <c r="M39" s="430"/>
      <c r="N39" s="430"/>
      <c r="O39" s="430"/>
      <c r="P39" s="430"/>
      <c r="Q39" s="430"/>
      <c r="R39" s="430"/>
      <c r="S39" s="430"/>
      <c r="T39" s="430"/>
      <c r="U39" s="430"/>
      <c r="V39" s="430"/>
      <c r="W39" s="430"/>
      <c r="X39" s="430"/>
      <c r="Y39" s="430"/>
      <c r="Z39" s="430"/>
      <c r="AA39" s="430"/>
      <c r="AB39" s="430"/>
      <c r="AC39" s="430"/>
      <c r="AD39" s="430"/>
      <c r="AE39" s="430"/>
      <c r="AF39" s="430"/>
      <c r="AG39" s="430"/>
      <c r="AH39" s="430"/>
      <c r="AI39" s="430"/>
      <c r="AJ39" s="430"/>
      <c r="AK39" s="430"/>
      <c r="AL39" s="430"/>
      <c r="AM39" s="430"/>
      <c r="AN39" s="430"/>
      <c r="AO39" s="430"/>
      <c r="AP39" s="430"/>
      <c r="AQ39" s="430"/>
      <c r="AR39" s="430"/>
      <c r="AS39" s="430"/>
      <c r="AT39" s="430"/>
      <c r="AU39" s="430"/>
      <c r="AV39" s="430"/>
      <c r="AW39" s="430"/>
      <c r="AX39" s="430"/>
      <c r="AY39" s="430"/>
      <c r="AZ39" s="430"/>
      <c r="BA39" s="430"/>
      <c r="BB39" s="430"/>
      <c r="BC39" s="430"/>
      <c r="BD39" s="430"/>
      <c r="BE39" s="430"/>
      <c r="BF39" s="430"/>
      <c r="BG39" s="430"/>
      <c r="BH39" s="430"/>
      <c r="BI39" s="430"/>
      <c r="BJ39" s="430"/>
      <c r="BK39" s="430"/>
    </row>
    <row r="40" spans="1:63">
      <c r="A40" s="430"/>
      <c r="B40" s="430"/>
      <c r="C40" s="430"/>
      <c r="D40" s="430"/>
      <c r="E40" s="430"/>
      <c r="F40" s="464"/>
      <c r="G40" s="464"/>
      <c r="H40" s="464"/>
      <c r="I40" s="464"/>
      <c r="J40" s="464"/>
      <c r="K40" s="464"/>
      <c r="L40" s="430"/>
      <c r="M40" s="430"/>
      <c r="N40" s="430"/>
      <c r="O40" s="430"/>
      <c r="P40" s="430"/>
      <c r="Q40" s="430"/>
      <c r="R40" s="430"/>
      <c r="S40" s="430"/>
      <c r="T40" s="430"/>
      <c r="U40" s="430"/>
      <c r="V40" s="430"/>
      <c r="W40" s="430"/>
      <c r="X40" s="430"/>
      <c r="Y40" s="430"/>
      <c r="Z40" s="430"/>
      <c r="AA40" s="430"/>
      <c r="AB40" s="430"/>
      <c r="AC40" s="430"/>
      <c r="AD40" s="430"/>
      <c r="AE40" s="430"/>
      <c r="AF40" s="430"/>
      <c r="AG40" s="430"/>
      <c r="AH40" s="430"/>
      <c r="AI40" s="430"/>
      <c r="AJ40" s="430"/>
      <c r="AK40" s="430"/>
      <c r="AL40" s="430"/>
      <c r="AM40" s="430"/>
      <c r="AN40" s="430"/>
      <c r="AO40" s="430"/>
      <c r="AP40" s="430"/>
      <c r="AQ40" s="430"/>
      <c r="AR40" s="430"/>
      <c r="AS40" s="430"/>
      <c r="AT40" s="430"/>
      <c r="AU40" s="430"/>
      <c r="AV40" s="430"/>
      <c r="AW40" s="430"/>
      <c r="AX40" s="430"/>
      <c r="AY40" s="430"/>
      <c r="AZ40" s="430"/>
      <c r="BA40" s="430"/>
      <c r="BB40" s="430"/>
      <c r="BC40" s="430"/>
      <c r="BD40" s="430"/>
      <c r="BE40" s="430"/>
      <c r="BF40" s="430"/>
      <c r="BG40" s="430"/>
      <c r="BH40" s="430"/>
      <c r="BI40" s="430"/>
      <c r="BJ40" s="430"/>
      <c r="BK40" s="430"/>
    </row>
    <row r="41" spans="1:63">
      <c r="A41" s="430"/>
      <c r="B41" s="430"/>
      <c r="C41" s="430"/>
      <c r="D41" s="430"/>
      <c r="E41" s="430"/>
      <c r="F41" s="490"/>
      <c r="G41" s="490"/>
      <c r="H41" s="490"/>
      <c r="I41" s="490"/>
      <c r="J41" s="490"/>
      <c r="K41" s="490"/>
      <c r="L41" s="430"/>
      <c r="M41" s="430"/>
      <c r="N41" s="430"/>
      <c r="O41" s="430"/>
      <c r="P41" s="430"/>
      <c r="Q41" s="430"/>
      <c r="R41" s="430"/>
      <c r="S41" s="430"/>
      <c r="T41" s="430"/>
      <c r="U41" s="430"/>
      <c r="V41" s="430"/>
      <c r="W41" s="430"/>
      <c r="X41" s="430"/>
      <c r="Y41" s="430"/>
      <c r="Z41" s="430"/>
      <c r="AA41" s="430"/>
      <c r="AB41" s="430"/>
      <c r="AC41" s="430"/>
      <c r="AD41" s="430"/>
      <c r="AE41" s="430"/>
      <c r="AF41" s="430"/>
      <c r="AG41" s="430"/>
      <c r="AH41" s="430"/>
      <c r="AI41" s="430"/>
      <c r="AJ41" s="430"/>
      <c r="AK41" s="430"/>
      <c r="AL41" s="430"/>
      <c r="AM41" s="430"/>
      <c r="AN41" s="430"/>
      <c r="AO41" s="430"/>
      <c r="AP41" s="430"/>
      <c r="AQ41" s="430"/>
      <c r="AR41" s="430"/>
      <c r="AS41" s="430"/>
      <c r="AT41" s="430"/>
      <c r="AU41" s="430"/>
      <c r="AV41" s="430"/>
      <c r="AW41" s="430"/>
      <c r="AX41" s="430"/>
      <c r="AY41" s="430"/>
      <c r="AZ41" s="430"/>
      <c r="BA41" s="430"/>
      <c r="BB41" s="430"/>
      <c r="BC41" s="430"/>
      <c r="BD41" s="430"/>
      <c r="BE41" s="430"/>
      <c r="BF41" s="430"/>
      <c r="BG41" s="430"/>
      <c r="BH41" s="430"/>
      <c r="BI41" s="430"/>
      <c r="BJ41" s="430"/>
      <c r="BK41" s="430"/>
    </row>
    <row r="42" spans="1:63">
      <c r="A42" s="430"/>
      <c r="B42" s="430"/>
      <c r="C42" s="430"/>
      <c r="D42" s="430"/>
      <c r="E42" s="430"/>
      <c r="F42" s="490"/>
      <c r="G42" s="490"/>
      <c r="H42" s="490"/>
      <c r="I42" s="490"/>
      <c r="J42" s="490"/>
      <c r="K42" s="490"/>
      <c r="L42" s="430"/>
      <c r="M42" s="430"/>
      <c r="N42" s="430"/>
      <c r="O42" s="430"/>
      <c r="P42" s="430"/>
      <c r="Q42" s="430"/>
      <c r="R42" s="430"/>
      <c r="S42" s="430"/>
      <c r="T42" s="430"/>
      <c r="U42" s="430"/>
      <c r="V42" s="430"/>
      <c r="W42" s="430"/>
      <c r="X42" s="430"/>
      <c r="Y42" s="430"/>
      <c r="Z42" s="430"/>
      <c r="AA42" s="430"/>
      <c r="AB42" s="430"/>
      <c r="AC42" s="430"/>
      <c r="AD42" s="430"/>
      <c r="AE42" s="430"/>
      <c r="AF42" s="430"/>
      <c r="AG42" s="430"/>
      <c r="AH42" s="430"/>
      <c r="AI42" s="430"/>
      <c r="AJ42" s="430"/>
      <c r="AK42" s="430"/>
      <c r="AL42" s="430"/>
      <c r="AM42" s="430"/>
      <c r="AN42" s="430"/>
      <c r="AO42" s="430"/>
      <c r="AP42" s="430"/>
      <c r="AQ42" s="430"/>
      <c r="AR42" s="430"/>
      <c r="AS42" s="430"/>
      <c r="AT42" s="430"/>
      <c r="AU42" s="430"/>
      <c r="AV42" s="430"/>
      <c r="AW42" s="430"/>
      <c r="AX42" s="430"/>
      <c r="AY42" s="430"/>
      <c r="AZ42" s="430"/>
      <c r="BA42" s="430"/>
      <c r="BB42" s="430"/>
      <c r="BC42" s="430"/>
      <c r="BD42" s="430"/>
      <c r="BE42" s="430"/>
      <c r="BF42" s="430"/>
      <c r="BG42" s="430"/>
      <c r="BH42" s="430"/>
      <c r="BI42" s="430"/>
      <c r="BJ42" s="430"/>
      <c r="BK42" s="430"/>
    </row>
    <row r="43" spans="1:63">
      <c r="A43" s="430"/>
      <c r="B43" s="430"/>
      <c r="C43" s="430"/>
      <c r="D43" s="430"/>
      <c r="E43" s="430"/>
      <c r="F43" s="490"/>
      <c r="G43" s="490"/>
      <c r="H43" s="490"/>
      <c r="I43" s="490"/>
      <c r="J43" s="490"/>
      <c r="K43" s="490"/>
      <c r="L43" s="430"/>
      <c r="M43" s="430"/>
      <c r="N43" s="430"/>
      <c r="O43" s="430"/>
      <c r="P43" s="430"/>
      <c r="Q43" s="430"/>
      <c r="R43" s="430"/>
      <c r="S43" s="430"/>
      <c r="T43" s="430"/>
      <c r="U43" s="430"/>
      <c r="V43" s="430"/>
      <c r="W43" s="430"/>
      <c r="X43" s="430"/>
      <c r="Y43" s="430"/>
      <c r="Z43" s="430"/>
      <c r="AA43" s="430"/>
      <c r="AB43" s="430"/>
      <c r="AC43" s="430"/>
      <c r="AD43" s="430"/>
      <c r="AE43" s="430"/>
      <c r="AF43" s="430"/>
      <c r="AG43" s="430"/>
      <c r="AH43" s="430"/>
      <c r="AI43" s="430"/>
      <c r="AJ43" s="430"/>
      <c r="AK43" s="430"/>
      <c r="AL43" s="430"/>
      <c r="AM43" s="430"/>
      <c r="AN43" s="430"/>
      <c r="AO43" s="430"/>
      <c r="AP43" s="430"/>
      <c r="AQ43" s="430"/>
      <c r="AR43" s="430"/>
      <c r="AS43" s="430"/>
      <c r="AT43" s="430"/>
      <c r="AU43" s="430"/>
      <c r="AV43" s="430"/>
      <c r="AW43" s="430"/>
      <c r="AX43" s="430"/>
      <c r="AY43" s="430"/>
      <c r="AZ43" s="430"/>
      <c r="BA43" s="430"/>
      <c r="BB43" s="430"/>
      <c r="BC43" s="430"/>
      <c r="BD43" s="430"/>
      <c r="BE43" s="430"/>
      <c r="BF43" s="430"/>
      <c r="BG43" s="430"/>
      <c r="BH43" s="430"/>
      <c r="BI43" s="430"/>
      <c r="BJ43" s="430"/>
      <c r="BK43" s="430"/>
    </row>
    <row r="44" spans="1:63">
      <c r="A44" s="430"/>
      <c r="B44" s="430"/>
      <c r="C44" s="430"/>
      <c r="D44" s="430"/>
      <c r="E44" s="430"/>
      <c r="F44" s="490"/>
      <c r="G44" s="490"/>
      <c r="H44" s="490"/>
      <c r="I44" s="490"/>
      <c r="J44" s="490"/>
      <c r="K44" s="490"/>
      <c r="L44" s="430"/>
      <c r="M44" s="430"/>
      <c r="N44" s="430"/>
      <c r="O44" s="430"/>
      <c r="P44" s="430"/>
      <c r="Q44" s="430"/>
      <c r="R44" s="430"/>
      <c r="S44" s="430"/>
      <c r="T44" s="430"/>
      <c r="U44" s="430"/>
      <c r="V44" s="430"/>
      <c r="W44" s="430"/>
      <c r="X44" s="430"/>
      <c r="Y44" s="430"/>
      <c r="Z44" s="430"/>
      <c r="AA44" s="430"/>
      <c r="AB44" s="430"/>
      <c r="AC44" s="430"/>
      <c r="AD44" s="430"/>
      <c r="AE44" s="430"/>
      <c r="AF44" s="430"/>
      <c r="AG44" s="430"/>
      <c r="AH44" s="430"/>
      <c r="AI44" s="430"/>
      <c r="AJ44" s="430"/>
      <c r="AK44" s="430"/>
      <c r="AL44" s="430"/>
      <c r="AM44" s="430"/>
      <c r="AN44" s="430"/>
      <c r="AO44" s="430"/>
      <c r="AP44" s="430"/>
      <c r="AQ44" s="430"/>
      <c r="AR44" s="430"/>
      <c r="AS44" s="430"/>
      <c r="AT44" s="430"/>
      <c r="AU44" s="430"/>
      <c r="AV44" s="430"/>
      <c r="AW44" s="430"/>
      <c r="AX44" s="430"/>
      <c r="AY44" s="430"/>
      <c r="AZ44" s="430"/>
      <c r="BA44" s="430"/>
      <c r="BB44" s="430"/>
      <c r="BC44" s="430"/>
      <c r="BD44" s="430"/>
      <c r="BE44" s="430"/>
      <c r="BF44" s="430"/>
      <c r="BG44" s="430"/>
      <c r="BH44" s="430"/>
      <c r="BI44" s="430"/>
      <c r="BJ44" s="430"/>
      <c r="BK44" s="430"/>
    </row>
    <row r="45" spans="1:63">
      <c r="A45" s="430"/>
      <c r="B45" s="430"/>
      <c r="C45" s="430"/>
      <c r="D45" s="430"/>
      <c r="E45" s="430"/>
      <c r="F45" s="490"/>
      <c r="G45" s="490"/>
      <c r="H45" s="490"/>
      <c r="I45" s="490"/>
      <c r="J45" s="490"/>
      <c r="K45" s="490"/>
      <c r="L45" s="430"/>
      <c r="M45" s="430"/>
      <c r="N45" s="430"/>
      <c r="O45" s="430"/>
      <c r="P45" s="430"/>
      <c r="Q45" s="430"/>
      <c r="R45" s="430"/>
      <c r="S45" s="430"/>
      <c r="T45" s="430"/>
      <c r="U45" s="430"/>
      <c r="V45" s="430"/>
      <c r="W45" s="430"/>
      <c r="X45" s="430"/>
      <c r="Y45" s="430"/>
      <c r="Z45" s="430"/>
      <c r="AA45" s="430"/>
      <c r="AB45" s="430"/>
      <c r="AC45" s="430"/>
      <c r="AD45" s="430"/>
      <c r="AE45" s="430"/>
      <c r="AF45" s="430"/>
      <c r="AG45" s="430"/>
      <c r="AH45" s="430"/>
      <c r="AI45" s="430"/>
      <c r="AJ45" s="430"/>
      <c r="AK45" s="430"/>
      <c r="AL45" s="430"/>
      <c r="AM45" s="430"/>
      <c r="AN45" s="430"/>
      <c r="AO45" s="430"/>
      <c r="AP45" s="430"/>
      <c r="AQ45" s="430"/>
      <c r="AR45" s="430"/>
      <c r="AS45" s="430"/>
      <c r="AT45" s="430"/>
      <c r="AU45" s="430"/>
      <c r="AV45" s="430"/>
      <c r="AW45" s="430"/>
      <c r="AX45" s="430"/>
      <c r="AY45" s="430"/>
      <c r="AZ45" s="430"/>
      <c r="BA45" s="430"/>
      <c r="BB45" s="430"/>
      <c r="BC45" s="430"/>
      <c r="BD45" s="430"/>
      <c r="BE45" s="430"/>
      <c r="BF45" s="430"/>
      <c r="BG45" s="430"/>
      <c r="BH45" s="430"/>
      <c r="BI45" s="430"/>
      <c r="BJ45" s="430"/>
      <c r="BK45" s="430"/>
    </row>
    <row r="46" spans="1:63">
      <c r="A46" s="430"/>
      <c r="B46" s="430"/>
      <c r="C46" s="430"/>
      <c r="D46" s="430"/>
      <c r="E46" s="430"/>
      <c r="F46" s="490"/>
      <c r="G46" s="490"/>
      <c r="H46" s="490"/>
      <c r="I46" s="490"/>
      <c r="J46" s="490"/>
      <c r="K46" s="490"/>
      <c r="L46" s="430"/>
      <c r="M46" s="430"/>
      <c r="N46" s="430"/>
      <c r="O46" s="430"/>
      <c r="P46" s="430"/>
      <c r="Q46" s="430"/>
      <c r="R46" s="430"/>
      <c r="S46" s="430"/>
      <c r="T46" s="430"/>
      <c r="U46" s="430"/>
      <c r="V46" s="430"/>
      <c r="W46" s="430"/>
      <c r="X46" s="430"/>
      <c r="Y46" s="430"/>
      <c r="Z46" s="430"/>
      <c r="AA46" s="430"/>
      <c r="AB46" s="430"/>
      <c r="AC46" s="430"/>
      <c r="AD46" s="430"/>
      <c r="AE46" s="430"/>
      <c r="AF46" s="430"/>
      <c r="AG46" s="430"/>
      <c r="AH46" s="430"/>
      <c r="AI46" s="430"/>
      <c r="AJ46" s="430"/>
      <c r="AK46" s="430"/>
      <c r="AL46" s="430"/>
      <c r="AM46" s="430"/>
      <c r="AN46" s="430"/>
      <c r="AO46" s="430"/>
      <c r="AP46" s="430"/>
      <c r="AQ46" s="430"/>
      <c r="AR46" s="430"/>
      <c r="AS46" s="430"/>
      <c r="AT46" s="430"/>
      <c r="AU46" s="430"/>
      <c r="AV46" s="430"/>
      <c r="AW46" s="430"/>
      <c r="AX46" s="430"/>
      <c r="AY46" s="430"/>
      <c r="AZ46" s="430"/>
      <c r="BA46" s="430"/>
      <c r="BB46" s="430"/>
      <c r="BC46" s="430"/>
      <c r="BD46" s="430"/>
      <c r="BE46" s="430"/>
      <c r="BF46" s="430"/>
      <c r="BG46" s="430"/>
      <c r="BH46" s="430"/>
      <c r="BI46" s="430"/>
      <c r="BJ46" s="430"/>
      <c r="BK46" s="430"/>
    </row>
    <row r="47" spans="1:63">
      <c r="A47" s="430"/>
      <c r="B47" s="430"/>
      <c r="C47" s="430"/>
      <c r="D47" s="430"/>
      <c r="E47" s="430"/>
      <c r="F47" s="490"/>
      <c r="G47" s="490"/>
      <c r="H47" s="490"/>
      <c r="I47" s="490"/>
      <c r="J47" s="490"/>
      <c r="K47" s="490"/>
      <c r="L47" s="430"/>
      <c r="M47" s="430"/>
      <c r="N47" s="430"/>
      <c r="O47" s="430"/>
      <c r="P47" s="430"/>
      <c r="Q47" s="430"/>
      <c r="R47" s="430"/>
      <c r="S47" s="430"/>
      <c r="T47" s="430"/>
      <c r="U47" s="430"/>
      <c r="V47" s="430"/>
      <c r="W47" s="430"/>
      <c r="X47" s="430"/>
      <c r="Y47" s="430"/>
      <c r="Z47" s="430"/>
      <c r="AA47" s="430"/>
      <c r="AB47" s="430"/>
      <c r="AC47" s="430"/>
      <c r="AD47" s="430"/>
      <c r="AE47" s="430"/>
      <c r="AF47" s="430"/>
      <c r="AG47" s="430"/>
      <c r="AH47" s="430"/>
      <c r="AI47" s="430"/>
      <c r="AJ47" s="430"/>
      <c r="AK47" s="430"/>
      <c r="AL47" s="430"/>
      <c r="AM47" s="430"/>
      <c r="AN47" s="430"/>
      <c r="AO47" s="430"/>
      <c r="AP47" s="430"/>
      <c r="AQ47" s="430"/>
      <c r="AR47" s="430"/>
      <c r="AS47" s="430"/>
      <c r="AT47" s="430"/>
      <c r="AU47" s="430"/>
      <c r="AV47" s="430"/>
      <c r="AW47" s="430"/>
      <c r="AX47" s="430"/>
      <c r="AY47" s="430"/>
      <c r="AZ47" s="430"/>
      <c r="BA47" s="430"/>
      <c r="BB47" s="430"/>
      <c r="BC47" s="430"/>
      <c r="BD47" s="430"/>
      <c r="BE47" s="430"/>
      <c r="BF47" s="430"/>
      <c r="BG47" s="430"/>
      <c r="BH47" s="430"/>
      <c r="BI47" s="430"/>
      <c r="BJ47" s="430"/>
      <c r="BK47" s="430"/>
    </row>
    <row r="48" spans="1:63">
      <c r="A48" s="430"/>
      <c r="B48" s="430"/>
      <c r="C48" s="430"/>
      <c r="D48" s="430"/>
      <c r="E48" s="430"/>
      <c r="F48" s="501"/>
      <c r="G48" s="501"/>
      <c r="H48" s="501"/>
      <c r="I48" s="501"/>
      <c r="J48" s="501"/>
      <c r="K48" s="501"/>
      <c r="L48" s="430"/>
      <c r="M48" s="430"/>
      <c r="N48" s="430"/>
      <c r="O48" s="430"/>
      <c r="P48" s="430"/>
      <c r="Q48" s="430"/>
      <c r="R48" s="430"/>
      <c r="S48" s="430"/>
      <c r="T48" s="430"/>
      <c r="U48" s="430"/>
      <c r="V48" s="430"/>
      <c r="W48" s="430"/>
      <c r="X48" s="430"/>
      <c r="Y48" s="430"/>
      <c r="Z48" s="430"/>
      <c r="AA48" s="430"/>
      <c r="AB48" s="430"/>
      <c r="AC48" s="430"/>
      <c r="AD48" s="430"/>
      <c r="AE48" s="430"/>
      <c r="AF48" s="430"/>
      <c r="AG48" s="430"/>
      <c r="AH48" s="430"/>
      <c r="AI48" s="430"/>
      <c r="AJ48" s="430"/>
      <c r="AK48" s="430"/>
      <c r="AL48" s="430"/>
      <c r="AM48" s="430"/>
      <c r="AN48" s="430"/>
      <c r="AO48" s="430"/>
      <c r="AP48" s="430"/>
      <c r="AQ48" s="430"/>
      <c r="AR48" s="430"/>
      <c r="AS48" s="430"/>
      <c r="AT48" s="430"/>
      <c r="AU48" s="430"/>
      <c r="AV48" s="430"/>
      <c r="AW48" s="430"/>
      <c r="AX48" s="430"/>
      <c r="AY48" s="430"/>
      <c r="AZ48" s="430"/>
      <c r="BA48" s="430"/>
      <c r="BB48" s="430"/>
      <c r="BC48" s="430"/>
      <c r="BD48" s="430"/>
      <c r="BE48" s="430"/>
      <c r="BF48" s="430"/>
      <c r="BG48" s="430"/>
      <c r="BH48" s="430"/>
      <c r="BI48" s="430"/>
      <c r="BJ48" s="430"/>
      <c r="BK48" s="430"/>
    </row>
    <row r="49" spans="1:63">
      <c r="A49" s="430"/>
      <c r="B49" s="430"/>
      <c r="C49" s="430"/>
      <c r="D49" s="430"/>
      <c r="E49" s="430"/>
      <c r="F49" s="501"/>
      <c r="G49" s="501"/>
      <c r="H49" s="501"/>
      <c r="I49" s="501"/>
      <c r="J49" s="501"/>
      <c r="K49" s="501"/>
      <c r="L49" s="430"/>
      <c r="M49" s="430"/>
      <c r="N49" s="430"/>
      <c r="O49" s="430"/>
      <c r="P49" s="430"/>
      <c r="Q49" s="430"/>
      <c r="R49" s="430"/>
      <c r="S49" s="430"/>
      <c r="T49" s="430"/>
      <c r="U49" s="430"/>
      <c r="V49" s="430"/>
      <c r="W49" s="430"/>
      <c r="X49" s="430"/>
      <c r="Y49" s="430"/>
      <c r="Z49" s="430"/>
      <c r="AA49" s="430"/>
      <c r="AB49" s="430"/>
      <c r="AC49" s="430"/>
      <c r="AD49" s="430"/>
      <c r="AE49" s="430"/>
      <c r="AF49" s="430"/>
      <c r="AG49" s="430"/>
      <c r="AH49" s="430"/>
      <c r="AI49" s="430"/>
      <c r="AJ49" s="430"/>
      <c r="AK49" s="430"/>
      <c r="AL49" s="430"/>
      <c r="AM49" s="430"/>
      <c r="AN49" s="430"/>
      <c r="AO49" s="430"/>
      <c r="AP49" s="430"/>
      <c r="AQ49" s="430"/>
      <c r="AR49" s="430"/>
      <c r="AS49" s="430"/>
      <c r="AT49" s="430"/>
      <c r="AU49" s="430"/>
      <c r="AV49" s="430"/>
      <c r="AW49" s="430"/>
      <c r="AX49" s="430"/>
      <c r="AY49" s="430"/>
      <c r="AZ49" s="430"/>
      <c r="BA49" s="430"/>
      <c r="BB49" s="430"/>
      <c r="BC49" s="430"/>
      <c r="BD49" s="430"/>
      <c r="BE49" s="430"/>
      <c r="BF49" s="430"/>
      <c r="BG49" s="430"/>
      <c r="BH49" s="430"/>
      <c r="BI49" s="430"/>
      <c r="BJ49" s="430"/>
      <c r="BK49" s="430"/>
    </row>
    <row r="50" spans="1:63">
      <c r="A50" s="430"/>
      <c r="B50" s="430"/>
      <c r="C50" s="430"/>
      <c r="D50" s="430"/>
      <c r="E50" s="430"/>
      <c r="F50" s="501"/>
      <c r="G50" s="501"/>
      <c r="H50" s="501"/>
      <c r="I50" s="501"/>
      <c r="J50" s="501"/>
      <c r="K50" s="501"/>
      <c r="L50" s="430"/>
      <c r="M50" s="430"/>
      <c r="N50" s="430"/>
      <c r="O50" s="430"/>
      <c r="P50" s="430"/>
      <c r="Q50" s="430"/>
      <c r="R50" s="430"/>
      <c r="S50" s="430"/>
      <c r="T50" s="430"/>
      <c r="U50" s="430"/>
      <c r="V50" s="430"/>
      <c r="W50" s="430"/>
      <c r="X50" s="430"/>
      <c r="Y50" s="430"/>
      <c r="Z50" s="430"/>
      <c r="AA50" s="430"/>
      <c r="AB50" s="430"/>
      <c r="AC50" s="430"/>
      <c r="AD50" s="430"/>
      <c r="AE50" s="430"/>
      <c r="AF50" s="430"/>
      <c r="AG50" s="430"/>
      <c r="AH50" s="430"/>
      <c r="AI50" s="430"/>
      <c r="AJ50" s="430"/>
      <c r="AK50" s="430"/>
      <c r="AL50" s="430"/>
      <c r="AM50" s="430"/>
      <c r="AN50" s="430"/>
      <c r="AO50" s="430"/>
      <c r="AP50" s="430"/>
      <c r="AQ50" s="430"/>
      <c r="AR50" s="430"/>
      <c r="AS50" s="430"/>
      <c r="AT50" s="430"/>
      <c r="AU50" s="430"/>
      <c r="AV50" s="430"/>
      <c r="AW50" s="430"/>
      <c r="AX50" s="430"/>
      <c r="AY50" s="430"/>
      <c r="AZ50" s="430"/>
      <c r="BA50" s="430"/>
      <c r="BB50" s="430"/>
      <c r="BC50" s="430"/>
      <c r="BD50" s="430"/>
      <c r="BE50" s="430"/>
      <c r="BF50" s="430"/>
      <c r="BG50" s="430"/>
      <c r="BH50" s="430"/>
      <c r="BI50" s="430"/>
      <c r="BJ50" s="430"/>
      <c r="BK50" s="430"/>
    </row>
    <row r="51" spans="1:63">
      <c r="A51" s="430"/>
      <c r="B51" s="430"/>
      <c r="C51" s="430"/>
      <c r="D51" s="430"/>
      <c r="E51" s="430"/>
      <c r="F51" s="501"/>
      <c r="G51" s="501"/>
      <c r="H51" s="501"/>
      <c r="I51" s="501"/>
      <c r="J51" s="501"/>
      <c r="K51" s="501"/>
      <c r="L51" s="430"/>
      <c r="M51" s="430"/>
      <c r="N51" s="430"/>
      <c r="O51" s="430"/>
      <c r="P51" s="430"/>
      <c r="Q51" s="430"/>
      <c r="R51" s="430"/>
      <c r="S51" s="430"/>
      <c r="T51" s="430"/>
      <c r="U51" s="430"/>
      <c r="V51" s="430"/>
      <c r="W51" s="430"/>
      <c r="X51" s="430"/>
      <c r="Y51" s="430"/>
      <c r="Z51" s="430"/>
      <c r="AA51" s="430"/>
      <c r="AB51" s="430"/>
      <c r="AC51" s="430"/>
      <c r="AD51" s="430"/>
      <c r="AE51" s="430"/>
      <c r="AF51" s="430"/>
      <c r="AG51" s="430"/>
      <c r="AH51" s="430"/>
      <c r="AI51" s="430"/>
      <c r="AJ51" s="430"/>
      <c r="AK51" s="430"/>
      <c r="AL51" s="430"/>
      <c r="AM51" s="430"/>
      <c r="AN51" s="430"/>
      <c r="AO51" s="430"/>
      <c r="AP51" s="430"/>
      <c r="AQ51" s="430"/>
      <c r="AR51" s="430"/>
      <c r="AS51" s="430"/>
      <c r="AT51" s="430"/>
      <c r="AU51" s="430"/>
      <c r="AV51" s="430"/>
      <c r="AW51" s="430"/>
      <c r="AX51" s="430"/>
      <c r="AY51" s="430"/>
      <c r="AZ51" s="430"/>
      <c r="BA51" s="430"/>
      <c r="BB51" s="430"/>
      <c r="BC51" s="430"/>
      <c r="BD51" s="430"/>
      <c r="BE51" s="430"/>
      <c r="BF51" s="430"/>
      <c r="BG51" s="430"/>
      <c r="BH51" s="430"/>
      <c r="BI51" s="430"/>
      <c r="BJ51" s="430"/>
      <c r="BK51" s="430"/>
    </row>
    <row r="52" spans="1:63">
      <c r="A52" s="430"/>
      <c r="B52" s="430"/>
      <c r="C52" s="430"/>
      <c r="D52" s="430"/>
      <c r="E52" s="430"/>
      <c r="F52" s="501"/>
      <c r="G52" s="501"/>
      <c r="H52" s="501"/>
      <c r="I52" s="501"/>
      <c r="J52" s="501"/>
      <c r="K52" s="501"/>
      <c r="L52" s="430"/>
      <c r="M52" s="430"/>
      <c r="N52" s="430"/>
      <c r="O52" s="430"/>
      <c r="P52" s="430"/>
      <c r="Q52" s="430"/>
      <c r="R52" s="430"/>
      <c r="S52" s="430"/>
      <c r="T52" s="430"/>
      <c r="U52" s="430"/>
      <c r="V52" s="430"/>
      <c r="W52" s="430"/>
      <c r="X52" s="430"/>
      <c r="Y52" s="430"/>
      <c r="Z52" s="430"/>
      <c r="AA52" s="430"/>
      <c r="AB52" s="430"/>
      <c r="AC52" s="430"/>
      <c r="AD52" s="430"/>
      <c r="AE52" s="430"/>
      <c r="AF52" s="430"/>
      <c r="AG52" s="430"/>
      <c r="AH52" s="430"/>
      <c r="AI52" s="430"/>
      <c r="AJ52" s="430"/>
      <c r="AK52" s="430"/>
      <c r="AL52" s="430"/>
      <c r="AM52" s="430"/>
      <c r="AN52" s="430"/>
      <c r="AO52" s="430"/>
      <c r="AP52" s="430"/>
      <c r="AQ52" s="430"/>
      <c r="AR52" s="430"/>
      <c r="AS52" s="430"/>
      <c r="AT52" s="430"/>
      <c r="AU52" s="430"/>
      <c r="AV52" s="430"/>
      <c r="AW52" s="430"/>
      <c r="AX52" s="430"/>
      <c r="AY52" s="430"/>
      <c r="AZ52" s="430"/>
      <c r="BA52" s="430"/>
      <c r="BB52" s="430"/>
      <c r="BC52" s="430"/>
      <c r="BD52" s="430"/>
      <c r="BE52" s="430"/>
      <c r="BF52" s="430"/>
      <c r="BG52" s="430"/>
      <c r="BH52" s="430"/>
      <c r="BI52" s="430"/>
      <c r="BJ52" s="430"/>
      <c r="BK52" s="430"/>
    </row>
    <row r="53" spans="1:63">
      <c r="A53" s="430"/>
      <c r="B53" s="430"/>
      <c r="C53" s="430"/>
      <c r="D53" s="430"/>
      <c r="E53" s="430"/>
      <c r="F53" s="430"/>
      <c r="G53" s="430"/>
      <c r="H53" s="430"/>
      <c r="I53" s="430"/>
      <c r="J53" s="430"/>
      <c r="K53" s="430"/>
      <c r="L53" s="430"/>
      <c r="M53" s="430"/>
      <c r="N53" s="430"/>
      <c r="O53" s="430"/>
      <c r="P53" s="430"/>
      <c r="Q53" s="430"/>
      <c r="R53" s="430"/>
      <c r="S53" s="430"/>
      <c r="T53" s="430"/>
      <c r="U53" s="430"/>
      <c r="V53" s="430"/>
      <c r="W53" s="430"/>
      <c r="X53" s="430"/>
      <c r="Y53" s="430"/>
      <c r="Z53" s="430"/>
      <c r="AA53" s="430"/>
      <c r="AB53" s="430"/>
      <c r="AC53" s="430"/>
      <c r="AD53" s="430"/>
      <c r="AE53" s="430"/>
      <c r="AF53" s="430"/>
      <c r="AG53" s="430"/>
      <c r="AH53" s="430"/>
      <c r="AI53" s="430"/>
      <c r="AJ53" s="430"/>
      <c r="AK53" s="430"/>
      <c r="AL53" s="430"/>
      <c r="AM53" s="430"/>
      <c r="AN53" s="430"/>
      <c r="AO53" s="430"/>
      <c r="AP53" s="430"/>
      <c r="AQ53" s="430"/>
      <c r="AR53" s="430"/>
      <c r="AS53" s="430"/>
      <c r="AT53" s="430"/>
      <c r="AU53" s="430"/>
      <c r="AV53" s="430"/>
      <c r="AW53" s="430"/>
      <c r="AX53" s="430"/>
      <c r="AY53" s="430"/>
      <c r="AZ53" s="430"/>
      <c r="BA53" s="430"/>
      <c r="BB53" s="430"/>
      <c r="BC53" s="430"/>
      <c r="BD53" s="430"/>
      <c r="BE53" s="430"/>
      <c r="BF53" s="430"/>
      <c r="BG53" s="430"/>
      <c r="BH53" s="430"/>
      <c r="BI53" s="430"/>
      <c r="BJ53" s="430"/>
      <c r="BK53" s="430"/>
    </row>
    <row r="54" spans="1:63">
      <c r="A54" s="430"/>
      <c r="B54" s="430"/>
      <c r="C54" s="430"/>
      <c r="D54" s="430"/>
      <c r="E54" s="430"/>
      <c r="F54" s="430"/>
      <c r="G54" s="430"/>
      <c r="H54" s="430"/>
      <c r="I54" s="430"/>
      <c r="J54" s="430"/>
      <c r="K54" s="430"/>
      <c r="L54" s="430"/>
      <c r="M54" s="430"/>
      <c r="N54" s="430"/>
      <c r="O54" s="430"/>
      <c r="P54" s="430"/>
      <c r="Q54" s="430"/>
      <c r="R54" s="430"/>
      <c r="S54" s="430"/>
      <c r="T54" s="430"/>
      <c r="U54" s="430"/>
      <c r="V54" s="430"/>
      <c r="W54" s="430"/>
      <c r="X54" s="430"/>
      <c r="Y54" s="430"/>
      <c r="Z54" s="430"/>
      <c r="AA54" s="430"/>
      <c r="AB54" s="430"/>
      <c r="AC54" s="430"/>
      <c r="AD54" s="430"/>
      <c r="AE54" s="430"/>
      <c r="AF54" s="430"/>
      <c r="AG54" s="430"/>
      <c r="AH54" s="430"/>
      <c r="AI54" s="430"/>
      <c r="AJ54" s="430"/>
      <c r="AK54" s="430"/>
      <c r="AL54" s="430"/>
      <c r="AM54" s="430"/>
      <c r="AN54" s="430"/>
      <c r="AO54" s="430"/>
      <c r="AP54" s="430"/>
      <c r="AQ54" s="430"/>
      <c r="AR54" s="430"/>
      <c r="AS54" s="430"/>
      <c r="AT54" s="430"/>
      <c r="AU54" s="430"/>
      <c r="AV54" s="430"/>
      <c r="AW54" s="430"/>
      <c r="AX54" s="430"/>
      <c r="AY54" s="430"/>
      <c r="AZ54" s="430"/>
      <c r="BA54" s="430"/>
      <c r="BB54" s="430"/>
      <c r="BC54" s="430"/>
      <c r="BD54" s="430"/>
      <c r="BE54" s="430"/>
      <c r="BF54" s="430"/>
      <c r="BG54" s="430"/>
      <c r="BH54" s="430"/>
      <c r="BI54" s="430"/>
      <c r="BJ54" s="430"/>
      <c r="BK54" s="430"/>
    </row>
    <row r="55" spans="1:63">
      <c r="A55" s="430"/>
      <c r="B55" s="430"/>
      <c r="C55" s="430"/>
      <c r="D55" s="430"/>
      <c r="E55" s="430"/>
      <c r="F55" s="430"/>
      <c r="G55" s="430"/>
      <c r="H55" s="430"/>
      <c r="I55" s="430"/>
      <c r="J55" s="430"/>
      <c r="K55" s="430"/>
      <c r="L55" s="430"/>
      <c r="M55" s="430"/>
      <c r="N55" s="430"/>
      <c r="O55" s="430"/>
      <c r="P55" s="430"/>
      <c r="Q55" s="430"/>
      <c r="R55" s="430"/>
      <c r="S55" s="430"/>
      <c r="T55" s="430"/>
      <c r="U55" s="430"/>
      <c r="V55" s="430"/>
      <c r="W55" s="430"/>
      <c r="X55" s="430"/>
      <c r="Y55" s="430"/>
      <c r="Z55" s="430"/>
      <c r="AA55" s="430"/>
      <c r="AB55" s="430"/>
      <c r="AC55" s="430"/>
      <c r="AD55" s="430"/>
      <c r="AE55" s="430"/>
      <c r="AF55" s="430"/>
      <c r="AG55" s="430"/>
      <c r="AH55" s="430"/>
      <c r="AI55" s="430"/>
      <c r="AJ55" s="430"/>
      <c r="AK55" s="430"/>
      <c r="AL55" s="430"/>
      <c r="AM55" s="430"/>
      <c r="AN55" s="430"/>
      <c r="AO55" s="430"/>
      <c r="AP55" s="430"/>
      <c r="AQ55" s="430"/>
      <c r="AR55" s="430"/>
      <c r="AS55" s="430"/>
      <c r="AT55" s="430"/>
      <c r="AU55" s="430"/>
      <c r="AV55" s="430"/>
      <c r="AW55" s="430"/>
      <c r="AX55" s="430"/>
      <c r="AY55" s="430"/>
      <c r="AZ55" s="430"/>
      <c r="BA55" s="430"/>
      <c r="BB55" s="430"/>
      <c r="BC55" s="430"/>
      <c r="BD55" s="430"/>
      <c r="BE55" s="430"/>
      <c r="BF55" s="430"/>
      <c r="BG55" s="430"/>
      <c r="BH55" s="430"/>
      <c r="BI55" s="430"/>
      <c r="BJ55" s="430"/>
      <c r="BK55" s="430"/>
    </row>
    <row r="56" spans="1:63">
      <c r="A56" s="430"/>
      <c r="B56" s="430"/>
      <c r="C56" s="430"/>
      <c r="D56" s="430"/>
      <c r="E56" s="430"/>
      <c r="F56" s="430"/>
      <c r="G56" s="430"/>
      <c r="H56" s="430"/>
      <c r="I56" s="430"/>
      <c r="J56" s="430"/>
      <c r="K56" s="430"/>
      <c r="L56" s="430"/>
      <c r="M56" s="430"/>
      <c r="N56" s="430"/>
      <c r="O56" s="430"/>
      <c r="P56" s="430"/>
      <c r="Q56" s="430"/>
      <c r="R56" s="430"/>
      <c r="S56" s="430"/>
      <c r="T56" s="430"/>
      <c r="U56" s="430"/>
      <c r="V56" s="430"/>
      <c r="W56" s="430"/>
      <c r="X56" s="430"/>
      <c r="Y56" s="430"/>
      <c r="Z56" s="430"/>
      <c r="AA56" s="430"/>
      <c r="AB56" s="430"/>
      <c r="AC56" s="430"/>
      <c r="AD56" s="430"/>
      <c r="AE56" s="430"/>
      <c r="AF56" s="430"/>
      <c r="AG56" s="430"/>
      <c r="AH56" s="430"/>
      <c r="AI56" s="430"/>
      <c r="AJ56" s="430"/>
      <c r="AK56" s="430"/>
      <c r="AL56" s="430"/>
      <c r="AM56" s="430"/>
      <c r="AN56" s="430"/>
      <c r="AO56" s="430"/>
      <c r="AP56" s="430"/>
      <c r="AQ56" s="430"/>
      <c r="AR56" s="430"/>
      <c r="AS56" s="430"/>
      <c r="AT56" s="430"/>
      <c r="AU56" s="430"/>
      <c r="AV56" s="430"/>
      <c r="AW56" s="430"/>
      <c r="AX56" s="430"/>
      <c r="AY56" s="430"/>
      <c r="AZ56" s="430"/>
      <c r="BA56" s="430"/>
      <c r="BB56" s="430"/>
      <c r="BC56" s="430"/>
      <c r="BD56" s="430"/>
      <c r="BE56" s="430"/>
      <c r="BF56" s="430"/>
      <c r="BG56" s="430"/>
      <c r="BH56" s="430"/>
      <c r="BI56" s="430"/>
      <c r="BJ56" s="430"/>
      <c r="BK56" s="430"/>
    </row>
    <row r="57" spans="1:63">
      <c r="A57" s="430"/>
      <c r="B57" s="430"/>
      <c r="C57" s="430"/>
      <c r="D57" s="430"/>
      <c r="E57" s="430"/>
      <c r="F57" s="430"/>
      <c r="G57" s="430"/>
      <c r="H57" s="430"/>
      <c r="I57" s="430"/>
      <c r="J57" s="430"/>
      <c r="K57" s="430"/>
      <c r="L57" s="430"/>
      <c r="M57" s="430"/>
      <c r="N57" s="430"/>
      <c r="O57" s="430"/>
      <c r="P57" s="430"/>
      <c r="Q57" s="430"/>
      <c r="R57" s="430"/>
      <c r="S57" s="430"/>
      <c r="T57" s="430"/>
      <c r="U57" s="430"/>
      <c r="V57" s="430"/>
      <c r="W57" s="430"/>
      <c r="X57" s="430"/>
      <c r="Y57" s="430"/>
      <c r="Z57" s="430"/>
      <c r="AA57" s="430"/>
      <c r="AB57" s="430"/>
      <c r="AC57" s="430"/>
      <c r="AD57" s="430"/>
      <c r="AE57" s="430"/>
      <c r="AF57" s="430"/>
      <c r="AG57" s="430"/>
      <c r="AH57" s="430"/>
      <c r="AI57" s="430"/>
      <c r="AJ57" s="430"/>
      <c r="AK57" s="430"/>
      <c r="AL57" s="430"/>
      <c r="AM57" s="430"/>
      <c r="AN57" s="430"/>
      <c r="AO57" s="430"/>
      <c r="AP57" s="430"/>
      <c r="AQ57" s="430"/>
      <c r="AR57" s="430"/>
      <c r="AS57" s="430"/>
      <c r="AT57" s="430"/>
      <c r="AU57" s="430"/>
      <c r="AV57" s="430"/>
      <c r="AW57" s="430"/>
      <c r="AX57" s="430"/>
      <c r="AY57" s="430"/>
      <c r="AZ57" s="430"/>
      <c r="BA57" s="430"/>
      <c r="BB57" s="430"/>
      <c r="BC57" s="430"/>
      <c r="BD57" s="430"/>
      <c r="BE57" s="430"/>
      <c r="BF57" s="430"/>
      <c r="BG57" s="430"/>
      <c r="BH57" s="430"/>
      <c r="BI57" s="430"/>
      <c r="BJ57" s="430"/>
      <c r="BK57" s="430"/>
    </row>
    <row r="58" spans="1:63">
      <c r="A58" s="430"/>
      <c r="B58" s="430"/>
      <c r="C58" s="430"/>
      <c r="D58" s="430"/>
      <c r="E58" s="430"/>
      <c r="F58" s="430"/>
      <c r="G58" s="430"/>
      <c r="H58" s="430"/>
      <c r="I58" s="430"/>
      <c r="J58" s="430"/>
      <c r="K58" s="430"/>
      <c r="L58" s="430"/>
      <c r="M58" s="430"/>
      <c r="N58" s="430"/>
      <c r="O58" s="430"/>
      <c r="P58" s="430"/>
      <c r="Q58" s="430"/>
      <c r="R58" s="430"/>
      <c r="S58" s="430"/>
      <c r="T58" s="430"/>
      <c r="U58" s="430"/>
      <c r="V58" s="430"/>
      <c r="W58" s="430"/>
      <c r="X58" s="430"/>
      <c r="Y58" s="430"/>
      <c r="Z58" s="430"/>
      <c r="AA58" s="430"/>
      <c r="AB58" s="430"/>
      <c r="AC58" s="430"/>
      <c r="AD58" s="430"/>
      <c r="AE58" s="430"/>
      <c r="AF58" s="430"/>
      <c r="AG58" s="430"/>
      <c r="AH58" s="430"/>
      <c r="AI58" s="430"/>
      <c r="AJ58" s="430"/>
      <c r="AK58" s="430"/>
      <c r="AL58" s="430"/>
      <c r="AM58" s="430"/>
      <c r="AN58" s="430"/>
      <c r="AO58" s="430"/>
      <c r="AP58" s="430"/>
      <c r="AQ58" s="430"/>
      <c r="AR58" s="430"/>
      <c r="AS58" s="430"/>
      <c r="AT58" s="430"/>
      <c r="AU58" s="430"/>
      <c r="AV58" s="430"/>
      <c r="AW58" s="430"/>
      <c r="AX58" s="430"/>
      <c r="AY58" s="430"/>
      <c r="AZ58" s="430"/>
      <c r="BA58" s="430"/>
      <c r="BB58" s="430"/>
      <c r="BC58" s="430"/>
      <c r="BD58" s="430"/>
      <c r="BE58" s="430"/>
      <c r="BF58" s="430"/>
      <c r="BG58" s="430"/>
      <c r="BH58" s="430"/>
      <c r="BI58" s="430"/>
      <c r="BJ58" s="430"/>
      <c r="BK58" s="430"/>
    </row>
    <row r="59" spans="1:63">
      <c r="A59" s="430"/>
      <c r="B59" s="430"/>
      <c r="C59" s="430"/>
      <c r="D59" s="430"/>
      <c r="E59" s="430"/>
      <c r="F59" s="430"/>
      <c r="G59" s="430"/>
      <c r="H59" s="430"/>
      <c r="I59" s="430"/>
      <c r="J59" s="430"/>
      <c r="K59" s="430"/>
      <c r="L59" s="430"/>
      <c r="M59" s="430"/>
      <c r="N59" s="430"/>
      <c r="O59" s="430"/>
      <c r="P59" s="430"/>
      <c r="Q59" s="430"/>
      <c r="R59" s="430"/>
      <c r="S59" s="430"/>
      <c r="T59" s="430"/>
      <c r="U59" s="430"/>
      <c r="V59" s="430"/>
      <c r="W59" s="430"/>
      <c r="X59" s="430"/>
      <c r="Y59" s="430"/>
      <c r="Z59" s="430"/>
      <c r="AA59" s="430"/>
      <c r="AB59" s="430"/>
      <c r="AC59" s="430"/>
      <c r="AD59" s="430"/>
      <c r="AE59" s="430"/>
      <c r="AF59" s="430"/>
      <c r="AG59" s="430"/>
      <c r="AH59" s="430"/>
      <c r="AI59" s="430"/>
      <c r="AJ59" s="430"/>
      <c r="AK59" s="430"/>
      <c r="AL59" s="430"/>
      <c r="AM59" s="430"/>
      <c r="AN59" s="430"/>
      <c r="AO59" s="430"/>
      <c r="AP59" s="430"/>
      <c r="AQ59" s="430"/>
      <c r="AR59" s="430"/>
      <c r="AS59" s="430"/>
      <c r="AT59" s="430"/>
      <c r="AU59" s="430"/>
      <c r="AV59" s="430"/>
      <c r="AW59" s="430"/>
      <c r="AX59" s="430"/>
      <c r="AY59" s="430"/>
      <c r="AZ59" s="430"/>
      <c r="BA59" s="430"/>
      <c r="BB59" s="430"/>
      <c r="BC59" s="430"/>
      <c r="BD59" s="430"/>
      <c r="BE59" s="430"/>
      <c r="BF59" s="430"/>
      <c r="BG59" s="430"/>
      <c r="BH59" s="430"/>
      <c r="BI59" s="430"/>
      <c r="BJ59" s="430"/>
      <c r="BK59" s="430"/>
    </row>
    <row r="60" spans="1:63">
      <c r="A60" s="430"/>
      <c r="B60" s="430"/>
      <c r="C60" s="430"/>
      <c r="D60" s="430"/>
      <c r="E60" s="430"/>
      <c r="F60" s="430"/>
      <c r="G60" s="430"/>
      <c r="H60" s="430"/>
      <c r="I60" s="430"/>
      <c r="J60" s="430"/>
      <c r="K60" s="430"/>
      <c r="L60" s="430"/>
      <c r="M60" s="430"/>
      <c r="N60" s="430"/>
      <c r="O60" s="430"/>
      <c r="P60" s="430"/>
      <c r="Q60" s="430"/>
      <c r="R60" s="430"/>
      <c r="S60" s="430"/>
      <c r="T60" s="430"/>
      <c r="U60" s="430"/>
      <c r="V60" s="430"/>
      <c r="W60" s="430"/>
      <c r="X60" s="430"/>
      <c r="Y60" s="430"/>
      <c r="Z60" s="430"/>
      <c r="AA60" s="430"/>
      <c r="AB60" s="430"/>
      <c r="AC60" s="430"/>
      <c r="AD60" s="430"/>
      <c r="AE60" s="430"/>
      <c r="AF60" s="430"/>
      <c r="AG60" s="430"/>
      <c r="AH60" s="430"/>
      <c r="AI60" s="430"/>
      <c r="AJ60" s="430"/>
      <c r="AK60" s="430"/>
      <c r="AL60" s="430"/>
      <c r="AM60" s="430"/>
      <c r="AN60" s="430"/>
      <c r="AO60" s="430"/>
      <c r="AP60" s="430"/>
      <c r="AQ60" s="430"/>
      <c r="AR60" s="430"/>
      <c r="AS60" s="430"/>
      <c r="AT60" s="430"/>
      <c r="AU60" s="430"/>
      <c r="AV60" s="430"/>
      <c r="AW60" s="430"/>
      <c r="AX60" s="430"/>
      <c r="AY60" s="430"/>
      <c r="AZ60" s="430"/>
      <c r="BA60" s="430"/>
      <c r="BB60" s="430"/>
      <c r="BC60" s="430"/>
      <c r="BD60" s="430"/>
      <c r="BE60" s="430"/>
      <c r="BF60" s="430"/>
      <c r="BG60" s="430"/>
      <c r="BH60" s="430"/>
      <c r="BI60" s="430"/>
      <c r="BJ60" s="430"/>
      <c r="BK60" s="430"/>
    </row>
    <row r="61" spans="1:63">
      <c r="A61" s="430"/>
      <c r="B61" s="430"/>
      <c r="C61" s="430"/>
      <c r="D61" s="430"/>
      <c r="E61" s="430"/>
      <c r="F61" s="430"/>
      <c r="G61" s="430"/>
      <c r="H61" s="430"/>
      <c r="I61" s="430"/>
      <c r="J61" s="430"/>
      <c r="K61" s="430"/>
      <c r="L61" s="430"/>
      <c r="M61" s="430"/>
      <c r="N61" s="430"/>
      <c r="O61" s="430"/>
      <c r="P61" s="430"/>
      <c r="Q61" s="430"/>
      <c r="R61" s="430"/>
      <c r="S61" s="430"/>
      <c r="T61" s="430"/>
      <c r="U61" s="430"/>
      <c r="V61" s="430"/>
      <c r="W61" s="430"/>
      <c r="X61" s="430"/>
      <c r="Y61" s="430"/>
      <c r="Z61" s="430"/>
      <c r="AA61" s="430"/>
      <c r="AB61" s="430"/>
      <c r="AC61" s="430"/>
      <c r="AD61" s="430"/>
      <c r="AE61" s="430"/>
      <c r="AF61" s="430"/>
      <c r="AG61" s="430"/>
      <c r="AH61" s="430"/>
      <c r="AI61" s="430"/>
      <c r="AJ61" s="430"/>
      <c r="AK61" s="430"/>
      <c r="AL61" s="430"/>
      <c r="AM61" s="430"/>
      <c r="AN61" s="430"/>
      <c r="AO61" s="430"/>
      <c r="AP61" s="430"/>
      <c r="AQ61" s="430"/>
      <c r="AR61" s="430"/>
      <c r="AS61" s="430"/>
      <c r="AT61" s="430"/>
      <c r="AU61" s="430"/>
      <c r="AV61" s="430"/>
      <c r="AW61" s="430"/>
      <c r="AX61" s="430"/>
      <c r="AY61" s="430"/>
      <c r="AZ61" s="430"/>
      <c r="BA61" s="430"/>
      <c r="BB61" s="430"/>
      <c r="BC61" s="430"/>
      <c r="BD61" s="430"/>
      <c r="BE61" s="430"/>
      <c r="BF61" s="430"/>
      <c r="BG61" s="430"/>
      <c r="BH61" s="430"/>
      <c r="BI61" s="430"/>
      <c r="BJ61" s="430"/>
      <c r="BK61" s="430"/>
    </row>
    <row r="62" spans="1:63">
      <c r="A62" s="430"/>
      <c r="B62" s="430"/>
      <c r="C62" s="430"/>
      <c r="D62" s="430"/>
      <c r="E62" s="430"/>
      <c r="F62" s="430"/>
      <c r="G62" s="430"/>
      <c r="H62" s="430"/>
      <c r="I62" s="430"/>
      <c r="J62" s="430"/>
      <c r="K62" s="430"/>
      <c r="L62" s="430"/>
      <c r="M62" s="430"/>
      <c r="N62" s="430"/>
      <c r="O62" s="430"/>
      <c r="P62" s="430"/>
      <c r="Q62" s="430"/>
      <c r="R62" s="430"/>
      <c r="S62" s="430"/>
      <c r="T62" s="430"/>
      <c r="U62" s="430"/>
      <c r="V62" s="430"/>
      <c r="W62" s="430"/>
      <c r="X62" s="430"/>
      <c r="Y62" s="430"/>
      <c r="Z62" s="430"/>
      <c r="AA62" s="430"/>
      <c r="AB62" s="430"/>
      <c r="AC62" s="430"/>
      <c r="AD62" s="430"/>
      <c r="AE62" s="430"/>
      <c r="AF62" s="430"/>
      <c r="AG62" s="430"/>
      <c r="AH62" s="430"/>
      <c r="AI62" s="430"/>
      <c r="AJ62" s="430"/>
      <c r="AK62" s="430"/>
      <c r="AL62" s="430"/>
      <c r="AM62" s="430"/>
      <c r="AN62" s="430"/>
      <c r="AO62" s="430"/>
      <c r="AP62" s="430"/>
      <c r="AQ62" s="430"/>
      <c r="AR62" s="430"/>
      <c r="AS62" s="430"/>
      <c r="AT62" s="430"/>
      <c r="AU62" s="430"/>
      <c r="AV62" s="430"/>
      <c r="AW62" s="430"/>
      <c r="AX62" s="430"/>
      <c r="AY62" s="430"/>
      <c r="AZ62" s="430"/>
      <c r="BA62" s="430"/>
      <c r="BB62" s="430"/>
      <c r="BC62" s="430"/>
      <c r="BD62" s="430"/>
      <c r="BE62" s="430"/>
      <c r="BF62" s="430"/>
      <c r="BG62" s="430"/>
      <c r="BH62" s="430"/>
      <c r="BI62" s="430"/>
      <c r="BJ62" s="430"/>
      <c r="BK62" s="430"/>
    </row>
    <row r="63" spans="1:63">
      <c r="A63" s="430"/>
      <c r="B63" s="430"/>
      <c r="C63" s="430"/>
      <c r="D63" s="430"/>
      <c r="E63" s="430"/>
      <c r="F63" s="430"/>
      <c r="G63" s="430"/>
      <c r="H63" s="430"/>
      <c r="I63" s="430"/>
      <c r="J63" s="430"/>
      <c r="K63" s="430"/>
      <c r="L63" s="430"/>
      <c r="M63" s="430"/>
      <c r="N63" s="430"/>
      <c r="O63" s="430"/>
      <c r="P63" s="430"/>
      <c r="Q63" s="430"/>
      <c r="R63" s="430"/>
      <c r="S63" s="430"/>
      <c r="T63" s="430"/>
      <c r="U63" s="430"/>
      <c r="V63" s="430"/>
      <c r="W63" s="430"/>
      <c r="X63" s="430"/>
      <c r="Y63" s="430"/>
      <c r="Z63" s="430"/>
      <c r="AA63" s="430"/>
      <c r="AB63" s="430"/>
      <c r="AC63" s="430"/>
      <c r="AD63" s="430"/>
      <c r="AE63" s="430"/>
      <c r="AF63" s="430"/>
      <c r="AG63" s="430"/>
      <c r="AH63" s="430"/>
      <c r="AI63" s="430"/>
      <c r="AJ63" s="430"/>
      <c r="AK63" s="430"/>
      <c r="AL63" s="430"/>
      <c r="AM63" s="430"/>
      <c r="AN63" s="430"/>
      <c r="AO63" s="430"/>
      <c r="AP63" s="430"/>
      <c r="AQ63" s="430"/>
      <c r="AR63" s="430"/>
      <c r="AS63" s="430"/>
      <c r="AT63" s="430"/>
      <c r="AU63" s="430"/>
      <c r="AV63" s="430"/>
      <c r="AW63" s="430"/>
      <c r="AX63" s="430"/>
      <c r="AY63" s="430"/>
      <c r="AZ63" s="430"/>
      <c r="BA63" s="430"/>
      <c r="BB63" s="430"/>
      <c r="BC63" s="430"/>
      <c r="BD63" s="430"/>
      <c r="BE63" s="430"/>
      <c r="BF63" s="430"/>
      <c r="BG63" s="430"/>
      <c r="BH63" s="430"/>
      <c r="BI63" s="430"/>
      <c r="BJ63" s="430"/>
      <c r="BK63" s="430"/>
    </row>
    <row r="64" spans="1:63">
      <c r="A64" s="430"/>
      <c r="B64" s="430"/>
      <c r="C64" s="430"/>
      <c r="D64" s="430"/>
      <c r="E64" s="430"/>
      <c r="F64" s="430"/>
      <c r="G64" s="430"/>
      <c r="H64" s="430"/>
      <c r="I64" s="430"/>
      <c r="J64" s="430"/>
      <c r="K64" s="430"/>
      <c r="L64" s="430"/>
      <c r="M64" s="430"/>
      <c r="N64" s="430"/>
      <c r="O64" s="430"/>
      <c r="P64" s="430"/>
      <c r="Q64" s="430"/>
      <c r="R64" s="430"/>
      <c r="S64" s="430"/>
      <c r="T64" s="430"/>
      <c r="U64" s="430"/>
      <c r="V64" s="430"/>
      <c r="W64" s="430"/>
      <c r="X64" s="430"/>
      <c r="Y64" s="430"/>
      <c r="Z64" s="430"/>
      <c r="AA64" s="430"/>
      <c r="AB64" s="430"/>
      <c r="AC64" s="430"/>
      <c r="AD64" s="430"/>
      <c r="AE64" s="430"/>
      <c r="AF64" s="430"/>
      <c r="AG64" s="430"/>
      <c r="AH64" s="430"/>
      <c r="AI64" s="430"/>
      <c r="AJ64" s="430"/>
      <c r="AK64" s="430"/>
      <c r="AL64" s="430"/>
      <c r="AM64" s="430"/>
      <c r="AN64" s="430"/>
      <c r="AO64" s="430"/>
      <c r="AP64" s="430"/>
      <c r="AQ64" s="430"/>
      <c r="AR64" s="430"/>
      <c r="AS64" s="430"/>
      <c r="AT64" s="430"/>
      <c r="AU64" s="430"/>
      <c r="AV64" s="430"/>
      <c r="AW64" s="430"/>
      <c r="AX64" s="430"/>
      <c r="AY64" s="430"/>
      <c r="AZ64" s="430"/>
      <c r="BA64" s="430"/>
      <c r="BB64" s="430"/>
      <c r="BC64" s="430"/>
      <c r="BD64" s="430"/>
      <c r="BE64" s="430"/>
      <c r="BF64" s="430"/>
      <c r="BG64" s="430"/>
      <c r="BH64" s="430"/>
      <c r="BI64" s="430"/>
      <c r="BJ64" s="430"/>
      <c r="BK64" s="430"/>
    </row>
    <row r="65" spans="1:63">
      <c r="A65" s="430"/>
      <c r="B65" s="430"/>
      <c r="C65" s="430"/>
      <c r="D65" s="430"/>
      <c r="E65" s="430"/>
      <c r="F65" s="430"/>
      <c r="G65" s="430"/>
      <c r="H65" s="430"/>
      <c r="I65" s="430"/>
      <c r="J65" s="430"/>
      <c r="K65" s="430"/>
      <c r="L65" s="430"/>
      <c r="M65" s="430"/>
      <c r="N65" s="430"/>
      <c r="O65" s="430"/>
      <c r="P65" s="430"/>
      <c r="Q65" s="430"/>
      <c r="R65" s="430"/>
      <c r="S65" s="430"/>
      <c r="T65" s="430"/>
      <c r="U65" s="430"/>
      <c r="V65" s="430"/>
      <c r="W65" s="430"/>
      <c r="X65" s="430"/>
      <c r="Y65" s="430"/>
      <c r="Z65" s="430"/>
      <c r="AA65" s="430"/>
      <c r="AB65" s="430"/>
      <c r="AC65" s="430"/>
      <c r="AD65" s="430"/>
      <c r="AE65" s="430"/>
      <c r="AF65" s="430"/>
      <c r="AG65" s="430"/>
      <c r="AH65" s="430"/>
      <c r="AI65" s="430"/>
      <c r="AJ65" s="430"/>
      <c r="AK65" s="430"/>
      <c r="AL65" s="430"/>
      <c r="AM65" s="430"/>
      <c r="AN65" s="430"/>
      <c r="AO65" s="430"/>
      <c r="AP65" s="430"/>
      <c r="AQ65" s="430"/>
      <c r="AR65" s="430"/>
      <c r="AS65" s="430"/>
      <c r="AT65" s="430"/>
      <c r="AU65" s="430"/>
      <c r="AV65" s="430"/>
      <c r="AW65" s="430"/>
      <c r="AX65" s="430"/>
      <c r="AY65" s="430"/>
      <c r="AZ65" s="430"/>
      <c r="BA65" s="430"/>
      <c r="BB65" s="430"/>
      <c r="BC65" s="430"/>
      <c r="BD65" s="430"/>
      <c r="BE65" s="430"/>
      <c r="BF65" s="430"/>
      <c r="BG65" s="430"/>
      <c r="BH65" s="430"/>
      <c r="BI65" s="430"/>
      <c r="BJ65" s="430"/>
      <c r="BK65" s="430"/>
    </row>
    <row r="66" spans="1:63">
      <c r="A66" s="430"/>
      <c r="B66" s="430"/>
      <c r="C66" s="430"/>
      <c r="D66" s="430"/>
      <c r="E66" s="430"/>
      <c r="F66" s="430"/>
      <c r="G66" s="430"/>
      <c r="H66" s="430"/>
      <c r="I66" s="430"/>
      <c r="J66" s="430"/>
      <c r="K66" s="430"/>
      <c r="L66" s="430"/>
      <c r="M66" s="430"/>
      <c r="N66" s="430"/>
      <c r="O66" s="430"/>
      <c r="P66" s="430"/>
      <c r="Q66" s="430"/>
      <c r="R66" s="430"/>
      <c r="S66" s="430"/>
      <c r="T66" s="430"/>
      <c r="U66" s="430"/>
      <c r="V66" s="430"/>
      <c r="W66" s="430"/>
      <c r="X66" s="430"/>
      <c r="Y66" s="430"/>
      <c r="Z66" s="430"/>
      <c r="AA66" s="430"/>
      <c r="AB66" s="430"/>
      <c r="AC66" s="430"/>
      <c r="AD66" s="430"/>
      <c r="AE66" s="430"/>
      <c r="AF66" s="430"/>
      <c r="AG66" s="430"/>
      <c r="AH66" s="430"/>
      <c r="AI66" s="430"/>
      <c r="AJ66" s="430"/>
      <c r="AK66" s="430"/>
      <c r="AL66" s="430"/>
      <c r="AM66" s="430"/>
      <c r="AN66" s="430"/>
      <c r="AO66" s="430"/>
      <c r="AP66" s="430"/>
      <c r="AQ66" s="430"/>
      <c r="AR66" s="430"/>
      <c r="AS66" s="430"/>
      <c r="AT66" s="430"/>
      <c r="AU66" s="430"/>
      <c r="AV66" s="430"/>
      <c r="AW66" s="430"/>
      <c r="AX66" s="430"/>
      <c r="AY66" s="430"/>
      <c r="AZ66" s="430"/>
      <c r="BA66" s="430"/>
      <c r="BB66" s="430"/>
      <c r="BC66" s="430"/>
      <c r="BD66" s="430"/>
      <c r="BE66" s="430"/>
      <c r="BF66" s="430"/>
      <c r="BG66" s="430"/>
      <c r="BH66" s="430"/>
      <c r="BI66" s="430"/>
      <c r="BJ66" s="430"/>
      <c r="BK66" s="430"/>
    </row>
    <row r="67" spans="1:63">
      <c r="A67" s="430"/>
      <c r="B67" s="430"/>
      <c r="C67" s="430"/>
      <c r="D67" s="430"/>
      <c r="E67" s="430"/>
      <c r="F67" s="430"/>
      <c r="G67" s="430"/>
      <c r="H67" s="430"/>
      <c r="I67" s="430"/>
      <c r="J67" s="430"/>
      <c r="K67" s="430"/>
      <c r="L67" s="430"/>
      <c r="M67" s="430"/>
      <c r="N67" s="430"/>
      <c r="O67" s="430"/>
      <c r="P67" s="430"/>
      <c r="Q67" s="430"/>
      <c r="R67" s="430"/>
      <c r="S67" s="430"/>
      <c r="T67" s="430"/>
      <c r="U67" s="430"/>
      <c r="V67" s="430"/>
      <c r="W67" s="430"/>
      <c r="X67" s="430"/>
      <c r="Y67" s="430"/>
      <c r="Z67" s="430"/>
      <c r="AA67" s="430"/>
      <c r="AB67" s="430"/>
      <c r="AC67" s="430"/>
      <c r="AD67" s="430"/>
      <c r="AE67" s="430"/>
      <c r="AF67" s="430"/>
      <c r="AG67" s="430"/>
      <c r="AH67" s="430"/>
      <c r="AI67" s="430"/>
      <c r="AJ67" s="430"/>
      <c r="AK67" s="430"/>
      <c r="AL67" s="430"/>
      <c r="AM67" s="430"/>
      <c r="AN67" s="430"/>
      <c r="AO67" s="430"/>
      <c r="AP67" s="430"/>
      <c r="AQ67" s="430"/>
      <c r="AR67" s="430"/>
      <c r="AS67" s="430"/>
      <c r="AT67" s="430"/>
      <c r="AU67" s="430"/>
      <c r="AV67" s="430"/>
      <c r="AW67" s="430"/>
      <c r="AX67" s="430"/>
      <c r="AY67" s="430"/>
      <c r="AZ67" s="430"/>
      <c r="BA67" s="430"/>
      <c r="BB67" s="430"/>
      <c r="BC67" s="430"/>
      <c r="BD67" s="430"/>
      <c r="BE67" s="430"/>
      <c r="BF67" s="430"/>
      <c r="BG67" s="430"/>
      <c r="BH67" s="430"/>
      <c r="BI67" s="430"/>
      <c r="BJ67" s="430"/>
      <c r="BK67" s="430"/>
    </row>
    <row r="68" spans="1:63">
      <c r="A68" s="430"/>
      <c r="B68" s="430"/>
      <c r="C68" s="430"/>
      <c r="D68" s="430"/>
      <c r="E68" s="430"/>
      <c r="F68" s="430"/>
      <c r="G68" s="430"/>
      <c r="H68" s="430"/>
      <c r="I68" s="430"/>
      <c r="J68" s="430"/>
      <c r="K68" s="430"/>
      <c r="L68" s="430"/>
      <c r="M68" s="430"/>
      <c r="N68" s="430"/>
      <c r="O68" s="430"/>
      <c r="P68" s="430"/>
      <c r="Q68" s="430"/>
      <c r="R68" s="430"/>
      <c r="S68" s="430"/>
      <c r="T68" s="430"/>
      <c r="U68" s="430"/>
      <c r="V68" s="430"/>
      <c r="W68" s="430"/>
      <c r="X68" s="430"/>
      <c r="Y68" s="430"/>
      <c r="Z68" s="430"/>
      <c r="AA68" s="430"/>
      <c r="AB68" s="430"/>
      <c r="AC68" s="430"/>
      <c r="AD68" s="430"/>
      <c r="AE68" s="430"/>
      <c r="AF68" s="430"/>
      <c r="AG68" s="430"/>
      <c r="AH68" s="430"/>
      <c r="AI68" s="430"/>
      <c r="AJ68" s="430"/>
      <c r="AK68" s="430"/>
      <c r="AL68" s="430"/>
      <c r="AM68" s="430"/>
      <c r="AN68" s="430"/>
      <c r="AO68" s="430"/>
      <c r="AP68" s="430"/>
      <c r="AQ68" s="430"/>
      <c r="AR68" s="430"/>
      <c r="AS68" s="430"/>
      <c r="AT68" s="430"/>
      <c r="AU68" s="430"/>
      <c r="AV68" s="430"/>
      <c r="AW68" s="430"/>
      <c r="AX68" s="430"/>
      <c r="AY68" s="430"/>
      <c r="AZ68" s="430"/>
      <c r="BA68" s="430"/>
      <c r="BB68" s="430"/>
      <c r="BC68" s="430"/>
      <c r="BD68" s="430"/>
      <c r="BE68" s="430"/>
      <c r="BF68" s="430"/>
      <c r="BG68" s="430"/>
      <c r="BH68" s="430"/>
      <c r="BI68" s="430"/>
      <c r="BJ68" s="430"/>
      <c r="BK68" s="430"/>
    </row>
    <row r="69" spans="1:63">
      <c r="A69" s="430"/>
      <c r="B69" s="430"/>
      <c r="C69" s="430"/>
      <c r="D69" s="430"/>
      <c r="E69" s="430"/>
      <c r="F69" s="430"/>
      <c r="G69" s="430"/>
      <c r="H69" s="430"/>
      <c r="I69" s="430"/>
      <c r="J69" s="430"/>
      <c r="K69" s="430"/>
      <c r="L69" s="430"/>
      <c r="M69" s="430"/>
      <c r="N69" s="430"/>
      <c r="O69" s="430"/>
      <c r="P69" s="430"/>
      <c r="Q69" s="430"/>
      <c r="R69" s="430"/>
      <c r="S69" s="430"/>
      <c r="T69" s="430"/>
      <c r="U69" s="430"/>
      <c r="V69" s="430"/>
      <c r="W69" s="430"/>
      <c r="X69" s="430"/>
      <c r="Y69" s="430"/>
      <c r="Z69" s="430"/>
      <c r="AA69" s="430"/>
      <c r="AB69" s="430"/>
      <c r="AC69" s="430"/>
      <c r="AD69" s="430"/>
      <c r="AE69" s="430"/>
      <c r="AF69" s="430"/>
      <c r="AG69" s="430"/>
      <c r="AH69" s="430"/>
      <c r="AI69" s="430"/>
      <c r="AJ69" s="430"/>
      <c r="AK69" s="430"/>
      <c r="AL69" s="430"/>
      <c r="AM69" s="430"/>
      <c r="AN69" s="430"/>
      <c r="AO69" s="430"/>
      <c r="AP69" s="430"/>
      <c r="AQ69" s="430"/>
      <c r="AR69" s="430"/>
      <c r="AS69" s="430"/>
      <c r="AT69" s="430"/>
      <c r="AU69" s="430"/>
      <c r="AV69" s="430"/>
      <c r="AW69" s="430"/>
      <c r="AX69" s="430"/>
      <c r="AY69" s="430"/>
      <c r="AZ69" s="430"/>
      <c r="BA69" s="430"/>
      <c r="BB69" s="430"/>
      <c r="BC69" s="430"/>
      <c r="BD69" s="430"/>
      <c r="BE69" s="430"/>
      <c r="BF69" s="430"/>
      <c r="BG69" s="430"/>
      <c r="BH69" s="430"/>
      <c r="BI69" s="430"/>
      <c r="BJ69" s="430"/>
      <c r="BK69" s="430"/>
    </row>
    <row r="70" spans="1:63">
      <c r="A70" s="430"/>
      <c r="B70" s="430"/>
      <c r="C70" s="430"/>
      <c r="D70" s="430"/>
      <c r="E70" s="430"/>
      <c r="F70" s="430"/>
      <c r="G70" s="430"/>
      <c r="H70" s="430"/>
      <c r="I70" s="430"/>
      <c r="J70" s="430"/>
      <c r="K70" s="430"/>
      <c r="L70" s="430"/>
      <c r="M70" s="430"/>
      <c r="N70" s="430"/>
      <c r="O70" s="430"/>
      <c r="P70" s="430"/>
      <c r="Q70" s="430"/>
      <c r="R70" s="430"/>
      <c r="S70" s="430"/>
      <c r="T70" s="430"/>
      <c r="U70" s="430"/>
      <c r="V70" s="430"/>
      <c r="W70" s="430"/>
      <c r="X70" s="430"/>
      <c r="Y70" s="430"/>
      <c r="Z70" s="430"/>
      <c r="AA70" s="430"/>
      <c r="AB70" s="430"/>
      <c r="AC70" s="430"/>
      <c r="AD70" s="430"/>
      <c r="AE70" s="430"/>
      <c r="AF70" s="430"/>
      <c r="AG70" s="430"/>
      <c r="AH70" s="430"/>
      <c r="AI70" s="430"/>
      <c r="AJ70" s="430"/>
      <c r="AK70" s="430"/>
      <c r="AL70" s="430"/>
      <c r="AM70" s="430"/>
      <c r="AN70" s="430"/>
      <c r="AO70" s="430"/>
      <c r="AP70" s="430"/>
      <c r="AQ70" s="430"/>
      <c r="AR70" s="430"/>
      <c r="AS70" s="430"/>
      <c r="AT70" s="430"/>
      <c r="AU70" s="430"/>
      <c r="AV70" s="430"/>
      <c r="AW70" s="430"/>
      <c r="AX70" s="430"/>
      <c r="AY70" s="430"/>
      <c r="AZ70" s="430"/>
      <c r="BA70" s="430"/>
      <c r="BB70" s="430"/>
      <c r="BC70" s="430"/>
      <c r="BD70" s="430"/>
      <c r="BE70" s="430"/>
      <c r="BF70" s="430"/>
      <c r="BG70" s="430"/>
      <c r="BH70" s="430"/>
      <c r="BI70" s="430"/>
      <c r="BJ70" s="430"/>
      <c r="BK70" s="430"/>
    </row>
    <row r="71" spans="1:63">
      <c r="A71" s="430"/>
      <c r="B71" s="430"/>
      <c r="C71" s="430"/>
      <c r="D71" s="430"/>
      <c r="E71" s="430"/>
      <c r="F71" s="430"/>
      <c r="G71" s="430"/>
      <c r="H71" s="430"/>
      <c r="I71" s="430"/>
      <c r="J71" s="430"/>
      <c r="K71" s="430"/>
      <c r="L71" s="430"/>
      <c r="M71" s="430"/>
      <c r="N71" s="430"/>
      <c r="O71" s="430"/>
      <c r="P71" s="430"/>
      <c r="Q71" s="430"/>
      <c r="R71" s="430"/>
      <c r="S71" s="430"/>
      <c r="T71" s="430"/>
      <c r="U71" s="430"/>
      <c r="V71" s="430"/>
      <c r="W71" s="430"/>
      <c r="X71" s="430"/>
      <c r="Y71" s="430"/>
      <c r="Z71" s="430"/>
      <c r="AA71" s="430"/>
      <c r="AB71" s="430"/>
      <c r="AC71" s="430"/>
      <c r="AD71" s="430"/>
      <c r="AE71" s="430"/>
      <c r="AF71" s="430"/>
      <c r="AG71" s="430"/>
      <c r="AH71" s="430"/>
      <c r="AI71" s="430"/>
      <c r="AJ71" s="430"/>
      <c r="AK71" s="430"/>
      <c r="AL71" s="430"/>
      <c r="AM71" s="430"/>
      <c r="AN71" s="430"/>
      <c r="AO71" s="430"/>
      <c r="AP71" s="430"/>
      <c r="AQ71" s="430"/>
      <c r="AR71" s="430"/>
      <c r="AS71" s="430"/>
      <c r="AT71" s="430"/>
      <c r="AU71" s="430"/>
      <c r="AV71" s="430"/>
      <c r="AW71" s="430"/>
      <c r="AX71" s="430"/>
      <c r="AY71" s="430"/>
      <c r="AZ71" s="430"/>
      <c r="BA71" s="430"/>
      <c r="BB71" s="430"/>
      <c r="BC71" s="430"/>
      <c r="BD71" s="430"/>
      <c r="BE71" s="430"/>
      <c r="BF71" s="430"/>
      <c r="BG71" s="430"/>
      <c r="BH71" s="430"/>
      <c r="BI71" s="430"/>
      <c r="BJ71" s="430"/>
      <c r="BK71" s="430"/>
    </row>
    <row r="72" spans="1:63">
      <c r="A72" s="430"/>
      <c r="B72" s="430"/>
      <c r="C72" s="430"/>
      <c r="D72" s="430"/>
      <c r="E72" s="430"/>
      <c r="F72" s="430"/>
      <c r="G72" s="430"/>
      <c r="H72" s="430"/>
      <c r="I72" s="430"/>
      <c r="J72" s="430"/>
      <c r="K72" s="430"/>
      <c r="L72" s="430"/>
      <c r="M72" s="430"/>
      <c r="N72" s="430"/>
      <c r="O72" s="430"/>
      <c r="P72" s="430"/>
      <c r="Q72" s="430"/>
      <c r="R72" s="430"/>
      <c r="S72" s="430"/>
      <c r="T72" s="430"/>
      <c r="U72" s="430"/>
      <c r="V72" s="430"/>
      <c r="W72" s="430"/>
      <c r="X72" s="430"/>
      <c r="Y72" s="430"/>
      <c r="Z72" s="430"/>
      <c r="AA72" s="430"/>
      <c r="AB72" s="430"/>
      <c r="AC72" s="430"/>
      <c r="AD72" s="430"/>
      <c r="AE72" s="430"/>
      <c r="AF72" s="430"/>
      <c r="AG72" s="430"/>
      <c r="AH72" s="430"/>
      <c r="AI72" s="430"/>
      <c r="AJ72" s="430"/>
      <c r="AK72" s="430"/>
      <c r="AL72" s="430"/>
      <c r="AM72" s="430"/>
      <c r="AN72" s="430"/>
      <c r="AO72" s="430"/>
      <c r="AP72" s="430"/>
      <c r="AQ72" s="430"/>
      <c r="AR72" s="430"/>
      <c r="AS72" s="430"/>
      <c r="AT72" s="430"/>
      <c r="AU72" s="430"/>
      <c r="AV72" s="430"/>
      <c r="AW72" s="430"/>
      <c r="AX72" s="430"/>
      <c r="AY72" s="430"/>
      <c r="AZ72" s="430"/>
      <c r="BA72" s="430"/>
      <c r="BB72" s="430"/>
      <c r="BC72" s="430"/>
      <c r="BD72" s="430"/>
      <c r="BE72" s="430"/>
      <c r="BF72" s="430"/>
      <c r="BG72" s="430"/>
      <c r="BH72" s="430"/>
      <c r="BI72" s="430"/>
      <c r="BJ72" s="430"/>
      <c r="BK72" s="430"/>
    </row>
    <row r="73" spans="1:63">
      <c r="A73" s="430"/>
      <c r="B73" s="430"/>
      <c r="C73" s="430"/>
      <c r="D73" s="430"/>
      <c r="E73" s="430"/>
      <c r="F73" s="430"/>
      <c r="G73" s="430"/>
      <c r="H73" s="430"/>
      <c r="I73" s="430"/>
      <c r="J73" s="430"/>
      <c r="K73" s="430"/>
      <c r="L73" s="430"/>
      <c r="M73" s="430"/>
      <c r="N73" s="430"/>
      <c r="O73" s="430"/>
      <c r="P73" s="430"/>
      <c r="Q73" s="430"/>
      <c r="R73" s="430"/>
      <c r="S73" s="430"/>
      <c r="T73" s="430"/>
      <c r="U73" s="430"/>
      <c r="V73" s="430"/>
      <c r="W73" s="430"/>
      <c r="X73" s="430"/>
      <c r="Y73" s="430"/>
      <c r="Z73" s="430"/>
      <c r="AA73" s="430"/>
      <c r="AB73" s="430"/>
      <c r="AC73" s="430"/>
      <c r="AD73" s="430"/>
      <c r="AE73" s="430"/>
      <c r="AF73" s="430"/>
      <c r="AG73" s="430"/>
      <c r="AH73" s="430"/>
      <c r="AI73" s="430"/>
      <c r="AJ73" s="430"/>
      <c r="AK73" s="430"/>
      <c r="AL73" s="430"/>
      <c r="AM73" s="430"/>
      <c r="AN73" s="430"/>
      <c r="AO73" s="430"/>
      <c r="AP73" s="430"/>
      <c r="AQ73" s="430"/>
      <c r="AR73" s="430"/>
      <c r="AS73" s="430"/>
      <c r="AT73" s="430"/>
      <c r="AU73" s="430"/>
      <c r="AV73" s="430"/>
      <c r="AW73" s="430"/>
      <c r="AX73" s="430"/>
      <c r="AY73" s="430"/>
      <c r="AZ73" s="430"/>
      <c r="BA73" s="430"/>
      <c r="BB73" s="430"/>
      <c r="BC73" s="430"/>
      <c r="BD73" s="430"/>
      <c r="BE73" s="430"/>
      <c r="BF73" s="430"/>
      <c r="BG73" s="430"/>
      <c r="BH73" s="430"/>
      <c r="BI73" s="430"/>
      <c r="BJ73" s="430"/>
      <c r="BK73" s="430"/>
    </row>
    <row r="74" spans="1:63">
      <c r="A74" s="430"/>
      <c r="B74" s="430"/>
      <c r="C74" s="430"/>
      <c r="D74" s="430"/>
      <c r="E74" s="430"/>
      <c r="F74" s="430"/>
      <c r="G74" s="430"/>
      <c r="H74" s="430"/>
      <c r="I74" s="430"/>
      <c r="J74" s="430"/>
      <c r="K74" s="430"/>
      <c r="L74" s="430"/>
      <c r="M74" s="430"/>
      <c r="N74" s="430"/>
      <c r="O74" s="430"/>
      <c r="P74" s="430"/>
      <c r="Q74" s="430"/>
      <c r="R74" s="430"/>
      <c r="S74" s="430"/>
      <c r="T74" s="430"/>
      <c r="U74" s="430"/>
      <c r="V74" s="430"/>
      <c r="W74" s="430"/>
      <c r="X74" s="430"/>
      <c r="Y74" s="430"/>
      <c r="Z74" s="430"/>
      <c r="AA74" s="430"/>
      <c r="AB74" s="430"/>
      <c r="AC74" s="430"/>
      <c r="AD74" s="430"/>
      <c r="AE74" s="430"/>
      <c r="AF74" s="430"/>
      <c r="AG74" s="430"/>
      <c r="AH74" s="430"/>
      <c r="AI74" s="430"/>
      <c r="AJ74" s="430"/>
      <c r="AK74" s="430"/>
      <c r="AL74" s="430"/>
      <c r="AM74" s="430"/>
      <c r="AN74" s="430"/>
      <c r="AO74" s="430"/>
      <c r="AP74" s="430"/>
      <c r="AQ74" s="430"/>
      <c r="AR74" s="430"/>
      <c r="AS74" s="430"/>
      <c r="AT74" s="430"/>
      <c r="AU74" s="430"/>
      <c r="AV74" s="430"/>
      <c r="AW74" s="430"/>
      <c r="AX74" s="430"/>
      <c r="AY74" s="430"/>
      <c r="AZ74" s="430"/>
      <c r="BA74" s="430"/>
      <c r="BB74" s="430"/>
      <c r="BC74" s="430"/>
      <c r="BD74" s="430"/>
      <c r="BE74" s="430"/>
      <c r="BF74" s="430"/>
      <c r="BG74" s="430"/>
      <c r="BH74" s="430"/>
      <c r="BI74" s="430"/>
      <c r="BJ74" s="430"/>
      <c r="BK74" s="430"/>
    </row>
    <row r="75" spans="1:63">
      <c r="A75" s="430"/>
      <c r="B75" s="430"/>
      <c r="C75" s="430"/>
      <c r="D75" s="430"/>
      <c r="E75" s="430"/>
      <c r="F75" s="430"/>
      <c r="G75" s="430"/>
      <c r="H75" s="430"/>
      <c r="I75" s="430"/>
      <c r="J75" s="430"/>
      <c r="K75" s="430"/>
      <c r="L75" s="430"/>
      <c r="M75" s="430"/>
      <c r="N75" s="430"/>
      <c r="O75" s="430"/>
      <c r="P75" s="430"/>
      <c r="Q75" s="430"/>
      <c r="R75" s="430"/>
      <c r="S75" s="430"/>
      <c r="T75" s="430"/>
      <c r="U75" s="430"/>
      <c r="V75" s="430"/>
      <c r="W75" s="430"/>
      <c r="X75" s="430"/>
      <c r="Y75" s="430"/>
      <c r="Z75" s="430"/>
      <c r="AA75" s="430"/>
      <c r="AB75" s="430"/>
      <c r="AC75" s="430"/>
      <c r="AD75" s="430"/>
      <c r="AE75" s="430"/>
      <c r="AF75" s="430"/>
      <c r="AG75" s="430"/>
      <c r="AH75" s="430"/>
      <c r="AI75" s="430"/>
      <c r="AJ75" s="430"/>
      <c r="AK75" s="430"/>
      <c r="AL75" s="430"/>
      <c r="AM75" s="430"/>
      <c r="AN75" s="430"/>
      <c r="AO75" s="430"/>
      <c r="AP75" s="430"/>
      <c r="AQ75" s="430"/>
      <c r="AR75" s="430"/>
      <c r="AS75" s="430"/>
      <c r="AT75" s="430"/>
      <c r="AU75" s="430"/>
      <c r="AV75" s="430"/>
      <c r="AW75" s="430"/>
      <c r="AX75" s="430"/>
      <c r="AY75" s="430"/>
      <c r="AZ75" s="430"/>
      <c r="BA75" s="430"/>
      <c r="BB75" s="430"/>
      <c r="BC75" s="430"/>
      <c r="BD75" s="430"/>
      <c r="BE75" s="430"/>
      <c r="BF75" s="430"/>
      <c r="BG75" s="430"/>
      <c r="BH75" s="430"/>
      <c r="BI75" s="430"/>
      <c r="BJ75" s="430"/>
      <c r="BK75" s="430"/>
    </row>
    <row r="76" spans="1:63">
      <c r="A76" s="430"/>
      <c r="B76" s="430"/>
      <c r="C76" s="430"/>
      <c r="D76" s="430"/>
      <c r="E76" s="430"/>
      <c r="F76" s="430"/>
      <c r="G76" s="430"/>
      <c r="H76" s="430"/>
      <c r="I76" s="430"/>
      <c r="J76" s="430"/>
      <c r="K76" s="430"/>
      <c r="L76" s="430"/>
      <c r="M76" s="430"/>
      <c r="N76" s="430"/>
      <c r="O76" s="430"/>
      <c r="P76" s="430"/>
      <c r="Q76" s="430"/>
      <c r="R76" s="430"/>
      <c r="S76" s="430"/>
      <c r="T76" s="430"/>
      <c r="U76" s="430"/>
      <c r="V76" s="430"/>
      <c r="W76" s="430"/>
      <c r="X76" s="430"/>
      <c r="Y76" s="430"/>
      <c r="Z76" s="430"/>
      <c r="AA76" s="430"/>
      <c r="AB76" s="430"/>
      <c r="AC76" s="430"/>
      <c r="AD76" s="430"/>
      <c r="AE76" s="430"/>
      <c r="AF76" s="430"/>
      <c r="AG76" s="430"/>
      <c r="AH76" s="430"/>
      <c r="AI76" s="430"/>
      <c r="AJ76" s="430"/>
      <c r="AK76" s="430"/>
      <c r="AL76" s="430"/>
      <c r="AM76" s="430"/>
      <c r="AN76" s="430"/>
      <c r="AO76" s="430"/>
      <c r="AP76" s="430"/>
      <c r="AQ76" s="430"/>
      <c r="AR76" s="430"/>
      <c r="AS76" s="430"/>
      <c r="AT76" s="430"/>
      <c r="AU76" s="430"/>
      <c r="AV76" s="430"/>
      <c r="AW76" s="430"/>
      <c r="AX76" s="430"/>
      <c r="AY76" s="430"/>
      <c r="AZ76" s="430"/>
      <c r="BA76" s="430"/>
      <c r="BB76" s="430"/>
      <c r="BC76" s="430"/>
      <c r="BD76" s="430"/>
      <c r="BE76" s="430"/>
      <c r="BF76" s="430"/>
      <c r="BG76" s="430"/>
      <c r="BH76" s="430"/>
      <c r="BI76" s="430"/>
      <c r="BJ76" s="430"/>
      <c r="BK76" s="430"/>
    </row>
    <row r="77" spans="1:63">
      <c r="A77" s="430"/>
      <c r="B77" s="430"/>
      <c r="C77" s="430"/>
      <c r="D77" s="430"/>
      <c r="E77" s="430"/>
      <c r="F77" s="430"/>
      <c r="G77" s="430"/>
      <c r="H77" s="430"/>
      <c r="I77" s="430"/>
      <c r="J77" s="430"/>
      <c r="K77" s="430"/>
      <c r="L77" s="430"/>
      <c r="M77" s="430"/>
      <c r="N77" s="430"/>
      <c r="O77" s="430"/>
      <c r="P77" s="430"/>
      <c r="Q77" s="430"/>
      <c r="R77" s="430"/>
      <c r="S77" s="430"/>
      <c r="T77" s="430"/>
      <c r="U77" s="430"/>
      <c r="V77" s="430"/>
      <c r="W77" s="430"/>
      <c r="X77" s="430"/>
      <c r="Y77" s="430"/>
      <c r="Z77" s="430"/>
      <c r="AA77" s="430"/>
      <c r="AB77" s="430"/>
      <c r="AC77" s="430"/>
      <c r="AD77" s="430"/>
      <c r="AE77" s="430"/>
      <c r="AF77" s="430"/>
      <c r="AG77" s="430"/>
      <c r="AH77" s="430"/>
      <c r="AI77" s="430"/>
      <c r="AJ77" s="430"/>
      <c r="AK77" s="430"/>
      <c r="AL77" s="430"/>
      <c r="AM77" s="430"/>
      <c r="AN77" s="430"/>
      <c r="AO77" s="430"/>
      <c r="AP77" s="430"/>
      <c r="AQ77" s="430"/>
      <c r="AR77" s="430"/>
      <c r="AS77" s="430"/>
      <c r="AT77" s="430"/>
      <c r="AU77" s="430"/>
      <c r="AV77" s="430"/>
      <c r="AW77" s="430"/>
      <c r="AX77" s="430"/>
      <c r="AY77" s="430"/>
      <c r="AZ77" s="430"/>
      <c r="BA77" s="430"/>
      <c r="BB77" s="430"/>
      <c r="BC77" s="430"/>
      <c r="BD77" s="430"/>
      <c r="BE77" s="430"/>
      <c r="BF77" s="430"/>
      <c r="BG77" s="430"/>
      <c r="BH77" s="430"/>
      <c r="BI77" s="430"/>
      <c r="BJ77" s="430"/>
      <c r="BK77" s="430"/>
    </row>
    <row r="78" spans="1:63">
      <c r="A78" s="430"/>
      <c r="B78" s="430"/>
      <c r="C78" s="430"/>
      <c r="D78" s="430"/>
      <c r="E78" s="430"/>
      <c r="F78" s="430"/>
      <c r="G78" s="430"/>
      <c r="H78" s="430"/>
      <c r="I78" s="430"/>
      <c r="J78" s="430"/>
      <c r="K78" s="430"/>
      <c r="L78" s="430"/>
      <c r="M78" s="430"/>
      <c r="N78" s="430"/>
      <c r="O78" s="430"/>
      <c r="P78" s="430"/>
      <c r="Q78" s="430"/>
      <c r="R78" s="430"/>
      <c r="S78" s="430"/>
      <c r="T78" s="430"/>
      <c r="U78" s="430"/>
      <c r="V78" s="430"/>
      <c r="W78" s="430"/>
      <c r="X78" s="430"/>
      <c r="Y78" s="430"/>
      <c r="Z78" s="430"/>
      <c r="AA78" s="430"/>
      <c r="AB78" s="430"/>
      <c r="AC78" s="430"/>
      <c r="AD78" s="430"/>
      <c r="AE78" s="430"/>
      <c r="AF78" s="430"/>
      <c r="AG78" s="430"/>
      <c r="AH78" s="430"/>
      <c r="AI78" s="430"/>
      <c r="AJ78" s="430"/>
      <c r="AK78" s="430"/>
      <c r="AL78" s="430"/>
      <c r="AM78" s="430"/>
      <c r="AN78" s="430"/>
      <c r="AO78" s="430"/>
      <c r="AP78" s="430"/>
      <c r="AQ78" s="430"/>
      <c r="AR78" s="430"/>
      <c r="AS78" s="430"/>
      <c r="AT78" s="430"/>
      <c r="AU78" s="430"/>
      <c r="AV78" s="430"/>
      <c r="AW78" s="430"/>
      <c r="AX78" s="430"/>
      <c r="AY78" s="430"/>
      <c r="AZ78" s="430"/>
      <c r="BA78" s="430"/>
      <c r="BB78" s="430"/>
      <c r="BC78" s="430"/>
      <c r="BD78" s="430"/>
      <c r="BE78" s="430"/>
      <c r="BF78" s="430"/>
      <c r="BG78" s="430"/>
      <c r="BH78" s="430"/>
      <c r="BI78" s="430"/>
      <c r="BJ78" s="430"/>
      <c r="BK78" s="430"/>
    </row>
    <row r="79" spans="1:63">
      <c r="A79" s="430"/>
      <c r="B79" s="430"/>
      <c r="C79" s="430"/>
      <c r="D79" s="430"/>
      <c r="E79" s="430"/>
      <c r="F79" s="430"/>
      <c r="G79" s="430"/>
      <c r="H79" s="430"/>
      <c r="I79" s="430"/>
      <c r="J79" s="430"/>
      <c r="K79" s="430"/>
      <c r="L79" s="430"/>
      <c r="M79" s="430"/>
      <c r="N79" s="430"/>
      <c r="O79" s="430"/>
      <c r="P79" s="430"/>
      <c r="Q79" s="430"/>
      <c r="R79" s="430"/>
      <c r="S79" s="430"/>
      <c r="T79" s="430"/>
      <c r="U79" s="430"/>
      <c r="V79" s="430"/>
      <c r="W79" s="430"/>
      <c r="X79" s="430"/>
      <c r="Y79" s="430"/>
      <c r="Z79" s="430"/>
      <c r="AA79" s="430"/>
      <c r="AB79" s="430"/>
      <c r="AC79" s="430"/>
      <c r="AD79" s="430"/>
      <c r="AE79" s="430"/>
      <c r="AF79" s="430"/>
      <c r="AG79" s="430"/>
      <c r="AH79" s="430"/>
      <c r="AI79" s="430"/>
      <c r="AJ79" s="430"/>
      <c r="AK79" s="430"/>
      <c r="AL79" s="430"/>
      <c r="AM79" s="430"/>
      <c r="AN79" s="430"/>
      <c r="AO79" s="430"/>
      <c r="AP79" s="430"/>
      <c r="AQ79" s="430"/>
      <c r="AR79" s="430"/>
      <c r="AS79" s="430"/>
      <c r="AT79" s="430"/>
      <c r="AU79" s="430"/>
      <c r="AV79" s="430"/>
      <c r="AW79" s="430"/>
      <c r="AX79" s="430"/>
      <c r="AY79" s="430"/>
      <c r="AZ79" s="430"/>
      <c r="BA79" s="430"/>
      <c r="BB79" s="430"/>
      <c r="BC79" s="430"/>
      <c r="BD79" s="430"/>
      <c r="BE79" s="430"/>
      <c r="BF79" s="430"/>
      <c r="BG79" s="430"/>
      <c r="BH79" s="430"/>
      <c r="BI79" s="430"/>
      <c r="BJ79" s="430"/>
      <c r="BK79" s="430"/>
    </row>
    <row r="80" spans="1:63">
      <c r="A80" s="430"/>
      <c r="B80" s="430"/>
      <c r="C80" s="430"/>
      <c r="D80" s="430"/>
      <c r="E80" s="430"/>
      <c r="F80" s="430"/>
      <c r="G80" s="430"/>
      <c r="H80" s="430"/>
      <c r="I80" s="430"/>
      <c r="J80" s="430"/>
      <c r="K80" s="430"/>
      <c r="L80" s="430"/>
      <c r="M80" s="430"/>
      <c r="N80" s="430"/>
      <c r="O80" s="430"/>
      <c r="P80" s="430"/>
      <c r="Q80" s="430"/>
      <c r="R80" s="430"/>
      <c r="S80" s="430"/>
      <c r="T80" s="430"/>
      <c r="U80" s="430"/>
      <c r="V80" s="430"/>
      <c r="W80" s="430"/>
      <c r="X80" s="430"/>
      <c r="Y80" s="430"/>
      <c r="Z80" s="430"/>
      <c r="AA80" s="430"/>
      <c r="AB80" s="430"/>
      <c r="AC80" s="430"/>
      <c r="AD80" s="430"/>
      <c r="AE80" s="430"/>
      <c r="AF80" s="430"/>
      <c r="AG80" s="430"/>
      <c r="AH80" s="430"/>
      <c r="AI80" s="430"/>
      <c r="AJ80" s="430"/>
      <c r="AK80" s="430"/>
      <c r="AL80" s="430"/>
      <c r="AM80" s="430"/>
      <c r="AN80" s="430"/>
      <c r="AO80" s="430"/>
      <c r="AP80" s="430"/>
      <c r="AQ80" s="430"/>
      <c r="AR80" s="430"/>
      <c r="AS80" s="430"/>
      <c r="AT80" s="430"/>
      <c r="AU80" s="430"/>
      <c r="AV80" s="430"/>
      <c r="AW80" s="430"/>
      <c r="AX80" s="430"/>
      <c r="AY80" s="430"/>
      <c r="AZ80" s="430"/>
      <c r="BA80" s="430"/>
      <c r="BB80" s="430"/>
      <c r="BC80" s="430"/>
      <c r="BD80" s="430"/>
      <c r="BE80" s="430"/>
      <c r="BF80" s="430"/>
      <c r="BG80" s="430"/>
      <c r="BH80" s="430"/>
      <c r="BI80" s="430"/>
      <c r="BJ80" s="430"/>
      <c r="BK80" s="430"/>
    </row>
    <row r="81" spans="1:63">
      <c r="A81" s="430"/>
      <c r="B81" s="430"/>
      <c r="C81" s="430"/>
      <c r="D81" s="430"/>
      <c r="E81" s="430"/>
      <c r="F81" s="430"/>
      <c r="G81" s="430"/>
      <c r="H81" s="430"/>
      <c r="I81" s="430"/>
      <c r="J81" s="430"/>
      <c r="K81" s="430"/>
      <c r="L81" s="430"/>
      <c r="M81" s="430"/>
      <c r="N81" s="430"/>
      <c r="O81" s="430"/>
      <c r="P81" s="430"/>
      <c r="Q81" s="430"/>
      <c r="R81" s="430"/>
      <c r="S81" s="430"/>
      <c r="T81" s="430"/>
      <c r="U81" s="430"/>
      <c r="V81" s="430"/>
      <c r="W81" s="430"/>
      <c r="X81" s="430"/>
      <c r="Y81" s="430"/>
      <c r="Z81" s="430"/>
      <c r="AA81" s="430"/>
      <c r="AB81" s="430"/>
      <c r="AC81" s="430"/>
      <c r="AD81" s="430"/>
      <c r="AE81" s="430"/>
      <c r="AF81" s="430"/>
      <c r="AG81" s="430"/>
      <c r="AH81" s="430"/>
      <c r="AI81" s="430"/>
      <c r="AJ81" s="430"/>
      <c r="AK81" s="430"/>
      <c r="AL81" s="430"/>
      <c r="AM81" s="430"/>
      <c r="AN81" s="430"/>
      <c r="AO81" s="430"/>
      <c r="AP81" s="430"/>
      <c r="AQ81" s="430"/>
      <c r="AR81" s="430"/>
      <c r="AS81" s="430"/>
      <c r="AT81" s="430"/>
      <c r="AU81" s="430"/>
      <c r="AV81" s="430"/>
      <c r="AW81" s="430"/>
      <c r="AX81" s="430"/>
      <c r="AY81" s="430"/>
      <c r="AZ81" s="430"/>
      <c r="BA81" s="430"/>
      <c r="BB81" s="430"/>
      <c r="BC81" s="430"/>
      <c r="BD81" s="430"/>
      <c r="BE81" s="430"/>
      <c r="BF81" s="430"/>
      <c r="BG81" s="430"/>
      <c r="BH81" s="430"/>
      <c r="BI81" s="430"/>
      <c r="BJ81" s="430"/>
      <c r="BK81" s="430"/>
    </row>
    <row r="82" spans="1:63">
      <c r="A82" s="430"/>
      <c r="B82" s="430"/>
      <c r="C82" s="430"/>
      <c r="D82" s="430"/>
      <c r="E82" s="430"/>
      <c r="F82" s="430"/>
      <c r="G82" s="430"/>
      <c r="H82" s="430"/>
      <c r="I82" s="430"/>
      <c r="J82" s="430"/>
      <c r="K82" s="430"/>
      <c r="L82" s="430"/>
      <c r="M82" s="430"/>
      <c r="N82" s="430"/>
      <c r="O82" s="430"/>
      <c r="P82" s="430"/>
      <c r="Q82" s="430"/>
      <c r="R82" s="430"/>
      <c r="S82" s="430"/>
      <c r="T82" s="430"/>
      <c r="U82" s="430"/>
      <c r="V82" s="430"/>
      <c r="W82" s="430"/>
      <c r="X82" s="430"/>
      <c r="Y82" s="430"/>
      <c r="Z82" s="430"/>
      <c r="AA82" s="430"/>
      <c r="AB82" s="430"/>
      <c r="AC82" s="430"/>
      <c r="AD82" s="430"/>
      <c r="AE82" s="430"/>
      <c r="AF82" s="430"/>
      <c r="AG82" s="430"/>
      <c r="AH82" s="430"/>
      <c r="AI82" s="430"/>
      <c r="AJ82" s="430"/>
      <c r="AK82" s="430"/>
      <c r="AL82" s="430"/>
      <c r="AM82" s="430"/>
      <c r="AN82" s="430"/>
      <c r="AO82" s="430"/>
      <c r="AP82" s="430"/>
      <c r="AQ82" s="430"/>
      <c r="AR82" s="430"/>
      <c r="AS82" s="430"/>
      <c r="AT82" s="430"/>
      <c r="AU82" s="430"/>
      <c r="AV82" s="430"/>
      <c r="AW82" s="430"/>
      <c r="AX82" s="430"/>
      <c r="AY82" s="430"/>
      <c r="AZ82" s="430"/>
      <c r="BA82" s="430"/>
      <c r="BB82" s="430"/>
      <c r="BC82" s="430"/>
      <c r="BD82" s="430"/>
      <c r="BE82" s="430"/>
      <c r="BF82" s="430"/>
      <c r="BG82" s="430"/>
      <c r="BH82" s="430"/>
      <c r="BI82" s="430"/>
      <c r="BJ82" s="430"/>
      <c r="BK82" s="430"/>
    </row>
    <row r="83" spans="1:63">
      <c r="A83" s="430"/>
      <c r="B83" s="430"/>
      <c r="C83" s="430"/>
      <c r="D83" s="430"/>
      <c r="E83" s="430"/>
      <c r="F83" s="430"/>
      <c r="G83" s="430"/>
      <c r="H83" s="430"/>
      <c r="I83" s="430"/>
      <c r="J83" s="430"/>
      <c r="K83" s="430"/>
      <c r="L83" s="430"/>
      <c r="M83" s="430"/>
      <c r="N83" s="430"/>
      <c r="O83" s="430"/>
      <c r="P83" s="430"/>
      <c r="Q83" s="430"/>
      <c r="R83" s="430"/>
      <c r="S83" s="430"/>
      <c r="T83" s="430"/>
      <c r="U83" s="430"/>
      <c r="V83" s="430"/>
      <c r="W83" s="430"/>
      <c r="X83" s="430"/>
      <c r="Y83" s="430"/>
      <c r="Z83" s="430"/>
      <c r="AA83" s="430"/>
      <c r="AB83" s="430"/>
      <c r="AC83" s="430"/>
      <c r="AD83" s="430"/>
      <c r="AE83" s="430"/>
      <c r="AF83" s="430"/>
      <c r="AG83" s="430"/>
      <c r="AH83" s="430"/>
      <c r="AI83" s="430"/>
      <c r="AJ83" s="430"/>
      <c r="AK83" s="430"/>
      <c r="AL83" s="430"/>
      <c r="AM83" s="430"/>
      <c r="AN83" s="430"/>
      <c r="AO83" s="430"/>
      <c r="AP83" s="430"/>
      <c r="AQ83" s="430"/>
      <c r="AR83" s="430"/>
      <c r="AS83" s="430"/>
      <c r="AT83" s="430"/>
      <c r="AU83" s="430"/>
      <c r="AV83" s="430"/>
      <c r="AW83" s="430"/>
      <c r="AX83" s="430"/>
      <c r="AY83" s="430"/>
      <c r="AZ83" s="430"/>
      <c r="BA83" s="430"/>
      <c r="BB83" s="430"/>
      <c r="BC83" s="430"/>
      <c r="BD83" s="430"/>
      <c r="BE83" s="430"/>
      <c r="BF83" s="430"/>
      <c r="BG83" s="430"/>
      <c r="BH83" s="430"/>
      <c r="BI83" s="430"/>
      <c r="BJ83" s="430"/>
      <c r="BK83" s="430"/>
    </row>
    <row r="84" spans="1:63">
      <c r="A84" s="430"/>
      <c r="B84" s="430"/>
      <c r="C84" s="430"/>
      <c r="D84" s="430"/>
      <c r="E84" s="430"/>
      <c r="F84" s="430"/>
      <c r="G84" s="430"/>
      <c r="H84" s="430"/>
      <c r="I84" s="430"/>
      <c r="J84" s="430"/>
      <c r="K84" s="430"/>
      <c r="L84" s="430"/>
      <c r="M84" s="430"/>
      <c r="N84" s="430"/>
      <c r="O84" s="430"/>
      <c r="P84" s="430"/>
      <c r="Q84" s="430"/>
      <c r="R84" s="430"/>
      <c r="S84" s="430"/>
      <c r="T84" s="430"/>
      <c r="U84" s="430"/>
      <c r="V84" s="430"/>
      <c r="W84" s="430"/>
      <c r="X84" s="430"/>
      <c r="Y84" s="430"/>
      <c r="Z84" s="430"/>
      <c r="AA84" s="430"/>
      <c r="AB84" s="430"/>
      <c r="AC84" s="430"/>
      <c r="AD84" s="430"/>
      <c r="AE84" s="430"/>
      <c r="AF84" s="430"/>
      <c r="AG84" s="430"/>
      <c r="AH84" s="430"/>
      <c r="AI84" s="430"/>
      <c r="AJ84" s="430"/>
      <c r="AK84" s="430"/>
      <c r="AL84" s="430"/>
      <c r="AM84" s="430"/>
      <c r="AN84" s="430"/>
      <c r="AO84" s="430"/>
      <c r="AP84" s="430"/>
      <c r="AQ84" s="430"/>
      <c r="AR84" s="430"/>
      <c r="AS84" s="430"/>
      <c r="AT84" s="430"/>
      <c r="AU84" s="430"/>
      <c r="AV84" s="430"/>
      <c r="AW84" s="430"/>
      <c r="AX84" s="430"/>
      <c r="AY84" s="430"/>
      <c r="AZ84" s="430"/>
      <c r="BA84" s="430"/>
      <c r="BB84" s="430"/>
      <c r="BC84" s="430"/>
      <c r="BD84" s="430"/>
      <c r="BE84" s="430"/>
      <c r="BF84" s="430"/>
      <c r="BG84" s="430"/>
      <c r="BH84" s="430"/>
      <c r="BI84" s="430"/>
      <c r="BJ84" s="430"/>
      <c r="BK84" s="430"/>
    </row>
    <row r="85" spans="1:63">
      <c r="A85" s="430"/>
      <c r="B85" s="430"/>
      <c r="C85" s="430"/>
      <c r="D85" s="430"/>
      <c r="E85" s="430"/>
      <c r="F85" s="430"/>
      <c r="G85" s="430"/>
      <c r="H85" s="430"/>
      <c r="I85" s="430"/>
      <c r="J85" s="430"/>
      <c r="K85" s="430"/>
      <c r="L85" s="430"/>
      <c r="M85" s="430"/>
      <c r="N85" s="430"/>
      <c r="O85" s="430"/>
      <c r="P85" s="430"/>
      <c r="Q85" s="430"/>
      <c r="R85" s="430"/>
      <c r="S85" s="430"/>
      <c r="T85" s="430"/>
      <c r="U85" s="430"/>
      <c r="V85" s="430"/>
      <c r="W85" s="430"/>
      <c r="X85" s="430"/>
      <c r="Y85" s="430"/>
      <c r="Z85" s="430"/>
      <c r="AA85" s="430"/>
      <c r="AB85" s="430"/>
      <c r="AC85" s="430"/>
      <c r="AD85" s="430"/>
      <c r="AE85" s="430"/>
      <c r="AF85" s="430"/>
      <c r="AG85" s="430"/>
      <c r="AH85" s="430"/>
      <c r="AI85" s="430"/>
      <c r="AJ85" s="430"/>
      <c r="AK85" s="430"/>
      <c r="AL85" s="430"/>
      <c r="AM85" s="430"/>
      <c r="AN85" s="430"/>
      <c r="AO85" s="430"/>
      <c r="AP85" s="430"/>
      <c r="AQ85" s="430"/>
      <c r="AR85" s="430"/>
      <c r="AS85" s="430"/>
      <c r="AT85" s="430"/>
      <c r="AU85" s="430"/>
      <c r="AV85" s="430"/>
      <c r="AW85" s="430"/>
      <c r="AX85" s="430"/>
      <c r="AY85" s="430"/>
      <c r="AZ85" s="430"/>
      <c r="BA85" s="430"/>
      <c r="BB85" s="430"/>
      <c r="BC85" s="430"/>
      <c r="BD85" s="430"/>
      <c r="BE85" s="430"/>
      <c r="BF85" s="430"/>
      <c r="BG85" s="430"/>
      <c r="BH85" s="430"/>
      <c r="BI85" s="430"/>
      <c r="BJ85" s="430"/>
      <c r="BK85" s="430"/>
    </row>
    <row r="86" spans="1:63">
      <c r="A86" s="430"/>
      <c r="B86" s="430"/>
      <c r="C86" s="430"/>
      <c r="D86" s="430"/>
      <c r="E86" s="430"/>
      <c r="F86" s="430"/>
      <c r="G86" s="430"/>
      <c r="H86" s="430"/>
      <c r="I86" s="430"/>
      <c r="J86" s="430"/>
      <c r="K86" s="430"/>
      <c r="L86" s="430"/>
      <c r="M86" s="430"/>
      <c r="N86" s="430"/>
      <c r="O86" s="430"/>
      <c r="P86" s="430"/>
      <c r="Q86" s="430"/>
      <c r="R86" s="430"/>
      <c r="S86" s="430"/>
      <c r="T86" s="430"/>
      <c r="U86" s="430"/>
      <c r="V86" s="430"/>
      <c r="W86" s="430"/>
      <c r="X86" s="430"/>
      <c r="Y86" s="430"/>
      <c r="Z86" s="430"/>
      <c r="AA86" s="430"/>
      <c r="AB86" s="430"/>
      <c r="AC86" s="430"/>
      <c r="AD86" s="430"/>
      <c r="AE86" s="430"/>
      <c r="AF86" s="430"/>
      <c r="AG86" s="430"/>
      <c r="AH86" s="430"/>
      <c r="AI86" s="430"/>
      <c r="AJ86" s="430"/>
      <c r="AK86" s="430"/>
      <c r="AL86" s="430"/>
      <c r="AM86" s="430"/>
      <c r="AN86" s="430"/>
      <c r="AO86" s="430"/>
      <c r="AP86" s="430"/>
      <c r="AQ86" s="430"/>
      <c r="AR86" s="430"/>
      <c r="AS86" s="430"/>
      <c r="AT86" s="430"/>
      <c r="AU86" s="430"/>
      <c r="AV86" s="430"/>
      <c r="AW86" s="430"/>
      <c r="AX86" s="430"/>
      <c r="AY86" s="430"/>
      <c r="AZ86" s="430"/>
      <c r="BA86" s="430"/>
      <c r="BB86" s="430"/>
      <c r="BC86" s="430"/>
      <c r="BD86" s="430"/>
      <c r="BE86" s="430"/>
      <c r="BF86" s="430"/>
      <c r="BG86" s="430"/>
      <c r="BH86" s="430"/>
      <c r="BI86" s="430"/>
      <c r="BJ86" s="430"/>
      <c r="BK86" s="430"/>
    </row>
    <row r="87" spans="1:63">
      <c r="A87" s="430"/>
      <c r="B87" s="430"/>
      <c r="C87" s="430"/>
      <c r="D87" s="430"/>
      <c r="E87" s="430"/>
      <c r="F87" s="430"/>
      <c r="G87" s="430"/>
      <c r="H87" s="430"/>
      <c r="I87" s="430"/>
      <c r="J87" s="430"/>
      <c r="K87" s="430"/>
      <c r="L87" s="430"/>
      <c r="M87" s="430"/>
      <c r="N87" s="430"/>
      <c r="O87" s="430"/>
      <c r="P87" s="430"/>
      <c r="Q87" s="430"/>
      <c r="R87" s="430"/>
      <c r="S87" s="430"/>
      <c r="T87" s="430"/>
      <c r="U87" s="430"/>
      <c r="V87" s="430"/>
      <c r="W87" s="430"/>
      <c r="X87" s="430"/>
      <c r="Y87" s="430"/>
      <c r="Z87" s="430"/>
      <c r="AA87" s="430"/>
      <c r="AB87" s="430"/>
      <c r="AC87" s="430"/>
      <c r="AD87" s="430"/>
      <c r="AE87" s="430"/>
      <c r="AF87" s="430"/>
      <c r="AG87" s="430"/>
      <c r="AH87" s="430"/>
      <c r="AI87" s="430"/>
      <c r="AJ87" s="430"/>
      <c r="AK87" s="430"/>
      <c r="AL87" s="430"/>
      <c r="AM87" s="430"/>
      <c r="AN87" s="430"/>
      <c r="AO87" s="430"/>
      <c r="AP87" s="430"/>
      <c r="AQ87" s="430"/>
      <c r="AR87" s="430"/>
      <c r="AS87" s="430"/>
      <c r="AT87" s="430"/>
      <c r="AU87" s="430"/>
      <c r="AV87" s="430"/>
      <c r="AW87" s="430"/>
      <c r="AX87" s="430"/>
      <c r="AY87" s="430"/>
      <c r="AZ87" s="430"/>
      <c r="BA87" s="430"/>
      <c r="BB87" s="430"/>
      <c r="BC87" s="430"/>
      <c r="BD87" s="430"/>
      <c r="BE87" s="430"/>
      <c r="BF87" s="430"/>
      <c r="BG87" s="430"/>
      <c r="BH87" s="430"/>
      <c r="BI87" s="430"/>
      <c r="BJ87" s="430"/>
      <c r="BK87" s="430"/>
    </row>
    <row r="88" spans="1:63">
      <c r="A88" s="430"/>
      <c r="B88" s="430"/>
      <c r="C88" s="430"/>
      <c r="D88" s="430"/>
      <c r="E88" s="430"/>
      <c r="F88" s="430"/>
      <c r="G88" s="430"/>
      <c r="H88" s="430"/>
      <c r="I88" s="430"/>
      <c r="J88" s="430"/>
      <c r="K88" s="430"/>
      <c r="L88" s="430"/>
      <c r="M88" s="430"/>
      <c r="N88" s="430"/>
      <c r="O88" s="430"/>
      <c r="P88" s="430"/>
      <c r="Q88" s="430"/>
      <c r="R88" s="430"/>
      <c r="S88" s="430"/>
      <c r="T88" s="430"/>
      <c r="U88" s="430"/>
      <c r="V88" s="430"/>
      <c r="W88" s="430"/>
      <c r="X88" s="430"/>
      <c r="Y88" s="430"/>
      <c r="Z88" s="430"/>
      <c r="AA88" s="430"/>
      <c r="AB88" s="430"/>
      <c r="AC88" s="430"/>
      <c r="AD88" s="430"/>
      <c r="AE88" s="430"/>
      <c r="AF88" s="430"/>
      <c r="AG88" s="430"/>
      <c r="AH88" s="430"/>
      <c r="AI88" s="430"/>
      <c r="AJ88" s="430"/>
      <c r="AK88" s="430"/>
      <c r="AL88" s="430"/>
      <c r="AM88" s="430"/>
      <c r="AN88" s="430"/>
      <c r="AO88" s="430"/>
      <c r="AP88" s="430"/>
      <c r="AQ88" s="430"/>
      <c r="AR88" s="430"/>
      <c r="AS88" s="430"/>
      <c r="AT88" s="430"/>
      <c r="AU88" s="430"/>
      <c r="AV88" s="430"/>
      <c r="AW88" s="430"/>
      <c r="AX88" s="430"/>
      <c r="AY88" s="430"/>
      <c r="AZ88" s="430"/>
      <c r="BA88" s="430"/>
      <c r="BB88" s="430"/>
      <c r="BC88" s="430"/>
      <c r="BD88" s="430"/>
      <c r="BE88" s="430"/>
      <c r="BF88" s="430"/>
      <c r="BG88" s="430"/>
      <c r="BH88" s="430"/>
      <c r="BI88" s="430"/>
      <c r="BJ88" s="430"/>
      <c r="BK88" s="430"/>
    </row>
    <row r="89" spans="1:63">
      <c r="A89" s="430"/>
      <c r="B89" s="430"/>
      <c r="C89" s="430"/>
      <c r="D89" s="430"/>
      <c r="E89" s="430"/>
      <c r="F89" s="430"/>
      <c r="G89" s="430"/>
      <c r="H89" s="430"/>
      <c r="I89" s="430"/>
      <c r="J89" s="430"/>
      <c r="K89" s="430"/>
      <c r="L89" s="430"/>
      <c r="M89" s="430"/>
      <c r="N89" s="430"/>
      <c r="O89" s="430"/>
      <c r="P89" s="430"/>
      <c r="Q89" s="430"/>
      <c r="R89" s="430"/>
      <c r="S89" s="430"/>
      <c r="T89" s="430"/>
      <c r="U89" s="430"/>
      <c r="V89" s="430"/>
      <c r="W89" s="430"/>
      <c r="X89" s="430"/>
      <c r="Y89" s="430"/>
      <c r="Z89" s="430"/>
      <c r="AA89" s="430"/>
      <c r="AB89" s="430"/>
      <c r="AC89" s="430"/>
      <c r="AD89" s="430"/>
      <c r="AE89" s="430"/>
      <c r="AF89" s="430"/>
      <c r="AG89" s="430"/>
      <c r="AH89" s="430"/>
      <c r="AI89" s="430"/>
      <c r="AJ89" s="430"/>
      <c r="AK89" s="430"/>
      <c r="AL89" s="430"/>
      <c r="AM89" s="430"/>
      <c r="AN89" s="430"/>
      <c r="AO89" s="430"/>
      <c r="AP89" s="430"/>
      <c r="AQ89" s="430"/>
      <c r="AR89" s="430"/>
      <c r="AS89" s="430"/>
      <c r="AT89" s="430"/>
      <c r="AU89" s="430"/>
      <c r="AV89" s="430"/>
      <c r="AW89" s="430"/>
      <c r="AX89" s="430"/>
      <c r="AY89" s="430"/>
      <c r="AZ89" s="430"/>
      <c r="BA89" s="430"/>
      <c r="BB89" s="430"/>
      <c r="BC89" s="430"/>
      <c r="BD89" s="430"/>
      <c r="BE89" s="430"/>
      <c r="BF89" s="430"/>
      <c r="BG89" s="430"/>
      <c r="BH89" s="430"/>
      <c r="BI89" s="430"/>
      <c r="BJ89" s="430"/>
      <c r="BK89" s="430"/>
    </row>
    <row r="90" spans="1:63">
      <c r="A90" s="430"/>
      <c r="B90" s="430"/>
      <c r="C90" s="430"/>
      <c r="D90" s="430"/>
      <c r="E90" s="430"/>
      <c r="F90" s="430"/>
      <c r="G90" s="430"/>
      <c r="H90" s="430"/>
      <c r="I90" s="430"/>
      <c r="J90" s="430"/>
      <c r="K90" s="430"/>
      <c r="L90" s="430"/>
      <c r="M90" s="430"/>
      <c r="N90" s="430"/>
      <c r="O90" s="430"/>
      <c r="P90" s="430"/>
      <c r="Q90" s="430"/>
      <c r="R90" s="430"/>
      <c r="S90" s="430"/>
      <c r="T90" s="430"/>
      <c r="U90" s="430"/>
      <c r="V90" s="430"/>
      <c r="W90" s="430"/>
      <c r="X90" s="430"/>
      <c r="Y90" s="430"/>
      <c r="Z90" s="430"/>
      <c r="AA90" s="430"/>
      <c r="AB90" s="430"/>
      <c r="AC90" s="430"/>
      <c r="AD90" s="430"/>
      <c r="AE90" s="430"/>
      <c r="AF90" s="430"/>
      <c r="AG90" s="430"/>
      <c r="AH90" s="430"/>
      <c r="AI90" s="430"/>
      <c r="AJ90" s="430"/>
      <c r="AK90" s="430"/>
      <c r="AL90" s="430"/>
      <c r="AM90" s="430"/>
      <c r="AN90" s="430"/>
      <c r="AO90" s="430"/>
      <c r="AP90" s="430"/>
      <c r="AQ90" s="430"/>
      <c r="AR90" s="430"/>
      <c r="AS90" s="430"/>
      <c r="AT90" s="430"/>
      <c r="AU90" s="430"/>
      <c r="AV90" s="430"/>
      <c r="AW90" s="430"/>
      <c r="AX90" s="430"/>
      <c r="AY90" s="430"/>
      <c r="AZ90" s="430"/>
      <c r="BA90" s="430"/>
      <c r="BB90" s="430"/>
      <c r="BC90" s="430"/>
      <c r="BD90" s="430"/>
      <c r="BE90" s="430"/>
      <c r="BF90" s="430"/>
      <c r="BG90" s="430"/>
      <c r="BH90" s="430"/>
      <c r="BI90" s="430"/>
      <c r="BJ90" s="430"/>
      <c r="BK90" s="430"/>
    </row>
    <row r="91" spans="1:63">
      <c r="A91" s="430"/>
      <c r="B91" s="430"/>
      <c r="C91" s="430"/>
      <c r="D91" s="430"/>
      <c r="E91" s="430"/>
      <c r="F91" s="430"/>
      <c r="G91" s="430"/>
      <c r="H91" s="430"/>
      <c r="I91" s="430"/>
      <c r="J91" s="430"/>
      <c r="K91" s="430"/>
      <c r="L91" s="430"/>
      <c r="M91" s="430"/>
      <c r="N91" s="430"/>
      <c r="O91" s="430"/>
      <c r="P91" s="430"/>
      <c r="Q91" s="430"/>
      <c r="R91" s="430"/>
      <c r="S91" s="430"/>
      <c r="T91" s="430"/>
      <c r="U91" s="430"/>
      <c r="V91" s="430"/>
      <c r="W91" s="430"/>
      <c r="X91" s="430"/>
      <c r="Y91" s="430"/>
      <c r="Z91" s="430"/>
      <c r="AA91" s="430"/>
      <c r="AB91" s="430"/>
      <c r="AC91" s="430"/>
      <c r="AD91" s="430"/>
      <c r="AE91" s="430"/>
      <c r="AF91" s="430"/>
      <c r="AG91" s="430"/>
      <c r="AH91" s="430"/>
      <c r="AI91" s="430"/>
      <c r="AJ91" s="430"/>
      <c r="AK91" s="430"/>
      <c r="AL91" s="430"/>
      <c r="AM91" s="430"/>
      <c r="AN91" s="430"/>
      <c r="AO91" s="430"/>
      <c r="AP91" s="430"/>
      <c r="AQ91" s="430"/>
      <c r="AR91" s="430"/>
      <c r="AS91" s="430"/>
      <c r="AT91" s="430"/>
      <c r="AU91" s="430"/>
      <c r="AV91" s="430"/>
      <c r="AW91" s="430"/>
      <c r="AX91" s="430"/>
      <c r="AY91" s="430"/>
      <c r="AZ91" s="430"/>
      <c r="BA91" s="430"/>
      <c r="BB91" s="430"/>
      <c r="BC91" s="430"/>
      <c r="BD91" s="430"/>
      <c r="BE91" s="430"/>
      <c r="BF91" s="430"/>
      <c r="BG91" s="430"/>
      <c r="BH91" s="430"/>
      <c r="BI91" s="430"/>
      <c r="BJ91" s="430"/>
      <c r="BK91" s="430"/>
    </row>
    <row r="92" spans="1:63">
      <c r="A92" s="430"/>
      <c r="B92" s="430"/>
      <c r="C92" s="430"/>
      <c r="D92" s="430"/>
      <c r="E92" s="430"/>
      <c r="F92" s="430"/>
      <c r="G92" s="430"/>
      <c r="H92" s="430"/>
      <c r="I92" s="430"/>
      <c r="J92" s="430"/>
      <c r="K92" s="430"/>
      <c r="L92" s="430"/>
      <c r="M92" s="430"/>
      <c r="N92" s="430"/>
      <c r="O92" s="430"/>
      <c r="P92" s="430"/>
      <c r="Q92" s="430"/>
      <c r="R92" s="430"/>
      <c r="S92" s="430"/>
      <c r="T92" s="430"/>
      <c r="U92" s="430"/>
      <c r="V92" s="430"/>
      <c r="W92" s="430"/>
      <c r="X92" s="430"/>
      <c r="Y92" s="430"/>
      <c r="Z92" s="430"/>
      <c r="AA92" s="430"/>
      <c r="AB92" s="430"/>
      <c r="AC92" s="430"/>
      <c r="AD92" s="430"/>
      <c r="AE92" s="430"/>
      <c r="AF92" s="430"/>
      <c r="AG92" s="430"/>
      <c r="AH92" s="430"/>
      <c r="AI92" s="430"/>
      <c r="AJ92" s="430"/>
      <c r="AK92" s="430"/>
      <c r="AL92" s="430"/>
      <c r="AM92" s="430"/>
      <c r="AN92" s="430"/>
      <c r="AO92" s="430"/>
      <c r="AP92" s="430"/>
      <c r="AQ92" s="430"/>
      <c r="AR92" s="430"/>
      <c r="AS92" s="430"/>
      <c r="AT92" s="430"/>
      <c r="AU92" s="430"/>
      <c r="AV92" s="430"/>
      <c r="AW92" s="430"/>
      <c r="AX92" s="430"/>
      <c r="AY92" s="430"/>
      <c r="AZ92" s="430"/>
      <c r="BA92" s="430"/>
      <c r="BB92" s="430"/>
      <c r="BC92" s="430"/>
      <c r="BD92" s="430"/>
      <c r="BE92" s="430"/>
      <c r="BF92" s="430"/>
      <c r="BG92" s="430"/>
      <c r="BH92" s="430"/>
      <c r="BI92" s="430"/>
      <c r="BJ92" s="430"/>
      <c r="BK92" s="430"/>
    </row>
    <row r="93" spans="1:63">
      <c r="A93" s="430"/>
      <c r="B93" s="430"/>
      <c r="C93" s="430"/>
      <c r="D93" s="430"/>
      <c r="E93" s="430"/>
      <c r="F93" s="430"/>
      <c r="G93" s="430"/>
      <c r="H93" s="430"/>
      <c r="I93" s="430"/>
      <c r="J93" s="430"/>
      <c r="K93" s="430"/>
      <c r="L93" s="430"/>
      <c r="M93" s="430"/>
      <c r="N93" s="430"/>
      <c r="O93" s="430"/>
      <c r="P93" s="430"/>
      <c r="Q93" s="430"/>
      <c r="R93" s="430"/>
      <c r="S93" s="430"/>
      <c r="T93" s="430"/>
      <c r="U93" s="430"/>
      <c r="V93" s="430"/>
      <c r="W93" s="430"/>
      <c r="X93" s="430"/>
      <c r="Y93" s="430"/>
      <c r="Z93" s="430"/>
      <c r="AA93" s="430"/>
      <c r="AB93" s="430"/>
      <c r="AC93" s="430"/>
      <c r="AD93" s="430"/>
      <c r="AE93" s="430"/>
      <c r="AF93" s="430"/>
      <c r="AG93" s="430"/>
      <c r="AH93" s="430"/>
      <c r="AI93" s="430"/>
      <c r="AJ93" s="430"/>
      <c r="AK93" s="430"/>
      <c r="AL93" s="430"/>
      <c r="AM93" s="430"/>
      <c r="AN93" s="430"/>
      <c r="AO93" s="430"/>
      <c r="AP93" s="430"/>
      <c r="AQ93" s="430"/>
      <c r="AR93" s="430"/>
      <c r="AS93" s="430"/>
      <c r="AT93" s="430"/>
      <c r="AU93" s="430"/>
      <c r="AV93" s="430"/>
      <c r="AW93" s="430"/>
      <c r="AX93" s="430"/>
      <c r="AY93" s="430"/>
      <c r="AZ93" s="430"/>
      <c r="BA93" s="430"/>
      <c r="BB93" s="430"/>
      <c r="BC93" s="430"/>
      <c r="BD93" s="430"/>
      <c r="BE93" s="430"/>
      <c r="BF93" s="430"/>
      <c r="BG93" s="430"/>
      <c r="BH93" s="430"/>
      <c r="BI93" s="430"/>
      <c r="BJ93" s="430"/>
      <c r="BK93" s="430"/>
    </row>
    <row r="94" spans="1:63">
      <c r="A94" s="430"/>
      <c r="B94" s="430"/>
      <c r="C94" s="430"/>
      <c r="D94" s="430"/>
      <c r="E94" s="430"/>
      <c r="F94" s="430"/>
      <c r="G94" s="430"/>
      <c r="H94" s="430"/>
      <c r="I94" s="430"/>
      <c r="J94" s="430"/>
      <c r="K94" s="430"/>
      <c r="L94" s="430"/>
      <c r="M94" s="430"/>
      <c r="N94" s="430"/>
      <c r="O94" s="430"/>
      <c r="P94" s="430"/>
      <c r="Q94" s="430"/>
      <c r="R94" s="430"/>
      <c r="S94" s="430"/>
      <c r="T94" s="430"/>
      <c r="U94" s="430"/>
      <c r="V94" s="430"/>
      <c r="W94" s="430"/>
      <c r="X94" s="430"/>
      <c r="Y94" s="430"/>
      <c r="Z94" s="430"/>
      <c r="AA94" s="430"/>
      <c r="AB94" s="430"/>
      <c r="AC94" s="430"/>
      <c r="AD94" s="430"/>
      <c r="AE94" s="430"/>
      <c r="AF94" s="430"/>
      <c r="AG94" s="430"/>
      <c r="AH94" s="430"/>
      <c r="AI94" s="430"/>
      <c r="AJ94" s="430"/>
      <c r="AK94" s="430"/>
      <c r="AL94" s="430"/>
      <c r="AM94" s="430"/>
      <c r="AN94" s="430"/>
      <c r="AO94" s="430"/>
      <c r="AP94" s="430"/>
      <c r="AQ94" s="430"/>
      <c r="AR94" s="430"/>
      <c r="AS94" s="430"/>
      <c r="AT94" s="430"/>
      <c r="AU94" s="430"/>
      <c r="AV94" s="430"/>
      <c r="AW94" s="430"/>
      <c r="AX94" s="430"/>
      <c r="AY94" s="430"/>
      <c r="AZ94" s="430"/>
      <c r="BA94" s="430"/>
      <c r="BB94" s="430"/>
      <c r="BC94" s="430"/>
      <c r="BD94" s="430"/>
      <c r="BE94" s="430"/>
      <c r="BF94" s="430"/>
      <c r="BG94" s="430"/>
      <c r="BH94" s="430"/>
      <c r="BI94" s="430"/>
      <c r="BJ94" s="430"/>
      <c r="BK94" s="430"/>
    </row>
    <row r="95" spans="1:63">
      <c r="A95" s="430"/>
      <c r="B95" s="430"/>
      <c r="C95" s="430"/>
      <c r="D95" s="430"/>
      <c r="E95" s="430"/>
      <c r="F95" s="430"/>
      <c r="G95" s="430"/>
      <c r="H95" s="430"/>
      <c r="I95" s="430"/>
      <c r="J95" s="430"/>
      <c r="K95" s="430"/>
      <c r="L95" s="430"/>
      <c r="M95" s="430"/>
      <c r="N95" s="430"/>
      <c r="O95" s="430"/>
      <c r="P95" s="430"/>
      <c r="Q95" s="430"/>
      <c r="R95" s="430"/>
      <c r="S95" s="430"/>
      <c r="T95" s="430"/>
      <c r="U95" s="430"/>
      <c r="V95" s="430"/>
      <c r="W95" s="430"/>
      <c r="X95" s="430"/>
      <c r="Y95" s="430"/>
      <c r="Z95" s="430"/>
      <c r="AA95" s="430"/>
      <c r="AB95" s="430"/>
      <c r="AC95" s="430"/>
      <c r="AD95" s="430"/>
      <c r="AE95" s="430"/>
      <c r="AF95" s="430"/>
      <c r="AG95" s="430"/>
      <c r="AH95" s="430"/>
      <c r="AI95" s="430"/>
      <c r="AJ95" s="430"/>
      <c r="AK95" s="430"/>
      <c r="AL95" s="430"/>
      <c r="AM95" s="430"/>
      <c r="AN95" s="430"/>
      <c r="AO95" s="430"/>
      <c r="AP95" s="430"/>
      <c r="AQ95" s="430"/>
      <c r="AR95" s="430"/>
      <c r="AS95" s="430"/>
      <c r="AT95" s="430"/>
      <c r="AU95" s="430"/>
      <c r="AV95" s="430"/>
      <c r="AW95" s="430"/>
      <c r="AX95" s="430"/>
      <c r="AY95" s="430"/>
      <c r="AZ95" s="430"/>
      <c r="BA95" s="430"/>
      <c r="BB95" s="430"/>
      <c r="BC95" s="430"/>
      <c r="BD95" s="430"/>
      <c r="BE95" s="430"/>
      <c r="BF95" s="430"/>
      <c r="BG95" s="430"/>
      <c r="BH95" s="430"/>
      <c r="BI95" s="430"/>
      <c r="BJ95" s="430"/>
      <c r="BK95" s="430"/>
    </row>
    <row r="96" spans="1:63">
      <c r="A96" s="430"/>
      <c r="B96" s="430"/>
      <c r="C96" s="430"/>
      <c r="D96" s="430"/>
      <c r="E96" s="430"/>
      <c r="F96" s="430"/>
      <c r="G96" s="430"/>
      <c r="H96" s="430"/>
      <c r="I96" s="430"/>
      <c r="J96" s="430"/>
      <c r="K96" s="430"/>
      <c r="L96" s="430"/>
      <c r="M96" s="430"/>
      <c r="N96" s="430"/>
      <c r="O96" s="430"/>
      <c r="P96" s="430"/>
      <c r="Q96" s="430"/>
      <c r="R96" s="430"/>
      <c r="S96" s="430"/>
      <c r="T96" s="430"/>
      <c r="U96" s="430"/>
      <c r="V96" s="430"/>
      <c r="W96" s="430"/>
      <c r="X96" s="430"/>
      <c r="Y96" s="430"/>
      <c r="Z96" s="430"/>
      <c r="AA96" s="430"/>
      <c r="AB96" s="430"/>
      <c r="AC96" s="430"/>
      <c r="AD96" s="430"/>
      <c r="AE96" s="430"/>
      <c r="AF96" s="430"/>
      <c r="AG96" s="430"/>
      <c r="AH96" s="430"/>
      <c r="AI96" s="430"/>
      <c r="AJ96" s="430"/>
      <c r="AK96" s="430"/>
      <c r="AL96" s="430"/>
      <c r="AM96" s="430"/>
      <c r="AN96" s="430"/>
      <c r="AO96" s="430"/>
      <c r="AP96" s="430"/>
      <c r="AQ96" s="430"/>
      <c r="AR96" s="430"/>
      <c r="AS96" s="430"/>
      <c r="AT96" s="430"/>
      <c r="AU96" s="430"/>
      <c r="AV96" s="430"/>
      <c r="AW96" s="430"/>
      <c r="AX96" s="430"/>
      <c r="AY96" s="430"/>
      <c r="AZ96" s="430"/>
      <c r="BA96" s="430"/>
      <c r="BB96" s="430"/>
      <c r="BC96" s="430"/>
      <c r="BD96" s="430"/>
      <c r="BE96" s="430"/>
      <c r="BF96" s="430"/>
      <c r="BG96" s="430"/>
      <c r="BH96" s="430"/>
      <c r="BI96" s="430"/>
      <c r="BJ96" s="430"/>
      <c r="BK96" s="430"/>
    </row>
    <row r="97" spans="1:63">
      <c r="A97" s="430"/>
      <c r="B97" s="430"/>
      <c r="C97" s="430"/>
      <c r="D97" s="430"/>
      <c r="E97" s="430"/>
      <c r="F97" s="430"/>
      <c r="G97" s="430"/>
      <c r="H97" s="430"/>
      <c r="I97" s="430"/>
      <c r="J97" s="430"/>
      <c r="K97" s="430"/>
      <c r="L97" s="430"/>
      <c r="M97" s="430"/>
      <c r="N97" s="430"/>
      <c r="O97" s="430"/>
      <c r="P97" s="430"/>
      <c r="Q97" s="430"/>
      <c r="R97" s="430"/>
      <c r="S97" s="430"/>
      <c r="T97" s="430"/>
      <c r="U97" s="430"/>
      <c r="V97" s="430"/>
      <c r="W97" s="430"/>
      <c r="X97" s="430"/>
      <c r="Y97" s="430"/>
      <c r="Z97" s="430"/>
      <c r="AA97" s="430"/>
      <c r="AB97" s="430"/>
      <c r="AC97" s="430"/>
      <c r="AD97" s="430"/>
      <c r="AE97" s="430"/>
      <c r="AF97" s="430"/>
      <c r="AG97" s="430"/>
      <c r="AH97" s="430"/>
      <c r="AI97" s="430"/>
      <c r="AJ97" s="430"/>
      <c r="AK97" s="430"/>
      <c r="AL97" s="430"/>
      <c r="AM97" s="430"/>
      <c r="AN97" s="430"/>
      <c r="AO97" s="430"/>
      <c r="AP97" s="430"/>
      <c r="AQ97" s="430"/>
      <c r="AR97" s="430"/>
      <c r="AS97" s="430"/>
      <c r="AT97" s="430"/>
      <c r="AU97" s="430"/>
      <c r="AV97" s="430"/>
      <c r="AW97" s="430"/>
      <c r="AX97" s="430"/>
      <c r="AY97" s="430"/>
      <c r="AZ97" s="430"/>
      <c r="BA97" s="430"/>
      <c r="BB97" s="430"/>
      <c r="BC97" s="430"/>
      <c r="BD97" s="430"/>
      <c r="BE97" s="430"/>
      <c r="BF97" s="430"/>
      <c r="BG97" s="430"/>
      <c r="BH97" s="430"/>
      <c r="BI97" s="430"/>
      <c r="BJ97" s="430"/>
      <c r="BK97" s="430"/>
    </row>
    <row r="98" spans="1:63">
      <c r="A98" s="430"/>
      <c r="B98" s="430"/>
      <c r="C98" s="430"/>
      <c r="D98" s="430"/>
      <c r="E98" s="430"/>
      <c r="F98" s="430"/>
      <c r="G98" s="430"/>
      <c r="H98" s="430"/>
      <c r="I98" s="430"/>
      <c r="J98" s="430"/>
      <c r="K98" s="430"/>
      <c r="L98" s="430"/>
      <c r="M98" s="430"/>
      <c r="N98" s="430"/>
      <c r="O98" s="430"/>
      <c r="P98" s="430"/>
      <c r="Q98" s="430"/>
      <c r="R98" s="430"/>
      <c r="S98" s="430"/>
      <c r="T98" s="430"/>
      <c r="U98" s="430"/>
      <c r="V98" s="430"/>
      <c r="W98" s="430"/>
      <c r="X98" s="430"/>
      <c r="Y98" s="430"/>
      <c r="Z98" s="430"/>
      <c r="AA98" s="430"/>
      <c r="AB98" s="430"/>
      <c r="AC98" s="430"/>
      <c r="AD98" s="430"/>
      <c r="AE98" s="430"/>
      <c r="AF98" s="430"/>
      <c r="AG98" s="430"/>
      <c r="AH98" s="430"/>
      <c r="AI98" s="430"/>
      <c r="AJ98" s="430"/>
      <c r="AK98" s="430"/>
      <c r="AL98" s="430"/>
      <c r="AM98" s="430"/>
      <c r="AN98" s="430"/>
      <c r="AO98" s="430"/>
      <c r="AP98" s="430"/>
      <c r="AQ98" s="430"/>
      <c r="AR98" s="430"/>
      <c r="AS98" s="430"/>
      <c r="AT98" s="430"/>
      <c r="AU98" s="430"/>
      <c r="AV98" s="430"/>
      <c r="AW98" s="430"/>
      <c r="AX98" s="430"/>
      <c r="AY98" s="430"/>
      <c r="AZ98" s="430"/>
      <c r="BA98" s="430"/>
      <c r="BB98" s="430"/>
      <c r="BC98" s="430"/>
      <c r="BD98" s="430"/>
      <c r="BE98" s="430"/>
      <c r="BF98" s="430"/>
      <c r="BG98" s="430"/>
      <c r="BH98" s="430"/>
      <c r="BI98" s="430"/>
      <c r="BJ98" s="430"/>
      <c r="BK98" s="430"/>
    </row>
    <row r="99" spans="1:63">
      <c r="A99" s="430"/>
      <c r="B99" s="430"/>
      <c r="C99" s="430"/>
      <c r="D99" s="430"/>
      <c r="E99" s="430"/>
      <c r="F99" s="430"/>
      <c r="G99" s="430"/>
      <c r="H99" s="430"/>
      <c r="I99" s="430"/>
      <c r="J99" s="430"/>
      <c r="K99" s="430"/>
      <c r="L99" s="430"/>
      <c r="M99" s="430"/>
      <c r="N99" s="430"/>
      <c r="O99" s="430"/>
      <c r="P99" s="430"/>
      <c r="Q99" s="430"/>
      <c r="R99" s="430"/>
      <c r="S99" s="430"/>
      <c r="T99" s="430"/>
      <c r="U99" s="430"/>
      <c r="V99" s="430"/>
      <c r="W99" s="430"/>
      <c r="X99" s="430"/>
      <c r="Y99" s="430"/>
      <c r="Z99" s="430"/>
      <c r="AA99" s="430"/>
      <c r="AB99" s="430"/>
      <c r="AC99" s="430"/>
      <c r="AD99" s="430"/>
      <c r="AE99" s="430"/>
      <c r="AF99" s="430"/>
      <c r="AG99" s="430"/>
      <c r="AH99" s="430"/>
      <c r="AI99" s="430"/>
      <c r="AJ99" s="430"/>
      <c r="AK99" s="430"/>
      <c r="AL99" s="430"/>
      <c r="AM99" s="430"/>
      <c r="AN99" s="430"/>
      <c r="AO99" s="430"/>
      <c r="AP99" s="430"/>
      <c r="AQ99" s="430"/>
      <c r="AR99" s="430"/>
      <c r="AS99" s="430"/>
      <c r="AT99" s="430"/>
      <c r="AU99" s="430"/>
      <c r="AV99" s="430"/>
      <c r="AW99" s="430"/>
      <c r="AX99" s="430"/>
      <c r="AY99" s="430"/>
      <c r="AZ99" s="430"/>
      <c r="BA99" s="430"/>
      <c r="BB99" s="430"/>
      <c r="BC99" s="430"/>
      <c r="BD99" s="430"/>
      <c r="BE99" s="430"/>
      <c r="BF99" s="430"/>
      <c r="BG99" s="430"/>
      <c r="BH99" s="430"/>
      <c r="BI99" s="430"/>
      <c r="BJ99" s="430"/>
      <c r="BK99" s="430"/>
    </row>
    <row r="100" spans="1:63">
      <c r="A100" s="430"/>
      <c r="B100" s="430"/>
      <c r="C100" s="430"/>
      <c r="D100" s="430"/>
      <c r="E100" s="430"/>
      <c r="F100" s="430"/>
      <c r="G100" s="430"/>
      <c r="H100" s="430"/>
      <c r="I100" s="430"/>
      <c r="J100" s="430"/>
      <c r="K100" s="430"/>
      <c r="L100" s="430"/>
      <c r="M100" s="430"/>
      <c r="N100" s="430"/>
      <c r="O100" s="430"/>
      <c r="P100" s="430"/>
      <c r="Q100" s="430"/>
      <c r="R100" s="430"/>
      <c r="S100" s="430"/>
      <c r="T100" s="430"/>
      <c r="U100" s="430"/>
      <c r="V100" s="430"/>
      <c r="W100" s="430"/>
      <c r="X100" s="430"/>
      <c r="Y100" s="430"/>
      <c r="Z100" s="430"/>
      <c r="AA100" s="430"/>
      <c r="AB100" s="430"/>
      <c r="AC100" s="430"/>
      <c r="AD100" s="430"/>
      <c r="AE100" s="430"/>
      <c r="AF100" s="430"/>
      <c r="AG100" s="430"/>
      <c r="AH100" s="430"/>
      <c r="AI100" s="430"/>
      <c r="AJ100" s="430"/>
      <c r="AK100" s="430"/>
      <c r="AL100" s="430"/>
      <c r="AM100" s="430"/>
      <c r="AN100" s="430"/>
      <c r="AO100" s="430"/>
      <c r="AP100" s="430"/>
      <c r="AQ100" s="430"/>
      <c r="AR100" s="430"/>
      <c r="AS100" s="430"/>
      <c r="AT100" s="430"/>
      <c r="AU100" s="430"/>
      <c r="AV100" s="430"/>
      <c r="AW100" s="430"/>
      <c r="AX100" s="430"/>
      <c r="AY100" s="430"/>
      <c r="AZ100" s="430"/>
      <c r="BA100" s="430"/>
      <c r="BB100" s="430"/>
      <c r="BC100" s="430"/>
      <c r="BD100" s="430"/>
      <c r="BE100" s="430"/>
      <c r="BF100" s="430"/>
      <c r="BG100" s="430"/>
      <c r="BH100" s="430"/>
      <c r="BI100" s="430"/>
      <c r="BJ100" s="430"/>
      <c r="BK100" s="430"/>
    </row>
    <row r="101" spans="1:63">
      <c r="A101" s="430"/>
      <c r="B101" s="430"/>
      <c r="C101" s="430"/>
      <c r="D101" s="430"/>
      <c r="E101" s="430"/>
      <c r="F101" s="430"/>
      <c r="G101" s="430"/>
      <c r="H101" s="430"/>
      <c r="I101" s="430"/>
      <c r="J101" s="430"/>
      <c r="K101" s="430"/>
      <c r="L101" s="430"/>
      <c r="M101" s="430"/>
      <c r="N101" s="430"/>
      <c r="O101" s="430"/>
      <c r="P101" s="430"/>
      <c r="Q101" s="430"/>
      <c r="R101" s="430"/>
      <c r="S101" s="430"/>
      <c r="T101" s="430"/>
      <c r="U101" s="430"/>
      <c r="V101" s="430"/>
      <c r="W101" s="430"/>
      <c r="X101" s="430"/>
      <c r="Y101" s="430"/>
      <c r="Z101" s="430"/>
      <c r="AA101" s="430"/>
      <c r="AB101" s="430"/>
      <c r="AC101" s="430"/>
      <c r="AD101" s="430"/>
      <c r="AE101" s="430"/>
      <c r="AF101" s="430"/>
      <c r="AG101" s="430"/>
      <c r="AH101" s="430"/>
      <c r="AI101" s="430"/>
      <c r="AJ101" s="430"/>
      <c r="AK101" s="430"/>
      <c r="AL101" s="430"/>
      <c r="AM101" s="430"/>
      <c r="AN101" s="430"/>
      <c r="AO101" s="430"/>
      <c r="AP101" s="430"/>
      <c r="AQ101" s="430"/>
      <c r="AR101" s="430"/>
      <c r="AS101" s="430"/>
      <c r="AT101" s="430"/>
      <c r="AU101" s="430"/>
      <c r="AV101" s="430"/>
      <c r="AW101" s="430"/>
      <c r="AX101" s="430"/>
      <c r="AY101" s="430"/>
      <c r="AZ101" s="430"/>
      <c r="BA101" s="430"/>
      <c r="BB101" s="430"/>
      <c r="BC101" s="430"/>
      <c r="BD101" s="430"/>
      <c r="BE101" s="430"/>
      <c r="BF101" s="430"/>
      <c r="BG101" s="430"/>
      <c r="BH101" s="430"/>
      <c r="BI101" s="430"/>
      <c r="BJ101" s="430"/>
      <c r="BK101" s="430"/>
    </row>
    <row r="102" spans="1:63">
      <c r="A102" s="430"/>
      <c r="B102" s="430"/>
      <c r="C102" s="430"/>
      <c r="D102" s="430"/>
      <c r="E102" s="430"/>
      <c r="F102" s="430"/>
      <c r="G102" s="430"/>
      <c r="H102" s="430"/>
      <c r="I102" s="430"/>
      <c r="J102" s="430"/>
      <c r="K102" s="430"/>
      <c r="L102" s="430"/>
      <c r="M102" s="430"/>
      <c r="N102" s="430"/>
      <c r="O102" s="430"/>
      <c r="P102" s="430"/>
      <c r="Q102" s="430"/>
      <c r="R102" s="430"/>
      <c r="S102" s="430"/>
      <c r="T102" s="430"/>
      <c r="U102" s="430"/>
      <c r="V102" s="430"/>
      <c r="W102" s="430"/>
      <c r="X102" s="430"/>
      <c r="Y102" s="430"/>
      <c r="Z102" s="430"/>
      <c r="AA102" s="430"/>
      <c r="AB102" s="430"/>
      <c r="AC102" s="430"/>
      <c r="AD102" s="430"/>
      <c r="AE102" s="430"/>
      <c r="AF102" s="430"/>
      <c r="AG102" s="430"/>
      <c r="AH102" s="430"/>
      <c r="AI102" s="430"/>
      <c r="AJ102" s="430"/>
      <c r="AK102" s="430"/>
      <c r="AL102" s="430"/>
      <c r="AM102" s="430"/>
      <c r="AN102" s="430"/>
      <c r="AO102" s="430"/>
      <c r="AP102" s="430"/>
      <c r="AQ102" s="430"/>
      <c r="AR102" s="430"/>
      <c r="AS102" s="430"/>
      <c r="AT102" s="430"/>
      <c r="AU102" s="430"/>
      <c r="AV102" s="430"/>
      <c r="AW102" s="430"/>
      <c r="AX102" s="430"/>
      <c r="AY102" s="430"/>
      <c r="AZ102" s="430"/>
      <c r="BA102" s="430"/>
      <c r="BB102" s="430"/>
      <c r="BC102" s="430"/>
      <c r="BD102" s="430"/>
      <c r="BE102" s="430"/>
      <c r="BF102" s="430"/>
      <c r="BG102" s="430"/>
      <c r="BH102" s="430"/>
      <c r="BI102" s="430"/>
      <c r="BJ102" s="430"/>
      <c r="BK102" s="430"/>
    </row>
    <row r="103" spans="1:63">
      <c r="A103" s="430"/>
      <c r="B103" s="430"/>
      <c r="C103" s="430"/>
      <c r="D103" s="430"/>
      <c r="E103" s="430"/>
      <c r="F103" s="430"/>
      <c r="G103" s="430"/>
      <c r="H103" s="430"/>
      <c r="I103" s="430"/>
      <c r="J103" s="430"/>
      <c r="K103" s="430"/>
      <c r="L103" s="430"/>
      <c r="M103" s="430"/>
      <c r="N103" s="430"/>
      <c r="O103" s="430"/>
      <c r="P103" s="430"/>
      <c r="Q103" s="430"/>
      <c r="R103" s="430"/>
      <c r="S103" s="430"/>
      <c r="T103" s="430"/>
      <c r="U103" s="430"/>
      <c r="V103" s="430"/>
      <c r="W103" s="430"/>
      <c r="X103" s="430"/>
      <c r="Y103" s="430"/>
      <c r="Z103" s="430"/>
      <c r="AA103" s="430"/>
      <c r="AB103" s="430"/>
      <c r="AC103" s="430"/>
      <c r="AD103" s="430"/>
      <c r="AE103" s="430"/>
      <c r="AF103" s="430"/>
      <c r="AG103" s="430"/>
      <c r="AH103" s="430"/>
      <c r="AI103" s="430"/>
      <c r="AJ103" s="430"/>
      <c r="AK103" s="430"/>
      <c r="AL103" s="430"/>
      <c r="AM103" s="430"/>
      <c r="AN103" s="430"/>
      <c r="AO103" s="430"/>
      <c r="AP103" s="430"/>
      <c r="AQ103" s="430"/>
      <c r="AR103" s="430"/>
      <c r="AS103" s="430"/>
      <c r="AT103" s="430"/>
      <c r="AU103" s="430"/>
      <c r="AV103" s="430"/>
      <c r="AW103" s="430"/>
      <c r="AX103" s="430"/>
      <c r="AY103" s="430"/>
      <c r="AZ103" s="430"/>
      <c r="BA103" s="430"/>
      <c r="BB103" s="430"/>
      <c r="BC103" s="430"/>
      <c r="BD103" s="430"/>
      <c r="BE103" s="430"/>
      <c r="BF103" s="430"/>
      <c r="BG103" s="430"/>
      <c r="BH103" s="430"/>
      <c r="BI103" s="430"/>
      <c r="BJ103" s="430"/>
      <c r="BK103" s="430"/>
    </row>
    <row r="104" spans="1:63">
      <c r="A104" s="430"/>
      <c r="B104" s="430"/>
      <c r="C104" s="430"/>
      <c r="D104" s="430"/>
      <c r="E104" s="430"/>
      <c r="F104" s="430"/>
      <c r="G104" s="430"/>
      <c r="H104" s="430"/>
      <c r="I104" s="430"/>
      <c r="J104" s="430"/>
      <c r="K104" s="430"/>
      <c r="L104" s="430"/>
      <c r="M104" s="430"/>
      <c r="N104" s="430"/>
      <c r="O104" s="430"/>
      <c r="P104" s="430"/>
      <c r="Q104" s="430"/>
      <c r="R104" s="430"/>
      <c r="S104" s="430"/>
      <c r="T104" s="430"/>
      <c r="U104" s="430"/>
      <c r="V104" s="430"/>
      <c r="W104" s="430"/>
      <c r="X104" s="430"/>
      <c r="Y104" s="430"/>
      <c r="Z104" s="430"/>
      <c r="AA104" s="430"/>
      <c r="AB104" s="430"/>
      <c r="AC104" s="430"/>
      <c r="AD104" s="430"/>
      <c r="AE104" s="430"/>
      <c r="AF104" s="430"/>
      <c r="AG104" s="430"/>
      <c r="AH104" s="430"/>
      <c r="AI104" s="430"/>
      <c r="AJ104" s="430"/>
      <c r="AK104" s="430"/>
      <c r="AL104" s="430"/>
      <c r="AM104" s="430"/>
      <c r="AN104" s="430"/>
      <c r="AO104" s="430"/>
      <c r="AP104" s="430"/>
      <c r="AQ104" s="430"/>
      <c r="AR104" s="430"/>
      <c r="AS104" s="430"/>
      <c r="AT104" s="430"/>
      <c r="AU104" s="430"/>
      <c r="AV104" s="430"/>
      <c r="AW104" s="430"/>
      <c r="AX104" s="430"/>
      <c r="AY104" s="430"/>
      <c r="AZ104" s="430"/>
      <c r="BA104" s="430"/>
      <c r="BB104" s="430"/>
      <c r="BC104" s="430"/>
      <c r="BD104" s="430"/>
      <c r="BE104" s="430"/>
      <c r="BF104" s="430"/>
      <c r="BG104" s="430"/>
      <c r="BH104" s="430"/>
      <c r="BI104" s="430"/>
      <c r="BJ104" s="430"/>
      <c r="BK104" s="430"/>
    </row>
    <row r="105" spans="1:63">
      <c r="A105" s="430"/>
      <c r="B105" s="430"/>
      <c r="C105" s="430"/>
      <c r="D105" s="430"/>
      <c r="E105" s="430"/>
      <c r="F105" s="430"/>
      <c r="G105" s="430"/>
      <c r="H105" s="430"/>
      <c r="I105" s="430"/>
      <c r="J105" s="430"/>
      <c r="K105" s="430"/>
      <c r="L105" s="430"/>
      <c r="M105" s="430"/>
      <c r="N105" s="430"/>
      <c r="O105" s="430"/>
      <c r="P105" s="430"/>
      <c r="Q105" s="430"/>
      <c r="R105" s="430"/>
      <c r="S105" s="430"/>
      <c r="T105" s="430"/>
      <c r="U105" s="430"/>
      <c r="V105" s="430"/>
      <c r="W105" s="430"/>
      <c r="X105" s="430"/>
      <c r="Y105" s="430"/>
      <c r="Z105" s="430"/>
      <c r="AA105" s="430"/>
      <c r="AB105" s="430"/>
      <c r="AC105" s="430"/>
      <c r="AD105" s="430"/>
      <c r="AE105" s="430"/>
      <c r="AF105" s="430"/>
      <c r="AG105" s="430"/>
      <c r="AH105" s="430"/>
      <c r="AI105" s="430"/>
      <c r="AJ105" s="430"/>
      <c r="AK105" s="430"/>
      <c r="AL105" s="430"/>
      <c r="AM105" s="430"/>
      <c r="AN105" s="430"/>
      <c r="AO105" s="430"/>
      <c r="AP105" s="430"/>
      <c r="AQ105" s="430"/>
      <c r="AR105" s="430"/>
      <c r="AS105" s="430"/>
      <c r="AT105" s="430"/>
      <c r="AU105" s="430"/>
      <c r="AV105" s="430"/>
      <c r="AW105" s="430"/>
      <c r="AX105" s="430"/>
      <c r="AY105" s="430"/>
      <c r="AZ105" s="430"/>
      <c r="BA105" s="430"/>
      <c r="BB105" s="430"/>
      <c r="BC105" s="430"/>
      <c r="BD105" s="430"/>
      <c r="BE105" s="430"/>
      <c r="BF105" s="430"/>
      <c r="BG105" s="430"/>
      <c r="BH105" s="430"/>
      <c r="BI105" s="430"/>
      <c r="BJ105" s="430"/>
      <c r="BK105" s="430"/>
    </row>
    <row r="106" spans="1:63">
      <c r="A106" s="430"/>
      <c r="B106" s="430"/>
      <c r="C106" s="430"/>
      <c r="D106" s="430"/>
      <c r="E106" s="430"/>
      <c r="F106" s="430"/>
      <c r="G106" s="430"/>
      <c r="H106" s="430"/>
      <c r="I106" s="430"/>
      <c r="J106" s="430"/>
      <c r="K106" s="430"/>
      <c r="L106" s="430"/>
      <c r="M106" s="430"/>
      <c r="N106" s="430"/>
      <c r="O106" s="430"/>
      <c r="P106" s="430"/>
      <c r="Q106" s="430"/>
      <c r="R106" s="430"/>
      <c r="S106" s="430"/>
      <c r="T106" s="430"/>
      <c r="U106" s="430"/>
      <c r="V106" s="430"/>
      <c r="W106" s="430"/>
      <c r="X106" s="430"/>
      <c r="Y106" s="430"/>
      <c r="Z106" s="430"/>
      <c r="AA106" s="430"/>
      <c r="AB106" s="430"/>
      <c r="AC106" s="430"/>
      <c r="AD106" s="430"/>
      <c r="AE106" s="430"/>
      <c r="AF106" s="430"/>
      <c r="AG106" s="430"/>
      <c r="AH106" s="430"/>
      <c r="AI106" s="430"/>
      <c r="AJ106" s="430"/>
      <c r="AK106" s="430"/>
      <c r="AL106" s="430"/>
      <c r="AM106" s="430"/>
      <c r="AN106" s="430"/>
      <c r="AO106" s="430"/>
      <c r="AP106" s="430"/>
      <c r="AQ106" s="430"/>
      <c r="AR106" s="430"/>
      <c r="AS106" s="430"/>
      <c r="AT106" s="430"/>
      <c r="AU106" s="430"/>
      <c r="AV106" s="430"/>
      <c r="AW106" s="430"/>
      <c r="AX106" s="430"/>
      <c r="AY106" s="430"/>
      <c r="AZ106" s="430"/>
      <c r="BA106" s="430"/>
      <c r="BB106" s="430"/>
      <c r="BC106" s="430"/>
      <c r="BD106" s="430"/>
      <c r="BE106" s="430"/>
      <c r="BF106" s="430"/>
      <c r="BG106" s="430"/>
      <c r="BH106" s="430"/>
      <c r="BI106" s="430"/>
      <c r="BJ106" s="430"/>
      <c r="BK106" s="430"/>
    </row>
    <row r="107" spans="1:63">
      <c r="A107" s="430"/>
      <c r="B107" s="430"/>
      <c r="C107" s="430"/>
      <c r="D107" s="430"/>
      <c r="E107" s="430"/>
      <c r="F107" s="430"/>
      <c r="G107" s="430"/>
      <c r="H107" s="430"/>
      <c r="I107" s="430"/>
      <c r="J107" s="430"/>
      <c r="K107" s="430"/>
      <c r="L107" s="430"/>
      <c r="M107" s="430"/>
      <c r="N107" s="430"/>
      <c r="O107" s="430"/>
      <c r="P107" s="430"/>
      <c r="Q107" s="430"/>
      <c r="R107" s="430"/>
      <c r="S107" s="430"/>
      <c r="T107" s="430"/>
      <c r="U107" s="430"/>
      <c r="V107" s="430"/>
      <c r="W107" s="430"/>
      <c r="X107" s="430"/>
      <c r="Y107" s="430"/>
      <c r="Z107" s="430"/>
      <c r="AA107" s="430"/>
      <c r="AB107" s="430"/>
      <c r="AC107" s="430"/>
      <c r="AD107" s="430"/>
      <c r="AE107" s="430"/>
      <c r="AF107" s="430"/>
      <c r="AG107" s="430"/>
      <c r="AH107" s="430"/>
      <c r="AI107" s="430"/>
      <c r="AJ107" s="430"/>
      <c r="AK107" s="430"/>
      <c r="AL107" s="430"/>
      <c r="AM107" s="430"/>
      <c r="AN107" s="430"/>
      <c r="AO107" s="430"/>
      <c r="AP107" s="430"/>
      <c r="AQ107" s="430"/>
      <c r="AR107" s="430"/>
      <c r="AS107" s="430"/>
      <c r="AT107" s="430"/>
      <c r="AU107" s="430"/>
      <c r="AV107" s="430"/>
      <c r="AW107" s="430"/>
      <c r="AX107" s="430"/>
      <c r="AY107" s="430"/>
      <c r="AZ107" s="430"/>
      <c r="BA107" s="430"/>
      <c r="BB107" s="430"/>
      <c r="BC107" s="430"/>
      <c r="BD107" s="430"/>
      <c r="BE107" s="430"/>
      <c r="BF107" s="430"/>
      <c r="BG107" s="430"/>
      <c r="BH107" s="430"/>
      <c r="BI107" s="430"/>
      <c r="BJ107" s="430"/>
      <c r="BK107" s="430"/>
    </row>
    <row r="108" spans="1:63">
      <c r="A108" s="430"/>
      <c r="B108" s="430"/>
      <c r="C108" s="430"/>
      <c r="D108" s="430"/>
      <c r="E108" s="430"/>
      <c r="F108" s="430"/>
      <c r="G108" s="430"/>
      <c r="H108" s="430"/>
      <c r="I108" s="430"/>
      <c r="J108" s="430"/>
      <c r="K108" s="430"/>
      <c r="L108" s="430"/>
      <c r="M108" s="430"/>
      <c r="N108" s="430"/>
      <c r="O108" s="430"/>
      <c r="P108" s="430"/>
      <c r="Q108" s="430"/>
      <c r="R108" s="430"/>
      <c r="S108" s="430"/>
      <c r="T108" s="430"/>
      <c r="U108" s="430"/>
      <c r="V108" s="430"/>
      <c r="W108" s="430"/>
      <c r="X108" s="430"/>
      <c r="Y108" s="430"/>
      <c r="Z108" s="430"/>
      <c r="AA108" s="430"/>
      <c r="AB108" s="430"/>
      <c r="AC108" s="430"/>
      <c r="AD108" s="430"/>
      <c r="AE108" s="430"/>
      <c r="AF108" s="430"/>
      <c r="AG108" s="430"/>
      <c r="AH108" s="430"/>
      <c r="AI108" s="430"/>
      <c r="AJ108" s="430"/>
      <c r="AK108" s="430"/>
      <c r="AL108" s="430"/>
      <c r="AM108" s="430"/>
      <c r="AN108" s="430"/>
      <c r="AO108" s="430"/>
      <c r="AP108" s="430"/>
      <c r="AQ108" s="430"/>
      <c r="AR108" s="430"/>
      <c r="AS108" s="430"/>
      <c r="AT108" s="430"/>
      <c r="AU108" s="430"/>
      <c r="AV108" s="430"/>
      <c r="AW108" s="430"/>
      <c r="AX108" s="430"/>
      <c r="AY108" s="430"/>
      <c r="AZ108" s="430"/>
      <c r="BA108" s="430"/>
      <c r="BB108" s="430"/>
      <c r="BC108" s="430"/>
      <c r="BD108" s="430"/>
      <c r="BE108" s="430"/>
      <c r="BF108" s="430"/>
      <c r="BG108" s="430"/>
      <c r="BH108" s="430"/>
      <c r="BI108" s="430"/>
      <c r="BJ108" s="430"/>
      <c r="BK108" s="430"/>
    </row>
    <row r="109" spans="1:63">
      <c r="A109" s="430"/>
      <c r="B109" s="430"/>
      <c r="C109" s="430"/>
      <c r="D109" s="430"/>
      <c r="E109" s="430"/>
      <c r="F109" s="430"/>
      <c r="G109" s="430"/>
      <c r="H109" s="430"/>
      <c r="I109" s="430"/>
      <c r="J109" s="430"/>
      <c r="K109" s="430"/>
      <c r="L109" s="430"/>
      <c r="M109" s="430"/>
      <c r="N109" s="430"/>
      <c r="O109" s="430"/>
      <c r="P109" s="430"/>
      <c r="Q109" s="430"/>
      <c r="R109" s="430"/>
      <c r="S109" s="430"/>
      <c r="T109" s="430"/>
      <c r="U109" s="430"/>
      <c r="V109" s="430"/>
      <c r="W109" s="430"/>
      <c r="X109" s="430"/>
      <c r="Y109" s="430"/>
      <c r="Z109" s="430"/>
      <c r="AA109" s="430"/>
      <c r="AB109" s="430"/>
      <c r="AC109" s="430"/>
      <c r="AD109" s="430"/>
      <c r="AE109" s="430"/>
      <c r="AF109" s="430"/>
      <c r="AG109" s="430"/>
      <c r="AH109" s="430"/>
      <c r="AI109" s="430"/>
      <c r="AJ109" s="430"/>
      <c r="AK109" s="430"/>
      <c r="AL109" s="430"/>
      <c r="AM109" s="430"/>
      <c r="AN109" s="430"/>
      <c r="AO109" s="430"/>
      <c r="AP109" s="430"/>
      <c r="AQ109" s="430"/>
      <c r="AR109" s="430"/>
      <c r="AS109" s="430"/>
      <c r="AT109" s="430"/>
      <c r="AU109" s="430"/>
      <c r="AV109" s="430"/>
      <c r="AW109" s="430"/>
      <c r="AX109" s="430"/>
      <c r="AY109" s="430"/>
      <c r="AZ109" s="430"/>
      <c r="BA109" s="430"/>
      <c r="BB109" s="430"/>
      <c r="BC109" s="430"/>
      <c r="BD109" s="430"/>
      <c r="BE109" s="430"/>
      <c r="BF109" s="430"/>
      <c r="BG109" s="430"/>
      <c r="BH109" s="430"/>
      <c r="BI109" s="430"/>
      <c r="BJ109" s="430"/>
      <c r="BK109" s="430"/>
    </row>
    <row r="110" spans="1:63">
      <c r="A110" s="430"/>
      <c r="B110" s="430"/>
      <c r="C110" s="430"/>
      <c r="D110" s="430"/>
      <c r="E110" s="430"/>
      <c r="F110" s="430"/>
      <c r="G110" s="430"/>
      <c r="H110" s="430"/>
      <c r="I110" s="430"/>
      <c r="J110" s="430"/>
      <c r="K110" s="430"/>
      <c r="L110" s="430"/>
      <c r="M110" s="430"/>
      <c r="N110" s="430"/>
      <c r="O110" s="430"/>
      <c r="P110" s="430"/>
      <c r="Q110" s="430"/>
      <c r="R110" s="430"/>
      <c r="S110" s="430"/>
      <c r="T110" s="430"/>
      <c r="U110" s="430"/>
      <c r="V110" s="430"/>
      <c r="W110" s="430"/>
      <c r="X110" s="430"/>
      <c r="Y110" s="430"/>
      <c r="Z110" s="430"/>
      <c r="AA110" s="430"/>
      <c r="AB110" s="430"/>
      <c r="AC110" s="430"/>
      <c r="AD110" s="430"/>
      <c r="AE110" s="430"/>
      <c r="AF110" s="430"/>
      <c r="AG110" s="430"/>
      <c r="AH110" s="430"/>
      <c r="AI110" s="430"/>
      <c r="AJ110" s="430"/>
      <c r="AK110" s="430"/>
      <c r="AL110" s="430"/>
      <c r="AM110" s="430"/>
      <c r="AN110" s="430"/>
      <c r="AO110" s="430"/>
      <c r="AP110" s="430"/>
      <c r="AQ110" s="430"/>
      <c r="AR110" s="430"/>
      <c r="AS110" s="430"/>
      <c r="AT110" s="430"/>
      <c r="AU110" s="430"/>
      <c r="AV110" s="430"/>
      <c r="AW110" s="430"/>
      <c r="AX110" s="430"/>
      <c r="AY110" s="430"/>
      <c r="AZ110" s="430"/>
      <c r="BA110" s="430"/>
      <c r="BB110" s="430"/>
      <c r="BC110" s="430"/>
      <c r="BD110" s="430"/>
      <c r="BE110" s="430"/>
      <c r="BF110" s="430"/>
      <c r="BG110" s="430"/>
      <c r="BH110" s="430"/>
      <c r="BI110" s="430"/>
      <c r="BJ110" s="430"/>
      <c r="BK110" s="430"/>
    </row>
    <row r="111" spans="1:63">
      <c r="A111" s="430"/>
      <c r="B111" s="451"/>
      <c r="C111" s="430"/>
      <c r="D111" s="451"/>
      <c r="E111" s="430"/>
      <c r="F111" s="430"/>
      <c r="G111" s="430"/>
      <c r="H111" s="430"/>
      <c r="I111" s="430"/>
      <c r="J111" s="430"/>
      <c r="K111" s="430"/>
      <c r="L111" s="430"/>
      <c r="M111" s="430"/>
      <c r="N111" s="430"/>
      <c r="O111" s="430"/>
      <c r="P111" s="430"/>
      <c r="Q111" s="430"/>
      <c r="R111" s="430"/>
      <c r="S111" s="430"/>
      <c r="T111" s="430"/>
      <c r="U111" s="430"/>
      <c r="V111" s="430"/>
      <c r="W111" s="430"/>
      <c r="X111" s="430"/>
      <c r="Y111" s="430"/>
      <c r="Z111" s="430"/>
      <c r="AA111" s="430"/>
      <c r="AB111" s="430"/>
      <c r="AC111" s="430"/>
      <c r="AD111" s="430"/>
      <c r="AE111" s="430"/>
      <c r="AF111" s="430"/>
      <c r="AG111" s="430"/>
      <c r="AH111" s="430"/>
      <c r="AI111" s="430"/>
      <c r="AJ111" s="430"/>
      <c r="AK111" s="430"/>
      <c r="AL111" s="430"/>
      <c r="AM111" s="430"/>
      <c r="AN111" s="430"/>
      <c r="AO111" s="430"/>
      <c r="AP111" s="430"/>
      <c r="AQ111" s="430"/>
      <c r="AR111" s="430"/>
      <c r="AS111" s="430"/>
      <c r="AT111" s="430"/>
      <c r="AU111" s="430"/>
      <c r="AV111" s="430"/>
      <c r="AW111" s="430"/>
      <c r="AX111" s="430"/>
      <c r="AY111" s="430"/>
      <c r="AZ111" s="430"/>
      <c r="BA111" s="430"/>
      <c r="BB111" s="430"/>
      <c r="BC111" s="430"/>
      <c r="BD111" s="430"/>
      <c r="BE111" s="430"/>
      <c r="BF111" s="430"/>
      <c r="BG111" s="430"/>
      <c r="BH111" s="430"/>
      <c r="BI111" s="430"/>
      <c r="BJ111" s="430"/>
      <c r="BK111" s="430"/>
    </row>
    <row r="112" spans="1:63">
      <c r="A112" s="430"/>
      <c r="B112" s="451"/>
      <c r="C112" s="430"/>
      <c r="D112" s="451"/>
      <c r="E112" s="430"/>
      <c r="F112" s="430"/>
      <c r="G112" s="430"/>
      <c r="H112" s="430"/>
      <c r="I112" s="430"/>
      <c r="J112" s="430"/>
      <c r="K112" s="430"/>
      <c r="L112" s="430"/>
      <c r="M112" s="430"/>
      <c r="N112" s="430"/>
      <c r="O112" s="430"/>
      <c r="P112" s="430"/>
      <c r="Q112" s="430"/>
      <c r="R112" s="430"/>
      <c r="S112" s="430"/>
      <c r="T112" s="430"/>
      <c r="U112" s="430"/>
      <c r="V112" s="430"/>
      <c r="W112" s="430"/>
      <c r="X112" s="430"/>
      <c r="Y112" s="430"/>
      <c r="Z112" s="430"/>
      <c r="AA112" s="430"/>
      <c r="AB112" s="430"/>
      <c r="AC112" s="430"/>
      <c r="AD112" s="430"/>
      <c r="AE112" s="430"/>
      <c r="AF112" s="430"/>
      <c r="AG112" s="430"/>
      <c r="AH112" s="430"/>
      <c r="AI112" s="430"/>
      <c r="AJ112" s="430"/>
      <c r="AK112" s="430"/>
      <c r="AL112" s="430"/>
      <c r="AM112" s="430"/>
      <c r="AN112" s="430"/>
      <c r="AO112" s="430"/>
      <c r="AP112" s="430"/>
      <c r="AQ112" s="430"/>
      <c r="AR112" s="430"/>
      <c r="AS112" s="430"/>
      <c r="AT112" s="430"/>
      <c r="AU112" s="430"/>
      <c r="AV112" s="430"/>
      <c r="AW112" s="430"/>
      <c r="AX112" s="430"/>
      <c r="AY112" s="430"/>
      <c r="AZ112" s="430"/>
      <c r="BA112" s="430"/>
      <c r="BB112" s="430"/>
      <c r="BC112" s="430"/>
      <c r="BD112" s="430"/>
      <c r="BE112" s="430"/>
      <c r="BF112" s="430"/>
      <c r="BG112" s="430"/>
      <c r="BH112" s="430"/>
      <c r="BI112" s="430"/>
      <c r="BJ112" s="430"/>
      <c r="BK112" s="430"/>
    </row>
    <row r="113" spans="1:63">
      <c r="A113" s="430"/>
      <c r="B113" s="451"/>
      <c r="C113" s="430"/>
      <c r="D113" s="451"/>
      <c r="E113" s="430"/>
      <c r="F113" s="430"/>
      <c r="G113" s="430"/>
      <c r="H113" s="430"/>
      <c r="I113" s="430"/>
      <c r="J113" s="430"/>
      <c r="K113" s="430"/>
      <c r="L113" s="430"/>
      <c r="M113" s="430"/>
      <c r="N113" s="430"/>
      <c r="O113" s="430"/>
      <c r="P113" s="430"/>
      <c r="Q113" s="430"/>
      <c r="R113" s="430"/>
      <c r="S113" s="430"/>
      <c r="T113" s="430"/>
      <c r="U113" s="430"/>
      <c r="V113" s="430"/>
      <c r="W113" s="430"/>
      <c r="X113" s="430"/>
      <c r="Y113" s="430"/>
      <c r="Z113" s="430"/>
      <c r="AA113" s="430"/>
      <c r="AB113" s="430"/>
      <c r="AC113" s="430"/>
      <c r="AD113" s="430"/>
      <c r="AE113" s="430"/>
      <c r="AF113" s="430"/>
      <c r="AG113" s="430"/>
      <c r="AH113" s="430"/>
      <c r="AI113" s="430"/>
      <c r="AJ113" s="430"/>
      <c r="AK113" s="430"/>
      <c r="AL113" s="430"/>
      <c r="AM113" s="430"/>
      <c r="AN113" s="430"/>
      <c r="AO113" s="430"/>
      <c r="AP113" s="430"/>
      <c r="AQ113" s="430"/>
      <c r="AR113" s="430"/>
      <c r="AS113" s="430"/>
      <c r="AT113" s="430"/>
      <c r="AU113" s="430"/>
      <c r="AV113" s="430"/>
      <c r="AW113" s="430"/>
      <c r="AX113" s="430"/>
      <c r="AY113" s="430"/>
      <c r="AZ113" s="430"/>
      <c r="BA113" s="430"/>
      <c r="BB113" s="430"/>
      <c r="BC113" s="430"/>
      <c r="BD113" s="430"/>
      <c r="BE113" s="430"/>
      <c r="BF113" s="430"/>
      <c r="BG113" s="430"/>
      <c r="BH113" s="430"/>
      <c r="BI113" s="430"/>
      <c r="BJ113" s="430"/>
      <c r="BK113" s="430"/>
    </row>
    <row r="114" spans="1:63">
      <c r="A114" s="430"/>
      <c r="B114" s="451"/>
      <c r="C114" s="430"/>
      <c r="D114" s="451"/>
      <c r="E114" s="430"/>
      <c r="F114" s="430"/>
      <c r="G114" s="430"/>
      <c r="H114" s="430"/>
      <c r="I114" s="430"/>
      <c r="J114" s="430"/>
      <c r="K114" s="430"/>
      <c r="L114" s="430"/>
      <c r="M114" s="430"/>
      <c r="N114" s="430"/>
      <c r="O114" s="430"/>
      <c r="P114" s="430"/>
      <c r="Q114" s="430"/>
      <c r="R114" s="430"/>
      <c r="S114" s="430"/>
      <c r="T114" s="430"/>
      <c r="U114" s="430"/>
      <c r="V114" s="430"/>
      <c r="W114" s="430"/>
      <c r="X114" s="430"/>
      <c r="Y114" s="430"/>
      <c r="Z114" s="430"/>
      <c r="AA114" s="430"/>
      <c r="AB114" s="430"/>
      <c r="AC114" s="430"/>
      <c r="AD114" s="430"/>
      <c r="AE114" s="430"/>
      <c r="AF114" s="430"/>
      <c r="AG114" s="430"/>
      <c r="AH114" s="430"/>
      <c r="AI114" s="430"/>
      <c r="AJ114" s="430"/>
      <c r="AK114" s="430"/>
      <c r="AL114" s="430"/>
      <c r="AM114" s="430"/>
      <c r="AN114" s="430"/>
      <c r="AO114" s="430"/>
      <c r="AP114" s="430"/>
      <c r="AQ114" s="430"/>
      <c r="AR114" s="430"/>
      <c r="AS114" s="430"/>
      <c r="AT114" s="430"/>
      <c r="AU114" s="430"/>
      <c r="AV114" s="430"/>
      <c r="AW114" s="430"/>
      <c r="AX114" s="430"/>
      <c r="AY114" s="430"/>
      <c r="AZ114" s="430"/>
      <c r="BA114" s="430"/>
      <c r="BB114" s="430"/>
      <c r="BC114" s="430"/>
      <c r="BD114" s="430"/>
      <c r="BE114" s="430"/>
      <c r="BF114" s="430"/>
      <c r="BG114" s="430"/>
      <c r="BH114" s="430"/>
      <c r="BI114" s="430"/>
      <c r="BJ114" s="430"/>
      <c r="BK114" s="430"/>
    </row>
    <row r="115" spans="1:63">
      <c r="A115" s="430"/>
      <c r="B115" s="451"/>
      <c r="C115" s="430"/>
      <c r="D115" s="451"/>
      <c r="E115" s="430"/>
      <c r="F115" s="430"/>
      <c r="G115" s="430"/>
      <c r="H115" s="430"/>
      <c r="I115" s="430"/>
      <c r="J115" s="430"/>
      <c r="K115" s="430"/>
      <c r="L115" s="430"/>
      <c r="M115" s="430"/>
      <c r="N115" s="430"/>
      <c r="O115" s="430"/>
      <c r="P115" s="430"/>
      <c r="Q115" s="430"/>
      <c r="R115" s="430"/>
      <c r="S115" s="430"/>
      <c r="T115" s="430"/>
      <c r="U115" s="430"/>
      <c r="V115" s="430"/>
      <c r="W115" s="430"/>
      <c r="X115" s="430"/>
      <c r="Y115" s="430"/>
      <c r="Z115" s="430"/>
      <c r="AA115" s="430"/>
      <c r="AB115" s="430"/>
      <c r="AC115" s="430"/>
      <c r="AD115" s="430"/>
      <c r="AE115" s="430"/>
      <c r="AF115" s="430"/>
      <c r="AG115" s="430"/>
      <c r="AH115" s="430"/>
      <c r="AI115" s="430"/>
      <c r="AJ115" s="430"/>
      <c r="AK115" s="430"/>
      <c r="AL115" s="430"/>
      <c r="AM115" s="430"/>
      <c r="AN115" s="430"/>
      <c r="AO115" s="430"/>
      <c r="AP115" s="430"/>
      <c r="AQ115" s="430"/>
      <c r="AR115" s="430"/>
      <c r="AS115" s="430"/>
      <c r="AT115" s="430"/>
      <c r="AU115" s="430"/>
      <c r="AV115" s="430"/>
      <c r="AW115" s="430"/>
      <c r="AX115" s="430"/>
      <c r="AY115" s="430"/>
      <c r="AZ115" s="430"/>
      <c r="BA115" s="430"/>
      <c r="BB115" s="430"/>
      <c r="BC115" s="430"/>
      <c r="BD115" s="430"/>
      <c r="BE115" s="430"/>
      <c r="BF115" s="430"/>
      <c r="BG115" s="430"/>
      <c r="BH115" s="430"/>
      <c r="BI115" s="430"/>
      <c r="BJ115" s="430"/>
      <c r="BK115" s="430"/>
    </row>
    <row r="116" spans="1:63">
      <c r="A116" s="430"/>
      <c r="B116" s="451"/>
      <c r="C116" s="430"/>
      <c r="D116" s="451"/>
      <c r="E116" s="430"/>
      <c r="F116" s="430"/>
      <c r="G116" s="430"/>
      <c r="H116" s="430"/>
      <c r="I116" s="430"/>
      <c r="J116" s="430"/>
      <c r="K116" s="430"/>
      <c r="L116" s="430"/>
      <c r="M116" s="430"/>
      <c r="N116" s="430"/>
      <c r="O116" s="430"/>
      <c r="P116" s="430"/>
      <c r="Q116" s="430"/>
      <c r="R116" s="430"/>
      <c r="S116" s="430"/>
      <c r="T116" s="430"/>
      <c r="U116" s="430"/>
      <c r="V116" s="430"/>
      <c r="W116" s="430"/>
      <c r="X116" s="430"/>
      <c r="Y116" s="430"/>
      <c r="Z116" s="430"/>
      <c r="AA116" s="430"/>
      <c r="AB116" s="430"/>
      <c r="AC116" s="430"/>
      <c r="AD116" s="430"/>
      <c r="AE116" s="430"/>
      <c r="AF116" s="430"/>
      <c r="AG116" s="430"/>
      <c r="AH116" s="430"/>
      <c r="AI116" s="430"/>
      <c r="AJ116" s="430"/>
      <c r="AK116" s="430"/>
      <c r="AL116" s="430"/>
      <c r="AM116" s="430"/>
      <c r="AN116" s="430"/>
      <c r="AO116" s="430"/>
      <c r="AP116" s="430"/>
      <c r="AQ116" s="430"/>
      <c r="AR116" s="430"/>
      <c r="AS116" s="430"/>
      <c r="AT116" s="430"/>
      <c r="AU116" s="430"/>
      <c r="AV116" s="430"/>
      <c r="AW116" s="430"/>
      <c r="AX116" s="430"/>
      <c r="AY116" s="430"/>
      <c r="AZ116" s="430"/>
      <c r="BA116" s="430"/>
      <c r="BB116" s="430"/>
      <c r="BC116" s="430"/>
      <c r="BD116" s="430"/>
      <c r="BE116" s="430"/>
      <c r="BF116" s="430"/>
      <c r="BG116" s="430"/>
      <c r="BH116" s="430"/>
      <c r="BI116" s="430"/>
      <c r="BJ116" s="430"/>
      <c r="BK116" s="430"/>
    </row>
    <row r="117" spans="1:63">
      <c r="A117" s="430"/>
      <c r="B117" s="451"/>
      <c r="C117" s="430"/>
      <c r="D117" s="451"/>
      <c r="E117" s="430"/>
      <c r="F117" s="430"/>
      <c r="G117" s="430"/>
      <c r="H117" s="430"/>
      <c r="I117" s="430"/>
      <c r="J117" s="430"/>
      <c r="K117" s="430"/>
      <c r="L117" s="430"/>
      <c r="M117" s="430"/>
      <c r="N117" s="430"/>
      <c r="O117" s="430"/>
      <c r="P117" s="430"/>
      <c r="Q117" s="430"/>
      <c r="R117" s="430"/>
      <c r="S117" s="430"/>
      <c r="T117" s="430"/>
      <c r="U117" s="430"/>
      <c r="V117" s="430"/>
      <c r="W117" s="430"/>
      <c r="X117" s="430"/>
      <c r="Y117" s="430"/>
      <c r="Z117" s="430"/>
      <c r="AA117" s="430"/>
      <c r="AB117" s="430"/>
      <c r="AC117" s="430"/>
      <c r="AD117" s="430"/>
      <c r="AE117" s="430"/>
      <c r="AF117" s="430"/>
      <c r="AG117" s="430"/>
      <c r="AH117" s="430"/>
      <c r="AI117" s="430"/>
      <c r="AJ117" s="430"/>
      <c r="AK117" s="430"/>
      <c r="AL117" s="430"/>
      <c r="AM117" s="430"/>
      <c r="AN117" s="430"/>
      <c r="AO117" s="430"/>
      <c r="AP117" s="430"/>
      <c r="AQ117" s="430"/>
      <c r="AR117" s="430"/>
      <c r="AS117" s="430"/>
      <c r="AT117" s="430"/>
      <c r="AU117" s="430"/>
      <c r="AV117" s="430"/>
      <c r="AW117" s="430"/>
      <c r="AX117" s="430"/>
      <c r="AY117" s="430"/>
      <c r="AZ117" s="430"/>
      <c r="BA117" s="430"/>
      <c r="BB117" s="430"/>
      <c r="BC117" s="430"/>
      <c r="BD117" s="430"/>
      <c r="BE117" s="430"/>
      <c r="BF117" s="430"/>
      <c r="BG117" s="430"/>
      <c r="BH117" s="430"/>
      <c r="BI117" s="430"/>
      <c r="BJ117" s="430"/>
      <c r="BK117" s="430"/>
    </row>
    <row r="118" spans="1:63">
      <c r="A118" s="430"/>
      <c r="B118" s="451"/>
      <c r="C118" s="430"/>
      <c r="D118" s="451"/>
      <c r="E118" s="430"/>
      <c r="F118" s="430"/>
      <c r="G118" s="430"/>
      <c r="H118" s="430"/>
      <c r="I118" s="430"/>
      <c r="J118" s="430"/>
      <c r="K118" s="430"/>
      <c r="L118" s="430"/>
      <c r="M118" s="430"/>
      <c r="N118" s="430"/>
      <c r="O118" s="430"/>
      <c r="P118" s="430"/>
      <c r="Q118" s="430"/>
      <c r="R118" s="430"/>
      <c r="S118" s="430"/>
      <c r="T118" s="430"/>
      <c r="U118" s="430"/>
      <c r="V118" s="430"/>
      <c r="W118" s="430"/>
      <c r="X118" s="430"/>
      <c r="Y118" s="430"/>
      <c r="Z118" s="430"/>
      <c r="AA118" s="430"/>
      <c r="AB118" s="430"/>
      <c r="AC118" s="430"/>
      <c r="AD118" s="430"/>
      <c r="AE118" s="430"/>
      <c r="AF118" s="430"/>
      <c r="AG118" s="430"/>
      <c r="AH118" s="430"/>
      <c r="AI118" s="430"/>
      <c r="AJ118" s="430"/>
      <c r="AK118" s="430"/>
      <c r="AL118" s="430"/>
      <c r="AM118" s="430"/>
      <c r="AN118" s="430"/>
      <c r="AO118" s="430"/>
      <c r="AP118" s="430"/>
      <c r="AQ118" s="430"/>
      <c r="AR118" s="430"/>
      <c r="AS118" s="430"/>
      <c r="AT118" s="430"/>
      <c r="AU118" s="430"/>
      <c r="AV118" s="430"/>
      <c r="AW118" s="430"/>
      <c r="AX118" s="430"/>
      <c r="AY118" s="430"/>
      <c r="AZ118" s="430"/>
      <c r="BA118" s="430"/>
      <c r="BB118" s="430"/>
      <c r="BC118" s="430"/>
      <c r="BD118" s="430"/>
      <c r="BE118" s="430"/>
      <c r="BF118" s="430"/>
      <c r="BG118" s="430"/>
      <c r="BH118" s="430"/>
      <c r="BI118" s="430"/>
      <c r="BJ118" s="430"/>
      <c r="BK118" s="430"/>
    </row>
    <row r="119" spans="1:63">
      <c r="A119" s="430"/>
      <c r="B119" s="451"/>
      <c r="C119" s="430"/>
      <c r="D119" s="451"/>
      <c r="E119" s="430"/>
      <c r="F119" s="430"/>
      <c r="G119" s="430"/>
      <c r="H119" s="430"/>
      <c r="I119" s="430"/>
      <c r="J119" s="430"/>
      <c r="K119" s="430"/>
      <c r="L119" s="430"/>
      <c r="M119" s="430"/>
      <c r="N119" s="430"/>
      <c r="O119" s="430"/>
      <c r="P119" s="430"/>
      <c r="Q119" s="430"/>
      <c r="R119" s="430"/>
      <c r="S119" s="430"/>
      <c r="T119" s="430"/>
      <c r="U119" s="430"/>
      <c r="V119" s="430"/>
      <c r="W119" s="430"/>
      <c r="X119" s="430"/>
      <c r="Y119" s="430"/>
      <c r="Z119" s="430"/>
      <c r="AA119" s="430"/>
      <c r="AB119" s="430"/>
      <c r="AC119" s="430"/>
      <c r="AD119" s="430"/>
      <c r="AE119" s="430"/>
      <c r="AF119" s="430"/>
      <c r="AG119" s="430"/>
      <c r="AH119" s="430"/>
      <c r="AI119" s="430"/>
      <c r="AJ119" s="430"/>
      <c r="AK119" s="430"/>
      <c r="AL119" s="430"/>
      <c r="AM119" s="430"/>
      <c r="AN119" s="430"/>
      <c r="AO119" s="430"/>
      <c r="AP119" s="430"/>
      <c r="AQ119" s="430"/>
      <c r="AR119" s="430"/>
      <c r="AS119" s="430"/>
      <c r="AT119" s="430"/>
      <c r="AU119" s="430"/>
      <c r="AV119" s="430"/>
      <c r="AW119" s="430"/>
      <c r="AX119" s="430"/>
      <c r="AY119" s="430"/>
      <c r="AZ119" s="430"/>
      <c r="BA119" s="430"/>
      <c r="BB119" s="430"/>
      <c r="BC119" s="430"/>
      <c r="BD119" s="430"/>
      <c r="BE119" s="430"/>
      <c r="BF119" s="430"/>
      <c r="BG119" s="430"/>
      <c r="BH119" s="430"/>
      <c r="BI119" s="430"/>
      <c r="BJ119" s="430"/>
      <c r="BK119" s="430"/>
    </row>
    <row r="120" spans="1:63">
      <c r="A120" s="430"/>
      <c r="B120" s="451"/>
      <c r="C120" s="430"/>
      <c r="D120" s="451"/>
      <c r="E120" s="430"/>
      <c r="F120" s="430"/>
      <c r="G120" s="430"/>
      <c r="H120" s="430"/>
      <c r="I120" s="430"/>
      <c r="J120" s="430"/>
      <c r="K120" s="430"/>
      <c r="L120" s="430"/>
      <c r="M120" s="430"/>
      <c r="N120" s="430"/>
      <c r="O120" s="430"/>
      <c r="P120" s="430"/>
      <c r="Q120" s="430"/>
      <c r="R120" s="430"/>
      <c r="S120" s="430"/>
      <c r="T120" s="430"/>
      <c r="U120" s="430"/>
      <c r="V120" s="430"/>
      <c r="W120" s="430"/>
      <c r="X120" s="430"/>
      <c r="Y120" s="430"/>
      <c r="Z120" s="430"/>
      <c r="AA120" s="430"/>
      <c r="AB120" s="430"/>
      <c r="AC120" s="430"/>
      <c r="AD120" s="430"/>
      <c r="AE120" s="430"/>
      <c r="AF120" s="430"/>
      <c r="AG120" s="430"/>
      <c r="AH120" s="430"/>
      <c r="AI120" s="430"/>
      <c r="AJ120" s="430"/>
      <c r="AK120" s="430"/>
      <c r="AL120" s="430"/>
      <c r="AM120" s="430"/>
      <c r="AN120" s="430"/>
      <c r="AO120" s="430"/>
      <c r="AP120" s="430"/>
      <c r="AQ120" s="430"/>
      <c r="AR120" s="430"/>
      <c r="AS120" s="430"/>
      <c r="AT120" s="430"/>
      <c r="AU120" s="430"/>
      <c r="AV120" s="430"/>
      <c r="AW120" s="430"/>
      <c r="AX120" s="430"/>
      <c r="AY120" s="430"/>
      <c r="AZ120" s="430"/>
      <c r="BA120" s="430"/>
      <c r="BB120" s="430"/>
      <c r="BC120" s="430"/>
      <c r="BD120" s="430"/>
      <c r="BE120" s="430"/>
      <c r="BF120" s="430"/>
      <c r="BG120" s="430"/>
      <c r="BH120" s="430"/>
      <c r="BI120" s="430"/>
      <c r="BJ120" s="430"/>
      <c r="BK120" s="430"/>
    </row>
    <row r="121" spans="1:63">
      <c r="A121" s="430"/>
      <c r="B121" s="451"/>
      <c r="C121" s="430"/>
      <c r="D121" s="451"/>
      <c r="E121" s="430"/>
      <c r="F121" s="430"/>
      <c r="G121" s="430"/>
      <c r="H121" s="430"/>
      <c r="I121" s="430"/>
      <c r="J121" s="430"/>
      <c r="K121" s="430"/>
      <c r="L121" s="430"/>
      <c r="M121" s="430"/>
      <c r="N121" s="430"/>
      <c r="O121" s="430"/>
      <c r="P121" s="430"/>
      <c r="Q121" s="430"/>
      <c r="R121" s="430"/>
      <c r="S121" s="430"/>
      <c r="T121" s="430"/>
      <c r="U121" s="430"/>
      <c r="V121" s="430"/>
      <c r="W121" s="430"/>
      <c r="X121" s="430"/>
      <c r="Y121" s="430"/>
      <c r="Z121" s="430"/>
      <c r="AA121" s="430"/>
      <c r="AB121" s="430"/>
      <c r="AC121" s="430"/>
      <c r="AD121" s="430"/>
      <c r="AE121" s="430"/>
      <c r="AF121" s="430"/>
      <c r="AG121" s="430"/>
      <c r="AH121" s="430"/>
      <c r="AI121" s="430"/>
      <c r="AJ121" s="430"/>
      <c r="AK121" s="430"/>
      <c r="AL121" s="430"/>
      <c r="AM121" s="430"/>
      <c r="AN121" s="430"/>
      <c r="AO121" s="430"/>
      <c r="AP121" s="430"/>
      <c r="AQ121" s="430"/>
      <c r="AR121" s="430"/>
      <c r="AS121" s="430"/>
      <c r="AT121" s="430"/>
      <c r="AU121" s="430"/>
      <c r="AV121" s="430"/>
      <c r="AW121" s="430"/>
      <c r="AX121" s="430"/>
      <c r="AY121" s="430"/>
      <c r="AZ121" s="430"/>
      <c r="BA121" s="430"/>
      <c r="BB121" s="430"/>
      <c r="BC121" s="430"/>
      <c r="BD121" s="430"/>
      <c r="BE121" s="430"/>
      <c r="BF121" s="430"/>
      <c r="BG121" s="430"/>
      <c r="BH121" s="430"/>
      <c r="BI121" s="430"/>
      <c r="BJ121" s="430"/>
      <c r="BK121" s="430"/>
    </row>
    <row r="122" spans="1:63">
      <c r="A122" s="430"/>
      <c r="B122" s="451"/>
      <c r="C122" s="430"/>
      <c r="D122" s="451"/>
      <c r="E122" s="430"/>
      <c r="F122" s="430"/>
      <c r="G122" s="430"/>
      <c r="H122" s="430"/>
      <c r="I122" s="430"/>
      <c r="J122" s="430"/>
      <c r="K122" s="430"/>
      <c r="L122" s="430"/>
      <c r="M122" s="430"/>
      <c r="N122" s="430"/>
      <c r="O122" s="430"/>
      <c r="P122" s="430"/>
      <c r="Q122" s="430"/>
      <c r="R122" s="430"/>
      <c r="S122" s="430"/>
      <c r="T122" s="430"/>
      <c r="U122" s="430"/>
      <c r="V122" s="430"/>
      <c r="W122" s="430"/>
      <c r="X122" s="430"/>
      <c r="Y122" s="430"/>
      <c r="Z122" s="430"/>
      <c r="AA122" s="430"/>
      <c r="AB122" s="430"/>
      <c r="AC122" s="430"/>
      <c r="AD122" s="430"/>
      <c r="AE122" s="430"/>
      <c r="AF122" s="430"/>
      <c r="AG122" s="430"/>
      <c r="AH122" s="430"/>
      <c r="AI122" s="430"/>
      <c r="AJ122" s="430"/>
      <c r="AK122" s="430"/>
      <c r="AL122" s="430"/>
      <c r="AM122" s="430"/>
      <c r="AN122" s="430"/>
      <c r="AO122" s="430"/>
      <c r="AP122" s="430"/>
      <c r="AQ122" s="430"/>
      <c r="AR122" s="430"/>
      <c r="AS122" s="430"/>
      <c r="AT122" s="430"/>
      <c r="AU122" s="430"/>
      <c r="AV122" s="430"/>
      <c r="AW122" s="430"/>
      <c r="AX122" s="430"/>
      <c r="AY122" s="430"/>
      <c r="AZ122" s="430"/>
      <c r="BA122" s="430"/>
      <c r="BB122" s="430"/>
      <c r="BC122" s="430"/>
      <c r="BD122" s="430"/>
      <c r="BE122" s="430"/>
      <c r="BF122" s="430"/>
      <c r="BG122" s="430"/>
      <c r="BH122" s="430"/>
      <c r="BI122" s="430"/>
      <c r="BJ122" s="430"/>
      <c r="BK122" s="430"/>
    </row>
    <row r="123" spans="1:63">
      <c r="A123" s="430"/>
      <c r="B123" s="451"/>
      <c r="C123" s="430"/>
      <c r="D123" s="451"/>
      <c r="E123" s="430"/>
      <c r="F123" s="430"/>
      <c r="G123" s="430"/>
      <c r="H123" s="430"/>
      <c r="I123" s="430"/>
      <c r="J123" s="430"/>
      <c r="K123" s="430"/>
      <c r="L123" s="430"/>
      <c r="M123" s="430"/>
      <c r="N123" s="430"/>
      <c r="O123" s="430"/>
      <c r="P123" s="430"/>
      <c r="Q123" s="430"/>
      <c r="R123" s="430"/>
      <c r="S123" s="430"/>
      <c r="T123" s="430"/>
      <c r="U123" s="430"/>
      <c r="V123" s="430"/>
      <c r="W123" s="430"/>
      <c r="X123" s="430"/>
      <c r="Y123" s="430"/>
      <c r="Z123" s="430"/>
      <c r="AA123" s="430"/>
      <c r="AB123" s="430"/>
      <c r="AC123" s="430"/>
      <c r="AD123" s="430"/>
      <c r="AE123" s="430"/>
      <c r="AF123" s="430"/>
      <c r="AG123" s="430"/>
      <c r="AH123" s="430"/>
      <c r="AI123" s="430"/>
      <c r="AJ123" s="430"/>
      <c r="AK123" s="430"/>
      <c r="AL123" s="430"/>
      <c r="AM123" s="430"/>
      <c r="AN123" s="430"/>
      <c r="AO123" s="430"/>
      <c r="AP123" s="430"/>
      <c r="AQ123" s="430"/>
      <c r="AR123" s="430"/>
      <c r="AS123" s="430"/>
      <c r="AT123" s="430"/>
      <c r="AU123" s="430"/>
      <c r="AV123" s="430"/>
      <c r="AW123" s="430"/>
      <c r="AX123" s="430"/>
      <c r="AY123" s="430"/>
      <c r="AZ123" s="430"/>
      <c r="BA123" s="430"/>
      <c r="BB123" s="430"/>
      <c r="BC123" s="430"/>
      <c r="BD123" s="430"/>
      <c r="BE123" s="430"/>
      <c r="BF123" s="430"/>
      <c r="BG123" s="430"/>
      <c r="BH123" s="430"/>
      <c r="BI123" s="430"/>
      <c r="BJ123" s="430"/>
      <c r="BK123" s="430"/>
    </row>
    <row r="124" spans="1:63">
      <c r="A124" s="430"/>
      <c r="B124" s="451"/>
      <c r="C124" s="430"/>
      <c r="D124" s="451"/>
      <c r="E124" s="430"/>
      <c r="F124" s="430"/>
      <c r="G124" s="430"/>
      <c r="H124" s="430"/>
      <c r="I124" s="430"/>
      <c r="J124" s="430"/>
      <c r="K124" s="430"/>
      <c r="L124" s="430"/>
      <c r="M124" s="430"/>
      <c r="N124" s="430"/>
      <c r="O124" s="430"/>
      <c r="P124" s="430"/>
      <c r="Q124" s="430"/>
      <c r="R124" s="430"/>
      <c r="S124" s="430"/>
      <c r="T124" s="430"/>
      <c r="U124" s="430"/>
      <c r="V124" s="430"/>
      <c r="W124" s="430"/>
      <c r="X124" s="430"/>
      <c r="Y124" s="430"/>
      <c r="Z124" s="430"/>
      <c r="AA124" s="430"/>
      <c r="AB124" s="430"/>
      <c r="AC124" s="430"/>
      <c r="AD124" s="430"/>
      <c r="AE124" s="430"/>
      <c r="AF124" s="430"/>
      <c r="AG124" s="430"/>
      <c r="AH124" s="430"/>
      <c r="AI124" s="430"/>
      <c r="AJ124" s="430"/>
      <c r="AK124" s="430"/>
      <c r="AL124" s="430"/>
      <c r="AM124" s="430"/>
      <c r="AN124" s="430"/>
      <c r="AO124" s="430"/>
      <c r="AP124" s="430"/>
      <c r="AQ124" s="430"/>
      <c r="AR124" s="430"/>
      <c r="AS124" s="430"/>
      <c r="AT124" s="430"/>
      <c r="AU124" s="430"/>
      <c r="AV124" s="430"/>
      <c r="AW124" s="430"/>
      <c r="AX124" s="430"/>
      <c r="AY124" s="430"/>
      <c r="AZ124" s="430"/>
      <c r="BA124" s="430"/>
      <c r="BB124" s="430"/>
      <c r="BC124" s="430"/>
      <c r="BD124" s="430"/>
      <c r="BE124" s="430"/>
      <c r="BF124" s="430"/>
      <c r="BG124" s="430"/>
      <c r="BH124" s="430"/>
      <c r="BI124" s="430"/>
      <c r="BJ124" s="430"/>
      <c r="BK124" s="430"/>
    </row>
    <row r="125" spans="1:63">
      <c r="A125" s="430"/>
      <c r="B125" s="451"/>
      <c r="C125" s="430"/>
      <c r="D125" s="451"/>
      <c r="E125" s="430"/>
      <c r="F125" s="430"/>
      <c r="G125" s="430"/>
      <c r="H125" s="430"/>
      <c r="I125" s="430"/>
      <c r="J125" s="430"/>
      <c r="K125" s="430"/>
      <c r="L125" s="430"/>
      <c r="M125" s="430"/>
      <c r="N125" s="430"/>
      <c r="O125" s="430"/>
      <c r="P125" s="430"/>
      <c r="Q125" s="430"/>
      <c r="R125" s="430"/>
      <c r="S125" s="430"/>
      <c r="T125" s="430"/>
      <c r="U125" s="430"/>
      <c r="V125" s="430"/>
      <c r="W125" s="430"/>
      <c r="X125" s="430"/>
      <c r="Y125" s="430"/>
      <c r="Z125" s="430"/>
      <c r="AA125" s="430"/>
      <c r="AB125" s="430"/>
      <c r="AC125" s="430"/>
      <c r="AD125" s="430"/>
      <c r="AE125" s="430"/>
      <c r="AF125" s="430"/>
      <c r="AG125" s="430"/>
      <c r="AH125" s="430"/>
      <c r="AI125" s="430"/>
      <c r="AJ125" s="430"/>
      <c r="AK125" s="430"/>
      <c r="AL125" s="430"/>
      <c r="AM125" s="430"/>
      <c r="AN125" s="430"/>
      <c r="AO125" s="430"/>
      <c r="AP125" s="430"/>
      <c r="AQ125" s="430"/>
      <c r="AR125" s="430"/>
      <c r="AS125" s="430"/>
      <c r="AT125" s="430"/>
      <c r="AU125" s="430"/>
      <c r="AV125" s="430"/>
      <c r="AW125" s="430"/>
      <c r="AX125" s="430"/>
      <c r="AY125" s="430"/>
      <c r="AZ125" s="430"/>
      <c r="BA125" s="430"/>
      <c r="BB125" s="430"/>
      <c r="BC125" s="430"/>
      <c r="BD125" s="430"/>
      <c r="BE125" s="430"/>
      <c r="BF125" s="430"/>
      <c r="BG125" s="430"/>
      <c r="BH125" s="430"/>
      <c r="BI125" s="430"/>
      <c r="BJ125" s="430"/>
      <c r="BK125" s="430"/>
    </row>
    <row r="126" spans="1:63">
      <c r="A126" s="430"/>
      <c r="B126" s="451"/>
      <c r="C126" s="430"/>
      <c r="D126" s="451"/>
      <c r="E126" s="430"/>
      <c r="F126" s="430"/>
      <c r="G126" s="430"/>
      <c r="H126" s="430"/>
      <c r="I126" s="430"/>
      <c r="J126" s="430"/>
      <c r="K126" s="430"/>
      <c r="L126" s="430"/>
      <c r="M126" s="430"/>
      <c r="N126" s="430"/>
      <c r="O126" s="430"/>
      <c r="P126" s="430"/>
      <c r="Q126" s="430"/>
      <c r="R126" s="430"/>
      <c r="S126" s="430"/>
      <c r="T126" s="430"/>
      <c r="U126" s="430"/>
      <c r="V126" s="430"/>
      <c r="W126" s="430"/>
      <c r="X126" s="430"/>
      <c r="Y126" s="430"/>
      <c r="Z126" s="430"/>
      <c r="AA126" s="430"/>
      <c r="AB126" s="430"/>
      <c r="AC126" s="430"/>
      <c r="AD126" s="430"/>
      <c r="AE126" s="430"/>
      <c r="AF126" s="430"/>
      <c r="AG126" s="430"/>
      <c r="AH126" s="430"/>
      <c r="AI126" s="430"/>
      <c r="AJ126" s="430"/>
      <c r="AK126" s="430"/>
      <c r="AL126" s="430"/>
      <c r="AM126" s="430"/>
      <c r="AN126" s="430"/>
      <c r="AO126" s="430"/>
      <c r="AP126" s="430"/>
      <c r="AQ126" s="430"/>
      <c r="AR126" s="430"/>
      <c r="AS126" s="430"/>
      <c r="AT126" s="430"/>
      <c r="AU126" s="430"/>
      <c r="AV126" s="430"/>
      <c r="AW126" s="430"/>
      <c r="AX126" s="430"/>
      <c r="AY126" s="430"/>
      <c r="AZ126" s="430"/>
      <c r="BA126" s="430"/>
      <c r="BB126" s="430"/>
      <c r="BC126" s="430"/>
      <c r="BD126" s="430"/>
      <c r="BE126" s="430"/>
      <c r="BF126" s="430"/>
      <c r="BG126" s="430"/>
      <c r="BH126" s="430"/>
      <c r="BI126" s="430"/>
      <c r="BJ126" s="430"/>
      <c r="BK126" s="430"/>
    </row>
    <row r="127" spans="1:63">
      <c r="A127" s="430"/>
      <c r="B127" s="451"/>
      <c r="C127" s="430"/>
      <c r="D127" s="451"/>
      <c r="E127" s="430"/>
      <c r="F127" s="430"/>
      <c r="G127" s="430"/>
      <c r="H127" s="430"/>
      <c r="I127" s="430"/>
      <c r="J127" s="430"/>
      <c r="K127" s="430"/>
      <c r="L127" s="430"/>
      <c r="M127" s="430"/>
      <c r="N127" s="430"/>
      <c r="O127" s="430"/>
      <c r="P127" s="430"/>
      <c r="Q127" s="430"/>
      <c r="R127" s="430"/>
      <c r="S127" s="430"/>
      <c r="T127" s="430"/>
      <c r="U127" s="430"/>
      <c r="V127" s="430"/>
      <c r="W127" s="430"/>
      <c r="X127" s="430"/>
      <c r="Y127" s="430"/>
      <c r="Z127" s="430"/>
      <c r="AA127" s="430"/>
      <c r="AB127" s="430"/>
      <c r="AC127" s="430"/>
      <c r="AD127" s="430"/>
      <c r="AE127" s="430"/>
      <c r="AF127" s="430"/>
      <c r="AG127" s="430"/>
      <c r="AH127" s="430"/>
      <c r="AI127" s="430"/>
      <c r="AJ127" s="430"/>
      <c r="AK127" s="430"/>
      <c r="AL127" s="430"/>
      <c r="AM127" s="430"/>
      <c r="AN127" s="430"/>
      <c r="AO127" s="430"/>
      <c r="AP127" s="430"/>
      <c r="AQ127" s="430"/>
      <c r="AR127" s="430"/>
      <c r="AS127" s="430"/>
      <c r="AT127" s="430"/>
      <c r="AU127" s="430"/>
      <c r="AV127" s="430"/>
      <c r="AW127" s="430"/>
      <c r="AX127" s="430"/>
      <c r="AY127" s="430"/>
      <c r="AZ127" s="430"/>
      <c r="BA127" s="430"/>
      <c r="BB127" s="430"/>
      <c r="BC127" s="430"/>
      <c r="BD127" s="430"/>
      <c r="BE127" s="430"/>
      <c r="BF127" s="430"/>
      <c r="BG127" s="430"/>
      <c r="BH127" s="430"/>
      <c r="BI127" s="430"/>
      <c r="BJ127" s="430"/>
      <c r="BK127" s="430"/>
    </row>
    <row r="128" spans="1:63">
      <c r="A128" s="430"/>
      <c r="B128" s="451"/>
      <c r="C128" s="430"/>
      <c r="D128" s="451"/>
      <c r="E128" s="430"/>
      <c r="F128" s="430"/>
      <c r="G128" s="430"/>
      <c r="H128" s="430"/>
      <c r="I128" s="430"/>
      <c r="J128" s="430"/>
      <c r="K128" s="430"/>
      <c r="L128" s="430"/>
      <c r="M128" s="430"/>
      <c r="N128" s="430"/>
      <c r="O128" s="430"/>
      <c r="P128" s="430"/>
      <c r="Q128" s="430"/>
      <c r="R128" s="430"/>
      <c r="S128" s="430"/>
      <c r="T128" s="430"/>
      <c r="U128" s="430"/>
      <c r="V128" s="430"/>
      <c r="W128" s="430"/>
      <c r="X128" s="430"/>
      <c r="Y128" s="430"/>
      <c r="Z128" s="430"/>
      <c r="AA128" s="430"/>
      <c r="AB128" s="430"/>
      <c r="AC128" s="430"/>
      <c r="AD128" s="430"/>
      <c r="AE128" s="430"/>
      <c r="AF128" s="430"/>
      <c r="AG128" s="430"/>
      <c r="AH128" s="430"/>
      <c r="AI128" s="430"/>
      <c r="AJ128" s="430"/>
      <c r="AK128" s="430"/>
      <c r="AL128" s="430"/>
      <c r="AM128" s="430"/>
      <c r="AN128" s="430"/>
      <c r="AO128" s="430"/>
      <c r="AP128" s="430"/>
      <c r="AQ128" s="430"/>
      <c r="AR128" s="430"/>
      <c r="AS128" s="430"/>
      <c r="AT128" s="430"/>
      <c r="AU128" s="430"/>
      <c r="AV128" s="430"/>
      <c r="AW128" s="430"/>
      <c r="AX128" s="430"/>
      <c r="AY128" s="430"/>
      <c r="AZ128" s="430"/>
      <c r="BA128" s="430"/>
      <c r="BB128" s="430"/>
      <c r="BC128" s="430"/>
      <c r="BD128" s="430"/>
      <c r="BE128" s="430"/>
      <c r="BF128" s="430"/>
      <c r="BG128" s="430"/>
      <c r="BH128" s="430"/>
      <c r="BI128" s="430"/>
      <c r="BJ128" s="430"/>
      <c r="BK128" s="430"/>
    </row>
    <row r="129" spans="1:63">
      <c r="A129" s="430"/>
      <c r="B129" s="451"/>
      <c r="C129" s="430"/>
      <c r="D129" s="451"/>
      <c r="E129" s="430"/>
      <c r="F129" s="430"/>
      <c r="G129" s="430"/>
      <c r="H129" s="430"/>
      <c r="I129" s="430"/>
      <c r="J129" s="430"/>
      <c r="K129" s="430"/>
      <c r="L129" s="430"/>
      <c r="M129" s="430"/>
      <c r="N129" s="430"/>
      <c r="O129" s="430"/>
      <c r="P129" s="430"/>
      <c r="Q129" s="430"/>
      <c r="R129" s="430"/>
      <c r="S129" s="430"/>
      <c r="T129" s="430"/>
      <c r="U129" s="430"/>
      <c r="V129" s="430"/>
      <c r="W129" s="430"/>
      <c r="X129" s="430"/>
      <c r="Y129" s="430"/>
      <c r="Z129" s="430"/>
      <c r="AA129" s="430"/>
      <c r="AB129" s="430"/>
      <c r="AC129" s="430"/>
      <c r="AD129" s="430"/>
      <c r="AE129" s="430"/>
      <c r="AF129" s="430"/>
      <c r="AG129" s="430"/>
      <c r="AH129" s="430"/>
      <c r="AI129" s="430"/>
      <c r="AJ129" s="430"/>
      <c r="AK129" s="430"/>
      <c r="AL129" s="430"/>
      <c r="AM129" s="430"/>
      <c r="AN129" s="430"/>
      <c r="AO129" s="430"/>
      <c r="AP129" s="430"/>
      <c r="AQ129" s="430"/>
      <c r="AR129" s="430"/>
      <c r="AS129" s="430"/>
      <c r="AT129" s="430"/>
      <c r="AU129" s="430"/>
      <c r="AV129" s="430"/>
      <c r="AW129" s="430"/>
      <c r="AX129" s="430"/>
      <c r="AY129" s="430"/>
      <c r="AZ129" s="430"/>
      <c r="BA129" s="430"/>
      <c r="BB129" s="430"/>
      <c r="BC129" s="430"/>
      <c r="BD129" s="430"/>
      <c r="BE129" s="430"/>
      <c r="BF129" s="430"/>
      <c r="BG129" s="430"/>
      <c r="BH129" s="430"/>
      <c r="BI129" s="430"/>
      <c r="BJ129" s="430"/>
      <c r="BK129" s="430"/>
    </row>
    <row r="130" spans="1:63">
      <c r="A130" s="430"/>
      <c r="B130" s="451"/>
      <c r="C130" s="430"/>
      <c r="D130" s="451"/>
      <c r="E130" s="430"/>
      <c r="F130" s="430"/>
      <c r="G130" s="430"/>
      <c r="H130" s="430"/>
      <c r="I130" s="430"/>
      <c r="J130" s="430"/>
      <c r="K130" s="430"/>
      <c r="L130" s="430"/>
      <c r="M130" s="430"/>
      <c r="N130" s="430"/>
      <c r="O130" s="430"/>
      <c r="P130" s="430"/>
      <c r="Q130" s="430"/>
      <c r="R130" s="430"/>
      <c r="S130" s="430"/>
      <c r="T130" s="430"/>
      <c r="U130" s="430"/>
      <c r="V130" s="430"/>
      <c r="W130" s="430"/>
      <c r="X130" s="430"/>
      <c r="Y130" s="430"/>
      <c r="Z130" s="430"/>
      <c r="AA130" s="430"/>
      <c r="AB130" s="430"/>
      <c r="AC130" s="430"/>
      <c r="AD130" s="430"/>
      <c r="AE130" s="430"/>
      <c r="AF130" s="430"/>
      <c r="AG130" s="430"/>
      <c r="AH130" s="430"/>
      <c r="AI130" s="430"/>
      <c r="AJ130" s="430"/>
      <c r="AK130" s="430"/>
      <c r="AL130" s="430"/>
      <c r="AM130" s="430"/>
      <c r="AN130" s="430"/>
      <c r="AO130" s="430"/>
      <c r="AP130" s="430"/>
      <c r="AQ130" s="430"/>
      <c r="AR130" s="430"/>
      <c r="AS130" s="430"/>
      <c r="AT130" s="430"/>
      <c r="AU130" s="430"/>
      <c r="AV130" s="430"/>
      <c r="AW130" s="430"/>
      <c r="AX130" s="430"/>
      <c r="AY130" s="430"/>
      <c r="AZ130" s="430"/>
      <c r="BA130" s="430"/>
      <c r="BB130" s="430"/>
      <c r="BC130" s="430"/>
      <c r="BD130" s="430"/>
      <c r="BE130" s="430"/>
      <c r="BF130" s="430"/>
      <c r="BG130" s="430"/>
      <c r="BH130" s="430"/>
      <c r="BI130" s="430"/>
      <c r="BJ130" s="430"/>
      <c r="BK130" s="430"/>
    </row>
    <row r="131" spans="1:63">
      <c r="A131" s="430"/>
      <c r="B131" s="451"/>
      <c r="C131" s="430"/>
      <c r="D131" s="451"/>
      <c r="E131" s="430"/>
      <c r="F131" s="430"/>
      <c r="G131" s="430"/>
      <c r="H131" s="430"/>
      <c r="I131" s="430"/>
      <c r="J131" s="430"/>
      <c r="K131" s="430"/>
      <c r="L131" s="430"/>
      <c r="M131" s="430"/>
      <c r="N131" s="430"/>
      <c r="O131" s="430"/>
      <c r="P131" s="430"/>
      <c r="Q131" s="430"/>
      <c r="R131" s="430"/>
      <c r="S131" s="430"/>
      <c r="T131" s="430"/>
      <c r="U131" s="430"/>
      <c r="V131" s="430"/>
      <c r="W131" s="430"/>
      <c r="X131" s="430"/>
      <c r="Y131" s="430"/>
      <c r="Z131" s="430"/>
      <c r="AA131" s="430"/>
      <c r="AB131" s="430"/>
      <c r="AC131" s="430"/>
      <c r="AD131" s="430"/>
      <c r="AE131" s="430"/>
      <c r="AF131" s="430"/>
      <c r="AG131" s="430"/>
      <c r="AH131" s="430"/>
      <c r="AI131" s="430"/>
      <c r="AJ131" s="430"/>
      <c r="AK131" s="430"/>
      <c r="AL131" s="430"/>
      <c r="AM131" s="430"/>
      <c r="AN131" s="430"/>
      <c r="AO131" s="430"/>
      <c r="AP131" s="430"/>
      <c r="AQ131" s="430"/>
      <c r="AR131" s="430"/>
      <c r="AS131" s="430"/>
      <c r="AT131" s="430"/>
      <c r="AU131" s="430"/>
      <c r="AV131" s="430"/>
      <c r="AW131" s="430"/>
      <c r="AX131" s="430"/>
      <c r="AY131" s="430"/>
      <c r="AZ131" s="430"/>
      <c r="BA131" s="430"/>
      <c r="BB131" s="430"/>
      <c r="BC131" s="430"/>
      <c r="BD131" s="430"/>
      <c r="BE131" s="430"/>
      <c r="BF131" s="430"/>
      <c r="BG131" s="430"/>
      <c r="BH131" s="430"/>
      <c r="BI131" s="430"/>
      <c r="BJ131" s="430"/>
      <c r="BK131" s="430"/>
    </row>
    <row r="132" spans="1:63">
      <c r="A132" s="430"/>
      <c r="B132" s="451"/>
      <c r="C132" s="430"/>
      <c r="D132" s="451"/>
      <c r="E132" s="430"/>
      <c r="F132" s="430"/>
      <c r="G132" s="430"/>
      <c r="H132" s="430"/>
      <c r="I132" s="430"/>
      <c r="J132" s="430"/>
      <c r="K132" s="430"/>
      <c r="L132" s="430"/>
      <c r="M132" s="430"/>
      <c r="N132" s="430"/>
      <c r="O132" s="430"/>
      <c r="P132" s="430"/>
      <c r="Q132" s="430"/>
      <c r="R132" s="430"/>
      <c r="S132" s="430"/>
      <c r="T132" s="430"/>
      <c r="U132" s="430"/>
      <c r="V132" s="430"/>
      <c r="W132" s="430"/>
      <c r="X132" s="430"/>
      <c r="Y132" s="430"/>
      <c r="Z132" s="430"/>
      <c r="AA132" s="430"/>
      <c r="AB132" s="430"/>
      <c r="AC132" s="430"/>
      <c r="AD132" s="430"/>
      <c r="AE132" s="430"/>
      <c r="AF132" s="430"/>
      <c r="AG132" s="430"/>
      <c r="AH132" s="430"/>
      <c r="AI132" s="430"/>
      <c r="AJ132" s="430"/>
      <c r="AK132" s="430"/>
      <c r="AL132" s="430"/>
      <c r="AM132" s="430"/>
      <c r="AN132" s="430"/>
      <c r="AO132" s="430"/>
      <c r="AP132" s="430"/>
      <c r="AQ132" s="430"/>
      <c r="AR132" s="430"/>
      <c r="AS132" s="430"/>
      <c r="AT132" s="430"/>
      <c r="AU132" s="430"/>
      <c r="AV132" s="430"/>
      <c r="AW132" s="430"/>
      <c r="AX132" s="430"/>
      <c r="AY132" s="430"/>
      <c r="AZ132" s="430"/>
      <c r="BA132" s="430"/>
      <c r="BB132" s="430"/>
      <c r="BC132" s="430"/>
      <c r="BD132" s="430"/>
      <c r="BE132" s="430"/>
      <c r="BF132" s="430"/>
      <c r="BG132" s="430"/>
      <c r="BH132" s="430"/>
      <c r="BI132" s="430"/>
      <c r="BJ132" s="430"/>
      <c r="BK132" s="430"/>
    </row>
    <row r="133" spans="1:63">
      <c r="A133" s="430"/>
      <c r="B133" s="451"/>
      <c r="C133" s="430"/>
      <c r="D133" s="451"/>
      <c r="E133" s="430"/>
      <c r="F133" s="430"/>
      <c r="G133" s="430"/>
      <c r="H133" s="430"/>
      <c r="I133" s="430"/>
      <c r="J133" s="430"/>
      <c r="K133" s="430"/>
      <c r="L133" s="430"/>
      <c r="M133" s="430"/>
      <c r="N133" s="430"/>
      <c r="O133" s="430"/>
      <c r="P133" s="430"/>
      <c r="Q133" s="430"/>
      <c r="R133" s="430"/>
      <c r="S133" s="430"/>
      <c r="T133" s="430"/>
      <c r="U133" s="430"/>
      <c r="V133" s="430"/>
      <c r="W133" s="430"/>
      <c r="X133" s="430"/>
      <c r="Y133" s="430"/>
      <c r="Z133" s="430"/>
      <c r="AA133" s="430"/>
      <c r="AB133" s="430"/>
      <c r="AC133" s="430"/>
      <c r="AD133" s="430"/>
      <c r="AE133" s="430"/>
      <c r="AF133" s="430"/>
      <c r="AG133" s="430"/>
      <c r="AH133" s="430"/>
      <c r="AI133" s="430"/>
      <c r="AJ133" s="430"/>
      <c r="AK133" s="430"/>
      <c r="AL133" s="430"/>
      <c r="AM133" s="430"/>
      <c r="AN133" s="430"/>
      <c r="AO133" s="430"/>
      <c r="AP133" s="430"/>
      <c r="AQ133" s="430"/>
      <c r="AR133" s="430"/>
      <c r="AS133" s="430"/>
      <c r="AT133" s="430"/>
      <c r="AU133" s="430"/>
      <c r="AV133" s="430"/>
      <c r="AW133" s="430"/>
      <c r="AX133" s="430"/>
      <c r="AY133" s="430"/>
      <c r="AZ133" s="430"/>
      <c r="BA133" s="430"/>
      <c r="BB133" s="430"/>
      <c r="BC133" s="430"/>
      <c r="BD133" s="430"/>
      <c r="BE133" s="430"/>
      <c r="BF133" s="430"/>
      <c r="BG133" s="430"/>
      <c r="BH133" s="430"/>
      <c r="BI133" s="430"/>
      <c r="BJ133" s="430"/>
      <c r="BK133" s="430"/>
    </row>
    <row r="134" spans="1:63">
      <c r="A134" s="430"/>
      <c r="B134" s="451"/>
      <c r="C134" s="430"/>
      <c r="D134" s="451"/>
      <c r="E134" s="430"/>
      <c r="F134" s="430"/>
      <c r="G134" s="430"/>
      <c r="H134" s="430"/>
      <c r="I134" s="430"/>
      <c r="J134" s="430"/>
      <c r="K134" s="430"/>
      <c r="L134" s="430"/>
      <c r="M134" s="430"/>
      <c r="N134" s="430"/>
      <c r="O134" s="430"/>
      <c r="P134" s="430"/>
      <c r="Q134" s="430"/>
      <c r="R134" s="430"/>
      <c r="S134" s="430"/>
      <c r="T134" s="430"/>
      <c r="U134" s="430"/>
      <c r="V134" s="430"/>
      <c r="W134" s="430"/>
      <c r="X134" s="430"/>
      <c r="Y134" s="430"/>
      <c r="Z134" s="430"/>
      <c r="AA134" s="430"/>
      <c r="AB134" s="430"/>
      <c r="AC134" s="430"/>
      <c r="AD134" s="430"/>
      <c r="AE134" s="430"/>
      <c r="AF134" s="430"/>
      <c r="AG134" s="430"/>
      <c r="AH134" s="430"/>
      <c r="AI134" s="430"/>
      <c r="AJ134" s="430"/>
      <c r="AK134" s="430"/>
      <c r="AL134" s="430"/>
      <c r="AM134" s="430"/>
      <c r="AN134" s="430"/>
      <c r="AO134" s="430"/>
      <c r="AP134" s="430"/>
      <c r="AQ134" s="430"/>
      <c r="AR134" s="430"/>
      <c r="AS134" s="430"/>
      <c r="AT134" s="430"/>
      <c r="AU134" s="430"/>
      <c r="AV134" s="430"/>
      <c r="AW134" s="430"/>
      <c r="AX134" s="430"/>
      <c r="AY134" s="430"/>
      <c r="AZ134" s="430"/>
      <c r="BA134" s="430"/>
      <c r="BB134" s="430"/>
      <c r="BC134" s="430"/>
      <c r="BD134" s="430"/>
      <c r="BE134" s="430"/>
      <c r="BF134" s="430"/>
      <c r="BG134" s="430"/>
      <c r="BH134" s="430"/>
      <c r="BI134" s="430"/>
      <c r="BJ134" s="430"/>
      <c r="BK134" s="430"/>
    </row>
    <row r="135" spans="1:63">
      <c r="A135" s="430"/>
      <c r="B135" s="451"/>
      <c r="C135" s="430"/>
      <c r="D135" s="451"/>
      <c r="E135" s="430"/>
      <c r="F135" s="430"/>
      <c r="G135" s="430"/>
      <c r="H135" s="430"/>
      <c r="I135" s="430"/>
      <c r="J135" s="430"/>
      <c r="K135" s="430"/>
      <c r="L135" s="430"/>
      <c r="M135" s="430"/>
      <c r="N135" s="430"/>
      <c r="O135" s="430"/>
      <c r="P135" s="430"/>
      <c r="Q135" s="430"/>
      <c r="R135" s="430"/>
      <c r="S135" s="430"/>
      <c r="T135" s="430"/>
      <c r="U135" s="430"/>
      <c r="V135" s="430"/>
      <c r="W135" s="430"/>
      <c r="X135" s="430"/>
      <c r="Y135" s="430"/>
      <c r="Z135" s="430"/>
      <c r="AA135" s="430"/>
      <c r="AB135" s="430"/>
      <c r="AC135" s="430"/>
      <c r="AD135" s="430"/>
      <c r="AE135" s="430"/>
      <c r="AF135" s="430"/>
      <c r="AG135" s="430"/>
      <c r="AH135" s="430"/>
      <c r="AI135" s="430"/>
      <c r="AJ135" s="430"/>
      <c r="AK135" s="430"/>
      <c r="AL135" s="430"/>
      <c r="AM135" s="430"/>
      <c r="AN135" s="430"/>
      <c r="AO135" s="430"/>
      <c r="AP135" s="430"/>
      <c r="AQ135" s="430"/>
      <c r="AR135" s="430"/>
      <c r="AS135" s="430"/>
      <c r="AT135" s="430"/>
      <c r="AU135" s="430"/>
      <c r="AV135" s="430"/>
      <c r="AW135" s="430"/>
      <c r="AX135" s="430"/>
      <c r="AY135" s="430"/>
      <c r="AZ135" s="430"/>
      <c r="BA135" s="430"/>
      <c r="BB135" s="430"/>
      <c r="BC135" s="430"/>
      <c r="BD135" s="430"/>
      <c r="BE135" s="430"/>
      <c r="BF135" s="430"/>
      <c r="BG135" s="430"/>
      <c r="BH135" s="430"/>
      <c r="BI135" s="430"/>
      <c r="BJ135" s="430"/>
      <c r="BK135" s="430"/>
    </row>
    <row r="136" spans="1:63">
      <c r="A136" s="430"/>
      <c r="B136" s="451"/>
      <c r="C136" s="430"/>
      <c r="D136" s="451"/>
      <c r="E136" s="430"/>
      <c r="F136" s="430"/>
      <c r="G136" s="430"/>
      <c r="H136" s="430"/>
      <c r="I136" s="430"/>
      <c r="J136" s="430"/>
      <c r="K136" s="430"/>
      <c r="L136" s="430"/>
      <c r="M136" s="430"/>
      <c r="N136" s="430"/>
      <c r="O136" s="430"/>
      <c r="P136" s="430"/>
      <c r="Q136" s="430"/>
      <c r="R136" s="430"/>
      <c r="S136" s="430"/>
      <c r="T136" s="430"/>
      <c r="U136" s="430"/>
      <c r="V136" s="430"/>
      <c r="W136" s="430"/>
      <c r="X136" s="430"/>
      <c r="Y136" s="430"/>
      <c r="Z136" s="430"/>
      <c r="AA136" s="430"/>
      <c r="AB136" s="430"/>
      <c r="AC136" s="430"/>
      <c r="AD136" s="430"/>
      <c r="AE136" s="430"/>
      <c r="AF136" s="430"/>
      <c r="AG136" s="430"/>
      <c r="AH136" s="430"/>
      <c r="AI136" s="430"/>
      <c r="AJ136" s="430"/>
      <c r="AK136" s="430"/>
      <c r="AL136" s="430"/>
      <c r="AM136" s="430"/>
      <c r="AN136" s="430"/>
      <c r="AO136" s="430"/>
      <c r="AP136" s="430"/>
      <c r="AQ136" s="430"/>
      <c r="AR136" s="430"/>
      <c r="AS136" s="430"/>
      <c r="AT136" s="430"/>
      <c r="AU136" s="430"/>
      <c r="AV136" s="430"/>
      <c r="AW136" s="430"/>
      <c r="AX136" s="430"/>
      <c r="AY136" s="430"/>
      <c r="AZ136" s="430"/>
      <c r="BA136" s="430"/>
      <c r="BB136" s="430"/>
      <c r="BC136" s="430"/>
      <c r="BD136" s="430"/>
      <c r="BE136" s="430"/>
      <c r="BF136" s="430"/>
      <c r="BG136" s="430"/>
      <c r="BH136" s="430"/>
      <c r="BI136" s="430"/>
      <c r="BJ136" s="430"/>
      <c r="BK136" s="430"/>
    </row>
    <row r="137" spans="1:63">
      <c r="A137" s="430"/>
      <c r="B137" s="451"/>
      <c r="C137" s="430"/>
      <c r="D137" s="451"/>
      <c r="E137" s="430"/>
      <c r="F137" s="430"/>
      <c r="G137" s="430"/>
      <c r="H137" s="430"/>
      <c r="I137" s="430"/>
      <c r="J137" s="430"/>
      <c r="K137" s="430"/>
      <c r="L137" s="430"/>
      <c r="M137" s="430"/>
      <c r="N137" s="430"/>
      <c r="O137" s="430"/>
      <c r="P137" s="430"/>
      <c r="Q137" s="430"/>
      <c r="R137" s="430"/>
      <c r="S137" s="430"/>
      <c r="T137" s="430"/>
      <c r="U137" s="430"/>
      <c r="V137" s="430"/>
      <c r="W137" s="430"/>
      <c r="X137" s="430"/>
      <c r="Y137" s="430"/>
      <c r="Z137" s="430"/>
      <c r="AA137" s="430"/>
      <c r="AB137" s="430"/>
      <c r="AC137" s="430"/>
      <c r="AD137" s="430"/>
      <c r="AE137" s="430"/>
      <c r="AF137" s="430"/>
      <c r="AG137" s="430"/>
      <c r="AH137" s="430"/>
      <c r="AI137" s="430"/>
      <c r="AJ137" s="430"/>
      <c r="AK137" s="430"/>
      <c r="AL137" s="430"/>
      <c r="AM137" s="430"/>
      <c r="AN137" s="430"/>
      <c r="AO137" s="430"/>
      <c r="AP137" s="430"/>
      <c r="AQ137" s="430"/>
      <c r="AR137" s="430"/>
      <c r="AS137" s="430"/>
      <c r="AT137" s="430"/>
      <c r="AU137" s="430"/>
      <c r="AV137" s="430"/>
      <c r="AW137" s="430"/>
      <c r="AX137" s="430"/>
      <c r="AY137" s="430"/>
      <c r="AZ137" s="430"/>
      <c r="BA137" s="430"/>
      <c r="BB137" s="430"/>
      <c r="BC137" s="430"/>
      <c r="BD137" s="430"/>
      <c r="BE137" s="430"/>
      <c r="BF137" s="430"/>
      <c r="BG137" s="430"/>
      <c r="BH137" s="430"/>
      <c r="BI137" s="430"/>
      <c r="BJ137" s="430"/>
      <c r="BK137" s="430"/>
    </row>
    <row r="138" spans="1:63">
      <c r="A138" s="430"/>
      <c r="B138" s="451"/>
      <c r="C138" s="430"/>
      <c r="D138" s="451"/>
      <c r="E138" s="430"/>
      <c r="F138" s="430"/>
      <c r="G138" s="430"/>
      <c r="H138" s="430"/>
      <c r="I138" s="430"/>
      <c r="J138" s="430"/>
      <c r="K138" s="430"/>
      <c r="L138" s="430"/>
      <c r="M138" s="430"/>
      <c r="N138" s="430"/>
      <c r="O138" s="430"/>
      <c r="P138" s="430"/>
      <c r="Q138" s="430"/>
      <c r="R138" s="430"/>
      <c r="S138" s="430"/>
      <c r="T138" s="430"/>
      <c r="U138" s="430"/>
      <c r="V138" s="430"/>
      <c r="W138" s="430"/>
      <c r="X138" s="430"/>
      <c r="Y138" s="430"/>
      <c r="Z138" s="430"/>
      <c r="AA138" s="430"/>
      <c r="AB138" s="430"/>
      <c r="AC138" s="430"/>
      <c r="AD138" s="430"/>
      <c r="AE138" s="430"/>
      <c r="AF138" s="430"/>
      <c r="AG138" s="430"/>
      <c r="AH138" s="430"/>
      <c r="AI138" s="430"/>
      <c r="AJ138" s="430"/>
      <c r="AK138" s="430"/>
      <c r="AL138" s="430"/>
      <c r="AM138" s="430"/>
      <c r="AN138" s="430"/>
      <c r="AO138" s="430"/>
      <c r="AP138" s="430"/>
      <c r="AQ138" s="430"/>
      <c r="AR138" s="430"/>
      <c r="AS138" s="430"/>
      <c r="AT138" s="430"/>
      <c r="AU138" s="430"/>
      <c r="AV138" s="430"/>
      <c r="AW138" s="430"/>
      <c r="AX138" s="430"/>
      <c r="AY138" s="430"/>
      <c r="AZ138" s="430"/>
      <c r="BA138" s="430"/>
      <c r="BB138" s="430"/>
      <c r="BC138" s="430"/>
      <c r="BD138" s="430"/>
      <c r="BE138" s="430"/>
      <c r="BF138" s="430"/>
      <c r="BG138" s="430"/>
      <c r="BH138" s="430"/>
      <c r="BI138" s="430"/>
      <c r="BJ138" s="430"/>
      <c r="BK138" s="430"/>
    </row>
    <row r="139" spans="1:63">
      <c r="A139" s="430"/>
      <c r="B139" s="451"/>
      <c r="C139" s="430"/>
      <c r="D139" s="451"/>
      <c r="E139" s="430"/>
      <c r="F139" s="430"/>
      <c r="G139" s="430"/>
      <c r="H139" s="430"/>
      <c r="I139" s="430"/>
      <c r="J139" s="430"/>
      <c r="K139" s="430"/>
      <c r="L139" s="430"/>
      <c r="M139" s="430"/>
      <c r="N139" s="430"/>
      <c r="O139" s="430"/>
      <c r="P139" s="430"/>
      <c r="Q139" s="430"/>
      <c r="R139" s="430"/>
      <c r="S139" s="430"/>
      <c r="T139" s="430"/>
      <c r="U139" s="430"/>
      <c r="V139" s="430"/>
      <c r="W139" s="430"/>
      <c r="X139" s="430"/>
      <c r="Y139" s="430"/>
      <c r="Z139" s="430"/>
      <c r="AA139" s="430"/>
      <c r="AB139" s="430"/>
      <c r="AC139" s="430"/>
      <c r="AD139" s="430"/>
      <c r="AE139" s="430"/>
      <c r="AF139" s="430"/>
      <c r="AG139" s="430"/>
      <c r="AH139" s="430"/>
      <c r="AI139" s="430"/>
      <c r="AJ139" s="430"/>
      <c r="AK139" s="430"/>
      <c r="AL139" s="430"/>
      <c r="AM139" s="430"/>
      <c r="AN139" s="430"/>
      <c r="AO139" s="430"/>
      <c r="AP139" s="430"/>
      <c r="AQ139" s="430"/>
      <c r="AR139" s="430"/>
      <c r="AS139" s="430"/>
      <c r="AT139" s="430"/>
      <c r="AU139" s="430"/>
      <c r="AV139" s="430"/>
      <c r="AW139" s="430"/>
      <c r="AX139" s="430"/>
      <c r="AY139" s="430"/>
      <c r="AZ139" s="430"/>
      <c r="BA139" s="430"/>
      <c r="BB139" s="430"/>
      <c r="BC139" s="430"/>
      <c r="BD139" s="430"/>
      <c r="BE139" s="430"/>
      <c r="BF139" s="430"/>
      <c r="BG139" s="430"/>
      <c r="BH139" s="430"/>
      <c r="BI139" s="430"/>
      <c r="BJ139" s="430"/>
      <c r="BK139" s="430"/>
    </row>
    <row r="140" spans="1:63">
      <c r="A140" s="430"/>
      <c r="B140" s="451"/>
      <c r="C140" s="430"/>
      <c r="D140" s="451"/>
      <c r="E140" s="430"/>
      <c r="F140" s="430"/>
      <c r="G140" s="430"/>
      <c r="H140" s="430"/>
      <c r="I140" s="430"/>
      <c r="J140" s="430"/>
      <c r="K140" s="430"/>
      <c r="L140" s="430"/>
      <c r="M140" s="430"/>
      <c r="N140" s="430"/>
      <c r="O140" s="430"/>
      <c r="P140" s="430"/>
      <c r="Q140" s="430"/>
      <c r="R140" s="430"/>
      <c r="S140" s="430"/>
      <c r="T140" s="430"/>
      <c r="U140" s="430"/>
      <c r="V140" s="430"/>
      <c r="W140" s="430"/>
      <c r="X140" s="430"/>
      <c r="Y140" s="430"/>
      <c r="Z140" s="430"/>
      <c r="AA140" s="430"/>
      <c r="AB140" s="430"/>
      <c r="AC140" s="430"/>
      <c r="AD140" s="430"/>
      <c r="AE140" s="430"/>
      <c r="AF140" s="430"/>
      <c r="AG140" s="430"/>
      <c r="AH140" s="430"/>
      <c r="AI140" s="430"/>
      <c r="AJ140" s="430"/>
      <c r="AK140" s="430"/>
      <c r="AL140" s="430"/>
      <c r="AM140" s="430"/>
      <c r="AN140" s="430"/>
      <c r="AO140" s="430"/>
      <c r="AP140" s="430"/>
      <c r="AQ140" s="430"/>
      <c r="AR140" s="430"/>
      <c r="AS140" s="430"/>
      <c r="AT140" s="430"/>
      <c r="AU140" s="430"/>
      <c r="AV140" s="430"/>
      <c r="AW140" s="430"/>
      <c r="AX140" s="430"/>
      <c r="AY140" s="430"/>
      <c r="AZ140" s="430"/>
      <c r="BA140" s="430"/>
      <c r="BB140" s="430"/>
      <c r="BC140" s="430"/>
      <c r="BD140" s="430"/>
      <c r="BE140" s="430"/>
      <c r="BF140" s="430"/>
      <c r="BG140" s="430"/>
      <c r="BH140" s="430"/>
      <c r="BI140" s="430"/>
      <c r="BJ140" s="430"/>
      <c r="BK140" s="430"/>
    </row>
    <row r="141" spans="1:63">
      <c r="A141" s="430"/>
      <c r="B141" s="451"/>
      <c r="C141" s="430"/>
      <c r="D141" s="451"/>
      <c r="E141" s="430"/>
      <c r="F141" s="430"/>
      <c r="G141" s="430"/>
      <c r="H141" s="430"/>
      <c r="I141" s="430"/>
      <c r="J141" s="430"/>
      <c r="K141" s="430"/>
      <c r="L141" s="430"/>
      <c r="M141" s="430"/>
      <c r="N141" s="430"/>
      <c r="O141" s="430"/>
      <c r="P141" s="430"/>
      <c r="Q141" s="430"/>
      <c r="R141" s="430"/>
      <c r="S141" s="430"/>
      <c r="T141" s="430"/>
      <c r="U141" s="430"/>
      <c r="V141" s="430"/>
      <c r="W141" s="430"/>
      <c r="X141" s="430"/>
      <c r="Y141" s="430"/>
      <c r="Z141" s="430"/>
      <c r="AA141" s="430"/>
      <c r="AB141" s="430"/>
      <c r="AC141" s="430"/>
      <c r="AD141" s="430"/>
      <c r="AE141" s="430"/>
      <c r="AF141" s="430"/>
      <c r="AG141" s="430"/>
      <c r="AH141" s="430"/>
      <c r="AI141" s="430"/>
      <c r="AJ141" s="430"/>
      <c r="AK141" s="430"/>
      <c r="AL141" s="430"/>
      <c r="AM141" s="430"/>
      <c r="AN141" s="430"/>
      <c r="AO141" s="430"/>
      <c r="AP141" s="430"/>
      <c r="AQ141" s="430"/>
      <c r="AR141" s="430"/>
      <c r="AS141" s="430"/>
      <c r="AT141" s="430"/>
      <c r="AU141" s="430"/>
      <c r="AV141" s="430"/>
      <c r="AW141" s="430"/>
      <c r="AX141" s="430"/>
      <c r="AY141" s="430"/>
      <c r="AZ141" s="430"/>
      <c r="BA141" s="430"/>
      <c r="BB141" s="430"/>
      <c r="BC141" s="430"/>
      <c r="BD141" s="430"/>
      <c r="BE141" s="430"/>
      <c r="BF141" s="430"/>
      <c r="BG141" s="430"/>
      <c r="BH141" s="430"/>
      <c r="BI141" s="430"/>
      <c r="BJ141" s="430"/>
      <c r="BK141" s="430"/>
    </row>
    <row r="142" spans="1:63">
      <c r="A142" s="430"/>
      <c r="B142" s="451"/>
      <c r="C142" s="430"/>
      <c r="D142" s="451"/>
      <c r="E142" s="430"/>
      <c r="F142" s="430"/>
      <c r="G142" s="430"/>
      <c r="H142" s="430"/>
      <c r="I142" s="430"/>
      <c r="J142" s="430"/>
      <c r="K142" s="430"/>
      <c r="L142" s="430"/>
      <c r="M142" s="430"/>
      <c r="N142" s="430"/>
      <c r="O142" s="430"/>
      <c r="P142" s="430"/>
      <c r="Q142" s="430"/>
      <c r="R142" s="430"/>
      <c r="S142" s="430"/>
      <c r="T142" s="430"/>
      <c r="U142" s="430"/>
      <c r="V142" s="430"/>
      <c r="W142" s="430"/>
      <c r="X142" s="430"/>
      <c r="Y142" s="430"/>
      <c r="Z142" s="430"/>
      <c r="AA142" s="430"/>
      <c r="AB142" s="430"/>
      <c r="AC142" s="430"/>
      <c r="AD142" s="430"/>
      <c r="AE142" s="430"/>
      <c r="AF142" s="430"/>
      <c r="AG142" s="430"/>
      <c r="AH142" s="430"/>
      <c r="AI142" s="430"/>
      <c r="AJ142" s="430"/>
      <c r="AK142" s="430"/>
      <c r="AL142" s="430"/>
      <c r="AM142" s="430"/>
      <c r="AN142" s="430"/>
      <c r="AO142" s="430"/>
      <c r="AP142" s="430"/>
      <c r="AQ142" s="430"/>
      <c r="AR142" s="430"/>
      <c r="AS142" s="430"/>
      <c r="AT142" s="430"/>
      <c r="AU142" s="430"/>
      <c r="AV142" s="430"/>
      <c r="AW142" s="430"/>
      <c r="AX142" s="430"/>
      <c r="AY142" s="430"/>
      <c r="AZ142" s="430"/>
      <c r="BA142" s="430"/>
      <c r="BB142" s="430"/>
      <c r="BC142" s="430"/>
      <c r="BD142" s="430"/>
      <c r="BE142" s="430"/>
      <c r="BF142" s="430"/>
      <c r="BG142" s="430"/>
      <c r="BH142" s="430"/>
      <c r="BI142" s="430"/>
      <c r="BJ142" s="430"/>
      <c r="BK142" s="430"/>
    </row>
    <row r="143" spans="1:63">
      <c r="A143" s="430"/>
      <c r="B143" s="451"/>
      <c r="C143" s="430"/>
      <c r="D143" s="451"/>
      <c r="E143" s="430"/>
      <c r="F143" s="430"/>
      <c r="G143" s="430"/>
      <c r="H143" s="430"/>
      <c r="I143" s="430"/>
      <c r="J143" s="430"/>
      <c r="K143" s="430"/>
      <c r="L143" s="430"/>
      <c r="M143" s="430"/>
      <c r="N143" s="430"/>
      <c r="O143" s="430"/>
      <c r="P143" s="430"/>
      <c r="Q143" s="430"/>
      <c r="R143" s="430"/>
      <c r="S143" s="430"/>
      <c r="T143" s="430"/>
      <c r="U143" s="430"/>
      <c r="V143" s="430"/>
      <c r="W143" s="430"/>
      <c r="X143" s="430"/>
      <c r="Y143" s="430"/>
      <c r="Z143" s="430"/>
      <c r="AA143" s="430"/>
      <c r="AB143" s="430"/>
      <c r="AC143" s="430"/>
      <c r="AD143" s="430"/>
      <c r="AE143" s="430"/>
      <c r="AF143" s="430"/>
      <c r="AG143" s="430"/>
      <c r="AH143" s="430"/>
      <c r="AI143" s="430"/>
      <c r="AJ143" s="430"/>
      <c r="AK143" s="430"/>
      <c r="AL143" s="430"/>
      <c r="AM143" s="430"/>
      <c r="AN143" s="430"/>
      <c r="AO143" s="430"/>
      <c r="AP143" s="430"/>
      <c r="AQ143" s="430"/>
      <c r="AR143" s="430"/>
      <c r="AS143" s="430"/>
      <c r="AT143" s="430"/>
      <c r="AU143" s="430"/>
      <c r="AV143" s="430"/>
      <c r="AW143" s="430"/>
      <c r="AX143" s="430"/>
      <c r="AY143" s="430"/>
      <c r="AZ143" s="430"/>
      <c r="BA143" s="430"/>
      <c r="BB143" s="430"/>
      <c r="BC143" s="430"/>
      <c r="BD143" s="430"/>
      <c r="BE143" s="430"/>
      <c r="BF143" s="430"/>
      <c r="BG143" s="430"/>
      <c r="BH143" s="430"/>
      <c r="BI143" s="430"/>
      <c r="BJ143" s="430"/>
      <c r="BK143" s="430"/>
    </row>
    <row r="144" spans="1:63">
      <c r="A144" s="430"/>
      <c r="B144" s="451"/>
      <c r="C144" s="430"/>
      <c r="D144" s="451"/>
      <c r="E144" s="430"/>
      <c r="F144" s="430"/>
      <c r="G144" s="430"/>
      <c r="H144" s="430"/>
      <c r="I144" s="430"/>
      <c r="J144" s="430"/>
      <c r="K144" s="430"/>
      <c r="L144" s="430"/>
      <c r="M144" s="430"/>
      <c r="N144" s="430"/>
      <c r="O144" s="430"/>
      <c r="P144" s="430"/>
      <c r="Q144" s="430"/>
      <c r="R144" s="430"/>
      <c r="S144" s="430"/>
      <c r="T144" s="430"/>
      <c r="U144" s="430"/>
      <c r="V144" s="430"/>
      <c r="W144" s="430"/>
      <c r="X144" s="430"/>
      <c r="Y144" s="430"/>
      <c r="Z144" s="430"/>
      <c r="AA144" s="430"/>
      <c r="AB144" s="430"/>
      <c r="AC144" s="430"/>
      <c r="AD144" s="430"/>
      <c r="AE144" s="430"/>
      <c r="AF144" s="430"/>
      <c r="AG144" s="430"/>
      <c r="AH144" s="430"/>
      <c r="AI144" s="430"/>
      <c r="AJ144" s="430"/>
      <c r="AK144" s="430"/>
      <c r="AL144" s="430"/>
      <c r="AM144" s="430"/>
      <c r="AN144" s="430"/>
      <c r="AO144" s="430"/>
      <c r="AP144" s="430"/>
      <c r="AQ144" s="430"/>
      <c r="AR144" s="430"/>
      <c r="AS144" s="430"/>
      <c r="AT144" s="430"/>
      <c r="AU144" s="430"/>
      <c r="AV144" s="430"/>
      <c r="AW144" s="430"/>
      <c r="AX144" s="430"/>
      <c r="AY144" s="430"/>
      <c r="AZ144" s="430"/>
      <c r="BA144" s="430"/>
      <c r="BB144" s="430"/>
      <c r="BC144" s="430"/>
      <c r="BD144" s="430"/>
      <c r="BE144" s="430"/>
      <c r="BF144" s="430"/>
      <c r="BG144" s="430"/>
      <c r="BH144" s="430"/>
      <c r="BI144" s="430"/>
      <c r="BJ144" s="430"/>
      <c r="BK144" s="430"/>
    </row>
    <row r="145" spans="1:63">
      <c r="A145" s="430"/>
      <c r="B145" s="451"/>
      <c r="C145" s="430"/>
      <c r="D145" s="451"/>
      <c r="E145" s="430"/>
      <c r="F145" s="430"/>
      <c r="G145" s="430"/>
      <c r="H145" s="430"/>
      <c r="I145" s="430"/>
      <c r="J145" s="430"/>
      <c r="K145" s="430"/>
      <c r="L145" s="430"/>
      <c r="M145" s="430"/>
      <c r="N145" s="430"/>
      <c r="O145" s="430"/>
      <c r="P145" s="430"/>
      <c r="Q145" s="430"/>
      <c r="R145" s="430"/>
      <c r="S145" s="430"/>
      <c r="T145" s="430"/>
      <c r="U145" s="430"/>
      <c r="V145" s="430"/>
      <c r="W145" s="430"/>
      <c r="X145" s="430"/>
      <c r="Y145" s="430"/>
      <c r="Z145" s="430"/>
      <c r="AA145" s="430"/>
      <c r="AB145" s="430"/>
      <c r="AC145" s="430"/>
      <c r="AD145" s="430"/>
      <c r="AE145" s="430"/>
      <c r="AF145" s="430"/>
      <c r="AG145" s="430"/>
      <c r="AH145" s="430"/>
      <c r="AI145" s="430"/>
      <c r="AJ145" s="430"/>
      <c r="AK145" s="430"/>
      <c r="AL145" s="430"/>
      <c r="AM145" s="430"/>
      <c r="AN145" s="430"/>
      <c r="AO145" s="430"/>
      <c r="AP145" s="430"/>
      <c r="AQ145" s="430"/>
      <c r="AR145" s="430"/>
      <c r="AS145" s="430"/>
      <c r="AT145" s="430"/>
      <c r="AU145" s="430"/>
      <c r="AV145" s="430"/>
      <c r="AW145" s="430"/>
      <c r="AX145" s="430"/>
      <c r="AY145" s="430"/>
      <c r="AZ145" s="430"/>
      <c r="BA145" s="430"/>
      <c r="BB145" s="430"/>
      <c r="BC145" s="430"/>
      <c r="BD145" s="430"/>
      <c r="BE145" s="430"/>
      <c r="BF145" s="430"/>
      <c r="BG145" s="430"/>
      <c r="BH145" s="430"/>
      <c r="BI145" s="430"/>
      <c r="BJ145" s="430"/>
      <c r="BK145" s="430"/>
    </row>
    <row r="146" spans="1:63">
      <c r="A146" s="430"/>
      <c r="B146" s="451"/>
      <c r="C146" s="430"/>
      <c r="D146" s="451"/>
      <c r="E146" s="430"/>
      <c r="F146" s="430"/>
      <c r="G146" s="430"/>
      <c r="H146" s="430"/>
      <c r="I146" s="430"/>
      <c r="J146" s="430"/>
      <c r="K146" s="430"/>
      <c r="L146" s="430"/>
      <c r="M146" s="430"/>
      <c r="N146" s="430"/>
      <c r="O146" s="430"/>
      <c r="P146" s="430"/>
      <c r="Q146" s="430"/>
      <c r="R146" s="430"/>
      <c r="S146" s="430"/>
      <c r="T146" s="430"/>
      <c r="U146" s="430"/>
      <c r="V146" s="430"/>
      <c r="W146" s="430"/>
      <c r="X146" s="430"/>
      <c r="Y146" s="430"/>
      <c r="Z146" s="430"/>
      <c r="AA146" s="430"/>
      <c r="AB146" s="430"/>
      <c r="AC146" s="430"/>
      <c r="AD146" s="430"/>
      <c r="AE146" s="430"/>
      <c r="AF146" s="430"/>
      <c r="AG146" s="430"/>
      <c r="AH146" s="430"/>
      <c r="AI146" s="430"/>
      <c r="AJ146" s="430"/>
      <c r="AK146" s="430"/>
      <c r="AL146" s="430"/>
      <c r="AM146" s="430"/>
      <c r="AN146" s="430"/>
      <c r="AO146" s="430"/>
      <c r="AP146" s="430"/>
      <c r="AQ146" s="430"/>
      <c r="AR146" s="430"/>
      <c r="AS146" s="430"/>
      <c r="AT146" s="430"/>
      <c r="AU146" s="430"/>
      <c r="AV146" s="430"/>
      <c r="AW146" s="430"/>
      <c r="AX146" s="430"/>
      <c r="AY146" s="430"/>
      <c r="AZ146" s="430"/>
      <c r="BA146" s="430"/>
      <c r="BB146" s="430"/>
      <c r="BC146" s="430"/>
      <c r="BD146" s="430"/>
      <c r="BE146" s="430"/>
      <c r="BF146" s="430"/>
      <c r="BG146" s="430"/>
      <c r="BH146" s="430"/>
      <c r="BI146" s="430"/>
      <c r="BJ146" s="430"/>
      <c r="BK146" s="430"/>
    </row>
    <row r="147" spans="1:63">
      <c r="A147" s="430"/>
      <c r="B147" s="451"/>
      <c r="C147" s="430"/>
      <c r="D147" s="451"/>
      <c r="E147" s="430"/>
      <c r="F147" s="430"/>
      <c r="G147" s="430"/>
      <c r="H147" s="430"/>
      <c r="I147" s="430"/>
      <c r="J147" s="430"/>
      <c r="K147" s="430"/>
      <c r="L147" s="430"/>
      <c r="M147" s="430"/>
      <c r="N147" s="430"/>
      <c r="O147" s="430"/>
      <c r="P147" s="430"/>
      <c r="Q147" s="430"/>
      <c r="R147" s="430"/>
      <c r="S147" s="430"/>
      <c r="T147" s="430"/>
      <c r="U147" s="430"/>
      <c r="V147" s="430"/>
      <c r="W147" s="430"/>
      <c r="X147" s="430"/>
      <c r="Y147" s="430"/>
      <c r="Z147" s="430"/>
      <c r="AA147" s="430"/>
      <c r="AB147" s="430"/>
      <c r="AC147" s="430"/>
      <c r="AD147" s="430"/>
      <c r="AE147" s="430"/>
      <c r="AF147" s="430"/>
      <c r="AG147" s="430"/>
      <c r="AH147" s="430"/>
      <c r="AI147" s="430"/>
      <c r="AJ147" s="430"/>
      <c r="AK147" s="430"/>
      <c r="AL147" s="430"/>
      <c r="AM147" s="430"/>
      <c r="AN147" s="430"/>
      <c r="AO147" s="430"/>
      <c r="AP147" s="430"/>
      <c r="AQ147" s="430"/>
      <c r="AR147" s="430"/>
      <c r="AS147" s="430"/>
      <c r="AT147" s="430"/>
      <c r="AU147" s="430"/>
      <c r="AV147" s="430"/>
      <c r="AW147" s="430"/>
      <c r="AX147" s="430"/>
      <c r="AY147" s="430"/>
      <c r="AZ147" s="430"/>
      <c r="BA147" s="430"/>
      <c r="BB147" s="430"/>
      <c r="BC147" s="430"/>
      <c r="BD147" s="430"/>
      <c r="BE147" s="430"/>
      <c r="BF147" s="430"/>
      <c r="BG147" s="430"/>
      <c r="BH147" s="430"/>
      <c r="BI147" s="430"/>
      <c r="BJ147" s="430"/>
      <c r="BK147" s="430"/>
    </row>
    <row r="148" spans="1:63">
      <c r="A148" s="430"/>
      <c r="B148" s="451"/>
      <c r="C148" s="430"/>
      <c r="D148" s="451"/>
      <c r="E148" s="430"/>
      <c r="F148" s="430"/>
      <c r="G148" s="430"/>
      <c r="H148" s="430"/>
      <c r="I148" s="430"/>
      <c r="J148" s="430"/>
      <c r="K148" s="430"/>
      <c r="L148" s="430"/>
      <c r="M148" s="430"/>
      <c r="N148" s="430"/>
      <c r="O148" s="430"/>
      <c r="P148" s="430"/>
      <c r="Q148" s="430"/>
      <c r="R148" s="430"/>
      <c r="S148" s="430"/>
      <c r="T148" s="430"/>
      <c r="U148" s="430"/>
      <c r="V148" s="430"/>
      <c r="W148" s="430"/>
      <c r="X148" s="430"/>
      <c r="Y148" s="430"/>
      <c r="Z148" s="430"/>
      <c r="AA148" s="430"/>
      <c r="AB148" s="430"/>
      <c r="AC148" s="430"/>
      <c r="AD148" s="430"/>
      <c r="AE148" s="430"/>
      <c r="AF148" s="430"/>
      <c r="AG148" s="430"/>
      <c r="AH148" s="430"/>
      <c r="AI148" s="430"/>
      <c r="AJ148" s="430"/>
      <c r="AK148" s="430"/>
      <c r="AL148" s="430"/>
      <c r="AM148" s="430"/>
      <c r="AN148" s="430"/>
      <c r="AO148" s="430"/>
      <c r="AP148" s="430"/>
      <c r="AQ148" s="430"/>
      <c r="AR148" s="430"/>
      <c r="AS148" s="430"/>
      <c r="AT148" s="430"/>
      <c r="AU148" s="430"/>
      <c r="AV148" s="430"/>
      <c r="AW148" s="430"/>
      <c r="AX148" s="430"/>
      <c r="AY148" s="430"/>
      <c r="AZ148" s="430"/>
      <c r="BA148" s="430"/>
      <c r="BB148" s="430"/>
      <c r="BC148" s="430"/>
      <c r="BD148" s="430"/>
      <c r="BE148" s="430"/>
      <c r="BF148" s="430"/>
      <c r="BG148" s="430"/>
      <c r="BH148" s="430"/>
      <c r="BI148" s="430"/>
      <c r="BJ148" s="430"/>
      <c r="BK148" s="430"/>
    </row>
    <row r="149" spans="1:63">
      <c r="A149" s="430"/>
      <c r="B149" s="451"/>
      <c r="C149" s="430"/>
      <c r="D149" s="451"/>
      <c r="E149" s="430"/>
      <c r="L149" s="430"/>
      <c r="M149" s="430"/>
      <c r="N149" s="430"/>
      <c r="O149" s="430"/>
      <c r="P149" s="430"/>
      <c r="Q149" s="430"/>
      <c r="R149" s="430"/>
      <c r="S149" s="430"/>
      <c r="T149" s="430"/>
      <c r="U149" s="430"/>
      <c r="V149" s="430"/>
      <c r="W149" s="430"/>
      <c r="X149" s="430"/>
      <c r="Y149" s="430"/>
      <c r="Z149" s="430"/>
      <c r="AA149" s="430"/>
      <c r="AB149" s="430"/>
      <c r="AC149" s="430"/>
      <c r="AD149" s="430"/>
      <c r="AE149" s="430"/>
      <c r="AF149" s="430"/>
      <c r="AG149" s="430"/>
      <c r="AH149" s="430"/>
      <c r="AI149" s="430"/>
      <c r="AJ149" s="430"/>
      <c r="AK149" s="430"/>
      <c r="AL149" s="430"/>
      <c r="AM149" s="430"/>
      <c r="AN149" s="430"/>
      <c r="AO149" s="430"/>
      <c r="AP149" s="430"/>
      <c r="AQ149" s="430"/>
      <c r="AR149" s="430"/>
      <c r="AS149" s="430"/>
      <c r="AT149" s="430"/>
      <c r="AU149" s="430"/>
      <c r="AV149" s="430"/>
      <c r="AW149" s="430"/>
      <c r="AX149" s="430"/>
      <c r="AY149" s="430"/>
      <c r="AZ149" s="430"/>
      <c r="BA149" s="430"/>
      <c r="BB149" s="430"/>
      <c r="BC149" s="430"/>
      <c r="BD149" s="430"/>
      <c r="BE149" s="430"/>
      <c r="BF149" s="430"/>
      <c r="BG149" s="430"/>
      <c r="BH149" s="430"/>
      <c r="BI149" s="430"/>
      <c r="BJ149" s="430"/>
      <c r="BK149" s="430"/>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4B084"/>
    <pageSetUpPr autoPageBreaks="0"/>
  </sheetPr>
  <dimension ref="A1:AX149"/>
  <sheetViews>
    <sheetView showGridLines="0" zoomScale="99" zoomScaleNormal="85" workbookViewId="0">
      <pane xSplit="4" ySplit="3" topLeftCell="E45" activePane="bottomRight" state="frozen"/>
      <selection pane="topRight"/>
      <selection pane="bottomLeft" activeCell="E16" sqref="E16"/>
      <selection pane="bottomRight" activeCell="F57" sqref="F57:I57"/>
    </sheetView>
  </sheetViews>
  <sheetFormatPr defaultRowHeight="14.5" outlineLevelCol="1"/>
  <cols>
    <col min="1" max="1" width="40" style="35" bestFit="1" customWidth="1"/>
    <col min="2" max="2" width="4.453125" style="424" customWidth="1"/>
    <col min="3" max="3" width="27" style="418" bestFit="1" customWidth="1"/>
    <col min="4" max="4" width="11.81640625" style="418" bestFit="1" customWidth="1"/>
    <col min="5" max="5" width="15.6328125" style="5" bestFit="1" customWidth="1"/>
    <col min="6" max="9" width="10.7265625" style="429" customWidth="1" outlineLevel="1"/>
    <col min="10" max="11" width="10.7265625" style="624" customWidth="1" outlineLevel="1"/>
    <col min="12" max="12" width="13.6328125" style="5" bestFit="1" customWidth="1"/>
    <col min="13" max="15" width="14.26953125" style="5" bestFit="1" customWidth="1"/>
    <col min="16" max="16" width="17.6328125" style="5" bestFit="1" customWidth="1"/>
    <col min="17" max="19" width="15.26953125" style="5" bestFit="1" customWidth="1"/>
    <col min="20" max="20" width="15.26953125" bestFit="1" customWidth="1"/>
    <col min="21" max="21" width="16.54296875" bestFit="1" customWidth="1"/>
    <col min="22" max="22" width="15.26953125" bestFit="1" customWidth="1"/>
    <col min="23" max="23" width="16" bestFit="1" customWidth="1"/>
    <col min="24" max="24" width="10.453125" customWidth="1"/>
    <col min="25" max="25" width="34" bestFit="1" customWidth="1"/>
    <col min="26" max="26" width="14.26953125" bestFit="1" customWidth="1"/>
    <col min="27" max="27" width="33.6328125" bestFit="1" customWidth="1"/>
    <col min="28" max="28" width="21.26953125" bestFit="1" customWidth="1"/>
    <col min="29" max="29" width="16.54296875" bestFit="1" customWidth="1"/>
    <col min="30" max="30" width="27.26953125" bestFit="1" customWidth="1"/>
    <col min="31" max="31" width="10.6328125" customWidth="1"/>
    <col min="32" max="32" width="11.453125" customWidth="1"/>
    <col min="33" max="33" width="12.54296875" bestFit="1" customWidth="1"/>
    <col min="34" max="34" width="9.26953125" bestFit="1" customWidth="1"/>
    <col min="35" max="35" width="12.6328125" style="1" bestFit="1" customWidth="1"/>
    <col min="42" max="42" width="9.54296875" bestFit="1" customWidth="1"/>
  </cols>
  <sheetData>
    <row r="1" spans="1:50" s="4" customFormat="1" ht="18.399999999999999" customHeight="1">
      <c r="A1" s="540"/>
      <c r="B1" s="431"/>
      <c r="C1" s="432"/>
      <c r="D1" s="432"/>
      <c r="E1" s="541"/>
      <c r="F1" s="430"/>
      <c r="G1" s="430"/>
      <c r="H1" s="430"/>
      <c r="I1" s="430"/>
      <c r="J1" s="430"/>
      <c r="K1" s="430"/>
      <c r="L1" s="541"/>
      <c r="M1" s="541"/>
      <c r="N1" s="541"/>
      <c r="O1" s="541"/>
      <c r="P1" s="541"/>
      <c r="Q1" s="541"/>
      <c r="R1" s="541"/>
      <c r="S1" s="541"/>
      <c r="T1" s="541"/>
      <c r="U1" s="541"/>
      <c r="V1" s="541"/>
      <c r="W1" s="541"/>
      <c r="X1" s="541"/>
      <c r="Y1" s="532"/>
      <c r="Z1" s="532"/>
      <c r="AA1" s="430"/>
      <c r="AB1" s="430"/>
      <c r="AC1" s="430"/>
      <c r="AD1" s="430"/>
      <c r="AE1" s="430"/>
      <c r="AF1" s="430"/>
      <c r="AG1" s="430"/>
      <c r="AH1" s="430"/>
      <c r="AI1" s="478"/>
      <c r="AJ1" s="430"/>
      <c r="AK1" s="430"/>
      <c r="AL1" s="430"/>
      <c r="AM1" s="430"/>
      <c r="AN1" s="430"/>
      <c r="AO1" s="430"/>
      <c r="AP1" s="430"/>
      <c r="AQ1" s="430"/>
      <c r="AR1" s="430"/>
      <c r="AS1" s="430"/>
      <c r="AT1" s="430"/>
      <c r="AU1" s="430"/>
      <c r="AV1" s="430"/>
      <c r="AW1" s="430"/>
      <c r="AX1" s="430"/>
    </row>
    <row r="2" spans="1:50">
      <c r="A2" s="542" t="s">
        <v>0</v>
      </c>
      <c r="B2" s="434"/>
      <c r="C2" s="434"/>
      <c r="D2" s="433"/>
      <c r="E2" s="455">
        <v>45657</v>
      </c>
      <c r="F2" s="436">
        <v>45747</v>
      </c>
      <c r="G2" s="436">
        <v>45838</v>
      </c>
      <c r="H2" s="436">
        <v>45930</v>
      </c>
      <c r="I2" s="436">
        <v>46022</v>
      </c>
      <c r="J2" s="436">
        <v>46112</v>
      </c>
      <c r="K2" s="436">
        <v>46203</v>
      </c>
      <c r="L2" s="455">
        <v>45747</v>
      </c>
      <c r="M2" s="455">
        <v>45838</v>
      </c>
      <c r="N2" s="455">
        <v>45930</v>
      </c>
      <c r="O2" s="455">
        <v>46022</v>
      </c>
      <c r="P2" s="455">
        <v>46112</v>
      </c>
      <c r="Q2" s="455">
        <v>46203</v>
      </c>
      <c r="R2" s="455">
        <v>46295</v>
      </c>
      <c r="S2" s="455">
        <v>46387</v>
      </c>
      <c r="T2" s="455">
        <v>46752</v>
      </c>
      <c r="U2" s="455">
        <v>47118</v>
      </c>
      <c r="V2" s="455">
        <v>47483</v>
      </c>
      <c r="W2" s="455">
        <v>47848</v>
      </c>
      <c r="X2" s="542"/>
      <c r="Y2" s="437"/>
      <c r="Z2" s="437"/>
      <c r="AA2" s="437"/>
      <c r="AB2" s="437"/>
      <c r="AC2" s="437"/>
      <c r="AD2" s="437"/>
      <c r="AE2" s="437"/>
      <c r="AF2" s="437"/>
      <c r="AG2" s="437"/>
      <c r="AH2" s="437"/>
      <c r="AI2" s="437"/>
      <c r="AJ2" s="437"/>
      <c r="AK2" s="437"/>
      <c r="AL2" s="437"/>
      <c r="AM2" s="437"/>
      <c r="AN2" s="437"/>
      <c r="AO2" s="437"/>
      <c r="AP2" s="437"/>
      <c r="AQ2" s="437"/>
      <c r="AR2" s="437"/>
      <c r="AS2" s="437"/>
      <c r="AT2" s="437"/>
      <c r="AU2" s="437"/>
      <c r="AV2" s="437"/>
      <c r="AW2" s="437"/>
      <c r="AX2" s="437"/>
    </row>
    <row r="3" spans="1:50" ht="14.65" customHeight="1">
      <c r="A3" s="542" t="s">
        <v>1</v>
      </c>
      <c r="B3" s="434"/>
      <c r="C3" s="434"/>
      <c r="D3" s="433"/>
      <c r="E3" s="456" t="s">
        <v>2</v>
      </c>
      <c r="F3" s="439" t="s">
        <v>3</v>
      </c>
      <c r="G3" s="439" t="s">
        <v>4</v>
      </c>
      <c r="H3" s="439" t="s">
        <v>5</v>
      </c>
      <c r="I3" s="439" t="s">
        <v>2</v>
      </c>
      <c r="J3" s="625" t="s">
        <v>3</v>
      </c>
      <c r="K3" s="625" t="s">
        <v>4</v>
      </c>
      <c r="L3" s="456" t="s">
        <v>3</v>
      </c>
      <c r="M3" s="456" t="s">
        <v>4</v>
      </c>
      <c r="N3" s="456" t="s">
        <v>5</v>
      </c>
      <c r="O3" s="456" t="s">
        <v>2</v>
      </c>
      <c r="P3" s="456" t="s">
        <v>3</v>
      </c>
      <c r="Q3" s="456" t="s">
        <v>4</v>
      </c>
      <c r="R3" s="456" t="s">
        <v>5</v>
      </c>
      <c r="S3" s="456" t="s">
        <v>2</v>
      </c>
      <c r="T3" s="543" t="s">
        <v>2</v>
      </c>
      <c r="U3" s="543" t="s">
        <v>2</v>
      </c>
      <c r="V3" s="543" t="s">
        <v>2</v>
      </c>
      <c r="W3" s="543" t="s">
        <v>2</v>
      </c>
      <c r="X3" s="544"/>
      <c r="Y3" s="437"/>
      <c r="Z3" s="437"/>
      <c r="AA3" s="437"/>
      <c r="AB3" s="437"/>
      <c r="AC3" s="437"/>
      <c r="AD3" s="437"/>
      <c r="AE3" s="437"/>
      <c r="AF3" s="437"/>
      <c r="AG3" s="437"/>
      <c r="AH3" s="437"/>
      <c r="AI3" s="437"/>
      <c r="AJ3" s="437"/>
      <c r="AK3" s="437"/>
      <c r="AL3" s="437"/>
      <c r="AM3" s="437"/>
      <c r="AN3" s="437"/>
      <c r="AO3" s="437"/>
      <c r="AP3" s="437"/>
      <c r="AQ3" s="437"/>
      <c r="AR3" s="437"/>
      <c r="AS3" s="437"/>
      <c r="AT3" s="437"/>
      <c r="AU3" s="437"/>
      <c r="AV3" s="437"/>
      <c r="AW3" s="437"/>
      <c r="AX3" s="437"/>
    </row>
    <row r="4" spans="1:50" ht="14.65" customHeight="1">
      <c r="A4" s="430"/>
      <c r="B4" s="440" t="s">
        <v>6</v>
      </c>
      <c r="C4" s="441" t="s">
        <v>7</v>
      </c>
      <c r="D4" s="441" t="s">
        <v>8</v>
      </c>
      <c r="E4" s="545"/>
      <c r="F4" s="430"/>
      <c r="G4" s="430"/>
      <c r="H4" s="430"/>
      <c r="I4" s="430"/>
      <c r="J4" s="430"/>
      <c r="K4" s="430"/>
      <c r="L4" s="545"/>
      <c r="M4" s="545"/>
      <c r="N4" s="545"/>
      <c r="O4" s="545"/>
      <c r="P4" s="545"/>
      <c r="Q4" s="545"/>
      <c r="R4" s="545"/>
      <c r="S4" s="545"/>
      <c r="T4" s="546"/>
      <c r="U4" s="546"/>
      <c r="V4" s="546"/>
      <c r="W4" s="546"/>
      <c r="X4" s="547"/>
      <c r="Y4" s="430"/>
      <c r="Z4" s="430"/>
      <c r="AA4" s="430"/>
      <c r="AB4" s="430"/>
      <c r="AC4" s="430"/>
      <c r="AD4" s="430"/>
      <c r="AE4" s="430"/>
      <c r="AF4" s="430"/>
      <c r="AG4" s="430"/>
      <c r="AH4" s="430"/>
      <c r="AI4" s="430"/>
      <c r="AJ4" s="430"/>
      <c r="AK4" s="430"/>
      <c r="AL4" s="430"/>
      <c r="AM4" s="430"/>
      <c r="AN4" s="430"/>
      <c r="AO4" s="430"/>
      <c r="AP4" s="430"/>
      <c r="AQ4" s="430"/>
      <c r="AR4" s="430"/>
      <c r="AS4" s="430"/>
      <c r="AT4" s="430"/>
      <c r="AU4" s="430"/>
      <c r="AV4" s="430"/>
      <c r="AW4" s="430"/>
      <c r="AX4" s="430"/>
    </row>
    <row r="5" spans="1:50" ht="15" customHeight="1">
      <c r="A5" s="548" t="s">
        <v>860</v>
      </c>
      <c r="B5" s="445"/>
      <c r="C5" s="444" t="s">
        <v>861</v>
      </c>
      <c r="D5" s="447"/>
      <c r="E5" s="540"/>
      <c r="F5" s="430"/>
      <c r="G5" s="430"/>
      <c r="H5" s="430"/>
      <c r="I5" s="430"/>
      <c r="J5" s="430"/>
      <c r="K5" s="430"/>
      <c r="L5" s="540"/>
      <c r="M5" s="540"/>
      <c r="N5" s="540"/>
      <c r="O5" s="549"/>
      <c r="P5" s="540"/>
      <c r="Q5" s="540"/>
      <c r="R5" s="540"/>
      <c r="S5" s="540"/>
      <c r="T5" s="540"/>
      <c r="U5" s="540"/>
      <c r="V5" s="540"/>
      <c r="W5" s="540"/>
      <c r="X5" s="540"/>
      <c r="Y5" s="430"/>
      <c r="Z5" s="454"/>
      <c r="AA5" s="430"/>
      <c r="AB5" s="430"/>
      <c r="AC5" s="430"/>
      <c r="AD5" s="430"/>
      <c r="AE5" s="430"/>
      <c r="AF5" s="430"/>
      <c r="AG5" s="430"/>
      <c r="AH5" s="430"/>
      <c r="AI5" s="430"/>
      <c r="AJ5" s="430"/>
      <c r="AK5" s="430"/>
      <c r="AL5" s="430"/>
      <c r="AM5" s="430"/>
      <c r="AN5" s="430"/>
      <c r="AO5" s="430"/>
      <c r="AP5" s="430"/>
      <c r="AQ5" s="430"/>
      <c r="AR5" s="430"/>
      <c r="AS5" s="430"/>
      <c r="AT5" s="430"/>
      <c r="AU5" s="430"/>
      <c r="AV5" s="430"/>
      <c r="AW5" s="430"/>
      <c r="AX5" s="430"/>
    </row>
    <row r="6" spans="1:50">
      <c r="A6" s="548" t="s">
        <v>862</v>
      </c>
      <c r="B6" s="443" t="s">
        <v>18</v>
      </c>
      <c r="C6" s="444" t="s">
        <v>863</v>
      </c>
      <c r="D6" s="444" t="s">
        <v>864</v>
      </c>
      <c r="E6" s="550">
        <v>535096.5</v>
      </c>
      <c r="F6" s="430"/>
      <c r="G6" s="430"/>
      <c r="H6" s="430"/>
      <c r="I6" s="430"/>
      <c r="J6" s="430"/>
      <c r="K6" s="430"/>
      <c r="L6" s="551">
        <f>696500/4</f>
        <v>174125</v>
      </c>
      <c r="M6" s="551">
        <f>696500/4</f>
        <v>174125</v>
      </c>
      <c r="N6" s="551">
        <f>696500/4</f>
        <v>174125</v>
      </c>
      <c r="O6" s="511">
        <f>696500/4</f>
        <v>174125</v>
      </c>
      <c r="P6" s="511">
        <f>745476/4</f>
        <v>186369</v>
      </c>
      <c r="Q6" s="511">
        <f>745476/4</f>
        <v>186369</v>
      </c>
      <c r="R6" s="511">
        <f>745476/4</f>
        <v>186369</v>
      </c>
      <c r="S6" s="511">
        <f>745476/4</f>
        <v>186369</v>
      </c>
      <c r="T6" s="501">
        <f>+S6*4*1.03</f>
        <v>767840.28</v>
      </c>
      <c r="U6" s="501">
        <f t="shared" ref="U6:W9" si="0">+T6*1.03</f>
        <v>790875.48840000003</v>
      </c>
      <c r="V6" s="501">
        <f t="shared" si="0"/>
        <v>814601.75305200007</v>
      </c>
      <c r="W6" s="501">
        <f t="shared" si="0"/>
        <v>839039.80564356013</v>
      </c>
      <c r="X6" s="552" t="s">
        <v>865</v>
      </c>
      <c r="Y6" s="478"/>
      <c r="Z6" s="553"/>
      <c r="AA6" s="430"/>
      <c r="AB6" s="430"/>
      <c r="AC6" s="430"/>
      <c r="AD6" s="430"/>
      <c r="AE6" s="492"/>
      <c r="AF6" s="492"/>
      <c r="AG6" s="492"/>
      <c r="AH6" s="492"/>
      <c r="AI6" s="501"/>
      <c r="AJ6" s="430"/>
      <c r="AK6" s="430"/>
      <c r="AL6" s="430"/>
      <c r="AM6" s="430"/>
      <c r="AN6" s="430"/>
      <c r="AO6" s="430"/>
      <c r="AP6" s="430"/>
      <c r="AQ6" s="430"/>
      <c r="AR6" s="430"/>
      <c r="AS6" s="430"/>
      <c r="AT6" s="430"/>
      <c r="AU6" s="430"/>
      <c r="AV6" s="430"/>
      <c r="AW6" s="430"/>
      <c r="AX6" s="430"/>
    </row>
    <row r="7" spans="1:50">
      <c r="A7" s="548" t="s">
        <v>866</v>
      </c>
      <c r="B7" s="443" t="s">
        <v>18</v>
      </c>
      <c r="C7" s="444" t="s">
        <v>867</v>
      </c>
      <c r="D7" s="444" t="s">
        <v>864</v>
      </c>
      <c r="E7" s="550">
        <v>535096.5</v>
      </c>
      <c r="F7" s="430"/>
      <c r="G7" s="430"/>
      <c r="H7" s="430"/>
      <c r="I7" s="430"/>
      <c r="J7" s="430"/>
      <c r="K7" s="430"/>
      <c r="L7" s="551">
        <f>704168/4</f>
        <v>176042</v>
      </c>
      <c r="M7" s="551">
        <f>704168/4</f>
        <v>176042</v>
      </c>
      <c r="N7" s="551">
        <f>704168/4</f>
        <v>176042</v>
      </c>
      <c r="O7" s="551">
        <f>704168/4</f>
        <v>176042</v>
      </c>
      <c r="P7" s="551">
        <f>+O7*1.03</f>
        <v>181323.26</v>
      </c>
      <c r="Q7" s="551">
        <f>+P7</f>
        <v>181323.26</v>
      </c>
      <c r="R7" s="551">
        <f>+Q7</f>
        <v>181323.26</v>
      </c>
      <c r="S7" s="551">
        <f>+R7</f>
        <v>181323.26</v>
      </c>
      <c r="T7" s="501">
        <f>+S7*4*1.03</f>
        <v>747051.83120000002</v>
      </c>
      <c r="U7" s="501">
        <f t="shared" si="0"/>
        <v>769463.38613600004</v>
      </c>
      <c r="V7" s="501">
        <f t="shared" si="0"/>
        <v>792547.28772008012</v>
      </c>
      <c r="W7" s="501">
        <f t="shared" si="0"/>
        <v>816323.70635168254</v>
      </c>
      <c r="X7" s="501"/>
      <c r="Y7" s="430"/>
      <c r="Z7" s="553"/>
      <c r="AA7" s="430"/>
      <c r="AB7" s="430"/>
      <c r="AC7" s="501"/>
      <c r="AD7" s="501"/>
      <c r="AE7" s="501"/>
      <c r="AF7" s="501"/>
      <c r="AG7" s="501"/>
      <c r="AH7" s="501"/>
      <c r="AI7" s="501"/>
      <c r="AJ7" s="430"/>
      <c r="AK7" s="430"/>
      <c r="AL7" s="430"/>
      <c r="AM7" s="430"/>
      <c r="AN7" s="430"/>
      <c r="AO7" s="430"/>
      <c r="AP7" s="430"/>
      <c r="AQ7" s="430"/>
      <c r="AR7" s="430"/>
      <c r="AS7" s="430"/>
      <c r="AT7" s="430"/>
      <c r="AU7" s="430"/>
      <c r="AV7" s="430"/>
      <c r="AW7" s="430"/>
      <c r="AX7" s="430"/>
    </row>
    <row r="8" spans="1:50">
      <c r="A8" s="548" t="s">
        <v>868</v>
      </c>
      <c r="B8" s="443" t="s">
        <v>18</v>
      </c>
      <c r="C8" s="444" t="s">
        <v>863</v>
      </c>
      <c r="D8" s="444" t="s">
        <v>869</v>
      </c>
      <c r="E8" s="550">
        <v>569458</v>
      </c>
      <c r="F8" s="430"/>
      <c r="G8" s="430"/>
      <c r="H8" s="430"/>
      <c r="I8" s="430"/>
      <c r="J8" s="430"/>
      <c r="K8" s="430"/>
      <c r="L8" s="551">
        <f>644120/4</f>
        <v>161030</v>
      </c>
      <c r="M8" s="551">
        <f>644120/4</f>
        <v>161030</v>
      </c>
      <c r="N8" s="551">
        <f>644120/4</f>
        <v>161030</v>
      </c>
      <c r="O8" s="511">
        <f>644120/4</f>
        <v>161030</v>
      </c>
      <c r="P8" s="511">
        <f>834731/4</f>
        <v>208682.75</v>
      </c>
      <c r="Q8" s="511">
        <f>834731/4</f>
        <v>208682.75</v>
      </c>
      <c r="R8" s="511">
        <f>834731/4</f>
        <v>208682.75</v>
      </c>
      <c r="S8" s="511">
        <f>834731/4</f>
        <v>208682.75</v>
      </c>
      <c r="T8" s="501">
        <f>+S8*4*1.03</f>
        <v>859772.93</v>
      </c>
      <c r="U8" s="501">
        <f t="shared" si="0"/>
        <v>885566.11790000007</v>
      </c>
      <c r="V8" s="501">
        <f t="shared" si="0"/>
        <v>912133.10143700009</v>
      </c>
      <c r="W8" s="501">
        <f t="shared" si="0"/>
        <v>939497.0944801101</v>
      </c>
      <c r="X8" s="501"/>
      <c r="Y8" s="432"/>
      <c r="Z8" s="554"/>
      <c r="AA8" s="430"/>
      <c r="AB8" s="430"/>
      <c r="AC8" s="501"/>
      <c r="AD8" s="492"/>
      <c r="AE8" s="492"/>
      <c r="AF8" s="492"/>
      <c r="AG8" s="492"/>
      <c r="AH8" s="492"/>
      <c r="AI8" s="501"/>
      <c r="AJ8" s="430"/>
      <c r="AK8" s="430"/>
      <c r="AL8" s="430"/>
      <c r="AM8" s="430"/>
      <c r="AN8" s="430"/>
      <c r="AO8" s="430"/>
      <c r="AP8" s="430"/>
      <c r="AQ8" s="430"/>
      <c r="AR8" s="430"/>
      <c r="AS8" s="430"/>
      <c r="AT8" s="430"/>
      <c r="AU8" s="430"/>
      <c r="AV8" s="430"/>
      <c r="AW8" s="430"/>
      <c r="AX8" s="430"/>
    </row>
    <row r="9" spans="1:50">
      <c r="A9" s="548" t="s">
        <v>870</v>
      </c>
      <c r="B9" s="442" t="s">
        <v>18</v>
      </c>
      <c r="C9" s="442" t="s">
        <v>871</v>
      </c>
      <c r="D9" s="442" t="s">
        <v>869</v>
      </c>
      <c r="E9" s="501"/>
      <c r="F9" s="430"/>
      <c r="G9" s="430"/>
      <c r="H9" s="430"/>
      <c r="I9" s="430"/>
      <c r="J9" s="430"/>
      <c r="K9" s="430"/>
      <c r="L9" s="551">
        <f>283311/4</f>
        <v>70827.75</v>
      </c>
      <c r="M9" s="551">
        <f>283311/4</f>
        <v>70827.75</v>
      </c>
      <c r="N9" s="551">
        <f>283311/4</f>
        <v>70827.75</v>
      </c>
      <c r="O9" s="551">
        <f>283311/4</f>
        <v>70827.75</v>
      </c>
      <c r="P9" s="551">
        <f>+O9*1.03</f>
        <v>72952.582500000004</v>
      </c>
      <c r="Q9" s="551">
        <f>+P9</f>
        <v>72952.582500000004</v>
      </c>
      <c r="R9" s="551">
        <f>+Q9</f>
        <v>72952.582500000004</v>
      </c>
      <c r="S9" s="551">
        <f>+R9</f>
        <v>72952.582500000004</v>
      </c>
      <c r="T9" s="501">
        <f>+S9*4*1.03</f>
        <v>300564.63990000001</v>
      </c>
      <c r="U9" s="501">
        <f t="shared" si="0"/>
        <v>309581.57909700001</v>
      </c>
      <c r="V9" s="501">
        <f t="shared" si="0"/>
        <v>318869.02646990999</v>
      </c>
      <c r="W9" s="501">
        <f t="shared" si="0"/>
        <v>328435.09726400732</v>
      </c>
      <c r="X9" s="501"/>
      <c r="Y9" s="432"/>
      <c r="Z9" s="555"/>
      <c r="AA9" s="430"/>
      <c r="AB9" s="430"/>
      <c r="AC9" s="501"/>
      <c r="AD9" s="501"/>
      <c r="AE9" s="501"/>
      <c r="AF9" s="501"/>
      <c r="AG9" s="501"/>
      <c r="AH9" s="501"/>
      <c r="AI9" s="501"/>
      <c r="AJ9" s="430"/>
      <c r="AK9" s="430"/>
      <c r="AL9" s="430"/>
      <c r="AM9" s="430"/>
      <c r="AN9" s="430"/>
      <c r="AO9" s="430"/>
      <c r="AP9" s="430"/>
      <c r="AQ9" s="430"/>
      <c r="AR9" s="430"/>
      <c r="AS9" s="430"/>
      <c r="AT9" s="430"/>
      <c r="AU9" s="430"/>
      <c r="AV9" s="430"/>
      <c r="AW9" s="430"/>
      <c r="AX9" s="430"/>
    </row>
    <row r="10" spans="1:50">
      <c r="A10" s="548" t="s">
        <v>872</v>
      </c>
      <c r="B10" s="442" t="s">
        <v>18</v>
      </c>
      <c r="C10" s="442" t="s">
        <v>873</v>
      </c>
      <c r="D10" s="442" t="s">
        <v>874</v>
      </c>
      <c r="E10" s="501"/>
      <c r="F10" s="464"/>
      <c r="G10" s="464"/>
      <c r="H10" s="464"/>
      <c r="I10" s="464"/>
      <c r="J10" s="464"/>
      <c r="K10" s="464"/>
      <c r="L10" s="551">
        <v>0</v>
      </c>
      <c r="M10" s="551">
        <v>0</v>
      </c>
      <c r="N10" s="551">
        <v>0</v>
      </c>
      <c r="O10" s="551">
        <v>0</v>
      </c>
      <c r="P10" s="551">
        <v>0</v>
      </c>
      <c r="Q10" s="511">
        <v>0</v>
      </c>
      <c r="R10" s="511">
        <v>0</v>
      </c>
      <c r="S10" s="511">
        <v>0</v>
      </c>
      <c r="T10" s="501">
        <v>450000</v>
      </c>
      <c r="U10" s="501">
        <v>1000000</v>
      </c>
      <c r="V10" s="501">
        <v>1214000</v>
      </c>
      <c r="W10" s="501">
        <f>+V10</f>
        <v>1214000</v>
      </c>
      <c r="X10" s="501"/>
      <c r="Y10" s="432"/>
      <c r="Z10" s="556"/>
      <c r="AA10" s="430"/>
      <c r="AB10" s="430"/>
      <c r="AC10" s="501"/>
      <c r="AD10" s="501"/>
      <c r="AE10" s="501"/>
      <c r="AF10" s="492"/>
      <c r="AG10" s="492"/>
      <c r="AH10" s="492"/>
      <c r="AI10" s="501"/>
      <c r="AJ10" s="430"/>
      <c r="AK10" s="430"/>
      <c r="AL10" s="430"/>
      <c r="AM10" s="430"/>
      <c r="AN10" s="430"/>
      <c r="AO10" s="430"/>
      <c r="AP10" s="430"/>
      <c r="AQ10" s="430"/>
      <c r="AR10" s="430"/>
      <c r="AS10" s="430"/>
      <c r="AT10" s="430"/>
      <c r="AU10" s="430"/>
      <c r="AV10" s="430"/>
      <c r="AW10" s="430"/>
      <c r="AX10" s="430"/>
    </row>
    <row r="11" spans="1:50">
      <c r="A11" s="548" t="s">
        <v>875</v>
      </c>
      <c r="B11" s="442" t="s">
        <v>18</v>
      </c>
      <c r="C11" s="442" t="s">
        <v>871</v>
      </c>
      <c r="D11" s="442" t="s">
        <v>874</v>
      </c>
      <c r="E11" s="501"/>
      <c r="F11" s="430"/>
      <c r="G11" s="430"/>
      <c r="H11" s="430"/>
      <c r="I11" s="430"/>
      <c r="J11" s="430"/>
      <c r="K11" s="430"/>
      <c r="L11" s="551"/>
      <c r="M11" s="551"/>
      <c r="N11" s="551"/>
      <c r="O11" s="551"/>
      <c r="P11" s="551"/>
      <c r="Q11" s="511"/>
      <c r="R11" s="511"/>
      <c r="S11" s="511"/>
      <c r="T11" s="501"/>
      <c r="U11" s="501"/>
      <c r="V11" s="501">
        <v>696000</v>
      </c>
      <c r="W11" s="501">
        <f>+V11</f>
        <v>696000</v>
      </c>
      <c r="X11" s="501"/>
      <c r="Y11" s="432"/>
      <c r="Z11" s="556"/>
      <c r="AA11" s="430"/>
      <c r="AB11" s="430"/>
      <c r="AC11" s="501"/>
      <c r="AD11" s="501"/>
      <c r="AE11" s="501"/>
      <c r="AF11" s="492"/>
      <c r="AG11" s="492"/>
      <c r="AH11" s="492"/>
      <c r="AI11" s="501"/>
      <c r="AJ11" s="430"/>
      <c r="AK11" s="430"/>
      <c r="AL11" s="430"/>
      <c r="AM11" s="430"/>
      <c r="AN11" s="430"/>
      <c r="AO11" s="430"/>
      <c r="AP11" s="430"/>
      <c r="AQ11" s="430"/>
      <c r="AR11" s="430"/>
      <c r="AS11" s="430"/>
      <c r="AT11" s="430"/>
      <c r="AU11" s="430"/>
      <c r="AV11" s="430"/>
      <c r="AW11" s="430"/>
      <c r="AX11" s="430"/>
    </row>
    <row r="12" spans="1:50">
      <c r="A12" s="548" t="s">
        <v>257</v>
      </c>
      <c r="B12" s="442" t="s">
        <v>18</v>
      </c>
      <c r="C12" s="442" t="s">
        <v>873</v>
      </c>
      <c r="D12" s="442" t="s">
        <v>876</v>
      </c>
      <c r="E12" s="501"/>
      <c r="F12" s="469"/>
      <c r="G12" s="469"/>
      <c r="H12" s="469"/>
      <c r="I12" s="469"/>
      <c r="J12" s="469"/>
      <c r="K12" s="469"/>
      <c r="L12" s="551">
        <v>0</v>
      </c>
      <c r="M12" s="551">
        <v>0</v>
      </c>
      <c r="N12" s="551">
        <v>0</v>
      </c>
      <c r="O12" s="551">
        <v>0</v>
      </c>
      <c r="P12" s="551">
        <v>0</v>
      </c>
      <c r="Q12" s="551">
        <v>0</v>
      </c>
      <c r="R12" s="551">
        <v>0</v>
      </c>
      <c r="S12" s="551">
        <v>0</v>
      </c>
      <c r="T12" s="501">
        <v>0</v>
      </c>
      <c r="U12" s="501">
        <v>0</v>
      </c>
      <c r="V12" s="501">
        <v>0</v>
      </c>
      <c r="W12" s="501">
        <v>0</v>
      </c>
      <c r="X12" s="501"/>
      <c r="Y12" s="432"/>
      <c r="Z12" s="557"/>
      <c r="AA12" s="430"/>
      <c r="AB12" s="430"/>
      <c r="AC12" s="501"/>
      <c r="AD12" s="501"/>
      <c r="AE12" s="501"/>
      <c r="AF12" s="501"/>
      <c r="AG12" s="501"/>
      <c r="AH12" s="501"/>
      <c r="AI12" s="501"/>
      <c r="AJ12" s="430"/>
      <c r="AK12" s="430"/>
      <c r="AL12" s="430"/>
      <c r="AM12" s="430"/>
      <c r="AN12" s="430"/>
      <c r="AO12" s="430"/>
      <c r="AP12" s="430"/>
      <c r="AQ12" s="430"/>
      <c r="AR12" s="430"/>
      <c r="AS12" s="430"/>
      <c r="AT12" s="430"/>
      <c r="AU12" s="430"/>
      <c r="AV12" s="430"/>
      <c r="AW12" s="430"/>
      <c r="AX12" s="430"/>
    </row>
    <row r="13" spans="1:50">
      <c r="A13" s="548" t="s">
        <v>197</v>
      </c>
      <c r="B13" s="442" t="s">
        <v>18</v>
      </c>
      <c r="C13" s="442" t="s">
        <v>873</v>
      </c>
      <c r="D13" s="442" t="s">
        <v>529</v>
      </c>
      <c r="E13" s="501"/>
      <c r="F13" s="469"/>
      <c r="G13" s="469"/>
      <c r="H13" s="469"/>
      <c r="I13" s="469"/>
      <c r="J13" s="469"/>
      <c r="K13" s="469"/>
      <c r="L13" s="551">
        <v>0</v>
      </c>
      <c r="M13" s="551">
        <v>0</v>
      </c>
      <c r="N13" s="551">
        <v>0</v>
      </c>
      <c r="O13" s="551">
        <v>0</v>
      </c>
      <c r="P13" s="551">
        <v>0</v>
      </c>
      <c r="Q13" s="551"/>
      <c r="R13" s="551"/>
      <c r="S13" s="551"/>
      <c r="T13" s="501"/>
      <c r="U13" s="501"/>
      <c r="V13" s="501">
        <f>T6</f>
        <v>767840.28</v>
      </c>
      <c r="W13" s="501">
        <f>U6</f>
        <v>790875.48840000003</v>
      </c>
      <c r="X13" s="501"/>
      <c r="Y13" s="432"/>
      <c r="Z13" s="557"/>
      <c r="AA13" s="484"/>
      <c r="AB13" s="484"/>
      <c r="AC13" s="484"/>
      <c r="AD13" s="484"/>
      <c r="AE13" s="484"/>
      <c r="AF13" s="484"/>
      <c r="AG13" s="484"/>
      <c r="AH13" s="484"/>
      <c r="AI13" s="484"/>
      <c r="AJ13" s="430"/>
      <c r="AK13" s="430"/>
      <c r="AL13" s="430"/>
      <c r="AM13" s="430"/>
      <c r="AN13" s="430"/>
      <c r="AO13" s="430"/>
      <c r="AP13" s="430"/>
      <c r="AQ13" s="430"/>
      <c r="AR13" s="430"/>
      <c r="AS13" s="430"/>
      <c r="AT13" s="430"/>
      <c r="AU13" s="430"/>
      <c r="AV13" s="430"/>
      <c r="AW13" s="430"/>
      <c r="AX13" s="430"/>
    </row>
    <row r="14" spans="1:50">
      <c r="A14" s="548" t="s">
        <v>202</v>
      </c>
      <c r="B14" s="442" t="s">
        <v>18</v>
      </c>
      <c r="C14" s="442" t="s">
        <v>873</v>
      </c>
      <c r="D14" s="442" t="s">
        <v>877</v>
      </c>
      <c r="E14" s="501"/>
      <c r="F14" s="430"/>
      <c r="G14" s="430"/>
      <c r="H14" s="430"/>
      <c r="I14" s="430"/>
      <c r="J14" s="430"/>
      <c r="K14" s="430"/>
      <c r="L14" s="551"/>
      <c r="M14" s="551"/>
      <c r="N14" s="551"/>
      <c r="O14" s="551"/>
      <c r="P14" s="551"/>
      <c r="Q14" s="551"/>
      <c r="R14" s="551"/>
      <c r="S14" s="551">
        <v>0</v>
      </c>
      <c r="T14" s="501">
        <v>1000000</v>
      </c>
      <c r="U14" s="501">
        <v>1000000</v>
      </c>
      <c r="V14" s="501">
        <v>1000000</v>
      </c>
      <c r="W14" s="501">
        <v>1000000</v>
      </c>
      <c r="X14" s="501"/>
      <c r="Y14" s="432"/>
      <c r="Z14" s="557"/>
      <c r="AA14" s="484"/>
      <c r="AB14" s="484"/>
      <c r="AC14" s="484"/>
      <c r="AD14" s="484"/>
      <c r="AE14" s="484"/>
      <c r="AF14" s="484"/>
      <c r="AG14" s="484"/>
      <c r="AH14" s="484"/>
      <c r="AI14" s="484"/>
      <c r="AJ14" s="430"/>
      <c r="AK14" s="430"/>
      <c r="AL14" s="430"/>
      <c r="AM14" s="430"/>
      <c r="AN14" s="430"/>
      <c r="AO14" s="430"/>
      <c r="AP14" s="430"/>
      <c r="AQ14" s="430"/>
      <c r="AR14" s="430"/>
      <c r="AS14" s="430"/>
      <c r="AT14" s="430"/>
      <c r="AU14" s="430"/>
      <c r="AV14" s="430"/>
      <c r="AW14" s="430"/>
      <c r="AX14" s="430"/>
    </row>
    <row r="15" spans="1:50" s="417" customFormat="1">
      <c r="A15" s="548" t="s">
        <v>878</v>
      </c>
      <c r="B15" s="431"/>
      <c r="C15" s="432"/>
      <c r="D15" s="432"/>
      <c r="E15" s="501"/>
      <c r="F15" s="430"/>
      <c r="G15" s="430"/>
      <c r="H15" s="430"/>
      <c r="I15" s="430"/>
      <c r="J15" s="430"/>
      <c r="K15" s="430"/>
      <c r="L15" s="501"/>
      <c r="M15" s="501"/>
      <c r="N15" s="501"/>
      <c r="O15" s="501"/>
      <c r="P15" s="501"/>
      <c r="Q15" s="501"/>
      <c r="R15" s="501"/>
      <c r="S15" s="501"/>
      <c r="T15" s="501"/>
      <c r="U15" s="501"/>
      <c r="V15" s="501"/>
      <c r="W15" s="501"/>
      <c r="X15" s="501"/>
      <c r="Y15" s="432"/>
      <c r="Z15" s="557"/>
      <c r="AA15" s="484"/>
      <c r="AB15" s="484"/>
      <c r="AC15" s="484"/>
      <c r="AD15" s="484"/>
      <c r="AE15" s="484"/>
      <c r="AF15" s="484"/>
      <c r="AG15" s="484"/>
      <c r="AH15" s="484"/>
      <c r="AI15" s="484"/>
      <c r="AJ15" s="430"/>
      <c r="AK15" s="430"/>
      <c r="AL15" s="430"/>
      <c r="AM15" s="430"/>
      <c r="AN15" s="430"/>
      <c r="AO15" s="430"/>
      <c r="AP15" s="430"/>
      <c r="AQ15" s="430"/>
      <c r="AR15" s="430"/>
      <c r="AS15" s="430"/>
      <c r="AT15" s="430"/>
      <c r="AU15" s="430"/>
      <c r="AV15" s="430"/>
      <c r="AW15" s="430"/>
      <c r="AX15" s="430"/>
    </row>
    <row r="16" spans="1:50" s="417" customFormat="1">
      <c r="A16" s="548" t="s">
        <v>878</v>
      </c>
      <c r="B16" s="431"/>
      <c r="C16" s="432"/>
      <c r="D16" s="432"/>
      <c r="E16" s="501"/>
      <c r="F16" s="430"/>
      <c r="G16" s="430"/>
      <c r="H16" s="430"/>
      <c r="I16" s="430"/>
      <c r="J16" s="430"/>
      <c r="K16" s="430"/>
      <c r="L16" s="501"/>
      <c r="M16" s="501"/>
      <c r="N16" s="501"/>
      <c r="O16" s="501"/>
      <c r="P16" s="501"/>
      <c r="Q16" s="501"/>
      <c r="R16" s="501"/>
      <c r="S16" s="501"/>
      <c r="T16" s="501"/>
      <c r="U16" s="501"/>
      <c r="V16" s="501"/>
      <c r="W16" s="501"/>
      <c r="X16" s="501"/>
      <c r="Y16" s="432"/>
      <c r="Z16" s="557"/>
      <c r="AA16" s="484"/>
      <c r="AB16" s="484"/>
      <c r="AC16" s="484"/>
      <c r="AD16" s="484"/>
      <c r="AE16" s="484"/>
      <c r="AF16" s="484"/>
      <c r="AG16" s="484"/>
      <c r="AH16" s="484"/>
      <c r="AI16" s="484"/>
      <c r="AJ16" s="430"/>
      <c r="AK16" s="430"/>
      <c r="AL16" s="430"/>
      <c r="AM16" s="430"/>
      <c r="AN16" s="430"/>
      <c r="AO16" s="430"/>
      <c r="AP16" s="430"/>
      <c r="AQ16" s="430"/>
      <c r="AR16" s="430"/>
      <c r="AS16" s="430"/>
      <c r="AT16" s="430"/>
      <c r="AU16" s="430"/>
      <c r="AV16" s="430"/>
      <c r="AW16" s="430"/>
      <c r="AX16" s="430"/>
    </row>
    <row r="17" spans="1:50" s="417" customFormat="1">
      <c r="A17" s="548" t="s">
        <v>878</v>
      </c>
      <c r="B17" s="431"/>
      <c r="C17" s="432"/>
      <c r="D17" s="432"/>
      <c r="E17" s="501"/>
      <c r="F17" s="473"/>
      <c r="G17" s="473"/>
      <c r="H17" s="473"/>
      <c r="I17" s="473"/>
      <c r="J17" s="473"/>
      <c r="K17" s="473"/>
      <c r="L17" s="501"/>
      <c r="M17" s="501"/>
      <c r="N17" s="501"/>
      <c r="O17" s="501"/>
      <c r="P17" s="501"/>
      <c r="Q17" s="501"/>
      <c r="R17" s="501"/>
      <c r="S17" s="501"/>
      <c r="T17" s="501"/>
      <c r="U17" s="501"/>
      <c r="V17" s="501"/>
      <c r="W17" s="501"/>
      <c r="X17" s="501"/>
      <c r="Y17" s="432"/>
      <c r="Z17" s="557"/>
      <c r="AA17" s="484"/>
      <c r="AB17" s="484"/>
      <c r="AC17" s="484"/>
      <c r="AD17" s="484"/>
      <c r="AE17" s="484"/>
      <c r="AF17" s="484"/>
      <c r="AG17" s="484"/>
      <c r="AH17" s="484"/>
      <c r="AI17" s="484"/>
      <c r="AJ17" s="430"/>
      <c r="AK17" s="430"/>
      <c r="AL17" s="430"/>
      <c r="AM17" s="430"/>
      <c r="AN17" s="430"/>
      <c r="AO17" s="430"/>
      <c r="AP17" s="430"/>
      <c r="AQ17" s="430"/>
      <c r="AR17" s="430"/>
      <c r="AS17" s="430"/>
      <c r="AT17" s="430"/>
      <c r="AU17" s="430"/>
      <c r="AV17" s="430"/>
      <c r="AW17" s="430"/>
      <c r="AX17" s="430"/>
    </row>
    <row r="18" spans="1:50" s="417" customFormat="1">
      <c r="A18" s="548" t="s">
        <v>878</v>
      </c>
      <c r="B18" s="431"/>
      <c r="C18" s="432"/>
      <c r="D18" s="432"/>
      <c r="E18" s="501"/>
      <c r="F18" s="473"/>
      <c r="G18" s="473"/>
      <c r="H18" s="473"/>
      <c r="I18" s="473"/>
      <c r="J18" s="473"/>
      <c r="K18" s="473"/>
      <c r="L18" s="501"/>
      <c r="M18" s="501"/>
      <c r="N18" s="501"/>
      <c r="O18" s="501"/>
      <c r="P18" s="501"/>
      <c r="Q18" s="501"/>
      <c r="R18" s="501"/>
      <c r="S18" s="501"/>
      <c r="T18" s="501"/>
      <c r="U18" s="501"/>
      <c r="V18" s="501"/>
      <c r="W18" s="501"/>
      <c r="X18" s="501"/>
      <c r="Y18" s="432"/>
      <c r="Z18" s="557"/>
      <c r="AA18" s="484"/>
      <c r="AB18" s="484"/>
      <c r="AC18" s="484"/>
      <c r="AD18" s="484"/>
      <c r="AE18" s="484"/>
      <c r="AF18" s="484"/>
      <c r="AG18" s="484"/>
      <c r="AH18" s="484"/>
      <c r="AI18" s="484"/>
      <c r="AJ18" s="430"/>
      <c r="AK18" s="430"/>
      <c r="AL18" s="430"/>
      <c r="AM18" s="430"/>
      <c r="AN18" s="430"/>
      <c r="AO18" s="430"/>
      <c r="AP18" s="430"/>
      <c r="AQ18" s="430"/>
      <c r="AR18" s="430"/>
      <c r="AS18" s="430"/>
      <c r="AT18" s="430"/>
      <c r="AU18" s="430"/>
      <c r="AV18" s="430"/>
      <c r="AW18" s="430"/>
      <c r="AX18" s="430"/>
    </row>
    <row r="19" spans="1:50" s="417" customFormat="1">
      <c r="A19" s="548" t="s">
        <v>878</v>
      </c>
      <c r="B19" s="431"/>
      <c r="C19" s="432"/>
      <c r="D19" s="432"/>
      <c r="E19" s="501"/>
      <c r="F19" s="464"/>
      <c r="G19" s="464"/>
      <c r="H19" s="464"/>
      <c r="I19" s="464"/>
      <c r="J19" s="464"/>
      <c r="K19" s="464"/>
      <c r="L19" s="501"/>
      <c r="M19" s="501"/>
      <c r="N19" s="501"/>
      <c r="O19" s="501"/>
      <c r="P19" s="501"/>
      <c r="Q19" s="501"/>
      <c r="R19" s="501"/>
      <c r="S19" s="501"/>
      <c r="T19" s="501"/>
      <c r="U19" s="501"/>
      <c r="V19" s="501"/>
      <c r="W19" s="501"/>
      <c r="X19" s="501"/>
      <c r="Y19" s="432"/>
      <c r="Z19" s="557"/>
      <c r="AA19" s="484"/>
      <c r="AB19" s="484"/>
      <c r="AC19" s="484"/>
      <c r="AD19" s="484"/>
      <c r="AE19" s="484"/>
      <c r="AF19" s="484"/>
      <c r="AG19" s="484"/>
      <c r="AH19" s="484"/>
      <c r="AI19" s="484"/>
      <c r="AJ19" s="430"/>
      <c r="AK19" s="430"/>
      <c r="AL19" s="430"/>
      <c r="AM19" s="430"/>
      <c r="AN19" s="430"/>
      <c r="AO19" s="430"/>
      <c r="AP19" s="430"/>
      <c r="AQ19" s="430"/>
      <c r="AR19" s="430"/>
      <c r="AS19" s="430"/>
      <c r="AT19" s="430"/>
      <c r="AU19" s="430"/>
      <c r="AV19" s="430"/>
      <c r="AW19" s="430"/>
      <c r="AX19" s="430"/>
    </row>
    <row r="20" spans="1:50" s="417" customFormat="1">
      <c r="A20" s="548" t="s">
        <v>878</v>
      </c>
      <c r="B20" s="431"/>
      <c r="C20" s="432"/>
      <c r="D20" s="432"/>
      <c r="E20" s="501"/>
      <c r="F20" s="430"/>
      <c r="G20" s="430"/>
      <c r="H20" s="430"/>
      <c r="I20" s="430"/>
      <c r="J20" s="430"/>
      <c r="K20" s="430"/>
      <c r="L20" s="501"/>
      <c r="M20" s="501"/>
      <c r="N20" s="501"/>
      <c r="O20" s="501"/>
      <c r="P20" s="501"/>
      <c r="Q20" s="501"/>
      <c r="R20" s="501"/>
      <c r="S20" s="501"/>
      <c r="T20" s="501"/>
      <c r="U20" s="501"/>
      <c r="V20" s="501"/>
      <c r="W20" s="501"/>
      <c r="X20" s="501"/>
      <c r="Y20" s="432"/>
      <c r="Z20" s="557"/>
      <c r="AA20" s="484"/>
      <c r="AB20" s="484"/>
      <c r="AC20" s="484"/>
      <c r="AD20" s="484"/>
      <c r="AE20" s="484"/>
      <c r="AF20" s="484"/>
      <c r="AG20" s="484"/>
      <c r="AH20" s="484"/>
      <c r="AI20" s="484"/>
      <c r="AJ20" s="430"/>
      <c r="AK20" s="430"/>
      <c r="AL20" s="430"/>
      <c r="AM20" s="430"/>
      <c r="AN20" s="430"/>
      <c r="AO20" s="430"/>
      <c r="AP20" s="430"/>
      <c r="AQ20" s="430"/>
      <c r="AR20" s="430"/>
      <c r="AS20" s="430"/>
      <c r="AT20" s="430"/>
      <c r="AU20" s="430"/>
      <c r="AV20" s="430"/>
      <c r="AW20" s="430"/>
      <c r="AX20" s="430"/>
    </row>
    <row r="21" spans="1:50" s="417" customFormat="1">
      <c r="A21" s="548" t="s">
        <v>878</v>
      </c>
      <c r="B21" s="431"/>
      <c r="C21" s="432"/>
      <c r="D21" s="432"/>
      <c r="E21" s="501"/>
      <c r="F21" s="478"/>
      <c r="G21" s="478"/>
      <c r="H21" s="478"/>
      <c r="I21" s="478"/>
      <c r="J21" s="478"/>
      <c r="K21" s="478"/>
      <c r="L21" s="501"/>
      <c r="M21" s="501"/>
      <c r="N21" s="501"/>
      <c r="O21" s="501"/>
      <c r="P21" s="501"/>
      <c r="Q21" s="501"/>
      <c r="R21" s="501"/>
      <c r="S21" s="501"/>
      <c r="T21" s="501"/>
      <c r="U21" s="501"/>
      <c r="V21" s="501"/>
      <c r="W21" s="501"/>
      <c r="X21" s="501"/>
      <c r="Y21" s="432"/>
      <c r="Z21" s="557"/>
      <c r="AA21" s="484"/>
      <c r="AB21" s="484"/>
      <c r="AC21" s="484"/>
      <c r="AD21" s="484"/>
      <c r="AE21" s="484"/>
      <c r="AF21" s="484"/>
      <c r="AG21" s="484"/>
      <c r="AH21" s="484"/>
      <c r="AI21" s="484"/>
      <c r="AJ21" s="430"/>
      <c r="AK21" s="430"/>
      <c r="AL21" s="430"/>
      <c r="AM21" s="430"/>
      <c r="AN21" s="430"/>
      <c r="AO21" s="430"/>
      <c r="AP21" s="430"/>
      <c r="AQ21" s="430"/>
      <c r="AR21" s="430"/>
      <c r="AS21" s="430"/>
      <c r="AT21" s="430"/>
      <c r="AU21" s="430"/>
      <c r="AV21" s="430"/>
      <c r="AW21" s="430"/>
      <c r="AX21" s="430"/>
    </row>
    <row r="22" spans="1:50" s="417" customFormat="1">
      <c r="A22" s="548" t="s">
        <v>878</v>
      </c>
      <c r="B22" s="431"/>
      <c r="C22" s="432"/>
      <c r="D22" s="432"/>
      <c r="E22" s="501"/>
      <c r="F22" s="464"/>
      <c r="G22" s="464"/>
      <c r="H22" s="464"/>
      <c r="I22" s="464"/>
      <c r="J22" s="464"/>
      <c r="K22" s="464"/>
      <c r="L22" s="501"/>
      <c r="M22" s="501"/>
      <c r="N22" s="501"/>
      <c r="O22" s="501"/>
      <c r="P22" s="501"/>
      <c r="Q22" s="501"/>
      <c r="R22" s="501"/>
      <c r="S22" s="501"/>
      <c r="T22" s="501"/>
      <c r="U22" s="501"/>
      <c r="V22" s="501"/>
      <c r="W22" s="501"/>
      <c r="X22" s="501"/>
      <c r="Y22" s="432"/>
      <c r="Z22" s="557"/>
      <c r="AA22" s="484"/>
      <c r="AB22" s="484"/>
      <c r="AC22" s="484"/>
      <c r="AD22" s="484"/>
      <c r="AE22" s="484"/>
      <c r="AF22" s="484"/>
      <c r="AG22" s="484"/>
      <c r="AH22" s="484"/>
      <c r="AI22" s="484"/>
      <c r="AJ22" s="430"/>
      <c r="AK22" s="430"/>
      <c r="AL22" s="430"/>
      <c r="AM22" s="430"/>
      <c r="AN22" s="430"/>
      <c r="AO22" s="430"/>
      <c r="AP22" s="430"/>
      <c r="AQ22" s="430"/>
      <c r="AR22" s="430"/>
      <c r="AS22" s="430"/>
      <c r="AT22" s="430"/>
      <c r="AU22" s="430"/>
      <c r="AV22" s="430"/>
      <c r="AW22" s="430"/>
      <c r="AX22" s="430"/>
    </row>
    <row r="23" spans="1:50" s="417" customFormat="1">
      <c r="A23" s="548" t="s">
        <v>878</v>
      </c>
      <c r="B23" s="431"/>
      <c r="C23" s="432"/>
      <c r="D23" s="432"/>
      <c r="E23" s="501"/>
      <c r="F23" s="464"/>
      <c r="G23" s="464"/>
      <c r="H23" s="464"/>
      <c r="I23" s="464"/>
      <c r="J23" s="464"/>
      <c r="K23" s="464"/>
      <c r="L23" s="501"/>
      <c r="M23" s="501"/>
      <c r="N23" s="501"/>
      <c r="O23" s="501"/>
      <c r="P23" s="501"/>
      <c r="Q23" s="501"/>
      <c r="R23" s="501"/>
      <c r="S23" s="501"/>
      <c r="T23" s="501"/>
      <c r="U23" s="501"/>
      <c r="V23" s="501"/>
      <c r="W23" s="501"/>
      <c r="X23" s="501"/>
      <c r="Y23" s="432"/>
      <c r="Z23" s="557"/>
      <c r="AA23" s="484"/>
      <c r="AB23" s="484"/>
      <c r="AC23" s="484"/>
      <c r="AD23" s="484"/>
      <c r="AE23" s="484"/>
      <c r="AF23" s="484"/>
      <c r="AG23" s="484"/>
      <c r="AH23" s="484"/>
      <c r="AI23" s="484"/>
      <c r="AJ23" s="430"/>
      <c r="AK23" s="430"/>
      <c r="AL23" s="430"/>
      <c r="AM23" s="430"/>
      <c r="AN23" s="430"/>
      <c r="AO23" s="430"/>
      <c r="AP23" s="430"/>
      <c r="AQ23" s="430"/>
      <c r="AR23" s="430"/>
      <c r="AS23" s="430"/>
      <c r="AT23" s="430"/>
      <c r="AU23" s="430"/>
      <c r="AV23" s="430"/>
      <c r="AW23" s="430"/>
      <c r="AX23" s="430"/>
    </row>
    <row r="24" spans="1:50" ht="15" customHeight="1">
      <c r="A24" s="548" t="s">
        <v>203</v>
      </c>
      <c r="B24" s="442" t="s">
        <v>18</v>
      </c>
      <c r="C24" s="442" t="s">
        <v>873</v>
      </c>
      <c r="D24" s="442" t="s">
        <v>879</v>
      </c>
      <c r="E24" s="501"/>
      <c r="F24" s="464"/>
      <c r="G24" s="464"/>
      <c r="H24" s="464"/>
      <c r="I24" s="464"/>
      <c r="J24" s="464"/>
      <c r="K24" s="464"/>
      <c r="L24" s="551"/>
      <c r="M24" s="551"/>
      <c r="N24" s="551"/>
      <c r="O24" s="551"/>
      <c r="P24" s="551"/>
      <c r="Q24" s="551"/>
      <c r="R24" s="551"/>
      <c r="S24" s="551"/>
      <c r="T24" s="501"/>
      <c r="U24" s="501"/>
      <c r="V24" s="501"/>
      <c r="W24" s="501"/>
      <c r="X24" s="501"/>
      <c r="Y24" s="532"/>
      <c r="Z24" s="532"/>
      <c r="AA24" s="430"/>
      <c r="AB24" s="430"/>
      <c r="AC24" s="430"/>
      <c r="AD24" s="484"/>
      <c r="AE24" s="484"/>
      <c r="AF24" s="484"/>
      <c r="AG24" s="484"/>
      <c r="AH24" s="484"/>
      <c r="AI24" s="484"/>
      <c r="AJ24" s="430"/>
      <c r="AK24" s="430"/>
      <c r="AL24" s="430"/>
      <c r="AM24" s="430"/>
      <c r="AN24" s="430"/>
      <c r="AO24" s="430"/>
      <c r="AP24" s="430"/>
      <c r="AQ24" s="430"/>
      <c r="AR24" s="430"/>
      <c r="AS24" s="430"/>
      <c r="AT24" s="430"/>
      <c r="AU24" s="430"/>
      <c r="AV24" s="430"/>
      <c r="AW24" s="430"/>
      <c r="AX24" s="430"/>
    </row>
    <row r="25" spans="1:50">
      <c r="A25" s="558" t="s">
        <v>880</v>
      </c>
      <c r="B25" s="442" t="s">
        <v>34</v>
      </c>
      <c r="C25" s="442" t="s">
        <v>881</v>
      </c>
      <c r="D25" s="430"/>
      <c r="E25" s="501"/>
      <c r="F25" s="464"/>
      <c r="G25" s="464"/>
      <c r="H25" s="464"/>
      <c r="I25" s="464"/>
      <c r="J25" s="464"/>
      <c r="K25" s="464"/>
      <c r="L25" s="501">
        <f t="shared" ref="L25:W25" si="1">SUM(L6:L24)</f>
        <v>582024.75</v>
      </c>
      <c r="M25" s="501">
        <f t="shared" si="1"/>
        <v>582024.75</v>
      </c>
      <c r="N25" s="501">
        <f t="shared" si="1"/>
        <v>582024.75</v>
      </c>
      <c r="O25" s="501">
        <f t="shared" si="1"/>
        <v>582024.75</v>
      </c>
      <c r="P25" s="501">
        <f t="shared" si="1"/>
        <v>649327.59250000003</v>
      </c>
      <c r="Q25" s="501">
        <f t="shared" si="1"/>
        <v>649327.59250000003</v>
      </c>
      <c r="R25" s="501">
        <f t="shared" si="1"/>
        <v>649327.59250000003</v>
      </c>
      <c r="S25" s="501">
        <f t="shared" si="1"/>
        <v>649327.59250000003</v>
      </c>
      <c r="T25" s="501">
        <f t="shared" si="1"/>
        <v>4125229.6811000002</v>
      </c>
      <c r="U25" s="501">
        <f t="shared" si="1"/>
        <v>4755486.5715330001</v>
      </c>
      <c r="V25" s="501">
        <f t="shared" si="1"/>
        <v>6515991.4486789899</v>
      </c>
      <c r="W25" s="501">
        <f t="shared" si="1"/>
        <v>6624171.1921393601</v>
      </c>
      <c r="X25" s="501"/>
      <c r="Y25" s="559"/>
      <c r="Z25" s="532"/>
      <c r="AA25" s="430"/>
      <c r="AB25" s="430"/>
      <c r="AC25" s="430"/>
      <c r="AD25" s="430"/>
      <c r="AE25" s="430"/>
      <c r="AF25" s="430"/>
      <c r="AG25" s="430"/>
      <c r="AH25" s="430"/>
      <c r="AI25" s="430"/>
      <c r="AJ25" s="430"/>
      <c r="AK25" s="430"/>
      <c r="AL25" s="430"/>
      <c r="AM25" s="430"/>
      <c r="AN25" s="430"/>
      <c r="AO25" s="430"/>
      <c r="AP25" s="430"/>
      <c r="AQ25" s="430"/>
      <c r="AR25" s="430"/>
      <c r="AS25" s="430"/>
      <c r="AT25" s="430"/>
      <c r="AU25" s="430"/>
      <c r="AV25" s="430"/>
      <c r="AW25" s="430"/>
      <c r="AX25" s="430"/>
    </row>
    <row r="26" spans="1:50" ht="15" customHeight="1">
      <c r="A26" s="430"/>
      <c r="B26" s="430"/>
      <c r="C26" s="430"/>
      <c r="D26" s="430"/>
      <c r="E26" s="501"/>
      <c r="F26" s="464"/>
      <c r="G26" s="464"/>
      <c r="H26" s="464"/>
      <c r="I26" s="464"/>
      <c r="J26" s="464"/>
      <c r="K26" s="464"/>
      <c r="L26" s="501"/>
      <c r="M26" s="501"/>
      <c r="N26" s="501"/>
      <c r="O26" s="501"/>
      <c r="P26" s="501"/>
      <c r="Q26" s="501"/>
      <c r="R26" s="501"/>
      <c r="S26" s="501"/>
      <c r="T26" s="501"/>
      <c r="U26" s="501"/>
      <c r="V26" s="501"/>
      <c r="W26" s="501"/>
      <c r="X26" s="501"/>
      <c r="Y26" s="559"/>
      <c r="Z26" s="532"/>
      <c r="AA26" s="430"/>
      <c r="AB26" s="430"/>
      <c r="AC26" s="430"/>
      <c r="AD26" s="430"/>
      <c r="AE26" s="430"/>
      <c r="AF26" s="430"/>
      <c r="AG26" s="430"/>
      <c r="AH26" s="430"/>
      <c r="AI26" s="430"/>
      <c r="AJ26" s="430"/>
      <c r="AK26" s="430"/>
      <c r="AL26" s="430"/>
      <c r="AM26" s="430"/>
      <c r="AN26" s="430"/>
      <c r="AO26" s="430"/>
      <c r="AP26" s="430"/>
      <c r="AQ26" s="430"/>
      <c r="AR26" s="430"/>
      <c r="AS26" s="430"/>
      <c r="AT26" s="430"/>
      <c r="AU26" s="430"/>
      <c r="AV26" s="430"/>
      <c r="AW26" s="430"/>
      <c r="AX26" s="430"/>
    </row>
    <row r="27" spans="1:50">
      <c r="A27" s="548" t="s">
        <v>882</v>
      </c>
      <c r="B27" s="442" t="s">
        <v>18</v>
      </c>
      <c r="C27" s="442" t="s">
        <v>883</v>
      </c>
      <c r="D27" s="430"/>
      <c r="E27" s="501"/>
      <c r="F27" s="464"/>
      <c r="G27" s="464"/>
      <c r="H27" s="464"/>
      <c r="I27" s="464"/>
      <c r="J27" s="464"/>
      <c r="K27" s="464"/>
      <c r="L27" s="551">
        <f>-L9</f>
        <v>-70827.75</v>
      </c>
      <c r="M27" s="551">
        <f>-M9</f>
        <v>-70827.75</v>
      </c>
      <c r="N27" s="551">
        <f>-N9</f>
        <v>-70827.75</v>
      </c>
      <c r="O27" s="551">
        <f>-O9-111350</f>
        <v>-182177.75</v>
      </c>
      <c r="P27" s="551">
        <f>-P25</f>
        <v>-649327.59250000003</v>
      </c>
      <c r="Q27" s="551">
        <f>-Q7-Q9</f>
        <v>-254275.84250000003</v>
      </c>
      <c r="R27" s="551">
        <f>-R7-R9</f>
        <v>-254275.84250000003</v>
      </c>
      <c r="S27" s="551">
        <f>-S7-S9-S14</f>
        <v>-254275.84250000003</v>
      </c>
      <c r="T27" s="501">
        <f>-T7-T9-T14</f>
        <v>-2047616.4711</v>
      </c>
      <c r="U27" s="501">
        <f>-U7-U9</f>
        <v>-1079044.965233</v>
      </c>
      <c r="V27" s="501">
        <f>-V7-V9</f>
        <v>-1111416.3141899901</v>
      </c>
      <c r="W27" s="501"/>
      <c r="X27" s="552" t="s">
        <v>865</v>
      </c>
      <c r="Y27" s="532"/>
      <c r="Z27" s="532"/>
      <c r="AA27" s="430"/>
      <c r="AB27" s="430"/>
      <c r="AC27" s="430"/>
      <c r="AD27" s="430"/>
      <c r="AE27" s="430"/>
      <c r="AF27" s="430"/>
      <c r="AG27" s="430"/>
      <c r="AH27" s="430"/>
      <c r="AI27" s="430"/>
      <c r="AJ27" s="430"/>
      <c r="AK27" s="430"/>
      <c r="AL27" s="430"/>
      <c r="AM27" s="430"/>
      <c r="AN27" s="430"/>
      <c r="AO27" s="430"/>
      <c r="AP27" s="430"/>
      <c r="AQ27" s="430"/>
      <c r="AR27" s="430"/>
      <c r="AS27" s="430"/>
      <c r="AT27" s="430"/>
      <c r="AU27" s="430"/>
      <c r="AV27" s="430"/>
      <c r="AW27" s="430"/>
      <c r="AX27" s="430"/>
    </row>
    <row r="28" spans="1:50" ht="15" customHeight="1">
      <c r="A28" s="548" t="s">
        <v>884</v>
      </c>
      <c r="B28" s="442" t="s">
        <v>18</v>
      </c>
      <c r="C28" s="442" t="s">
        <v>885</v>
      </c>
      <c r="D28" s="430"/>
      <c r="E28" s="432"/>
      <c r="F28" s="464"/>
      <c r="G28" s="464"/>
      <c r="H28" s="464"/>
      <c r="I28" s="464"/>
      <c r="J28" s="464"/>
      <c r="K28" s="464"/>
      <c r="L28" s="560"/>
      <c r="M28" s="560"/>
      <c r="N28" s="560"/>
      <c r="O28" s="561"/>
      <c r="P28" s="561">
        <v>50000</v>
      </c>
      <c r="Q28" s="561">
        <v>246869.75</v>
      </c>
      <c r="R28" s="561">
        <v>246869.75</v>
      </c>
      <c r="S28" s="561">
        <v>1246869.75</v>
      </c>
      <c r="T28" s="484">
        <f>SUM(P7:S7)+SUM(P9:S9)</f>
        <v>1017103.3700000001</v>
      </c>
      <c r="U28" s="484">
        <f>+T7+T9</f>
        <v>1047616.4711</v>
      </c>
      <c r="V28" s="492">
        <f>+U7+U9+T14</f>
        <v>2079044.965233</v>
      </c>
      <c r="W28" s="492">
        <f>-V29</f>
        <v>110519.81418999005</v>
      </c>
      <c r="X28" s="430"/>
      <c r="Y28" s="532"/>
      <c r="Z28" s="532"/>
      <c r="AA28" s="430"/>
      <c r="AB28" s="430"/>
      <c r="AC28" s="430"/>
      <c r="AD28" s="430"/>
      <c r="AE28" s="430"/>
      <c r="AF28" s="430"/>
      <c r="AG28" s="430"/>
      <c r="AH28" s="430"/>
      <c r="AI28" s="430"/>
      <c r="AJ28" s="430"/>
      <c r="AK28" s="430"/>
      <c r="AL28" s="430"/>
      <c r="AM28" s="430"/>
      <c r="AN28" s="430"/>
      <c r="AO28" s="430"/>
      <c r="AP28" s="430"/>
      <c r="AQ28" s="430"/>
      <c r="AR28" s="430"/>
      <c r="AS28" s="430"/>
      <c r="AT28" s="430"/>
      <c r="AU28" s="430"/>
      <c r="AV28" s="430"/>
      <c r="AW28" s="430"/>
      <c r="AX28" s="430"/>
    </row>
    <row r="29" spans="1:50" s="5" customFormat="1">
      <c r="A29" s="548" t="s">
        <v>886</v>
      </c>
      <c r="B29" s="535" t="s">
        <v>34</v>
      </c>
      <c r="C29" s="533" t="s">
        <v>887</v>
      </c>
      <c r="D29" s="432"/>
      <c r="E29" s="501"/>
      <c r="F29" s="464"/>
      <c r="G29" s="464"/>
      <c r="H29" s="464"/>
      <c r="I29" s="464"/>
      <c r="J29" s="464"/>
      <c r="K29" s="464"/>
      <c r="L29" s="501">
        <f>+L27+E29+L28</f>
        <v>-70827.75</v>
      </c>
      <c r="M29" s="501">
        <f t="shared" ref="M29:W29" si="2">+M27+L29+M28</f>
        <v>-141655.5</v>
      </c>
      <c r="N29" s="501">
        <f t="shared" si="2"/>
        <v>-212483.25</v>
      </c>
      <c r="O29" s="501">
        <f t="shared" si="2"/>
        <v>-394661</v>
      </c>
      <c r="P29" s="501">
        <f t="shared" si="2"/>
        <v>-993988.59250000003</v>
      </c>
      <c r="Q29" s="501">
        <f t="shared" si="2"/>
        <v>-1001394.6850000001</v>
      </c>
      <c r="R29" s="501">
        <f t="shared" si="2"/>
        <v>-1008800.7775000001</v>
      </c>
      <c r="S29" s="501">
        <f t="shared" si="2"/>
        <v>-16206.870000000112</v>
      </c>
      <c r="T29" s="501">
        <f t="shared" si="2"/>
        <v>-1046719.9711</v>
      </c>
      <c r="U29" s="501">
        <f t="shared" si="2"/>
        <v>-1078148.4652329998</v>
      </c>
      <c r="V29" s="501">
        <f t="shared" si="2"/>
        <v>-110519.81418999005</v>
      </c>
      <c r="W29" s="501">
        <f t="shared" si="2"/>
        <v>0</v>
      </c>
      <c r="X29" s="430"/>
      <c r="Y29" s="532"/>
      <c r="Z29" s="430"/>
      <c r="AA29" s="430"/>
      <c r="AB29" s="430"/>
      <c r="AC29" s="430"/>
      <c r="AD29" s="430"/>
      <c r="AE29" s="430"/>
      <c r="AF29" s="430"/>
      <c r="AG29" s="430"/>
      <c r="AH29" s="430"/>
      <c r="AI29" s="430"/>
      <c r="AJ29" s="430"/>
      <c r="AK29" s="430"/>
      <c r="AL29" s="430"/>
      <c r="AM29" s="430"/>
      <c r="AN29" s="430"/>
      <c r="AO29" s="430"/>
      <c r="AP29" s="430"/>
      <c r="AQ29" s="430"/>
      <c r="AR29" s="430"/>
      <c r="AS29" s="430"/>
      <c r="AT29" s="430"/>
      <c r="AU29" s="430"/>
      <c r="AV29" s="430"/>
      <c r="AW29" s="430"/>
      <c r="AX29" s="430"/>
    </row>
    <row r="30" spans="1:50">
      <c r="A30" s="430"/>
      <c r="B30" s="430"/>
      <c r="C30" s="430"/>
      <c r="D30" s="430"/>
      <c r="E30" s="430"/>
      <c r="F30" s="464"/>
      <c r="G30" s="464"/>
      <c r="H30" s="464"/>
      <c r="I30" s="464"/>
      <c r="J30" s="464"/>
      <c r="K30" s="464"/>
      <c r="L30" s="430"/>
      <c r="M30" s="430"/>
      <c r="N30" s="430"/>
      <c r="O30" s="430"/>
      <c r="P30" s="430"/>
      <c r="Q30" s="430"/>
      <c r="R30" s="430"/>
      <c r="S30" s="430"/>
      <c r="T30" s="430"/>
      <c r="U30" s="430"/>
      <c r="V30" s="430"/>
      <c r="W30" s="430"/>
      <c r="X30" s="430"/>
      <c r="Y30" s="430"/>
      <c r="Z30" s="430"/>
      <c r="AA30" s="430"/>
      <c r="AB30" s="430"/>
      <c r="AC30" s="430"/>
      <c r="AD30" s="430"/>
      <c r="AE30" s="430"/>
      <c r="AF30" s="430"/>
      <c r="AG30" s="430"/>
      <c r="AH30" s="430"/>
      <c r="AI30" s="430"/>
      <c r="AJ30" s="430"/>
      <c r="AK30" s="430"/>
      <c r="AL30" s="430"/>
      <c r="AM30" s="430"/>
      <c r="AN30" s="430"/>
      <c r="AO30" s="430"/>
      <c r="AP30" s="430"/>
      <c r="AQ30" s="430"/>
      <c r="AR30" s="430"/>
      <c r="AS30" s="430"/>
      <c r="AT30" s="430"/>
      <c r="AU30" s="430"/>
      <c r="AV30" s="430"/>
      <c r="AW30" s="430"/>
      <c r="AX30" s="430"/>
    </row>
    <row r="31" spans="1:50">
      <c r="A31" s="548" t="s">
        <v>888</v>
      </c>
      <c r="B31" s="442" t="s">
        <v>34</v>
      </c>
      <c r="C31" s="442" t="s">
        <v>889</v>
      </c>
      <c r="D31" s="430"/>
      <c r="E31" s="562"/>
      <c r="F31" s="464"/>
      <c r="G31" s="464"/>
      <c r="H31" s="464"/>
      <c r="I31" s="464"/>
      <c r="J31" s="464"/>
      <c r="K31" s="464"/>
      <c r="L31" s="562">
        <f t="shared" ref="L31:W31" si="3">+L25+L27</f>
        <v>511197</v>
      </c>
      <c r="M31" s="562">
        <f t="shared" si="3"/>
        <v>511197</v>
      </c>
      <c r="N31" s="562">
        <f t="shared" si="3"/>
        <v>511197</v>
      </c>
      <c r="O31" s="562">
        <f t="shared" si="3"/>
        <v>399847</v>
      </c>
      <c r="P31" s="562">
        <f t="shared" si="3"/>
        <v>0</v>
      </c>
      <c r="Q31" s="562">
        <f t="shared" si="3"/>
        <v>395051.75</v>
      </c>
      <c r="R31" s="562">
        <f t="shared" si="3"/>
        <v>395051.75</v>
      </c>
      <c r="S31" s="562">
        <f t="shared" si="3"/>
        <v>395051.75</v>
      </c>
      <c r="T31" s="492">
        <f t="shared" si="3"/>
        <v>2077613.2100000002</v>
      </c>
      <c r="U31" s="492">
        <f t="shared" si="3"/>
        <v>3676441.6063000001</v>
      </c>
      <c r="V31" s="492">
        <f t="shared" si="3"/>
        <v>5404575.1344889998</v>
      </c>
      <c r="W31" s="492">
        <f t="shared" si="3"/>
        <v>6624171.1921393601</v>
      </c>
      <c r="X31" s="430"/>
      <c r="Y31" s="532"/>
      <c r="Z31" s="532"/>
      <c r="AA31" s="430"/>
      <c r="AB31" s="430"/>
      <c r="AC31" s="430"/>
      <c r="AD31" s="430"/>
      <c r="AE31" s="430"/>
      <c r="AF31" s="430"/>
      <c r="AG31" s="430"/>
      <c r="AH31" s="430"/>
      <c r="AI31" s="430"/>
      <c r="AJ31" s="430"/>
      <c r="AK31" s="430"/>
      <c r="AL31" s="430"/>
      <c r="AM31" s="430"/>
      <c r="AN31" s="430"/>
      <c r="AO31" s="430"/>
      <c r="AP31" s="430"/>
      <c r="AQ31" s="430"/>
      <c r="AR31" s="430"/>
      <c r="AS31" s="430"/>
      <c r="AT31" s="430"/>
      <c r="AU31" s="430"/>
      <c r="AV31" s="430"/>
      <c r="AW31" s="430"/>
      <c r="AX31" s="430"/>
    </row>
    <row r="32" spans="1:50">
      <c r="A32" s="548" t="s">
        <v>890</v>
      </c>
      <c r="B32" s="442" t="s">
        <v>34</v>
      </c>
      <c r="C32" s="442" t="s">
        <v>891</v>
      </c>
      <c r="D32" s="430"/>
      <c r="E32" s="562"/>
      <c r="F32" s="464"/>
      <c r="G32" s="464"/>
      <c r="H32" s="464"/>
      <c r="I32" s="464"/>
      <c r="J32" s="464"/>
      <c r="K32" s="464"/>
      <c r="L32" s="562">
        <f t="shared" ref="L32:W32" si="4">+L28+L31</f>
        <v>511197</v>
      </c>
      <c r="M32" s="562">
        <f t="shared" si="4"/>
        <v>511197</v>
      </c>
      <c r="N32" s="562">
        <f t="shared" si="4"/>
        <v>511197</v>
      </c>
      <c r="O32" s="562">
        <f t="shared" si="4"/>
        <v>399847</v>
      </c>
      <c r="P32" s="562">
        <f t="shared" si="4"/>
        <v>50000</v>
      </c>
      <c r="Q32" s="562">
        <f t="shared" si="4"/>
        <v>641921.5</v>
      </c>
      <c r="R32" s="562">
        <f t="shared" si="4"/>
        <v>641921.5</v>
      </c>
      <c r="S32" s="562">
        <f t="shared" si="4"/>
        <v>1641921.5</v>
      </c>
      <c r="T32" s="492">
        <f t="shared" si="4"/>
        <v>3094716.58</v>
      </c>
      <c r="U32" s="492">
        <f t="shared" si="4"/>
        <v>4724058.0773999998</v>
      </c>
      <c r="V32" s="492">
        <f t="shared" si="4"/>
        <v>7483620.0997219998</v>
      </c>
      <c r="W32" s="492">
        <f t="shared" si="4"/>
        <v>6734691.0063293502</v>
      </c>
      <c r="X32" s="430"/>
      <c r="Y32" s="532"/>
      <c r="Z32" s="532"/>
      <c r="AA32" s="430"/>
      <c r="AB32" s="430"/>
      <c r="AC32" s="430"/>
      <c r="AD32" s="430"/>
      <c r="AE32" s="430"/>
      <c r="AF32" s="430"/>
      <c r="AG32" s="430"/>
      <c r="AH32" s="430"/>
      <c r="AI32" s="430"/>
      <c r="AJ32" s="430"/>
      <c r="AK32" s="430"/>
      <c r="AL32" s="430"/>
      <c r="AM32" s="430"/>
      <c r="AN32" s="430"/>
      <c r="AO32" s="430"/>
      <c r="AP32" s="430"/>
      <c r="AQ32" s="430"/>
      <c r="AR32" s="430"/>
      <c r="AS32" s="430"/>
      <c r="AT32" s="430"/>
      <c r="AU32" s="430"/>
      <c r="AV32" s="430"/>
      <c r="AW32" s="430"/>
      <c r="AX32" s="430"/>
    </row>
    <row r="33" spans="1:50">
      <c r="A33" s="430"/>
      <c r="B33" s="430"/>
      <c r="C33" s="430"/>
      <c r="D33" s="430"/>
      <c r="E33" s="501"/>
      <c r="F33" s="473"/>
      <c r="G33" s="473"/>
      <c r="H33" s="473"/>
      <c r="I33" s="473"/>
      <c r="J33" s="473"/>
      <c r="K33" s="473"/>
      <c r="L33" s="501"/>
      <c r="M33" s="501"/>
      <c r="N33" s="501"/>
      <c r="O33" s="501"/>
      <c r="P33" s="501"/>
      <c r="Q33" s="501"/>
      <c r="R33" s="501"/>
      <c r="S33" s="501"/>
      <c r="T33" s="501"/>
      <c r="U33" s="501"/>
      <c r="V33" s="501"/>
      <c r="W33" s="501"/>
      <c r="X33" s="501"/>
      <c r="Y33" s="563"/>
      <c r="Z33" s="532"/>
      <c r="AA33" s="430"/>
      <c r="AB33" s="430"/>
      <c r="AC33" s="430"/>
      <c r="AD33" s="430"/>
      <c r="AE33" s="430"/>
      <c r="AF33" s="430"/>
      <c r="AG33" s="430"/>
      <c r="AH33" s="430"/>
      <c r="AI33" s="430"/>
      <c r="AJ33" s="430"/>
      <c r="AK33" s="430"/>
      <c r="AL33" s="430"/>
      <c r="AM33" s="430"/>
      <c r="AN33" s="430"/>
      <c r="AO33" s="430"/>
      <c r="AP33" s="430"/>
      <c r="AQ33" s="430"/>
      <c r="AR33" s="430"/>
      <c r="AS33" s="430"/>
      <c r="AT33" s="430"/>
      <c r="AU33" s="430"/>
      <c r="AV33" s="430"/>
      <c r="AW33" s="430"/>
      <c r="AX33" s="430"/>
    </row>
    <row r="34" spans="1:50" ht="15" customHeight="1">
      <c r="A34" s="548" t="s">
        <v>892</v>
      </c>
      <c r="B34" s="430"/>
      <c r="C34" s="442" t="s">
        <v>893</v>
      </c>
      <c r="D34" s="430"/>
      <c r="E34" s="501"/>
      <c r="F34" s="464"/>
      <c r="G34" s="464"/>
      <c r="H34" s="464"/>
      <c r="I34" s="464"/>
      <c r="J34" s="464"/>
      <c r="K34" s="464"/>
      <c r="L34" s="501"/>
      <c r="M34" s="501"/>
      <c r="N34" s="430"/>
      <c r="O34" s="430"/>
      <c r="P34" s="501"/>
      <c r="Q34" s="564"/>
      <c r="R34" s="564"/>
      <c r="S34" s="564"/>
      <c r="T34" s="564"/>
      <c r="U34" s="564"/>
      <c r="V34" s="564"/>
      <c r="W34" s="564"/>
      <c r="X34" s="501"/>
      <c r="Y34" s="563"/>
      <c r="Z34" s="532"/>
      <c r="AA34" s="430"/>
      <c r="AB34" s="430"/>
      <c r="AC34" s="430"/>
      <c r="AD34" s="430"/>
      <c r="AE34" s="430"/>
      <c r="AF34" s="430"/>
      <c r="AG34" s="430"/>
      <c r="AH34" s="430"/>
      <c r="AI34" s="430"/>
      <c r="AJ34" s="430"/>
      <c r="AK34" s="430"/>
      <c r="AL34" s="430"/>
      <c r="AM34" s="430"/>
      <c r="AN34" s="430"/>
      <c r="AO34" s="430"/>
      <c r="AP34" s="430"/>
      <c r="AQ34" s="430"/>
      <c r="AR34" s="430"/>
      <c r="AS34" s="430"/>
      <c r="AT34" s="430"/>
      <c r="AU34" s="430"/>
      <c r="AV34" s="430"/>
      <c r="AW34" s="430"/>
      <c r="AX34" s="430"/>
    </row>
    <row r="35" spans="1:50">
      <c r="A35" s="548" t="s">
        <v>256</v>
      </c>
      <c r="B35" s="442" t="s">
        <v>18</v>
      </c>
      <c r="C35" s="442" t="s">
        <v>894</v>
      </c>
      <c r="D35" s="442" t="s">
        <v>864</v>
      </c>
      <c r="E35" s="501"/>
      <c r="F35" s="430"/>
      <c r="G35" s="430"/>
      <c r="H35" s="430"/>
      <c r="I35" s="430"/>
      <c r="J35" s="430"/>
      <c r="K35" s="430"/>
      <c r="L35" s="551">
        <f>191000/4</f>
        <v>47750</v>
      </c>
      <c r="M35" s="551">
        <f>191000/4</f>
        <v>47750</v>
      </c>
      <c r="N35" s="551">
        <f>191000/4</f>
        <v>47750</v>
      </c>
      <c r="O35" s="551">
        <f>191000/4</f>
        <v>47750</v>
      </c>
      <c r="P35" s="551">
        <v>0</v>
      </c>
      <c r="Q35" s="551">
        <v>0</v>
      </c>
      <c r="R35" s="551">
        <v>0</v>
      </c>
      <c r="S35" s="551">
        <v>0</v>
      </c>
      <c r="T35" s="501">
        <v>0</v>
      </c>
      <c r="U35" s="501">
        <v>0</v>
      </c>
      <c r="V35" s="501">
        <v>0</v>
      </c>
      <c r="W35" s="501">
        <v>0</v>
      </c>
      <c r="X35" s="552" t="s">
        <v>865</v>
      </c>
      <c r="Y35" s="563"/>
      <c r="Z35" s="532"/>
      <c r="AA35" s="430"/>
      <c r="AB35" s="430"/>
      <c r="AC35" s="430"/>
      <c r="AD35" s="430"/>
      <c r="AE35" s="430"/>
      <c r="AF35" s="430"/>
      <c r="AG35" s="430"/>
      <c r="AH35" s="430"/>
      <c r="AI35" s="430"/>
      <c r="AJ35" s="430"/>
      <c r="AK35" s="430"/>
      <c r="AL35" s="430"/>
      <c r="AM35" s="430"/>
      <c r="AN35" s="430"/>
      <c r="AO35" s="430"/>
      <c r="AP35" s="430"/>
      <c r="AQ35" s="430"/>
      <c r="AR35" s="430"/>
      <c r="AS35" s="430"/>
      <c r="AT35" s="430"/>
      <c r="AU35" s="430"/>
      <c r="AV35" s="430"/>
      <c r="AW35" s="430"/>
      <c r="AX35" s="430"/>
    </row>
    <row r="36" spans="1:50">
      <c r="A36" s="548" t="s">
        <v>190</v>
      </c>
      <c r="B36" s="442" t="s">
        <v>18</v>
      </c>
      <c r="C36" s="442" t="s">
        <v>894</v>
      </c>
      <c r="D36" s="442" t="s">
        <v>869</v>
      </c>
      <c r="E36" s="501"/>
      <c r="F36" s="490"/>
      <c r="G36" s="490"/>
      <c r="H36" s="490"/>
      <c r="I36" s="490"/>
      <c r="J36" s="490"/>
      <c r="K36" s="490"/>
      <c r="L36" s="551">
        <f>169000/4</f>
        <v>42250</v>
      </c>
      <c r="M36" s="551">
        <f>169000/4</f>
        <v>42250</v>
      </c>
      <c r="N36" s="551">
        <f>169000/4</f>
        <v>42250</v>
      </c>
      <c r="O36" s="551">
        <f>169000/4</f>
        <v>42250</v>
      </c>
      <c r="P36" s="551">
        <v>0</v>
      </c>
      <c r="Q36" s="551">
        <v>0</v>
      </c>
      <c r="R36" s="551">
        <v>0</v>
      </c>
      <c r="S36" s="551">
        <v>0</v>
      </c>
      <c r="T36" s="501">
        <v>0</v>
      </c>
      <c r="U36" s="501">
        <v>0</v>
      </c>
      <c r="V36" s="501">
        <v>0</v>
      </c>
      <c r="W36" s="501">
        <v>0</v>
      </c>
      <c r="X36" s="501"/>
      <c r="Y36" s="532"/>
      <c r="Z36" s="532"/>
      <c r="AA36" s="430"/>
      <c r="AB36" s="430"/>
      <c r="AC36" s="430"/>
      <c r="AD36" s="430"/>
      <c r="AE36" s="430"/>
      <c r="AF36" s="430"/>
      <c r="AG36" s="430"/>
      <c r="AH36" s="430"/>
      <c r="AI36" s="430"/>
      <c r="AJ36" s="565"/>
      <c r="AK36" s="430"/>
      <c r="AL36" s="430"/>
      <c r="AM36" s="430"/>
      <c r="AN36" s="430"/>
      <c r="AO36" s="430"/>
      <c r="AP36" s="430"/>
      <c r="AQ36" s="430"/>
      <c r="AR36" s="430"/>
      <c r="AS36" s="430"/>
      <c r="AT36" s="430"/>
      <c r="AU36" s="430"/>
      <c r="AV36" s="430"/>
      <c r="AW36" s="430"/>
      <c r="AX36" s="430"/>
    </row>
    <row r="37" spans="1:50">
      <c r="A37" s="548" t="s">
        <v>195</v>
      </c>
      <c r="B37" s="442" t="s">
        <v>18</v>
      </c>
      <c r="C37" s="442" t="s">
        <v>894</v>
      </c>
      <c r="D37" s="442" t="s">
        <v>874</v>
      </c>
      <c r="E37" s="501"/>
      <c r="F37" s="490"/>
      <c r="G37" s="490"/>
      <c r="H37" s="490"/>
      <c r="I37" s="490"/>
      <c r="J37" s="490"/>
      <c r="K37" s="490"/>
      <c r="L37" s="551">
        <v>0</v>
      </c>
      <c r="M37" s="551">
        <v>0</v>
      </c>
      <c r="N37" s="551">
        <v>0</v>
      </c>
      <c r="O37" s="551">
        <v>0</v>
      </c>
      <c r="P37" s="551">
        <v>0</v>
      </c>
      <c r="Q37" s="551">
        <v>0</v>
      </c>
      <c r="R37" s="551">
        <v>0</v>
      </c>
      <c r="S37" s="551">
        <v>0</v>
      </c>
      <c r="T37" s="501">
        <v>0</v>
      </c>
      <c r="U37" s="501">
        <v>0</v>
      </c>
      <c r="V37" s="501">
        <v>0</v>
      </c>
      <c r="W37" s="501">
        <v>0</v>
      </c>
      <c r="X37" s="501"/>
      <c r="Y37" s="563"/>
      <c r="Z37" s="532"/>
      <c r="AA37" s="430"/>
      <c r="AB37" s="430"/>
      <c r="AC37" s="430"/>
      <c r="AD37" s="430"/>
      <c r="AE37" s="430"/>
      <c r="AF37" s="430"/>
      <c r="AG37" s="430"/>
      <c r="AH37" s="430"/>
      <c r="AI37" s="430"/>
      <c r="AJ37" s="430"/>
      <c r="AK37" s="430"/>
      <c r="AL37" s="430"/>
      <c r="AM37" s="430"/>
      <c r="AN37" s="430"/>
      <c r="AO37" s="430"/>
      <c r="AP37" s="430"/>
      <c r="AQ37" s="430"/>
      <c r="AR37" s="430"/>
      <c r="AS37" s="430"/>
      <c r="AT37" s="430"/>
      <c r="AU37" s="430"/>
      <c r="AV37" s="430"/>
      <c r="AW37" s="430"/>
      <c r="AX37" s="430"/>
    </row>
    <row r="38" spans="1:50">
      <c r="A38" s="548" t="s">
        <v>197</v>
      </c>
      <c r="B38" s="442" t="s">
        <v>18</v>
      </c>
      <c r="C38" s="442" t="s">
        <v>894</v>
      </c>
      <c r="D38" s="442" t="s">
        <v>529</v>
      </c>
      <c r="E38" s="501"/>
      <c r="F38" s="490"/>
      <c r="G38" s="490"/>
      <c r="H38" s="490"/>
      <c r="I38" s="490"/>
      <c r="J38" s="490"/>
      <c r="K38" s="490"/>
      <c r="L38" s="551">
        <v>0</v>
      </c>
      <c r="M38" s="551">
        <v>0</v>
      </c>
      <c r="N38" s="551">
        <v>0</v>
      </c>
      <c r="O38" s="551">
        <v>0</v>
      </c>
      <c r="P38" s="551">
        <v>0</v>
      </c>
      <c r="Q38" s="551">
        <v>0</v>
      </c>
      <c r="R38" s="551">
        <v>0</v>
      </c>
      <c r="S38" s="551">
        <v>0</v>
      </c>
      <c r="T38" s="501">
        <v>0</v>
      </c>
      <c r="U38" s="501">
        <v>0</v>
      </c>
      <c r="V38" s="501">
        <v>0</v>
      </c>
      <c r="W38" s="501">
        <v>0</v>
      </c>
      <c r="X38" s="501"/>
      <c r="Y38" s="563"/>
      <c r="Z38" s="532"/>
      <c r="AA38" s="430"/>
      <c r="AB38" s="430"/>
      <c r="AC38" s="430"/>
      <c r="AD38" s="430"/>
      <c r="AE38" s="430"/>
      <c r="AF38" s="430"/>
      <c r="AG38" s="430"/>
      <c r="AH38" s="430"/>
      <c r="AI38" s="430"/>
      <c r="AJ38" s="430"/>
      <c r="AK38" s="430"/>
      <c r="AL38" s="430"/>
      <c r="AM38" s="430"/>
      <c r="AN38" s="430"/>
      <c r="AO38" s="430"/>
      <c r="AP38" s="430"/>
      <c r="AQ38" s="430"/>
      <c r="AR38" s="430"/>
      <c r="AS38" s="430"/>
      <c r="AT38" s="430"/>
      <c r="AU38" s="430"/>
      <c r="AV38" s="430"/>
      <c r="AW38" s="430"/>
      <c r="AX38" s="430"/>
    </row>
    <row r="39" spans="1:50" s="417" customFormat="1">
      <c r="A39" s="548" t="s">
        <v>878</v>
      </c>
      <c r="B39" s="431"/>
      <c r="C39" s="432"/>
      <c r="D39" s="432"/>
      <c r="E39" s="501"/>
      <c r="F39" s="490"/>
      <c r="G39" s="490"/>
      <c r="H39" s="490"/>
      <c r="I39" s="490"/>
      <c r="J39" s="490"/>
      <c r="K39" s="490"/>
      <c r="L39" s="501"/>
      <c r="M39" s="501"/>
      <c r="N39" s="501"/>
      <c r="O39" s="501"/>
      <c r="P39" s="501"/>
      <c r="Q39" s="501"/>
      <c r="R39" s="501"/>
      <c r="S39" s="501"/>
      <c r="T39" s="501"/>
      <c r="U39" s="501"/>
      <c r="V39" s="501"/>
      <c r="W39" s="501"/>
      <c r="X39" s="501"/>
      <c r="Y39" s="563"/>
      <c r="Z39" s="532"/>
      <c r="AA39" s="430"/>
      <c r="AB39" s="430"/>
      <c r="AC39" s="430"/>
      <c r="AD39" s="430"/>
      <c r="AE39" s="430"/>
      <c r="AF39" s="430"/>
      <c r="AG39" s="430"/>
      <c r="AH39" s="430"/>
      <c r="AI39" s="430"/>
      <c r="AJ39" s="430"/>
      <c r="AK39" s="430"/>
      <c r="AL39" s="430"/>
      <c r="AM39" s="430"/>
      <c r="AN39" s="430"/>
      <c r="AO39" s="430"/>
      <c r="AP39" s="430"/>
      <c r="AQ39" s="430"/>
      <c r="AR39" s="430"/>
      <c r="AS39" s="430"/>
      <c r="AT39" s="430"/>
      <c r="AU39" s="430"/>
      <c r="AV39" s="430"/>
      <c r="AW39" s="430"/>
      <c r="AX39" s="430"/>
    </row>
    <row r="40" spans="1:50" s="417" customFormat="1">
      <c r="A40" s="548" t="s">
        <v>878</v>
      </c>
      <c r="B40" s="431"/>
      <c r="C40" s="432"/>
      <c r="D40" s="432"/>
      <c r="E40" s="501"/>
      <c r="F40" s="464"/>
      <c r="G40" s="464"/>
      <c r="H40" s="464"/>
      <c r="I40" s="464"/>
      <c r="J40" s="464"/>
      <c r="K40" s="464"/>
      <c r="L40" s="501"/>
      <c r="M40" s="501"/>
      <c r="N40" s="501"/>
      <c r="O40" s="501"/>
      <c r="P40" s="501"/>
      <c r="Q40" s="501"/>
      <c r="R40" s="501"/>
      <c r="S40" s="501"/>
      <c r="T40" s="501"/>
      <c r="U40" s="501"/>
      <c r="V40" s="501"/>
      <c r="W40" s="501"/>
      <c r="X40" s="501"/>
      <c r="Y40" s="563"/>
      <c r="Z40" s="532"/>
      <c r="AA40" s="430"/>
      <c r="AB40" s="430"/>
      <c r="AC40" s="430"/>
      <c r="AD40" s="430"/>
      <c r="AE40" s="430"/>
      <c r="AF40" s="430"/>
      <c r="AG40" s="430"/>
      <c r="AH40" s="430"/>
      <c r="AI40" s="430"/>
      <c r="AJ40" s="430"/>
      <c r="AK40" s="430"/>
      <c r="AL40" s="430"/>
      <c r="AM40" s="430"/>
      <c r="AN40" s="430"/>
      <c r="AO40" s="430"/>
      <c r="AP40" s="430"/>
      <c r="AQ40" s="430"/>
      <c r="AR40" s="430"/>
      <c r="AS40" s="430"/>
      <c r="AT40" s="430"/>
      <c r="AU40" s="430"/>
      <c r="AV40" s="430"/>
      <c r="AW40" s="430"/>
      <c r="AX40" s="430"/>
    </row>
    <row r="41" spans="1:50" s="417" customFormat="1">
      <c r="A41" s="548" t="s">
        <v>878</v>
      </c>
      <c r="B41" s="431"/>
      <c r="C41" s="432"/>
      <c r="D41" s="432"/>
      <c r="E41" s="501"/>
      <c r="F41" s="490"/>
      <c r="G41" s="490"/>
      <c r="H41" s="490"/>
      <c r="I41" s="490"/>
      <c r="J41" s="490"/>
      <c r="K41" s="490"/>
      <c r="L41" s="501"/>
      <c r="M41" s="501"/>
      <c r="N41" s="501"/>
      <c r="O41" s="501"/>
      <c r="P41" s="501"/>
      <c r="Q41" s="501"/>
      <c r="R41" s="501"/>
      <c r="S41" s="501"/>
      <c r="T41" s="501"/>
      <c r="U41" s="501"/>
      <c r="V41" s="501"/>
      <c r="W41" s="501"/>
      <c r="X41" s="501"/>
      <c r="Y41" s="563"/>
      <c r="Z41" s="532"/>
      <c r="AA41" s="430"/>
      <c r="AB41" s="430"/>
      <c r="AC41" s="430"/>
      <c r="AD41" s="430"/>
      <c r="AE41" s="430"/>
      <c r="AF41" s="430"/>
      <c r="AG41" s="430"/>
      <c r="AH41" s="430"/>
      <c r="AI41" s="430"/>
      <c r="AJ41" s="430"/>
      <c r="AK41" s="430"/>
      <c r="AL41" s="430"/>
      <c r="AM41" s="430"/>
      <c r="AN41" s="430"/>
      <c r="AO41" s="430"/>
      <c r="AP41" s="430"/>
      <c r="AQ41" s="430"/>
      <c r="AR41" s="430"/>
      <c r="AS41" s="430"/>
      <c r="AT41" s="430"/>
      <c r="AU41" s="430"/>
      <c r="AV41" s="430"/>
      <c r="AW41" s="430"/>
      <c r="AX41" s="430"/>
    </row>
    <row r="42" spans="1:50" s="417" customFormat="1">
      <c r="A42" s="548" t="s">
        <v>878</v>
      </c>
      <c r="B42" s="431"/>
      <c r="C42" s="432"/>
      <c r="D42" s="432"/>
      <c r="E42" s="501"/>
      <c r="F42" s="490"/>
      <c r="G42" s="490"/>
      <c r="H42" s="490"/>
      <c r="I42" s="490"/>
      <c r="J42" s="490"/>
      <c r="K42" s="490"/>
      <c r="L42" s="501"/>
      <c r="M42" s="501"/>
      <c r="N42" s="501"/>
      <c r="O42" s="501"/>
      <c r="P42" s="501"/>
      <c r="Q42" s="501"/>
      <c r="R42" s="501"/>
      <c r="S42" s="501"/>
      <c r="T42" s="501"/>
      <c r="U42" s="501"/>
      <c r="V42" s="501"/>
      <c r="W42" s="501"/>
      <c r="X42" s="501"/>
      <c r="Y42" s="563"/>
      <c r="Z42" s="532"/>
      <c r="AA42" s="430"/>
      <c r="AB42" s="430"/>
      <c r="AC42" s="430"/>
      <c r="AD42" s="430"/>
      <c r="AE42" s="430"/>
      <c r="AF42" s="430"/>
      <c r="AG42" s="430"/>
      <c r="AH42" s="430"/>
      <c r="AI42" s="430"/>
      <c r="AJ42" s="430"/>
      <c r="AK42" s="430"/>
      <c r="AL42" s="430"/>
      <c r="AM42" s="430"/>
      <c r="AN42" s="430"/>
      <c r="AO42" s="430"/>
      <c r="AP42" s="430"/>
      <c r="AQ42" s="430"/>
      <c r="AR42" s="430"/>
      <c r="AS42" s="430"/>
      <c r="AT42" s="430"/>
      <c r="AU42" s="430"/>
      <c r="AV42" s="430"/>
      <c r="AW42" s="430"/>
      <c r="AX42" s="430"/>
    </row>
    <row r="43" spans="1:50" s="417" customFormat="1">
      <c r="A43" s="548" t="s">
        <v>878</v>
      </c>
      <c r="B43" s="431"/>
      <c r="C43" s="432"/>
      <c r="D43" s="432"/>
      <c r="E43" s="501"/>
      <c r="F43" s="490"/>
      <c r="G43" s="490"/>
      <c r="H43" s="490"/>
      <c r="I43" s="490"/>
      <c r="J43" s="490"/>
      <c r="K43" s="490"/>
      <c r="L43" s="501"/>
      <c r="M43" s="501"/>
      <c r="N43" s="501"/>
      <c r="O43" s="501"/>
      <c r="P43" s="501"/>
      <c r="Q43" s="501"/>
      <c r="R43" s="501"/>
      <c r="S43" s="501"/>
      <c r="T43" s="501"/>
      <c r="U43" s="501"/>
      <c r="V43" s="501"/>
      <c r="W43" s="501"/>
      <c r="X43" s="501"/>
      <c r="Y43" s="563"/>
      <c r="Z43" s="532"/>
      <c r="AA43" s="430"/>
      <c r="AB43" s="430"/>
      <c r="AC43" s="430"/>
      <c r="AD43" s="430"/>
      <c r="AE43" s="430"/>
      <c r="AF43" s="430"/>
      <c r="AG43" s="430"/>
      <c r="AH43" s="430"/>
      <c r="AI43" s="430"/>
      <c r="AJ43" s="430"/>
      <c r="AK43" s="430"/>
      <c r="AL43" s="430"/>
      <c r="AM43" s="430"/>
      <c r="AN43" s="430"/>
      <c r="AO43" s="430"/>
      <c r="AP43" s="430"/>
      <c r="AQ43" s="430"/>
      <c r="AR43" s="430"/>
      <c r="AS43" s="430"/>
      <c r="AT43" s="430"/>
      <c r="AU43" s="430"/>
      <c r="AV43" s="430"/>
      <c r="AW43" s="430"/>
      <c r="AX43" s="430"/>
    </row>
    <row r="44" spans="1:50" s="417" customFormat="1">
      <c r="A44" s="548" t="s">
        <v>878</v>
      </c>
      <c r="B44" s="431"/>
      <c r="C44" s="432"/>
      <c r="D44" s="432"/>
      <c r="E44" s="501"/>
      <c r="F44" s="490"/>
      <c r="G44" s="490"/>
      <c r="H44" s="490"/>
      <c r="I44" s="490"/>
      <c r="J44" s="490"/>
      <c r="K44" s="490"/>
      <c r="L44" s="501"/>
      <c r="M44" s="501"/>
      <c r="N44" s="501"/>
      <c r="O44" s="501"/>
      <c r="P44" s="501"/>
      <c r="Q44" s="501"/>
      <c r="R44" s="501"/>
      <c r="S44" s="501"/>
      <c r="T44" s="501"/>
      <c r="U44" s="501"/>
      <c r="V44" s="501"/>
      <c r="W44" s="501"/>
      <c r="X44" s="501"/>
      <c r="Y44" s="563"/>
      <c r="Z44" s="532"/>
      <c r="AA44" s="430"/>
      <c r="AB44" s="430"/>
      <c r="AC44" s="430"/>
      <c r="AD44" s="430"/>
      <c r="AE44" s="430"/>
      <c r="AF44" s="430"/>
      <c r="AG44" s="430"/>
      <c r="AH44" s="430"/>
      <c r="AI44" s="430"/>
      <c r="AJ44" s="430"/>
      <c r="AK44" s="430"/>
      <c r="AL44" s="430"/>
      <c r="AM44" s="430"/>
      <c r="AN44" s="430"/>
      <c r="AO44" s="430"/>
      <c r="AP44" s="430"/>
      <c r="AQ44" s="430"/>
      <c r="AR44" s="430"/>
      <c r="AS44" s="430"/>
      <c r="AT44" s="430"/>
      <c r="AU44" s="430"/>
      <c r="AV44" s="430"/>
      <c r="AW44" s="430"/>
      <c r="AX44" s="430"/>
    </row>
    <row r="45" spans="1:50" ht="15" customHeight="1">
      <c r="A45" s="548" t="s">
        <v>895</v>
      </c>
      <c r="B45" s="442" t="s">
        <v>18</v>
      </c>
      <c r="C45" s="442" t="s">
        <v>894</v>
      </c>
      <c r="D45" s="442" t="s">
        <v>876</v>
      </c>
      <c r="E45" s="501"/>
      <c r="F45" s="490"/>
      <c r="G45" s="490"/>
      <c r="H45" s="490"/>
      <c r="I45" s="490"/>
      <c r="J45" s="490"/>
      <c r="K45" s="490"/>
      <c r="L45" s="551">
        <v>0</v>
      </c>
      <c r="M45" s="551">
        <v>0</v>
      </c>
      <c r="N45" s="551">
        <v>0</v>
      </c>
      <c r="O45" s="551">
        <v>0</v>
      </c>
      <c r="P45" s="551">
        <v>0</v>
      </c>
      <c r="Q45" s="551">
        <v>0</v>
      </c>
      <c r="R45" s="551">
        <v>0</v>
      </c>
      <c r="S45" s="551">
        <v>0</v>
      </c>
      <c r="T45" s="501">
        <v>0</v>
      </c>
      <c r="U45" s="501">
        <v>0</v>
      </c>
      <c r="V45" s="501">
        <v>0</v>
      </c>
      <c r="W45" s="501">
        <v>0</v>
      </c>
      <c r="X45" s="501"/>
      <c r="Y45" s="532"/>
      <c r="Z45" s="532"/>
      <c r="AA45" s="430"/>
      <c r="AB45" s="430"/>
      <c r="AC45" s="501"/>
      <c r="AD45" s="501"/>
      <c r="AE45" s="501"/>
      <c r="AF45" s="501"/>
      <c r="AG45" s="501"/>
      <c r="AH45" s="501"/>
      <c r="AI45" s="501"/>
      <c r="AJ45" s="430"/>
      <c r="AK45" s="430"/>
      <c r="AL45" s="430"/>
      <c r="AM45" s="430"/>
      <c r="AN45" s="430"/>
      <c r="AO45" s="430"/>
      <c r="AP45" s="430"/>
      <c r="AQ45" s="430"/>
      <c r="AR45" s="430"/>
      <c r="AS45" s="430"/>
      <c r="AT45" s="430"/>
      <c r="AU45" s="430"/>
      <c r="AV45" s="430"/>
      <c r="AW45" s="430"/>
      <c r="AX45" s="430"/>
    </row>
    <row r="46" spans="1:50">
      <c r="A46" s="558" t="s">
        <v>896</v>
      </c>
      <c r="B46" s="442" t="s">
        <v>34</v>
      </c>
      <c r="C46" s="442" t="s">
        <v>897</v>
      </c>
      <c r="D46" s="430"/>
      <c r="E46" s="501"/>
      <c r="F46" s="490"/>
      <c r="G46" s="490"/>
      <c r="H46" s="490"/>
      <c r="I46" s="490"/>
      <c r="J46" s="490"/>
      <c r="K46" s="490"/>
      <c r="L46" s="501">
        <f t="shared" ref="L46:W46" si="5">SUM(L35:L45)</f>
        <v>90000</v>
      </c>
      <c r="M46" s="501">
        <f t="shared" si="5"/>
        <v>90000</v>
      </c>
      <c r="N46" s="501">
        <f t="shared" si="5"/>
        <v>90000</v>
      </c>
      <c r="O46" s="501">
        <f t="shared" si="5"/>
        <v>90000</v>
      </c>
      <c r="P46" s="501">
        <f t="shared" si="5"/>
        <v>0</v>
      </c>
      <c r="Q46" s="501">
        <f t="shared" si="5"/>
        <v>0</v>
      </c>
      <c r="R46" s="501">
        <f t="shared" si="5"/>
        <v>0</v>
      </c>
      <c r="S46" s="501">
        <f t="shared" si="5"/>
        <v>0</v>
      </c>
      <c r="T46" s="501">
        <f t="shared" si="5"/>
        <v>0</v>
      </c>
      <c r="U46" s="501">
        <f t="shared" si="5"/>
        <v>0</v>
      </c>
      <c r="V46" s="501">
        <f t="shared" si="5"/>
        <v>0</v>
      </c>
      <c r="W46" s="501">
        <f t="shared" si="5"/>
        <v>0</v>
      </c>
      <c r="X46" s="501"/>
      <c r="Y46" s="559"/>
      <c r="Z46" s="532"/>
      <c r="AA46" s="430"/>
      <c r="AB46" s="430"/>
      <c r="AC46" s="501"/>
      <c r="AD46" s="501"/>
      <c r="AE46" s="501"/>
      <c r="AF46" s="501"/>
      <c r="AG46" s="501"/>
      <c r="AH46" s="501"/>
      <c r="AI46" s="501"/>
      <c r="AJ46" s="430"/>
      <c r="AK46" s="430"/>
      <c r="AL46" s="430"/>
      <c r="AM46" s="430"/>
      <c r="AN46" s="430"/>
      <c r="AO46" s="430"/>
      <c r="AP46" s="430"/>
      <c r="AQ46" s="430"/>
      <c r="AR46" s="430"/>
      <c r="AS46" s="430"/>
      <c r="AT46" s="430"/>
      <c r="AU46" s="430"/>
      <c r="AV46" s="430"/>
      <c r="AW46" s="430"/>
      <c r="AX46" s="430"/>
    </row>
    <row r="47" spans="1:50" ht="15" customHeight="1">
      <c r="A47" s="430"/>
      <c r="B47" s="430"/>
      <c r="C47" s="430"/>
      <c r="D47" s="430"/>
      <c r="E47" s="501"/>
      <c r="F47" s="490"/>
      <c r="G47" s="490"/>
      <c r="H47" s="490"/>
      <c r="I47" s="490"/>
      <c r="J47" s="490"/>
      <c r="K47" s="490"/>
      <c r="L47" s="501"/>
      <c r="M47" s="501"/>
      <c r="N47" s="501"/>
      <c r="O47" s="501"/>
      <c r="P47" s="501"/>
      <c r="Q47" s="501"/>
      <c r="R47" s="501"/>
      <c r="S47" s="501"/>
      <c r="T47" s="501"/>
      <c r="U47" s="501"/>
      <c r="V47" s="501"/>
      <c r="W47" s="501"/>
      <c r="X47" s="501"/>
      <c r="Y47" s="532"/>
      <c r="Z47" s="532"/>
      <c r="AA47" s="430"/>
      <c r="AB47" s="430"/>
      <c r="AC47" s="430"/>
      <c r="AD47" s="430"/>
      <c r="AE47" s="430"/>
      <c r="AF47" s="430"/>
      <c r="AG47" s="430"/>
      <c r="AH47" s="430"/>
      <c r="AI47" s="430"/>
      <c r="AJ47" s="430"/>
      <c r="AK47" s="430"/>
      <c r="AL47" s="430"/>
      <c r="AM47" s="430"/>
      <c r="AN47" s="430"/>
      <c r="AO47" s="430"/>
      <c r="AP47" s="430"/>
      <c r="AQ47" s="430"/>
      <c r="AR47" s="430"/>
      <c r="AS47" s="430"/>
      <c r="AT47" s="430"/>
      <c r="AU47" s="430"/>
      <c r="AV47" s="430"/>
      <c r="AW47" s="430"/>
      <c r="AX47" s="430"/>
    </row>
    <row r="48" spans="1:50">
      <c r="A48" s="548" t="s">
        <v>882</v>
      </c>
      <c r="B48" s="442" t="s">
        <v>18</v>
      </c>
      <c r="C48" s="442" t="s">
        <v>898</v>
      </c>
      <c r="D48" s="430"/>
      <c r="E48" s="501"/>
      <c r="F48" s="501"/>
      <c r="G48" s="501"/>
      <c r="H48" s="501"/>
      <c r="I48" s="501"/>
      <c r="J48" s="501"/>
      <c r="K48" s="501"/>
      <c r="L48" s="551">
        <v>-42250</v>
      </c>
      <c r="M48" s="551">
        <v>-42250</v>
      </c>
      <c r="N48" s="551">
        <v>-42250</v>
      </c>
      <c r="O48" s="551">
        <v>-42250</v>
      </c>
      <c r="P48" s="551">
        <v>0</v>
      </c>
      <c r="Q48" s="551">
        <f t="shared" ref="Q48:W48" si="6">-SUM(Q35:Q45)</f>
        <v>0</v>
      </c>
      <c r="R48" s="551">
        <f t="shared" si="6"/>
        <v>0</v>
      </c>
      <c r="S48" s="551">
        <f t="shared" si="6"/>
        <v>0</v>
      </c>
      <c r="T48" s="501">
        <f t="shared" si="6"/>
        <v>0</v>
      </c>
      <c r="U48" s="501">
        <f t="shared" si="6"/>
        <v>0</v>
      </c>
      <c r="V48" s="501">
        <f t="shared" si="6"/>
        <v>0</v>
      </c>
      <c r="W48" s="501">
        <f t="shared" si="6"/>
        <v>0</v>
      </c>
      <c r="X48" s="552" t="s">
        <v>865</v>
      </c>
      <c r="Y48" s="532"/>
      <c r="Z48" s="532"/>
      <c r="AA48" s="430"/>
      <c r="AB48" s="430"/>
      <c r="AC48" s="501"/>
      <c r="AD48" s="501"/>
      <c r="AE48" s="501"/>
      <c r="AF48" s="501"/>
      <c r="AG48" s="501"/>
      <c r="AH48" s="501"/>
      <c r="AI48" s="501"/>
      <c r="AJ48" s="430"/>
      <c r="AK48" s="430"/>
      <c r="AL48" s="430"/>
      <c r="AM48" s="430"/>
      <c r="AN48" s="430"/>
      <c r="AO48" s="430"/>
      <c r="AP48" s="430"/>
      <c r="AQ48" s="430"/>
      <c r="AR48" s="430"/>
      <c r="AS48" s="430"/>
      <c r="AT48" s="430"/>
      <c r="AU48" s="430"/>
      <c r="AV48" s="430"/>
      <c r="AW48" s="430"/>
      <c r="AX48" s="430"/>
    </row>
    <row r="49" spans="1:50" ht="15" customHeight="1">
      <c r="A49" s="548" t="s">
        <v>899</v>
      </c>
      <c r="B49" s="442" t="s">
        <v>18</v>
      </c>
      <c r="C49" s="442" t="s">
        <v>900</v>
      </c>
      <c r="D49" s="430"/>
      <c r="E49" s="432"/>
      <c r="F49" s="501"/>
      <c r="G49" s="501"/>
      <c r="H49" s="501"/>
      <c r="I49" s="501"/>
      <c r="J49" s="501"/>
      <c r="K49" s="501"/>
      <c r="L49" s="560"/>
      <c r="M49" s="560"/>
      <c r="N49" s="560"/>
      <c r="O49" s="561"/>
      <c r="P49" s="561"/>
      <c r="Q49" s="561"/>
      <c r="R49" s="561"/>
      <c r="S49" s="561">
        <v>169000</v>
      </c>
      <c r="T49" s="484">
        <v>0</v>
      </c>
      <c r="U49" s="484">
        <v>0</v>
      </c>
      <c r="V49" s="492">
        <v>0</v>
      </c>
      <c r="W49" s="492">
        <v>0</v>
      </c>
      <c r="X49" s="501"/>
      <c r="Y49" s="532"/>
      <c r="Z49" s="532"/>
      <c r="AA49" s="484"/>
      <c r="AB49" s="484"/>
      <c r="AC49" s="484"/>
      <c r="AD49" s="484"/>
      <c r="AE49" s="484"/>
      <c r="AF49" s="484"/>
      <c r="AG49" s="484"/>
      <c r="AH49" s="484"/>
      <c r="AI49" s="484"/>
      <c r="AJ49" s="430"/>
      <c r="AK49" s="430"/>
      <c r="AL49" s="430"/>
      <c r="AM49" s="430"/>
      <c r="AN49" s="430"/>
      <c r="AO49" s="430"/>
      <c r="AP49" s="430"/>
      <c r="AQ49" s="430"/>
      <c r="AR49" s="430"/>
      <c r="AS49" s="430"/>
      <c r="AT49" s="430"/>
      <c r="AU49" s="430"/>
      <c r="AV49" s="430"/>
      <c r="AW49" s="430"/>
      <c r="AX49" s="430"/>
    </row>
    <row r="50" spans="1:50">
      <c r="A50" s="548" t="s">
        <v>901</v>
      </c>
      <c r="B50" s="442" t="s">
        <v>34</v>
      </c>
      <c r="C50" s="442" t="s">
        <v>902</v>
      </c>
      <c r="D50" s="430"/>
      <c r="E50" s="501"/>
      <c r="F50" s="501"/>
      <c r="G50" s="501"/>
      <c r="H50" s="501"/>
      <c r="I50" s="501"/>
      <c r="J50" s="501"/>
      <c r="K50" s="501"/>
      <c r="L50" s="501">
        <f>+L48+E50+L49</f>
        <v>-42250</v>
      </c>
      <c r="M50" s="501">
        <f t="shared" ref="M50:W50" si="7">+M48+L50+M49</f>
        <v>-84500</v>
      </c>
      <c r="N50" s="501">
        <f t="shared" si="7"/>
        <v>-126750</v>
      </c>
      <c r="O50" s="501">
        <f t="shared" si="7"/>
        <v>-169000</v>
      </c>
      <c r="P50" s="501">
        <f t="shared" si="7"/>
        <v>-169000</v>
      </c>
      <c r="Q50" s="501">
        <f t="shared" si="7"/>
        <v>-169000</v>
      </c>
      <c r="R50" s="501">
        <f t="shared" si="7"/>
        <v>-169000</v>
      </c>
      <c r="S50" s="501">
        <f t="shared" si="7"/>
        <v>0</v>
      </c>
      <c r="T50" s="501">
        <f t="shared" si="7"/>
        <v>0</v>
      </c>
      <c r="U50" s="501">
        <f t="shared" si="7"/>
        <v>0</v>
      </c>
      <c r="V50" s="501">
        <f t="shared" si="7"/>
        <v>0</v>
      </c>
      <c r="W50" s="501">
        <f t="shared" si="7"/>
        <v>0</v>
      </c>
      <c r="X50" s="501"/>
      <c r="Y50" s="532"/>
      <c r="Z50" s="532"/>
      <c r="AA50" s="430"/>
      <c r="AB50" s="478"/>
      <c r="AC50" s="430"/>
      <c r="AD50" s="430"/>
      <c r="AE50" s="430"/>
      <c r="AF50" s="430"/>
      <c r="AG50" s="430"/>
      <c r="AH50" s="430"/>
      <c r="AI50" s="430"/>
      <c r="AJ50" s="430"/>
      <c r="AK50" s="430"/>
      <c r="AL50" s="430"/>
      <c r="AM50" s="430"/>
      <c r="AN50" s="430"/>
      <c r="AO50" s="430"/>
      <c r="AP50" s="430"/>
      <c r="AQ50" s="430"/>
      <c r="AR50" s="430"/>
      <c r="AS50" s="430"/>
      <c r="AT50" s="430"/>
      <c r="AU50" s="430"/>
      <c r="AV50" s="430"/>
      <c r="AW50" s="430"/>
      <c r="AX50" s="430"/>
    </row>
    <row r="51" spans="1:50">
      <c r="A51" s="540"/>
      <c r="B51" s="430"/>
      <c r="C51" s="430"/>
      <c r="D51" s="430"/>
      <c r="E51" s="501"/>
      <c r="F51" s="501"/>
      <c r="G51" s="501"/>
      <c r="H51" s="501"/>
      <c r="I51" s="501"/>
      <c r="J51" s="501"/>
      <c r="K51" s="501"/>
      <c r="L51" s="501"/>
      <c r="M51" s="501"/>
      <c r="N51" s="501"/>
      <c r="O51" s="501"/>
      <c r="P51" s="501"/>
      <c r="Q51" s="501"/>
      <c r="R51" s="501"/>
      <c r="S51" s="501"/>
      <c r="T51" s="501"/>
      <c r="U51" s="501"/>
      <c r="V51" s="501"/>
      <c r="W51" s="501"/>
      <c r="X51" s="501"/>
      <c r="Y51" s="532"/>
      <c r="Z51" s="532"/>
      <c r="AA51" s="430"/>
      <c r="AB51" s="478"/>
      <c r="AC51" s="430"/>
      <c r="AD51" s="430"/>
      <c r="AE51" s="430"/>
      <c r="AF51" s="430"/>
      <c r="AG51" s="430"/>
      <c r="AH51" s="430"/>
      <c r="AI51" s="430"/>
      <c r="AJ51" s="430"/>
      <c r="AK51" s="430"/>
      <c r="AL51" s="430"/>
      <c r="AM51" s="430"/>
      <c r="AN51" s="430"/>
      <c r="AO51" s="430"/>
      <c r="AP51" s="430"/>
      <c r="AQ51" s="430"/>
      <c r="AR51" s="430"/>
      <c r="AS51" s="430"/>
      <c r="AT51" s="430"/>
      <c r="AU51" s="430"/>
      <c r="AV51" s="430"/>
      <c r="AW51" s="430"/>
      <c r="AX51" s="430"/>
    </row>
    <row r="52" spans="1:50">
      <c r="A52" s="548" t="s">
        <v>903</v>
      </c>
      <c r="B52" s="442" t="s">
        <v>34</v>
      </c>
      <c r="C52" s="442" t="s">
        <v>904</v>
      </c>
      <c r="D52" s="430"/>
      <c r="E52" s="432"/>
      <c r="F52" s="501"/>
      <c r="G52" s="501"/>
      <c r="H52" s="501"/>
      <c r="I52" s="501"/>
      <c r="J52" s="501"/>
      <c r="K52" s="501"/>
      <c r="L52" s="566">
        <f t="shared" ref="L52:W52" si="8">+L46+L48</f>
        <v>47750</v>
      </c>
      <c r="M52" s="562">
        <f t="shared" si="8"/>
        <v>47750</v>
      </c>
      <c r="N52" s="562">
        <f t="shared" si="8"/>
        <v>47750</v>
      </c>
      <c r="O52" s="562">
        <f t="shared" si="8"/>
        <v>47750</v>
      </c>
      <c r="P52" s="562">
        <f t="shared" si="8"/>
        <v>0</v>
      </c>
      <c r="Q52" s="562">
        <f t="shared" si="8"/>
        <v>0</v>
      </c>
      <c r="R52" s="562">
        <f t="shared" si="8"/>
        <v>0</v>
      </c>
      <c r="S52" s="562">
        <f t="shared" si="8"/>
        <v>0</v>
      </c>
      <c r="T52" s="484">
        <f t="shared" si="8"/>
        <v>0</v>
      </c>
      <c r="U52" s="484">
        <f t="shared" si="8"/>
        <v>0</v>
      </c>
      <c r="V52" s="492">
        <f t="shared" si="8"/>
        <v>0</v>
      </c>
      <c r="W52" s="492">
        <f t="shared" si="8"/>
        <v>0</v>
      </c>
      <c r="X52" s="501"/>
      <c r="Y52" s="532"/>
      <c r="Z52" s="532"/>
      <c r="AA52" s="484"/>
      <c r="AB52" s="484"/>
      <c r="AC52" s="484"/>
      <c r="AD52" s="484"/>
      <c r="AE52" s="484"/>
      <c r="AF52" s="484"/>
      <c r="AG52" s="484"/>
      <c r="AH52" s="484"/>
      <c r="AI52" s="484"/>
      <c r="AJ52" s="430"/>
      <c r="AK52" s="430"/>
      <c r="AL52" s="430"/>
      <c r="AM52" s="430"/>
      <c r="AN52" s="430"/>
      <c r="AO52" s="430"/>
      <c r="AP52" s="430"/>
      <c r="AQ52" s="430"/>
      <c r="AR52" s="430"/>
      <c r="AS52" s="430"/>
      <c r="AT52" s="430"/>
      <c r="AU52" s="430"/>
      <c r="AV52" s="430"/>
      <c r="AW52" s="430"/>
      <c r="AX52" s="430"/>
    </row>
    <row r="53" spans="1:50">
      <c r="A53" s="548" t="s">
        <v>905</v>
      </c>
      <c r="B53" s="442" t="s">
        <v>34</v>
      </c>
      <c r="C53" s="442" t="s">
        <v>906</v>
      </c>
      <c r="D53" s="430"/>
      <c r="E53" s="562"/>
      <c r="F53" s="430"/>
      <c r="G53" s="430"/>
      <c r="H53" s="430"/>
      <c r="I53" s="430"/>
      <c r="J53" s="430"/>
      <c r="K53" s="430"/>
      <c r="L53" s="562">
        <f t="shared" ref="L53:W53" si="9">+L49+L52</f>
        <v>47750</v>
      </c>
      <c r="M53" s="562">
        <f t="shared" si="9"/>
        <v>47750</v>
      </c>
      <c r="N53" s="562">
        <f t="shared" si="9"/>
        <v>47750</v>
      </c>
      <c r="O53" s="562">
        <f t="shared" si="9"/>
        <v>47750</v>
      </c>
      <c r="P53" s="562">
        <f t="shared" si="9"/>
        <v>0</v>
      </c>
      <c r="Q53" s="562">
        <f t="shared" si="9"/>
        <v>0</v>
      </c>
      <c r="R53" s="562">
        <f t="shared" si="9"/>
        <v>0</v>
      </c>
      <c r="S53" s="562">
        <f t="shared" si="9"/>
        <v>169000</v>
      </c>
      <c r="T53" s="492">
        <f t="shared" si="9"/>
        <v>0</v>
      </c>
      <c r="U53" s="492">
        <f t="shared" si="9"/>
        <v>0</v>
      </c>
      <c r="V53" s="492">
        <f t="shared" si="9"/>
        <v>0</v>
      </c>
      <c r="W53" s="492">
        <f t="shared" si="9"/>
        <v>0</v>
      </c>
      <c r="X53" s="501"/>
      <c r="Y53" s="532"/>
      <c r="Z53" s="532"/>
      <c r="AA53" s="484"/>
      <c r="AB53" s="484"/>
      <c r="AC53" s="484"/>
      <c r="AD53" s="484"/>
      <c r="AE53" s="484"/>
      <c r="AF53" s="484"/>
      <c r="AG53" s="484"/>
      <c r="AH53" s="484"/>
      <c r="AI53" s="484"/>
      <c r="AJ53" s="430"/>
      <c r="AK53" s="430"/>
      <c r="AL53" s="430"/>
      <c r="AM53" s="430"/>
      <c r="AN53" s="430"/>
      <c r="AO53" s="430"/>
      <c r="AP53" s="430"/>
      <c r="AQ53" s="430"/>
      <c r="AR53" s="430"/>
      <c r="AS53" s="430"/>
      <c r="AT53" s="430"/>
      <c r="AU53" s="430"/>
      <c r="AV53" s="430"/>
      <c r="AW53" s="430"/>
      <c r="AX53" s="430"/>
    </row>
    <row r="54" spans="1:50">
      <c r="A54" s="430"/>
      <c r="B54" s="430"/>
      <c r="C54" s="430"/>
      <c r="D54" s="430"/>
      <c r="E54" s="501"/>
      <c r="F54" s="430"/>
      <c r="G54" s="430"/>
      <c r="H54" s="430"/>
      <c r="I54" s="430"/>
      <c r="J54" s="430"/>
      <c r="K54" s="430"/>
      <c r="L54" s="501"/>
      <c r="M54" s="501"/>
      <c r="N54" s="501"/>
      <c r="O54" s="501"/>
      <c r="P54" s="501"/>
      <c r="Q54" s="501"/>
      <c r="R54" s="501"/>
      <c r="S54" s="501"/>
      <c r="T54" s="501"/>
      <c r="U54" s="501"/>
      <c r="V54" s="501"/>
      <c r="W54" s="501"/>
      <c r="X54" s="430"/>
      <c r="Y54" s="532"/>
      <c r="Z54" s="532"/>
      <c r="AA54" s="430"/>
      <c r="AB54" s="430"/>
      <c r="AC54" s="430"/>
      <c r="AD54" s="430"/>
      <c r="AE54" s="430"/>
      <c r="AF54" s="430"/>
      <c r="AG54" s="430"/>
      <c r="AH54" s="430"/>
      <c r="AI54" s="430"/>
      <c r="AJ54" s="430"/>
      <c r="AK54" s="430"/>
      <c r="AL54" s="430"/>
      <c r="AM54" s="430"/>
      <c r="AN54" s="430"/>
      <c r="AO54" s="430"/>
      <c r="AP54" s="430"/>
      <c r="AQ54" s="430"/>
      <c r="AR54" s="430"/>
      <c r="AS54" s="430"/>
      <c r="AT54" s="430"/>
      <c r="AU54" s="430"/>
      <c r="AV54" s="430"/>
      <c r="AW54" s="430"/>
      <c r="AX54" s="430"/>
    </row>
    <row r="55" spans="1:50">
      <c r="A55" s="548" t="s">
        <v>907</v>
      </c>
      <c r="B55" s="430"/>
      <c r="C55" s="442" t="s">
        <v>908</v>
      </c>
      <c r="D55" s="430"/>
      <c r="E55" s="501"/>
      <c r="F55" s="430"/>
      <c r="G55" s="430"/>
      <c r="H55" s="430"/>
      <c r="I55" s="430"/>
      <c r="J55" s="430"/>
      <c r="K55" s="430"/>
      <c r="L55" s="501"/>
      <c r="M55" s="501"/>
      <c r="N55" s="501"/>
      <c r="O55" s="501"/>
      <c r="P55" s="501"/>
      <c r="Q55" s="501"/>
      <c r="R55" s="501"/>
      <c r="S55" s="501"/>
      <c r="T55" s="501"/>
      <c r="U55" s="501"/>
      <c r="V55" s="501"/>
      <c r="W55" s="501"/>
      <c r="X55" s="430"/>
      <c r="Y55" s="532"/>
      <c r="Z55" s="532"/>
      <c r="AA55" s="430"/>
      <c r="AB55" s="430"/>
      <c r="AC55" s="430"/>
      <c r="AD55" s="430"/>
      <c r="AE55" s="430"/>
      <c r="AF55" s="430"/>
      <c r="AG55" s="430"/>
      <c r="AH55" s="430"/>
      <c r="AI55" s="430"/>
      <c r="AJ55" s="430"/>
      <c r="AK55" s="430"/>
      <c r="AL55" s="430"/>
      <c r="AM55" s="430"/>
      <c r="AN55" s="430"/>
      <c r="AO55" s="430"/>
      <c r="AP55" s="430"/>
      <c r="AQ55" s="430"/>
      <c r="AR55" s="430"/>
      <c r="AS55" s="430"/>
      <c r="AT55" s="430"/>
      <c r="AU55" s="430"/>
      <c r="AV55" s="430"/>
      <c r="AW55" s="430"/>
      <c r="AX55" s="430"/>
    </row>
    <row r="56" spans="1:50">
      <c r="A56" s="548" t="s">
        <v>909</v>
      </c>
      <c r="B56" s="442" t="s">
        <v>34</v>
      </c>
      <c r="C56" s="442" t="s">
        <v>910</v>
      </c>
      <c r="D56" s="430"/>
      <c r="E56" s="567"/>
      <c r="F56" s="430"/>
      <c r="G56" s="430"/>
      <c r="H56" s="430"/>
      <c r="I56" s="430"/>
      <c r="J56" s="430"/>
      <c r="K56" s="430"/>
      <c r="L56" s="567">
        <f>1/(1-'c12_inputs'!$E$7)</f>
        <v>1.0526315789473684</v>
      </c>
      <c r="M56" s="567">
        <f>1/(1-'c12_inputs'!$E$7)</f>
        <v>1.0526315789473684</v>
      </c>
      <c r="N56" s="567">
        <f>1/(1-'c12_inputs'!$E$7)</f>
        <v>1.0526315789473684</v>
      </c>
      <c r="O56" s="567">
        <f>1/(1-'c12_inputs'!$E$7)</f>
        <v>1.0526315789473684</v>
      </c>
      <c r="P56" s="567">
        <f>1/(1-'c12_inputs'!$E$7)</f>
        <v>1.0526315789473684</v>
      </c>
      <c r="Q56" s="567">
        <f>1/(1-'c12_inputs'!$E$7)</f>
        <v>1.0526315789473684</v>
      </c>
      <c r="R56" s="567">
        <f>1/(1-'c12_inputs'!$E$7)</f>
        <v>1.0526315789473684</v>
      </c>
      <c r="S56" s="567">
        <f>1/(1-'c12_inputs'!$E$7)</f>
        <v>1.0526315789473684</v>
      </c>
      <c r="T56" s="567">
        <f>1/(1-'c12_inputs'!$E$7)</f>
        <v>1.0526315789473684</v>
      </c>
      <c r="U56" s="567">
        <f>1/(1-'c12_inputs'!$E$7)</f>
        <v>1.0526315789473684</v>
      </c>
      <c r="V56" s="567">
        <f>1/(1-'c12_inputs'!$E$7)</f>
        <v>1.0526315789473684</v>
      </c>
      <c r="W56" s="567">
        <f>1/(1-'c12_inputs'!$E$7)</f>
        <v>1.0526315789473684</v>
      </c>
      <c r="X56" s="501"/>
      <c r="Y56" s="532"/>
      <c r="Z56" s="532"/>
      <c r="AA56" s="430"/>
      <c r="AB56" s="430"/>
      <c r="AC56" s="430"/>
      <c r="AD56" s="484"/>
      <c r="AE56" s="484"/>
      <c r="AF56" s="484"/>
      <c r="AG56" s="484"/>
      <c r="AH56" s="484"/>
      <c r="AI56" s="484"/>
      <c r="AJ56" s="430"/>
      <c r="AK56" s="430"/>
      <c r="AL56" s="430"/>
      <c r="AM56" s="430"/>
      <c r="AN56" s="430"/>
      <c r="AO56" s="430"/>
      <c r="AP56" s="430"/>
      <c r="AQ56" s="430"/>
      <c r="AR56" s="430"/>
      <c r="AS56" s="430"/>
      <c r="AT56" s="430"/>
      <c r="AU56" s="430"/>
      <c r="AV56" s="430"/>
      <c r="AW56" s="430"/>
      <c r="AX56" s="430"/>
    </row>
    <row r="57" spans="1:50">
      <c r="A57" s="548" t="s">
        <v>911</v>
      </c>
      <c r="B57" s="633" t="s">
        <v>14</v>
      </c>
      <c r="C57" s="442" t="s">
        <v>912</v>
      </c>
      <c r="D57" s="430"/>
      <c r="E57" s="492"/>
      <c r="F57" s="626">
        <v>0</v>
      </c>
      <c r="G57" s="626">
        <v>0</v>
      </c>
      <c r="H57" s="626">
        <v>0</v>
      </c>
      <c r="I57" s="626">
        <v>0</v>
      </c>
      <c r="J57" s="430"/>
      <c r="K57" s="430"/>
      <c r="L57" s="627">
        <f>IF(AND((F57&lt;&gt;""),(L$2&lt;46204)),(F57),L78)</f>
        <v>0</v>
      </c>
      <c r="M57" s="627">
        <f t="shared" ref="M57:W57" si="10">IF(AND((G57&lt;&gt;""),(M$2&lt;46204)),(G57),M78)</f>
        <v>0</v>
      </c>
      <c r="N57" s="627">
        <f t="shared" si="10"/>
        <v>0</v>
      </c>
      <c r="O57" s="627">
        <f t="shared" si="10"/>
        <v>0</v>
      </c>
      <c r="P57" s="627">
        <f t="shared" si="10"/>
        <v>247680</v>
      </c>
      <c r="Q57" s="627">
        <f t="shared" si="10"/>
        <v>247680</v>
      </c>
      <c r="R57" s="627">
        <f t="shared" si="10"/>
        <v>290880</v>
      </c>
      <c r="S57" s="627">
        <f t="shared" si="10"/>
        <v>545435</v>
      </c>
      <c r="T57" s="627">
        <f t="shared" si="10"/>
        <v>1423270</v>
      </c>
      <c r="U57" s="627">
        <f t="shared" si="10"/>
        <v>1423270</v>
      </c>
      <c r="V57" s="627">
        <f t="shared" si="10"/>
        <v>1423270</v>
      </c>
      <c r="W57" s="627">
        <f t="shared" si="10"/>
        <v>1423270</v>
      </c>
      <c r="X57" s="501"/>
      <c r="Y57" s="532"/>
      <c r="Z57" s="532"/>
      <c r="AA57" s="430"/>
      <c r="AB57" s="430"/>
      <c r="AC57" s="430"/>
      <c r="AD57" s="484"/>
      <c r="AE57" s="484"/>
      <c r="AF57" s="484"/>
      <c r="AG57" s="484"/>
      <c r="AH57" s="484"/>
      <c r="AI57" s="484"/>
      <c r="AJ57" s="430"/>
      <c r="AK57" s="430"/>
      <c r="AL57" s="430"/>
      <c r="AM57" s="430"/>
      <c r="AN57" s="430"/>
      <c r="AO57" s="430"/>
      <c r="AP57" s="430"/>
      <c r="AQ57" s="430"/>
      <c r="AR57" s="430"/>
      <c r="AS57" s="430"/>
      <c r="AT57" s="430"/>
      <c r="AU57" s="430"/>
      <c r="AV57" s="430"/>
      <c r="AW57" s="430"/>
      <c r="AX57" s="430"/>
    </row>
    <row r="58" spans="1:50">
      <c r="A58" s="558" t="s">
        <v>913</v>
      </c>
      <c r="B58" s="442" t="s">
        <v>34</v>
      </c>
      <c r="C58" s="442" t="s">
        <v>914</v>
      </c>
      <c r="D58" s="430"/>
      <c r="E58" s="501"/>
      <c r="F58" s="430"/>
      <c r="G58" s="430"/>
      <c r="H58" s="430"/>
      <c r="I58" s="430"/>
      <c r="J58" s="430"/>
      <c r="K58" s="430"/>
      <c r="L58" s="501">
        <f t="shared" ref="L58:W58" si="11">L57*L56</f>
        <v>0</v>
      </c>
      <c r="M58" s="501">
        <f t="shared" si="11"/>
        <v>0</v>
      </c>
      <c r="N58" s="501">
        <f t="shared" si="11"/>
        <v>0</v>
      </c>
      <c r="O58" s="501">
        <f t="shared" si="11"/>
        <v>0</v>
      </c>
      <c r="P58" s="501">
        <f t="shared" si="11"/>
        <v>260715.78947368418</v>
      </c>
      <c r="Q58" s="501">
        <f t="shared" si="11"/>
        <v>260715.78947368418</v>
      </c>
      <c r="R58" s="501">
        <f t="shared" si="11"/>
        <v>306189.4736842105</v>
      </c>
      <c r="S58" s="501">
        <f t="shared" si="11"/>
        <v>574142.10526315786</v>
      </c>
      <c r="T58" s="501">
        <f t="shared" si="11"/>
        <v>1498178.9473684209</v>
      </c>
      <c r="U58" s="501">
        <f t="shared" si="11"/>
        <v>1498178.9473684209</v>
      </c>
      <c r="V58" s="501">
        <f t="shared" si="11"/>
        <v>1498178.9473684209</v>
      </c>
      <c r="W58" s="501">
        <f t="shared" si="11"/>
        <v>1498178.9473684209</v>
      </c>
      <c r="X58" s="501"/>
      <c r="Y58" s="532"/>
      <c r="Z58" s="532"/>
      <c r="AA58" s="430"/>
      <c r="AB58" s="430"/>
      <c r="AC58" s="430"/>
      <c r="AD58" s="484"/>
      <c r="AE58" s="484"/>
      <c r="AF58" s="484"/>
      <c r="AG58" s="484"/>
      <c r="AH58" s="484"/>
      <c r="AI58" s="484"/>
      <c r="AJ58" s="430"/>
      <c r="AK58" s="430"/>
      <c r="AL58" s="430"/>
      <c r="AM58" s="430"/>
      <c r="AN58" s="430"/>
      <c r="AO58" s="430"/>
      <c r="AP58" s="430"/>
      <c r="AQ58" s="430"/>
      <c r="AR58" s="430"/>
      <c r="AS58" s="430"/>
      <c r="AT58" s="430"/>
      <c r="AU58" s="430"/>
      <c r="AV58" s="430"/>
      <c r="AW58" s="430"/>
      <c r="AX58" s="430"/>
    </row>
    <row r="59" spans="1:50" ht="15" customHeight="1" thickBot="1">
      <c r="A59" s="430"/>
      <c r="B59" s="430"/>
      <c r="C59" s="430"/>
      <c r="D59" s="430"/>
      <c r="E59" s="501"/>
      <c r="F59" s="430"/>
      <c r="G59" s="430"/>
      <c r="H59" s="430"/>
      <c r="I59" s="430"/>
      <c r="J59" s="430"/>
      <c r="K59" s="430"/>
      <c r="L59" s="501"/>
      <c r="M59" s="501"/>
      <c r="N59" s="501"/>
      <c r="O59" s="501"/>
      <c r="P59" s="501"/>
      <c r="Q59" s="501"/>
      <c r="R59" s="501"/>
      <c r="S59" s="501"/>
      <c r="T59" s="501"/>
      <c r="U59" s="501"/>
      <c r="V59" s="501"/>
      <c r="W59" s="501"/>
      <c r="X59" s="501"/>
      <c r="Y59" s="532"/>
      <c r="Z59" s="532"/>
      <c r="AA59" s="484"/>
      <c r="AB59" s="484"/>
      <c r="AC59" s="484"/>
      <c r="AD59" s="484"/>
      <c r="AE59" s="484"/>
      <c r="AF59" s="484"/>
      <c r="AG59" s="484"/>
      <c r="AH59" s="484"/>
      <c r="AI59" s="484"/>
      <c r="AJ59" s="430"/>
      <c r="AK59" s="430"/>
      <c r="AL59" s="430"/>
      <c r="AM59" s="430"/>
      <c r="AN59" s="430"/>
      <c r="AO59" s="430"/>
      <c r="AP59" s="430"/>
      <c r="AQ59" s="430"/>
      <c r="AR59" s="430"/>
      <c r="AS59" s="430"/>
      <c r="AT59" s="430"/>
      <c r="AU59" s="430"/>
      <c r="AV59" s="430"/>
      <c r="AW59" s="430"/>
      <c r="AX59" s="430"/>
    </row>
    <row r="60" spans="1:50" s="418" customFormat="1" ht="15.5" customHeight="1" thickTop="1" thickBot="1">
      <c r="A60" s="558" t="s">
        <v>915</v>
      </c>
      <c r="B60" s="535" t="s">
        <v>14</v>
      </c>
      <c r="C60" s="442" t="s">
        <v>916</v>
      </c>
      <c r="D60" s="432"/>
      <c r="E60" s="568"/>
      <c r="F60" s="430"/>
      <c r="G60" s="430"/>
      <c r="H60" s="430"/>
      <c r="I60" s="430"/>
      <c r="J60" s="430"/>
      <c r="K60" s="430"/>
      <c r="L60" s="569">
        <f t="shared" ref="L60:W60" si="12">+L53+L32+L58</f>
        <v>558947</v>
      </c>
      <c r="M60" s="569">
        <f t="shared" si="12"/>
        <v>558947</v>
      </c>
      <c r="N60" s="569">
        <f t="shared" si="12"/>
        <v>558947</v>
      </c>
      <c r="O60" s="569">
        <f t="shared" si="12"/>
        <v>447597</v>
      </c>
      <c r="P60" s="569">
        <f t="shared" si="12"/>
        <v>310715.78947368416</v>
      </c>
      <c r="Q60" s="569">
        <f t="shared" si="12"/>
        <v>902637.28947368416</v>
      </c>
      <c r="R60" s="569">
        <f t="shared" si="12"/>
        <v>948110.97368421056</v>
      </c>
      <c r="S60" s="569">
        <f t="shared" si="12"/>
        <v>2385063.6052631577</v>
      </c>
      <c r="T60" s="568">
        <f t="shared" si="12"/>
        <v>4592895.5273684207</v>
      </c>
      <c r="U60" s="568">
        <f t="shared" si="12"/>
        <v>6222237.0247684205</v>
      </c>
      <c r="V60" s="568">
        <f t="shared" si="12"/>
        <v>8981799.0470904205</v>
      </c>
      <c r="W60" s="568">
        <f t="shared" si="12"/>
        <v>8232869.9536977708</v>
      </c>
      <c r="X60" s="430"/>
      <c r="Y60" s="532"/>
      <c r="Z60" s="430"/>
      <c r="AA60" s="430"/>
      <c r="AB60" s="430"/>
      <c r="AC60" s="430"/>
      <c r="AD60" s="430"/>
      <c r="AE60" s="430"/>
      <c r="AF60" s="430"/>
      <c r="AG60" s="430"/>
      <c r="AH60" s="430"/>
      <c r="AI60" s="430"/>
      <c r="AJ60" s="430"/>
      <c r="AK60" s="430"/>
      <c r="AL60" s="430"/>
      <c r="AM60" s="430"/>
      <c r="AN60" s="430"/>
      <c r="AO60" s="430"/>
      <c r="AP60" s="430"/>
      <c r="AQ60" s="430"/>
      <c r="AR60" s="430"/>
      <c r="AS60" s="430"/>
      <c r="AT60" s="430"/>
      <c r="AU60" s="430"/>
      <c r="AV60" s="430"/>
      <c r="AW60" s="430"/>
      <c r="AX60" s="430"/>
    </row>
    <row r="61" spans="1:50" s="41" customFormat="1" ht="15" customHeight="1" thickTop="1">
      <c r="A61" s="570"/>
      <c r="B61" s="431"/>
      <c r="C61" s="432"/>
      <c r="D61" s="432"/>
      <c r="E61" s="501"/>
      <c r="F61" s="430"/>
      <c r="G61" s="430"/>
      <c r="H61" s="430"/>
      <c r="I61" s="430"/>
      <c r="J61" s="430"/>
      <c r="K61" s="430"/>
      <c r="L61" s="501"/>
      <c r="M61" s="501"/>
      <c r="N61" s="501"/>
      <c r="O61" s="501"/>
      <c r="P61" s="501"/>
      <c r="Q61" s="501"/>
      <c r="R61" s="501"/>
      <c r="S61" s="501"/>
      <c r="T61" s="501"/>
      <c r="U61" s="501"/>
      <c r="V61" s="501"/>
      <c r="W61" s="501"/>
      <c r="X61" s="430"/>
      <c r="Y61" s="532"/>
      <c r="Z61" s="430"/>
      <c r="AA61" s="430"/>
      <c r="AB61" s="430"/>
      <c r="AC61" s="430"/>
      <c r="AD61" s="430"/>
      <c r="AE61" s="430"/>
      <c r="AF61" s="430"/>
      <c r="AG61" s="430"/>
      <c r="AH61" s="430"/>
      <c r="AI61" s="430"/>
      <c r="AJ61" s="430"/>
      <c r="AK61" s="430"/>
      <c r="AL61" s="430"/>
      <c r="AM61" s="430"/>
      <c r="AN61" s="430"/>
      <c r="AO61" s="430"/>
      <c r="AP61" s="430"/>
      <c r="AQ61" s="430"/>
      <c r="AR61" s="430"/>
      <c r="AS61" s="430"/>
      <c r="AT61" s="430"/>
      <c r="AU61" s="430"/>
      <c r="AV61" s="430"/>
      <c r="AW61" s="430"/>
      <c r="AX61" s="430"/>
    </row>
    <row r="62" spans="1:50">
      <c r="A62" s="558" t="s">
        <v>917</v>
      </c>
      <c r="B62" s="442" t="s">
        <v>14</v>
      </c>
      <c r="C62" s="442" t="s">
        <v>918</v>
      </c>
      <c r="D62" s="430"/>
      <c r="E62" s="501"/>
      <c r="F62" s="430"/>
      <c r="G62" s="430"/>
      <c r="H62" s="430"/>
      <c r="I62" s="430"/>
      <c r="J62" s="430"/>
      <c r="K62" s="430"/>
      <c r="L62" s="571">
        <f t="shared" ref="L62:W62" si="13">+L29+L50</f>
        <v>-113077.75</v>
      </c>
      <c r="M62" s="571">
        <f t="shared" si="13"/>
        <v>-226155.5</v>
      </c>
      <c r="N62" s="571">
        <f t="shared" si="13"/>
        <v>-339233.25</v>
      </c>
      <c r="O62" s="571">
        <f t="shared" si="13"/>
        <v>-563661</v>
      </c>
      <c r="P62" s="571">
        <f t="shared" si="13"/>
        <v>-1162988.5925</v>
      </c>
      <c r="Q62" s="571">
        <f t="shared" si="13"/>
        <v>-1170394.6850000001</v>
      </c>
      <c r="R62" s="571">
        <f t="shared" si="13"/>
        <v>-1177800.7775000001</v>
      </c>
      <c r="S62" s="571">
        <f t="shared" si="13"/>
        <v>-16206.870000000112</v>
      </c>
      <c r="T62" s="501">
        <f t="shared" si="13"/>
        <v>-1046719.9711</v>
      </c>
      <c r="U62" s="501">
        <f t="shared" si="13"/>
        <v>-1078148.4652329998</v>
      </c>
      <c r="V62" s="501">
        <f t="shared" si="13"/>
        <v>-110519.81418999005</v>
      </c>
      <c r="W62" s="501">
        <f t="shared" si="13"/>
        <v>0</v>
      </c>
      <c r="X62" s="501"/>
      <c r="Y62" s="532"/>
      <c r="Z62" s="532"/>
      <c r="AA62" s="430"/>
      <c r="AB62" s="430"/>
      <c r="AC62" s="430"/>
      <c r="AD62" s="430"/>
      <c r="AE62" s="430"/>
      <c r="AF62" s="430"/>
      <c r="AG62" s="430"/>
      <c r="AH62" s="430"/>
      <c r="AI62" s="430"/>
      <c r="AJ62" s="430"/>
      <c r="AK62" s="430"/>
      <c r="AL62" s="430"/>
      <c r="AM62" s="430"/>
      <c r="AN62" s="430"/>
      <c r="AO62" s="430"/>
      <c r="AP62" s="430"/>
      <c r="AQ62" s="430"/>
      <c r="AR62" s="430"/>
      <c r="AS62" s="430"/>
      <c r="AT62" s="430"/>
      <c r="AU62" s="430"/>
      <c r="AV62" s="430"/>
      <c r="AW62" s="430"/>
      <c r="AX62" s="430"/>
    </row>
    <row r="63" spans="1:50" ht="15" customHeight="1">
      <c r="A63" s="430"/>
      <c r="B63" s="430"/>
      <c r="C63" s="430"/>
      <c r="D63" s="430"/>
      <c r="E63" s="501"/>
      <c r="F63" s="430"/>
      <c r="G63" s="430"/>
      <c r="H63" s="430"/>
      <c r="I63" s="430"/>
      <c r="J63" s="430"/>
      <c r="K63" s="430"/>
      <c r="L63" s="501"/>
      <c r="M63" s="501"/>
      <c r="N63" s="501"/>
      <c r="O63" s="501"/>
      <c r="P63" s="501"/>
      <c r="Q63" s="501"/>
      <c r="R63" s="501"/>
      <c r="S63" s="501"/>
      <c r="T63" s="501"/>
      <c r="U63" s="501"/>
      <c r="V63" s="501"/>
      <c r="W63" s="501"/>
      <c r="X63" s="501"/>
      <c r="Y63" s="532"/>
      <c r="Z63" s="532"/>
      <c r="AA63" s="430"/>
      <c r="AB63" s="430"/>
      <c r="AC63" s="430"/>
      <c r="AD63" s="484"/>
      <c r="AE63" s="484"/>
      <c r="AF63" s="484"/>
      <c r="AG63" s="484"/>
      <c r="AH63" s="484"/>
      <c r="AI63" s="484"/>
      <c r="AJ63" s="430"/>
      <c r="AK63" s="430"/>
      <c r="AL63" s="430"/>
      <c r="AM63" s="430"/>
      <c r="AN63" s="430"/>
      <c r="AO63" s="430"/>
      <c r="AP63" s="430"/>
      <c r="AQ63" s="430"/>
      <c r="AR63" s="430"/>
      <c r="AS63" s="430"/>
      <c r="AT63" s="430"/>
      <c r="AU63" s="430"/>
      <c r="AV63" s="430"/>
      <c r="AW63" s="430"/>
      <c r="AX63" s="430"/>
    </row>
    <row r="64" spans="1:50" ht="15" customHeight="1">
      <c r="A64" s="548" t="s">
        <v>919</v>
      </c>
      <c r="B64" s="442" t="s">
        <v>34</v>
      </c>
      <c r="C64" s="442" t="s">
        <v>920</v>
      </c>
      <c r="D64" s="430"/>
      <c r="E64" s="523"/>
      <c r="F64" s="430"/>
      <c r="G64" s="430"/>
      <c r="H64" s="430"/>
      <c r="I64" s="430"/>
      <c r="J64" s="430"/>
      <c r="K64" s="430"/>
      <c r="L64" s="523">
        <f>'c12_inputs'!$E$8</f>
        <v>0.35</v>
      </c>
      <c r="M64" s="523">
        <f>'c12_inputs'!$E$8</f>
        <v>0.35</v>
      </c>
      <c r="N64" s="523">
        <f>'c12_inputs'!$E$8</f>
        <v>0.35</v>
      </c>
      <c r="O64" s="523">
        <f>'c12_inputs'!$E$8</f>
        <v>0.35</v>
      </c>
      <c r="P64" s="523">
        <f>'c12_inputs'!$E$8</f>
        <v>0.35</v>
      </c>
      <c r="Q64" s="523">
        <f>'c12_inputs'!$E$8</f>
        <v>0.35</v>
      </c>
      <c r="R64" s="523">
        <f>'c12_inputs'!$E$8</f>
        <v>0.35</v>
      </c>
      <c r="S64" s="523">
        <f>'c12_inputs'!$E$8</f>
        <v>0.35</v>
      </c>
      <c r="T64" s="523">
        <f>'c12_inputs'!$E$8</f>
        <v>0.35</v>
      </c>
      <c r="U64" s="523">
        <f>'c12_inputs'!$E$8</f>
        <v>0.35</v>
      </c>
      <c r="V64" s="523">
        <f>'c12_inputs'!$E$8</f>
        <v>0.35</v>
      </c>
      <c r="W64" s="523">
        <f>'c12_inputs'!$E$8</f>
        <v>0.35</v>
      </c>
      <c r="X64" s="501"/>
      <c r="Y64" s="532"/>
      <c r="Z64" s="532"/>
      <c r="AA64" s="430"/>
      <c r="AB64" s="430"/>
      <c r="AC64" s="430"/>
      <c r="AD64" s="484"/>
      <c r="AE64" s="484"/>
      <c r="AF64" s="484"/>
      <c r="AG64" s="484"/>
      <c r="AH64" s="484"/>
      <c r="AI64" s="484"/>
      <c r="AJ64" s="430"/>
      <c r="AK64" s="430"/>
      <c r="AL64" s="430"/>
      <c r="AM64" s="430"/>
      <c r="AN64" s="430"/>
      <c r="AO64" s="430"/>
      <c r="AP64" s="430"/>
      <c r="AQ64" s="430"/>
      <c r="AR64" s="430"/>
      <c r="AS64" s="430"/>
      <c r="AT64" s="430"/>
      <c r="AU64" s="430"/>
      <c r="AV64" s="430"/>
      <c r="AW64" s="430"/>
      <c r="AX64" s="430"/>
    </row>
    <row r="65" spans="1:50" s="417" customFormat="1" ht="15" customHeight="1">
      <c r="A65" s="548" t="s">
        <v>921</v>
      </c>
      <c r="B65" s="535" t="s">
        <v>18</v>
      </c>
      <c r="C65" s="533" t="s">
        <v>922</v>
      </c>
      <c r="D65" s="432"/>
      <c r="E65" s="523"/>
      <c r="F65" s="430"/>
      <c r="G65" s="430"/>
      <c r="H65" s="430"/>
      <c r="I65" s="430"/>
      <c r="J65" s="430"/>
      <c r="K65" s="430"/>
      <c r="L65" s="446">
        <v>0.65</v>
      </c>
      <c r="M65" s="446">
        <v>0.65</v>
      </c>
      <c r="N65" s="446">
        <v>0.65</v>
      </c>
      <c r="O65" s="446">
        <v>0.65</v>
      </c>
      <c r="P65" s="446">
        <v>0</v>
      </c>
      <c r="Q65" s="446">
        <v>0</v>
      </c>
      <c r="R65" s="446">
        <v>0</v>
      </c>
      <c r="S65" s="446">
        <v>0</v>
      </c>
      <c r="T65" s="523">
        <v>0</v>
      </c>
      <c r="U65" s="523">
        <v>0</v>
      </c>
      <c r="V65" s="523">
        <v>0</v>
      </c>
      <c r="W65" s="523">
        <v>0</v>
      </c>
      <c r="X65" s="501"/>
      <c r="Y65" s="532"/>
      <c r="Z65" s="532"/>
      <c r="AA65" s="430"/>
      <c r="AB65" s="430"/>
      <c r="AC65" s="430"/>
      <c r="AD65" s="484"/>
      <c r="AE65" s="484"/>
      <c r="AF65" s="484"/>
      <c r="AG65" s="484"/>
      <c r="AH65" s="484"/>
      <c r="AI65" s="484"/>
      <c r="AJ65" s="430"/>
      <c r="AK65" s="430"/>
      <c r="AL65" s="430"/>
      <c r="AM65" s="430"/>
      <c r="AN65" s="430"/>
      <c r="AO65" s="430"/>
      <c r="AP65" s="430"/>
      <c r="AQ65" s="430"/>
      <c r="AR65" s="430"/>
      <c r="AS65" s="430"/>
      <c r="AT65" s="430"/>
      <c r="AU65" s="430"/>
      <c r="AV65" s="430"/>
      <c r="AW65" s="430"/>
      <c r="AX65" s="430"/>
    </row>
    <row r="66" spans="1:50" s="417" customFormat="1" ht="15" customHeight="1">
      <c r="A66" s="548" t="s">
        <v>923</v>
      </c>
      <c r="B66" s="535" t="s">
        <v>18</v>
      </c>
      <c r="C66" s="533" t="s">
        <v>924</v>
      </c>
      <c r="D66" s="432"/>
      <c r="E66" s="523"/>
      <c r="F66" s="430"/>
      <c r="G66" s="430"/>
      <c r="H66" s="430"/>
      <c r="I66" s="430"/>
      <c r="J66" s="430"/>
      <c r="K66" s="430"/>
      <c r="L66" s="446">
        <v>0.65</v>
      </c>
      <c r="M66" s="446">
        <v>0.65</v>
      </c>
      <c r="N66" s="446">
        <v>0.65</v>
      </c>
      <c r="O66" s="446">
        <v>0.65</v>
      </c>
      <c r="P66" s="446">
        <v>0.65</v>
      </c>
      <c r="Q66" s="446">
        <v>0.65</v>
      </c>
      <c r="R66" s="446">
        <v>0.65</v>
      </c>
      <c r="S66" s="446">
        <v>0</v>
      </c>
      <c r="T66" s="523">
        <v>0</v>
      </c>
      <c r="U66" s="523">
        <v>0</v>
      </c>
      <c r="V66" s="523">
        <v>0</v>
      </c>
      <c r="W66" s="523">
        <v>0</v>
      </c>
      <c r="X66" s="501"/>
      <c r="Y66" s="532"/>
      <c r="Z66" s="532"/>
      <c r="AA66" s="430"/>
      <c r="AB66" s="430"/>
      <c r="AC66" s="430"/>
      <c r="AD66" s="484"/>
      <c r="AE66" s="484"/>
      <c r="AF66" s="484"/>
      <c r="AG66" s="484"/>
      <c r="AH66" s="484"/>
      <c r="AI66" s="484"/>
      <c r="AJ66" s="430"/>
      <c r="AK66" s="430"/>
      <c r="AL66" s="430"/>
      <c r="AM66" s="430"/>
      <c r="AN66" s="430"/>
      <c r="AO66" s="430"/>
      <c r="AP66" s="430"/>
      <c r="AQ66" s="430"/>
      <c r="AR66" s="430"/>
      <c r="AS66" s="430"/>
      <c r="AT66" s="430"/>
      <c r="AU66" s="430"/>
      <c r="AV66" s="430"/>
      <c r="AW66" s="430"/>
      <c r="AX66" s="430"/>
    </row>
    <row r="67" spans="1:50" s="30" customFormat="1">
      <c r="A67" s="548" t="s">
        <v>925</v>
      </c>
      <c r="B67" s="535" t="s">
        <v>34</v>
      </c>
      <c r="C67" s="533" t="s">
        <v>926</v>
      </c>
      <c r="D67" s="432"/>
      <c r="E67" s="572"/>
      <c r="F67" s="430"/>
      <c r="G67" s="430"/>
      <c r="H67" s="430"/>
      <c r="I67" s="430"/>
      <c r="J67" s="430"/>
      <c r="K67" s="430"/>
      <c r="L67" s="572">
        <f>'c12_inputs'!$E$7</f>
        <v>0.05</v>
      </c>
      <c r="M67" s="572">
        <f>'c12_inputs'!$E$7</f>
        <v>0.05</v>
      </c>
      <c r="N67" s="572">
        <f>'c12_inputs'!$E$7</f>
        <v>0.05</v>
      </c>
      <c r="O67" s="572">
        <f>'c12_inputs'!$E$7</f>
        <v>0.05</v>
      </c>
      <c r="P67" s="572">
        <f>'c12_inputs'!$E$7</f>
        <v>0.05</v>
      </c>
      <c r="Q67" s="572">
        <f>'c12_inputs'!$E$7</f>
        <v>0.05</v>
      </c>
      <c r="R67" s="572">
        <f>'c12_inputs'!$E$7</f>
        <v>0.05</v>
      </c>
      <c r="S67" s="572">
        <f>'c12_inputs'!$E$7</f>
        <v>0.05</v>
      </c>
      <c r="T67" s="572">
        <f>'c12_inputs'!$E$7</f>
        <v>0.05</v>
      </c>
      <c r="U67" s="572">
        <f>'c12_inputs'!$E$7</f>
        <v>0.05</v>
      </c>
      <c r="V67" s="572">
        <f>'c12_inputs'!$E$7</f>
        <v>0.05</v>
      </c>
      <c r="W67" s="572">
        <f>'c12_inputs'!$E$7</f>
        <v>0.05</v>
      </c>
      <c r="X67" s="430"/>
      <c r="Y67" s="430"/>
      <c r="Z67" s="430"/>
      <c r="AA67" s="430"/>
      <c r="AB67" s="430"/>
      <c r="AC67" s="430"/>
      <c r="AD67" s="430"/>
      <c r="AE67" s="430"/>
      <c r="AF67" s="492"/>
      <c r="AG67" s="492"/>
      <c r="AH67" s="492"/>
      <c r="AI67" s="492"/>
      <c r="AJ67" s="492"/>
      <c r="AK67" s="492"/>
      <c r="AL67" s="492"/>
      <c r="AM67" s="430"/>
      <c r="AN67" s="492"/>
      <c r="AO67" s="492"/>
      <c r="AP67" s="492"/>
      <c r="AQ67" s="492"/>
      <c r="AR67" s="492"/>
      <c r="AS67" s="492"/>
      <c r="AT67" s="492"/>
      <c r="AU67" s="430"/>
      <c r="AV67" s="430"/>
      <c r="AW67" s="430"/>
      <c r="AX67" s="430"/>
    </row>
    <row r="68" spans="1:50">
      <c r="A68" s="548" t="s">
        <v>927</v>
      </c>
      <c r="B68" s="442" t="s">
        <v>34</v>
      </c>
      <c r="C68" s="442" t="s">
        <v>928</v>
      </c>
      <c r="D68" s="430"/>
      <c r="E68" s="501"/>
      <c r="F68" s="430"/>
      <c r="G68" s="430"/>
      <c r="H68" s="430"/>
      <c r="I68" s="430"/>
      <c r="J68" s="430"/>
      <c r="K68" s="430"/>
      <c r="L68" s="501">
        <f t="shared" ref="L68:W68" si="14">(L64+L65)*(L31+L52)+(L64+L66)*(L49+L28)</f>
        <v>558947</v>
      </c>
      <c r="M68" s="501">
        <f t="shared" si="14"/>
        <v>558947</v>
      </c>
      <c r="N68" s="501">
        <f t="shared" si="14"/>
        <v>558947</v>
      </c>
      <c r="O68" s="501">
        <f t="shared" si="14"/>
        <v>447597</v>
      </c>
      <c r="P68" s="501">
        <f t="shared" si="14"/>
        <v>50000</v>
      </c>
      <c r="Q68" s="501">
        <f t="shared" si="14"/>
        <v>385137.86249999999</v>
      </c>
      <c r="R68" s="501">
        <f t="shared" si="14"/>
        <v>385137.86249999999</v>
      </c>
      <c r="S68" s="501">
        <f t="shared" si="14"/>
        <v>633822.52499999991</v>
      </c>
      <c r="T68" s="501">
        <f t="shared" si="14"/>
        <v>1083150.8030000001</v>
      </c>
      <c r="U68" s="501">
        <f t="shared" si="14"/>
        <v>1653420.3270899998</v>
      </c>
      <c r="V68" s="501">
        <f t="shared" si="14"/>
        <v>2619267.0349026998</v>
      </c>
      <c r="W68" s="501">
        <f t="shared" si="14"/>
        <v>2357141.8522152724</v>
      </c>
      <c r="X68" s="523"/>
      <c r="Y68" s="532"/>
      <c r="Z68" s="532"/>
      <c r="AA68" s="430"/>
      <c r="AB68" s="430"/>
      <c r="AC68" s="430"/>
      <c r="AD68" s="484"/>
      <c r="AE68" s="484"/>
      <c r="AF68" s="484"/>
      <c r="AG68" s="484"/>
      <c r="AH68" s="484"/>
      <c r="AI68" s="484"/>
      <c r="AJ68" s="430"/>
      <c r="AK68" s="430"/>
      <c r="AL68" s="430"/>
      <c r="AM68" s="430"/>
      <c r="AN68" s="430"/>
      <c r="AO68" s="430"/>
      <c r="AP68" s="430"/>
      <c r="AQ68" s="430"/>
      <c r="AR68" s="430"/>
      <c r="AS68" s="430"/>
      <c r="AT68" s="430"/>
      <c r="AU68" s="430"/>
      <c r="AV68" s="430"/>
      <c r="AW68" s="430"/>
      <c r="AX68" s="430"/>
    </row>
    <row r="69" spans="1:50" ht="15" customHeight="1" thickBot="1">
      <c r="A69" s="548" t="s">
        <v>929</v>
      </c>
      <c r="B69" s="442" t="s">
        <v>34</v>
      </c>
      <c r="C69" s="442" t="s">
        <v>930</v>
      </c>
      <c r="D69" s="430"/>
      <c r="E69" s="501"/>
      <c r="F69" s="430"/>
      <c r="G69" s="430"/>
      <c r="H69" s="430"/>
      <c r="I69" s="430"/>
      <c r="J69" s="430"/>
      <c r="K69" s="430"/>
      <c r="L69" s="501">
        <f t="shared" ref="L69:W69" si="15">L67*L58</f>
        <v>0</v>
      </c>
      <c r="M69" s="501">
        <f t="shared" si="15"/>
        <v>0</v>
      </c>
      <c r="N69" s="501">
        <f t="shared" si="15"/>
        <v>0</v>
      </c>
      <c r="O69" s="501">
        <f t="shared" si="15"/>
        <v>0</v>
      </c>
      <c r="P69" s="501">
        <f t="shared" si="15"/>
        <v>13035.78947368421</v>
      </c>
      <c r="Q69" s="501">
        <f t="shared" si="15"/>
        <v>13035.78947368421</v>
      </c>
      <c r="R69" s="501">
        <f t="shared" si="15"/>
        <v>15309.473684210527</v>
      </c>
      <c r="S69" s="501">
        <f t="shared" si="15"/>
        <v>28707.105263157893</v>
      </c>
      <c r="T69" s="501">
        <f t="shared" si="15"/>
        <v>74908.947368421053</v>
      </c>
      <c r="U69" s="501">
        <f t="shared" si="15"/>
        <v>74908.947368421053</v>
      </c>
      <c r="V69" s="501">
        <f t="shared" si="15"/>
        <v>74908.947368421053</v>
      </c>
      <c r="W69" s="501">
        <f t="shared" si="15"/>
        <v>74908.947368421053</v>
      </c>
      <c r="X69" s="501"/>
      <c r="Y69" s="532"/>
      <c r="Z69" s="532"/>
      <c r="AA69" s="430"/>
      <c r="AB69" s="430"/>
      <c r="AC69" s="430"/>
      <c r="AD69" s="484"/>
      <c r="AE69" s="484"/>
      <c r="AF69" s="484"/>
      <c r="AG69" s="484"/>
      <c r="AH69" s="484"/>
      <c r="AI69" s="484"/>
      <c r="AJ69" s="430"/>
      <c r="AK69" s="430"/>
      <c r="AL69" s="430"/>
      <c r="AM69" s="430"/>
      <c r="AN69" s="430"/>
      <c r="AO69" s="430"/>
      <c r="AP69" s="430"/>
      <c r="AQ69" s="430"/>
      <c r="AR69" s="430"/>
      <c r="AS69" s="430"/>
      <c r="AT69" s="430"/>
      <c r="AU69" s="430"/>
      <c r="AV69" s="430"/>
      <c r="AW69" s="430"/>
      <c r="AX69" s="430"/>
    </row>
    <row r="70" spans="1:50" s="417" customFormat="1" ht="15.5" customHeight="1" thickTop="1" thickBot="1">
      <c r="A70" s="558" t="s">
        <v>931</v>
      </c>
      <c r="B70" s="535" t="s">
        <v>14</v>
      </c>
      <c r="C70" s="533" t="s">
        <v>932</v>
      </c>
      <c r="D70" s="432"/>
      <c r="E70" s="568"/>
      <c r="F70" s="430"/>
      <c r="G70" s="430"/>
      <c r="H70" s="430"/>
      <c r="I70" s="430"/>
      <c r="J70" s="430"/>
      <c r="K70" s="430"/>
      <c r="L70" s="569">
        <f t="shared" ref="L70:W70" si="16">L69+L68</f>
        <v>558947</v>
      </c>
      <c r="M70" s="569">
        <f t="shared" si="16"/>
        <v>558947</v>
      </c>
      <c r="N70" s="569">
        <f t="shared" si="16"/>
        <v>558947</v>
      </c>
      <c r="O70" s="569">
        <f t="shared" si="16"/>
        <v>447597</v>
      </c>
      <c r="P70" s="569">
        <f t="shared" si="16"/>
        <v>63035.789473684214</v>
      </c>
      <c r="Q70" s="569">
        <f t="shared" si="16"/>
        <v>398173.6519736842</v>
      </c>
      <c r="R70" s="569">
        <f t="shared" si="16"/>
        <v>400447.33618421049</v>
      </c>
      <c r="S70" s="569">
        <f t="shared" si="16"/>
        <v>662529.63026315777</v>
      </c>
      <c r="T70" s="568">
        <f t="shared" si="16"/>
        <v>1158059.7503684212</v>
      </c>
      <c r="U70" s="568">
        <f t="shared" si="16"/>
        <v>1728329.2744584209</v>
      </c>
      <c r="V70" s="568">
        <f t="shared" si="16"/>
        <v>2694175.9822711209</v>
      </c>
      <c r="W70" s="568">
        <f t="shared" si="16"/>
        <v>2432050.7995836935</v>
      </c>
      <c r="X70" s="523"/>
      <c r="Y70" s="532"/>
      <c r="Z70" s="532"/>
      <c r="AA70" s="430"/>
      <c r="AB70" s="430"/>
      <c r="AC70" s="430"/>
      <c r="AD70" s="430"/>
      <c r="AE70" s="430"/>
      <c r="AF70" s="430"/>
      <c r="AG70" s="430"/>
      <c r="AH70" s="430"/>
      <c r="AI70" s="430"/>
      <c r="AJ70" s="430"/>
      <c r="AK70" s="430"/>
      <c r="AL70" s="430"/>
      <c r="AM70" s="430"/>
      <c r="AN70" s="430"/>
      <c r="AO70" s="430"/>
      <c r="AP70" s="430"/>
      <c r="AQ70" s="430"/>
      <c r="AR70" s="430"/>
      <c r="AS70" s="430"/>
      <c r="AT70" s="430"/>
      <c r="AU70" s="430"/>
      <c r="AV70" s="430"/>
      <c r="AW70" s="430"/>
      <c r="AX70" s="430"/>
    </row>
    <row r="71" spans="1:50" ht="15" customHeight="1" thickTop="1">
      <c r="A71" s="540"/>
      <c r="B71" s="430"/>
      <c r="C71" s="430"/>
      <c r="D71" s="430"/>
      <c r="E71" s="501"/>
      <c r="F71" s="430"/>
      <c r="G71" s="430"/>
      <c r="H71" s="430"/>
      <c r="I71" s="430"/>
      <c r="J71" s="430"/>
      <c r="K71" s="430"/>
      <c r="L71" s="501"/>
      <c r="M71" s="501"/>
      <c r="N71" s="501"/>
      <c r="O71" s="501"/>
      <c r="P71" s="501"/>
      <c r="Q71" s="501"/>
      <c r="R71" s="501"/>
      <c r="S71" s="501"/>
      <c r="T71" s="501"/>
      <c r="U71" s="501"/>
      <c r="V71" s="501"/>
      <c r="W71" s="501"/>
      <c r="X71" s="501"/>
      <c r="Y71" s="532"/>
      <c r="Z71" s="532"/>
      <c r="AA71" s="430"/>
      <c r="AB71" s="430"/>
      <c r="AC71" s="430"/>
      <c r="AD71" s="430"/>
      <c r="AE71" s="430"/>
      <c r="AF71" s="430"/>
      <c r="AG71" s="430"/>
      <c r="AH71" s="430"/>
      <c r="AI71" s="430"/>
      <c r="AJ71" s="430"/>
      <c r="AK71" s="430"/>
      <c r="AL71" s="430"/>
      <c r="AM71" s="430"/>
      <c r="AN71" s="430"/>
      <c r="AO71" s="430"/>
      <c r="AP71" s="430"/>
      <c r="AQ71" s="430"/>
      <c r="AR71" s="430"/>
      <c r="AS71" s="430"/>
      <c r="AT71" s="430"/>
      <c r="AU71" s="430"/>
      <c r="AV71" s="430"/>
      <c r="AW71" s="430"/>
      <c r="AX71" s="430"/>
    </row>
    <row r="72" spans="1:50" s="30" customFormat="1">
      <c r="A72" s="548" t="s">
        <v>933</v>
      </c>
      <c r="B72" s="535" t="s">
        <v>34</v>
      </c>
      <c r="C72" s="533" t="s">
        <v>934</v>
      </c>
      <c r="D72" s="432"/>
      <c r="E72" s="501"/>
      <c r="F72" s="430"/>
      <c r="G72" s="430"/>
      <c r="H72" s="430"/>
      <c r="I72" s="430"/>
      <c r="J72" s="430"/>
      <c r="K72" s="430"/>
      <c r="L72" s="501">
        <f t="shared" ref="L72:W72" si="17">-(L64+L65)*(L27+L48)</f>
        <v>113077.75</v>
      </c>
      <c r="M72" s="501">
        <f t="shared" si="17"/>
        <v>113077.75</v>
      </c>
      <c r="N72" s="501">
        <f t="shared" si="17"/>
        <v>113077.75</v>
      </c>
      <c r="O72" s="501">
        <f t="shared" si="17"/>
        <v>224427.75</v>
      </c>
      <c r="P72" s="501">
        <f t="shared" si="17"/>
        <v>227264.65737500001</v>
      </c>
      <c r="Q72" s="501">
        <f t="shared" si="17"/>
        <v>88996.544875000007</v>
      </c>
      <c r="R72" s="501">
        <f t="shared" si="17"/>
        <v>88996.544875000007</v>
      </c>
      <c r="S72" s="501">
        <f t="shared" si="17"/>
        <v>88996.544875000007</v>
      </c>
      <c r="T72" s="501">
        <f t="shared" si="17"/>
        <v>716665.76488499995</v>
      </c>
      <c r="U72" s="501">
        <f t="shared" si="17"/>
        <v>377665.73783154995</v>
      </c>
      <c r="V72" s="501">
        <f t="shared" si="17"/>
        <v>388995.70996649651</v>
      </c>
      <c r="W72" s="501">
        <f t="shared" si="17"/>
        <v>0</v>
      </c>
      <c r="X72" s="430"/>
      <c r="Y72" s="430"/>
      <c r="Z72" s="430"/>
      <c r="AA72" s="430"/>
      <c r="AB72" s="430"/>
      <c r="AC72" s="430"/>
      <c r="AD72" s="430"/>
      <c r="AE72" s="430"/>
      <c r="AF72" s="492"/>
      <c r="AG72" s="492"/>
      <c r="AH72" s="492"/>
      <c r="AI72" s="492"/>
      <c r="AJ72" s="492"/>
      <c r="AK72" s="492"/>
      <c r="AL72" s="492"/>
      <c r="AM72" s="430"/>
      <c r="AN72" s="492"/>
      <c r="AO72" s="492"/>
      <c r="AP72" s="492"/>
      <c r="AQ72" s="492"/>
      <c r="AR72" s="492"/>
      <c r="AS72" s="492"/>
      <c r="AT72" s="492"/>
      <c r="AU72" s="430"/>
      <c r="AV72" s="430"/>
      <c r="AW72" s="430"/>
      <c r="AX72" s="430"/>
    </row>
    <row r="73" spans="1:50" s="30" customFormat="1">
      <c r="A73" s="548" t="s">
        <v>935</v>
      </c>
      <c r="B73" s="535" t="s">
        <v>34</v>
      </c>
      <c r="C73" s="533" t="s">
        <v>936</v>
      </c>
      <c r="D73" s="432"/>
      <c r="E73" s="501"/>
      <c r="F73" s="430"/>
      <c r="G73" s="430"/>
      <c r="H73" s="430"/>
      <c r="I73" s="430"/>
      <c r="J73" s="430"/>
      <c r="K73" s="430"/>
      <c r="L73" s="501">
        <f t="shared" ref="L73:W73" si="18">-(L64+L66)*(L28+L49)</f>
        <v>0</v>
      </c>
      <c r="M73" s="501">
        <f t="shared" si="18"/>
        <v>0</v>
      </c>
      <c r="N73" s="501">
        <f t="shared" si="18"/>
        <v>0</v>
      </c>
      <c r="O73" s="501">
        <f t="shared" si="18"/>
        <v>0</v>
      </c>
      <c r="P73" s="501">
        <f t="shared" si="18"/>
        <v>-50000</v>
      </c>
      <c r="Q73" s="501">
        <f t="shared" si="18"/>
        <v>-246869.75</v>
      </c>
      <c r="R73" s="501">
        <f t="shared" si="18"/>
        <v>-246869.75</v>
      </c>
      <c r="S73" s="501">
        <f t="shared" si="18"/>
        <v>-495554.41249999998</v>
      </c>
      <c r="T73" s="501">
        <f t="shared" si="18"/>
        <v>-355986.17950000003</v>
      </c>
      <c r="U73" s="501">
        <f t="shared" si="18"/>
        <v>-366665.76488499995</v>
      </c>
      <c r="V73" s="501">
        <f t="shared" si="18"/>
        <v>-727665.73783154995</v>
      </c>
      <c r="W73" s="501">
        <f t="shared" si="18"/>
        <v>-38681.934966496512</v>
      </c>
      <c r="X73" s="430"/>
      <c r="Y73" s="430"/>
      <c r="Z73" s="430"/>
      <c r="AA73" s="430"/>
      <c r="AB73" s="430"/>
      <c r="AC73" s="430"/>
      <c r="AD73" s="430"/>
      <c r="AE73" s="430"/>
      <c r="AF73" s="492"/>
      <c r="AG73" s="492"/>
      <c r="AH73" s="492"/>
      <c r="AI73" s="492"/>
      <c r="AJ73" s="492"/>
      <c r="AK73" s="492"/>
      <c r="AL73" s="492"/>
      <c r="AM73" s="430"/>
      <c r="AN73" s="492"/>
      <c r="AO73" s="492"/>
      <c r="AP73" s="492"/>
      <c r="AQ73" s="492"/>
      <c r="AR73" s="492"/>
      <c r="AS73" s="492"/>
      <c r="AT73" s="492"/>
      <c r="AU73" s="430"/>
      <c r="AV73" s="430"/>
      <c r="AW73" s="430"/>
      <c r="AX73" s="430"/>
    </row>
    <row r="74" spans="1:50">
      <c r="A74" s="548" t="s">
        <v>937</v>
      </c>
      <c r="B74" s="442" t="s">
        <v>18</v>
      </c>
      <c r="C74" s="442" t="s">
        <v>938</v>
      </c>
      <c r="D74" s="430"/>
      <c r="E74" s="501"/>
      <c r="F74" s="430"/>
      <c r="G74" s="430"/>
      <c r="H74" s="430"/>
      <c r="I74" s="430"/>
      <c r="J74" s="430"/>
      <c r="K74" s="430"/>
      <c r="L74" s="551">
        <f>SUM(L72:L73)+E74</f>
        <v>113077.75</v>
      </c>
      <c r="M74" s="551">
        <f t="shared" ref="M74:W74" si="19">SUM(M72:M73)+L74</f>
        <v>226155.5</v>
      </c>
      <c r="N74" s="551">
        <f t="shared" si="19"/>
        <v>339233.25</v>
      </c>
      <c r="O74" s="551">
        <f t="shared" si="19"/>
        <v>563661</v>
      </c>
      <c r="P74" s="551">
        <f t="shared" si="19"/>
        <v>740925.65737499995</v>
      </c>
      <c r="Q74" s="551">
        <f t="shared" si="19"/>
        <v>583052.45224999997</v>
      </c>
      <c r="R74" s="551">
        <f t="shared" si="19"/>
        <v>425179.24712499999</v>
      </c>
      <c r="S74" s="551">
        <f t="shared" si="19"/>
        <v>18621.379500000039</v>
      </c>
      <c r="T74" s="501">
        <f t="shared" si="19"/>
        <v>379300.96488499996</v>
      </c>
      <c r="U74" s="501">
        <f t="shared" si="19"/>
        <v>390300.93783154996</v>
      </c>
      <c r="V74" s="501">
        <f t="shared" si="19"/>
        <v>51630.909966496518</v>
      </c>
      <c r="W74" s="501">
        <f t="shared" si="19"/>
        <v>12948.975000000006</v>
      </c>
      <c r="X74" s="552" t="s">
        <v>939</v>
      </c>
      <c r="Y74" s="532"/>
      <c r="Z74" s="532"/>
      <c r="AA74" s="430"/>
      <c r="AB74" s="430"/>
      <c r="AC74" s="430"/>
      <c r="AD74" s="430"/>
      <c r="AE74" s="430"/>
      <c r="AF74" s="430"/>
      <c r="AG74" s="430"/>
      <c r="AH74" s="430"/>
      <c r="AI74" s="430"/>
      <c r="AJ74" s="430"/>
      <c r="AK74" s="430"/>
      <c r="AL74" s="430"/>
      <c r="AM74" s="430"/>
      <c r="AN74" s="430"/>
      <c r="AO74" s="430"/>
      <c r="AP74" s="430"/>
      <c r="AQ74" s="430"/>
      <c r="AR74" s="430"/>
      <c r="AS74" s="430"/>
      <c r="AT74" s="430"/>
      <c r="AU74" s="430"/>
      <c r="AV74" s="430"/>
      <c r="AW74" s="430"/>
      <c r="AX74" s="430"/>
    </row>
    <row r="75" spans="1:50">
      <c r="A75" s="430"/>
      <c r="B75" s="430"/>
      <c r="C75" s="430"/>
      <c r="D75" s="430"/>
      <c r="E75" s="501"/>
      <c r="F75" s="430"/>
      <c r="G75" s="430"/>
      <c r="H75" s="430"/>
      <c r="I75" s="430"/>
      <c r="J75" s="430"/>
      <c r="K75" s="430"/>
      <c r="L75" s="501"/>
      <c r="M75" s="501"/>
      <c r="N75" s="501"/>
      <c r="O75" s="501"/>
      <c r="P75" s="501"/>
      <c r="Q75" s="501"/>
      <c r="R75" s="501"/>
      <c r="S75" s="501"/>
      <c r="T75" s="501"/>
      <c r="U75" s="501"/>
      <c r="V75" s="501"/>
      <c r="W75" s="501"/>
      <c r="X75" s="501"/>
      <c r="Y75" s="532"/>
      <c r="Z75" s="532"/>
      <c r="AA75" s="430"/>
      <c r="AB75" s="430"/>
      <c r="AC75" s="430"/>
      <c r="AD75" s="430"/>
      <c r="AE75" s="430"/>
      <c r="AF75" s="430"/>
      <c r="AG75" s="430"/>
      <c r="AH75" s="430"/>
      <c r="AI75" s="430"/>
      <c r="AJ75" s="430"/>
      <c r="AK75" s="430"/>
      <c r="AL75" s="430"/>
      <c r="AM75" s="430"/>
      <c r="AN75" s="430"/>
      <c r="AO75" s="430"/>
      <c r="AP75" s="430"/>
      <c r="AQ75" s="430"/>
      <c r="AR75" s="430"/>
      <c r="AS75" s="430"/>
      <c r="AT75" s="430"/>
      <c r="AU75" s="430"/>
      <c r="AV75" s="430"/>
      <c r="AW75" s="430"/>
      <c r="AX75" s="430"/>
    </row>
    <row r="76" spans="1:50" ht="20" customHeight="1">
      <c r="A76" s="548" t="s">
        <v>940</v>
      </c>
      <c r="B76" s="430"/>
      <c r="C76" s="430"/>
      <c r="D76" s="430"/>
      <c r="E76" s="430"/>
      <c r="F76" s="430"/>
      <c r="G76" s="430"/>
      <c r="H76" s="430"/>
      <c r="I76" s="430"/>
      <c r="J76" s="430"/>
      <c r="K76" s="430"/>
      <c r="L76" s="430"/>
      <c r="M76" s="430"/>
      <c r="N76" s="430"/>
      <c r="O76" s="430"/>
      <c r="P76" s="430"/>
      <c r="Q76" s="430"/>
      <c r="R76" s="430"/>
      <c r="S76" s="430"/>
      <c r="T76" s="430"/>
      <c r="U76" s="430"/>
      <c r="V76" s="430"/>
      <c r="W76" s="430"/>
      <c r="X76" s="430"/>
      <c r="Y76" s="532"/>
      <c r="Z76" s="532"/>
      <c r="AA76" s="430"/>
      <c r="AB76" s="430"/>
      <c r="AC76" s="430"/>
      <c r="AD76" s="430"/>
      <c r="AE76" s="430"/>
      <c r="AF76" s="430"/>
      <c r="AG76" s="430"/>
      <c r="AH76" s="430"/>
      <c r="AI76" s="430"/>
      <c r="AJ76" s="430"/>
      <c r="AK76" s="430"/>
      <c r="AL76" s="430"/>
      <c r="AM76" s="430"/>
      <c r="AN76" s="430"/>
      <c r="AO76" s="430"/>
      <c r="AP76" s="430"/>
      <c r="AQ76" s="430"/>
      <c r="AR76" s="430"/>
      <c r="AS76" s="430"/>
      <c r="AT76" s="430"/>
      <c r="AU76" s="430"/>
      <c r="AV76" s="430"/>
      <c r="AW76" s="430"/>
      <c r="AX76" s="430"/>
    </row>
    <row r="77" spans="1:50" s="30" customFormat="1" ht="14.65" customHeight="1">
      <c r="A77" s="548" t="s">
        <v>941</v>
      </c>
      <c r="B77" s="535" t="s">
        <v>34</v>
      </c>
      <c r="C77" s="533" t="s">
        <v>942</v>
      </c>
      <c r="D77" s="432"/>
      <c r="E77" s="492"/>
      <c r="F77" s="430"/>
      <c r="G77" s="430"/>
      <c r="H77" s="430"/>
      <c r="I77" s="430"/>
      <c r="J77" s="430"/>
      <c r="K77" s="430"/>
      <c r="L77" s="492">
        <f>'.c12_hm_hr'!L31</f>
        <v>298080</v>
      </c>
      <c r="M77" s="492">
        <f>'.c12_hm_hr'!M31</f>
        <v>298080</v>
      </c>
      <c r="N77" s="492">
        <f>'.c12_hm_hr'!N31</f>
        <v>298080</v>
      </c>
      <c r="O77" s="492">
        <f>'.c12_hm_hr'!O31</f>
        <v>770825</v>
      </c>
      <c r="P77" s="492">
        <f>'.c12_hm_hr'!P31</f>
        <v>391680</v>
      </c>
      <c r="Q77" s="492">
        <f>'.c12_hm_hr'!Q31</f>
        <v>391680</v>
      </c>
      <c r="R77" s="492">
        <f>'.c12_hm_hr'!R31</f>
        <v>434880</v>
      </c>
      <c r="S77" s="492">
        <f>'.c12_hm_hr'!S31</f>
        <v>949185</v>
      </c>
      <c r="T77" s="492">
        <f>'.c12_hm_hr'!T31</f>
        <v>2518770</v>
      </c>
      <c r="U77" s="492">
        <f>'.c12_hm_hr'!U31</f>
        <v>2518770</v>
      </c>
      <c r="V77" s="492">
        <f>'.c12_hm_hr'!V31</f>
        <v>2518770</v>
      </c>
      <c r="W77" s="492">
        <f>'.c12_hm_hr'!W31</f>
        <v>2518770</v>
      </c>
      <c r="X77" s="490"/>
      <c r="Y77" s="532"/>
      <c r="Z77" s="430"/>
      <c r="AA77" s="430"/>
      <c r="AB77" s="430"/>
      <c r="AC77" s="430"/>
      <c r="AD77" s="430"/>
      <c r="AE77" s="430"/>
      <c r="AF77" s="430"/>
      <c r="AG77" s="430"/>
      <c r="AH77" s="430"/>
      <c r="AI77" s="430"/>
      <c r="AJ77" s="430"/>
      <c r="AK77" s="430"/>
      <c r="AL77" s="430"/>
      <c r="AM77" s="430"/>
      <c r="AN77" s="430"/>
      <c r="AO77" s="430"/>
      <c r="AP77" s="430"/>
      <c r="AQ77" s="430"/>
      <c r="AR77" s="430"/>
      <c r="AS77" s="430"/>
      <c r="AT77" s="430"/>
      <c r="AU77" s="430"/>
      <c r="AV77" s="430"/>
      <c r="AW77" s="430"/>
      <c r="AX77" s="430"/>
    </row>
    <row r="78" spans="1:50" s="30" customFormat="1">
      <c r="A78" s="548" t="s">
        <v>943</v>
      </c>
      <c r="B78" s="535" t="s">
        <v>14</v>
      </c>
      <c r="C78" s="533" t="s">
        <v>944</v>
      </c>
      <c r="D78" s="432"/>
      <c r="E78" s="492"/>
      <c r="F78" s="430"/>
      <c r="G78" s="430"/>
      <c r="H78" s="430"/>
      <c r="I78" s="430"/>
      <c r="J78" s="430"/>
      <c r="K78" s="430"/>
      <c r="L78" s="573">
        <f>'.c12_hm_hr'!L32</f>
        <v>154080</v>
      </c>
      <c r="M78" s="573">
        <f>'.c12_hm_hr'!M32</f>
        <v>154080</v>
      </c>
      <c r="N78" s="573">
        <f>'.c12_hm_hr'!N32</f>
        <v>154080</v>
      </c>
      <c r="O78" s="573">
        <f>'.c12_hm_hr'!O32</f>
        <v>367075</v>
      </c>
      <c r="P78" s="573">
        <f>'.c12_hm_hr'!P32</f>
        <v>247680</v>
      </c>
      <c r="Q78" s="573">
        <f>'.c12_hm_hr'!Q32</f>
        <v>247680</v>
      </c>
      <c r="R78" s="573">
        <f>'.c12_hm_hr'!R32</f>
        <v>290880</v>
      </c>
      <c r="S78" s="573">
        <f>'.c12_hm_hr'!S32</f>
        <v>545435</v>
      </c>
      <c r="T78" s="492">
        <f>'.c12_hm_hr'!T32</f>
        <v>1423270</v>
      </c>
      <c r="U78" s="492">
        <f>'.c12_hm_hr'!U32</f>
        <v>1423270</v>
      </c>
      <c r="V78" s="492">
        <f>'.c12_hm_hr'!V32</f>
        <v>1423270</v>
      </c>
      <c r="W78" s="492">
        <f>'.c12_hm_hr'!W32</f>
        <v>1423270</v>
      </c>
      <c r="X78" s="430"/>
      <c r="Y78" s="430"/>
      <c r="Z78" s="430"/>
      <c r="AA78" s="430"/>
      <c r="AB78" s="430"/>
      <c r="AC78" s="430"/>
      <c r="AD78" s="430"/>
      <c r="AE78" s="430"/>
      <c r="AF78" s="430"/>
      <c r="AG78" s="430"/>
      <c r="AH78" s="430"/>
      <c r="AI78" s="478"/>
      <c r="AJ78" s="430"/>
      <c r="AK78" s="430"/>
      <c r="AL78" s="430"/>
      <c r="AM78" s="430"/>
      <c r="AN78" s="430"/>
      <c r="AO78" s="430"/>
      <c r="AP78" s="430"/>
      <c r="AQ78" s="430"/>
      <c r="AR78" s="430"/>
      <c r="AS78" s="430"/>
      <c r="AT78" s="430"/>
      <c r="AU78" s="430"/>
      <c r="AV78" s="430"/>
      <c r="AW78" s="430"/>
      <c r="AX78" s="430"/>
    </row>
    <row r="79" spans="1:50" s="30" customFormat="1">
      <c r="A79" s="548" t="s">
        <v>945</v>
      </c>
      <c r="B79" s="535" t="s">
        <v>14</v>
      </c>
      <c r="C79" s="533" t="s">
        <v>946</v>
      </c>
      <c r="D79" s="432"/>
      <c r="E79" s="492"/>
      <c r="F79" s="430"/>
      <c r="G79" s="430"/>
      <c r="H79" s="430"/>
      <c r="I79" s="430"/>
      <c r="J79" s="430"/>
      <c r="K79" s="430"/>
      <c r="L79" s="573">
        <f>'.c12_hm_hr'!L33</f>
        <v>144000</v>
      </c>
      <c r="M79" s="573">
        <f>'.c12_hm_hr'!M33</f>
        <v>144000</v>
      </c>
      <c r="N79" s="573">
        <f>'.c12_hm_hr'!N33</f>
        <v>144000</v>
      </c>
      <c r="O79" s="573">
        <f>'.c12_hm_hr'!O33</f>
        <v>403750</v>
      </c>
      <c r="P79" s="573">
        <f>'.c12_hm_hr'!P33</f>
        <v>144000</v>
      </c>
      <c r="Q79" s="573">
        <f>'.c12_hm_hr'!Q33</f>
        <v>144000</v>
      </c>
      <c r="R79" s="573">
        <f>'.c12_hm_hr'!R33</f>
        <v>144000</v>
      </c>
      <c r="S79" s="573">
        <f>'.c12_hm_hr'!S33</f>
        <v>403750</v>
      </c>
      <c r="T79" s="492">
        <f>'.c12_hm_hr'!T33</f>
        <v>1095500</v>
      </c>
      <c r="U79" s="492">
        <f>'.c12_hm_hr'!U33</f>
        <v>1095500</v>
      </c>
      <c r="V79" s="492">
        <f>'.c12_hm_hr'!V33</f>
        <v>1095500</v>
      </c>
      <c r="W79" s="492">
        <f>'.c12_hm_hr'!W33</f>
        <v>1095500</v>
      </c>
      <c r="X79" s="430"/>
      <c r="Y79" s="430"/>
      <c r="Z79" s="430"/>
      <c r="AA79" s="430"/>
      <c r="AB79" s="430"/>
      <c r="AC79" s="430"/>
      <c r="AD79" s="430"/>
      <c r="AE79" s="430"/>
      <c r="AF79" s="430"/>
      <c r="AG79" s="430"/>
      <c r="AH79" s="430"/>
      <c r="AI79" s="478"/>
      <c r="AJ79" s="430"/>
      <c r="AK79" s="430"/>
      <c r="AL79" s="430"/>
      <c r="AM79" s="430"/>
      <c r="AN79" s="430"/>
      <c r="AO79" s="430"/>
      <c r="AP79" s="430"/>
      <c r="AQ79" s="430"/>
      <c r="AR79" s="430"/>
      <c r="AS79" s="430"/>
      <c r="AT79" s="430"/>
      <c r="AU79" s="430"/>
      <c r="AV79" s="430"/>
      <c r="AW79" s="430"/>
      <c r="AX79" s="430"/>
    </row>
    <row r="80" spans="1:50" s="30" customFormat="1">
      <c r="A80" s="548" t="s">
        <v>947</v>
      </c>
      <c r="B80" s="535" t="s">
        <v>34</v>
      </c>
      <c r="C80" s="533" t="s">
        <v>948</v>
      </c>
      <c r="D80" s="432"/>
      <c r="E80" s="492"/>
      <c r="F80" s="430"/>
      <c r="G80" s="430"/>
      <c r="H80" s="430"/>
      <c r="I80" s="430"/>
      <c r="J80" s="430"/>
      <c r="K80" s="430"/>
      <c r="L80" s="492">
        <f>'.c12_hm_hr'!L34</f>
        <v>0</v>
      </c>
      <c r="M80" s="492">
        <f>'.c12_hm_hr'!M34</f>
        <v>0</v>
      </c>
      <c r="N80" s="492">
        <f>'.c12_hm_hr'!N34</f>
        <v>0</v>
      </c>
      <c r="O80" s="492">
        <f>'.c12_hm_hr'!O34</f>
        <v>0</v>
      </c>
      <c r="P80" s="492">
        <f>'.c12_hm_hr'!P34</f>
        <v>0</v>
      </c>
      <c r="Q80" s="492">
        <f>'.c12_hm_hr'!Q34</f>
        <v>0</v>
      </c>
      <c r="R80" s="492">
        <f>'.c12_hm_hr'!R34</f>
        <v>0</v>
      </c>
      <c r="S80" s="492">
        <f>'.c12_hm_hr'!S34</f>
        <v>0</v>
      </c>
      <c r="T80" s="492">
        <f>'.c12_hm_hr'!T34</f>
        <v>0</v>
      </c>
      <c r="U80" s="492">
        <f>'.c12_hm_hr'!U34</f>
        <v>0</v>
      </c>
      <c r="V80" s="492">
        <f>'.c12_hm_hr'!V34</f>
        <v>0</v>
      </c>
      <c r="W80" s="492">
        <f>'.c12_hm_hr'!W34</f>
        <v>0</v>
      </c>
      <c r="X80" s="430"/>
      <c r="Y80" s="430"/>
      <c r="Z80" s="430"/>
      <c r="AA80" s="430"/>
      <c r="AB80" s="430"/>
      <c r="AC80" s="430"/>
      <c r="AD80" s="430"/>
      <c r="AE80" s="430"/>
      <c r="AF80" s="430"/>
      <c r="AG80" s="430"/>
      <c r="AH80" s="430"/>
      <c r="AI80" s="478"/>
      <c r="AJ80" s="430"/>
      <c r="AK80" s="430"/>
      <c r="AL80" s="430"/>
      <c r="AM80" s="430"/>
      <c r="AN80" s="430"/>
      <c r="AO80" s="430"/>
      <c r="AP80" s="430"/>
      <c r="AQ80" s="430"/>
      <c r="AR80" s="430"/>
      <c r="AS80" s="430"/>
      <c r="AT80" s="430"/>
      <c r="AU80" s="430"/>
      <c r="AV80" s="430"/>
      <c r="AW80" s="430"/>
      <c r="AX80" s="430"/>
    </row>
    <row r="81" spans="1:50">
      <c r="A81" s="430"/>
      <c r="B81" s="430"/>
      <c r="C81" s="430"/>
      <c r="D81" s="430"/>
      <c r="E81" s="430"/>
      <c r="F81" s="430"/>
      <c r="G81" s="430"/>
      <c r="H81" s="430"/>
      <c r="I81" s="430"/>
      <c r="J81" s="430"/>
      <c r="K81" s="430"/>
      <c r="L81" s="430"/>
      <c r="M81" s="430"/>
      <c r="N81" s="430"/>
      <c r="O81" s="430"/>
      <c r="P81" s="430"/>
      <c r="Q81" s="430"/>
      <c r="R81" s="430"/>
      <c r="S81" s="430"/>
      <c r="T81" s="430"/>
      <c r="U81" s="430"/>
      <c r="V81" s="430"/>
      <c r="W81" s="430"/>
      <c r="X81" s="430"/>
      <c r="Y81" s="430"/>
      <c r="Z81" s="430"/>
      <c r="AA81" s="430"/>
      <c r="AB81" s="430"/>
      <c r="AC81" s="430"/>
      <c r="AD81" s="430"/>
      <c r="AE81" s="430"/>
      <c r="AF81" s="430"/>
      <c r="AG81" s="430"/>
      <c r="AH81" s="430"/>
      <c r="AI81" s="430"/>
      <c r="AJ81" s="430"/>
      <c r="AK81" s="430"/>
      <c r="AL81" s="430"/>
      <c r="AM81" s="430"/>
      <c r="AN81" s="430"/>
      <c r="AO81" s="430"/>
      <c r="AP81" s="430"/>
      <c r="AQ81" s="430"/>
      <c r="AR81" s="430"/>
      <c r="AS81" s="430"/>
      <c r="AT81" s="430"/>
      <c r="AU81" s="430"/>
      <c r="AV81" s="430"/>
      <c r="AW81" s="430"/>
      <c r="AX81" s="430"/>
    </row>
    <row r="82" spans="1:50">
      <c r="A82" s="430"/>
      <c r="B82" s="430"/>
      <c r="C82" s="430"/>
      <c r="D82" s="430"/>
      <c r="E82" s="430"/>
      <c r="F82" s="430"/>
      <c r="G82" s="430"/>
      <c r="H82" s="430"/>
      <c r="I82" s="430"/>
      <c r="J82" s="430"/>
      <c r="K82" s="430"/>
      <c r="L82" s="430"/>
      <c r="M82" s="430"/>
      <c r="N82" s="430"/>
      <c r="O82" s="430"/>
      <c r="P82" s="430"/>
      <c r="Q82" s="430"/>
      <c r="R82" s="430"/>
      <c r="S82" s="430"/>
      <c r="T82" s="430"/>
      <c r="U82" s="430"/>
      <c r="V82" s="430"/>
      <c r="W82" s="430"/>
      <c r="X82" s="430"/>
      <c r="Y82" s="430"/>
      <c r="Z82" s="430"/>
      <c r="AA82" s="430"/>
      <c r="AB82" s="430"/>
      <c r="AC82" s="430"/>
      <c r="AD82" s="430"/>
      <c r="AE82" s="430"/>
      <c r="AF82" s="430"/>
      <c r="AG82" s="430"/>
      <c r="AH82" s="430"/>
      <c r="AI82" s="430"/>
      <c r="AJ82" s="430"/>
      <c r="AK82" s="430"/>
      <c r="AL82" s="430"/>
      <c r="AM82" s="430"/>
      <c r="AN82" s="430"/>
      <c r="AO82" s="430"/>
      <c r="AP82" s="430"/>
      <c r="AQ82" s="430"/>
      <c r="AR82" s="430"/>
      <c r="AS82" s="430"/>
      <c r="AT82" s="430"/>
      <c r="AU82" s="430"/>
      <c r="AV82" s="430"/>
      <c r="AW82" s="430"/>
      <c r="AX82" s="430"/>
    </row>
    <row r="83" spans="1:50">
      <c r="A83" s="430"/>
      <c r="B83" s="430"/>
      <c r="C83" s="430"/>
      <c r="D83" s="430"/>
      <c r="E83" s="430"/>
      <c r="F83" s="430"/>
      <c r="G83" s="430"/>
      <c r="H83" s="430"/>
      <c r="I83" s="430"/>
      <c r="J83" s="430"/>
      <c r="K83" s="430"/>
      <c r="L83" s="430"/>
      <c r="M83" s="430"/>
      <c r="N83" s="430"/>
      <c r="O83" s="430"/>
      <c r="P83" s="430"/>
      <c r="Q83" s="430"/>
      <c r="R83" s="430"/>
      <c r="S83" s="430"/>
      <c r="T83" s="430"/>
      <c r="U83" s="430"/>
      <c r="V83" s="430"/>
      <c r="W83" s="430"/>
      <c r="X83" s="430"/>
      <c r="Y83" s="430"/>
      <c r="Z83" s="430"/>
      <c r="AA83" s="430"/>
      <c r="AB83" s="430"/>
      <c r="AC83" s="430"/>
      <c r="AD83" s="430"/>
      <c r="AE83" s="430"/>
      <c r="AF83" s="430"/>
      <c r="AG83" s="430"/>
      <c r="AH83" s="430"/>
      <c r="AI83" s="430"/>
      <c r="AJ83" s="430"/>
      <c r="AK83" s="430"/>
      <c r="AL83" s="430"/>
      <c r="AM83" s="430"/>
      <c r="AN83" s="430"/>
      <c r="AO83" s="430"/>
      <c r="AP83" s="430"/>
      <c r="AQ83" s="430"/>
      <c r="AR83" s="430"/>
      <c r="AS83" s="430"/>
      <c r="AT83" s="430"/>
      <c r="AU83" s="430"/>
      <c r="AV83" s="430"/>
      <c r="AW83" s="430"/>
      <c r="AX83" s="430"/>
    </row>
    <row r="84" spans="1:50">
      <c r="A84" s="430"/>
      <c r="B84" s="430"/>
      <c r="C84" s="430"/>
      <c r="D84" s="430"/>
      <c r="E84" s="430"/>
      <c r="F84" s="430"/>
      <c r="G84" s="430"/>
      <c r="H84" s="430"/>
      <c r="I84" s="430"/>
      <c r="J84" s="430"/>
      <c r="K84" s="430"/>
      <c r="L84" s="430"/>
      <c r="M84" s="430"/>
      <c r="N84" s="430"/>
      <c r="O84" s="430"/>
      <c r="P84" s="430"/>
      <c r="Q84" s="430"/>
      <c r="R84" s="430"/>
      <c r="S84" s="430"/>
      <c r="T84" s="430"/>
      <c r="U84" s="430"/>
      <c r="V84" s="430"/>
      <c r="W84" s="430"/>
      <c r="X84" s="430"/>
      <c r="Y84" s="430"/>
      <c r="Z84" s="430"/>
      <c r="AA84" s="430"/>
      <c r="AB84" s="430"/>
      <c r="AC84" s="430"/>
      <c r="AD84" s="430"/>
      <c r="AE84" s="430"/>
      <c r="AF84" s="430"/>
      <c r="AG84" s="430"/>
      <c r="AH84" s="430"/>
      <c r="AI84" s="430"/>
      <c r="AJ84" s="430"/>
      <c r="AK84" s="430"/>
      <c r="AL84" s="430"/>
      <c r="AM84" s="430"/>
      <c r="AN84" s="430"/>
      <c r="AO84" s="430"/>
      <c r="AP84" s="430"/>
      <c r="AQ84" s="430"/>
      <c r="AR84" s="430"/>
      <c r="AS84" s="430"/>
      <c r="AT84" s="430"/>
      <c r="AU84" s="430"/>
      <c r="AV84" s="430"/>
      <c r="AW84" s="430"/>
      <c r="AX84" s="430"/>
    </row>
    <row r="85" spans="1:50">
      <c r="A85" s="430"/>
      <c r="B85" s="430"/>
      <c r="C85" s="430"/>
      <c r="D85" s="430"/>
      <c r="E85" s="430"/>
      <c r="F85" s="430"/>
      <c r="G85" s="430"/>
      <c r="H85" s="430"/>
      <c r="I85" s="430"/>
      <c r="J85" s="430"/>
      <c r="K85" s="430"/>
      <c r="L85" s="430"/>
      <c r="M85" s="430"/>
      <c r="N85" s="430"/>
      <c r="O85" s="430"/>
      <c r="P85" s="430"/>
      <c r="Q85" s="430"/>
      <c r="R85" s="430"/>
      <c r="S85" s="430"/>
      <c r="T85" s="430"/>
      <c r="U85" s="430"/>
      <c r="V85" s="430"/>
      <c r="W85" s="430"/>
      <c r="X85" s="430"/>
      <c r="Y85" s="430"/>
      <c r="Z85" s="430"/>
      <c r="AA85" s="430"/>
      <c r="AB85" s="430"/>
      <c r="AC85" s="430"/>
      <c r="AD85" s="430"/>
      <c r="AE85" s="430"/>
      <c r="AF85" s="430"/>
      <c r="AG85" s="430"/>
      <c r="AH85" s="430"/>
      <c r="AI85" s="430"/>
      <c r="AJ85" s="430"/>
      <c r="AK85" s="430"/>
      <c r="AL85" s="430"/>
      <c r="AM85" s="430"/>
      <c r="AN85" s="430"/>
      <c r="AO85" s="430"/>
      <c r="AP85" s="430"/>
      <c r="AQ85" s="430"/>
      <c r="AR85" s="430"/>
      <c r="AS85" s="430"/>
      <c r="AT85" s="430"/>
      <c r="AU85" s="430"/>
      <c r="AV85" s="430"/>
      <c r="AW85" s="430"/>
      <c r="AX85" s="430"/>
    </row>
    <row r="86" spans="1:50">
      <c r="A86" s="430"/>
      <c r="B86" s="430"/>
      <c r="C86" s="430"/>
      <c r="D86" s="430"/>
      <c r="E86" s="430"/>
      <c r="F86" s="430"/>
      <c r="G86" s="430"/>
      <c r="H86" s="430"/>
      <c r="I86" s="430"/>
      <c r="J86" s="430"/>
      <c r="K86" s="430"/>
      <c r="L86" s="430"/>
      <c r="M86" s="430"/>
      <c r="N86" s="430"/>
      <c r="O86" s="430"/>
      <c r="P86" s="430"/>
      <c r="Q86" s="430"/>
      <c r="R86" s="430"/>
      <c r="S86" s="430"/>
      <c r="T86" s="430"/>
      <c r="U86" s="430"/>
      <c r="V86" s="430"/>
      <c r="W86" s="430"/>
      <c r="X86" s="430"/>
      <c r="Y86" s="430"/>
      <c r="Z86" s="430"/>
      <c r="AA86" s="430"/>
      <c r="AB86" s="430"/>
      <c r="AC86" s="430"/>
      <c r="AD86" s="430"/>
      <c r="AE86" s="430"/>
      <c r="AF86" s="430"/>
      <c r="AG86" s="430"/>
      <c r="AH86" s="430"/>
      <c r="AI86" s="430"/>
      <c r="AJ86" s="430"/>
      <c r="AK86" s="430"/>
      <c r="AL86" s="430"/>
      <c r="AM86" s="430"/>
      <c r="AN86" s="430"/>
      <c r="AO86" s="430"/>
      <c r="AP86" s="430"/>
      <c r="AQ86" s="430"/>
      <c r="AR86" s="430"/>
      <c r="AS86" s="430"/>
      <c r="AT86" s="430"/>
      <c r="AU86" s="430"/>
      <c r="AV86" s="430"/>
      <c r="AW86" s="430"/>
      <c r="AX86" s="430"/>
    </row>
    <row r="87" spans="1:50">
      <c r="A87" s="430"/>
      <c r="B87" s="430"/>
      <c r="C87" s="430"/>
      <c r="D87" s="430"/>
      <c r="E87" s="430"/>
      <c r="F87" s="430"/>
      <c r="G87" s="430"/>
      <c r="H87" s="430"/>
      <c r="I87" s="430"/>
      <c r="J87" s="430"/>
      <c r="K87" s="430"/>
      <c r="L87" s="430"/>
      <c r="M87" s="430"/>
      <c r="N87" s="430"/>
      <c r="O87" s="430"/>
      <c r="P87" s="430"/>
      <c r="Q87" s="430"/>
      <c r="R87" s="430"/>
      <c r="S87" s="430"/>
      <c r="T87" s="430"/>
      <c r="U87" s="430"/>
      <c r="V87" s="430"/>
      <c r="W87" s="430"/>
      <c r="X87" s="430"/>
      <c r="Y87" s="430"/>
      <c r="Z87" s="430"/>
      <c r="AA87" s="430"/>
      <c r="AB87" s="430"/>
      <c r="AC87" s="430"/>
      <c r="AD87" s="430"/>
      <c r="AE87" s="430"/>
      <c r="AF87" s="430"/>
      <c r="AG87" s="430"/>
      <c r="AH87" s="430"/>
      <c r="AI87" s="430"/>
      <c r="AJ87" s="430"/>
      <c r="AK87" s="430"/>
      <c r="AL87" s="430"/>
      <c r="AM87" s="430"/>
      <c r="AN87" s="430"/>
      <c r="AO87" s="430"/>
      <c r="AP87" s="430"/>
      <c r="AQ87" s="430"/>
      <c r="AR87" s="430"/>
      <c r="AS87" s="430"/>
      <c r="AT87" s="430"/>
      <c r="AU87" s="430"/>
      <c r="AV87" s="430"/>
      <c r="AW87" s="430"/>
      <c r="AX87" s="430"/>
    </row>
    <row r="88" spans="1:50">
      <c r="A88" s="430"/>
      <c r="B88" s="430"/>
      <c r="C88" s="430"/>
      <c r="D88" s="430"/>
      <c r="E88" s="430"/>
      <c r="F88" s="430"/>
      <c r="G88" s="430"/>
      <c r="H88" s="430"/>
      <c r="I88" s="430"/>
      <c r="J88" s="430"/>
      <c r="K88" s="430"/>
      <c r="L88" s="430"/>
      <c r="M88" s="430"/>
      <c r="N88" s="430"/>
      <c r="O88" s="430"/>
      <c r="P88" s="430"/>
      <c r="Q88" s="430"/>
      <c r="R88" s="430"/>
      <c r="S88" s="430"/>
      <c r="T88" s="430"/>
      <c r="U88" s="430"/>
      <c r="V88" s="430"/>
      <c r="W88" s="430"/>
      <c r="X88" s="430"/>
      <c r="Y88" s="430"/>
      <c r="Z88" s="430"/>
      <c r="AA88" s="430"/>
      <c r="AB88" s="430"/>
      <c r="AC88" s="430"/>
      <c r="AD88" s="430"/>
      <c r="AE88" s="430"/>
      <c r="AF88" s="430"/>
      <c r="AG88" s="430"/>
      <c r="AH88" s="430"/>
      <c r="AI88" s="430"/>
      <c r="AJ88" s="430"/>
      <c r="AK88" s="430"/>
      <c r="AL88" s="430"/>
      <c r="AM88" s="430"/>
      <c r="AN88" s="430"/>
      <c r="AO88" s="430"/>
      <c r="AP88" s="430"/>
      <c r="AQ88" s="430"/>
      <c r="AR88" s="430"/>
      <c r="AS88" s="430"/>
      <c r="AT88" s="430"/>
      <c r="AU88" s="430"/>
      <c r="AV88" s="430"/>
      <c r="AW88" s="430"/>
      <c r="AX88" s="430"/>
    </row>
    <row r="89" spans="1:50">
      <c r="A89" s="430"/>
      <c r="B89" s="430"/>
      <c r="C89" s="430"/>
      <c r="D89" s="430"/>
      <c r="E89" s="430"/>
      <c r="F89" s="430"/>
      <c r="G89" s="430"/>
      <c r="H89" s="430"/>
      <c r="I89" s="430"/>
      <c r="J89" s="430"/>
      <c r="K89" s="430"/>
      <c r="L89" s="430"/>
      <c r="M89" s="430"/>
      <c r="N89" s="430"/>
      <c r="O89" s="430"/>
      <c r="P89" s="430"/>
      <c r="Q89" s="430"/>
      <c r="R89" s="430"/>
      <c r="S89" s="430"/>
      <c r="T89" s="430"/>
      <c r="U89" s="430"/>
      <c r="V89" s="430"/>
      <c r="W89" s="430"/>
      <c r="X89" s="430"/>
      <c r="Y89" s="430"/>
      <c r="Z89" s="430"/>
      <c r="AA89" s="430"/>
      <c r="AB89" s="430"/>
      <c r="AC89" s="430"/>
      <c r="AD89" s="430"/>
      <c r="AE89" s="430"/>
      <c r="AF89" s="430"/>
      <c r="AG89" s="430"/>
      <c r="AH89" s="430"/>
      <c r="AI89" s="430"/>
      <c r="AJ89" s="430"/>
      <c r="AK89" s="430"/>
      <c r="AL89" s="430"/>
      <c r="AM89" s="430"/>
      <c r="AN89" s="430"/>
      <c r="AO89" s="430"/>
      <c r="AP89" s="430"/>
      <c r="AQ89" s="430"/>
      <c r="AR89" s="430"/>
      <c r="AS89" s="430"/>
      <c r="AT89" s="430"/>
      <c r="AU89" s="430"/>
      <c r="AV89" s="430"/>
      <c r="AW89" s="430"/>
      <c r="AX89" s="430"/>
    </row>
    <row r="90" spans="1:50">
      <c r="A90" s="430"/>
      <c r="B90" s="430"/>
      <c r="C90" s="430"/>
      <c r="D90" s="430"/>
      <c r="E90" s="430"/>
      <c r="F90" s="430"/>
      <c r="G90" s="430"/>
      <c r="H90" s="430"/>
      <c r="I90" s="430"/>
      <c r="J90" s="430"/>
      <c r="K90" s="430"/>
      <c r="L90" s="430"/>
      <c r="M90" s="430"/>
      <c r="N90" s="430"/>
      <c r="O90" s="430"/>
      <c r="P90" s="430"/>
      <c r="Q90" s="430"/>
      <c r="R90" s="430"/>
      <c r="S90" s="430"/>
      <c r="T90" s="430"/>
      <c r="U90" s="430"/>
      <c r="V90" s="430"/>
      <c r="W90" s="430"/>
      <c r="X90" s="430"/>
      <c r="Y90" s="430"/>
      <c r="Z90" s="430"/>
      <c r="AA90" s="430"/>
      <c r="AB90" s="430"/>
      <c r="AC90" s="430"/>
      <c r="AD90" s="430"/>
      <c r="AE90" s="430"/>
      <c r="AF90" s="430"/>
      <c r="AG90" s="430"/>
      <c r="AH90" s="430"/>
      <c r="AI90" s="430"/>
      <c r="AJ90" s="430"/>
      <c r="AK90" s="430"/>
      <c r="AL90" s="430"/>
      <c r="AM90" s="430"/>
      <c r="AN90" s="430"/>
      <c r="AO90" s="430"/>
      <c r="AP90" s="430"/>
      <c r="AQ90" s="430"/>
      <c r="AR90" s="430"/>
      <c r="AS90" s="430"/>
      <c r="AT90" s="430"/>
      <c r="AU90" s="430"/>
      <c r="AV90" s="430"/>
      <c r="AW90" s="430"/>
      <c r="AX90" s="430"/>
    </row>
    <row r="91" spans="1:50">
      <c r="A91" s="430"/>
      <c r="B91" s="430"/>
      <c r="C91" s="430"/>
      <c r="D91" s="430"/>
      <c r="E91" s="430"/>
      <c r="F91" s="430"/>
      <c r="G91" s="430"/>
      <c r="H91" s="430"/>
      <c r="I91" s="430"/>
      <c r="J91" s="430"/>
      <c r="K91" s="430"/>
      <c r="L91" s="430"/>
      <c r="M91" s="430"/>
      <c r="N91" s="430"/>
      <c r="O91" s="430"/>
      <c r="P91" s="430"/>
      <c r="Q91" s="430"/>
      <c r="R91" s="430"/>
      <c r="S91" s="430"/>
      <c r="T91" s="430"/>
      <c r="U91" s="430"/>
      <c r="V91" s="430"/>
      <c r="W91" s="430"/>
      <c r="X91" s="430"/>
      <c r="Y91" s="430"/>
      <c r="Z91" s="430"/>
      <c r="AA91" s="430"/>
      <c r="AB91" s="430"/>
      <c r="AC91" s="430"/>
      <c r="AD91" s="430"/>
      <c r="AE91" s="430"/>
      <c r="AF91" s="430"/>
      <c r="AG91" s="430"/>
      <c r="AH91" s="430"/>
      <c r="AI91" s="430"/>
      <c r="AJ91" s="430"/>
      <c r="AK91" s="430"/>
      <c r="AL91" s="430"/>
      <c r="AM91" s="430"/>
      <c r="AN91" s="430"/>
      <c r="AO91" s="430"/>
      <c r="AP91" s="430"/>
      <c r="AQ91" s="430"/>
      <c r="AR91" s="430"/>
      <c r="AS91" s="430"/>
      <c r="AT91" s="430"/>
      <c r="AU91" s="430"/>
      <c r="AV91" s="430"/>
      <c r="AW91" s="430"/>
      <c r="AX91" s="430"/>
    </row>
    <row r="92" spans="1:50">
      <c r="A92" s="430"/>
      <c r="B92" s="430"/>
      <c r="C92" s="430"/>
      <c r="D92" s="430"/>
      <c r="E92" s="430"/>
      <c r="F92" s="430"/>
      <c r="G92" s="430"/>
      <c r="H92" s="430"/>
      <c r="I92" s="430"/>
      <c r="J92" s="430"/>
      <c r="K92" s="430"/>
      <c r="L92" s="430"/>
      <c r="M92" s="430"/>
      <c r="N92" s="430"/>
      <c r="O92" s="430"/>
      <c r="P92" s="430"/>
      <c r="Q92" s="430"/>
      <c r="R92" s="430"/>
      <c r="S92" s="430"/>
      <c r="T92" s="430"/>
      <c r="U92" s="430"/>
      <c r="V92" s="430"/>
      <c r="W92" s="430"/>
      <c r="X92" s="430"/>
      <c r="Y92" s="430"/>
      <c r="Z92" s="430"/>
      <c r="AA92" s="430"/>
      <c r="AB92" s="430"/>
      <c r="AC92" s="430"/>
      <c r="AD92" s="430"/>
      <c r="AE92" s="430"/>
      <c r="AF92" s="430"/>
      <c r="AG92" s="430"/>
      <c r="AH92" s="430"/>
      <c r="AI92" s="430"/>
      <c r="AJ92" s="430"/>
      <c r="AK92" s="430"/>
      <c r="AL92" s="430"/>
      <c r="AM92" s="430"/>
      <c r="AN92" s="430"/>
      <c r="AO92" s="430"/>
      <c r="AP92" s="430"/>
      <c r="AQ92" s="430"/>
      <c r="AR92" s="430"/>
      <c r="AS92" s="430"/>
      <c r="AT92" s="430"/>
      <c r="AU92" s="430"/>
      <c r="AV92" s="430"/>
      <c r="AW92" s="430"/>
      <c r="AX92" s="430"/>
    </row>
    <row r="93" spans="1:50">
      <c r="A93" s="430"/>
      <c r="B93" s="430"/>
      <c r="C93" s="430"/>
      <c r="D93" s="430"/>
      <c r="E93" s="430"/>
      <c r="F93" s="430"/>
      <c r="G93" s="430"/>
      <c r="H93" s="430"/>
      <c r="I93" s="430"/>
      <c r="J93" s="430"/>
      <c r="K93" s="430"/>
      <c r="L93" s="430"/>
      <c r="M93" s="430"/>
      <c r="N93" s="430"/>
      <c r="O93" s="430"/>
      <c r="P93" s="430"/>
      <c r="Q93" s="430"/>
      <c r="R93" s="430"/>
      <c r="S93" s="430"/>
      <c r="T93" s="430"/>
      <c r="U93" s="430"/>
      <c r="V93" s="430"/>
      <c r="W93" s="430"/>
      <c r="X93" s="430"/>
      <c r="Y93" s="430"/>
      <c r="Z93" s="430"/>
      <c r="AA93" s="430"/>
      <c r="AB93" s="430"/>
      <c r="AC93" s="430"/>
      <c r="AD93" s="430"/>
      <c r="AE93" s="430"/>
      <c r="AF93" s="430"/>
      <c r="AG93" s="430"/>
      <c r="AH93" s="430"/>
      <c r="AI93" s="430"/>
      <c r="AJ93" s="430"/>
      <c r="AK93" s="430"/>
      <c r="AL93" s="430"/>
      <c r="AM93" s="430"/>
      <c r="AN93" s="430"/>
      <c r="AO93" s="430"/>
      <c r="AP93" s="430"/>
      <c r="AQ93" s="430"/>
      <c r="AR93" s="430"/>
      <c r="AS93" s="430"/>
      <c r="AT93" s="430"/>
      <c r="AU93" s="430"/>
      <c r="AV93" s="430"/>
      <c r="AW93" s="430"/>
      <c r="AX93" s="430"/>
    </row>
    <row r="94" spans="1:50">
      <c r="A94" s="430"/>
      <c r="B94" s="430"/>
      <c r="C94" s="430"/>
      <c r="D94" s="430"/>
      <c r="E94" s="430"/>
      <c r="F94" s="430"/>
      <c r="G94" s="430"/>
      <c r="H94" s="430"/>
      <c r="I94" s="430"/>
      <c r="J94" s="430"/>
      <c r="K94" s="430"/>
      <c r="L94" s="430"/>
      <c r="M94" s="430"/>
      <c r="N94" s="430"/>
      <c r="O94" s="430"/>
      <c r="P94" s="430"/>
      <c r="Q94" s="430"/>
      <c r="R94" s="430"/>
      <c r="S94" s="430"/>
      <c r="T94" s="430"/>
      <c r="U94" s="430"/>
      <c r="V94" s="430"/>
      <c r="W94" s="430"/>
      <c r="X94" s="430"/>
      <c r="Y94" s="430"/>
      <c r="Z94" s="430"/>
      <c r="AA94" s="430"/>
      <c r="AB94" s="430"/>
      <c r="AC94" s="430"/>
      <c r="AD94" s="430"/>
      <c r="AE94" s="430"/>
      <c r="AF94" s="430"/>
      <c r="AG94" s="430"/>
      <c r="AH94" s="430"/>
      <c r="AI94" s="430"/>
      <c r="AJ94" s="430"/>
      <c r="AK94" s="430"/>
      <c r="AL94" s="430"/>
      <c r="AM94" s="430"/>
      <c r="AN94" s="430"/>
      <c r="AO94" s="430"/>
      <c r="AP94" s="430"/>
      <c r="AQ94" s="430"/>
      <c r="AR94" s="430"/>
      <c r="AS94" s="430"/>
      <c r="AT94" s="430"/>
      <c r="AU94" s="430"/>
      <c r="AV94" s="430"/>
      <c r="AW94" s="430"/>
      <c r="AX94" s="430"/>
    </row>
    <row r="95" spans="1:50">
      <c r="A95" s="430"/>
      <c r="B95" s="430"/>
      <c r="C95" s="430"/>
      <c r="D95" s="430"/>
      <c r="E95" s="430"/>
      <c r="F95" s="430"/>
      <c r="G95" s="430"/>
      <c r="H95" s="430"/>
      <c r="I95" s="430"/>
      <c r="J95" s="430"/>
      <c r="K95" s="430"/>
      <c r="L95" s="430"/>
      <c r="M95" s="430"/>
      <c r="N95" s="430"/>
      <c r="O95" s="430"/>
      <c r="P95" s="430"/>
      <c r="Q95" s="430"/>
      <c r="R95" s="430"/>
      <c r="S95" s="430"/>
      <c r="T95" s="430"/>
      <c r="U95" s="430"/>
      <c r="V95" s="430"/>
      <c r="W95" s="430"/>
      <c r="X95" s="430"/>
      <c r="Y95" s="430"/>
      <c r="Z95" s="430"/>
      <c r="AA95" s="430"/>
      <c r="AB95" s="430"/>
      <c r="AC95" s="430"/>
      <c r="AD95" s="430"/>
      <c r="AE95" s="430"/>
      <c r="AF95" s="430"/>
      <c r="AG95" s="430"/>
      <c r="AH95" s="430"/>
      <c r="AI95" s="430"/>
      <c r="AJ95" s="430"/>
      <c r="AK95" s="430"/>
      <c r="AL95" s="430"/>
      <c r="AM95" s="430"/>
      <c r="AN95" s="430"/>
      <c r="AO95" s="430"/>
      <c r="AP95" s="430"/>
      <c r="AQ95" s="430"/>
      <c r="AR95" s="430"/>
      <c r="AS95" s="430"/>
      <c r="AT95" s="430"/>
      <c r="AU95" s="430"/>
      <c r="AV95" s="430"/>
      <c r="AW95" s="430"/>
      <c r="AX95" s="430"/>
    </row>
    <row r="96" spans="1:50">
      <c r="A96" s="430"/>
      <c r="B96" s="430"/>
      <c r="C96" s="430"/>
      <c r="D96" s="430"/>
      <c r="E96" s="430"/>
      <c r="F96" s="430"/>
      <c r="G96" s="430"/>
      <c r="H96" s="430"/>
      <c r="I96" s="430"/>
      <c r="J96" s="430"/>
      <c r="K96" s="430"/>
      <c r="L96" s="430"/>
      <c r="M96" s="430"/>
      <c r="N96" s="430"/>
      <c r="O96" s="430"/>
      <c r="P96" s="430"/>
      <c r="Q96" s="430"/>
      <c r="R96" s="430"/>
      <c r="S96" s="430"/>
      <c r="T96" s="430"/>
      <c r="U96" s="430"/>
      <c r="V96" s="430"/>
      <c r="W96" s="430"/>
      <c r="X96" s="430"/>
      <c r="Y96" s="430"/>
      <c r="Z96" s="430"/>
      <c r="AA96" s="430"/>
      <c r="AB96" s="430"/>
      <c r="AC96" s="430"/>
      <c r="AD96" s="430"/>
      <c r="AE96" s="430"/>
      <c r="AF96" s="430"/>
      <c r="AG96" s="430"/>
      <c r="AH96" s="430"/>
      <c r="AI96" s="430"/>
      <c r="AJ96" s="430"/>
      <c r="AK96" s="430"/>
      <c r="AL96" s="430"/>
      <c r="AM96" s="430"/>
      <c r="AN96" s="430"/>
      <c r="AO96" s="430"/>
      <c r="AP96" s="430"/>
      <c r="AQ96" s="430"/>
      <c r="AR96" s="430"/>
      <c r="AS96" s="430"/>
      <c r="AT96" s="430"/>
      <c r="AU96" s="430"/>
      <c r="AV96" s="430"/>
      <c r="AW96" s="430"/>
      <c r="AX96" s="430"/>
    </row>
    <row r="97" spans="1:50">
      <c r="A97" s="430"/>
      <c r="B97" s="430"/>
      <c r="C97" s="430"/>
      <c r="D97" s="430"/>
      <c r="E97" s="430"/>
      <c r="F97" s="430"/>
      <c r="G97" s="430"/>
      <c r="H97" s="430"/>
      <c r="I97" s="430"/>
      <c r="J97" s="430"/>
      <c r="K97" s="430"/>
      <c r="L97" s="430"/>
      <c r="M97" s="430"/>
      <c r="N97" s="430"/>
      <c r="O97" s="430"/>
      <c r="P97" s="430"/>
      <c r="Q97" s="430"/>
      <c r="R97" s="430"/>
      <c r="S97" s="430"/>
      <c r="T97" s="430"/>
      <c r="U97" s="430"/>
      <c r="V97" s="430"/>
      <c r="W97" s="430"/>
      <c r="X97" s="430"/>
      <c r="Y97" s="430"/>
      <c r="Z97" s="430"/>
      <c r="AA97" s="430"/>
      <c r="AB97" s="430"/>
      <c r="AC97" s="430"/>
      <c r="AD97" s="430"/>
      <c r="AE97" s="430"/>
      <c r="AF97" s="430"/>
      <c r="AG97" s="430"/>
      <c r="AH97" s="430"/>
      <c r="AI97" s="430"/>
      <c r="AJ97" s="430"/>
      <c r="AK97" s="430"/>
      <c r="AL97" s="430"/>
      <c r="AM97" s="430"/>
      <c r="AN97" s="430"/>
      <c r="AO97" s="430"/>
      <c r="AP97" s="430"/>
      <c r="AQ97" s="430"/>
      <c r="AR97" s="430"/>
      <c r="AS97" s="430"/>
      <c r="AT97" s="430"/>
      <c r="AU97" s="430"/>
      <c r="AV97" s="430"/>
      <c r="AW97" s="430"/>
      <c r="AX97" s="430"/>
    </row>
    <row r="98" spans="1:50">
      <c r="A98" s="430"/>
      <c r="B98" s="430"/>
      <c r="C98" s="430"/>
      <c r="D98" s="430"/>
      <c r="E98" s="430"/>
      <c r="F98" s="430"/>
      <c r="G98" s="430"/>
      <c r="H98" s="430"/>
      <c r="I98" s="430"/>
      <c r="J98" s="430"/>
      <c r="K98" s="430"/>
      <c r="L98" s="430"/>
      <c r="M98" s="430"/>
      <c r="N98" s="430"/>
      <c r="O98" s="430"/>
      <c r="P98" s="430"/>
      <c r="Q98" s="430"/>
      <c r="R98" s="430"/>
      <c r="S98" s="430"/>
      <c r="T98" s="430"/>
      <c r="U98" s="430"/>
      <c r="V98" s="430"/>
      <c r="W98" s="430"/>
      <c r="X98" s="430"/>
      <c r="Y98" s="430"/>
      <c r="Z98" s="430"/>
      <c r="AA98" s="430"/>
      <c r="AB98" s="430"/>
      <c r="AC98" s="430"/>
      <c r="AD98" s="430"/>
      <c r="AE98" s="430"/>
      <c r="AF98" s="430"/>
      <c r="AG98" s="430"/>
      <c r="AH98" s="430"/>
      <c r="AI98" s="430"/>
      <c r="AJ98" s="430"/>
      <c r="AK98" s="430"/>
      <c r="AL98" s="430"/>
      <c r="AM98" s="430"/>
      <c r="AN98" s="430"/>
      <c r="AO98" s="430"/>
      <c r="AP98" s="430"/>
      <c r="AQ98" s="430"/>
      <c r="AR98" s="430"/>
      <c r="AS98" s="430"/>
      <c r="AT98" s="430"/>
      <c r="AU98" s="430"/>
      <c r="AV98" s="430"/>
      <c r="AW98" s="430"/>
      <c r="AX98" s="430"/>
    </row>
    <row r="99" spans="1:50">
      <c r="A99" s="430"/>
      <c r="B99" s="430"/>
      <c r="C99" s="430"/>
      <c r="D99" s="430"/>
      <c r="E99" s="430"/>
      <c r="F99" s="430"/>
      <c r="G99" s="430"/>
      <c r="H99" s="430"/>
      <c r="I99" s="430"/>
      <c r="J99" s="430"/>
      <c r="K99" s="430"/>
      <c r="L99" s="430"/>
      <c r="M99" s="430"/>
      <c r="N99" s="430"/>
      <c r="O99" s="430"/>
      <c r="P99" s="430"/>
      <c r="Q99" s="430"/>
      <c r="R99" s="430"/>
      <c r="S99" s="430"/>
      <c r="T99" s="430"/>
      <c r="U99" s="430"/>
      <c r="V99" s="430"/>
      <c r="W99" s="430"/>
      <c r="X99" s="430"/>
      <c r="Y99" s="430"/>
      <c r="Z99" s="430"/>
      <c r="AA99" s="430"/>
      <c r="AB99" s="430"/>
      <c r="AC99" s="430"/>
      <c r="AD99" s="430"/>
      <c r="AE99" s="430"/>
      <c r="AF99" s="430"/>
      <c r="AG99" s="430"/>
      <c r="AH99" s="430"/>
      <c r="AI99" s="430"/>
      <c r="AJ99" s="430"/>
      <c r="AK99" s="430"/>
      <c r="AL99" s="430"/>
      <c r="AM99" s="430"/>
      <c r="AN99" s="430"/>
      <c r="AO99" s="430"/>
      <c r="AP99" s="430"/>
      <c r="AQ99" s="430"/>
      <c r="AR99" s="430"/>
      <c r="AS99" s="430"/>
      <c r="AT99" s="430"/>
      <c r="AU99" s="430"/>
      <c r="AV99" s="430"/>
      <c r="AW99" s="430"/>
      <c r="AX99" s="430"/>
    </row>
    <row r="100" spans="1:50">
      <c r="A100" s="430"/>
      <c r="B100" s="430"/>
      <c r="C100" s="430"/>
      <c r="D100" s="430"/>
      <c r="E100" s="430"/>
      <c r="F100" s="430"/>
      <c r="G100" s="430"/>
      <c r="H100" s="430"/>
      <c r="I100" s="430"/>
      <c r="J100" s="430"/>
      <c r="K100" s="430"/>
      <c r="L100" s="430"/>
      <c r="M100" s="430"/>
      <c r="N100" s="430"/>
      <c r="O100" s="430"/>
      <c r="P100" s="430"/>
      <c r="Q100" s="430"/>
      <c r="R100" s="430"/>
      <c r="S100" s="430"/>
      <c r="T100" s="430"/>
      <c r="U100" s="430"/>
      <c r="V100" s="430"/>
      <c r="W100" s="430"/>
      <c r="X100" s="430"/>
      <c r="Y100" s="430"/>
      <c r="Z100" s="430"/>
      <c r="AA100" s="430"/>
      <c r="AB100" s="430"/>
      <c r="AC100" s="430"/>
      <c r="AD100" s="430"/>
      <c r="AE100" s="430"/>
      <c r="AF100" s="430"/>
      <c r="AG100" s="430"/>
      <c r="AH100" s="430"/>
      <c r="AI100" s="430"/>
      <c r="AJ100" s="430"/>
      <c r="AK100" s="430"/>
      <c r="AL100" s="430"/>
      <c r="AM100" s="430"/>
      <c r="AN100" s="430"/>
      <c r="AO100" s="430"/>
      <c r="AP100" s="430"/>
      <c r="AQ100" s="430"/>
      <c r="AR100" s="430"/>
      <c r="AS100" s="430"/>
      <c r="AT100" s="430"/>
      <c r="AU100" s="430"/>
      <c r="AV100" s="430"/>
      <c r="AW100" s="430"/>
      <c r="AX100" s="430"/>
    </row>
    <row r="101" spans="1:50">
      <c r="A101" s="430"/>
      <c r="B101" s="430"/>
      <c r="C101" s="430"/>
      <c r="D101" s="430"/>
      <c r="E101" s="430"/>
      <c r="F101" s="430"/>
      <c r="G101" s="430"/>
      <c r="H101" s="430"/>
      <c r="I101" s="430"/>
      <c r="J101" s="430"/>
      <c r="K101" s="430"/>
      <c r="L101" s="430"/>
      <c r="M101" s="430"/>
      <c r="N101" s="430"/>
      <c r="O101" s="430"/>
      <c r="P101" s="430"/>
      <c r="Q101" s="430"/>
      <c r="R101" s="430"/>
      <c r="S101" s="430"/>
      <c r="T101" s="430"/>
      <c r="U101" s="430"/>
      <c r="V101" s="430"/>
      <c r="W101" s="430"/>
      <c r="X101" s="430"/>
      <c r="Y101" s="430"/>
      <c r="Z101" s="430"/>
      <c r="AA101" s="430"/>
      <c r="AB101" s="430"/>
      <c r="AC101" s="430"/>
      <c r="AD101" s="430"/>
      <c r="AE101" s="430"/>
      <c r="AF101" s="430"/>
      <c r="AG101" s="430"/>
      <c r="AH101" s="430"/>
      <c r="AI101" s="430"/>
      <c r="AJ101" s="430"/>
      <c r="AK101" s="430"/>
      <c r="AL101" s="430"/>
      <c r="AM101" s="430"/>
      <c r="AN101" s="430"/>
      <c r="AO101" s="430"/>
      <c r="AP101" s="430"/>
      <c r="AQ101" s="430"/>
      <c r="AR101" s="430"/>
      <c r="AS101" s="430"/>
      <c r="AT101" s="430"/>
      <c r="AU101" s="430"/>
      <c r="AV101" s="430"/>
      <c r="AW101" s="430"/>
      <c r="AX101" s="430"/>
    </row>
    <row r="102" spans="1:50">
      <c r="A102" s="430"/>
      <c r="B102" s="430"/>
      <c r="C102" s="430"/>
      <c r="D102" s="430"/>
      <c r="E102" s="430"/>
      <c r="F102" s="430"/>
      <c r="G102" s="430"/>
      <c r="H102" s="430"/>
      <c r="I102" s="430"/>
      <c r="J102" s="430"/>
      <c r="K102" s="430"/>
      <c r="L102" s="430"/>
      <c r="M102" s="430"/>
      <c r="N102" s="430"/>
      <c r="O102" s="430"/>
      <c r="P102" s="430"/>
      <c r="Q102" s="430"/>
      <c r="R102" s="430"/>
      <c r="S102" s="430"/>
      <c r="T102" s="430"/>
      <c r="U102" s="430"/>
      <c r="V102" s="430"/>
      <c r="W102" s="430"/>
      <c r="X102" s="430"/>
      <c r="Y102" s="430"/>
      <c r="Z102" s="430"/>
      <c r="AA102" s="430"/>
      <c r="AB102" s="430"/>
      <c r="AC102" s="430"/>
      <c r="AD102" s="430"/>
      <c r="AE102" s="430"/>
      <c r="AF102" s="430"/>
      <c r="AG102" s="430"/>
      <c r="AH102" s="430"/>
      <c r="AI102" s="430"/>
      <c r="AJ102" s="430"/>
      <c r="AK102" s="430"/>
      <c r="AL102" s="430"/>
      <c r="AM102" s="430"/>
      <c r="AN102" s="430"/>
      <c r="AO102" s="430"/>
      <c r="AP102" s="430"/>
      <c r="AQ102" s="430"/>
      <c r="AR102" s="430"/>
      <c r="AS102" s="430"/>
      <c r="AT102" s="430"/>
      <c r="AU102" s="430"/>
      <c r="AV102" s="430"/>
      <c r="AW102" s="430"/>
      <c r="AX102" s="430"/>
    </row>
    <row r="103" spans="1:50">
      <c r="A103" s="430"/>
      <c r="B103" s="430"/>
      <c r="C103" s="430"/>
      <c r="D103" s="430"/>
      <c r="E103" s="430"/>
      <c r="F103" s="430"/>
      <c r="G103" s="430"/>
      <c r="H103" s="430"/>
      <c r="I103" s="430"/>
      <c r="J103" s="430"/>
      <c r="K103" s="430"/>
      <c r="L103" s="430"/>
      <c r="M103" s="430"/>
      <c r="N103" s="430"/>
      <c r="O103" s="430"/>
      <c r="P103" s="430"/>
      <c r="Q103" s="430"/>
      <c r="R103" s="430"/>
      <c r="S103" s="430"/>
      <c r="T103" s="430"/>
      <c r="U103" s="430"/>
      <c r="V103" s="430"/>
      <c r="W103" s="430"/>
      <c r="X103" s="430"/>
      <c r="Y103" s="430"/>
      <c r="Z103" s="430"/>
      <c r="AA103" s="430"/>
      <c r="AB103" s="430"/>
      <c r="AC103" s="430"/>
      <c r="AD103" s="430"/>
      <c r="AE103" s="430"/>
      <c r="AF103" s="430"/>
      <c r="AG103" s="430"/>
      <c r="AH103" s="430"/>
      <c r="AI103" s="430"/>
      <c r="AJ103" s="430"/>
      <c r="AK103" s="430"/>
      <c r="AL103" s="430"/>
      <c r="AM103" s="430"/>
      <c r="AN103" s="430"/>
      <c r="AO103" s="430"/>
      <c r="AP103" s="430"/>
      <c r="AQ103" s="430"/>
      <c r="AR103" s="430"/>
      <c r="AS103" s="430"/>
      <c r="AT103" s="430"/>
      <c r="AU103" s="430"/>
      <c r="AV103" s="430"/>
      <c r="AW103" s="430"/>
      <c r="AX103" s="430"/>
    </row>
    <row r="104" spans="1:50">
      <c r="A104" s="430"/>
      <c r="B104" s="430"/>
      <c r="C104" s="430"/>
      <c r="D104" s="430"/>
      <c r="E104" s="430"/>
      <c r="F104" s="430"/>
      <c r="G104" s="430"/>
      <c r="H104" s="430"/>
      <c r="I104" s="430"/>
      <c r="J104" s="430"/>
      <c r="K104" s="430"/>
      <c r="L104" s="430"/>
      <c r="M104" s="430"/>
      <c r="N104" s="430"/>
      <c r="O104" s="430"/>
      <c r="P104" s="430"/>
      <c r="Q104" s="430"/>
      <c r="R104" s="430"/>
      <c r="S104" s="430"/>
      <c r="T104" s="430"/>
      <c r="U104" s="430"/>
      <c r="V104" s="430"/>
      <c r="W104" s="430"/>
      <c r="X104" s="430"/>
      <c r="Y104" s="430"/>
      <c r="Z104" s="430"/>
      <c r="AA104" s="430"/>
      <c r="AB104" s="430"/>
      <c r="AC104" s="430"/>
      <c r="AD104" s="430"/>
      <c r="AE104" s="430"/>
      <c r="AF104" s="430"/>
      <c r="AG104" s="430"/>
      <c r="AH104" s="430"/>
      <c r="AI104" s="430"/>
      <c r="AJ104" s="430"/>
      <c r="AK104" s="430"/>
      <c r="AL104" s="430"/>
      <c r="AM104" s="430"/>
      <c r="AN104" s="430"/>
      <c r="AO104" s="430"/>
      <c r="AP104" s="430"/>
      <c r="AQ104" s="430"/>
      <c r="AR104" s="430"/>
      <c r="AS104" s="430"/>
      <c r="AT104" s="430"/>
      <c r="AU104" s="430"/>
      <c r="AV104" s="430"/>
      <c r="AW104" s="430"/>
      <c r="AX104" s="430"/>
    </row>
    <row r="105" spans="1:50">
      <c r="A105" s="430"/>
      <c r="B105" s="430"/>
      <c r="C105" s="430"/>
      <c r="D105" s="430"/>
      <c r="E105" s="430"/>
      <c r="F105" s="430"/>
      <c r="G105" s="430"/>
      <c r="H105" s="430"/>
      <c r="I105" s="430"/>
      <c r="J105" s="430"/>
      <c r="K105" s="430"/>
      <c r="L105" s="430"/>
      <c r="M105" s="430"/>
      <c r="N105" s="430"/>
      <c r="O105" s="430"/>
      <c r="P105" s="430"/>
      <c r="Q105" s="430"/>
      <c r="R105" s="430"/>
      <c r="S105" s="430"/>
      <c r="T105" s="430"/>
      <c r="U105" s="430"/>
      <c r="V105" s="430"/>
      <c r="W105" s="430"/>
      <c r="X105" s="430"/>
      <c r="Y105" s="430"/>
      <c r="Z105" s="430"/>
      <c r="AA105" s="430"/>
      <c r="AB105" s="430"/>
      <c r="AC105" s="430"/>
      <c r="AD105" s="430"/>
      <c r="AE105" s="430"/>
      <c r="AF105" s="430"/>
      <c r="AG105" s="430"/>
      <c r="AH105" s="430"/>
      <c r="AI105" s="430"/>
      <c r="AJ105" s="430"/>
      <c r="AK105" s="430"/>
      <c r="AL105" s="430"/>
      <c r="AM105" s="430"/>
      <c r="AN105" s="430"/>
      <c r="AO105" s="430"/>
      <c r="AP105" s="430"/>
      <c r="AQ105" s="430"/>
      <c r="AR105" s="430"/>
      <c r="AS105" s="430"/>
      <c r="AT105" s="430"/>
      <c r="AU105" s="430"/>
      <c r="AV105" s="430"/>
      <c r="AW105" s="430"/>
      <c r="AX105" s="430"/>
    </row>
    <row r="106" spans="1:50">
      <c r="A106" s="430"/>
      <c r="B106" s="430"/>
      <c r="C106" s="430"/>
      <c r="D106" s="430"/>
      <c r="E106" s="430"/>
      <c r="F106" s="430"/>
      <c r="G106" s="430"/>
      <c r="H106" s="430"/>
      <c r="I106" s="430"/>
      <c r="J106" s="430"/>
      <c r="K106" s="430"/>
      <c r="L106" s="430"/>
      <c r="M106" s="430"/>
      <c r="N106" s="430"/>
      <c r="O106" s="430"/>
      <c r="P106" s="430"/>
      <c r="Q106" s="430"/>
      <c r="R106" s="430"/>
      <c r="S106" s="430"/>
      <c r="T106" s="430"/>
      <c r="U106" s="430"/>
      <c r="V106" s="430"/>
      <c r="W106" s="430"/>
      <c r="X106" s="430"/>
      <c r="Y106" s="430"/>
      <c r="Z106" s="430"/>
      <c r="AA106" s="430"/>
      <c r="AB106" s="430"/>
      <c r="AC106" s="430"/>
      <c r="AD106" s="430"/>
      <c r="AE106" s="430"/>
      <c r="AF106" s="430"/>
      <c r="AG106" s="430"/>
      <c r="AH106" s="430"/>
      <c r="AI106" s="430"/>
      <c r="AJ106" s="430"/>
      <c r="AK106" s="430"/>
      <c r="AL106" s="430"/>
      <c r="AM106" s="430"/>
      <c r="AN106" s="430"/>
      <c r="AO106" s="430"/>
      <c r="AP106" s="430"/>
      <c r="AQ106" s="430"/>
      <c r="AR106" s="430"/>
      <c r="AS106" s="430"/>
      <c r="AT106" s="430"/>
      <c r="AU106" s="430"/>
      <c r="AV106" s="430"/>
      <c r="AW106" s="430"/>
      <c r="AX106" s="430"/>
    </row>
    <row r="107" spans="1:50">
      <c r="A107" s="430"/>
      <c r="B107" s="430"/>
      <c r="C107" s="430"/>
      <c r="D107" s="430"/>
      <c r="E107" s="430"/>
      <c r="F107" s="430"/>
      <c r="G107" s="430"/>
      <c r="H107" s="430"/>
      <c r="I107" s="430"/>
      <c r="J107" s="430"/>
      <c r="K107" s="430"/>
      <c r="L107" s="430"/>
      <c r="M107" s="430"/>
      <c r="N107" s="430"/>
      <c r="O107" s="430"/>
      <c r="P107" s="430"/>
      <c r="Q107" s="430"/>
      <c r="R107" s="430"/>
      <c r="S107" s="430"/>
      <c r="T107" s="430"/>
      <c r="U107" s="430"/>
      <c r="V107" s="430"/>
      <c r="W107" s="430"/>
      <c r="X107" s="430"/>
      <c r="Y107" s="430"/>
      <c r="Z107" s="430"/>
      <c r="AA107" s="430"/>
      <c r="AB107" s="430"/>
      <c r="AC107" s="430"/>
      <c r="AD107" s="430"/>
      <c r="AE107" s="430"/>
      <c r="AF107" s="430"/>
      <c r="AG107" s="430"/>
      <c r="AH107" s="430"/>
      <c r="AI107" s="430"/>
      <c r="AJ107" s="430"/>
      <c r="AK107" s="430"/>
      <c r="AL107" s="430"/>
      <c r="AM107" s="430"/>
      <c r="AN107" s="430"/>
      <c r="AO107" s="430"/>
      <c r="AP107" s="430"/>
      <c r="AQ107" s="430"/>
      <c r="AR107" s="430"/>
      <c r="AS107" s="430"/>
      <c r="AT107" s="430"/>
      <c r="AU107" s="430"/>
      <c r="AV107" s="430"/>
      <c r="AW107" s="430"/>
      <c r="AX107" s="430"/>
    </row>
    <row r="108" spans="1:50">
      <c r="A108" s="430"/>
      <c r="B108" s="430"/>
      <c r="C108" s="430"/>
      <c r="D108" s="430"/>
      <c r="E108" s="430"/>
      <c r="F108" s="430"/>
      <c r="G108" s="430"/>
      <c r="H108" s="430"/>
      <c r="I108" s="430"/>
      <c r="J108" s="430"/>
      <c r="K108" s="430"/>
      <c r="L108" s="430"/>
      <c r="M108" s="430"/>
      <c r="N108" s="430"/>
      <c r="O108" s="430"/>
      <c r="P108" s="430"/>
      <c r="Q108" s="430"/>
      <c r="R108" s="430"/>
      <c r="S108" s="430"/>
      <c r="T108" s="430"/>
      <c r="U108" s="430"/>
      <c r="V108" s="430"/>
      <c r="W108" s="430"/>
      <c r="X108" s="430"/>
      <c r="Y108" s="430"/>
      <c r="Z108" s="430"/>
      <c r="AA108" s="430"/>
      <c r="AB108" s="430"/>
      <c r="AC108" s="430"/>
      <c r="AD108" s="430"/>
      <c r="AE108" s="430"/>
      <c r="AF108" s="430"/>
      <c r="AG108" s="430"/>
      <c r="AH108" s="430"/>
      <c r="AI108" s="430"/>
      <c r="AJ108" s="430"/>
      <c r="AK108" s="430"/>
      <c r="AL108" s="430"/>
      <c r="AM108" s="430"/>
      <c r="AN108" s="430"/>
      <c r="AO108" s="430"/>
      <c r="AP108" s="430"/>
      <c r="AQ108" s="430"/>
      <c r="AR108" s="430"/>
      <c r="AS108" s="430"/>
      <c r="AT108" s="430"/>
      <c r="AU108" s="430"/>
      <c r="AV108" s="430"/>
      <c r="AW108" s="430"/>
      <c r="AX108" s="430"/>
    </row>
    <row r="109" spans="1:50">
      <c r="A109" s="430"/>
      <c r="B109" s="430"/>
      <c r="C109" s="430"/>
      <c r="D109" s="430"/>
      <c r="E109" s="430"/>
      <c r="F109" s="430"/>
      <c r="G109" s="430"/>
      <c r="H109" s="430"/>
      <c r="I109" s="430"/>
      <c r="J109" s="430"/>
      <c r="K109" s="430"/>
      <c r="L109" s="430"/>
      <c r="M109" s="430"/>
      <c r="N109" s="430"/>
      <c r="O109" s="430"/>
      <c r="P109" s="430"/>
      <c r="Q109" s="430"/>
      <c r="R109" s="430"/>
      <c r="S109" s="430"/>
      <c r="T109" s="430"/>
      <c r="U109" s="430"/>
      <c r="V109" s="430"/>
      <c r="W109" s="430"/>
      <c r="X109" s="430"/>
      <c r="Y109" s="430"/>
      <c r="Z109" s="430"/>
      <c r="AA109" s="430"/>
      <c r="AB109" s="430"/>
      <c r="AC109" s="430"/>
      <c r="AD109" s="430"/>
      <c r="AE109" s="430"/>
      <c r="AF109" s="430"/>
      <c r="AG109" s="430"/>
      <c r="AH109" s="430"/>
      <c r="AI109" s="430"/>
      <c r="AJ109" s="430"/>
      <c r="AK109" s="430"/>
      <c r="AL109" s="430"/>
      <c r="AM109" s="430"/>
      <c r="AN109" s="430"/>
      <c r="AO109" s="430"/>
      <c r="AP109" s="430"/>
      <c r="AQ109" s="430"/>
      <c r="AR109" s="430"/>
      <c r="AS109" s="430"/>
      <c r="AT109" s="430"/>
      <c r="AU109" s="430"/>
      <c r="AV109" s="430"/>
      <c r="AW109" s="430"/>
      <c r="AX109" s="430"/>
    </row>
    <row r="110" spans="1:50">
      <c r="A110" s="430"/>
      <c r="B110" s="430"/>
      <c r="C110" s="430"/>
      <c r="D110" s="430"/>
      <c r="E110" s="430"/>
      <c r="F110" s="430"/>
      <c r="G110" s="430"/>
      <c r="H110" s="430"/>
      <c r="I110" s="430"/>
      <c r="J110" s="430"/>
      <c r="K110" s="430"/>
      <c r="L110" s="430"/>
      <c r="M110" s="430"/>
      <c r="N110" s="430"/>
      <c r="O110" s="430"/>
      <c r="P110" s="430"/>
      <c r="Q110" s="430"/>
      <c r="R110" s="430"/>
      <c r="S110" s="430"/>
      <c r="T110" s="430"/>
      <c r="U110" s="430"/>
      <c r="V110" s="430"/>
      <c r="W110" s="430"/>
      <c r="X110" s="430"/>
      <c r="Y110" s="430"/>
      <c r="Z110" s="430"/>
      <c r="AA110" s="430"/>
      <c r="AB110" s="430"/>
      <c r="AC110" s="430"/>
      <c r="AD110" s="430"/>
      <c r="AE110" s="430"/>
      <c r="AF110" s="430"/>
      <c r="AG110" s="430"/>
      <c r="AH110" s="430"/>
      <c r="AI110" s="430"/>
      <c r="AJ110" s="430"/>
      <c r="AK110" s="430"/>
      <c r="AL110" s="430"/>
      <c r="AM110" s="430"/>
      <c r="AN110" s="430"/>
      <c r="AO110" s="430"/>
      <c r="AP110" s="430"/>
      <c r="AQ110" s="430"/>
      <c r="AR110" s="430"/>
      <c r="AS110" s="430"/>
      <c r="AT110" s="430"/>
      <c r="AU110" s="430"/>
      <c r="AV110" s="430"/>
      <c r="AW110" s="430"/>
      <c r="AX110" s="430"/>
    </row>
    <row r="111" spans="1:50">
      <c r="A111" s="430"/>
      <c r="B111" s="451"/>
      <c r="C111" s="430"/>
      <c r="D111" s="430"/>
      <c r="E111" s="430"/>
      <c r="F111" s="430"/>
      <c r="G111" s="430"/>
      <c r="H111" s="430"/>
      <c r="I111" s="430"/>
      <c r="J111" s="430"/>
      <c r="K111" s="430"/>
      <c r="L111" s="430"/>
      <c r="M111" s="430"/>
      <c r="N111" s="430"/>
      <c r="O111" s="430"/>
      <c r="P111" s="430"/>
      <c r="Q111" s="430"/>
      <c r="R111" s="430"/>
      <c r="S111" s="430"/>
      <c r="T111" s="430"/>
      <c r="U111" s="430"/>
      <c r="V111" s="430"/>
      <c r="W111" s="430"/>
      <c r="X111" s="430"/>
      <c r="Y111" s="430"/>
      <c r="Z111" s="430"/>
      <c r="AA111" s="430"/>
      <c r="AB111" s="430"/>
      <c r="AC111" s="430"/>
      <c r="AD111" s="430"/>
      <c r="AE111" s="430"/>
      <c r="AF111" s="430"/>
      <c r="AG111" s="430"/>
      <c r="AH111" s="430"/>
      <c r="AI111" s="430"/>
      <c r="AJ111" s="430"/>
      <c r="AK111" s="430"/>
      <c r="AL111" s="430"/>
      <c r="AM111" s="430"/>
      <c r="AN111" s="430"/>
      <c r="AO111" s="430"/>
      <c r="AP111" s="430"/>
      <c r="AQ111" s="430"/>
      <c r="AR111" s="430"/>
      <c r="AS111" s="430"/>
      <c r="AT111" s="430"/>
      <c r="AU111" s="430"/>
      <c r="AV111" s="430"/>
      <c r="AW111" s="430"/>
      <c r="AX111" s="430"/>
    </row>
    <row r="112" spans="1:50">
      <c r="A112" s="430"/>
      <c r="B112" s="451"/>
      <c r="C112" s="430"/>
      <c r="D112" s="430"/>
      <c r="E112" s="430"/>
      <c r="F112" s="430"/>
      <c r="G112" s="430"/>
      <c r="H112" s="430"/>
      <c r="I112" s="430"/>
      <c r="J112" s="430"/>
      <c r="K112" s="430"/>
      <c r="L112" s="430"/>
      <c r="M112" s="430"/>
      <c r="N112" s="430"/>
      <c r="O112" s="430"/>
      <c r="P112" s="430"/>
      <c r="Q112" s="430"/>
      <c r="R112" s="430"/>
      <c r="S112" s="430"/>
      <c r="T112" s="430"/>
      <c r="U112" s="430"/>
      <c r="V112" s="430"/>
      <c r="W112" s="430"/>
      <c r="X112" s="430"/>
      <c r="Y112" s="430"/>
      <c r="Z112" s="430"/>
      <c r="AA112" s="430"/>
      <c r="AB112" s="430"/>
      <c r="AC112" s="430"/>
      <c r="AD112" s="430"/>
      <c r="AE112" s="430"/>
      <c r="AF112" s="430"/>
      <c r="AG112" s="430"/>
      <c r="AH112" s="430"/>
      <c r="AI112" s="430"/>
      <c r="AJ112" s="430"/>
      <c r="AK112" s="430"/>
      <c r="AL112" s="430"/>
      <c r="AM112" s="430"/>
      <c r="AN112" s="430"/>
      <c r="AO112" s="430"/>
      <c r="AP112" s="430"/>
      <c r="AQ112" s="430"/>
      <c r="AR112" s="430"/>
      <c r="AS112" s="430"/>
      <c r="AT112" s="430"/>
      <c r="AU112" s="430"/>
      <c r="AV112" s="430"/>
      <c r="AW112" s="430"/>
      <c r="AX112" s="430"/>
    </row>
    <row r="113" spans="1:50">
      <c r="A113" s="430"/>
      <c r="B113" s="451"/>
      <c r="C113" s="430"/>
      <c r="D113" s="430"/>
      <c r="E113" s="430"/>
      <c r="F113" s="430"/>
      <c r="G113" s="430"/>
      <c r="H113" s="430"/>
      <c r="I113" s="430"/>
      <c r="J113" s="430"/>
      <c r="K113" s="430"/>
      <c r="L113" s="430"/>
      <c r="M113" s="430"/>
      <c r="N113" s="430"/>
      <c r="O113" s="430"/>
      <c r="P113" s="430"/>
      <c r="Q113" s="430"/>
      <c r="R113" s="430"/>
      <c r="S113" s="430"/>
      <c r="T113" s="430"/>
      <c r="U113" s="430"/>
      <c r="V113" s="430"/>
      <c r="W113" s="430"/>
      <c r="X113" s="430"/>
      <c r="Y113" s="430"/>
      <c r="Z113" s="430"/>
      <c r="AA113" s="430"/>
      <c r="AB113" s="430"/>
      <c r="AC113" s="430"/>
      <c r="AD113" s="430"/>
      <c r="AE113" s="430"/>
      <c r="AF113" s="430"/>
      <c r="AG113" s="430"/>
      <c r="AH113" s="430"/>
      <c r="AI113" s="430"/>
      <c r="AJ113" s="430"/>
      <c r="AK113" s="430"/>
      <c r="AL113" s="430"/>
      <c r="AM113" s="430"/>
      <c r="AN113" s="430"/>
      <c r="AO113" s="430"/>
      <c r="AP113" s="430"/>
      <c r="AQ113" s="430"/>
      <c r="AR113" s="430"/>
      <c r="AS113" s="430"/>
      <c r="AT113" s="430"/>
      <c r="AU113" s="430"/>
      <c r="AV113" s="430"/>
      <c r="AW113" s="430"/>
      <c r="AX113" s="430"/>
    </row>
    <row r="114" spans="1:50">
      <c r="A114" s="430"/>
      <c r="B114" s="451"/>
      <c r="C114" s="430"/>
      <c r="D114" s="430"/>
      <c r="E114" s="430"/>
      <c r="F114" s="430"/>
      <c r="G114" s="430"/>
      <c r="H114" s="430"/>
      <c r="I114" s="430"/>
      <c r="J114" s="430"/>
      <c r="K114" s="430"/>
      <c r="L114" s="430"/>
      <c r="M114" s="430"/>
      <c r="N114" s="430"/>
      <c r="O114" s="430"/>
      <c r="P114" s="430"/>
      <c r="Q114" s="430"/>
      <c r="R114" s="430"/>
      <c r="S114" s="430"/>
      <c r="T114" s="430"/>
      <c r="U114" s="430"/>
      <c r="V114" s="430"/>
      <c r="W114" s="430"/>
      <c r="X114" s="430"/>
      <c r="Y114" s="430"/>
      <c r="Z114" s="430"/>
      <c r="AA114" s="430"/>
      <c r="AB114" s="430"/>
      <c r="AC114" s="430"/>
      <c r="AD114" s="430"/>
      <c r="AE114" s="430"/>
      <c r="AF114" s="430"/>
      <c r="AG114" s="430"/>
      <c r="AH114" s="430"/>
      <c r="AI114" s="430"/>
      <c r="AJ114" s="430"/>
      <c r="AK114" s="430"/>
      <c r="AL114" s="430"/>
      <c r="AM114" s="430"/>
      <c r="AN114" s="430"/>
      <c r="AO114" s="430"/>
      <c r="AP114" s="430"/>
      <c r="AQ114" s="430"/>
      <c r="AR114" s="430"/>
      <c r="AS114" s="430"/>
      <c r="AT114" s="430"/>
      <c r="AU114" s="430"/>
      <c r="AV114" s="430"/>
      <c r="AW114" s="430"/>
      <c r="AX114" s="430"/>
    </row>
    <row r="115" spans="1:50">
      <c r="A115" s="430"/>
      <c r="B115" s="451"/>
      <c r="C115" s="430"/>
      <c r="D115" s="430"/>
      <c r="E115" s="430"/>
      <c r="F115" s="430"/>
      <c r="G115" s="430"/>
      <c r="H115" s="430"/>
      <c r="I115" s="430"/>
      <c r="J115" s="430"/>
      <c r="K115" s="430"/>
      <c r="L115" s="430"/>
      <c r="M115" s="430"/>
      <c r="N115" s="430"/>
      <c r="O115" s="430"/>
      <c r="P115" s="430"/>
      <c r="Q115" s="430"/>
      <c r="R115" s="430"/>
      <c r="S115" s="430"/>
      <c r="T115" s="430"/>
      <c r="U115" s="430"/>
      <c r="V115" s="430"/>
      <c r="W115" s="430"/>
      <c r="X115" s="430"/>
      <c r="Y115" s="430"/>
      <c r="Z115" s="430"/>
      <c r="AA115" s="430"/>
      <c r="AB115" s="430"/>
      <c r="AC115" s="430"/>
      <c r="AD115" s="430"/>
      <c r="AE115" s="430"/>
      <c r="AF115" s="430"/>
      <c r="AG115" s="430"/>
      <c r="AH115" s="430"/>
      <c r="AI115" s="430"/>
      <c r="AJ115" s="430"/>
      <c r="AK115" s="430"/>
      <c r="AL115" s="430"/>
      <c r="AM115" s="430"/>
      <c r="AN115" s="430"/>
      <c r="AO115" s="430"/>
      <c r="AP115" s="430"/>
      <c r="AQ115" s="430"/>
      <c r="AR115" s="430"/>
      <c r="AS115" s="430"/>
      <c r="AT115" s="430"/>
      <c r="AU115" s="430"/>
      <c r="AV115" s="430"/>
      <c r="AW115" s="430"/>
      <c r="AX115" s="430"/>
    </row>
    <row r="116" spans="1:50">
      <c r="A116" s="430"/>
      <c r="B116" s="451"/>
      <c r="C116" s="430"/>
      <c r="D116" s="430"/>
      <c r="E116" s="430"/>
      <c r="F116" s="430"/>
      <c r="G116" s="430"/>
      <c r="H116" s="430"/>
      <c r="I116" s="430"/>
      <c r="J116" s="430"/>
      <c r="K116" s="430"/>
      <c r="L116" s="430"/>
      <c r="M116" s="430"/>
      <c r="N116" s="430"/>
      <c r="O116" s="430"/>
      <c r="P116" s="430"/>
      <c r="Q116" s="430"/>
      <c r="R116" s="430"/>
      <c r="S116" s="430"/>
      <c r="T116" s="430"/>
      <c r="U116" s="430"/>
      <c r="V116" s="430"/>
      <c r="W116" s="430"/>
      <c r="X116" s="430"/>
      <c r="Y116" s="430"/>
      <c r="Z116" s="430"/>
      <c r="AA116" s="430"/>
      <c r="AB116" s="430"/>
      <c r="AC116" s="430"/>
      <c r="AD116" s="430"/>
      <c r="AE116" s="430"/>
      <c r="AF116" s="430"/>
      <c r="AG116" s="430"/>
      <c r="AH116" s="430"/>
      <c r="AI116" s="430"/>
      <c r="AJ116" s="430"/>
      <c r="AK116" s="430"/>
      <c r="AL116" s="430"/>
      <c r="AM116" s="430"/>
      <c r="AN116" s="430"/>
      <c r="AO116" s="430"/>
      <c r="AP116" s="430"/>
      <c r="AQ116" s="430"/>
      <c r="AR116" s="430"/>
      <c r="AS116" s="430"/>
      <c r="AT116" s="430"/>
      <c r="AU116" s="430"/>
      <c r="AV116" s="430"/>
      <c r="AW116" s="430"/>
      <c r="AX116" s="430"/>
    </row>
    <row r="117" spans="1:50">
      <c r="A117" s="430"/>
      <c r="B117" s="451"/>
      <c r="C117" s="430"/>
      <c r="D117" s="430"/>
      <c r="E117" s="430"/>
      <c r="F117" s="430"/>
      <c r="G117" s="430"/>
      <c r="H117" s="430"/>
      <c r="I117" s="430"/>
      <c r="J117" s="430"/>
      <c r="K117" s="430"/>
      <c r="L117" s="430"/>
      <c r="M117" s="430"/>
      <c r="N117" s="430"/>
      <c r="O117" s="430"/>
      <c r="P117" s="430"/>
      <c r="Q117" s="430"/>
      <c r="R117" s="430"/>
      <c r="S117" s="430"/>
      <c r="T117" s="430"/>
      <c r="U117" s="430"/>
      <c r="V117" s="430"/>
      <c r="W117" s="430"/>
      <c r="X117" s="430"/>
      <c r="Y117" s="430"/>
      <c r="Z117" s="430"/>
      <c r="AA117" s="430"/>
      <c r="AB117" s="430"/>
      <c r="AC117" s="430"/>
      <c r="AD117" s="430"/>
      <c r="AE117" s="430"/>
      <c r="AF117" s="430"/>
      <c r="AG117" s="430"/>
      <c r="AH117" s="430"/>
      <c r="AI117" s="430"/>
      <c r="AJ117" s="430"/>
      <c r="AK117" s="430"/>
      <c r="AL117" s="430"/>
      <c r="AM117" s="430"/>
      <c r="AN117" s="430"/>
      <c r="AO117" s="430"/>
      <c r="AP117" s="430"/>
      <c r="AQ117" s="430"/>
      <c r="AR117" s="430"/>
      <c r="AS117" s="430"/>
      <c r="AT117" s="430"/>
      <c r="AU117" s="430"/>
      <c r="AV117" s="430"/>
      <c r="AW117" s="430"/>
      <c r="AX117" s="430"/>
    </row>
    <row r="118" spans="1:50">
      <c r="A118" s="430"/>
      <c r="B118" s="451"/>
      <c r="C118" s="430"/>
      <c r="D118" s="430"/>
      <c r="E118" s="430"/>
      <c r="F118" s="430"/>
      <c r="G118" s="430"/>
      <c r="H118" s="430"/>
      <c r="I118" s="430"/>
      <c r="J118" s="430"/>
      <c r="K118" s="430"/>
      <c r="L118" s="430"/>
      <c r="M118" s="430"/>
      <c r="N118" s="430"/>
      <c r="O118" s="430"/>
      <c r="P118" s="430"/>
      <c r="Q118" s="430"/>
      <c r="R118" s="430"/>
      <c r="S118" s="430"/>
      <c r="T118" s="430"/>
      <c r="U118" s="430"/>
      <c r="V118" s="430"/>
      <c r="W118" s="430"/>
      <c r="X118" s="430"/>
      <c r="Y118" s="430"/>
      <c r="Z118" s="430"/>
      <c r="AA118" s="430"/>
      <c r="AB118" s="430"/>
      <c r="AC118" s="430"/>
      <c r="AD118" s="430"/>
      <c r="AE118" s="430"/>
      <c r="AF118" s="430"/>
      <c r="AG118" s="430"/>
      <c r="AH118" s="430"/>
      <c r="AI118" s="430"/>
      <c r="AJ118" s="430"/>
      <c r="AK118" s="430"/>
      <c r="AL118" s="430"/>
      <c r="AM118" s="430"/>
      <c r="AN118" s="430"/>
      <c r="AO118" s="430"/>
      <c r="AP118" s="430"/>
      <c r="AQ118" s="430"/>
      <c r="AR118" s="430"/>
      <c r="AS118" s="430"/>
      <c r="AT118" s="430"/>
      <c r="AU118" s="430"/>
      <c r="AV118" s="430"/>
      <c r="AW118" s="430"/>
      <c r="AX118" s="430"/>
    </row>
    <row r="119" spans="1:50">
      <c r="A119" s="430"/>
      <c r="B119" s="451"/>
      <c r="C119" s="430"/>
      <c r="D119" s="430"/>
      <c r="E119" s="430"/>
      <c r="F119" s="430"/>
      <c r="G119" s="430"/>
      <c r="H119" s="430"/>
      <c r="I119" s="430"/>
      <c r="J119" s="430"/>
      <c r="K119" s="430"/>
      <c r="L119" s="430"/>
      <c r="M119" s="430"/>
      <c r="N119" s="430"/>
      <c r="O119" s="430"/>
      <c r="P119" s="430"/>
      <c r="Q119" s="430"/>
      <c r="R119" s="430"/>
      <c r="S119" s="430"/>
      <c r="T119" s="430"/>
      <c r="U119" s="430"/>
      <c r="V119" s="430"/>
      <c r="W119" s="430"/>
      <c r="X119" s="430"/>
      <c r="Y119" s="430"/>
      <c r="Z119" s="430"/>
      <c r="AA119" s="430"/>
      <c r="AB119" s="430"/>
      <c r="AC119" s="430"/>
      <c r="AD119" s="430"/>
      <c r="AE119" s="430"/>
      <c r="AF119" s="430"/>
      <c r="AG119" s="430"/>
      <c r="AH119" s="430"/>
      <c r="AI119" s="430"/>
      <c r="AJ119" s="430"/>
      <c r="AK119" s="430"/>
      <c r="AL119" s="430"/>
      <c r="AM119" s="430"/>
      <c r="AN119" s="430"/>
      <c r="AO119" s="430"/>
      <c r="AP119" s="430"/>
      <c r="AQ119" s="430"/>
      <c r="AR119" s="430"/>
      <c r="AS119" s="430"/>
      <c r="AT119" s="430"/>
      <c r="AU119" s="430"/>
      <c r="AV119" s="430"/>
      <c r="AW119" s="430"/>
      <c r="AX119" s="430"/>
    </row>
    <row r="120" spans="1:50">
      <c r="A120" s="430"/>
      <c r="B120" s="451"/>
      <c r="C120" s="430"/>
      <c r="D120" s="430"/>
      <c r="E120" s="430"/>
      <c r="F120" s="430"/>
      <c r="G120" s="430"/>
      <c r="H120" s="430"/>
      <c r="I120" s="430"/>
      <c r="J120" s="430"/>
      <c r="K120" s="430"/>
      <c r="L120" s="430"/>
      <c r="M120" s="430"/>
      <c r="N120" s="430"/>
      <c r="O120" s="430"/>
      <c r="P120" s="430"/>
      <c r="Q120" s="430"/>
      <c r="R120" s="430"/>
      <c r="S120" s="430"/>
      <c r="T120" s="430"/>
      <c r="U120" s="430"/>
      <c r="V120" s="430"/>
      <c r="W120" s="430"/>
      <c r="X120" s="430"/>
      <c r="Y120" s="430"/>
      <c r="Z120" s="430"/>
      <c r="AA120" s="430"/>
      <c r="AB120" s="430"/>
      <c r="AC120" s="430"/>
      <c r="AD120" s="430"/>
      <c r="AE120" s="430"/>
      <c r="AF120" s="430"/>
      <c r="AG120" s="430"/>
      <c r="AH120" s="430"/>
      <c r="AI120" s="430"/>
      <c r="AJ120" s="430"/>
      <c r="AK120" s="430"/>
      <c r="AL120" s="430"/>
      <c r="AM120" s="430"/>
      <c r="AN120" s="430"/>
      <c r="AO120" s="430"/>
      <c r="AP120" s="430"/>
      <c r="AQ120" s="430"/>
      <c r="AR120" s="430"/>
      <c r="AS120" s="430"/>
      <c r="AT120" s="430"/>
      <c r="AU120" s="430"/>
      <c r="AV120" s="430"/>
      <c r="AW120" s="430"/>
      <c r="AX120" s="430"/>
    </row>
    <row r="121" spans="1:50">
      <c r="A121" s="430"/>
      <c r="B121" s="451"/>
      <c r="C121" s="430"/>
      <c r="D121" s="430"/>
      <c r="E121" s="430"/>
      <c r="F121" s="430"/>
      <c r="G121" s="430"/>
      <c r="H121" s="430"/>
      <c r="I121" s="430"/>
      <c r="J121" s="430"/>
      <c r="K121" s="430"/>
      <c r="L121" s="430"/>
      <c r="M121" s="430"/>
      <c r="N121" s="430"/>
      <c r="O121" s="430"/>
      <c r="P121" s="430"/>
      <c r="Q121" s="430"/>
      <c r="R121" s="430"/>
      <c r="S121" s="430"/>
      <c r="T121" s="430"/>
      <c r="U121" s="430"/>
      <c r="V121" s="430"/>
      <c r="W121" s="430"/>
      <c r="X121" s="430"/>
      <c r="Y121" s="430"/>
      <c r="Z121" s="430"/>
      <c r="AA121" s="430"/>
      <c r="AB121" s="430"/>
      <c r="AC121" s="430"/>
      <c r="AD121" s="430"/>
      <c r="AE121" s="430"/>
      <c r="AF121" s="430"/>
      <c r="AG121" s="430"/>
      <c r="AH121" s="430"/>
      <c r="AI121" s="430"/>
      <c r="AJ121" s="430"/>
      <c r="AK121" s="430"/>
      <c r="AL121" s="430"/>
      <c r="AM121" s="430"/>
      <c r="AN121" s="430"/>
      <c r="AO121" s="430"/>
      <c r="AP121" s="430"/>
      <c r="AQ121" s="430"/>
      <c r="AR121" s="430"/>
      <c r="AS121" s="430"/>
      <c r="AT121" s="430"/>
      <c r="AU121" s="430"/>
      <c r="AV121" s="430"/>
      <c r="AW121" s="430"/>
      <c r="AX121" s="430"/>
    </row>
    <row r="122" spans="1:50">
      <c r="A122" s="430"/>
      <c r="B122" s="451"/>
      <c r="C122" s="430"/>
      <c r="D122" s="430"/>
      <c r="E122" s="430"/>
      <c r="F122" s="430"/>
      <c r="G122" s="430"/>
      <c r="H122" s="430"/>
      <c r="I122" s="430"/>
      <c r="J122" s="430"/>
      <c r="K122" s="430"/>
      <c r="L122" s="430"/>
      <c r="M122" s="430"/>
      <c r="N122" s="430"/>
      <c r="O122" s="430"/>
      <c r="P122" s="430"/>
      <c r="Q122" s="430"/>
      <c r="R122" s="430"/>
      <c r="S122" s="430"/>
      <c r="T122" s="430"/>
      <c r="U122" s="430"/>
      <c r="V122" s="430"/>
      <c r="W122" s="430"/>
      <c r="X122" s="430"/>
      <c r="Y122" s="430"/>
      <c r="Z122" s="430"/>
      <c r="AA122" s="430"/>
      <c r="AB122" s="430"/>
      <c r="AC122" s="430"/>
      <c r="AD122" s="430"/>
      <c r="AE122" s="430"/>
      <c r="AF122" s="430"/>
      <c r="AG122" s="430"/>
      <c r="AH122" s="430"/>
      <c r="AI122" s="430"/>
      <c r="AJ122" s="430"/>
      <c r="AK122" s="430"/>
      <c r="AL122" s="430"/>
      <c r="AM122" s="430"/>
      <c r="AN122" s="430"/>
      <c r="AO122" s="430"/>
      <c r="AP122" s="430"/>
      <c r="AQ122" s="430"/>
      <c r="AR122" s="430"/>
      <c r="AS122" s="430"/>
      <c r="AT122" s="430"/>
      <c r="AU122" s="430"/>
      <c r="AV122" s="430"/>
      <c r="AW122" s="430"/>
      <c r="AX122" s="430"/>
    </row>
    <row r="123" spans="1:50">
      <c r="A123" s="430"/>
      <c r="B123" s="451"/>
      <c r="C123" s="430"/>
      <c r="D123" s="430"/>
      <c r="E123" s="430"/>
      <c r="F123" s="430"/>
      <c r="G123" s="430"/>
      <c r="H123" s="430"/>
      <c r="I123" s="430"/>
      <c r="J123" s="430"/>
      <c r="K123" s="430"/>
      <c r="L123" s="430"/>
      <c r="M123" s="430"/>
      <c r="N123" s="430"/>
      <c r="O123" s="430"/>
      <c r="P123" s="430"/>
      <c r="Q123" s="430"/>
      <c r="R123" s="430"/>
      <c r="S123" s="430"/>
      <c r="T123" s="430"/>
      <c r="U123" s="430"/>
      <c r="V123" s="430"/>
      <c r="W123" s="430"/>
      <c r="X123" s="430"/>
      <c r="Y123" s="430"/>
      <c r="Z123" s="430"/>
      <c r="AA123" s="430"/>
      <c r="AB123" s="430"/>
      <c r="AC123" s="430"/>
      <c r="AD123" s="430"/>
      <c r="AE123" s="430"/>
      <c r="AF123" s="430"/>
      <c r="AG123" s="430"/>
      <c r="AH123" s="430"/>
      <c r="AI123" s="430"/>
      <c r="AJ123" s="430"/>
      <c r="AK123" s="430"/>
      <c r="AL123" s="430"/>
      <c r="AM123" s="430"/>
      <c r="AN123" s="430"/>
      <c r="AO123" s="430"/>
      <c r="AP123" s="430"/>
      <c r="AQ123" s="430"/>
      <c r="AR123" s="430"/>
      <c r="AS123" s="430"/>
      <c r="AT123" s="430"/>
      <c r="AU123" s="430"/>
      <c r="AV123" s="430"/>
      <c r="AW123" s="430"/>
      <c r="AX123" s="430"/>
    </row>
    <row r="124" spans="1:50">
      <c r="A124" s="430"/>
      <c r="B124" s="451"/>
      <c r="C124" s="430"/>
      <c r="D124" s="430"/>
      <c r="E124" s="430"/>
      <c r="F124" s="430"/>
      <c r="G124" s="430"/>
      <c r="H124" s="430"/>
      <c r="I124" s="430"/>
      <c r="J124" s="430"/>
      <c r="K124" s="430"/>
      <c r="L124" s="430"/>
      <c r="M124" s="430"/>
      <c r="N124" s="430"/>
      <c r="O124" s="430"/>
      <c r="P124" s="430"/>
      <c r="Q124" s="430"/>
      <c r="R124" s="430"/>
      <c r="S124" s="430"/>
      <c r="T124" s="430"/>
      <c r="U124" s="555"/>
      <c r="V124" s="555"/>
      <c r="W124" s="430"/>
      <c r="X124" s="432"/>
      <c r="Y124" s="432"/>
      <c r="Z124" s="432"/>
      <c r="AA124" s="430"/>
      <c r="AB124" s="430"/>
      <c r="AC124" s="430"/>
      <c r="AD124" s="430"/>
      <c r="AE124" s="430"/>
      <c r="AF124" s="430"/>
      <c r="AG124" s="430"/>
      <c r="AH124" s="430"/>
      <c r="AI124" s="430"/>
      <c r="AJ124" s="430"/>
      <c r="AK124" s="430"/>
      <c r="AL124" s="430"/>
      <c r="AM124" s="430"/>
      <c r="AN124" s="430"/>
      <c r="AO124" s="430"/>
      <c r="AP124" s="430"/>
      <c r="AQ124" s="430"/>
      <c r="AR124" s="430"/>
      <c r="AS124" s="430"/>
      <c r="AT124" s="430"/>
      <c r="AU124" s="430"/>
      <c r="AV124" s="430"/>
      <c r="AW124" s="430"/>
      <c r="AX124" s="430"/>
    </row>
    <row r="125" spans="1:50">
      <c r="A125" s="430"/>
      <c r="B125" s="451"/>
      <c r="C125" s="430"/>
      <c r="D125" s="430"/>
      <c r="E125" s="430"/>
      <c r="F125" s="430"/>
      <c r="G125" s="430"/>
      <c r="H125" s="430"/>
      <c r="I125" s="430"/>
      <c r="J125" s="430"/>
      <c r="K125" s="430"/>
      <c r="L125" s="430"/>
      <c r="M125" s="430"/>
      <c r="N125" s="430"/>
      <c r="O125" s="430"/>
      <c r="P125" s="430"/>
      <c r="Q125" s="430"/>
      <c r="R125" s="430"/>
      <c r="S125" s="430"/>
      <c r="T125" s="430"/>
      <c r="U125" s="430"/>
      <c r="V125" s="430"/>
      <c r="W125" s="430"/>
      <c r="X125" s="430"/>
      <c r="Y125" s="430"/>
      <c r="Z125" s="430"/>
      <c r="AA125" s="430"/>
      <c r="AB125" s="430"/>
      <c r="AC125" s="430"/>
      <c r="AD125" s="430"/>
      <c r="AE125" s="430"/>
      <c r="AF125" s="430"/>
      <c r="AG125" s="430"/>
      <c r="AH125" s="430"/>
      <c r="AI125" s="430"/>
      <c r="AJ125" s="430"/>
      <c r="AK125" s="430"/>
      <c r="AL125" s="430"/>
      <c r="AM125" s="430"/>
      <c r="AN125" s="430"/>
      <c r="AO125" s="430"/>
      <c r="AP125" s="430"/>
      <c r="AQ125" s="430"/>
      <c r="AR125" s="430"/>
      <c r="AS125" s="430"/>
      <c r="AT125" s="430"/>
      <c r="AU125" s="430"/>
      <c r="AV125" s="430"/>
      <c r="AW125" s="430"/>
      <c r="AX125" s="430"/>
    </row>
    <row r="126" spans="1:50">
      <c r="A126" s="430"/>
      <c r="B126" s="451"/>
      <c r="C126" s="430"/>
      <c r="D126" s="430"/>
      <c r="E126" s="430"/>
      <c r="F126" s="430"/>
      <c r="G126" s="430"/>
      <c r="H126" s="430"/>
      <c r="I126" s="430"/>
      <c r="J126" s="430"/>
      <c r="K126" s="430"/>
      <c r="L126" s="430"/>
      <c r="M126" s="430"/>
      <c r="N126" s="430"/>
      <c r="O126" s="430"/>
      <c r="P126" s="430"/>
      <c r="Q126" s="430"/>
      <c r="R126" s="430"/>
      <c r="S126" s="430"/>
      <c r="T126" s="430"/>
      <c r="U126" s="430"/>
      <c r="V126" s="430"/>
      <c r="W126" s="430"/>
      <c r="X126" s="430"/>
      <c r="Y126" s="430"/>
      <c r="Z126" s="430"/>
      <c r="AA126" s="430"/>
      <c r="AB126" s="430"/>
      <c r="AC126" s="430"/>
      <c r="AD126" s="430"/>
      <c r="AE126" s="430"/>
      <c r="AF126" s="430"/>
      <c r="AG126" s="430"/>
      <c r="AH126" s="430"/>
      <c r="AI126" s="430"/>
      <c r="AJ126" s="430"/>
      <c r="AK126" s="430"/>
      <c r="AL126" s="430"/>
      <c r="AM126" s="430"/>
      <c r="AN126" s="430"/>
      <c r="AO126" s="430"/>
      <c r="AP126" s="430"/>
      <c r="AQ126" s="430"/>
      <c r="AR126" s="430"/>
      <c r="AS126" s="430"/>
      <c r="AT126" s="430"/>
      <c r="AU126" s="430"/>
      <c r="AV126" s="430"/>
      <c r="AW126" s="430"/>
      <c r="AX126" s="430"/>
    </row>
    <row r="127" spans="1:50">
      <c r="A127" s="430"/>
      <c r="B127" s="451"/>
      <c r="C127" s="430"/>
      <c r="D127" s="430"/>
      <c r="E127" s="430"/>
      <c r="F127" s="430"/>
      <c r="G127" s="430"/>
      <c r="H127" s="430"/>
      <c r="I127" s="430"/>
      <c r="J127" s="430"/>
      <c r="K127" s="430"/>
      <c r="L127" s="430"/>
      <c r="M127" s="430"/>
      <c r="N127" s="430"/>
      <c r="O127" s="430"/>
      <c r="P127" s="430"/>
      <c r="Q127" s="430"/>
      <c r="R127" s="430"/>
      <c r="S127" s="430"/>
      <c r="T127" s="430"/>
      <c r="U127" s="430"/>
      <c r="V127" s="430"/>
      <c r="W127" s="430"/>
      <c r="X127" s="430"/>
      <c r="Y127" s="430"/>
      <c r="Z127" s="430"/>
      <c r="AA127" s="430"/>
      <c r="AB127" s="430"/>
      <c r="AC127" s="430"/>
      <c r="AD127" s="430"/>
      <c r="AE127" s="430"/>
      <c r="AF127" s="430"/>
      <c r="AG127" s="430"/>
      <c r="AH127" s="430"/>
      <c r="AI127" s="430"/>
      <c r="AJ127" s="430"/>
      <c r="AK127" s="430"/>
      <c r="AL127" s="430"/>
      <c r="AM127" s="430"/>
      <c r="AN127" s="430"/>
      <c r="AO127" s="430"/>
      <c r="AP127" s="430"/>
      <c r="AQ127" s="430"/>
      <c r="AR127" s="430"/>
      <c r="AS127" s="430"/>
      <c r="AT127" s="430"/>
      <c r="AU127" s="430"/>
      <c r="AV127" s="430"/>
      <c r="AW127" s="430"/>
      <c r="AX127" s="430"/>
    </row>
    <row r="128" spans="1:50">
      <c r="A128" s="430"/>
      <c r="B128" s="451"/>
      <c r="C128" s="430"/>
      <c r="D128" s="430"/>
      <c r="E128" s="430"/>
      <c r="F128" s="430"/>
      <c r="G128" s="430"/>
      <c r="H128" s="430"/>
      <c r="I128" s="430"/>
      <c r="J128" s="430"/>
      <c r="K128" s="430"/>
      <c r="L128" s="430"/>
      <c r="M128" s="430"/>
      <c r="N128" s="430"/>
      <c r="O128" s="430"/>
      <c r="P128" s="430"/>
      <c r="Q128" s="430"/>
      <c r="R128" s="430"/>
      <c r="S128" s="430"/>
      <c r="T128" s="430"/>
      <c r="U128" s="430"/>
      <c r="V128" s="430"/>
      <c r="W128" s="430"/>
      <c r="X128" s="430"/>
      <c r="Y128" s="430"/>
      <c r="Z128" s="430"/>
      <c r="AA128" s="430"/>
      <c r="AB128" s="430"/>
      <c r="AC128" s="430"/>
      <c r="AD128" s="430"/>
      <c r="AE128" s="430"/>
      <c r="AF128" s="430"/>
      <c r="AG128" s="430"/>
      <c r="AH128" s="430"/>
      <c r="AI128" s="430"/>
      <c r="AJ128" s="430"/>
      <c r="AK128" s="430"/>
      <c r="AL128" s="430"/>
      <c r="AM128" s="430"/>
      <c r="AN128" s="430"/>
      <c r="AO128" s="430"/>
      <c r="AP128" s="430"/>
      <c r="AQ128" s="430"/>
      <c r="AR128" s="430"/>
      <c r="AS128" s="430"/>
      <c r="AT128" s="430"/>
      <c r="AU128" s="430"/>
      <c r="AV128" s="430"/>
      <c r="AW128" s="430"/>
      <c r="AX128" s="430"/>
    </row>
    <row r="129" spans="1:50">
      <c r="A129" s="430"/>
      <c r="B129" s="451"/>
      <c r="C129" s="430"/>
      <c r="D129" s="430"/>
      <c r="E129" s="430"/>
      <c r="F129" s="430"/>
      <c r="G129" s="430"/>
      <c r="H129" s="430"/>
      <c r="I129" s="430"/>
      <c r="J129" s="430"/>
      <c r="K129" s="430"/>
      <c r="L129" s="430"/>
      <c r="M129" s="430"/>
      <c r="N129" s="430"/>
      <c r="O129" s="430"/>
      <c r="P129" s="430"/>
      <c r="Q129" s="430"/>
      <c r="R129" s="430"/>
      <c r="S129" s="430"/>
      <c r="T129" s="430"/>
      <c r="U129" s="430"/>
      <c r="V129" s="430"/>
      <c r="W129" s="430"/>
      <c r="X129" s="430"/>
      <c r="Y129" s="430"/>
      <c r="Z129" s="430"/>
      <c r="AA129" s="430"/>
      <c r="AB129" s="430"/>
      <c r="AC129" s="430"/>
      <c r="AD129" s="430"/>
      <c r="AE129" s="430"/>
      <c r="AF129" s="430"/>
      <c r="AG129" s="430"/>
      <c r="AH129" s="430"/>
      <c r="AI129" s="430"/>
      <c r="AJ129" s="430"/>
      <c r="AK129" s="430"/>
      <c r="AL129" s="430"/>
      <c r="AM129" s="430"/>
      <c r="AN129" s="430"/>
      <c r="AO129" s="430"/>
      <c r="AP129" s="430"/>
      <c r="AQ129" s="430"/>
      <c r="AR129" s="430"/>
      <c r="AS129" s="430"/>
      <c r="AT129" s="430"/>
      <c r="AU129" s="430"/>
      <c r="AV129" s="430"/>
      <c r="AW129" s="430"/>
      <c r="AX129" s="430"/>
    </row>
    <row r="130" spans="1:50">
      <c r="A130" s="430"/>
      <c r="B130" s="451"/>
      <c r="C130" s="430"/>
      <c r="D130" s="430"/>
      <c r="E130" s="430"/>
      <c r="F130" s="430"/>
      <c r="G130" s="430"/>
      <c r="H130" s="430"/>
      <c r="I130" s="430"/>
      <c r="J130" s="430"/>
      <c r="K130" s="430"/>
      <c r="L130" s="430"/>
      <c r="M130" s="430"/>
      <c r="N130" s="430"/>
      <c r="O130" s="430"/>
      <c r="P130" s="430"/>
      <c r="Q130" s="430"/>
      <c r="R130" s="430"/>
      <c r="S130" s="430"/>
      <c r="T130" s="430"/>
      <c r="U130" s="430"/>
      <c r="V130" s="430"/>
      <c r="W130" s="430"/>
      <c r="X130" s="430"/>
      <c r="Y130" s="430"/>
      <c r="Z130" s="430"/>
      <c r="AA130" s="430"/>
      <c r="AB130" s="430"/>
      <c r="AC130" s="430"/>
      <c r="AD130" s="430"/>
      <c r="AE130" s="430"/>
      <c r="AF130" s="430"/>
      <c r="AG130" s="430"/>
      <c r="AH130" s="430"/>
      <c r="AI130" s="430"/>
      <c r="AJ130" s="430"/>
      <c r="AK130" s="430"/>
      <c r="AL130" s="430"/>
      <c r="AM130" s="430"/>
      <c r="AN130" s="430"/>
      <c r="AO130" s="430"/>
      <c r="AP130" s="430"/>
      <c r="AQ130" s="430"/>
      <c r="AR130" s="430"/>
      <c r="AS130" s="430"/>
      <c r="AT130" s="430"/>
      <c r="AU130" s="430"/>
      <c r="AV130" s="430"/>
      <c r="AW130" s="430"/>
      <c r="AX130" s="430"/>
    </row>
    <row r="131" spans="1:50">
      <c r="A131" s="430"/>
      <c r="B131" s="451"/>
      <c r="C131" s="430"/>
      <c r="D131" s="430"/>
      <c r="E131" s="430"/>
      <c r="F131" s="430"/>
      <c r="G131" s="430"/>
      <c r="H131" s="430"/>
      <c r="I131" s="430"/>
      <c r="J131" s="430"/>
      <c r="K131" s="430"/>
      <c r="L131" s="430"/>
      <c r="M131" s="430"/>
      <c r="N131" s="430"/>
      <c r="O131" s="430"/>
      <c r="P131" s="430"/>
      <c r="Q131" s="430"/>
      <c r="R131" s="430"/>
      <c r="S131" s="430"/>
      <c r="T131" s="430"/>
      <c r="U131" s="430"/>
      <c r="V131" s="430"/>
      <c r="W131" s="430"/>
      <c r="X131" s="430"/>
      <c r="Y131" s="430"/>
      <c r="Z131" s="430"/>
      <c r="AA131" s="430"/>
      <c r="AB131" s="430"/>
      <c r="AC131" s="430"/>
      <c r="AD131" s="430"/>
      <c r="AE131" s="430"/>
      <c r="AF131" s="430"/>
      <c r="AG131" s="430"/>
      <c r="AH131" s="430"/>
      <c r="AI131" s="430"/>
      <c r="AJ131" s="430"/>
      <c r="AK131" s="430"/>
      <c r="AL131" s="430"/>
      <c r="AM131" s="430"/>
      <c r="AN131" s="430"/>
      <c r="AO131" s="430"/>
      <c r="AP131" s="430"/>
      <c r="AQ131" s="430"/>
      <c r="AR131" s="430"/>
      <c r="AS131" s="430"/>
      <c r="AT131" s="430"/>
      <c r="AU131" s="430"/>
      <c r="AV131" s="430"/>
      <c r="AW131" s="430"/>
      <c r="AX131" s="430"/>
    </row>
    <row r="132" spans="1:50">
      <c r="A132" s="430"/>
      <c r="B132" s="451"/>
      <c r="C132" s="430"/>
      <c r="D132" s="430"/>
      <c r="E132" s="430"/>
      <c r="F132" s="430"/>
      <c r="G132" s="430"/>
      <c r="H132" s="430"/>
      <c r="I132" s="430"/>
      <c r="J132" s="430"/>
      <c r="K132" s="430"/>
      <c r="L132" s="430"/>
      <c r="M132" s="430"/>
      <c r="N132" s="430"/>
      <c r="O132" s="430"/>
      <c r="P132" s="430"/>
      <c r="Q132" s="430"/>
      <c r="R132" s="430"/>
      <c r="S132" s="430"/>
      <c r="T132" s="430"/>
      <c r="U132" s="430"/>
      <c r="V132" s="430"/>
      <c r="W132" s="430"/>
      <c r="X132" s="430"/>
      <c r="Y132" s="430"/>
      <c r="Z132" s="430"/>
      <c r="AA132" s="430"/>
      <c r="AB132" s="430"/>
      <c r="AC132" s="430"/>
      <c r="AD132" s="430"/>
      <c r="AE132" s="430"/>
      <c r="AF132" s="430"/>
      <c r="AG132" s="430"/>
      <c r="AH132" s="430"/>
      <c r="AI132" s="430"/>
      <c r="AJ132" s="430"/>
      <c r="AK132" s="430"/>
      <c r="AL132" s="430"/>
      <c r="AM132" s="430"/>
      <c r="AN132" s="430"/>
      <c r="AO132" s="430"/>
      <c r="AP132" s="430"/>
      <c r="AQ132" s="430"/>
      <c r="AR132" s="430"/>
      <c r="AS132" s="430"/>
      <c r="AT132" s="430"/>
      <c r="AU132" s="430"/>
      <c r="AV132" s="430"/>
      <c r="AW132" s="430"/>
      <c r="AX132" s="430"/>
    </row>
    <row r="133" spans="1:50">
      <c r="A133" s="430"/>
      <c r="B133" s="451"/>
      <c r="C133" s="430"/>
      <c r="D133" s="430"/>
      <c r="E133" s="430"/>
      <c r="F133" s="430"/>
      <c r="G133" s="430"/>
      <c r="H133" s="430"/>
      <c r="I133" s="430"/>
      <c r="J133" s="430"/>
      <c r="K133" s="430"/>
      <c r="L133" s="430"/>
      <c r="M133" s="430"/>
      <c r="N133" s="430"/>
      <c r="O133" s="430"/>
      <c r="P133" s="430"/>
      <c r="Q133" s="430"/>
      <c r="R133" s="430"/>
      <c r="S133" s="430"/>
      <c r="T133" s="430"/>
      <c r="U133" s="430"/>
      <c r="V133" s="430"/>
      <c r="W133" s="430"/>
      <c r="X133" s="430"/>
      <c r="Y133" s="430"/>
      <c r="Z133" s="430"/>
      <c r="AA133" s="430"/>
      <c r="AB133" s="430"/>
      <c r="AC133" s="430"/>
      <c r="AD133" s="430"/>
      <c r="AE133" s="430"/>
      <c r="AF133" s="430"/>
      <c r="AG133" s="430"/>
      <c r="AH133" s="430"/>
      <c r="AI133" s="430"/>
      <c r="AJ133" s="430"/>
      <c r="AK133" s="430"/>
      <c r="AL133" s="430"/>
      <c r="AM133" s="430"/>
      <c r="AN133" s="430"/>
      <c r="AO133" s="430"/>
      <c r="AP133" s="430"/>
      <c r="AQ133" s="430"/>
      <c r="AR133" s="430"/>
      <c r="AS133" s="430"/>
      <c r="AT133" s="430"/>
      <c r="AU133" s="430"/>
      <c r="AV133" s="430"/>
      <c r="AW133" s="430"/>
      <c r="AX133" s="430"/>
    </row>
    <row r="134" spans="1:50">
      <c r="A134" s="430"/>
      <c r="B134" s="451"/>
      <c r="C134" s="430"/>
      <c r="D134" s="430"/>
      <c r="E134" s="430"/>
      <c r="F134" s="430"/>
      <c r="G134" s="430"/>
      <c r="H134" s="430"/>
      <c r="I134" s="430"/>
      <c r="J134" s="430"/>
      <c r="K134" s="430"/>
      <c r="L134" s="430"/>
      <c r="M134" s="430"/>
      <c r="N134" s="430"/>
      <c r="O134" s="430"/>
      <c r="P134" s="430"/>
      <c r="Q134" s="430"/>
      <c r="R134" s="430"/>
      <c r="S134" s="430"/>
      <c r="T134" s="430"/>
      <c r="U134" s="430"/>
      <c r="V134" s="430"/>
      <c r="W134" s="430"/>
      <c r="X134" s="430"/>
      <c r="Y134" s="430"/>
      <c r="Z134" s="430"/>
      <c r="AA134" s="430"/>
      <c r="AB134" s="430"/>
      <c r="AC134" s="430"/>
      <c r="AD134" s="430"/>
      <c r="AE134" s="430"/>
      <c r="AF134" s="430"/>
      <c r="AG134" s="430"/>
      <c r="AH134" s="430"/>
      <c r="AI134" s="430"/>
      <c r="AJ134" s="430"/>
      <c r="AK134" s="430"/>
      <c r="AL134" s="430"/>
      <c r="AM134" s="430"/>
      <c r="AN134" s="430"/>
      <c r="AO134" s="430"/>
      <c r="AP134" s="430"/>
      <c r="AQ134" s="430"/>
      <c r="AR134" s="430"/>
      <c r="AS134" s="430"/>
      <c r="AT134" s="430"/>
      <c r="AU134" s="430"/>
      <c r="AV134" s="430"/>
      <c r="AW134" s="430"/>
      <c r="AX134" s="430"/>
    </row>
    <row r="135" spans="1:50">
      <c r="A135" s="430"/>
      <c r="B135" s="451"/>
      <c r="C135" s="430"/>
      <c r="D135" s="430"/>
      <c r="E135" s="430"/>
      <c r="F135" s="430"/>
      <c r="G135" s="430"/>
      <c r="H135" s="430"/>
      <c r="I135" s="430"/>
      <c r="J135" s="430"/>
      <c r="K135" s="430"/>
      <c r="L135" s="430"/>
      <c r="M135" s="430"/>
      <c r="N135" s="430"/>
      <c r="O135" s="430"/>
      <c r="P135" s="430"/>
      <c r="Q135" s="430"/>
      <c r="R135" s="430"/>
      <c r="S135" s="430"/>
      <c r="T135" s="430"/>
      <c r="U135" s="430"/>
      <c r="V135" s="430"/>
      <c r="W135" s="430"/>
      <c r="X135" s="430"/>
      <c r="Y135" s="430"/>
      <c r="Z135" s="430"/>
      <c r="AA135" s="430"/>
      <c r="AB135" s="430"/>
      <c r="AC135" s="430"/>
      <c r="AD135" s="430"/>
      <c r="AE135" s="430"/>
      <c r="AF135" s="430"/>
      <c r="AG135" s="430"/>
      <c r="AH135" s="430"/>
      <c r="AI135" s="430"/>
      <c r="AJ135" s="430"/>
      <c r="AK135" s="430"/>
      <c r="AL135" s="430"/>
      <c r="AM135" s="430"/>
      <c r="AN135" s="430"/>
      <c r="AO135" s="430"/>
      <c r="AP135" s="430"/>
      <c r="AQ135" s="430"/>
      <c r="AR135" s="430"/>
      <c r="AS135" s="430"/>
      <c r="AT135" s="430"/>
      <c r="AU135" s="430"/>
      <c r="AV135" s="430"/>
      <c r="AW135" s="430"/>
      <c r="AX135" s="430"/>
    </row>
    <row r="136" spans="1:50">
      <c r="A136" s="430"/>
      <c r="B136" s="451"/>
      <c r="C136" s="430"/>
      <c r="D136" s="430"/>
      <c r="E136" s="430"/>
      <c r="F136" s="430"/>
      <c r="G136" s="430"/>
      <c r="H136" s="430"/>
      <c r="I136" s="430"/>
      <c r="J136" s="430"/>
      <c r="K136" s="430"/>
      <c r="L136" s="430"/>
      <c r="M136" s="430"/>
      <c r="N136" s="430"/>
      <c r="O136" s="430"/>
      <c r="P136" s="430"/>
      <c r="Q136" s="430"/>
      <c r="R136" s="430"/>
      <c r="S136" s="430"/>
      <c r="T136" s="430"/>
      <c r="U136" s="430"/>
      <c r="V136" s="430"/>
      <c r="W136" s="430"/>
      <c r="X136" s="430"/>
      <c r="Y136" s="430"/>
      <c r="Z136" s="430"/>
      <c r="AA136" s="430"/>
      <c r="AB136" s="430"/>
      <c r="AC136" s="430"/>
      <c r="AD136" s="430"/>
      <c r="AE136" s="430"/>
      <c r="AF136" s="430"/>
      <c r="AG136" s="430"/>
      <c r="AH136" s="430"/>
      <c r="AI136" s="430"/>
      <c r="AJ136" s="430"/>
      <c r="AK136" s="430"/>
      <c r="AL136" s="430"/>
      <c r="AM136" s="430"/>
      <c r="AN136" s="430"/>
      <c r="AO136" s="430"/>
      <c r="AP136" s="430"/>
      <c r="AQ136" s="430"/>
      <c r="AR136" s="430"/>
      <c r="AS136" s="430"/>
      <c r="AT136" s="430"/>
      <c r="AU136" s="430"/>
      <c r="AV136" s="430"/>
      <c r="AW136" s="430"/>
      <c r="AX136" s="430"/>
    </row>
    <row r="137" spans="1:50">
      <c r="A137" s="430"/>
      <c r="B137" s="451"/>
      <c r="C137" s="430"/>
      <c r="D137" s="430"/>
      <c r="E137" s="430"/>
      <c r="F137" s="430"/>
      <c r="G137" s="430"/>
      <c r="H137" s="430"/>
      <c r="I137" s="430"/>
      <c r="J137" s="430"/>
      <c r="K137" s="430"/>
      <c r="L137" s="430"/>
      <c r="M137" s="430"/>
      <c r="N137" s="430"/>
      <c r="O137" s="430"/>
      <c r="P137" s="430"/>
      <c r="Q137" s="430"/>
      <c r="R137" s="430"/>
      <c r="S137" s="430"/>
      <c r="T137" s="430"/>
      <c r="U137" s="430"/>
      <c r="V137" s="430"/>
      <c r="W137" s="430"/>
      <c r="X137" s="430"/>
      <c r="Y137" s="430"/>
      <c r="Z137" s="430"/>
      <c r="AA137" s="430"/>
      <c r="AB137" s="430"/>
      <c r="AC137" s="430"/>
      <c r="AD137" s="430"/>
      <c r="AE137" s="430"/>
      <c r="AF137" s="430"/>
      <c r="AG137" s="430"/>
      <c r="AH137" s="430"/>
      <c r="AI137" s="430"/>
      <c r="AJ137" s="430"/>
      <c r="AK137" s="430"/>
      <c r="AL137" s="430"/>
      <c r="AM137" s="430"/>
      <c r="AN137" s="430"/>
      <c r="AO137" s="430"/>
      <c r="AP137" s="430"/>
      <c r="AQ137" s="430"/>
      <c r="AR137" s="430"/>
      <c r="AS137" s="430"/>
      <c r="AT137" s="430"/>
      <c r="AU137" s="430"/>
      <c r="AV137" s="430"/>
      <c r="AW137" s="430"/>
      <c r="AX137" s="430"/>
    </row>
    <row r="138" spans="1:50">
      <c r="A138" s="430"/>
      <c r="B138" s="451"/>
      <c r="C138" s="430"/>
      <c r="D138" s="430"/>
      <c r="E138" s="430"/>
      <c r="F138" s="430"/>
      <c r="G138" s="430"/>
      <c r="H138" s="430"/>
      <c r="I138" s="430"/>
      <c r="J138" s="430"/>
      <c r="K138" s="430"/>
      <c r="L138" s="430"/>
      <c r="M138" s="430"/>
      <c r="N138" s="430"/>
      <c r="O138" s="430"/>
      <c r="P138" s="430"/>
      <c r="Q138" s="430"/>
      <c r="R138" s="533" t="s">
        <v>949</v>
      </c>
      <c r="S138" s="430"/>
      <c r="T138" s="430"/>
      <c r="U138" s="430"/>
      <c r="V138" s="430"/>
      <c r="W138" s="430"/>
      <c r="X138" s="430"/>
      <c r="Y138" s="430"/>
      <c r="Z138" s="430"/>
      <c r="AA138" s="430"/>
      <c r="AB138" s="430"/>
      <c r="AC138" s="430"/>
      <c r="AD138" s="430"/>
      <c r="AE138" s="430"/>
      <c r="AF138" s="430"/>
      <c r="AG138" s="430"/>
      <c r="AH138" s="430"/>
      <c r="AI138" s="430"/>
      <c r="AJ138" s="430"/>
      <c r="AK138" s="430"/>
      <c r="AL138" s="430"/>
      <c r="AM138" s="430"/>
      <c r="AN138" s="430"/>
      <c r="AO138" s="430"/>
      <c r="AP138" s="430"/>
      <c r="AQ138" s="430"/>
      <c r="AR138" s="430"/>
      <c r="AS138" s="430"/>
      <c r="AT138" s="430"/>
      <c r="AU138" s="430"/>
      <c r="AV138" s="430"/>
      <c r="AW138" s="430"/>
      <c r="AX138" s="430"/>
    </row>
    <row r="139" spans="1:50">
      <c r="A139" s="430"/>
      <c r="B139" s="451"/>
      <c r="C139" s="430"/>
      <c r="D139" s="430"/>
      <c r="E139" s="430"/>
      <c r="F139" s="430"/>
      <c r="G139" s="430"/>
      <c r="H139" s="430"/>
      <c r="I139" s="430"/>
      <c r="J139" s="430"/>
      <c r="K139" s="430"/>
      <c r="L139" s="430"/>
      <c r="M139" s="430"/>
      <c r="N139" s="430"/>
      <c r="O139" s="430"/>
      <c r="P139" s="430"/>
      <c r="Q139" s="430"/>
      <c r="R139" s="430"/>
      <c r="S139" s="430"/>
      <c r="T139" s="430"/>
      <c r="U139" s="430"/>
      <c r="V139" s="430"/>
      <c r="W139" s="430"/>
      <c r="X139" s="430"/>
      <c r="Y139" s="430"/>
      <c r="Z139" s="430"/>
      <c r="AA139" s="430"/>
      <c r="AB139" s="430"/>
      <c r="AC139" s="430"/>
      <c r="AD139" s="430"/>
      <c r="AE139" s="430"/>
      <c r="AF139" s="430"/>
      <c r="AG139" s="430"/>
      <c r="AH139" s="430"/>
      <c r="AI139" s="430"/>
      <c r="AJ139" s="430"/>
      <c r="AK139" s="430"/>
      <c r="AL139" s="430"/>
      <c r="AM139" s="430"/>
      <c r="AN139" s="430"/>
      <c r="AO139" s="430"/>
      <c r="AP139" s="430"/>
      <c r="AQ139" s="430"/>
      <c r="AR139" s="430"/>
      <c r="AS139" s="430"/>
      <c r="AT139" s="430"/>
      <c r="AU139" s="430"/>
      <c r="AV139" s="430"/>
      <c r="AW139" s="430"/>
      <c r="AX139" s="430"/>
    </row>
    <row r="140" spans="1:50">
      <c r="A140" s="430"/>
      <c r="B140" s="451"/>
      <c r="C140" s="430"/>
      <c r="D140" s="430"/>
      <c r="E140" s="430"/>
      <c r="F140" s="430"/>
      <c r="G140" s="430"/>
      <c r="H140" s="430"/>
      <c r="I140" s="430"/>
      <c r="J140" s="430"/>
      <c r="K140" s="430"/>
      <c r="L140" s="430"/>
      <c r="M140" s="430"/>
      <c r="N140" s="430"/>
      <c r="O140" s="430"/>
      <c r="P140" s="430"/>
      <c r="Q140" s="430"/>
      <c r="R140" s="430"/>
      <c r="S140" s="430"/>
      <c r="T140" s="430"/>
      <c r="U140" s="430"/>
      <c r="V140" s="430"/>
      <c r="W140" s="430"/>
      <c r="X140" s="430"/>
      <c r="Y140" s="430"/>
      <c r="Z140" s="430"/>
      <c r="AA140" s="430"/>
      <c r="AB140" s="430"/>
      <c r="AC140" s="430"/>
      <c r="AD140" s="430"/>
      <c r="AE140" s="430"/>
      <c r="AF140" s="430"/>
      <c r="AG140" s="430"/>
      <c r="AH140" s="430"/>
      <c r="AI140" s="430"/>
      <c r="AJ140" s="430"/>
      <c r="AK140" s="430"/>
      <c r="AL140" s="430"/>
      <c r="AM140" s="430"/>
      <c r="AN140" s="430"/>
      <c r="AO140" s="430"/>
      <c r="AP140" s="430"/>
      <c r="AQ140" s="430"/>
      <c r="AR140" s="430"/>
      <c r="AS140" s="430"/>
      <c r="AT140" s="430"/>
      <c r="AU140" s="430"/>
      <c r="AV140" s="430"/>
      <c r="AW140" s="430"/>
      <c r="AX140" s="430"/>
    </row>
    <row r="141" spans="1:50">
      <c r="A141" s="430"/>
      <c r="B141" s="451"/>
      <c r="C141" s="430"/>
      <c r="D141" s="430"/>
      <c r="E141" s="430"/>
      <c r="F141" s="430"/>
      <c r="G141" s="430"/>
      <c r="H141" s="430"/>
      <c r="I141" s="430"/>
      <c r="J141" s="430"/>
      <c r="K141" s="430"/>
      <c r="L141" s="430"/>
      <c r="M141" s="430"/>
      <c r="N141" s="430"/>
      <c r="O141" s="430"/>
      <c r="P141" s="430"/>
      <c r="Q141" s="430"/>
      <c r="R141" s="430"/>
      <c r="S141" s="430"/>
      <c r="T141" s="430"/>
      <c r="U141" s="430"/>
      <c r="V141" s="430"/>
      <c r="W141" s="430"/>
      <c r="X141" s="430"/>
      <c r="Y141" s="430"/>
      <c r="Z141" s="430"/>
      <c r="AA141" s="430"/>
      <c r="AB141" s="430"/>
      <c r="AC141" s="430"/>
      <c r="AD141" s="430"/>
      <c r="AE141" s="430"/>
      <c r="AF141" s="430"/>
      <c r="AG141" s="430"/>
      <c r="AH141" s="430"/>
      <c r="AI141" s="430"/>
      <c r="AJ141" s="430"/>
      <c r="AK141" s="430"/>
      <c r="AL141" s="430"/>
      <c r="AM141" s="430"/>
      <c r="AN141" s="430"/>
      <c r="AO141" s="430"/>
      <c r="AP141" s="430"/>
      <c r="AQ141" s="430"/>
      <c r="AR141" s="430"/>
      <c r="AS141" s="430"/>
      <c r="AT141" s="430"/>
      <c r="AU141" s="430"/>
      <c r="AV141" s="430"/>
      <c r="AW141" s="430"/>
      <c r="AX141" s="430"/>
    </row>
    <row r="142" spans="1:50">
      <c r="A142" s="430"/>
      <c r="B142" s="451"/>
      <c r="C142" s="430"/>
      <c r="D142" s="430"/>
      <c r="E142" s="430"/>
      <c r="F142" s="430"/>
      <c r="G142" s="430"/>
      <c r="H142" s="430"/>
      <c r="I142" s="430"/>
      <c r="J142" s="430"/>
      <c r="K142" s="430"/>
      <c r="L142" s="430"/>
      <c r="M142" s="430"/>
      <c r="N142" s="430"/>
      <c r="O142" s="430"/>
      <c r="P142" s="430"/>
      <c r="Q142" s="430"/>
      <c r="R142" s="430"/>
      <c r="S142" s="430"/>
      <c r="T142" s="430"/>
      <c r="U142" s="430"/>
      <c r="V142" s="430"/>
      <c r="W142" s="430"/>
      <c r="X142" s="430"/>
      <c r="Y142" s="430"/>
      <c r="Z142" s="430"/>
      <c r="AA142" s="430"/>
      <c r="AB142" s="430"/>
      <c r="AC142" s="430"/>
      <c r="AD142" s="430"/>
      <c r="AE142" s="430"/>
      <c r="AF142" s="430"/>
      <c r="AG142" s="430"/>
      <c r="AH142" s="430"/>
      <c r="AI142" s="430"/>
      <c r="AJ142" s="430"/>
      <c r="AK142" s="430"/>
      <c r="AL142" s="430"/>
      <c r="AM142" s="430"/>
      <c r="AN142" s="430"/>
      <c r="AO142" s="430"/>
      <c r="AP142" s="430"/>
      <c r="AQ142" s="430"/>
      <c r="AR142" s="430"/>
      <c r="AS142" s="430"/>
      <c r="AT142" s="430"/>
      <c r="AU142" s="430"/>
      <c r="AV142" s="430"/>
      <c r="AW142" s="430"/>
      <c r="AX142" s="430"/>
    </row>
    <row r="143" spans="1:50">
      <c r="A143" s="430"/>
      <c r="B143" s="451"/>
      <c r="C143" s="430"/>
      <c r="D143" s="430"/>
      <c r="E143" s="430"/>
      <c r="F143" s="430"/>
      <c r="G143" s="430"/>
      <c r="H143" s="430"/>
      <c r="I143" s="430"/>
      <c r="J143" s="430"/>
      <c r="K143" s="430"/>
      <c r="L143" s="430"/>
      <c r="M143" s="430"/>
      <c r="N143" s="430"/>
      <c r="O143" s="430"/>
      <c r="P143" s="430"/>
      <c r="Q143" s="430"/>
      <c r="R143" s="430"/>
      <c r="S143" s="430"/>
      <c r="T143" s="430"/>
      <c r="U143" s="430"/>
      <c r="V143" s="430"/>
      <c r="W143" s="430"/>
      <c r="X143" s="430"/>
      <c r="Y143" s="430"/>
      <c r="Z143" s="430"/>
      <c r="AA143" s="430"/>
      <c r="AB143" s="430"/>
      <c r="AC143" s="430"/>
      <c r="AD143" s="430"/>
      <c r="AE143" s="430"/>
      <c r="AF143" s="430"/>
      <c r="AG143" s="430"/>
      <c r="AH143" s="430"/>
      <c r="AI143" s="430"/>
      <c r="AJ143" s="430"/>
      <c r="AK143" s="430"/>
      <c r="AL143" s="430"/>
      <c r="AM143" s="430"/>
      <c r="AN143" s="430"/>
      <c r="AO143" s="430"/>
      <c r="AP143" s="430"/>
      <c r="AQ143" s="430"/>
      <c r="AR143" s="430"/>
      <c r="AS143" s="430"/>
      <c r="AT143" s="430"/>
      <c r="AU143" s="430"/>
      <c r="AV143" s="430"/>
      <c r="AW143" s="430"/>
      <c r="AX143" s="430"/>
    </row>
    <row r="144" spans="1:50">
      <c r="A144" s="430"/>
      <c r="B144" s="451"/>
      <c r="C144" s="430"/>
      <c r="D144" s="430"/>
      <c r="E144" s="430"/>
      <c r="F144" s="430"/>
      <c r="G144" s="430"/>
      <c r="H144" s="430"/>
      <c r="I144" s="430"/>
      <c r="J144" s="430"/>
      <c r="K144" s="430"/>
      <c r="L144" s="430"/>
      <c r="M144" s="430"/>
      <c r="N144" s="430"/>
      <c r="O144" s="430"/>
      <c r="P144" s="430"/>
      <c r="Q144" s="430"/>
      <c r="R144" s="430"/>
      <c r="S144" s="430"/>
      <c r="T144" s="430"/>
      <c r="U144" s="430"/>
      <c r="V144" s="430"/>
      <c r="W144" s="430"/>
      <c r="X144" s="430"/>
      <c r="Y144" s="430"/>
      <c r="Z144" s="430"/>
      <c r="AA144" s="430"/>
      <c r="AB144" s="430"/>
      <c r="AC144" s="430"/>
      <c r="AD144" s="430"/>
      <c r="AE144" s="430"/>
      <c r="AF144" s="430"/>
      <c r="AG144" s="430"/>
      <c r="AH144" s="430"/>
      <c r="AI144" s="430"/>
      <c r="AJ144" s="430"/>
      <c r="AK144" s="430"/>
      <c r="AL144" s="430"/>
      <c r="AM144" s="430"/>
      <c r="AN144" s="430"/>
      <c r="AO144" s="430"/>
      <c r="AP144" s="430"/>
      <c r="AQ144" s="430"/>
      <c r="AR144" s="430"/>
      <c r="AS144" s="430"/>
      <c r="AT144" s="430"/>
      <c r="AU144" s="430"/>
      <c r="AV144" s="430"/>
      <c r="AW144" s="430"/>
      <c r="AX144" s="430"/>
    </row>
    <row r="145" spans="1:50">
      <c r="A145" s="430"/>
      <c r="B145" s="451"/>
      <c r="C145" s="430"/>
      <c r="D145" s="430"/>
      <c r="E145" s="430"/>
      <c r="F145" s="430"/>
      <c r="G145" s="430"/>
      <c r="H145" s="430"/>
      <c r="I145" s="430"/>
      <c r="J145" s="430"/>
      <c r="K145" s="430"/>
      <c r="L145" s="430"/>
      <c r="M145" s="430"/>
      <c r="N145" s="430"/>
      <c r="O145" s="430"/>
      <c r="P145" s="430"/>
      <c r="Q145" s="430"/>
      <c r="R145" s="430"/>
      <c r="S145" s="430"/>
      <c r="T145" s="430"/>
      <c r="U145" s="430"/>
      <c r="V145" s="430"/>
      <c r="W145" s="430"/>
      <c r="X145" s="430"/>
      <c r="Y145" s="430"/>
      <c r="Z145" s="430"/>
      <c r="AA145" s="430"/>
      <c r="AB145" s="430"/>
      <c r="AC145" s="430"/>
      <c r="AD145" s="430"/>
      <c r="AE145" s="430"/>
      <c r="AF145" s="430"/>
      <c r="AG145" s="430"/>
      <c r="AH145" s="430"/>
      <c r="AI145" s="430"/>
      <c r="AJ145" s="430"/>
      <c r="AK145" s="430"/>
      <c r="AL145" s="430"/>
      <c r="AM145" s="430"/>
      <c r="AN145" s="430"/>
      <c r="AO145" s="430"/>
      <c r="AP145" s="430"/>
      <c r="AQ145" s="430"/>
      <c r="AR145" s="430"/>
      <c r="AS145" s="430"/>
      <c r="AT145" s="430"/>
      <c r="AU145" s="430"/>
      <c r="AV145" s="430"/>
      <c r="AW145" s="430"/>
      <c r="AX145" s="430"/>
    </row>
    <row r="146" spans="1:50">
      <c r="A146" s="430"/>
      <c r="B146" s="451"/>
      <c r="C146" s="430"/>
      <c r="D146" s="430"/>
      <c r="E146" s="430"/>
      <c r="F146" s="430"/>
      <c r="G146" s="430"/>
      <c r="H146" s="430"/>
      <c r="I146" s="430"/>
      <c r="J146" s="430"/>
      <c r="K146" s="430"/>
      <c r="L146" s="430"/>
      <c r="M146" s="430"/>
      <c r="N146" s="430"/>
      <c r="O146" s="430"/>
      <c r="P146" s="430"/>
      <c r="Q146" s="430"/>
      <c r="R146" s="430"/>
      <c r="S146" s="430"/>
      <c r="T146" s="430"/>
      <c r="U146" s="430"/>
      <c r="V146" s="430"/>
      <c r="W146" s="430"/>
      <c r="X146" s="430"/>
      <c r="Y146" s="430"/>
      <c r="Z146" s="430"/>
      <c r="AA146" s="430"/>
      <c r="AB146" s="430"/>
      <c r="AC146" s="430"/>
      <c r="AD146" s="430"/>
      <c r="AE146" s="430"/>
      <c r="AF146" s="430"/>
      <c r="AG146" s="430"/>
      <c r="AH146" s="430"/>
      <c r="AI146" s="430"/>
      <c r="AJ146" s="430"/>
      <c r="AK146" s="430"/>
      <c r="AL146" s="430"/>
      <c r="AM146" s="430"/>
      <c r="AN146" s="430"/>
      <c r="AO146" s="430"/>
      <c r="AP146" s="430"/>
      <c r="AQ146" s="430"/>
      <c r="AR146" s="430"/>
      <c r="AS146" s="430"/>
      <c r="AT146" s="430"/>
      <c r="AU146" s="430"/>
      <c r="AV146" s="430"/>
      <c r="AW146" s="430"/>
      <c r="AX146" s="430"/>
    </row>
    <row r="147" spans="1:50">
      <c r="A147" s="430"/>
      <c r="B147" s="451"/>
      <c r="C147" s="430"/>
      <c r="D147" s="430"/>
      <c r="E147" s="430"/>
      <c r="F147" s="430"/>
      <c r="G147" s="430"/>
      <c r="H147" s="430"/>
      <c r="I147" s="430"/>
      <c r="J147" s="430"/>
      <c r="K147" s="430"/>
      <c r="L147" s="430"/>
      <c r="M147" s="430"/>
      <c r="N147" s="430"/>
      <c r="O147" s="430"/>
      <c r="P147" s="430"/>
      <c r="Q147" s="430"/>
      <c r="R147" s="430"/>
      <c r="S147" s="430"/>
      <c r="T147" s="430"/>
      <c r="U147" s="430"/>
      <c r="V147" s="430"/>
      <c r="W147" s="430"/>
      <c r="X147" s="430"/>
      <c r="Y147" s="430"/>
      <c r="Z147" s="430"/>
      <c r="AA147" s="430"/>
      <c r="AB147" s="430"/>
      <c r="AC147" s="430"/>
      <c r="AD147" s="430"/>
      <c r="AE147" s="430"/>
      <c r="AF147" s="430"/>
      <c r="AG147" s="430"/>
      <c r="AH147" s="430"/>
      <c r="AI147" s="430"/>
      <c r="AJ147" s="430"/>
      <c r="AK147" s="430"/>
      <c r="AL147" s="430"/>
      <c r="AM147" s="430"/>
      <c r="AN147" s="430"/>
      <c r="AO147" s="430"/>
      <c r="AP147" s="430"/>
      <c r="AQ147" s="430"/>
      <c r="AR147" s="430"/>
      <c r="AS147" s="430"/>
      <c r="AT147" s="430"/>
      <c r="AU147" s="430"/>
      <c r="AV147" s="430"/>
      <c r="AW147" s="430"/>
      <c r="AX147" s="430"/>
    </row>
    <row r="148" spans="1:50">
      <c r="A148" s="430"/>
      <c r="B148" s="451"/>
      <c r="C148" s="430"/>
      <c r="D148" s="430"/>
      <c r="E148" s="430"/>
      <c r="F148" s="430"/>
      <c r="G148" s="430"/>
      <c r="H148" s="430"/>
      <c r="I148" s="430"/>
      <c r="J148" s="430"/>
      <c r="K148" s="430"/>
      <c r="L148" s="430"/>
      <c r="M148" s="430"/>
      <c r="N148" s="430"/>
      <c r="O148" s="430"/>
      <c r="P148" s="430"/>
      <c r="Q148" s="430"/>
      <c r="R148" s="430"/>
      <c r="S148" s="430"/>
      <c r="T148" s="430"/>
      <c r="U148" s="430"/>
      <c r="V148" s="430"/>
      <c r="W148" s="430"/>
      <c r="X148" s="430"/>
      <c r="Y148" s="430"/>
      <c r="Z148" s="430"/>
      <c r="AA148" s="430"/>
      <c r="AB148" s="430"/>
      <c r="AC148" s="430"/>
      <c r="AD148" s="430"/>
      <c r="AE148" s="430"/>
      <c r="AF148" s="430"/>
      <c r="AG148" s="430"/>
      <c r="AH148" s="430"/>
      <c r="AI148" s="430"/>
      <c r="AJ148" s="430"/>
      <c r="AK148" s="430"/>
      <c r="AL148" s="430"/>
      <c r="AM148" s="430"/>
      <c r="AN148" s="430"/>
      <c r="AO148" s="430"/>
      <c r="AP148" s="430"/>
      <c r="AQ148" s="430"/>
      <c r="AR148" s="430"/>
      <c r="AS148" s="430"/>
      <c r="AT148" s="430"/>
      <c r="AU148" s="430"/>
      <c r="AV148" s="430"/>
      <c r="AW148" s="430"/>
      <c r="AX148" s="430"/>
    </row>
    <row r="149" spans="1:50">
      <c r="A149" s="430"/>
      <c r="B149" s="451"/>
      <c r="C149" s="430"/>
      <c r="D149" s="430"/>
      <c r="E149" s="430"/>
      <c r="L149" s="430"/>
      <c r="M149" s="430"/>
      <c r="N149" s="430"/>
      <c r="O149" s="430"/>
      <c r="P149" s="430"/>
      <c r="Q149" s="430"/>
      <c r="R149" s="430"/>
      <c r="S149" s="430"/>
      <c r="T149" s="430"/>
      <c r="U149" s="430"/>
      <c r="V149" s="430"/>
      <c r="W149" s="430"/>
      <c r="X149" s="430"/>
      <c r="Y149" s="430"/>
      <c r="Z149" s="430"/>
      <c r="AA149" s="430"/>
      <c r="AB149" s="430"/>
      <c r="AC149" s="430"/>
      <c r="AD149" s="430"/>
      <c r="AE149" s="430"/>
      <c r="AF149" s="430"/>
      <c r="AG149" s="430"/>
      <c r="AH149" s="430"/>
      <c r="AI149" s="430"/>
      <c r="AJ149" s="430"/>
      <c r="AK149" s="430"/>
      <c r="AL149" s="430"/>
      <c r="AM149" s="430"/>
      <c r="AN149" s="430"/>
      <c r="AO149" s="430"/>
      <c r="AP149" s="430"/>
      <c r="AQ149" s="430"/>
      <c r="AR149" s="430"/>
      <c r="AS149" s="430"/>
      <c r="AT149" s="430"/>
      <c r="AU149" s="430"/>
      <c r="AV149" s="430"/>
      <c r="AW149" s="430"/>
      <c r="AX149" s="430"/>
    </row>
  </sheetData>
  <pageMargins left="0.7" right="0.7" top="0.75" bottom="0.75" header="0.3" footer="0.3"/>
  <pageSetup orientation="portrait"/>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4B084"/>
    <pageSetUpPr autoPageBreaks="0"/>
  </sheetPr>
  <dimension ref="A1:BB149"/>
  <sheetViews>
    <sheetView showGridLines="0" tabSelected="1" zoomScale="99" zoomScaleNormal="85" workbookViewId="0">
      <pane xSplit="4" ySplit="3" topLeftCell="E43" activePane="bottomRight" state="frozen"/>
      <selection pane="topRight"/>
      <selection pane="bottomLeft" activeCell="E16" sqref="E16"/>
      <selection pane="bottomRight" activeCell="F57" sqref="F57:I57"/>
    </sheetView>
  </sheetViews>
  <sheetFormatPr defaultRowHeight="14.5" outlineLevelCol="1"/>
  <cols>
    <col min="1" max="1" width="40" style="35" bestFit="1" customWidth="1"/>
    <col min="2" max="2" width="4.453125" style="424" customWidth="1"/>
    <col min="3" max="3" width="27.6328125" style="418" customWidth="1"/>
    <col min="4" max="4" width="14" style="424" bestFit="1" customWidth="1"/>
    <col min="5" max="5" width="15.6328125" style="5" bestFit="1" customWidth="1"/>
    <col min="6" max="9" width="10.7265625" style="429" customWidth="1" outlineLevel="1"/>
    <col min="10" max="11" width="10.7265625" style="624" customWidth="1" outlineLevel="1"/>
    <col min="12" max="12" width="13.6328125" style="5" bestFit="1" customWidth="1"/>
    <col min="13" max="15" width="14.26953125" style="5" bestFit="1" customWidth="1"/>
    <col min="16" max="16" width="17.6328125" style="5" bestFit="1" customWidth="1"/>
    <col min="17" max="19" width="15.26953125" style="5" bestFit="1" customWidth="1"/>
    <col min="20" max="20" width="15.26953125" bestFit="1" customWidth="1"/>
    <col min="21" max="21" width="16.54296875" bestFit="1" customWidth="1"/>
    <col min="22" max="22" width="15.26953125" bestFit="1" customWidth="1"/>
    <col min="23" max="23" width="16" bestFit="1" customWidth="1"/>
    <col min="24" max="24" width="10.453125" customWidth="1"/>
    <col min="25" max="25" width="34" bestFit="1" customWidth="1"/>
    <col min="26" max="26" width="14.26953125" bestFit="1" customWidth="1"/>
    <col min="27" max="27" width="33.6328125" bestFit="1" customWidth="1"/>
    <col min="28" max="28" width="21.26953125" bestFit="1" customWidth="1"/>
    <col min="29" max="29" width="16.54296875" bestFit="1" customWidth="1"/>
    <col min="30" max="30" width="27.26953125" bestFit="1" customWidth="1"/>
    <col min="31" max="31" width="10.6328125" customWidth="1"/>
    <col min="32" max="32" width="11.453125" customWidth="1"/>
    <col min="33" max="33" width="12.54296875" bestFit="1" customWidth="1"/>
    <col min="34" max="34" width="9.26953125" bestFit="1" customWidth="1"/>
    <col min="35" max="35" width="12.6328125" style="1" bestFit="1" customWidth="1"/>
    <col min="42" max="42" width="9.54296875" bestFit="1" customWidth="1"/>
  </cols>
  <sheetData>
    <row r="1" spans="1:54" s="4" customFormat="1" ht="18.399999999999999" customHeight="1">
      <c r="A1" s="540"/>
      <c r="B1" s="431"/>
      <c r="C1" s="432"/>
      <c r="D1" s="431"/>
      <c r="E1" s="541"/>
      <c r="F1" s="430"/>
      <c r="G1" s="430"/>
      <c r="H1" s="430"/>
      <c r="I1" s="430"/>
      <c r="J1" s="430"/>
      <c r="K1" s="430"/>
      <c r="L1" s="541"/>
      <c r="M1" s="541"/>
      <c r="N1" s="541"/>
      <c r="O1" s="541"/>
      <c r="P1" s="541"/>
      <c r="Q1" s="541"/>
      <c r="R1" s="541"/>
      <c r="S1" s="541"/>
      <c r="T1" s="541"/>
      <c r="U1" s="541"/>
      <c r="V1" s="541"/>
      <c r="W1" s="541"/>
      <c r="X1" s="541"/>
      <c r="Y1" s="532"/>
      <c r="Z1" s="532"/>
      <c r="AA1" s="430"/>
      <c r="AB1" s="430"/>
      <c r="AC1" s="430"/>
      <c r="AD1" s="430"/>
      <c r="AE1" s="430"/>
      <c r="AF1" s="430"/>
      <c r="AG1" s="430"/>
      <c r="AH1" s="430"/>
      <c r="AI1" s="478"/>
      <c r="AJ1" s="430"/>
      <c r="AK1" s="430"/>
      <c r="AL1" s="430"/>
      <c r="AM1" s="430"/>
      <c r="AN1" s="430"/>
      <c r="AO1" s="430"/>
      <c r="AP1" s="430"/>
      <c r="AQ1" s="430"/>
      <c r="AR1" s="430"/>
      <c r="AS1" s="430"/>
      <c r="AT1" s="430"/>
      <c r="AU1" s="430"/>
      <c r="AV1" s="430"/>
      <c r="AW1" s="430"/>
      <c r="AX1" s="430"/>
      <c r="AY1" s="430"/>
      <c r="AZ1" s="430"/>
      <c r="BA1" s="430"/>
      <c r="BB1" s="430"/>
    </row>
    <row r="2" spans="1:54">
      <c r="A2" s="542" t="s">
        <v>0</v>
      </c>
      <c r="B2" s="434"/>
      <c r="C2" s="434"/>
      <c r="D2" s="434"/>
      <c r="E2" s="455">
        <v>45657</v>
      </c>
      <c r="F2" s="436">
        <v>45747</v>
      </c>
      <c r="G2" s="436">
        <v>45838</v>
      </c>
      <c r="H2" s="436">
        <v>45930</v>
      </c>
      <c r="I2" s="436">
        <v>46022</v>
      </c>
      <c r="J2" s="436">
        <v>46112</v>
      </c>
      <c r="K2" s="436">
        <v>46203</v>
      </c>
      <c r="L2" s="455">
        <v>45747</v>
      </c>
      <c r="M2" s="455">
        <v>45838</v>
      </c>
      <c r="N2" s="455">
        <v>45930</v>
      </c>
      <c r="O2" s="455">
        <v>46022</v>
      </c>
      <c r="P2" s="455">
        <v>46112</v>
      </c>
      <c r="Q2" s="455">
        <v>46203</v>
      </c>
      <c r="R2" s="455">
        <v>46295</v>
      </c>
      <c r="S2" s="455">
        <v>46387</v>
      </c>
      <c r="T2" s="455">
        <v>46752</v>
      </c>
      <c r="U2" s="455">
        <v>47118</v>
      </c>
      <c r="V2" s="455">
        <v>47483</v>
      </c>
      <c r="W2" s="455">
        <v>47848</v>
      </c>
      <c r="X2" s="542"/>
      <c r="Y2" s="437"/>
      <c r="Z2" s="437"/>
      <c r="AA2" s="437"/>
      <c r="AB2" s="437"/>
      <c r="AC2" s="437"/>
      <c r="AD2" s="437"/>
      <c r="AE2" s="437"/>
      <c r="AF2" s="437"/>
      <c r="AG2" s="437"/>
      <c r="AH2" s="437"/>
      <c r="AI2" s="437"/>
      <c r="AJ2" s="437"/>
      <c r="AK2" s="437"/>
      <c r="AL2" s="437"/>
      <c r="AM2" s="437"/>
      <c r="AN2" s="437"/>
      <c r="AO2" s="437"/>
      <c r="AP2" s="437"/>
      <c r="AQ2" s="437"/>
      <c r="AR2" s="437"/>
      <c r="AS2" s="437"/>
      <c r="AT2" s="437"/>
      <c r="AU2" s="437"/>
      <c r="AV2" s="437"/>
      <c r="AW2" s="437"/>
      <c r="AX2" s="437"/>
      <c r="AY2" s="437"/>
      <c r="AZ2" s="437"/>
      <c r="BA2" s="437"/>
      <c r="BB2" s="437"/>
    </row>
    <row r="3" spans="1:54" ht="14.65" customHeight="1">
      <c r="A3" s="542" t="s">
        <v>1</v>
      </c>
      <c r="B3" s="434"/>
      <c r="C3" s="434"/>
      <c r="D3" s="434"/>
      <c r="E3" s="456" t="s">
        <v>2</v>
      </c>
      <c r="F3" s="439" t="s">
        <v>3</v>
      </c>
      <c r="G3" s="439" t="s">
        <v>4</v>
      </c>
      <c r="H3" s="439" t="s">
        <v>5</v>
      </c>
      <c r="I3" s="439" t="s">
        <v>2</v>
      </c>
      <c r="J3" s="625" t="s">
        <v>3</v>
      </c>
      <c r="K3" s="625" t="s">
        <v>4</v>
      </c>
      <c r="L3" s="456" t="s">
        <v>3</v>
      </c>
      <c r="M3" s="456" t="s">
        <v>4</v>
      </c>
      <c r="N3" s="456" t="s">
        <v>5</v>
      </c>
      <c r="O3" s="456" t="s">
        <v>2</v>
      </c>
      <c r="P3" s="456" t="s">
        <v>3</v>
      </c>
      <c r="Q3" s="456" t="s">
        <v>4</v>
      </c>
      <c r="R3" s="456" t="s">
        <v>5</v>
      </c>
      <c r="S3" s="456" t="s">
        <v>2</v>
      </c>
      <c r="T3" s="543" t="s">
        <v>2</v>
      </c>
      <c r="U3" s="543" t="s">
        <v>2</v>
      </c>
      <c r="V3" s="543" t="s">
        <v>2</v>
      </c>
      <c r="W3" s="543" t="s">
        <v>2</v>
      </c>
      <c r="X3" s="544"/>
      <c r="Y3" s="437"/>
      <c r="Z3" s="437"/>
      <c r="AA3" s="437"/>
      <c r="AB3" s="437"/>
      <c r="AC3" s="437"/>
      <c r="AD3" s="437"/>
      <c r="AE3" s="437"/>
      <c r="AF3" s="437"/>
      <c r="AG3" s="437"/>
      <c r="AH3" s="437"/>
      <c r="AI3" s="437"/>
      <c r="AJ3" s="437"/>
      <c r="AK3" s="437"/>
      <c r="AL3" s="437"/>
      <c r="AM3" s="437"/>
      <c r="AN3" s="437"/>
      <c r="AO3" s="437"/>
      <c r="AP3" s="437"/>
      <c r="AQ3" s="437"/>
      <c r="AR3" s="437"/>
      <c r="AS3" s="437"/>
      <c r="AT3" s="437"/>
      <c r="AU3" s="437"/>
      <c r="AV3" s="437"/>
      <c r="AW3" s="437"/>
      <c r="AX3" s="437"/>
      <c r="AY3" s="437"/>
      <c r="AZ3" s="437"/>
      <c r="BA3" s="437"/>
      <c r="BB3" s="437"/>
    </row>
    <row r="4" spans="1:54" ht="14.65" customHeight="1">
      <c r="A4" s="430"/>
      <c r="B4" s="440" t="s">
        <v>6</v>
      </c>
      <c r="C4" s="441" t="s">
        <v>7</v>
      </c>
      <c r="D4" s="440" t="s">
        <v>8</v>
      </c>
      <c r="E4" s="545"/>
      <c r="F4" s="430"/>
      <c r="G4" s="430"/>
      <c r="H4" s="430"/>
      <c r="I4" s="430"/>
      <c r="J4" s="430"/>
      <c r="K4" s="430"/>
      <c r="L4" s="545"/>
      <c r="M4" s="545"/>
      <c r="N4" s="545"/>
      <c r="O4" s="545"/>
      <c r="P4" s="545"/>
      <c r="Q4" s="545"/>
      <c r="R4" s="545"/>
      <c r="S4" s="545"/>
      <c r="T4" s="546"/>
      <c r="U4" s="546"/>
      <c r="V4" s="546"/>
      <c r="W4" s="546"/>
      <c r="X4" s="547"/>
      <c r="Y4" s="430"/>
      <c r="Z4" s="430"/>
      <c r="AA4" s="430"/>
      <c r="AB4" s="430"/>
      <c r="AC4" s="430"/>
      <c r="AD4" s="430"/>
      <c r="AE4" s="430"/>
      <c r="AF4" s="430"/>
      <c r="AG4" s="430"/>
      <c r="AH4" s="430"/>
      <c r="AI4" s="430"/>
      <c r="AJ4" s="430"/>
      <c r="AK4" s="430"/>
      <c r="AL4" s="430"/>
      <c r="AM4" s="430"/>
      <c r="AN4" s="430"/>
      <c r="AO4" s="430"/>
      <c r="AP4" s="430"/>
      <c r="AQ4" s="430"/>
      <c r="AR4" s="430"/>
      <c r="AS4" s="430"/>
      <c r="AT4" s="430"/>
      <c r="AU4" s="430"/>
      <c r="AV4" s="430"/>
      <c r="AW4" s="430"/>
      <c r="AX4" s="430"/>
      <c r="AY4" s="430"/>
      <c r="AZ4" s="430"/>
      <c r="BA4" s="430"/>
      <c r="BB4" s="430"/>
    </row>
    <row r="5" spans="1:54" ht="15" customHeight="1">
      <c r="A5" s="548" t="s">
        <v>860</v>
      </c>
      <c r="B5" s="445"/>
      <c r="C5" s="447"/>
      <c r="D5" s="445"/>
      <c r="E5" s="540"/>
      <c r="F5" s="430"/>
      <c r="G5" s="430"/>
      <c r="H5" s="430"/>
      <c r="I5" s="430"/>
      <c r="J5" s="430"/>
      <c r="K5" s="430"/>
      <c r="L5" s="540"/>
      <c r="M5" s="540"/>
      <c r="N5" s="540"/>
      <c r="O5" s="549"/>
      <c r="P5" s="540"/>
      <c r="Q5" s="540"/>
      <c r="R5" s="540"/>
      <c r="S5" s="540"/>
      <c r="T5" s="540"/>
      <c r="U5" s="540"/>
      <c r="V5" s="540"/>
      <c r="W5" s="540"/>
      <c r="X5" s="540"/>
      <c r="Y5" s="430"/>
      <c r="Z5" s="454"/>
      <c r="AA5" s="430"/>
      <c r="AB5" s="430"/>
      <c r="AC5" s="430"/>
      <c r="AD5" s="430"/>
      <c r="AE5" s="430"/>
      <c r="AF5" s="430"/>
      <c r="AG5" s="430"/>
      <c r="AH5" s="430"/>
      <c r="AI5" s="430"/>
      <c r="AJ5" s="430"/>
      <c r="AK5" s="430"/>
      <c r="AL5" s="430"/>
      <c r="AM5" s="430"/>
      <c r="AN5" s="430"/>
      <c r="AO5" s="430"/>
      <c r="AP5" s="430"/>
      <c r="AQ5" s="430"/>
      <c r="AR5" s="430"/>
      <c r="AS5" s="430"/>
      <c r="AT5" s="430"/>
      <c r="AU5" s="430"/>
      <c r="AV5" s="430"/>
      <c r="AW5" s="430"/>
      <c r="AX5" s="430"/>
      <c r="AY5" s="430"/>
      <c r="AZ5" s="430"/>
      <c r="BA5" s="430"/>
      <c r="BB5" s="430"/>
    </row>
    <row r="6" spans="1:54">
      <c r="A6" s="467" t="s">
        <v>950</v>
      </c>
      <c r="B6" s="443" t="s">
        <v>18</v>
      </c>
      <c r="C6" s="444" t="s">
        <v>951</v>
      </c>
      <c r="D6" s="460" t="s">
        <v>864</v>
      </c>
      <c r="E6" s="501"/>
      <c r="F6" s="430"/>
      <c r="G6" s="430"/>
      <c r="H6" s="430"/>
      <c r="I6" s="430"/>
      <c r="J6" s="430"/>
      <c r="K6" s="430"/>
      <c r="L6" s="551"/>
      <c r="M6" s="551"/>
      <c r="N6" s="551"/>
      <c r="O6" s="551">
        <v>0</v>
      </c>
      <c r="P6" s="551">
        <v>0</v>
      </c>
      <c r="Q6" s="551">
        <v>0</v>
      </c>
      <c r="R6" s="551">
        <v>0</v>
      </c>
      <c r="S6" s="551">
        <v>0</v>
      </c>
      <c r="T6" s="501">
        <v>0</v>
      </c>
      <c r="U6" s="501">
        <v>0</v>
      </c>
      <c r="V6" s="501">
        <v>0</v>
      </c>
      <c r="W6" s="501">
        <v>0</v>
      </c>
      <c r="X6" s="442" t="s">
        <v>865</v>
      </c>
      <c r="Y6" s="430"/>
      <c r="Z6" s="553"/>
      <c r="AA6" s="430"/>
      <c r="AB6" s="430"/>
      <c r="AC6" s="501"/>
      <c r="AD6" s="501"/>
      <c r="AE6" s="501"/>
      <c r="AF6" s="501"/>
      <c r="AG6" s="501"/>
      <c r="AH6" s="501"/>
      <c r="AI6" s="501"/>
      <c r="AJ6" s="430"/>
      <c r="AK6" s="430"/>
      <c r="AL6" s="430"/>
      <c r="AM6" s="430"/>
      <c r="AN6" s="430"/>
      <c r="AO6" s="430"/>
      <c r="AP6" s="430"/>
      <c r="AQ6" s="430"/>
      <c r="AR6" s="430"/>
      <c r="AS6" s="430"/>
      <c r="AT6" s="430"/>
      <c r="AU6" s="430"/>
      <c r="AV6" s="430"/>
      <c r="AW6" s="430"/>
      <c r="AX6" s="430"/>
      <c r="AY6" s="430"/>
      <c r="AZ6" s="430"/>
      <c r="BA6" s="430"/>
      <c r="BB6" s="430"/>
    </row>
    <row r="7" spans="1:54">
      <c r="A7" s="467" t="s">
        <v>952</v>
      </c>
      <c r="B7" s="443" t="s">
        <v>18</v>
      </c>
      <c r="C7" s="444" t="s">
        <v>953</v>
      </c>
      <c r="D7" s="460" t="s">
        <v>864</v>
      </c>
      <c r="E7" s="501"/>
      <c r="F7" s="430"/>
      <c r="G7" s="430"/>
      <c r="H7" s="430"/>
      <c r="I7" s="430"/>
      <c r="J7" s="430"/>
      <c r="K7" s="430"/>
      <c r="L7" s="551"/>
      <c r="M7" s="551"/>
      <c r="N7" s="551"/>
      <c r="O7" s="551">
        <v>0</v>
      </c>
      <c r="P7" s="551">
        <v>0</v>
      </c>
      <c r="Q7" s="551">
        <v>0</v>
      </c>
      <c r="R7" s="551">
        <v>0</v>
      </c>
      <c r="S7" s="551">
        <v>0</v>
      </c>
      <c r="T7" s="501">
        <v>0</v>
      </c>
      <c r="U7" s="501">
        <v>0</v>
      </c>
      <c r="V7" s="501">
        <v>0</v>
      </c>
      <c r="W7" s="501">
        <v>0</v>
      </c>
      <c r="X7" s="430"/>
      <c r="Y7" s="432"/>
      <c r="Z7" s="554"/>
      <c r="AA7" s="430"/>
      <c r="AB7" s="430"/>
      <c r="AC7" s="501"/>
      <c r="AD7" s="492"/>
      <c r="AE7" s="492"/>
      <c r="AF7" s="492"/>
      <c r="AG7" s="492"/>
      <c r="AH7" s="492"/>
      <c r="AI7" s="501"/>
      <c r="AJ7" s="430"/>
      <c r="AK7" s="430"/>
      <c r="AL7" s="430"/>
      <c r="AM7" s="430"/>
      <c r="AN7" s="430"/>
      <c r="AO7" s="430"/>
      <c r="AP7" s="430"/>
      <c r="AQ7" s="430"/>
      <c r="AR7" s="430"/>
      <c r="AS7" s="430"/>
      <c r="AT7" s="430"/>
      <c r="AU7" s="430"/>
      <c r="AV7" s="430"/>
      <c r="AW7" s="430"/>
      <c r="AX7" s="430"/>
      <c r="AY7" s="430"/>
      <c r="AZ7" s="430"/>
      <c r="BA7" s="430"/>
      <c r="BB7" s="430"/>
    </row>
    <row r="8" spans="1:54">
      <c r="A8" s="467" t="s">
        <v>954</v>
      </c>
      <c r="B8" s="443" t="s">
        <v>18</v>
      </c>
      <c r="C8" s="444" t="s">
        <v>955</v>
      </c>
      <c r="D8" s="460" t="s">
        <v>864</v>
      </c>
      <c r="E8" s="501"/>
      <c r="F8" s="430"/>
      <c r="G8" s="430"/>
      <c r="H8" s="430"/>
      <c r="I8" s="430"/>
      <c r="J8" s="430"/>
      <c r="K8" s="430"/>
      <c r="L8" s="551"/>
      <c r="M8" s="551"/>
      <c r="N8" s="551">
        <f>520000</f>
        <v>520000</v>
      </c>
      <c r="O8" s="551"/>
      <c r="P8" s="551"/>
      <c r="Q8" s="551">
        <v>0</v>
      </c>
      <c r="R8" s="551"/>
      <c r="S8" s="551">
        <v>0</v>
      </c>
      <c r="T8" s="501">
        <v>0</v>
      </c>
      <c r="U8" s="501">
        <v>0</v>
      </c>
      <c r="V8" s="501">
        <v>0</v>
      </c>
      <c r="W8" s="501">
        <v>0</v>
      </c>
      <c r="X8" s="430"/>
      <c r="Y8" s="432"/>
      <c r="Z8" s="555"/>
      <c r="AA8" s="430"/>
      <c r="AB8" s="430"/>
      <c r="AC8" s="501"/>
      <c r="AD8" s="501"/>
      <c r="AE8" s="501"/>
      <c r="AF8" s="501"/>
      <c r="AG8" s="501"/>
      <c r="AH8" s="501"/>
      <c r="AI8" s="501"/>
      <c r="AJ8" s="430"/>
      <c r="AK8" s="430"/>
      <c r="AL8" s="430"/>
      <c r="AM8" s="430"/>
      <c r="AN8" s="430"/>
      <c r="AO8" s="430"/>
      <c r="AP8" s="430"/>
      <c r="AQ8" s="430"/>
      <c r="AR8" s="430"/>
      <c r="AS8" s="430"/>
      <c r="AT8" s="430"/>
      <c r="AU8" s="430"/>
      <c r="AV8" s="430"/>
      <c r="AW8" s="430"/>
      <c r="AX8" s="430"/>
      <c r="AY8" s="430"/>
      <c r="AZ8" s="430"/>
      <c r="BA8" s="430"/>
      <c r="BB8" s="430"/>
    </row>
    <row r="9" spans="1:54">
      <c r="A9" s="467" t="s">
        <v>956</v>
      </c>
      <c r="B9" s="442" t="s">
        <v>18</v>
      </c>
      <c r="C9" s="442" t="s">
        <v>951</v>
      </c>
      <c r="D9" s="442" t="s">
        <v>869</v>
      </c>
      <c r="E9" s="501"/>
      <c r="F9" s="430"/>
      <c r="G9" s="430"/>
      <c r="H9" s="430"/>
      <c r="I9" s="430"/>
      <c r="J9" s="430"/>
      <c r="K9" s="430"/>
      <c r="L9" s="551"/>
      <c r="M9" s="551"/>
      <c r="N9" s="551"/>
      <c r="O9" s="551">
        <v>0</v>
      </c>
      <c r="P9" s="551">
        <v>0</v>
      </c>
      <c r="Q9" s="551">
        <v>0</v>
      </c>
      <c r="R9" s="551">
        <v>0</v>
      </c>
      <c r="S9" s="551">
        <v>0</v>
      </c>
      <c r="T9" s="501">
        <v>0</v>
      </c>
      <c r="U9" s="501">
        <v>0</v>
      </c>
      <c r="V9" s="501">
        <v>0</v>
      </c>
      <c r="W9" s="501">
        <v>0</v>
      </c>
      <c r="X9" s="430"/>
      <c r="Y9" s="432"/>
      <c r="Z9" s="556"/>
      <c r="AA9" s="430"/>
      <c r="AB9" s="430"/>
      <c r="AC9" s="501"/>
      <c r="AD9" s="501"/>
      <c r="AE9" s="501"/>
      <c r="AF9" s="492"/>
      <c r="AG9" s="492"/>
      <c r="AH9" s="492"/>
      <c r="AI9" s="501"/>
      <c r="AJ9" s="430"/>
      <c r="AK9" s="430"/>
      <c r="AL9" s="430"/>
      <c r="AM9" s="430"/>
      <c r="AN9" s="430"/>
      <c r="AO9" s="430"/>
      <c r="AP9" s="430"/>
      <c r="AQ9" s="430"/>
      <c r="AR9" s="430"/>
      <c r="AS9" s="430"/>
      <c r="AT9" s="430"/>
      <c r="AU9" s="430"/>
      <c r="AV9" s="430"/>
      <c r="AW9" s="430"/>
      <c r="AX9" s="430"/>
      <c r="AY9" s="430"/>
      <c r="AZ9" s="430"/>
      <c r="BA9" s="430"/>
      <c r="BB9" s="430"/>
    </row>
    <row r="10" spans="1:54">
      <c r="A10" s="467" t="s">
        <v>957</v>
      </c>
      <c r="B10" s="442" t="s">
        <v>18</v>
      </c>
      <c r="C10" s="442" t="s">
        <v>953</v>
      </c>
      <c r="D10" s="442" t="s">
        <v>869</v>
      </c>
      <c r="E10" s="501"/>
      <c r="F10" s="464"/>
      <c r="G10" s="464"/>
      <c r="H10" s="464"/>
      <c r="I10" s="464"/>
      <c r="J10" s="464"/>
      <c r="K10" s="464"/>
      <c r="L10" s="551"/>
      <c r="M10" s="551"/>
      <c r="N10" s="551"/>
      <c r="O10" s="551">
        <v>0</v>
      </c>
      <c r="P10" s="551">
        <v>0</v>
      </c>
      <c r="Q10" s="551">
        <v>0</v>
      </c>
      <c r="R10" s="551">
        <v>0</v>
      </c>
      <c r="S10" s="551">
        <v>0</v>
      </c>
      <c r="T10" s="501">
        <v>0</v>
      </c>
      <c r="U10" s="501">
        <v>0</v>
      </c>
      <c r="V10" s="501">
        <v>0</v>
      </c>
      <c r="W10" s="501">
        <v>0</v>
      </c>
      <c r="X10" s="430"/>
      <c r="Y10" s="432"/>
      <c r="Z10" s="556"/>
      <c r="AA10" s="430"/>
      <c r="AB10" s="430"/>
      <c r="AC10" s="501"/>
      <c r="AD10" s="501"/>
      <c r="AE10" s="501"/>
      <c r="AF10" s="492"/>
      <c r="AG10" s="492"/>
      <c r="AH10" s="492"/>
      <c r="AI10" s="501"/>
      <c r="AJ10" s="430"/>
      <c r="AK10" s="430"/>
      <c r="AL10" s="430"/>
      <c r="AM10" s="430"/>
      <c r="AN10" s="430"/>
      <c r="AO10" s="430"/>
      <c r="AP10" s="430"/>
      <c r="AQ10" s="430"/>
      <c r="AR10" s="430"/>
      <c r="AS10" s="430"/>
      <c r="AT10" s="430"/>
      <c r="AU10" s="430"/>
      <c r="AV10" s="430"/>
      <c r="AW10" s="430"/>
      <c r="AX10" s="430"/>
      <c r="AY10" s="430"/>
      <c r="AZ10" s="430"/>
      <c r="BA10" s="430"/>
      <c r="BB10" s="430"/>
    </row>
    <row r="11" spans="1:54">
      <c r="A11" s="467" t="s">
        <v>958</v>
      </c>
      <c r="B11" s="442" t="s">
        <v>18</v>
      </c>
      <c r="C11" s="442" t="s">
        <v>951</v>
      </c>
      <c r="D11" s="442" t="s">
        <v>874</v>
      </c>
      <c r="E11" s="501"/>
      <c r="F11" s="430"/>
      <c r="G11" s="430"/>
      <c r="H11" s="430"/>
      <c r="I11" s="430"/>
      <c r="J11" s="430"/>
      <c r="K11" s="430"/>
      <c r="L11" s="551"/>
      <c r="M11" s="551"/>
      <c r="N11" s="551"/>
      <c r="O11" s="551">
        <v>50000</v>
      </c>
      <c r="P11" s="551">
        <v>0</v>
      </c>
      <c r="Q11" s="551">
        <v>0</v>
      </c>
      <c r="R11" s="551">
        <v>0</v>
      </c>
      <c r="S11" s="551">
        <v>0</v>
      </c>
      <c r="T11" s="501">
        <v>0</v>
      </c>
      <c r="U11" s="501">
        <v>0</v>
      </c>
      <c r="V11" s="501">
        <v>0</v>
      </c>
      <c r="W11" s="501">
        <v>0</v>
      </c>
      <c r="X11" s="430"/>
      <c r="Y11" s="432"/>
      <c r="Z11" s="557"/>
      <c r="AA11" s="430"/>
      <c r="AB11" s="430"/>
      <c r="AC11" s="501"/>
      <c r="AD11" s="501"/>
      <c r="AE11" s="501"/>
      <c r="AF11" s="501"/>
      <c r="AG11" s="501"/>
      <c r="AH11" s="501"/>
      <c r="AI11" s="501"/>
      <c r="AJ11" s="430"/>
      <c r="AK11" s="430"/>
      <c r="AL11" s="430"/>
      <c r="AM11" s="430"/>
      <c r="AN11" s="430"/>
      <c r="AO11" s="430"/>
      <c r="AP11" s="430"/>
      <c r="AQ11" s="430"/>
      <c r="AR11" s="430"/>
      <c r="AS11" s="430"/>
      <c r="AT11" s="430"/>
      <c r="AU11" s="430"/>
      <c r="AV11" s="430"/>
      <c r="AW11" s="430"/>
      <c r="AX11" s="430"/>
      <c r="AY11" s="430"/>
      <c r="AZ11" s="430"/>
      <c r="BA11" s="430"/>
      <c r="BB11" s="430"/>
    </row>
    <row r="12" spans="1:54">
      <c r="A12" s="467" t="s">
        <v>959</v>
      </c>
      <c r="B12" s="442" t="s">
        <v>18</v>
      </c>
      <c r="C12" s="442" t="s">
        <v>960</v>
      </c>
      <c r="D12" s="442" t="s">
        <v>874</v>
      </c>
      <c r="E12" s="550">
        <v>812800</v>
      </c>
      <c r="F12" s="469"/>
      <c r="G12" s="469"/>
      <c r="H12" s="469"/>
      <c r="I12" s="469"/>
      <c r="J12" s="469"/>
      <c r="K12" s="469"/>
      <c r="L12" s="551">
        <v>280000</v>
      </c>
      <c r="M12" s="551">
        <v>280000</v>
      </c>
      <c r="N12" s="551">
        <v>280000</v>
      </c>
      <c r="O12" s="551">
        <v>340000</v>
      </c>
      <c r="P12" s="551">
        <f>2930000/16*3</f>
        <v>549375</v>
      </c>
      <c r="Q12" s="551">
        <f>2930000/16*3</f>
        <v>549375</v>
      </c>
      <c r="R12" s="551">
        <f>2930000/16*3</f>
        <v>549375</v>
      </c>
      <c r="S12" s="551">
        <f>2930000/16*3</f>
        <v>549375</v>
      </c>
      <c r="T12" s="501">
        <f>2930000-SUM(P12:S12)</f>
        <v>732500</v>
      </c>
      <c r="U12" s="501">
        <v>0</v>
      </c>
      <c r="V12" s="501">
        <v>0</v>
      </c>
      <c r="W12" s="501">
        <v>0</v>
      </c>
      <c r="X12" s="525"/>
      <c r="Y12" s="432"/>
      <c r="Z12" s="557"/>
      <c r="AA12" s="484"/>
      <c r="AB12" s="484"/>
      <c r="AC12" s="484"/>
      <c r="AD12" s="484"/>
      <c r="AE12" s="484"/>
      <c r="AF12" s="484"/>
      <c r="AG12" s="484"/>
      <c r="AH12" s="484"/>
      <c r="AI12" s="484"/>
      <c r="AJ12" s="430"/>
      <c r="AK12" s="430"/>
      <c r="AL12" s="430"/>
      <c r="AM12" s="430"/>
      <c r="AN12" s="430"/>
      <c r="AO12" s="430"/>
      <c r="AP12" s="430"/>
      <c r="AQ12" s="430"/>
      <c r="AR12" s="430"/>
      <c r="AS12" s="430"/>
      <c r="AT12" s="430"/>
      <c r="AU12" s="430"/>
      <c r="AV12" s="430"/>
      <c r="AW12" s="430"/>
      <c r="AX12" s="430"/>
      <c r="AY12" s="430"/>
      <c r="AZ12" s="430"/>
      <c r="BA12" s="430"/>
      <c r="BB12" s="430"/>
    </row>
    <row r="13" spans="1:54">
      <c r="A13" s="467" t="s">
        <v>961</v>
      </c>
      <c r="B13" s="442" t="s">
        <v>18</v>
      </c>
      <c r="C13" s="442" t="s">
        <v>955</v>
      </c>
      <c r="D13" s="442" t="s">
        <v>874</v>
      </c>
      <c r="E13" s="501"/>
      <c r="F13" s="469"/>
      <c r="G13" s="469"/>
      <c r="H13" s="469"/>
      <c r="I13" s="469"/>
      <c r="J13" s="469"/>
      <c r="K13" s="469"/>
      <c r="L13" s="551"/>
      <c r="M13" s="551"/>
      <c r="N13" s="551"/>
      <c r="O13" s="551">
        <v>250000</v>
      </c>
      <c r="P13" s="551">
        <v>0</v>
      </c>
      <c r="Q13" s="551">
        <v>0</v>
      </c>
      <c r="R13" s="551">
        <v>0</v>
      </c>
      <c r="S13" s="551">
        <v>0</v>
      </c>
      <c r="T13" s="501">
        <v>0</v>
      </c>
      <c r="U13" s="501">
        <v>0</v>
      </c>
      <c r="V13" s="501">
        <v>0</v>
      </c>
      <c r="W13" s="501">
        <v>0</v>
      </c>
      <c r="X13" s="501"/>
      <c r="Y13" s="432"/>
      <c r="Z13" s="557"/>
      <c r="AA13" s="484"/>
      <c r="AB13" s="484"/>
      <c r="AC13" s="484"/>
      <c r="AD13" s="484"/>
      <c r="AE13" s="484"/>
      <c r="AF13" s="484"/>
      <c r="AG13" s="484"/>
      <c r="AH13" s="484"/>
      <c r="AI13" s="484"/>
      <c r="AJ13" s="430"/>
      <c r="AK13" s="430"/>
      <c r="AL13" s="430"/>
      <c r="AM13" s="430"/>
      <c r="AN13" s="430"/>
      <c r="AO13" s="430"/>
      <c r="AP13" s="430"/>
      <c r="AQ13" s="430"/>
      <c r="AR13" s="430"/>
      <c r="AS13" s="430"/>
      <c r="AT13" s="430"/>
      <c r="AU13" s="430"/>
      <c r="AV13" s="430"/>
      <c r="AW13" s="430"/>
      <c r="AX13" s="430"/>
      <c r="AY13" s="430"/>
      <c r="AZ13" s="430"/>
      <c r="BA13" s="430"/>
      <c r="BB13" s="430"/>
    </row>
    <row r="14" spans="1:54">
      <c r="A14" s="467" t="s">
        <v>962</v>
      </c>
      <c r="B14" s="442" t="s">
        <v>18</v>
      </c>
      <c r="C14" s="442" t="s">
        <v>951</v>
      </c>
      <c r="D14" s="442" t="s">
        <v>529</v>
      </c>
      <c r="E14" s="492"/>
      <c r="F14" s="430"/>
      <c r="G14" s="430"/>
      <c r="H14" s="430"/>
      <c r="I14" s="430"/>
      <c r="J14" s="430"/>
      <c r="K14" s="430"/>
      <c r="L14" s="551"/>
      <c r="M14" s="551"/>
      <c r="N14" s="551">
        <f>750000/2</f>
        <v>375000</v>
      </c>
      <c r="O14" s="511">
        <f>750000/2</f>
        <v>375000</v>
      </c>
      <c r="P14" s="511">
        <f>(4500000*0.6-SUM($N$14:$O$14))/4</f>
        <v>487500</v>
      </c>
      <c r="Q14" s="511">
        <f>(4500000*0.6-SUM($N$14:$O$14))/4</f>
        <v>487500</v>
      </c>
      <c r="R14" s="511">
        <f>(4500000*0.6-SUM($N$14:$O$14))/4</f>
        <v>487500</v>
      </c>
      <c r="S14" s="511">
        <f>(4500000*0.6-SUM($N$14:$O$14))/4</f>
        <v>487500</v>
      </c>
      <c r="T14" s="501">
        <f>4500000-SUM(N14:S14)</f>
        <v>1800000</v>
      </c>
      <c r="U14" s="501">
        <v>0</v>
      </c>
      <c r="V14" s="501">
        <v>0</v>
      </c>
      <c r="W14" s="501">
        <v>0</v>
      </c>
      <c r="X14" s="430"/>
      <c r="Y14" s="532"/>
      <c r="Z14" s="532"/>
      <c r="AA14" s="430"/>
      <c r="AB14" s="430"/>
      <c r="AC14" s="430"/>
      <c r="AD14" s="484"/>
      <c r="AE14" s="484"/>
      <c r="AF14" s="484"/>
      <c r="AG14" s="484"/>
      <c r="AH14" s="484"/>
      <c r="AI14" s="484"/>
      <c r="AJ14" s="430"/>
      <c r="AK14" s="430"/>
      <c r="AL14" s="430"/>
      <c r="AM14" s="430"/>
      <c r="AN14" s="430"/>
      <c r="AO14" s="430"/>
      <c r="AP14" s="430"/>
      <c r="AQ14" s="430"/>
      <c r="AR14" s="430"/>
      <c r="AS14" s="430"/>
      <c r="AT14" s="430"/>
      <c r="AU14" s="430"/>
      <c r="AV14" s="430"/>
      <c r="AW14" s="430"/>
      <c r="AX14" s="430"/>
      <c r="AY14" s="430"/>
      <c r="AZ14" s="430"/>
      <c r="BA14" s="430"/>
      <c r="BB14" s="430"/>
    </row>
    <row r="15" spans="1:54">
      <c r="A15" s="467" t="s">
        <v>963</v>
      </c>
      <c r="B15" s="442" t="s">
        <v>18</v>
      </c>
      <c r="C15" s="442" t="s">
        <v>953</v>
      </c>
      <c r="D15" s="442" t="s">
        <v>529</v>
      </c>
      <c r="E15" s="492"/>
      <c r="F15" s="430"/>
      <c r="G15" s="430"/>
      <c r="H15" s="430"/>
      <c r="I15" s="430"/>
      <c r="J15" s="430"/>
      <c r="K15" s="430"/>
      <c r="L15" s="551"/>
      <c r="M15" s="551"/>
      <c r="N15" s="551">
        <f>1000000/2</f>
        <v>500000</v>
      </c>
      <c r="O15" s="511">
        <f>1000000/2</f>
        <v>500000</v>
      </c>
      <c r="P15" s="511">
        <f>5200000/3/4</f>
        <v>433333.33333333331</v>
      </c>
      <c r="Q15" s="511">
        <f>5200000/3/4</f>
        <v>433333.33333333331</v>
      </c>
      <c r="R15" s="511">
        <f>5200000/3/4</f>
        <v>433333.33333333331</v>
      </c>
      <c r="S15" s="511">
        <f>5200000/3/4</f>
        <v>433333.33333333331</v>
      </c>
      <c r="T15" s="501">
        <f>5200000/3</f>
        <v>1733333.3333333333</v>
      </c>
      <c r="U15" s="501">
        <f>5200000/3/2</f>
        <v>866666.66666666663</v>
      </c>
      <c r="V15" s="501">
        <f>5200000/3/2</f>
        <v>866666.66666666663</v>
      </c>
      <c r="W15" s="501">
        <v>0</v>
      </c>
      <c r="X15" s="492"/>
      <c r="Y15" s="559"/>
      <c r="Z15" s="532"/>
      <c r="AA15" s="430"/>
      <c r="AB15" s="430"/>
      <c r="AC15" s="430"/>
      <c r="AD15" s="430"/>
      <c r="AE15" s="430"/>
      <c r="AF15" s="430"/>
      <c r="AG15" s="430"/>
      <c r="AH15" s="430"/>
      <c r="AI15" s="430"/>
      <c r="AJ15" s="430"/>
      <c r="AK15" s="430"/>
      <c r="AL15" s="430"/>
      <c r="AM15" s="430"/>
      <c r="AN15" s="430"/>
      <c r="AO15" s="430"/>
      <c r="AP15" s="430"/>
      <c r="AQ15" s="430"/>
      <c r="AR15" s="430"/>
      <c r="AS15" s="430"/>
      <c r="AT15" s="430"/>
      <c r="AU15" s="430"/>
      <c r="AV15" s="430"/>
      <c r="AW15" s="430"/>
      <c r="AX15" s="430"/>
      <c r="AY15" s="430"/>
      <c r="AZ15" s="430"/>
      <c r="BA15" s="430"/>
      <c r="BB15" s="430"/>
    </row>
    <row r="16" spans="1:54">
      <c r="A16" s="467" t="s">
        <v>964</v>
      </c>
      <c r="B16" s="442" t="s">
        <v>18</v>
      </c>
      <c r="C16" s="442" t="s">
        <v>955</v>
      </c>
      <c r="D16" s="442" t="s">
        <v>529</v>
      </c>
      <c r="E16" s="492"/>
      <c r="F16" s="430"/>
      <c r="G16" s="430"/>
      <c r="H16" s="430"/>
      <c r="I16" s="430"/>
      <c r="J16" s="430"/>
      <c r="K16" s="430"/>
      <c r="L16" s="551">
        <v>0</v>
      </c>
      <c r="M16" s="551">
        <v>0</v>
      </c>
      <c r="N16" s="551">
        <v>0</v>
      </c>
      <c r="O16" s="511">
        <v>0</v>
      </c>
      <c r="P16" s="511">
        <v>0</v>
      </c>
      <c r="Q16" s="511">
        <v>0</v>
      </c>
      <c r="R16" s="511">
        <v>0</v>
      </c>
      <c r="S16" s="511">
        <v>0</v>
      </c>
      <c r="T16" s="501">
        <v>0</v>
      </c>
      <c r="U16" s="501">
        <v>0</v>
      </c>
      <c r="V16" s="501">
        <v>0</v>
      </c>
      <c r="W16" s="501">
        <v>0</v>
      </c>
      <c r="X16" s="430"/>
      <c r="Y16" s="559"/>
      <c r="Z16" s="532"/>
      <c r="AA16" s="430"/>
      <c r="AB16" s="430"/>
      <c r="AC16" s="430"/>
      <c r="AD16" s="430"/>
      <c r="AE16" s="430"/>
      <c r="AF16" s="430"/>
      <c r="AG16" s="430"/>
      <c r="AH16" s="430"/>
      <c r="AI16" s="430"/>
      <c r="AJ16" s="430"/>
      <c r="AK16" s="430"/>
      <c r="AL16" s="430"/>
      <c r="AM16" s="430"/>
      <c r="AN16" s="430"/>
      <c r="AO16" s="430"/>
      <c r="AP16" s="430"/>
      <c r="AQ16" s="430"/>
      <c r="AR16" s="430"/>
      <c r="AS16" s="430"/>
      <c r="AT16" s="430"/>
      <c r="AU16" s="430"/>
      <c r="AV16" s="430"/>
      <c r="AW16" s="430"/>
      <c r="AX16" s="430"/>
      <c r="AY16" s="430"/>
      <c r="AZ16" s="430"/>
      <c r="BA16" s="430"/>
      <c r="BB16" s="430"/>
    </row>
    <row r="17" spans="1:54">
      <c r="A17" s="467" t="s">
        <v>965</v>
      </c>
      <c r="B17" s="442" t="s">
        <v>18</v>
      </c>
      <c r="C17" s="442" t="s">
        <v>966</v>
      </c>
      <c r="D17" s="442" t="s">
        <v>529</v>
      </c>
      <c r="E17" s="501"/>
      <c r="F17" s="473"/>
      <c r="G17" s="473"/>
      <c r="H17" s="473"/>
      <c r="I17" s="473"/>
      <c r="J17" s="473"/>
      <c r="K17" s="473"/>
      <c r="L17" s="551"/>
      <c r="M17" s="551"/>
      <c r="N17" s="551"/>
      <c r="O17" s="511"/>
      <c r="P17" s="511">
        <v>0</v>
      </c>
      <c r="Q17" s="511">
        <v>0</v>
      </c>
      <c r="R17" s="511">
        <v>0</v>
      </c>
      <c r="S17" s="511">
        <v>0</v>
      </c>
      <c r="T17" s="501">
        <f>2187500*0.5</f>
        <v>1093750</v>
      </c>
      <c r="U17" s="501">
        <f>T17/2</f>
        <v>546875</v>
      </c>
      <c r="V17" s="501">
        <f>U17</f>
        <v>546875</v>
      </c>
      <c r="W17" s="501">
        <v>0</v>
      </c>
      <c r="X17" s="430"/>
      <c r="Y17" s="532"/>
      <c r="Z17" s="532"/>
      <c r="AA17" s="430"/>
      <c r="AB17" s="430"/>
      <c r="AC17" s="430"/>
      <c r="AD17" s="430"/>
      <c r="AE17" s="430"/>
      <c r="AF17" s="430"/>
      <c r="AG17" s="430"/>
      <c r="AH17" s="430"/>
      <c r="AI17" s="430"/>
      <c r="AJ17" s="430"/>
      <c r="AK17" s="430"/>
      <c r="AL17" s="430"/>
      <c r="AM17" s="430"/>
      <c r="AN17" s="430"/>
      <c r="AO17" s="430"/>
      <c r="AP17" s="430"/>
      <c r="AQ17" s="430"/>
      <c r="AR17" s="430"/>
      <c r="AS17" s="430"/>
      <c r="AT17" s="430"/>
      <c r="AU17" s="430"/>
      <c r="AV17" s="430"/>
      <c r="AW17" s="430"/>
      <c r="AX17" s="430"/>
      <c r="AY17" s="430"/>
      <c r="AZ17" s="430"/>
      <c r="BA17" s="430"/>
      <c r="BB17" s="430"/>
    </row>
    <row r="18" spans="1:54">
      <c r="A18" s="467" t="s">
        <v>967</v>
      </c>
      <c r="B18" s="442" t="s">
        <v>18</v>
      </c>
      <c r="C18" s="442" t="s">
        <v>968</v>
      </c>
      <c r="D18" s="442" t="s">
        <v>529</v>
      </c>
      <c r="E18" s="501"/>
      <c r="F18" s="473"/>
      <c r="G18" s="473"/>
      <c r="H18" s="473"/>
      <c r="I18" s="473"/>
      <c r="J18" s="473"/>
      <c r="K18" s="473"/>
      <c r="L18" s="551"/>
      <c r="M18" s="551">
        <v>1000000</v>
      </c>
      <c r="N18" s="551"/>
      <c r="O18" s="511"/>
      <c r="P18" s="511"/>
      <c r="Q18" s="511"/>
      <c r="R18" s="511"/>
      <c r="S18" s="511"/>
      <c r="T18" s="501"/>
      <c r="U18" s="501"/>
      <c r="V18" s="501"/>
      <c r="W18" s="501"/>
      <c r="X18" s="430"/>
      <c r="Y18" s="532"/>
      <c r="Z18" s="532"/>
      <c r="AA18" s="430"/>
      <c r="AB18" s="430"/>
      <c r="AC18" s="430"/>
      <c r="AD18" s="430"/>
      <c r="AE18" s="430"/>
      <c r="AF18" s="430"/>
      <c r="AG18" s="430"/>
      <c r="AH18" s="430"/>
      <c r="AI18" s="430"/>
      <c r="AJ18" s="430"/>
      <c r="AK18" s="430"/>
      <c r="AL18" s="430"/>
      <c r="AM18" s="430"/>
      <c r="AN18" s="430"/>
      <c r="AO18" s="430"/>
      <c r="AP18" s="430"/>
      <c r="AQ18" s="430"/>
      <c r="AR18" s="430"/>
      <c r="AS18" s="430"/>
      <c r="AT18" s="430"/>
      <c r="AU18" s="430"/>
      <c r="AV18" s="430"/>
      <c r="AW18" s="430"/>
      <c r="AX18" s="430"/>
      <c r="AY18" s="430"/>
      <c r="AZ18" s="430"/>
      <c r="BA18" s="430"/>
      <c r="BB18" s="430"/>
    </row>
    <row r="19" spans="1:54" s="5" customFormat="1">
      <c r="A19" s="467" t="s">
        <v>969</v>
      </c>
      <c r="B19" s="535" t="s">
        <v>18</v>
      </c>
      <c r="C19" s="533" t="s">
        <v>970</v>
      </c>
      <c r="D19" s="535" t="s">
        <v>876</v>
      </c>
      <c r="E19" s="501"/>
      <c r="F19" s="464"/>
      <c r="G19" s="464"/>
      <c r="H19" s="464"/>
      <c r="I19" s="464"/>
      <c r="J19" s="464"/>
      <c r="K19" s="464"/>
      <c r="L19" s="551">
        <v>0</v>
      </c>
      <c r="M19" s="551">
        <v>0</v>
      </c>
      <c r="N19" s="551">
        <v>0</v>
      </c>
      <c r="O19" s="511">
        <v>0</v>
      </c>
      <c r="P19" s="511">
        <v>0</v>
      </c>
      <c r="Q19" s="511">
        <v>0</v>
      </c>
      <c r="R19" s="511">
        <v>0</v>
      </c>
      <c r="S19" s="511">
        <v>0</v>
      </c>
      <c r="T19" s="501">
        <v>0</v>
      </c>
      <c r="U19" s="501">
        <v>0</v>
      </c>
      <c r="V19" s="501">
        <v>0</v>
      </c>
      <c r="W19" s="501">
        <v>0</v>
      </c>
      <c r="X19" s="430"/>
      <c r="Y19" s="532"/>
      <c r="Z19" s="430"/>
      <c r="AA19" s="430"/>
      <c r="AB19" s="430"/>
      <c r="AC19" s="430"/>
      <c r="AD19" s="430"/>
      <c r="AE19" s="430"/>
      <c r="AF19" s="430"/>
      <c r="AG19" s="430"/>
      <c r="AH19" s="430"/>
      <c r="AI19" s="430"/>
      <c r="AJ19" s="430"/>
      <c r="AK19" s="430"/>
      <c r="AL19" s="430"/>
      <c r="AM19" s="430"/>
      <c r="AN19" s="430"/>
      <c r="AO19" s="430"/>
      <c r="AP19" s="430"/>
      <c r="AQ19" s="430"/>
      <c r="AR19" s="430"/>
      <c r="AS19" s="430"/>
      <c r="AT19" s="430"/>
      <c r="AU19" s="430"/>
      <c r="AV19" s="430"/>
      <c r="AW19" s="430"/>
      <c r="AX19" s="430"/>
      <c r="AY19" s="430"/>
      <c r="AZ19" s="430"/>
      <c r="BA19" s="430"/>
      <c r="BB19" s="430"/>
    </row>
    <row r="20" spans="1:54">
      <c r="A20" s="467" t="s">
        <v>971</v>
      </c>
      <c r="B20" s="442" t="s">
        <v>18</v>
      </c>
      <c r="C20" s="442" t="s">
        <v>968</v>
      </c>
      <c r="D20" s="442" t="s">
        <v>876</v>
      </c>
      <c r="E20" s="501"/>
      <c r="F20" s="430"/>
      <c r="G20" s="430"/>
      <c r="H20" s="430"/>
      <c r="I20" s="430"/>
      <c r="J20" s="430"/>
      <c r="K20" s="430"/>
      <c r="L20" s="551">
        <v>0</v>
      </c>
      <c r="M20" s="551">
        <v>1250000</v>
      </c>
      <c r="N20" s="551">
        <v>0</v>
      </c>
      <c r="O20" s="511">
        <v>0</v>
      </c>
      <c r="P20" s="511">
        <v>0</v>
      </c>
      <c r="Q20" s="511">
        <v>0</v>
      </c>
      <c r="R20" s="511">
        <v>0</v>
      </c>
      <c r="S20" s="511">
        <v>0</v>
      </c>
      <c r="T20" s="501">
        <v>0</v>
      </c>
      <c r="U20" s="501">
        <v>0</v>
      </c>
      <c r="V20" s="501">
        <v>0</v>
      </c>
      <c r="W20" s="501">
        <v>0</v>
      </c>
      <c r="X20" s="430"/>
      <c r="Y20" s="430"/>
      <c r="Z20" s="430"/>
      <c r="AA20" s="430"/>
      <c r="AB20" s="430"/>
      <c r="AC20" s="430"/>
      <c r="AD20" s="430"/>
      <c r="AE20" s="430"/>
      <c r="AF20" s="430"/>
      <c r="AG20" s="430"/>
      <c r="AH20" s="430"/>
      <c r="AI20" s="430"/>
      <c r="AJ20" s="430"/>
      <c r="AK20" s="430"/>
      <c r="AL20" s="430"/>
      <c r="AM20" s="430"/>
      <c r="AN20" s="430"/>
      <c r="AO20" s="430"/>
      <c r="AP20" s="430"/>
      <c r="AQ20" s="430"/>
      <c r="AR20" s="430"/>
      <c r="AS20" s="430"/>
      <c r="AT20" s="430"/>
      <c r="AU20" s="430"/>
      <c r="AV20" s="430"/>
      <c r="AW20" s="430"/>
      <c r="AX20" s="430"/>
      <c r="AY20" s="430"/>
      <c r="AZ20" s="430"/>
      <c r="BA20" s="430"/>
      <c r="BB20" s="430"/>
    </row>
    <row r="21" spans="1:54">
      <c r="A21" s="467" t="s">
        <v>972</v>
      </c>
      <c r="B21" s="442" t="s">
        <v>18</v>
      </c>
      <c r="C21" s="442" t="s">
        <v>973</v>
      </c>
      <c r="D21" s="442" t="s">
        <v>876</v>
      </c>
      <c r="E21" s="501"/>
      <c r="F21" s="478"/>
      <c r="G21" s="478"/>
      <c r="H21" s="478"/>
      <c r="I21" s="478"/>
      <c r="J21" s="478"/>
      <c r="K21" s="478"/>
      <c r="L21" s="551">
        <v>0</v>
      </c>
      <c r="M21" s="551">
        <v>0</v>
      </c>
      <c r="N21" s="551">
        <v>0</v>
      </c>
      <c r="O21" s="551">
        <v>0</v>
      </c>
      <c r="P21" s="551">
        <v>0</v>
      </c>
      <c r="Q21" s="551">
        <v>0</v>
      </c>
      <c r="R21" s="551">
        <v>0</v>
      </c>
      <c r="S21" s="551">
        <v>0</v>
      </c>
      <c r="T21" s="501">
        <v>0</v>
      </c>
      <c r="U21" s="501">
        <v>0</v>
      </c>
      <c r="V21" s="501">
        <v>0</v>
      </c>
      <c r="W21" s="501">
        <v>0</v>
      </c>
      <c r="X21" s="430"/>
      <c r="Y21" s="532"/>
      <c r="Z21" s="532"/>
      <c r="AA21" s="430"/>
      <c r="AB21" s="430"/>
      <c r="AC21" s="430"/>
      <c r="AD21" s="430"/>
      <c r="AE21" s="430"/>
      <c r="AF21" s="430"/>
      <c r="AG21" s="430"/>
      <c r="AH21" s="430"/>
      <c r="AI21" s="430"/>
      <c r="AJ21" s="430"/>
      <c r="AK21" s="430"/>
      <c r="AL21" s="430"/>
      <c r="AM21" s="430"/>
      <c r="AN21" s="430"/>
      <c r="AO21" s="430"/>
      <c r="AP21" s="430"/>
      <c r="AQ21" s="430"/>
      <c r="AR21" s="430"/>
      <c r="AS21" s="430"/>
      <c r="AT21" s="430"/>
      <c r="AU21" s="430"/>
      <c r="AV21" s="430"/>
      <c r="AW21" s="430"/>
      <c r="AX21" s="430"/>
      <c r="AY21" s="430"/>
      <c r="AZ21" s="430"/>
      <c r="BA21" s="430"/>
      <c r="BB21" s="430"/>
    </row>
    <row r="22" spans="1:54">
      <c r="A22" s="467" t="s">
        <v>974</v>
      </c>
      <c r="B22" s="442" t="s">
        <v>18</v>
      </c>
      <c r="C22" s="442" t="s">
        <v>975</v>
      </c>
      <c r="D22" s="442" t="s">
        <v>876</v>
      </c>
      <c r="E22" s="501"/>
      <c r="F22" s="464"/>
      <c r="G22" s="464"/>
      <c r="H22" s="464"/>
      <c r="I22" s="464"/>
      <c r="J22" s="464"/>
      <c r="K22" s="464"/>
      <c r="L22" s="551"/>
      <c r="M22" s="551"/>
      <c r="N22" s="551"/>
      <c r="O22" s="551">
        <v>0</v>
      </c>
      <c r="P22" s="551">
        <v>0</v>
      </c>
      <c r="Q22" s="551">
        <v>0</v>
      </c>
      <c r="R22" s="551">
        <v>0</v>
      </c>
      <c r="S22" s="551">
        <v>2500000</v>
      </c>
      <c r="T22" s="501">
        <v>0</v>
      </c>
      <c r="U22" s="501">
        <v>0</v>
      </c>
      <c r="V22" s="501">
        <v>0</v>
      </c>
      <c r="W22" s="501">
        <v>0</v>
      </c>
      <c r="X22" s="525"/>
      <c r="Y22" s="532"/>
      <c r="Z22" s="532"/>
      <c r="AA22" s="430"/>
      <c r="AB22" s="430"/>
      <c r="AC22" s="430"/>
      <c r="AD22" s="430"/>
      <c r="AE22" s="430"/>
      <c r="AF22" s="430"/>
      <c r="AG22" s="430"/>
      <c r="AH22" s="430"/>
      <c r="AI22" s="430"/>
      <c r="AJ22" s="430"/>
      <c r="AK22" s="430"/>
      <c r="AL22" s="430"/>
      <c r="AM22" s="430"/>
      <c r="AN22" s="430"/>
      <c r="AO22" s="430"/>
      <c r="AP22" s="430"/>
      <c r="AQ22" s="430"/>
      <c r="AR22" s="430"/>
      <c r="AS22" s="430"/>
      <c r="AT22" s="430"/>
      <c r="AU22" s="430"/>
      <c r="AV22" s="430"/>
      <c r="AW22" s="430"/>
      <c r="AX22" s="430"/>
      <c r="AY22" s="430"/>
      <c r="AZ22" s="430"/>
      <c r="BA22" s="430"/>
      <c r="BB22" s="430"/>
    </row>
    <row r="23" spans="1:54">
      <c r="A23" s="467" t="s">
        <v>202</v>
      </c>
      <c r="B23" s="442" t="s">
        <v>18</v>
      </c>
      <c r="C23" s="442" t="s">
        <v>976</v>
      </c>
      <c r="D23" s="442" t="s">
        <v>877</v>
      </c>
      <c r="E23" s="501"/>
      <c r="F23" s="464"/>
      <c r="G23" s="464"/>
      <c r="H23" s="464"/>
      <c r="I23" s="464"/>
      <c r="J23" s="464"/>
      <c r="K23" s="464"/>
      <c r="L23" s="551"/>
      <c r="M23" s="551"/>
      <c r="N23" s="551"/>
      <c r="O23" s="551"/>
      <c r="P23" s="551"/>
      <c r="Q23" s="551"/>
      <c r="R23" s="551"/>
      <c r="S23" s="551">
        <f>500000+1600000</f>
        <v>2100000</v>
      </c>
      <c r="T23" s="501">
        <v>250000</v>
      </c>
      <c r="U23" s="501">
        <v>650000</v>
      </c>
      <c r="V23" s="501"/>
      <c r="W23" s="501"/>
      <c r="X23" s="525"/>
      <c r="Y23" s="563"/>
      <c r="Z23" s="532"/>
      <c r="AA23" s="430"/>
      <c r="AB23" s="430"/>
      <c r="AC23" s="430"/>
      <c r="AD23" s="430"/>
      <c r="AE23" s="430"/>
      <c r="AF23" s="430"/>
      <c r="AG23" s="430"/>
      <c r="AH23" s="430"/>
      <c r="AI23" s="430"/>
      <c r="AJ23" s="430"/>
      <c r="AK23" s="430"/>
      <c r="AL23" s="430"/>
      <c r="AM23" s="430"/>
      <c r="AN23" s="430"/>
      <c r="AO23" s="430"/>
      <c r="AP23" s="430"/>
      <c r="AQ23" s="430"/>
      <c r="AR23" s="430"/>
      <c r="AS23" s="430"/>
      <c r="AT23" s="430"/>
      <c r="AU23" s="430"/>
      <c r="AV23" s="430"/>
      <c r="AW23" s="430"/>
      <c r="AX23" s="430"/>
      <c r="AY23" s="430"/>
      <c r="AZ23" s="430"/>
      <c r="BA23" s="430"/>
      <c r="BB23" s="430"/>
    </row>
    <row r="24" spans="1:54" ht="15" customHeight="1">
      <c r="A24" s="467" t="s">
        <v>203</v>
      </c>
      <c r="B24" s="442" t="s">
        <v>18</v>
      </c>
      <c r="C24" s="442" t="s">
        <v>976</v>
      </c>
      <c r="D24" s="442" t="s">
        <v>879</v>
      </c>
      <c r="E24" s="501"/>
      <c r="F24" s="464"/>
      <c r="G24" s="464"/>
      <c r="H24" s="464"/>
      <c r="I24" s="464"/>
      <c r="J24" s="464"/>
      <c r="K24" s="464"/>
      <c r="L24" s="551"/>
      <c r="M24" s="551"/>
      <c r="N24" s="551"/>
      <c r="O24" s="551"/>
      <c r="P24" s="551"/>
      <c r="Q24" s="551"/>
      <c r="R24" s="551">
        <v>0</v>
      </c>
      <c r="S24" s="551">
        <v>0</v>
      </c>
      <c r="T24" s="501">
        <v>2000000</v>
      </c>
      <c r="U24" s="501">
        <v>2000000</v>
      </c>
      <c r="V24" s="501">
        <v>4000000</v>
      </c>
      <c r="W24" s="501">
        <v>4000000</v>
      </c>
      <c r="X24" s="525"/>
      <c r="Y24" s="563"/>
      <c r="Z24" s="532"/>
      <c r="AA24" s="430"/>
      <c r="AB24" s="430"/>
      <c r="AC24" s="430"/>
      <c r="AD24" s="430"/>
      <c r="AE24" s="430"/>
      <c r="AF24" s="430"/>
      <c r="AG24" s="430"/>
      <c r="AH24" s="430"/>
      <c r="AI24" s="430"/>
      <c r="AJ24" s="430"/>
      <c r="AK24" s="430"/>
      <c r="AL24" s="430"/>
      <c r="AM24" s="430"/>
      <c r="AN24" s="430"/>
      <c r="AO24" s="430"/>
      <c r="AP24" s="430"/>
      <c r="AQ24" s="430"/>
      <c r="AR24" s="430"/>
      <c r="AS24" s="430"/>
      <c r="AT24" s="430"/>
      <c r="AU24" s="430"/>
      <c r="AV24" s="430"/>
      <c r="AW24" s="430"/>
      <c r="AX24" s="430"/>
      <c r="AY24" s="430"/>
      <c r="AZ24" s="430"/>
      <c r="BA24" s="430"/>
      <c r="BB24" s="430"/>
    </row>
    <row r="25" spans="1:54">
      <c r="A25" s="558" t="s">
        <v>880</v>
      </c>
      <c r="B25" s="442" t="s">
        <v>34</v>
      </c>
      <c r="C25" s="442" t="s">
        <v>881</v>
      </c>
      <c r="D25" s="430"/>
      <c r="E25" s="501"/>
      <c r="F25" s="464"/>
      <c r="G25" s="464"/>
      <c r="H25" s="464"/>
      <c r="I25" s="464"/>
      <c r="J25" s="464"/>
      <c r="K25" s="464"/>
      <c r="L25" s="501">
        <f t="shared" ref="L25:W25" si="0">SUM(L6:L24)</f>
        <v>280000</v>
      </c>
      <c r="M25" s="501">
        <f t="shared" si="0"/>
        <v>2530000</v>
      </c>
      <c r="N25" s="501">
        <f t="shared" si="0"/>
        <v>1675000</v>
      </c>
      <c r="O25" s="501">
        <f t="shared" si="0"/>
        <v>1515000</v>
      </c>
      <c r="P25" s="501">
        <f t="shared" si="0"/>
        <v>1470208.3333333333</v>
      </c>
      <c r="Q25" s="501">
        <f t="shared" si="0"/>
        <v>1470208.3333333333</v>
      </c>
      <c r="R25" s="501">
        <f t="shared" si="0"/>
        <v>1470208.3333333333</v>
      </c>
      <c r="S25" s="501">
        <f t="shared" si="0"/>
        <v>6070208.333333333</v>
      </c>
      <c r="T25" s="501">
        <f t="shared" si="0"/>
        <v>7609583.333333333</v>
      </c>
      <c r="U25" s="501">
        <f t="shared" si="0"/>
        <v>4063541.6666666665</v>
      </c>
      <c r="V25" s="501">
        <f t="shared" si="0"/>
        <v>5413541.666666666</v>
      </c>
      <c r="W25" s="501">
        <f t="shared" si="0"/>
        <v>4000000</v>
      </c>
      <c r="X25" s="501"/>
      <c r="Y25" s="532"/>
      <c r="Z25" s="532"/>
      <c r="AA25" s="430"/>
      <c r="AB25" s="478"/>
      <c r="AC25" s="430"/>
      <c r="AD25" s="430"/>
      <c r="AE25" s="430"/>
      <c r="AF25" s="430"/>
      <c r="AG25" s="430"/>
      <c r="AH25" s="430"/>
      <c r="AI25" s="430"/>
      <c r="AJ25" s="430"/>
      <c r="AK25" s="430"/>
      <c r="AL25" s="430"/>
      <c r="AM25" s="430"/>
      <c r="AN25" s="430"/>
      <c r="AO25" s="430"/>
      <c r="AP25" s="430"/>
      <c r="AQ25" s="430"/>
      <c r="AR25" s="430"/>
      <c r="AS25" s="430"/>
      <c r="AT25" s="430"/>
      <c r="AU25" s="430"/>
      <c r="AV25" s="430"/>
      <c r="AW25" s="430"/>
      <c r="AX25" s="430"/>
      <c r="AY25" s="430"/>
      <c r="AZ25" s="430"/>
      <c r="BA25" s="430"/>
      <c r="BB25" s="430"/>
    </row>
    <row r="26" spans="1:54" ht="15" customHeight="1">
      <c r="A26" s="540"/>
      <c r="B26" s="430"/>
      <c r="C26" s="430"/>
      <c r="D26" s="430"/>
      <c r="E26" s="501"/>
      <c r="F26" s="464"/>
      <c r="G26" s="464"/>
      <c r="H26" s="464"/>
      <c r="I26" s="464"/>
      <c r="J26" s="464"/>
      <c r="K26" s="464"/>
      <c r="L26" s="501"/>
      <c r="M26" s="501"/>
      <c r="N26" s="501"/>
      <c r="O26" s="501"/>
      <c r="P26" s="501"/>
      <c r="Q26" s="501"/>
      <c r="R26" s="501"/>
      <c r="S26" s="501"/>
      <c r="T26" s="501"/>
      <c r="U26" s="501"/>
      <c r="V26" s="501"/>
      <c r="W26" s="501"/>
      <c r="X26" s="501"/>
      <c r="Y26" s="532"/>
      <c r="Z26" s="532"/>
      <c r="AA26" s="430"/>
      <c r="AB26" s="478"/>
      <c r="AC26" s="430"/>
      <c r="AD26" s="430"/>
      <c r="AE26" s="430"/>
      <c r="AF26" s="430"/>
      <c r="AG26" s="430"/>
      <c r="AH26" s="430"/>
      <c r="AI26" s="430"/>
      <c r="AJ26" s="430"/>
      <c r="AK26" s="430"/>
      <c r="AL26" s="430"/>
      <c r="AM26" s="430"/>
      <c r="AN26" s="430"/>
      <c r="AO26" s="430"/>
      <c r="AP26" s="430"/>
      <c r="AQ26" s="430"/>
      <c r="AR26" s="430"/>
      <c r="AS26" s="430"/>
      <c r="AT26" s="430"/>
      <c r="AU26" s="430"/>
      <c r="AV26" s="430"/>
      <c r="AW26" s="430"/>
      <c r="AX26" s="430"/>
      <c r="AY26" s="430"/>
      <c r="AZ26" s="430"/>
      <c r="BA26" s="430"/>
      <c r="BB26" s="430"/>
    </row>
    <row r="27" spans="1:54">
      <c r="A27" s="548" t="s">
        <v>882</v>
      </c>
      <c r="B27" s="442" t="s">
        <v>18</v>
      </c>
      <c r="C27" s="430"/>
      <c r="D27" s="430"/>
      <c r="E27" s="501"/>
      <c r="F27" s="464"/>
      <c r="G27" s="464"/>
      <c r="H27" s="464"/>
      <c r="I27" s="464"/>
      <c r="J27" s="464"/>
      <c r="K27" s="464"/>
      <c r="L27" s="551">
        <f>-SUM(L6:L24)</f>
        <v>-280000</v>
      </c>
      <c r="M27" s="551">
        <f>-SUM(M6:M24)</f>
        <v>-2530000</v>
      </c>
      <c r="N27" s="551">
        <v>-1155000</v>
      </c>
      <c r="O27" s="551">
        <v>-745000</v>
      </c>
      <c r="P27" s="551">
        <v>-1470208</v>
      </c>
      <c r="Q27" s="551">
        <f>-1000000+310000</f>
        <v>-690000</v>
      </c>
      <c r="R27" s="551">
        <v>-1000000</v>
      </c>
      <c r="S27" s="551">
        <v>-2100000</v>
      </c>
      <c r="T27" s="501">
        <f>-1500000-2000000-250000</f>
        <v>-3750000</v>
      </c>
      <c r="U27" s="501">
        <f>-2000000-650000</f>
        <v>-2650000</v>
      </c>
      <c r="V27" s="501">
        <v>-4000000</v>
      </c>
      <c r="W27" s="501">
        <v>-4000000</v>
      </c>
      <c r="X27" s="552" t="s">
        <v>865</v>
      </c>
      <c r="Y27" s="532"/>
      <c r="Z27" s="532"/>
      <c r="AA27" s="484"/>
      <c r="AB27" s="484"/>
      <c r="AC27" s="484"/>
      <c r="AD27" s="484"/>
      <c r="AE27" s="484"/>
      <c r="AF27" s="484"/>
      <c r="AG27" s="484"/>
      <c r="AH27" s="484"/>
      <c r="AI27" s="484"/>
      <c r="AJ27" s="430"/>
      <c r="AK27" s="430"/>
      <c r="AL27" s="430"/>
      <c r="AM27" s="430"/>
      <c r="AN27" s="430"/>
      <c r="AO27" s="430"/>
      <c r="AP27" s="430"/>
      <c r="AQ27" s="430"/>
      <c r="AR27" s="430"/>
      <c r="AS27" s="430"/>
      <c r="AT27" s="430"/>
      <c r="AU27" s="430"/>
      <c r="AV27" s="430"/>
      <c r="AW27" s="430"/>
      <c r="AX27" s="430"/>
      <c r="AY27" s="430"/>
      <c r="AZ27" s="430"/>
      <c r="BA27" s="430"/>
      <c r="BB27" s="430"/>
    </row>
    <row r="28" spans="1:54" ht="15" customHeight="1">
      <c r="A28" s="474" t="s">
        <v>884</v>
      </c>
      <c r="B28" s="442" t="s">
        <v>18</v>
      </c>
      <c r="C28" s="442" t="s">
        <v>885</v>
      </c>
      <c r="D28" s="430"/>
      <c r="E28" s="501"/>
      <c r="F28" s="464"/>
      <c r="G28" s="464"/>
      <c r="H28" s="464"/>
      <c r="I28" s="464"/>
      <c r="J28" s="464"/>
      <c r="K28" s="464"/>
      <c r="L28" s="551"/>
      <c r="M28" s="551"/>
      <c r="N28" s="551"/>
      <c r="O28" s="551"/>
      <c r="P28" s="551">
        <v>1508647.32</v>
      </c>
      <c r="Q28" s="551">
        <v>1177500</v>
      </c>
      <c r="R28" s="551">
        <v>1177500</v>
      </c>
      <c r="S28" s="551">
        <v>1177500</v>
      </c>
      <c r="T28" s="501">
        <v>4929060.68</v>
      </c>
      <c r="U28" s="501">
        <v>3750000</v>
      </c>
      <c r="V28" s="501">
        <v>650000</v>
      </c>
      <c r="W28" s="501">
        <v>1999999.666666667</v>
      </c>
      <c r="X28" s="430"/>
      <c r="Y28" s="532"/>
      <c r="Z28" s="532"/>
      <c r="AA28" s="484"/>
      <c r="AB28" s="484"/>
      <c r="AC28" s="484"/>
      <c r="AD28" s="484"/>
      <c r="AE28" s="484"/>
      <c r="AF28" s="484"/>
      <c r="AG28" s="484"/>
      <c r="AH28" s="484"/>
      <c r="AI28" s="484"/>
      <c r="AJ28" s="430"/>
      <c r="AK28" s="430"/>
      <c r="AL28" s="430"/>
      <c r="AM28" s="430"/>
      <c r="AN28" s="430"/>
      <c r="AO28" s="430"/>
      <c r="AP28" s="430"/>
      <c r="AQ28" s="430"/>
      <c r="AR28" s="430"/>
      <c r="AS28" s="430"/>
      <c r="AT28" s="430"/>
      <c r="AU28" s="430"/>
      <c r="AV28" s="430"/>
      <c r="AW28" s="430"/>
      <c r="AX28" s="430"/>
      <c r="AY28" s="430"/>
      <c r="AZ28" s="430"/>
      <c r="BA28" s="430"/>
      <c r="BB28" s="430"/>
    </row>
    <row r="29" spans="1:54">
      <c r="A29" s="548" t="s">
        <v>886</v>
      </c>
      <c r="B29" s="442" t="s">
        <v>34</v>
      </c>
      <c r="C29" s="442" t="s">
        <v>887</v>
      </c>
      <c r="D29" s="430"/>
      <c r="E29" s="501"/>
      <c r="F29" s="464"/>
      <c r="G29" s="464"/>
      <c r="H29" s="464"/>
      <c r="I29" s="464"/>
      <c r="J29" s="464"/>
      <c r="K29" s="464"/>
      <c r="L29" s="501">
        <f>+L27+E29+L28</f>
        <v>-280000</v>
      </c>
      <c r="M29" s="501">
        <f t="shared" ref="M29:W29" si="1">+M27+L29+M28</f>
        <v>-2810000</v>
      </c>
      <c r="N29" s="501">
        <f t="shared" si="1"/>
        <v>-3965000</v>
      </c>
      <c r="O29" s="501">
        <f t="shared" si="1"/>
        <v>-4710000</v>
      </c>
      <c r="P29" s="501">
        <f t="shared" si="1"/>
        <v>-4671560.68</v>
      </c>
      <c r="Q29" s="501">
        <f t="shared" si="1"/>
        <v>-4184060.6799999997</v>
      </c>
      <c r="R29" s="501">
        <f t="shared" si="1"/>
        <v>-4006560.6799999997</v>
      </c>
      <c r="S29" s="501">
        <f t="shared" si="1"/>
        <v>-4929060.68</v>
      </c>
      <c r="T29" s="501">
        <f t="shared" si="1"/>
        <v>-3750000</v>
      </c>
      <c r="U29" s="501">
        <f t="shared" si="1"/>
        <v>-2650000</v>
      </c>
      <c r="V29" s="501">
        <f t="shared" si="1"/>
        <v>-6000000</v>
      </c>
      <c r="W29" s="501">
        <f t="shared" si="1"/>
        <v>-8000000.333333333</v>
      </c>
      <c r="X29" s="430"/>
      <c r="Y29" s="532"/>
      <c r="Z29" s="532"/>
      <c r="AA29" s="430"/>
      <c r="AB29" s="430"/>
      <c r="AC29" s="430"/>
      <c r="AD29" s="430"/>
      <c r="AE29" s="430"/>
      <c r="AF29" s="430"/>
      <c r="AG29" s="430"/>
      <c r="AH29" s="430"/>
      <c r="AI29" s="430"/>
      <c r="AJ29" s="430"/>
      <c r="AK29" s="430"/>
      <c r="AL29" s="430"/>
      <c r="AM29" s="430"/>
      <c r="AN29" s="430"/>
      <c r="AO29" s="430"/>
      <c r="AP29" s="430"/>
      <c r="AQ29" s="430"/>
      <c r="AR29" s="430"/>
      <c r="AS29" s="430"/>
      <c r="AT29" s="430"/>
      <c r="AU29" s="430"/>
      <c r="AV29" s="430"/>
      <c r="AW29" s="430"/>
      <c r="AX29" s="430"/>
      <c r="AY29" s="430"/>
      <c r="AZ29" s="430"/>
      <c r="BA29" s="430"/>
      <c r="BB29" s="430"/>
    </row>
    <row r="30" spans="1:54">
      <c r="A30" s="430"/>
      <c r="B30" s="430"/>
      <c r="C30" s="430"/>
      <c r="D30" s="430"/>
      <c r="E30" s="430"/>
      <c r="F30" s="464"/>
      <c r="G30" s="464"/>
      <c r="H30" s="464"/>
      <c r="I30" s="464"/>
      <c r="J30" s="464"/>
      <c r="K30" s="464"/>
      <c r="L30" s="430"/>
      <c r="M30" s="430"/>
      <c r="N30" s="430"/>
      <c r="O30" s="430"/>
      <c r="P30" s="430"/>
      <c r="Q30" s="430"/>
      <c r="R30" s="430"/>
      <c r="S30" s="430"/>
      <c r="T30" s="430"/>
      <c r="U30" s="430"/>
      <c r="V30" s="430"/>
      <c r="W30" s="430"/>
      <c r="X30" s="430"/>
      <c r="Y30" s="532"/>
      <c r="Z30" s="532"/>
      <c r="AA30" s="430"/>
      <c r="AB30" s="430"/>
      <c r="AC30" s="430"/>
      <c r="AD30" s="430"/>
      <c r="AE30" s="430"/>
      <c r="AF30" s="430"/>
      <c r="AG30" s="430"/>
      <c r="AH30" s="430"/>
      <c r="AI30" s="430"/>
      <c r="AJ30" s="430"/>
      <c r="AK30" s="430"/>
      <c r="AL30" s="430"/>
      <c r="AM30" s="430"/>
      <c r="AN30" s="430"/>
      <c r="AO30" s="430"/>
      <c r="AP30" s="430"/>
      <c r="AQ30" s="430"/>
      <c r="AR30" s="430"/>
      <c r="AS30" s="430"/>
      <c r="AT30" s="430"/>
      <c r="AU30" s="430"/>
      <c r="AV30" s="430"/>
      <c r="AW30" s="430"/>
      <c r="AX30" s="430"/>
      <c r="AY30" s="430"/>
      <c r="AZ30" s="430"/>
      <c r="BA30" s="430"/>
      <c r="BB30" s="430"/>
    </row>
    <row r="31" spans="1:54">
      <c r="A31" s="548" t="s">
        <v>888</v>
      </c>
      <c r="B31" s="442" t="s">
        <v>34</v>
      </c>
      <c r="C31" s="442" t="s">
        <v>889</v>
      </c>
      <c r="D31" s="430"/>
      <c r="E31" s="562"/>
      <c r="F31" s="464"/>
      <c r="G31" s="464"/>
      <c r="H31" s="464"/>
      <c r="I31" s="464"/>
      <c r="J31" s="464"/>
      <c r="K31" s="464"/>
      <c r="L31" s="562">
        <f t="shared" ref="L31:W31" si="2">+L25+L27</f>
        <v>0</v>
      </c>
      <c r="M31" s="562">
        <f t="shared" si="2"/>
        <v>0</v>
      </c>
      <c r="N31" s="562">
        <f t="shared" si="2"/>
        <v>520000</v>
      </c>
      <c r="O31" s="562">
        <f t="shared" si="2"/>
        <v>770000</v>
      </c>
      <c r="P31" s="562">
        <f t="shared" si="2"/>
        <v>0.33333333325572312</v>
      </c>
      <c r="Q31" s="562">
        <f t="shared" si="2"/>
        <v>780208.33333333326</v>
      </c>
      <c r="R31" s="562">
        <f t="shared" si="2"/>
        <v>470208.33333333326</v>
      </c>
      <c r="S31" s="562">
        <f t="shared" si="2"/>
        <v>3970208.333333333</v>
      </c>
      <c r="T31" s="492">
        <f t="shared" si="2"/>
        <v>3859583.333333333</v>
      </c>
      <c r="U31" s="492">
        <f t="shared" si="2"/>
        <v>1413541.6666666665</v>
      </c>
      <c r="V31" s="492">
        <f t="shared" si="2"/>
        <v>1413541.666666666</v>
      </c>
      <c r="W31" s="492">
        <f t="shared" si="2"/>
        <v>0</v>
      </c>
      <c r="X31" s="430"/>
      <c r="Y31" s="532"/>
      <c r="Z31" s="532"/>
      <c r="AA31" s="430"/>
      <c r="AB31" s="430"/>
      <c r="AC31" s="430"/>
      <c r="AD31" s="484"/>
      <c r="AE31" s="484"/>
      <c r="AF31" s="484"/>
      <c r="AG31" s="484"/>
      <c r="AH31" s="484"/>
      <c r="AI31" s="484"/>
      <c r="AJ31" s="430"/>
      <c r="AK31" s="430"/>
      <c r="AL31" s="430"/>
      <c r="AM31" s="430"/>
      <c r="AN31" s="430"/>
      <c r="AO31" s="430"/>
      <c r="AP31" s="430"/>
      <c r="AQ31" s="430"/>
      <c r="AR31" s="430"/>
      <c r="AS31" s="430"/>
      <c r="AT31" s="430"/>
      <c r="AU31" s="430"/>
      <c r="AV31" s="430"/>
      <c r="AW31" s="430"/>
      <c r="AX31" s="430"/>
      <c r="AY31" s="430"/>
      <c r="AZ31" s="430"/>
      <c r="BA31" s="430"/>
      <c r="BB31" s="430"/>
    </row>
    <row r="32" spans="1:54">
      <c r="A32" s="548" t="s">
        <v>890</v>
      </c>
      <c r="B32" s="442" t="s">
        <v>34</v>
      </c>
      <c r="C32" s="442" t="s">
        <v>891</v>
      </c>
      <c r="D32" s="430"/>
      <c r="E32" s="562"/>
      <c r="F32" s="464"/>
      <c r="G32" s="464"/>
      <c r="H32" s="464"/>
      <c r="I32" s="464"/>
      <c r="J32" s="464"/>
      <c r="K32" s="464"/>
      <c r="L32" s="562">
        <f t="shared" ref="L32:W32" si="3">+L28+L31</f>
        <v>0</v>
      </c>
      <c r="M32" s="562">
        <f t="shared" si="3"/>
        <v>0</v>
      </c>
      <c r="N32" s="562">
        <f t="shared" si="3"/>
        <v>520000</v>
      </c>
      <c r="O32" s="562">
        <f t="shared" si="3"/>
        <v>770000</v>
      </c>
      <c r="P32" s="562">
        <f t="shared" si="3"/>
        <v>1508647.6533333333</v>
      </c>
      <c r="Q32" s="562">
        <f t="shared" si="3"/>
        <v>1957708.3333333333</v>
      </c>
      <c r="R32" s="562">
        <f t="shared" si="3"/>
        <v>1647708.3333333333</v>
      </c>
      <c r="S32" s="562">
        <f t="shared" si="3"/>
        <v>5147708.333333333</v>
      </c>
      <c r="T32" s="492">
        <f t="shared" si="3"/>
        <v>8788644.0133333318</v>
      </c>
      <c r="U32" s="492">
        <f t="shared" si="3"/>
        <v>5163541.666666666</v>
      </c>
      <c r="V32" s="492">
        <f t="shared" si="3"/>
        <v>2063541.666666666</v>
      </c>
      <c r="W32" s="492">
        <f t="shared" si="3"/>
        <v>1999999.666666667</v>
      </c>
      <c r="X32" s="430"/>
      <c r="Y32" s="532"/>
      <c r="Z32" s="532"/>
      <c r="AA32" s="430"/>
      <c r="AB32" s="430"/>
      <c r="AC32" s="430"/>
      <c r="AD32" s="484"/>
      <c r="AE32" s="484"/>
      <c r="AF32" s="484"/>
      <c r="AG32" s="484"/>
      <c r="AH32" s="484"/>
      <c r="AI32" s="484"/>
      <c r="AJ32" s="430"/>
      <c r="AK32" s="430"/>
      <c r="AL32" s="430"/>
      <c r="AM32" s="430"/>
      <c r="AN32" s="430"/>
      <c r="AO32" s="430"/>
      <c r="AP32" s="430"/>
      <c r="AQ32" s="430"/>
      <c r="AR32" s="430"/>
      <c r="AS32" s="430"/>
      <c r="AT32" s="430"/>
      <c r="AU32" s="430"/>
      <c r="AV32" s="430"/>
      <c r="AW32" s="430"/>
      <c r="AX32" s="430"/>
      <c r="AY32" s="430"/>
      <c r="AZ32" s="430"/>
      <c r="BA32" s="430"/>
      <c r="BB32" s="430"/>
    </row>
    <row r="33" spans="1:54">
      <c r="A33" s="430"/>
      <c r="B33" s="430"/>
      <c r="C33" s="430"/>
      <c r="D33" s="430"/>
      <c r="E33" s="501"/>
      <c r="F33" s="473"/>
      <c r="G33" s="473"/>
      <c r="H33" s="473"/>
      <c r="I33" s="473"/>
      <c r="J33" s="473"/>
      <c r="K33" s="473"/>
      <c r="L33" s="501"/>
      <c r="M33" s="501"/>
      <c r="N33" s="501"/>
      <c r="O33" s="501"/>
      <c r="P33" s="501"/>
      <c r="Q33" s="501"/>
      <c r="R33" s="501"/>
      <c r="S33" s="501"/>
      <c r="T33" s="501"/>
      <c r="U33" s="501"/>
      <c r="V33" s="501"/>
      <c r="W33" s="501"/>
      <c r="X33" s="501"/>
      <c r="Y33" s="532"/>
      <c r="Z33" s="532"/>
      <c r="AA33" s="430"/>
      <c r="AB33" s="430"/>
      <c r="AC33" s="430"/>
      <c r="AD33" s="484"/>
      <c r="AE33" s="484"/>
      <c r="AF33" s="484"/>
      <c r="AG33" s="484"/>
      <c r="AH33" s="484"/>
      <c r="AI33" s="484"/>
      <c r="AJ33" s="430"/>
      <c r="AK33" s="430"/>
      <c r="AL33" s="430"/>
      <c r="AM33" s="430"/>
      <c r="AN33" s="430"/>
      <c r="AO33" s="430"/>
      <c r="AP33" s="430"/>
      <c r="AQ33" s="430"/>
      <c r="AR33" s="430"/>
      <c r="AS33" s="430"/>
      <c r="AT33" s="430"/>
      <c r="AU33" s="430"/>
      <c r="AV33" s="430"/>
      <c r="AW33" s="430"/>
      <c r="AX33" s="430"/>
      <c r="AY33" s="430"/>
      <c r="AZ33" s="430"/>
      <c r="BA33" s="430"/>
      <c r="BB33" s="430"/>
    </row>
    <row r="34" spans="1:54" ht="15" customHeight="1">
      <c r="A34" s="548" t="s">
        <v>892</v>
      </c>
      <c r="B34" s="430"/>
      <c r="C34" s="430"/>
      <c r="D34" s="430"/>
      <c r="E34" s="501"/>
      <c r="F34" s="464"/>
      <c r="G34" s="464"/>
      <c r="H34" s="464"/>
      <c r="I34" s="464"/>
      <c r="J34" s="464"/>
      <c r="K34" s="464"/>
      <c r="L34" s="501"/>
      <c r="M34" s="501"/>
      <c r="N34" s="430"/>
      <c r="O34" s="430"/>
      <c r="P34" s="501"/>
      <c r="Q34" s="564"/>
      <c r="R34" s="564"/>
      <c r="S34" s="564"/>
      <c r="T34" s="564"/>
      <c r="U34" s="564"/>
      <c r="V34" s="564"/>
      <c r="W34" s="564"/>
      <c r="X34" s="501"/>
      <c r="Y34" s="532"/>
      <c r="Z34" s="532"/>
      <c r="AA34" s="484"/>
      <c r="AB34" s="484"/>
      <c r="AC34" s="484"/>
      <c r="AD34" s="484"/>
      <c r="AE34" s="484"/>
      <c r="AF34" s="484"/>
      <c r="AG34" s="484"/>
      <c r="AH34" s="484"/>
      <c r="AI34" s="484"/>
      <c r="AJ34" s="430"/>
      <c r="AK34" s="430"/>
      <c r="AL34" s="430"/>
      <c r="AM34" s="430"/>
      <c r="AN34" s="430"/>
      <c r="AO34" s="430"/>
      <c r="AP34" s="430"/>
      <c r="AQ34" s="430"/>
      <c r="AR34" s="430"/>
      <c r="AS34" s="430"/>
      <c r="AT34" s="430"/>
      <c r="AU34" s="430"/>
      <c r="AV34" s="430"/>
      <c r="AW34" s="430"/>
      <c r="AX34" s="430"/>
      <c r="AY34" s="430"/>
      <c r="AZ34" s="430"/>
      <c r="BA34" s="430"/>
      <c r="BB34" s="430"/>
    </row>
    <row r="35" spans="1:54">
      <c r="A35" s="574" t="s">
        <v>977</v>
      </c>
      <c r="B35" s="442" t="s">
        <v>18</v>
      </c>
      <c r="C35" s="442" t="s">
        <v>978</v>
      </c>
      <c r="D35" s="442" t="s">
        <v>864</v>
      </c>
      <c r="E35" s="492"/>
      <c r="F35" s="430"/>
      <c r="G35" s="430"/>
      <c r="H35" s="430"/>
      <c r="I35" s="430"/>
      <c r="J35" s="430"/>
      <c r="K35" s="430"/>
      <c r="L35" s="511">
        <f>88442/4</f>
        <v>22110.5</v>
      </c>
      <c r="M35" s="511">
        <f>88442/4</f>
        <v>22110.5</v>
      </c>
      <c r="N35" s="511">
        <f>88442/4</f>
        <v>22110.5</v>
      </c>
      <c r="O35" s="511">
        <f>88442/4</f>
        <v>22110.5</v>
      </c>
      <c r="P35" s="511">
        <f>180000/4</f>
        <v>45000</v>
      </c>
      <c r="Q35" s="511">
        <f>180000/4</f>
        <v>45000</v>
      </c>
      <c r="R35" s="511">
        <f>180000/4</f>
        <v>45000</v>
      </c>
      <c r="S35" s="511">
        <f>180000/4</f>
        <v>45000</v>
      </c>
      <c r="T35" s="492">
        <v>180000</v>
      </c>
      <c r="U35" s="492">
        <v>180000</v>
      </c>
      <c r="V35" s="492">
        <v>180000</v>
      </c>
      <c r="W35" s="492">
        <v>180000</v>
      </c>
      <c r="X35" s="510" t="s">
        <v>865</v>
      </c>
      <c r="Y35" s="492"/>
      <c r="Z35" s="430"/>
      <c r="AA35" s="430"/>
      <c r="AB35" s="430"/>
      <c r="AC35" s="430"/>
      <c r="AD35" s="430"/>
      <c r="AE35" s="430"/>
      <c r="AF35" s="430"/>
      <c r="AG35" s="430"/>
      <c r="AH35" s="430"/>
      <c r="AI35" s="430"/>
      <c r="AJ35" s="430"/>
      <c r="AK35" s="430"/>
      <c r="AL35" s="430"/>
      <c r="AM35" s="430"/>
      <c r="AN35" s="430"/>
      <c r="AO35" s="430"/>
      <c r="AP35" s="430"/>
      <c r="AQ35" s="430"/>
      <c r="AR35" s="430"/>
      <c r="AS35" s="430"/>
      <c r="AT35" s="430"/>
      <c r="AU35" s="430"/>
      <c r="AV35" s="430"/>
      <c r="AW35" s="430"/>
      <c r="AX35" s="430"/>
      <c r="AY35" s="430"/>
      <c r="AZ35" s="430"/>
      <c r="BA35" s="430"/>
      <c r="BB35" s="430"/>
    </row>
    <row r="36" spans="1:54">
      <c r="A36" s="574" t="s">
        <v>979</v>
      </c>
      <c r="B36" s="442" t="s">
        <v>18</v>
      </c>
      <c r="C36" s="442" t="s">
        <v>980</v>
      </c>
      <c r="D36" s="442" t="s">
        <v>869</v>
      </c>
      <c r="E36" s="534">
        <v>667500</v>
      </c>
      <c r="F36" s="490"/>
      <c r="G36" s="490"/>
      <c r="H36" s="490"/>
      <c r="I36" s="490"/>
      <c r="J36" s="490"/>
      <c r="K36" s="490"/>
      <c r="L36" s="511">
        <f>91819/4</f>
        <v>22954.75</v>
      </c>
      <c r="M36" s="511">
        <f>91819/4</f>
        <v>22954.75</v>
      </c>
      <c r="N36" s="511">
        <f>91819/4</f>
        <v>22954.75</v>
      </c>
      <c r="O36" s="511">
        <f>91819/4</f>
        <v>22954.75</v>
      </c>
      <c r="P36" s="511">
        <f>240000/4</f>
        <v>60000</v>
      </c>
      <c r="Q36" s="511">
        <f>240000/4</f>
        <v>60000</v>
      </c>
      <c r="R36" s="511">
        <f>240000/4</f>
        <v>60000</v>
      </c>
      <c r="S36" s="511">
        <f>240000/4</f>
        <v>60000</v>
      </c>
      <c r="T36" s="492">
        <v>240000</v>
      </c>
      <c r="U36" s="492">
        <v>240000</v>
      </c>
      <c r="V36" s="492">
        <v>240000</v>
      </c>
      <c r="W36" s="492">
        <v>240000</v>
      </c>
      <c r="X36" s="492"/>
      <c r="Y36" s="492"/>
      <c r="Z36" s="430"/>
      <c r="AA36" s="430"/>
      <c r="AB36" s="430"/>
      <c r="AC36" s="430"/>
      <c r="AD36" s="430"/>
      <c r="AE36" s="430"/>
      <c r="AF36" s="430"/>
      <c r="AG36" s="430"/>
      <c r="AH36" s="430"/>
      <c r="AI36" s="430"/>
      <c r="AJ36" s="430"/>
      <c r="AK36" s="430"/>
      <c r="AL36" s="430"/>
      <c r="AM36" s="430"/>
      <c r="AN36" s="430"/>
      <c r="AO36" s="430"/>
      <c r="AP36" s="430"/>
      <c r="AQ36" s="430"/>
      <c r="AR36" s="430"/>
      <c r="AS36" s="430"/>
      <c r="AT36" s="430"/>
      <c r="AU36" s="430"/>
      <c r="AV36" s="430"/>
      <c r="AW36" s="430"/>
      <c r="AX36" s="430"/>
      <c r="AY36" s="430"/>
      <c r="AZ36" s="430"/>
      <c r="BA36" s="430"/>
      <c r="BB36" s="430"/>
    </row>
    <row r="37" spans="1:54">
      <c r="A37" s="574" t="s">
        <v>981</v>
      </c>
      <c r="B37" s="442" t="s">
        <v>18</v>
      </c>
      <c r="C37" s="442" t="s">
        <v>978</v>
      </c>
      <c r="D37" s="442" t="s">
        <v>874</v>
      </c>
      <c r="E37" s="492"/>
      <c r="F37" s="490"/>
      <c r="G37" s="490"/>
      <c r="H37" s="490"/>
      <c r="I37" s="490"/>
      <c r="J37" s="490"/>
      <c r="K37" s="490"/>
      <c r="L37" s="511">
        <f>200000/4*0</f>
        <v>0</v>
      </c>
      <c r="M37" s="511">
        <f>200000/4*0</f>
        <v>0</v>
      </c>
      <c r="N37" s="511">
        <f>200000/4*0</f>
        <v>0</v>
      </c>
      <c r="O37" s="511">
        <f>200000/4*0</f>
        <v>0</v>
      </c>
      <c r="P37" s="511">
        <f>200000/4</f>
        <v>50000</v>
      </c>
      <c r="Q37" s="511">
        <f>400000/4</f>
        <v>100000</v>
      </c>
      <c r="R37" s="511">
        <f>200000/4</f>
        <v>50000</v>
      </c>
      <c r="S37" s="511">
        <f>200000/4</f>
        <v>50000</v>
      </c>
      <c r="T37" s="492">
        <v>200000</v>
      </c>
      <c r="U37" s="492">
        <v>200000</v>
      </c>
      <c r="V37" s="492">
        <v>200000</v>
      </c>
      <c r="W37" s="492">
        <v>200000</v>
      </c>
      <c r="X37" s="492"/>
      <c r="Y37" s="492"/>
      <c r="Z37" s="430"/>
      <c r="AA37" s="430"/>
      <c r="AB37" s="430"/>
      <c r="AC37" s="430"/>
      <c r="AD37" s="430"/>
      <c r="AE37" s="430"/>
      <c r="AF37" s="430"/>
      <c r="AG37" s="430"/>
      <c r="AH37" s="430"/>
      <c r="AI37" s="430"/>
      <c r="AJ37" s="430"/>
      <c r="AK37" s="430"/>
      <c r="AL37" s="430"/>
      <c r="AM37" s="430"/>
      <c r="AN37" s="430"/>
      <c r="AO37" s="430"/>
      <c r="AP37" s="430"/>
      <c r="AQ37" s="430"/>
      <c r="AR37" s="430"/>
      <c r="AS37" s="430"/>
      <c r="AT37" s="430"/>
      <c r="AU37" s="430"/>
      <c r="AV37" s="430"/>
      <c r="AW37" s="430"/>
      <c r="AX37" s="430"/>
      <c r="AY37" s="430"/>
      <c r="AZ37" s="430"/>
      <c r="BA37" s="430"/>
      <c r="BB37" s="430"/>
    </row>
    <row r="38" spans="1:54">
      <c r="A38" s="574" t="s">
        <v>982</v>
      </c>
      <c r="B38" s="442" t="s">
        <v>18</v>
      </c>
      <c r="C38" s="442" t="s">
        <v>978</v>
      </c>
      <c r="D38" s="442" t="s">
        <v>529</v>
      </c>
      <c r="E38" s="492"/>
      <c r="F38" s="490"/>
      <c r="G38" s="490"/>
      <c r="H38" s="490"/>
      <c r="I38" s="490"/>
      <c r="J38" s="490"/>
      <c r="K38" s="490"/>
      <c r="L38" s="511">
        <v>0</v>
      </c>
      <c r="M38" s="511">
        <v>0</v>
      </c>
      <c r="N38" s="511">
        <v>0</v>
      </c>
      <c r="O38" s="511">
        <v>0</v>
      </c>
      <c r="P38" s="511">
        <v>0</v>
      </c>
      <c r="Q38" s="511">
        <f>180000/4</f>
        <v>45000</v>
      </c>
      <c r="R38" s="511">
        <f>180000/4</f>
        <v>45000</v>
      </c>
      <c r="S38" s="511">
        <f>+R38</f>
        <v>45000</v>
      </c>
      <c r="T38" s="492">
        <v>180000</v>
      </c>
      <c r="U38" s="492">
        <v>180000</v>
      </c>
      <c r="V38" s="492">
        <v>180000</v>
      </c>
      <c r="W38" s="492">
        <v>180000</v>
      </c>
      <c r="X38" s="492"/>
      <c r="Y38" s="492"/>
      <c r="Z38" s="430"/>
      <c r="AA38" s="430"/>
      <c r="AB38" s="430"/>
      <c r="AC38" s="430"/>
      <c r="AD38" s="430"/>
      <c r="AE38" s="430"/>
      <c r="AF38" s="430"/>
      <c r="AG38" s="430"/>
      <c r="AH38" s="430"/>
      <c r="AI38" s="430"/>
      <c r="AJ38" s="430"/>
      <c r="AK38" s="430"/>
      <c r="AL38" s="430"/>
      <c r="AM38" s="430"/>
      <c r="AN38" s="430"/>
      <c r="AO38" s="430"/>
      <c r="AP38" s="430"/>
      <c r="AQ38" s="430"/>
      <c r="AR38" s="430"/>
      <c r="AS38" s="430"/>
      <c r="AT38" s="430"/>
      <c r="AU38" s="430"/>
      <c r="AV38" s="430"/>
      <c r="AW38" s="430"/>
      <c r="AX38" s="430"/>
      <c r="AY38" s="430"/>
      <c r="AZ38" s="430"/>
      <c r="BA38" s="430"/>
      <c r="BB38" s="430"/>
    </row>
    <row r="39" spans="1:54">
      <c r="A39" s="574" t="s">
        <v>983</v>
      </c>
      <c r="B39" s="442" t="s">
        <v>18</v>
      </c>
      <c r="C39" s="442" t="s">
        <v>984</v>
      </c>
      <c r="D39" s="442" t="s">
        <v>529</v>
      </c>
      <c r="E39" s="492"/>
      <c r="F39" s="490"/>
      <c r="G39" s="490"/>
      <c r="H39" s="490"/>
      <c r="I39" s="490"/>
      <c r="J39" s="490"/>
      <c r="K39" s="490"/>
      <c r="L39" s="511">
        <v>0</v>
      </c>
      <c r="M39" s="511">
        <v>0</v>
      </c>
      <c r="N39" s="511">
        <v>0</v>
      </c>
      <c r="O39" s="511">
        <v>0</v>
      </c>
      <c r="P39" s="511">
        <v>0</v>
      </c>
      <c r="Q39" s="511">
        <v>0</v>
      </c>
      <c r="R39" s="511">
        <v>0</v>
      </c>
      <c r="S39" s="511">
        <v>0</v>
      </c>
      <c r="T39" s="492">
        <v>0</v>
      </c>
      <c r="U39" s="492">
        <v>0</v>
      </c>
      <c r="V39" s="492">
        <v>200000</v>
      </c>
      <c r="W39" s="492">
        <v>206000</v>
      </c>
      <c r="X39" s="492"/>
      <c r="Y39" s="492"/>
      <c r="Z39" s="430"/>
      <c r="AA39" s="430"/>
      <c r="AB39" s="430"/>
      <c r="AC39" s="430"/>
      <c r="AD39" s="430"/>
      <c r="AE39" s="430"/>
      <c r="AF39" s="430"/>
      <c r="AG39" s="430"/>
      <c r="AH39" s="430"/>
      <c r="AI39" s="430"/>
      <c r="AJ39" s="430"/>
      <c r="AK39" s="430"/>
      <c r="AL39" s="430"/>
      <c r="AM39" s="430"/>
      <c r="AN39" s="430"/>
      <c r="AO39" s="430"/>
      <c r="AP39" s="430"/>
      <c r="AQ39" s="430"/>
      <c r="AR39" s="430"/>
      <c r="AS39" s="430"/>
      <c r="AT39" s="430"/>
      <c r="AU39" s="430"/>
      <c r="AV39" s="430"/>
      <c r="AW39" s="430"/>
      <c r="AX39" s="430"/>
      <c r="AY39" s="430"/>
      <c r="AZ39" s="430"/>
      <c r="BA39" s="430"/>
      <c r="BB39" s="430"/>
    </row>
    <row r="40" spans="1:54">
      <c r="A40" s="574" t="s">
        <v>985</v>
      </c>
      <c r="B40" s="442" t="s">
        <v>18</v>
      </c>
      <c r="C40" s="442" t="s">
        <v>978</v>
      </c>
      <c r="D40" s="442" t="s">
        <v>876</v>
      </c>
      <c r="E40" s="492"/>
      <c r="F40" s="464"/>
      <c r="G40" s="464"/>
      <c r="H40" s="464"/>
      <c r="I40" s="464"/>
      <c r="J40" s="464"/>
      <c r="K40" s="464"/>
      <c r="L40" s="511"/>
      <c r="M40" s="511">
        <f>108000/4*0</f>
        <v>0</v>
      </c>
      <c r="N40" s="511">
        <f>108000/4*0</f>
        <v>0</v>
      </c>
      <c r="O40" s="511">
        <f>108000/4*0</f>
        <v>0</v>
      </c>
      <c r="P40" s="511">
        <f>108000/4</f>
        <v>27000</v>
      </c>
      <c r="Q40" s="511">
        <f>+P40</f>
        <v>27000</v>
      </c>
      <c r="R40" s="511">
        <f>+Q40</f>
        <v>27000</v>
      </c>
      <c r="S40" s="511">
        <f>+R40</f>
        <v>27000</v>
      </c>
      <c r="T40" s="492">
        <v>108000</v>
      </c>
      <c r="U40" s="492">
        <v>108000</v>
      </c>
      <c r="V40" s="492">
        <v>108000</v>
      </c>
      <c r="W40" s="492">
        <v>108000</v>
      </c>
      <c r="X40" s="492"/>
      <c r="Y40" s="492"/>
      <c r="Z40" s="430"/>
      <c r="AA40" s="430"/>
      <c r="AB40" s="430"/>
      <c r="AC40" s="430"/>
      <c r="AD40" s="430"/>
      <c r="AE40" s="430"/>
      <c r="AF40" s="430"/>
      <c r="AG40" s="430"/>
      <c r="AH40" s="430"/>
      <c r="AI40" s="430"/>
      <c r="AJ40" s="430"/>
      <c r="AK40" s="430"/>
      <c r="AL40" s="430"/>
      <c r="AM40" s="430"/>
      <c r="AN40" s="430"/>
      <c r="AO40" s="430"/>
      <c r="AP40" s="430"/>
      <c r="AQ40" s="430"/>
      <c r="AR40" s="430"/>
      <c r="AS40" s="430"/>
      <c r="AT40" s="430"/>
      <c r="AU40" s="430"/>
      <c r="AV40" s="430"/>
      <c r="AW40" s="430"/>
      <c r="AX40" s="430"/>
      <c r="AY40" s="430"/>
      <c r="AZ40" s="430"/>
      <c r="BA40" s="430"/>
      <c r="BB40" s="430"/>
    </row>
    <row r="41" spans="1:54" s="417" customFormat="1">
      <c r="A41" s="574" t="s">
        <v>986</v>
      </c>
      <c r="B41" s="535" t="s">
        <v>18</v>
      </c>
      <c r="C41" s="533" t="s">
        <v>984</v>
      </c>
      <c r="D41" s="535" t="s">
        <v>876</v>
      </c>
      <c r="E41" s="492"/>
      <c r="F41" s="490"/>
      <c r="G41" s="490"/>
      <c r="H41" s="490"/>
      <c r="I41" s="490"/>
      <c r="J41" s="490"/>
      <c r="K41" s="490"/>
      <c r="L41" s="511">
        <v>0</v>
      </c>
      <c r="M41" s="511">
        <v>0</v>
      </c>
      <c r="N41" s="511">
        <v>50400</v>
      </c>
      <c r="O41" s="511">
        <v>12500</v>
      </c>
      <c r="P41" s="511">
        <v>12500</v>
      </c>
      <c r="Q41" s="511">
        <v>12500</v>
      </c>
      <c r="R41" s="511">
        <v>12500</v>
      </c>
      <c r="S41" s="511"/>
      <c r="T41" s="492"/>
      <c r="U41" s="492"/>
      <c r="V41" s="492"/>
      <c r="W41" s="492"/>
      <c r="X41" s="492"/>
      <c r="Y41" s="492"/>
      <c r="Z41" s="430"/>
      <c r="AA41" s="430"/>
      <c r="AB41" s="430"/>
      <c r="AC41" s="430"/>
      <c r="AD41" s="430"/>
      <c r="AE41" s="430"/>
      <c r="AF41" s="430"/>
      <c r="AG41" s="430"/>
      <c r="AH41" s="430"/>
      <c r="AI41" s="430"/>
      <c r="AJ41" s="430"/>
      <c r="AK41" s="430"/>
      <c r="AL41" s="430"/>
      <c r="AM41" s="430"/>
      <c r="AN41" s="430"/>
      <c r="AO41" s="430"/>
      <c r="AP41" s="430"/>
      <c r="AQ41" s="430"/>
      <c r="AR41" s="430"/>
      <c r="AS41" s="430"/>
      <c r="AT41" s="430"/>
      <c r="AU41" s="430"/>
      <c r="AV41" s="430"/>
      <c r="AW41" s="430"/>
      <c r="AX41" s="430"/>
      <c r="AY41" s="430"/>
      <c r="AZ41" s="430"/>
      <c r="BA41" s="430"/>
      <c r="BB41" s="430"/>
    </row>
    <row r="42" spans="1:54" s="417" customFormat="1">
      <c r="A42" s="574" t="s">
        <v>987</v>
      </c>
      <c r="B42" s="535" t="s">
        <v>18</v>
      </c>
      <c r="C42" s="533" t="s">
        <v>984</v>
      </c>
      <c r="D42" s="535" t="s">
        <v>864</v>
      </c>
      <c r="E42" s="492"/>
      <c r="F42" s="490"/>
      <c r="G42" s="490"/>
      <c r="H42" s="490"/>
      <c r="I42" s="490"/>
      <c r="J42" s="490"/>
      <c r="K42" s="490"/>
      <c r="L42" s="511">
        <v>57077.25</v>
      </c>
      <c r="M42" s="511">
        <v>57077.25</v>
      </c>
      <c r="N42" s="511">
        <v>57077.25</v>
      </c>
      <c r="O42" s="511">
        <v>57077.25</v>
      </c>
      <c r="P42" s="511">
        <v>72879</v>
      </c>
      <c r="Q42" s="511">
        <v>72879</v>
      </c>
      <c r="R42" s="511">
        <v>72879</v>
      </c>
      <c r="S42" s="511">
        <v>72879</v>
      </c>
      <c r="T42" s="492">
        <v>300261.48</v>
      </c>
      <c r="U42" s="492">
        <v>309269.32439999998</v>
      </c>
      <c r="V42" s="492">
        <v>318547.404132</v>
      </c>
      <c r="W42" s="492">
        <v>328103.82625595998</v>
      </c>
      <c r="X42" s="492"/>
      <c r="Y42" s="492"/>
      <c r="Z42" s="430"/>
      <c r="AA42" s="430"/>
      <c r="AB42" s="430"/>
      <c r="AC42" s="430"/>
      <c r="AD42" s="430"/>
      <c r="AE42" s="430"/>
      <c r="AF42" s="430"/>
      <c r="AG42" s="430"/>
      <c r="AH42" s="430"/>
      <c r="AI42" s="430"/>
      <c r="AJ42" s="430"/>
      <c r="AK42" s="430"/>
      <c r="AL42" s="430"/>
      <c r="AM42" s="430"/>
      <c r="AN42" s="430"/>
      <c r="AO42" s="430"/>
      <c r="AP42" s="430"/>
      <c r="AQ42" s="430"/>
      <c r="AR42" s="430"/>
      <c r="AS42" s="430"/>
      <c r="AT42" s="430"/>
      <c r="AU42" s="430"/>
      <c r="AV42" s="430"/>
      <c r="AW42" s="430"/>
      <c r="AX42" s="430"/>
      <c r="AY42" s="430"/>
      <c r="AZ42" s="430"/>
      <c r="BA42" s="430"/>
      <c r="BB42" s="430"/>
    </row>
    <row r="43" spans="1:54" s="417" customFormat="1">
      <c r="A43" s="574" t="s">
        <v>988</v>
      </c>
      <c r="B43" s="535" t="s">
        <v>18</v>
      </c>
      <c r="C43" s="533" t="s">
        <v>984</v>
      </c>
      <c r="D43" s="535" t="s">
        <v>869</v>
      </c>
      <c r="E43" s="492"/>
      <c r="F43" s="490"/>
      <c r="G43" s="490"/>
      <c r="H43" s="490"/>
      <c r="I43" s="490"/>
      <c r="J43" s="490"/>
      <c r="K43" s="490"/>
      <c r="L43" s="511">
        <v>49547.75</v>
      </c>
      <c r="M43" s="511">
        <v>49547.75</v>
      </c>
      <c r="N43" s="511">
        <v>49547.75</v>
      </c>
      <c r="O43" s="511">
        <v>49547.75</v>
      </c>
      <c r="P43" s="511">
        <v>63543</v>
      </c>
      <c r="Q43" s="511">
        <v>63543</v>
      </c>
      <c r="R43" s="511">
        <v>63543</v>
      </c>
      <c r="S43" s="511">
        <v>63543</v>
      </c>
      <c r="T43" s="492">
        <v>261797.16</v>
      </c>
      <c r="U43" s="492">
        <v>269651.0748</v>
      </c>
      <c r="V43" s="492">
        <v>277740.607044</v>
      </c>
      <c r="W43" s="492">
        <v>286072.82525532</v>
      </c>
      <c r="X43" s="492"/>
      <c r="Y43" s="492"/>
      <c r="Z43" s="430"/>
      <c r="AA43" s="430"/>
      <c r="AB43" s="430"/>
      <c r="AC43" s="430"/>
      <c r="AD43" s="430"/>
      <c r="AE43" s="430"/>
      <c r="AF43" s="430"/>
      <c r="AG43" s="430"/>
      <c r="AH43" s="430"/>
      <c r="AI43" s="430"/>
      <c r="AJ43" s="430"/>
      <c r="AK43" s="430"/>
      <c r="AL43" s="430"/>
      <c r="AM43" s="430"/>
      <c r="AN43" s="430"/>
      <c r="AO43" s="430"/>
      <c r="AP43" s="430"/>
      <c r="AQ43" s="430"/>
      <c r="AR43" s="430"/>
      <c r="AS43" s="430"/>
      <c r="AT43" s="430"/>
      <c r="AU43" s="430"/>
      <c r="AV43" s="430"/>
      <c r="AW43" s="430"/>
      <c r="AX43" s="430"/>
      <c r="AY43" s="430"/>
      <c r="AZ43" s="430"/>
      <c r="BA43" s="430"/>
      <c r="BB43" s="430"/>
    </row>
    <row r="44" spans="1:54" s="30" customFormat="1">
      <c r="A44" s="574" t="s">
        <v>878</v>
      </c>
      <c r="B44" s="431"/>
      <c r="C44" s="432"/>
      <c r="D44" s="431"/>
      <c r="E44" s="492"/>
      <c r="F44" s="490"/>
      <c r="G44" s="490"/>
      <c r="H44" s="490"/>
      <c r="I44" s="490"/>
      <c r="J44" s="490"/>
      <c r="K44" s="490"/>
      <c r="L44" s="492"/>
      <c r="M44" s="492"/>
      <c r="N44" s="492"/>
      <c r="O44" s="492"/>
      <c r="P44" s="492"/>
      <c r="Q44" s="492"/>
      <c r="R44" s="492"/>
      <c r="S44" s="492"/>
      <c r="T44" s="492"/>
      <c r="U44" s="492"/>
      <c r="V44" s="492"/>
      <c r="W44" s="492"/>
      <c r="X44" s="492"/>
      <c r="Y44" s="492"/>
      <c r="Z44" s="430"/>
      <c r="AA44" s="430"/>
      <c r="AB44" s="430"/>
      <c r="AC44" s="430"/>
      <c r="AD44" s="430"/>
      <c r="AE44" s="430"/>
      <c r="AF44" s="430"/>
      <c r="AG44" s="430"/>
      <c r="AH44" s="430"/>
      <c r="AI44" s="430"/>
      <c r="AJ44" s="430"/>
      <c r="AK44" s="430"/>
      <c r="AL44" s="430"/>
      <c r="AM44" s="430"/>
      <c r="AN44" s="430"/>
      <c r="AO44" s="430"/>
      <c r="AP44" s="430"/>
      <c r="AQ44" s="430"/>
      <c r="AR44" s="430"/>
      <c r="AS44" s="430"/>
      <c r="AT44" s="430"/>
      <c r="AU44" s="430"/>
      <c r="AV44" s="430"/>
      <c r="AW44" s="430"/>
      <c r="AX44" s="430"/>
      <c r="AY44" s="430"/>
      <c r="AZ44" s="430"/>
      <c r="BA44" s="430"/>
      <c r="BB44" s="430"/>
    </row>
    <row r="45" spans="1:54">
      <c r="A45" s="574" t="s">
        <v>202</v>
      </c>
      <c r="B45" s="442" t="s">
        <v>18</v>
      </c>
      <c r="C45" s="442" t="s">
        <v>976</v>
      </c>
      <c r="D45" s="442" t="s">
        <v>877</v>
      </c>
      <c r="E45" s="492"/>
      <c r="F45" s="490"/>
      <c r="G45" s="490"/>
      <c r="H45" s="490"/>
      <c r="I45" s="490"/>
      <c r="J45" s="490"/>
      <c r="K45" s="490"/>
      <c r="L45" s="511"/>
      <c r="M45" s="511"/>
      <c r="N45" s="511"/>
      <c r="O45" s="511"/>
      <c r="P45" s="511"/>
      <c r="Q45" s="511"/>
      <c r="R45" s="511"/>
      <c r="S45" s="511"/>
      <c r="T45" s="492">
        <f>240000*0.5</f>
        <v>120000</v>
      </c>
      <c r="U45" s="492">
        <f>240000*0.75</f>
        <v>180000</v>
      </c>
      <c r="V45" s="492">
        <v>240000</v>
      </c>
      <c r="W45" s="492">
        <v>240000</v>
      </c>
      <c r="X45" s="492"/>
      <c r="Y45" s="492"/>
      <c r="Z45" s="430"/>
      <c r="AA45" s="430"/>
      <c r="AB45" s="430"/>
      <c r="AC45" s="430"/>
      <c r="AD45" s="430"/>
      <c r="AE45" s="430"/>
      <c r="AF45" s="430"/>
      <c r="AG45" s="430"/>
      <c r="AH45" s="430"/>
      <c r="AI45" s="430"/>
      <c r="AJ45" s="430"/>
      <c r="AK45" s="430"/>
      <c r="AL45" s="430"/>
      <c r="AM45" s="430"/>
      <c r="AN45" s="430"/>
      <c r="AO45" s="430"/>
      <c r="AP45" s="430"/>
      <c r="AQ45" s="430"/>
      <c r="AR45" s="430"/>
      <c r="AS45" s="430"/>
      <c r="AT45" s="430"/>
      <c r="AU45" s="430"/>
      <c r="AV45" s="430"/>
      <c r="AW45" s="430"/>
      <c r="AX45" s="430"/>
      <c r="AY45" s="430"/>
      <c r="AZ45" s="430"/>
      <c r="BA45" s="430"/>
      <c r="BB45" s="430"/>
    </row>
    <row r="46" spans="1:54" s="30" customFormat="1">
      <c r="A46" s="558" t="s">
        <v>896</v>
      </c>
      <c r="B46" s="535" t="s">
        <v>34</v>
      </c>
      <c r="C46" s="533" t="s">
        <v>897</v>
      </c>
      <c r="D46" s="431"/>
      <c r="E46" s="501"/>
      <c r="F46" s="490"/>
      <c r="G46" s="490"/>
      <c r="H46" s="490"/>
      <c r="I46" s="490"/>
      <c r="J46" s="490"/>
      <c r="K46" s="490"/>
      <c r="L46" s="501">
        <f t="shared" ref="L46:W46" si="4">SUM(L35:L45)</f>
        <v>151690.25</v>
      </c>
      <c r="M46" s="501">
        <f t="shared" si="4"/>
        <v>151690.25</v>
      </c>
      <c r="N46" s="501">
        <f t="shared" si="4"/>
        <v>202090.25</v>
      </c>
      <c r="O46" s="501">
        <f t="shared" si="4"/>
        <v>164190.25</v>
      </c>
      <c r="P46" s="501">
        <f t="shared" si="4"/>
        <v>330922</v>
      </c>
      <c r="Q46" s="501">
        <f t="shared" si="4"/>
        <v>425922</v>
      </c>
      <c r="R46" s="501">
        <f t="shared" si="4"/>
        <v>375922</v>
      </c>
      <c r="S46" s="501">
        <f t="shared" si="4"/>
        <v>363422</v>
      </c>
      <c r="T46" s="501">
        <f t="shared" si="4"/>
        <v>1590058.64</v>
      </c>
      <c r="U46" s="501">
        <f t="shared" si="4"/>
        <v>1666920.3992000001</v>
      </c>
      <c r="V46" s="501">
        <f t="shared" si="4"/>
        <v>1944288.0111759999</v>
      </c>
      <c r="W46" s="501">
        <f t="shared" si="4"/>
        <v>1968176.6515112799</v>
      </c>
      <c r="X46" s="501"/>
      <c r="Y46" s="430"/>
      <c r="Z46" s="430"/>
      <c r="AA46" s="430"/>
      <c r="AB46" s="430"/>
      <c r="AC46" s="430"/>
      <c r="AD46" s="430"/>
      <c r="AE46" s="430"/>
      <c r="AF46" s="492"/>
      <c r="AG46" s="492"/>
      <c r="AH46" s="492"/>
      <c r="AI46" s="492"/>
      <c r="AJ46" s="492"/>
      <c r="AK46" s="492"/>
      <c r="AL46" s="492"/>
      <c r="AM46" s="430"/>
      <c r="AN46" s="492"/>
      <c r="AO46" s="492"/>
      <c r="AP46" s="492"/>
      <c r="AQ46" s="492"/>
      <c r="AR46" s="492"/>
      <c r="AS46" s="492"/>
      <c r="AT46" s="492"/>
      <c r="AU46" s="430"/>
      <c r="AV46" s="430"/>
      <c r="AW46" s="430"/>
      <c r="AX46" s="430"/>
      <c r="AY46" s="430"/>
      <c r="AZ46" s="430"/>
      <c r="BA46" s="430"/>
      <c r="BB46" s="430"/>
    </row>
    <row r="47" spans="1:54" ht="15" customHeight="1">
      <c r="A47" s="430"/>
      <c r="B47" s="430"/>
      <c r="C47" s="430"/>
      <c r="D47" s="430"/>
      <c r="E47" s="501"/>
      <c r="F47" s="490"/>
      <c r="G47" s="490"/>
      <c r="H47" s="490"/>
      <c r="I47" s="490"/>
      <c r="J47" s="490"/>
      <c r="K47" s="490"/>
      <c r="L47" s="501"/>
      <c r="M47" s="501"/>
      <c r="N47" s="501"/>
      <c r="O47" s="501"/>
      <c r="P47" s="501"/>
      <c r="Q47" s="501"/>
      <c r="R47" s="501"/>
      <c r="S47" s="501"/>
      <c r="T47" s="501"/>
      <c r="U47" s="501"/>
      <c r="V47" s="501"/>
      <c r="W47" s="501"/>
      <c r="X47" s="501"/>
      <c r="Y47" s="532"/>
      <c r="Z47" s="532"/>
      <c r="AA47" s="430"/>
      <c r="AB47" s="430"/>
      <c r="AC47" s="430"/>
      <c r="AD47" s="484"/>
      <c r="AE47" s="484"/>
      <c r="AF47" s="484"/>
      <c r="AG47" s="484"/>
      <c r="AH47" s="484"/>
      <c r="AI47" s="484"/>
      <c r="AJ47" s="430"/>
      <c r="AK47" s="430"/>
      <c r="AL47" s="430"/>
      <c r="AM47" s="430"/>
      <c r="AN47" s="430"/>
      <c r="AO47" s="430"/>
      <c r="AP47" s="430"/>
      <c r="AQ47" s="430"/>
      <c r="AR47" s="430"/>
      <c r="AS47" s="430"/>
      <c r="AT47" s="430"/>
      <c r="AU47" s="430"/>
      <c r="AV47" s="430"/>
      <c r="AW47" s="430"/>
      <c r="AX47" s="430"/>
      <c r="AY47" s="430"/>
      <c r="AZ47" s="430"/>
      <c r="BA47" s="430"/>
      <c r="BB47" s="430"/>
    </row>
    <row r="48" spans="1:54">
      <c r="A48" s="575" t="s">
        <v>882</v>
      </c>
      <c r="B48" s="442" t="s">
        <v>18</v>
      </c>
      <c r="C48" s="430"/>
      <c r="D48" s="430"/>
      <c r="E48" s="501"/>
      <c r="F48" s="501"/>
      <c r="G48" s="501"/>
      <c r="H48" s="501"/>
      <c r="I48" s="501"/>
      <c r="J48" s="501"/>
      <c r="K48" s="501"/>
      <c r="L48" s="551">
        <f>-L36</f>
        <v>-22954.75</v>
      </c>
      <c r="M48" s="551">
        <f>-M36</f>
        <v>-22954.75</v>
      </c>
      <c r="N48" s="551">
        <f>-N36</f>
        <v>-22954.75</v>
      </c>
      <c r="O48" s="551">
        <f>-O36</f>
        <v>-22954.75</v>
      </c>
      <c r="P48" s="551">
        <v>-194500</v>
      </c>
      <c r="Q48" s="551"/>
      <c r="R48" s="551"/>
      <c r="S48" s="551"/>
      <c r="T48" s="501"/>
      <c r="U48" s="501"/>
      <c r="V48" s="501"/>
      <c r="W48" s="501">
        <v>0</v>
      </c>
      <c r="X48" s="533" t="s">
        <v>865</v>
      </c>
      <c r="Y48" s="532"/>
      <c r="Z48" s="430"/>
      <c r="AA48" s="430"/>
      <c r="AB48" s="430"/>
      <c r="AC48" s="430"/>
      <c r="AD48" s="430"/>
      <c r="AE48" s="430"/>
      <c r="AF48" s="430"/>
      <c r="AG48" s="430"/>
      <c r="AH48" s="430"/>
      <c r="AI48" s="430"/>
      <c r="AJ48" s="576"/>
      <c r="AK48" s="576"/>
      <c r="AL48" s="576"/>
      <c r="AM48" s="576"/>
      <c r="AN48" s="577"/>
      <c r="AO48" s="617"/>
      <c r="AP48" s="618"/>
      <c r="AQ48" s="618"/>
      <c r="AR48" s="618"/>
      <c r="AS48" s="618"/>
      <c r="AT48" s="618"/>
      <c r="AU48" s="430"/>
      <c r="AV48" s="617"/>
      <c r="AW48" s="618"/>
      <c r="AX48" s="618"/>
      <c r="AY48" s="618"/>
      <c r="AZ48" s="618"/>
      <c r="BA48" s="618"/>
      <c r="BB48" s="618"/>
    </row>
    <row r="49" spans="1:54" ht="15" customHeight="1">
      <c r="A49" s="575" t="s">
        <v>989</v>
      </c>
      <c r="B49" s="442" t="s">
        <v>18</v>
      </c>
      <c r="C49" s="442" t="s">
        <v>900</v>
      </c>
      <c r="D49" s="430"/>
      <c r="E49" s="501"/>
      <c r="F49" s="501"/>
      <c r="G49" s="501"/>
      <c r="H49" s="501"/>
      <c r="I49" s="501"/>
      <c r="J49" s="501"/>
      <c r="K49" s="501"/>
      <c r="L49" s="551"/>
      <c r="M49" s="551"/>
      <c r="N49" s="551"/>
      <c r="O49" s="551"/>
      <c r="P49" s="551"/>
      <c r="Q49" s="551"/>
      <c r="R49" s="551">
        <v>91819</v>
      </c>
      <c r="S49" s="551">
        <v>194500</v>
      </c>
      <c r="T49" s="501">
        <f>-S48</f>
        <v>0</v>
      </c>
      <c r="U49" s="501">
        <f>-T48</f>
        <v>0</v>
      </c>
      <c r="V49" s="501">
        <f>-U48</f>
        <v>0</v>
      </c>
      <c r="W49" s="501">
        <f>-V48</f>
        <v>0</v>
      </c>
      <c r="X49" s="432"/>
      <c r="Y49" s="532"/>
      <c r="Z49" s="430"/>
      <c r="AA49" s="430"/>
      <c r="AB49" s="430"/>
      <c r="AC49" s="430"/>
      <c r="AD49" s="430"/>
      <c r="AE49" s="430"/>
      <c r="AF49" s="430"/>
      <c r="AG49" s="430"/>
      <c r="AH49" s="430"/>
      <c r="AI49" s="430"/>
      <c r="AJ49" s="576"/>
      <c r="AK49" s="576"/>
      <c r="AL49" s="576"/>
      <c r="AM49" s="576"/>
      <c r="AN49" s="577"/>
      <c r="AO49" s="454"/>
      <c r="AP49" s="454"/>
      <c r="AQ49" s="454"/>
      <c r="AR49" s="454"/>
      <c r="AS49" s="454"/>
      <c r="AT49" s="454"/>
      <c r="AU49" s="430"/>
      <c r="AV49" s="454"/>
      <c r="AW49" s="454"/>
      <c r="AX49" s="454"/>
      <c r="AY49" s="454"/>
      <c r="AZ49" s="454"/>
      <c r="BA49" s="454"/>
      <c r="BB49" s="454"/>
    </row>
    <row r="50" spans="1:54">
      <c r="A50" s="548" t="s">
        <v>901</v>
      </c>
      <c r="B50" s="442" t="s">
        <v>34</v>
      </c>
      <c r="C50" s="442" t="s">
        <v>902</v>
      </c>
      <c r="D50" s="430"/>
      <c r="E50" s="501"/>
      <c r="F50" s="501"/>
      <c r="G50" s="501"/>
      <c r="H50" s="501"/>
      <c r="I50" s="501"/>
      <c r="J50" s="501"/>
      <c r="K50" s="501"/>
      <c r="L50" s="501">
        <f>+L48+E50+L49</f>
        <v>-22954.75</v>
      </c>
      <c r="M50" s="501">
        <f t="shared" ref="M50:W50" si="5">+M48+L50+M49</f>
        <v>-45909.5</v>
      </c>
      <c r="N50" s="501">
        <f t="shared" si="5"/>
        <v>-68864.25</v>
      </c>
      <c r="O50" s="501">
        <f t="shared" si="5"/>
        <v>-91819</v>
      </c>
      <c r="P50" s="501">
        <f t="shared" si="5"/>
        <v>-286319</v>
      </c>
      <c r="Q50" s="501">
        <f t="shared" si="5"/>
        <v>-286319</v>
      </c>
      <c r="R50" s="501">
        <f t="shared" si="5"/>
        <v>-194500</v>
      </c>
      <c r="S50" s="501">
        <f t="shared" si="5"/>
        <v>0</v>
      </c>
      <c r="T50" s="501">
        <f t="shared" si="5"/>
        <v>0</v>
      </c>
      <c r="U50" s="501">
        <f t="shared" si="5"/>
        <v>0</v>
      </c>
      <c r="V50" s="501">
        <f t="shared" si="5"/>
        <v>0</v>
      </c>
      <c r="W50" s="501">
        <f t="shared" si="5"/>
        <v>0</v>
      </c>
      <c r="X50" s="501"/>
      <c r="Y50" s="532"/>
      <c r="Z50" s="532"/>
      <c r="AA50" s="430"/>
      <c r="AB50" s="430"/>
      <c r="AC50" s="430"/>
      <c r="AD50" s="430"/>
      <c r="AE50" s="430"/>
      <c r="AF50" s="430"/>
      <c r="AG50" s="430"/>
      <c r="AH50" s="430"/>
      <c r="AI50" s="430"/>
      <c r="AJ50" s="430"/>
      <c r="AK50" s="430"/>
      <c r="AL50" s="430"/>
      <c r="AM50" s="430"/>
      <c r="AN50" s="430"/>
      <c r="AO50" s="430"/>
      <c r="AP50" s="430"/>
      <c r="AQ50" s="430"/>
      <c r="AR50" s="430"/>
      <c r="AS50" s="430"/>
      <c r="AT50" s="430"/>
      <c r="AU50" s="430"/>
      <c r="AV50" s="430"/>
      <c r="AW50" s="430"/>
      <c r="AX50" s="430"/>
      <c r="AY50" s="430"/>
      <c r="AZ50" s="430"/>
      <c r="BA50" s="430"/>
      <c r="BB50" s="430"/>
    </row>
    <row r="51" spans="1:54">
      <c r="A51" s="430"/>
      <c r="B51" s="430"/>
      <c r="C51" s="430"/>
      <c r="D51" s="430"/>
      <c r="E51" s="501"/>
      <c r="F51" s="501"/>
      <c r="G51" s="501"/>
      <c r="H51" s="501"/>
      <c r="I51" s="501"/>
      <c r="J51" s="501"/>
      <c r="K51" s="501"/>
      <c r="L51" s="501"/>
      <c r="M51" s="501"/>
      <c r="N51" s="501"/>
      <c r="O51" s="501"/>
      <c r="P51" s="501"/>
      <c r="Q51" s="501"/>
      <c r="R51" s="501"/>
      <c r="S51" s="501"/>
      <c r="T51" s="501"/>
      <c r="U51" s="501"/>
      <c r="V51" s="501"/>
      <c r="W51" s="501"/>
      <c r="X51" s="501"/>
      <c r="Y51" s="532"/>
      <c r="Z51" s="532"/>
      <c r="AA51" s="430"/>
      <c r="AB51" s="430"/>
      <c r="AC51" s="430"/>
      <c r="AD51" s="430"/>
      <c r="AE51" s="430"/>
      <c r="AF51" s="430"/>
      <c r="AG51" s="430"/>
      <c r="AH51" s="430"/>
      <c r="AI51" s="430"/>
      <c r="AJ51" s="430"/>
      <c r="AK51" s="430"/>
      <c r="AL51" s="430"/>
      <c r="AM51" s="430"/>
      <c r="AN51" s="430"/>
      <c r="AO51" s="430"/>
      <c r="AP51" s="430"/>
      <c r="AQ51" s="430"/>
      <c r="AR51" s="430"/>
      <c r="AS51" s="430"/>
      <c r="AT51" s="430"/>
      <c r="AU51" s="430"/>
      <c r="AV51" s="430"/>
      <c r="AW51" s="430"/>
      <c r="AX51" s="430"/>
      <c r="AY51" s="430"/>
      <c r="AZ51" s="430"/>
      <c r="BA51" s="430"/>
      <c r="BB51" s="430"/>
    </row>
    <row r="52" spans="1:54" s="30" customFormat="1">
      <c r="A52" s="548" t="s">
        <v>903</v>
      </c>
      <c r="B52" s="535" t="s">
        <v>34</v>
      </c>
      <c r="C52" s="533" t="s">
        <v>904</v>
      </c>
      <c r="D52" s="431"/>
      <c r="E52" s="566"/>
      <c r="F52" s="501"/>
      <c r="G52" s="501"/>
      <c r="H52" s="501"/>
      <c r="I52" s="501"/>
      <c r="J52" s="501"/>
      <c r="K52" s="501"/>
      <c r="L52" s="566">
        <f t="shared" ref="L52:W52" si="6">+L46+L48</f>
        <v>128735.5</v>
      </c>
      <c r="M52" s="562">
        <f t="shared" si="6"/>
        <v>128735.5</v>
      </c>
      <c r="N52" s="562">
        <f t="shared" si="6"/>
        <v>179135.5</v>
      </c>
      <c r="O52" s="562">
        <f t="shared" si="6"/>
        <v>141235.5</v>
      </c>
      <c r="P52" s="562">
        <f t="shared" si="6"/>
        <v>136422</v>
      </c>
      <c r="Q52" s="562">
        <f t="shared" si="6"/>
        <v>425922</v>
      </c>
      <c r="R52" s="562">
        <f t="shared" si="6"/>
        <v>375922</v>
      </c>
      <c r="S52" s="562">
        <f t="shared" si="6"/>
        <v>363422</v>
      </c>
      <c r="T52" s="484">
        <f t="shared" si="6"/>
        <v>1590058.64</v>
      </c>
      <c r="U52" s="484">
        <f t="shared" si="6"/>
        <v>1666920.3992000001</v>
      </c>
      <c r="V52" s="492">
        <f t="shared" si="6"/>
        <v>1944288.0111759999</v>
      </c>
      <c r="W52" s="492">
        <f t="shared" si="6"/>
        <v>1968176.6515112799</v>
      </c>
      <c r="X52" s="501"/>
      <c r="Y52" s="430"/>
      <c r="Z52" s="430"/>
      <c r="AA52" s="430"/>
      <c r="AB52" s="430"/>
      <c r="AC52" s="430"/>
      <c r="AD52" s="430"/>
      <c r="AE52" s="430"/>
      <c r="AF52" s="492"/>
      <c r="AG52" s="492"/>
      <c r="AH52" s="492"/>
      <c r="AI52" s="492"/>
      <c r="AJ52" s="492"/>
      <c r="AK52" s="492"/>
      <c r="AL52" s="492"/>
      <c r="AM52" s="430"/>
      <c r="AN52" s="492"/>
      <c r="AO52" s="492"/>
      <c r="AP52" s="492"/>
      <c r="AQ52" s="492"/>
      <c r="AR52" s="492"/>
      <c r="AS52" s="492"/>
      <c r="AT52" s="492"/>
      <c r="AU52" s="430"/>
      <c r="AV52" s="430"/>
      <c r="AW52" s="430"/>
      <c r="AX52" s="430"/>
      <c r="AY52" s="430"/>
      <c r="AZ52" s="430"/>
      <c r="BA52" s="430"/>
      <c r="BB52" s="430"/>
    </row>
    <row r="53" spans="1:54" s="30" customFormat="1">
      <c r="A53" s="548" t="s">
        <v>905</v>
      </c>
      <c r="B53" s="535" t="s">
        <v>34</v>
      </c>
      <c r="C53" s="533" t="s">
        <v>906</v>
      </c>
      <c r="D53" s="431"/>
      <c r="E53" s="562"/>
      <c r="F53" s="430"/>
      <c r="G53" s="430"/>
      <c r="H53" s="430"/>
      <c r="I53" s="430"/>
      <c r="J53" s="430"/>
      <c r="K53" s="430"/>
      <c r="L53" s="562">
        <f t="shared" ref="L53:W53" si="7">+L49+L52</f>
        <v>128735.5</v>
      </c>
      <c r="M53" s="562">
        <f t="shared" si="7"/>
        <v>128735.5</v>
      </c>
      <c r="N53" s="562">
        <f t="shared" si="7"/>
        <v>179135.5</v>
      </c>
      <c r="O53" s="562">
        <f t="shared" si="7"/>
        <v>141235.5</v>
      </c>
      <c r="P53" s="562">
        <f t="shared" si="7"/>
        <v>136422</v>
      </c>
      <c r="Q53" s="562">
        <f t="shared" si="7"/>
        <v>425922</v>
      </c>
      <c r="R53" s="562">
        <f t="shared" si="7"/>
        <v>467741</v>
      </c>
      <c r="S53" s="562">
        <f t="shared" si="7"/>
        <v>557922</v>
      </c>
      <c r="T53" s="492">
        <f t="shared" si="7"/>
        <v>1590058.64</v>
      </c>
      <c r="U53" s="492">
        <f t="shared" si="7"/>
        <v>1666920.3992000001</v>
      </c>
      <c r="V53" s="492">
        <f t="shared" si="7"/>
        <v>1944288.0111759999</v>
      </c>
      <c r="W53" s="492">
        <f t="shared" si="7"/>
        <v>1968176.6515112799</v>
      </c>
      <c r="X53" s="501"/>
      <c r="Y53" s="430"/>
      <c r="Z53" s="430"/>
      <c r="AA53" s="430"/>
      <c r="AB53" s="430"/>
      <c r="AC53" s="430"/>
      <c r="AD53" s="430"/>
      <c r="AE53" s="430"/>
      <c r="AF53" s="492"/>
      <c r="AG53" s="492"/>
      <c r="AH53" s="492"/>
      <c r="AI53" s="492"/>
      <c r="AJ53" s="492"/>
      <c r="AK53" s="492"/>
      <c r="AL53" s="492"/>
      <c r="AM53" s="430"/>
      <c r="AN53" s="492"/>
      <c r="AO53" s="492"/>
      <c r="AP53" s="492"/>
      <c r="AQ53" s="492"/>
      <c r="AR53" s="492"/>
      <c r="AS53" s="492"/>
      <c r="AT53" s="492"/>
      <c r="AU53" s="430"/>
      <c r="AV53" s="430"/>
      <c r="AW53" s="430"/>
      <c r="AX53" s="430"/>
      <c r="AY53" s="430"/>
      <c r="AZ53" s="430"/>
      <c r="BA53" s="430"/>
      <c r="BB53" s="430"/>
    </row>
    <row r="54" spans="1:54">
      <c r="A54" s="430"/>
      <c r="B54" s="430"/>
      <c r="C54" s="430"/>
      <c r="D54" s="430"/>
      <c r="E54" s="501"/>
      <c r="F54" s="430"/>
      <c r="G54" s="430"/>
      <c r="H54" s="430"/>
      <c r="I54" s="430"/>
      <c r="J54" s="430"/>
      <c r="K54" s="430"/>
      <c r="L54" s="501"/>
      <c r="M54" s="501"/>
      <c r="N54" s="501"/>
      <c r="O54" s="501"/>
      <c r="P54" s="501"/>
      <c r="Q54" s="501"/>
      <c r="R54" s="501"/>
      <c r="S54" s="501"/>
      <c r="T54" s="501"/>
      <c r="U54" s="501"/>
      <c r="V54" s="501"/>
      <c r="W54" s="501"/>
      <c r="X54" s="430"/>
      <c r="Y54" s="532"/>
      <c r="Z54" s="532"/>
      <c r="AA54" s="430"/>
      <c r="AB54" s="430"/>
      <c r="AC54" s="430"/>
      <c r="AD54" s="430"/>
      <c r="AE54" s="430"/>
      <c r="AF54" s="430"/>
      <c r="AG54" s="430"/>
      <c r="AH54" s="430"/>
      <c r="AI54" s="430"/>
      <c r="AJ54" s="430"/>
      <c r="AK54" s="430"/>
      <c r="AL54" s="430"/>
      <c r="AM54" s="430"/>
      <c r="AN54" s="430"/>
      <c r="AO54" s="430"/>
      <c r="AP54" s="430"/>
      <c r="AQ54" s="430"/>
      <c r="AR54" s="430"/>
      <c r="AS54" s="430"/>
      <c r="AT54" s="430"/>
      <c r="AU54" s="430"/>
      <c r="AV54" s="430"/>
      <c r="AW54" s="430"/>
      <c r="AX54" s="430"/>
      <c r="AY54" s="430"/>
      <c r="AZ54" s="430"/>
      <c r="BA54" s="430"/>
      <c r="BB54" s="430"/>
    </row>
    <row r="55" spans="1:54">
      <c r="A55" s="548" t="s">
        <v>907</v>
      </c>
      <c r="B55" s="430"/>
      <c r="C55" s="430"/>
      <c r="D55" s="430"/>
      <c r="E55" s="501"/>
      <c r="F55" s="430"/>
      <c r="G55" s="430"/>
      <c r="H55" s="430"/>
      <c r="I55" s="430"/>
      <c r="J55" s="430"/>
      <c r="K55" s="430"/>
      <c r="L55" s="501"/>
      <c r="M55" s="501"/>
      <c r="N55" s="501"/>
      <c r="O55" s="501"/>
      <c r="P55" s="501"/>
      <c r="Q55" s="501"/>
      <c r="R55" s="501"/>
      <c r="S55" s="501"/>
      <c r="T55" s="501"/>
      <c r="U55" s="501"/>
      <c r="V55" s="501"/>
      <c r="W55" s="501"/>
      <c r="X55" s="430"/>
      <c r="Y55" s="532"/>
      <c r="Z55" s="532"/>
      <c r="AA55" s="430"/>
      <c r="AB55" s="430"/>
      <c r="AC55" s="430"/>
      <c r="AD55" s="430"/>
      <c r="AE55" s="430"/>
      <c r="AF55" s="430"/>
      <c r="AG55" s="430"/>
      <c r="AH55" s="430"/>
      <c r="AI55" s="430"/>
      <c r="AJ55" s="430"/>
      <c r="AK55" s="430"/>
      <c r="AL55" s="430"/>
      <c r="AM55" s="430"/>
      <c r="AN55" s="430"/>
      <c r="AO55" s="430"/>
      <c r="AP55" s="430"/>
      <c r="AQ55" s="430"/>
      <c r="AR55" s="430"/>
      <c r="AS55" s="430"/>
      <c r="AT55" s="430"/>
      <c r="AU55" s="430"/>
      <c r="AV55" s="430"/>
      <c r="AW55" s="430"/>
      <c r="AX55" s="430"/>
      <c r="AY55" s="430"/>
      <c r="AZ55" s="430"/>
      <c r="BA55" s="430"/>
      <c r="BB55" s="430"/>
    </row>
    <row r="56" spans="1:54">
      <c r="A56" s="548" t="s">
        <v>909</v>
      </c>
      <c r="B56" s="442" t="s">
        <v>34</v>
      </c>
      <c r="C56" s="442" t="s">
        <v>910</v>
      </c>
      <c r="D56" s="430"/>
      <c r="E56" s="567"/>
      <c r="F56" s="430"/>
      <c r="G56" s="430"/>
      <c r="H56" s="430"/>
      <c r="I56" s="430"/>
      <c r="J56" s="430"/>
      <c r="K56" s="430"/>
      <c r="L56" s="567">
        <f>1/(1-'c12_inputs'!$E$7)</f>
        <v>1.0526315789473684</v>
      </c>
      <c r="M56" s="567">
        <f>1/(1-'c12_inputs'!$E$7)</f>
        <v>1.0526315789473684</v>
      </c>
      <c r="N56" s="567">
        <f>1/(1-'c12_inputs'!$E$7)</f>
        <v>1.0526315789473684</v>
      </c>
      <c r="O56" s="567">
        <f>1/(1-'c12_inputs'!$E$7)</f>
        <v>1.0526315789473684</v>
      </c>
      <c r="P56" s="567">
        <f>1/(1-'c12_inputs'!$E$7)</f>
        <v>1.0526315789473684</v>
      </c>
      <c r="Q56" s="567">
        <f>1/(1-'c12_inputs'!$E$7)</f>
        <v>1.0526315789473684</v>
      </c>
      <c r="R56" s="567">
        <f>1/(1-'c12_inputs'!$E$7)</f>
        <v>1.0526315789473684</v>
      </c>
      <c r="S56" s="567">
        <f>1/(1-'c12_inputs'!$E$7)</f>
        <v>1.0526315789473684</v>
      </c>
      <c r="T56" s="567">
        <f>1/(1-'c12_inputs'!$E$7)</f>
        <v>1.0526315789473684</v>
      </c>
      <c r="U56" s="567">
        <f>1/(1-'c12_inputs'!$E$7)</f>
        <v>1.0526315789473684</v>
      </c>
      <c r="V56" s="567">
        <f>1/(1-'c12_inputs'!$E$7)</f>
        <v>1.0526315789473684</v>
      </c>
      <c r="W56" s="567">
        <f>1/(1-'c12_inputs'!$E$7)</f>
        <v>1.0526315789473684</v>
      </c>
      <c r="X56" s="501"/>
      <c r="Y56" s="532"/>
      <c r="Z56" s="532"/>
      <c r="AA56" s="430"/>
      <c r="AB56" s="430"/>
      <c r="AC56" s="430"/>
      <c r="AD56" s="484"/>
      <c r="AE56" s="484"/>
      <c r="AF56" s="484"/>
      <c r="AG56" s="484"/>
      <c r="AH56" s="484"/>
      <c r="AI56" s="484"/>
      <c r="AJ56" s="430"/>
      <c r="AK56" s="430"/>
      <c r="AL56" s="430"/>
      <c r="AM56" s="430"/>
      <c r="AN56" s="430"/>
      <c r="AO56" s="430"/>
      <c r="AP56" s="430"/>
      <c r="AQ56" s="430"/>
      <c r="AR56" s="430"/>
      <c r="AS56" s="430"/>
      <c r="AT56" s="430"/>
      <c r="AU56" s="430"/>
      <c r="AV56" s="430"/>
      <c r="AW56" s="430"/>
      <c r="AX56" s="430"/>
      <c r="AY56" s="430"/>
      <c r="AZ56" s="430"/>
      <c r="BA56" s="430"/>
      <c r="BB56" s="430"/>
    </row>
    <row r="57" spans="1:54">
      <c r="A57" s="548" t="s">
        <v>911</v>
      </c>
      <c r="B57" s="633" t="s">
        <v>14</v>
      </c>
      <c r="C57" s="442" t="s">
        <v>912</v>
      </c>
      <c r="D57" s="430"/>
      <c r="E57" s="492"/>
      <c r="F57" s="626">
        <v>0</v>
      </c>
      <c r="G57" s="626">
        <v>0</v>
      </c>
      <c r="H57" s="626">
        <v>0</v>
      </c>
      <c r="I57" s="626">
        <v>0</v>
      </c>
      <c r="J57" s="430"/>
      <c r="K57" s="430"/>
      <c r="L57" s="627">
        <f>IF(AND((F57&lt;&gt;""),(L$2&lt;46204)),(F57),L78)</f>
        <v>0</v>
      </c>
      <c r="M57" s="627">
        <f t="shared" ref="M57:W57" si="8">IF(AND((G57&lt;&gt;""),(M$2&lt;46204)),(G57),M78)</f>
        <v>0</v>
      </c>
      <c r="N57" s="627">
        <f t="shared" si="8"/>
        <v>0</v>
      </c>
      <c r="O57" s="627">
        <f t="shared" si="8"/>
        <v>0</v>
      </c>
      <c r="P57" s="627">
        <f t="shared" si="8"/>
        <v>85679.999999999985</v>
      </c>
      <c r="Q57" s="627">
        <f t="shared" si="8"/>
        <v>85679.999999999985</v>
      </c>
      <c r="R57" s="627">
        <f t="shared" si="8"/>
        <v>85679.999999999985</v>
      </c>
      <c r="S57" s="627">
        <f t="shared" si="8"/>
        <v>116849.99999999997</v>
      </c>
      <c r="T57" s="627">
        <f t="shared" si="8"/>
        <v>373889.99999999994</v>
      </c>
      <c r="U57" s="627">
        <f t="shared" si="8"/>
        <v>373889.99999999994</v>
      </c>
      <c r="V57" s="627">
        <f t="shared" si="8"/>
        <v>373889.99999999994</v>
      </c>
      <c r="W57" s="627">
        <f t="shared" si="8"/>
        <v>373889.99999999994</v>
      </c>
      <c r="X57" s="501"/>
      <c r="Y57" s="532"/>
      <c r="Z57" s="532"/>
      <c r="AA57" s="430"/>
      <c r="AB57" s="430"/>
      <c r="AC57" s="430"/>
      <c r="AD57" s="484"/>
      <c r="AE57" s="484"/>
      <c r="AF57" s="484"/>
      <c r="AG57" s="484"/>
      <c r="AH57" s="484"/>
      <c r="AI57" s="484"/>
      <c r="AJ57" s="430"/>
      <c r="AK57" s="430"/>
      <c r="AL57" s="430"/>
      <c r="AM57" s="430"/>
      <c r="AN57" s="430"/>
      <c r="AO57" s="430"/>
      <c r="AP57" s="430"/>
      <c r="AQ57" s="430"/>
      <c r="AR57" s="430"/>
      <c r="AS57" s="430"/>
      <c r="AT57" s="430"/>
      <c r="AU57" s="430"/>
      <c r="AV57" s="430"/>
      <c r="AW57" s="430"/>
      <c r="AX57" s="430"/>
    </row>
    <row r="58" spans="1:54" s="30" customFormat="1">
      <c r="A58" s="558" t="s">
        <v>990</v>
      </c>
      <c r="B58" s="535" t="s">
        <v>34</v>
      </c>
      <c r="C58" s="533" t="s">
        <v>914</v>
      </c>
      <c r="D58" s="431"/>
      <c r="E58" s="501"/>
      <c r="F58" s="430"/>
      <c r="G58" s="430"/>
      <c r="H58" s="430"/>
      <c r="I58" s="430"/>
      <c r="J58" s="430"/>
      <c r="K58" s="430"/>
      <c r="L58" s="501">
        <f t="shared" ref="L58:W58" si="9">L57*L56</f>
        <v>0</v>
      </c>
      <c r="M58" s="501">
        <f t="shared" si="9"/>
        <v>0</v>
      </c>
      <c r="N58" s="501">
        <f t="shared" si="9"/>
        <v>0</v>
      </c>
      <c r="O58" s="501">
        <f t="shared" si="9"/>
        <v>0</v>
      </c>
      <c r="P58" s="501">
        <f t="shared" si="9"/>
        <v>90189.473684210505</v>
      </c>
      <c r="Q58" s="501">
        <f t="shared" si="9"/>
        <v>90189.473684210505</v>
      </c>
      <c r="R58" s="501">
        <f t="shared" si="9"/>
        <v>90189.473684210505</v>
      </c>
      <c r="S58" s="501">
        <f t="shared" si="9"/>
        <v>122999.99999999996</v>
      </c>
      <c r="T58" s="501">
        <f t="shared" si="9"/>
        <v>393568.42105263151</v>
      </c>
      <c r="U58" s="501">
        <f t="shared" si="9"/>
        <v>393568.42105263151</v>
      </c>
      <c r="V58" s="501">
        <f t="shared" si="9"/>
        <v>393568.42105263151</v>
      </c>
      <c r="W58" s="501">
        <f t="shared" si="9"/>
        <v>393568.42105263151</v>
      </c>
      <c r="X58" s="501"/>
      <c r="Y58" s="430"/>
      <c r="Z58" s="430"/>
      <c r="AA58" s="430"/>
      <c r="AB58" s="430"/>
      <c r="AC58" s="430"/>
      <c r="AD58" s="430"/>
      <c r="AE58" s="430"/>
      <c r="AF58" s="430"/>
      <c r="AG58" s="430"/>
      <c r="AH58" s="430"/>
      <c r="AI58" s="478"/>
      <c r="AJ58" s="430"/>
      <c r="AK58" s="430"/>
      <c r="AL58" s="430"/>
      <c r="AM58" s="430"/>
      <c r="AN58" s="430"/>
      <c r="AO58" s="430"/>
      <c r="AP58" s="430"/>
      <c r="AQ58" s="430"/>
      <c r="AR58" s="430"/>
      <c r="AS58" s="430"/>
      <c r="AT58" s="430"/>
      <c r="AU58" s="430"/>
      <c r="AV58" s="430"/>
      <c r="AW58" s="430"/>
      <c r="AX58" s="430"/>
      <c r="AY58" s="430"/>
      <c r="AZ58" s="430"/>
      <c r="BA58" s="430"/>
      <c r="BB58" s="430"/>
    </row>
    <row r="59" spans="1:54" s="30" customFormat="1" ht="15" customHeight="1" thickBot="1">
      <c r="A59" s="540"/>
      <c r="B59" s="431"/>
      <c r="C59" s="432"/>
      <c r="D59" s="431"/>
      <c r="E59" s="501"/>
      <c r="F59" s="430"/>
      <c r="G59" s="430"/>
      <c r="H59" s="430"/>
      <c r="I59" s="430"/>
      <c r="J59" s="430"/>
      <c r="K59" s="430"/>
      <c r="L59" s="501"/>
      <c r="M59" s="501"/>
      <c r="N59" s="501"/>
      <c r="O59" s="501"/>
      <c r="P59" s="501"/>
      <c r="Q59" s="501"/>
      <c r="R59" s="501"/>
      <c r="S59" s="501"/>
      <c r="T59" s="501"/>
      <c r="U59" s="501"/>
      <c r="V59" s="501"/>
      <c r="W59" s="501"/>
      <c r="X59" s="501"/>
      <c r="Y59" s="430"/>
      <c r="Z59" s="430"/>
      <c r="AA59" s="430"/>
      <c r="AB59" s="430"/>
      <c r="AC59" s="430"/>
      <c r="AD59" s="430"/>
      <c r="AE59" s="430"/>
      <c r="AF59" s="430"/>
      <c r="AG59" s="430"/>
      <c r="AH59" s="430"/>
      <c r="AI59" s="478"/>
      <c r="AJ59" s="430"/>
      <c r="AK59" s="430"/>
      <c r="AL59" s="430"/>
      <c r="AM59" s="430"/>
      <c r="AN59" s="430"/>
      <c r="AO59" s="430"/>
      <c r="AP59" s="430"/>
      <c r="AQ59" s="430"/>
      <c r="AR59" s="430"/>
      <c r="AS59" s="430"/>
      <c r="AT59" s="430"/>
      <c r="AU59" s="430"/>
      <c r="AV59" s="430"/>
      <c r="AW59" s="430"/>
      <c r="AX59" s="430"/>
      <c r="AY59" s="430"/>
      <c r="AZ59" s="430"/>
      <c r="BA59" s="430"/>
      <c r="BB59" s="430"/>
    </row>
    <row r="60" spans="1:54" s="422" customFormat="1" ht="15.5" customHeight="1" thickTop="1" thickBot="1">
      <c r="A60" s="558" t="s">
        <v>991</v>
      </c>
      <c r="B60" s="535" t="s">
        <v>14</v>
      </c>
      <c r="C60" s="533" t="s">
        <v>992</v>
      </c>
      <c r="D60" s="431"/>
      <c r="E60" s="568"/>
      <c r="F60" s="430"/>
      <c r="G60" s="430"/>
      <c r="H60" s="430"/>
      <c r="I60" s="430"/>
      <c r="J60" s="430"/>
      <c r="K60" s="430"/>
      <c r="L60" s="569">
        <f t="shared" ref="L60:W60" si="10">+L53+L32+L58</f>
        <v>128735.5</v>
      </c>
      <c r="M60" s="569">
        <f t="shared" si="10"/>
        <v>128735.5</v>
      </c>
      <c r="N60" s="569">
        <f t="shared" si="10"/>
        <v>699135.5</v>
      </c>
      <c r="O60" s="569">
        <f t="shared" si="10"/>
        <v>911235.5</v>
      </c>
      <c r="P60" s="569">
        <f t="shared" si="10"/>
        <v>1735259.1270175439</v>
      </c>
      <c r="Q60" s="569">
        <f t="shared" si="10"/>
        <v>2473819.8070175434</v>
      </c>
      <c r="R60" s="569">
        <f t="shared" si="10"/>
        <v>2205638.8070175434</v>
      </c>
      <c r="S60" s="569">
        <f t="shared" si="10"/>
        <v>5828630.333333333</v>
      </c>
      <c r="T60" s="568">
        <f t="shared" si="10"/>
        <v>10772271.074385963</v>
      </c>
      <c r="U60" s="568">
        <f t="shared" si="10"/>
        <v>7224030.4869192978</v>
      </c>
      <c r="V60" s="568">
        <f t="shared" si="10"/>
        <v>4401398.0988952974</v>
      </c>
      <c r="W60" s="568">
        <f t="shared" si="10"/>
        <v>4361744.7392305788</v>
      </c>
      <c r="X60" s="430"/>
      <c r="Y60" s="430"/>
      <c r="Z60" s="430"/>
      <c r="AA60" s="430"/>
      <c r="AB60" s="430"/>
      <c r="AC60" s="430"/>
      <c r="AD60" s="430"/>
      <c r="AE60" s="430"/>
      <c r="AF60" s="430"/>
      <c r="AG60" s="430"/>
      <c r="AH60" s="430"/>
      <c r="AI60" s="478"/>
      <c r="AJ60" s="430"/>
      <c r="AK60" s="430"/>
      <c r="AL60" s="430"/>
      <c r="AM60" s="430"/>
      <c r="AN60" s="430"/>
      <c r="AO60" s="430"/>
      <c r="AP60" s="430"/>
      <c r="AQ60" s="430"/>
      <c r="AR60" s="430"/>
      <c r="AS60" s="430"/>
      <c r="AT60" s="430"/>
      <c r="AU60" s="430"/>
      <c r="AV60" s="430"/>
      <c r="AW60" s="430"/>
      <c r="AX60" s="430"/>
      <c r="AY60" s="430"/>
      <c r="AZ60" s="430"/>
      <c r="BA60" s="430"/>
      <c r="BB60" s="430"/>
    </row>
    <row r="61" spans="1:54" ht="15" customHeight="1" thickTop="1">
      <c r="A61" s="570"/>
      <c r="B61" s="430"/>
      <c r="C61" s="430"/>
      <c r="D61" s="430"/>
      <c r="E61" s="501"/>
      <c r="F61" s="430"/>
      <c r="G61" s="430"/>
      <c r="H61" s="430"/>
      <c r="I61" s="430"/>
      <c r="J61" s="430"/>
      <c r="K61" s="430"/>
      <c r="L61" s="501"/>
      <c r="M61" s="501"/>
      <c r="N61" s="501"/>
      <c r="O61" s="501"/>
      <c r="P61" s="501"/>
      <c r="Q61" s="501"/>
      <c r="R61" s="501"/>
      <c r="S61" s="501"/>
      <c r="T61" s="501"/>
      <c r="U61" s="501"/>
      <c r="V61" s="501"/>
      <c r="W61" s="501"/>
      <c r="X61" s="430"/>
      <c r="Y61" s="430"/>
      <c r="Z61" s="430"/>
      <c r="AA61" s="430"/>
      <c r="AB61" s="430"/>
      <c r="AC61" s="430"/>
      <c r="AD61" s="430"/>
      <c r="AE61" s="430"/>
      <c r="AF61" s="430"/>
      <c r="AG61" s="430"/>
      <c r="AH61" s="430"/>
      <c r="AI61" s="430"/>
      <c r="AJ61" s="430"/>
      <c r="AK61" s="430"/>
      <c r="AL61" s="430"/>
      <c r="AM61" s="430"/>
      <c r="AN61" s="430"/>
      <c r="AO61" s="430"/>
      <c r="AP61" s="430"/>
      <c r="AQ61" s="430"/>
      <c r="AR61" s="430"/>
      <c r="AS61" s="430"/>
      <c r="AT61" s="430"/>
      <c r="AU61" s="430"/>
      <c r="AV61" s="430"/>
      <c r="AW61" s="430"/>
      <c r="AX61" s="430"/>
      <c r="AY61" s="430"/>
      <c r="AZ61" s="430"/>
      <c r="BA61" s="430"/>
      <c r="BB61" s="430"/>
    </row>
    <row r="62" spans="1:54">
      <c r="A62" s="558" t="s">
        <v>917</v>
      </c>
      <c r="B62" s="442" t="s">
        <v>14</v>
      </c>
      <c r="C62" s="442" t="s">
        <v>918</v>
      </c>
      <c r="D62" s="430"/>
      <c r="E62" s="501"/>
      <c r="F62" s="430"/>
      <c r="G62" s="430"/>
      <c r="H62" s="430"/>
      <c r="I62" s="430"/>
      <c r="J62" s="430"/>
      <c r="K62" s="430"/>
      <c r="L62" s="571">
        <f t="shared" ref="L62:W62" si="11">+L29+L50</f>
        <v>-302954.75</v>
      </c>
      <c r="M62" s="571">
        <f t="shared" si="11"/>
        <v>-2855909.5</v>
      </c>
      <c r="N62" s="571">
        <f t="shared" si="11"/>
        <v>-4033864.25</v>
      </c>
      <c r="O62" s="571">
        <f t="shared" si="11"/>
        <v>-4801819</v>
      </c>
      <c r="P62" s="571">
        <f t="shared" si="11"/>
        <v>-4957879.68</v>
      </c>
      <c r="Q62" s="571">
        <f t="shared" si="11"/>
        <v>-4470379.68</v>
      </c>
      <c r="R62" s="571">
        <f t="shared" si="11"/>
        <v>-4201060.68</v>
      </c>
      <c r="S62" s="571">
        <f t="shared" si="11"/>
        <v>-4929060.68</v>
      </c>
      <c r="T62" s="501">
        <f t="shared" si="11"/>
        <v>-3750000</v>
      </c>
      <c r="U62" s="501">
        <f t="shared" si="11"/>
        <v>-2650000</v>
      </c>
      <c r="V62" s="501">
        <f t="shared" si="11"/>
        <v>-6000000</v>
      </c>
      <c r="W62" s="501">
        <f t="shared" si="11"/>
        <v>-8000000.333333333</v>
      </c>
      <c r="X62" s="501"/>
      <c r="Y62" s="430"/>
      <c r="Z62" s="430"/>
      <c r="AA62" s="430"/>
      <c r="AB62" s="430"/>
      <c r="AC62" s="430"/>
      <c r="AD62" s="430"/>
      <c r="AE62" s="430"/>
      <c r="AF62" s="430"/>
      <c r="AG62" s="430"/>
      <c r="AH62" s="430"/>
      <c r="AI62" s="430"/>
      <c r="AJ62" s="430"/>
      <c r="AK62" s="430"/>
      <c r="AL62" s="430"/>
      <c r="AM62" s="430"/>
      <c r="AN62" s="430"/>
      <c r="AO62" s="430"/>
      <c r="AP62" s="430"/>
      <c r="AQ62" s="430"/>
      <c r="AR62" s="430"/>
      <c r="AS62" s="430"/>
      <c r="AT62" s="430"/>
      <c r="AU62" s="430"/>
      <c r="AV62" s="430"/>
      <c r="AW62" s="430"/>
      <c r="AX62" s="430"/>
      <c r="AY62" s="430"/>
      <c r="AZ62" s="430"/>
      <c r="BA62" s="430"/>
      <c r="BB62" s="430"/>
    </row>
    <row r="63" spans="1:54" ht="15" customHeight="1">
      <c r="A63" s="430"/>
      <c r="B63" s="430"/>
      <c r="C63" s="430"/>
      <c r="D63" s="430"/>
      <c r="E63" s="501"/>
      <c r="F63" s="430"/>
      <c r="G63" s="430"/>
      <c r="H63" s="430"/>
      <c r="I63" s="430"/>
      <c r="J63" s="430"/>
      <c r="K63" s="430"/>
      <c r="L63" s="501"/>
      <c r="M63" s="501"/>
      <c r="N63" s="501"/>
      <c r="O63" s="501"/>
      <c r="P63" s="501"/>
      <c r="Q63" s="501"/>
      <c r="R63" s="501"/>
      <c r="S63" s="501"/>
      <c r="T63" s="501"/>
      <c r="U63" s="501"/>
      <c r="V63" s="501"/>
      <c r="W63" s="501"/>
      <c r="X63" s="501"/>
      <c r="Y63" s="430"/>
      <c r="Z63" s="430"/>
      <c r="AA63" s="430"/>
      <c r="AB63" s="430"/>
      <c r="AC63" s="430"/>
      <c r="AD63" s="430"/>
      <c r="AE63" s="430"/>
      <c r="AF63" s="430"/>
      <c r="AG63" s="430"/>
      <c r="AH63" s="430"/>
      <c r="AI63" s="430"/>
      <c r="AJ63" s="430"/>
      <c r="AK63" s="430"/>
      <c r="AL63" s="430"/>
      <c r="AM63" s="430"/>
      <c r="AN63" s="430"/>
      <c r="AO63" s="430"/>
      <c r="AP63" s="430"/>
      <c r="AQ63" s="430"/>
      <c r="AR63" s="430"/>
      <c r="AS63" s="430"/>
      <c r="AT63" s="430"/>
      <c r="AU63" s="430"/>
      <c r="AV63" s="430"/>
      <c r="AW63" s="430"/>
      <c r="AX63" s="430"/>
      <c r="AY63" s="430"/>
      <c r="AZ63" s="430"/>
      <c r="BA63" s="430"/>
      <c r="BB63" s="430"/>
    </row>
    <row r="64" spans="1:54" ht="15" customHeight="1">
      <c r="A64" s="548" t="s">
        <v>919</v>
      </c>
      <c r="B64" s="442" t="s">
        <v>34</v>
      </c>
      <c r="C64" s="442" t="s">
        <v>920</v>
      </c>
      <c r="D64" s="430"/>
      <c r="E64" s="523"/>
      <c r="F64" s="430"/>
      <c r="G64" s="430"/>
      <c r="H64" s="430"/>
      <c r="I64" s="430"/>
      <c r="J64" s="430"/>
      <c r="K64" s="430"/>
      <c r="L64" s="523">
        <f>'c12_inputs'!$E$8</f>
        <v>0.35</v>
      </c>
      <c r="M64" s="523">
        <f>'c12_inputs'!$E$8</f>
        <v>0.35</v>
      </c>
      <c r="N64" s="523">
        <f>'c12_inputs'!$E$8</f>
        <v>0.35</v>
      </c>
      <c r="O64" s="523">
        <f>'c12_inputs'!$E$8</f>
        <v>0.35</v>
      </c>
      <c r="P64" s="523">
        <f>'c12_inputs'!$E$8</f>
        <v>0.35</v>
      </c>
      <c r="Q64" s="523">
        <f>'c12_inputs'!$E$8</f>
        <v>0.35</v>
      </c>
      <c r="R64" s="523">
        <f>'c12_inputs'!$E$8</f>
        <v>0.35</v>
      </c>
      <c r="S64" s="523">
        <f>'c12_inputs'!$E$8</f>
        <v>0.35</v>
      </c>
      <c r="T64" s="523">
        <f>'c12_inputs'!$E$8</f>
        <v>0.35</v>
      </c>
      <c r="U64" s="523">
        <f>'c12_inputs'!$E$8</f>
        <v>0.35</v>
      </c>
      <c r="V64" s="523">
        <f>'c12_inputs'!$E$8</f>
        <v>0.35</v>
      </c>
      <c r="W64" s="523">
        <f>'c12_inputs'!$E$8</f>
        <v>0.35</v>
      </c>
      <c r="X64" s="501"/>
      <c r="Y64" s="532"/>
      <c r="Z64" s="532"/>
      <c r="AA64" s="430"/>
      <c r="AB64" s="430"/>
      <c r="AC64" s="430"/>
      <c r="AD64" s="484"/>
      <c r="AE64" s="484"/>
      <c r="AF64" s="484"/>
      <c r="AG64" s="484"/>
      <c r="AH64" s="484"/>
      <c r="AI64" s="484"/>
      <c r="AJ64" s="430"/>
      <c r="AK64" s="430"/>
      <c r="AL64" s="430"/>
      <c r="AM64" s="430"/>
      <c r="AN64" s="430"/>
      <c r="AO64" s="430"/>
      <c r="AP64" s="430"/>
      <c r="AQ64" s="430"/>
      <c r="AR64" s="430"/>
      <c r="AS64" s="430"/>
      <c r="AT64" s="430"/>
      <c r="AU64" s="430"/>
      <c r="AV64" s="430"/>
      <c r="AW64" s="430"/>
      <c r="AX64" s="430"/>
      <c r="AY64" s="430"/>
      <c r="AZ64" s="430"/>
      <c r="BA64" s="430"/>
      <c r="BB64" s="430"/>
    </row>
    <row r="65" spans="1:54" s="417" customFormat="1" ht="15" customHeight="1">
      <c r="A65" s="548" t="s">
        <v>921</v>
      </c>
      <c r="B65" s="535" t="s">
        <v>18</v>
      </c>
      <c r="C65" s="533" t="s">
        <v>993</v>
      </c>
      <c r="D65" s="431"/>
      <c r="E65" s="523"/>
      <c r="F65" s="430"/>
      <c r="G65" s="430"/>
      <c r="H65" s="430"/>
      <c r="I65" s="430"/>
      <c r="J65" s="430"/>
      <c r="K65" s="430"/>
      <c r="L65" s="446">
        <v>0.15</v>
      </c>
      <c r="M65" s="446">
        <v>0.15</v>
      </c>
      <c r="N65" s="446">
        <v>0.15</v>
      </c>
      <c r="O65" s="446">
        <v>0.15</v>
      </c>
      <c r="P65" s="446">
        <v>0</v>
      </c>
      <c r="Q65" s="446">
        <v>0</v>
      </c>
      <c r="R65" s="446">
        <v>0</v>
      </c>
      <c r="S65" s="446">
        <v>0</v>
      </c>
      <c r="T65" s="523">
        <v>0</v>
      </c>
      <c r="U65" s="523">
        <v>0</v>
      </c>
      <c r="V65" s="523">
        <v>0</v>
      </c>
      <c r="W65" s="523">
        <v>0</v>
      </c>
      <c r="X65" s="501"/>
      <c r="Y65" s="532"/>
      <c r="Z65" s="532"/>
      <c r="AA65" s="430"/>
      <c r="AB65" s="430"/>
      <c r="AC65" s="430"/>
      <c r="AD65" s="484"/>
      <c r="AE65" s="484"/>
      <c r="AF65" s="484"/>
      <c r="AG65" s="484"/>
      <c r="AH65" s="484"/>
      <c r="AI65" s="484"/>
      <c r="AJ65" s="430"/>
      <c r="AK65" s="430"/>
      <c r="AL65" s="430"/>
      <c r="AM65" s="430"/>
      <c r="AN65" s="430"/>
      <c r="AO65" s="430"/>
      <c r="AP65" s="430"/>
      <c r="AQ65" s="430"/>
      <c r="AR65" s="430"/>
      <c r="AS65" s="430"/>
      <c r="AT65" s="430"/>
      <c r="AU65" s="430"/>
      <c r="AV65" s="430"/>
      <c r="AW65" s="430"/>
      <c r="AX65" s="430"/>
      <c r="AY65" s="430"/>
      <c r="AZ65" s="430"/>
      <c r="BA65" s="430"/>
      <c r="BB65" s="430"/>
    </row>
    <row r="66" spans="1:54" s="417" customFormat="1" ht="15" customHeight="1">
      <c r="A66" s="548" t="s">
        <v>923</v>
      </c>
      <c r="B66" s="535" t="s">
        <v>18</v>
      </c>
      <c r="C66" s="533" t="s">
        <v>994</v>
      </c>
      <c r="D66" s="431"/>
      <c r="E66" s="523"/>
      <c r="F66" s="430"/>
      <c r="G66" s="430"/>
      <c r="H66" s="430"/>
      <c r="I66" s="430"/>
      <c r="J66" s="430"/>
      <c r="K66" s="430"/>
      <c r="L66" s="446">
        <v>0.15</v>
      </c>
      <c r="M66" s="446">
        <v>0.15</v>
      </c>
      <c r="N66" s="446">
        <v>0.15</v>
      </c>
      <c r="O66" s="446">
        <v>0.15</v>
      </c>
      <c r="P66" s="446">
        <v>0.15</v>
      </c>
      <c r="Q66" s="446">
        <v>0.15</v>
      </c>
      <c r="R66" s="446">
        <v>0.15</v>
      </c>
      <c r="S66" s="446">
        <v>0.15</v>
      </c>
      <c r="T66" s="523">
        <v>0</v>
      </c>
      <c r="U66" s="523">
        <v>0</v>
      </c>
      <c r="V66" s="523">
        <v>0</v>
      </c>
      <c r="W66" s="523">
        <v>0</v>
      </c>
      <c r="X66" s="501"/>
      <c r="Y66" s="532"/>
      <c r="Z66" s="532"/>
      <c r="AA66" s="430"/>
      <c r="AB66" s="430"/>
      <c r="AC66" s="430"/>
      <c r="AD66" s="484"/>
      <c r="AE66" s="484"/>
      <c r="AF66" s="484"/>
      <c r="AG66" s="484"/>
      <c r="AH66" s="484"/>
      <c r="AI66" s="484"/>
      <c r="AJ66" s="430"/>
      <c r="AK66" s="430"/>
      <c r="AL66" s="430"/>
      <c r="AM66" s="430"/>
      <c r="AN66" s="430"/>
      <c r="AO66" s="430"/>
      <c r="AP66" s="430"/>
      <c r="AQ66" s="430"/>
      <c r="AR66" s="430"/>
      <c r="AS66" s="430"/>
      <c r="AT66" s="430"/>
      <c r="AU66" s="430"/>
      <c r="AV66" s="430"/>
      <c r="AW66" s="430"/>
      <c r="AX66" s="430"/>
      <c r="AY66" s="430"/>
      <c r="AZ66" s="430"/>
      <c r="BA66" s="430"/>
      <c r="BB66" s="430"/>
    </row>
    <row r="67" spans="1:54" s="30" customFormat="1">
      <c r="A67" s="548" t="s">
        <v>925</v>
      </c>
      <c r="B67" s="535" t="s">
        <v>34</v>
      </c>
      <c r="C67" s="533" t="s">
        <v>926</v>
      </c>
      <c r="D67" s="431"/>
      <c r="E67" s="572"/>
      <c r="F67" s="430"/>
      <c r="G67" s="430"/>
      <c r="H67" s="430"/>
      <c r="I67" s="430"/>
      <c r="J67" s="430"/>
      <c r="K67" s="430"/>
      <c r="L67" s="572">
        <f>'c12_inputs'!$E$7</f>
        <v>0.05</v>
      </c>
      <c r="M67" s="572">
        <f>'c12_inputs'!$E$7</f>
        <v>0.05</v>
      </c>
      <c r="N67" s="572">
        <f>'c12_inputs'!$E$7</f>
        <v>0.05</v>
      </c>
      <c r="O67" s="572">
        <f>'c12_inputs'!$E$7</f>
        <v>0.05</v>
      </c>
      <c r="P67" s="572">
        <f>'c12_inputs'!$E$7</f>
        <v>0.05</v>
      </c>
      <c r="Q67" s="572">
        <f>'c12_inputs'!$E$7</f>
        <v>0.05</v>
      </c>
      <c r="R67" s="572">
        <f>'c12_inputs'!$E$7</f>
        <v>0.05</v>
      </c>
      <c r="S67" s="572">
        <f>'c12_inputs'!$E$7</f>
        <v>0.05</v>
      </c>
      <c r="T67" s="572">
        <f>'c12_inputs'!$E$7</f>
        <v>0.05</v>
      </c>
      <c r="U67" s="572">
        <f>'c12_inputs'!$E$7</f>
        <v>0.05</v>
      </c>
      <c r="V67" s="572">
        <f>'c12_inputs'!$E$7</f>
        <v>0.05</v>
      </c>
      <c r="W67" s="572">
        <f>'c12_inputs'!$E$7</f>
        <v>0.05</v>
      </c>
      <c r="X67" s="430"/>
      <c r="Y67" s="430"/>
      <c r="Z67" s="430"/>
      <c r="AA67" s="430"/>
      <c r="AB67" s="430"/>
      <c r="AC67" s="430"/>
      <c r="AD67" s="430"/>
      <c r="AE67" s="430"/>
      <c r="AF67" s="492"/>
      <c r="AG67" s="492"/>
      <c r="AH67" s="492"/>
      <c r="AI67" s="492"/>
      <c r="AJ67" s="492"/>
      <c r="AK67" s="492"/>
      <c r="AL67" s="492"/>
      <c r="AM67" s="430"/>
      <c r="AN67" s="492"/>
      <c r="AO67" s="492"/>
      <c r="AP67" s="492"/>
      <c r="AQ67" s="492"/>
      <c r="AR67" s="492"/>
      <c r="AS67" s="492"/>
      <c r="AT67" s="492"/>
      <c r="AU67" s="430"/>
      <c r="AV67" s="430"/>
      <c r="AW67" s="430"/>
      <c r="AX67" s="430"/>
      <c r="AY67" s="430"/>
      <c r="AZ67" s="430"/>
      <c r="BA67" s="430"/>
      <c r="BB67" s="430"/>
    </row>
    <row r="68" spans="1:54">
      <c r="A68" s="548" t="s">
        <v>927</v>
      </c>
      <c r="B68" s="442" t="s">
        <v>34</v>
      </c>
      <c r="C68" s="442" t="s">
        <v>928</v>
      </c>
      <c r="D68" s="430"/>
      <c r="E68" s="501"/>
      <c r="F68" s="430"/>
      <c r="G68" s="430"/>
      <c r="H68" s="430"/>
      <c r="I68" s="430"/>
      <c r="J68" s="430"/>
      <c r="K68" s="430"/>
      <c r="L68" s="501">
        <f t="shared" ref="L68:W68" si="12">(L64+L65)*(L31+L52)+(L64+L66)*(L49+L28)</f>
        <v>64367.75</v>
      </c>
      <c r="M68" s="501">
        <f t="shared" si="12"/>
        <v>64367.75</v>
      </c>
      <c r="N68" s="501">
        <f t="shared" si="12"/>
        <v>349567.75</v>
      </c>
      <c r="O68" s="501">
        <f t="shared" si="12"/>
        <v>455617.75</v>
      </c>
      <c r="P68" s="501">
        <f t="shared" si="12"/>
        <v>802071.47666666668</v>
      </c>
      <c r="Q68" s="501">
        <f t="shared" si="12"/>
        <v>1010895.6166666667</v>
      </c>
      <c r="R68" s="501">
        <f t="shared" si="12"/>
        <v>930805.1166666667</v>
      </c>
      <c r="S68" s="501">
        <f t="shared" si="12"/>
        <v>2202770.6166666662</v>
      </c>
      <c r="T68" s="501">
        <f t="shared" si="12"/>
        <v>3632545.9286666662</v>
      </c>
      <c r="U68" s="501">
        <f t="shared" si="12"/>
        <v>2390661.7230533333</v>
      </c>
      <c r="V68" s="501">
        <f t="shared" si="12"/>
        <v>1402740.3872449331</v>
      </c>
      <c r="W68" s="501">
        <f t="shared" si="12"/>
        <v>1388861.7113622813</v>
      </c>
      <c r="X68" s="523"/>
      <c r="Y68" s="532"/>
      <c r="Z68" s="532"/>
      <c r="AA68" s="430"/>
      <c r="AB68" s="430"/>
      <c r="AC68" s="430"/>
      <c r="AD68" s="484"/>
      <c r="AE68" s="484"/>
      <c r="AF68" s="484"/>
      <c r="AG68" s="484"/>
      <c r="AH68" s="484"/>
      <c r="AI68" s="484"/>
      <c r="AJ68" s="430"/>
      <c r="AK68" s="430"/>
      <c r="AL68" s="430"/>
      <c r="AM68" s="430"/>
      <c r="AN68" s="430"/>
      <c r="AO68" s="430"/>
      <c r="AP68" s="430"/>
      <c r="AQ68" s="430"/>
      <c r="AR68" s="430"/>
      <c r="AS68" s="430"/>
      <c r="AT68" s="430"/>
      <c r="AU68" s="430"/>
      <c r="AV68" s="430"/>
      <c r="AW68" s="430"/>
      <c r="AX68" s="430"/>
      <c r="AY68" s="430"/>
      <c r="AZ68" s="430"/>
      <c r="BA68" s="430"/>
      <c r="BB68" s="430"/>
    </row>
    <row r="69" spans="1:54" ht="15" customHeight="1" thickBot="1">
      <c r="A69" s="548" t="s">
        <v>929</v>
      </c>
      <c r="B69" s="442" t="s">
        <v>34</v>
      </c>
      <c r="C69" s="442" t="s">
        <v>930</v>
      </c>
      <c r="D69" s="430"/>
      <c r="E69" s="501"/>
      <c r="F69" s="430"/>
      <c r="G69" s="430"/>
      <c r="H69" s="430"/>
      <c r="I69" s="430"/>
      <c r="J69" s="430"/>
      <c r="K69" s="430"/>
      <c r="L69" s="501">
        <f t="shared" ref="L69:W69" si="13">L67*L58</f>
        <v>0</v>
      </c>
      <c r="M69" s="501">
        <f t="shared" si="13"/>
        <v>0</v>
      </c>
      <c r="N69" s="501">
        <f t="shared" si="13"/>
        <v>0</v>
      </c>
      <c r="O69" s="501">
        <f t="shared" si="13"/>
        <v>0</v>
      </c>
      <c r="P69" s="501">
        <f t="shared" si="13"/>
        <v>4509.4736842105258</v>
      </c>
      <c r="Q69" s="501">
        <f t="shared" si="13"/>
        <v>4509.4736842105258</v>
      </c>
      <c r="R69" s="501">
        <f t="shared" si="13"/>
        <v>4509.4736842105258</v>
      </c>
      <c r="S69" s="501">
        <f t="shared" si="13"/>
        <v>6149.9999999999982</v>
      </c>
      <c r="T69" s="501">
        <f t="shared" si="13"/>
        <v>19678.421052631576</v>
      </c>
      <c r="U69" s="501">
        <f t="shared" si="13"/>
        <v>19678.421052631576</v>
      </c>
      <c r="V69" s="501">
        <f t="shared" si="13"/>
        <v>19678.421052631576</v>
      </c>
      <c r="W69" s="501">
        <f t="shared" si="13"/>
        <v>19678.421052631576</v>
      </c>
      <c r="X69" s="501"/>
      <c r="Y69" s="532"/>
      <c r="Z69" s="532"/>
      <c r="AA69" s="430"/>
      <c r="AB69" s="430"/>
      <c r="AC69" s="430"/>
      <c r="AD69" s="484"/>
      <c r="AE69" s="484"/>
      <c r="AF69" s="484"/>
      <c r="AG69" s="484"/>
      <c r="AH69" s="484"/>
      <c r="AI69" s="484"/>
      <c r="AJ69" s="430"/>
      <c r="AK69" s="430"/>
      <c r="AL69" s="430"/>
      <c r="AM69" s="430"/>
      <c r="AN69" s="430"/>
      <c r="AO69" s="430"/>
      <c r="AP69" s="430"/>
      <c r="AQ69" s="430"/>
      <c r="AR69" s="430"/>
      <c r="AS69" s="430"/>
      <c r="AT69" s="430"/>
      <c r="AU69" s="430"/>
      <c r="AV69" s="430"/>
      <c r="AW69" s="430"/>
      <c r="AX69" s="430"/>
      <c r="AY69" s="430"/>
      <c r="AZ69" s="430"/>
      <c r="BA69" s="430"/>
      <c r="BB69" s="430"/>
    </row>
    <row r="70" spans="1:54" s="417" customFormat="1" ht="15.5" customHeight="1" thickTop="1" thickBot="1">
      <c r="A70" s="558" t="s">
        <v>995</v>
      </c>
      <c r="B70" s="535" t="s">
        <v>14</v>
      </c>
      <c r="C70" s="533" t="s">
        <v>996</v>
      </c>
      <c r="D70" s="431"/>
      <c r="E70" s="568"/>
      <c r="F70" s="430"/>
      <c r="G70" s="430"/>
      <c r="H70" s="430"/>
      <c r="I70" s="430"/>
      <c r="J70" s="430"/>
      <c r="K70" s="430"/>
      <c r="L70" s="569">
        <f t="shared" ref="L70:W70" si="14">L69+L68</f>
        <v>64367.75</v>
      </c>
      <c r="M70" s="569">
        <f t="shared" si="14"/>
        <v>64367.75</v>
      </c>
      <c r="N70" s="569">
        <f t="shared" si="14"/>
        <v>349567.75</v>
      </c>
      <c r="O70" s="569">
        <f t="shared" si="14"/>
        <v>455617.75</v>
      </c>
      <c r="P70" s="569">
        <f t="shared" si="14"/>
        <v>806580.95035087725</v>
      </c>
      <c r="Q70" s="569">
        <f t="shared" si="14"/>
        <v>1015405.0903508773</v>
      </c>
      <c r="R70" s="569">
        <f t="shared" si="14"/>
        <v>935314.59035087726</v>
      </c>
      <c r="S70" s="569">
        <f t="shared" si="14"/>
        <v>2208920.6166666662</v>
      </c>
      <c r="T70" s="568">
        <f t="shared" si="14"/>
        <v>3652224.3497192976</v>
      </c>
      <c r="U70" s="568">
        <f t="shared" si="14"/>
        <v>2410340.1441059648</v>
      </c>
      <c r="V70" s="568">
        <f t="shared" si="14"/>
        <v>1422418.8082975647</v>
      </c>
      <c r="W70" s="568">
        <f t="shared" si="14"/>
        <v>1408540.132414913</v>
      </c>
      <c r="X70" s="523"/>
      <c r="Y70" s="430"/>
      <c r="Z70" s="430"/>
      <c r="AA70" s="430"/>
      <c r="AB70" s="430"/>
      <c r="AC70" s="430"/>
      <c r="AD70" s="430"/>
      <c r="AE70" s="430"/>
      <c r="AF70" s="430"/>
      <c r="AG70" s="430"/>
      <c r="AH70" s="430"/>
      <c r="AI70" s="430"/>
      <c r="AJ70" s="430"/>
      <c r="AK70" s="430"/>
      <c r="AL70" s="430"/>
      <c r="AM70" s="430"/>
      <c r="AN70" s="430"/>
      <c r="AO70" s="430"/>
      <c r="AP70" s="430"/>
      <c r="AQ70" s="430"/>
      <c r="AR70" s="430"/>
      <c r="AS70" s="430"/>
      <c r="AT70" s="430"/>
      <c r="AU70" s="430"/>
      <c r="AV70" s="430"/>
      <c r="AW70" s="430"/>
      <c r="AX70" s="430"/>
      <c r="AY70" s="430"/>
      <c r="AZ70" s="430"/>
      <c r="BA70" s="430"/>
      <c r="BB70" s="430"/>
    </row>
    <row r="71" spans="1:54" ht="15" customHeight="1" thickTop="1">
      <c r="A71" s="540"/>
      <c r="B71" s="430"/>
      <c r="C71" s="430"/>
      <c r="D71" s="430"/>
      <c r="E71" s="501"/>
      <c r="F71" s="430"/>
      <c r="G71" s="430"/>
      <c r="H71" s="430"/>
      <c r="I71" s="430"/>
      <c r="J71" s="430"/>
      <c r="K71" s="430"/>
      <c r="L71" s="501"/>
      <c r="M71" s="501"/>
      <c r="N71" s="501"/>
      <c r="O71" s="501"/>
      <c r="P71" s="501"/>
      <c r="Q71" s="501"/>
      <c r="R71" s="501"/>
      <c r="S71" s="501"/>
      <c r="T71" s="501"/>
      <c r="U71" s="501"/>
      <c r="V71" s="501"/>
      <c r="W71" s="501"/>
      <c r="X71" s="501"/>
      <c r="Y71" s="430"/>
      <c r="Z71" s="430"/>
      <c r="AA71" s="430"/>
      <c r="AB71" s="430"/>
      <c r="AC71" s="430"/>
      <c r="AD71" s="430"/>
      <c r="AE71" s="430"/>
      <c r="AF71" s="430"/>
      <c r="AG71" s="430"/>
      <c r="AH71" s="430"/>
      <c r="AI71" s="430"/>
      <c r="AJ71" s="430"/>
      <c r="AK71" s="430"/>
      <c r="AL71" s="430"/>
      <c r="AM71" s="430"/>
      <c r="AN71" s="430"/>
      <c r="AO71" s="430"/>
      <c r="AP71" s="430"/>
      <c r="AQ71" s="430"/>
      <c r="AR71" s="430"/>
      <c r="AS71" s="430"/>
      <c r="AT71" s="430"/>
      <c r="AU71" s="430"/>
      <c r="AV71" s="430"/>
      <c r="AW71" s="430"/>
      <c r="AX71" s="430"/>
      <c r="AY71" s="430"/>
      <c r="AZ71" s="430"/>
      <c r="BA71" s="430"/>
      <c r="BB71" s="430"/>
    </row>
    <row r="72" spans="1:54" s="30" customFormat="1">
      <c r="A72" s="548" t="s">
        <v>933</v>
      </c>
      <c r="B72" s="535" t="s">
        <v>34</v>
      </c>
      <c r="C72" s="533" t="s">
        <v>934</v>
      </c>
      <c r="D72" s="431"/>
      <c r="E72" s="501"/>
      <c r="F72" s="430"/>
      <c r="G72" s="430"/>
      <c r="H72" s="430"/>
      <c r="I72" s="430"/>
      <c r="J72" s="430"/>
      <c r="K72" s="430"/>
      <c r="L72" s="501">
        <f t="shared" ref="L72:W72" si="15">-(L64+L65)*(L27+L48)</f>
        <v>151477.375</v>
      </c>
      <c r="M72" s="501">
        <f t="shared" si="15"/>
        <v>1276477.375</v>
      </c>
      <c r="N72" s="501">
        <f t="shared" si="15"/>
        <v>588977.375</v>
      </c>
      <c r="O72" s="501">
        <f t="shared" si="15"/>
        <v>383977.375</v>
      </c>
      <c r="P72" s="501">
        <f t="shared" si="15"/>
        <v>582647.79999999993</v>
      </c>
      <c r="Q72" s="501">
        <f t="shared" si="15"/>
        <v>241499.99999999997</v>
      </c>
      <c r="R72" s="501">
        <f t="shared" si="15"/>
        <v>350000</v>
      </c>
      <c r="S72" s="501">
        <f t="shared" si="15"/>
        <v>735000</v>
      </c>
      <c r="T72" s="501">
        <f t="shared" si="15"/>
        <v>1312500</v>
      </c>
      <c r="U72" s="501">
        <f t="shared" si="15"/>
        <v>927499.99999999988</v>
      </c>
      <c r="V72" s="501">
        <f t="shared" si="15"/>
        <v>1400000</v>
      </c>
      <c r="W72" s="501">
        <f t="shared" si="15"/>
        <v>1400000</v>
      </c>
      <c r="X72" s="430"/>
      <c r="Y72" s="430"/>
      <c r="Z72" s="430"/>
      <c r="AA72" s="430"/>
      <c r="AB72" s="430"/>
      <c r="AC72" s="430"/>
      <c r="AD72" s="430"/>
      <c r="AE72" s="430"/>
      <c r="AF72" s="492"/>
      <c r="AG72" s="492"/>
      <c r="AH72" s="492"/>
      <c r="AI72" s="492"/>
      <c r="AJ72" s="492"/>
      <c r="AK72" s="492"/>
      <c r="AL72" s="492"/>
      <c r="AM72" s="430"/>
      <c r="AN72" s="492"/>
      <c r="AO72" s="492"/>
      <c r="AP72" s="492"/>
      <c r="AQ72" s="492"/>
      <c r="AR72" s="492"/>
      <c r="AS72" s="492"/>
      <c r="AT72" s="492"/>
      <c r="AU72" s="430"/>
      <c r="AV72" s="430"/>
      <c r="AW72" s="430"/>
      <c r="AX72" s="430"/>
      <c r="AY72" s="430"/>
      <c r="AZ72" s="430"/>
      <c r="BA72" s="430"/>
      <c r="BB72" s="430"/>
    </row>
    <row r="73" spans="1:54" s="30" customFormat="1">
      <c r="A73" s="548" t="s">
        <v>935</v>
      </c>
      <c r="B73" s="535" t="s">
        <v>34</v>
      </c>
      <c r="C73" s="533" t="s">
        <v>936</v>
      </c>
      <c r="D73" s="431"/>
      <c r="E73" s="501"/>
      <c r="F73" s="430"/>
      <c r="G73" s="430"/>
      <c r="H73" s="430"/>
      <c r="I73" s="430"/>
      <c r="J73" s="430"/>
      <c r="K73" s="430"/>
      <c r="L73" s="501">
        <f t="shared" ref="L73:W73" si="16">-(L64+L66)*(L28+L49)</f>
        <v>0</v>
      </c>
      <c r="M73" s="501">
        <f t="shared" si="16"/>
        <v>0</v>
      </c>
      <c r="N73" s="501">
        <f t="shared" si="16"/>
        <v>0</v>
      </c>
      <c r="O73" s="501">
        <f t="shared" si="16"/>
        <v>0</v>
      </c>
      <c r="P73" s="501">
        <f t="shared" si="16"/>
        <v>-754323.66</v>
      </c>
      <c r="Q73" s="501">
        <f t="shared" si="16"/>
        <v>-588750</v>
      </c>
      <c r="R73" s="501">
        <f t="shared" si="16"/>
        <v>-634659.5</v>
      </c>
      <c r="S73" s="501">
        <f t="shared" si="16"/>
        <v>-686000</v>
      </c>
      <c r="T73" s="501">
        <f t="shared" si="16"/>
        <v>-1725171.2379999999</v>
      </c>
      <c r="U73" s="501">
        <f t="shared" si="16"/>
        <v>-1312500</v>
      </c>
      <c r="V73" s="501">
        <f t="shared" si="16"/>
        <v>-227500</v>
      </c>
      <c r="W73" s="501">
        <f t="shared" si="16"/>
        <v>-699999.88333333342</v>
      </c>
      <c r="X73" s="430"/>
      <c r="Y73" s="430"/>
      <c r="Z73" s="430"/>
      <c r="AA73" s="430"/>
      <c r="AB73" s="430"/>
      <c r="AC73" s="430"/>
      <c r="AD73" s="430"/>
      <c r="AE73" s="430"/>
      <c r="AF73" s="492"/>
      <c r="AG73" s="492"/>
      <c r="AH73" s="492"/>
      <c r="AI73" s="492"/>
      <c r="AJ73" s="492"/>
      <c r="AK73" s="492"/>
      <c r="AL73" s="492"/>
      <c r="AM73" s="430"/>
      <c r="AN73" s="492"/>
      <c r="AO73" s="492"/>
      <c r="AP73" s="492"/>
      <c r="AQ73" s="492"/>
      <c r="AR73" s="492"/>
      <c r="AS73" s="492"/>
      <c r="AT73" s="492"/>
      <c r="AU73" s="430"/>
      <c r="AV73" s="430"/>
      <c r="AW73" s="430"/>
      <c r="AX73" s="430"/>
      <c r="AY73" s="430"/>
      <c r="AZ73" s="430"/>
      <c r="BA73" s="430"/>
      <c r="BB73" s="430"/>
    </row>
    <row r="74" spans="1:54">
      <c r="A74" s="548" t="s">
        <v>937</v>
      </c>
      <c r="B74" s="442" t="s">
        <v>18</v>
      </c>
      <c r="C74" s="442" t="s">
        <v>938</v>
      </c>
      <c r="D74" s="430"/>
      <c r="E74" s="501"/>
      <c r="F74" s="430"/>
      <c r="G74" s="430"/>
      <c r="H74" s="430"/>
      <c r="I74" s="430"/>
      <c r="J74" s="430"/>
      <c r="K74" s="430"/>
      <c r="L74" s="551">
        <f>SUM(L72:L73)+E74</f>
        <v>151477.375</v>
      </c>
      <c r="M74" s="551">
        <f t="shared" ref="M74:W74" si="17">SUM(M72:M73)+L74</f>
        <v>1427954.75</v>
      </c>
      <c r="N74" s="551">
        <f t="shared" si="17"/>
        <v>2016932.125</v>
      </c>
      <c r="O74" s="551">
        <f t="shared" si="17"/>
        <v>2400909.5</v>
      </c>
      <c r="P74" s="551">
        <f t="shared" si="17"/>
        <v>2229233.6399999997</v>
      </c>
      <c r="Q74" s="551">
        <f t="shared" si="17"/>
        <v>1881983.6399999997</v>
      </c>
      <c r="R74" s="551">
        <f t="shared" si="17"/>
        <v>1597324.1399999997</v>
      </c>
      <c r="S74" s="551">
        <f t="shared" si="17"/>
        <v>1646324.1399999997</v>
      </c>
      <c r="T74" s="501">
        <f t="shared" si="17"/>
        <v>1233652.9019999998</v>
      </c>
      <c r="U74" s="501">
        <f t="shared" si="17"/>
        <v>848652.90199999965</v>
      </c>
      <c r="V74" s="501">
        <f t="shared" si="17"/>
        <v>2021152.9019999998</v>
      </c>
      <c r="W74" s="501">
        <f t="shared" si="17"/>
        <v>2721153.0186666665</v>
      </c>
      <c r="X74" s="501"/>
      <c r="Y74" s="430"/>
      <c r="Z74" s="430"/>
      <c r="AA74" s="430"/>
      <c r="AB74" s="430"/>
      <c r="AC74" s="430"/>
      <c r="AD74" s="430"/>
      <c r="AE74" s="430"/>
      <c r="AF74" s="430"/>
      <c r="AG74" s="430"/>
      <c r="AH74" s="430"/>
      <c r="AI74" s="430"/>
      <c r="AJ74" s="430"/>
      <c r="AK74" s="430"/>
      <c r="AL74" s="430"/>
      <c r="AM74" s="430"/>
      <c r="AN74" s="430"/>
      <c r="AO74" s="430"/>
      <c r="AP74" s="430"/>
      <c r="AQ74" s="430"/>
      <c r="AR74" s="430"/>
      <c r="AS74" s="430"/>
      <c r="AT74" s="430"/>
      <c r="AU74" s="430"/>
      <c r="AV74" s="430"/>
      <c r="AW74" s="430"/>
      <c r="AX74" s="430"/>
      <c r="AY74" s="430"/>
      <c r="AZ74" s="430"/>
      <c r="BA74" s="430"/>
      <c r="BB74" s="430"/>
    </row>
    <row r="75" spans="1:54">
      <c r="A75" s="430"/>
      <c r="B75" s="430"/>
      <c r="C75" s="430"/>
      <c r="D75" s="430"/>
      <c r="E75" s="501"/>
      <c r="F75" s="430"/>
      <c r="G75" s="430"/>
      <c r="H75" s="430"/>
      <c r="I75" s="430"/>
      <c r="J75" s="430"/>
      <c r="K75" s="430"/>
      <c r="L75" s="501"/>
      <c r="M75" s="501"/>
      <c r="N75" s="501"/>
      <c r="O75" s="501"/>
      <c r="P75" s="501"/>
      <c r="Q75" s="501"/>
      <c r="R75" s="501"/>
      <c r="S75" s="501"/>
      <c r="T75" s="501"/>
      <c r="U75" s="501"/>
      <c r="V75" s="501"/>
      <c r="W75" s="501"/>
      <c r="X75" s="501"/>
      <c r="Y75" s="430"/>
      <c r="Z75" s="430"/>
      <c r="AA75" s="430"/>
      <c r="AB75" s="430"/>
      <c r="AC75" s="430"/>
      <c r="AD75" s="430"/>
      <c r="AE75" s="430"/>
      <c r="AF75" s="430"/>
      <c r="AG75" s="430"/>
      <c r="AH75" s="430"/>
      <c r="AI75" s="430"/>
      <c r="AJ75" s="430"/>
      <c r="AK75" s="430"/>
      <c r="AL75" s="430"/>
      <c r="AM75" s="430"/>
      <c r="AN75" s="430"/>
      <c r="AO75" s="430"/>
      <c r="AP75" s="430"/>
      <c r="AQ75" s="430"/>
      <c r="AR75" s="430"/>
      <c r="AS75" s="430"/>
      <c r="AT75" s="430"/>
      <c r="AU75" s="430"/>
      <c r="AV75" s="430"/>
      <c r="AW75" s="430"/>
      <c r="AX75" s="430"/>
      <c r="AY75" s="430"/>
      <c r="AZ75" s="430"/>
      <c r="BA75" s="430"/>
      <c r="BB75" s="430"/>
    </row>
    <row r="76" spans="1:54">
      <c r="A76" s="548" t="s">
        <v>940</v>
      </c>
      <c r="B76" s="430"/>
      <c r="C76" s="430"/>
      <c r="D76" s="430"/>
      <c r="E76" s="430"/>
      <c r="F76" s="430"/>
      <c r="G76" s="430"/>
      <c r="H76" s="430"/>
      <c r="I76" s="430"/>
      <c r="J76" s="430"/>
      <c r="K76" s="430"/>
      <c r="L76" s="430"/>
      <c r="M76" s="430"/>
      <c r="N76" s="430"/>
      <c r="O76" s="430"/>
      <c r="P76" s="430"/>
      <c r="Q76" s="430"/>
      <c r="R76" s="430"/>
      <c r="S76" s="430"/>
      <c r="T76" s="430"/>
      <c r="U76" s="430"/>
      <c r="V76" s="430"/>
      <c r="W76" s="430"/>
      <c r="X76" s="430"/>
      <c r="Y76" s="430"/>
      <c r="Z76" s="430"/>
      <c r="AA76" s="430"/>
      <c r="AB76" s="430"/>
      <c r="AC76" s="430"/>
      <c r="AD76" s="430"/>
      <c r="AE76" s="430"/>
      <c r="AF76" s="430"/>
      <c r="AG76" s="430"/>
      <c r="AH76" s="430"/>
      <c r="AI76" s="430"/>
      <c r="AJ76" s="430"/>
      <c r="AK76" s="430"/>
      <c r="AL76" s="430"/>
      <c r="AM76" s="430"/>
      <c r="AN76" s="430"/>
      <c r="AO76" s="430"/>
      <c r="AP76" s="430"/>
      <c r="AQ76" s="430"/>
      <c r="AR76" s="430"/>
      <c r="AS76" s="430"/>
      <c r="AT76" s="430"/>
      <c r="AU76" s="430"/>
      <c r="AV76" s="430"/>
      <c r="AW76" s="430"/>
      <c r="AX76" s="430"/>
      <c r="AY76" s="430"/>
      <c r="AZ76" s="430"/>
      <c r="BA76" s="430"/>
      <c r="BB76" s="430"/>
    </row>
    <row r="77" spans="1:54" s="30" customFormat="1" ht="14.65" customHeight="1">
      <c r="A77" s="510" t="s">
        <v>941</v>
      </c>
      <c r="B77" s="535" t="s">
        <v>34</v>
      </c>
      <c r="C77" s="533" t="s">
        <v>942</v>
      </c>
      <c r="D77" s="431"/>
      <c r="E77" s="492"/>
      <c r="F77" s="430"/>
      <c r="G77" s="430"/>
      <c r="H77" s="430"/>
      <c r="I77" s="430"/>
      <c r="J77" s="430"/>
      <c r="K77" s="430"/>
      <c r="L77" s="492">
        <f>'.c12_d&amp;s_hr'!L45</f>
        <v>515519.99999999994</v>
      </c>
      <c r="M77" s="492">
        <f>'.c12_d&amp;s_hr'!M45</f>
        <v>515519.99999999994</v>
      </c>
      <c r="N77" s="492">
        <f>'.c12_d&amp;s_hr'!N45</f>
        <v>515519.99999999994</v>
      </c>
      <c r="O77" s="492">
        <f>'.c12_d&amp;s_hr'!O45</f>
        <v>1652177.5</v>
      </c>
      <c r="P77" s="492">
        <f>'.c12_d&amp;s_hr'!P45</f>
        <v>560159.99999999988</v>
      </c>
      <c r="Q77" s="492">
        <f>'.c12_d&amp;s_hr'!Q45</f>
        <v>520559.99999999994</v>
      </c>
      <c r="R77" s="492">
        <f>'.c12_d&amp;s_hr'!R45</f>
        <v>560159.99999999988</v>
      </c>
      <c r="S77" s="492">
        <f>'.c12_d&amp;s_hr'!S45</f>
        <v>1221223.75</v>
      </c>
      <c r="T77" s="492">
        <f>'.c12_d&amp;s_hr'!T45</f>
        <v>2809492.4999999995</v>
      </c>
      <c r="U77" s="492">
        <f>'.c12_d&amp;s_hr'!U45</f>
        <v>2809492.4999999995</v>
      </c>
      <c r="V77" s="492">
        <f>'.c12_d&amp;s_hr'!V45</f>
        <v>2809492.4999999995</v>
      </c>
      <c r="W77" s="492">
        <f>'.c12_d&amp;s_hr'!W45</f>
        <v>2809492.4999999995</v>
      </c>
      <c r="X77" s="490"/>
      <c r="Y77" s="532"/>
      <c r="Z77" s="430"/>
      <c r="AA77" s="430"/>
      <c r="AB77" s="430"/>
      <c r="AC77" s="430"/>
      <c r="AD77" s="430"/>
      <c r="AE77" s="430"/>
      <c r="AF77" s="430"/>
      <c r="AG77" s="430"/>
      <c r="AH77" s="430"/>
      <c r="AI77" s="430"/>
      <c r="AJ77" s="430"/>
      <c r="AK77" s="430"/>
      <c r="AL77" s="430"/>
      <c r="AM77" s="430"/>
      <c r="AN77" s="430"/>
      <c r="AO77" s="430"/>
      <c r="AP77" s="430"/>
      <c r="AQ77" s="430"/>
      <c r="AR77" s="430"/>
      <c r="AS77" s="430"/>
      <c r="AT77" s="430"/>
      <c r="AU77" s="430"/>
      <c r="AV77" s="430"/>
      <c r="AW77" s="430"/>
      <c r="AX77" s="430"/>
      <c r="AY77" s="430"/>
      <c r="AZ77" s="430"/>
      <c r="BA77" s="430"/>
      <c r="BB77" s="430"/>
    </row>
    <row r="78" spans="1:54" s="30" customFormat="1">
      <c r="A78" s="510" t="s">
        <v>943</v>
      </c>
      <c r="B78" s="535" t="s">
        <v>14</v>
      </c>
      <c r="C78" s="533" t="s">
        <v>944</v>
      </c>
      <c r="D78" s="431"/>
      <c r="E78" s="492"/>
      <c r="F78" s="430"/>
      <c r="G78" s="430"/>
      <c r="H78" s="430"/>
      <c r="I78" s="430"/>
      <c r="J78" s="430"/>
      <c r="K78" s="430"/>
      <c r="L78" s="573">
        <f>'.c12_d&amp;s_hr'!L46</f>
        <v>84959.999999999985</v>
      </c>
      <c r="M78" s="573">
        <f>'.c12_d&amp;s_hr'!M46</f>
        <v>84959.999999999985</v>
      </c>
      <c r="N78" s="573">
        <f>'.c12_d&amp;s_hr'!N46</f>
        <v>84959.999999999985</v>
      </c>
      <c r="O78" s="573">
        <f>'.c12_d&amp;s_hr'!O46</f>
        <v>123922.5</v>
      </c>
      <c r="P78" s="573">
        <f>'.c12_d&amp;s_hr'!P46</f>
        <v>85679.999999999985</v>
      </c>
      <c r="Q78" s="573">
        <f>'.c12_d&amp;s_hr'!Q46</f>
        <v>85679.999999999985</v>
      </c>
      <c r="R78" s="573">
        <f>'.c12_d&amp;s_hr'!R46</f>
        <v>85679.999999999985</v>
      </c>
      <c r="S78" s="573">
        <f>'.c12_d&amp;s_hr'!S46</f>
        <v>116849.99999999997</v>
      </c>
      <c r="T78" s="492">
        <f>'.c12_d&amp;s_hr'!T46</f>
        <v>373889.99999999994</v>
      </c>
      <c r="U78" s="492">
        <f>'.c12_d&amp;s_hr'!U46</f>
        <v>373889.99999999994</v>
      </c>
      <c r="V78" s="492">
        <f>'.c12_d&amp;s_hr'!V46</f>
        <v>373889.99999999994</v>
      </c>
      <c r="W78" s="492">
        <f>'.c12_d&amp;s_hr'!W46</f>
        <v>373889.99999999994</v>
      </c>
      <c r="X78" s="430"/>
      <c r="Y78" s="430"/>
      <c r="Z78" s="430"/>
      <c r="AA78" s="430"/>
      <c r="AB78" s="430"/>
      <c r="AC78" s="430"/>
      <c r="AD78" s="430"/>
      <c r="AE78" s="430"/>
      <c r="AF78" s="430"/>
      <c r="AG78" s="430"/>
      <c r="AH78" s="430"/>
      <c r="AI78" s="478"/>
      <c r="AJ78" s="430"/>
      <c r="AK78" s="430"/>
      <c r="AL78" s="430"/>
      <c r="AM78" s="430"/>
      <c r="AN78" s="430"/>
      <c r="AO78" s="430"/>
      <c r="AP78" s="430"/>
      <c r="AQ78" s="430"/>
      <c r="AR78" s="430"/>
      <c r="AS78" s="430"/>
      <c r="AT78" s="430"/>
      <c r="AU78" s="430"/>
      <c r="AV78" s="430"/>
      <c r="AW78" s="430"/>
      <c r="AX78" s="430"/>
      <c r="AY78" s="430"/>
      <c r="AZ78" s="430"/>
      <c r="BA78" s="430"/>
      <c r="BB78" s="430"/>
    </row>
    <row r="79" spans="1:54" s="30" customFormat="1">
      <c r="A79" s="510" t="s">
        <v>945</v>
      </c>
      <c r="B79" s="535" t="s">
        <v>14</v>
      </c>
      <c r="C79" s="533" t="s">
        <v>946</v>
      </c>
      <c r="D79" s="431"/>
      <c r="E79" s="492"/>
      <c r="F79" s="430"/>
      <c r="G79" s="430"/>
      <c r="H79" s="430"/>
      <c r="I79" s="430"/>
      <c r="J79" s="430"/>
      <c r="K79" s="430"/>
      <c r="L79" s="573">
        <f>'.c12_d&amp;s_hr'!L47</f>
        <v>430560</v>
      </c>
      <c r="M79" s="573">
        <f>'.c12_d&amp;s_hr'!M47</f>
        <v>430560</v>
      </c>
      <c r="N79" s="573">
        <f>'.c12_d&amp;s_hr'!N47</f>
        <v>430560</v>
      </c>
      <c r="O79" s="573">
        <f>'.c12_d&amp;s_hr'!O47</f>
        <v>1528255</v>
      </c>
      <c r="P79" s="573">
        <f>'.c12_d&amp;s_hr'!P47</f>
        <v>474480</v>
      </c>
      <c r="Q79" s="573">
        <f>'.c12_d&amp;s_hr'!Q47</f>
        <v>434880</v>
      </c>
      <c r="R79" s="573">
        <f>'.c12_d&amp;s_hr'!R47</f>
        <v>474480</v>
      </c>
      <c r="S79" s="573">
        <f>'.c12_d&amp;s_hr'!S47</f>
        <v>1104373.75</v>
      </c>
      <c r="T79" s="492">
        <f>'.c12_d&amp;s_hr'!T47</f>
        <v>2435602.4999999995</v>
      </c>
      <c r="U79" s="492">
        <f>'.c12_d&amp;s_hr'!U47</f>
        <v>2435602.4999999995</v>
      </c>
      <c r="V79" s="492">
        <f>'.c12_d&amp;s_hr'!V47</f>
        <v>2435602.4999999995</v>
      </c>
      <c r="W79" s="492">
        <f>'.c12_d&amp;s_hr'!W47</f>
        <v>2435602.4999999995</v>
      </c>
      <c r="X79" s="430"/>
      <c r="Y79" s="430"/>
      <c r="Z79" s="430"/>
      <c r="AA79" s="430"/>
      <c r="AB79" s="430"/>
      <c r="AC79" s="430"/>
      <c r="AD79" s="430"/>
      <c r="AE79" s="430"/>
      <c r="AF79" s="430"/>
      <c r="AG79" s="430"/>
      <c r="AH79" s="430"/>
      <c r="AI79" s="478"/>
      <c r="AJ79" s="430"/>
      <c r="AK79" s="430"/>
      <c r="AL79" s="430"/>
      <c r="AM79" s="430"/>
      <c r="AN79" s="430"/>
      <c r="AO79" s="430"/>
      <c r="AP79" s="430"/>
      <c r="AQ79" s="430"/>
      <c r="AR79" s="430"/>
      <c r="AS79" s="430"/>
      <c r="AT79" s="430"/>
      <c r="AU79" s="430"/>
      <c r="AV79" s="430"/>
      <c r="AW79" s="430"/>
      <c r="AX79" s="430"/>
      <c r="AY79" s="430"/>
      <c r="AZ79" s="430"/>
      <c r="BA79" s="430"/>
      <c r="BB79" s="430"/>
    </row>
    <row r="80" spans="1:54" s="30" customFormat="1">
      <c r="A80" s="510" t="s">
        <v>947</v>
      </c>
      <c r="B80" s="535" t="s">
        <v>34</v>
      </c>
      <c r="C80" s="533" t="s">
        <v>948</v>
      </c>
      <c r="D80" s="431"/>
      <c r="E80" s="492"/>
      <c r="F80" s="430"/>
      <c r="G80" s="430"/>
      <c r="H80" s="430"/>
      <c r="I80" s="430"/>
      <c r="J80" s="430"/>
      <c r="K80" s="430"/>
      <c r="L80" s="492">
        <f>'.c12_d&amp;s_hr'!L48</f>
        <v>0</v>
      </c>
      <c r="M80" s="492">
        <f>'.c12_d&amp;s_hr'!M48</f>
        <v>0</v>
      </c>
      <c r="N80" s="492">
        <f>'.c12_d&amp;s_hr'!N48</f>
        <v>0</v>
      </c>
      <c r="O80" s="492">
        <f>'.c12_d&amp;s_hr'!O48</f>
        <v>0</v>
      </c>
      <c r="P80" s="492">
        <f>'.c12_d&amp;s_hr'!P48</f>
        <v>0</v>
      </c>
      <c r="Q80" s="492">
        <f>'.c12_d&amp;s_hr'!Q48</f>
        <v>0</v>
      </c>
      <c r="R80" s="492">
        <f>'.c12_d&amp;s_hr'!R48</f>
        <v>0</v>
      </c>
      <c r="S80" s="492">
        <f>'.c12_d&amp;s_hr'!S48</f>
        <v>0</v>
      </c>
      <c r="T80" s="492">
        <f>'.c12_d&amp;s_hr'!T48</f>
        <v>0</v>
      </c>
      <c r="U80" s="492">
        <f>'.c12_d&amp;s_hr'!U48</f>
        <v>0</v>
      </c>
      <c r="V80" s="492">
        <f>'.c12_d&amp;s_hr'!V48</f>
        <v>0</v>
      </c>
      <c r="W80" s="492">
        <f>'.c12_d&amp;s_hr'!W48</f>
        <v>0</v>
      </c>
      <c r="X80" s="430"/>
      <c r="Y80" s="430"/>
      <c r="Z80" s="430"/>
      <c r="AA80" s="430"/>
      <c r="AB80" s="430"/>
      <c r="AC80" s="430"/>
      <c r="AD80" s="430"/>
      <c r="AE80" s="430"/>
      <c r="AF80" s="430"/>
      <c r="AG80" s="430"/>
      <c r="AH80" s="430"/>
      <c r="AI80" s="478"/>
      <c r="AJ80" s="430"/>
      <c r="AK80" s="430"/>
      <c r="AL80" s="430"/>
      <c r="AM80" s="430"/>
      <c r="AN80" s="430"/>
      <c r="AO80" s="430"/>
      <c r="AP80" s="430"/>
      <c r="AQ80" s="430"/>
      <c r="AR80" s="430"/>
      <c r="AS80" s="430"/>
      <c r="AT80" s="430"/>
      <c r="AU80" s="430"/>
      <c r="AV80" s="430"/>
      <c r="AW80" s="430"/>
      <c r="AX80" s="430"/>
      <c r="AY80" s="430"/>
      <c r="AZ80" s="430"/>
      <c r="BA80" s="430"/>
      <c r="BB80" s="430"/>
    </row>
    <row r="81" spans="1:54">
      <c r="A81" s="430"/>
      <c r="B81" s="430"/>
      <c r="C81" s="430"/>
      <c r="D81" s="430"/>
      <c r="E81" s="430"/>
      <c r="F81" s="430"/>
      <c r="G81" s="430"/>
      <c r="H81" s="430"/>
      <c r="I81" s="430"/>
      <c r="J81" s="430"/>
      <c r="K81" s="430"/>
      <c r="L81" s="430"/>
      <c r="M81" s="430"/>
      <c r="N81" s="430"/>
      <c r="O81" s="430"/>
      <c r="P81" s="430"/>
      <c r="Q81" s="430"/>
      <c r="R81" s="430"/>
      <c r="S81" s="430"/>
      <c r="T81" s="430"/>
      <c r="U81" s="430"/>
      <c r="V81" s="430"/>
      <c r="W81" s="430"/>
      <c r="X81" s="430"/>
      <c r="Y81" s="430"/>
      <c r="Z81" s="430"/>
      <c r="AA81" s="430"/>
      <c r="AB81" s="430"/>
      <c r="AC81" s="430"/>
      <c r="AD81" s="430"/>
      <c r="AE81" s="430"/>
      <c r="AF81" s="430"/>
      <c r="AG81" s="430"/>
      <c r="AH81" s="430"/>
      <c r="AI81" s="430"/>
      <c r="AJ81" s="430"/>
      <c r="AK81" s="430"/>
      <c r="AL81" s="430"/>
      <c r="AM81" s="430"/>
      <c r="AN81" s="430"/>
      <c r="AO81" s="430"/>
      <c r="AP81" s="430"/>
      <c r="AQ81" s="430"/>
      <c r="AR81" s="430"/>
      <c r="AS81" s="430"/>
      <c r="AT81" s="430"/>
      <c r="AU81" s="430"/>
      <c r="AV81" s="430"/>
      <c r="AW81" s="430"/>
      <c r="AX81" s="430"/>
      <c r="AY81" s="430"/>
      <c r="AZ81" s="430"/>
      <c r="BA81" s="430"/>
      <c r="BB81" s="430"/>
    </row>
    <row r="82" spans="1:54">
      <c r="A82" s="430"/>
      <c r="B82" s="430"/>
      <c r="C82" s="430"/>
      <c r="D82" s="430"/>
      <c r="E82" s="430"/>
      <c r="F82" s="430"/>
      <c r="G82" s="430"/>
      <c r="H82" s="430"/>
      <c r="I82" s="430"/>
      <c r="J82" s="430"/>
      <c r="K82" s="430"/>
      <c r="L82" s="430"/>
      <c r="M82" s="430"/>
      <c r="N82" s="430"/>
      <c r="O82" s="430"/>
      <c r="P82" s="430"/>
      <c r="Q82" s="430"/>
      <c r="R82" s="430"/>
      <c r="S82" s="430"/>
      <c r="T82" s="430"/>
      <c r="U82" s="430"/>
      <c r="V82" s="430"/>
      <c r="W82" s="430"/>
      <c r="X82" s="430"/>
      <c r="Y82" s="430"/>
      <c r="Z82" s="430"/>
      <c r="AA82" s="430"/>
      <c r="AB82" s="430"/>
      <c r="AC82" s="430"/>
      <c r="AD82" s="430"/>
      <c r="AE82" s="430"/>
      <c r="AF82" s="430"/>
      <c r="AG82" s="430"/>
      <c r="AH82" s="430"/>
      <c r="AI82" s="430"/>
      <c r="AJ82" s="430"/>
      <c r="AK82" s="430"/>
      <c r="AL82" s="430"/>
      <c r="AM82" s="430"/>
      <c r="AN82" s="430"/>
      <c r="AO82" s="430"/>
      <c r="AP82" s="430"/>
      <c r="AQ82" s="430"/>
      <c r="AR82" s="430"/>
      <c r="AS82" s="430"/>
      <c r="AT82" s="430"/>
      <c r="AU82" s="430"/>
      <c r="AV82" s="430"/>
      <c r="AW82" s="430"/>
      <c r="AX82" s="430"/>
      <c r="AY82" s="430"/>
      <c r="AZ82" s="430"/>
      <c r="BA82" s="430"/>
      <c r="BB82" s="430"/>
    </row>
    <row r="83" spans="1:54">
      <c r="A83" s="430"/>
      <c r="B83" s="430"/>
      <c r="C83" s="430"/>
      <c r="D83" s="430"/>
      <c r="E83" s="430"/>
      <c r="F83" s="430"/>
      <c r="G83" s="430"/>
      <c r="H83" s="430"/>
      <c r="I83" s="430"/>
      <c r="J83" s="430"/>
      <c r="K83" s="430"/>
      <c r="L83" s="430"/>
      <c r="M83" s="430"/>
      <c r="N83" s="430"/>
      <c r="O83" s="430"/>
      <c r="P83" s="430"/>
      <c r="Q83" s="430"/>
      <c r="R83" s="430"/>
      <c r="S83" s="430"/>
      <c r="T83" s="430"/>
      <c r="U83" s="430"/>
      <c r="V83" s="430"/>
      <c r="W83" s="430"/>
      <c r="X83" s="430"/>
      <c r="Y83" s="430"/>
      <c r="Z83" s="430"/>
      <c r="AA83" s="430"/>
      <c r="AB83" s="430"/>
      <c r="AC83" s="430"/>
      <c r="AD83" s="430"/>
      <c r="AE83" s="430"/>
      <c r="AF83" s="430"/>
      <c r="AG83" s="430"/>
      <c r="AH83" s="430"/>
      <c r="AI83" s="430"/>
      <c r="AJ83" s="430"/>
      <c r="AK83" s="430"/>
      <c r="AL83" s="430"/>
      <c r="AM83" s="430"/>
      <c r="AN83" s="430"/>
      <c r="AO83" s="430"/>
      <c r="AP83" s="430"/>
      <c r="AQ83" s="430"/>
      <c r="AR83" s="430"/>
      <c r="AS83" s="430"/>
      <c r="AT83" s="430"/>
      <c r="AU83" s="430"/>
      <c r="AV83" s="430"/>
      <c r="AW83" s="430"/>
      <c r="AX83" s="430"/>
      <c r="AY83" s="430"/>
      <c r="AZ83" s="430"/>
      <c r="BA83" s="430"/>
      <c r="BB83" s="430"/>
    </row>
    <row r="84" spans="1:54">
      <c r="A84" s="430"/>
      <c r="B84" s="430"/>
      <c r="C84" s="430"/>
      <c r="D84" s="430"/>
      <c r="E84" s="430"/>
      <c r="F84" s="430"/>
      <c r="G84" s="430"/>
      <c r="H84" s="430"/>
      <c r="I84" s="430"/>
      <c r="J84" s="430"/>
      <c r="K84" s="430"/>
      <c r="L84" s="430"/>
      <c r="M84" s="430"/>
      <c r="N84" s="430"/>
      <c r="O84" s="430"/>
      <c r="P84" s="430"/>
      <c r="Q84" s="430"/>
      <c r="R84" s="430"/>
      <c r="S84" s="430"/>
      <c r="T84" s="430"/>
      <c r="U84" s="430"/>
      <c r="V84" s="430"/>
      <c r="W84" s="430"/>
      <c r="X84" s="430"/>
      <c r="Y84" s="430"/>
      <c r="Z84" s="430"/>
      <c r="AA84" s="430"/>
      <c r="AB84" s="430"/>
      <c r="AC84" s="430"/>
      <c r="AD84" s="430"/>
      <c r="AE84" s="430"/>
      <c r="AF84" s="430"/>
      <c r="AG84" s="430"/>
      <c r="AH84" s="430"/>
      <c r="AI84" s="430"/>
      <c r="AJ84" s="430"/>
      <c r="AK84" s="430"/>
      <c r="AL84" s="430"/>
      <c r="AM84" s="430"/>
      <c r="AN84" s="430"/>
      <c r="AO84" s="430"/>
      <c r="AP84" s="430"/>
      <c r="AQ84" s="430"/>
      <c r="AR84" s="430"/>
      <c r="AS84" s="430"/>
      <c r="AT84" s="430"/>
      <c r="AU84" s="430"/>
      <c r="AV84" s="430"/>
      <c r="AW84" s="430"/>
      <c r="AX84" s="430"/>
      <c r="AY84" s="430"/>
      <c r="AZ84" s="430"/>
      <c r="BA84" s="430"/>
      <c r="BB84" s="430"/>
    </row>
    <row r="85" spans="1:54">
      <c r="A85" s="430"/>
      <c r="B85" s="430"/>
      <c r="C85" s="430"/>
      <c r="D85" s="430"/>
      <c r="E85" s="430"/>
      <c r="F85" s="430"/>
      <c r="G85" s="430"/>
      <c r="H85" s="430"/>
      <c r="I85" s="430"/>
      <c r="J85" s="430"/>
      <c r="K85" s="430"/>
      <c r="L85" s="430"/>
      <c r="M85" s="430"/>
      <c r="N85" s="430"/>
      <c r="O85" s="430"/>
      <c r="P85" s="430"/>
      <c r="Q85" s="430"/>
      <c r="R85" s="430"/>
      <c r="S85" s="430"/>
      <c r="T85" s="430"/>
      <c r="U85" s="430"/>
      <c r="V85" s="430"/>
      <c r="W85" s="430"/>
      <c r="X85" s="430"/>
      <c r="Y85" s="430"/>
      <c r="Z85" s="430"/>
      <c r="AA85" s="430"/>
      <c r="AB85" s="430"/>
      <c r="AC85" s="430"/>
      <c r="AD85" s="430"/>
      <c r="AE85" s="430"/>
      <c r="AF85" s="430"/>
      <c r="AG85" s="430"/>
      <c r="AH85" s="430"/>
      <c r="AI85" s="430"/>
      <c r="AJ85" s="430"/>
      <c r="AK85" s="430"/>
      <c r="AL85" s="430"/>
      <c r="AM85" s="430"/>
      <c r="AN85" s="430"/>
      <c r="AO85" s="430"/>
      <c r="AP85" s="430"/>
      <c r="AQ85" s="430"/>
      <c r="AR85" s="430"/>
      <c r="AS85" s="430"/>
      <c r="AT85" s="430"/>
      <c r="AU85" s="430"/>
      <c r="AV85" s="430"/>
      <c r="AW85" s="430"/>
      <c r="AX85" s="430"/>
      <c r="AY85" s="430"/>
      <c r="AZ85" s="430"/>
      <c r="BA85" s="430"/>
      <c r="BB85" s="430"/>
    </row>
    <row r="86" spans="1:54">
      <c r="A86" s="430"/>
      <c r="B86" s="430"/>
      <c r="C86" s="430"/>
      <c r="D86" s="430"/>
      <c r="E86" s="430"/>
      <c r="F86" s="430"/>
      <c r="G86" s="430"/>
      <c r="H86" s="430"/>
      <c r="I86" s="430"/>
      <c r="J86" s="430"/>
      <c r="K86" s="430"/>
      <c r="L86" s="430"/>
      <c r="M86" s="430"/>
      <c r="N86" s="430"/>
      <c r="O86" s="430"/>
      <c r="P86" s="430"/>
      <c r="Q86" s="430"/>
      <c r="R86" s="430"/>
      <c r="S86" s="430"/>
      <c r="T86" s="430"/>
      <c r="U86" s="430"/>
      <c r="V86" s="430"/>
      <c r="W86" s="430"/>
      <c r="X86" s="430"/>
      <c r="Y86" s="430"/>
      <c r="Z86" s="430"/>
      <c r="AA86" s="430"/>
      <c r="AB86" s="430"/>
      <c r="AC86" s="430"/>
      <c r="AD86" s="430"/>
      <c r="AE86" s="430"/>
      <c r="AF86" s="430"/>
      <c r="AG86" s="430"/>
      <c r="AH86" s="430"/>
      <c r="AI86" s="430"/>
      <c r="AJ86" s="430"/>
      <c r="AK86" s="430"/>
      <c r="AL86" s="430"/>
      <c r="AM86" s="430"/>
      <c r="AN86" s="430"/>
      <c r="AO86" s="430"/>
      <c r="AP86" s="430"/>
      <c r="AQ86" s="430"/>
      <c r="AR86" s="430"/>
      <c r="AS86" s="430"/>
      <c r="AT86" s="430"/>
      <c r="AU86" s="430"/>
      <c r="AV86" s="430"/>
      <c r="AW86" s="430"/>
      <c r="AX86" s="430"/>
      <c r="AY86" s="430"/>
      <c r="AZ86" s="430"/>
      <c r="BA86" s="430"/>
      <c r="BB86" s="430"/>
    </row>
    <row r="87" spans="1:54">
      <c r="A87" s="430"/>
      <c r="B87" s="430"/>
      <c r="C87" s="430"/>
      <c r="D87" s="430"/>
      <c r="E87" s="430"/>
      <c r="F87" s="430"/>
      <c r="G87" s="430"/>
      <c r="H87" s="430"/>
      <c r="I87" s="430"/>
      <c r="J87" s="430"/>
      <c r="K87" s="430"/>
      <c r="L87" s="430"/>
      <c r="M87" s="430"/>
      <c r="N87" s="430"/>
      <c r="O87" s="430"/>
      <c r="P87" s="430"/>
      <c r="Q87" s="430"/>
      <c r="R87" s="430"/>
      <c r="S87" s="430"/>
      <c r="T87" s="430"/>
      <c r="U87" s="430"/>
      <c r="V87" s="430"/>
      <c r="W87" s="430"/>
      <c r="X87" s="430"/>
      <c r="Y87" s="430"/>
      <c r="Z87" s="430"/>
      <c r="AA87" s="430"/>
      <c r="AB87" s="430"/>
      <c r="AC87" s="430"/>
      <c r="AD87" s="430"/>
      <c r="AE87" s="430"/>
      <c r="AF87" s="430"/>
      <c r="AG87" s="430"/>
      <c r="AH87" s="430"/>
      <c r="AI87" s="430"/>
      <c r="AJ87" s="430"/>
      <c r="AK87" s="430"/>
      <c r="AL87" s="430"/>
      <c r="AM87" s="430"/>
      <c r="AN87" s="430"/>
      <c r="AO87" s="430"/>
      <c r="AP87" s="430"/>
      <c r="AQ87" s="430"/>
      <c r="AR87" s="430"/>
      <c r="AS87" s="430"/>
      <c r="AT87" s="430"/>
      <c r="AU87" s="430"/>
      <c r="AV87" s="430"/>
      <c r="AW87" s="430"/>
      <c r="AX87" s="430"/>
      <c r="AY87" s="430"/>
      <c r="AZ87" s="430"/>
      <c r="BA87" s="430"/>
      <c r="BB87" s="430"/>
    </row>
    <row r="88" spans="1:54">
      <c r="A88" s="430"/>
      <c r="B88" s="430"/>
      <c r="C88" s="430"/>
      <c r="D88" s="430"/>
      <c r="E88" s="430"/>
      <c r="F88" s="430"/>
      <c r="G88" s="430"/>
      <c r="H88" s="430"/>
      <c r="I88" s="430"/>
      <c r="J88" s="430"/>
      <c r="K88" s="430"/>
      <c r="L88" s="430"/>
      <c r="M88" s="430"/>
      <c r="N88" s="430"/>
      <c r="O88" s="430"/>
      <c r="P88" s="430"/>
      <c r="Q88" s="430"/>
      <c r="R88" s="430"/>
      <c r="S88" s="430"/>
      <c r="T88" s="430"/>
      <c r="U88" s="430"/>
      <c r="V88" s="430"/>
      <c r="W88" s="430"/>
      <c r="X88" s="430"/>
      <c r="Y88" s="430"/>
      <c r="Z88" s="430"/>
      <c r="AA88" s="430"/>
      <c r="AB88" s="430"/>
      <c r="AC88" s="430"/>
      <c r="AD88" s="430"/>
      <c r="AE88" s="430"/>
      <c r="AF88" s="430"/>
      <c r="AG88" s="430"/>
      <c r="AH88" s="430"/>
      <c r="AI88" s="430"/>
      <c r="AJ88" s="430"/>
      <c r="AK88" s="430"/>
      <c r="AL88" s="430"/>
      <c r="AM88" s="430"/>
      <c r="AN88" s="430"/>
      <c r="AO88" s="430"/>
      <c r="AP88" s="430"/>
      <c r="AQ88" s="430"/>
      <c r="AR88" s="430"/>
      <c r="AS88" s="430"/>
      <c r="AT88" s="430"/>
      <c r="AU88" s="430"/>
      <c r="AV88" s="430"/>
      <c r="AW88" s="430"/>
      <c r="AX88" s="430"/>
      <c r="AY88" s="430"/>
      <c r="AZ88" s="430"/>
      <c r="BA88" s="430"/>
      <c r="BB88" s="430"/>
    </row>
    <row r="89" spans="1:54">
      <c r="A89" s="430"/>
      <c r="B89" s="430"/>
      <c r="C89" s="430"/>
      <c r="D89" s="430"/>
      <c r="E89" s="430"/>
      <c r="F89" s="430"/>
      <c r="G89" s="430"/>
      <c r="H89" s="430"/>
      <c r="I89" s="430"/>
      <c r="J89" s="430"/>
      <c r="K89" s="430"/>
      <c r="L89" s="430"/>
      <c r="M89" s="430"/>
      <c r="N89" s="430"/>
      <c r="O89" s="430"/>
      <c r="P89" s="430"/>
      <c r="Q89" s="430"/>
      <c r="R89" s="430"/>
      <c r="S89" s="430"/>
      <c r="T89" s="430"/>
      <c r="U89" s="430"/>
      <c r="V89" s="430"/>
      <c r="W89" s="430"/>
      <c r="X89" s="430"/>
      <c r="Y89" s="430"/>
      <c r="Z89" s="430"/>
      <c r="AA89" s="430"/>
      <c r="AB89" s="430"/>
      <c r="AC89" s="430"/>
      <c r="AD89" s="430"/>
      <c r="AE89" s="430"/>
      <c r="AF89" s="430"/>
      <c r="AG89" s="430"/>
      <c r="AH89" s="430"/>
      <c r="AI89" s="430"/>
      <c r="AJ89" s="430"/>
      <c r="AK89" s="430"/>
      <c r="AL89" s="430"/>
      <c r="AM89" s="430"/>
      <c r="AN89" s="430"/>
      <c r="AO89" s="430"/>
      <c r="AP89" s="430"/>
      <c r="AQ89" s="430"/>
      <c r="AR89" s="430"/>
      <c r="AS89" s="430"/>
      <c r="AT89" s="430"/>
      <c r="AU89" s="430"/>
      <c r="AV89" s="430"/>
      <c r="AW89" s="430"/>
      <c r="AX89" s="430"/>
      <c r="AY89" s="430"/>
      <c r="AZ89" s="430"/>
      <c r="BA89" s="430"/>
      <c r="BB89" s="430"/>
    </row>
    <row r="90" spans="1:54">
      <c r="A90" s="430"/>
      <c r="B90" s="430"/>
      <c r="C90" s="430"/>
      <c r="D90" s="430"/>
      <c r="E90" s="430"/>
      <c r="F90" s="430"/>
      <c r="G90" s="430"/>
      <c r="H90" s="430"/>
      <c r="I90" s="430"/>
      <c r="J90" s="430"/>
      <c r="K90" s="430"/>
      <c r="L90" s="430"/>
      <c r="M90" s="430"/>
      <c r="N90" s="430"/>
      <c r="O90" s="430"/>
      <c r="P90" s="430"/>
      <c r="Q90" s="430"/>
      <c r="R90" s="430"/>
      <c r="S90" s="430"/>
      <c r="T90" s="430"/>
      <c r="U90" s="430"/>
      <c r="V90" s="430"/>
      <c r="W90" s="430"/>
      <c r="X90" s="430"/>
      <c r="Y90" s="430"/>
      <c r="Z90" s="430"/>
      <c r="AA90" s="430"/>
      <c r="AB90" s="430"/>
      <c r="AC90" s="430"/>
      <c r="AD90" s="430"/>
      <c r="AE90" s="430"/>
      <c r="AF90" s="430"/>
      <c r="AG90" s="430"/>
      <c r="AH90" s="430"/>
      <c r="AI90" s="430"/>
      <c r="AJ90" s="430"/>
      <c r="AK90" s="430"/>
      <c r="AL90" s="430"/>
      <c r="AM90" s="430"/>
      <c r="AN90" s="430"/>
      <c r="AO90" s="430"/>
      <c r="AP90" s="430"/>
      <c r="AQ90" s="430"/>
      <c r="AR90" s="430"/>
      <c r="AS90" s="430"/>
      <c r="AT90" s="430"/>
      <c r="AU90" s="430"/>
      <c r="AV90" s="430"/>
      <c r="AW90" s="430"/>
      <c r="AX90" s="430"/>
      <c r="AY90" s="430"/>
      <c r="AZ90" s="430"/>
      <c r="BA90" s="430"/>
      <c r="BB90" s="430"/>
    </row>
    <row r="91" spans="1:54">
      <c r="A91" s="430"/>
      <c r="B91" s="430"/>
      <c r="C91" s="430"/>
      <c r="D91" s="430"/>
      <c r="E91" s="430"/>
      <c r="F91" s="430"/>
      <c r="G91" s="430"/>
      <c r="H91" s="430"/>
      <c r="I91" s="430"/>
      <c r="J91" s="430"/>
      <c r="K91" s="430"/>
      <c r="L91" s="430"/>
      <c r="M91" s="430"/>
      <c r="N91" s="430"/>
      <c r="O91" s="430"/>
      <c r="P91" s="430"/>
      <c r="Q91" s="430"/>
      <c r="R91" s="430"/>
      <c r="S91" s="430"/>
      <c r="T91" s="430"/>
      <c r="U91" s="430"/>
      <c r="V91" s="430"/>
      <c r="W91" s="430"/>
      <c r="X91" s="430"/>
      <c r="Y91" s="430"/>
      <c r="Z91" s="430"/>
      <c r="AA91" s="430"/>
      <c r="AB91" s="430"/>
      <c r="AC91" s="430"/>
      <c r="AD91" s="430"/>
      <c r="AE91" s="430"/>
      <c r="AF91" s="430"/>
      <c r="AG91" s="430"/>
      <c r="AH91" s="430"/>
      <c r="AI91" s="430"/>
      <c r="AJ91" s="430"/>
      <c r="AK91" s="430"/>
      <c r="AL91" s="430"/>
      <c r="AM91" s="430"/>
      <c r="AN91" s="430"/>
      <c r="AO91" s="430"/>
      <c r="AP91" s="430"/>
      <c r="AQ91" s="430"/>
      <c r="AR91" s="430"/>
      <c r="AS91" s="430"/>
      <c r="AT91" s="430"/>
      <c r="AU91" s="430"/>
      <c r="AV91" s="430"/>
      <c r="AW91" s="430"/>
      <c r="AX91" s="430"/>
      <c r="AY91" s="430"/>
      <c r="AZ91" s="430"/>
      <c r="BA91" s="430"/>
      <c r="BB91" s="430"/>
    </row>
    <row r="92" spans="1:54">
      <c r="A92" s="430"/>
      <c r="B92" s="430"/>
      <c r="C92" s="430"/>
      <c r="D92" s="430"/>
      <c r="E92" s="430"/>
      <c r="F92" s="430"/>
      <c r="G92" s="430"/>
      <c r="H92" s="430"/>
      <c r="I92" s="430"/>
      <c r="J92" s="430"/>
      <c r="K92" s="430"/>
      <c r="L92" s="430"/>
      <c r="M92" s="430"/>
      <c r="N92" s="430"/>
      <c r="O92" s="430"/>
      <c r="P92" s="430"/>
      <c r="Q92" s="430"/>
      <c r="R92" s="430"/>
      <c r="S92" s="430"/>
      <c r="T92" s="430"/>
      <c r="U92" s="430"/>
      <c r="V92" s="430"/>
      <c r="W92" s="430"/>
      <c r="X92" s="430"/>
      <c r="Y92" s="430"/>
      <c r="Z92" s="430"/>
      <c r="AA92" s="430"/>
      <c r="AB92" s="430"/>
      <c r="AC92" s="430"/>
      <c r="AD92" s="430"/>
      <c r="AE92" s="430"/>
      <c r="AF92" s="430"/>
      <c r="AG92" s="430"/>
      <c r="AH92" s="430"/>
      <c r="AI92" s="430"/>
      <c r="AJ92" s="430"/>
      <c r="AK92" s="430"/>
      <c r="AL92" s="430"/>
      <c r="AM92" s="430"/>
      <c r="AN92" s="430"/>
      <c r="AO92" s="430"/>
      <c r="AP92" s="430"/>
      <c r="AQ92" s="430"/>
      <c r="AR92" s="430"/>
      <c r="AS92" s="430"/>
      <c r="AT92" s="430"/>
      <c r="AU92" s="430"/>
      <c r="AV92" s="430"/>
      <c r="AW92" s="430"/>
      <c r="AX92" s="430"/>
      <c r="AY92" s="430"/>
      <c r="AZ92" s="430"/>
      <c r="BA92" s="430"/>
      <c r="BB92" s="430"/>
    </row>
    <row r="93" spans="1:54">
      <c r="A93" s="430"/>
      <c r="B93" s="430"/>
      <c r="C93" s="430"/>
      <c r="D93" s="430"/>
      <c r="E93" s="430"/>
      <c r="F93" s="430"/>
      <c r="G93" s="430"/>
      <c r="H93" s="430"/>
      <c r="I93" s="430"/>
      <c r="J93" s="430"/>
      <c r="K93" s="430"/>
      <c r="L93" s="430"/>
      <c r="M93" s="430"/>
      <c r="N93" s="430"/>
      <c r="O93" s="430"/>
      <c r="P93" s="430"/>
      <c r="Q93" s="430"/>
      <c r="R93" s="430"/>
      <c r="S93" s="430"/>
      <c r="T93" s="430"/>
      <c r="U93" s="430"/>
      <c r="V93" s="430"/>
      <c r="W93" s="430"/>
      <c r="X93" s="430"/>
      <c r="Y93" s="430"/>
      <c r="Z93" s="430"/>
      <c r="AA93" s="430"/>
      <c r="AB93" s="430"/>
      <c r="AC93" s="430"/>
      <c r="AD93" s="430"/>
      <c r="AE93" s="430"/>
      <c r="AF93" s="430"/>
      <c r="AG93" s="430"/>
      <c r="AH93" s="430"/>
      <c r="AI93" s="430"/>
      <c r="AJ93" s="430"/>
      <c r="AK93" s="430"/>
      <c r="AL93" s="430"/>
      <c r="AM93" s="430"/>
      <c r="AN93" s="430"/>
      <c r="AO93" s="430"/>
      <c r="AP93" s="430"/>
      <c r="AQ93" s="430"/>
      <c r="AR93" s="430"/>
      <c r="AS93" s="430"/>
      <c r="AT93" s="430"/>
      <c r="AU93" s="430"/>
      <c r="AV93" s="430"/>
      <c r="AW93" s="430"/>
      <c r="AX93" s="430"/>
      <c r="AY93" s="430"/>
      <c r="AZ93" s="430"/>
      <c r="BA93" s="430"/>
      <c r="BB93" s="430"/>
    </row>
    <row r="94" spans="1:54">
      <c r="A94" s="430"/>
      <c r="B94" s="430"/>
      <c r="C94" s="430"/>
      <c r="D94" s="430"/>
      <c r="E94" s="430"/>
      <c r="F94" s="430"/>
      <c r="G94" s="430"/>
      <c r="H94" s="430"/>
      <c r="I94" s="430"/>
      <c r="J94" s="430"/>
      <c r="K94" s="430"/>
      <c r="L94" s="430"/>
      <c r="M94" s="430"/>
      <c r="N94" s="430"/>
      <c r="O94" s="430"/>
      <c r="P94" s="430"/>
      <c r="Q94" s="430"/>
      <c r="R94" s="430"/>
      <c r="S94" s="430"/>
      <c r="T94" s="430"/>
      <c r="U94" s="430"/>
      <c r="V94" s="430"/>
      <c r="W94" s="430"/>
      <c r="X94" s="430"/>
      <c r="Y94" s="430"/>
      <c r="Z94" s="430"/>
      <c r="AA94" s="430"/>
      <c r="AB94" s="430"/>
      <c r="AC94" s="430"/>
      <c r="AD94" s="430"/>
      <c r="AE94" s="430"/>
      <c r="AF94" s="430"/>
      <c r="AG94" s="430"/>
      <c r="AH94" s="430"/>
      <c r="AI94" s="430"/>
      <c r="AJ94" s="430"/>
      <c r="AK94" s="430"/>
      <c r="AL94" s="430"/>
      <c r="AM94" s="430"/>
      <c r="AN94" s="430"/>
      <c r="AO94" s="430"/>
      <c r="AP94" s="430"/>
      <c r="AQ94" s="430"/>
      <c r="AR94" s="430"/>
      <c r="AS94" s="430"/>
      <c r="AT94" s="430"/>
      <c r="AU94" s="430"/>
      <c r="AV94" s="430"/>
      <c r="AW94" s="430"/>
      <c r="AX94" s="430"/>
      <c r="AY94" s="430"/>
      <c r="AZ94" s="430"/>
      <c r="BA94" s="430"/>
      <c r="BB94" s="430"/>
    </row>
    <row r="95" spans="1:54">
      <c r="A95" s="430"/>
      <c r="B95" s="430"/>
      <c r="C95" s="430"/>
      <c r="D95" s="430"/>
      <c r="E95" s="430"/>
      <c r="F95" s="430"/>
      <c r="G95" s="430"/>
      <c r="H95" s="430"/>
      <c r="I95" s="430"/>
      <c r="J95" s="430"/>
      <c r="K95" s="430"/>
      <c r="L95" s="430"/>
      <c r="M95" s="430"/>
      <c r="N95" s="430"/>
      <c r="O95" s="430"/>
      <c r="P95" s="430"/>
      <c r="Q95" s="430"/>
      <c r="R95" s="430"/>
      <c r="S95" s="430"/>
      <c r="T95" s="430"/>
      <c r="U95" s="430"/>
      <c r="V95" s="430"/>
      <c r="W95" s="430"/>
      <c r="X95" s="430"/>
      <c r="Y95" s="430"/>
      <c r="Z95" s="430"/>
      <c r="AA95" s="430"/>
      <c r="AB95" s="430"/>
      <c r="AC95" s="430"/>
      <c r="AD95" s="430"/>
      <c r="AE95" s="430"/>
      <c r="AF95" s="430"/>
      <c r="AG95" s="430"/>
      <c r="AH95" s="430"/>
      <c r="AI95" s="430"/>
      <c r="AJ95" s="430"/>
      <c r="AK95" s="430"/>
      <c r="AL95" s="430"/>
      <c r="AM95" s="430"/>
      <c r="AN95" s="430"/>
      <c r="AO95" s="430"/>
      <c r="AP95" s="430"/>
      <c r="AQ95" s="430"/>
      <c r="AR95" s="430"/>
      <c r="AS95" s="430"/>
      <c r="AT95" s="430"/>
      <c r="AU95" s="430"/>
      <c r="AV95" s="430"/>
      <c r="AW95" s="430"/>
      <c r="AX95" s="430"/>
      <c r="AY95" s="430"/>
      <c r="AZ95" s="430"/>
      <c r="BA95" s="430"/>
      <c r="BB95" s="430"/>
    </row>
    <row r="96" spans="1:54">
      <c r="A96" s="430"/>
      <c r="B96" s="430"/>
      <c r="C96" s="430"/>
      <c r="D96" s="430"/>
      <c r="E96" s="430"/>
      <c r="F96" s="430"/>
      <c r="G96" s="430"/>
      <c r="H96" s="430"/>
      <c r="I96" s="430"/>
      <c r="J96" s="430"/>
      <c r="K96" s="430"/>
      <c r="L96" s="430"/>
      <c r="M96" s="430"/>
      <c r="N96" s="430"/>
      <c r="O96" s="430"/>
      <c r="P96" s="430"/>
      <c r="Q96" s="430"/>
      <c r="R96" s="430"/>
      <c r="S96" s="430"/>
      <c r="T96" s="430"/>
      <c r="U96" s="430"/>
      <c r="V96" s="430"/>
      <c r="W96" s="430"/>
      <c r="X96" s="430"/>
      <c r="Y96" s="430"/>
      <c r="Z96" s="430"/>
      <c r="AA96" s="430"/>
      <c r="AB96" s="430"/>
      <c r="AC96" s="430"/>
      <c r="AD96" s="430"/>
      <c r="AE96" s="430"/>
      <c r="AF96" s="430"/>
      <c r="AG96" s="430"/>
      <c r="AH96" s="430"/>
      <c r="AI96" s="430"/>
      <c r="AJ96" s="430"/>
      <c r="AK96" s="430"/>
      <c r="AL96" s="430"/>
      <c r="AM96" s="430"/>
      <c r="AN96" s="430"/>
      <c r="AO96" s="430"/>
      <c r="AP96" s="430"/>
      <c r="AQ96" s="430"/>
      <c r="AR96" s="430"/>
      <c r="AS96" s="430"/>
      <c r="AT96" s="430"/>
      <c r="AU96" s="430"/>
      <c r="AV96" s="430"/>
      <c r="AW96" s="430"/>
      <c r="AX96" s="430"/>
      <c r="AY96" s="430"/>
      <c r="AZ96" s="430"/>
      <c r="BA96" s="430"/>
      <c r="BB96" s="430"/>
    </row>
    <row r="97" spans="1:54">
      <c r="A97" s="430"/>
      <c r="B97" s="430"/>
      <c r="C97" s="430"/>
      <c r="D97" s="430"/>
      <c r="E97" s="430"/>
      <c r="F97" s="430"/>
      <c r="G97" s="430"/>
      <c r="H97" s="430"/>
      <c r="I97" s="430"/>
      <c r="J97" s="430"/>
      <c r="K97" s="430"/>
      <c r="L97" s="430"/>
      <c r="M97" s="430"/>
      <c r="N97" s="430"/>
      <c r="O97" s="430"/>
      <c r="P97" s="430"/>
      <c r="Q97" s="430"/>
      <c r="R97" s="430"/>
      <c r="S97" s="430"/>
      <c r="T97" s="430"/>
      <c r="U97" s="430"/>
      <c r="V97" s="430"/>
      <c r="W97" s="430"/>
      <c r="X97" s="430"/>
      <c r="Y97" s="430"/>
      <c r="Z97" s="430"/>
      <c r="AA97" s="430"/>
      <c r="AB97" s="430"/>
      <c r="AC97" s="430"/>
      <c r="AD97" s="430"/>
      <c r="AE97" s="430"/>
      <c r="AF97" s="430"/>
      <c r="AG97" s="430"/>
      <c r="AH97" s="430"/>
      <c r="AI97" s="430"/>
      <c r="AJ97" s="430"/>
      <c r="AK97" s="430"/>
      <c r="AL97" s="430"/>
      <c r="AM97" s="430"/>
      <c r="AN97" s="430"/>
      <c r="AO97" s="430"/>
      <c r="AP97" s="430"/>
      <c r="AQ97" s="430"/>
      <c r="AR97" s="430"/>
      <c r="AS97" s="430"/>
      <c r="AT97" s="430"/>
      <c r="AU97" s="430"/>
      <c r="AV97" s="430"/>
      <c r="AW97" s="430"/>
      <c r="AX97" s="430"/>
      <c r="AY97" s="430"/>
      <c r="AZ97" s="430"/>
      <c r="BA97" s="430"/>
      <c r="BB97" s="430"/>
    </row>
    <row r="98" spans="1:54">
      <c r="A98" s="430"/>
      <c r="B98" s="430"/>
      <c r="C98" s="430"/>
      <c r="D98" s="430"/>
      <c r="E98" s="430"/>
      <c r="F98" s="430"/>
      <c r="G98" s="430"/>
      <c r="H98" s="430"/>
      <c r="I98" s="430"/>
      <c r="J98" s="430"/>
      <c r="K98" s="430"/>
      <c r="L98" s="430"/>
      <c r="M98" s="430"/>
      <c r="N98" s="430"/>
      <c r="O98" s="430"/>
      <c r="P98" s="430"/>
      <c r="Q98" s="430"/>
      <c r="R98" s="430"/>
      <c r="S98" s="430"/>
      <c r="T98" s="430"/>
      <c r="U98" s="430"/>
      <c r="V98" s="430"/>
      <c r="W98" s="430"/>
      <c r="X98" s="430"/>
      <c r="Y98" s="430"/>
      <c r="Z98" s="430"/>
      <c r="AA98" s="430"/>
      <c r="AB98" s="430"/>
      <c r="AC98" s="430"/>
      <c r="AD98" s="430"/>
      <c r="AE98" s="430"/>
      <c r="AF98" s="430"/>
      <c r="AG98" s="430"/>
      <c r="AH98" s="430"/>
      <c r="AI98" s="430"/>
      <c r="AJ98" s="430"/>
      <c r="AK98" s="430"/>
      <c r="AL98" s="430"/>
      <c r="AM98" s="430"/>
      <c r="AN98" s="430"/>
      <c r="AO98" s="430"/>
      <c r="AP98" s="430"/>
      <c r="AQ98" s="430"/>
      <c r="AR98" s="430"/>
      <c r="AS98" s="430"/>
      <c r="AT98" s="430"/>
      <c r="AU98" s="430"/>
      <c r="AV98" s="430"/>
      <c r="AW98" s="430"/>
      <c r="AX98" s="430"/>
      <c r="AY98" s="430"/>
      <c r="AZ98" s="430"/>
      <c r="BA98" s="430"/>
      <c r="BB98" s="430"/>
    </row>
    <row r="99" spans="1:54">
      <c r="A99" s="430"/>
      <c r="B99" s="430"/>
      <c r="C99" s="430"/>
      <c r="D99" s="430"/>
      <c r="E99" s="430"/>
      <c r="F99" s="430"/>
      <c r="G99" s="430"/>
      <c r="H99" s="430"/>
      <c r="I99" s="430"/>
      <c r="J99" s="430"/>
      <c r="K99" s="430"/>
      <c r="L99" s="430"/>
      <c r="M99" s="430"/>
      <c r="N99" s="430"/>
      <c r="O99" s="430"/>
      <c r="P99" s="430"/>
      <c r="Q99" s="430"/>
      <c r="R99" s="430"/>
      <c r="S99" s="430"/>
      <c r="T99" s="430"/>
      <c r="U99" s="430"/>
      <c r="V99" s="430"/>
      <c r="W99" s="430"/>
      <c r="X99" s="430"/>
      <c r="Y99" s="430"/>
      <c r="Z99" s="430"/>
      <c r="AA99" s="430"/>
      <c r="AB99" s="430"/>
      <c r="AC99" s="430"/>
      <c r="AD99" s="430"/>
      <c r="AE99" s="430"/>
      <c r="AF99" s="430"/>
      <c r="AG99" s="430"/>
      <c r="AH99" s="430"/>
      <c r="AI99" s="430"/>
      <c r="AJ99" s="430"/>
      <c r="AK99" s="430"/>
      <c r="AL99" s="430"/>
      <c r="AM99" s="430"/>
      <c r="AN99" s="430"/>
      <c r="AO99" s="430"/>
      <c r="AP99" s="430"/>
      <c r="AQ99" s="430"/>
      <c r="AR99" s="430"/>
      <c r="AS99" s="430"/>
      <c r="AT99" s="430"/>
      <c r="AU99" s="430"/>
      <c r="AV99" s="430"/>
      <c r="AW99" s="430"/>
      <c r="AX99" s="430"/>
      <c r="AY99" s="430"/>
      <c r="AZ99" s="430"/>
      <c r="BA99" s="430"/>
      <c r="BB99" s="430"/>
    </row>
    <row r="100" spans="1:54">
      <c r="A100" s="430"/>
      <c r="B100" s="430"/>
      <c r="C100" s="430"/>
      <c r="D100" s="430"/>
      <c r="E100" s="430"/>
      <c r="F100" s="430"/>
      <c r="G100" s="430"/>
      <c r="H100" s="430"/>
      <c r="I100" s="430"/>
      <c r="J100" s="430"/>
      <c r="K100" s="430"/>
      <c r="L100" s="430"/>
      <c r="M100" s="430"/>
      <c r="N100" s="430"/>
      <c r="O100" s="430"/>
      <c r="P100" s="430"/>
      <c r="Q100" s="430"/>
      <c r="R100" s="430"/>
      <c r="S100" s="430"/>
      <c r="T100" s="430"/>
      <c r="U100" s="430"/>
      <c r="V100" s="430"/>
      <c r="W100" s="430"/>
      <c r="X100" s="430"/>
      <c r="Y100" s="430"/>
      <c r="Z100" s="430"/>
      <c r="AA100" s="430"/>
      <c r="AB100" s="430"/>
      <c r="AC100" s="430"/>
      <c r="AD100" s="430"/>
      <c r="AE100" s="430"/>
      <c r="AF100" s="430"/>
      <c r="AG100" s="430"/>
      <c r="AH100" s="430"/>
      <c r="AI100" s="430"/>
      <c r="AJ100" s="430"/>
      <c r="AK100" s="430"/>
      <c r="AL100" s="430"/>
      <c r="AM100" s="430"/>
      <c r="AN100" s="430"/>
      <c r="AO100" s="430"/>
      <c r="AP100" s="430"/>
      <c r="AQ100" s="430"/>
      <c r="AR100" s="430"/>
      <c r="AS100" s="430"/>
      <c r="AT100" s="430"/>
      <c r="AU100" s="430"/>
      <c r="AV100" s="430"/>
      <c r="AW100" s="430"/>
      <c r="AX100" s="430"/>
      <c r="AY100" s="430"/>
      <c r="AZ100" s="430"/>
      <c r="BA100" s="430"/>
      <c r="BB100" s="430"/>
    </row>
    <row r="101" spans="1:54">
      <c r="A101" s="430"/>
      <c r="B101" s="430"/>
      <c r="C101" s="430"/>
      <c r="D101" s="430"/>
      <c r="E101" s="430"/>
      <c r="F101" s="430"/>
      <c r="G101" s="430"/>
      <c r="H101" s="430"/>
      <c r="I101" s="430"/>
      <c r="J101" s="430"/>
      <c r="K101" s="430"/>
      <c r="L101" s="430"/>
      <c r="M101" s="430"/>
      <c r="N101" s="430"/>
      <c r="O101" s="430"/>
      <c r="P101" s="430"/>
      <c r="Q101" s="430"/>
      <c r="R101" s="430"/>
      <c r="S101" s="430"/>
      <c r="T101" s="430"/>
      <c r="U101" s="430"/>
      <c r="V101" s="430"/>
      <c r="W101" s="430"/>
      <c r="X101" s="430"/>
      <c r="Y101" s="430"/>
      <c r="Z101" s="430"/>
      <c r="AA101" s="430"/>
      <c r="AB101" s="430"/>
      <c r="AC101" s="430"/>
      <c r="AD101" s="430"/>
      <c r="AE101" s="430"/>
      <c r="AF101" s="430"/>
      <c r="AG101" s="430"/>
      <c r="AH101" s="430"/>
      <c r="AI101" s="430"/>
      <c r="AJ101" s="430"/>
      <c r="AK101" s="430"/>
      <c r="AL101" s="430"/>
      <c r="AM101" s="430"/>
      <c r="AN101" s="430"/>
      <c r="AO101" s="430"/>
      <c r="AP101" s="430"/>
      <c r="AQ101" s="430"/>
      <c r="AR101" s="430"/>
      <c r="AS101" s="430"/>
      <c r="AT101" s="430"/>
      <c r="AU101" s="430"/>
      <c r="AV101" s="430"/>
      <c r="AW101" s="430"/>
      <c r="AX101" s="430"/>
      <c r="AY101" s="430"/>
      <c r="AZ101" s="430"/>
      <c r="BA101" s="430"/>
      <c r="BB101" s="430"/>
    </row>
    <row r="102" spans="1:54">
      <c r="A102" s="430"/>
      <c r="B102" s="430"/>
      <c r="C102" s="430"/>
      <c r="D102" s="430"/>
      <c r="E102" s="430"/>
      <c r="F102" s="430"/>
      <c r="G102" s="430"/>
      <c r="H102" s="430"/>
      <c r="I102" s="430"/>
      <c r="J102" s="430"/>
      <c r="K102" s="430"/>
      <c r="L102" s="430"/>
      <c r="M102" s="430"/>
      <c r="N102" s="430"/>
      <c r="O102" s="430"/>
      <c r="P102" s="430"/>
      <c r="Q102" s="430"/>
      <c r="R102" s="430"/>
      <c r="S102" s="430"/>
      <c r="T102" s="430"/>
      <c r="U102" s="430"/>
      <c r="V102" s="430"/>
      <c r="W102" s="430"/>
      <c r="X102" s="430"/>
      <c r="Y102" s="430"/>
      <c r="Z102" s="430"/>
      <c r="AA102" s="430"/>
      <c r="AB102" s="430"/>
      <c r="AC102" s="430"/>
      <c r="AD102" s="430"/>
      <c r="AE102" s="430"/>
      <c r="AF102" s="430"/>
      <c r="AG102" s="430"/>
      <c r="AH102" s="430"/>
      <c r="AI102" s="430"/>
      <c r="AJ102" s="430"/>
      <c r="AK102" s="430"/>
      <c r="AL102" s="430"/>
      <c r="AM102" s="430"/>
      <c r="AN102" s="430"/>
      <c r="AO102" s="430"/>
      <c r="AP102" s="430"/>
      <c r="AQ102" s="430"/>
      <c r="AR102" s="430"/>
      <c r="AS102" s="430"/>
      <c r="AT102" s="430"/>
      <c r="AU102" s="430"/>
      <c r="AV102" s="430"/>
      <c r="AW102" s="430"/>
      <c r="AX102" s="430"/>
      <c r="AY102" s="430"/>
      <c r="AZ102" s="430"/>
      <c r="BA102" s="430"/>
      <c r="BB102" s="430"/>
    </row>
    <row r="103" spans="1:54">
      <c r="A103" s="430"/>
      <c r="B103" s="430"/>
      <c r="C103" s="430"/>
      <c r="D103" s="430"/>
      <c r="E103" s="430"/>
      <c r="F103" s="430"/>
      <c r="G103" s="430"/>
      <c r="H103" s="430"/>
      <c r="I103" s="430"/>
      <c r="J103" s="430"/>
      <c r="K103" s="430"/>
      <c r="L103" s="430"/>
      <c r="M103" s="430"/>
      <c r="N103" s="430"/>
      <c r="O103" s="430"/>
      <c r="P103" s="430"/>
      <c r="Q103" s="430"/>
      <c r="R103" s="430"/>
      <c r="S103" s="430"/>
      <c r="T103" s="430"/>
      <c r="U103" s="430"/>
      <c r="V103" s="430"/>
      <c r="W103" s="430"/>
      <c r="X103" s="430"/>
      <c r="Y103" s="430"/>
      <c r="Z103" s="430"/>
      <c r="AA103" s="430"/>
      <c r="AB103" s="430"/>
      <c r="AC103" s="430"/>
      <c r="AD103" s="430"/>
      <c r="AE103" s="430"/>
      <c r="AF103" s="430"/>
      <c r="AG103" s="430"/>
      <c r="AH103" s="430"/>
      <c r="AI103" s="430"/>
      <c r="AJ103" s="430"/>
      <c r="AK103" s="430"/>
      <c r="AL103" s="430"/>
      <c r="AM103" s="430"/>
      <c r="AN103" s="430"/>
      <c r="AO103" s="430"/>
      <c r="AP103" s="430"/>
      <c r="AQ103" s="430"/>
      <c r="AR103" s="430"/>
      <c r="AS103" s="430"/>
      <c r="AT103" s="430"/>
      <c r="AU103" s="430"/>
      <c r="AV103" s="430"/>
      <c r="AW103" s="430"/>
      <c r="AX103" s="430"/>
      <c r="AY103" s="430"/>
      <c r="AZ103" s="430"/>
      <c r="BA103" s="430"/>
      <c r="BB103" s="430"/>
    </row>
    <row r="104" spans="1:54">
      <c r="A104" s="430"/>
      <c r="B104" s="430"/>
      <c r="C104" s="430"/>
      <c r="D104" s="430"/>
      <c r="E104" s="430"/>
      <c r="F104" s="430"/>
      <c r="G104" s="430"/>
      <c r="H104" s="430"/>
      <c r="I104" s="430"/>
      <c r="J104" s="430"/>
      <c r="K104" s="430"/>
      <c r="L104" s="430"/>
      <c r="M104" s="430"/>
      <c r="N104" s="430"/>
      <c r="O104" s="430"/>
      <c r="P104" s="430"/>
      <c r="Q104" s="430"/>
      <c r="R104" s="430"/>
      <c r="S104" s="430"/>
      <c r="T104" s="430"/>
      <c r="U104" s="430"/>
      <c r="V104" s="430"/>
      <c r="W104" s="430"/>
      <c r="X104" s="430"/>
      <c r="Y104" s="430"/>
      <c r="Z104" s="430"/>
      <c r="AA104" s="430"/>
      <c r="AB104" s="430"/>
      <c r="AC104" s="430"/>
      <c r="AD104" s="430"/>
      <c r="AE104" s="430"/>
      <c r="AF104" s="430"/>
      <c r="AG104" s="430"/>
      <c r="AH104" s="430"/>
      <c r="AI104" s="430"/>
      <c r="AJ104" s="430"/>
      <c r="AK104" s="430"/>
      <c r="AL104" s="430"/>
      <c r="AM104" s="430"/>
      <c r="AN104" s="430"/>
      <c r="AO104" s="430"/>
      <c r="AP104" s="430"/>
      <c r="AQ104" s="430"/>
      <c r="AR104" s="430"/>
      <c r="AS104" s="430"/>
      <c r="AT104" s="430"/>
      <c r="AU104" s="430"/>
      <c r="AV104" s="430"/>
      <c r="AW104" s="430"/>
      <c r="AX104" s="430"/>
      <c r="AY104" s="430"/>
      <c r="AZ104" s="430"/>
      <c r="BA104" s="430"/>
      <c r="BB104" s="430"/>
    </row>
    <row r="105" spans="1:54">
      <c r="A105" s="430"/>
      <c r="B105" s="430"/>
      <c r="C105" s="430"/>
      <c r="D105" s="430"/>
      <c r="E105" s="430"/>
      <c r="F105" s="430"/>
      <c r="G105" s="430"/>
      <c r="H105" s="430"/>
      <c r="I105" s="430"/>
      <c r="J105" s="430"/>
      <c r="K105" s="430"/>
      <c r="L105" s="430"/>
      <c r="M105" s="430"/>
      <c r="N105" s="430"/>
      <c r="O105" s="430"/>
      <c r="P105" s="430"/>
      <c r="Q105" s="430"/>
      <c r="R105" s="430"/>
      <c r="S105" s="430"/>
      <c r="T105" s="430"/>
      <c r="U105" s="430"/>
      <c r="V105" s="430"/>
      <c r="W105" s="430"/>
      <c r="X105" s="430"/>
      <c r="Y105" s="432"/>
      <c r="Z105" s="432"/>
      <c r="AA105" s="430"/>
      <c r="AB105" s="430"/>
      <c r="AC105" s="430"/>
      <c r="AD105" s="430"/>
      <c r="AE105" s="430"/>
      <c r="AF105" s="430"/>
      <c r="AG105" s="430"/>
      <c r="AH105" s="430"/>
      <c r="AI105" s="430"/>
      <c r="AJ105" s="430"/>
      <c r="AK105" s="430"/>
      <c r="AL105" s="430"/>
      <c r="AM105" s="430"/>
      <c r="AN105" s="430"/>
      <c r="AO105" s="430"/>
      <c r="AP105" s="430"/>
      <c r="AQ105" s="430"/>
      <c r="AR105" s="430"/>
      <c r="AS105" s="430"/>
      <c r="AT105" s="430"/>
      <c r="AU105" s="430"/>
      <c r="AV105" s="430"/>
      <c r="AW105" s="430"/>
      <c r="AX105" s="430"/>
      <c r="AY105" s="430"/>
      <c r="AZ105" s="430"/>
      <c r="BA105" s="430"/>
      <c r="BB105" s="430"/>
    </row>
    <row r="106" spans="1:54">
      <c r="A106" s="430"/>
      <c r="B106" s="430"/>
      <c r="C106" s="430"/>
      <c r="D106" s="430"/>
      <c r="E106" s="430"/>
      <c r="F106" s="430"/>
      <c r="G106" s="430"/>
      <c r="H106" s="430"/>
      <c r="I106" s="430"/>
      <c r="J106" s="430"/>
      <c r="K106" s="430"/>
      <c r="L106" s="430"/>
      <c r="M106" s="430"/>
      <c r="N106" s="430"/>
      <c r="O106" s="430"/>
      <c r="P106" s="430"/>
      <c r="Q106" s="430"/>
      <c r="R106" s="430"/>
      <c r="S106" s="430"/>
      <c r="T106" s="430"/>
      <c r="U106" s="430"/>
      <c r="V106" s="430"/>
      <c r="W106" s="430"/>
      <c r="X106" s="430"/>
      <c r="Y106" s="430"/>
      <c r="Z106" s="430"/>
      <c r="AA106" s="430"/>
      <c r="AB106" s="430"/>
      <c r="AC106" s="430"/>
      <c r="AD106" s="430"/>
      <c r="AE106" s="430"/>
      <c r="AF106" s="430"/>
      <c r="AG106" s="430"/>
      <c r="AH106" s="430"/>
      <c r="AI106" s="430"/>
      <c r="AJ106" s="430"/>
      <c r="AK106" s="430"/>
      <c r="AL106" s="430"/>
      <c r="AM106" s="430"/>
      <c r="AN106" s="430"/>
      <c r="AO106" s="430"/>
      <c r="AP106" s="430"/>
      <c r="AQ106" s="430"/>
      <c r="AR106" s="430"/>
      <c r="AS106" s="430"/>
      <c r="AT106" s="430"/>
      <c r="AU106" s="430"/>
      <c r="AV106" s="430"/>
      <c r="AW106" s="430"/>
      <c r="AX106" s="430"/>
      <c r="AY106" s="430"/>
      <c r="AZ106" s="430"/>
      <c r="BA106" s="430"/>
      <c r="BB106" s="430"/>
    </row>
    <row r="107" spans="1:54">
      <c r="A107" s="430"/>
      <c r="B107" s="430"/>
      <c r="C107" s="430"/>
      <c r="D107" s="430"/>
      <c r="E107" s="430"/>
      <c r="F107" s="430"/>
      <c r="G107" s="430"/>
      <c r="H107" s="430"/>
      <c r="I107" s="430"/>
      <c r="J107" s="430"/>
      <c r="K107" s="430"/>
      <c r="L107" s="430"/>
      <c r="M107" s="430"/>
      <c r="N107" s="430"/>
      <c r="O107" s="430"/>
      <c r="P107" s="430"/>
      <c r="Q107" s="430"/>
      <c r="R107" s="430"/>
      <c r="S107" s="430"/>
      <c r="T107" s="430"/>
      <c r="U107" s="430"/>
      <c r="V107" s="430"/>
      <c r="W107" s="430"/>
      <c r="X107" s="430"/>
      <c r="Y107" s="430"/>
      <c r="Z107" s="430"/>
      <c r="AA107" s="430"/>
      <c r="AB107" s="430"/>
      <c r="AC107" s="430"/>
      <c r="AD107" s="430"/>
      <c r="AE107" s="430"/>
      <c r="AF107" s="430"/>
      <c r="AG107" s="430"/>
      <c r="AH107" s="430"/>
      <c r="AI107" s="430"/>
      <c r="AJ107" s="430"/>
      <c r="AK107" s="430"/>
      <c r="AL107" s="430"/>
      <c r="AM107" s="430"/>
      <c r="AN107" s="430"/>
      <c r="AO107" s="430"/>
      <c r="AP107" s="430"/>
      <c r="AQ107" s="430"/>
      <c r="AR107" s="430"/>
      <c r="AS107" s="430"/>
      <c r="AT107" s="430"/>
      <c r="AU107" s="430"/>
      <c r="AV107" s="430"/>
      <c r="AW107" s="430"/>
      <c r="AX107" s="430"/>
      <c r="AY107" s="430"/>
      <c r="AZ107" s="430"/>
      <c r="BA107" s="430"/>
      <c r="BB107" s="430"/>
    </row>
    <row r="108" spans="1:54">
      <c r="A108" s="430"/>
      <c r="B108" s="430"/>
      <c r="C108" s="430"/>
      <c r="D108" s="430"/>
      <c r="E108" s="430"/>
      <c r="F108" s="430"/>
      <c r="G108" s="430"/>
      <c r="H108" s="430"/>
      <c r="I108" s="430"/>
      <c r="J108" s="430"/>
      <c r="K108" s="430"/>
      <c r="L108" s="430"/>
      <c r="M108" s="430"/>
      <c r="N108" s="430"/>
      <c r="O108" s="430"/>
      <c r="P108" s="430"/>
      <c r="Q108" s="430"/>
      <c r="R108" s="430"/>
      <c r="S108" s="430"/>
      <c r="T108" s="430"/>
      <c r="U108" s="430"/>
      <c r="V108" s="430"/>
      <c r="W108" s="430"/>
      <c r="X108" s="430"/>
      <c r="Y108" s="430"/>
      <c r="Z108" s="430"/>
      <c r="AA108" s="430"/>
      <c r="AB108" s="430"/>
      <c r="AC108" s="430"/>
      <c r="AD108" s="430"/>
      <c r="AE108" s="430"/>
      <c r="AF108" s="430"/>
      <c r="AG108" s="430"/>
      <c r="AH108" s="430"/>
      <c r="AI108" s="430"/>
      <c r="AJ108" s="430"/>
      <c r="AK108" s="430"/>
      <c r="AL108" s="430"/>
      <c r="AM108" s="430"/>
      <c r="AN108" s="430"/>
      <c r="AO108" s="430"/>
      <c r="AP108" s="430"/>
      <c r="AQ108" s="430"/>
      <c r="AR108" s="430"/>
      <c r="AS108" s="430"/>
      <c r="AT108" s="430"/>
      <c r="AU108" s="430"/>
      <c r="AV108" s="430"/>
      <c r="AW108" s="430"/>
      <c r="AX108" s="430"/>
      <c r="AY108" s="430"/>
      <c r="AZ108" s="430"/>
      <c r="BA108" s="430"/>
      <c r="BB108" s="430"/>
    </row>
    <row r="109" spans="1:54">
      <c r="A109" s="430"/>
      <c r="B109" s="430"/>
      <c r="C109" s="430"/>
      <c r="D109" s="430"/>
      <c r="E109" s="430"/>
      <c r="F109" s="430"/>
      <c r="G109" s="430"/>
      <c r="H109" s="430"/>
      <c r="I109" s="430"/>
      <c r="J109" s="430"/>
      <c r="K109" s="430"/>
      <c r="L109" s="430"/>
      <c r="M109" s="430"/>
      <c r="N109" s="430"/>
      <c r="O109" s="430"/>
      <c r="P109" s="430"/>
      <c r="Q109" s="430"/>
      <c r="R109" s="430"/>
      <c r="S109" s="430"/>
      <c r="T109" s="430"/>
      <c r="U109" s="430"/>
      <c r="V109" s="430"/>
      <c r="W109" s="430"/>
      <c r="X109" s="430"/>
      <c r="Y109" s="430"/>
      <c r="Z109" s="430"/>
      <c r="AA109" s="430"/>
      <c r="AB109" s="430"/>
      <c r="AC109" s="430"/>
      <c r="AD109" s="430"/>
      <c r="AE109" s="430"/>
      <c r="AF109" s="430"/>
      <c r="AG109" s="430"/>
      <c r="AH109" s="430"/>
      <c r="AI109" s="430"/>
      <c r="AJ109" s="430"/>
      <c r="AK109" s="430"/>
      <c r="AL109" s="430"/>
      <c r="AM109" s="430"/>
      <c r="AN109" s="430"/>
      <c r="AO109" s="430"/>
      <c r="AP109" s="430"/>
      <c r="AQ109" s="430"/>
      <c r="AR109" s="430"/>
      <c r="AS109" s="430"/>
      <c r="AT109" s="430"/>
      <c r="AU109" s="430"/>
      <c r="AV109" s="430"/>
      <c r="AW109" s="430"/>
      <c r="AX109" s="430"/>
      <c r="AY109" s="430"/>
      <c r="AZ109" s="430"/>
      <c r="BA109" s="430"/>
      <c r="BB109" s="430"/>
    </row>
    <row r="110" spans="1:54">
      <c r="A110" s="430"/>
      <c r="B110" s="430"/>
      <c r="C110" s="430"/>
      <c r="D110" s="430"/>
      <c r="E110" s="430"/>
      <c r="F110" s="430"/>
      <c r="G110" s="430"/>
      <c r="H110" s="430"/>
      <c r="I110" s="430"/>
      <c r="J110" s="430"/>
      <c r="K110" s="430"/>
      <c r="L110" s="430"/>
      <c r="M110" s="430"/>
      <c r="N110" s="430"/>
      <c r="O110" s="430"/>
      <c r="P110" s="430"/>
      <c r="Q110" s="430"/>
      <c r="R110" s="430"/>
      <c r="S110" s="430"/>
      <c r="T110" s="430"/>
      <c r="U110" s="430"/>
      <c r="V110" s="430"/>
      <c r="W110" s="430"/>
      <c r="X110" s="430"/>
      <c r="Y110" s="430"/>
      <c r="Z110" s="430"/>
      <c r="AA110" s="430"/>
      <c r="AB110" s="430"/>
      <c r="AC110" s="430"/>
      <c r="AD110" s="430"/>
      <c r="AE110" s="430"/>
      <c r="AF110" s="430"/>
      <c r="AG110" s="430"/>
      <c r="AH110" s="430"/>
      <c r="AI110" s="430"/>
      <c r="AJ110" s="430"/>
      <c r="AK110" s="430"/>
      <c r="AL110" s="430"/>
      <c r="AM110" s="430"/>
      <c r="AN110" s="430"/>
      <c r="AO110" s="430"/>
      <c r="AP110" s="430"/>
      <c r="AQ110" s="430"/>
      <c r="AR110" s="430"/>
      <c r="AS110" s="430"/>
      <c r="AT110" s="430"/>
      <c r="AU110" s="430"/>
      <c r="AV110" s="430"/>
      <c r="AW110" s="430"/>
      <c r="AX110" s="430"/>
      <c r="AY110" s="430"/>
      <c r="AZ110" s="430"/>
      <c r="BA110" s="430"/>
      <c r="BB110" s="430"/>
    </row>
    <row r="111" spans="1:54">
      <c r="A111" s="430"/>
      <c r="B111" s="451"/>
      <c r="C111" s="430"/>
      <c r="D111" s="451"/>
      <c r="E111" s="430"/>
      <c r="F111" s="430"/>
      <c r="G111" s="430"/>
      <c r="H111" s="430"/>
      <c r="I111" s="430"/>
      <c r="J111" s="430"/>
      <c r="K111" s="430"/>
      <c r="L111" s="430"/>
      <c r="M111" s="430"/>
      <c r="N111" s="430"/>
      <c r="O111" s="430"/>
      <c r="P111" s="430"/>
      <c r="Q111" s="430"/>
      <c r="R111" s="430"/>
      <c r="S111" s="430"/>
      <c r="T111" s="430"/>
      <c r="U111" s="430"/>
      <c r="V111" s="430"/>
      <c r="W111" s="430"/>
      <c r="X111" s="430"/>
      <c r="Y111" s="430"/>
      <c r="Z111" s="430"/>
      <c r="AA111" s="430"/>
      <c r="AB111" s="430"/>
      <c r="AC111" s="430"/>
      <c r="AD111" s="430"/>
      <c r="AE111" s="430"/>
      <c r="AF111" s="430"/>
      <c r="AG111" s="430"/>
      <c r="AH111" s="430"/>
      <c r="AI111" s="430"/>
      <c r="AJ111" s="430"/>
      <c r="AK111" s="430"/>
      <c r="AL111" s="430"/>
      <c r="AM111" s="430"/>
      <c r="AN111" s="430"/>
      <c r="AO111" s="430"/>
      <c r="AP111" s="430"/>
      <c r="AQ111" s="430"/>
      <c r="AR111" s="430"/>
      <c r="AS111" s="430"/>
      <c r="AT111" s="430"/>
      <c r="AU111" s="430"/>
      <c r="AV111" s="430"/>
      <c r="AW111" s="430"/>
      <c r="AX111" s="430"/>
      <c r="AY111" s="430"/>
      <c r="AZ111" s="430"/>
      <c r="BA111" s="430"/>
      <c r="BB111" s="430"/>
    </row>
    <row r="112" spans="1:54">
      <c r="A112" s="430"/>
      <c r="B112" s="451"/>
      <c r="C112" s="430"/>
      <c r="D112" s="451"/>
      <c r="E112" s="430"/>
      <c r="F112" s="430"/>
      <c r="G112" s="430"/>
      <c r="H112" s="430"/>
      <c r="I112" s="430"/>
      <c r="J112" s="430"/>
      <c r="K112" s="430"/>
      <c r="L112" s="430"/>
      <c r="M112" s="430"/>
      <c r="N112" s="430"/>
      <c r="O112" s="430"/>
      <c r="P112" s="430"/>
      <c r="Q112" s="430"/>
      <c r="R112" s="430"/>
      <c r="S112" s="430"/>
      <c r="T112" s="430"/>
      <c r="U112" s="430"/>
      <c r="V112" s="430"/>
      <c r="W112" s="430"/>
      <c r="X112" s="430"/>
      <c r="Y112" s="430"/>
      <c r="Z112" s="430"/>
      <c r="AA112" s="430"/>
      <c r="AB112" s="430"/>
      <c r="AC112" s="430"/>
      <c r="AD112" s="430"/>
      <c r="AE112" s="430"/>
      <c r="AF112" s="430"/>
      <c r="AG112" s="430"/>
      <c r="AH112" s="430"/>
      <c r="AI112" s="430"/>
      <c r="AJ112" s="430"/>
      <c r="AK112" s="430"/>
      <c r="AL112" s="430"/>
      <c r="AM112" s="430"/>
      <c r="AN112" s="430"/>
      <c r="AO112" s="430"/>
      <c r="AP112" s="430"/>
      <c r="AQ112" s="430"/>
      <c r="AR112" s="430"/>
      <c r="AS112" s="430"/>
      <c r="AT112" s="430"/>
      <c r="AU112" s="430"/>
      <c r="AV112" s="430"/>
      <c r="AW112" s="430"/>
      <c r="AX112" s="430"/>
      <c r="AY112" s="430"/>
      <c r="AZ112" s="430"/>
      <c r="BA112" s="430"/>
      <c r="BB112" s="430"/>
    </row>
    <row r="113" spans="1:54">
      <c r="A113" s="430"/>
      <c r="B113" s="451"/>
      <c r="C113" s="430"/>
      <c r="D113" s="451"/>
      <c r="E113" s="430"/>
      <c r="F113" s="430"/>
      <c r="G113" s="430"/>
      <c r="H113" s="430"/>
      <c r="I113" s="430"/>
      <c r="J113" s="430"/>
      <c r="K113" s="430"/>
      <c r="L113" s="430"/>
      <c r="M113" s="430"/>
      <c r="N113" s="430"/>
      <c r="O113" s="430"/>
      <c r="P113" s="430"/>
      <c r="Q113" s="430"/>
      <c r="R113" s="430"/>
      <c r="S113" s="430"/>
      <c r="T113" s="430"/>
      <c r="U113" s="430"/>
      <c r="V113" s="430"/>
      <c r="W113" s="430"/>
      <c r="X113" s="430"/>
      <c r="Y113" s="430"/>
      <c r="Z113" s="430"/>
      <c r="AA113" s="430"/>
      <c r="AB113" s="430"/>
      <c r="AC113" s="430"/>
      <c r="AD113" s="430"/>
      <c r="AE113" s="430"/>
      <c r="AF113" s="430"/>
      <c r="AG113" s="430"/>
      <c r="AH113" s="430"/>
      <c r="AI113" s="430"/>
      <c r="AJ113" s="430"/>
      <c r="AK113" s="430"/>
      <c r="AL113" s="430"/>
      <c r="AM113" s="430"/>
      <c r="AN113" s="430"/>
      <c r="AO113" s="430"/>
      <c r="AP113" s="430"/>
      <c r="AQ113" s="430"/>
      <c r="AR113" s="430"/>
      <c r="AS113" s="430"/>
      <c r="AT113" s="430"/>
      <c r="AU113" s="430"/>
      <c r="AV113" s="430"/>
      <c r="AW113" s="430"/>
      <c r="AX113" s="430"/>
      <c r="AY113" s="430"/>
      <c r="AZ113" s="430"/>
      <c r="BA113" s="430"/>
      <c r="BB113" s="430"/>
    </row>
    <row r="114" spans="1:54">
      <c r="A114" s="430"/>
      <c r="B114" s="451"/>
      <c r="C114" s="430"/>
      <c r="D114" s="451"/>
      <c r="E114" s="430"/>
      <c r="F114" s="430"/>
      <c r="G114" s="430"/>
      <c r="H114" s="430"/>
      <c r="I114" s="430"/>
      <c r="J114" s="430"/>
      <c r="K114" s="430"/>
      <c r="L114" s="430"/>
      <c r="M114" s="430"/>
      <c r="N114" s="430"/>
      <c r="O114" s="430"/>
      <c r="P114" s="430"/>
      <c r="Q114" s="430"/>
      <c r="R114" s="430"/>
      <c r="S114" s="430"/>
      <c r="T114" s="430"/>
      <c r="U114" s="430"/>
      <c r="V114" s="430"/>
      <c r="W114" s="430"/>
      <c r="X114" s="430"/>
      <c r="Y114" s="430"/>
      <c r="Z114" s="430"/>
      <c r="AA114" s="430"/>
      <c r="AB114" s="430"/>
      <c r="AC114" s="430"/>
      <c r="AD114" s="430"/>
      <c r="AE114" s="430"/>
      <c r="AF114" s="430"/>
      <c r="AG114" s="430"/>
      <c r="AH114" s="430"/>
      <c r="AI114" s="430"/>
      <c r="AJ114" s="430"/>
      <c r="AK114" s="430"/>
      <c r="AL114" s="430"/>
      <c r="AM114" s="430"/>
      <c r="AN114" s="430"/>
      <c r="AO114" s="430"/>
      <c r="AP114" s="430"/>
      <c r="AQ114" s="430"/>
      <c r="AR114" s="430"/>
      <c r="AS114" s="430"/>
      <c r="AT114" s="430"/>
      <c r="AU114" s="430"/>
      <c r="AV114" s="430"/>
      <c r="AW114" s="430"/>
      <c r="AX114" s="430"/>
      <c r="AY114" s="430"/>
      <c r="AZ114" s="430"/>
      <c r="BA114" s="430"/>
      <c r="BB114" s="430"/>
    </row>
    <row r="115" spans="1:54">
      <c r="A115" s="430"/>
      <c r="B115" s="451"/>
      <c r="C115" s="430"/>
      <c r="D115" s="451"/>
      <c r="E115" s="430"/>
      <c r="F115" s="430"/>
      <c r="G115" s="430"/>
      <c r="H115" s="430"/>
      <c r="I115" s="430"/>
      <c r="J115" s="430"/>
      <c r="K115" s="430"/>
      <c r="L115" s="430"/>
      <c r="M115" s="430"/>
      <c r="N115" s="430"/>
      <c r="O115" s="430"/>
      <c r="P115" s="430"/>
      <c r="Q115" s="430"/>
      <c r="R115" s="430"/>
      <c r="S115" s="430"/>
      <c r="T115" s="430"/>
      <c r="U115" s="430"/>
      <c r="V115" s="430"/>
      <c r="W115" s="430"/>
      <c r="X115" s="430"/>
      <c r="Y115" s="430"/>
      <c r="Z115" s="430"/>
      <c r="AA115" s="430"/>
      <c r="AB115" s="430"/>
      <c r="AC115" s="430"/>
      <c r="AD115" s="430"/>
      <c r="AE115" s="430"/>
      <c r="AF115" s="430"/>
      <c r="AG115" s="430"/>
      <c r="AH115" s="430"/>
      <c r="AI115" s="430"/>
      <c r="AJ115" s="430"/>
      <c r="AK115" s="430"/>
      <c r="AL115" s="430"/>
      <c r="AM115" s="430"/>
      <c r="AN115" s="430"/>
      <c r="AO115" s="430"/>
      <c r="AP115" s="430"/>
      <c r="AQ115" s="430"/>
      <c r="AR115" s="430"/>
      <c r="AS115" s="430"/>
      <c r="AT115" s="430"/>
      <c r="AU115" s="430"/>
      <c r="AV115" s="430"/>
      <c r="AW115" s="430"/>
      <c r="AX115" s="430"/>
      <c r="AY115" s="430"/>
      <c r="AZ115" s="430"/>
      <c r="BA115" s="430"/>
      <c r="BB115" s="430"/>
    </row>
    <row r="116" spans="1:54">
      <c r="A116" s="430"/>
      <c r="B116" s="451"/>
      <c r="C116" s="430"/>
      <c r="D116" s="451"/>
      <c r="E116" s="430"/>
      <c r="F116" s="430"/>
      <c r="G116" s="430"/>
      <c r="H116" s="430"/>
      <c r="I116" s="430"/>
      <c r="J116" s="430"/>
      <c r="K116" s="430"/>
      <c r="L116" s="430"/>
      <c r="M116" s="430"/>
      <c r="N116" s="430"/>
      <c r="O116" s="430"/>
      <c r="P116" s="430"/>
      <c r="Q116" s="430"/>
      <c r="R116" s="430"/>
      <c r="S116" s="430"/>
      <c r="T116" s="430"/>
      <c r="U116" s="430"/>
      <c r="V116" s="430"/>
      <c r="W116" s="430"/>
      <c r="X116" s="430"/>
      <c r="Y116" s="430"/>
      <c r="Z116" s="430"/>
      <c r="AA116" s="430"/>
      <c r="AB116" s="430"/>
      <c r="AC116" s="430"/>
      <c r="AD116" s="430"/>
      <c r="AE116" s="430"/>
      <c r="AF116" s="430"/>
      <c r="AG116" s="430"/>
      <c r="AH116" s="430"/>
      <c r="AI116" s="430"/>
      <c r="AJ116" s="430"/>
      <c r="AK116" s="430"/>
      <c r="AL116" s="430"/>
      <c r="AM116" s="430"/>
      <c r="AN116" s="430"/>
      <c r="AO116" s="430"/>
      <c r="AP116" s="430"/>
      <c r="AQ116" s="430"/>
      <c r="AR116" s="430"/>
      <c r="AS116" s="430"/>
      <c r="AT116" s="430"/>
      <c r="AU116" s="430"/>
      <c r="AV116" s="430"/>
      <c r="AW116" s="430"/>
      <c r="AX116" s="430"/>
      <c r="AY116" s="430"/>
      <c r="AZ116" s="430"/>
      <c r="BA116" s="430"/>
      <c r="BB116" s="430"/>
    </row>
    <row r="117" spans="1:54">
      <c r="A117" s="430"/>
      <c r="B117" s="451"/>
      <c r="C117" s="430"/>
      <c r="D117" s="451"/>
      <c r="E117" s="430"/>
      <c r="F117" s="430"/>
      <c r="G117" s="430"/>
      <c r="H117" s="430"/>
      <c r="I117" s="430"/>
      <c r="J117" s="430"/>
      <c r="K117" s="430"/>
      <c r="L117" s="430"/>
      <c r="M117" s="430"/>
      <c r="N117" s="430"/>
      <c r="O117" s="430"/>
      <c r="P117" s="430"/>
      <c r="Q117" s="430"/>
      <c r="R117" s="430"/>
      <c r="S117" s="430"/>
      <c r="T117" s="430"/>
      <c r="U117" s="430"/>
      <c r="V117" s="430"/>
      <c r="W117" s="430"/>
      <c r="X117" s="430"/>
      <c r="Y117" s="430"/>
      <c r="Z117" s="430"/>
      <c r="AA117" s="430"/>
      <c r="AB117" s="430"/>
      <c r="AC117" s="430"/>
      <c r="AD117" s="430"/>
      <c r="AE117" s="430"/>
      <c r="AF117" s="430"/>
      <c r="AG117" s="430"/>
      <c r="AH117" s="430"/>
      <c r="AI117" s="430"/>
      <c r="AJ117" s="430"/>
      <c r="AK117" s="430"/>
      <c r="AL117" s="430"/>
      <c r="AM117" s="430"/>
      <c r="AN117" s="430"/>
      <c r="AO117" s="430"/>
      <c r="AP117" s="430"/>
      <c r="AQ117" s="430"/>
      <c r="AR117" s="430"/>
      <c r="AS117" s="430"/>
      <c r="AT117" s="430"/>
      <c r="AU117" s="430"/>
      <c r="AV117" s="430"/>
      <c r="AW117" s="430"/>
      <c r="AX117" s="430"/>
      <c r="AY117" s="430"/>
      <c r="AZ117" s="430"/>
      <c r="BA117" s="430"/>
      <c r="BB117" s="430"/>
    </row>
    <row r="118" spans="1:54">
      <c r="A118" s="430"/>
      <c r="B118" s="451"/>
      <c r="C118" s="430"/>
      <c r="D118" s="451"/>
      <c r="E118" s="430"/>
      <c r="F118" s="430"/>
      <c r="G118" s="430"/>
      <c r="H118" s="430"/>
      <c r="I118" s="430"/>
      <c r="J118" s="430"/>
      <c r="K118" s="430"/>
      <c r="L118" s="430"/>
      <c r="M118" s="430"/>
      <c r="N118" s="430"/>
      <c r="O118" s="430"/>
      <c r="P118" s="430"/>
      <c r="Q118" s="430"/>
      <c r="R118" s="430"/>
      <c r="S118" s="430"/>
      <c r="T118" s="430"/>
      <c r="U118" s="430"/>
      <c r="V118" s="430"/>
      <c r="W118" s="430"/>
      <c r="X118" s="430"/>
      <c r="Y118" s="430"/>
      <c r="Z118" s="430"/>
      <c r="AA118" s="430"/>
      <c r="AB118" s="430"/>
      <c r="AC118" s="430"/>
      <c r="AD118" s="430"/>
      <c r="AE118" s="430"/>
      <c r="AF118" s="430"/>
      <c r="AG118" s="430"/>
      <c r="AH118" s="430"/>
      <c r="AI118" s="430"/>
      <c r="AJ118" s="430"/>
      <c r="AK118" s="430"/>
      <c r="AL118" s="430"/>
      <c r="AM118" s="430"/>
      <c r="AN118" s="430"/>
      <c r="AO118" s="430"/>
      <c r="AP118" s="430"/>
      <c r="AQ118" s="430"/>
      <c r="AR118" s="430"/>
      <c r="AS118" s="430"/>
      <c r="AT118" s="430"/>
      <c r="AU118" s="430"/>
      <c r="AV118" s="430"/>
      <c r="AW118" s="430"/>
      <c r="AX118" s="430"/>
      <c r="AY118" s="430"/>
      <c r="AZ118" s="430"/>
      <c r="BA118" s="430"/>
      <c r="BB118" s="430"/>
    </row>
    <row r="119" spans="1:54" s="5" customFormat="1">
      <c r="A119" s="540"/>
      <c r="B119" s="451"/>
      <c r="C119" s="430"/>
      <c r="D119" s="451"/>
      <c r="E119" s="430"/>
      <c r="F119" s="430"/>
      <c r="G119" s="430"/>
      <c r="H119" s="430"/>
      <c r="I119" s="430"/>
      <c r="J119" s="430"/>
      <c r="K119" s="430"/>
      <c r="L119" s="430"/>
      <c r="M119" s="430"/>
      <c r="N119" s="430"/>
      <c r="O119" s="430"/>
      <c r="P119" s="430"/>
      <c r="Q119" s="430"/>
      <c r="R119" s="430"/>
      <c r="S119" s="430"/>
      <c r="T119" s="430"/>
      <c r="U119" s="430"/>
      <c r="V119" s="430"/>
      <c r="W119" s="430"/>
      <c r="X119" s="430"/>
      <c r="Y119" s="430"/>
      <c r="Z119" s="430"/>
      <c r="AA119" s="430"/>
      <c r="AB119" s="430"/>
      <c r="AC119" s="430"/>
      <c r="AD119" s="430"/>
      <c r="AE119" s="430"/>
      <c r="AF119" s="430"/>
      <c r="AG119" s="430"/>
      <c r="AH119" s="430"/>
      <c r="AI119" s="478"/>
      <c r="AJ119" s="430"/>
      <c r="AK119" s="430"/>
      <c r="AL119" s="430"/>
      <c r="AM119" s="430"/>
      <c r="AN119" s="430"/>
      <c r="AO119" s="430"/>
      <c r="AP119" s="430"/>
      <c r="AQ119" s="430"/>
      <c r="AR119" s="430"/>
      <c r="AS119" s="430"/>
      <c r="AT119" s="430"/>
      <c r="AU119" s="430"/>
      <c r="AV119" s="430"/>
      <c r="AW119" s="430"/>
      <c r="AX119" s="430"/>
      <c r="AY119" s="430"/>
      <c r="AZ119" s="430"/>
      <c r="BA119" s="430"/>
      <c r="BB119" s="430"/>
    </row>
    <row r="120" spans="1:54">
      <c r="A120" s="430"/>
      <c r="B120" s="451"/>
      <c r="C120" s="430"/>
      <c r="D120" s="451"/>
      <c r="E120" s="430"/>
      <c r="F120" s="430"/>
      <c r="G120" s="430"/>
      <c r="H120" s="430"/>
      <c r="I120" s="430"/>
      <c r="J120" s="430"/>
      <c r="K120" s="430"/>
      <c r="L120" s="430"/>
      <c r="M120" s="430"/>
      <c r="N120" s="430"/>
      <c r="O120" s="430"/>
      <c r="P120" s="430"/>
      <c r="Q120" s="430"/>
      <c r="R120" s="430"/>
      <c r="S120" s="430"/>
      <c r="T120" s="430"/>
      <c r="U120" s="430"/>
      <c r="V120" s="430"/>
      <c r="W120" s="430"/>
      <c r="X120" s="430"/>
      <c r="Y120" s="430"/>
      <c r="Z120" s="430"/>
      <c r="AA120" s="430"/>
      <c r="AB120" s="430"/>
      <c r="AC120" s="430"/>
      <c r="AD120" s="430"/>
      <c r="AE120" s="430"/>
      <c r="AF120" s="430"/>
      <c r="AG120" s="430"/>
      <c r="AH120" s="430"/>
      <c r="AI120" s="430"/>
      <c r="AJ120" s="430"/>
      <c r="AK120" s="430"/>
      <c r="AL120" s="430"/>
      <c r="AM120" s="430"/>
      <c r="AN120" s="430"/>
      <c r="AO120" s="430"/>
      <c r="AP120" s="430"/>
      <c r="AQ120" s="430"/>
      <c r="AR120" s="430"/>
      <c r="AS120" s="430"/>
      <c r="AT120" s="430"/>
      <c r="AU120" s="430"/>
      <c r="AV120" s="430"/>
      <c r="AW120" s="430"/>
      <c r="AX120" s="430"/>
      <c r="AY120" s="430"/>
      <c r="AZ120" s="430"/>
      <c r="BA120" s="430"/>
      <c r="BB120" s="430"/>
    </row>
    <row r="121" spans="1:54">
      <c r="A121" s="430"/>
      <c r="B121" s="451"/>
      <c r="C121" s="430"/>
      <c r="D121" s="451"/>
      <c r="E121" s="430"/>
      <c r="F121" s="430"/>
      <c r="G121" s="430"/>
      <c r="H121" s="430"/>
      <c r="I121" s="430"/>
      <c r="J121" s="430"/>
      <c r="K121" s="430"/>
      <c r="L121" s="430"/>
      <c r="M121" s="430"/>
      <c r="N121" s="430"/>
      <c r="O121" s="430"/>
      <c r="P121" s="430"/>
      <c r="Q121" s="430"/>
      <c r="R121" s="430"/>
      <c r="S121" s="430"/>
      <c r="T121" s="430"/>
      <c r="U121" s="430"/>
      <c r="V121" s="430"/>
      <c r="W121" s="430"/>
      <c r="X121" s="430"/>
      <c r="Y121" s="430"/>
      <c r="Z121" s="430"/>
      <c r="AA121" s="430"/>
      <c r="AB121" s="430"/>
      <c r="AC121" s="430"/>
      <c r="AD121" s="430"/>
      <c r="AE121" s="430"/>
      <c r="AF121" s="430"/>
      <c r="AG121" s="430"/>
      <c r="AH121" s="430"/>
      <c r="AI121" s="430"/>
      <c r="AJ121" s="430"/>
      <c r="AK121" s="430"/>
      <c r="AL121" s="430"/>
      <c r="AM121" s="430"/>
      <c r="AN121" s="430"/>
      <c r="AO121" s="430"/>
      <c r="AP121" s="430"/>
      <c r="AQ121" s="430"/>
      <c r="AR121" s="430"/>
      <c r="AS121" s="430"/>
      <c r="AT121" s="430"/>
      <c r="AU121" s="430"/>
      <c r="AV121" s="430"/>
      <c r="AW121" s="430"/>
      <c r="AX121" s="430"/>
      <c r="AY121" s="430"/>
      <c r="AZ121" s="430"/>
      <c r="BA121" s="430"/>
      <c r="BB121" s="430"/>
    </row>
    <row r="122" spans="1:54">
      <c r="A122" s="430"/>
      <c r="B122" s="451"/>
      <c r="C122" s="430"/>
      <c r="D122" s="451"/>
      <c r="E122" s="430"/>
      <c r="F122" s="430"/>
      <c r="G122" s="430"/>
      <c r="H122" s="430"/>
      <c r="I122" s="430"/>
      <c r="J122" s="430"/>
      <c r="K122" s="430"/>
      <c r="L122" s="430"/>
      <c r="M122" s="430"/>
      <c r="N122" s="430"/>
      <c r="O122" s="430"/>
      <c r="P122" s="430"/>
      <c r="Q122" s="430"/>
      <c r="R122" s="430"/>
      <c r="S122" s="430"/>
      <c r="T122" s="430"/>
      <c r="U122" s="430"/>
      <c r="V122" s="430"/>
      <c r="W122" s="430"/>
      <c r="X122" s="430"/>
      <c r="Y122" s="430"/>
      <c r="Z122" s="430"/>
      <c r="AA122" s="430"/>
      <c r="AB122" s="430"/>
      <c r="AC122" s="430"/>
      <c r="AD122" s="430"/>
      <c r="AE122" s="430"/>
      <c r="AF122" s="430"/>
      <c r="AG122" s="430"/>
      <c r="AH122" s="430"/>
      <c r="AI122" s="430"/>
      <c r="AJ122" s="430"/>
      <c r="AK122" s="430"/>
      <c r="AL122" s="430"/>
      <c r="AM122" s="430"/>
      <c r="AN122" s="430"/>
      <c r="AO122" s="430"/>
      <c r="AP122" s="430"/>
      <c r="AQ122" s="430"/>
      <c r="AR122" s="430"/>
      <c r="AS122" s="430"/>
      <c r="AT122" s="430"/>
      <c r="AU122" s="430"/>
      <c r="AV122" s="430"/>
      <c r="AW122" s="430"/>
      <c r="AX122" s="430"/>
      <c r="AY122" s="430"/>
      <c r="AZ122" s="430"/>
      <c r="BA122" s="430"/>
      <c r="BB122" s="430"/>
    </row>
    <row r="123" spans="1:54">
      <c r="A123" s="430"/>
      <c r="B123" s="451"/>
      <c r="C123" s="430"/>
      <c r="D123" s="451"/>
      <c r="E123" s="430"/>
      <c r="F123" s="430"/>
      <c r="G123" s="430"/>
      <c r="H123" s="430"/>
      <c r="I123" s="430"/>
      <c r="J123" s="430"/>
      <c r="K123" s="430"/>
      <c r="L123" s="430"/>
      <c r="M123" s="430"/>
      <c r="N123" s="430"/>
      <c r="O123" s="430"/>
      <c r="P123" s="430"/>
      <c r="Q123" s="430"/>
      <c r="R123" s="430"/>
      <c r="S123" s="430"/>
      <c r="T123" s="430"/>
      <c r="U123" s="430"/>
      <c r="V123" s="430"/>
      <c r="W123" s="430"/>
      <c r="X123" s="430"/>
      <c r="Y123" s="430"/>
      <c r="Z123" s="430"/>
      <c r="AA123" s="430"/>
      <c r="AB123" s="430"/>
      <c r="AC123" s="430"/>
      <c r="AD123" s="430"/>
      <c r="AE123" s="430"/>
      <c r="AF123" s="430"/>
      <c r="AG123" s="430"/>
      <c r="AH123" s="430"/>
      <c r="AI123" s="430"/>
      <c r="AJ123" s="430"/>
      <c r="AK123" s="430"/>
      <c r="AL123" s="430"/>
      <c r="AM123" s="430"/>
      <c r="AN123" s="430"/>
      <c r="AO123" s="430"/>
      <c r="AP123" s="430"/>
      <c r="AQ123" s="430"/>
      <c r="AR123" s="430"/>
      <c r="AS123" s="430"/>
      <c r="AT123" s="430"/>
      <c r="AU123" s="430"/>
      <c r="AV123" s="430"/>
      <c r="AW123" s="430"/>
      <c r="AX123" s="430"/>
      <c r="AY123" s="430"/>
      <c r="AZ123" s="430"/>
      <c r="BA123" s="430"/>
      <c r="BB123" s="430"/>
    </row>
    <row r="124" spans="1:54">
      <c r="A124" s="430"/>
      <c r="B124" s="451"/>
      <c r="C124" s="430"/>
      <c r="D124" s="451"/>
      <c r="E124" s="430"/>
      <c r="F124" s="430"/>
      <c r="G124" s="430"/>
      <c r="H124" s="430"/>
      <c r="I124" s="430"/>
      <c r="J124" s="430"/>
      <c r="K124" s="430"/>
      <c r="L124" s="430"/>
      <c r="M124" s="430"/>
      <c r="N124" s="430"/>
      <c r="O124" s="430"/>
      <c r="P124" s="430"/>
      <c r="Q124" s="430"/>
      <c r="R124" s="430"/>
      <c r="S124" s="430"/>
      <c r="T124" s="430"/>
      <c r="U124" s="555"/>
      <c r="V124" s="555"/>
      <c r="W124" s="430"/>
      <c r="X124" s="432"/>
      <c r="Y124" s="430"/>
      <c r="Z124" s="430"/>
      <c r="AA124" s="430"/>
      <c r="AB124" s="430"/>
      <c r="AC124" s="430"/>
      <c r="AD124" s="430"/>
      <c r="AE124" s="430"/>
      <c r="AF124" s="430"/>
      <c r="AG124" s="430"/>
      <c r="AH124" s="430"/>
      <c r="AI124" s="430"/>
      <c r="AJ124" s="430"/>
      <c r="AK124" s="430"/>
      <c r="AL124" s="430"/>
      <c r="AM124" s="430"/>
      <c r="AN124" s="430"/>
      <c r="AO124" s="430"/>
      <c r="AP124" s="430"/>
      <c r="AQ124" s="430"/>
      <c r="AR124" s="430"/>
      <c r="AS124" s="430"/>
      <c r="AT124" s="430"/>
      <c r="AU124" s="430"/>
      <c r="AV124" s="430"/>
      <c r="AW124" s="430"/>
      <c r="AX124" s="430"/>
      <c r="AY124" s="430"/>
      <c r="AZ124" s="430"/>
      <c r="BA124" s="430"/>
      <c r="BB124" s="430"/>
    </row>
    <row r="125" spans="1:54">
      <c r="A125" s="430"/>
      <c r="B125" s="451"/>
      <c r="C125" s="430"/>
      <c r="D125" s="451"/>
      <c r="E125" s="430"/>
      <c r="F125" s="430"/>
      <c r="G125" s="430"/>
      <c r="H125" s="430"/>
      <c r="I125" s="430"/>
      <c r="J125" s="430"/>
      <c r="K125" s="430"/>
      <c r="L125" s="430"/>
      <c r="M125" s="430"/>
      <c r="N125" s="430"/>
      <c r="O125" s="430"/>
      <c r="P125" s="430"/>
      <c r="Q125" s="430"/>
      <c r="R125" s="430"/>
      <c r="S125" s="430"/>
      <c r="T125" s="430"/>
      <c r="U125" s="430"/>
      <c r="V125" s="430"/>
      <c r="W125" s="430"/>
      <c r="X125" s="430"/>
      <c r="Y125" s="430"/>
      <c r="Z125" s="430"/>
      <c r="AA125" s="430"/>
      <c r="AB125" s="430"/>
      <c r="AC125" s="430"/>
      <c r="AD125" s="430"/>
      <c r="AE125" s="430"/>
      <c r="AF125" s="430"/>
      <c r="AG125" s="430"/>
      <c r="AH125" s="430"/>
      <c r="AI125" s="430"/>
      <c r="AJ125" s="430"/>
      <c r="AK125" s="430"/>
      <c r="AL125" s="430"/>
      <c r="AM125" s="430"/>
      <c r="AN125" s="430"/>
      <c r="AO125" s="430"/>
      <c r="AP125" s="430"/>
      <c r="AQ125" s="430"/>
      <c r="AR125" s="430"/>
      <c r="AS125" s="430"/>
      <c r="AT125" s="430"/>
      <c r="AU125" s="430"/>
      <c r="AV125" s="430"/>
      <c r="AW125" s="430"/>
      <c r="AX125" s="430"/>
      <c r="AY125" s="430"/>
      <c r="AZ125" s="430"/>
      <c r="BA125" s="430"/>
      <c r="BB125" s="430"/>
    </row>
    <row r="126" spans="1:54">
      <c r="A126" s="430"/>
      <c r="B126" s="451"/>
      <c r="C126" s="430"/>
      <c r="D126" s="451"/>
      <c r="E126" s="430"/>
      <c r="F126" s="430"/>
      <c r="G126" s="430"/>
      <c r="H126" s="430"/>
      <c r="I126" s="430"/>
      <c r="J126" s="430"/>
      <c r="K126" s="430"/>
      <c r="L126" s="430"/>
      <c r="M126" s="430"/>
      <c r="N126" s="430"/>
      <c r="O126" s="430"/>
      <c r="P126" s="430"/>
      <c r="Q126" s="430"/>
      <c r="R126" s="430"/>
      <c r="S126" s="430"/>
      <c r="T126" s="430"/>
      <c r="U126" s="430"/>
      <c r="V126" s="430"/>
      <c r="W126" s="430"/>
      <c r="X126" s="430"/>
      <c r="Y126" s="430"/>
      <c r="Z126" s="430"/>
      <c r="AA126" s="430"/>
      <c r="AB126" s="430"/>
      <c r="AC126" s="430"/>
      <c r="AD126" s="430"/>
      <c r="AE126" s="430"/>
      <c r="AF126" s="430"/>
      <c r="AG126" s="430"/>
      <c r="AH126" s="430"/>
      <c r="AI126" s="430"/>
      <c r="AJ126" s="430"/>
      <c r="AK126" s="430"/>
      <c r="AL126" s="430"/>
      <c r="AM126" s="430"/>
      <c r="AN126" s="430"/>
      <c r="AO126" s="430"/>
      <c r="AP126" s="430"/>
      <c r="AQ126" s="430"/>
      <c r="AR126" s="430"/>
      <c r="AS126" s="430"/>
      <c r="AT126" s="430"/>
      <c r="AU126" s="430"/>
      <c r="AV126" s="430"/>
      <c r="AW126" s="430"/>
      <c r="AX126" s="430"/>
      <c r="AY126" s="430"/>
      <c r="AZ126" s="430"/>
      <c r="BA126" s="430"/>
      <c r="BB126" s="430"/>
    </row>
    <row r="127" spans="1:54">
      <c r="A127" s="430"/>
      <c r="B127" s="451"/>
      <c r="C127" s="430"/>
      <c r="D127" s="451"/>
      <c r="E127" s="430"/>
      <c r="F127" s="430"/>
      <c r="G127" s="430"/>
      <c r="H127" s="430"/>
      <c r="I127" s="430"/>
      <c r="J127" s="430"/>
      <c r="K127" s="430"/>
      <c r="L127" s="430"/>
      <c r="M127" s="430"/>
      <c r="N127" s="430"/>
      <c r="O127" s="430"/>
      <c r="P127" s="430"/>
      <c r="Q127" s="430"/>
      <c r="R127" s="430"/>
      <c r="S127" s="430"/>
      <c r="T127" s="430"/>
      <c r="U127" s="430"/>
      <c r="V127" s="430"/>
      <c r="W127" s="430"/>
      <c r="X127" s="430"/>
      <c r="Y127" s="430"/>
      <c r="Z127" s="430"/>
      <c r="AA127" s="430"/>
      <c r="AB127" s="430"/>
      <c r="AC127" s="430"/>
      <c r="AD127" s="430"/>
      <c r="AE127" s="430"/>
      <c r="AF127" s="430"/>
      <c r="AG127" s="430"/>
      <c r="AH127" s="430"/>
      <c r="AI127" s="430"/>
      <c r="AJ127" s="430"/>
      <c r="AK127" s="430"/>
      <c r="AL127" s="430"/>
      <c r="AM127" s="430"/>
      <c r="AN127" s="430"/>
      <c r="AO127" s="430"/>
      <c r="AP127" s="430"/>
      <c r="AQ127" s="430"/>
      <c r="AR127" s="430"/>
      <c r="AS127" s="430"/>
      <c r="AT127" s="430"/>
      <c r="AU127" s="430"/>
      <c r="AV127" s="430"/>
      <c r="AW127" s="430"/>
      <c r="AX127" s="430"/>
      <c r="AY127" s="430"/>
      <c r="AZ127" s="430"/>
      <c r="BA127" s="430"/>
      <c r="BB127" s="430"/>
    </row>
    <row r="128" spans="1:54">
      <c r="A128" s="430"/>
      <c r="B128" s="451"/>
      <c r="C128" s="430"/>
      <c r="D128" s="451"/>
      <c r="E128" s="430"/>
      <c r="F128" s="430"/>
      <c r="G128" s="430"/>
      <c r="H128" s="430"/>
      <c r="I128" s="430"/>
      <c r="J128" s="430"/>
      <c r="K128" s="430"/>
      <c r="L128" s="430"/>
      <c r="M128" s="430"/>
      <c r="N128" s="430"/>
      <c r="O128" s="430"/>
      <c r="P128" s="430"/>
      <c r="Q128" s="430"/>
      <c r="R128" s="430"/>
      <c r="S128" s="430"/>
      <c r="T128" s="430"/>
      <c r="U128" s="430"/>
      <c r="V128" s="430"/>
      <c r="W128" s="430"/>
      <c r="X128" s="430"/>
      <c r="Y128" s="430"/>
      <c r="Z128" s="430"/>
      <c r="AA128" s="430"/>
      <c r="AB128" s="430"/>
      <c r="AC128" s="430"/>
      <c r="AD128" s="430"/>
      <c r="AE128" s="430"/>
      <c r="AF128" s="430"/>
      <c r="AG128" s="430"/>
      <c r="AH128" s="430"/>
      <c r="AI128" s="430"/>
      <c r="AJ128" s="430"/>
      <c r="AK128" s="430"/>
      <c r="AL128" s="430"/>
      <c r="AM128" s="430"/>
      <c r="AN128" s="430"/>
      <c r="AO128" s="430"/>
      <c r="AP128" s="430"/>
      <c r="AQ128" s="430"/>
      <c r="AR128" s="430"/>
      <c r="AS128" s="430"/>
      <c r="AT128" s="430"/>
      <c r="AU128" s="430"/>
      <c r="AV128" s="430"/>
      <c r="AW128" s="430"/>
      <c r="AX128" s="430"/>
      <c r="AY128" s="430"/>
      <c r="AZ128" s="430"/>
      <c r="BA128" s="430"/>
      <c r="BB128" s="430"/>
    </row>
    <row r="129" spans="1:54">
      <c r="A129" s="430"/>
      <c r="B129" s="451"/>
      <c r="C129" s="430"/>
      <c r="D129" s="451"/>
      <c r="E129" s="430"/>
      <c r="F129" s="430"/>
      <c r="G129" s="430"/>
      <c r="H129" s="430"/>
      <c r="I129" s="430"/>
      <c r="J129" s="430"/>
      <c r="K129" s="430"/>
      <c r="L129" s="430"/>
      <c r="M129" s="430"/>
      <c r="N129" s="430"/>
      <c r="O129" s="430"/>
      <c r="P129" s="430"/>
      <c r="Q129" s="430"/>
      <c r="R129" s="430"/>
      <c r="S129" s="430"/>
      <c r="T129" s="430"/>
      <c r="U129" s="430"/>
      <c r="V129" s="430"/>
      <c r="W129" s="430"/>
      <c r="X129" s="430"/>
      <c r="Y129" s="430"/>
      <c r="Z129" s="430"/>
      <c r="AA129" s="430"/>
      <c r="AB129" s="430"/>
      <c r="AC129" s="430"/>
      <c r="AD129" s="430"/>
      <c r="AE129" s="430"/>
      <c r="AF129" s="430"/>
      <c r="AG129" s="430"/>
      <c r="AH129" s="430"/>
      <c r="AI129" s="430"/>
      <c r="AJ129" s="430"/>
      <c r="AK129" s="430"/>
      <c r="AL129" s="430"/>
      <c r="AM129" s="430"/>
      <c r="AN129" s="430"/>
      <c r="AO129" s="430"/>
      <c r="AP129" s="430"/>
      <c r="AQ129" s="430"/>
      <c r="AR129" s="430"/>
      <c r="AS129" s="430"/>
      <c r="AT129" s="430"/>
      <c r="AU129" s="430"/>
      <c r="AV129" s="430"/>
      <c r="AW129" s="430"/>
      <c r="AX129" s="430"/>
      <c r="AY129" s="430"/>
      <c r="AZ129" s="430"/>
      <c r="BA129" s="430"/>
      <c r="BB129" s="430"/>
    </row>
    <row r="130" spans="1:54">
      <c r="A130" s="430"/>
      <c r="B130" s="451"/>
      <c r="C130" s="430"/>
      <c r="D130" s="451"/>
      <c r="E130" s="430"/>
      <c r="F130" s="430"/>
      <c r="G130" s="430"/>
      <c r="H130" s="430"/>
      <c r="I130" s="430"/>
      <c r="J130" s="430"/>
      <c r="K130" s="430"/>
      <c r="L130" s="430"/>
      <c r="M130" s="430"/>
      <c r="N130" s="430"/>
      <c r="O130" s="430"/>
      <c r="P130" s="430"/>
      <c r="Q130" s="430"/>
      <c r="R130" s="430"/>
      <c r="S130" s="430"/>
      <c r="T130" s="430"/>
      <c r="U130" s="430"/>
      <c r="V130" s="430"/>
      <c r="W130" s="430"/>
      <c r="X130" s="430"/>
      <c r="Y130" s="430"/>
      <c r="Z130" s="430"/>
      <c r="AA130" s="430"/>
      <c r="AB130" s="430"/>
      <c r="AC130" s="430"/>
      <c r="AD130" s="430"/>
      <c r="AE130" s="430"/>
      <c r="AF130" s="430"/>
      <c r="AG130" s="430"/>
      <c r="AH130" s="430"/>
      <c r="AI130" s="430"/>
      <c r="AJ130" s="430"/>
      <c r="AK130" s="430"/>
      <c r="AL130" s="430"/>
      <c r="AM130" s="430"/>
      <c r="AN130" s="430"/>
      <c r="AO130" s="430"/>
      <c r="AP130" s="430"/>
      <c r="AQ130" s="430"/>
      <c r="AR130" s="430"/>
      <c r="AS130" s="430"/>
      <c r="AT130" s="430"/>
      <c r="AU130" s="430"/>
      <c r="AV130" s="430"/>
      <c r="AW130" s="430"/>
      <c r="AX130" s="430"/>
      <c r="AY130" s="430"/>
      <c r="AZ130" s="430"/>
      <c r="BA130" s="430"/>
      <c r="BB130" s="430"/>
    </row>
    <row r="131" spans="1:54">
      <c r="A131" s="430"/>
      <c r="B131" s="451"/>
      <c r="C131" s="430"/>
      <c r="D131" s="451"/>
      <c r="E131" s="430"/>
      <c r="F131" s="430"/>
      <c r="G131" s="430"/>
      <c r="H131" s="430"/>
      <c r="I131" s="430"/>
      <c r="J131" s="430"/>
      <c r="K131" s="430"/>
      <c r="L131" s="430"/>
      <c r="M131" s="430"/>
      <c r="N131" s="430"/>
      <c r="O131" s="430"/>
      <c r="P131" s="430"/>
      <c r="Q131" s="430"/>
      <c r="R131" s="430"/>
      <c r="S131" s="430"/>
      <c r="T131" s="430"/>
      <c r="U131" s="430"/>
      <c r="V131" s="430"/>
      <c r="W131" s="430"/>
      <c r="X131" s="430"/>
      <c r="Y131" s="430"/>
      <c r="Z131" s="430"/>
      <c r="AA131" s="430"/>
      <c r="AB131" s="430"/>
      <c r="AC131" s="430"/>
      <c r="AD131" s="430"/>
      <c r="AE131" s="430"/>
      <c r="AF131" s="430"/>
      <c r="AG131" s="430"/>
      <c r="AH131" s="430"/>
      <c r="AI131" s="430"/>
      <c r="AJ131" s="430"/>
      <c r="AK131" s="430"/>
      <c r="AL131" s="430"/>
      <c r="AM131" s="430"/>
      <c r="AN131" s="430"/>
      <c r="AO131" s="430"/>
      <c r="AP131" s="430"/>
      <c r="AQ131" s="430"/>
      <c r="AR131" s="430"/>
      <c r="AS131" s="430"/>
      <c r="AT131" s="430"/>
      <c r="AU131" s="430"/>
      <c r="AV131" s="430"/>
      <c r="AW131" s="430"/>
      <c r="AX131" s="430"/>
      <c r="AY131" s="430"/>
      <c r="AZ131" s="430"/>
      <c r="BA131" s="430"/>
      <c r="BB131" s="430"/>
    </row>
    <row r="132" spans="1:54">
      <c r="A132" s="430"/>
      <c r="B132" s="451"/>
      <c r="C132" s="430"/>
      <c r="D132" s="451"/>
      <c r="E132" s="430"/>
      <c r="F132" s="430"/>
      <c r="G132" s="430"/>
      <c r="H132" s="430"/>
      <c r="I132" s="430"/>
      <c r="J132" s="430"/>
      <c r="K132" s="430"/>
      <c r="L132" s="430"/>
      <c r="M132" s="430"/>
      <c r="N132" s="430"/>
      <c r="O132" s="430"/>
      <c r="P132" s="430"/>
      <c r="Q132" s="430"/>
      <c r="R132" s="430"/>
      <c r="S132" s="430"/>
      <c r="T132" s="430"/>
      <c r="U132" s="430"/>
      <c r="V132" s="430"/>
      <c r="W132" s="430"/>
      <c r="X132" s="430"/>
      <c r="Y132" s="430"/>
      <c r="Z132" s="430"/>
      <c r="AA132" s="430"/>
      <c r="AB132" s="430"/>
      <c r="AC132" s="430"/>
      <c r="AD132" s="430"/>
      <c r="AE132" s="430"/>
      <c r="AF132" s="430"/>
      <c r="AG132" s="430"/>
      <c r="AH132" s="430"/>
      <c r="AI132" s="430"/>
      <c r="AJ132" s="430"/>
      <c r="AK132" s="430"/>
      <c r="AL132" s="430"/>
      <c r="AM132" s="430"/>
      <c r="AN132" s="430"/>
      <c r="AO132" s="430"/>
      <c r="AP132" s="430"/>
      <c r="AQ132" s="430"/>
      <c r="AR132" s="430"/>
      <c r="AS132" s="430"/>
      <c r="AT132" s="430"/>
      <c r="AU132" s="430"/>
      <c r="AV132" s="430"/>
      <c r="AW132" s="430"/>
      <c r="AX132" s="430"/>
      <c r="AY132" s="430"/>
      <c r="AZ132" s="430"/>
      <c r="BA132" s="430"/>
      <c r="BB132" s="430"/>
    </row>
    <row r="133" spans="1:54">
      <c r="A133" s="430"/>
      <c r="B133" s="451"/>
      <c r="C133" s="430"/>
      <c r="D133" s="451"/>
      <c r="E133" s="430"/>
      <c r="F133" s="430"/>
      <c r="G133" s="430"/>
      <c r="H133" s="430"/>
      <c r="I133" s="430"/>
      <c r="J133" s="430"/>
      <c r="K133" s="430"/>
      <c r="L133" s="430"/>
      <c r="M133" s="430"/>
      <c r="N133" s="430"/>
      <c r="O133" s="430"/>
      <c r="P133" s="430"/>
      <c r="Q133" s="430"/>
      <c r="R133" s="430"/>
      <c r="S133" s="430"/>
      <c r="T133" s="430"/>
      <c r="U133" s="430"/>
      <c r="V133" s="430"/>
      <c r="W133" s="430"/>
      <c r="X133" s="430"/>
      <c r="Y133" s="430"/>
      <c r="Z133" s="430"/>
      <c r="AA133" s="430"/>
      <c r="AB133" s="430"/>
      <c r="AC133" s="430"/>
      <c r="AD133" s="430"/>
      <c r="AE133" s="430"/>
      <c r="AF133" s="430"/>
      <c r="AG133" s="430"/>
      <c r="AH133" s="430"/>
      <c r="AI133" s="430"/>
      <c r="AJ133" s="430"/>
      <c r="AK133" s="430"/>
      <c r="AL133" s="430"/>
      <c r="AM133" s="430"/>
      <c r="AN133" s="430"/>
      <c r="AO133" s="430"/>
      <c r="AP133" s="430"/>
      <c r="AQ133" s="430"/>
      <c r="AR133" s="430"/>
      <c r="AS133" s="430"/>
      <c r="AT133" s="430"/>
      <c r="AU133" s="430"/>
      <c r="AV133" s="430"/>
      <c r="AW133" s="430"/>
      <c r="AX133" s="430"/>
      <c r="AY133" s="430"/>
      <c r="AZ133" s="430"/>
      <c r="BA133" s="430"/>
      <c r="BB133" s="430"/>
    </row>
    <row r="134" spans="1:54">
      <c r="A134" s="430"/>
      <c r="B134" s="451"/>
      <c r="C134" s="430"/>
      <c r="D134" s="451"/>
      <c r="E134" s="430"/>
      <c r="F134" s="430"/>
      <c r="G134" s="430"/>
      <c r="H134" s="430"/>
      <c r="I134" s="430"/>
      <c r="J134" s="430"/>
      <c r="K134" s="430"/>
      <c r="L134" s="430"/>
      <c r="M134" s="430"/>
      <c r="N134" s="430"/>
      <c r="O134" s="430"/>
      <c r="P134" s="430"/>
      <c r="Q134" s="430"/>
      <c r="R134" s="430"/>
      <c r="S134" s="430"/>
      <c r="T134" s="430"/>
      <c r="U134" s="430"/>
      <c r="V134" s="430"/>
      <c r="W134" s="430"/>
      <c r="X134" s="430"/>
      <c r="Y134" s="430"/>
      <c r="Z134" s="430"/>
      <c r="AA134" s="430"/>
      <c r="AB134" s="430"/>
      <c r="AC134" s="430"/>
      <c r="AD134" s="430"/>
      <c r="AE134" s="430"/>
      <c r="AF134" s="430"/>
      <c r="AG134" s="430"/>
      <c r="AH134" s="430"/>
      <c r="AI134" s="430"/>
      <c r="AJ134" s="430"/>
      <c r="AK134" s="430"/>
      <c r="AL134" s="430"/>
      <c r="AM134" s="430"/>
      <c r="AN134" s="430"/>
      <c r="AO134" s="430"/>
      <c r="AP134" s="430"/>
      <c r="AQ134" s="430"/>
      <c r="AR134" s="430"/>
      <c r="AS134" s="430"/>
      <c r="AT134" s="430"/>
      <c r="AU134" s="430"/>
      <c r="AV134" s="430"/>
      <c r="AW134" s="430"/>
      <c r="AX134" s="430"/>
      <c r="AY134" s="430"/>
      <c r="AZ134" s="430"/>
      <c r="BA134" s="430"/>
      <c r="BB134" s="430"/>
    </row>
    <row r="135" spans="1:54">
      <c r="A135" s="430"/>
      <c r="B135" s="451"/>
      <c r="C135" s="430"/>
      <c r="D135" s="451"/>
      <c r="E135" s="430"/>
      <c r="F135" s="430"/>
      <c r="G135" s="430"/>
      <c r="H135" s="430"/>
      <c r="I135" s="430"/>
      <c r="J135" s="430"/>
      <c r="K135" s="430"/>
      <c r="L135" s="430"/>
      <c r="M135" s="430"/>
      <c r="N135" s="430"/>
      <c r="O135" s="430"/>
      <c r="P135" s="430"/>
      <c r="Q135" s="430"/>
      <c r="R135" s="430"/>
      <c r="S135" s="430"/>
      <c r="T135" s="430"/>
      <c r="U135" s="430"/>
      <c r="V135" s="430"/>
      <c r="W135" s="430"/>
      <c r="X135" s="430"/>
      <c r="Y135" s="430"/>
      <c r="Z135" s="430"/>
      <c r="AA135" s="430"/>
      <c r="AB135" s="430"/>
      <c r="AC135" s="430"/>
      <c r="AD135" s="430"/>
      <c r="AE135" s="430"/>
      <c r="AF135" s="430"/>
      <c r="AG135" s="430"/>
      <c r="AH135" s="430"/>
      <c r="AI135" s="430"/>
      <c r="AJ135" s="430"/>
      <c r="AK135" s="430"/>
      <c r="AL135" s="430"/>
      <c r="AM135" s="430"/>
      <c r="AN135" s="430"/>
      <c r="AO135" s="430"/>
      <c r="AP135" s="430"/>
      <c r="AQ135" s="430"/>
      <c r="AR135" s="430"/>
      <c r="AS135" s="430"/>
      <c r="AT135" s="430"/>
      <c r="AU135" s="430"/>
      <c r="AV135" s="430"/>
      <c r="AW135" s="430"/>
      <c r="AX135" s="430"/>
      <c r="AY135" s="430"/>
      <c r="AZ135" s="430"/>
      <c r="BA135" s="430"/>
      <c r="BB135" s="430"/>
    </row>
    <row r="136" spans="1:54">
      <c r="A136" s="430"/>
      <c r="B136" s="451"/>
      <c r="C136" s="430"/>
      <c r="D136" s="451"/>
      <c r="E136" s="430"/>
      <c r="F136" s="430"/>
      <c r="G136" s="430"/>
      <c r="H136" s="430"/>
      <c r="I136" s="430"/>
      <c r="J136" s="430"/>
      <c r="K136" s="430"/>
      <c r="L136" s="430"/>
      <c r="M136" s="430"/>
      <c r="N136" s="430"/>
      <c r="O136" s="430"/>
      <c r="P136" s="430"/>
      <c r="Q136" s="430"/>
      <c r="R136" s="430"/>
      <c r="S136" s="430"/>
      <c r="T136" s="430"/>
      <c r="U136" s="430"/>
      <c r="V136" s="430"/>
      <c r="W136" s="430"/>
      <c r="X136" s="430"/>
      <c r="Y136" s="430"/>
      <c r="Z136" s="430"/>
      <c r="AA136" s="430"/>
      <c r="AB136" s="430"/>
      <c r="AC136" s="430"/>
      <c r="AD136" s="430"/>
      <c r="AE136" s="430"/>
      <c r="AF136" s="430"/>
      <c r="AG136" s="430"/>
      <c r="AH136" s="430"/>
      <c r="AI136" s="430"/>
      <c r="AJ136" s="430"/>
      <c r="AK136" s="430"/>
      <c r="AL136" s="430"/>
      <c r="AM136" s="430"/>
      <c r="AN136" s="430"/>
      <c r="AO136" s="430"/>
      <c r="AP136" s="430"/>
      <c r="AQ136" s="430"/>
      <c r="AR136" s="430"/>
      <c r="AS136" s="430"/>
      <c r="AT136" s="430"/>
      <c r="AU136" s="430"/>
      <c r="AV136" s="430"/>
      <c r="AW136" s="430"/>
      <c r="AX136" s="430"/>
      <c r="AY136" s="430"/>
      <c r="AZ136" s="430"/>
      <c r="BA136" s="430"/>
      <c r="BB136" s="430"/>
    </row>
    <row r="137" spans="1:54">
      <c r="A137" s="430"/>
      <c r="B137" s="451"/>
      <c r="C137" s="430"/>
      <c r="D137" s="451"/>
      <c r="E137" s="430"/>
      <c r="F137" s="430"/>
      <c r="G137" s="430"/>
      <c r="H137" s="430"/>
      <c r="I137" s="430"/>
      <c r="J137" s="430"/>
      <c r="K137" s="430"/>
      <c r="L137" s="430"/>
      <c r="M137" s="430"/>
      <c r="N137" s="430"/>
      <c r="O137" s="430"/>
      <c r="P137" s="430"/>
      <c r="Q137" s="430"/>
      <c r="R137" s="430"/>
      <c r="S137" s="430"/>
      <c r="T137" s="430"/>
      <c r="U137" s="430"/>
      <c r="V137" s="430"/>
      <c r="W137" s="430"/>
      <c r="X137" s="430"/>
      <c r="Y137" s="430"/>
      <c r="Z137" s="430"/>
      <c r="AA137" s="430"/>
      <c r="AB137" s="430"/>
      <c r="AC137" s="430"/>
      <c r="AD137" s="430"/>
      <c r="AE137" s="430"/>
      <c r="AF137" s="430"/>
      <c r="AG137" s="430"/>
      <c r="AH137" s="430"/>
      <c r="AI137" s="430"/>
      <c r="AJ137" s="430"/>
      <c r="AK137" s="430"/>
      <c r="AL137" s="430"/>
      <c r="AM137" s="430"/>
      <c r="AN137" s="430"/>
      <c r="AO137" s="430"/>
      <c r="AP137" s="430"/>
      <c r="AQ137" s="430"/>
      <c r="AR137" s="430"/>
      <c r="AS137" s="430"/>
      <c r="AT137" s="430"/>
      <c r="AU137" s="430"/>
      <c r="AV137" s="430"/>
      <c r="AW137" s="430"/>
      <c r="AX137" s="430"/>
      <c r="AY137" s="430"/>
      <c r="AZ137" s="430"/>
      <c r="BA137" s="430"/>
      <c r="BB137" s="430"/>
    </row>
    <row r="138" spans="1:54">
      <c r="A138" s="430"/>
      <c r="B138" s="451"/>
      <c r="C138" s="430"/>
      <c r="D138" s="451"/>
      <c r="E138" s="430"/>
      <c r="F138" s="430"/>
      <c r="G138" s="430"/>
      <c r="H138" s="430"/>
      <c r="I138" s="430"/>
      <c r="J138" s="430"/>
      <c r="K138" s="430"/>
      <c r="L138" s="430"/>
      <c r="M138" s="430"/>
      <c r="N138" s="430"/>
      <c r="O138" s="430"/>
      <c r="P138" s="430"/>
      <c r="Q138" s="430"/>
      <c r="R138" s="533" t="s">
        <v>949</v>
      </c>
      <c r="S138" s="430"/>
      <c r="T138" s="430"/>
      <c r="U138" s="430"/>
      <c r="V138" s="430"/>
      <c r="W138" s="430"/>
      <c r="X138" s="430"/>
      <c r="Y138" s="430"/>
      <c r="Z138" s="430"/>
      <c r="AA138" s="430"/>
      <c r="AB138" s="430"/>
      <c r="AC138" s="430"/>
      <c r="AD138" s="430"/>
      <c r="AE138" s="430"/>
      <c r="AF138" s="430"/>
      <c r="AG138" s="430"/>
      <c r="AH138" s="430"/>
      <c r="AI138" s="430"/>
      <c r="AJ138" s="430"/>
      <c r="AK138" s="430"/>
      <c r="AL138" s="430"/>
      <c r="AM138" s="430"/>
      <c r="AN138" s="430"/>
      <c r="AO138" s="430"/>
      <c r="AP138" s="430"/>
      <c r="AQ138" s="430"/>
      <c r="AR138" s="430"/>
      <c r="AS138" s="430"/>
      <c r="AT138" s="430"/>
      <c r="AU138" s="430"/>
      <c r="AV138" s="430"/>
      <c r="AW138" s="430"/>
      <c r="AX138" s="430"/>
      <c r="AY138" s="430"/>
      <c r="AZ138" s="430"/>
      <c r="BA138" s="430"/>
      <c r="BB138" s="430"/>
    </row>
    <row r="139" spans="1:54">
      <c r="A139" s="430"/>
      <c r="B139" s="451"/>
      <c r="C139" s="430"/>
      <c r="D139" s="451"/>
      <c r="E139" s="430"/>
      <c r="F139" s="430"/>
      <c r="G139" s="430"/>
      <c r="H139" s="430"/>
      <c r="I139" s="430"/>
      <c r="J139" s="430"/>
      <c r="K139" s="430"/>
      <c r="L139" s="430"/>
      <c r="M139" s="430"/>
      <c r="N139" s="430"/>
      <c r="O139" s="430"/>
      <c r="P139" s="430"/>
      <c r="Q139" s="430"/>
      <c r="R139" s="430"/>
      <c r="S139" s="430"/>
      <c r="T139" s="430"/>
      <c r="U139" s="430"/>
      <c r="V139" s="430"/>
      <c r="W139" s="430"/>
      <c r="X139" s="430"/>
      <c r="Y139" s="430"/>
      <c r="Z139" s="430"/>
      <c r="AA139" s="430"/>
      <c r="AB139" s="430"/>
      <c r="AC139" s="430"/>
      <c r="AD139" s="430"/>
      <c r="AE139" s="430"/>
      <c r="AF139" s="430"/>
      <c r="AG139" s="430"/>
      <c r="AH139" s="430"/>
      <c r="AI139" s="430"/>
      <c r="AJ139" s="430"/>
      <c r="AK139" s="430"/>
      <c r="AL139" s="430"/>
      <c r="AM139" s="430"/>
      <c r="AN139" s="430"/>
      <c r="AO139" s="430"/>
      <c r="AP139" s="430"/>
      <c r="AQ139" s="430"/>
      <c r="AR139" s="430"/>
      <c r="AS139" s="430"/>
      <c r="AT139" s="430"/>
      <c r="AU139" s="430"/>
      <c r="AV139" s="430"/>
      <c r="AW139" s="430"/>
      <c r="AX139" s="430"/>
      <c r="AY139" s="430"/>
      <c r="AZ139" s="430"/>
      <c r="BA139" s="430"/>
      <c r="BB139" s="430"/>
    </row>
    <row r="140" spans="1:54">
      <c r="A140" s="430"/>
      <c r="B140" s="451"/>
      <c r="C140" s="430"/>
      <c r="D140" s="451"/>
      <c r="E140" s="430"/>
      <c r="F140" s="430"/>
      <c r="G140" s="430"/>
      <c r="H140" s="430"/>
      <c r="I140" s="430"/>
      <c r="J140" s="430"/>
      <c r="K140" s="430"/>
      <c r="L140" s="430"/>
      <c r="M140" s="430"/>
      <c r="N140" s="430"/>
      <c r="O140" s="430"/>
      <c r="P140" s="430"/>
      <c r="Q140" s="430"/>
      <c r="R140" s="430"/>
      <c r="S140" s="430"/>
      <c r="T140" s="430"/>
      <c r="U140" s="430"/>
      <c r="V140" s="430"/>
      <c r="W140" s="430"/>
      <c r="X140" s="430"/>
      <c r="Y140" s="430"/>
      <c r="Z140" s="430"/>
      <c r="AA140" s="430"/>
      <c r="AB140" s="430"/>
      <c r="AC140" s="430"/>
      <c r="AD140" s="430"/>
      <c r="AE140" s="430"/>
      <c r="AF140" s="430"/>
      <c r="AG140" s="430"/>
      <c r="AH140" s="430"/>
      <c r="AI140" s="430"/>
      <c r="AJ140" s="430"/>
      <c r="AK140" s="430"/>
      <c r="AL140" s="430"/>
      <c r="AM140" s="430"/>
      <c r="AN140" s="430"/>
      <c r="AO140" s="430"/>
      <c r="AP140" s="430"/>
      <c r="AQ140" s="430"/>
      <c r="AR140" s="430"/>
      <c r="AS140" s="430"/>
      <c r="AT140" s="430"/>
      <c r="AU140" s="430"/>
      <c r="AV140" s="430"/>
      <c r="AW140" s="430"/>
      <c r="AX140" s="430"/>
      <c r="AY140" s="430"/>
      <c r="AZ140" s="430"/>
      <c r="BA140" s="430"/>
      <c r="BB140" s="430"/>
    </row>
    <row r="141" spans="1:54">
      <c r="A141" s="430"/>
      <c r="B141" s="451"/>
      <c r="C141" s="430"/>
      <c r="D141" s="451"/>
      <c r="E141" s="430"/>
      <c r="F141" s="430"/>
      <c r="G141" s="430"/>
      <c r="H141" s="430"/>
      <c r="I141" s="430"/>
      <c r="J141" s="430"/>
      <c r="K141" s="430"/>
      <c r="L141" s="430"/>
      <c r="M141" s="430"/>
      <c r="N141" s="430"/>
      <c r="O141" s="430"/>
      <c r="P141" s="430"/>
      <c r="Q141" s="430"/>
      <c r="R141" s="430"/>
      <c r="S141" s="430"/>
      <c r="T141" s="430"/>
      <c r="U141" s="430"/>
      <c r="V141" s="430"/>
      <c r="W141" s="430"/>
      <c r="X141" s="430"/>
      <c r="Y141" s="430"/>
      <c r="Z141" s="430"/>
      <c r="AA141" s="430"/>
      <c r="AB141" s="430"/>
      <c r="AC141" s="430"/>
      <c r="AD141" s="430"/>
      <c r="AE141" s="430"/>
      <c r="AF141" s="430"/>
      <c r="AG141" s="430"/>
      <c r="AH141" s="430"/>
      <c r="AI141" s="430"/>
      <c r="AJ141" s="430"/>
      <c r="AK141" s="430"/>
      <c r="AL141" s="430"/>
      <c r="AM141" s="430"/>
      <c r="AN141" s="430"/>
      <c r="AO141" s="430"/>
      <c r="AP141" s="430"/>
      <c r="AQ141" s="430"/>
      <c r="AR141" s="430"/>
      <c r="AS141" s="430"/>
      <c r="AT141" s="430"/>
      <c r="AU141" s="430"/>
      <c r="AV141" s="430"/>
      <c r="AW141" s="430"/>
      <c r="AX141" s="430"/>
      <c r="AY141" s="430"/>
      <c r="AZ141" s="430"/>
      <c r="BA141" s="430"/>
      <c r="BB141" s="430"/>
    </row>
    <row r="142" spans="1:54">
      <c r="A142" s="430"/>
      <c r="B142" s="451"/>
      <c r="C142" s="430"/>
      <c r="D142" s="451"/>
      <c r="E142" s="430"/>
      <c r="F142" s="430"/>
      <c r="G142" s="430"/>
      <c r="H142" s="430"/>
      <c r="I142" s="430"/>
      <c r="J142" s="430"/>
      <c r="K142" s="430"/>
      <c r="L142" s="430"/>
      <c r="M142" s="430"/>
      <c r="N142" s="430"/>
      <c r="O142" s="430"/>
      <c r="P142" s="430"/>
      <c r="Q142" s="430"/>
      <c r="R142" s="430"/>
      <c r="S142" s="430"/>
      <c r="T142" s="430"/>
      <c r="U142" s="430"/>
      <c r="V142" s="430"/>
      <c r="W142" s="430"/>
      <c r="X142" s="430"/>
      <c r="Y142" s="430"/>
      <c r="Z142" s="430"/>
      <c r="AA142" s="430"/>
      <c r="AB142" s="430"/>
      <c r="AC142" s="430"/>
      <c r="AD142" s="430"/>
      <c r="AE142" s="430"/>
      <c r="AF142" s="430"/>
      <c r="AG142" s="430"/>
      <c r="AH142" s="430"/>
      <c r="AI142" s="430"/>
      <c r="AJ142" s="430"/>
      <c r="AK142" s="430"/>
      <c r="AL142" s="430"/>
      <c r="AM142" s="430"/>
      <c r="AN142" s="430"/>
      <c r="AO142" s="430"/>
      <c r="AP142" s="430"/>
      <c r="AQ142" s="430"/>
      <c r="AR142" s="430"/>
      <c r="AS142" s="430"/>
      <c r="AT142" s="430"/>
      <c r="AU142" s="430"/>
      <c r="AV142" s="430"/>
      <c r="AW142" s="430"/>
      <c r="AX142" s="430"/>
      <c r="AY142" s="430"/>
      <c r="AZ142" s="430"/>
      <c r="BA142" s="430"/>
      <c r="BB142" s="430"/>
    </row>
    <row r="143" spans="1:54">
      <c r="A143" s="430"/>
      <c r="B143" s="451"/>
      <c r="C143" s="430"/>
      <c r="D143" s="451"/>
      <c r="E143" s="430"/>
      <c r="F143" s="430"/>
      <c r="G143" s="430"/>
      <c r="H143" s="430"/>
      <c r="I143" s="430"/>
      <c r="J143" s="430"/>
      <c r="K143" s="430"/>
      <c r="L143" s="430"/>
      <c r="M143" s="430"/>
      <c r="N143" s="430"/>
      <c r="O143" s="430"/>
      <c r="P143" s="430"/>
      <c r="Q143" s="430"/>
      <c r="R143" s="430"/>
      <c r="S143" s="430"/>
      <c r="T143" s="430"/>
      <c r="U143" s="430"/>
      <c r="V143" s="430"/>
      <c r="W143" s="430"/>
      <c r="X143" s="430"/>
      <c r="Y143" s="430"/>
      <c r="Z143" s="430"/>
      <c r="AA143" s="430"/>
      <c r="AB143" s="430"/>
      <c r="AC143" s="430"/>
      <c r="AD143" s="430"/>
      <c r="AE143" s="430"/>
      <c r="AF143" s="430"/>
      <c r="AG143" s="430"/>
      <c r="AH143" s="430"/>
      <c r="AI143" s="430"/>
      <c r="AJ143" s="430"/>
      <c r="AK143" s="430"/>
      <c r="AL143" s="430"/>
      <c r="AM143" s="430"/>
      <c r="AN143" s="430"/>
      <c r="AO143" s="430"/>
      <c r="AP143" s="430"/>
      <c r="AQ143" s="430"/>
      <c r="AR143" s="430"/>
      <c r="AS143" s="430"/>
      <c r="AT143" s="430"/>
      <c r="AU143" s="430"/>
      <c r="AV143" s="430"/>
      <c r="AW143" s="430"/>
      <c r="AX143" s="430"/>
      <c r="AY143" s="430"/>
      <c r="AZ143" s="430"/>
      <c r="BA143" s="430"/>
      <c r="BB143" s="430"/>
    </row>
    <row r="144" spans="1:54">
      <c r="A144" s="430"/>
      <c r="B144" s="451"/>
      <c r="C144" s="430"/>
      <c r="D144" s="451"/>
      <c r="E144" s="430"/>
      <c r="F144" s="430"/>
      <c r="G144" s="430"/>
      <c r="H144" s="430"/>
      <c r="I144" s="430"/>
      <c r="J144" s="430"/>
      <c r="K144" s="430"/>
      <c r="L144" s="430"/>
      <c r="M144" s="430"/>
      <c r="N144" s="430"/>
      <c r="O144" s="430"/>
      <c r="P144" s="430"/>
      <c r="Q144" s="430"/>
      <c r="R144" s="430"/>
      <c r="S144" s="430"/>
      <c r="T144" s="430"/>
      <c r="U144" s="430"/>
      <c r="V144" s="430"/>
      <c r="W144" s="430"/>
      <c r="X144" s="430"/>
      <c r="Y144" s="430"/>
      <c r="Z144" s="430"/>
      <c r="AA144" s="430"/>
      <c r="AB144" s="430"/>
      <c r="AC144" s="430"/>
      <c r="AD144" s="430"/>
      <c r="AE144" s="430"/>
      <c r="AF144" s="430"/>
      <c r="AG144" s="430"/>
      <c r="AH144" s="430"/>
      <c r="AI144" s="430"/>
      <c r="AJ144" s="430"/>
      <c r="AK144" s="430"/>
      <c r="AL144" s="430"/>
      <c r="AM144" s="430"/>
      <c r="AN144" s="430"/>
      <c r="AO144" s="430"/>
      <c r="AP144" s="430"/>
      <c r="AQ144" s="430"/>
      <c r="AR144" s="430"/>
      <c r="AS144" s="430"/>
      <c r="AT144" s="430"/>
      <c r="AU144" s="430"/>
      <c r="AV144" s="430"/>
      <c r="AW144" s="430"/>
      <c r="AX144" s="430"/>
      <c r="AY144" s="430"/>
      <c r="AZ144" s="430"/>
      <c r="BA144" s="430"/>
      <c r="BB144" s="430"/>
    </row>
    <row r="145" spans="1:54">
      <c r="A145" s="430"/>
      <c r="B145" s="451"/>
      <c r="C145" s="430"/>
      <c r="D145" s="451"/>
      <c r="E145" s="430"/>
      <c r="F145" s="430"/>
      <c r="G145" s="430"/>
      <c r="H145" s="430"/>
      <c r="I145" s="430"/>
      <c r="J145" s="430"/>
      <c r="K145" s="430"/>
      <c r="L145" s="430"/>
      <c r="M145" s="430"/>
      <c r="N145" s="430"/>
      <c r="O145" s="430"/>
      <c r="P145" s="430"/>
      <c r="Q145" s="430"/>
      <c r="R145" s="430"/>
      <c r="S145" s="430"/>
      <c r="T145" s="430"/>
      <c r="U145" s="430"/>
      <c r="V145" s="430"/>
      <c r="W145" s="430"/>
      <c r="X145" s="430"/>
      <c r="Y145" s="430"/>
      <c r="Z145" s="430"/>
      <c r="AA145" s="430"/>
      <c r="AB145" s="430"/>
      <c r="AC145" s="430"/>
      <c r="AD145" s="430"/>
      <c r="AE145" s="430"/>
      <c r="AF145" s="430"/>
      <c r="AG145" s="430"/>
      <c r="AH145" s="430"/>
      <c r="AI145" s="430"/>
      <c r="AJ145" s="430"/>
      <c r="AK145" s="430"/>
      <c r="AL145" s="430"/>
      <c r="AM145" s="430"/>
      <c r="AN145" s="430"/>
      <c r="AO145" s="430"/>
      <c r="AP145" s="430"/>
      <c r="AQ145" s="430"/>
      <c r="AR145" s="430"/>
      <c r="AS145" s="430"/>
      <c r="AT145" s="430"/>
      <c r="AU145" s="430"/>
      <c r="AV145" s="430"/>
      <c r="AW145" s="430"/>
      <c r="AX145" s="430"/>
      <c r="AY145" s="430"/>
      <c r="AZ145" s="430"/>
      <c r="BA145" s="430"/>
      <c r="BB145" s="430"/>
    </row>
    <row r="146" spans="1:54">
      <c r="A146" s="430"/>
      <c r="B146" s="451"/>
      <c r="C146" s="430"/>
      <c r="D146" s="451"/>
      <c r="E146" s="430"/>
      <c r="F146" s="430"/>
      <c r="G146" s="430"/>
      <c r="H146" s="430"/>
      <c r="I146" s="430"/>
      <c r="J146" s="430"/>
      <c r="K146" s="430"/>
      <c r="L146" s="430"/>
      <c r="M146" s="430"/>
      <c r="N146" s="430"/>
      <c r="O146" s="430"/>
      <c r="P146" s="430"/>
      <c r="Q146" s="430"/>
      <c r="R146" s="430"/>
      <c r="S146" s="430"/>
      <c r="T146" s="430"/>
      <c r="U146" s="430"/>
      <c r="V146" s="430"/>
      <c r="W146" s="430"/>
      <c r="X146" s="430"/>
      <c r="Y146" s="430"/>
      <c r="Z146" s="430"/>
      <c r="AA146" s="430"/>
      <c r="AB146" s="430"/>
      <c r="AC146" s="430"/>
      <c r="AD146" s="430"/>
      <c r="AE146" s="430"/>
      <c r="AF146" s="430"/>
      <c r="AG146" s="430"/>
      <c r="AH146" s="430"/>
      <c r="AI146" s="430"/>
      <c r="AJ146" s="430"/>
      <c r="AK146" s="430"/>
      <c r="AL146" s="430"/>
      <c r="AM146" s="430"/>
      <c r="AN146" s="430"/>
      <c r="AO146" s="430"/>
      <c r="AP146" s="430"/>
      <c r="AQ146" s="430"/>
      <c r="AR146" s="430"/>
      <c r="AS146" s="430"/>
      <c r="AT146" s="430"/>
      <c r="AU146" s="430"/>
      <c r="AV146" s="430"/>
      <c r="AW146" s="430"/>
      <c r="AX146" s="430"/>
      <c r="AY146" s="430"/>
      <c r="AZ146" s="430"/>
      <c r="BA146" s="430"/>
      <c r="BB146" s="430"/>
    </row>
    <row r="147" spans="1:54">
      <c r="A147" s="430"/>
      <c r="B147" s="451"/>
      <c r="C147" s="430"/>
      <c r="D147" s="451"/>
      <c r="E147" s="430"/>
      <c r="F147" s="430"/>
      <c r="G147" s="430"/>
      <c r="H147" s="430"/>
      <c r="I147" s="430"/>
      <c r="J147" s="430"/>
      <c r="K147" s="430"/>
      <c r="L147" s="430"/>
      <c r="M147" s="430"/>
      <c r="N147" s="430"/>
      <c r="O147" s="430"/>
      <c r="P147" s="430"/>
      <c r="Q147" s="430"/>
      <c r="R147" s="430"/>
      <c r="S147" s="430"/>
      <c r="T147" s="430"/>
      <c r="U147" s="430"/>
      <c r="V147" s="430"/>
      <c r="W147" s="430"/>
      <c r="X147" s="430"/>
      <c r="Y147" s="430"/>
      <c r="Z147" s="430"/>
      <c r="AA147" s="430"/>
      <c r="AB147" s="430"/>
      <c r="AC147" s="430"/>
      <c r="AD147" s="430"/>
      <c r="AE147" s="430"/>
      <c r="AF147" s="430"/>
      <c r="AG147" s="430"/>
      <c r="AH147" s="430"/>
      <c r="AI147" s="430"/>
      <c r="AJ147" s="430"/>
      <c r="AK147" s="430"/>
      <c r="AL147" s="430"/>
      <c r="AM147" s="430"/>
      <c r="AN147" s="430"/>
      <c r="AO147" s="430"/>
      <c r="AP147" s="430"/>
      <c r="AQ147" s="430"/>
      <c r="AR147" s="430"/>
      <c r="AS147" s="430"/>
      <c r="AT147" s="430"/>
      <c r="AU147" s="430"/>
      <c r="AV147" s="430"/>
      <c r="AW147" s="430"/>
      <c r="AX147" s="430"/>
      <c r="AY147" s="430"/>
      <c r="AZ147" s="430"/>
      <c r="BA147" s="430"/>
      <c r="BB147" s="430"/>
    </row>
    <row r="148" spans="1:54">
      <c r="A148" s="430"/>
      <c r="B148" s="451"/>
      <c r="C148" s="430"/>
      <c r="D148" s="451"/>
      <c r="E148" s="430"/>
      <c r="F148" s="430"/>
      <c r="G148" s="430"/>
      <c r="H148" s="430"/>
      <c r="I148" s="430"/>
      <c r="J148" s="430"/>
      <c r="K148" s="430"/>
      <c r="L148" s="430"/>
      <c r="M148" s="430"/>
      <c r="N148" s="430"/>
      <c r="O148" s="430"/>
      <c r="P148" s="430"/>
      <c r="Q148" s="430"/>
      <c r="R148" s="430"/>
      <c r="S148" s="430"/>
      <c r="T148" s="430"/>
      <c r="U148" s="430"/>
      <c r="V148" s="430"/>
      <c r="W148" s="430"/>
      <c r="X148" s="430"/>
      <c r="Y148" s="430"/>
      <c r="Z148" s="430"/>
      <c r="AA148" s="430"/>
      <c r="AB148" s="430"/>
      <c r="AC148" s="430"/>
      <c r="AD148" s="430"/>
      <c r="AE148" s="430"/>
      <c r="AF148" s="430"/>
      <c r="AG148" s="430"/>
      <c r="AH148" s="430"/>
      <c r="AI148" s="430"/>
      <c r="AJ148" s="430"/>
      <c r="AK148" s="430"/>
      <c r="AL148" s="430"/>
      <c r="AM148" s="430"/>
      <c r="AN148" s="430"/>
      <c r="AO148" s="430"/>
      <c r="AP148" s="430"/>
      <c r="AQ148" s="430"/>
      <c r="AR148" s="430"/>
      <c r="AS148" s="430"/>
      <c r="AT148" s="430"/>
      <c r="AU148" s="430"/>
      <c r="AV148" s="430"/>
      <c r="AW148" s="430"/>
      <c r="AX148" s="430"/>
      <c r="AY148" s="430"/>
      <c r="AZ148" s="430"/>
      <c r="BA148" s="430"/>
      <c r="BB148" s="430"/>
    </row>
    <row r="149" spans="1:54">
      <c r="A149" s="430"/>
      <c r="B149" s="451"/>
      <c r="C149" s="430"/>
      <c r="D149" s="451"/>
      <c r="E149" s="430"/>
      <c r="L149" s="430"/>
      <c r="M149" s="430"/>
      <c r="N149" s="430"/>
      <c r="O149" s="430"/>
      <c r="P149" s="430"/>
      <c r="Q149" s="430"/>
      <c r="R149" s="430"/>
      <c r="S149" s="430"/>
      <c r="T149" s="430"/>
      <c r="U149" s="430"/>
      <c r="V149" s="430"/>
      <c r="W149" s="430"/>
      <c r="X149" s="430"/>
      <c r="Y149" s="430"/>
      <c r="Z149" s="430"/>
      <c r="AA149" s="430"/>
      <c r="AB149" s="430"/>
      <c r="AC149" s="430"/>
      <c r="AD149" s="430"/>
      <c r="AE149" s="430"/>
      <c r="AF149" s="430"/>
      <c r="AG149" s="430"/>
      <c r="AH149" s="430"/>
      <c r="AI149" s="430"/>
      <c r="AJ149" s="430"/>
      <c r="AK149" s="430"/>
      <c r="AL149" s="430"/>
      <c r="AM149" s="430"/>
      <c r="AN149" s="430"/>
      <c r="AO149" s="430"/>
      <c r="AP149" s="430"/>
      <c r="AQ149" s="430"/>
      <c r="AR149" s="430"/>
      <c r="AS149" s="430"/>
      <c r="AT149" s="430"/>
      <c r="AU149" s="430"/>
      <c r="AV149" s="430"/>
      <c r="AW149" s="430"/>
      <c r="AX149" s="430"/>
      <c r="AY149" s="430"/>
      <c r="AZ149" s="430"/>
      <c r="BA149" s="430"/>
      <c r="BB149" s="430"/>
    </row>
  </sheetData>
  <mergeCells count="2">
    <mergeCell ref="AV48:BB48"/>
    <mergeCell ref="AO48:AT48"/>
  </mergeCells>
  <pageMargins left="0.7" right="0.7" top="0.75" bottom="0.75" header="0.3" footer="0.3"/>
  <pageSetup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4B084"/>
    <pageSetUpPr autoPageBreaks="0"/>
  </sheetPr>
  <dimension ref="A1:BB149"/>
  <sheetViews>
    <sheetView showGridLines="0" zoomScale="99" zoomScaleNormal="85" workbookViewId="0">
      <pane xSplit="4" ySplit="3" topLeftCell="E40" activePane="bottomRight" state="frozen"/>
      <selection pane="topRight"/>
      <selection pane="bottomLeft" activeCell="E16" sqref="E16"/>
      <selection pane="bottomRight" activeCell="F57" sqref="F57:J57"/>
    </sheetView>
  </sheetViews>
  <sheetFormatPr defaultRowHeight="14.5" outlineLevelCol="1"/>
  <cols>
    <col min="1" max="1" width="40" style="35" bestFit="1" customWidth="1"/>
    <col min="2" max="2" width="4.453125" style="424" customWidth="1"/>
    <col min="3" max="3" width="27.6328125" style="418" bestFit="1" customWidth="1"/>
    <col min="4" max="4" width="11.81640625" style="424" bestFit="1" customWidth="1"/>
    <col min="5" max="5" width="15.6328125" style="5" bestFit="1" customWidth="1"/>
    <col min="6" max="9" width="10.7265625" style="429" customWidth="1" outlineLevel="1"/>
    <col min="10" max="11" width="10.7265625" style="624" customWidth="1" outlineLevel="1"/>
    <col min="12" max="12" width="13.6328125" style="5" bestFit="1" customWidth="1"/>
    <col min="13" max="15" width="14.26953125" style="5" bestFit="1" customWidth="1"/>
    <col min="16" max="16" width="17.6328125" style="5" bestFit="1" customWidth="1"/>
    <col min="17" max="19" width="15.26953125" style="5" bestFit="1" customWidth="1"/>
    <col min="20" max="20" width="15.26953125" bestFit="1" customWidth="1"/>
    <col min="21" max="21" width="16.54296875" bestFit="1" customWidth="1"/>
    <col min="22" max="22" width="15.26953125" bestFit="1" customWidth="1"/>
    <col min="23" max="23" width="16" bestFit="1" customWidth="1"/>
    <col min="24" max="24" width="10.453125" customWidth="1"/>
    <col min="25" max="25" width="34" bestFit="1" customWidth="1"/>
    <col min="26" max="26" width="14.26953125" bestFit="1" customWidth="1"/>
    <col min="27" max="27" width="33.6328125" bestFit="1" customWidth="1"/>
    <col min="28" max="28" width="21.26953125" bestFit="1" customWidth="1"/>
    <col min="29" max="29" width="16.54296875" bestFit="1" customWidth="1"/>
    <col min="30" max="30" width="27.26953125" bestFit="1" customWidth="1"/>
    <col min="31" max="31" width="10.6328125" customWidth="1"/>
    <col min="32" max="32" width="11.453125" customWidth="1"/>
    <col min="33" max="33" width="12.54296875" bestFit="1" customWidth="1"/>
    <col min="34" max="34" width="9.26953125" bestFit="1" customWidth="1"/>
    <col min="35" max="35" width="12.6328125" style="1" bestFit="1" customWidth="1"/>
    <col min="42" max="42" width="9.54296875" bestFit="1" customWidth="1"/>
  </cols>
  <sheetData>
    <row r="1" spans="1:54" s="4" customFormat="1" ht="18.399999999999999" customHeight="1">
      <c r="A1" s="540"/>
      <c r="B1" s="431"/>
      <c r="C1" s="432"/>
      <c r="D1" s="431"/>
      <c r="E1" s="541"/>
      <c r="F1" s="430"/>
      <c r="G1" s="430"/>
      <c r="H1" s="430"/>
      <c r="I1" s="430"/>
      <c r="J1" s="430"/>
      <c r="K1" s="430"/>
      <c r="L1" s="541"/>
      <c r="M1" s="541"/>
      <c r="N1" s="541"/>
      <c r="O1" s="541"/>
      <c r="P1" s="541"/>
      <c r="Q1" s="541"/>
      <c r="R1" s="541"/>
      <c r="S1" s="541"/>
      <c r="T1" s="541"/>
      <c r="U1" s="541"/>
      <c r="V1" s="541"/>
      <c r="W1" s="541"/>
      <c r="X1" s="541"/>
      <c r="Y1" s="532"/>
      <c r="Z1" s="532"/>
      <c r="AA1" s="430"/>
      <c r="AB1" s="430"/>
      <c r="AC1" s="430"/>
      <c r="AD1" s="430"/>
      <c r="AE1" s="430"/>
      <c r="AF1" s="430"/>
      <c r="AG1" s="430"/>
      <c r="AH1" s="430"/>
      <c r="AI1" s="478"/>
      <c r="AJ1" s="430"/>
      <c r="AK1" s="430"/>
      <c r="AL1" s="430"/>
      <c r="AM1" s="430"/>
      <c r="AN1" s="430"/>
      <c r="AO1" s="430"/>
      <c r="AP1" s="430"/>
      <c r="AQ1" s="430"/>
      <c r="AR1" s="430"/>
      <c r="AS1" s="430"/>
      <c r="AT1" s="430"/>
      <c r="AU1" s="430"/>
      <c r="AV1" s="430"/>
      <c r="AW1" s="430"/>
      <c r="AX1" s="430"/>
      <c r="AY1" s="430"/>
      <c r="AZ1" s="430"/>
      <c r="BA1" s="430"/>
      <c r="BB1" s="430"/>
    </row>
    <row r="2" spans="1:54">
      <c r="A2" s="542" t="s">
        <v>0</v>
      </c>
      <c r="B2" s="434"/>
      <c r="C2" s="434"/>
      <c r="D2" s="434"/>
      <c r="E2" s="455">
        <v>45657</v>
      </c>
      <c r="F2" s="436">
        <v>45747</v>
      </c>
      <c r="G2" s="436">
        <v>45838</v>
      </c>
      <c r="H2" s="436">
        <v>45930</v>
      </c>
      <c r="I2" s="436">
        <v>46022</v>
      </c>
      <c r="J2" s="436">
        <v>46112</v>
      </c>
      <c r="K2" s="436">
        <v>46203</v>
      </c>
      <c r="L2" s="455">
        <v>45747</v>
      </c>
      <c r="M2" s="455">
        <v>45838</v>
      </c>
      <c r="N2" s="455">
        <v>45930</v>
      </c>
      <c r="O2" s="455">
        <v>46022</v>
      </c>
      <c r="P2" s="455">
        <v>46112</v>
      </c>
      <c r="Q2" s="455">
        <v>46203</v>
      </c>
      <c r="R2" s="455">
        <v>46295</v>
      </c>
      <c r="S2" s="455">
        <v>46387</v>
      </c>
      <c r="T2" s="455">
        <v>46752</v>
      </c>
      <c r="U2" s="455">
        <v>47118</v>
      </c>
      <c r="V2" s="455">
        <v>47483</v>
      </c>
      <c r="W2" s="455">
        <v>47848</v>
      </c>
      <c r="X2" s="542"/>
      <c r="Y2" s="437"/>
      <c r="Z2" s="437"/>
      <c r="AA2" s="437"/>
      <c r="AB2" s="437"/>
      <c r="AC2" s="437"/>
      <c r="AD2" s="437"/>
      <c r="AE2" s="437"/>
      <c r="AF2" s="437"/>
      <c r="AG2" s="437"/>
      <c r="AH2" s="437"/>
      <c r="AI2" s="437"/>
      <c r="AJ2" s="437"/>
      <c r="AK2" s="437"/>
      <c r="AL2" s="437"/>
      <c r="AM2" s="437"/>
      <c r="AN2" s="437"/>
      <c r="AO2" s="437"/>
      <c r="AP2" s="437"/>
      <c r="AQ2" s="437"/>
      <c r="AR2" s="437"/>
      <c r="AS2" s="437"/>
      <c r="AT2" s="437"/>
      <c r="AU2" s="437"/>
      <c r="AV2" s="437"/>
      <c r="AW2" s="437"/>
      <c r="AX2" s="437"/>
      <c r="AY2" s="437"/>
      <c r="AZ2" s="437"/>
      <c r="BA2" s="437"/>
      <c r="BB2" s="437"/>
    </row>
    <row r="3" spans="1:54" ht="14.65" customHeight="1">
      <c r="A3" s="542" t="s">
        <v>1</v>
      </c>
      <c r="B3" s="434"/>
      <c r="C3" s="434"/>
      <c r="D3" s="434"/>
      <c r="E3" s="456" t="s">
        <v>2</v>
      </c>
      <c r="F3" s="439" t="s">
        <v>3</v>
      </c>
      <c r="G3" s="439" t="s">
        <v>4</v>
      </c>
      <c r="H3" s="439" t="s">
        <v>5</v>
      </c>
      <c r="I3" s="439" t="s">
        <v>2</v>
      </c>
      <c r="J3" s="625" t="s">
        <v>3</v>
      </c>
      <c r="K3" s="625" t="s">
        <v>4</v>
      </c>
      <c r="L3" s="456" t="s">
        <v>3</v>
      </c>
      <c r="M3" s="456" t="s">
        <v>4</v>
      </c>
      <c r="N3" s="456" t="s">
        <v>5</v>
      </c>
      <c r="O3" s="456" t="s">
        <v>2</v>
      </c>
      <c r="P3" s="456" t="s">
        <v>3</v>
      </c>
      <c r="Q3" s="456" t="s">
        <v>4</v>
      </c>
      <c r="R3" s="456" t="s">
        <v>5</v>
      </c>
      <c r="S3" s="456" t="s">
        <v>2</v>
      </c>
      <c r="T3" s="543" t="s">
        <v>2</v>
      </c>
      <c r="U3" s="543" t="s">
        <v>2</v>
      </c>
      <c r="V3" s="543" t="s">
        <v>2</v>
      </c>
      <c r="W3" s="543" t="s">
        <v>2</v>
      </c>
      <c r="X3" s="544"/>
      <c r="Y3" s="437"/>
      <c r="Z3" s="437"/>
      <c r="AA3" s="437"/>
      <c r="AB3" s="437"/>
      <c r="AC3" s="437"/>
      <c r="AD3" s="437"/>
      <c r="AE3" s="437"/>
      <c r="AF3" s="437"/>
      <c r="AG3" s="437"/>
      <c r="AH3" s="437"/>
      <c r="AI3" s="437"/>
      <c r="AJ3" s="437"/>
      <c r="AK3" s="437"/>
      <c r="AL3" s="437"/>
      <c r="AM3" s="437"/>
      <c r="AN3" s="437"/>
      <c r="AO3" s="437"/>
      <c r="AP3" s="437"/>
      <c r="AQ3" s="437"/>
      <c r="AR3" s="437"/>
      <c r="AS3" s="437"/>
      <c r="AT3" s="437"/>
      <c r="AU3" s="437"/>
      <c r="AV3" s="437"/>
      <c r="AW3" s="437"/>
      <c r="AX3" s="437"/>
      <c r="AY3" s="437"/>
      <c r="AZ3" s="437"/>
      <c r="BA3" s="437"/>
      <c r="BB3" s="437"/>
    </row>
    <row r="4" spans="1:54" ht="14.65" customHeight="1">
      <c r="A4" s="430"/>
      <c r="B4" s="440" t="s">
        <v>6</v>
      </c>
      <c r="C4" s="441" t="s">
        <v>7</v>
      </c>
      <c r="D4" s="440" t="s">
        <v>8</v>
      </c>
      <c r="E4" s="545"/>
      <c r="F4" s="430"/>
      <c r="G4" s="430"/>
      <c r="H4" s="430"/>
      <c r="I4" s="430"/>
      <c r="J4" s="430"/>
      <c r="K4" s="430"/>
      <c r="L4" s="545"/>
      <c r="M4" s="545"/>
      <c r="N4" s="545"/>
      <c r="O4" s="545"/>
      <c r="P4" s="545"/>
      <c r="Q4" s="545"/>
      <c r="R4" s="545"/>
      <c r="S4" s="545"/>
      <c r="T4" s="546"/>
      <c r="U4" s="546"/>
      <c r="V4" s="546"/>
      <c r="W4" s="546"/>
      <c r="X4" s="547"/>
      <c r="Y4" s="430"/>
      <c r="Z4" s="430"/>
      <c r="AA4" s="430"/>
      <c r="AB4" s="430"/>
      <c r="AC4" s="430"/>
      <c r="AD4" s="430"/>
      <c r="AE4" s="430"/>
      <c r="AF4" s="430"/>
      <c r="AG4" s="430"/>
      <c r="AH4" s="430"/>
      <c r="AI4" s="430"/>
      <c r="AJ4" s="430"/>
      <c r="AK4" s="430"/>
      <c r="AL4" s="430"/>
      <c r="AM4" s="430"/>
      <c r="AN4" s="430"/>
      <c r="AO4" s="430"/>
      <c r="AP4" s="430"/>
      <c r="AQ4" s="430"/>
      <c r="AR4" s="430"/>
      <c r="AS4" s="430"/>
      <c r="AT4" s="430"/>
      <c r="AU4" s="430"/>
      <c r="AV4" s="430"/>
      <c r="AW4" s="430"/>
      <c r="AX4" s="430"/>
      <c r="AY4" s="430"/>
      <c r="AZ4" s="430"/>
      <c r="BA4" s="430"/>
      <c r="BB4" s="430"/>
    </row>
    <row r="5" spans="1:54" ht="15" customHeight="1">
      <c r="A5" s="548" t="s">
        <v>860</v>
      </c>
      <c r="B5" s="445"/>
      <c r="C5" s="444" t="s">
        <v>861</v>
      </c>
      <c r="D5" s="445"/>
      <c r="E5" s="540"/>
      <c r="F5" s="430"/>
      <c r="G5" s="430"/>
      <c r="H5" s="430"/>
      <c r="I5" s="430"/>
      <c r="J5" s="430"/>
      <c r="K5" s="430"/>
      <c r="L5" s="540"/>
      <c r="M5" s="540"/>
      <c r="N5" s="540"/>
      <c r="O5" s="549"/>
      <c r="P5" s="540"/>
      <c r="Q5" s="540"/>
      <c r="R5" s="540"/>
      <c r="S5" s="540"/>
      <c r="T5" s="540"/>
      <c r="U5" s="540"/>
      <c r="V5" s="540"/>
      <c r="W5" s="540"/>
      <c r="X5" s="540"/>
      <c r="Y5" s="430"/>
      <c r="Z5" s="454"/>
      <c r="AA5" s="430"/>
      <c r="AB5" s="430"/>
      <c r="AC5" s="430"/>
      <c r="AD5" s="430"/>
      <c r="AE5" s="430"/>
      <c r="AF5" s="430"/>
      <c r="AG5" s="430"/>
      <c r="AH5" s="430"/>
      <c r="AI5" s="430"/>
      <c r="AJ5" s="430"/>
      <c r="AK5" s="430"/>
      <c r="AL5" s="430"/>
      <c r="AM5" s="430"/>
      <c r="AN5" s="430"/>
      <c r="AO5" s="430"/>
      <c r="AP5" s="430"/>
      <c r="AQ5" s="430"/>
      <c r="AR5" s="430"/>
      <c r="AS5" s="430"/>
      <c r="AT5" s="430"/>
      <c r="AU5" s="430"/>
      <c r="AV5" s="430"/>
      <c r="AW5" s="430"/>
      <c r="AX5" s="430"/>
      <c r="AY5" s="430"/>
      <c r="AZ5" s="430"/>
      <c r="BA5" s="430"/>
      <c r="BB5" s="430"/>
    </row>
    <row r="6" spans="1:54" s="417" customFormat="1" ht="15" customHeight="1">
      <c r="A6" s="548" t="s">
        <v>878</v>
      </c>
      <c r="B6" s="445"/>
      <c r="C6" s="447"/>
      <c r="D6" s="448"/>
      <c r="E6" s="540"/>
      <c r="F6" s="430"/>
      <c r="G6" s="430"/>
      <c r="H6" s="430"/>
      <c r="I6" s="430"/>
      <c r="J6" s="430"/>
      <c r="K6" s="430"/>
      <c r="L6" s="540"/>
      <c r="M6" s="540"/>
      <c r="N6" s="540"/>
      <c r="O6" s="549"/>
      <c r="P6" s="540"/>
      <c r="Q6" s="540"/>
      <c r="R6" s="540"/>
      <c r="S6" s="540"/>
      <c r="T6" s="540"/>
      <c r="U6" s="540"/>
      <c r="V6" s="540"/>
      <c r="W6" s="540"/>
      <c r="X6" s="540"/>
      <c r="Y6" s="430"/>
      <c r="Z6" s="454"/>
      <c r="AA6" s="430"/>
      <c r="AB6" s="430"/>
      <c r="AC6" s="430"/>
      <c r="AD6" s="430"/>
      <c r="AE6" s="430"/>
      <c r="AF6" s="430"/>
      <c r="AG6" s="430"/>
      <c r="AH6" s="430"/>
      <c r="AI6" s="430"/>
      <c r="AJ6" s="430"/>
      <c r="AK6" s="430"/>
      <c r="AL6" s="430"/>
      <c r="AM6" s="430"/>
      <c r="AN6" s="430"/>
      <c r="AO6" s="430"/>
      <c r="AP6" s="430"/>
      <c r="AQ6" s="430"/>
      <c r="AR6" s="430"/>
      <c r="AS6" s="430"/>
      <c r="AT6" s="430"/>
      <c r="AU6" s="430"/>
      <c r="AV6" s="430"/>
      <c r="AW6" s="430"/>
      <c r="AX6" s="430"/>
      <c r="AY6" s="430"/>
      <c r="AZ6" s="430"/>
      <c r="BA6" s="430"/>
      <c r="BB6" s="430"/>
    </row>
    <row r="7" spans="1:54" s="417" customFormat="1" ht="15" customHeight="1">
      <c r="A7" s="548" t="s">
        <v>878</v>
      </c>
      <c r="B7" s="445"/>
      <c r="C7" s="447"/>
      <c r="D7" s="448"/>
      <c r="E7" s="540"/>
      <c r="F7" s="430"/>
      <c r="G7" s="430"/>
      <c r="H7" s="430"/>
      <c r="I7" s="430"/>
      <c r="J7" s="430"/>
      <c r="K7" s="430"/>
      <c r="L7" s="540"/>
      <c r="M7" s="540"/>
      <c r="N7" s="540"/>
      <c r="O7" s="549"/>
      <c r="P7" s="540"/>
      <c r="Q7" s="540"/>
      <c r="R7" s="540"/>
      <c r="S7" s="540"/>
      <c r="T7" s="540"/>
      <c r="U7" s="540"/>
      <c r="V7" s="540"/>
      <c r="W7" s="540"/>
      <c r="X7" s="540"/>
      <c r="Y7" s="430"/>
      <c r="Z7" s="454"/>
      <c r="AA7" s="430"/>
      <c r="AB7" s="430"/>
      <c r="AC7" s="430"/>
      <c r="AD7" s="430"/>
      <c r="AE7" s="430"/>
      <c r="AF7" s="430"/>
      <c r="AG7" s="430"/>
      <c r="AH7" s="430"/>
      <c r="AI7" s="430"/>
      <c r="AJ7" s="430"/>
      <c r="AK7" s="430"/>
      <c r="AL7" s="430"/>
      <c r="AM7" s="430"/>
      <c r="AN7" s="430"/>
      <c r="AO7" s="430"/>
      <c r="AP7" s="430"/>
      <c r="AQ7" s="430"/>
      <c r="AR7" s="430"/>
      <c r="AS7" s="430"/>
      <c r="AT7" s="430"/>
      <c r="AU7" s="430"/>
      <c r="AV7" s="430"/>
      <c r="AW7" s="430"/>
      <c r="AX7" s="430"/>
      <c r="AY7" s="430"/>
      <c r="AZ7" s="430"/>
      <c r="BA7" s="430"/>
      <c r="BB7" s="430"/>
    </row>
    <row r="8" spans="1:54" s="417" customFormat="1" ht="15" customHeight="1">
      <c r="A8" s="548" t="s">
        <v>878</v>
      </c>
      <c r="B8" s="445"/>
      <c r="C8" s="447"/>
      <c r="D8" s="448"/>
      <c r="E8" s="540"/>
      <c r="F8" s="430"/>
      <c r="G8" s="430"/>
      <c r="H8" s="430"/>
      <c r="I8" s="430"/>
      <c r="J8" s="430"/>
      <c r="K8" s="430"/>
      <c r="L8" s="540"/>
      <c r="M8" s="540"/>
      <c r="N8" s="540"/>
      <c r="O8" s="549"/>
      <c r="P8" s="540"/>
      <c r="Q8" s="540"/>
      <c r="R8" s="540"/>
      <c r="S8" s="540"/>
      <c r="T8" s="540"/>
      <c r="U8" s="540"/>
      <c r="V8" s="540"/>
      <c r="W8" s="540"/>
      <c r="X8" s="540"/>
      <c r="Y8" s="430"/>
      <c r="Z8" s="454"/>
      <c r="AA8" s="430"/>
      <c r="AB8" s="430"/>
      <c r="AC8" s="430"/>
      <c r="AD8" s="430"/>
      <c r="AE8" s="430"/>
      <c r="AF8" s="430"/>
      <c r="AG8" s="430"/>
      <c r="AH8" s="430"/>
      <c r="AI8" s="430"/>
      <c r="AJ8" s="430"/>
      <c r="AK8" s="430"/>
      <c r="AL8" s="430"/>
      <c r="AM8" s="430"/>
      <c r="AN8" s="430"/>
      <c r="AO8" s="430"/>
      <c r="AP8" s="430"/>
      <c r="AQ8" s="430"/>
      <c r="AR8" s="430"/>
      <c r="AS8" s="430"/>
      <c r="AT8" s="430"/>
      <c r="AU8" s="430"/>
      <c r="AV8" s="430"/>
      <c r="AW8" s="430"/>
      <c r="AX8" s="430"/>
      <c r="AY8" s="430"/>
      <c r="AZ8" s="430"/>
      <c r="BA8" s="430"/>
      <c r="BB8" s="430"/>
    </row>
    <row r="9" spans="1:54" s="417" customFormat="1" ht="15" customHeight="1">
      <c r="A9" s="548" t="s">
        <v>878</v>
      </c>
      <c r="B9" s="431"/>
      <c r="C9" s="432"/>
      <c r="D9" s="431"/>
      <c r="E9" s="540"/>
      <c r="F9" s="430"/>
      <c r="G9" s="430"/>
      <c r="H9" s="430"/>
      <c r="I9" s="430"/>
      <c r="J9" s="430"/>
      <c r="K9" s="430"/>
      <c r="L9" s="540"/>
      <c r="M9" s="540"/>
      <c r="N9" s="540"/>
      <c r="O9" s="549"/>
      <c r="P9" s="540"/>
      <c r="Q9" s="540"/>
      <c r="R9" s="540"/>
      <c r="S9" s="540"/>
      <c r="T9" s="540"/>
      <c r="U9" s="540"/>
      <c r="V9" s="540"/>
      <c r="W9" s="540"/>
      <c r="X9" s="540"/>
      <c r="Y9" s="430"/>
      <c r="Z9" s="454"/>
      <c r="AA9" s="430"/>
      <c r="AB9" s="430"/>
      <c r="AC9" s="430"/>
      <c r="AD9" s="430"/>
      <c r="AE9" s="430"/>
      <c r="AF9" s="430"/>
      <c r="AG9" s="430"/>
      <c r="AH9" s="430"/>
      <c r="AI9" s="430"/>
      <c r="AJ9" s="430"/>
      <c r="AK9" s="430"/>
      <c r="AL9" s="430"/>
      <c r="AM9" s="430"/>
      <c r="AN9" s="430"/>
      <c r="AO9" s="430"/>
      <c r="AP9" s="430"/>
      <c r="AQ9" s="430"/>
      <c r="AR9" s="430"/>
      <c r="AS9" s="430"/>
      <c r="AT9" s="430"/>
      <c r="AU9" s="430"/>
      <c r="AV9" s="430"/>
      <c r="AW9" s="430"/>
      <c r="AX9" s="430"/>
      <c r="AY9" s="430"/>
      <c r="AZ9" s="430"/>
      <c r="BA9" s="430"/>
      <c r="BB9" s="430"/>
    </row>
    <row r="10" spans="1:54" s="417" customFormat="1" ht="15" customHeight="1">
      <c r="A10" s="548" t="s">
        <v>878</v>
      </c>
      <c r="B10" s="431"/>
      <c r="C10" s="432"/>
      <c r="D10" s="431"/>
      <c r="E10" s="540"/>
      <c r="F10" s="464"/>
      <c r="G10" s="464"/>
      <c r="H10" s="464"/>
      <c r="I10" s="464"/>
      <c r="J10" s="464"/>
      <c r="K10" s="464"/>
      <c r="L10" s="540"/>
      <c r="M10" s="540"/>
      <c r="N10" s="540"/>
      <c r="O10" s="549"/>
      <c r="P10" s="540"/>
      <c r="Q10" s="540"/>
      <c r="R10" s="540"/>
      <c r="S10" s="540"/>
      <c r="T10" s="540"/>
      <c r="U10" s="540"/>
      <c r="V10" s="540"/>
      <c r="W10" s="540"/>
      <c r="X10" s="540"/>
      <c r="Y10" s="430"/>
      <c r="Z10" s="454"/>
      <c r="AA10" s="430"/>
      <c r="AB10" s="430"/>
      <c r="AC10" s="430"/>
      <c r="AD10" s="430"/>
      <c r="AE10" s="430"/>
      <c r="AF10" s="430"/>
      <c r="AG10" s="430"/>
      <c r="AH10" s="430"/>
      <c r="AI10" s="430"/>
      <c r="AJ10" s="430"/>
      <c r="AK10" s="430"/>
      <c r="AL10" s="430"/>
      <c r="AM10" s="430"/>
      <c r="AN10" s="430"/>
      <c r="AO10" s="430"/>
      <c r="AP10" s="430"/>
      <c r="AQ10" s="430"/>
      <c r="AR10" s="430"/>
      <c r="AS10" s="430"/>
      <c r="AT10" s="430"/>
      <c r="AU10" s="430"/>
      <c r="AV10" s="430"/>
      <c r="AW10" s="430"/>
      <c r="AX10" s="430"/>
      <c r="AY10" s="430"/>
      <c r="AZ10" s="430"/>
      <c r="BA10" s="430"/>
      <c r="BB10" s="430"/>
    </row>
    <row r="11" spans="1:54" s="417" customFormat="1" ht="15" customHeight="1">
      <c r="A11" s="548" t="s">
        <v>878</v>
      </c>
      <c r="B11" s="431"/>
      <c r="C11" s="432"/>
      <c r="D11" s="431"/>
      <c r="E11" s="540"/>
      <c r="F11" s="430"/>
      <c r="G11" s="430"/>
      <c r="H11" s="430"/>
      <c r="I11" s="430"/>
      <c r="J11" s="430"/>
      <c r="K11" s="430"/>
      <c r="L11" s="540"/>
      <c r="M11" s="540"/>
      <c r="N11" s="540"/>
      <c r="O11" s="549"/>
      <c r="P11" s="540"/>
      <c r="Q11" s="540"/>
      <c r="R11" s="540"/>
      <c r="S11" s="540"/>
      <c r="T11" s="540"/>
      <c r="U11" s="540"/>
      <c r="V11" s="540"/>
      <c r="W11" s="540"/>
      <c r="X11" s="540"/>
      <c r="Y11" s="430"/>
      <c r="Z11" s="454"/>
      <c r="AA11" s="430"/>
      <c r="AB11" s="430"/>
      <c r="AC11" s="430"/>
      <c r="AD11" s="430"/>
      <c r="AE11" s="430"/>
      <c r="AF11" s="430"/>
      <c r="AG11" s="430"/>
      <c r="AH11" s="430"/>
      <c r="AI11" s="430"/>
      <c r="AJ11" s="430"/>
      <c r="AK11" s="430"/>
      <c r="AL11" s="430"/>
      <c r="AM11" s="430"/>
      <c r="AN11" s="430"/>
      <c r="AO11" s="430"/>
      <c r="AP11" s="430"/>
      <c r="AQ11" s="430"/>
      <c r="AR11" s="430"/>
      <c r="AS11" s="430"/>
      <c r="AT11" s="430"/>
      <c r="AU11" s="430"/>
      <c r="AV11" s="430"/>
      <c r="AW11" s="430"/>
      <c r="AX11" s="430"/>
      <c r="AY11" s="430"/>
      <c r="AZ11" s="430"/>
      <c r="BA11" s="430"/>
      <c r="BB11" s="430"/>
    </row>
    <row r="12" spans="1:54" s="417" customFormat="1" ht="15" customHeight="1">
      <c r="A12" s="548" t="s">
        <v>878</v>
      </c>
      <c r="B12" s="431"/>
      <c r="C12" s="432"/>
      <c r="D12" s="431"/>
      <c r="E12" s="540"/>
      <c r="F12" s="469"/>
      <c r="G12" s="469"/>
      <c r="H12" s="469"/>
      <c r="I12" s="469"/>
      <c r="J12" s="469"/>
      <c r="K12" s="469"/>
      <c r="L12" s="540"/>
      <c r="M12" s="540"/>
      <c r="N12" s="540"/>
      <c r="O12" s="549"/>
      <c r="P12" s="540"/>
      <c r="Q12" s="540"/>
      <c r="R12" s="540"/>
      <c r="S12" s="540"/>
      <c r="T12" s="540"/>
      <c r="U12" s="540"/>
      <c r="V12" s="540"/>
      <c r="W12" s="540"/>
      <c r="X12" s="540"/>
      <c r="Y12" s="430"/>
      <c r="Z12" s="454"/>
      <c r="AA12" s="430"/>
      <c r="AB12" s="430"/>
      <c r="AC12" s="430"/>
      <c r="AD12" s="430"/>
      <c r="AE12" s="430"/>
      <c r="AF12" s="430"/>
      <c r="AG12" s="430"/>
      <c r="AH12" s="430"/>
      <c r="AI12" s="430"/>
      <c r="AJ12" s="430"/>
      <c r="AK12" s="430"/>
      <c r="AL12" s="430"/>
      <c r="AM12" s="430"/>
      <c r="AN12" s="430"/>
      <c r="AO12" s="430"/>
      <c r="AP12" s="430"/>
      <c r="AQ12" s="430"/>
      <c r="AR12" s="430"/>
      <c r="AS12" s="430"/>
      <c r="AT12" s="430"/>
      <c r="AU12" s="430"/>
      <c r="AV12" s="430"/>
      <c r="AW12" s="430"/>
      <c r="AX12" s="430"/>
      <c r="AY12" s="430"/>
      <c r="AZ12" s="430"/>
      <c r="BA12" s="430"/>
      <c r="BB12" s="430"/>
    </row>
    <row r="13" spans="1:54" s="417" customFormat="1" ht="15" customHeight="1">
      <c r="A13" s="548" t="s">
        <v>878</v>
      </c>
      <c r="B13" s="431"/>
      <c r="C13" s="432"/>
      <c r="D13" s="431"/>
      <c r="E13" s="540"/>
      <c r="F13" s="469"/>
      <c r="G13" s="469"/>
      <c r="H13" s="469"/>
      <c r="I13" s="469"/>
      <c r="J13" s="469"/>
      <c r="K13" s="469"/>
      <c r="L13" s="540"/>
      <c r="M13" s="540"/>
      <c r="N13" s="540"/>
      <c r="O13" s="549"/>
      <c r="P13" s="540"/>
      <c r="Q13" s="540"/>
      <c r="R13" s="540"/>
      <c r="S13" s="540"/>
      <c r="T13" s="540"/>
      <c r="U13" s="540"/>
      <c r="V13" s="540"/>
      <c r="W13" s="540"/>
      <c r="X13" s="540"/>
      <c r="Y13" s="430"/>
      <c r="Z13" s="454"/>
      <c r="AA13" s="430"/>
      <c r="AB13" s="430"/>
      <c r="AC13" s="430"/>
      <c r="AD13" s="430"/>
      <c r="AE13" s="430"/>
      <c r="AF13" s="430"/>
      <c r="AG13" s="430"/>
      <c r="AH13" s="430"/>
      <c r="AI13" s="430"/>
      <c r="AJ13" s="430"/>
      <c r="AK13" s="430"/>
      <c r="AL13" s="430"/>
      <c r="AM13" s="430"/>
      <c r="AN13" s="430"/>
      <c r="AO13" s="430"/>
      <c r="AP13" s="430"/>
      <c r="AQ13" s="430"/>
      <c r="AR13" s="430"/>
      <c r="AS13" s="430"/>
      <c r="AT13" s="430"/>
      <c r="AU13" s="430"/>
      <c r="AV13" s="430"/>
      <c r="AW13" s="430"/>
      <c r="AX13" s="430"/>
      <c r="AY13" s="430"/>
      <c r="AZ13" s="430"/>
      <c r="BA13" s="430"/>
      <c r="BB13" s="430"/>
    </row>
    <row r="14" spans="1:54" s="417" customFormat="1" ht="15" customHeight="1">
      <c r="A14" s="548" t="s">
        <v>878</v>
      </c>
      <c r="B14" s="431"/>
      <c r="C14" s="432"/>
      <c r="D14" s="431"/>
      <c r="E14" s="540"/>
      <c r="F14" s="430"/>
      <c r="G14" s="430"/>
      <c r="H14" s="430"/>
      <c r="I14" s="430"/>
      <c r="J14" s="430"/>
      <c r="K14" s="430"/>
      <c r="L14" s="540"/>
      <c r="M14" s="540"/>
      <c r="N14" s="540"/>
      <c r="O14" s="549"/>
      <c r="P14" s="540"/>
      <c r="Q14" s="540"/>
      <c r="R14" s="540"/>
      <c r="S14" s="540"/>
      <c r="T14" s="540"/>
      <c r="U14" s="540"/>
      <c r="V14" s="540"/>
      <c r="W14" s="540"/>
      <c r="X14" s="540"/>
      <c r="Y14" s="430"/>
      <c r="Z14" s="454"/>
      <c r="AA14" s="430"/>
      <c r="AB14" s="430"/>
      <c r="AC14" s="430"/>
      <c r="AD14" s="430"/>
      <c r="AE14" s="430"/>
      <c r="AF14" s="430"/>
      <c r="AG14" s="430"/>
      <c r="AH14" s="430"/>
      <c r="AI14" s="430"/>
      <c r="AJ14" s="430"/>
      <c r="AK14" s="430"/>
      <c r="AL14" s="430"/>
      <c r="AM14" s="430"/>
      <c r="AN14" s="430"/>
      <c r="AO14" s="430"/>
      <c r="AP14" s="430"/>
      <c r="AQ14" s="430"/>
      <c r="AR14" s="430"/>
      <c r="AS14" s="430"/>
      <c r="AT14" s="430"/>
      <c r="AU14" s="430"/>
      <c r="AV14" s="430"/>
      <c r="AW14" s="430"/>
      <c r="AX14" s="430"/>
      <c r="AY14" s="430"/>
      <c r="AZ14" s="430"/>
      <c r="BA14" s="430"/>
      <c r="BB14" s="430"/>
    </row>
    <row r="15" spans="1:54" s="417" customFormat="1" ht="15" customHeight="1">
      <c r="A15" s="548" t="s">
        <v>878</v>
      </c>
      <c r="B15" s="431"/>
      <c r="C15" s="432"/>
      <c r="D15" s="431"/>
      <c r="E15" s="540"/>
      <c r="F15" s="430"/>
      <c r="G15" s="430"/>
      <c r="H15" s="430"/>
      <c r="I15" s="430"/>
      <c r="J15" s="430"/>
      <c r="K15" s="430"/>
      <c r="L15" s="540"/>
      <c r="M15" s="540"/>
      <c r="N15" s="540"/>
      <c r="O15" s="549"/>
      <c r="P15" s="540"/>
      <c r="Q15" s="540"/>
      <c r="R15" s="540"/>
      <c r="S15" s="540"/>
      <c r="T15" s="540"/>
      <c r="U15" s="540"/>
      <c r="V15" s="540"/>
      <c r="W15" s="540"/>
      <c r="X15" s="540"/>
      <c r="Y15" s="430"/>
      <c r="Z15" s="454"/>
      <c r="AA15" s="430"/>
      <c r="AB15" s="430"/>
      <c r="AC15" s="430"/>
      <c r="AD15" s="430"/>
      <c r="AE15" s="430"/>
      <c r="AF15" s="430"/>
      <c r="AG15" s="430"/>
      <c r="AH15" s="430"/>
      <c r="AI15" s="430"/>
      <c r="AJ15" s="430"/>
      <c r="AK15" s="430"/>
      <c r="AL15" s="430"/>
      <c r="AM15" s="430"/>
      <c r="AN15" s="430"/>
      <c r="AO15" s="430"/>
      <c r="AP15" s="430"/>
      <c r="AQ15" s="430"/>
      <c r="AR15" s="430"/>
      <c r="AS15" s="430"/>
      <c r="AT15" s="430"/>
      <c r="AU15" s="430"/>
      <c r="AV15" s="430"/>
      <c r="AW15" s="430"/>
      <c r="AX15" s="430"/>
      <c r="AY15" s="430"/>
      <c r="AZ15" s="430"/>
      <c r="BA15" s="430"/>
      <c r="BB15" s="430"/>
    </row>
    <row r="16" spans="1:54" s="417" customFormat="1" ht="15" customHeight="1">
      <c r="A16" s="548" t="s">
        <v>878</v>
      </c>
      <c r="B16" s="431"/>
      <c r="C16" s="432"/>
      <c r="D16" s="431"/>
      <c r="E16" s="540"/>
      <c r="F16" s="430"/>
      <c r="G16" s="430"/>
      <c r="H16" s="430"/>
      <c r="I16" s="430"/>
      <c r="J16" s="430"/>
      <c r="K16" s="430"/>
      <c r="L16" s="540"/>
      <c r="M16" s="540"/>
      <c r="N16" s="540"/>
      <c r="O16" s="549"/>
      <c r="P16" s="540"/>
      <c r="Q16" s="540"/>
      <c r="R16" s="540"/>
      <c r="S16" s="540"/>
      <c r="T16" s="540"/>
      <c r="U16" s="540"/>
      <c r="V16" s="540"/>
      <c r="W16" s="540"/>
      <c r="X16" s="540"/>
      <c r="Y16" s="430"/>
      <c r="Z16" s="454"/>
      <c r="AA16" s="430"/>
      <c r="AB16" s="430"/>
      <c r="AC16" s="430"/>
      <c r="AD16" s="430"/>
      <c r="AE16" s="430"/>
      <c r="AF16" s="430"/>
      <c r="AG16" s="430"/>
      <c r="AH16" s="430"/>
      <c r="AI16" s="430"/>
      <c r="AJ16" s="430"/>
      <c r="AK16" s="430"/>
      <c r="AL16" s="430"/>
      <c r="AM16" s="430"/>
      <c r="AN16" s="430"/>
      <c r="AO16" s="430"/>
      <c r="AP16" s="430"/>
      <c r="AQ16" s="430"/>
      <c r="AR16" s="430"/>
      <c r="AS16" s="430"/>
      <c r="AT16" s="430"/>
      <c r="AU16" s="430"/>
      <c r="AV16" s="430"/>
      <c r="AW16" s="430"/>
      <c r="AX16" s="430"/>
      <c r="AY16" s="430"/>
      <c r="AZ16" s="430"/>
      <c r="BA16" s="430"/>
      <c r="BB16" s="430"/>
    </row>
    <row r="17" spans="1:54" s="417" customFormat="1" ht="15" customHeight="1">
      <c r="A17" s="548" t="s">
        <v>878</v>
      </c>
      <c r="B17" s="431"/>
      <c r="C17" s="432"/>
      <c r="D17" s="431"/>
      <c r="E17" s="540"/>
      <c r="F17" s="473"/>
      <c r="G17" s="473"/>
      <c r="H17" s="473"/>
      <c r="I17" s="473"/>
      <c r="J17" s="473"/>
      <c r="K17" s="473"/>
      <c r="L17" s="540"/>
      <c r="M17" s="540"/>
      <c r="N17" s="540"/>
      <c r="O17" s="549"/>
      <c r="P17" s="540"/>
      <c r="Q17" s="540"/>
      <c r="R17" s="540"/>
      <c r="S17" s="540"/>
      <c r="T17" s="540"/>
      <c r="U17" s="540"/>
      <c r="V17" s="540"/>
      <c r="W17" s="540"/>
      <c r="X17" s="540"/>
      <c r="Y17" s="430"/>
      <c r="Z17" s="454"/>
      <c r="AA17" s="430"/>
      <c r="AB17" s="430"/>
      <c r="AC17" s="430"/>
      <c r="AD17" s="430"/>
      <c r="AE17" s="430"/>
      <c r="AF17" s="430"/>
      <c r="AG17" s="430"/>
      <c r="AH17" s="430"/>
      <c r="AI17" s="430"/>
      <c r="AJ17" s="430"/>
      <c r="AK17" s="430"/>
      <c r="AL17" s="430"/>
      <c r="AM17" s="430"/>
      <c r="AN17" s="430"/>
      <c r="AO17" s="430"/>
      <c r="AP17" s="430"/>
      <c r="AQ17" s="430"/>
      <c r="AR17" s="430"/>
      <c r="AS17" s="430"/>
      <c r="AT17" s="430"/>
      <c r="AU17" s="430"/>
      <c r="AV17" s="430"/>
      <c r="AW17" s="430"/>
      <c r="AX17" s="430"/>
      <c r="AY17" s="430"/>
      <c r="AZ17" s="430"/>
      <c r="BA17" s="430"/>
      <c r="BB17" s="430"/>
    </row>
    <row r="18" spans="1:54" s="417" customFormat="1" ht="15" customHeight="1">
      <c r="A18" s="548" t="s">
        <v>878</v>
      </c>
      <c r="B18" s="431"/>
      <c r="C18" s="432"/>
      <c r="D18" s="431"/>
      <c r="E18" s="540"/>
      <c r="F18" s="473"/>
      <c r="G18" s="473"/>
      <c r="H18" s="473"/>
      <c r="I18" s="473"/>
      <c r="J18" s="473"/>
      <c r="K18" s="473"/>
      <c r="L18" s="540"/>
      <c r="M18" s="540"/>
      <c r="N18" s="540"/>
      <c r="O18" s="549"/>
      <c r="P18" s="540"/>
      <c r="Q18" s="540"/>
      <c r="R18" s="540"/>
      <c r="S18" s="540"/>
      <c r="T18" s="540"/>
      <c r="U18" s="540"/>
      <c r="V18" s="540"/>
      <c r="W18" s="540"/>
      <c r="X18" s="540"/>
      <c r="Y18" s="430"/>
      <c r="Z18" s="454"/>
      <c r="AA18" s="430"/>
      <c r="AB18" s="430"/>
      <c r="AC18" s="430"/>
      <c r="AD18" s="430"/>
      <c r="AE18" s="430"/>
      <c r="AF18" s="430"/>
      <c r="AG18" s="430"/>
      <c r="AH18" s="430"/>
      <c r="AI18" s="430"/>
      <c r="AJ18" s="430"/>
      <c r="AK18" s="430"/>
      <c r="AL18" s="430"/>
      <c r="AM18" s="430"/>
      <c r="AN18" s="430"/>
      <c r="AO18" s="430"/>
      <c r="AP18" s="430"/>
      <c r="AQ18" s="430"/>
      <c r="AR18" s="430"/>
      <c r="AS18" s="430"/>
      <c r="AT18" s="430"/>
      <c r="AU18" s="430"/>
      <c r="AV18" s="430"/>
      <c r="AW18" s="430"/>
      <c r="AX18" s="430"/>
      <c r="AY18" s="430"/>
      <c r="AZ18" s="430"/>
      <c r="BA18" s="430"/>
      <c r="BB18" s="430"/>
    </row>
    <row r="19" spans="1:54" s="417" customFormat="1" ht="15" customHeight="1">
      <c r="A19" s="548" t="s">
        <v>878</v>
      </c>
      <c r="B19" s="431"/>
      <c r="C19" s="432"/>
      <c r="D19" s="431"/>
      <c r="E19" s="540"/>
      <c r="F19" s="464"/>
      <c r="G19" s="464"/>
      <c r="H19" s="464"/>
      <c r="I19" s="464"/>
      <c r="J19" s="464"/>
      <c r="K19" s="464"/>
      <c r="L19" s="540"/>
      <c r="M19" s="540"/>
      <c r="N19" s="540"/>
      <c r="O19" s="549"/>
      <c r="P19" s="540"/>
      <c r="Q19" s="540"/>
      <c r="R19" s="540"/>
      <c r="S19" s="540"/>
      <c r="T19" s="540"/>
      <c r="U19" s="540"/>
      <c r="V19" s="540"/>
      <c r="W19" s="540"/>
      <c r="X19" s="540"/>
      <c r="Y19" s="430"/>
      <c r="Z19" s="454"/>
      <c r="AA19" s="430"/>
      <c r="AB19" s="430"/>
      <c r="AC19" s="430"/>
      <c r="AD19" s="430"/>
      <c r="AE19" s="430"/>
      <c r="AF19" s="430"/>
      <c r="AG19" s="430"/>
      <c r="AH19" s="430"/>
      <c r="AI19" s="430"/>
      <c r="AJ19" s="430"/>
      <c r="AK19" s="430"/>
      <c r="AL19" s="430"/>
      <c r="AM19" s="430"/>
      <c r="AN19" s="430"/>
      <c r="AO19" s="430"/>
      <c r="AP19" s="430"/>
      <c r="AQ19" s="430"/>
      <c r="AR19" s="430"/>
      <c r="AS19" s="430"/>
      <c r="AT19" s="430"/>
      <c r="AU19" s="430"/>
      <c r="AV19" s="430"/>
      <c r="AW19" s="430"/>
      <c r="AX19" s="430"/>
      <c r="AY19" s="430"/>
      <c r="AZ19" s="430"/>
      <c r="BA19" s="430"/>
      <c r="BB19" s="430"/>
    </row>
    <row r="20" spans="1:54" s="417" customFormat="1" ht="15" customHeight="1">
      <c r="A20" s="548" t="s">
        <v>878</v>
      </c>
      <c r="B20" s="431"/>
      <c r="C20" s="432"/>
      <c r="D20" s="431"/>
      <c r="E20" s="540"/>
      <c r="F20" s="430"/>
      <c r="G20" s="430"/>
      <c r="H20" s="430"/>
      <c r="I20" s="430"/>
      <c r="J20" s="430"/>
      <c r="K20" s="430"/>
      <c r="L20" s="540"/>
      <c r="M20" s="540"/>
      <c r="N20" s="540"/>
      <c r="O20" s="549"/>
      <c r="P20" s="540"/>
      <c r="Q20" s="540"/>
      <c r="R20" s="540"/>
      <c r="S20" s="540"/>
      <c r="T20" s="540"/>
      <c r="U20" s="540"/>
      <c r="V20" s="540"/>
      <c r="W20" s="540"/>
      <c r="X20" s="540"/>
      <c r="Y20" s="430"/>
      <c r="Z20" s="454"/>
      <c r="AA20" s="430"/>
      <c r="AB20" s="430"/>
      <c r="AC20" s="430"/>
      <c r="AD20" s="430"/>
      <c r="AE20" s="430"/>
      <c r="AF20" s="430"/>
      <c r="AG20" s="430"/>
      <c r="AH20" s="430"/>
      <c r="AI20" s="430"/>
      <c r="AJ20" s="430"/>
      <c r="AK20" s="430"/>
      <c r="AL20" s="430"/>
      <c r="AM20" s="430"/>
      <c r="AN20" s="430"/>
      <c r="AO20" s="430"/>
      <c r="AP20" s="430"/>
      <c r="AQ20" s="430"/>
      <c r="AR20" s="430"/>
      <c r="AS20" s="430"/>
      <c r="AT20" s="430"/>
      <c r="AU20" s="430"/>
      <c r="AV20" s="430"/>
      <c r="AW20" s="430"/>
      <c r="AX20" s="430"/>
      <c r="AY20" s="430"/>
      <c r="AZ20" s="430"/>
      <c r="BA20" s="430"/>
      <c r="BB20" s="430"/>
    </row>
    <row r="21" spans="1:54" s="417" customFormat="1" ht="15" customHeight="1">
      <c r="A21" s="548" t="s">
        <v>878</v>
      </c>
      <c r="B21" s="431"/>
      <c r="C21" s="432"/>
      <c r="D21" s="431"/>
      <c r="E21" s="540"/>
      <c r="F21" s="478"/>
      <c r="G21" s="478"/>
      <c r="H21" s="478"/>
      <c r="I21" s="478"/>
      <c r="J21" s="478"/>
      <c r="K21" s="478"/>
      <c r="L21" s="540"/>
      <c r="M21" s="540"/>
      <c r="N21" s="540"/>
      <c r="O21" s="549"/>
      <c r="P21" s="540"/>
      <c r="Q21" s="540"/>
      <c r="R21" s="540"/>
      <c r="S21" s="540"/>
      <c r="T21" s="540"/>
      <c r="U21" s="540"/>
      <c r="V21" s="540"/>
      <c r="W21" s="540"/>
      <c r="X21" s="540"/>
      <c r="Y21" s="430"/>
      <c r="Z21" s="454"/>
      <c r="AA21" s="430"/>
      <c r="AB21" s="430"/>
      <c r="AC21" s="430"/>
      <c r="AD21" s="430"/>
      <c r="AE21" s="430"/>
      <c r="AF21" s="430"/>
      <c r="AG21" s="430"/>
      <c r="AH21" s="430"/>
      <c r="AI21" s="430"/>
      <c r="AJ21" s="430"/>
      <c r="AK21" s="430"/>
      <c r="AL21" s="430"/>
      <c r="AM21" s="430"/>
      <c r="AN21" s="430"/>
      <c r="AO21" s="430"/>
      <c r="AP21" s="430"/>
      <c r="AQ21" s="430"/>
      <c r="AR21" s="430"/>
      <c r="AS21" s="430"/>
      <c r="AT21" s="430"/>
      <c r="AU21" s="430"/>
      <c r="AV21" s="430"/>
      <c r="AW21" s="430"/>
      <c r="AX21" s="430"/>
      <c r="AY21" s="430"/>
      <c r="AZ21" s="430"/>
      <c r="BA21" s="430"/>
      <c r="BB21" s="430"/>
    </row>
    <row r="22" spans="1:54">
      <c r="A22" s="548" t="s">
        <v>878</v>
      </c>
      <c r="B22" s="430"/>
      <c r="C22" s="430"/>
      <c r="D22" s="430"/>
      <c r="E22" s="501"/>
      <c r="F22" s="464"/>
      <c r="G22" s="464"/>
      <c r="H22" s="464"/>
      <c r="I22" s="464"/>
      <c r="J22" s="464"/>
      <c r="K22" s="464"/>
      <c r="L22" s="501">
        <v>0</v>
      </c>
      <c r="M22" s="501">
        <v>0</v>
      </c>
      <c r="N22" s="501">
        <v>0</v>
      </c>
      <c r="O22" s="501">
        <v>0</v>
      </c>
      <c r="P22" s="501">
        <v>0</v>
      </c>
      <c r="Q22" s="501">
        <v>0</v>
      </c>
      <c r="R22" s="501">
        <v>0</v>
      </c>
      <c r="S22" s="501">
        <v>0</v>
      </c>
      <c r="T22" s="501">
        <v>0</v>
      </c>
      <c r="U22" s="501">
        <v>0</v>
      </c>
      <c r="V22" s="501">
        <v>0</v>
      </c>
      <c r="W22" s="501">
        <v>0</v>
      </c>
      <c r="X22" s="552" t="s">
        <v>865</v>
      </c>
      <c r="Y22" s="430"/>
      <c r="Z22" s="553"/>
      <c r="AA22" s="430"/>
      <c r="AB22" s="430"/>
      <c r="AC22" s="501"/>
      <c r="AD22" s="501"/>
      <c r="AE22" s="501"/>
      <c r="AF22" s="501"/>
      <c r="AG22" s="501"/>
      <c r="AH22" s="501"/>
      <c r="AI22" s="501"/>
      <c r="AJ22" s="430"/>
      <c r="AK22" s="430"/>
      <c r="AL22" s="430"/>
      <c r="AM22" s="430"/>
      <c r="AN22" s="430"/>
      <c r="AO22" s="430"/>
      <c r="AP22" s="430"/>
      <c r="AQ22" s="430"/>
      <c r="AR22" s="430"/>
      <c r="AS22" s="430"/>
      <c r="AT22" s="430"/>
      <c r="AU22" s="430"/>
      <c r="AV22" s="430"/>
      <c r="AW22" s="430"/>
      <c r="AX22" s="430"/>
      <c r="AY22" s="430"/>
      <c r="AZ22" s="430"/>
      <c r="BA22" s="430"/>
      <c r="BB22" s="430"/>
    </row>
    <row r="23" spans="1:54">
      <c r="A23" s="548" t="s">
        <v>878</v>
      </c>
      <c r="B23" s="430"/>
      <c r="C23" s="430"/>
      <c r="D23" s="430"/>
      <c r="E23" s="501"/>
      <c r="F23" s="464"/>
      <c r="G23" s="464"/>
      <c r="H23" s="464"/>
      <c r="I23" s="464"/>
      <c r="J23" s="464"/>
      <c r="K23" s="464"/>
      <c r="L23" s="501">
        <v>0</v>
      </c>
      <c r="M23" s="501">
        <v>0</v>
      </c>
      <c r="N23" s="501">
        <v>0</v>
      </c>
      <c r="O23" s="501">
        <v>0</v>
      </c>
      <c r="P23" s="501">
        <v>0</v>
      </c>
      <c r="Q23" s="501">
        <v>0</v>
      </c>
      <c r="R23" s="501">
        <v>0</v>
      </c>
      <c r="S23" s="501">
        <v>0</v>
      </c>
      <c r="T23" s="501">
        <v>0</v>
      </c>
      <c r="U23" s="501">
        <v>0</v>
      </c>
      <c r="V23" s="501">
        <v>0</v>
      </c>
      <c r="W23" s="501">
        <v>0</v>
      </c>
      <c r="X23" s="525"/>
      <c r="Y23" s="563"/>
      <c r="Z23" s="532"/>
      <c r="AA23" s="430"/>
      <c r="AB23" s="430"/>
      <c r="AC23" s="430"/>
      <c r="AD23" s="430"/>
      <c r="AE23" s="430"/>
      <c r="AF23" s="430"/>
      <c r="AG23" s="430"/>
      <c r="AH23" s="430"/>
      <c r="AI23" s="430"/>
      <c r="AJ23" s="430"/>
      <c r="AK23" s="430"/>
      <c r="AL23" s="430"/>
      <c r="AM23" s="430"/>
      <c r="AN23" s="430"/>
      <c r="AO23" s="430"/>
      <c r="AP23" s="430"/>
      <c r="AQ23" s="430"/>
      <c r="AR23" s="430"/>
      <c r="AS23" s="430"/>
      <c r="AT23" s="430"/>
      <c r="AU23" s="430"/>
      <c r="AV23" s="430"/>
      <c r="AW23" s="430"/>
      <c r="AX23" s="430"/>
      <c r="AY23" s="430"/>
      <c r="AZ23" s="430"/>
      <c r="BA23" s="430"/>
      <c r="BB23" s="430"/>
    </row>
    <row r="24" spans="1:54" ht="15" customHeight="1">
      <c r="A24" s="548" t="s">
        <v>878</v>
      </c>
      <c r="B24" s="430"/>
      <c r="C24" s="430"/>
      <c r="D24" s="430"/>
      <c r="E24" s="501"/>
      <c r="F24" s="464"/>
      <c r="G24" s="464"/>
      <c r="H24" s="464"/>
      <c r="I24" s="464"/>
      <c r="J24" s="464"/>
      <c r="K24" s="464"/>
      <c r="L24" s="501">
        <v>0</v>
      </c>
      <c r="M24" s="501">
        <v>0</v>
      </c>
      <c r="N24" s="501">
        <v>0</v>
      </c>
      <c r="O24" s="501">
        <v>0</v>
      </c>
      <c r="P24" s="501">
        <v>0</v>
      </c>
      <c r="Q24" s="501">
        <v>0</v>
      </c>
      <c r="R24" s="501">
        <v>0</v>
      </c>
      <c r="S24" s="501">
        <v>0</v>
      </c>
      <c r="T24" s="501">
        <v>0</v>
      </c>
      <c r="U24" s="501">
        <v>0</v>
      </c>
      <c r="V24" s="501">
        <v>0</v>
      </c>
      <c r="W24" s="501">
        <v>0</v>
      </c>
      <c r="X24" s="525"/>
      <c r="Y24" s="563"/>
      <c r="Z24" s="532"/>
      <c r="AA24" s="430"/>
      <c r="AB24" s="430"/>
      <c r="AC24" s="430"/>
      <c r="AD24" s="430"/>
      <c r="AE24" s="430"/>
      <c r="AF24" s="430"/>
      <c r="AG24" s="430"/>
      <c r="AH24" s="430"/>
      <c r="AI24" s="430"/>
      <c r="AJ24" s="430"/>
      <c r="AK24" s="430"/>
      <c r="AL24" s="430"/>
      <c r="AM24" s="430"/>
      <c r="AN24" s="430"/>
      <c r="AO24" s="430"/>
      <c r="AP24" s="430"/>
      <c r="AQ24" s="430"/>
      <c r="AR24" s="430"/>
      <c r="AS24" s="430"/>
      <c r="AT24" s="430"/>
      <c r="AU24" s="430"/>
      <c r="AV24" s="430"/>
      <c r="AW24" s="430"/>
      <c r="AX24" s="430"/>
      <c r="AY24" s="430"/>
      <c r="AZ24" s="430"/>
      <c r="BA24" s="430"/>
      <c r="BB24" s="430"/>
    </row>
    <row r="25" spans="1:54">
      <c r="A25" s="558" t="s">
        <v>880</v>
      </c>
      <c r="B25" s="442" t="s">
        <v>34</v>
      </c>
      <c r="C25" s="442" t="s">
        <v>881</v>
      </c>
      <c r="D25" s="430"/>
      <c r="E25" s="501"/>
      <c r="F25" s="464"/>
      <c r="G25" s="464"/>
      <c r="H25" s="464"/>
      <c r="I25" s="464"/>
      <c r="J25" s="464"/>
      <c r="K25" s="464"/>
      <c r="L25" s="501">
        <f t="shared" ref="L25:W25" si="0">SUM(L22:L24)</f>
        <v>0</v>
      </c>
      <c r="M25" s="501">
        <f t="shared" si="0"/>
        <v>0</v>
      </c>
      <c r="N25" s="501">
        <f t="shared" si="0"/>
        <v>0</v>
      </c>
      <c r="O25" s="501">
        <f t="shared" si="0"/>
        <v>0</v>
      </c>
      <c r="P25" s="501">
        <f t="shared" si="0"/>
        <v>0</v>
      </c>
      <c r="Q25" s="501">
        <f t="shared" si="0"/>
        <v>0</v>
      </c>
      <c r="R25" s="501">
        <f t="shared" si="0"/>
        <v>0</v>
      </c>
      <c r="S25" s="501">
        <f t="shared" si="0"/>
        <v>0</v>
      </c>
      <c r="T25" s="501">
        <f t="shared" si="0"/>
        <v>0</v>
      </c>
      <c r="U25" s="501">
        <f t="shared" si="0"/>
        <v>0</v>
      </c>
      <c r="V25" s="501">
        <f t="shared" si="0"/>
        <v>0</v>
      </c>
      <c r="W25" s="501">
        <f t="shared" si="0"/>
        <v>0</v>
      </c>
      <c r="X25" s="501"/>
      <c r="Y25" s="532"/>
      <c r="Z25" s="532"/>
      <c r="AA25" s="430"/>
      <c r="AB25" s="478"/>
      <c r="AC25" s="430"/>
      <c r="AD25" s="430"/>
      <c r="AE25" s="430"/>
      <c r="AF25" s="430"/>
      <c r="AG25" s="430"/>
      <c r="AH25" s="430"/>
      <c r="AI25" s="430"/>
      <c r="AJ25" s="430"/>
      <c r="AK25" s="430"/>
      <c r="AL25" s="430"/>
      <c r="AM25" s="430"/>
      <c r="AN25" s="430"/>
      <c r="AO25" s="430"/>
      <c r="AP25" s="430"/>
      <c r="AQ25" s="430"/>
      <c r="AR25" s="430"/>
      <c r="AS25" s="430"/>
      <c r="AT25" s="430"/>
      <c r="AU25" s="430"/>
      <c r="AV25" s="430"/>
      <c r="AW25" s="430"/>
      <c r="AX25" s="430"/>
      <c r="AY25" s="430"/>
      <c r="AZ25" s="430"/>
      <c r="BA25" s="430"/>
      <c r="BB25" s="430"/>
    </row>
    <row r="26" spans="1:54" ht="15" customHeight="1">
      <c r="A26" s="540"/>
      <c r="B26" s="430"/>
      <c r="C26" s="430"/>
      <c r="D26" s="430"/>
      <c r="E26" s="501"/>
      <c r="F26" s="464"/>
      <c r="G26" s="464"/>
      <c r="H26" s="464"/>
      <c r="I26" s="464"/>
      <c r="J26" s="464"/>
      <c r="K26" s="464"/>
      <c r="L26" s="501"/>
      <c r="M26" s="501"/>
      <c r="N26" s="501"/>
      <c r="O26" s="501"/>
      <c r="P26" s="501"/>
      <c r="Q26" s="501"/>
      <c r="R26" s="501"/>
      <c r="S26" s="501"/>
      <c r="T26" s="501"/>
      <c r="U26" s="501"/>
      <c r="V26" s="501"/>
      <c r="W26" s="501"/>
      <c r="X26" s="501"/>
      <c r="Y26" s="532"/>
      <c r="Z26" s="532"/>
      <c r="AA26" s="430"/>
      <c r="AB26" s="478"/>
      <c r="AC26" s="430"/>
      <c r="AD26" s="430"/>
      <c r="AE26" s="430"/>
      <c r="AF26" s="430"/>
      <c r="AG26" s="430"/>
      <c r="AH26" s="430"/>
      <c r="AI26" s="430"/>
      <c r="AJ26" s="430"/>
      <c r="AK26" s="430"/>
      <c r="AL26" s="430"/>
      <c r="AM26" s="430"/>
      <c r="AN26" s="430"/>
      <c r="AO26" s="430"/>
      <c r="AP26" s="430"/>
      <c r="AQ26" s="430"/>
      <c r="AR26" s="430"/>
      <c r="AS26" s="430"/>
      <c r="AT26" s="430"/>
      <c r="AU26" s="430"/>
      <c r="AV26" s="430"/>
      <c r="AW26" s="430"/>
      <c r="AX26" s="430"/>
      <c r="AY26" s="430"/>
      <c r="AZ26" s="430"/>
      <c r="BA26" s="430"/>
      <c r="BB26" s="430"/>
    </row>
    <row r="27" spans="1:54">
      <c r="A27" s="548" t="s">
        <v>882</v>
      </c>
      <c r="B27" s="442" t="s">
        <v>18</v>
      </c>
      <c r="C27" s="442" t="s">
        <v>883</v>
      </c>
      <c r="D27" s="430"/>
      <c r="E27" s="501"/>
      <c r="F27" s="464"/>
      <c r="G27" s="464"/>
      <c r="H27" s="464"/>
      <c r="I27" s="464"/>
      <c r="J27" s="464"/>
      <c r="K27" s="464"/>
      <c r="L27" s="551">
        <v>0</v>
      </c>
      <c r="M27" s="551">
        <v>0</v>
      </c>
      <c r="N27" s="551">
        <v>0</v>
      </c>
      <c r="O27" s="551">
        <v>0</v>
      </c>
      <c r="P27" s="551">
        <v>0</v>
      </c>
      <c r="Q27" s="551">
        <v>0</v>
      </c>
      <c r="R27" s="551">
        <v>0</v>
      </c>
      <c r="S27" s="551">
        <v>0</v>
      </c>
      <c r="T27" s="501">
        <v>0</v>
      </c>
      <c r="U27" s="501">
        <v>0</v>
      </c>
      <c r="V27" s="501">
        <v>0</v>
      </c>
      <c r="W27" s="501">
        <v>0</v>
      </c>
      <c r="X27" s="552" t="s">
        <v>865</v>
      </c>
      <c r="Y27" s="532"/>
      <c r="Z27" s="532"/>
      <c r="AA27" s="484"/>
      <c r="AB27" s="484"/>
      <c r="AC27" s="484"/>
      <c r="AD27" s="484"/>
      <c r="AE27" s="484"/>
      <c r="AF27" s="484"/>
      <c r="AG27" s="484"/>
      <c r="AH27" s="484"/>
      <c r="AI27" s="484"/>
      <c r="AJ27" s="430"/>
      <c r="AK27" s="430"/>
      <c r="AL27" s="430"/>
      <c r="AM27" s="430"/>
      <c r="AN27" s="430"/>
      <c r="AO27" s="430"/>
      <c r="AP27" s="430"/>
      <c r="AQ27" s="430"/>
      <c r="AR27" s="430"/>
      <c r="AS27" s="430"/>
      <c r="AT27" s="430"/>
      <c r="AU27" s="430"/>
      <c r="AV27" s="430"/>
      <c r="AW27" s="430"/>
      <c r="AX27" s="430"/>
      <c r="AY27" s="430"/>
      <c r="AZ27" s="430"/>
      <c r="BA27" s="430"/>
      <c r="BB27" s="430"/>
    </row>
    <row r="28" spans="1:54" ht="15" customHeight="1">
      <c r="A28" s="474" t="s">
        <v>884</v>
      </c>
      <c r="B28" s="442" t="s">
        <v>18</v>
      </c>
      <c r="C28" s="442" t="s">
        <v>885</v>
      </c>
      <c r="D28" s="430"/>
      <c r="E28" s="501"/>
      <c r="F28" s="464"/>
      <c r="G28" s="464"/>
      <c r="H28" s="464"/>
      <c r="I28" s="464"/>
      <c r="J28" s="464"/>
      <c r="K28" s="464"/>
      <c r="L28" s="551">
        <v>0</v>
      </c>
      <c r="M28" s="551">
        <v>0</v>
      </c>
      <c r="N28" s="551">
        <v>0</v>
      </c>
      <c r="O28" s="551">
        <v>0</v>
      </c>
      <c r="P28" s="551">
        <v>0</v>
      </c>
      <c r="Q28" s="551">
        <v>0</v>
      </c>
      <c r="R28" s="551">
        <v>0</v>
      </c>
      <c r="S28" s="551">
        <v>0</v>
      </c>
      <c r="T28" s="501">
        <v>0</v>
      </c>
      <c r="U28" s="501">
        <v>0</v>
      </c>
      <c r="V28" s="501">
        <v>0</v>
      </c>
      <c r="W28" s="501">
        <v>0</v>
      </c>
      <c r="X28" s="430"/>
      <c r="Y28" s="532"/>
      <c r="Z28" s="532"/>
      <c r="AA28" s="484"/>
      <c r="AB28" s="484"/>
      <c r="AC28" s="484"/>
      <c r="AD28" s="484"/>
      <c r="AE28" s="484"/>
      <c r="AF28" s="484"/>
      <c r="AG28" s="484"/>
      <c r="AH28" s="484"/>
      <c r="AI28" s="484"/>
      <c r="AJ28" s="430"/>
      <c r="AK28" s="430"/>
      <c r="AL28" s="430"/>
      <c r="AM28" s="430"/>
      <c r="AN28" s="430"/>
      <c r="AO28" s="430"/>
      <c r="AP28" s="430"/>
      <c r="AQ28" s="430"/>
      <c r="AR28" s="430"/>
      <c r="AS28" s="430"/>
      <c r="AT28" s="430"/>
      <c r="AU28" s="430"/>
      <c r="AV28" s="430"/>
      <c r="AW28" s="430"/>
      <c r="AX28" s="430"/>
      <c r="AY28" s="430"/>
      <c r="AZ28" s="430"/>
      <c r="BA28" s="430"/>
      <c r="BB28" s="430"/>
    </row>
    <row r="29" spans="1:54">
      <c r="A29" s="548" t="s">
        <v>886</v>
      </c>
      <c r="B29" s="442" t="s">
        <v>34</v>
      </c>
      <c r="C29" s="442" t="s">
        <v>887</v>
      </c>
      <c r="D29" s="430"/>
      <c r="E29" s="501"/>
      <c r="F29" s="464"/>
      <c r="G29" s="464"/>
      <c r="H29" s="464"/>
      <c r="I29" s="464"/>
      <c r="J29" s="464"/>
      <c r="K29" s="464"/>
      <c r="L29" s="501">
        <f>+L27+E29+L28</f>
        <v>0</v>
      </c>
      <c r="M29" s="501">
        <f t="shared" ref="M29:W29" si="1">+M27+L29+M28</f>
        <v>0</v>
      </c>
      <c r="N29" s="501">
        <f t="shared" si="1"/>
        <v>0</v>
      </c>
      <c r="O29" s="501">
        <f t="shared" si="1"/>
        <v>0</v>
      </c>
      <c r="P29" s="501">
        <f t="shared" si="1"/>
        <v>0</v>
      </c>
      <c r="Q29" s="501">
        <f t="shared" si="1"/>
        <v>0</v>
      </c>
      <c r="R29" s="501">
        <f t="shared" si="1"/>
        <v>0</v>
      </c>
      <c r="S29" s="501">
        <f t="shared" si="1"/>
        <v>0</v>
      </c>
      <c r="T29" s="501">
        <f t="shared" si="1"/>
        <v>0</v>
      </c>
      <c r="U29" s="501">
        <f t="shared" si="1"/>
        <v>0</v>
      </c>
      <c r="V29" s="501">
        <f t="shared" si="1"/>
        <v>0</v>
      </c>
      <c r="W29" s="501">
        <f t="shared" si="1"/>
        <v>0</v>
      </c>
      <c r="X29" s="430"/>
      <c r="Y29" s="532"/>
      <c r="Z29" s="532"/>
      <c r="AA29" s="430"/>
      <c r="AB29" s="430"/>
      <c r="AC29" s="430"/>
      <c r="AD29" s="430"/>
      <c r="AE29" s="430"/>
      <c r="AF29" s="430"/>
      <c r="AG29" s="430"/>
      <c r="AH29" s="430"/>
      <c r="AI29" s="430"/>
      <c r="AJ29" s="430"/>
      <c r="AK29" s="430"/>
      <c r="AL29" s="430"/>
      <c r="AM29" s="430"/>
      <c r="AN29" s="430"/>
      <c r="AO29" s="430"/>
      <c r="AP29" s="430"/>
      <c r="AQ29" s="430"/>
      <c r="AR29" s="430"/>
      <c r="AS29" s="430"/>
      <c r="AT29" s="430"/>
      <c r="AU29" s="430"/>
      <c r="AV29" s="430"/>
      <c r="AW29" s="430"/>
      <c r="AX29" s="430"/>
      <c r="AY29" s="430"/>
      <c r="AZ29" s="430"/>
      <c r="BA29" s="430"/>
      <c r="BB29" s="430"/>
    </row>
    <row r="30" spans="1:54">
      <c r="A30" s="430"/>
      <c r="B30" s="430"/>
      <c r="C30" s="430"/>
      <c r="D30" s="430"/>
      <c r="E30" s="430"/>
      <c r="F30" s="464"/>
      <c r="G30" s="464"/>
      <c r="H30" s="464"/>
      <c r="I30" s="464"/>
      <c r="J30" s="464"/>
      <c r="K30" s="464"/>
      <c r="L30" s="430"/>
      <c r="M30" s="430"/>
      <c r="N30" s="430"/>
      <c r="O30" s="430"/>
      <c r="P30" s="430"/>
      <c r="Q30" s="430"/>
      <c r="R30" s="430"/>
      <c r="S30" s="430"/>
      <c r="T30" s="430"/>
      <c r="U30" s="430"/>
      <c r="V30" s="430"/>
      <c r="W30" s="430"/>
      <c r="X30" s="430"/>
      <c r="Y30" s="532"/>
      <c r="Z30" s="532"/>
      <c r="AA30" s="430"/>
      <c r="AB30" s="430"/>
      <c r="AC30" s="430"/>
      <c r="AD30" s="430"/>
      <c r="AE30" s="430"/>
      <c r="AF30" s="430"/>
      <c r="AG30" s="430"/>
      <c r="AH30" s="430"/>
      <c r="AI30" s="430"/>
      <c r="AJ30" s="430"/>
      <c r="AK30" s="430"/>
      <c r="AL30" s="430"/>
      <c r="AM30" s="430"/>
      <c r="AN30" s="430"/>
      <c r="AO30" s="430"/>
      <c r="AP30" s="430"/>
      <c r="AQ30" s="430"/>
      <c r="AR30" s="430"/>
      <c r="AS30" s="430"/>
      <c r="AT30" s="430"/>
      <c r="AU30" s="430"/>
      <c r="AV30" s="430"/>
      <c r="AW30" s="430"/>
      <c r="AX30" s="430"/>
      <c r="AY30" s="430"/>
      <c r="AZ30" s="430"/>
      <c r="BA30" s="430"/>
      <c r="BB30" s="430"/>
    </row>
    <row r="31" spans="1:54">
      <c r="A31" s="548" t="s">
        <v>888</v>
      </c>
      <c r="B31" s="442" t="s">
        <v>34</v>
      </c>
      <c r="C31" s="442" t="s">
        <v>889</v>
      </c>
      <c r="D31" s="430"/>
      <c r="E31" s="562"/>
      <c r="F31" s="464"/>
      <c r="G31" s="464"/>
      <c r="H31" s="464"/>
      <c r="I31" s="464"/>
      <c r="J31" s="464"/>
      <c r="K31" s="464"/>
      <c r="L31" s="562">
        <f t="shared" ref="L31:W31" si="2">+L25+L27</f>
        <v>0</v>
      </c>
      <c r="M31" s="562">
        <f t="shared" si="2"/>
        <v>0</v>
      </c>
      <c r="N31" s="562">
        <f t="shared" si="2"/>
        <v>0</v>
      </c>
      <c r="O31" s="562">
        <f t="shared" si="2"/>
        <v>0</v>
      </c>
      <c r="P31" s="562">
        <f t="shared" si="2"/>
        <v>0</v>
      </c>
      <c r="Q31" s="562">
        <f t="shared" si="2"/>
        <v>0</v>
      </c>
      <c r="R31" s="562">
        <f t="shared" si="2"/>
        <v>0</v>
      </c>
      <c r="S31" s="562">
        <f t="shared" si="2"/>
        <v>0</v>
      </c>
      <c r="T31" s="492">
        <f t="shared" si="2"/>
        <v>0</v>
      </c>
      <c r="U31" s="492">
        <f t="shared" si="2"/>
        <v>0</v>
      </c>
      <c r="V31" s="492">
        <f t="shared" si="2"/>
        <v>0</v>
      </c>
      <c r="W31" s="492">
        <f t="shared" si="2"/>
        <v>0</v>
      </c>
      <c r="X31" s="430"/>
      <c r="Y31" s="532"/>
      <c r="Z31" s="532"/>
      <c r="AA31" s="430"/>
      <c r="AB31" s="430"/>
      <c r="AC31" s="430"/>
      <c r="AD31" s="484"/>
      <c r="AE31" s="484"/>
      <c r="AF31" s="484"/>
      <c r="AG31" s="484"/>
      <c r="AH31" s="484"/>
      <c r="AI31" s="484"/>
      <c r="AJ31" s="430"/>
      <c r="AK31" s="430"/>
      <c r="AL31" s="430"/>
      <c r="AM31" s="430"/>
      <c r="AN31" s="430"/>
      <c r="AO31" s="430"/>
      <c r="AP31" s="430"/>
      <c r="AQ31" s="430"/>
      <c r="AR31" s="430"/>
      <c r="AS31" s="430"/>
      <c r="AT31" s="430"/>
      <c r="AU31" s="430"/>
      <c r="AV31" s="430"/>
      <c r="AW31" s="430"/>
      <c r="AX31" s="430"/>
      <c r="AY31" s="430"/>
      <c r="AZ31" s="430"/>
      <c r="BA31" s="430"/>
      <c r="BB31" s="430"/>
    </row>
    <row r="32" spans="1:54">
      <c r="A32" s="548" t="s">
        <v>890</v>
      </c>
      <c r="B32" s="442" t="s">
        <v>34</v>
      </c>
      <c r="C32" s="442" t="s">
        <v>891</v>
      </c>
      <c r="D32" s="430"/>
      <c r="E32" s="562"/>
      <c r="F32" s="464"/>
      <c r="G32" s="464"/>
      <c r="H32" s="464"/>
      <c r="I32" s="464"/>
      <c r="J32" s="464"/>
      <c r="K32" s="464"/>
      <c r="L32" s="562">
        <f t="shared" ref="L32:W32" si="3">+L28+L31</f>
        <v>0</v>
      </c>
      <c r="M32" s="562">
        <f t="shared" si="3"/>
        <v>0</v>
      </c>
      <c r="N32" s="562">
        <f t="shared" si="3"/>
        <v>0</v>
      </c>
      <c r="O32" s="562">
        <f t="shared" si="3"/>
        <v>0</v>
      </c>
      <c r="P32" s="562">
        <f t="shared" si="3"/>
        <v>0</v>
      </c>
      <c r="Q32" s="562">
        <f t="shared" si="3"/>
        <v>0</v>
      </c>
      <c r="R32" s="562">
        <f t="shared" si="3"/>
        <v>0</v>
      </c>
      <c r="S32" s="562">
        <f t="shared" si="3"/>
        <v>0</v>
      </c>
      <c r="T32" s="492">
        <f t="shared" si="3"/>
        <v>0</v>
      </c>
      <c r="U32" s="492">
        <f t="shared" si="3"/>
        <v>0</v>
      </c>
      <c r="V32" s="492">
        <f t="shared" si="3"/>
        <v>0</v>
      </c>
      <c r="W32" s="492">
        <f t="shared" si="3"/>
        <v>0</v>
      </c>
      <c r="X32" s="430"/>
      <c r="Y32" s="532"/>
      <c r="Z32" s="532"/>
      <c r="AA32" s="430"/>
      <c r="AB32" s="430"/>
      <c r="AC32" s="430"/>
      <c r="AD32" s="484"/>
      <c r="AE32" s="484"/>
      <c r="AF32" s="484"/>
      <c r="AG32" s="484"/>
      <c r="AH32" s="484"/>
      <c r="AI32" s="484"/>
      <c r="AJ32" s="430"/>
      <c r="AK32" s="430"/>
      <c r="AL32" s="430"/>
      <c r="AM32" s="430"/>
      <c r="AN32" s="430"/>
      <c r="AO32" s="430"/>
      <c r="AP32" s="430"/>
      <c r="AQ32" s="430"/>
      <c r="AR32" s="430"/>
      <c r="AS32" s="430"/>
      <c r="AT32" s="430"/>
      <c r="AU32" s="430"/>
      <c r="AV32" s="430"/>
      <c r="AW32" s="430"/>
      <c r="AX32" s="430"/>
      <c r="AY32" s="430"/>
      <c r="AZ32" s="430"/>
      <c r="BA32" s="430"/>
      <c r="BB32" s="430"/>
    </row>
    <row r="33" spans="1:54">
      <c r="A33" s="430"/>
      <c r="B33" s="430"/>
      <c r="C33" s="430"/>
      <c r="D33" s="430"/>
      <c r="E33" s="501"/>
      <c r="F33" s="473"/>
      <c r="G33" s="473"/>
      <c r="H33" s="473"/>
      <c r="I33" s="473"/>
      <c r="J33" s="473"/>
      <c r="K33" s="473"/>
      <c r="L33" s="501"/>
      <c r="M33" s="501"/>
      <c r="N33" s="501"/>
      <c r="O33" s="501"/>
      <c r="P33" s="501"/>
      <c r="Q33" s="501"/>
      <c r="R33" s="501"/>
      <c r="S33" s="501"/>
      <c r="T33" s="501"/>
      <c r="U33" s="501"/>
      <c r="V33" s="501"/>
      <c r="W33" s="501"/>
      <c r="X33" s="501"/>
      <c r="Y33" s="532"/>
      <c r="Z33" s="532"/>
      <c r="AA33" s="430"/>
      <c r="AB33" s="430"/>
      <c r="AC33" s="430"/>
      <c r="AD33" s="484"/>
      <c r="AE33" s="484"/>
      <c r="AF33" s="484"/>
      <c r="AG33" s="484"/>
      <c r="AH33" s="484"/>
      <c r="AI33" s="484"/>
      <c r="AJ33" s="430"/>
      <c r="AK33" s="430"/>
      <c r="AL33" s="430"/>
      <c r="AM33" s="430"/>
      <c r="AN33" s="430"/>
      <c r="AO33" s="430"/>
      <c r="AP33" s="430"/>
      <c r="AQ33" s="430"/>
      <c r="AR33" s="430"/>
      <c r="AS33" s="430"/>
      <c r="AT33" s="430"/>
      <c r="AU33" s="430"/>
      <c r="AV33" s="430"/>
      <c r="AW33" s="430"/>
      <c r="AX33" s="430"/>
      <c r="AY33" s="430"/>
      <c r="AZ33" s="430"/>
      <c r="BA33" s="430"/>
      <c r="BB33" s="430"/>
    </row>
    <row r="34" spans="1:54" ht="15" customHeight="1">
      <c r="A34" s="548" t="s">
        <v>892</v>
      </c>
      <c r="B34" s="430"/>
      <c r="C34" s="442" t="s">
        <v>893</v>
      </c>
      <c r="D34" s="430"/>
      <c r="E34" s="501"/>
      <c r="F34" s="464"/>
      <c r="G34" s="464"/>
      <c r="H34" s="464"/>
      <c r="I34" s="464"/>
      <c r="J34" s="464"/>
      <c r="K34" s="464"/>
      <c r="L34" s="501"/>
      <c r="M34" s="501"/>
      <c r="N34" s="430"/>
      <c r="O34" s="430"/>
      <c r="P34" s="501"/>
      <c r="Q34" s="564"/>
      <c r="R34" s="564"/>
      <c r="S34" s="564"/>
      <c r="T34" s="564"/>
      <c r="U34" s="564"/>
      <c r="V34" s="564"/>
      <c r="W34" s="564"/>
      <c r="X34" s="501"/>
      <c r="Y34" s="532"/>
      <c r="Z34" s="532"/>
      <c r="AA34" s="484"/>
      <c r="AB34" s="484"/>
      <c r="AC34" s="484"/>
      <c r="AD34" s="484"/>
      <c r="AE34" s="484"/>
      <c r="AF34" s="484"/>
      <c r="AG34" s="484"/>
      <c r="AH34" s="484"/>
      <c r="AI34" s="484"/>
      <c r="AJ34" s="430"/>
      <c r="AK34" s="430"/>
      <c r="AL34" s="430"/>
      <c r="AM34" s="430"/>
      <c r="AN34" s="430"/>
      <c r="AO34" s="430"/>
      <c r="AP34" s="430"/>
      <c r="AQ34" s="430"/>
      <c r="AR34" s="430"/>
      <c r="AS34" s="430"/>
      <c r="AT34" s="430"/>
      <c r="AU34" s="430"/>
      <c r="AV34" s="430"/>
      <c r="AW34" s="430"/>
      <c r="AX34" s="430"/>
      <c r="AY34" s="430"/>
      <c r="AZ34" s="430"/>
      <c r="BA34" s="430"/>
      <c r="BB34" s="430"/>
    </row>
    <row r="35" spans="1:54">
      <c r="A35" s="574" t="s">
        <v>256</v>
      </c>
      <c r="B35" s="442" t="s">
        <v>18</v>
      </c>
      <c r="C35" s="442" t="s">
        <v>894</v>
      </c>
      <c r="D35" s="442" t="s">
        <v>864</v>
      </c>
      <c r="E35" s="501"/>
      <c r="F35" s="430"/>
      <c r="G35" s="430"/>
      <c r="H35" s="430"/>
      <c r="I35" s="430"/>
      <c r="J35" s="430"/>
      <c r="K35" s="430"/>
      <c r="L35" s="551">
        <v>0</v>
      </c>
      <c r="M35" s="551">
        <v>0</v>
      </c>
      <c r="N35" s="551">
        <v>0</v>
      </c>
      <c r="O35" s="551">
        <v>0</v>
      </c>
      <c r="P35" s="551">
        <f t="shared" ref="P35:S36" si="4">60000/4</f>
        <v>15000</v>
      </c>
      <c r="Q35" s="551">
        <f t="shared" si="4"/>
        <v>15000</v>
      </c>
      <c r="R35" s="551">
        <f t="shared" si="4"/>
        <v>15000</v>
      </c>
      <c r="S35" s="551">
        <f t="shared" si="4"/>
        <v>15000</v>
      </c>
      <c r="T35" s="501">
        <v>60000</v>
      </c>
      <c r="U35" s="501">
        <v>60000</v>
      </c>
      <c r="V35" s="501">
        <v>60000</v>
      </c>
      <c r="W35" s="501">
        <v>60000</v>
      </c>
      <c r="X35" s="442" t="s">
        <v>865</v>
      </c>
      <c r="Y35" s="532"/>
      <c r="Z35" s="430"/>
      <c r="AA35" s="430"/>
      <c r="AB35" s="430"/>
      <c r="AC35" s="430"/>
      <c r="AD35" s="430"/>
      <c r="AE35" s="430"/>
      <c r="AF35" s="430"/>
      <c r="AG35" s="430"/>
      <c r="AH35" s="430"/>
      <c r="AI35" s="430"/>
      <c r="AJ35" s="430"/>
      <c r="AK35" s="430"/>
      <c r="AL35" s="430"/>
      <c r="AM35" s="430"/>
      <c r="AN35" s="430"/>
      <c r="AO35" s="430"/>
      <c r="AP35" s="430"/>
      <c r="AQ35" s="430"/>
      <c r="AR35" s="430"/>
      <c r="AS35" s="430"/>
      <c r="AT35" s="430"/>
      <c r="AU35" s="430"/>
      <c r="AV35" s="430"/>
      <c r="AW35" s="430"/>
      <c r="AX35" s="430"/>
      <c r="AY35" s="430"/>
      <c r="AZ35" s="430"/>
      <c r="BA35" s="430"/>
      <c r="BB35" s="430"/>
    </row>
    <row r="36" spans="1:54">
      <c r="A36" s="574" t="s">
        <v>997</v>
      </c>
      <c r="B36" s="442" t="s">
        <v>18</v>
      </c>
      <c r="C36" s="442" t="s">
        <v>894</v>
      </c>
      <c r="D36" s="442" t="s">
        <v>869</v>
      </c>
      <c r="E36" s="501"/>
      <c r="F36" s="490"/>
      <c r="G36" s="490"/>
      <c r="H36" s="490"/>
      <c r="I36" s="490"/>
      <c r="J36" s="490"/>
      <c r="K36" s="490"/>
      <c r="L36" s="551">
        <v>0</v>
      </c>
      <c r="M36" s="551">
        <v>0</v>
      </c>
      <c r="N36" s="551">
        <v>0</v>
      </c>
      <c r="O36" s="551">
        <v>0</v>
      </c>
      <c r="P36" s="551">
        <f t="shared" si="4"/>
        <v>15000</v>
      </c>
      <c r="Q36" s="551">
        <f t="shared" si="4"/>
        <v>15000</v>
      </c>
      <c r="R36" s="551">
        <f t="shared" si="4"/>
        <v>15000</v>
      </c>
      <c r="S36" s="551">
        <f t="shared" si="4"/>
        <v>15000</v>
      </c>
      <c r="T36" s="501">
        <v>60000</v>
      </c>
      <c r="U36" s="501">
        <v>60000</v>
      </c>
      <c r="V36" s="501">
        <v>60000</v>
      </c>
      <c r="W36" s="501">
        <v>60000</v>
      </c>
      <c r="X36" s="430"/>
      <c r="Y36" s="532"/>
      <c r="Z36" s="430"/>
      <c r="AA36" s="430"/>
      <c r="AB36" s="430"/>
      <c r="AC36" s="430"/>
      <c r="AD36" s="430"/>
      <c r="AE36" s="430"/>
      <c r="AF36" s="430"/>
      <c r="AG36" s="430"/>
      <c r="AH36" s="430"/>
      <c r="AI36" s="430"/>
      <c r="AJ36" s="430"/>
      <c r="AK36" s="430"/>
      <c r="AL36" s="430"/>
      <c r="AM36" s="430"/>
      <c r="AN36" s="430"/>
      <c r="AO36" s="430"/>
      <c r="AP36" s="430"/>
      <c r="AQ36" s="430"/>
      <c r="AR36" s="430"/>
      <c r="AS36" s="430"/>
      <c r="AT36" s="430"/>
      <c r="AU36" s="430"/>
      <c r="AV36" s="430"/>
      <c r="AW36" s="430"/>
      <c r="AX36" s="430"/>
      <c r="AY36" s="430"/>
      <c r="AZ36" s="430"/>
      <c r="BA36" s="430"/>
      <c r="BB36" s="430"/>
    </row>
    <row r="37" spans="1:54">
      <c r="A37" s="574" t="s">
        <v>195</v>
      </c>
      <c r="B37" s="442" t="s">
        <v>18</v>
      </c>
      <c r="C37" s="442" t="s">
        <v>894</v>
      </c>
      <c r="D37" s="442" t="s">
        <v>874</v>
      </c>
      <c r="E37" s="501"/>
      <c r="F37" s="490"/>
      <c r="G37" s="490"/>
      <c r="H37" s="490"/>
      <c r="I37" s="490"/>
      <c r="J37" s="490"/>
      <c r="K37" s="490"/>
      <c r="L37" s="551">
        <v>0</v>
      </c>
      <c r="M37" s="551">
        <v>0</v>
      </c>
      <c r="N37" s="551">
        <v>0</v>
      </c>
      <c r="O37" s="551">
        <v>0</v>
      </c>
      <c r="P37" s="551">
        <v>0</v>
      </c>
      <c r="Q37" s="551">
        <v>0</v>
      </c>
      <c r="R37" s="551">
        <v>0</v>
      </c>
      <c r="S37" s="551">
        <v>0</v>
      </c>
      <c r="T37" s="501">
        <f>15000*2</f>
        <v>30000</v>
      </c>
      <c r="U37" s="501">
        <v>60000</v>
      </c>
      <c r="V37" s="501">
        <v>60000</v>
      </c>
      <c r="W37" s="501">
        <v>60000</v>
      </c>
      <c r="X37" s="430"/>
      <c r="Y37" s="532"/>
      <c r="Z37" s="430"/>
      <c r="AA37" s="430"/>
      <c r="AB37" s="430"/>
      <c r="AC37" s="430"/>
      <c r="AD37" s="430"/>
      <c r="AE37" s="430"/>
      <c r="AF37" s="430"/>
      <c r="AG37" s="430"/>
      <c r="AH37" s="430"/>
      <c r="AI37" s="430"/>
      <c r="AJ37" s="430"/>
      <c r="AK37" s="430"/>
      <c r="AL37" s="430"/>
      <c r="AM37" s="430"/>
      <c r="AN37" s="430"/>
      <c r="AO37" s="430"/>
      <c r="AP37" s="430"/>
      <c r="AQ37" s="430"/>
      <c r="AR37" s="430"/>
      <c r="AS37" s="430"/>
      <c r="AT37" s="430"/>
      <c r="AU37" s="430"/>
      <c r="AV37" s="430"/>
      <c r="AW37" s="430"/>
      <c r="AX37" s="430"/>
      <c r="AY37" s="430"/>
      <c r="AZ37" s="430"/>
      <c r="BA37" s="430"/>
      <c r="BB37" s="430"/>
    </row>
    <row r="38" spans="1:54">
      <c r="A38" s="574" t="s">
        <v>197</v>
      </c>
      <c r="B38" s="442" t="s">
        <v>18</v>
      </c>
      <c r="C38" s="442" t="s">
        <v>894</v>
      </c>
      <c r="D38" s="442" t="s">
        <v>529</v>
      </c>
      <c r="E38" s="501"/>
      <c r="F38" s="490"/>
      <c r="G38" s="490"/>
      <c r="H38" s="490"/>
      <c r="I38" s="490"/>
      <c r="J38" s="490"/>
      <c r="K38" s="490"/>
      <c r="L38" s="551">
        <v>0</v>
      </c>
      <c r="M38" s="551">
        <v>0</v>
      </c>
      <c r="N38" s="551">
        <v>0</v>
      </c>
      <c r="O38" s="551">
        <v>0</v>
      </c>
      <c r="P38" s="551">
        <v>0</v>
      </c>
      <c r="Q38" s="551">
        <v>0</v>
      </c>
      <c r="R38" s="551">
        <v>0</v>
      </c>
      <c r="S38" s="551">
        <v>0</v>
      </c>
      <c r="T38" s="501">
        <v>0</v>
      </c>
      <c r="U38" s="501">
        <v>60000</v>
      </c>
      <c r="V38" s="501">
        <v>60000</v>
      </c>
      <c r="W38" s="501">
        <v>60000</v>
      </c>
      <c r="X38" s="430"/>
      <c r="Y38" s="532"/>
      <c r="Z38" s="430"/>
      <c r="AA38" s="430"/>
      <c r="AB38" s="430"/>
      <c r="AC38" s="430"/>
      <c r="AD38" s="430"/>
      <c r="AE38" s="430"/>
      <c r="AF38" s="430"/>
      <c r="AG38" s="430"/>
      <c r="AH38" s="430"/>
      <c r="AI38" s="430"/>
      <c r="AJ38" s="430"/>
      <c r="AK38" s="430"/>
      <c r="AL38" s="430"/>
      <c r="AM38" s="430"/>
      <c r="AN38" s="430"/>
      <c r="AO38" s="430"/>
      <c r="AP38" s="430"/>
      <c r="AQ38" s="430"/>
      <c r="AR38" s="430"/>
      <c r="AS38" s="430"/>
      <c r="AT38" s="430"/>
      <c r="AU38" s="430"/>
      <c r="AV38" s="430"/>
      <c r="AW38" s="430"/>
      <c r="AX38" s="430"/>
      <c r="AY38" s="430"/>
      <c r="AZ38" s="430"/>
      <c r="BA38" s="430"/>
      <c r="BB38" s="430"/>
    </row>
    <row r="39" spans="1:54">
      <c r="A39" s="574" t="s">
        <v>895</v>
      </c>
      <c r="B39" s="442" t="s">
        <v>18</v>
      </c>
      <c r="C39" s="442" t="s">
        <v>894</v>
      </c>
      <c r="D39" s="442" t="s">
        <v>876</v>
      </c>
      <c r="E39" s="501"/>
      <c r="F39" s="490"/>
      <c r="G39" s="490"/>
      <c r="H39" s="490"/>
      <c r="I39" s="490"/>
      <c r="J39" s="490"/>
      <c r="K39" s="490"/>
      <c r="L39" s="551">
        <v>0</v>
      </c>
      <c r="M39" s="551">
        <v>0</v>
      </c>
      <c r="N39" s="551">
        <v>0</v>
      </c>
      <c r="O39" s="551">
        <v>0</v>
      </c>
      <c r="P39" s="551">
        <v>0</v>
      </c>
      <c r="Q39" s="551">
        <f t="shared" ref="Q39:W39" si="5">+P39</f>
        <v>0</v>
      </c>
      <c r="R39" s="551">
        <f t="shared" si="5"/>
        <v>0</v>
      </c>
      <c r="S39" s="551">
        <f t="shared" si="5"/>
        <v>0</v>
      </c>
      <c r="T39" s="501">
        <f t="shared" si="5"/>
        <v>0</v>
      </c>
      <c r="U39" s="501">
        <f t="shared" si="5"/>
        <v>0</v>
      </c>
      <c r="V39" s="501">
        <f t="shared" si="5"/>
        <v>0</v>
      </c>
      <c r="W39" s="501">
        <f t="shared" si="5"/>
        <v>0</v>
      </c>
      <c r="X39" s="430"/>
      <c r="Y39" s="532"/>
      <c r="Z39" s="430"/>
      <c r="AA39" s="430"/>
      <c r="AB39" s="430"/>
      <c r="AC39" s="430"/>
      <c r="AD39" s="430"/>
      <c r="AE39" s="430"/>
      <c r="AF39" s="430"/>
      <c r="AG39" s="430"/>
      <c r="AH39" s="430"/>
      <c r="AI39" s="430"/>
      <c r="AJ39" s="430"/>
      <c r="AK39" s="430"/>
      <c r="AL39" s="430"/>
      <c r="AM39" s="430"/>
      <c r="AN39" s="430"/>
      <c r="AO39" s="430"/>
      <c r="AP39" s="430"/>
      <c r="AQ39" s="430"/>
      <c r="AR39" s="430"/>
      <c r="AS39" s="430"/>
      <c r="AT39" s="430"/>
      <c r="AU39" s="430"/>
      <c r="AV39" s="430"/>
      <c r="AW39" s="430"/>
      <c r="AX39" s="430"/>
      <c r="AY39" s="430"/>
      <c r="AZ39" s="430"/>
      <c r="BA39" s="430"/>
      <c r="BB39" s="430"/>
    </row>
    <row r="40" spans="1:54" s="417" customFormat="1">
      <c r="A40" s="548" t="s">
        <v>878</v>
      </c>
      <c r="B40" s="431"/>
      <c r="C40" s="432"/>
      <c r="D40" s="431"/>
      <c r="E40" s="501"/>
      <c r="F40" s="464"/>
      <c r="G40" s="464"/>
      <c r="H40" s="464"/>
      <c r="I40" s="464"/>
      <c r="J40" s="464"/>
      <c r="K40" s="464"/>
      <c r="L40" s="501"/>
      <c r="M40" s="501"/>
      <c r="N40" s="501"/>
      <c r="O40" s="501"/>
      <c r="P40" s="501"/>
      <c r="Q40" s="501"/>
      <c r="R40" s="501"/>
      <c r="S40" s="501"/>
      <c r="T40" s="501"/>
      <c r="U40" s="501"/>
      <c r="V40" s="501"/>
      <c r="W40" s="501"/>
      <c r="X40" s="430"/>
      <c r="Y40" s="532"/>
      <c r="Z40" s="430"/>
      <c r="AA40" s="430"/>
      <c r="AB40" s="430"/>
      <c r="AC40" s="430"/>
      <c r="AD40" s="430"/>
      <c r="AE40" s="430"/>
      <c r="AF40" s="430"/>
      <c r="AG40" s="430"/>
      <c r="AH40" s="430"/>
      <c r="AI40" s="430"/>
      <c r="AJ40" s="430"/>
      <c r="AK40" s="430"/>
      <c r="AL40" s="430"/>
      <c r="AM40" s="430"/>
      <c r="AN40" s="430"/>
      <c r="AO40" s="430"/>
      <c r="AP40" s="430"/>
      <c r="AQ40" s="430"/>
      <c r="AR40" s="430"/>
      <c r="AS40" s="430"/>
      <c r="AT40" s="430"/>
      <c r="AU40" s="430"/>
      <c r="AV40" s="430"/>
      <c r="AW40" s="430"/>
      <c r="AX40" s="430"/>
      <c r="AY40" s="430"/>
      <c r="AZ40" s="430"/>
      <c r="BA40" s="430"/>
      <c r="BB40" s="430"/>
    </row>
    <row r="41" spans="1:54" s="417" customFormat="1">
      <c r="A41" s="548" t="s">
        <v>878</v>
      </c>
      <c r="B41" s="431"/>
      <c r="C41" s="432"/>
      <c r="D41" s="431"/>
      <c r="E41" s="501"/>
      <c r="F41" s="490"/>
      <c r="G41" s="490"/>
      <c r="H41" s="490"/>
      <c r="I41" s="490"/>
      <c r="J41" s="490"/>
      <c r="K41" s="490"/>
      <c r="L41" s="501"/>
      <c r="M41" s="501"/>
      <c r="N41" s="501"/>
      <c r="O41" s="501"/>
      <c r="P41" s="501"/>
      <c r="Q41" s="501"/>
      <c r="R41" s="501"/>
      <c r="S41" s="501"/>
      <c r="T41" s="501"/>
      <c r="U41" s="501"/>
      <c r="V41" s="501"/>
      <c r="W41" s="501"/>
      <c r="X41" s="430"/>
      <c r="Y41" s="532"/>
      <c r="Z41" s="430"/>
      <c r="AA41" s="430"/>
      <c r="AB41" s="430"/>
      <c r="AC41" s="430"/>
      <c r="AD41" s="430"/>
      <c r="AE41" s="430"/>
      <c r="AF41" s="430"/>
      <c r="AG41" s="430"/>
      <c r="AH41" s="430"/>
      <c r="AI41" s="430"/>
      <c r="AJ41" s="430"/>
      <c r="AK41" s="430"/>
      <c r="AL41" s="430"/>
      <c r="AM41" s="430"/>
      <c r="AN41" s="430"/>
      <c r="AO41" s="430"/>
      <c r="AP41" s="430"/>
      <c r="AQ41" s="430"/>
      <c r="AR41" s="430"/>
      <c r="AS41" s="430"/>
      <c r="AT41" s="430"/>
      <c r="AU41" s="430"/>
      <c r="AV41" s="430"/>
      <c r="AW41" s="430"/>
      <c r="AX41" s="430"/>
      <c r="AY41" s="430"/>
      <c r="AZ41" s="430"/>
      <c r="BA41" s="430"/>
      <c r="BB41" s="430"/>
    </row>
    <row r="42" spans="1:54" s="417" customFormat="1">
      <c r="A42" s="548" t="s">
        <v>878</v>
      </c>
      <c r="B42" s="431"/>
      <c r="C42" s="432"/>
      <c r="D42" s="431"/>
      <c r="E42" s="501"/>
      <c r="F42" s="490"/>
      <c r="G42" s="490"/>
      <c r="H42" s="490"/>
      <c r="I42" s="490"/>
      <c r="J42" s="490"/>
      <c r="K42" s="490"/>
      <c r="L42" s="501"/>
      <c r="M42" s="501"/>
      <c r="N42" s="501"/>
      <c r="O42" s="501"/>
      <c r="P42" s="501"/>
      <c r="Q42" s="501"/>
      <c r="R42" s="501"/>
      <c r="S42" s="501"/>
      <c r="T42" s="501"/>
      <c r="U42" s="501"/>
      <c r="V42" s="501"/>
      <c r="W42" s="501"/>
      <c r="X42" s="430"/>
      <c r="Y42" s="532"/>
      <c r="Z42" s="430"/>
      <c r="AA42" s="430"/>
      <c r="AB42" s="430"/>
      <c r="AC42" s="430"/>
      <c r="AD42" s="430"/>
      <c r="AE42" s="430"/>
      <c r="AF42" s="430"/>
      <c r="AG42" s="430"/>
      <c r="AH42" s="430"/>
      <c r="AI42" s="430"/>
      <c r="AJ42" s="430"/>
      <c r="AK42" s="430"/>
      <c r="AL42" s="430"/>
      <c r="AM42" s="430"/>
      <c r="AN42" s="430"/>
      <c r="AO42" s="430"/>
      <c r="AP42" s="430"/>
      <c r="AQ42" s="430"/>
      <c r="AR42" s="430"/>
      <c r="AS42" s="430"/>
      <c r="AT42" s="430"/>
      <c r="AU42" s="430"/>
      <c r="AV42" s="430"/>
      <c r="AW42" s="430"/>
      <c r="AX42" s="430"/>
      <c r="AY42" s="430"/>
      <c r="AZ42" s="430"/>
      <c r="BA42" s="430"/>
      <c r="BB42" s="430"/>
    </row>
    <row r="43" spans="1:54" s="417" customFormat="1">
      <c r="A43" s="548" t="s">
        <v>878</v>
      </c>
      <c r="B43" s="431"/>
      <c r="C43" s="432"/>
      <c r="D43" s="431"/>
      <c r="E43" s="501"/>
      <c r="F43" s="490"/>
      <c r="G43" s="490"/>
      <c r="H43" s="490"/>
      <c r="I43" s="490"/>
      <c r="J43" s="490"/>
      <c r="K43" s="490"/>
      <c r="L43" s="501"/>
      <c r="M43" s="501"/>
      <c r="N43" s="501"/>
      <c r="O43" s="501"/>
      <c r="P43" s="501"/>
      <c r="Q43" s="501"/>
      <c r="R43" s="501"/>
      <c r="S43" s="501"/>
      <c r="T43" s="501"/>
      <c r="U43" s="501"/>
      <c r="V43" s="501"/>
      <c r="W43" s="501"/>
      <c r="X43" s="430"/>
      <c r="Y43" s="532"/>
      <c r="Z43" s="430"/>
      <c r="AA43" s="430"/>
      <c r="AB43" s="430"/>
      <c r="AC43" s="430"/>
      <c r="AD43" s="430"/>
      <c r="AE43" s="430"/>
      <c r="AF43" s="430"/>
      <c r="AG43" s="430"/>
      <c r="AH43" s="430"/>
      <c r="AI43" s="430"/>
      <c r="AJ43" s="430"/>
      <c r="AK43" s="430"/>
      <c r="AL43" s="430"/>
      <c r="AM43" s="430"/>
      <c r="AN43" s="430"/>
      <c r="AO43" s="430"/>
      <c r="AP43" s="430"/>
      <c r="AQ43" s="430"/>
      <c r="AR43" s="430"/>
      <c r="AS43" s="430"/>
      <c r="AT43" s="430"/>
      <c r="AU43" s="430"/>
      <c r="AV43" s="430"/>
      <c r="AW43" s="430"/>
      <c r="AX43" s="430"/>
      <c r="AY43" s="430"/>
      <c r="AZ43" s="430"/>
      <c r="BA43" s="430"/>
      <c r="BB43" s="430"/>
    </row>
    <row r="44" spans="1:54" s="417" customFormat="1">
      <c r="A44" s="548" t="s">
        <v>878</v>
      </c>
      <c r="B44" s="431"/>
      <c r="C44" s="432"/>
      <c r="D44" s="431"/>
      <c r="E44" s="501"/>
      <c r="F44" s="490"/>
      <c r="G44" s="490"/>
      <c r="H44" s="490"/>
      <c r="I44" s="490"/>
      <c r="J44" s="490"/>
      <c r="K44" s="490"/>
      <c r="L44" s="501"/>
      <c r="M44" s="501"/>
      <c r="N44" s="501"/>
      <c r="O44" s="501"/>
      <c r="P44" s="501"/>
      <c r="Q44" s="501"/>
      <c r="R44" s="501"/>
      <c r="S44" s="501"/>
      <c r="T44" s="501"/>
      <c r="U44" s="501"/>
      <c r="V44" s="501"/>
      <c r="W44" s="501"/>
      <c r="X44" s="430"/>
      <c r="Y44" s="532"/>
      <c r="Z44" s="430"/>
      <c r="AA44" s="430"/>
      <c r="AB44" s="430"/>
      <c r="AC44" s="430"/>
      <c r="AD44" s="430"/>
      <c r="AE44" s="430"/>
      <c r="AF44" s="430"/>
      <c r="AG44" s="430"/>
      <c r="AH44" s="430"/>
      <c r="AI44" s="430"/>
      <c r="AJ44" s="430"/>
      <c r="AK44" s="430"/>
      <c r="AL44" s="430"/>
      <c r="AM44" s="430"/>
      <c r="AN44" s="430"/>
      <c r="AO44" s="430"/>
      <c r="AP44" s="430"/>
      <c r="AQ44" s="430"/>
      <c r="AR44" s="430"/>
      <c r="AS44" s="430"/>
      <c r="AT44" s="430"/>
      <c r="AU44" s="430"/>
      <c r="AV44" s="430"/>
      <c r="AW44" s="430"/>
      <c r="AX44" s="430"/>
      <c r="AY44" s="430"/>
      <c r="AZ44" s="430"/>
      <c r="BA44" s="430"/>
      <c r="BB44" s="430"/>
    </row>
    <row r="45" spans="1:54" ht="15" customHeight="1">
      <c r="A45" s="574" t="s">
        <v>202</v>
      </c>
      <c r="B45" s="442" t="s">
        <v>18</v>
      </c>
      <c r="C45" s="442" t="s">
        <v>894</v>
      </c>
      <c r="D45" s="442" t="s">
        <v>877</v>
      </c>
      <c r="E45" s="501"/>
      <c r="F45" s="490"/>
      <c r="G45" s="490"/>
      <c r="H45" s="490"/>
      <c r="I45" s="490"/>
      <c r="J45" s="490"/>
      <c r="K45" s="490"/>
      <c r="L45" s="551"/>
      <c r="M45" s="551"/>
      <c r="N45" s="551"/>
      <c r="O45" s="551"/>
      <c r="P45" s="551"/>
      <c r="Q45" s="551"/>
      <c r="R45" s="551"/>
      <c r="S45" s="551"/>
      <c r="T45" s="501"/>
      <c r="U45" s="501"/>
      <c r="V45" s="501"/>
      <c r="W45" s="501"/>
      <c r="X45" s="430"/>
      <c r="Y45" s="532"/>
      <c r="Z45" s="430"/>
      <c r="AA45" s="430"/>
      <c r="AB45" s="430"/>
      <c r="AC45" s="430"/>
      <c r="AD45" s="430"/>
      <c r="AE45" s="430"/>
      <c r="AF45" s="430"/>
      <c r="AG45" s="430"/>
      <c r="AH45" s="430"/>
      <c r="AI45" s="430"/>
      <c r="AJ45" s="430"/>
      <c r="AK45" s="430"/>
      <c r="AL45" s="430"/>
      <c r="AM45" s="430"/>
      <c r="AN45" s="430"/>
      <c r="AO45" s="430"/>
      <c r="AP45" s="430"/>
      <c r="AQ45" s="430"/>
      <c r="AR45" s="430"/>
      <c r="AS45" s="430"/>
      <c r="AT45" s="430"/>
      <c r="AU45" s="430"/>
      <c r="AV45" s="430"/>
      <c r="AW45" s="430"/>
      <c r="AX45" s="430"/>
      <c r="AY45" s="430"/>
      <c r="AZ45" s="430"/>
      <c r="BA45" s="430"/>
      <c r="BB45" s="430"/>
    </row>
    <row r="46" spans="1:54" s="30" customFormat="1">
      <c r="A46" s="558" t="s">
        <v>998</v>
      </c>
      <c r="B46" s="535" t="s">
        <v>34</v>
      </c>
      <c r="C46" s="533" t="s">
        <v>897</v>
      </c>
      <c r="D46" s="431"/>
      <c r="E46" s="501"/>
      <c r="F46" s="490"/>
      <c r="G46" s="490"/>
      <c r="H46" s="490"/>
      <c r="I46" s="490"/>
      <c r="J46" s="490"/>
      <c r="K46" s="490"/>
      <c r="L46" s="501">
        <f t="shared" ref="L46:W46" si="6">SUM(L35:L45)</f>
        <v>0</v>
      </c>
      <c r="M46" s="501">
        <f t="shared" si="6"/>
        <v>0</v>
      </c>
      <c r="N46" s="501">
        <f t="shared" si="6"/>
        <v>0</v>
      </c>
      <c r="O46" s="501">
        <f t="shared" si="6"/>
        <v>0</v>
      </c>
      <c r="P46" s="501">
        <f t="shared" si="6"/>
        <v>30000</v>
      </c>
      <c r="Q46" s="501">
        <f t="shared" si="6"/>
        <v>30000</v>
      </c>
      <c r="R46" s="501">
        <f t="shared" si="6"/>
        <v>30000</v>
      </c>
      <c r="S46" s="501">
        <f t="shared" si="6"/>
        <v>30000</v>
      </c>
      <c r="T46" s="501">
        <f t="shared" si="6"/>
        <v>150000</v>
      </c>
      <c r="U46" s="501">
        <f t="shared" si="6"/>
        <v>240000</v>
      </c>
      <c r="V46" s="501">
        <f t="shared" si="6"/>
        <v>240000</v>
      </c>
      <c r="W46" s="501">
        <f t="shared" si="6"/>
        <v>240000</v>
      </c>
      <c r="X46" s="501"/>
      <c r="Y46" s="430"/>
      <c r="Z46" s="430"/>
      <c r="AA46" s="430"/>
      <c r="AB46" s="430"/>
      <c r="AC46" s="430"/>
      <c r="AD46" s="430"/>
      <c r="AE46" s="430"/>
      <c r="AF46" s="492"/>
      <c r="AG46" s="492"/>
      <c r="AH46" s="492"/>
      <c r="AI46" s="492"/>
      <c r="AJ46" s="492"/>
      <c r="AK46" s="492"/>
      <c r="AL46" s="492"/>
      <c r="AM46" s="430"/>
      <c r="AN46" s="492"/>
      <c r="AO46" s="492"/>
      <c r="AP46" s="492"/>
      <c r="AQ46" s="492"/>
      <c r="AR46" s="492"/>
      <c r="AS46" s="492"/>
      <c r="AT46" s="492"/>
      <c r="AU46" s="430"/>
      <c r="AV46" s="430"/>
      <c r="AW46" s="430"/>
      <c r="AX46" s="430"/>
      <c r="AY46" s="430"/>
      <c r="AZ46" s="430"/>
      <c r="BA46" s="430"/>
      <c r="BB46" s="430"/>
    </row>
    <row r="47" spans="1:54" ht="15" customHeight="1">
      <c r="A47" s="430"/>
      <c r="B47" s="430"/>
      <c r="C47" s="430"/>
      <c r="D47" s="430"/>
      <c r="E47" s="501"/>
      <c r="F47" s="490"/>
      <c r="G47" s="490"/>
      <c r="H47" s="490"/>
      <c r="I47" s="490"/>
      <c r="J47" s="490"/>
      <c r="K47" s="490"/>
      <c r="L47" s="501"/>
      <c r="M47" s="501"/>
      <c r="N47" s="501"/>
      <c r="O47" s="501"/>
      <c r="P47" s="501"/>
      <c r="Q47" s="501"/>
      <c r="R47" s="501"/>
      <c r="S47" s="501"/>
      <c r="T47" s="501"/>
      <c r="U47" s="501"/>
      <c r="V47" s="501"/>
      <c r="W47" s="501"/>
      <c r="X47" s="501"/>
      <c r="Y47" s="532"/>
      <c r="Z47" s="532"/>
      <c r="AA47" s="430"/>
      <c r="AB47" s="430"/>
      <c r="AC47" s="430"/>
      <c r="AD47" s="484"/>
      <c r="AE47" s="484"/>
      <c r="AF47" s="484"/>
      <c r="AG47" s="484"/>
      <c r="AH47" s="484"/>
      <c r="AI47" s="484"/>
      <c r="AJ47" s="430"/>
      <c r="AK47" s="430"/>
      <c r="AL47" s="430"/>
      <c r="AM47" s="430"/>
      <c r="AN47" s="430"/>
      <c r="AO47" s="430"/>
      <c r="AP47" s="430"/>
      <c r="AQ47" s="430"/>
      <c r="AR47" s="430"/>
      <c r="AS47" s="430"/>
      <c r="AT47" s="430"/>
      <c r="AU47" s="430"/>
      <c r="AV47" s="430"/>
      <c r="AW47" s="430"/>
      <c r="AX47" s="430"/>
      <c r="AY47" s="430"/>
      <c r="AZ47" s="430"/>
      <c r="BA47" s="430"/>
      <c r="BB47" s="430"/>
    </row>
    <row r="48" spans="1:54">
      <c r="A48" s="575" t="s">
        <v>882</v>
      </c>
      <c r="B48" s="442" t="s">
        <v>18</v>
      </c>
      <c r="C48" s="442" t="s">
        <v>898</v>
      </c>
      <c r="D48" s="430"/>
      <c r="E48" s="501"/>
      <c r="F48" s="501"/>
      <c r="G48" s="501"/>
      <c r="H48" s="501"/>
      <c r="I48" s="501"/>
      <c r="J48" s="501"/>
      <c r="K48" s="501"/>
      <c r="L48" s="551">
        <f>-L36</f>
        <v>0</v>
      </c>
      <c r="M48" s="551"/>
      <c r="N48" s="551"/>
      <c r="O48" s="551"/>
      <c r="P48" s="551"/>
      <c r="Q48" s="551"/>
      <c r="R48" s="551"/>
      <c r="S48" s="551"/>
      <c r="T48" s="501"/>
      <c r="U48" s="501"/>
      <c r="V48" s="501"/>
      <c r="W48" s="501"/>
      <c r="X48" s="533" t="s">
        <v>865</v>
      </c>
      <c r="Y48" s="532"/>
      <c r="Z48" s="430"/>
      <c r="AA48" s="430"/>
      <c r="AB48" s="430"/>
      <c r="AC48" s="430"/>
      <c r="AD48" s="430"/>
      <c r="AE48" s="430"/>
      <c r="AF48" s="430"/>
      <c r="AG48" s="430"/>
      <c r="AH48" s="430"/>
      <c r="AI48" s="430"/>
      <c r="AJ48" s="576"/>
      <c r="AK48" s="576"/>
      <c r="AL48" s="576"/>
      <c r="AM48" s="576"/>
      <c r="AN48" s="577"/>
      <c r="AO48" s="617"/>
      <c r="AP48" s="618"/>
      <c r="AQ48" s="618"/>
      <c r="AR48" s="618"/>
      <c r="AS48" s="618"/>
      <c r="AT48" s="618"/>
      <c r="AU48" s="430"/>
      <c r="AV48" s="617"/>
      <c r="AW48" s="618"/>
      <c r="AX48" s="618"/>
      <c r="AY48" s="618"/>
      <c r="AZ48" s="618"/>
      <c r="BA48" s="618"/>
      <c r="BB48" s="618"/>
    </row>
    <row r="49" spans="1:54" ht="15" customHeight="1">
      <c r="A49" s="575" t="s">
        <v>989</v>
      </c>
      <c r="B49" s="442" t="s">
        <v>18</v>
      </c>
      <c r="C49" s="442" t="s">
        <v>900</v>
      </c>
      <c r="D49" s="430"/>
      <c r="E49" s="501"/>
      <c r="F49" s="501"/>
      <c r="G49" s="501"/>
      <c r="H49" s="501"/>
      <c r="I49" s="501"/>
      <c r="J49" s="501"/>
      <c r="K49" s="501"/>
      <c r="L49" s="551"/>
      <c r="M49" s="551"/>
      <c r="N49" s="551"/>
      <c r="O49" s="551"/>
      <c r="P49" s="551"/>
      <c r="Q49" s="551"/>
      <c r="R49" s="551"/>
      <c r="S49" s="551"/>
      <c r="T49" s="501"/>
      <c r="U49" s="501"/>
      <c r="V49" s="501"/>
      <c r="W49" s="501"/>
      <c r="X49" s="432"/>
      <c r="Y49" s="532"/>
      <c r="Z49" s="430"/>
      <c r="AA49" s="430"/>
      <c r="AB49" s="430"/>
      <c r="AC49" s="430"/>
      <c r="AD49" s="430"/>
      <c r="AE49" s="430"/>
      <c r="AF49" s="430"/>
      <c r="AG49" s="430"/>
      <c r="AH49" s="430"/>
      <c r="AI49" s="430"/>
      <c r="AJ49" s="576"/>
      <c r="AK49" s="576"/>
      <c r="AL49" s="576"/>
      <c r="AM49" s="576"/>
      <c r="AN49" s="577"/>
      <c r="AO49" s="454"/>
      <c r="AP49" s="454"/>
      <c r="AQ49" s="454"/>
      <c r="AR49" s="454"/>
      <c r="AS49" s="454"/>
      <c r="AT49" s="454"/>
      <c r="AU49" s="430"/>
      <c r="AV49" s="454"/>
      <c r="AW49" s="454"/>
      <c r="AX49" s="454"/>
      <c r="AY49" s="454"/>
      <c r="AZ49" s="454"/>
      <c r="BA49" s="454"/>
      <c r="BB49" s="454"/>
    </row>
    <row r="50" spans="1:54">
      <c r="A50" s="548" t="s">
        <v>901</v>
      </c>
      <c r="B50" s="442" t="s">
        <v>34</v>
      </c>
      <c r="C50" s="442" t="s">
        <v>902</v>
      </c>
      <c r="D50" s="430"/>
      <c r="E50" s="501"/>
      <c r="F50" s="501"/>
      <c r="G50" s="501"/>
      <c r="H50" s="501"/>
      <c r="I50" s="501"/>
      <c r="J50" s="501"/>
      <c r="K50" s="501"/>
      <c r="L50" s="501">
        <f>+L48+E50+L49</f>
        <v>0</v>
      </c>
      <c r="M50" s="501">
        <f t="shared" ref="M50:W50" si="7">+M48+L50+M49</f>
        <v>0</v>
      </c>
      <c r="N50" s="501">
        <f t="shared" si="7"/>
        <v>0</v>
      </c>
      <c r="O50" s="501">
        <f t="shared" si="7"/>
        <v>0</v>
      </c>
      <c r="P50" s="501">
        <f t="shared" si="7"/>
        <v>0</v>
      </c>
      <c r="Q50" s="501">
        <f t="shared" si="7"/>
        <v>0</v>
      </c>
      <c r="R50" s="501">
        <f t="shared" si="7"/>
        <v>0</v>
      </c>
      <c r="S50" s="501">
        <f t="shared" si="7"/>
        <v>0</v>
      </c>
      <c r="T50" s="501">
        <f t="shared" si="7"/>
        <v>0</v>
      </c>
      <c r="U50" s="501">
        <f t="shared" si="7"/>
        <v>0</v>
      </c>
      <c r="V50" s="501">
        <f t="shared" si="7"/>
        <v>0</v>
      </c>
      <c r="W50" s="501">
        <f t="shared" si="7"/>
        <v>0</v>
      </c>
      <c r="X50" s="501"/>
      <c r="Y50" s="532"/>
      <c r="Z50" s="532"/>
      <c r="AA50" s="430"/>
      <c r="AB50" s="430"/>
      <c r="AC50" s="430"/>
      <c r="AD50" s="430"/>
      <c r="AE50" s="430"/>
      <c r="AF50" s="430"/>
      <c r="AG50" s="430"/>
      <c r="AH50" s="430"/>
      <c r="AI50" s="430"/>
      <c r="AJ50" s="430"/>
      <c r="AK50" s="430"/>
      <c r="AL50" s="430"/>
      <c r="AM50" s="430"/>
      <c r="AN50" s="430"/>
      <c r="AO50" s="430"/>
      <c r="AP50" s="430"/>
      <c r="AQ50" s="430"/>
      <c r="AR50" s="430"/>
      <c r="AS50" s="430"/>
      <c r="AT50" s="430"/>
      <c r="AU50" s="430"/>
      <c r="AV50" s="430"/>
      <c r="AW50" s="430"/>
      <c r="AX50" s="430"/>
      <c r="AY50" s="430"/>
      <c r="AZ50" s="430"/>
      <c r="BA50" s="430"/>
      <c r="BB50" s="430"/>
    </row>
    <row r="51" spans="1:54">
      <c r="A51" s="430"/>
      <c r="B51" s="430"/>
      <c r="C51" s="430"/>
      <c r="D51" s="430"/>
      <c r="E51" s="501"/>
      <c r="F51" s="501"/>
      <c r="G51" s="501"/>
      <c r="H51" s="501"/>
      <c r="I51" s="501"/>
      <c r="J51" s="501"/>
      <c r="K51" s="501"/>
      <c r="L51" s="501"/>
      <c r="M51" s="501"/>
      <c r="N51" s="501"/>
      <c r="O51" s="501"/>
      <c r="P51" s="501"/>
      <c r="Q51" s="501"/>
      <c r="R51" s="501"/>
      <c r="S51" s="501"/>
      <c r="T51" s="501"/>
      <c r="U51" s="501"/>
      <c r="V51" s="501"/>
      <c r="W51" s="501"/>
      <c r="X51" s="501"/>
      <c r="Y51" s="532"/>
      <c r="Z51" s="532"/>
      <c r="AA51" s="430"/>
      <c r="AB51" s="430"/>
      <c r="AC51" s="430"/>
      <c r="AD51" s="430"/>
      <c r="AE51" s="430"/>
      <c r="AF51" s="430"/>
      <c r="AG51" s="430"/>
      <c r="AH51" s="430"/>
      <c r="AI51" s="430"/>
      <c r="AJ51" s="430"/>
      <c r="AK51" s="430"/>
      <c r="AL51" s="430"/>
      <c r="AM51" s="430"/>
      <c r="AN51" s="430"/>
      <c r="AO51" s="430"/>
      <c r="AP51" s="430"/>
      <c r="AQ51" s="430"/>
      <c r="AR51" s="430"/>
      <c r="AS51" s="430"/>
      <c r="AT51" s="430"/>
      <c r="AU51" s="430"/>
      <c r="AV51" s="430"/>
      <c r="AW51" s="430"/>
      <c r="AX51" s="430"/>
      <c r="AY51" s="430"/>
      <c r="AZ51" s="430"/>
      <c r="BA51" s="430"/>
      <c r="BB51" s="430"/>
    </row>
    <row r="52" spans="1:54" s="30" customFormat="1">
      <c r="A52" s="548" t="s">
        <v>903</v>
      </c>
      <c r="B52" s="535" t="s">
        <v>34</v>
      </c>
      <c r="C52" s="533" t="s">
        <v>904</v>
      </c>
      <c r="D52" s="431"/>
      <c r="E52" s="566"/>
      <c r="F52" s="501"/>
      <c r="G52" s="501"/>
      <c r="H52" s="501"/>
      <c r="I52" s="501"/>
      <c r="J52" s="501"/>
      <c r="K52" s="501"/>
      <c r="L52" s="566">
        <f t="shared" ref="L52:W52" si="8">+L46+L48</f>
        <v>0</v>
      </c>
      <c r="M52" s="562">
        <f t="shared" si="8"/>
        <v>0</v>
      </c>
      <c r="N52" s="562">
        <f t="shared" si="8"/>
        <v>0</v>
      </c>
      <c r="O52" s="562">
        <f t="shared" si="8"/>
        <v>0</v>
      </c>
      <c r="P52" s="562">
        <f t="shared" si="8"/>
        <v>30000</v>
      </c>
      <c r="Q52" s="562">
        <f t="shared" si="8"/>
        <v>30000</v>
      </c>
      <c r="R52" s="562">
        <f t="shared" si="8"/>
        <v>30000</v>
      </c>
      <c r="S52" s="562">
        <f t="shared" si="8"/>
        <v>30000</v>
      </c>
      <c r="T52" s="484">
        <f t="shared" si="8"/>
        <v>150000</v>
      </c>
      <c r="U52" s="484">
        <f t="shared" si="8"/>
        <v>240000</v>
      </c>
      <c r="V52" s="492">
        <f t="shared" si="8"/>
        <v>240000</v>
      </c>
      <c r="W52" s="492">
        <f t="shared" si="8"/>
        <v>240000</v>
      </c>
      <c r="X52" s="501"/>
      <c r="Y52" s="430"/>
      <c r="Z52" s="430"/>
      <c r="AA52" s="430"/>
      <c r="AB52" s="430"/>
      <c r="AC52" s="430"/>
      <c r="AD52" s="430"/>
      <c r="AE52" s="430"/>
      <c r="AF52" s="492"/>
      <c r="AG52" s="492"/>
      <c r="AH52" s="492"/>
      <c r="AI52" s="492"/>
      <c r="AJ52" s="492"/>
      <c r="AK52" s="492"/>
      <c r="AL52" s="492"/>
      <c r="AM52" s="430"/>
      <c r="AN52" s="492"/>
      <c r="AO52" s="492"/>
      <c r="AP52" s="492"/>
      <c r="AQ52" s="492"/>
      <c r="AR52" s="492"/>
      <c r="AS52" s="492"/>
      <c r="AT52" s="492"/>
      <c r="AU52" s="430"/>
      <c r="AV52" s="430"/>
      <c r="AW52" s="430"/>
      <c r="AX52" s="430"/>
      <c r="AY52" s="430"/>
      <c r="AZ52" s="430"/>
      <c r="BA52" s="430"/>
      <c r="BB52" s="430"/>
    </row>
    <row r="53" spans="1:54" s="30" customFormat="1">
      <c r="A53" s="548" t="s">
        <v>905</v>
      </c>
      <c r="B53" s="535" t="s">
        <v>34</v>
      </c>
      <c r="C53" s="533" t="s">
        <v>906</v>
      </c>
      <c r="D53" s="431"/>
      <c r="E53" s="562"/>
      <c r="F53" s="430"/>
      <c r="G53" s="430"/>
      <c r="H53" s="430"/>
      <c r="I53" s="430"/>
      <c r="J53" s="430"/>
      <c r="K53" s="430"/>
      <c r="L53" s="562">
        <f t="shared" ref="L53:W53" si="9">+L49+L52</f>
        <v>0</v>
      </c>
      <c r="M53" s="562">
        <f t="shared" si="9"/>
        <v>0</v>
      </c>
      <c r="N53" s="562">
        <f t="shared" si="9"/>
        <v>0</v>
      </c>
      <c r="O53" s="562">
        <f t="shared" si="9"/>
        <v>0</v>
      </c>
      <c r="P53" s="562">
        <f t="shared" si="9"/>
        <v>30000</v>
      </c>
      <c r="Q53" s="562">
        <f t="shared" si="9"/>
        <v>30000</v>
      </c>
      <c r="R53" s="562">
        <f t="shared" si="9"/>
        <v>30000</v>
      </c>
      <c r="S53" s="562">
        <f t="shared" si="9"/>
        <v>30000</v>
      </c>
      <c r="T53" s="492">
        <f t="shared" si="9"/>
        <v>150000</v>
      </c>
      <c r="U53" s="492">
        <f t="shared" si="9"/>
        <v>240000</v>
      </c>
      <c r="V53" s="492">
        <f t="shared" si="9"/>
        <v>240000</v>
      </c>
      <c r="W53" s="492">
        <f t="shared" si="9"/>
        <v>240000</v>
      </c>
      <c r="X53" s="501"/>
      <c r="Y53" s="430"/>
      <c r="Z53" s="430"/>
      <c r="AA53" s="430"/>
      <c r="AB53" s="430"/>
      <c r="AC53" s="430"/>
      <c r="AD53" s="430"/>
      <c r="AE53" s="430"/>
      <c r="AF53" s="492"/>
      <c r="AG53" s="492"/>
      <c r="AH53" s="492"/>
      <c r="AI53" s="492"/>
      <c r="AJ53" s="492"/>
      <c r="AK53" s="492"/>
      <c r="AL53" s="492"/>
      <c r="AM53" s="430"/>
      <c r="AN53" s="492"/>
      <c r="AO53" s="492"/>
      <c r="AP53" s="492"/>
      <c r="AQ53" s="492"/>
      <c r="AR53" s="492"/>
      <c r="AS53" s="492"/>
      <c r="AT53" s="492"/>
      <c r="AU53" s="430"/>
      <c r="AV53" s="430"/>
      <c r="AW53" s="430"/>
      <c r="AX53" s="430"/>
      <c r="AY53" s="430"/>
      <c r="AZ53" s="430"/>
      <c r="BA53" s="430"/>
      <c r="BB53" s="430"/>
    </row>
    <row r="54" spans="1:54">
      <c r="A54" s="430"/>
      <c r="B54" s="430"/>
      <c r="C54" s="430"/>
      <c r="D54" s="430"/>
      <c r="E54" s="501"/>
      <c r="F54" s="430"/>
      <c r="G54" s="430"/>
      <c r="H54" s="430"/>
      <c r="I54" s="430"/>
      <c r="J54" s="430"/>
      <c r="K54" s="430"/>
      <c r="L54" s="501"/>
      <c r="M54" s="501"/>
      <c r="N54" s="501"/>
      <c r="O54" s="501"/>
      <c r="P54" s="501"/>
      <c r="Q54" s="501"/>
      <c r="R54" s="501"/>
      <c r="S54" s="501"/>
      <c r="T54" s="501"/>
      <c r="U54" s="501"/>
      <c r="V54" s="501"/>
      <c r="W54" s="501"/>
      <c r="X54" s="430"/>
      <c r="Y54" s="532"/>
      <c r="Z54" s="532"/>
      <c r="AA54" s="430"/>
      <c r="AB54" s="430"/>
      <c r="AC54" s="430"/>
      <c r="AD54" s="430"/>
      <c r="AE54" s="430"/>
      <c r="AF54" s="430"/>
      <c r="AG54" s="430"/>
      <c r="AH54" s="430"/>
      <c r="AI54" s="430"/>
      <c r="AJ54" s="430"/>
      <c r="AK54" s="430"/>
      <c r="AL54" s="430"/>
      <c r="AM54" s="430"/>
      <c r="AN54" s="430"/>
      <c r="AO54" s="430"/>
      <c r="AP54" s="430"/>
      <c r="AQ54" s="430"/>
      <c r="AR54" s="430"/>
      <c r="AS54" s="430"/>
      <c r="AT54" s="430"/>
      <c r="AU54" s="430"/>
      <c r="AV54" s="430"/>
      <c r="AW54" s="430"/>
      <c r="AX54" s="430"/>
      <c r="AY54" s="430"/>
      <c r="AZ54" s="430"/>
      <c r="BA54" s="430"/>
      <c r="BB54" s="430"/>
    </row>
    <row r="55" spans="1:54">
      <c r="A55" s="548" t="s">
        <v>907</v>
      </c>
      <c r="B55" s="430"/>
      <c r="C55" s="430"/>
      <c r="D55" s="430"/>
      <c r="E55" s="501"/>
      <c r="F55" s="430"/>
      <c r="G55" s="430"/>
      <c r="H55" s="430"/>
      <c r="I55" s="430"/>
      <c r="J55" s="430"/>
      <c r="K55" s="430"/>
      <c r="L55" s="501"/>
      <c r="M55" s="501"/>
      <c r="N55" s="501"/>
      <c r="O55" s="501"/>
      <c r="P55" s="501"/>
      <c r="Q55" s="501"/>
      <c r="R55" s="501"/>
      <c r="S55" s="501"/>
      <c r="T55" s="501"/>
      <c r="U55" s="501"/>
      <c r="V55" s="501"/>
      <c r="W55" s="501"/>
      <c r="X55" s="430"/>
      <c r="Y55" s="532"/>
      <c r="Z55" s="532"/>
      <c r="AA55" s="430"/>
      <c r="AB55" s="430"/>
      <c r="AC55" s="430"/>
      <c r="AD55" s="430"/>
      <c r="AE55" s="430"/>
      <c r="AF55" s="430"/>
      <c r="AG55" s="430"/>
      <c r="AH55" s="430"/>
      <c r="AI55" s="430"/>
      <c r="AJ55" s="430"/>
      <c r="AK55" s="430"/>
      <c r="AL55" s="430"/>
      <c r="AM55" s="430"/>
      <c r="AN55" s="430"/>
      <c r="AO55" s="430"/>
      <c r="AP55" s="430"/>
      <c r="AQ55" s="430"/>
      <c r="AR55" s="430"/>
      <c r="AS55" s="430"/>
      <c r="AT55" s="430"/>
      <c r="AU55" s="430"/>
      <c r="AV55" s="430"/>
      <c r="AW55" s="430"/>
      <c r="AX55" s="430"/>
      <c r="AY55" s="430"/>
      <c r="AZ55" s="430"/>
      <c r="BA55" s="430"/>
      <c r="BB55" s="430"/>
    </row>
    <row r="56" spans="1:54">
      <c r="A56" s="548" t="s">
        <v>909</v>
      </c>
      <c r="B56" s="442" t="s">
        <v>34</v>
      </c>
      <c r="C56" s="442" t="s">
        <v>910</v>
      </c>
      <c r="D56" s="430"/>
      <c r="E56" s="567"/>
      <c r="F56" s="430"/>
      <c r="G56" s="430"/>
      <c r="H56" s="430"/>
      <c r="I56" s="430"/>
      <c r="J56" s="430"/>
      <c r="K56" s="430"/>
      <c r="L56" s="567">
        <f>1/(1-'c12_inputs'!$E$7)</f>
        <v>1.0526315789473684</v>
      </c>
      <c r="M56" s="567">
        <f>1/(1-'c12_inputs'!$E$7)</f>
        <v>1.0526315789473684</v>
      </c>
      <c r="N56" s="567">
        <f>1/(1-'c12_inputs'!$E$7)</f>
        <v>1.0526315789473684</v>
      </c>
      <c r="O56" s="567">
        <f>1/(1-'c12_inputs'!$E$7)</f>
        <v>1.0526315789473684</v>
      </c>
      <c r="P56" s="567">
        <f>1/(1-'c12_inputs'!$E$7)</f>
        <v>1.0526315789473684</v>
      </c>
      <c r="Q56" s="567">
        <f>1/(1-'c12_inputs'!$E$7)</f>
        <v>1.0526315789473684</v>
      </c>
      <c r="R56" s="567">
        <f>1/(1-'c12_inputs'!$E$7)</f>
        <v>1.0526315789473684</v>
      </c>
      <c r="S56" s="567">
        <f>1/(1-'c12_inputs'!$E$7)</f>
        <v>1.0526315789473684</v>
      </c>
      <c r="T56" s="567">
        <f>1/(1-'c12_inputs'!$E$7)</f>
        <v>1.0526315789473684</v>
      </c>
      <c r="U56" s="567">
        <f>1/(1-'c12_inputs'!$E$7)</f>
        <v>1.0526315789473684</v>
      </c>
      <c r="V56" s="567">
        <f>1/(1-'c12_inputs'!$E$7)</f>
        <v>1.0526315789473684</v>
      </c>
      <c r="W56" s="567">
        <f>1/(1-'c12_inputs'!$E$7)</f>
        <v>1.0526315789473684</v>
      </c>
      <c r="X56" s="501"/>
      <c r="Y56" s="532"/>
      <c r="Z56" s="532"/>
      <c r="AA56" s="430"/>
      <c r="AB56" s="430"/>
      <c r="AC56" s="430"/>
      <c r="AD56" s="484"/>
      <c r="AE56" s="484"/>
      <c r="AF56" s="484"/>
      <c r="AG56" s="484"/>
      <c r="AH56" s="484"/>
      <c r="AI56" s="484"/>
      <c r="AJ56" s="430"/>
      <c r="AK56" s="430"/>
      <c r="AL56" s="430"/>
      <c r="AM56" s="430"/>
      <c r="AN56" s="430"/>
      <c r="AO56" s="430"/>
      <c r="AP56" s="430"/>
      <c r="AQ56" s="430"/>
      <c r="AR56" s="430"/>
      <c r="AS56" s="430"/>
      <c r="AT56" s="430"/>
      <c r="AU56" s="430"/>
      <c r="AV56" s="430"/>
      <c r="AW56" s="430"/>
      <c r="AX56" s="430"/>
      <c r="AY56" s="430"/>
      <c r="AZ56" s="430"/>
      <c r="BA56" s="430"/>
      <c r="BB56" s="430"/>
    </row>
    <row r="57" spans="1:54">
      <c r="A57" s="548" t="s">
        <v>911</v>
      </c>
      <c r="B57" s="633" t="s">
        <v>14</v>
      </c>
      <c r="C57" s="442" t="s">
        <v>912</v>
      </c>
      <c r="D57" s="430"/>
      <c r="E57" s="492"/>
      <c r="F57" s="626">
        <v>0</v>
      </c>
      <c r="G57" s="626">
        <v>0</v>
      </c>
      <c r="H57" s="626">
        <v>0</v>
      </c>
      <c r="I57" s="626">
        <v>0</v>
      </c>
      <c r="J57" s="430"/>
      <c r="K57" s="430"/>
      <c r="L57" s="627">
        <f>IF(AND((F57&lt;&gt;""),(L$2&lt;46204)),(F57),L78)</f>
        <v>0</v>
      </c>
      <c r="M57" s="627">
        <f t="shared" ref="M57:W57" si="10">IF(AND((G57&lt;&gt;""),(M$2&lt;46204)),(G57),M78)</f>
        <v>0</v>
      </c>
      <c r="N57" s="627">
        <f t="shared" si="10"/>
        <v>0</v>
      </c>
      <c r="O57" s="627">
        <f t="shared" si="10"/>
        <v>0</v>
      </c>
      <c r="P57" s="627">
        <f t="shared" si="10"/>
        <v>118079.99999999999</v>
      </c>
      <c r="Q57" s="627">
        <f t="shared" si="10"/>
        <v>118079.99999999999</v>
      </c>
      <c r="R57" s="627">
        <f t="shared" si="10"/>
        <v>226080</v>
      </c>
      <c r="S57" s="627">
        <f t="shared" si="10"/>
        <v>314395</v>
      </c>
      <c r="T57" s="627">
        <f t="shared" si="10"/>
        <v>1013415</v>
      </c>
      <c r="U57" s="627">
        <f t="shared" si="10"/>
        <v>1013415</v>
      </c>
      <c r="V57" s="627">
        <f t="shared" si="10"/>
        <v>1013415</v>
      </c>
      <c r="W57" s="627">
        <f t="shared" si="10"/>
        <v>1013415</v>
      </c>
      <c r="X57" s="501"/>
      <c r="Y57" s="532"/>
      <c r="Z57" s="532"/>
      <c r="AA57" s="430"/>
      <c r="AB57" s="430"/>
      <c r="AC57" s="430"/>
      <c r="AD57" s="484"/>
      <c r="AE57" s="484"/>
      <c r="AF57" s="484"/>
      <c r="AG57" s="484"/>
      <c r="AH57" s="484"/>
      <c r="AI57" s="484"/>
      <c r="AJ57" s="430"/>
      <c r="AK57" s="430"/>
      <c r="AL57" s="430"/>
      <c r="AM57" s="430"/>
      <c r="AN57" s="430"/>
      <c r="AO57" s="430"/>
      <c r="AP57" s="430"/>
      <c r="AQ57" s="430"/>
      <c r="AR57" s="430"/>
      <c r="AS57" s="430"/>
      <c r="AT57" s="430"/>
      <c r="AU57" s="430"/>
      <c r="AV57" s="430"/>
      <c r="AW57" s="430"/>
      <c r="AX57" s="430"/>
    </row>
    <row r="58" spans="1:54" s="30" customFormat="1">
      <c r="A58" s="558" t="s">
        <v>999</v>
      </c>
      <c r="B58" s="535" t="s">
        <v>34</v>
      </c>
      <c r="C58" s="533" t="s">
        <v>914</v>
      </c>
      <c r="D58" s="431"/>
      <c r="E58" s="501"/>
      <c r="F58" s="430"/>
      <c r="G58" s="430"/>
      <c r="H58" s="430"/>
      <c r="I58" s="430"/>
      <c r="J58" s="430"/>
      <c r="K58" s="430"/>
      <c r="L58" s="501">
        <f t="shared" ref="L58:W58" si="11">L57*L56</f>
        <v>0</v>
      </c>
      <c r="M58" s="501">
        <f t="shared" si="11"/>
        <v>0</v>
      </c>
      <c r="N58" s="501">
        <f t="shared" si="11"/>
        <v>0</v>
      </c>
      <c r="O58" s="501">
        <f t="shared" si="11"/>
        <v>0</v>
      </c>
      <c r="P58" s="501">
        <f t="shared" si="11"/>
        <v>124294.73684210524</v>
      </c>
      <c r="Q58" s="501">
        <f t="shared" si="11"/>
        <v>124294.73684210524</v>
      </c>
      <c r="R58" s="501">
        <f t="shared" si="11"/>
        <v>237978.94736842104</v>
      </c>
      <c r="S58" s="501">
        <f t="shared" si="11"/>
        <v>330942.10526315786</v>
      </c>
      <c r="T58" s="501">
        <f t="shared" si="11"/>
        <v>1066752.6315789474</v>
      </c>
      <c r="U58" s="501">
        <f t="shared" si="11"/>
        <v>1066752.6315789474</v>
      </c>
      <c r="V58" s="501">
        <f t="shared" si="11"/>
        <v>1066752.6315789474</v>
      </c>
      <c r="W58" s="501">
        <f t="shared" si="11"/>
        <v>1066752.6315789474</v>
      </c>
      <c r="X58" s="501"/>
      <c r="Y58" s="430"/>
      <c r="Z58" s="430"/>
      <c r="AA58" s="430"/>
      <c r="AB58" s="430"/>
      <c r="AC58" s="430"/>
      <c r="AD58" s="430"/>
      <c r="AE58" s="430"/>
      <c r="AF58" s="430"/>
      <c r="AG58" s="430"/>
      <c r="AH58" s="430"/>
      <c r="AI58" s="478"/>
      <c r="AJ58" s="430"/>
      <c r="AK58" s="430"/>
      <c r="AL58" s="430"/>
      <c r="AM58" s="430"/>
      <c r="AN58" s="430"/>
      <c r="AO58" s="430"/>
      <c r="AP58" s="430"/>
      <c r="AQ58" s="430"/>
      <c r="AR58" s="430"/>
      <c r="AS58" s="430"/>
      <c r="AT58" s="430"/>
      <c r="AU58" s="430"/>
      <c r="AV58" s="430"/>
      <c r="AW58" s="430"/>
      <c r="AX58" s="430"/>
      <c r="AY58" s="430"/>
      <c r="AZ58" s="430"/>
      <c r="BA58" s="430"/>
      <c r="BB58" s="430"/>
    </row>
    <row r="59" spans="1:54" s="30" customFormat="1">
      <c r="A59" s="540"/>
      <c r="B59" s="431"/>
      <c r="C59" s="432"/>
      <c r="D59" s="431"/>
      <c r="E59" s="501"/>
      <c r="F59" s="430"/>
      <c r="G59" s="430"/>
      <c r="H59" s="430"/>
      <c r="I59" s="430"/>
      <c r="J59" s="430"/>
      <c r="K59" s="430"/>
      <c r="L59" s="501"/>
      <c r="M59" s="501"/>
      <c r="N59" s="501"/>
      <c r="O59" s="501"/>
      <c r="P59" s="501"/>
      <c r="Q59" s="501"/>
      <c r="R59" s="501"/>
      <c r="S59" s="501"/>
      <c r="T59" s="501"/>
      <c r="U59" s="501"/>
      <c r="V59" s="501"/>
      <c r="W59" s="501"/>
      <c r="X59" s="501"/>
      <c r="Y59" s="430"/>
      <c r="Z59" s="430"/>
      <c r="AA59" s="430"/>
      <c r="AB59" s="430"/>
      <c r="AC59" s="430"/>
      <c r="AD59" s="430"/>
      <c r="AE59" s="430"/>
      <c r="AF59" s="430"/>
      <c r="AG59" s="430"/>
      <c r="AH59" s="430"/>
      <c r="AI59" s="478"/>
      <c r="AJ59" s="430"/>
      <c r="AK59" s="430"/>
      <c r="AL59" s="430"/>
      <c r="AM59" s="430"/>
      <c r="AN59" s="430"/>
      <c r="AO59" s="430"/>
      <c r="AP59" s="430"/>
      <c r="AQ59" s="430"/>
      <c r="AR59" s="430"/>
      <c r="AS59" s="430"/>
      <c r="AT59" s="430"/>
      <c r="AU59" s="430"/>
      <c r="AV59" s="430"/>
      <c r="AW59" s="430"/>
      <c r="AX59" s="430"/>
      <c r="AY59" s="430"/>
      <c r="AZ59" s="430"/>
      <c r="BA59" s="430"/>
      <c r="BB59" s="430"/>
    </row>
    <row r="60" spans="1:54" s="30" customFormat="1">
      <c r="A60" s="558" t="s">
        <v>1000</v>
      </c>
      <c r="B60" s="535" t="s">
        <v>14</v>
      </c>
      <c r="C60" s="533" t="s">
        <v>1001</v>
      </c>
      <c r="D60" s="431"/>
      <c r="E60" s="501"/>
      <c r="F60" s="430"/>
      <c r="G60" s="430"/>
      <c r="H60" s="430"/>
      <c r="I60" s="430"/>
      <c r="J60" s="430"/>
      <c r="K60" s="430"/>
      <c r="L60" s="571">
        <f t="shared" ref="L60:W60" si="12">+L53+L32+L58</f>
        <v>0</v>
      </c>
      <c r="M60" s="571">
        <f t="shared" si="12"/>
        <v>0</v>
      </c>
      <c r="N60" s="571">
        <f t="shared" si="12"/>
        <v>0</v>
      </c>
      <c r="O60" s="571">
        <f t="shared" si="12"/>
        <v>0</v>
      </c>
      <c r="P60" s="571">
        <f t="shared" si="12"/>
        <v>154294.73684210522</v>
      </c>
      <c r="Q60" s="571">
        <f t="shared" si="12"/>
        <v>154294.73684210522</v>
      </c>
      <c r="R60" s="571">
        <f t="shared" si="12"/>
        <v>267978.94736842101</v>
      </c>
      <c r="S60" s="571">
        <f t="shared" si="12"/>
        <v>360942.10526315786</v>
      </c>
      <c r="T60" s="501">
        <f t="shared" si="12"/>
        <v>1216752.6315789474</v>
      </c>
      <c r="U60" s="501">
        <f t="shared" si="12"/>
        <v>1306752.6315789474</v>
      </c>
      <c r="V60" s="501">
        <f t="shared" si="12"/>
        <v>1306752.6315789474</v>
      </c>
      <c r="W60" s="501">
        <f t="shared" si="12"/>
        <v>1306752.6315789474</v>
      </c>
      <c r="X60" s="430"/>
      <c r="Y60" s="430"/>
      <c r="Z60" s="430"/>
      <c r="AA60" s="430"/>
      <c r="AB60" s="430"/>
      <c r="AC60" s="430"/>
      <c r="AD60" s="430"/>
      <c r="AE60" s="430"/>
      <c r="AF60" s="430"/>
      <c r="AG60" s="430"/>
      <c r="AH60" s="430"/>
      <c r="AI60" s="478"/>
      <c r="AJ60" s="430"/>
      <c r="AK60" s="430"/>
      <c r="AL60" s="430"/>
      <c r="AM60" s="430"/>
      <c r="AN60" s="430"/>
      <c r="AO60" s="430"/>
      <c r="AP60" s="430"/>
      <c r="AQ60" s="430"/>
      <c r="AR60" s="430"/>
      <c r="AS60" s="430"/>
      <c r="AT60" s="430"/>
      <c r="AU60" s="430"/>
      <c r="AV60" s="430"/>
      <c r="AW60" s="430"/>
      <c r="AX60" s="430"/>
      <c r="AY60" s="430"/>
      <c r="AZ60" s="430"/>
      <c r="BA60" s="430"/>
      <c r="BB60" s="430"/>
    </row>
    <row r="61" spans="1:54">
      <c r="A61" s="570"/>
      <c r="B61" s="430"/>
      <c r="C61" s="430"/>
      <c r="D61" s="430"/>
      <c r="E61" s="501"/>
      <c r="F61" s="430"/>
      <c r="G61" s="430"/>
      <c r="H61" s="430"/>
      <c r="I61" s="430"/>
      <c r="J61" s="430"/>
      <c r="K61" s="430"/>
      <c r="L61" s="501"/>
      <c r="M61" s="501"/>
      <c r="N61" s="501"/>
      <c r="O61" s="501"/>
      <c r="P61" s="501"/>
      <c r="Q61" s="501"/>
      <c r="R61" s="501"/>
      <c r="S61" s="501"/>
      <c r="T61" s="501"/>
      <c r="U61" s="501"/>
      <c r="V61" s="501"/>
      <c r="W61" s="501"/>
      <c r="X61" s="430"/>
      <c r="Y61" s="430"/>
      <c r="Z61" s="430"/>
      <c r="AA61" s="430"/>
      <c r="AB61" s="430"/>
      <c r="AC61" s="430"/>
      <c r="AD61" s="430"/>
      <c r="AE61" s="430"/>
      <c r="AF61" s="430"/>
      <c r="AG61" s="430"/>
      <c r="AH61" s="430"/>
      <c r="AI61" s="430"/>
      <c r="AJ61" s="430"/>
      <c r="AK61" s="430"/>
      <c r="AL61" s="430"/>
      <c r="AM61" s="430"/>
      <c r="AN61" s="430"/>
      <c r="AO61" s="430"/>
      <c r="AP61" s="430"/>
      <c r="AQ61" s="430"/>
      <c r="AR61" s="430"/>
      <c r="AS61" s="430"/>
      <c r="AT61" s="430"/>
      <c r="AU61" s="430"/>
      <c r="AV61" s="430"/>
      <c r="AW61" s="430"/>
      <c r="AX61" s="430"/>
      <c r="AY61" s="430"/>
      <c r="AZ61" s="430"/>
      <c r="BA61" s="430"/>
      <c r="BB61" s="430"/>
    </row>
    <row r="62" spans="1:54">
      <c r="A62" s="558" t="s">
        <v>917</v>
      </c>
      <c r="B62" s="442" t="s">
        <v>14</v>
      </c>
      <c r="C62" s="442" t="s">
        <v>918</v>
      </c>
      <c r="D62" s="430"/>
      <c r="E62" s="501"/>
      <c r="F62" s="430"/>
      <c r="G62" s="430"/>
      <c r="H62" s="430"/>
      <c r="I62" s="430"/>
      <c r="J62" s="430"/>
      <c r="K62" s="430"/>
      <c r="L62" s="571">
        <f t="shared" ref="L62:W62" si="13">+L29+L50</f>
        <v>0</v>
      </c>
      <c r="M62" s="571">
        <f t="shared" si="13"/>
        <v>0</v>
      </c>
      <c r="N62" s="571">
        <f t="shared" si="13"/>
        <v>0</v>
      </c>
      <c r="O62" s="571">
        <f t="shared" si="13"/>
        <v>0</v>
      </c>
      <c r="P62" s="571">
        <f t="shared" si="13"/>
        <v>0</v>
      </c>
      <c r="Q62" s="571">
        <f t="shared" si="13"/>
        <v>0</v>
      </c>
      <c r="R62" s="571">
        <f t="shared" si="13"/>
        <v>0</v>
      </c>
      <c r="S62" s="571">
        <f t="shared" si="13"/>
        <v>0</v>
      </c>
      <c r="T62" s="501">
        <f t="shared" si="13"/>
        <v>0</v>
      </c>
      <c r="U62" s="501">
        <f t="shared" si="13"/>
        <v>0</v>
      </c>
      <c r="V62" s="501">
        <f t="shared" si="13"/>
        <v>0</v>
      </c>
      <c r="W62" s="501">
        <f t="shared" si="13"/>
        <v>0</v>
      </c>
      <c r="X62" s="501"/>
      <c r="Y62" s="430"/>
      <c r="Z62" s="430"/>
      <c r="AA62" s="430"/>
      <c r="AB62" s="430"/>
      <c r="AC62" s="430"/>
      <c r="AD62" s="430"/>
      <c r="AE62" s="430"/>
      <c r="AF62" s="430"/>
      <c r="AG62" s="430"/>
      <c r="AH62" s="430"/>
      <c r="AI62" s="430"/>
      <c r="AJ62" s="430"/>
      <c r="AK62" s="430"/>
      <c r="AL62" s="430"/>
      <c r="AM62" s="430"/>
      <c r="AN62" s="430"/>
      <c r="AO62" s="430"/>
      <c r="AP62" s="430"/>
      <c r="AQ62" s="430"/>
      <c r="AR62" s="430"/>
      <c r="AS62" s="430"/>
      <c r="AT62" s="430"/>
      <c r="AU62" s="430"/>
      <c r="AV62" s="430"/>
      <c r="AW62" s="430"/>
      <c r="AX62" s="430"/>
      <c r="AY62" s="430"/>
      <c r="AZ62" s="430"/>
      <c r="BA62" s="430"/>
      <c r="BB62" s="430"/>
    </row>
    <row r="63" spans="1:54" ht="15" customHeight="1">
      <c r="A63" s="430"/>
      <c r="B63" s="430"/>
      <c r="C63" s="430"/>
      <c r="D63" s="430"/>
      <c r="E63" s="501"/>
      <c r="F63" s="430"/>
      <c r="G63" s="430"/>
      <c r="H63" s="430"/>
      <c r="I63" s="430"/>
      <c r="J63" s="430"/>
      <c r="K63" s="430"/>
      <c r="L63" s="501"/>
      <c r="M63" s="501"/>
      <c r="N63" s="501"/>
      <c r="O63" s="501"/>
      <c r="P63" s="501"/>
      <c r="Q63" s="501"/>
      <c r="R63" s="501"/>
      <c r="S63" s="501"/>
      <c r="T63" s="501"/>
      <c r="U63" s="501"/>
      <c r="V63" s="501"/>
      <c r="W63" s="501"/>
      <c r="X63" s="501"/>
      <c r="Y63" s="430"/>
      <c r="Z63" s="430"/>
      <c r="AA63" s="430"/>
      <c r="AB63" s="430"/>
      <c r="AC63" s="430"/>
      <c r="AD63" s="430"/>
      <c r="AE63" s="430"/>
      <c r="AF63" s="430"/>
      <c r="AG63" s="430"/>
      <c r="AH63" s="430"/>
      <c r="AI63" s="430"/>
      <c r="AJ63" s="430"/>
      <c r="AK63" s="430"/>
      <c r="AL63" s="430"/>
      <c r="AM63" s="430"/>
      <c r="AN63" s="430"/>
      <c r="AO63" s="430"/>
      <c r="AP63" s="430"/>
      <c r="AQ63" s="430"/>
      <c r="AR63" s="430"/>
      <c r="AS63" s="430"/>
      <c r="AT63" s="430"/>
      <c r="AU63" s="430"/>
      <c r="AV63" s="430"/>
      <c r="AW63" s="430"/>
      <c r="AX63" s="430"/>
      <c r="AY63" s="430"/>
      <c r="AZ63" s="430"/>
      <c r="BA63" s="430"/>
      <c r="BB63" s="430"/>
    </row>
    <row r="64" spans="1:54" ht="15" customHeight="1">
      <c r="A64" s="548" t="s">
        <v>919</v>
      </c>
      <c r="B64" s="442" t="s">
        <v>34</v>
      </c>
      <c r="C64" s="442" t="s">
        <v>920</v>
      </c>
      <c r="D64" s="430"/>
      <c r="E64" s="523"/>
      <c r="F64" s="430"/>
      <c r="G64" s="430"/>
      <c r="H64" s="430"/>
      <c r="I64" s="430"/>
      <c r="J64" s="430"/>
      <c r="K64" s="430"/>
      <c r="L64" s="523">
        <f>'c12_inputs'!$E$8</f>
        <v>0.35</v>
      </c>
      <c r="M64" s="523">
        <f>'c12_inputs'!$E$8</f>
        <v>0.35</v>
      </c>
      <c r="N64" s="523">
        <f>'c12_inputs'!$E$8</f>
        <v>0.35</v>
      </c>
      <c r="O64" s="523">
        <f>'c12_inputs'!$E$8</f>
        <v>0.35</v>
      </c>
      <c r="P64" s="523">
        <f>'c12_inputs'!$E$8</f>
        <v>0.35</v>
      </c>
      <c r="Q64" s="523">
        <f>'c12_inputs'!$E$8</f>
        <v>0.35</v>
      </c>
      <c r="R64" s="523">
        <f>'c12_inputs'!$E$8</f>
        <v>0.35</v>
      </c>
      <c r="S64" s="523">
        <f>'c12_inputs'!$E$8</f>
        <v>0.35</v>
      </c>
      <c r="T64" s="523">
        <f>'c12_inputs'!$E$8</f>
        <v>0.35</v>
      </c>
      <c r="U64" s="523">
        <f>'c12_inputs'!$E$8</f>
        <v>0.35</v>
      </c>
      <c r="V64" s="523">
        <f>'c12_inputs'!$E$8</f>
        <v>0.35</v>
      </c>
      <c r="W64" s="523">
        <f>'c12_inputs'!$E$8</f>
        <v>0.35</v>
      </c>
      <c r="X64" s="501"/>
      <c r="Y64" s="532"/>
      <c r="Z64" s="532"/>
      <c r="AA64" s="430"/>
      <c r="AB64" s="430"/>
      <c r="AC64" s="430"/>
      <c r="AD64" s="484"/>
      <c r="AE64" s="484"/>
      <c r="AF64" s="484"/>
      <c r="AG64" s="484"/>
      <c r="AH64" s="484"/>
      <c r="AI64" s="484"/>
      <c r="AJ64" s="430"/>
      <c r="AK64" s="430"/>
      <c r="AL64" s="430"/>
      <c r="AM64" s="430"/>
      <c r="AN64" s="430"/>
      <c r="AO64" s="430"/>
      <c r="AP64" s="430"/>
      <c r="AQ64" s="430"/>
      <c r="AR64" s="430"/>
      <c r="AS64" s="430"/>
      <c r="AT64" s="430"/>
      <c r="AU64" s="430"/>
      <c r="AV64" s="430"/>
      <c r="AW64" s="430"/>
      <c r="AX64" s="430"/>
      <c r="AY64" s="430"/>
      <c r="AZ64" s="430"/>
      <c r="BA64" s="430"/>
      <c r="BB64" s="430"/>
    </row>
    <row r="65" spans="1:54" s="417" customFormat="1" ht="15" customHeight="1">
      <c r="A65" s="548" t="s">
        <v>921</v>
      </c>
      <c r="B65" s="535" t="s">
        <v>18</v>
      </c>
      <c r="C65" s="533" t="s">
        <v>922</v>
      </c>
      <c r="D65" s="431"/>
      <c r="E65" s="523"/>
      <c r="F65" s="430"/>
      <c r="G65" s="430"/>
      <c r="H65" s="430"/>
      <c r="I65" s="430"/>
      <c r="J65" s="430"/>
      <c r="K65" s="430"/>
      <c r="L65" s="446">
        <v>0.15</v>
      </c>
      <c r="M65" s="446">
        <v>0.15</v>
      </c>
      <c r="N65" s="446">
        <v>0.15</v>
      </c>
      <c r="O65" s="446">
        <v>0.15</v>
      </c>
      <c r="P65" s="446">
        <v>0</v>
      </c>
      <c r="Q65" s="446">
        <v>0</v>
      </c>
      <c r="R65" s="446">
        <v>0</v>
      </c>
      <c r="S65" s="446">
        <v>0</v>
      </c>
      <c r="T65" s="523">
        <v>0</v>
      </c>
      <c r="U65" s="523">
        <v>0</v>
      </c>
      <c r="V65" s="523">
        <v>0</v>
      </c>
      <c r="W65" s="523">
        <v>0</v>
      </c>
      <c r="X65" s="501"/>
      <c r="Y65" s="532"/>
      <c r="Z65" s="532"/>
      <c r="AA65" s="430"/>
      <c r="AB65" s="430"/>
      <c r="AC65" s="430"/>
      <c r="AD65" s="484"/>
      <c r="AE65" s="484"/>
      <c r="AF65" s="484"/>
      <c r="AG65" s="484"/>
      <c r="AH65" s="484"/>
      <c r="AI65" s="484"/>
      <c r="AJ65" s="430"/>
      <c r="AK65" s="430"/>
      <c r="AL65" s="430"/>
      <c r="AM65" s="430"/>
      <c r="AN65" s="430"/>
      <c r="AO65" s="430"/>
      <c r="AP65" s="430"/>
      <c r="AQ65" s="430"/>
      <c r="AR65" s="430"/>
      <c r="AS65" s="430"/>
      <c r="AT65" s="430"/>
      <c r="AU65" s="430"/>
      <c r="AV65" s="430"/>
      <c r="AW65" s="430"/>
      <c r="AX65" s="430"/>
      <c r="AY65" s="430"/>
      <c r="AZ65" s="430"/>
      <c r="BA65" s="430"/>
      <c r="BB65" s="430"/>
    </row>
    <row r="66" spans="1:54" s="417" customFormat="1" ht="15" customHeight="1">
      <c r="A66" s="548" t="s">
        <v>923</v>
      </c>
      <c r="B66" s="535" t="s">
        <v>18</v>
      </c>
      <c r="C66" s="533" t="s">
        <v>924</v>
      </c>
      <c r="D66" s="431"/>
      <c r="E66" s="523"/>
      <c r="F66" s="430"/>
      <c r="G66" s="430"/>
      <c r="H66" s="430"/>
      <c r="I66" s="430"/>
      <c r="J66" s="430"/>
      <c r="K66" s="430"/>
      <c r="L66" s="446">
        <v>0.15</v>
      </c>
      <c r="M66" s="446">
        <v>0.15</v>
      </c>
      <c r="N66" s="446">
        <v>0.15</v>
      </c>
      <c r="O66" s="446">
        <v>0.15</v>
      </c>
      <c r="P66" s="446">
        <v>0.15</v>
      </c>
      <c r="Q66" s="446">
        <v>0.15</v>
      </c>
      <c r="R66" s="446">
        <v>0.15</v>
      </c>
      <c r="S66" s="446">
        <v>0.15</v>
      </c>
      <c r="T66" s="523">
        <v>0</v>
      </c>
      <c r="U66" s="523">
        <v>0</v>
      </c>
      <c r="V66" s="523">
        <v>0</v>
      </c>
      <c r="W66" s="523">
        <v>0</v>
      </c>
      <c r="X66" s="501"/>
      <c r="Y66" s="532"/>
      <c r="Z66" s="532"/>
      <c r="AA66" s="430"/>
      <c r="AB66" s="430"/>
      <c r="AC66" s="430"/>
      <c r="AD66" s="484"/>
      <c r="AE66" s="484"/>
      <c r="AF66" s="484"/>
      <c r="AG66" s="484"/>
      <c r="AH66" s="484"/>
      <c r="AI66" s="484"/>
      <c r="AJ66" s="430"/>
      <c r="AK66" s="430"/>
      <c r="AL66" s="430"/>
      <c r="AM66" s="430"/>
      <c r="AN66" s="430"/>
      <c r="AO66" s="430"/>
      <c r="AP66" s="430"/>
      <c r="AQ66" s="430"/>
      <c r="AR66" s="430"/>
      <c r="AS66" s="430"/>
      <c r="AT66" s="430"/>
      <c r="AU66" s="430"/>
      <c r="AV66" s="430"/>
      <c r="AW66" s="430"/>
      <c r="AX66" s="430"/>
      <c r="AY66" s="430"/>
      <c r="AZ66" s="430"/>
      <c r="BA66" s="430"/>
      <c r="BB66" s="430"/>
    </row>
    <row r="67" spans="1:54" s="30" customFormat="1">
      <c r="A67" s="548" t="s">
        <v>925</v>
      </c>
      <c r="B67" s="535" t="s">
        <v>34</v>
      </c>
      <c r="C67" s="533" t="s">
        <v>926</v>
      </c>
      <c r="D67" s="431"/>
      <c r="E67" s="572"/>
      <c r="F67" s="430"/>
      <c r="G67" s="430"/>
      <c r="H67" s="430"/>
      <c r="I67" s="430"/>
      <c r="J67" s="430"/>
      <c r="K67" s="430"/>
      <c r="L67" s="572">
        <f>'c12_inputs'!$E$7</f>
        <v>0.05</v>
      </c>
      <c r="M67" s="572">
        <f>'c12_inputs'!$E$7</f>
        <v>0.05</v>
      </c>
      <c r="N67" s="572">
        <f>'c12_inputs'!$E$7</f>
        <v>0.05</v>
      </c>
      <c r="O67" s="572">
        <f>'c12_inputs'!$E$7</f>
        <v>0.05</v>
      </c>
      <c r="P67" s="572">
        <f>'c12_inputs'!$E$7</f>
        <v>0.05</v>
      </c>
      <c r="Q67" s="572">
        <f>'c12_inputs'!$E$7</f>
        <v>0.05</v>
      </c>
      <c r="R67" s="572">
        <f>'c12_inputs'!$E$7</f>
        <v>0.05</v>
      </c>
      <c r="S67" s="572">
        <f>'c12_inputs'!$E$7</f>
        <v>0.05</v>
      </c>
      <c r="T67" s="572">
        <f>'c12_inputs'!$E$7</f>
        <v>0.05</v>
      </c>
      <c r="U67" s="572">
        <f>'c12_inputs'!$E$7</f>
        <v>0.05</v>
      </c>
      <c r="V67" s="572">
        <f>'c12_inputs'!$E$7</f>
        <v>0.05</v>
      </c>
      <c r="W67" s="572">
        <f>'c12_inputs'!$E$7</f>
        <v>0.05</v>
      </c>
      <c r="X67" s="430"/>
      <c r="Y67" s="430"/>
      <c r="Z67" s="430"/>
      <c r="AA67" s="430"/>
      <c r="AB67" s="430"/>
      <c r="AC67" s="430"/>
      <c r="AD67" s="430"/>
      <c r="AE67" s="430"/>
      <c r="AF67" s="492"/>
      <c r="AG67" s="492"/>
      <c r="AH67" s="492"/>
      <c r="AI67" s="492"/>
      <c r="AJ67" s="492"/>
      <c r="AK67" s="492"/>
      <c r="AL67" s="492"/>
      <c r="AM67" s="430"/>
      <c r="AN67" s="492"/>
      <c r="AO67" s="492"/>
      <c r="AP67" s="492"/>
      <c r="AQ67" s="492"/>
      <c r="AR67" s="492"/>
      <c r="AS67" s="492"/>
      <c r="AT67" s="492"/>
      <c r="AU67" s="430"/>
      <c r="AV67" s="430"/>
      <c r="AW67" s="430"/>
      <c r="AX67" s="430"/>
      <c r="AY67" s="430"/>
      <c r="AZ67" s="430"/>
      <c r="BA67" s="430"/>
      <c r="BB67" s="430"/>
    </row>
    <row r="68" spans="1:54">
      <c r="A68" s="548" t="s">
        <v>927</v>
      </c>
      <c r="B68" s="442" t="s">
        <v>34</v>
      </c>
      <c r="C68" s="442" t="s">
        <v>928</v>
      </c>
      <c r="D68" s="430"/>
      <c r="E68" s="501"/>
      <c r="F68" s="430"/>
      <c r="G68" s="430"/>
      <c r="H68" s="430"/>
      <c r="I68" s="430"/>
      <c r="J68" s="430"/>
      <c r="K68" s="430"/>
      <c r="L68" s="501">
        <f t="shared" ref="L68:W68" si="14">(L64+L65)*(L32+L52)+(L64+L66)*(L49+L29)</f>
        <v>0</v>
      </c>
      <c r="M68" s="501">
        <f t="shared" si="14"/>
        <v>0</v>
      </c>
      <c r="N68" s="501">
        <f t="shared" si="14"/>
        <v>0</v>
      </c>
      <c r="O68" s="501">
        <f t="shared" si="14"/>
        <v>0</v>
      </c>
      <c r="P68" s="501">
        <f t="shared" si="14"/>
        <v>10500</v>
      </c>
      <c r="Q68" s="501">
        <f t="shared" si="14"/>
        <v>10500</v>
      </c>
      <c r="R68" s="501">
        <f t="shared" si="14"/>
        <v>10500</v>
      </c>
      <c r="S68" s="501">
        <f t="shared" si="14"/>
        <v>10500</v>
      </c>
      <c r="T68" s="501">
        <f t="shared" si="14"/>
        <v>52500</v>
      </c>
      <c r="U68" s="501">
        <f t="shared" si="14"/>
        <v>84000</v>
      </c>
      <c r="V68" s="501">
        <f t="shared" si="14"/>
        <v>84000</v>
      </c>
      <c r="W68" s="501">
        <f t="shared" si="14"/>
        <v>84000</v>
      </c>
      <c r="X68" s="523"/>
      <c r="Y68" s="532"/>
      <c r="Z68" s="532"/>
      <c r="AA68" s="430"/>
      <c r="AB68" s="430"/>
      <c r="AC68" s="430"/>
      <c r="AD68" s="484"/>
      <c r="AE68" s="484"/>
      <c r="AF68" s="484"/>
      <c r="AG68" s="484"/>
      <c r="AH68" s="484"/>
      <c r="AI68" s="484"/>
      <c r="AJ68" s="430"/>
      <c r="AK68" s="430"/>
      <c r="AL68" s="430"/>
      <c r="AM68" s="430"/>
      <c r="AN68" s="430"/>
      <c r="AO68" s="430"/>
      <c r="AP68" s="430"/>
      <c r="AQ68" s="430"/>
      <c r="AR68" s="430"/>
      <c r="AS68" s="430"/>
      <c r="AT68" s="430"/>
      <c r="AU68" s="430"/>
      <c r="AV68" s="430"/>
      <c r="AW68" s="430"/>
      <c r="AX68" s="430"/>
      <c r="AY68" s="430"/>
      <c r="AZ68" s="430"/>
      <c r="BA68" s="430"/>
      <c r="BB68" s="430"/>
    </row>
    <row r="69" spans="1:54">
      <c r="A69" s="548" t="s">
        <v>1002</v>
      </c>
      <c r="B69" s="442" t="s">
        <v>34</v>
      </c>
      <c r="C69" s="442" t="s">
        <v>930</v>
      </c>
      <c r="D69" s="430"/>
      <c r="E69" s="501"/>
      <c r="F69" s="430"/>
      <c r="G69" s="430"/>
      <c r="H69" s="430"/>
      <c r="I69" s="430"/>
      <c r="J69" s="430"/>
      <c r="K69" s="430"/>
      <c r="L69" s="501">
        <f t="shared" ref="L69:W69" si="15">L58*L67</f>
        <v>0</v>
      </c>
      <c r="M69" s="501">
        <f t="shared" si="15"/>
        <v>0</v>
      </c>
      <c r="N69" s="501">
        <f t="shared" si="15"/>
        <v>0</v>
      </c>
      <c r="O69" s="501">
        <f t="shared" si="15"/>
        <v>0</v>
      </c>
      <c r="P69" s="501">
        <f t="shared" si="15"/>
        <v>6214.7368421052624</v>
      </c>
      <c r="Q69" s="501">
        <f t="shared" si="15"/>
        <v>6214.7368421052624</v>
      </c>
      <c r="R69" s="501">
        <f t="shared" si="15"/>
        <v>11898.947368421053</v>
      </c>
      <c r="S69" s="501">
        <f t="shared" si="15"/>
        <v>16547.105263157893</v>
      </c>
      <c r="T69" s="501">
        <f t="shared" si="15"/>
        <v>53337.631578947374</v>
      </c>
      <c r="U69" s="501">
        <f t="shared" si="15"/>
        <v>53337.631578947374</v>
      </c>
      <c r="V69" s="501">
        <f t="shared" si="15"/>
        <v>53337.631578947374</v>
      </c>
      <c r="W69" s="501">
        <f t="shared" si="15"/>
        <v>53337.631578947374</v>
      </c>
      <c r="X69" s="501"/>
      <c r="Y69" s="430"/>
      <c r="Z69" s="430"/>
      <c r="AA69" s="430"/>
      <c r="AB69" s="430"/>
      <c r="AC69" s="430"/>
      <c r="AD69" s="430"/>
      <c r="AE69" s="430"/>
      <c r="AF69" s="430"/>
      <c r="AG69" s="430"/>
      <c r="AH69" s="430"/>
      <c r="AI69" s="430"/>
      <c r="AJ69" s="430"/>
      <c r="AK69" s="430"/>
      <c r="AL69" s="430"/>
      <c r="AM69" s="430"/>
      <c r="AN69" s="430"/>
      <c r="AO69" s="430"/>
      <c r="AP69" s="430"/>
      <c r="AQ69" s="430"/>
      <c r="AR69" s="430"/>
      <c r="AS69" s="430"/>
      <c r="AT69" s="430"/>
      <c r="AU69" s="430"/>
      <c r="AV69" s="430"/>
      <c r="AW69" s="430"/>
      <c r="AX69" s="430"/>
      <c r="AY69" s="430"/>
      <c r="AZ69" s="430"/>
      <c r="BA69" s="430"/>
      <c r="BB69" s="430"/>
    </row>
    <row r="70" spans="1:54">
      <c r="A70" s="558" t="s">
        <v>1003</v>
      </c>
      <c r="B70" s="442" t="s">
        <v>14</v>
      </c>
      <c r="C70" s="442" t="s">
        <v>1004</v>
      </c>
      <c r="D70" s="430"/>
      <c r="E70" s="501"/>
      <c r="F70" s="430"/>
      <c r="G70" s="430"/>
      <c r="H70" s="430"/>
      <c r="I70" s="430"/>
      <c r="J70" s="430"/>
      <c r="K70" s="430"/>
      <c r="L70" s="571">
        <f t="shared" ref="L70:W70" si="16">L69+L68</f>
        <v>0</v>
      </c>
      <c r="M70" s="571">
        <f t="shared" si="16"/>
        <v>0</v>
      </c>
      <c r="N70" s="571">
        <f t="shared" si="16"/>
        <v>0</v>
      </c>
      <c r="O70" s="571">
        <f t="shared" si="16"/>
        <v>0</v>
      </c>
      <c r="P70" s="571">
        <f t="shared" si="16"/>
        <v>16714.736842105263</v>
      </c>
      <c r="Q70" s="571">
        <f t="shared" si="16"/>
        <v>16714.736842105263</v>
      </c>
      <c r="R70" s="571">
        <f t="shared" si="16"/>
        <v>22398.947368421053</v>
      </c>
      <c r="S70" s="571">
        <f t="shared" si="16"/>
        <v>27047.105263157893</v>
      </c>
      <c r="T70" s="501">
        <f t="shared" si="16"/>
        <v>105837.63157894737</v>
      </c>
      <c r="U70" s="501">
        <f t="shared" si="16"/>
        <v>137337.63157894736</v>
      </c>
      <c r="V70" s="501">
        <f t="shared" si="16"/>
        <v>137337.63157894736</v>
      </c>
      <c r="W70" s="501">
        <f t="shared" si="16"/>
        <v>137337.63157894736</v>
      </c>
      <c r="X70" s="523"/>
      <c r="Y70" s="430"/>
      <c r="Z70" s="430"/>
      <c r="AA70" s="430"/>
      <c r="AB70" s="430"/>
      <c r="AC70" s="430"/>
      <c r="AD70" s="430"/>
      <c r="AE70" s="430"/>
      <c r="AF70" s="430"/>
      <c r="AG70" s="430"/>
      <c r="AH70" s="430"/>
      <c r="AI70" s="430"/>
      <c r="AJ70" s="430"/>
      <c r="AK70" s="430"/>
      <c r="AL70" s="430"/>
      <c r="AM70" s="430"/>
      <c r="AN70" s="430"/>
      <c r="AO70" s="430"/>
      <c r="AP70" s="430"/>
      <c r="AQ70" s="430"/>
      <c r="AR70" s="430"/>
      <c r="AS70" s="430"/>
      <c r="AT70" s="430"/>
      <c r="AU70" s="430"/>
      <c r="AV70" s="430"/>
      <c r="AW70" s="430"/>
      <c r="AX70" s="430"/>
      <c r="AY70" s="430"/>
      <c r="AZ70" s="430"/>
      <c r="BA70" s="430"/>
      <c r="BB70" s="430"/>
    </row>
    <row r="71" spans="1:54">
      <c r="A71" s="430"/>
      <c r="B71" s="430"/>
      <c r="C71" s="430"/>
      <c r="D71" s="430"/>
      <c r="E71" s="501"/>
      <c r="F71" s="430"/>
      <c r="G71" s="430"/>
      <c r="H71" s="430"/>
      <c r="I71" s="430"/>
      <c r="J71" s="430"/>
      <c r="K71" s="430"/>
      <c r="L71" s="501"/>
      <c r="M71" s="501"/>
      <c r="N71" s="501"/>
      <c r="O71" s="501"/>
      <c r="P71" s="501"/>
      <c r="Q71" s="501"/>
      <c r="R71" s="501"/>
      <c r="S71" s="501"/>
      <c r="T71" s="501"/>
      <c r="U71" s="501"/>
      <c r="V71" s="501"/>
      <c r="W71" s="501"/>
      <c r="X71" s="501"/>
      <c r="Y71" s="430"/>
      <c r="Z71" s="430"/>
      <c r="AA71" s="430"/>
      <c r="AB71" s="430"/>
      <c r="AC71" s="430"/>
      <c r="AD71" s="430"/>
      <c r="AE71" s="430"/>
      <c r="AF71" s="430"/>
      <c r="AG71" s="430"/>
      <c r="AH71" s="430"/>
      <c r="AI71" s="430"/>
      <c r="AJ71" s="430"/>
      <c r="AK71" s="430"/>
      <c r="AL71" s="430"/>
      <c r="AM71" s="430"/>
      <c r="AN71" s="430"/>
      <c r="AO71" s="430"/>
      <c r="AP71" s="430"/>
      <c r="AQ71" s="430"/>
      <c r="AR71" s="430"/>
      <c r="AS71" s="430"/>
      <c r="AT71" s="430"/>
      <c r="AU71" s="430"/>
      <c r="AV71" s="430"/>
      <c r="AW71" s="430"/>
      <c r="AX71" s="430"/>
      <c r="AY71" s="430"/>
      <c r="AZ71" s="430"/>
      <c r="BA71" s="430"/>
      <c r="BB71" s="430"/>
    </row>
    <row r="72" spans="1:54" s="30" customFormat="1">
      <c r="A72" s="548" t="s">
        <v>933</v>
      </c>
      <c r="B72" s="535" t="s">
        <v>34</v>
      </c>
      <c r="C72" s="533" t="s">
        <v>934</v>
      </c>
      <c r="D72" s="431"/>
      <c r="E72" s="501"/>
      <c r="F72" s="430"/>
      <c r="G72" s="430"/>
      <c r="H72" s="430"/>
      <c r="I72" s="430"/>
      <c r="J72" s="430"/>
      <c r="K72" s="430"/>
      <c r="L72" s="501">
        <f t="shared" ref="L72:W72" si="17">-(L64+L65)*(L27+L48)</f>
        <v>0</v>
      </c>
      <c r="M72" s="501">
        <f t="shared" si="17"/>
        <v>0</v>
      </c>
      <c r="N72" s="501">
        <f t="shared" si="17"/>
        <v>0</v>
      </c>
      <c r="O72" s="501">
        <f t="shared" si="17"/>
        <v>0</v>
      </c>
      <c r="P72" s="501">
        <f t="shared" si="17"/>
        <v>0</v>
      </c>
      <c r="Q72" s="501">
        <f t="shared" si="17"/>
        <v>0</v>
      </c>
      <c r="R72" s="501">
        <f t="shared" si="17"/>
        <v>0</v>
      </c>
      <c r="S72" s="501">
        <f t="shared" si="17"/>
        <v>0</v>
      </c>
      <c r="T72" s="501">
        <f t="shared" si="17"/>
        <v>0</v>
      </c>
      <c r="U72" s="501">
        <f t="shared" si="17"/>
        <v>0</v>
      </c>
      <c r="V72" s="501">
        <f t="shared" si="17"/>
        <v>0</v>
      </c>
      <c r="W72" s="501">
        <f t="shared" si="17"/>
        <v>0</v>
      </c>
      <c r="X72" s="430"/>
      <c r="Y72" s="430"/>
      <c r="Z72" s="430"/>
      <c r="AA72" s="430"/>
      <c r="AB72" s="430"/>
      <c r="AC72" s="430"/>
      <c r="AD72" s="430"/>
      <c r="AE72" s="430"/>
      <c r="AF72" s="492"/>
      <c r="AG72" s="492"/>
      <c r="AH72" s="492"/>
      <c r="AI72" s="492"/>
      <c r="AJ72" s="492"/>
      <c r="AK72" s="492"/>
      <c r="AL72" s="492"/>
      <c r="AM72" s="430"/>
      <c r="AN72" s="492"/>
      <c r="AO72" s="492"/>
      <c r="AP72" s="492"/>
      <c r="AQ72" s="492"/>
      <c r="AR72" s="492"/>
      <c r="AS72" s="492"/>
      <c r="AT72" s="492"/>
      <c r="AU72" s="430"/>
      <c r="AV72" s="430"/>
      <c r="AW72" s="430"/>
      <c r="AX72" s="430"/>
      <c r="AY72" s="430"/>
      <c r="AZ72" s="430"/>
      <c r="BA72" s="430"/>
      <c r="BB72" s="430"/>
    </row>
    <row r="73" spans="1:54" s="30" customFormat="1">
      <c r="A73" s="548" t="s">
        <v>935</v>
      </c>
      <c r="B73" s="535" t="s">
        <v>34</v>
      </c>
      <c r="C73" s="533" t="s">
        <v>936</v>
      </c>
      <c r="D73" s="431"/>
      <c r="E73" s="501"/>
      <c r="F73" s="430"/>
      <c r="G73" s="430"/>
      <c r="H73" s="430"/>
      <c r="I73" s="430"/>
      <c r="J73" s="430"/>
      <c r="K73" s="430"/>
      <c r="L73" s="501">
        <f t="shared" ref="L73:W73" si="18">-(L64+L66)*(L28+L49)</f>
        <v>0</v>
      </c>
      <c r="M73" s="501">
        <f t="shared" si="18"/>
        <v>0</v>
      </c>
      <c r="N73" s="501">
        <f t="shared" si="18"/>
        <v>0</v>
      </c>
      <c r="O73" s="501">
        <f t="shared" si="18"/>
        <v>0</v>
      </c>
      <c r="P73" s="501">
        <f t="shared" si="18"/>
        <v>0</v>
      </c>
      <c r="Q73" s="501">
        <f t="shared" si="18"/>
        <v>0</v>
      </c>
      <c r="R73" s="501">
        <f t="shared" si="18"/>
        <v>0</v>
      </c>
      <c r="S73" s="501">
        <f t="shared" si="18"/>
        <v>0</v>
      </c>
      <c r="T73" s="501">
        <f t="shared" si="18"/>
        <v>0</v>
      </c>
      <c r="U73" s="501">
        <f t="shared" si="18"/>
        <v>0</v>
      </c>
      <c r="V73" s="501">
        <f t="shared" si="18"/>
        <v>0</v>
      </c>
      <c r="W73" s="501">
        <f t="shared" si="18"/>
        <v>0</v>
      </c>
      <c r="X73" s="430"/>
      <c r="Y73" s="430"/>
      <c r="Z73" s="430"/>
      <c r="AA73" s="430"/>
      <c r="AB73" s="430"/>
      <c r="AC73" s="430"/>
      <c r="AD73" s="430"/>
      <c r="AE73" s="430"/>
      <c r="AF73" s="492"/>
      <c r="AG73" s="492"/>
      <c r="AH73" s="492"/>
      <c r="AI73" s="492"/>
      <c r="AJ73" s="492"/>
      <c r="AK73" s="492"/>
      <c r="AL73" s="492"/>
      <c r="AM73" s="430"/>
      <c r="AN73" s="492"/>
      <c r="AO73" s="492"/>
      <c r="AP73" s="492"/>
      <c r="AQ73" s="492"/>
      <c r="AR73" s="492"/>
      <c r="AS73" s="492"/>
      <c r="AT73" s="492"/>
      <c r="AU73" s="430"/>
      <c r="AV73" s="430"/>
      <c r="AW73" s="430"/>
      <c r="AX73" s="430"/>
      <c r="AY73" s="430"/>
      <c r="AZ73" s="430"/>
      <c r="BA73" s="430"/>
      <c r="BB73" s="430"/>
    </row>
    <row r="74" spans="1:54">
      <c r="A74" s="548" t="s">
        <v>937</v>
      </c>
      <c r="B74" s="442" t="s">
        <v>18</v>
      </c>
      <c r="C74" s="442" t="s">
        <v>938</v>
      </c>
      <c r="D74" s="430"/>
      <c r="E74" s="501"/>
      <c r="F74" s="430"/>
      <c r="G74" s="430"/>
      <c r="H74" s="430"/>
      <c r="I74" s="430"/>
      <c r="J74" s="430"/>
      <c r="K74" s="430"/>
      <c r="L74" s="551">
        <f>SUM(L72:L73)+E74</f>
        <v>0</v>
      </c>
      <c r="M74" s="551">
        <f t="shared" ref="M74:W74" si="19">SUM(M72:M73)+L74</f>
        <v>0</v>
      </c>
      <c r="N74" s="551">
        <f t="shared" si="19"/>
        <v>0</v>
      </c>
      <c r="O74" s="551">
        <f t="shared" si="19"/>
        <v>0</v>
      </c>
      <c r="P74" s="551">
        <f t="shared" si="19"/>
        <v>0</v>
      </c>
      <c r="Q74" s="551">
        <f t="shared" si="19"/>
        <v>0</v>
      </c>
      <c r="R74" s="551">
        <f t="shared" si="19"/>
        <v>0</v>
      </c>
      <c r="S74" s="551">
        <f t="shared" si="19"/>
        <v>0</v>
      </c>
      <c r="T74" s="501">
        <f t="shared" si="19"/>
        <v>0</v>
      </c>
      <c r="U74" s="501">
        <f t="shared" si="19"/>
        <v>0</v>
      </c>
      <c r="V74" s="501">
        <f t="shared" si="19"/>
        <v>0</v>
      </c>
      <c r="W74" s="501">
        <f t="shared" si="19"/>
        <v>0</v>
      </c>
      <c r="X74" s="501"/>
      <c r="Y74" s="430"/>
      <c r="Z74" s="430"/>
      <c r="AA74" s="430"/>
      <c r="AB74" s="430"/>
      <c r="AC74" s="430"/>
      <c r="AD74" s="430"/>
      <c r="AE74" s="430"/>
      <c r="AF74" s="430"/>
      <c r="AG74" s="430"/>
      <c r="AH74" s="430"/>
      <c r="AI74" s="430"/>
      <c r="AJ74" s="430"/>
      <c r="AK74" s="430"/>
      <c r="AL74" s="430"/>
      <c r="AM74" s="430"/>
      <c r="AN74" s="430"/>
      <c r="AO74" s="430"/>
      <c r="AP74" s="430"/>
      <c r="AQ74" s="430"/>
      <c r="AR74" s="430"/>
      <c r="AS74" s="430"/>
      <c r="AT74" s="430"/>
      <c r="AU74" s="430"/>
      <c r="AV74" s="430"/>
      <c r="AW74" s="430"/>
      <c r="AX74" s="430"/>
      <c r="AY74" s="430"/>
      <c r="AZ74" s="430"/>
      <c r="BA74" s="430"/>
      <c r="BB74" s="430"/>
    </row>
    <row r="75" spans="1:54">
      <c r="A75" s="430"/>
      <c r="B75" s="430"/>
      <c r="C75" s="430"/>
      <c r="D75" s="430"/>
      <c r="E75" s="501"/>
      <c r="F75" s="430"/>
      <c r="G75" s="430"/>
      <c r="H75" s="430"/>
      <c r="I75" s="430"/>
      <c r="J75" s="430"/>
      <c r="K75" s="430"/>
      <c r="L75" s="501"/>
      <c r="M75" s="501"/>
      <c r="N75" s="501"/>
      <c r="O75" s="501"/>
      <c r="P75" s="501"/>
      <c r="Q75" s="501"/>
      <c r="R75" s="501"/>
      <c r="S75" s="501"/>
      <c r="T75" s="501"/>
      <c r="U75" s="501"/>
      <c r="V75" s="501"/>
      <c r="W75" s="501"/>
      <c r="X75" s="501"/>
      <c r="Y75" s="430"/>
      <c r="Z75" s="430"/>
      <c r="AA75" s="430"/>
      <c r="AB75" s="430"/>
      <c r="AC75" s="430"/>
      <c r="AD75" s="430"/>
      <c r="AE75" s="430"/>
      <c r="AF75" s="430"/>
      <c r="AG75" s="430"/>
      <c r="AH75" s="430"/>
      <c r="AI75" s="430"/>
      <c r="AJ75" s="430"/>
      <c r="AK75" s="430"/>
      <c r="AL75" s="430"/>
      <c r="AM75" s="430"/>
      <c r="AN75" s="430"/>
      <c r="AO75" s="430"/>
      <c r="AP75" s="430"/>
      <c r="AQ75" s="430"/>
      <c r="AR75" s="430"/>
      <c r="AS75" s="430"/>
      <c r="AT75" s="430"/>
      <c r="AU75" s="430"/>
      <c r="AV75" s="430"/>
      <c r="AW75" s="430"/>
      <c r="AX75" s="430"/>
      <c r="AY75" s="430"/>
      <c r="AZ75" s="430"/>
      <c r="BA75" s="430"/>
      <c r="BB75" s="430"/>
    </row>
    <row r="76" spans="1:54">
      <c r="A76" s="548" t="s">
        <v>940</v>
      </c>
      <c r="B76" s="430"/>
      <c r="C76" s="430"/>
      <c r="D76" s="430"/>
      <c r="E76" s="430"/>
      <c r="F76" s="430"/>
      <c r="G76" s="430"/>
      <c r="H76" s="430"/>
      <c r="I76" s="430"/>
      <c r="J76" s="430"/>
      <c r="K76" s="430"/>
      <c r="L76" s="430"/>
      <c r="M76" s="430"/>
      <c r="N76" s="430"/>
      <c r="O76" s="430"/>
      <c r="P76" s="430"/>
      <c r="Q76" s="430"/>
      <c r="R76" s="430"/>
      <c r="S76" s="430"/>
      <c r="T76" s="430"/>
      <c r="U76" s="430"/>
      <c r="V76" s="430"/>
      <c r="W76" s="430"/>
      <c r="X76" s="430"/>
      <c r="Y76" s="430"/>
      <c r="Z76" s="430"/>
      <c r="AA76" s="430"/>
      <c r="AB76" s="430"/>
      <c r="AC76" s="430"/>
      <c r="AD76" s="430"/>
      <c r="AE76" s="430"/>
      <c r="AF76" s="430"/>
      <c r="AG76" s="430"/>
      <c r="AH76" s="430"/>
      <c r="AI76" s="430"/>
      <c r="AJ76" s="430"/>
      <c r="AK76" s="430"/>
      <c r="AL76" s="430"/>
      <c r="AM76" s="430"/>
      <c r="AN76" s="430"/>
      <c r="AO76" s="430"/>
      <c r="AP76" s="430"/>
      <c r="AQ76" s="430"/>
      <c r="AR76" s="430"/>
      <c r="AS76" s="430"/>
      <c r="AT76" s="430"/>
      <c r="AU76" s="430"/>
      <c r="AV76" s="430"/>
      <c r="AW76" s="430"/>
      <c r="AX76" s="430"/>
      <c r="AY76" s="430"/>
      <c r="AZ76" s="430"/>
      <c r="BA76" s="430"/>
      <c r="BB76" s="430"/>
    </row>
    <row r="77" spans="1:54" s="30" customFormat="1" ht="14.65" customHeight="1">
      <c r="A77" s="510" t="s">
        <v>941</v>
      </c>
      <c r="B77" s="535" t="s">
        <v>34</v>
      </c>
      <c r="C77" s="533" t="s">
        <v>942</v>
      </c>
      <c r="D77" s="431"/>
      <c r="E77" s="492"/>
      <c r="F77" s="430"/>
      <c r="G77" s="430"/>
      <c r="H77" s="430"/>
      <c r="I77" s="430"/>
      <c r="J77" s="430"/>
      <c r="K77" s="430"/>
      <c r="L77" s="492">
        <f>'.c12_bi&amp;f_hr'!L48</f>
        <v>250559.99999999997</v>
      </c>
      <c r="M77" s="492">
        <f>'.c12_bi&amp;f_hr'!M48</f>
        <v>250559.99999999997</v>
      </c>
      <c r="N77" s="492">
        <f>'.c12_bi&amp;f_hr'!N48</f>
        <v>336959.99999999994</v>
      </c>
      <c r="O77" s="492">
        <f>'.c12_bi&amp;f_hr'!O48</f>
        <v>602497.5</v>
      </c>
      <c r="P77" s="492">
        <f>'.c12_bi&amp;f_hr'!P48</f>
        <v>296640</v>
      </c>
      <c r="Q77" s="492">
        <f>'.c12_bi&amp;f_hr'!Q48</f>
        <v>477677.14285714284</v>
      </c>
      <c r="R77" s="492">
        <f>'.c12_bi&amp;f_hr'!R48</f>
        <v>672077.14285714284</v>
      </c>
      <c r="S77" s="492">
        <f>'.c12_bi&amp;f_hr'!S48</f>
        <v>1173394.6428571427</v>
      </c>
      <c r="T77" s="492">
        <f>'.c12_bi&amp;f_hr'!T48</f>
        <v>3289116.0714285714</v>
      </c>
      <c r="U77" s="492">
        <f>'.c12_bi&amp;f_hr'!U48</f>
        <v>3289116.0714285714</v>
      </c>
      <c r="V77" s="492">
        <f>'.c12_bi&amp;f_hr'!V48</f>
        <v>3289116.0714285714</v>
      </c>
      <c r="W77" s="492">
        <f>'.c12_bi&amp;f_hr'!W48</f>
        <v>3289116.0714285714</v>
      </c>
      <c r="X77" s="490"/>
      <c r="Y77" s="532"/>
      <c r="Z77" s="430"/>
      <c r="AA77" s="430"/>
      <c r="AB77" s="430"/>
      <c r="AC77" s="430"/>
      <c r="AD77" s="430"/>
      <c r="AE77" s="430"/>
      <c r="AF77" s="430"/>
      <c r="AG77" s="430"/>
      <c r="AH77" s="430"/>
      <c r="AI77" s="430"/>
      <c r="AJ77" s="430"/>
      <c r="AK77" s="430"/>
      <c r="AL77" s="430"/>
      <c r="AM77" s="430"/>
      <c r="AN77" s="430"/>
      <c r="AO77" s="430"/>
      <c r="AP77" s="430"/>
      <c r="AQ77" s="430"/>
      <c r="AR77" s="430"/>
      <c r="AS77" s="430"/>
      <c r="AT77" s="430"/>
      <c r="AU77" s="430"/>
      <c r="AV77" s="430"/>
      <c r="AW77" s="430"/>
      <c r="AX77" s="430"/>
      <c r="AY77" s="430"/>
      <c r="AZ77" s="430"/>
      <c r="BA77" s="430"/>
      <c r="BB77" s="430"/>
    </row>
    <row r="78" spans="1:54" s="30" customFormat="1">
      <c r="A78" s="510" t="s">
        <v>943</v>
      </c>
      <c r="B78" s="535" t="s">
        <v>14</v>
      </c>
      <c r="C78" s="533" t="s">
        <v>944</v>
      </c>
      <c r="D78" s="431"/>
      <c r="E78" s="492"/>
      <c r="F78" s="430"/>
      <c r="G78" s="430"/>
      <c r="H78" s="430"/>
      <c r="I78" s="430"/>
      <c r="J78" s="430"/>
      <c r="K78" s="430"/>
      <c r="L78" s="573">
        <f>'.c12_bi&amp;f_hr'!L49</f>
        <v>53279.999999999993</v>
      </c>
      <c r="M78" s="573">
        <f>'.c12_bi&amp;f_hr'!M49</f>
        <v>53279.999999999993</v>
      </c>
      <c r="N78" s="573">
        <f>'.c12_bi&amp;f_hr'!N49</f>
        <v>115199.99999999999</v>
      </c>
      <c r="O78" s="573">
        <f>'.c12_bi&amp;f_hr'!O49</f>
        <v>154162.5</v>
      </c>
      <c r="P78" s="573">
        <f>'.c12_bi&amp;f_hr'!P49</f>
        <v>118079.99999999999</v>
      </c>
      <c r="Q78" s="573">
        <f>'.c12_bi&amp;f_hr'!Q49</f>
        <v>118079.99999999999</v>
      </c>
      <c r="R78" s="573">
        <f>'.c12_bi&amp;f_hr'!R49</f>
        <v>226080</v>
      </c>
      <c r="S78" s="573">
        <f>'.c12_bi&amp;f_hr'!S49</f>
        <v>314395</v>
      </c>
      <c r="T78" s="492">
        <f>'.c12_bi&amp;f_hr'!T49</f>
        <v>1013415</v>
      </c>
      <c r="U78" s="492">
        <f>'.c12_bi&amp;f_hr'!U49</f>
        <v>1013415</v>
      </c>
      <c r="V78" s="492">
        <f>'.c12_bi&amp;f_hr'!V49</f>
        <v>1013415</v>
      </c>
      <c r="W78" s="492">
        <f>'.c12_bi&amp;f_hr'!W49</f>
        <v>1013415</v>
      </c>
      <c r="X78" s="430"/>
      <c r="Y78" s="430"/>
      <c r="Z78" s="430"/>
      <c r="AA78" s="430"/>
      <c r="AB78" s="430"/>
      <c r="AC78" s="430"/>
      <c r="AD78" s="430"/>
      <c r="AE78" s="430"/>
      <c r="AF78" s="430"/>
      <c r="AG78" s="430"/>
      <c r="AH78" s="430"/>
      <c r="AI78" s="478"/>
      <c r="AJ78" s="430"/>
      <c r="AK78" s="430"/>
      <c r="AL78" s="430"/>
      <c r="AM78" s="430"/>
      <c r="AN78" s="430"/>
      <c r="AO78" s="430"/>
      <c r="AP78" s="430"/>
      <c r="AQ78" s="430"/>
      <c r="AR78" s="430"/>
      <c r="AS78" s="430"/>
      <c r="AT78" s="430"/>
      <c r="AU78" s="430"/>
      <c r="AV78" s="430"/>
      <c r="AW78" s="430"/>
      <c r="AX78" s="430"/>
      <c r="AY78" s="430"/>
      <c r="AZ78" s="430"/>
      <c r="BA78" s="430"/>
      <c r="BB78" s="430"/>
    </row>
    <row r="79" spans="1:54" s="30" customFormat="1">
      <c r="A79" s="510" t="s">
        <v>945</v>
      </c>
      <c r="B79" s="535" t="s">
        <v>14</v>
      </c>
      <c r="C79" s="533" t="s">
        <v>946</v>
      </c>
      <c r="D79" s="431"/>
      <c r="E79" s="492"/>
      <c r="F79" s="430"/>
      <c r="G79" s="430"/>
      <c r="H79" s="430"/>
      <c r="I79" s="430"/>
      <c r="J79" s="430"/>
      <c r="K79" s="430"/>
      <c r="L79" s="573">
        <f>'.c12_bi&amp;f_hr'!L50</f>
        <v>197280</v>
      </c>
      <c r="M79" s="573">
        <f>'.c12_bi&amp;f_hr'!M50</f>
        <v>197280</v>
      </c>
      <c r="N79" s="573">
        <f>'.c12_bi&amp;f_hr'!N50</f>
        <v>221759.99999999997</v>
      </c>
      <c r="O79" s="573">
        <f>'.c12_bi&amp;f_hr'!O50</f>
        <v>448334.99999999994</v>
      </c>
      <c r="P79" s="573">
        <f>'.c12_bi&amp;f_hr'!P50</f>
        <v>178559.99999999997</v>
      </c>
      <c r="Q79" s="573">
        <f>'.c12_bi&amp;f_hr'!Q50</f>
        <v>359597.14285714284</v>
      </c>
      <c r="R79" s="573">
        <f>'.c12_bi&amp;f_hr'!R50</f>
        <v>445997.14285714284</v>
      </c>
      <c r="S79" s="573">
        <f>'.c12_bi&amp;f_hr'!S50</f>
        <v>858999.64285714284</v>
      </c>
      <c r="T79" s="492">
        <f>'.c12_bi&amp;f_hr'!T50</f>
        <v>2275701.0714285714</v>
      </c>
      <c r="U79" s="492">
        <f>'.c12_bi&amp;f_hr'!U50</f>
        <v>2275701.0714285714</v>
      </c>
      <c r="V79" s="492">
        <f>'.c12_bi&amp;f_hr'!V50</f>
        <v>2275701.0714285714</v>
      </c>
      <c r="W79" s="492">
        <f>'.c12_bi&amp;f_hr'!W50</f>
        <v>2275701.0714285714</v>
      </c>
      <c r="X79" s="430"/>
      <c r="Y79" s="430"/>
      <c r="Z79" s="430"/>
      <c r="AA79" s="430"/>
      <c r="AB79" s="430"/>
      <c r="AC79" s="430"/>
      <c r="AD79" s="430"/>
      <c r="AE79" s="430"/>
      <c r="AF79" s="430"/>
      <c r="AG79" s="430"/>
      <c r="AH79" s="430"/>
      <c r="AI79" s="478"/>
      <c r="AJ79" s="430"/>
      <c r="AK79" s="430"/>
      <c r="AL79" s="430"/>
      <c r="AM79" s="430"/>
      <c r="AN79" s="430"/>
      <c r="AO79" s="430"/>
      <c r="AP79" s="430"/>
      <c r="AQ79" s="430"/>
      <c r="AR79" s="430"/>
      <c r="AS79" s="430"/>
      <c r="AT79" s="430"/>
      <c r="AU79" s="430"/>
      <c r="AV79" s="430"/>
      <c r="AW79" s="430"/>
      <c r="AX79" s="430"/>
      <c r="AY79" s="430"/>
      <c r="AZ79" s="430"/>
      <c r="BA79" s="430"/>
      <c r="BB79" s="430"/>
    </row>
    <row r="80" spans="1:54" s="30" customFormat="1">
      <c r="A80" s="510" t="s">
        <v>947</v>
      </c>
      <c r="B80" s="535" t="s">
        <v>34</v>
      </c>
      <c r="C80" s="533" t="s">
        <v>948</v>
      </c>
      <c r="D80" s="431"/>
      <c r="E80" s="492"/>
      <c r="F80" s="430"/>
      <c r="G80" s="430"/>
      <c r="H80" s="430"/>
      <c r="I80" s="430"/>
      <c r="J80" s="430"/>
      <c r="K80" s="430"/>
      <c r="L80" s="492">
        <f>'.c12_bi&amp;f_hr'!L51</f>
        <v>0</v>
      </c>
      <c r="M80" s="492">
        <f>'.c12_bi&amp;f_hr'!M51</f>
        <v>0</v>
      </c>
      <c r="N80" s="492">
        <f>'.c12_bi&amp;f_hr'!N51</f>
        <v>0</v>
      </c>
      <c r="O80" s="492">
        <f>'.c12_bi&amp;f_hr'!O51</f>
        <v>0</v>
      </c>
      <c r="P80" s="492">
        <f>'.c12_bi&amp;f_hr'!P51</f>
        <v>0</v>
      </c>
      <c r="Q80" s="492">
        <f>'.c12_bi&amp;f_hr'!Q51</f>
        <v>0</v>
      </c>
      <c r="R80" s="492">
        <f>'.c12_bi&amp;f_hr'!R51</f>
        <v>0</v>
      </c>
      <c r="S80" s="492">
        <f>'.c12_bi&amp;f_hr'!S51</f>
        <v>0</v>
      </c>
      <c r="T80" s="492">
        <f>'.c12_bi&amp;f_hr'!T51</f>
        <v>0</v>
      </c>
      <c r="U80" s="492">
        <f>'.c12_bi&amp;f_hr'!U51</f>
        <v>0</v>
      </c>
      <c r="V80" s="492">
        <f>'.c12_bi&amp;f_hr'!V51</f>
        <v>0</v>
      </c>
      <c r="W80" s="492">
        <f>'.c12_bi&amp;f_hr'!W51</f>
        <v>0</v>
      </c>
      <c r="X80" s="430"/>
      <c r="Y80" s="430"/>
      <c r="Z80" s="430"/>
      <c r="AA80" s="430"/>
      <c r="AB80" s="430"/>
      <c r="AC80" s="430"/>
      <c r="AD80" s="430"/>
      <c r="AE80" s="430"/>
      <c r="AF80" s="430"/>
      <c r="AG80" s="430"/>
      <c r="AH80" s="430"/>
      <c r="AI80" s="478"/>
      <c r="AJ80" s="430"/>
      <c r="AK80" s="430"/>
      <c r="AL80" s="430"/>
      <c r="AM80" s="430"/>
      <c r="AN80" s="430"/>
      <c r="AO80" s="430"/>
      <c r="AP80" s="430"/>
      <c r="AQ80" s="430"/>
      <c r="AR80" s="430"/>
      <c r="AS80" s="430"/>
      <c r="AT80" s="430"/>
      <c r="AU80" s="430"/>
      <c r="AV80" s="430"/>
      <c r="AW80" s="430"/>
      <c r="AX80" s="430"/>
      <c r="AY80" s="430"/>
      <c r="AZ80" s="430"/>
      <c r="BA80" s="430"/>
      <c r="BB80" s="430"/>
    </row>
    <row r="81" spans="1:54">
      <c r="A81" s="430"/>
      <c r="B81" s="430"/>
      <c r="C81" s="430"/>
      <c r="D81" s="430"/>
      <c r="E81" s="430"/>
      <c r="F81" s="430"/>
      <c r="G81" s="430"/>
      <c r="H81" s="430"/>
      <c r="I81" s="430"/>
      <c r="J81" s="430"/>
      <c r="K81" s="430"/>
      <c r="L81" s="430"/>
      <c r="M81" s="430"/>
      <c r="N81" s="430"/>
      <c r="O81" s="430"/>
      <c r="P81" s="430"/>
      <c r="Q81" s="430"/>
      <c r="R81" s="430"/>
      <c r="S81" s="430"/>
      <c r="T81" s="430"/>
      <c r="U81" s="430"/>
      <c r="V81" s="430"/>
      <c r="W81" s="430"/>
      <c r="X81" s="430"/>
      <c r="Y81" s="430"/>
      <c r="Z81" s="430"/>
      <c r="AA81" s="430"/>
      <c r="AB81" s="430"/>
      <c r="AC81" s="430"/>
      <c r="AD81" s="430"/>
      <c r="AE81" s="430"/>
      <c r="AF81" s="430"/>
      <c r="AG81" s="430"/>
      <c r="AH81" s="430"/>
      <c r="AI81" s="430"/>
      <c r="AJ81" s="430"/>
      <c r="AK81" s="430"/>
      <c r="AL81" s="430"/>
      <c r="AM81" s="430"/>
      <c r="AN81" s="430"/>
      <c r="AO81" s="430"/>
      <c r="AP81" s="430"/>
      <c r="AQ81" s="430"/>
      <c r="AR81" s="430"/>
      <c r="AS81" s="430"/>
      <c r="AT81" s="430"/>
      <c r="AU81" s="430"/>
      <c r="AV81" s="430"/>
      <c r="AW81" s="430"/>
      <c r="AX81" s="430"/>
      <c r="AY81" s="430"/>
      <c r="AZ81" s="430"/>
      <c r="BA81" s="430"/>
      <c r="BB81" s="430"/>
    </row>
    <row r="82" spans="1:54">
      <c r="A82" s="430"/>
      <c r="B82" s="430"/>
      <c r="C82" s="430"/>
      <c r="D82" s="430"/>
      <c r="E82" s="430"/>
      <c r="F82" s="430"/>
      <c r="G82" s="430"/>
      <c r="H82" s="430"/>
      <c r="I82" s="430"/>
      <c r="J82" s="430"/>
      <c r="K82" s="430"/>
      <c r="L82" s="430"/>
      <c r="M82" s="430"/>
      <c r="N82" s="430"/>
      <c r="O82" s="430"/>
      <c r="P82" s="430"/>
      <c r="Q82" s="430"/>
      <c r="R82" s="430"/>
      <c r="S82" s="430"/>
      <c r="T82" s="430"/>
      <c r="U82" s="430"/>
      <c r="V82" s="430"/>
      <c r="W82" s="430"/>
      <c r="X82" s="430"/>
      <c r="Y82" s="430"/>
      <c r="Z82" s="430"/>
      <c r="AA82" s="430"/>
      <c r="AB82" s="430"/>
      <c r="AC82" s="430"/>
      <c r="AD82" s="430"/>
      <c r="AE82" s="430"/>
      <c r="AF82" s="430"/>
      <c r="AG82" s="430"/>
      <c r="AH82" s="430"/>
      <c r="AI82" s="430"/>
      <c r="AJ82" s="430"/>
      <c r="AK82" s="430"/>
      <c r="AL82" s="430"/>
      <c r="AM82" s="430"/>
      <c r="AN82" s="430"/>
      <c r="AO82" s="430"/>
      <c r="AP82" s="430"/>
      <c r="AQ82" s="430"/>
      <c r="AR82" s="430"/>
      <c r="AS82" s="430"/>
      <c r="AT82" s="430"/>
      <c r="AU82" s="430"/>
      <c r="AV82" s="430"/>
      <c r="AW82" s="430"/>
      <c r="AX82" s="430"/>
      <c r="AY82" s="430"/>
      <c r="AZ82" s="430"/>
      <c r="BA82" s="430"/>
      <c r="BB82" s="430"/>
    </row>
    <row r="83" spans="1:54">
      <c r="A83" s="430"/>
      <c r="B83" s="430"/>
      <c r="C83" s="430"/>
      <c r="D83" s="430"/>
      <c r="E83" s="430"/>
      <c r="F83" s="430"/>
      <c r="G83" s="430"/>
      <c r="H83" s="430"/>
      <c r="I83" s="430"/>
      <c r="J83" s="430"/>
      <c r="K83" s="430"/>
      <c r="L83" s="430"/>
      <c r="M83" s="430"/>
      <c r="N83" s="430"/>
      <c r="O83" s="430"/>
      <c r="P83" s="430"/>
      <c r="Q83" s="430"/>
      <c r="R83" s="430"/>
      <c r="S83" s="430"/>
      <c r="T83" s="430"/>
      <c r="U83" s="430"/>
      <c r="V83" s="430"/>
      <c r="W83" s="430"/>
      <c r="X83" s="430"/>
      <c r="Y83" s="430"/>
      <c r="Z83" s="430"/>
      <c r="AA83" s="430"/>
      <c r="AB83" s="430"/>
      <c r="AC83" s="430"/>
      <c r="AD83" s="430"/>
      <c r="AE83" s="430"/>
      <c r="AF83" s="430"/>
      <c r="AG83" s="430"/>
      <c r="AH83" s="430"/>
      <c r="AI83" s="430"/>
      <c r="AJ83" s="430"/>
      <c r="AK83" s="430"/>
      <c r="AL83" s="430"/>
      <c r="AM83" s="430"/>
      <c r="AN83" s="430"/>
      <c r="AO83" s="430"/>
      <c r="AP83" s="430"/>
      <c r="AQ83" s="430"/>
      <c r="AR83" s="430"/>
      <c r="AS83" s="430"/>
      <c r="AT83" s="430"/>
      <c r="AU83" s="430"/>
      <c r="AV83" s="430"/>
      <c r="AW83" s="430"/>
      <c r="AX83" s="430"/>
      <c r="AY83" s="430"/>
      <c r="AZ83" s="430"/>
      <c r="BA83" s="430"/>
      <c r="BB83" s="430"/>
    </row>
    <row r="84" spans="1:54">
      <c r="A84" s="430"/>
      <c r="B84" s="430"/>
      <c r="C84" s="430"/>
      <c r="D84" s="430"/>
      <c r="E84" s="430"/>
      <c r="F84" s="430"/>
      <c r="G84" s="430"/>
      <c r="H84" s="430"/>
      <c r="I84" s="430"/>
      <c r="J84" s="430"/>
      <c r="K84" s="430"/>
      <c r="L84" s="430"/>
      <c r="M84" s="430"/>
      <c r="N84" s="430"/>
      <c r="O84" s="430"/>
      <c r="P84" s="430"/>
      <c r="Q84" s="430"/>
      <c r="R84" s="430"/>
      <c r="S84" s="430"/>
      <c r="T84" s="430"/>
      <c r="U84" s="430"/>
      <c r="V84" s="430"/>
      <c r="W84" s="430"/>
      <c r="X84" s="430"/>
      <c r="Y84" s="430"/>
      <c r="Z84" s="430"/>
      <c r="AA84" s="430"/>
      <c r="AB84" s="430"/>
      <c r="AC84" s="430"/>
      <c r="AD84" s="430"/>
      <c r="AE84" s="430"/>
      <c r="AF84" s="430"/>
      <c r="AG84" s="430"/>
      <c r="AH84" s="430"/>
      <c r="AI84" s="430"/>
      <c r="AJ84" s="430"/>
      <c r="AK84" s="430"/>
      <c r="AL84" s="430"/>
      <c r="AM84" s="430"/>
      <c r="AN84" s="430"/>
      <c r="AO84" s="430"/>
      <c r="AP84" s="430"/>
      <c r="AQ84" s="430"/>
      <c r="AR84" s="430"/>
      <c r="AS84" s="430"/>
      <c r="AT84" s="430"/>
      <c r="AU84" s="430"/>
      <c r="AV84" s="430"/>
      <c r="AW84" s="430"/>
      <c r="AX84" s="430"/>
      <c r="AY84" s="430"/>
      <c r="AZ84" s="430"/>
      <c r="BA84" s="430"/>
      <c r="BB84" s="430"/>
    </row>
    <row r="85" spans="1:54">
      <c r="A85" s="430"/>
      <c r="B85" s="430"/>
      <c r="C85" s="430"/>
      <c r="D85" s="430"/>
      <c r="E85" s="430"/>
      <c r="F85" s="430"/>
      <c r="G85" s="430"/>
      <c r="H85" s="430"/>
      <c r="I85" s="430"/>
      <c r="J85" s="430"/>
      <c r="K85" s="430"/>
      <c r="L85" s="430"/>
      <c r="M85" s="430"/>
      <c r="N85" s="430"/>
      <c r="O85" s="430"/>
      <c r="P85" s="430"/>
      <c r="Q85" s="430"/>
      <c r="R85" s="430"/>
      <c r="S85" s="430"/>
      <c r="T85" s="430"/>
      <c r="U85" s="430"/>
      <c r="V85" s="430"/>
      <c r="W85" s="430"/>
      <c r="X85" s="430"/>
      <c r="Y85" s="430"/>
      <c r="Z85" s="430"/>
      <c r="AA85" s="430"/>
      <c r="AB85" s="430"/>
      <c r="AC85" s="430"/>
      <c r="AD85" s="430"/>
      <c r="AE85" s="430"/>
      <c r="AF85" s="430"/>
      <c r="AG85" s="430"/>
      <c r="AH85" s="430"/>
      <c r="AI85" s="430"/>
      <c r="AJ85" s="430"/>
      <c r="AK85" s="430"/>
      <c r="AL85" s="430"/>
      <c r="AM85" s="430"/>
      <c r="AN85" s="430"/>
      <c r="AO85" s="430"/>
      <c r="AP85" s="430"/>
      <c r="AQ85" s="430"/>
      <c r="AR85" s="430"/>
      <c r="AS85" s="430"/>
      <c r="AT85" s="430"/>
      <c r="AU85" s="430"/>
      <c r="AV85" s="430"/>
      <c r="AW85" s="430"/>
      <c r="AX85" s="430"/>
      <c r="AY85" s="430"/>
      <c r="AZ85" s="430"/>
      <c r="BA85" s="430"/>
      <c r="BB85" s="430"/>
    </row>
    <row r="86" spans="1:54">
      <c r="A86" s="430"/>
      <c r="B86" s="430"/>
      <c r="C86" s="430"/>
      <c r="D86" s="430"/>
      <c r="E86" s="430"/>
      <c r="F86" s="430"/>
      <c r="G86" s="430"/>
      <c r="H86" s="430"/>
      <c r="I86" s="430"/>
      <c r="J86" s="430"/>
      <c r="K86" s="430"/>
      <c r="L86" s="430"/>
      <c r="M86" s="430"/>
      <c r="N86" s="430"/>
      <c r="O86" s="430"/>
      <c r="P86" s="430"/>
      <c r="Q86" s="430"/>
      <c r="R86" s="430"/>
      <c r="S86" s="430"/>
      <c r="T86" s="430"/>
      <c r="U86" s="430"/>
      <c r="V86" s="430"/>
      <c r="W86" s="430"/>
      <c r="X86" s="430"/>
      <c r="Y86" s="430"/>
      <c r="Z86" s="430"/>
      <c r="AA86" s="430"/>
      <c r="AB86" s="430"/>
      <c r="AC86" s="430"/>
      <c r="AD86" s="430"/>
      <c r="AE86" s="430"/>
      <c r="AF86" s="430"/>
      <c r="AG86" s="430"/>
      <c r="AH86" s="430"/>
      <c r="AI86" s="430"/>
      <c r="AJ86" s="430"/>
      <c r="AK86" s="430"/>
      <c r="AL86" s="430"/>
      <c r="AM86" s="430"/>
      <c r="AN86" s="430"/>
      <c r="AO86" s="430"/>
      <c r="AP86" s="430"/>
      <c r="AQ86" s="430"/>
      <c r="AR86" s="430"/>
      <c r="AS86" s="430"/>
      <c r="AT86" s="430"/>
      <c r="AU86" s="430"/>
      <c r="AV86" s="430"/>
      <c r="AW86" s="430"/>
      <c r="AX86" s="430"/>
      <c r="AY86" s="430"/>
      <c r="AZ86" s="430"/>
      <c r="BA86" s="430"/>
      <c r="BB86" s="430"/>
    </row>
    <row r="87" spans="1:54">
      <c r="A87" s="430"/>
      <c r="B87" s="430"/>
      <c r="C87" s="430"/>
      <c r="D87" s="430"/>
      <c r="E87" s="430"/>
      <c r="F87" s="430"/>
      <c r="G87" s="430"/>
      <c r="H87" s="430"/>
      <c r="I87" s="430"/>
      <c r="J87" s="430"/>
      <c r="K87" s="430"/>
      <c r="L87" s="430"/>
      <c r="M87" s="430"/>
      <c r="N87" s="430"/>
      <c r="O87" s="430"/>
      <c r="P87" s="430"/>
      <c r="Q87" s="430"/>
      <c r="R87" s="430"/>
      <c r="S87" s="430"/>
      <c r="T87" s="430"/>
      <c r="U87" s="430"/>
      <c r="V87" s="430"/>
      <c r="W87" s="430"/>
      <c r="X87" s="430"/>
      <c r="Y87" s="430"/>
      <c r="Z87" s="430"/>
      <c r="AA87" s="430"/>
      <c r="AB87" s="430"/>
      <c r="AC87" s="430"/>
      <c r="AD87" s="430"/>
      <c r="AE87" s="430"/>
      <c r="AF87" s="430"/>
      <c r="AG87" s="430"/>
      <c r="AH87" s="430"/>
      <c r="AI87" s="430"/>
      <c r="AJ87" s="430"/>
      <c r="AK87" s="430"/>
      <c r="AL87" s="430"/>
      <c r="AM87" s="430"/>
      <c r="AN87" s="430"/>
      <c r="AO87" s="430"/>
      <c r="AP87" s="430"/>
      <c r="AQ87" s="430"/>
      <c r="AR87" s="430"/>
      <c r="AS87" s="430"/>
      <c r="AT87" s="430"/>
      <c r="AU87" s="430"/>
      <c r="AV87" s="430"/>
      <c r="AW87" s="430"/>
      <c r="AX87" s="430"/>
      <c r="AY87" s="430"/>
      <c r="AZ87" s="430"/>
      <c r="BA87" s="430"/>
      <c r="BB87" s="430"/>
    </row>
    <row r="88" spans="1:54">
      <c r="A88" s="430"/>
      <c r="B88" s="430"/>
      <c r="C88" s="430"/>
      <c r="D88" s="430"/>
      <c r="E88" s="430"/>
      <c r="F88" s="430"/>
      <c r="G88" s="430"/>
      <c r="H88" s="430"/>
      <c r="I88" s="430"/>
      <c r="J88" s="430"/>
      <c r="K88" s="430"/>
      <c r="L88" s="430"/>
      <c r="M88" s="430"/>
      <c r="N88" s="430"/>
      <c r="O88" s="430"/>
      <c r="P88" s="430"/>
      <c r="Q88" s="430"/>
      <c r="R88" s="430"/>
      <c r="S88" s="430"/>
      <c r="T88" s="430"/>
      <c r="U88" s="430"/>
      <c r="V88" s="430"/>
      <c r="W88" s="430"/>
      <c r="X88" s="430"/>
      <c r="Y88" s="430"/>
      <c r="Z88" s="430"/>
      <c r="AA88" s="430"/>
      <c r="AB88" s="430"/>
      <c r="AC88" s="430"/>
      <c r="AD88" s="430"/>
      <c r="AE88" s="430"/>
      <c r="AF88" s="430"/>
      <c r="AG88" s="430"/>
      <c r="AH88" s="430"/>
      <c r="AI88" s="430"/>
      <c r="AJ88" s="430"/>
      <c r="AK88" s="430"/>
      <c r="AL88" s="430"/>
      <c r="AM88" s="430"/>
      <c r="AN88" s="430"/>
      <c r="AO88" s="430"/>
      <c r="AP88" s="430"/>
      <c r="AQ88" s="430"/>
      <c r="AR88" s="430"/>
      <c r="AS88" s="430"/>
      <c r="AT88" s="430"/>
      <c r="AU88" s="430"/>
      <c r="AV88" s="430"/>
      <c r="AW88" s="430"/>
      <c r="AX88" s="430"/>
      <c r="AY88" s="430"/>
      <c r="AZ88" s="430"/>
      <c r="BA88" s="430"/>
      <c r="BB88" s="430"/>
    </row>
    <row r="89" spans="1:54">
      <c r="A89" s="430"/>
      <c r="B89" s="430"/>
      <c r="C89" s="430"/>
      <c r="D89" s="430"/>
      <c r="E89" s="430"/>
      <c r="F89" s="430"/>
      <c r="G89" s="430"/>
      <c r="H89" s="430"/>
      <c r="I89" s="430"/>
      <c r="J89" s="430"/>
      <c r="K89" s="430"/>
      <c r="L89" s="430"/>
      <c r="M89" s="430"/>
      <c r="N89" s="430"/>
      <c r="O89" s="430"/>
      <c r="P89" s="430"/>
      <c r="Q89" s="430"/>
      <c r="R89" s="430"/>
      <c r="S89" s="430"/>
      <c r="T89" s="430"/>
      <c r="U89" s="430"/>
      <c r="V89" s="430"/>
      <c r="W89" s="430"/>
      <c r="X89" s="430"/>
      <c r="Y89" s="430"/>
      <c r="Z89" s="430"/>
      <c r="AA89" s="430"/>
      <c r="AB89" s="430"/>
      <c r="AC89" s="430"/>
      <c r="AD89" s="430"/>
      <c r="AE89" s="430"/>
      <c r="AF89" s="430"/>
      <c r="AG89" s="430"/>
      <c r="AH89" s="430"/>
      <c r="AI89" s="430"/>
      <c r="AJ89" s="430"/>
      <c r="AK89" s="430"/>
      <c r="AL89" s="430"/>
      <c r="AM89" s="430"/>
      <c r="AN89" s="430"/>
      <c r="AO89" s="430"/>
      <c r="AP89" s="430"/>
      <c r="AQ89" s="430"/>
      <c r="AR89" s="430"/>
      <c r="AS89" s="430"/>
      <c r="AT89" s="430"/>
      <c r="AU89" s="430"/>
      <c r="AV89" s="430"/>
      <c r="AW89" s="430"/>
      <c r="AX89" s="430"/>
      <c r="AY89" s="430"/>
      <c r="AZ89" s="430"/>
      <c r="BA89" s="430"/>
      <c r="BB89" s="430"/>
    </row>
    <row r="90" spans="1:54">
      <c r="A90" s="430"/>
      <c r="B90" s="430"/>
      <c r="C90" s="430"/>
      <c r="D90" s="430"/>
      <c r="E90" s="430"/>
      <c r="F90" s="430"/>
      <c r="G90" s="430"/>
      <c r="H90" s="430"/>
      <c r="I90" s="430"/>
      <c r="J90" s="430"/>
      <c r="K90" s="430"/>
      <c r="L90" s="430"/>
      <c r="M90" s="430"/>
      <c r="N90" s="430"/>
      <c r="O90" s="430"/>
      <c r="P90" s="430"/>
      <c r="Q90" s="430"/>
      <c r="R90" s="430"/>
      <c r="S90" s="430"/>
      <c r="T90" s="430"/>
      <c r="U90" s="430"/>
      <c r="V90" s="430"/>
      <c r="W90" s="430"/>
      <c r="X90" s="430"/>
      <c r="Y90" s="430"/>
      <c r="Z90" s="430"/>
      <c r="AA90" s="430"/>
      <c r="AB90" s="430"/>
      <c r="AC90" s="430"/>
      <c r="AD90" s="430"/>
      <c r="AE90" s="430"/>
      <c r="AF90" s="430"/>
      <c r="AG90" s="430"/>
      <c r="AH90" s="430"/>
      <c r="AI90" s="430"/>
      <c r="AJ90" s="430"/>
      <c r="AK90" s="430"/>
      <c r="AL90" s="430"/>
      <c r="AM90" s="430"/>
      <c r="AN90" s="430"/>
      <c r="AO90" s="430"/>
      <c r="AP90" s="430"/>
      <c r="AQ90" s="430"/>
      <c r="AR90" s="430"/>
      <c r="AS90" s="430"/>
      <c r="AT90" s="430"/>
      <c r="AU90" s="430"/>
      <c r="AV90" s="430"/>
      <c r="AW90" s="430"/>
      <c r="AX90" s="430"/>
      <c r="AY90" s="430"/>
      <c r="AZ90" s="430"/>
      <c r="BA90" s="430"/>
      <c r="BB90" s="430"/>
    </row>
    <row r="91" spans="1:54">
      <c r="A91" s="430"/>
      <c r="B91" s="430"/>
      <c r="C91" s="430"/>
      <c r="D91" s="430"/>
      <c r="E91" s="430"/>
      <c r="F91" s="430"/>
      <c r="G91" s="430"/>
      <c r="H91" s="430"/>
      <c r="I91" s="430"/>
      <c r="J91" s="430"/>
      <c r="K91" s="430"/>
      <c r="L91" s="430"/>
      <c r="M91" s="430"/>
      <c r="N91" s="430"/>
      <c r="O91" s="430"/>
      <c r="P91" s="430"/>
      <c r="Q91" s="430"/>
      <c r="R91" s="430"/>
      <c r="S91" s="430"/>
      <c r="T91" s="430"/>
      <c r="U91" s="430"/>
      <c r="V91" s="430"/>
      <c r="W91" s="430"/>
      <c r="X91" s="430"/>
      <c r="Y91" s="430"/>
      <c r="Z91" s="430"/>
      <c r="AA91" s="430"/>
      <c r="AB91" s="430"/>
      <c r="AC91" s="430"/>
      <c r="AD91" s="430"/>
      <c r="AE91" s="430"/>
      <c r="AF91" s="430"/>
      <c r="AG91" s="430"/>
      <c r="AH91" s="430"/>
      <c r="AI91" s="430"/>
      <c r="AJ91" s="430"/>
      <c r="AK91" s="430"/>
      <c r="AL91" s="430"/>
      <c r="AM91" s="430"/>
      <c r="AN91" s="430"/>
      <c r="AO91" s="430"/>
      <c r="AP91" s="430"/>
      <c r="AQ91" s="430"/>
      <c r="AR91" s="430"/>
      <c r="AS91" s="430"/>
      <c r="AT91" s="430"/>
      <c r="AU91" s="430"/>
      <c r="AV91" s="430"/>
      <c r="AW91" s="430"/>
      <c r="AX91" s="430"/>
      <c r="AY91" s="430"/>
      <c r="AZ91" s="430"/>
      <c r="BA91" s="430"/>
      <c r="BB91" s="430"/>
    </row>
    <row r="92" spans="1:54">
      <c r="A92" s="430"/>
      <c r="B92" s="430"/>
      <c r="C92" s="430"/>
      <c r="D92" s="430"/>
      <c r="E92" s="430"/>
      <c r="F92" s="430"/>
      <c r="G92" s="430"/>
      <c r="H92" s="430"/>
      <c r="I92" s="430"/>
      <c r="J92" s="430"/>
      <c r="K92" s="430"/>
      <c r="L92" s="430"/>
      <c r="M92" s="430"/>
      <c r="N92" s="430"/>
      <c r="O92" s="430"/>
      <c r="P92" s="430"/>
      <c r="Q92" s="430"/>
      <c r="R92" s="430"/>
      <c r="S92" s="430"/>
      <c r="T92" s="430"/>
      <c r="U92" s="430"/>
      <c r="V92" s="430"/>
      <c r="W92" s="430"/>
      <c r="X92" s="430"/>
      <c r="Y92" s="430"/>
      <c r="Z92" s="430"/>
      <c r="AA92" s="430"/>
      <c r="AB92" s="430"/>
      <c r="AC92" s="430"/>
      <c r="AD92" s="430"/>
      <c r="AE92" s="430"/>
      <c r="AF92" s="430"/>
      <c r="AG92" s="430"/>
      <c r="AH92" s="430"/>
      <c r="AI92" s="430"/>
      <c r="AJ92" s="430"/>
      <c r="AK92" s="430"/>
      <c r="AL92" s="430"/>
      <c r="AM92" s="430"/>
      <c r="AN92" s="430"/>
      <c r="AO92" s="430"/>
      <c r="AP92" s="430"/>
      <c r="AQ92" s="430"/>
      <c r="AR92" s="430"/>
      <c r="AS92" s="430"/>
      <c r="AT92" s="430"/>
      <c r="AU92" s="430"/>
      <c r="AV92" s="430"/>
      <c r="AW92" s="430"/>
      <c r="AX92" s="430"/>
      <c r="AY92" s="430"/>
      <c r="AZ92" s="430"/>
      <c r="BA92" s="430"/>
      <c r="BB92" s="430"/>
    </row>
    <row r="93" spans="1:54">
      <c r="A93" s="430"/>
      <c r="B93" s="430"/>
      <c r="C93" s="430"/>
      <c r="D93" s="430"/>
      <c r="E93" s="430"/>
      <c r="F93" s="430"/>
      <c r="G93" s="430"/>
      <c r="H93" s="430"/>
      <c r="I93" s="430"/>
      <c r="J93" s="430"/>
      <c r="K93" s="430"/>
      <c r="L93" s="430"/>
      <c r="M93" s="430"/>
      <c r="N93" s="430"/>
      <c r="O93" s="430"/>
      <c r="P93" s="430"/>
      <c r="Q93" s="430"/>
      <c r="R93" s="430"/>
      <c r="S93" s="430"/>
      <c r="T93" s="430"/>
      <c r="U93" s="430"/>
      <c r="V93" s="430"/>
      <c r="W93" s="430"/>
      <c r="X93" s="430"/>
      <c r="Y93" s="430"/>
      <c r="Z93" s="430"/>
      <c r="AA93" s="430"/>
      <c r="AB93" s="430"/>
      <c r="AC93" s="430"/>
      <c r="AD93" s="430"/>
      <c r="AE93" s="430"/>
      <c r="AF93" s="430"/>
      <c r="AG93" s="430"/>
      <c r="AH93" s="430"/>
      <c r="AI93" s="430"/>
      <c r="AJ93" s="430"/>
      <c r="AK93" s="430"/>
      <c r="AL93" s="430"/>
      <c r="AM93" s="430"/>
      <c r="AN93" s="430"/>
      <c r="AO93" s="430"/>
      <c r="AP93" s="430"/>
      <c r="AQ93" s="430"/>
      <c r="AR93" s="430"/>
      <c r="AS93" s="430"/>
      <c r="AT93" s="430"/>
      <c r="AU93" s="430"/>
      <c r="AV93" s="430"/>
      <c r="AW93" s="430"/>
      <c r="AX93" s="430"/>
      <c r="AY93" s="430"/>
      <c r="AZ93" s="430"/>
      <c r="BA93" s="430"/>
      <c r="BB93" s="430"/>
    </row>
    <row r="94" spans="1:54">
      <c r="A94" s="430"/>
      <c r="B94" s="430"/>
      <c r="C94" s="430"/>
      <c r="D94" s="430"/>
      <c r="E94" s="430"/>
      <c r="F94" s="430"/>
      <c r="G94" s="430"/>
      <c r="H94" s="430"/>
      <c r="I94" s="430"/>
      <c r="J94" s="430"/>
      <c r="K94" s="430"/>
      <c r="L94" s="430"/>
      <c r="M94" s="430"/>
      <c r="N94" s="430"/>
      <c r="O94" s="430"/>
      <c r="P94" s="430"/>
      <c r="Q94" s="430"/>
      <c r="R94" s="430"/>
      <c r="S94" s="430"/>
      <c r="T94" s="430"/>
      <c r="U94" s="430"/>
      <c r="V94" s="430"/>
      <c r="W94" s="430"/>
      <c r="X94" s="430"/>
      <c r="Y94" s="430"/>
      <c r="Z94" s="430"/>
      <c r="AA94" s="430"/>
      <c r="AB94" s="430"/>
      <c r="AC94" s="430"/>
      <c r="AD94" s="430"/>
      <c r="AE94" s="430"/>
      <c r="AF94" s="430"/>
      <c r="AG94" s="430"/>
      <c r="AH94" s="430"/>
      <c r="AI94" s="430"/>
      <c r="AJ94" s="430"/>
      <c r="AK94" s="430"/>
      <c r="AL94" s="430"/>
      <c r="AM94" s="430"/>
      <c r="AN94" s="430"/>
      <c r="AO94" s="430"/>
      <c r="AP94" s="430"/>
      <c r="AQ94" s="430"/>
      <c r="AR94" s="430"/>
      <c r="AS94" s="430"/>
      <c r="AT94" s="430"/>
      <c r="AU94" s="430"/>
      <c r="AV94" s="430"/>
      <c r="AW94" s="430"/>
      <c r="AX94" s="430"/>
      <c r="AY94" s="430"/>
      <c r="AZ94" s="430"/>
      <c r="BA94" s="430"/>
      <c r="BB94" s="430"/>
    </row>
    <row r="95" spans="1:54">
      <c r="A95" s="430"/>
      <c r="B95" s="430"/>
      <c r="C95" s="430"/>
      <c r="D95" s="430"/>
      <c r="E95" s="430"/>
      <c r="F95" s="430"/>
      <c r="G95" s="430"/>
      <c r="H95" s="430"/>
      <c r="I95" s="430"/>
      <c r="J95" s="430"/>
      <c r="K95" s="430"/>
      <c r="L95" s="430"/>
      <c r="M95" s="430"/>
      <c r="N95" s="430"/>
      <c r="O95" s="430"/>
      <c r="P95" s="430"/>
      <c r="Q95" s="430"/>
      <c r="R95" s="430"/>
      <c r="S95" s="430"/>
      <c r="T95" s="430"/>
      <c r="U95" s="430"/>
      <c r="V95" s="430"/>
      <c r="W95" s="430"/>
      <c r="X95" s="430"/>
      <c r="Y95" s="430"/>
      <c r="Z95" s="430"/>
      <c r="AA95" s="430"/>
      <c r="AB95" s="430"/>
      <c r="AC95" s="430"/>
      <c r="AD95" s="430"/>
      <c r="AE95" s="430"/>
      <c r="AF95" s="430"/>
      <c r="AG95" s="430"/>
      <c r="AH95" s="430"/>
      <c r="AI95" s="430"/>
      <c r="AJ95" s="430"/>
      <c r="AK95" s="430"/>
      <c r="AL95" s="430"/>
      <c r="AM95" s="430"/>
      <c r="AN95" s="430"/>
      <c r="AO95" s="430"/>
      <c r="AP95" s="430"/>
      <c r="AQ95" s="430"/>
      <c r="AR95" s="430"/>
      <c r="AS95" s="430"/>
      <c r="AT95" s="430"/>
      <c r="AU95" s="430"/>
      <c r="AV95" s="430"/>
      <c r="AW95" s="430"/>
      <c r="AX95" s="430"/>
      <c r="AY95" s="430"/>
      <c r="AZ95" s="430"/>
      <c r="BA95" s="430"/>
      <c r="BB95" s="430"/>
    </row>
    <row r="96" spans="1:54">
      <c r="A96" s="430"/>
      <c r="B96" s="430"/>
      <c r="C96" s="430"/>
      <c r="D96" s="430"/>
      <c r="E96" s="430"/>
      <c r="F96" s="430"/>
      <c r="G96" s="430"/>
      <c r="H96" s="430"/>
      <c r="I96" s="430"/>
      <c r="J96" s="430"/>
      <c r="K96" s="430"/>
      <c r="L96" s="430"/>
      <c r="M96" s="430"/>
      <c r="N96" s="430"/>
      <c r="O96" s="430"/>
      <c r="P96" s="430"/>
      <c r="Q96" s="430"/>
      <c r="R96" s="430"/>
      <c r="S96" s="430"/>
      <c r="T96" s="430"/>
      <c r="U96" s="430"/>
      <c r="V96" s="430"/>
      <c r="W96" s="430"/>
      <c r="X96" s="430"/>
      <c r="Y96" s="430"/>
      <c r="Z96" s="430"/>
      <c r="AA96" s="430"/>
      <c r="AB96" s="430"/>
      <c r="AC96" s="430"/>
      <c r="AD96" s="430"/>
      <c r="AE96" s="430"/>
      <c r="AF96" s="430"/>
      <c r="AG96" s="430"/>
      <c r="AH96" s="430"/>
      <c r="AI96" s="430"/>
      <c r="AJ96" s="430"/>
      <c r="AK96" s="430"/>
      <c r="AL96" s="430"/>
      <c r="AM96" s="430"/>
      <c r="AN96" s="430"/>
      <c r="AO96" s="430"/>
      <c r="AP96" s="430"/>
      <c r="AQ96" s="430"/>
      <c r="AR96" s="430"/>
      <c r="AS96" s="430"/>
      <c r="AT96" s="430"/>
      <c r="AU96" s="430"/>
      <c r="AV96" s="430"/>
      <c r="AW96" s="430"/>
      <c r="AX96" s="430"/>
      <c r="AY96" s="430"/>
      <c r="AZ96" s="430"/>
      <c r="BA96" s="430"/>
      <c r="BB96" s="430"/>
    </row>
    <row r="97" spans="1:54">
      <c r="A97" s="430"/>
      <c r="B97" s="430"/>
      <c r="C97" s="430"/>
      <c r="D97" s="430"/>
      <c r="E97" s="430"/>
      <c r="F97" s="430"/>
      <c r="G97" s="430"/>
      <c r="H97" s="430"/>
      <c r="I97" s="430"/>
      <c r="J97" s="430"/>
      <c r="K97" s="430"/>
      <c r="L97" s="430"/>
      <c r="M97" s="430"/>
      <c r="N97" s="430"/>
      <c r="O97" s="430"/>
      <c r="P97" s="430"/>
      <c r="Q97" s="430"/>
      <c r="R97" s="430"/>
      <c r="S97" s="430"/>
      <c r="T97" s="430"/>
      <c r="U97" s="430"/>
      <c r="V97" s="430"/>
      <c r="W97" s="430"/>
      <c r="X97" s="430"/>
      <c r="Y97" s="430"/>
      <c r="Z97" s="430"/>
      <c r="AA97" s="430"/>
      <c r="AB97" s="430"/>
      <c r="AC97" s="430"/>
      <c r="AD97" s="430"/>
      <c r="AE97" s="430"/>
      <c r="AF97" s="430"/>
      <c r="AG97" s="430"/>
      <c r="AH97" s="430"/>
      <c r="AI97" s="430"/>
      <c r="AJ97" s="430"/>
      <c r="AK97" s="430"/>
      <c r="AL97" s="430"/>
      <c r="AM97" s="430"/>
      <c r="AN97" s="430"/>
      <c r="AO97" s="430"/>
      <c r="AP97" s="430"/>
      <c r="AQ97" s="430"/>
      <c r="AR97" s="430"/>
      <c r="AS97" s="430"/>
      <c r="AT97" s="430"/>
      <c r="AU97" s="430"/>
      <c r="AV97" s="430"/>
      <c r="AW97" s="430"/>
      <c r="AX97" s="430"/>
      <c r="AY97" s="430"/>
      <c r="AZ97" s="430"/>
      <c r="BA97" s="430"/>
      <c r="BB97" s="430"/>
    </row>
    <row r="98" spans="1:54">
      <c r="A98" s="430"/>
      <c r="B98" s="430"/>
      <c r="C98" s="430"/>
      <c r="D98" s="430"/>
      <c r="E98" s="430"/>
      <c r="F98" s="430"/>
      <c r="G98" s="430"/>
      <c r="H98" s="430"/>
      <c r="I98" s="430"/>
      <c r="J98" s="430"/>
      <c r="K98" s="430"/>
      <c r="L98" s="430"/>
      <c r="M98" s="430"/>
      <c r="N98" s="430"/>
      <c r="O98" s="430"/>
      <c r="P98" s="430"/>
      <c r="Q98" s="430"/>
      <c r="R98" s="430"/>
      <c r="S98" s="430"/>
      <c r="T98" s="430"/>
      <c r="U98" s="430"/>
      <c r="V98" s="430"/>
      <c r="W98" s="430"/>
      <c r="X98" s="430"/>
      <c r="Y98" s="430"/>
      <c r="Z98" s="430"/>
      <c r="AA98" s="430"/>
      <c r="AB98" s="430"/>
      <c r="AC98" s="430"/>
      <c r="AD98" s="430"/>
      <c r="AE98" s="430"/>
      <c r="AF98" s="430"/>
      <c r="AG98" s="430"/>
      <c r="AH98" s="430"/>
      <c r="AI98" s="430"/>
      <c r="AJ98" s="430"/>
      <c r="AK98" s="430"/>
      <c r="AL98" s="430"/>
      <c r="AM98" s="430"/>
      <c r="AN98" s="430"/>
      <c r="AO98" s="430"/>
      <c r="AP98" s="430"/>
      <c r="AQ98" s="430"/>
      <c r="AR98" s="430"/>
      <c r="AS98" s="430"/>
      <c r="AT98" s="430"/>
      <c r="AU98" s="430"/>
      <c r="AV98" s="430"/>
      <c r="AW98" s="430"/>
      <c r="AX98" s="430"/>
      <c r="AY98" s="430"/>
      <c r="AZ98" s="430"/>
      <c r="BA98" s="430"/>
      <c r="BB98" s="430"/>
    </row>
    <row r="99" spans="1:54">
      <c r="A99" s="430"/>
      <c r="B99" s="430"/>
      <c r="C99" s="430"/>
      <c r="D99" s="430"/>
      <c r="E99" s="430"/>
      <c r="F99" s="430"/>
      <c r="G99" s="430"/>
      <c r="H99" s="430"/>
      <c r="I99" s="430"/>
      <c r="J99" s="430"/>
      <c r="K99" s="430"/>
      <c r="L99" s="430"/>
      <c r="M99" s="430"/>
      <c r="N99" s="430"/>
      <c r="O99" s="430"/>
      <c r="P99" s="430"/>
      <c r="Q99" s="430"/>
      <c r="R99" s="430"/>
      <c r="S99" s="430"/>
      <c r="T99" s="430"/>
      <c r="U99" s="430"/>
      <c r="V99" s="430"/>
      <c r="W99" s="430"/>
      <c r="X99" s="430"/>
      <c r="Y99" s="430"/>
      <c r="Z99" s="430"/>
      <c r="AA99" s="430"/>
      <c r="AB99" s="430"/>
      <c r="AC99" s="430"/>
      <c r="AD99" s="430"/>
      <c r="AE99" s="430"/>
      <c r="AF99" s="430"/>
      <c r="AG99" s="430"/>
      <c r="AH99" s="430"/>
      <c r="AI99" s="430"/>
      <c r="AJ99" s="430"/>
      <c r="AK99" s="430"/>
      <c r="AL99" s="430"/>
      <c r="AM99" s="430"/>
      <c r="AN99" s="430"/>
      <c r="AO99" s="430"/>
      <c r="AP99" s="430"/>
      <c r="AQ99" s="430"/>
      <c r="AR99" s="430"/>
      <c r="AS99" s="430"/>
      <c r="AT99" s="430"/>
      <c r="AU99" s="430"/>
      <c r="AV99" s="430"/>
      <c r="AW99" s="430"/>
      <c r="AX99" s="430"/>
      <c r="AY99" s="430"/>
      <c r="AZ99" s="430"/>
      <c r="BA99" s="430"/>
      <c r="BB99" s="430"/>
    </row>
    <row r="100" spans="1:54">
      <c r="A100" s="430"/>
      <c r="B100" s="430"/>
      <c r="C100" s="430"/>
      <c r="D100" s="430"/>
      <c r="E100" s="430"/>
      <c r="F100" s="430"/>
      <c r="G100" s="430"/>
      <c r="H100" s="430"/>
      <c r="I100" s="430"/>
      <c r="J100" s="430"/>
      <c r="K100" s="430"/>
      <c r="L100" s="430"/>
      <c r="M100" s="430"/>
      <c r="N100" s="430"/>
      <c r="O100" s="430"/>
      <c r="P100" s="430"/>
      <c r="Q100" s="430"/>
      <c r="R100" s="430"/>
      <c r="S100" s="430"/>
      <c r="T100" s="430"/>
      <c r="U100" s="430"/>
      <c r="V100" s="430"/>
      <c r="W100" s="430"/>
      <c r="X100" s="430"/>
      <c r="Y100" s="430"/>
      <c r="Z100" s="430"/>
      <c r="AA100" s="430"/>
      <c r="AB100" s="430"/>
      <c r="AC100" s="430"/>
      <c r="AD100" s="430"/>
      <c r="AE100" s="430"/>
      <c r="AF100" s="430"/>
      <c r="AG100" s="430"/>
      <c r="AH100" s="430"/>
      <c r="AI100" s="430"/>
      <c r="AJ100" s="430"/>
      <c r="AK100" s="430"/>
      <c r="AL100" s="430"/>
      <c r="AM100" s="430"/>
      <c r="AN100" s="430"/>
      <c r="AO100" s="430"/>
      <c r="AP100" s="430"/>
      <c r="AQ100" s="430"/>
      <c r="AR100" s="430"/>
      <c r="AS100" s="430"/>
      <c r="AT100" s="430"/>
      <c r="AU100" s="430"/>
      <c r="AV100" s="430"/>
      <c r="AW100" s="430"/>
      <c r="AX100" s="430"/>
      <c r="AY100" s="430"/>
      <c r="AZ100" s="430"/>
      <c r="BA100" s="430"/>
      <c r="BB100" s="430"/>
    </row>
    <row r="101" spans="1:54">
      <c r="A101" s="430"/>
      <c r="B101" s="430"/>
      <c r="C101" s="430"/>
      <c r="D101" s="430"/>
      <c r="E101" s="430"/>
      <c r="F101" s="430"/>
      <c r="G101" s="430"/>
      <c r="H101" s="430"/>
      <c r="I101" s="430"/>
      <c r="J101" s="430"/>
      <c r="K101" s="430"/>
      <c r="L101" s="430"/>
      <c r="M101" s="430"/>
      <c r="N101" s="430"/>
      <c r="O101" s="430"/>
      <c r="P101" s="430"/>
      <c r="Q101" s="430"/>
      <c r="R101" s="430"/>
      <c r="S101" s="430"/>
      <c r="T101" s="430"/>
      <c r="U101" s="430"/>
      <c r="V101" s="430"/>
      <c r="W101" s="430"/>
      <c r="X101" s="430"/>
      <c r="Y101" s="430"/>
      <c r="Z101" s="430"/>
      <c r="AA101" s="430"/>
      <c r="AB101" s="430"/>
      <c r="AC101" s="430"/>
      <c r="AD101" s="430"/>
      <c r="AE101" s="430"/>
      <c r="AF101" s="430"/>
      <c r="AG101" s="430"/>
      <c r="AH101" s="430"/>
      <c r="AI101" s="430"/>
      <c r="AJ101" s="430"/>
      <c r="AK101" s="430"/>
      <c r="AL101" s="430"/>
      <c r="AM101" s="430"/>
      <c r="AN101" s="430"/>
      <c r="AO101" s="430"/>
      <c r="AP101" s="430"/>
      <c r="AQ101" s="430"/>
      <c r="AR101" s="430"/>
      <c r="AS101" s="430"/>
      <c r="AT101" s="430"/>
      <c r="AU101" s="430"/>
      <c r="AV101" s="430"/>
      <c r="AW101" s="430"/>
      <c r="AX101" s="430"/>
      <c r="AY101" s="430"/>
      <c r="AZ101" s="430"/>
      <c r="BA101" s="430"/>
      <c r="BB101" s="430"/>
    </row>
    <row r="102" spans="1:54">
      <c r="A102" s="430"/>
      <c r="B102" s="430"/>
      <c r="C102" s="430"/>
      <c r="D102" s="430"/>
      <c r="E102" s="430"/>
      <c r="F102" s="430"/>
      <c r="G102" s="430"/>
      <c r="H102" s="430"/>
      <c r="I102" s="430"/>
      <c r="J102" s="430"/>
      <c r="K102" s="430"/>
      <c r="L102" s="430"/>
      <c r="M102" s="430"/>
      <c r="N102" s="430"/>
      <c r="O102" s="430"/>
      <c r="P102" s="430"/>
      <c r="Q102" s="430"/>
      <c r="R102" s="430"/>
      <c r="S102" s="430"/>
      <c r="T102" s="430"/>
      <c r="U102" s="430"/>
      <c r="V102" s="430"/>
      <c r="W102" s="430"/>
      <c r="X102" s="430"/>
      <c r="Y102" s="430"/>
      <c r="Z102" s="430"/>
      <c r="AA102" s="430"/>
      <c r="AB102" s="430"/>
      <c r="AC102" s="430"/>
      <c r="AD102" s="430"/>
      <c r="AE102" s="430"/>
      <c r="AF102" s="430"/>
      <c r="AG102" s="430"/>
      <c r="AH102" s="430"/>
      <c r="AI102" s="430"/>
      <c r="AJ102" s="430"/>
      <c r="AK102" s="430"/>
      <c r="AL102" s="430"/>
      <c r="AM102" s="430"/>
      <c r="AN102" s="430"/>
      <c r="AO102" s="430"/>
      <c r="AP102" s="430"/>
      <c r="AQ102" s="430"/>
      <c r="AR102" s="430"/>
      <c r="AS102" s="430"/>
      <c r="AT102" s="430"/>
      <c r="AU102" s="430"/>
      <c r="AV102" s="430"/>
      <c r="AW102" s="430"/>
      <c r="AX102" s="430"/>
      <c r="AY102" s="430"/>
      <c r="AZ102" s="430"/>
      <c r="BA102" s="430"/>
      <c r="BB102" s="430"/>
    </row>
    <row r="103" spans="1:54">
      <c r="A103" s="430"/>
      <c r="B103" s="430"/>
      <c r="C103" s="430"/>
      <c r="D103" s="430"/>
      <c r="E103" s="430"/>
      <c r="F103" s="430"/>
      <c r="G103" s="430"/>
      <c r="H103" s="430"/>
      <c r="I103" s="430"/>
      <c r="J103" s="430"/>
      <c r="K103" s="430"/>
      <c r="L103" s="430"/>
      <c r="M103" s="430"/>
      <c r="N103" s="430"/>
      <c r="O103" s="430"/>
      <c r="P103" s="430"/>
      <c r="Q103" s="430"/>
      <c r="R103" s="430"/>
      <c r="S103" s="430"/>
      <c r="T103" s="430"/>
      <c r="U103" s="430"/>
      <c r="V103" s="430"/>
      <c r="W103" s="430"/>
      <c r="X103" s="430"/>
      <c r="Y103" s="430"/>
      <c r="Z103" s="430"/>
      <c r="AA103" s="430"/>
      <c r="AB103" s="430"/>
      <c r="AC103" s="430"/>
      <c r="AD103" s="430"/>
      <c r="AE103" s="430"/>
      <c r="AF103" s="430"/>
      <c r="AG103" s="430"/>
      <c r="AH103" s="430"/>
      <c r="AI103" s="430"/>
      <c r="AJ103" s="430"/>
      <c r="AK103" s="430"/>
      <c r="AL103" s="430"/>
      <c r="AM103" s="430"/>
      <c r="AN103" s="430"/>
      <c r="AO103" s="430"/>
      <c r="AP103" s="430"/>
      <c r="AQ103" s="430"/>
      <c r="AR103" s="430"/>
      <c r="AS103" s="430"/>
      <c r="AT103" s="430"/>
      <c r="AU103" s="430"/>
      <c r="AV103" s="430"/>
      <c r="AW103" s="430"/>
      <c r="AX103" s="430"/>
      <c r="AY103" s="430"/>
      <c r="AZ103" s="430"/>
      <c r="BA103" s="430"/>
      <c r="BB103" s="430"/>
    </row>
    <row r="104" spans="1:54">
      <c r="A104" s="430"/>
      <c r="B104" s="430"/>
      <c r="C104" s="430"/>
      <c r="D104" s="430"/>
      <c r="E104" s="430"/>
      <c r="F104" s="430"/>
      <c r="G104" s="430"/>
      <c r="H104" s="430"/>
      <c r="I104" s="430"/>
      <c r="J104" s="430"/>
      <c r="K104" s="430"/>
      <c r="L104" s="430"/>
      <c r="M104" s="430"/>
      <c r="N104" s="430"/>
      <c r="O104" s="430"/>
      <c r="P104" s="430"/>
      <c r="Q104" s="430"/>
      <c r="R104" s="430"/>
      <c r="S104" s="430"/>
      <c r="T104" s="430"/>
      <c r="U104" s="430"/>
      <c r="V104" s="430"/>
      <c r="W104" s="430"/>
      <c r="X104" s="430"/>
      <c r="Y104" s="430"/>
      <c r="Z104" s="430"/>
      <c r="AA104" s="430"/>
      <c r="AB104" s="430"/>
      <c r="AC104" s="430"/>
      <c r="AD104" s="430"/>
      <c r="AE104" s="430"/>
      <c r="AF104" s="430"/>
      <c r="AG104" s="430"/>
      <c r="AH104" s="430"/>
      <c r="AI104" s="430"/>
      <c r="AJ104" s="430"/>
      <c r="AK104" s="430"/>
      <c r="AL104" s="430"/>
      <c r="AM104" s="430"/>
      <c r="AN104" s="430"/>
      <c r="AO104" s="430"/>
      <c r="AP104" s="430"/>
      <c r="AQ104" s="430"/>
      <c r="AR104" s="430"/>
      <c r="AS104" s="430"/>
      <c r="AT104" s="430"/>
      <c r="AU104" s="430"/>
      <c r="AV104" s="430"/>
      <c r="AW104" s="430"/>
      <c r="AX104" s="430"/>
      <c r="AY104" s="430"/>
      <c r="AZ104" s="430"/>
      <c r="BA104" s="430"/>
      <c r="BB104" s="430"/>
    </row>
    <row r="105" spans="1:54">
      <c r="A105" s="430"/>
      <c r="B105" s="430"/>
      <c r="C105" s="430"/>
      <c r="D105" s="430"/>
      <c r="E105" s="430"/>
      <c r="F105" s="430"/>
      <c r="G105" s="430"/>
      <c r="H105" s="430"/>
      <c r="I105" s="430"/>
      <c r="J105" s="430"/>
      <c r="K105" s="430"/>
      <c r="L105" s="430"/>
      <c r="M105" s="430"/>
      <c r="N105" s="430"/>
      <c r="O105" s="430"/>
      <c r="P105" s="430"/>
      <c r="Q105" s="430"/>
      <c r="R105" s="430"/>
      <c r="S105" s="430"/>
      <c r="T105" s="430"/>
      <c r="U105" s="430"/>
      <c r="V105" s="430"/>
      <c r="W105" s="430"/>
      <c r="X105" s="430"/>
      <c r="Y105" s="432"/>
      <c r="Z105" s="432"/>
      <c r="AA105" s="430"/>
      <c r="AB105" s="430"/>
      <c r="AC105" s="430"/>
      <c r="AD105" s="430"/>
      <c r="AE105" s="430"/>
      <c r="AF105" s="430"/>
      <c r="AG105" s="430"/>
      <c r="AH105" s="430"/>
      <c r="AI105" s="430"/>
      <c r="AJ105" s="430"/>
      <c r="AK105" s="430"/>
      <c r="AL105" s="430"/>
      <c r="AM105" s="430"/>
      <c r="AN105" s="430"/>
      <c r="AO105" s="430"/>
      <c r="AP105" s="430"/>
      <c r="AQ105" s="430"/>
      <c r="AR105" s="430"/>
      <c r="AS105" s="430"/>
      <c r="AT105" s="430"/>
      <c r="AU105" s="430"/>
      <c r="AV105" s="430"/>
      <c r="AW105" s="430"/>
      <c r="AX105" s="430"/>
      <c r="AY105" s="430"/>
      <c r="AZ105" s="430"/>
      <c r="BA105" s="430"/>
      <c r="BB105" s="430"/>
    </row>
    <row r="106" spans="1:54">
      <c r="A106" s="430"/>
      <c r="B106" s="430"/>
      <c r="C106" s="430"/>
      <c r="D106" s="430"/>
      <c r="E106" s="430"/>
      <c r="F106" s="430"/>
      <c r="G106" s="430"/>
      <c r="H106" s="430"/>
      <c r="I106" s="430"/>
      <c r="J106" s="430"/>
      <c r="K106" s="430"/>
      <c r="L106" s="430"/>
      <c r="M106" s="430"/>
      <c r="N106" s="430"/>
      <c r="O106" s="430"/>
      <c r="P106" s="430"/>
      <c r="Q106" s="430"/>
      <c r="R106" s="430"/>
      <c r="S106" s="430"/>
      <c r="T106" s="430"/>
      <c r="U106" s="430"/>
      <c r="V106" s="430"/>
      <c r="W106" s="430"/>
      <c r="X106" s="430"/>
      <c r="Y106" s="430"/>
      <c r="Z106" s="430"/>
      <c r="AA106" s="430"/>
      <c r="AB106" s="430"/>
      <c r="AC106" s="430"/>
      <c r="AD106" s="430"/>
      <c r="AE106" s="430"/>
      <c r="AF106" s="430"/>
      <c r="AG106" s="430"/>
      <c r="AH106" s="430"/>
      <c r="AI106" s="430"/>
      <c r="AJ106" s="430"/>
      <c r="AK106" s="430"/>
      <c r="AL106" s="430"/>
      <c r="AM106" s="430"/>
      <c r="AN106" s="430"/>
      <c r="AO106" s="430"/>
      <c r="AP106" s="430"/>
      <c r="AQ106" s="430"/>
      <c r="AR106" s="430"/>
      <c r="AS106" s="430"/>
      <c r="AT106" s="430"/>
      <c r="AU106" s="430"/>
      <c r="AV106" s="430"/>
      <c r="AW106" s="430"/>
      <c r="AX106" s="430"/>
      <c r="AY106" s="430"/>
      <c r="AZ106" s="430"/>
      <c r="BA106" s="430"/>
      <c r="BB106" s="430"/>
    </row>
    <row r="107" spans="1:54">
      <c r="A107" s="430"/>
      <c r="B107" s="430"/>
      <c r="C107" s="430"/>
      <c r="D107" s="430"/>
      <c r="E107" s="430"/>
      <c r="F107" s="430"/>
      <c r="G107" s="430"/>
      <c r="H107" s="430"/>
      <c r="I107" s="430"/>
      <c r="J107" s="430"/>
      <c r="K107" s="430"/>
      <c r="L107" s="430"/>
      <c r="M107" s="430"/>
      <c r="N107" s="430"/>
      <c r="O107" s="430"/>
      <c r="P107" s="430"/>
      <c r="Q107" s="430"/>
      <c r="R107" s="430"/>
      <c r="S107" s="430"/>
      <c r="T107" s="430"/>
      <c r="U107" s="430"/>
      <c r="V107" s="430"/>
      <c r="W107" s="430"/>
      <c r="X107" s="430"/>
      <c r="Y107" s="430"/>
      <c r="Z107" s="430"/>
      <c r="AA107" s="430"/>
      <c r="AB107" s="430"/>
      <c r="AC107" s="430"/>
      <c r="AD107" s="430"/>
      <c r="AE107" s="430"/>
      <c r="AF107" s="430"/>
      <c r="AG107" s="430"/>
      <c r="AH107" s="430"/>
      <c r="AI107" s="430"/>
      <c r="AJ107" s="430"/>
      <c r="AK107" s="430"/>
      <c r="AL107" s="430"/>
      <c r="AM107" s="430"/>
      <c r="AN107" s="430"/>
      <c r="AO107" s="430"/>
      <c r="AP107" s="430"/>
      <c r="AQ107" s="430"/>
      <c r="AR107" s="430"/>
      <c r="AS107" s="430"/>
      <c r="AT107" s="430"/>
      <c r="AU107" s="430"/>
      <c r="AV107" s="430"/>
      <c r="AW107" s="430"/>
      <c r="AX107" s="430"/>
      <c r="AY107" s="430"/>
      <c r="AZ107" s="430"/>
      <c r="BA107" s="430"/>
      <c r="BB107" s="430"/>
    </row>
    <row r="108" spans="1:54">
      <c r="A108" s="430"/>
      <c r="B108" s="430"/>
      <c r="C108" s="430"/>
      <c r="D108" s="430"/>
      <c r="E108" s="430"/>
      <c r="F108" s="430"/>
      <c r="G108" s="430"/>
      <c r="H108" s="430"/>
      <c r="I108" s="430"/>
      <c r="J108" s="430"/>
      <c r="K108" s="430"/>
      <c r="L108" s="430"/>
      <c r="M108" s="430"/>
      <c r="N108" s="430"/>
      <c r="O108" s="430"/>
      <c r="P108" s="430"/>
      <c r="Q108" s="430"/>
      <c r="R108" s="430"/>
      <c r="S108" s="430"/>
      <c r="T108" s="430"/>
      <c r="U108" s="430"/>
      <c r="V108" s="430"/>
      <c r="W108" s="430"/>
      <c r="X108" s="430"/>
      <c r="Y108" s="430"/>
      <c r="Z108" s="430"/>
      <c r="AA108" s="430"/>
      <c r="AB108" s="430"/>
      <c r="AC108" s="430"/>
      <c r="AD108" s="430"/>
      <c r="AE108" s="430"/>
      <c r="AF108" s="430"/>
      <c r="AG108" s="430"/>
      <c r="AH108" s="430"/>
      <c r="AI108" s="430"/>
      <c r="AJ108" s="430"/>
      <c r="AK108" s="430"/>
      <c r="AL108" s="430"/>
      <c r="AM108" s="430"/>
      <c r="AN108" s="430"/>
      <c r="AO108" s="430"/>
      <c r="AP108" s="430"/>
      <c r="AQ108" s="430"/>
      <c r="AR108" s="430"/>
      <c r="AS108" s="430"/>
      <c r="AT108" s="430"/>
      <c r="AU108" s="430"/>
      <c r="AV108" s="430"/>
      <c r="AW108" s="430"/>
      <c r="AX108" s="430"/>
      <c r="AY108" s="430"/>
      <c r="AZ108" s="430"/>
      <c r="BA108" s="430"/>
      <c r="BB108" s="430"/>
    </row>
    <row r="109" spans="1:54">
      <c r="A109" s="430"/>
      <c r="B109" s="430"/>
      <c r="C109" s="430"/>
      <c r="D109" s="430"/>
      <c r="E109" s="430"/>
      <c r="F109" s="430"/>
      <c r="G109" s="430"/>
      <c r="H109" s="430"/>
      <c r="I109" s="430"/>
      <c r="J109" s="430"/>
      <c r="K109" s="430"/>
      <c r="L109" s="430"/>
      <c r="M109" s="430"/>
      <c r="N109" s="430"/>
      <c r="O109" s="430"/>
      <c r="P109" s="430"/>
      <c r="Q109" s="430"/>
      <c r="R109" s="430"/>
      <c r="S109" s="430"/>
      <c r="T109" s="430"/>
      <c r="U109" s="430"/>
      <c r="V109" s="430"/>
      <c r="W109" s="430"/>
      <c r="X109" s="430"/>
      <c r="Y109" s="430"/>
      <c r="Z109" s="430"/>
      <c r="AA109" s="430"/>
      <c r="AB109" s="430"/>
      <c r="AC109" s="430"/>
      <c r="AD109" s="430"/>
      <c r="AE109" s="430"/>
      <c r="AF109" s="430"/>
      <c r="AG109" s="430"/>
      <c r="AH109" s="430"/>
      <c r="AI109" s="430"/>
      <c r="AJ109" s="430"/>
      <c r="AK109" s="430"/>
      <c r="AL109" s="430"/>
      <c r="AM109" s="430"/>
      <c r="AN109" s="430"/>
      <c r="AO109" s="430"/>
      <c r="AP109" s="430"/>
      <c r="AQ109" s="430"/>
      <c r="AR109" s="430"/>
      <c r="AS109" s="430"/>
      <c r="AT109" s="430"/>
      <c r="AU109" s="430"/>
      <c r="AV109" s="430"/>
      <c r="AW109" s="430"/>
      <c r="AX109" s="430"/>
      <c r="AY109" s="430"/>
      <c r="AZ109" s="430"/>
      <c r="BA109" s="430"/>
      <c r="BB109" s="430"/>
    </row>
    <row r="110" spans="1:54">
      <c r="A110" s="430"/>
      <c r="B110" s="430"/>
      <c r="C110" s="430"/>
      <c r="D110" s="430"/>
      <c r="E110" s="430"/>
      <c r="F110" s="430"/>
      <c r="G110" s="430"/>
      <c r="H110" s="430"/>
      <c r="I110" s="430"/>
      <c r="J110" s="430"/>
      <c r="K110" s="430"/>
      <c r="L110" s="430"/>
      <c r="M110" s="430"/>
      <c r="N110" s="430"/>
      <c r="O110" s="430"/>
      <c r="P110" s="430"/>
      <c r="Q110" s="430"/>
      <c r="R110" s="430"/>
      <c r="S110" s="430"/>
      <c r="T110" s="430"/>
      <c r="U110" s="430"/>
      <c r="V110" s="430"/>
      <c r="W110" s="430"/>
      <c r="X110" s="430"/>
      <c r="Y110" s="430"/>
      <c r="Z110" s="430"/>
      <c r="AA110" s="430"/>
      <c r="AB110" s="430"/>
      <c r="AC110" s="430"/>
      <c r="AD110" s="430"/>
      <c r="AE110" s="430"/>
      <c r="AF110" s="430"/>
      <c r="AG110" s="430"/>
      <c r="AH110" s="430"/>
      <c r="AI110" s="430"/>
      <c r="AJ110" s="430"/>
      <c r="AK110" s="430"/>
      <c r="AL110" s="430"/>
      <c r="AM110" s="430"/>
      <c r="AN110" s="430"/>
      <c r="AO110" s="430"/>
      <c r="AP110" s="430"/>
      <c r="AQ110" s="430"/>
      <c r="AR110" s="430"/>
      <c r="AS110" s="430"/>
      <c r="AT110" s="430"/>
      <c r="AU110" s="430"/>
      <c r="AV110" s="430"/>
      <c r="AW110" s="430"/>
      <c r="AX110" s="430"/>
      <c r="AY110" s="430"/>
      <c r="AZ110" s="430"/>
      <c r="BA110" s="430"/>
      <c r="BB110" s="430"/>
    </row>
    <row r="111" spans="1:54">
      <c r="A111" s="430"/>
      <c r="B111" s="451"/>
      <c r="C111" s="430"/>
      <c r="D111" s="451"/>
      <c r="E111" s="430"/>
      <c r="F111" s="430"/>
      <c r="G111" s="430"/>
      <c r="H111" s="430"/>
      <c r="I111" s="430"/>
      <c r="J111" s="430"/>
      <c r="K111" s="430"/>
      <c r="L111" s="430"/>
      <c r="M111" s="430"/>
      <c r="N111" s="430"/>
      <c r="O111" s="430"/>
      <c r="P111" s="430"/>
      <c r="Q111" s="430"/>
      <c r="R111" s="430"/>
      <c r="S111" s="430"/>
      <c r="T111" s="430"/>
      <c r="U111" s="430"/>
      <c r="V111" s="430"/>
      <c r="W111" s="430"/>
      <c r="X111" s="430"/>
      <c r="Y111" s="430"/>
      <c r="Z111" s="430"/>
      <c r="AA111" s="430"/>
      <c r="AB111" s="430"/>
      <c r="AC111" s="430"/>
      <c r="AD111" s="430"/>
      <c r="AE111" s="430"/>
      <c r="AF111" s="430"/>
      <c r="AG111" s="430"/>
      <c r="AH111" s="430"/>
      <c r="AI111" s="430"/>
      <c r="AJ111" s="430"/>
      <c r="AK111" s="430"/>
      <c r="AL111" s="430"/>
      <c r="AM111" s="430"/>
      <c r="AN111" s="430"/>
      <c r="AO111" s="430"/>
      <c r="AP111" s="430"/>
      <c r="AQ111" s="430"/>
      <c r="AR111" s="430"/>
      <c r="AS111" s="430"/>
      <c r="AT111" s="430"/>
      <c r="AU111" s="430"/>
      <c r="AV111" s="430"/>
      <c r="AW111" s="430"/>
      <c r="AX111" s="430"/>
      <c r="AY111" s="430"/>
      <c r="AZ111" s="430"/>
      <c r="BA111" s="430"/>
      <c r="BB111" s="430"/>
    </row>
    <row r="112" spans="1:54">
      <c r="A112" s="430"/>
      <c r="B112" s="451"/>
      <c r="C112" s="430"/>
      <c r="D112" s="451"/>
      <c r="E112" s="430"/>
      <c r="F112" s="430"/>
      <c r="G112" s="430"/>
      <c r="H112" s="430"/>
      <c r="I112" s="430"/>
      <c r="J112" s="430"/>
      <c r="K112" s="430"/>
      <c r="L112" s="430"/>
      <c r="M112" s="430"/>
      <c r="N112" s="430"/>
      <c r="O112" s="430"/>
      <c r="P112" s="430"/>
      <c r="Q112" s="430"/>
      <c r="R112" s="430"/>
      <c r="S112" s="430"/>
      <c r="T112" s="430"/>
      <c r="U112" s="430"/>
      <c r="V112" s="430"/>
      <c r="W112" s="430"/>
      <c r="X112" s="430"/>
      <c r="Y112" s="430"/>
      <c r="Z112" s="430"/>
      <c r="AA112" s="430"/>
      <c r="AB112" s="430"/>
      <c r="AC112" s="430"/>
      <c r="AD112" s="430"/>
      <c r="AE112" s="430"/>
      <c r="AF112" s="430"/>
      <c r="AG112" s="430"/>
      <c r="AH112" s="430"/>
      <c r="AI112" s="430"/>
      <c r="AJ112" s="430"/>
      <c r="AK112" s="430"/>
      <c r="AL112" s="430"/>
      <c r="AM112" s="430"/>
      <c r="AN112" s="430"/>
      <c r="AO112" s="430"/>
      <c r="AP112" s="430"/>
      <c r="AQ112" s="430"/>
      <c r="AR112" s="430"/>
      <c r="AS112" s="430"/>
      <c r="AT112" s="430"/>
      <c r="AU112" s="430"/>
      <c r="AV112" s="430"/>
      <c r="AW112" s="430"/>
      <c r="AX112" s="430"/>
      <c r="AY112" s="430"/>
      <c r="AZ112" s="430"/>
      <c r="BA112" s="430"/>
      <c r="BB112" s="430"/>
    </row>
    <row r="113" spans="1:54">
      <c r="A113" s="430"/>
      <c r="B113" s="451"/>
      <c r="C113" s="430"/>
      <c r="D113" s="451"/>
      <c r="E113" s="430"/>
      <c r="F113" s="430"/>
      <c r="G113" s="430"/>
      <c r="H113" s="430"/>
      <c r="I113" s="430"/>
      <c r="J113" s="430"/>
      <c r="K113" s="430"/>
      <c r="L113" s="430"/>
      <c r="M113" s="430"/>
      <c r="N113" s="430"/>
      <c r="O113" s="430"/>
      <c r="P113" s="430"/>
      <c r="Q113" s="430"/>
      <c r="R113" s="430"/>
      <c r="S113" s="430"/>
      <c r="T113" s="430"/>
      <c r="U113" s="430"/>
      <c r="V113" s="430"/>
      <c r="W113" s="430"/>
      <c r="X113" s="430"/>
      <c r="Y113" s="430"/>
      <c r="Z113" s="430"/>
      <c r="AA113" s="430"/>
      <c r="AB113" s="430"/>
      <c r="AC113" s="430"/>
      <c r="AD113" s="430"/>
      <c r="AE113" s="430"/>
      <c r="AF113" s="430"/>
      <c r="AG113" s="430"/>
      <c r="AH113" s="430"/>
      <c r="AI113" s="430"/>
      <c r="AJ113" s="430"/>
      <c r="AK113" s="430"/>
      <c r="AL113" s="430"/>
      <c r="AM113" s="430"/>
      <c r="AN113" s="430"/>
      <c r="AO113" s="430"/>
      <c r="AP113" s="430"/>
      <c r="AQ113" s="430"/>
      <c r="AR113" s="430"/>
      <c r="AS113" s="430"/>
      <c r="AT113" s="430"/>
      <c r="AU113" s="430"/>
      <c r="AV113" s="430"/>
      <c r="AW113" s="430"/>
      <c r="AX113" s="430"/>
      <c r="AY113" s="430"/>
      <c r="AZ113" s="430"/>
      <c r="BA113" s="430"/>
      <c r="BB113" s="430"/>
    </row>
    <row r="114" spans="1:54">
      <c r="A114" s="430"/>
      <c r="B114" s="451"/>
      <c r="C114" s="430"/>
      <c r="D114" s="451"/>
      <c r="E114" s="430"/>
      <c r="F114" s="430"/>
      <c r="G114" s="430"/>
      <c r="H114" s="430"/>
      <c r="I114" s="430"/>
      <c r="J114" s="430"/>
      <c r="K114" s="430"/>
      <c r="L114" s="430"/>
      <c r="M114" s="430"/>
      <c r="N114" s="430"/>
      <c r="O114" s="430"/>
      <c r="P114" s="430"/>
      <c r="Q114" s="430"/>
      <c r="R114" s="430"/>
      <c r="S114" s="430"/>
      <c r="T114" s="430"/>
      <c r="U114" s="430"/>
      <c r="V114" s="430"/>
      <c r="W114" s="430"/>
      <c r="X114" s="430"/>
      <c r="Y114" s="430"/>
      <c r="Z114" s="430"/>
      <c r="AA114" s="430"/>
      <c r="AB114" s="430"/>
      <c r="AC114" s="430"/>
      <c r="AD114" s="430"/>
      <c r="AE114" s="430"/>
      <c r="AF114" s="430"/>
      <c r="AG114" s="430"/>
      <c r="AH114" s="430"/>
      <c r="AI114" s="430"/>
      <c r="AJ114" s="430"/>
      <c r="AK114" s="430"/>
      <c r="AL114" s="430"/>
      <c r="AM114" s="430"/>
      <c r="AN114" s="430"/>
      <c r="AO114" s="430"/>
      <c r="AP114" s="430"/>
      <c r="AQ114" s="430"/>
      <c r="AR114" s="430"/>
      <c r="AS114" s="430"/>
      <c r="AT114" s="430"/>
      <c r="AU114" s="430"/>
      <c r="AV114" s="430"/>
      <c r="AW114" s="430"/>
      <c r="AX114" s="430"/>
      <c r="AY114" s="430"/>
      <c r="AZ114" s="430"/>
      <c r="BA114" s="430"/>
      <c r="BB114" s="430"/>
    </row>
    <row r="115" spans="1:54">
      <c r="A115" s="430"/>
      <c r="B115" s="451"/>
      <c r="C115" s="430"/>
      <c r="D115" s="451"/>
      <c r="E115" s="430"/>
      <c r="F115" s="430"/>
      <c r="G115" s="430"/>
      <c r="H115" s="430"/>
      <c r="I115" s="430"/>
      <c r="J115" s="430"/>
      <c r="K115" s="430"/>
      <c r="L115" s="430"/>
      <c r="M115" s="430"/>
      <c r="N115" s="430"/>
      <c r="O115" s="430"/>
      <c r="P115" s="430"/>
      <c r="Q115" s="430"/>
      <c r="R115" s="430"/>
      <c r="S115" s="430"/>
      <c r="T115" s="430"/>
      <c r="U115" s="430"/>
      <c r="V115" s="430"/>
      <c r="W115" s="430"/>
      <c r="X115" s="430"/>
      <c r="Y115" s="430"/>
      <c r="Z115" s="430"/>
      <c r="AA115" s="430"/>
      <c r="AB115" s="430"/>
      <c r="AC115" s="430"/>
      <c r="AD115" s="430"/>
      <c r="AE115" s="430"/>
      <c r="AF115" s="430"/>
      <c r="AG115" s="430"/>
      <c r="AH115" s="430"/>
      <c r="AI115" s="430"/>
      <c r="AJ115" s="430"/>
      <c r="AK115" s="430"/>
      <c r="AL115" s="430"/>
      <c r="AM115" s="430"/>
      <c r="AN115" s="430"/>
      <c r="AO115" s="430"/>
      <c r="AP115" s="430"/>
      <c r="AQ115" s="430"/>
      <c r="AR115" s="430"/>
      <c r="AS115" s="430"/>
      <c r="AT115" s="430"/>
      <c r="AU115" s="430"/>
      <c r="AV115" s="430"/>
      <c r="AW115" s="430"/>
      <c r="AX115" s="430"/>
      <c r="AY115" s="430"/>
      <c r="AZ115" s="430"/>
      <c r="BA115" s="430"/>
      <c r="BB115" s="430"/>
    </row>
    <row r="116" spans="1:54">
      <c r="A116" s="430"/>
      <c r="B116" s="451"/>
      <c r="C116" s="430"/>
      <c r="D116" s="451"/>
      <c r="E116" s="430"/>
      <c r="F116" s="430"/>
      <c r="G116" s="430"/>
      <c r="H116" s="430"/>
      <c r="I116" s="430"/>
      <c r="J116" s="430"/>
      <c r="K116" s="430"/>
      <c r="L116" s="430"/>
      <c r="M116" s="430"/>
      <c r="N116" s="430"/>
      <c r="O116" s="430"/>
      <c r="P116" s="430"/>
      <c r="Q116" s="430"/>
      <c r="R116" s="430"/>
      <c r="S116" s="430"/>
      <c r="T116" s="430"/>
      <c r="U116" s="430"/>
      <c r="V116" s="430"/>
      <c r="W116" s="430"/>
      <c r="X116" s="430"/>
      <c r="Y116" s="430"/>
      <c r="Z116" s="430"/>
      <c r="AA116" s="430"/>
      <c r="AB116" s="430"/>
      <c r="AC116" s="430"/>
      <c r="AD116" s="430"/>
      <c r="AE116" s="430"/>
      <c r="AF116" s="430"/>
      <c r="AG116" s="430"/>
      <c r="AH116" s="430"/>
      <c r="AI116" s="430"/>
      <c r="AJ116" s="430"/>
      <c r="AK116" s="430"/>
      <c r="AL116" s="430"/>
      <c r="AM116" s="430"/>
      <c r="AN116" s="430"/>
      <c r="AO116" s="430"/>
      <c r="AP116" s="430"/>
      <c r="AQ116" s="430"/>
      <c r="AR116" s="430"/>
      <c r="AS116" s="430"/>
      <c r="AT116" s="430"/>
      <c r="AU116" s="430"/>
      <c r="AV116" s="430"/>
      <c r="AW116" s="430"/>
      <c r="AX116" s="430"/>
      <c r="AY116" s="430"/>
      <c r="AZ116" s="430"/>
      <c r="BA116" s="430"/>
      <c r="BB116" s="430"/>
    </row>
    <row r="117" spans="1:54">
      <c r="A117" s="430"/>
      <c r="B117" s="451"/>
      <c r="C117" s="430"/>
      <c r="D117" s="451"/>
      <c r="E117" s="430"/>
      <c r="F117" s="430"/>
      <c r="G117" s="430"/>
      <c r="H117" s="430"/>
      <c r="I117" s="430"/>
      <c r="J117" s="430"/>
      <c r="K117" s="430"/>
      <c r="L117" s="430"/>
      <c r="M117" s="430"/>
      <c r="N117" s="430"/>
      <c r="O117" s="430"/>
      <c r="P117" s="430"/>
      <c r="Q117" s="430"/>
      <c r="R117" s="430"/>
      <c r="S117" s="430"/>
      <c r="T117" s="430"/>
      <c r="U117" s="430"/>
      <c r="V117" s="430"/>
      <c r="W117" s="430"/>
      <c r="X117" s="430"/>
      <c r="Y117" s="430"/>
      <c r="Z117" s="430"/>
      <c r="AA117" s="430"/>
      <c r="AB117" s="430"/>
      <c r="AC117" s="430"/>
      <c r="AD117" s="430"/>
      <c r="AE117" s="430"/>
      <c r="AF117" s="430"/>
      <c r="AG117" s="430"/>
      <c r="AH117" s="430"/>
      <c r="AI117" s="430"/>
      <c r="AJ117" s="430"/>
      <c r="AK117" s="430"/>
      <c r="AL117" s="430"/>
      <c r="AM117" s="430"/>
      <c r="AN117" s="430"/>
      <c r="AO117" s="430"/>
      <c r="AP117" s="430"/>
      <c r="AQ117" s="430"/>
      <c r="AR117" s="430"/>
      <c r="AS117" s="430"/>
      <c r="AT117" s="430"/>
      <c r="AU117" s="430"/>
      <c r="AV117" s="430"/>
      <c r="AW117" s="430"/>
      <c r="AX117" s="430"/>
      <c r="AY117" s="430"/>
      <c r="AZ117" s="430"/>
      <c r="BA117" s="430"/>
      <c r="BB117" s="430"/>
    </row>
    <row r="118" spans="1:54">
      <c r="A118" s="430"/>
      <c r="B118" s="451"/>
      <c r="C118" s="430"/>
      <c r="D118" s="451"/>
      <c r="E118" s="430"/>
      <c r="F118" s="430"/>
      <c r="G118" s="430"/>
      <c r="H118" s="430"/>
      <c r="I118" s="430"/>
      <c r="J118" s="430"/>
      <c r="K118" s="430"/>
      <c r="L118" s="430"/>
      <c r="M118" s="430"/>
      <c r="N118" s="430"/>
      <c r="O118" s="430"/>
      <c r="P118" s="430"/>
      <c r="Q118" s="430"/>
      <c r="R118" s="430"/>
      <c r="S118" s="430"/>
      <c r="T118" s="430"/>
      <c r="U118" s="430"/>
      <c r="V118" s="430"/>
      <c r="W118" s="430"/>
      <c r="X118" s="430"/>
      <c r="Y118" s="430"/>
      <c r="Z118" s="430"/>
      <c r="AA118" s="430"/>
      <c r="AB118" s="430"/>
      <c r="AC118" s="430"/>
      <c r="AD118" s="430"/>
      <c r="AE118" s="430"/>
      <c r="AF118" s="430"/>
      <c r="AG118" s="430"/>
      <c r="AH118" s="430"/>
      <c r="AI118" s="430"/>
      <c r="AJ118" s="430"/>
      <c r="AK118" s="430"/>
      <c r="AL118" s="430"/>
      <c r="AM118" s="430"/>
      <c r="AN118" s="430"/>
      <c r="AO118" s="430"/>
      <c r="AP118" s="430"/>
      <c r="AQ118" s="430"/>
      <c r="AR118" s="430"/>
      <c r="AS118" s="430"/>
      <c r="AT118" s="430"/>
      <c r="AU118" s="430"/>
      <c r="AV118" s="430"/>
      <c r="AW118" s="430"/>
      <c r="AX118" s="430"/>
      <c r="AY118" s="430"/>
      <c r="AZ118" s="430"/>
      <c r="BA118" s="430"/>
      <c r="BB118" s="430"/>
    </row>
    <row r="119" spans="1:54" s="5" customFormat="1">
      <c r="A119" s="540"/>
      <c r="B119" s="451"/>
      <c r="C119" s="430"/>
      <c r="D119" s="451"/>
      <c r="E119" s="430"/>
      <c r="F119" s="430"/>
      <c r="G119" s="430"/>
      <c r="H119" s="430"/>
      <c r="I119" s="430"/>
      <c r="J119" s="430"/>
      <c r="K119" s="430"/>
      <c r="L119" s="430"/>
      <c r="M119" s="430"/>
      <c r="N119" s="430"/>
      <c r="O119" s="430"/>
      <c r="P119" s="430"/>
      <c r="Q119" s="430"/>
      <c r="R119" s="430"/>
      <c r="S119" s="430"/>
      <c r="T119" s="430"/>
      <c r="U119" s="430"/>
      <c r="V119" s="430"/>
      <c r="W119" s="430"/>
      <c r="X119" s="430"/>
      <c r="Y119" s="430"/>
      <c r="Z119" s="430"/>
      <c r="AA119" s="430"/>
      <c r="AB119" s="430"/>
      <c r="AC119" s="430"/>
      <c r="AD119" s="430"/>
      <c r="AE119" s="430"/>
      <c r="AF119" s="430"/>
      <c r="AG119" s="430"/>
      <c r="AH119" s="430"/>
      <c r="AI119" s="478"/>
      <c r="AJ119" s="430"/>
      <c r="AK119" s="430"/>
      <c r="AL119" s="430"/>
      <c r="AM119" s="430"/>
      <c r="AN119" s="430"/>
      <c r="AO119" s="430"/>
      <c r="AP119" s="430"/>
      <c r="AQ119" s="430"/>
      <c r="AR119" s="430"/>
      <c r="AS119" s="430"/>
      <c r="AT119" s="430"/>
      <c r="AU119" s="430"/>
      <c r="AV119" s="430"/>
      <c r="AW119" s="430"/>
      <c r="AX119" s="430"/>
      <c r="AY119" s="430"/>
      <c r="AZ119" s="430"/>
      <c r="BA119" s="430"/>
      <c r="BB119" s="430"/>
    </row>
    <row r="120" spans="1:54">
      <c r="A120" s="430"/>
      <c r="B120" s="451"/>
      <c r="C120" s="430"/>
      <c r="D120" s="451"/>
      <c r="E120" s="430"/>
      <c r="F120" s="430"/>
      <c r="G120" s="430"/>
      <c r="H120" s="430"/>
      <c r="I120" s="430"/>
      <c r="J120" s="430"/>
      <c r="K120" s="430"/>
      <c r="L120" s="430"/>
      <c r="M120" s="430"/>
      <c r="N120" s="430"/>
      <c r="O120" s="430"/>
      <c r="P120" s="430"/>
      <c r="Q120" s="430"/>
      <c r="R120" s="430"/>
      <c r="S120" s="430"/>
      <c r="T120" s="430"/>
      <c r="U120" s="430"/>
      <c r="V120" s="430"/>
      <c r="W120" s="430"/>
      <c r="X120" s="430"/>
      <c r="Y120" s="430"/>
      <c r="Z120" s="430"/>
      <c r="AA120" s="430"/>
      <c r="AB120" s="430"/>
      <c r="AC120" s="430"/>
      <c r="AD120" s="430"/>
      <c r="AE120" s="430"/>
      <c r="AF120" s="430"/>
      <c r="AG120" s="430"/>
      <c r="AH120" s="430"/>
      <c r="AI120" s="430"/>
      <c r="AJ120" s="430"/>
      <c r="AK120" s="430"/>
      <c r="AL120" s="430"/>
      <c r="AM120" s="430"/>
      <c r="AN120" s="430"/>
      <c r="AO120" s="430"/>
      <c r="AP120" s="430"/>
      <c r="AQ120" s="430"/>
      <c r="AR120" s="430"/>
      <c r="AS120" s="430"/>
      <c r="AT120" s="430"/>
      <c r="AU120" s="430"/>
      <c r="AV120" s="430"/>
      <c r="AW120" s="430"/>
      <c r="AX120" s="430"/>
      <c r="AY120" s="430"/>
      <c r="AZ120" s="430"/>
      <c r="BA120" s="430"/>
      <c r="BB120" s="430"/>
    </row>
    <row r="121" spans="1:54">
      <c r="A121" s="430"/>
      <c r="B121" s="451"/>
      <c r="C121" s="430"/>
      <c r="D121" s="451"/>
      <c r="E121" s="430"/>
      <c r="F121" s="430"/>
      <c r="G121" s="430"/>
      <c r="H121" s="430"/>
      <c r="I121" s="430"/>
      <c r="J121" s="430"/>
      <c r="K121" s="430"/>
      <c r="L121" s="430"/>
      <c r="M121" s="430"/>
      <c r="N121" s="430"/>
      <c r="O121" s="430"/>
      <c r="P121" s="430"/>
      <c r="Q121" s="430"/>
      <c r="R121" s="430"/>
      <c r="S121" s="430"/>
      <c r="T121" s="430"/>
      <c r="U121" s="430"/>
      <c r="V121" s="430"/>
      <c r="W121" s="430"/>
      <c r="X121" s="430"/>
      <c r="Y121" s="430"/>
      <c r="Z121" s="430"/>
      <c r="AA121" s="430"/>
      <c r="AB121" s="430"/>
      <c r="AC121" s="430"/>
      <c r="AD121" s="430"/>
      <c r="AE121" s="430"/>
      <c r="AF121" s="430"/>
      <c r="AG121" s="430"/>
      <c r="AH121" s="430"/>
      <c r="AI121" s="430"/>
      <c r="AJ121" s="430"/>
      <c r="AK121" s="430"/>
      <c r="AL121" s="430"/>
      <c r="AM121" s="430"/>
      <c r="AN121" s="430"/>
      <c r="AO121" s="430"/>
      <c r="AP121" s="430"/>
      <c r="AQ121" s="430"/>
      <c r="AR121" s="430"/>
      <c r="AS121" s="430"/>
      <c r="AT121" s="430"/>
      <c r="AU121" s="430"/>
      <c r="AV121" s="430"/>
      <c r="AW121" s="430"/>
      <c r="AX121" s="430"/>
      <c r="AY121" s="430"/>
      <c r="AZ121" s="430"/>
      <c r="BA121" s="430"/>
      <c r="BB121" s="430"/>
    </row>
    <row r="122" spans="1:54">
      <c r="A122" s="430"/>
      <c r="B122" s="451"/>
      <c r="C122" s="430"/>
      <c r="D122" s="451"/>
      <c r="E122" s="430"/>
      <c r="F122" s="430"/>
      <c r="G122" s="430"/>
      <c r="H122" s="430"/>
      <c r="I122" s="430"/>
      <c r="J122" s="430"/>
      <c r="K122" s="430"/>
      <c r="L122" s="430"/>
      <c r="M122" s="430"/>
      <c r="N122" s="430"/>
      <c r="O122" s="430"/>
      <c r="P122" s="430"/>
      <c r="Q122" s="430"/>
      <c r="R122" s="430"/>
      <c r="S122" s="430"/>
      <c r="T122" s="430"/>
      <c r="U122" s="430"/>
      <c r="V122" s="430"/>
      <c r="W122" s="430"/>
      <c r="X122" s="430"/>
      <c r="Y122" s="430"/>
      <c r="Z122" s="430"/>
      <c r="AA122" s="430"/>
      <c r="AB122" s="430"/>
      <c r="AC122" s="430"/>
      <c r="AD122" s="430"/>
      <c r="AE122" s="430"/>
      <c r="AF122" s="430"/>
      <c r="AG122" s="430"/>
      <c r="AH122" s="430"/>
      <c r="AI122" s="430"/>
      <c r="AJ122" s="430"/>
      <c r="AK122" s="430"/>
      <c r="AL122" s="430"/>
      <c r="AM122" s="430"/>
      <c r="AN122" s="430"/>
      <c r="AO122" s="430"/>
      <c r="AP122" s="430"/>
      <c r="AQ122" s="430"/>
      <c r="AR122" s="430"/>
      <c r="AS122" s="430"/>
      <c r="AT122" s="430"/>
      <c r="AU122" s="430"/>
      <c r="AV122" s="430"/>
      <c r="AW122" s="430"/>
      <c r="AX122" s="430"/>
      <c r="AY122" s="430"/>
      <c r="AZ122" s="430"/>
      <c r="BA122" s="430"/>
      <c r="BB122" s="430"/>
    </row>
    <row r="123" spans="1:54">
      <c r="A123" s="430"/>
      <c r="B123" s="451"/>
      <c r="C123" s="430"/>
      <c r="D123" s="451"/>
      <c r="E123" s="430"/>
      <c r="F123" s="430"/>
      <c r="G123" s="430"/>
      <c r="H123" s="430"/>
      <c r="I123" s="430"/>
      <c r="J123" s="430"/>
      <c r="K123" s="430"/>
      <c r="L123" s="430"/>
      <c r="M123" s="430"/>
      <c r="N123" s="430"/>
      <c r="O123" s="430"/>
      <c r="P123" s="430"/>
      <c r="Q123" s="430"/>
      <c r="R123" s="430"/>
      <c r="S123" s="430"/>
      <c r="T123" s="430"/>
      <c r="U123" s="430"/>
      <c r="V123" s="430"/>
      <c r="W123" s="430"/>
      <c r="X123" s="430"/>
      <c r="Y123" s="430"/>
      <c r="Z123" s="430"/>
      <c r="AA123" s="430"/>
      <c r="AB123" s="430"/>
      <c r="AC123" s="430"/>
      <c r="AD123" s="430"/>
      <c r="AE123" s="430"/>
      <c r="AF123" s="430"/>
      <c r="AG123" s="430"/>
      <c r="AH123" s="430"/>
      <c r="AI123" s="430"/>
      <c r="AJ123" s="430"/>
      <c r="AK123" s="430"/>
      <c r="AL123" s="430"/>
      <c r="AM123" s="430"/>
      <c r="AN123" s="430"/>
      <c r="AO123" s="430"/>
      <c r="AP123" s="430"/>
      <c r="AQ123" s="430"/>
      <c r="AR123" s="430"/>
      <c r="AS123" s="430"/>
      <c r="AT123" s="430"/>
      <c r="AU123" s="430"/>
      <c r="AV123" s="430"/>
      <c r="AW123" s="430"/>
      <c r="AX123" s="430"/>
      <c r="AY123" s="430"/>
      <c r="AZ123" s="430"/>
      <c r="BA123" s="430"/>
      <c r="BB123" s="430"/>
    </row>
    <row r="124" spans="1:54">
      <c r="A124" s="430"/>
      <c r="B124" s="451"/>
      <c r="C124" s="430"/>
      <c r="D124" s="451"/>
      <c r="E124" s="430"/>
      <c r="F124" s="430"/>
      <c r="G124" s="430"/>
      <c r="H124" s="430"/>
      <c r="I124" s="430"/>
      <c r="J124" s="430"/>
      <c r="K124" s="430"/>
      <c r="L124" s="430"/>
      <c r="M124" s="430"/>
      <c r="N124" s="430"/>
      <c r="O124" s="430"/>
      <c r="P124" s="430"/>
      <c r="Q124" s="430"/>
      <c r="R124" s="430"/>
      <c r="S124" s="430"/>
      <c r="T124" s="430"/>
      <c r="U124" s="555"/>
      <c r="V124" s="555"/>
      <c r="W124" s="430"/>
      <c r="X124" s="432"/>
      <c r="Y124" s="430"/>
      <c r="Z124" s="430"/>
      <c r="AA124" s="430"/>
      <c r="AB124" s="430"/>
      <c r="AC124" s="430"/>
      <c r="AD124" s="430"/>
      <c r="AE124" s="430"/>
      <c r="AF124" s="430"/>
      <c r="AG124" s="430"/>
      <c r="AH124" s="430"/>
      <c r="AI124" s="430"/>
      <c r="AJ124" s="430"/>
      <c r="AK124" s="430"/>
      <c r="AL124" s="430"/>
      <c r="AM124" s="430"/>
      <c r="AN124" s="430"/>
      <c r="AO124" s="430"/>
      <c r="AP124" s="430"/>
      <c r="AQ124" s="430"/>
      <c r="AR124" s="430"/>
      <c r="AS124" s="430"/>
      <c r="AT124" s="430"/>
      <c r="AU124" s="430"/>
      <c r="AV124" s="430"/>
      <c r="AW124" s="430"/>
      <c r="AX124" s="430"/>
      <c r="AY124" s="430"/>
      <c r="AZ124" s="430"/>
      <c r="BA124" s="430"/>
      <c r="BB124" s="430"/>
    </row>
    <row r="125" spans="1:54">
      <c r="A125" s="430"/>
      <c r="B125" s="451"/>
      <c r="C125" s="430"/>
      <c r="D125" s="451"/>
      <c r="E125" s="430"/>
      <c r="F125" s="430"/>
      <c r="G125" s="430"/>
      <c r="H125" s="430"/>
      <c r="I125" s="430"/>
      <c r="J125" s="430"/>
      <c r="K125" s="430"/>
      <c r="L125" s="430"/>
      <c r="M125" s="430"/>
      <c r="N125" s="430"/>
      <c r="O125" s="430"/>
      <c r="P125" s="430"/>
      <c r="Q125" s="430"/>
      <c r="R125" s="430"/>
      <c r="S125" s="430"/>
      <c r="T125" s="430"/>
      <c r="U125" s="430"/>
      <c r="V125" s="430"/>
      <c r="W125" s="430"/>
      <c r="X125" s="430"/>
      <c r="Y125" s="430"/>
      <c r="Z125" s="430"/>
      <c r="AA125" s="430"/>
      <c r="AB125" s="430"/>
      <c r="AC125" s="430"/>
      <c r="AD125" s="430"/>
      <c r="AE125" s="430"/>
      <c r="AF125" s="430"/>
      <c r="AG125" s="430"/>
      <c r="AH125" s="430"/>
      <c r="AI125" s="430"/>
      <c r="AJ125" s="430"/>
      <c r="AK125" s="430"/>
      <c r="AL125" s="430"/>
      <c r="AM125" s="430"/>
      <c r="AN125" s="430"/>
      <c r="AO125" s="430"/>
      <c r="AP125" s="430"/>
      <c r="AQ125" s="430"/>
      <c r="AR125" s="430"/>
      <c r="AS125" s="430"/>
      <c r="AT125" s="430"/>
      <c r="AU125" s="430"/>
      <c r="AV125" s="430"/>
      <c r="AW125" s="430"/>
      <c r="AX125" s="430"/>
      <c r="AY125" s="430"/>
      <c r="AZ125" s="430"/>
      <c r="BA125" s="430"/>
      <c r="BB125" s="430"/>
    </row>
    <row r="126" spans="1:54">
      <c r="A126" s="430"/>
      <c r="B126" s="451"/>
      <c r="C126" s="430"/>
      <c r="D126" s="451"/>
      <c r="E126" s="430"/>
      <c r="F126" s="430"/>
      <c r="G126" s="430"/>
      <c r="H126" s="430"/>
      <c r="I126" s="430"/>
      <c r="J126" s="430"/>
      <c r="K126" s="430"/>
      <c r="L126" s="430"/>
      <c r="M126" s="430"/>
      <c r="N126" s="430"/>
      <c r="O126" s="430"/>
      <c r="P126" s="430"/>
      <c r="Q126" s="430"/>
      <c r="R126" s="430"/>
      <c r="S126" s="430"/>
      <c r="T126" s="430"/>
      <c r="U126" s="430"/>
      <c r="V126" s="430"/>
      <c r="W126" s="430"/>
      <c r="X126" s="430"/>
      <c r="Y126" s="430"/>
      <c r="Z126" s="430"/>
      <c r="AA126" s="430"/>
      <c r="AB126" s="430"/>
      <c r="AC126" s="430"/>
      <c r="AD126" s="430"/>
      <c r="AE126" s="430"/>
      <c r="AF126" s="430"/>
      <c r="AG126" s="430"/>
      <c r="AH126" s="430"/>
      <c r="AI126" s="430"/>
      <c r="AJ126" s="430"/>
      <c r="AK126" s="430"/>
      <c r="AL126" s="430"/>
      <c r="AM126" s="430"/>
      <c r="AN126" s="430"/>
      <c r="AO126" s="430"/>
      <c r="AP126" s="430"/>
      <c r="AQ126" s="430"/>
      <c r="AR126" s="430"/>
      <c r="AS126" s="430"/>
      <c r="AT126" s="430"/>
      <c r="AU126" s="430"/>
      <c r="AV126" s="430"/>
      <c r="AW126" s="430"/>
      <c r="AX126" s="430"/>
      <c r="AY126" s="430"/>
      <c r="AZ126" s="430"/>
      <c r="BA126" s="430"/>
      <c r="BB126" s="430"/>
    </row>
    <row r="127" spans="1:54">
      <c r="A127" s="430"/>
      <c r="B127" s="451"/>
      <c r="C127" s="430"/>
      <c r="D127" s="451"/>
      <c r="E127" s="430"/>
      <c r="F127" s="430"/>
      <c r="G127" s="430"/>
      <c r="H127" s="430"/>
      <c r="I127" s="430"/>
      <c r="J127" s="430"/>
      <c r="K127" s="430"/>
      <c r="L127" s="430"/>
      <c r="M127" s="430"/>
      <c r="N127" s="430"/>
      <c r="O127" s="430"/>
      <c r="P127" s="430"/>
      <c r="Q127" s="430"/>
      <c r="R127" s="430"/>
      <c r="S127" s="430"/>
      <c r="T127" s="430"/>
      <c r="U127" s="430"/>
      <c r="V127" s="430"/>
      <c r="W127" s="430"/>
      <c r="X127" s="430"/>
      <c r="Y127" s="430"/>
      <c r="Z127" s="430"/>
      <c r="AA127" s="430"/>
      <c r="AB127" s="430"/>
      <c r="AC127" s="430"/>
      <c r="AD127" s="430"/>
      <c r="AE127" s="430"/>
      <c r="AF127" s="430"/>
      <c r="AG127" s="430"/>
      <c r="AH127" s="430"/>
      <c r="AI127" s="430"/>
      <c r="AJ127" s="430"/>
      <c r="AK127" s="430"/>
      <c r="AL127" s="430"/>
      <c r="AM127" s="430"/>
      <c r="AN127" s="430"/>
      <c r="AO127" s="430"/>
      <c r="AP127" s="430"/>
      <c r="AQ127" s="430"/>
      <c r="AR127" s="430"/>
      <c r="AS127" s="430"/>
      <c r="AT127" s="430"/>
      <c r="AU127" s="430"/>
      <c r="AV127" s="430"/>
      <c r="AW127" s="430"/>
      <c r="AX127" s="430"/>
      <c r="AY127" s="430"/>
      <c r="AZ127" s="430"/>
      <c r="BA127" s="430"/>
      <c r="BB127" s="430"/>
    </row>
    <row r="128" spans="1:54">
      <c r="A128" s="430"/>
      <c r="B128" s="451"/>
      <c r="C128" s="430"/>
      <c r="D128" s="451"/>
      <c r="E128" s="430"/>
      <c r="F128" s="430"/>
      <c r="G128" s="430"/>
      <c r="H128" s="430"/>
      <c r="I128" s="430"/>
      <c r="J128" s="430"/>
      <c r="K128" s="430"/>
      <c r="L128" s="430"/>
      <c r="M128" s="430"/>
      <c r="N128" s="430"/>
      <c r="O128" s="430"/>
      <c r="P128" s="430"/>
      <c r="Q128" s="430"/>
      <c r="R128" s="430"/>
      <c r="S128" s="430"/>
      <c r="T128" s="430"/>
      <c r="U128" s="430"/>
      <c r="V128" s="430"/>
      <c r="W128" s="430"/>
      <c r="X128" s="430"/>
      <c r="Y128" s="430"/>
      <c r="Z128" s="430"/>
      <c r="AA128" s="430"/>
      <c r="AB128" s="430"/>
      <c r="AC128" s="430"/>
      <c r="AD128" s="430"/>
      <c r="AE128" s="430"/>
      <c r="AF128" s="430"/>
      <c r="AG128" s="430"/>
      <c r="AH128" s="430"/>
      <c r="AI128" s="430"/>
      <c r="AJ128" s="430"/>
      <c r="AK128" s="430"/>
      <c r="AL128" s="430"/>
      <c r="AM128" s="430"/>
      <c r="AN128" s="430"/>
      <c r="AO128" s="430"/>
      <c r="AP128" s="430"/>
      <c r="AQ128" s="430"/>
      <c r="AR128" s="430"/>
      <c r="AS128" s="430"/>
      <c r="AT128" s="430"/>
      <c r="AU128" s="430"/>
      <c r="AV128" s="430"/>
      <c r="AW128" s="430"/>
      <c r="AX128" s="430"/>
      <c r="AY128" s="430"/>
      <c r="AZ128" s="430"/>
      <c r="BA128" s="430"/>
      <c r="BB128" s="430"/>
    </row>
    <row r="129" spans="1:54">
      <c r="A129" s="430"/>
      <c r="B129" s="451"/>
      <c r="C129" s="430"/>
      <c r="D129" s="451"/>
      <c r="E129" s="430"/>
      <c r="F129" s="430"/>
      <c r="G129" s="430"/>
      <c r="H129" s="430"/>
      <c r="I129" s="430"/>
      <c r="J129" s="430"/>
      <c r="K129" s="430"/>
      <c r="L129" s="430"/>
      <c r="M129" s="430"/>
      <c r="N129" s="430"/>
      <c r="O129" s="430"/>
      <c r="P129" s="430"/>
      <c r="Q129" s="430"/>
      <c r="R129" s="430"/>
      <c r="S129" s="430"/>
      <c r="T129" s="430"/>
      <c r="U129" s="430"/>
      <c r="V129" s="430"/>
      <c r="W129" s="430"/>
      <c r="X129" s="430"/>
      <c r="Y129" s="430"/>
      <c r="Z129" s="430"/>
      <c r="AA129" s="430"/>
      <c r="AB129" s="430"/>
      <c r="AC129" s="430"/>
      <c r="AD129" s="430"/>
      <c r="AE129" s="430"/>
      <c r="AF129" s="430"/>
      <c r="AG129" s="430"/>
      <c r="AH129" s="430"/>
      <c r="AI129" s="430"/>
      <c r="AJ129" s="430"/>
      <c r="AK129" s="430"/>
      <c r="AL129" s="430"/>
      <c r="AM129" s="430"/>
      <c r="AN129" s="430"/>
      <c r="AO129" s="430"/>
      <c r="AP129" s="430"/>
      <c r="AQ129" s="430"/>
      <c r="AR129" s="430"/>
      <c r="AS129" s="430"/>
      <c r="AT129" s="430"/>
      <c r="AU129" s="430"/>
      <c r="AV129" s="430"/>
      <c r="AW129" s="430"/>
      <c r="AX129" s="430"/>
      <c r="AY129" s="430"/>
      <c r="AZ129" s="430"/>
      <c r="BA129" s="430"/>
      <c r="BB129" s="430"/>
    </row>
    <row r="130" spans="1:54">
      <c r="A130" s="430"/>
      <c r="B130" s="451"/>
      <c r="C130" s="430"/>
      <c r="D130" s="451"/>
      <c r="E130" s="430"/>
      <c r="F130" s="430"/>
      <c r="G130" s="430"/>
      <c r="H130" s="430"/>
      <c r="I130" s="430"/>
      <c r="J130" s="430"/>
      <c r="K130" s="430"/>
      <c r="L130" s="430"/>
      <c r="M130" s="430"/>
      <c r="N130" s="430"/>
      <c r="O130" s="430"/>
      <c r="P130" s="430"/>
      <c r="Q130" s="430"/>
      <c r="R130" s="430"/>
      <c r="S130" s="430"/>
      <c r="T130" s="430"/>
      <c r="U130" s="430"/>
      <c r="V130" s="430"/>
      <c r="W130" s="430"/>
      <c r="X130" s="430"/>
      <c r="Y130" s="430"/>
      <c r="Z130" s="430"/>
      <c r="AA130" s="430"/>
      <c r="AB130" s="430"/>
      <c r="AC130" s="430"/>
      <c r="AD130" s="430"/>
      <c r="AE130" s="430"/>
      <c r="AF130" s="430"/>
      <c r="AG130" s="430"/>
      <c r="AH130" s="430"/>
      <c r="AI130" s="430"/>
      <c r="AJ130" s="430"/>
      <c r="AK130" s="430"/>
      <c r="AL130" s="430"/>
      <c r="AM130" s="430"/>
      <c r="AN130" s="430"/>
      <c r="AO130" s="430"/>
      <c r="AP130" s="430"/>
      <c r="AQ130" s="430"/>
      <c r="AR130" s="430"/>
      <c r="AS130" s="430"/>
      <c r="AT130" s="430"/>
      <c r="AU130" s="430"/>
      <c r="AV130" s="430"/>
      <c r="AW130" s="430"/>
      <c r="AX130" s="430"/>
      <c r="AY130" s="430"/>
      <c r="AZ130" s="430"/>
      <c r="BA130" s="430"/>
      <c r="BB130" s="430"/>
    </row>
    <row r="131" spans="1:54">
      <c r="A131" s="430"/>
      <c r="B131" s="451"/>
      <c r="C131" s="430"/>
      <c r="D131" s="451"/>
      <c r="E131" s="430"/>
      <c r="F131" s="430"/>
      <c r="G131" s="430"/>
      <c r="H131" s="430"/>
      <c r="I131" s="430"/>
      <c r="J131" s="430"/>
      <c r="K131" s="430"/>
      <c r="L131" s="430"/>
      <c r="M131" s="430"/>
      <c r="N131" s="430"/>
      <c r="O131" s="430"/>
      <c r="P131" s="430"/>
      <c r="Q131" s="430"/>
      <c r="R131" s="430"/>
      <c r="S131" s="430"/>
      <c r="T131" s="430"/>
      <c r="U131" s="430"/>
      <c r="V131" s="430"/>
      <c r="W131" s="430"/>
      <c r="X131" s="430"/>
      <c r="Y131" s="430"/>
      <c r="Z131" s="430"/>
      <c r="AA131" s="430"/>
      <c r="AB131" s="430"/>
      <c r="AC131" s="430"/>
      <c r="AD131" s="430"/>
      <c r="AE131" s="430"/>
      <c r="AF131" s="430"/>
      <c r="AG131" s="430"/>
      <c r="AH131" s="430"/>
      <c r="AI131" s="430"/>
      <c r="AJ131" s="430"/>
      <c r="AK131" s="430"/>
      <c r="AL131" s="430"/>
      <c r="AM131" s="430"/>
      <c r="AN131" s="430"/>
      <c r="AO131" s="430"/>
      <c r="AP131" s="430"/>
      <c r="AQ131" s="430"/>
      <c r="AR131" s="430"/>
      <c r="AS131" s="430"/>
      <c r="AT131" s="430"/>
      <c r="AU131" s="430"/>
      <c r="AV131" s="430"/>
      <c r="AW131" s="430"/>
      <c r="AX131" s="430"/>
      <c r="AY131" s="430"/>
      <c r="AZ131" s="430"/>
      <c r="BA131" s="430"/>
      <c r="BB131" s="430"/>
    </row>
    <row r="132" spans="1:54">
      <c r="A132" s="430"/>
      <c r="B132" s="451"/>
      <c r="C132" s="430"/>
      <c r="D132" s="451"/>
      <c r="E132" s="430"/>
      <c r="F132" s="430"/>
      <c r="G132" s="430"/>
      <c r="H132" s="430"/>
      <c r="I132" s="430"/>
      <c r="J132" s="430"/>
      <c r="K132" s="430"/>
      <c r="L132" s="430"/>
      <c r="M132" s="430"/>
      <c r="N132" s="430"/>
      <c r="O132" s="430"/>
      <c r="P132" s="430"/>
      <c r="Q132" s="430"/>
      <c r="R132" s="430"/>
      <c r="S132" s="430"/>
      <c r="T132" s="430"/>
      <c r="U132" s="430"/>
      <c r="V132" s="430"/>
      <c r="W132" s="430"/>
      <c r="X132" s="430"/>
      <c r="Y132" s="430"/>
      <c r="Z132" s="430"/>
      <c r="AA132" s="430"/>
      <c r="AB132" s="430"/>
      <c r="AC132" s="430"/>
      <c r="AD132" s="430"/>
      <c r="AE132" s="430"/>
      <c r="AF132" s="430"/>
      <c r="AG132" s="430"/>
      <c r="AH132" s="430"/>
      <c r="AI132" s="430"/>
      <c r="AJ132" s="430"/>
      <c r="AK132" s="430"/>
      <c r="AL132" s="430"/>
      <c r="AM132" s="430"/>
      <c r="AN132" s="430"/>
      <c r="AO132" s="430"/>
      <c r="AP132" s="430"/>
      <c r="AQ132" s="430"/>
      <c r="AR132" s="430"/>
      <c r="AS132" s="430"/>
      <c r="AT132" s="430"/>
      <c r="AU132" s="430"/>
      <c r="AV132" s="430"/>
      <c r="AW132" s="430"/>
      <c r="AX132" s="430"/>
      <c r="AY132" s="430"/>
      <c r="AZ132" s="430"/>
      <c r="BA132" s="430"/>
      <c r="BB132" s="430"/>
    </row>
    <row r="133" spans="1:54">
      <c r="A133" s="430"/>
      <c r="B133" s="451"/>
      <c r="C133" s="430"/>
      <c r="D133" s="451"/>
      <c r="E133" s="430"/>
      <c r="F133" s="430"/>
      <c r="G133" s="430"/>
      <c r="H133" s="430"/>
      <c r="I133" s="430"/>
      <c r="J133" s="430"/>
      <c r="K133" s="430"/>
      <c r="L133" s="430"/>
      <c r="M133" s="430"/>
      <c r="N133" s="430"/>
      <c r="O133" s="430"/>
      <c r="P133" s="430"/>
      <c r="Q133" s="430"/>
      <c r="R133" s="430"/>
      <c r="S133" s="430"/>
      <c r="T133" s="430"/>
      <c r="U133" s="430"/>
      <c r="V133" s="430"/>
      <c r="W133" s="430"/>
      <c r="X133" s="430"/>
      <c r="Y133" s="430"/>
      <c r="Z133" s="430"/>
      <c r="AA133" s="430"/>
      <c r="AB133" s="430"/>
      <c r="AC133" s="430"/>
      <c r="AD133" s="430"/>
      <c r="AE133" s="430"/>
      <c r="AF133" s="430"/>
      <c r="AG133" s="430"/>
      <c r="AH133" s="430"/>
      <c r="AI133" s="430"/>
      <c r="AJ133" s="430"/>
      <c r="AK133" s="430"/>
      <c r="AL133" s="430"/>
      <c r="AM133" s="430"/>
      <c r="AN133" s="430"/>
      <c r="AO133" s="430"/>
      <c r="AP133" s="430"/>
      <c r="AQ133" s="430"/>
      <c r="AR133" s="430"/>
      <c r="AS133" s="430"/>
      <c r="AT133" s="430"/>
      <c r="AU133" s="430"/>
      <c r="AV133" s="430"/>
      <c r="AW133" s="430"/>
      <c r="AX133" s="430"/>
      <c r="AY133" s="430"/>
      <c r="AZ133" s="430"/>
      <c r="BA133" s="430"/>
      <c r="BB133" s="430"/>
    </row>
    <row r="134" spans="1:54">
      <c r="A134" s="430"/>
      <c r="B134" s="451"/>
      <c r="C134" s="430"/>
      <c r="D134" s="451"/>
      <c r="E134" s="430"/>
      <c r="F134" s="430"/>
      <c r="G134" s="430"/>
      <c r="H134" s="430"/>
      <c r="I134" s="430"/>
      <c r="J134" s="430"/>
      <c r="K134" s="430"/>
      <c r="L134" s="430"/>
      <c r="M134" s="430"/>
      <c r="N134" s="430"/>
      <c r="O134" s="430"/>
      <c r="P134" s="430"/>
      <c r="Q134" s="430"/>
      <c r="R134" s="430"/>
      <c r="S134" s="430"/>
      <c r="T134" s="430"/>
      <c r="U134" s="430"/>
      <c r="V134" s="430"/>
      <c r="W134" s="430"/>
      <c r="X134" s="430"/>
      <c r="Y134" s="430"/>
      <c r="Z134" s="430"/>
      <c r="AA134" s="430"/>
      <c r="AB134" s="430"/>
      <c r="AC134" s="430"/>
      <c r="AD134" s="430"/>
      <c r="AE134" s="430"/>
      <c r="AF134" s="430"/>
      <c r="AG134" s="430"/>
      <c r="AH134" s="430"/>
      <c r="AI134" s="430"/>
      <c r="AJ134" s="430"/>
      <c r="AK134" s="430"/>
      <c r="AL134" s="430"/>
      <c r="AM134" s="430"/>
      <c r="AN134" s="430"/>
      <c r="AO134" s="430"/>
      <c r="AP134" s="430"/>
      <c r="AQ134" s="430"/>
      <c r="AR134" s="430"/>
      <c r="AS134" s="430"/>
      <c r="AT134" s="430"/>
      <c r="AU134" s="430"/>
      <c r="AV134" s="430"/>
      <c r="AW134" s="430"/>
      <c r="AX134" s="430"/>
      <c r="AY134" s="430"/>
      <c r="AZ134" s="430"/>
      <c r="BA134" s="430"/>
      <c r="BB134" s="430"/>
    </row>
    <row r="135" spans="1:54">
      <c r="A135" s="430"/>
      <c r="B135" s="451"/>
      <c r="C135" s="430"/>
      <c r="D135" s="451"/>
      <c r="E135" s="430"/>
      <c r="F135" s="430"/>
      <c r="G135" s="430"/>
      <c r="H135" s="430"/>
      <c r="I135" s="430"/>
      <c r="J135" s="430"/>
      <c r="K135" s="430"/>
      <c r="L135" s="430"/>
      <c r="M135" s="430"/>
      <c r="N135" s="430"/>
      <c r="O135" s="430"/>
      <c r="P135" s="430"/>
      <c r="Q135" s="430"/>
      <c r="R135" s="430"/>
      <c r="S135" s="430"/>
      <c r="T135" s="430"/>
      <c r="U135" s="430"/>
      <c r="V135" s="430"/>
      <c r="W135" s="430"/>
      <c r="X135" s="430"/>
      <c r="Y135" s="430"/>
      <c r="Z135" s="430"/>
      <c r="AA135" s="430"/>
      <c r="AB135" s="430"/>
      <c r="AC135" s="430"/>
      <c r="AD135" s="430"/>
      <c r="AE135" s="430"/>
      <c r="AF135" s="430"/>
      <c r="AG135" s="430"/>
      <c r="AH135" s="430"/>
      <c r="AI135" s="430"/>
      <c r="AJ135" s="430"/>
      <c r="AK135" s="430"/>
      <c r="AL135" s="430"/>
      <c r="AM135" s="430"/>
      <c r="AN135" s="430"/>
      <c r="AO135" s="430"/>
      <c r="AP135" s="430"/>
      <c r="AQ135" s="430"/>
      <c r="AR135" s="430"/>
      <c r="AS135" s="430"/>
      <c r="AT135" s="430"/>
      <c r="AU135" s="430"/>
      <c r="AV135" s="430"/>
      <c r="AW135" s="430"/>
      <c r="AX135" s="430"/>
      <c r="AY135" s="430"/>
      <c r="AZ135" s="430"/>
      <c r="BA135" s="430"/>
      <c r="BB135" s="430"/>
    </row>
    <row r="136" spans="1:54">
      <c r="A136" s="430"/>
      <c r="B136" s="451"/>
      <c r="C136" s="430"/>
      <c r="D136" s="451"/>
      <c r="E136" s="430"/>
      <c r="F136" s="430"/>
      <c r="G136" s="430"/>
      <c r="H136" s="430"/>
      <c r="I136" s="430"/>
      <c r="J136" s="430"/>
      <c r="K136" s="430"/>
      <c r="L136" s="430"/>
      <c r="M136" s="430"/>
      <c r="N136" s="430"/>
      <c r="O136" s="430"/>
      <c r="P136" s="430"/>
      <c r="Q136" s="430"/>
      <c r="R136" s="430"/>
      <c r="S136" s="430"/>
      <c r="T136" s="430"/>
      <c r="U136" s="430"/>
      <c r="V136" s="430"/>
      <c r="W136" s="430"/>
      <c r="X136" s="430"/>
      <c r="Y136" s="430"/>
      <c r="Z136" s="430"/>
      <c r="AA136" s="430"/>
      <c r="AB136" s="430"/>
      <c r="AC136" s="430"/>
      <c r="AD136" s="430"/>
      <c r="AE136" s="430"/>
      <c r="AF136" s="430"/>
      <c r="AG136" s="430"/>
      <c r="AH136" s="430"/>
      <c r="AI136" s="430"/>
      <c r="AJ136" s="430"/>
      <c r="AK136" s="430"/>
      <c r="AL136" s="430"/>
      <c r="AM136" s="430"/>
      <c r="AN136" s="430"/>
      <c r="AO136" s="430"/>
      <c r="AP136" s="430"/>
      <c r="AQ136" s="430"/>
      <c r="AR136" s="430"/>
      <c r="AS136" s="430"/>
      <c r="AT136" s="430"/>
      <c r="AU136" s="430"/>
      <c r="AV136" s="430"/>
      <c r="AW136" s="430"/>
      <c r="AX136" s="430"/>
      <c r="AY136" s="430"/>
      <c r="AZ136" s="430"/>
      <c r="BA136" s="430"/>
      <c r="BB136" s="430"/>
    </row>
    <row r="137" spans="1:54">
      <c r="A137" s="430"/>
      <c r="B137" s="451"/>
      <c r="C137" s="430"/>
      <c r="D137" s="451"/>
      <c r="E137" s="430"/>
      <c r="F137" s="430"/>
      <c r="G137" s="430"/>
      <c r="H137" s="430"/>
      <c r="I137" s="430"/>
      <c r="J137" s="430"/>
      <c r="K137" s="430"/>
      <c r="L137" s="430"/>
      <c r="M137" s="430"/>
      <c r="N137" s="430"/>
      <c r="O137" s="430"/>
      <c r="P137" s="430"/>
      <c r="Q137" s="430"/>
      <c r="R137" s="430"/>
      <c r="S137" s="430"/>
      <c r="T137" s="430"/>
      <c r="U137" s="430"/>
      <c r="V137" s="430"/>
      <c r="W137" s="430"/>
      <c r="X137" s="430"/>
      <c r="Y137" s="430"/>
      <c r="Z137" s="430"/>
      <c r="AA137" s="430"/>
      <c r="AB137" s="430"/>
      <c r="AC137" s="430"/>
      <c r="AD137" s="430"/>
      <c r="AE137" s="430"/>
      <c r="AF137" s="430"/>
      <c r="AG137" s="430"/>
      <c r="AH137" s="430"/>
      <c r="AI137" s="430"/>
      <c r="AJ137" s="430"/>
      <c r="AK137" s="430"/>
      <c r="AL137" s="430"/>
      <c r="AM137" s="430"/>
      <c r="AN137" s="430"/>
      <c r="AO137" s="430"/>
      <c r="AP137" s="430"/>
      <c r="AQ137" s="430"/>
      <c r="AR137" s="430"/>
      <c r="AS137" s="430"/>
      <c r="AT137" s="430"/>
      <c r="AU137" s="430"/>
      <c r="AV137" s="430"/>
      <c r="AW137" s="430"/>
      <c r="AX137" s="430"/>
      <c r="AY137" s="430"/>
      <c r="AZ137" s="430"/>
      <c r="BA137" s="430"/>
      <c r="BB137" s="430"/>
    </row>
    <row r="138" spans="1:54">
      <c r="A138" s="430"/>
      <c r="B138" s="451"/>
      <c r="C138" s="430"/>
      <c r="D138" s="451"/>
      <c r="E138" s="430"/>
      <c r="F138" s="430"/>
      <c r="G138" s="430"/>
      <c r="H138" s="430"/>
      <c r="I138" s="430"/>
      <c r="J138" s="430"/>
      <c r="K138" s="430"/>
      <c r="L138" s="430"/>
      <c r="M138" s="430"/>
      <c r="N138" s="430"/>
      <c r="O138" s="430"/>
      <c r="P138" s="430"/>
      <c r="Q138" s="430"/>
      <c r="R138" s="533" t="s">
        <v>949</v>
      </c>
      <c r="S138" s="430"/>
      <c r="T138" s="430"/>
      <c r="U138" s="430"/>
      <c r="V138" s="430"/>
      <c r="W138" s="430"/>
      <c r="X138" s="430"/>
      <c r="Y138" s="430"/>
      <c r="Z138" s="430"/>
      <c r="AA138" s="430"/>
      <c r="AB138" s="430"/>
      <c r="AC138" s="430"/>
      <c r="AD138" s="430"/>
      <c r="AE138" s="430"/>
      <c r="AF138" s="430"/>
      <c r="AG138" s="430"/>
      <c r="AH138" s="430"/>
      <c r="AI138" s="430"/>
      <c r="AJ138" s="430"/>
      <c r="AK138" s="430"/>
      <c r="AL138" s="430"/>
      <c r="AM138" s="430"/>
      <c r="AN138" s="430"/>
      <c r="AO138" s="430"/>
      <c r="AP138" s="430"/>
      <c r="AQ138" s="430"/>
      <c r="AR138" s="430"/>
      <c r="AS138" s="430"/>
      <c r="AT138" s="430"/>
      <c r="AU138" s="430"/>
      <c r="AV138" s="430"/>
      <c r="AW138" s="430"/>
      <c r="AX138" s="430"/>
      <c r="AY138" s="430"/>
      <c r="AZ138" s="430"/>
      <c r="BA138" s="430"/>
      <c r="BB138" s="430"/>
    </row>
    <row r="139" spans="1:54">
      <c r="A139" s="430"/>
      <c r="B139" s="451"/>
      <c r="C139" s="430"/>
      <c r="D139" s="451"/>
      <c r="E139" s="430"/>
      <c r="F139" s="430"/>
      <c r="G139" s="430"/>
      <c r="H139" s="430"/>
      <c r="I139" s="430"/>
      <c r="J139" s="430"/>
      <c r="K139" s="430"/>
      <c r="L139" s="430"/>
      <c r="M139" s="430"/>
      <c r="N139" s="430"/>
      <c r="O139" s="430"/>
      <c r="P139" s="430"/>
      <c r="Q139" s="430"/>
      <c r="R139" s="430"/>
      <c r="S139" s="430"/>
      <c r="T139" s="430"/>
      <c r="U139" s="430"/>
      <c r="V139" s="430"/>
      <c r="W139" s="430"/>
      <c r="X139" s="430"/>
      <c r="Y139" s="430"/>
      <c r="Z139" s="430"/>
      <c r="AA139" s="430"/>
      <c r="AB139" s="430"/>
      <c r="AC139" s="430"/>
      <c r="AD139" s="430"/>
      <c r="AE139" s="430"/>
      <c r="AF139" s="430"/>
      <c r="AG139" s="430"/>
      <c r="AH139" s="430"/>
      <c r="AI139" s="430"/>
      <c r="AJ139" s="430"/>
      <c r="AK139" s="430"/>
      <c r="AL139" s="430"/>
      <c r="AM139" s="430"/>
      <c r="AN139" s="430"/>
      <c r="AO139" s="430"/>
      <c r="AP139" s="430"/>
      <c r="AQ139" s="430"/>
      <c r="AR139" s="430"/>
      <c r="AS139" s="430"/>
      <c r="AT139" s="430"/>
      <c r="AU139" s="430"/>
      <c r="AV139" s="430"/>
      <c r="AW139" s="430"/>
      <c r="AX139" s="430"/>
      <c r="AY139" s="430"/>
      <c r="AZ139" s="430"/>
      <c r="BA139" s="430"/>
      <c r="BB139" s="430"/>
    </row>
    <row r="140" spans="1:54">
      <c r="A140" s="430"/>
      <c r="B140" s="451"/>
      <c r="C140" s="430"/>
      <c r="D140" s="451"/>
      <c r="E140" s="430"/>
      <c r="F140" s="430"/>
      <c r="G140" s="430"/>
      <c r="H140" s="430"/>
      <c r="I140" s="430"/>
      <c r="J140" s="430"/>
      <c r="K140" s="430"/>
      <c r="L140" s="430"/>
      <c r="M140" s="430"/>
      <c r="N140" s="430"/>
      <c r="O140" s="430"/>
      <c r="P140" s="430"/>
      <c r="Q140" s="430"/>
      <c r="R140" s="430"/>
      <c r="S140" s="430"/>
      <c r="T140" s="430"/>
      <c r="U140" s="430"/>
      <c r="V140" s="430"/>
      <c r="W140" s="430"/>
      <c r="X140" s="430"/>
      <c r="Y140" s="430"/>
      <c r="Z140" s="430"/>
      <c r="AA140" s="430"/>
      <c r="AB140" s="430"/>
      <c r="AC140" s="430"/>
      <c r="AD140" s="430"/>
      <c r="AE140" s="430"/>
      <c r="AF140" s="430"/>
      <c r="AG140" s="430"/>
      <c r="AH140" s="430"/>
      <c r="AI140" s="430"/>
      <c r="AJ140" s="430"/>
      <c r="AK140" s="430"/>
      <c r="AL140" s="430"/>
      <c r="AM140" s="430"/>
      <c r="AN140" s="430"/>
      <c r="AO140" s="430"/>
      <c r="AP140" s="430"/>
      <c r="AQ140" s="430"/>
      <c r="AR140" s="430"/>
      <c r="AS140" s="430"/>
      <c r="AT140" s="430"/>
      <c r="AU140" s="430"/>
      <c r="AV140" s="430"/>
      <c r="AW140" s="430"/>
      <c r="AX140" s="430"/>
      <c r="AY140" s="430"/>
      <c r="AZ140" s="430"/>
      <c r="BA140" s="430"/>
      <c r="BB140" s="430"/>
    </row>
    <row r="141" spans="1:54">
      <c r="A141" s="430"/>
      <c r="B141" s="451"/>
      <c r="C141" s="430"/>
      <c r="D141" s="451"/>
      <c r="E141" s="430"/>
      <c r="F141" s="430"/>
      <c r="G141" s="430"/>
      <c r="H141" s="430"/>
      <c r="I141" s="430"/>
      <c r="J141" s="430"/>
      <c r="K141" s="430"/>
      <c r="L141" s="430"/>
      <c r="M141" s="430"/>
      <c r="N141" s="430"/>
      <c r="O141" s="430"/>
      <c r="P141" s="430"/>
      <c r="Q141" s="430"/>
      <c r="R141" s="430"/>
      <c r="S141" s="430"/>
      <c r="T141" s="430"/>
      <c r="U141" s="430"/>
      <c r="V141" s="430"/>
      <c r="W141" s="430"/>
      <c r="X141" s="430"/>
      <c r="Y141" s="430"/>
      <c r="Z141" s="430"/>
      <c r="AA141" s="430"/>
      <c r="AB141" s="430"/>
      <c r="AC141" s="430"/>
      <c r="AD141" s="430"/>
      <c r="AE141" s="430"/>
      <c r="AF141" s="430"/>
      <c r="AG141" s="430"/>
      <c r="AH141" s="430"/>
      <c r="AI141" s="430"/>
      <c r="AJ141" s="430"/>
      <c r="AK141" s="430"/>
      <c r="AL141" s="430"/>
      <c r="AM141" s="430"/>
      <c r="AN141" s="430"/>
      <c r="AO141" s="430"/>
      <c r="AP141" s="430"/>
      <c r="AQ141" s="430"/>
      <c r="AR141" s="430"/>
      <c r="AS141" s="430"/>
      <c r="AT141" s="430"/>
      <c r="AU141" s="430"/>
      <c r="AV141" s="430"/>
      <c r="AW141" s="430"/>
      <c r="AX141" s="430"/>
      <c r="AY141" s="430"/>
      <c r="AZ141" s="430"/>
      <c r="BA141" s="430"/>
      <c r="BB141" s="430"/>
    </row>
    <row r="142" spans="1:54">
      <c r="A142" s="430"/>
      <c r="B142" s="451"/>
      <c r="C142" s="430"/>
      <c r="D142" s="451"/>
      <c r="E142" s="430"/>
      <c r="F142" s="430"/>
      <c r="G142" s="430"/>
      <c r="H142" s="430"/>
      <c r="I142" s="430"/>
      <c r="J142" s="430"/>
      <c r="K142" s="430"/>
      <c r="L142" s="430"/>
      <c r="M142" s="430"/>
      <c r="N142" s="430"/>
      <c r="O142" s="430"/>
      <c r="P142" s="430"/>
      <c r="Q142" s="430"/>
      <c r="R142" s="430"/>
      <c r="S142" s="430"/>
      <c r="T142" s="430"/>
      <c r="U142" s="430"/>
      <c r="V142" s="430"/>
      <c r="W142" s="430"/>
      <c r="X142" s="430"/>
      <c r="Y142" s="430"/>
      <c r="Z142" s="430"/>
      <c r="AA142" s="430"/>
      <c r="AB142" s="430"/>
      <c r="AC142" s="430"/>
      <c r="AD142" s="430"/>
      <c r="AE142" s="430"/>
      <c r="AF142" s="430"/>
      <c r="AG142" s="430"/>
      <c r="AH142" s="430"/>
      <c r="AI142" s="430"/>
      <c r="AJ142" s="430"/>
      <c r="AK142" s="430"/>
      <c r="AL142" s="430"/>
      <c r="AM142" s="430"/>
      <c r="AN142" s="430"/>
      <c r="AO142" s="430"/>
      <c r="AP142" s="430"/>
      <c r="AQ142" s="430"/>
      <c r="AR142" s="430"/>
      <c r="AS142" s="430"/>
      <c r="AT142" s="430"/>
      <c r="AU142" s="430"/>
      <c r="AV142" s="430"/>
      <c r="AW142" s="430"/>
      <c r="AX142" s="430"/>
      <c r="AY142" s="430"/>
      <c r="AZ142" s="430"/>
      <c r="BA142" s="430"/>
      <c r="BB142" s="430"/>
    </row>
    <row r="143" spans="1:54">
      <c r="A143" s="430"/>
      <c r="B143" s="451"/>
      <c r="C143" s="430"/>
      <c r="D143" s="451"/>
      <c r="E143" s="430"/>
      <c r="F143" s="430"/>
      <c r="G143" s="430"/>
      <c r="H143" s="430"/>
      <c r="I143" s="430"/>
      <c r="J143" s="430"/>
      <c r="K143" s="430"/>
      <c r="L143" s="430"/>
      <c r="M143" s="430"/>
      <c r="N143" s="430"/>
      <c r="O143" s="430"/>
      <c r="P143" s="430"/>
      <c r="Q143" s="430"/>
      <c r="R143" s="430"/>
      <c r="S143" s="430"/>
      <c r="T143" s="430"/>
      <c r="U143" s="430"/>
      <c r="V143" s="430"/>
      <c r="W143" s="430"/>
      <c r="X143" s="430"/>
      <c r="Y143" s="430"/>
      <c r="Z143" s="430"/>
      <c r="AA143" s="430"/>
      <c r="AB143" s="430"/>
      <c r="AC143" s="430"/>
      <c r="AD143" s="430"/>
      <c r="AE143" s="430"/>
      <c r="AF143" s="430"/>
      <c r="AG143" s="430"/>
      <c r="AH143" s="430"/>
      <c r="AI143" s="430"/>
      <c r="AJ143" s="430"/>
      <c r="AK143" s="430"/>
      <c r="AL143" s="430"/>
      <c r="AM143" s="430"/>
      <c r="AN143" s="430"/>
      <c r="AO143" s="430"/>
      <c r="AP143" s="430"/>
      <c r="AQ143" s="430"/>
      <c r="AR143" s="430"/>
      <c r="AS143" s="430"/>
      <c r="AT143" s="430"/>
      <c r="AU143" s="430"/>
      <c r="AV143" s="430"/>
      <c r="AW143" s="430"/>
      <c r="AX143" s="430"/>
      <c r="AY143" s="430"/>
      <c r="AZ143" s="430"/>
      <c r="BA143" s="430"/>
      <c r="BB143" s="430"/>
    </row>
    <row r="144" spans="1:54">
      <c r="A144" s="430"/>
      <c r="B144" s="451"/>
      <c r="C144" s="430"/>
      <c r="D144" s="451"/>
      <c r="E144" s="430"/>
      <c r="F144" s="430"/>
      <c r="G144" s="430"/>
      <c r="H144" s="430"/>
      <c r="I144" s="430"/>
      <c r="J144" s="430"/>
      <c r="K144" s="430"/>
      <c r="L144" s="430"/>
      <c r="M144" s="430"/>
      <c r="N144" s="430"/>
      <c r="O144" s="430"/>
      <c r="P144" s="430"/>
      <c r="Q144" s="430"/>
      <c r="R144" s="430"/>
      <c r="S144" s="430"/>
      <c r="T144" s="430"/>
      <c r="U144" s="430"/>
      <c r="V144" s="430"/>
      <c r="W144" s="430"/>
      <c r="X144" s="430"/>
      <c r="Y144" s="430"/>
      <c r="Z144" s="430"/>
      <c r="AA144" s="430"/>
      <c r="AB144" s="430"/>
      <c r="AC144" s="430"/>
      <c r="AD144" s="430"/>
      <c r="AE144" s="430"/>
      <c r="AF144" s="430"/>
      <c r="AG144" s="430"/>
      <c r="AH144" s="430"/>
      <c r="AI144" s="430"/>
      <c r="AJ144" s="430"/>
      <c r="AK144" s="430"/>
      <c r="AL144" s="430"/>
      <c r="AM144" s="430"/>
      <c r="AN144" s="430"/>
      <c r="AO144" s="430"/>
      <c r="AP144" s="430"/>
      <c r="AQ144" s="430"/>
      <c r="AR144" s="430"/>
      <c r="AS144" s="430"/>
      <c r="AT144" s="430"/>
      <c r="AU144" s="430"/>
      <c r="AV144" s="430"/>
      <c r="AW144" s="430"/>
      <c r="AX144" s="430"/>
      <c r="AY144" s="430"/>
      <c r="AZ144" s="430"/>
      <c r="BA144" s="430"/>
      <c r="BB144" s="430"/>
    </row>
    <row r="145" spans="1:54">
      <c r="A145" s="430"/>
      <c r="B145" s="451"/>
      <c r="C145" s="430"/>
      <c r="D145" s="451"/>
      <c r="E145" s="430"/>
      <c r="F145" s="430"/>
      <c r="G145" s="430"/>
      <c r="H145" s="430"/>
      <c r="I145" s="430"/>
      <c r="J145" s="430"/>
      <c r="K145" s="430"/>
      <c r="L145" s="430"/>
      <c r="M145" s="430"/>
      <c r="N145" s="430"/>
      <c r="O145" s="430"/>
      <c r="P145" s="430"/>
      <c r="Q145" s="430"/>
      <c r="R145" s="430"/>
      <c r="S145" s="430"/>
      <c r="T145" s="430"/>
      <c r="U145" s="430"/>
      <c r="V145" s="430"/>
      <c r="W145" s="430"/>
      <c r="X145" s="430"/>
      <c r="Y145" s="430"/>
      <c r="Z145" s="430"/>
      <c r="AA145" s="430"/>
      <c r="AB145" s="430"/>
      <c r="AC145" s="430"/>
      <c r="AD145" s="430"/>
      <c r="AE145" s="430"/>
      <c r="AF145" s="430"/>
      <c r="AG145" s="430"/>
      <c r="AH145" s="430"/>
      <c r="AI145" s="430"/>
      <c r="AJ145" s="430"/>
      <c r="AK145" s="430"/>
      <c r="AL145" s="430"/>
      <c r="AM145" s="430"/>
      <c r="AN145" s="430"/>
      <c r="AO145" s="430"/>
      <c r="AP145" s="430"/>
      <c r="AQ145" s="430"/>
      <c r="AR145" s="430"/>
      <c r="AS145" s="430"/>
      <c r="AT145" s="430"/>
      <c r="AU145" s="430"/>
      <c r="AV145" s="430"/>
      <c r="AW145" s="430"/>
      <c r="AX145" s="430"/>
      <c r="AY145" s="430"/>
      <c r="AZ145" s="430"/>
      <c r="BA145" s="430"/>
      <c r="BB145" s="430"/>
    </row>
    <row r="146" spans="1:54">
      <c r="A146" s="430"/>
      <c r="B146" s="451"/>
      <c r="C146" s="430"/>
      <c r="D146" s="451"/>
      <c r="E146" s="430"/>
      <c r="F146" s="430"/>
      <c r="G146" s="430"/>
      <c r="H146" s="430"/>
      <c r="I146" s="430"/>
      <c r="J146" s="430"/>
      <c r="K146" s="430"/>
      <c r="L146" s="430"/>
      <c r="M146" s="430"/>
      <c r="N146" s="430"/>
      <c r="O146" s="430"/>
      <c r="P146" s="430"/>
      <c r="Q146" s="430"/>
      <c r="R146" s="430"/>
      <c r="S146" s="430"/>
      <c r="T146" s="430"/>
      <c r="U146" s="430"/>
      <c r="V146" s="430"/>
      <c r="W146" s="430"/>
      <c r="X146" s="430"/>
      <c r="Y146" s="430"/>
      <c r="Z146" s="430"/>
      <c r="AA146" s="430"/>
      <c r="AB146" s="430"/>
      <c r="AC146" s="430"/>
      <c r="AD146" s="430"/>
      <c r="AE146" s="430"/>
      <c r="AF146" s="430"/>
      <c r="AG146" s="430"/>
      <c r="AH146" s="430"/>
      <c r="AI146" s="430"/>
      <c r="AJ146" s="430"/>
      <c r="AK146" s="430"/>
      <c r="AL146" s="430"/>
      <c r="AM146" s="430"/>
      <c r="AN146" s="430"/>
      <c r="AO146" s="430"/>
      <c r="AP146" s="430"/>
      <c r="AQ146" s="430"/>
      <c r="AR146" s="430"/>
      <c r="AS146" s="430"/>
      <c r="AT146" s="430"/>
      <c r="AU146" s="430"/>
      <c r="AV146" s="430"/>
      <c r="AW146" s="430"/>
      <c r="AX146" s="430"/>
      <c r="AY146" s="430"/>
      <c r="AZ146" s="430"/>
      <c r="BA146" s="430"/>
      <c r="BB146" s="430"/>
    </row>
    <row r="147" spans="1:54">
      <c r="A147" s="430"/>
      <c r="B147" s="451"/>
      <c r="C147" s="430"/>
      <c r="D147" s="451"/>
      <c r="E147" s="430"/>
      <c r="F147" s="430"/>
      <c r="G147" s="430"/>
      <c r="H147" s="430"/>
      <c r="I147" s="430"/>
      <c r="J147" s="430"/>
      <c r="K147" s="430"/>
      <c r="L147" s="430"/>
      <c r="M147" s="430"/>
      <c r="N147" s="430"/>
      <c r="O147" s="430"/>
      <c r="P147" s="430"/>
      <c r="Q147" s="430"/>
      <c r="R147" s="430"/>
      <c r="S147" s="430"/>
      <c r="T147" s="430"/>
      <c r="U147" s="430"/>
      <c r="V147" s="430"/>
      <c r="W147" s="430"/>
      <c r="X147" s="430"/>
      <c r="Y147" s="430"/>
      <c r="Z147" s="430"/>
      <c r="AA147" s="430"/>
      <c r="AB147" s="430"/>
      <c r="AC147" s="430"/>
      <c r="AD147" s="430"/>
      <c r="AE147" s="430"/>
      <c r="AF147" s="430"/>
      <c r="AG147" s="430"/>
      <c r="AH147" s="430"/>
      <c r="AI147" s="430"/>
      <c r="AJ147" s="430"/>
      <c r="AK147" s="430"/>
      <c r="AL147" s="430"/>
      <c r="AM147" s="430"/>
      <c r="AN147" s="430"/>
      <c r="AO147" s="430"/>
      <c r="AP147" s="430"/>
      <c r="AQ147" s="430"/>
      <c r="AR147" s="430"/>
      <c r="AS147" s="430"/>
      <c r="AT147" s="430"/>
      <c r="AU147" s="430"/>
      <c r="AV147" s="430"/>
      <c r="AW147" s="430"/>
      <c r="AX147" s="430"/>
      <c r="AY147" s="430"/>
      <c r="AZ147" s="430"/>
      <c r="BA147" s="430"/>
      <c r="BB147" s="430"/>
    </row>
    <row r="148" spans="1:54">
      <c r="A148" s="430"/>
      <c r="B148" s="451"/>
      <c r="C148" s="430"/>
      <c r="D148" s="451"/>
      <c r="E148" s="430"/>
      <c r="F148" s="430"/>
      <c r="G148" s="430"/>
      <c r="H148" s="430"/>
      <c r="I148" s="430"/>
      <c r="J148" s="430"/>
      <c r="K148" s="430"/>
      <c r="L148" s="430"/>
      <c r="M148" s="430"/>
      <c r="N148" s="430"/>
      <c r="O148" s="430"/>
      <c r="P148" s="430"/>
      <c r="Q148" s="430"/>
      <c r="R148" s="430"/>
      <c r="S148" s="430"/>
      <c r="T148" s="430"/>
      <c r="U148" s="430"/>
      <c r="V148" s="430"/>
      <c r="W148" s="430"/>
      <c r="X148" s="430"/>
      <c r="Y148" s="430"/>
      <c r="Z148" s="430"/>
      <c r="AA148" s="430"/>
      <c r="AB148" s="430"/>
      <c r="AC148" s="430"/>
      <c r="AD148" s="430"/>
      <c r="AE148" s="430"/>
      <c r="AF148" s="430"/>
      <c r="AG148" s="430"/>
      <c r="AH148" s="430"/>
      <c r="AI148" s="430"/>
      <c r="AJ148" s="430"/>
      <c r="AK148" s="430"/>
      <c r="AL148" s="430"/>
      <c r="AM148" s="430"/>
      <c r="AN148" s="430"/>
      <c r="AO148" s="430"/>
      <c r="AP148" s="430"/>
      <c r="AQ148" s="430"/>
      <c r="AR148" s="430"/>
      <c r="AS148" s="430"/>
      <c r="AT148" s="430"/>
      <c r="AU148" s="430"/>
      <c r="AV148" s="430"/>
      <c r="AW148" s="430"/>
      <c r="AX148" s="430"/>
      <c r="AY148" s="430"/>
      <c r="AZ148" s="430"/>
      <c r="BA148" s="430"/>
      <c r="BB148" s="430"/>
    </row>
    <row r="149" spans="1:54">
      <c r="A149" s="430"/>
      <c r="B149" s="451"/>
      <c r="C149" s="430"/>
      <c r="D149" s="451"/>
      <c r="E149" s="430"/>
      <c r="L149" s="430"/>
      <c r="M149" s="430"/>
      <c r="N149" s="430"/>
      <c r="O149" s="430"/>
      <c r="P149" s="430"/>
      <c r="Q149" s="430"/>
      <c r="R149" s="430"/>
      <c r="S149" s="430"/>
      <c r="T149" s="430"/>
      <c r="U149" s="430"/>
      <c r="V149" s="430"/>
      <c r="W149" s="430"/>
      <c r="X149" s="430"/>
      <c r="Y149" s="430"/>
      <c r="Z149" s="430"/>
      <c r="AA149" s="430"/>
      <c r="AB149" s="430"/>
      <c r="AC149" s="430"/>
      <c r="AD149" s="430"/>
      <c r="AE149" s="430"/>
      <c r="AF149" s="430"/>
      <c r="AG149" s="430"/>
      <c r="AH149" s="430"/>
      <c r="AI149" s="430"/>
      <c r="AJ149" s="430"/>
      <c r="AK149" s="430"/>
      <c r="AL149" s="430"/>
      <c r="AM149" s="430"/>
      <c r="AN149" s="430"/>
      <c r="AO149" s="430"/>
      <c r="AP149" s="430"/>
      <c r="AQ149" s="430"/>
      <c r="AR149" s="430"/>
      <c r="AS149" s="430"/>
      <c r="AT149" s="430"/>
      <c r="AU149" s="430"/>
      <c r="AV149" s="430"/>
      <c r="AW149" s="430"/>
      <c r="AX149" s="430"/>
      <c r="AY149" s="430"/>
      <c r="AZ149" s="430"/>
      <c r="BA149" s="430"/>
      <c r="BB149" s="430"/>
    </row>
  </sheetData>
  <mergeCells count="2">
    <mergeCell ref="AV48:BB48"/>
    <mergeCell ref="AO48:AT48"/>
  </mergeCell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4B084"/>
  </sheetPr>
  <dimension ref="A1:G149"/>
  <sheetViews>
    <sheetView workbookViewId="0">
      <pane xSplit="4" ySplit="3" topLeftCell="E4" activePane="bottomRight" state="frozen"/>
      <selection pane="topRight"/>
      <selection pane="bottomLeft"/>
      <selection pane="bottomRight" activeCell="E14" sqref="E14"/>
    </sheetView>
  </sheetViews>
  <sheetFormatPr defaultRowHeight="14.5"/>
  <cols>
    <col min="1" max="1" width="13.54296875" customWidth="1"/>
    <col min="2" max="2" width="4.453125" style="424" customWidth="1"/>
    <col min="3" max="3" width="19.08984375" style="418" customWidth="1"/>
    <col min="4" max="4" width="7.6328125" style="424" customWidth="1"/>
    <col min="14" max="14" width="27.54296875" customWidth="1"/>
  </cols>
  <sheetData>
    <row r="1" spans="1:7">
      <c r="A1" s="430"/>
      <c r="B1" s="430"/>
      <c r="C1" s="430"/>
      <c r="D1" s="430"/>
      <c r="E1" s="430"/>
      <c r="F1" s="430"/>
      <c r="G1" s="430"/>
    </row>
    <row r="2" spans="1:7" ht="15" customHeight="1">
      <c r="A2" s="437"/>
      <c r="B2" s="434"/>
      <c r="C2" s="434"/>
      <c r="D2" s="434"/>
      <c r="E2" s="437"/>
      <c r="F2" s="437"/>
      <c r="G2" s="437"/>
    </row>
    <row r="3" spans="1:7" s="426" customFormat="1" ht="15" customHeight="1">
      <c r="A3" s="437"/>
      <c r="B3" s="434"/>
      <c r="C3" s="434"/>
      <c r="D3" s="434"/>
      <c r="E3" s="437"/>
      <c r="F3" s="437"/>
      <c r="G3" s="437"/>
    </row>
    <row r="4" spans="1:7" ht="18.5" customHeight="1">
      <c r="A4" s="430"/>
      <c r="B4" s="440" t="s">
        <v>6</v>
      </c>
      <c r="C4" s="441" t="s">
        <v>7</v>
      </c>
      <c r="D4" s="440" t="s">
        <v>8</v>
      </c>
      <c r="E4" s="430"/>
      <c r="F4" s="430"/>
      <c r="G4" s="430"/>
    </row>
    <row r="5" spans="1:7">
      <c r="A5" s="474" t="s">
        <v>1005</v>
      </c>
      <c r="B5" s="443" t="s">
        <v>18</v>
      </c>
      <c r="C5" s="444" t="s">
        <v>1006</v>
      </c>
      <c r="D5" s="443" t="s">
        <v>1007</v>
      </c>
      <c r="E5" s="578">
        <v>2.171428571428571E-2</v>
      </c>
      <c r="F5" s="442" t="s">
        <v>1008</v>
      </c>
      <c r="G5" s="430"/>
    </row>
    <row r="6" spans="1:7">
      <c r="A6" s="474" t="s">
        <v>1009</v>
      </c>
      <c r="B6" s="443" t="s">
        <v>18</v>
      </c>
      <c r="C6" s="444" t="s">
        <v>1010</v>
      </c>
      <c r="D6" s="460" t="s">
        <v>1007</v>
      </c>
      <c r="E6" s="579">
        <v>3.9E-2</v>
      </c>
      <c r="F6" s="430"/>
      <c r="G6" s="430"/>
    </row>
    <row r="7" spans="1:7">
      <c r="A7" s="430"/>
      <c r="B7" s="445"/>
      <c r="C7" s="447"/>
      <c r="D7" s="448"/>
      <c r="E7" s="430"/>
      <c r="F7" s="430"/>
      <c r="G7" s="430"/>
    </row>
    <row r="8" spans="1:7">
      <c r="A8" s="474" t="s">
        <v>1011</v>
      </c>
      <c r="B8" s="443" t="s">
        <v>18</v>
      </c>
      <c r="C8" s="444" t="s">
        <v>1012</v>
      </c>
      <c r="D8" s="460" t="s">
        <v>102</v>
      </c>
      <c r="E8" s="578">
        <v>0.152</v>
      </c>
      <c r="F8" s="430"/>
      <c r="G8" s="430"/>
    </row>
    <row r="9" spans="1:7">
      <c r="A9" s="474" t="s">
        <v>1013</v>
      </c>
      <c r="B9" s="442" t="s">
        <v>18</v>
      </c>
      <c r="C9" s="442" t="s">
        <v>1010</v>
      </c>
      <c r="D9" s="442" t="s">
        <v>102</v>
      </c>
      <c r="E9" s="578">
        <v>3.9E-2</v>
      </c>
      <c r="F9" s="430"/>
      <c r="G9" s="430"/>
    </row>
    <row r="10" spans="1:7">
      <c r="A10" s="430"/>
      <c r="B10" s="430"/>
      <c r="C10" s="430"/>
      <c r="D10" s="430"/>
      <c r="E10" s="430"/>
      <c r="F10" s="430"/>
      <c r="G10" s="430"/>
    </row>
    <row r="11" spans="1:7">
      <c r="A11" s="474" t="s">
        <v>1014</v>
      </c>
      <c r="B11" s="442" t="s">
        <v>18</v>
      </c>
      <c r="C11" s="442" t="s">
        <v>1012</v>
      </c>
      <c r="D11" s="442" t="s">
        <v>104</v>
      </c>
      <c r="E11" s="578">
        <v>0.152</v>
      </c>
      <c r="F11" s="430"/>
      <c r="G11" s="430"/>
    </row>
    <row r="12" spans="1:7">
      <c r="A12" s="474" t="s">
        <v>1015</v>
      </c>
      <c r="B12" s="442" t="s">
        <v>18</v>
      </c>
      <c r="C12" s="442" t="s">
        <v>1010</v>
      </c>
      <c r="D12" s="442" t="s">
        <v>104</v>
      </c>
      <c r="E12" s="578">
        <v>3.9E-2</v>
      </c>
      <c r="F12" s="430"/>
      <c r="G12" s="430"/>
    </row>
    <row r="13" spans="1:7">
      <c r="A13" s="430"/>
      <c r="B13" s="430"/>
      <c r="C13" s="430"/>
      <c r="D13" s="430"/>
      <c r="E13" s="430"/>
      <c r="F13" s="430"/>
      <c r="G13" s="430"/>
    </row>
    <row r="14" spans="1:7">
      <c r="A14" s="430"/>
      <c r="B14" s="430"/>
      <c r="C14" s="430"/>
      <c r="D14" s="430"/>
      <c r="E14" s="430"/>
      <c r="F14" s="430"/>
      <c r="G14" s="430"/>
    </row>
    <row r="15" spans="1:7">
      <c r="A15" s="474" t="s">
        <v>1016</v>
      </c>
      <c r="B15" s="442" t="s">
        <v>18</v>
      </c>
      <c r="C15" s="442" t="s">
        <v>1012</v>
      </c>
      <c r="D15" s="442" t="s">
        <v>1017</v>
      </c>
      <c r="E15" s="578">
        <v>0.152</v>
      </c>
      <c r="F15" s="430"/>
      <c r="G15" s="430"/>
    </row>
    <row r="16" spans="1:7">
      <c r="A16" s="474" t="s">
        <v>1018</v>
      </c>
      <c r="B16" s="442" t="s">
        <v>18</v>
      </c>
      <c r="C16" s="442" t="s">
        <v>1010</v>
      </c>
      <c r="D16" s="442" t="s">
        <v>1017</v>
      </c>
      <c r="E16" s="578">
        <v>3.9E-2</v>
      </c>
      <c r="F16" s="430"/>
      <c r="G16" s="430"/>
    </row>
    <row r="17" spans="1:7">
      <c r="A17" s="430"/>
      <c r="B17" s="430"/>
      <c r="C17" s="430"/>
      <c r="D17" s="430"/>
      <c r="E17" s="430"/>
      <c r="F17" s="430"/>
      <c r="G17" s="430"/>
    </row>
    <row r="18" spans="1:7">
      <c r="A18" s="430"/>
      <c r="B18" s="430"/>
      <c r="C18" s="430"/>
      <c r="D18" s="430"/>
      <c r="E18" s="430"/>
      <c r="F18" s="430"/>
      <c r="G18" s="430"/>
    </row>
    <row r="19" spans="1:7">
      <c r="A19" s="430"/>
      <c r="B19" s="430"/>
      <c r="C19" s="430"/>
      <c r="D19" s="430"/>
      <c r="E19" s="430"/>
      <c r="F19" s="430"/>
      <c r="G19" s="430"/>
    </row>
    <row r="20" spans="1:7">
      <c r="A20" s="430"/>
      <c r="B20" s="430"/>
      <c r="C20" s="430"/>
      <c r="D20" s="430"/>
      <c r="E20" s="430"/>
      <c r="F20" s="430"/>
      <c r="G20" s="430"/>
    </row>
    <row r="21" spans="1:7">
      <c r="A21" s="430"/>
      <c r="B21" s="430"/>
      <c r="C21" s="430"/>
      <c r="D21" s="430"/>
      <c r="E21" s="430"/>
      <c r="F21" s="430"/>
      <c r="G21" s="430"/>
    </row>
    <row r="22" spans="1:7">
      <c r="A22" s="430"/>
      <c r="B22" s="430"/>
      <c r="C22" s="430"/>
      <c r="D22" s="430"/>
      <c r="E22" s="430"/>
      <c r="F22" s="430"/>
      <c r="G22" s="430"/>
    </row>
    <row r="23" spans="1:7">
      <c r="A23" s="430"/>
      <c r="B23" s="430"/>
      <c r="C23" s="430"/>
      <c r="D23" s="430"/>
      <c r="E23" s="430"/>
      <c r="F23" s="430"/>
      <c r="G23" s="430"/>
    </row>
    <row r="24" spans="1:7">
      <c r="A24" s="430"/>
      <c r="B24" s="430"/>
      <c r="C24" s="430"/>
      <c r="D24" s="430"/>
      <c r="E24" s="430"/>
      <c r="F24" s="430"/>
      <c r="G24" s="430"/>
    </row>
    <row r="25" spans="1:7">
      <c r="A25" s="430"/>
      <c r="B25" s="430"/>
      <c r="C25" s="430"/>
      <c r="D25" s="430"/>
      <c r="E25" s="430"/>
      <c r="F25" s="430"/>
      <c r="G25" s="430"/>
    </row>
    <row r="26" spans="1:7">
      <c r="A26" s="430"/>
      <c r="B26" s="430"/>
      <c r="C26" s="430"/>
      <c r="D26" s="430"/>
      <c r="E26" s="430"/>
      <c r="F26" s="430"/>
      <c r="G26" s="430"/>
    </row>
    <row r="27" spans="1:7">
      <c r="A27" s="430"/>
      <c r="B27" s="430"/>
      <c r="C27" s="430"/>
      <c r="D27" s="430"/>
      <c r="E27" s="430"/>
      <c r="F27" s="430"/>
      <c r="G27" s="430"/>
    </row>
    <row r="28" spans="1:7">
      <c r="A28" s="430"/>
      <c r="B28" s="430"/>
      <c r="C28" s="430"/>
      <c r="D28" s="430"/>
      <c r="E28" s="430"/>
      <c r="F28" s="430"/>
      <c r="G28" s="430"/>
    </row>
    <row r="29" spans="1:7">
      <c r="A29" s="430"/>
      <c r="B29" s="430"/>
      <c r="C29" s="430"/>
      <c r="D29" s="430"/>
      <c r="E29" s="430"/>
      <c r="F29" s="430"/>
      <c r="G29" s="430"/>
    </row>
    <row r="30" spans="1:7">
      <c r="A30" s="430"/>
      <c r="B30" s="430"/>
      <c r="C30" s="430"/>
      <c r="D30" s="430"/>
      <c r="E30" s="430"/>
      <c r="F30" s="430"/>
      <c r="G30" s="430"/>
    </row>
    <row r="31" spans="1:7">
      <c r="A31" s="430"/>
      <c r="B31" s="430"/>
      <c r="C31" s="430"/>
      <c r="D31" s="430"/>
      <c r="E31" s="430"/>
      <c r="F31" s="430"/>
      <c r="G31" s="430"/>
    </row>
    <row r="32" spans="1:7">
      <c r="A32" s="430"/>
      <c r="B32" s="430"/>
      <c r="C32" s="430"/>
      <c r="D32" s="430"/>
      <c r="E32" s="430"/>
      <c r="F32" s="430"/>
      <c r="G32" s="430"/>
    </row>
    <row r="33" spans="1:7">
      <c r="A33" s="430"/>
      <c r="B33" s="430"/>
      <c r="C33" s="430"/>
      <c r="D33" s="430"/>
      <c r="E33" s="430"/>
      <c r="F33" s="430"/>
      <c r="G33" s="430"/>
    </row>
    <row r="34" spans="1:7">
      <c r="A34" s="430"/>
      <c r="B34" s="430"/>
      <c r="C34" s="430"/>
      <c r="D34" s="430"/>
      <c r="E34" s="430"/>
      <c r="F34" s="430"/>
      <c r="G34" s="430"/>
    </row>
    <row r="35" spans="1:7">
      <c r="A35" s="430"/>
      <c r="B35" s="430"/>
      <c r="C35" s="430"/>
      <c r="D35" s="430"/>
      <c r="E35" s="430"/>
      <c r="F35" s="430"/>
      <c r="G35" s="430"/>
    </row>
    <row r="36" spans="1:7">
      <c r="A36" s="430"/>
      <c r="B36" s="430"/>
      <c r="C36" s="430"/>
      <c r="D36" s="430"/>
      <c r="E36" s="430"/>
      <c r="F36" s="430"/>
      <c r="G36" s="430"/>
    </row>
    <row r="37" spans="1:7">
      <c r="A37" s="430"/>
      <c r="B37" s="430"/>
      <c r="C37" s="430"/>
      <c r="D37" s="430"/>
      <c r="E37" s="430"/>
      <c r="F37" s="430"/>
      <c r="G37" s="430"/>
    </row>
    <row r="38" spans="1:7">
      <c r="A38" s="430"/>
      <c r="B38" s="430"/>
      <c r="C38" s="430"/>
      <c r="D38" s="430"/>
      <c r="E38" s="430"/>
      <c r="F38" s="430"/>
      <c r="G38" s="430"/>
    </row>
    <row r="39" spans="1:7">
      <c r="A39" s="430"/>
      <c r="B39" s="430"/>
      <c r="C39" s="430"/>
      <c r="D39" s="430"/>
      <c r="E39" s="430"/>
      <c r="F39" s="430"/>
      <c r="G39" s="430"/>
    </row>
    <row r="40" spans="1:7">
      <c r="A40" s="430"/>
      <c r="B40" s="430"/>
      <c r="C40" s="430"/>
      <c r="D40" s="430"/>
      <c r="E40" s="430"/>
      <c r="F40" s="430"/>
      <c r="G40" s="430"/>
    </row>
    <row r="41" spans="1:7">
      <c r="A41" s="430"/>
      <c r="B41" s="430"/>
      <c r="C41" s="430"/>
      <c r="D41" s="430"/>
      <c r="E41" s="430"/>
      <c r="F41" s="430"/>
      <c r="G41" s="430"/>
    </row>
    <row r="42" spans="1:7">
      <c r="A42" s="430"/>
      <c r="B42" s="430"/>
      <c r="C42" s="430"/>
      <c r="D42" s="430"/>
      <c r="E42" s="430"/>
      <c r="F42" s="430"/>
      <c r="G42" s="430"/>
    </row>
    <row r="43" spans="1:7">
      <c r="A43" s="430"/>
      <c r="B43" s="430"/>
      <c r="C43" s="430"/>
      <c r="D43" s="430"/>
      <c r="E43" s="430"/>
      <c r="F43" s="430"/>
      <c r="G43" s="430"/>
    </row>
    <row r="44" spans="1:7">
      <c r="A44" s="430"/>
      <c r="B44" s="430"/>
      <c r="C44" s="430"/>
      <c r="D44" s="430"/>
      <c r="E44" s="430"/>
      <c r="F44" s="430"/>
      <c r="G44" s="430"/>
    </row>
    <row r="45" spans="1:7">
      <c r="A45" s="430"/>
      <c r="B45" s="430"/>
      <c r="C45" s="430"/>
      <c r="D45" s="430"/>
      <c r="E45" s="430"/>
      <c r="F45" s="430"/>
      <c r="G45" s="430"/>
    </row>
    <row r="46" spans="1:7">
      <c r="A46" s="430"/>
      <c r="B46" s="430"/>
      <c r="C46" s="430"/>
      <c r="D46" s="430"/>
      <c r="E46" s="430"/>
      <c r="F46" s="430"/>
      <c r="G46" s="430"/>
    </row>
    <row r="47" spans="1:7">
      <c r="A47" s="430"/>
      <c r="B47" s="430"/>
      <c r="C47" s="430"/>
      <c r="D47" s="430"/>
      <c r="E47" s="430"/>
      <c r="F47" s="430"/>
      <c r="G47" s="430"/>
    </row>
    <row r="48" spans="1:7">
      <c r="A48" s="430"/>
      <c r="B48" s="430"/>
      <c r="C48" s="430"/>
      <c r="D48" s="430"/>
      <c r="E48" s="430"/>
      <c r="F48" s="430"/>
      <c r="G48" s="430"/>
    </row>
    <row r="49" spans="1:7">
      <c r="A49" s="430"/>
      <c r="B49" s="430"/>
      <c r="C49" s="430"/>
      <c r="D49" s="430"/>
      <c r="E49" s="430"/>
      <c r="F49" s="430"/>
      <c r="G49" s="430"/>
    </row>
    <row r="50" spans="1:7">
      <c r="A50" s="430"/>
      <c r="B50" s="430"/>
      <c r="C50" s="430"/>
      <c r="D50" s="430"/>
      <c r="E50" s="430"/>
      <c r="F50" s="430"/>
      <c r="G50" s="430"/>
    </row>
    <row r="51" spans="1:7">
      <c r="A51" s="430"/>
      <c r="B51" s="430"/>
      <c r="C51" s="430"/>
      <c r="D51" s="430"/>
      <c r="E51" s="430"/>
      <c r="F51" s="430"/>
      <c r="G51" s="430"/>
    </row>
    <row r="52" spans="1:7">
      <c r="A52" s="430"/>
      <c r="B52" s="430"/>
      <c r="C52" s="430"/>
      <c r="D52" s="430"/>
      <c r="E52" s="430"/>
      <c r="F52" s="430"/>
      <c r="G52" s="430"/>
    </row>
    <row r="53" spans="1:7">
      <c r="A53" s="430"/>
      <c r="B53" s="430"/>
      <c r="C53" s="430"/>
      <c r="D53" s="430"/>
      <c r="E53" s="430"/>
      <c r="F53" s="430"/>
      <c r="G53" s="430"/>
    </row>
    <row r="54" spans="1:7">
      <c r="A54" s="430"/>
      <c r="B54" s="430"/>
      <c r="C54" s="430"/>
      <c r="D54" s="430"/>
      <c r="E54" s="430"/>
      <c r="F54" s="430"/>
      <c r="G54" s="430"/>
    </row>
    <row r="55" spans="1:7">
      <c r="A55" s="430"/>
      <c r="B55" s="430"/>
      <c r="C55" s="430"/>
      <c r="D55" s="430"/>
      <c r="E55" s="430"/>
      <c r="F55" s="430"/>
      <c r="G55" s="430"/>
    </row>
    <row r="56" spans="1:7">
      <c r="A56" s="430"/>
      <c r="B56" s="430"/>
      <c r="C56" s="430"/>
      <c r="D56" s="430"/>
      <c r="E56" s="430"/>
      <c r="F56" s="430"/>
      <c r="G56" s="430"/>
    </row>
    <row r="57" spans="1:7">
      <c r="A57" s="430"/>
      <c r="B57" s="430"/>
      <c r="C57" s="430"/>
      <c r="D57" s="430"/>
      <c r="E57" s="430"/>
      <c r="F57" s="430"/>
      <c r="G57" s="430"/>
    </row>
    <row r="58" spans="1:7">
      <c r="A58" s="430"/>
      <c r="B58" s="430"/>
      <c r="C58" s="430"/>
      <c r="D58" s="430"/>
      <c r="E58" s="430"/>
      <c r="F58" s="430"/>
      <c r="G58" s="430"/>
    </row>
    <row r="59" spans="1:7">
      <c r="A59" s="430"/>
      <c r="B59" s="430"/>
      <c r="C59" s="430"/>
      <c r="D59" s="430"/>
      <c r="E59" s="430"/>
      <c r="F59" s="430"/>
      <c r="G59" s="430"/>
    </row>
    <row r="60" spans="1:7">
      <c r="A60" s="430"/>
      <c r="B60" s="430"/>
      <c r="C60" s="430"/>
      <c r="D60" s="430"/>
      <c r="E60" s="430"/>
      <c r="F60" s="430"/>
      <c r="G60" s="430"/>
    </row>
    <row r="61" spans="1:7">
      <c r="A61" s="430"/>
      <c r="B61" s="430"/>
      <c r="C61" s="430"/>
      <c r="D61" s="430"/>
      <c r="E61" s="430"/>
      <c r="F61" s="430"/>
      <c r="G61" s="430"/>
    </row>
    <row r="62" spans="1:7">
      <c r="A62" s="430"/>
      <c r="B62" s="430"/>
      <c r="C62" s="430"/>
      <c r="D62" s="430"/>
      <c r="E62" s="430"/>
      <c r="F62" s="430"/>
      <c r="G62" s="430"/>
    </row>
    <row r="63" spans="1:7">
      <c r="A63" s="430"/>
      <c r="B63" s="430"/>
      <c r="C63" s="430"/>
      <c r="D63" s="430"/>
      <c r="E63" s="430"/>
      <c r="F63" s="430"/>
      <c r="G63" s="430"/>
    </row>
    <row r="64" spans="1:7">
      <c r="A64" s="430"/>
      <c r="B64" s="430"/>
      <c r="C64" s="430"/>
      <c r="D64" s="430"/>
      <c r="E64" s="430"/>
      <c r="F64" s="430"/>
      <c r="G64" s="430"/>
    </row>
    <row r="65" spans="1:7">
      <c r="A65" s="430"/>
      <c r="B65" s="430"/>
      <c r="C65" s="430"/>
      <c r="D65" s="430"/>
      <c r="E65" s="430"/>
      <c r="F65" s="430"/>
      <c r="G65" s="430"/>
    </row>
    <row r="66" spans="1:7">
      <c r="A66" s="430"/>
      <c r="B66" s="430"/>
      <c r="C66" s="430"/>
      <c r="D66" s="430"/>
      <c r="E66" s="430"/>
      <c r="F66" s="430"/>
      <c r="G66" s="430"/>
    </row>
    <row r="67" spans="1:7">
      <c r="A67" s="430"/>
      <c r="B67" s="430"/>
      <c r="C67" s="430"/>
      <c r="D67" s="430"/>
      <c r="E67" s="430"/>
      <c r="F67" s="430"/>
      <c r="G67" s="430"/>
    </row>
    <row r="68" spans="1:7">
      <c r="A68" s="430"/>
      <c r="B68" s="430"/>
      <c r="C68" s="430"/>
      <c r="D68" s="430"/>
      <c r="E68" s="430"/>
      <c r="F68" s="430"/>
      <c r="G68" s="430"/>
    </row>
    <row r="69" spans="1:7">
      <c r="A69" s="430"/>
      <c r="B69" s="430"/>
      <c r="C69" s="430"/>
      <c r="D69" s="430"/>
      <c r="E69" s="430"/>
      <c r="F69" s="430"/>
      <c r="G69" s="430"/>
    </row>
    <row r="70" spans="1:7">
      <c r="A70" s="430"/>
      <c r="B70" s="430"/>
      <c r="C70" s="430"/>
      <c r="D70" s="430"/>
      <c r="E70" s="430"/>
      <c r="F70" s="430"/>
      <c r="G70" s="430"/>
    </row>
    <row r="71" spans="1:7">
      <c r="A71" s="430"/>
      <c r="B71" s="430"/>
      <c r="C71" s="430"/>
      <c r="D71" s="430"/>
      <c r="E71" s="430"/>
      <c r="F71" s="430"/>
      <c r="G71" s="430"/>
    </row>
    <row r="72" spans="1:7">
      <c r="A72" s="430"/>
      <c r="B72" s="430"/>
      <c r="C72" s="430"/>
      <c r="D72" s="430"/>
      <c r="E72" s="430"/>
      <c r="F72" s="430"/>
      <c r="G72" s="430"/>
    </row>
    <row r="73" spans="1:7">
      <c r="A73" s="430"/>
      <c r="B73" s="430"/>
      <c r="C73" s="430"/>
      <c r="D73" s="430"/>
      <c r="E73" s="430"/>
      <c r="F73" s="430"/>
      <c r="G73" s="430"/>
    </row>
    <row r="74" spans="1:7">
      <c r="A74" s="430"/>
      <c r="B74" s="430"/>
      <c r="C74" s="430"/>
      <c r="D74" s="430"/>
      <c r="E74" s="430"/>
      <c r="F74" s="430"/>
      <c r="G74" s="430"/>
    </row>
    <row r="75" spans="1:7">
      <c r="A75" s="430"/>
      <c r="B75" s="430"/>
      <c r="C75" s="430"/>
      <c r="D75" s="430"/>
      <c r="E75" s="430"/>
      <c r="F75" s="430"/>
      <c r="G75" s="430"/>
    </row>
    <row r="76" spans="1:7">
      <c r="A76" s="430"/>
      <c r="B76" s="430"/>
      <c r="C76" s="430"/>
      <c r="D76" s="430"/>
      <c r="E76" s="430"/>
      <c r="F76" s="430"/>
      <c r="G76" s="430"/>
    </row>
    <row r="77" spans="1:7">
      <c r="A77" s="430"/>
      <c r="B77" s="430"/>
      <c r="C77" s="430"/>
      <c r="D77" s="430"/>
      <c r="E77" s="430"/>
      <c r="F77" s="430"/>
      <c r="G77" s="430"/>
    </row>
    <row r="78" spans="1:7">
      <c r="A78" s="430"/>
      <c r="B78" s="430"/>
      <c r="C78" s="430"/>
      <c r="D78" s="430"/>
      <c r="E78" s="430"/>
      <c r="F78" s="430"/>
      <c r="G78" s="430"/>
    </row>
    <row r="79" spans="1:7">
      <c r="A79" s="430"/>
      <c r="B79" s="430"/>
      <c r="C79" s="430"/>
      <c r="D79" s="430"/>
      <c r="E79" s="430"/>
      <c r="F79" s="430"/>
      <c r="G79" s="430"/>
    </row>
    <row r="80" spans="1:7">
      <c r="A80" s="430"/>
      <c r="B80" s="430"/>
      <c r="C80" s="430"/>
      <c r="D80" s="430"/>
      <c r="E80" s="430"/>
      <c r="F80" s="430"/>
      <c r="G80" s="430"/>
    </row>
    <row r="81" spans="1:7">
      <c r="A81" s="430"/>
      <c r="B81" s="430"/>
      <c r="C81" s="430"/>
      <c r="D81" s="430"/>
      <c r="E81" s="430"/>
      <c r="F81" s="430"/>
      <c r="G81" s="430"/>
    </row>
    <row r="82" spans="1:7">
      <c r="A82" s="430"/>
      <c r="B82" s="430"/>
      <c r="C82" s="430"/>
      <c r="D82" s="430"/>
      <c r="E82" s="430"/>
      <c r="F82" s="430"/>
      <c r="G82" s="430"/>
    </row>
    <row r="83" spans="1:7">
      <c r="A83" s="430"/>
      <c r="B83" s="430"/>
      <c r="C83" s="430"/>
      <c r="D83" s="430"/>
      <c r="E83" s="430"/>
      <c r="F83" s="430"/>
      <c r="G83" s="430"/>
    </row>
    <row r="84" spans="1:7">
      <c r="A84" s="430"/>
      <c r="B84" s="430"/>
      <c r="C84" s="430"/>
      <c r="D84" s="430"/>
      <c r="E84" s="430"/>
      <c r="F84" s="430"/>
      <c r="G84" s="430"/>
    </row>
    <row r="85" spans="1:7">
      <c r="A85" s="430"/>
      <c r="B85" s="430"/>
      <c r="C85" s="430"/>
      <c r="D85" s="430"/>
      <c r="E85" s="430"/>
      <c r="F85" s="430"/>
      <c r="G85" s="430"/>
    </row>
    <row r="86" spans="1:7">
      <c r="A86" s="430"/>
      <c r="B86" s="430"/>
      <c r="C86" s="430"/>
      <c r="D86" s="430"/>
      <c r="E86" s="430"/>
      <c r="F86" s="430"/>
      <c r="G86" s="430"/>
    </row>
    <row r="87" spans="1:7">
      <c r="A87" s="430"/>
      <c r="B87" s="430"/>
      <c r="C87" s="430"/>
      <c r="D87" s="430"/>
      <c r="E87" s="430"/>
      <c r="F87" s="430"/>
      <c r="G87" s="430"/>
    </row>
    <row r="88" spans="1:7">
      <c r="A88" s="430"/>
      <c r="B88" s="430"/>
      <c r="C88" s="430"/>
      <c r="D88" s="430"/>
      <c r="E88" s="430"/>
      <c r="F88" s="430"/>
      <c r="G88" s="430"/>
    </row>
    <row r="89" spans="1:7">
      <c r="A89" s="430"/>
      <c r="B89" s="430"/>
      <c r="C89" s="430"/>
      <c r="D89" s="430"/>
      <c r="E89" s="430"/>
      <c r="F89" s="430"/>
      <c r="G89" s="430"/>
    </row>
    <row r="90" spans="1:7">
      <c r="A90" s="430"/>
      <c r="B90" s="430"/>
      <c r="C90" s="430"/>
      <c r="D90" s="430"/>
      <c r="E90" s="430"/>
      <c r="F90" s="430"/>
      <c r="G90" s="430"/>
    </row>
    <row r="91" spans="1:7">
      <c r="A91" s="430"/>
      <c r="B91" s="430"/>
      <c r="C91" s="430"/>
      <c r="D91" s="430"/>
      <c r="E91" s="430"/>
      <c r="F91" s="430"/>
      <c r="G91" s="430"/>
    </row>
    <row r="92" spans="1:7">
      <c r="A92" s="430"/>
      <c r="B92" s="430"/>
      <c r="C92" s="430"/>
      <c r="D92" s="430"/>
      <c r="E92" s="430"/>
      <c r="F92" s="430"/>
      <c r="G92" s="430"/>
    </row>
    <row r="93" spans="1:7">
      <c r="A93" s="430"/>
      <c r="B93" s="430"/>
      <c r="C93" s="430"/>
      <c r="D93" s="430"/>
      <c r="E93" s="430"/>
      <c r="F93" s="430"/>
      <c r="G93" s="430"/>
    </row>
    <row r="94" spans="1:7">
      <c r="A94" s="430"/>
      <c r="B94" s="430"/>
      <c r="C94" s="430"/>
      <c r="D94" s="430"/>
      <c r="E94" s="430"/>
      <c r="F94" s="430"/>
      <c r="G94" s="430"/>
    </row>
    <row r="95" spans="1:7">
      <c r="A95" s="430"/>
      <c r="B95" s="430"/>
      <c r="C95" s="430"/>
      <c r="D95" s="430"/>
      <c r="E95" s="430"/>
      <c r="F95" s="430"/>
      <c r="G95" s="430"/>
    </row>
    <row r="96" spans="1:7">
      <c r="A96" s="430"/>
      <c r="B96" s="430"/>
      <c r="C96" s="430"/>
      <c r="D96" s="430"/>
      <c r="E96" s="430"/>
      <c r="F96" s="430"/>
      <c r="G96" s="430"/>
    </row>
    <row r="97" spans="1:7">
      <c r="A97" s="430"/>
      <c r="B97" s="430"/>
      <c r="C97" s="430"/>
      <c r="D97" s="430"/>
      <c r="E97" s="430"/>
      <c r="F97" s="430"/>
      <c r="G97" s="430"/>
    </row>
    <row r="98" spans="1:7">
      <c r="A98" s="430"/>
      <c r="B98" s="430"/>
      <c r="C98" s="430"/>
      <c r="D98" s="430"/>
      <c r="E98" s="430"/>
      <c r="F98" s="430"/>
      <c r="G98" s="430"/>
    </row>
    <row r="99" spans="1:7">
      <c r="A99" s="430"/>
      <c r="B99" s="430"/>
      <c r="C99" s="430"/>
      <c r="D99" s="430"/>
      <c r="E99" s="430"/>
      <c r="F99" s="430"/>
      <c r="G99" s="430"/>
    </row>
    <row r="100" spans="1:7">
      <c r="A100" s="430"/>
      <c r="B100" s="430"/>
      <c r="C100" s="430"/>
      <c r="D100" s="430"/>
      <c r="E100" s="430"/>
      <c r="F100" s="430"/>
      <c r="G100" s="430"/>
    </row>
    <row r="101" spans="1:7">
      <c r="A101" s="430"/>
      <c r="B101" s="430"/>
      <c r="C101" s="430"/>
      <c r="D101" s="430"/>
      <c r="E101" s="430"/>
      <c r="F101" s="430"/>
      <c r="G101" s="430"/>
    </row>
    <row r="102" spans="1:7">
      <c r="A102" s="430"/>
      <c r="B102" s="430"/>
      <c r="C102" s="430"/>
      <c r="D102" s="430"/>
      <c r="E102" s="430"/>
      <c r="F102" s="430"/>
      <c r="G102" s="430"/>
    </row>
    <row r="103" spans="1:7">
      <c r="A103" s="430"/>
      <c r="B103" s="430"/>
      <c r="C103" s="430"/>
      <c r="D103" s="430"/>
      <c r="E103" s="430"/>
      <c r="F103" s="430"/>
      <c r="G103" s="430"/>
    </row>
    <row r="104" spans="1:7">
      <c r="A104" s="430"/>
      <c r="B104" s="430"/>
      <c r="C104" s="430"/>
      <c r="D104" s="430"/>
      <c r="E104" s="430"/>
      <c r="F104" s="430"/>
      <c r="G104" s="430"/>
    </row>
    <row r="105" spans="1:7">
      <c r="A105" s="430"/>
      <c r="B105" s="430"/>
      <c r="C105" s="430"/>
      <c r="D105" s="430"/>
      <c r="E105" s="430"/>
      <c r="F105" s="430"/>
      <c r="G105" s="430"/>
    </row>
    <row r="106" spans="1:7">
      <c r="A106" s="430"/>
      <c r="B106" s="430"/>
      <c r="C106" s="430"/>
      <c r="D106" s="430"/>
      <c r="E106" s="430"/>
      <c r="F106" s="430"/>
      <c r="G106" s="430"/>
    </row>
    <row r="107" spans="1:7">
      <c r="A107" s="430"/>
      <c r="B107" s="430"/>
      <c r="C107" s="430"/>
      <c r="D107" s="430"/>
      <c r="E107" s="430"/>
      <c r="F107" s="430"/>
      <c r="G107" s="430"/>
    </row>
    <row r="108" spans="1:7">
      <c r="A108" s="430"/>
      <c r="B108" s="430"/>
      <c r="C108" s="430"/>
      <c r="D108" s="430"/>
      <c r="E108" s="430"/>
      <c r="F108" s="430"/>
      <c r="G108" s="430"/>
    </row>
    <row r="109" spans="1:7">
      <c r="A109" s="430"/>
      <c r="B109" s="430"/>
      <c r="C109" s="430"/>
      <c r="D109" s="430"/>
      <c r="E109" s="430"/>
      <c r="F109" s="430"/>
      <c r="G109" s="430"/>
    </row>
    <row r="110" spans="1:7">
      <c r="A110" s="430"/>
      <c r="B110" s="430"/>
      <c r="C110" s="430"/>
      <c r="D110" s="430"/>
      <c r="E110" s="430"/>
      <c r="F110" s="430"/>
      <c r="G110" s="430"/>
    </row>
    <row r="111" spans="1:7">
      <c r="A111" s="430"/>
      <c r="B111" s="451"/>
      <c r="C111" s="430"/>
      <c r="D111" s="451"/>
      <c r="E111" s="430"/>
      <c r="F111" s="430"/>
      <c r="G111" s="430"/>
    </row>
    <row r="112" spans="1:7">
      <c r="A112" s="430"/>
      <c r="B112" s="451"/>
      <c r="C112" s="430"/>
      <c r="D112" s="451"/>
      <c r="E112" s="430"/>
      <c r="F112" s="430"/>
      <c r="G112" s="430"/>
    </row>
    <row r="113" spans="1:7">
      <c r="A113" s="430"/>
      <c r="B113" s="451"/>
      <c r="C113" s="430"/>
      <c r="D113" s="451"/>
      <c r="E113" s="430"/>
      <c r="F113" s="430"/>
      <c r="G113" s="430"/>
    </row>
    <row r="114" spans="1:7">
      <c r="A114" s="430"/>
      <c r="B114" s="451"/>
      <c r="C114" s="430"/>
      <c r="D114" s="451"/>
      <c r="E114" s="430"/>
      <c r="F114" s="430"/>
      <c r="G114" s="430"/>
    </row>
    <row r="115" spans="1:7">
      <c r="A115" s="430"/>
      <c r="B115" s="451"/>
      <c r="C115" s="430"/>
      <c r="D115" s="451"/>
      <c r="E115" s="430"/>
      <c r="F115" s="430"/>
      <c r="G115" s="430"/>
    </row>
    <row r="116" spans="1:7">
      <c r="A116" s="430"/>
      <c r="B116" s="451"/>
      <c r="C116" s="430"/>
      <c r="D116" s="451"/>
      <c r="E116" s="430"/>
      <c r="F116" s="430"/>
      <c r="G116" s="430"/>
    </row>
    <row r="117" spans="1:7">
      <c r="A117" s="430"/>
      <c r="B117" s="451"/>
      <c r="C117" s="430"/>
      <c r="D117" s="451"/>
      <c r="E117" s="430"/>
      <c r="F117" s="430"/>
      <c r="G117" s="430"/>
    </row>
    <row r="118" spans="1:7">
      <c r="A118" s="430"/>
      <c r="B118" s="451"/>
      <c r="C118" s="430"/>
      <c r="D118" s="451"/>
      <c r="E118" s="430"/>
      <c r="F118" s="430"/>
      <c r="G118" s="430"/>
    </row>
    <row r="119" spans="1:7">
      <c r="A119" s="430"/>
      <c r="B119" s="451"/>
      <c r="C119" s="430"/>
      <c r="D119" s="451"/>
      <c r="E119" s="430"/>
      <c r="F119" s="430"/>
      <c r="G119" s="430"/>
    </row>
    <row r="120" spans="1:7">
      <c r="A120" s="430"/>
      <c r="B120" s="451"/>
      <c r="C120" s="430"/>
      <c r="D120" s="451"/>
      <c r="E120" s="430"/>
      <c r="F120" s="430"/>
      <c r="G120" s="430"/>
    </row>
    <row r="121" spans="1:7">
      <c r="A121" s="430"/>
      <c r="B121" s="451"/>
      <c r="C121" s="430"/>
      <c r="D121" s="451"/>
      <c r="E121" s="430"/>
      <c r="F121" s="430"/>
      <c r="G121" s="430"/>
    </row>
    <row r="122" spans="1:7">
      <c r="A122" s="430"/>
      <c r="B122" s="451"/>
      <c r="C122" s="430"/>
      <c r="D122" s="451"/>
      <c r="E122" s="430"/>
      <c r="F122" s="430"/>
      <c r="G122" s="430"/>
    </row>
    <row r="123" spans="1:7">
      <c r="A123" s="430"/>
      <c r="B123" s="451"/>
      <c r="C123" s="430"/>
      <c r="D123" s="451"/>
      <c r="E123" s="430"/>
      <c r="F123" s="430"/>
      <c r="G123" s="430"/>
    </row>
    <row r="124" spans="1:7">
      <c r="A124" s="430"/>
      <c r="B124" s="451"/>
      <c r="C124" s="430"/>
      <c r="D124" s="451"/>
      <c r="E124" s="430"/>
      <c r="F124" s="430"/>
      <c r="G124" s="430"/>
    </row>
    <row r="125" spans="1:7">
      <c r="A125" s="430"/>
      <c r="B125" s="451"/>
      <c r="C125" s="430"/>
      <c r="D125" s="451"/>
      <c r="E125" s="430"/>
      <c r="F125" s="430"/>
      <c r="G125" s="430"/>
    </row>
    <row r="126" spans="1:7">
      <c r="A126" s="430"/>
      <c r="B126" s="451"/>
      <c r="C126" s="430"/>
      <c r="D126" s="451"/>
      <c r="E126" s="430"/>
      <c r="F126" s="430"/>
      <c r="G126" s="430"/>
    </row>
    <row r="127" spans="1:7">
      <c r="A127" s="430"/>
      <c r="B127" s="451"/>
      <c r="C127" s="430"/>
      <c r="D127" s="451"/>
      <c r="E127" s="430"/>
      <c r="F127" s="430"/>
      <c r="G127" s="430"/>
    </row>
    <row r="128" spans="1:7">
      <c r="A128" s="430"/>
      <c r="B128" s="451"/>
      <c r="C128" s="430"/>
      <c r="D128" s="451"/>
      <c r="E128" s="430"/>
      <c r="F128" s="430"/>
      <c r="G128" s="430"/>
    </row>
    <row r="129" spans="1:7">
      <c r="A129" s="430"/>
      <c r="B129" s="451"/>
      <c r="C129" s="430"/>
      <c r="D129" s="451"/>
      <c r="E129" s="430"/>
      <c r="F129" s="430"/>
      <c r="G129" s="430"/>
    </row>
    <row r="130" spans="1:7">
      <c r="A130" s="430"/>
      <c r="B130" s="451"/>
      <c r="C130" s="430"/>
      <c r="D130" s="451"/>
      <c r="E130" s="430"/>
      <c r="F130" s="430"/>
      <c r="G130" s="430"/>
    </row>
    <row r="131" spans="1:7">
      <c r="A131" s="430"/>
      <c r="B131" s="451"/>
      <c r="C131" s="430"/>
      <c r="D131" s="451"/>
      <c r="E131" s="430"/>
      <c r="F131" s="430"/>
      <c r="G131" s="430"/>
    </row>
    <row r="132" spans="1:7">
      <c r="A132" s="430"/>
      <c r="B132" s="451"/>
      <c r="C132" s="430"/>
      <c r="D132" s="451"/>
      <c r="E132" s="430"/>
      <c r="F132" s="430"/>
      <c r="G132" s="430"/>
    </row>
    <row r="133" spans="1:7">
      <c r="A133" s="430"/>
      <c r="B133" s="451"/>
      <c r="C133" s="430"/>
      <c r="D133" s="451"/>
      <c r="E133" s="430"/>
      <c r="F133" s="430"/>
      <c r="G133" s="430"/>
    </row>
    <row r="134" spans="1:7">
      <c r="A134" s="430"/>
      <c r="B134" s="451"/>
      <c r="C134" s="430"/>
      <c r="D134" s="451"/>
      <c r="E134" s="430"/>
      <c r="F134" s="430"/>
      <c r="G134" s="430"/>
    </row>
    <row r="135" spans="1:7">
      <c r="A135" s="430"/>
      <c r="B135" s="451"/>
      <c r="C135" s="430"/>
      <c r="D135" s="451"/>
      <c r="E135" s="430"/>
      <c r="F135" s="430"/>
      <c r="G135" s="430"/>
    </row>
    <row r="136" spans="1:7">
      <c r="A136" s="430"/>
      <c r="B136" s="451"/>
      <c r="C136" s="430"/>
      <c r="D136" s="451"/>
      <c r="E136" s="430"/>
      <c r="F136" s="430"/>
      <c r="G136" s="430"/>
    </row>
    <row r="137" spans="1:7">
      <c r="A137" s="430"/>
      <c r="B137" s="451"/>
      <c r="C137" s="430"/>
      <c r="D137" s="451"/>
      <c r="E137" s="430"/>
      <c r="F137" s="430"/>
      <c r="G137" s="430"/>
    </row>
    <row r="138" spans="1:7">
      <c r="A138" s="430"/>
      <c r="B138" s="451"/>
      <c r="C138" s="430"/>
      <c r="D138" s="451"/>
      <c r="E138" s="430"/>
      <c r="F138" s="430"/>
      <c r="G138" s="430"/>
    </row>
    <row r="139" spans="1:7">
      <c r="A139" s="430"/>
      <c r="B139" s="451"/>
      <c r="C139" s="430"/>
      <c r="D139" s="451"/>
      <c r="E139" s="430"/>
      <c r="F139" s="430"/>
      <c r="G139" s="430"/>
    </row>
    <row r="140" spans="1:7">
      <c r="A140" s="430"/>
      <c r="B140" s="451"/>
      <c r="C140" s="430"/>
      <c r="D140" s="451"/>
      <c r="E140" s="430"/>
      <c r="F140" s="430"/>
      <c r="G140" s="430"/>
    </row>
    <row r="141" spans="1:7">
      <c r="A141" s="430"/>
      <c r="B141" s="451"/>
      <c r="C141" s="430"/>
      <c r="D141" s="451"/>
      <c r="E141" s="430"/>
      <c r="F141" s="430"/>
      <c r="G141" s="430"/>
    </row>
    <row r="142" spans="1:7">
      <c r="A142" s="430"/>
      <c r="B142" s="451"/>
      <c r="C142" s="430"/>
      <c r="D142" s="451"/>
      <c r="E142" s="430"/>
      <c r="F142" s="430"/>
      <c r="G142" s="430"/>
    </row>
    <row r="143" spans="1:7">
      <c r="A143" s="430"/>
      <c r="B143" s="451"/>
      <c r="C143" s="430"/>
      <c r="D143" s="451"/>
      <c r="E143" s="430"/>
      <c r="F143" s="430"/>
      <c r="G143" s="430"/>
    </row>
    <row r="144" spans="1:7">
      <c r="A144" s="430"/>
      <c r="B144" s="451"/>
      <c r="C144" s="430"/>
      <c r="D144" s="451"/>
      <c r="E144" s="430"/>
      <c r="F144" s="430"/>
      <c r="G144" s="430"/>
    </row>
    <row r="145" spans="1:7">
      <c r="A145" s="430"/>
      <c r="B145" s="451"/>
      <c r="C145" s="430"/>
      <c r="D145" s="451"/>
      <c r="E145" s="430"/>
      <c r="F145" s="430"/>
      <c r="G145" s="430"/>
    </row>
    <row r="146" spans="1:7">
      <c r="A146" s="430"/>
      <c r="B146" s="451"/>
      <c r="C146" s="430"/>
      <c r="D146" s="451"/>
      <c r="E146" s="430"/>
      <c r="F146" s="430"/>
      <c r="G146" s="430"/>
    </row>
    <row r="147" spans="1:7">
      <c r="A147" s="430"/>
      <c r="B147" s="451"/>
      <c r="C147" s="430"/>
      <c r="D147" s="451"/>
      <c r="E147" s="430"/>
      <c r="F147" s="430"/>
      <c r="G147" s="430"/>
    </row>
    <row r="148" spans="1:7">
      <c r="A148" s="430"/>
      <c r="B148" s="451"/>
      <c r="C148" s="430"/>
      <c r="D148" s="451"/>
      <c r="E148" s="430"/>
      <c r="F148" s="430"/>
      <c r="G148" s="430"/>
    </row>
    <row r="149" spans="1:7">
      <c r="A149" s="430"/>
      <c r="B149" s="451"/>
      <c r="C149" s="430"/>
      <c r="D149" s="451"/>
      <c r="E149" s="430"/>
      <c r="F149" s="430"/>
      <c r="G149" s="430"/>
    </row>
  </sheetData>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4B084"/>
  </sheetPr>
  <dimension ref="A1:BK149"/>
  <sheetViews>
    <sheetView workbookViewId="0">
      <pane xSplit="4" ySplit="3" topLeftCell="E4" activePane="bottomRight" state="frozen"/>
      <selection pane="topRight"/>
      <selection pane="bottomLeft"/>
      <selection pane="bottomRight" activeCell="F1" sqref="F1:K1048576"/>
    </sheetView>
  </sheetViews>
  <sheetFormatPr defaultRowHeight="14.5" outlineLevelCol="1"/>
  <cols>
    <col min="1" max="1" width="36" bestFit="1" customWidth="1"/>
    <col min="2" max="2" width="4.453125" style="424" customWidth="1"/>
    <col min="3" max="3" width="19.90625" style="418" customWidth="1"/>
    <col min="4" max="4" width="7.6328125" style="424" customWidth="1"/>
    <col min="5" max="5" width="6.81640625" bestFit="1" customWidth="1"/>
    <col min="6" max="9" width="10.7265625" style="429" customWidth="1" outlineLevel="1"/>
    <col min="10" max="11" width="10.7265625" style="624" customWidth="1" outlineLevel="1"/>
    <col min="12" max="15" width="10.7265625" bestFit="1" customWidth="1"/>
    <col min="16" max="16" width="11.7265625" bestFit="1" customWidth="1"/>
    <col min="17" max="23" width="10.7265625" bestFit="1" customWidth="1"/>
  </cols>
  <sheetData>
    <row r="1" spans="1:63">
      <c r="A1" s="430"/>
      <c r="B1" s="430"/>
      <c r="C1" s="430"/>
      <c r="D1" s="430"/>
      <c r="E1" s="430"/>
      <c r="F1" s="430"/>
      <c r="G1" s="430"/>
      <c r="H1" s="430"/>
      <c r="I1" s="430"/>
      <c r="J1" s="430"/>
      <c r="K1" s="430"/>
      <c r="L1" s="430"/>
      <c r="M1" s="430"/>
      <c r="N1" s="430"/>
      <c r="O1" s="430"/>
      <c r="P1" s="430"/>
      <c r="Q1" s="430"/>
      <c r="R1" s="430"/>
      <c r="S1" s="430"/>
      <c r="T1" s="430"/>
      <c r="U1" s="430"/>
      <c r="V1" s="430"/>
      <c r="W1" s="430"/>
      <c r="X1" s="430"/>
      <c r="Y1" s="454"/>
      <c r="Z1" s="454"/>
      <c r="AA1" s="430"/>
      <c r="AB1" s="430"/>
      <c r="AC1" s="430"/>
      <c r="AD1" s="430"/>
      <c r="AE1" s="430"/>
      <c r="AF1" s="430"/>
      <c r="AG1" s="430"/>
      <c r="AH1" s="430"/>
      <c r="AI1" s="478"/>
      <c r="AJ1" s="430"/>
      <c r="AK1" s="430"/>
      <c r="AL1" s="430"/>
      <c r="AM1" s="430"/>
      <c r="AN1" s="430"/>
      <c r="AO1" s="430"/>
      <c r="AP1" s="430"/>
      <c r="AQ1" s="430"/>
      <c r="AR1" s="430"/>
      <c r="AS1" s="430"/>
      <c r="AT1" s="430"/>
      <c r="AU1" s="430"/>
      <c r="AV1" s="430"/>
      <c r="AW1" s="430"/>
      <c r="AX1" s="430"/>
      <c r="AY1" s="430"/>
      <c r="AZ1" s="430"/>
      <c r="BA1" s="430"/>
      <c r="BB1" s="430"/>
      <c r="BC1" s="430"/>
      <c r="BD1" s="430"/>
      <c r="BE1" s="430"/>
      <c r="BF1" s="430"/>
      <c r="BG1" s="430"/>
      <c r="BH1" s="430"/>
      <c r="BI1" s="430"/>
      <c r="BJ1" s="430"/>
      <c r="BK1" s="430"/>
    </row>
    <row r="2" spans="1:63">
      <c r="A2" s="437"/>
      <c r="B2" s="434"/>
      <c r="C2" s="434"/>
      <c r="D2" s="434"/>
      <c r="E2" s="436">
        <v>45657</v>
      </c>
      <c r="F2" s="436">
        <v>45747</v>
      </c>
      <c r="G2" s="436">
        <v>45838</v>
      </c>
      <c r="H2" s="436">
        <v>45930</v>
      </c>
      <c r="I2" s="436">
        <v>46022</v>
      </c>
      <c r="J2" s="436">
        <v>46112</v>
      </c>
      <c r="K2" s="436">
        <v>46203</v>
      </c>
      <c r="L2" s="436">
        <v>45747</v>
      </c>
      <c r="M2" s="436">
        <v>45838</v>
      </c>
      <c r="N2" s="436">
        <v>45930</v>
      </c>
      <c r="O2" s="436">
        <v>46022</v>
      </c>
      <c r="P2" s="436">
        <v>46112</v>
      </c>
      <c r="Q2" s="436">
        <v>46203</v>
      </c>
      <c r="R2" s="436">
        <v>46295</v>
      </c>
      <c r="S2" s="436">
        <v>46387</v>
      </c>
      <c r="T2" s="436">
        <v>46752</v>
      </c>
      <c r="U2" s="436">
        <v>47118</v>
      </c>
      <c r="V2" s="436">
        <v>47483</v>
      </c>
      <c r="W2" s="436">
        <v>47848</v>
      </c>
      <c r="X2" s="433"/>
      <c r="Y2" s="580"/>
      <c r="Z2" s="580"/>
      <c r="AA2" s="437"/>
      <c r="AB2" s="437"/>
      <c r="AC2" s="437"/>
      <c r="AD2" s="437"/>
      <c r="AE2" s="437"/>
      <c r="AF2" s="437"/>
      <c r="AG2" s="437"/>
      <c r="AH2" s="437"/>
      <c r="AI2" s="581"/>
      <c r="AJ2" s="437"/>
      <c r="AK2" s="437"/>
      <c r="AL2" s="437"/>
      <c r="AM2" s="437"/>
      <c r="AN2" s="437"/>
      <c r="AO2" s="437"/>
      <c r="AP2" s="437"/>
      <c r="AQ2" s="437"/>
      <c r="AR2" s="437"/>
      <c r="AS2" s="437"/>
      <c r="AT2" s="437"/>
      <c r="AU2" s="437"/>
      <c r="AV2" s="437"/>
      <c r="AW2" s="437"/>
      <c r="AX2" s="437"/>
      <c r="AY2" s="437"/>
      <c r="AZ2" s="437"/>
      <c r="BA2" s="437"/>
      <c r="BB2" s="437"/>
      <c r="BC2" s="437"/>
      <c r="BD2" s="437"/>
      <c r="BE2" s="437"/>
      <c r="BF2" s="437"/>
      <c r="BG2" s="437"/>
      <c r="BH2" s="437"/>
      <c r="BI2" s="437"/>
      <c r="BJ2" s="437"/>
      <c r="BK2" s="437"/>
    </row>
    <row r="3" spans="1:63">
      <c r="A3" s="437"/>
      <c r="B3" s="434"/>
      <c r="C3" s="434"/>
      <c r="D3" s="434"/>
      <c r="E3" s="439"/>
      <c r="F3" s="439" t="s">
        <v>3</v>
      </c>
      <c r="G3" s="439" t="s">
        <v>4</v>
      </c>
      <c r="H3" s="439" t="s">
        <v>5</v>
      </c>
      <c r="I3" s="439" t="s">
        <v>2</v>
      </c>
      <c r="J3" s="625" t="s">
        <v>3</v>
      </c>
      <c r="K3" s="625" t="s">
        <v>4</v>
      </c>
      <c r="L3" s="439" t="s">
        <v>3</v>
      </c>
      <c r="M3" s="439" t="s">
        <v>4</v>
      </c>
      <c r="N3" s="439" t="s">
        <v>5</v>
      </c>
      <c r="O3" s="439" t="s">
        <v>2</v>
      </c>
      <c r="P3" s="439" t="s">
        <v>3</v>
      </c>
      <c r="Q3" s="439" t="s">
        <v>4</v>
      </c>
      <c r="R3" s="439" t="s">
        <v>5</v>
      </c>
      <c r="S3" s="439" t="s">
        <v>2</v>
      </c>
      <c r="T3" s="582" t="s">
        <v>2</v>
      </c>
      <c r="U3" s="582" t="s">
        <v>2</v>
      </c>
      <c r="V3" s="582" t="s">
        <v>2</v>
      </c>
      <c r="W3" s="582" t="s">
        <v>2</v>
      </c>
      <c r="X3" s="583"/>
      <c r="Y3" s="580"/>
      <c r="Z3" s="580"/>
      <c r="AA3" s="437"/>
      <c r="AB3" s="437"/>
      <c r="AC3" s="437"/>
      <c r="AD3" s="437"/>
      <c r="AE3" s="437"/>
      <c r="AF3" s="437"/>
      <c r="AG3" s="437"/>
      <c r="AH3" s="437"/>
      <c r="AI3" s="581"/>
      <c r="AJ3" s="437"/>
      <c r="AK3" s="437"/>
      <c r="AL3" s="437"/>
      <c r="AM3" s="437"/>
      <c r="AN3" s="437"/>
      <c r="AO3" s="437"/>
      <c r="AP3" s="437"/>
      <c r="AQ3" s="437"/>
      <c r="AR3" s="437"/>
      <c r="AS3" s="437"/>
      <c r="AT3" s="437"/>
      <c r="AU3" s="437"/>
      <c r="AV3" s="437"/>
      <c r="AW3" s="437"/>
      <c r="AX3" s="437"/>
      <c r="AY3" s="437"/>
      <c r="AZ3" s="437"/>
      <c r="BA3" s="437"/>
      <c r="BB3" s="437"/>
      <c r="BC3" s="437"/>
      <c r="BD3" s="437"/>
      <c r="BE3" s="437"/>
      <c r="BF3" s="437"/>
      <c r="BG3" s="437"/>
      <c r="BH3" s="437"/>
      <c r="BI3" s="437"/>
      <c r="BJ3" s="437"/>
      <c r="BK3" s="437"/>
    </row>
    <row r="4" spans="1:63" s="426" customFormat="1" ht="18.5" customHeight="1">
      <c r="A4" s="430"/>
      <c r="B4" s="440" t="s">
        <v>6</v>
      </c>
      <c r="C4" s="441" t="s">
        <v>7</v>
      </c>
      <c r="D4" s="440" t="s">
        <v>8</v>
      </c>
      <c r="E4" s="457"/>
      <c r="F4" s="430"/>
      <c r="G4" s="430"/>
      <c r="H4" s="430"/>
      <c r="I4" s="430"/>
      <c r="J4" s="430"/>
      <c r="K4" s="430"/>
      <c r="L4" s="457"/>
      <c r="M4" s="457"/>
      <c r="N4" s="457"/>
      <c r="O4" s="457"/>
      <c r="P4" s="457"/>
      <c r="Q4" s="457"/>
      <c r="R4" s="457"/>
      <c r="S4" s="457"/>
      <c r="T4" s="584"/>
      <c r="U4" s="584"/>
      <c r="V4" s="584"/>
      <c r="W4" s="584"/>
      <c r="X4" s="459"/>
      <c r="Y4" s="454"/>
      <c r="Z4" s="454"/>
      <c r="AA4" s="430"/>
      <c r="AB4" s="430"/>
      <c r="AC4" s="430"/>
      <c r="AD4" s="430"/>
      <c r="AE4" s="430"/>
      <c r="AF4" s="430"/>
      <c r="AG4" s="430"/>
      <c r="AH4" s="430"/>
      <c r="AI4" s="478"/>
      <c r="AJ4" s="430"/>
      <c r="AK4" s="430"/>
      <c r="AL4" s="430"/>
      <c r="AM4" s="430"/>
      <c r="AN4" s="430"/>
      <c r="AO4" s="430"/>
      <c r="AP4" s="430"/>
      <c r="AQ4" s="430"/>
      <c r="AR4" s="430"/>
      <c r="AS4" s="430"/>
      <c r="AT4" s="430"/>
      <c r="AU4" s="430"/>
      <c r="AV4" s="430"/>
      <c r="AW4" s="430"/>
      <c r="AX4" s="430"/>
      <c r="AY4" s="430"/>
      <c r="AZ4" s="430"/>
      <c r="BA4" s="430"/>
      <c r="BB4" s="430"/>
      <c r="BC4" s="430"/>
      <c r="BD4" s="430"/>
      <c r="BE4" s="430"/>
      <c r="BF4" s="430"/>
      <c r="BG4" s="430"/>
      <c r="BH4" s="430"/>
      <c r="BI4" s="430"/>
      <c r="BJ4" s="430"/>
      <c r="BK4" s="430"/>
    </row>
    <row r="5" spans="1:63" s="417" customFormat="1">
      <c r="A5" s="585" t="s">
        <v>1019</v>
      </c>
      <c r="B5" s="445"/>
      <c r="C5" s="447"/>
      <c r="D5" s="445"/>
      <c r="E5" s="457"/>
      <c r="F5" s="430"/>
      <c r="G5" s="430"/>
      <c r="H5" s="430"/>
      <c r="I5" s="430"/>
      <c r="J5" s="430"/>
      <c r="K5" s="430"/>
      <c r="L5" s="457"/>
      <c r="M5" s="457"/>
      <c r="N5" s="457"/>
      <c r="O5" s="457"/>
      <c r="P5" s="457"/>
      <c r="Q5" s="457"/>
      <c r="R5" s="457"/>
      <c r="S5" s="457"/>
      <c r="T5" s="584"/>
      <c r="U5" s="584"/>
      <c r="V5" s="584"/>
      <c r="W5" s="584"/>
      <c r="X5" s="459"/>
      <c r="Y5" s="454"/>
      <c r="Z5" s="454"/>
      <c r="AA5" s="430"/>
      <c r="AB5" s="430"/>
      <c r="AC5" s="430"/>
      <c r="AD5" s="430"/>
      <c r="AE5" s="430"/>
      <c r="AF5" s="430"/>
      <c r="AG5" s="430"/>
      <c r="AH5" s="430"/>
      <c r="AI5" s="478"/>
      <c r="AJ5" s="430"/>
      <c r="AK5" s="430"/>
      <c r="AL5" s="430"/>
      <c r="AM5" s="430"/>
      <c r="AN5" s="430"/>
      <c r="AO5" s="430"/>
      <c r="AP5" s="430"/>
      <c r="AQ5" s="430"/>
      <c r="AR5" s="430"/>
      <c r="AS5" s="430"/>
      <c r="AT5" s="430"/>
      <c r="AU5" s="430"/>
      <c r="AV5" s="430"/>
      <c r="AW5" s="430"/>
      <c r="AX5" s="430"/>
      <c r="AY5" s="430"/>
      <c r="AZ5" s="430"/>
      <c r="BA5" s="430"/>
      <c r="BB5" s="430"/>
      <c r="BC5" s="430"/>
      <c r="BD5" s="430"/>
      <c r="BE5" s="430"/>
      <c r="BF5" s="430"/>
      <c r="BG5" s="430"/>
      <c r="BH5" s="430"/>
      <c r="BI5" s="430"/>
      <c r="BJ5" s="430"/>
      <c r="BK5" s="430"/>
    </row>
    <row r="6" spans="1:63">
      <c r="A6" s="586" t="s">
        <v>1020</v>
      </c>
      <c r="B6" s="443" t="s">
        <v>18</v>
      </c>
      <c r="C6" s="444" t="s">
        <v>1021</v>
      </c>
      <c r="D6" s="460" t="s">
        <v>1022</v>
      </c>
      <c r="E6" s="492"/>
      <c r="F6" s="430"/>
      <c r="G6" s="430"/>
      <c r="H6" s="430"/>
      <c r="I6" s="430"/>
      <c r="J6" s="430"/>
      <c r="K6" s="430"/>
      <c r="L6" s="587">
        <v>375000</v>
      </c>
      <c r="M6" s="587">
        <v>375000</v>
      </c>
      <c r="N6" s="587">
        <v>375000</v>
      </c>
      <c r="O6" s="587">
        <v>375000</v>
      </c>
      <c r="P6" s="588">
        <v>375000</v>
      </c>
      <c r="Q6" s="511">
        <v>375000</v>
      </c>
      <c r="R6" s="511">
        <v>375000</v>
      </c>
      <c r="S6" s="511">
        <v>375000</v>
      </c>
      <c r="T6" s="464">
        <v>1500000</v>
      </c>
      <c r="U6" s="492">
        <v>1500000</v>
      </c>
      <c r="V6" s="492">
        <v>1500000</v>
      </c>
      <c r="W6" s="492">
        <v>1500000</v>
      </c>
      <c r="X6" s="464"/>
      <c r="Y6" s="454"/>
      <c r="Z6" s="454"/>
      <c r="AA6" s="430"/>
      <c r="AB6" s="430"/>
      <c r="AC6" s="430"/>
      <c r="AD6" s="430"/>
      <c r="AE6" s="430"/>
      <c r="AF6" s="430"/>
      <c r="AG6" s="430"/>
      <c r="AH6" s="430"/>
      <c r="AI6" s="478"/>
      <c r="AJ6" s="430"/>
      <c r="AK6" s="430"/>
      <c r="AL6" s="430"/>
      <c r="AM6" s="430"/>
      <c r="AN6" s="430"/>
      <c r="AO6" s="430"/>
      <c r="AP6" s="430"/>
      <c r="AQ6" s="430"/>
      <c r="AR6" s="430"/>
      <c r="AS6" s="430"/>
      <c r="AT6" s="430"/>
      <c r="AU6" s="430"/>
      <c r="AV6" s="430"/>
      <c r="AW6" s="430"/>
      <c r="AX6" s="430"/>
      <c r="AY6" s="430"/>
      <c r="AZ6" s="430"/>
      <c r="BA6" s="430"/>
      <c r="BB6" s="430"/>
      <c r="BC6" s="430"/>
      <c r="BD6" s="430"/>
      <c r="BE6" s="430"/>
      <c r="BF6" s="430"/>
      <c r="BG6" s="430"/>
      <c r="BH6" s="430"/>
      <c r="BI6" s="430"/>
      <c r="BJ6" s="430"/>
      <c r="BK6" s="430"/>
    </row>
    <row r="7" spans="1:63">
      <c r="A7" s="586" t="s">
        <v>1023</v>
      </c>
      <c r="B7" s="443" t="s">
        <v>18</v>
      </c>
      <c r="C7" s="444" t="s">
        <v>1021</v>
      </c>
      <c r="D7" s="460" t="s">
        <v>1024</v>
      </c>
      <c r="E7" s="430"/>
      <c r="F7" s="430"/>
      <c r="G7" s="430"/>
      <c r="H7" s="430"/>
      <c r="I7" s="430"/>
      <c r="J7" s="430"/>
      <c r="K7" s="430"/>
      <c r="L7" s="587">
        <v>0</v>
      </c>
      <c r="M7" s="587">
        <v>0</v>
      </c>
      <c r="N7" s="587">
        <v>0</v>
      </c>
      <c r="O7" s="587">
        <v>0</v>
      </c>
      <c r="P7" s="589">
        <v>0</v>
      </c>
      <c r="Q7" s="511">
        <v>0</v>
      </c>
      <c r="R7" s="511">
        <v>0</v>
      </c>
      <c r="S7" s="511">
        <v>0</v>
      </c>
      <c r="T7" s="464">
        <v>0</v>
      </c>
      <c r="U7" s="492">
        <v>0</v>
      </c>
      <c r="V7" s="492">
        <v>0</v>
      </c>
      <c r="W7" s="492">
        <v>0</v>
      </c>
      <c r="X7" s="464"/>
      <c r="Y7" s="454"/>
      <c r="Z7" s="454"/>
      <c r="AA7" s="430"/>
      <c r="AB7" s="430"/>
      <c r="AC7" s="430"/>
      <c r="AD7" s="430"/>
      <c r="AE7" s="430"/>
      <c r="AF7" s="430"/>
      <c r="AG7" s="430"/>
      <c r="AH7" s="430"/>
      <c r="AI7" s="478"/>
      <c r="AJ7" s="430"/>
      <c r="AK7" s="430"/>
      <c r="AL7" s="430"/>
      <c r="AM7" s="430"/>
      <c r="AN7" s="430"/>
      <c r="AO7" s="430"/>
      <c r="AP7" s="430"/>
      <c r="AQ7" s="430"/>
      <c r="AR7" s="430"/>
      <c r="AS7" s="430"/>
      <c r="AT7" s="430"/>
      <c r="AU7" s="430"/>
      <c r="AV7" s="430"/>
      <c r="AW7" s="430"/>
      <c r="AX7" s="430"/>
      <c r="AY7" s="430"/>
      <c r="AZ7" s="430"/>
      <c r="BA7" s="430"/>
      <c r="BB7" s="430"/>
      <c r="BC7" s="430"/>
      <c r="BD7" s="430"/>
      <c r="BE7" s="430"/>
      <c r="BF7" s="430"/>
      <c r="BG7" s="430"/>
      <c r="BH7" s="430"/>
      <c r="BI7" s="430"/>
      <c r="BJ7" s="430"/>
      <c r="BK7" s="430"/>
    </row>
    <row r="8" spans="1:63">
      <c r="A8" s="586" t="s">
        <v>1025</v>
      </c>
      <c r="B8" s="443" t="s">
        <v>18</v>
      </c>
      <c r="C8" s="444" t="s">
        <v>1021</v>
      </c>
      <c r="D8" s="460" t="s">
        <v>1026</v>
      </c>
      <c r="E8" s="430"/>
      <c r="F8" s="430"/>
      <c r="G8" s="430"/>
      <c r="H8" s="430"/>
      <c r="I8" s="430"/>
      <c r="J8" s="430"/>
      <c r="K8" s="430"/>
      <c r="L8" s="587">
        <v>0</v>
      </c>
      <c r="M8" s="587">
        <v>0</v>
      </c>
      <c r="N8" s="587">
        <v>0</v>
      </c>
      <c r="O8" s="587">
        <v>0</v>
      </c>
      <c r="P8" s="588">
        <v>25750</v>
      </c>
      <c r="Q8" s="511">
        <v>25750</v>
      </c>
      <c r="R8" s="511">
        <v>25750</v>
      </c>
      <c r="S8" s="511">
        <v>25750</v>
      </c>
      <c r="T8" s="464">
        <v>103000</v>
      </c>
      <c r="U8" s="492">
        <v>103000</v>
      </c>
      <c r="V8" s="492">
        <v>103000</v>
      </c>
      <c r="W8" s="492">
        <v>103000</v>
      </c>
      <c r="X8" s="464"/>
      <c r="Y8" s="454"/>
      <c r="Z8" s="454"/>
      <c r="AA8" s="430"/>
      <c r="AB8" s="430"/>
      <c r="AC8" s="430"/>
      <c r="AD8" s="430"/>
      <c r="AE8" s="464"/>
      <c r="AF8" s="430"/>
      <c r="AG8" s="430"/>
      <c r="AH8" s="430"/>
      <c r="AI8" s="478"/>
      <c r="AJ8" s="430"/>
      <c r="AK8" s="430"/>
      <c r="AL8" s="430"/>
      <c r="AM8" s="430"/>
      <c r="AN8" s="430"/>
      <c r="AO8" s="430"/>
      <c r="AP8" s="430"/>
      <c r="AQ8" s="430"/>
      <c r="AR8" s="430"/>
      <c r="AS8" s="430"/>
      <c r="AT8" s="430"/>
      <c r="AU8" s="430"/>
      <c r="AV8" s="430"/>
      <c r="AW8" s="430"/>
      <c r="AX8" s="430"/>
      <c r="AY8" s="430"/>
      <c r="AZ8" s="430"/>
      <c r="BA8" s="430"/>
      <c r="BB8" s="430"/>
      <c r="BC8" s="430"/>
      <c r="BD8" s="430"/>
      <c r="BE8" s="430"/>
      <c r="BF8" s="430"/>
      <c r="BG8" s="430"/>
      <c r="BH8" s="430"/>
      <c r="BI8" s="430"/>
      <c r="BJ8" s="430"/>
      <c r="BK8" s="430"/>
    </row>
    <row r="9" spans="1:63">
      <c r="A9" s="586" t="s">
        <v>1027</v>
      </c>
      <c r="B9" s="442" t="s">
        <v>18</v>
      </c>
      <c r="C9" s="442" t="s">
        <v>1021</v>
      </c>
      <c r="D9" s="442" t="s">
        <v>1028</v>
      </c>
      <c r="E9" s="430"/>
      <c r="F9" s="430"/>
      <c r="G9" s="430"/>
      <c r="H9" s="430"/>
      <c r="I9" s="430"/>
      <c r="J9" s="430"/>
      <c r="K9" s="430"/>
      <c r="L9" s="587">
        <v>31250</v>
      </c>
      <c r="M9" s="587">
        <v>31250</v>
      </c>
      <c r="N9" s="587">
        <v>31250</v>
      </c>
      <c r="O9" s="587">
        <v>31250</v>
      </c>
      <c r="P9" s="588">
        <v>31250</v>
      </c>
      <c r="Q9" s="511">
        <v>31250</v>
      </c>
      <c r="R9" s="511">
        <v>31250</v>
      </c>
      <c r="S9" s="511">
        <v>31250</v>
      </c>
      <c r="T9" s="464">
        <v>125000</v>
      </c>
      <c r="U9" s="492">
        <v>125000</v>
      </c>
      <c r="V9" s="492">
        <v>125000</v>
      </c>
      <c r="W9" s="492">
        <v>125000</v>
      </c>
      <c r="X9" s="464"/>
      <c r="Y9" s="454"/>
      <c r="Z9" s="454"/>
      <c r="AA9" s="430"/>
      <c r="AB9" s="430"/>
      <c r="AC9" s="430"/>
      <c r="AD9" s="430"/>
      <c r="AE9" s="430"/>
      <c r="AF9" s="430"/>
      <c r="AG9" s="430"/>
      <c r="AH9" s="430"/>
      <c r="AI9" s="478"/>
      <c r="AJ9" s="430"/>
      <c r="AK9" s="430"/>
      <c r="AL9" s="430"/>
      <c r="AM9" s="430"/>
      <c r="AN9" s="430"/>
      <c r="AO9" s="430"/>
      <c r="AP9" s="430"/>
      <c r="AQ9" s="430"/>
      <c r="AR9" s="430"/>
      <c r="AS9" s="430"/>
      <c r="AT9" s="430"/>
      <c r="AU9" s="430"/>
      <c r="AV9" s="430"/>
      <c r="AW9" s="430"/>
      <c r="AX9" s="430"/>
      <c r="AY9" s="430"/>
      <c r="AZ9" s="430"/>
      <c r="BA9" s="430"/>
      <c r="BB9" s="430"/>
      <c r="BC9" s="430"/>
      <c r="BD9" s="430"/>
      <c r="BE9" s="430"/>
      <c r="BF9" s="430"/>
      <c r="BG9" s="430"/>
      <c r="BH9" s="430"/>
      <c r="BI9" s="430"/>
      <c r="BJ9" s="430"/>
      <c r="BK9" s="430"/>
    </row>
    <row r="10" spans="1:63">
      <c r="A10" s="442" t="s">
        <v>1029</v>
      </c>
      <c r="B10" s="442" t="s">
        <v>18</v>
      </c>
      <c r="C10" s="442" t="s">
        <v>1021</v>
      </c>
      <c r="D10" s="442" t="s">
        <v>1030</v>
      </c>
      <c r="E10" s="430"/>
      <c r="F10" s="464"/>
      <c r="G10" s="464"/>
      <c r="H10" s="464"/>
      <c r="I10" s="464"/>
      <c r="J10" s="464"/>
      <c r="K10" s="464"/>
      <c r="L10" s="587">
        <v>0</v>
      </c>
      <c r="M10" s="587">
        <v>0</v>
      </c>
      <c r="N10" s="587">
        <v>0</v>
      </c>
      <c r="O10" s="587">
        <v>0</v>
      </c>
      <c r="P10" s="587">
        <v>0</v>
      </c>
      <c r="Q10" s="587">
        <v>0</v>
      </c>
      <c r="R10" s="587">
        <v>0</v>
      </c>
      <c r="S10" s="587">
        <v>0</v>
      </c>
      <c r="T10" s="464">
        <v>0</v>
      </c>
      <c r="U10" s="464">
        <v>0</v>
      </c>
      <c r="V10" s="464">
        <v>0</v>
      </c>
      <c r="W10" s="464">
        <v>0</v>
      </c>
      <c r="X10" s="464"/>
      <c r="Y10" s="454"/>
      <c r="Z10" s="454"/>
      <c r="AA10" s="430"/>
      <c r="AB10" s="430"/>
      <c r="AC10" s="430"/>
      <c r="AD10" s="430"/>
      <c r="AE10" s="430"/>
      <c r="AF10" s="430"/>
      <c r="AG10" s="430"/>
      <c r="AH10" s="430"/>
      <c r="AI10" s="478"/>
      <c r="AJ10" s="430"/>
      <c r="AK10" s="430"/>
      <c r="AL10" s="430"/>
      <c r="AM10" s="430"/>
      <c r="AN10" s="430"/>
      <c r="AO10" s="430"/>
      <c r="AP10" s="430"/>
      <c r="AQ10" s="430"/>
      <c r="AR10" s="430"/>
      <c r="AS10" s="430"/>
      <c r="AT10" s="430"/>
      <c r="AU10" s="430"/>
      <c r="AV10" s="430"/>
      <c r="AW10" s="430"/>
      <c r="AX10" s="430"/>
      <c r="AY10" s="430"/>
      <c r="AZ10" s="430"/>
      <c r="BA10" s="430"/>
      <c r="BB10" s="430"/>
      <c r="BC10" s="430"/>
      <c r="BD10" s="430"/>
      <c r="BE10" s="430"/>
      <c r="BF10" s="430"/>
      <c r="BG10" s="430"/>
      <c r="BH10" s="430"/>
      <c r="BI10" s="430"/>
      <c r="BJ10" s="430"/>
      <c r="BK10" s="430"/>
    </row>
    <row r="11" spans="1:63">
      <c r="A11" s="442" t="s">
        <v>1031</v>
      </c>
      <c r="B11" s="442" t="s">
        <v>18</v>
      </c>
      <c r="C11" s="442" t="s">
        <v>1021</v>
      </c>
      <c r="D11" s="442" t="s">
        <v>1032</v>
      </c>
      <c r="E11" s="464"/>
      <c r="F11" s="430"/>
      <c r="G11" s="430"/>
      <c r="H11" s="430"/>
      <c r="I11" s="430"/>
      <c r="J11" s="430"/>
      <c r="K11" s="430"/>
      <c r="L11" s="587">
        <v>87500</v>
      </c>
      <c r="M11" s="587">
        <v>87500</v>
      </c>
      <c r="N11" s="587">
        <v>87500</v>
      </c>
      <c r="O11" s="587">
        <v>87500</v>
      </c>
      <c r="P11" s="587">
        <v>87500</v>
      </c>
      <c r="Q11" s="587">
        <v>0</v>
      </c>
      <c r="R11" s="587">
        <v>0</v>
      </c>
      <c r="S11" s="587">
        <v>0</v>
      </c>
      <c r="T11" s="464">
        <v>0</v>
      </c>
      <c r="U11" s="464">
        <v>0</v>
      </c>
      <c r="V11" s="464">
        <v>0</v>
      </c>
      <c r="W11" s="464">
        <v>0</v>
      </c>
      <c r="X11" s="464"/>
      <c r="Y11" s="454"/>
      <c r="Z11" s="454"/>
      <c r="AA11" s="430"/>
      <c r="AB11" s="430"/>
      <c r="AC11" s="430"/>
      <c r="AD11" s="430"/>
      <c r="AE11" s="430"/>
      <c r="AF11" s="430"/>
      <c r="AG11" s="430"/>
      <c r="AH11" s="430"/>
      <c r="AI11" s="478"/>
      <c r="AJ11" s="430"/>
      <c r="AK11" s="430"/>
      <c r="AL11" s="430"/>
      <c r="AM11" s="430"/>
      <c r="AN11" s="430"/>
      <c r="AO11" s="430"/>
      <c r="AP11" s="430"/>
      <c r="AQ11" s="430"/>
      <c r="AR11" s="430"/>
      <c r="AS11" s="430"/>
      <c r="AT11" s="430"/>
      <c r="AU11" s="430"/>
      <c r="AV11" s="430"/>
      <c r="AW11" s="430"/>
      <c r="AX11" s="430"/>
      <c r="AY11" s="430"/>
      <c r="AZ11" s="430"/>
      <c r="BA11" s="430"/>
      <c r="BB11" s="430"/>
      <c r="BC11" s="430"/>
      <c r="BD11" s="430"/>
      <c r="BE11" s="430"/>
      <c r="BF11" s="430"/>
      <c r="BG11" s="430"/>
      <c r="BH11" s="430"/>
      <c r="BI11" s="430"/>
      <c r="BJ11" s="430"/>
      <c r="BK11" s="430"/>
    </row>
    <row r="12" spans="1:63">
      <c r="A12" s="474" t="s">
        <v>33</v>
      </c>
      <c r="B12" s="430"/>
      <c r="C12" s="430"/>
      <c r="D12" s="430"/>
      <c r="E12" s="464"/>
      <c r="F12" s="469"/>
      <c r="G12" s="469"/>
      <c r="H12" s="469"/>
      <c r="I12" s="469"/>
      <c r="J12" s="469"/>
      <c r="K12" s="469"/>
      <c r="L12" s="464">
        <f t="shared" ref="L12:W12" si="0">SUM(L6:L11)</f>
        <v>493750</v>
      </c>
      <c r="M12" s="464">
        <f t="shared" si="0"/>
        <v>493750</v>
      </c>
      <c r="N12" s="464">
        <f t="shared" si="0"/>
        <v>493750</v>
      </c>
      <c r="O12" s="464">
        <f t="shared" si="0"/>
        <v>493750</v>
      </c>
      <c r="P12" s="464">
        <f t="shared" si="0"/>
        <v>519500</v>
      </c>
      <c r="Q12" s="464">
        <f t="shared" si="0"/>
        <v>432000</v>
      </c>
      <c r="R12" s="464">
        <f t="shared" si="0"/>
        <v>432000</v>
      </c>
      <c r="S12" s="464">
        <f t="shared" si="0"/>
        <v>432000</v>
      </c>
      <c r="T12" s="464">
        <f t="shared" si="0"/>
        <v>1728000</v>
      </c>
      <c r="U12" s="464">
        <f t="shared" si="0"/>
        <v>1728000</v>
      </c>
      <c r="V12" s="464">
        <f t="shared" si="0"/>
        <v>1728000</v>
      </c>
      <c r="W12" s="464">
        <f t="shared" si="0"/>
        <v>1728000</v>
      </c>
      <c r="X12" s="464"/>
      <c r="Y12" s="454"/>
      <c r="Z12" s="454"/>
      <c r="AA12" s="430"/>
      <c r="AB12" s="430"/>
      <c r="AC12" s="430"/>
      <c r="AD12" s="430"/>
      <c r="AE12" s="430"/>
      <c r="AF12" s="430"/>
      <c r="AG12" s="430"/>
      <c r="AH12" s="430"/>
      <c r="AI12" s="478"/>
      <c r="AJ12" s="430"/>
      <c r="AK12" s="430"/>
      <c r="AL12" s="430"/>
      <c r="AM12" s="430"/>
      <c r="AN12" s="430"/>
      <c r="AO12" s="430"/>
      <c r="AP12" s="430"/>
      <c r="AQ12" s="430"/>
      <c r="AR12" s="430"/>
      <c r="AS12" s="430"/>
      <c r="AT12" s="430"/>
      <c r="AU12" s="430"/>
      <c r="AV12" s="430"/>
      <c r="AW12" s="430"/>
      <c r="AX12" s="430"/>
      <c r="AY12" s="430"/>
      <c r="AZ12" s="430"/>
      <c r="BA12" s="430"/>
      <c r="BB12" s="430"/>
      <c r="BC12" s="430"/>
      <c r="BD12" s="430"/>
      <c r="BE12" s="430"/>
      <c r="BF12" s="430"/>
      <c r="BG12" s="430"/>
      <c r="BH12" s="430"/>
      <c r="BI12" s="430"/>
      <c r="BJ12" s="430"/>
      <c r="BK12" s="430"/>
    </row>
    <row r="13" spans="1:63">
      <c r="A13" s="442" t="s">
        <v>1033</v>
      </c>
      <c r="B13" s="430"/>
      <c r="C13" s="430"/>
      <c r="D13" s="430"/>
      <c r="E13" s="430"/>
      <c r="F13" s="469"/>
      <c r="G13" s="469"/>
      <c r="H13" s="469"/>
      <c r="I13" s="469"/>
      <c r="J13" s="469"/>
      <c r="K13" s="469"/>
      <c r="L13" s="430"/>
      <c r="M13" s="430"/>
      <c r="N13" s="430"/>
      <c r="O13" s="430"/>
      <c r="P13" s="430"/>
      <c r="Q13" s="430"/>
      <c r="R13" s="430"/>
      <c r="S13" s="430"/>
      <c r="T13" s="430"/>
      <c r="U13" s="430"/>
      <c r="V13" s="430"/>
      <c r="W13" s="430"/>
      <c r="X13" s="430"/>
      <c r="Y13" s="454"/>
      <c r="Z13" s="454"/>
      <c r="AA13" s="430"/>
      <c r="AB13" s="430"/>
      <c r="AC13" s="430"/>
      <c r="AD13" s="430"/>
      <c r="AE13" s="430"/>
      <c r="AF13" s="430"/>
      <c r="AG13" s="430"/>
      <c r="AH13" s="430"/>
      <c r="AI13" s="478"/>
      <c r="AJ13" s="430"/>
      <c r="AK13" s="430"/>
      <c r="AL13" s="430"/>
      <c r="AM13" s="430"/>
      <c r="AN13" s="430"/>
      <c r="AO13" s="430"/>
      <c r="AP13" s="430"/>
      <c r="AQ13" s="430"/>
      <c r="AR13" s="430"/>
      <c r="AS13" s="430"/>
      <c r="AT13" s="430"/>
      <c r="AU13" s="430"/>
      <c r="AV13" s="430"/>
      <c r="AW13" s="430"/>
      <c r="AX13" s="430"/>
      <c r="AY13" s="430"/>
      <c r="AZ13" s="430"/>
      <c r="BA13" s="430"/>
      <c r="BB13" s="430"/>
      <c r="BC13" s="430"/>
      <c r="BD13" s="430"/>
      <c r="BE13" s="430"/>
      <c r="BF13" s="430"/>
      <c r="BG13" s="430"/>
      <c r="BH13" s="430"/>
      <c r="BI13" s="430"/>
      <c r="BJ13" s="430"/>
      <c r="BK13" s="430"/>
    </row>
    <row r="14" spans="1:63">
      <c r="A14" s="430" t="str">
        <f t="shared" ref="A14:A19" si="1">+A6</f>
        <v>Managing Member (SK)</v>
      </c>
      <c r="B14" s="442" t="s">
        <v>18</v>
      </c>
      <c r="C14" s="442" t="s">
        <v>1034</v>
      </c>
      <c r="D14" s="442" t="s">
        <v>1022</v>
      </c>
      <c r="E14" s="478"/>
      <c r="F14" s="430"/>
      <c r="G14" s="430"/>
      <c r="H14" s="430"/>
      <c r="I14" s="430"/>
      <c r="J14" s="430"/>
      <c r="K14" s="430"/>
      <c r="L14" s="511">
        <v>0</v>
      </c>
      <c r="M14" s="511">
        <v>0</v>
      </c>
      <c r="N14" s="511">
        <v>0</v>
      </c>
      <c r="O14" s="511">
        <v>0</v>
      </c>
      <c r="P14" s="511">
        <v>0</v>
      </c>
      <c r="Q14" s="511">
        <v>0</v>
      </c>
      <c r="R14" s="511">
        <v>0</v>
      </c>
      <c r="S14" s="511">
        <v>0</v>
      </c>
      <c r="T14" s="492">
        <v>0</v>
      </c>
      <c r="U14" s="492">
        <v>0</v>
      </c>
      <c r="V14" s="492">
        <v>0</v>
      </c>
      <c r="W14" s="492">
        <v>0</v>
      </c>
      <c r="X14" s="478"/>
      <c r="Y14" s="454"/>
      <c r="Z14" s="454"/>
      <c r="AA14" s="430"/>
      <c r="AB14" s="430"/>
      <c r="AC14" s="430"/>
      <c r="AD14" s="430"/>
      <c r="AE14" s="430"/>
      <c r="AF14" s="430"/>
      <c r="AG14" s="430"/>
      <c r="AH14" s="430"/>
      <c r="AI14" s="478"/>
      <c r="AJ14" s="430"/>
      <c r="AK14" s="430"/>
      <c r="AL14" s="430"/>
      <c r="AM14" s="430"/>
      <c r="AN14" s="430"/>
      <c r="AO14" s="430"/>
      <c r="AP14" s="430"/>
      <c r="AQ14" s="430"/>
      <c r="AR14" s="430"/>
      <c r="AS14" s="430"/>
      <c r="AT14" s="430"/>
      <c r="AU14" s="430"/>
      <c r="AV14" s="430"/>
      <c r="AW14" s="430"/>
      <c r="AX14" s="430"/>
      <c r="AY14" s="430"/>
      <c r="AZ14" s="430"/>
      <c r="BA14" s="430"/>
      <c r="BB14" s="430"/>
      <c r="BC14" s="430"/>
      <c r="BD14" s="430"/>
      <c r="BE14" s="430"/>
      <c r="BF14" s="430"/>
      <c r="BG14" s="430"/>
      <c r="BH14" s="430"/>
      <c r="BI14" s="430"/>
      <c r="BJ14" s="430"/>
      <c r="BK14" s="430"/>
    </row>
    <row r="15" spans="1:63">
      <c r="A15" s="430" t="str">
        <f t="shared" si="1"/>
        <v>Philanropy senior exec (LM) (100%roots)</v>
      </c>
      <c r="B15" s="442" t="s">
        <v>18</v>
      </c>
      <c r="C15" s="442" t="s">
        <v>1034</v>
      </c>
      <c r="D15" s="442" t="s">
        <v>1024</v>
      </c>
      <c r="E15" s="464"/>
      <c r="F15" s="430"/>
      <c r="G15" s="430"/>
      <c r="H15" s="430"/>
      <c r="I15" s="430"/>
      <c r="J15" s="430"/>
      <c r="K15" s="430"/>
      <c r="L15" s="511">
        <v>0</v>
      </c>
      <c r="M15" s="511">
        <v>0</v>
      </c>
      <c r="N15" s="511">
        <v>0</v>
      </c>
      <c r="O15" s="511">
        <v>0</v>
      </c>
      <c r="P15" s="511">
        <v>0</v>
      </c>
      <c r="Q15" s="511">
        <v>0</v>
      </c>
      <c r="R15" s="511">
        <v>0</v>
      </c>
      <c r="S15" s="511">
        <v>0</v>
      </c>
      <c r="T15" s="492">
        <v>0</v>
      </c>
      <c r="U15" s="492">
        <v>0</v>
      </c>
      <c r="V15" s="492">
        <v>0</v>
      </c>
      <c r="W15" s="492">
        <v>0</v>
      </c>
      <c r="X15" s="464"/>
      <c r="Y15" s="454"/>
      <c r="Z15" s="454"/>
      <c r="AA15" s="430"/>
      <c r="AB15" s="430"/>
      <c r="AC15" s="430"/>
      <c r="AD15" s="430"/>
      <c r="AE15" s="430"/>
      <c r="AF15" s="430"/>
      <c r="AG15" s="430"/>
      <c r="AH15" s="430"/>
      <c r="AI15" s="478"/>
      <c r="AJ15" s="430"/>
      <c r="AK15" s="430"/>
      <c r="AL15" s="430"/>
      <c r="AM15" s="430"/>
      <c r="AN15" s="430"/>
      <c r="AO15" s="430"/>
      <c r="AP15" s="430"/>
      <c r="AQ15" s="430"/>
      <c r="AR15" s="430"/>
      <c r="AS15" s="430"/>
      <c r="AT15" s="430"/>
      <c r="AU15" s="430"/>
      <c r="AV15" s="430"/>
      <c r="AW15" s="430"/>
      <c r="AX15" s="430"/>
      <c r="AY15" s="430"/>
      <c r="AZ15" s="430"/>
      <c r="BA15" s="430"/>
      <c r="BB15" s="430"/>
      <c r="BC15" s="430"/>
      <c r="BD15" s="430"/>
      <c r="BE15" s="430"/>
      <c r="BF15" s="430"/>
      <c r="BG15" s="430"/>
      <c r="BH15" s="430"/>
      <c r="BI15" s="430"/>
      <c r="BJ15" s="430"/>
      <c r="BK15" s="430"/>
    </row>
    <row r="16" spans="1:63">
      <c r="A16" s="430" t="str">
        <f t="shared" si="1"/>
        <v>Bookkeeper (DD)</v>
      </c>
      <c r="B16" s="442" t="s">
        <v>18</v>
      </c>
      <c r="C16" s="442" t="s">
        <v>1034</v>
      </c>
      <c r="D16" s="442" t="s">
        <v>1026</v>
      </c>
      <c r="E16" s="464"/>
      <c r="F16" s="430"/>
      <c r="G16" s="430"/>
      <c r="H16" s="430"/>
      <c r="I16" s="430"/>
      <c r="J16" s="430"/>
      <c r="K16" s="430"/>
      <c r="L16" s="511">
        <v>0</v>
      </c>
      <c r="M16" s="511"/>
      <c r="N16" s="511">
        <v>0</v>
      </c>
      <c r="O16" s="511">
        <v>10000</v>
      </c>
      <c r="P16" s="511">
        <v>0</v>
      </c>
      <c r="Q16" s="511">
        <v>0</v>
      </c>
      <c r="R16" s="511">
        <v>0</v>
      </c>
      <c r="S16" s="511">
        <v>5000</v>
      </c>
      <c r="T16" s="492">
        <v>5000</v>
      </c>
      <c r="U16" s="492">
        <v>5000</v>
      </c>
      <c r="V16" s="492">
        <v>5000</v>
      </c>
      <c r="W16" s="492">
        <v>5000</v>
      </c>
      <c r="X16" s="464"/>
      <c r="Y16" s="454"/>
      <c r="Z16" s="454"/>
      <c r="AA16" s="430"/>
      <c r="AB16" s="430"/>
      <c r="AC16" s="430"/>
      <c r="AD16" s="430"/>
      <c r="AE16" s="430"/>
      <c r="AF16" s="430"/>
      <c r="AG16" s="430"/>
      <c r="AH16" s="430"/>
      <c r="AI16" s="430"/>
      <c r="AJ16" s="430"/>
      <c r="AK16" s="430"/>
      <c r="AL16" s="430"/>
      <c r="AM16" s="430"/>
      <c r="AN16" s="430"/>
      <c r="AO16" s="430"/>
      <c r="AP16" s="430"/>
      <c r="AQ16" s="430"/>
      <c r="AR16" s="430"/>
      <c r="AS16" s="430"/>
      <c r="AT16" s="430"/>
      <c r="AU16" s="430"/>
      <c r="AV16" s="430"/>
      <c r="AW16" s="430"/>
      <c r="AX16" s="430"/>
      <c r="AY16" s="430"/>
      <c r="AZ16" s="430"/>
      <c r="BA16" s="430"/>
      <c r="BB16" s="430"/>
      <c r="BC16" s="430"/>
      <c r="BD16" s="430"/>
      <c r="BE16" s="430"/>
      <c r="BF16" s="430"/>
      <c r="BG16" s="430"/>
      <c r="BH16" s="430"/>
      <c r="BI16" s="430"/>
      <c r="BJ16" s="430"/>
      <c r="BK16" s="430"/>
    </row>
    <row r="17" spans="1:63">
      <c r="A17" s="430" t="str">
        <f t="shared" si="1"/>
        <v>Personal Assistant (CD)</v>
      </c>
      <c r="B17" s="442" t="s">
        <v>18</v>
      </c>
      <c r="C17" s="442" t="s">
        <v>1034</v>
      </c>
      <c r="D17" s="442" t="s">
        <v>1028</v>
      </c>
      <c r="E17" s="464"/>
      <c r="F17" s="473"/>
      <c r="G17" s="473"/>
      <c r="H17" s="473"/>
      <c r="I17" s="473"/>
      <c r="J17" s="473"/>
      <c r="K17" s="473"/>
      <c r="L17" s="511">
        <v>0</v>
      </c>
      <c r="M17" s="511">
        <v>0</v>
      </c>
      <c r="N17" s="511">
        <v>0</v>
      </c>
      <c r="O17" s="511">
        <v>0</v>
      </c>
      <c r="P17" s="511">
        <v>0</v>
      </c>
      <c r="Q17" s="511">
        <v>0</v>
      </c>
      <c r="R17" s="511">
        <v>0</v>
      </c>
      <c r="S17" s="511">
        <v>15000</v>
      </c>
      <c r="T17" s="492">
        <v>15000</v>
      </c>
      <c r="U17" s="492">
        <v>15000</v>
      </c>
      <c r="V17" s="492">
        <v>15000</v>
      </c>
      <c r="W17" s="492">
        <v>15000</v>
      </c>
      <c r="X17" s="464"/>
      <c r="Y17" s="454"/>
      <c r="Z17" s="454"/>
      <c r="AA17" s="430"/>
      <c r="AB17" s="430"/>
      <c r="AC17" s="430"/>
      <c r="AD17" s="430"/>
      <c r="AE17" s="430"/>
      <c r="AF17" s="430"/>
      <c r="AG17" s="430"/>
      <c r="AH17" s="430"/>
      <c r="AI17" s="430"/>
      <c r="AJ17" s="430"/>
      <c r="AK17" s="430"/>
      <c r="AL17" s="430"/>
      <c r="AM17" s="430"/>
      <c r="AN17" s="430"/>
      <c r="AO17" s="430"/>
      <c r="AP17" s="430"/>
      <c r="AQ17" s="430"/>
      <c r="AR17" s="430"/>
      <c r="AS17" s="430"/>
      <c r="AT17" s="430"/>
      <c r="AU17" s="430"/>
      <c r="AV17" s="430"/>
      <c r="AW17" s="430"/>
      <c r="AX17" s="430"/>
      <c r="AY17" s="430"/>
      <c r="AZ17" s="430"/>
      <c r="BA17" s="430"/>
      <c r="BB17" s="430"/>
      <c r="BC17" s="430"/>
      <c r="BD17" s="430"/>
      <c r="BE17" s="430"/>
      <c r="BF17" s="430"/>
      <c r="BG17" s="430"/>
      <c r="BH17" s="430"/>
      <c r="BI17" s="430"/>
      <c r="BJ17" s="430"/>
      <c r="BK17" s="430"/>
    </row>
    <row r="18" spans="1:63">
      <c r="A18" s="430" t="str">
        <f t="shared" si="1"/>
        <v>philanthropy assist (100%roots)</v>
      </c>
      <c r="B18" s="442" t="s">
        <v>18</v>
      </c>
      <c r="C18" s="442" t="s">
        <v>1034</v>
      </c>
      <c r="D18" s="442" t="s">
        <v>1030</v>
      </c>
      <c r="E18" s="464"/>
      <c r="F18" s="473"/>
      <c r="G18" s="473"/>
      <c r="H18" s="473"/>
      <c r="I18" s="473"/>
      <c r="J18" s="473"/>
      <c r="K18" s="473"/>
      <c r="L18" s="511">
        <v>0</v>
      </c>
      <c r="M18" s="511">
        <v>0</v>
      </c>
      <c r="N18" s="511">
        <v>0</v>
      </c>
      <c r="O18" s="511">
        <v>0</v>
      </c>
      <c r="P18" s="511">
        <v>0</v>
      </c>
      <c r="Q18" s="511">
        <v>0</v>
      </c>
      <c r="R18" s="511">
        <v>0</v>
      </c>
      <c r="S18" s="511">
        <v>0</v>
      </c>
      <c r="T18" s="492">
        <v>0</v>
      </c>
      <c r="U18" s="492">
        <v>0</v>
      </c>
      <c r="V18" s="492">
        <v>0</v>
      </c>
      <c r="W18" s="492">
        <v>0</v>
      </c>
      <c r="X18" s="464"/>
      <c r="Y18" s="454"/>
      <c r="Z18" s="454"/>
      <c r="AA18" s="430"/>
      <c r="AB18" s="430"/>
      <c r="AC18" s="430"/>
      <c r="AD18" s="430"/>
      <c r="AE18" s="430"/>
      <c r="AF18" s="430"/>
      <c r="AG18" s="430"/>
      <c r="AH18" s="430"/>
      <c r="AI18" s="430"/>
      <c r="AJ18" s="430"/>
      <c r="AK18" s="430"/>
      <c r="AL18" s="430"/>
      <c r="AM18" s="430"/>
      <c r="AN18" s="430"/>
      <c r="AO18" s="430"/>
      <c r="AP18" s="430"/>
      <c r="AQ18" s="430"/>
      <c r="AR18" s="430"/>
      <c r="AS18" s="430"/>
      <c r="AT18" s="430"/>
      <c r="AU18" s="430"/>
      <c r="AV18" s="430"/>
      <c r="AW18" s="430"/>
      <c r="AX18" s="430"/>
      <c r="AY18" s="430"/>
      <c r="AZ18" s="430"/>
      <c r="BA18" s="430"/>
      <c r="BB18" s="430"/>
      <c r="BC18" s="430"/>
      <c r="BD18" s="430"/>
      <c r="BE18" s="430"/>
      <c r="BF18" s="430"/>
      <c r="BG18" s="430"/>
      <c r="BH18" s="430"/>
      <c r="BI18" s="430"/>
      <c r="BJ18" s="430"/>
      <c r="BK18" s="430"/>
    </row>
    <row r="19" spans="1:63">
      <c r="A19" s="430" t="str">
        <f t="shared" si="1"/>
        <v>TM (gone)</v>
      </c>
      <c r="B19" s="442" t="s">
        <v>18</v>
      </c>
      <c r="C19" s="442" t="s">
        <v>1034</v>
      </c>
      <c r="D19" s="442" t="s">
        <v>1032</v>
      </c>
      <c r="E19" s="464"/>
      <c r="F19" s="464"/>
      <c r="G19" s="464"/>
      <c r="H19" s="464"/>
      <c r="I19" s="464"/>
      <c r="J19" s="464"/>
      <c r="K19" s="464"/>
      <c r="L19" s="511">
        <v>0</v>
      </c>
      <c r="M19" s="511">
        <v>0</v>
      </c>
      <c r="N19" s="511">
        <v>0</v>
      </c>
      <c r="O19" s="511">
        <v>0</v>
      </c>
      <c r="P19" s="511">
        <v>320000</v>
      </c>
      <c r="Q19" s="511">
        <v>0</v>
      </c>
      <c r="R19" s="511">
        <v>0</v>
      </c>
      <c r="S19" s="511">
        <v>500000</v>
      </c>
      <c r="T19" s="492">
        <v>500000</v>
      </c>
      <c r="U19" s="492">
        <v>0</v>
      </c>
      <c r="V19" s="492">
        <v>0</v>
      </c>
      <c r="W19" s="492">
        <v>0</v>
      </c>
      <c r="X19" s="464"/>
      <c r="Y19" s="454"/>
      <c r="Z19" s="454"/>
      <c r="AA19" s="430"/>
      <c r="AB19" s="430"/>
      <c r="AC19" s="430"/>
      <c r="AD19" s="430"/>
      <c r="AE19" s="430"/>
      <c r="AF19" s="430"/>
      <c r="AG19" s="430"/>
      <c r="AH19" s="430"/>
      <c r="AI19" s="430"/>
      <c r="AJ19" s="430"/>
      <c r="AK19" s="430"/>
      <c r="AL19" s="430"/>
      <c r="AM19" s="430"/>
      <c r="AN19" s="430"/>
      <c r="AO19" s="430"/>
      <c r="AP19" s="430"/>
      <c r="AQ19" s="430"/>
      <c r="AR19" s="430"/>
      <c r="AS19" s="430"/>
      <c r="AT19" s="430"/>
      <c r="AU19" s="430"/>
      <c r="AV19" s="430"/>
      <c r="AW19" s="430"/>
      <c r="AX19" s="430"/>
      <c r="AY19" s="430"/>
      <c r="AZ19" s="430"/>
      <c r="BA19" s="430"/>
      <c r="BB19" s="430"/>
      <c r="BC19" s="430"/>
      <c r="BD19" s="430"/>
      <c r="BE19" s="430"/>
      <c r="BF19" s="430"/>
      <c r="BG19" s="430"/>
      <c r="BH19" s="430"/>
      <c r="BI19" s="430"/>
      <c r="BJ19" s="430"/>
      <c r="BK19" s="430"/>
    </row>
    <row r="20" spans="1:63">
      <c r="A20" s="474" t="s">
        <v>33</v>
      </c>
      <c r="B20" s="430"/>
      <c r="C20" s="430"/>
      <c r="D20" s="430"/>
      <c r="E20" s="464"/>
      <c r="F20" s="430"/>
      <c r="G20" s="430"/>
      <c r="H20" s="430"/>
      <c r="I20" s="430"/>
      <c r="J20" s="430"/>
      <c r="K20" s="430"/>
      <c r="L20" s="464">
        <f t="shared" ref="L20:W20" si="2">SUM(L14:L19)</f>
        <v>0</v>
      </c>
      <c r="M20" s="464">
        <f t="shared" si="2"/>
        <v>0</v>
      </c>
      <c r="N20" s="464">
        <f t="shared" si="2"/>
        <v>0</v>
      </c>
      <c r="O20" s="464">
        <f t="shared" si="2"/>
        <v>10000</v>
      </c>
      <c r="P20" s="464">
        <f t="shared" si="2"/>
        <v>320000</v>
      </c>
      <c r="Q20" s="464">
        <f t="shared" si="2"/>
        <v>0</v>
      </c>
      <c r="R20" s="464">
        <f t="shared" si="2"/>
        <v>0</v>
      </c>
      <c r="S20" s="464">
        <f t="shared" si="2"/>
        <v>520000</v>
      </c>
      <c r="T20" s="464">
        <f t="shared" si="2"/>
        <v>520000</v>
      </c>
      <c r="U20" s="464">
        <f t="shared" si="2"/>
        <v>20000</v>
      </c>
      <c r="V20" s="464">
        <f t="shared" si="2"/>
        <v>20000</v>
      </c>
      <c r="W20" s="464">
        <f t="shared" si="2"/>
        <v>20000</v>
      </c>
      <c r="X20" s="464"/>
      <c r="Y20" s="454"/>
      <c r="Z20" s="454"/>
      <c r="AA20" s="430"/>
      <c r="AB20" s="430"/>
      <c r="AC20" s="430"/>
      <c r="AD20" s="430"/>
      <c r="AE20" s="430"/>
      <c r="AF20" s="430"/>
      <c r="AG20" s="430"/>
      <c r="AH20" s="430"/>
      <c r="AI20" s="430"/>
      <c r="AJ20" s="430"/>
      <c r="AK20" s="430"/>
      <c r="AL20" s="430"/>
      <c r="AM20" s="430"/>
      <c r="AN20" s="430"/>
      <c r="AO20" s="430"/>
      <c r="AP20" s="430"/>
      <c r="AQ20" s="430"/>
      <c r="AR20" s="430"/>
      <c r="AS20" s="430"/>
      <c r="AT20" s="430"/>
      <c r="AU20" s="430"/>
      <c r="AV20" s="430"/>
      <c r="AW20" s="430"/>
      <c r="AX20" s="430"/>
      <c r="AY20" s="430"/>
      <c r="AZ20" s="430"/>
      <c r="BA20" s="430"/>
      <c r="BB20" s="430"/>
      <c r="BC20" s="430"/>
      <c r="BD20" s="430"/>
      <c r="BE20" s="430"/>
      <c r="BF20" s="430"/>
      <c r="BG20" s="430"/>
      <c r="BH20" s="430"/>
      <c r="BI20" s="430"/>
      <c r="BJ20" s="430"/>
      <c r="BK20" s="430"/>
    </row>
    <row r="21" spans="1:63">
      <c r="A21" s="528"/>
      <c r="B21" s="430"/>
      <c r="C21" s="430"/>
      <c r="D21" s="430"/>
      <c r="E21" s="464"/>
      <c r="F21" s="478"/>
      <c r="G21" s="478"/>
      <c r="H21" s="478"/>
      <c r="I21" s="478"/>
      <c r="J21" s="478"/>
      <c r="K21" s="478"/>
      <c r="L21" s="464"/>
      <c r="M21" s="464"/>
      <c r="N21" s="464"/>
      <c r="O21" s="464"/>
      <c r="P21" s="464"/>
      <c r="Q21" s="464"/>
      <c r="R21" s="464"/>
      <c r="S21" s="464"/>
      <c r="T21" s="464"/>
      <c r="U21" s="464"/>
      <c r="V21" s="464"/>
      <c r="W21" s="464"/>
      <c r="X21" s="464"/>
      <c r="Y21" s="454"/>
      <c r="Z21" s="454"/>
      <c r="AA21" s="430"/>
      <c r="AB21" s="430"/>
      <c r="AC21" s="430"/>
      <c r="AD21" s="430"/>
      <c r="AE21" s="430"/>
      <c r="AF21" s="430"/>
      <c r="AG21" s="430"/>
      <c r="AH21" s="430"/>
      <c r="AI21" s="430"/>
      <c r="AJ21" s="430"/>
      <c r="AK21" s="430"/>
      <c r="AL21" s="430"/>
      <c r="AM21" s="430"/>
      <c r="AN21" s="430"/>
      <c r="AO21" s="430"/>
      <c r="AP21" s="430"/>
      <c r="AQ21" s="430"/>
      <c r="AR21" s="430"/>
      <c r="AS21" s="430"/>
      <c r="AT21" s="430"/>
      <c r="AU21" s="430"/>
      <c r="AV21" s="430"/>
      <c r="AW21" s="430"/>
      <c r="AX21" s="430"/>
      <c r="AY21" s="430"/>
      <c r="AZ21" s="430"/>
      <c r="BA21" s="430"/>
      <c r="BB21" s="430"/>
      <c r="BC21" s="430"/>
      <c r="BD21" s="430"/>
      <c r="BE21" s="430"/>
      <c r="BF21" s="430"/>
      <c r="BG21" s="430"/>
      <c r="BH21" s="430"/>
      <c r="BI21" s="430"/>
      <c r="BJ21" s="430"/>
      <c r="BK21" s="430"/>
    </row>
    <row r="22" spans="1:63">
      <c r="A22" s="442" t="s">
        <v>33</v>
      </c>
      <c r="B22" s="430"/>
      <c r="C22" s="430"/>
      <c r="D22" s="430"/>
      <c r="E22" s="430"/>
      <c r="F22" s="464"/>
      <c r="G22" s="464"/>
      <c r="H22" s="464"/>
      <c r="I22" s="464"/>
      <c r="J22" s="464"/>
      <c r="K22" s="464"/>
      <c r="L22" s="430"/>
      <c r="M22" s="430"/>
      <c r="N22" s="430"/>
      <c r="O22" s="430"/>
      <c r="P22" s="430"/>
      <c r="Q22" s="430"/>
      <c r="R22" s="430"/>
      <c r="S22" s="430"/>
      <c r="T22" s="430"/>
      <c r="U22" s="430"/>
      <c r="V22" s="430"/>
      <c r="W22" s="430"/>
      <c r="X22" s="430"/>
      <c r="Y22" s="454"/>
      <c r="Z22" s="454"/>
      <c r="AA22" s="430"/>
      <c r="AB22" s="430"/>
      <c r="AC22" s="430"/>
      <c r="AD22" s="430"/>
      <c r="AE22" s="430"/>
      <c r="AF22" s="430"/>
      <c r="AG22" s="430"/>
      <c r="AH22" s="430"/>
      <c r="AI22" s="430"/>
      <c r="AJ22" s="430"/>
      <c r="AK22" s="430"/>
      <c r="AL22" s="430"/>
      <c r="AM22" s="430"/>
      <c r="AN22" s="430"/>
      <c r="AO22" s="430"/>
      <c r="AP22" s="430"/>
      <c r="AQ22" s="430"/>
      <c r="AR22" s="430"/>
      <c r="AS22" s="430"/>
      <c r="AT22" s="430"/>
      <c r="AU22" s="430"/>
      <c r="AV22" s="430"/>
      <c r="AW22" s="430"/>
      <c r="AX22" s="430"/>
      <c r="AY22" s="430"/>
      <c r="AZ22" s="430"/>
      <c r="BA22" s="430"/>
      <c r="BB22" s="430"/>
      <c r="BC22" s="430"/>
      <c r="BD22" s="430"/>
      <c r="BE22" s="430"/>
      <c r="BF22" s="430"/>
      <c r="BG22" s="430"/>
      <c r="BH22" s="430"/>
      <c r="BI22" s="430"/>
      <c r="BJ22" s="430"/>
      <c r="BK22" s="430"/>
    </row>
    <row r="23" spans="1:63">
      <c r="A23" s="430" t="str">
        <f t="shared" ref="A23:A28" si="3">+A6</f>
        <v>Managing Member (SK)</v>
      </c>
      <c r="B23" s="442" t="s">
        <v>34</v>
      </c>
      <c r="C23" s="442" t="s">
        <v>1035</v>
      </c>
      <c r="D23" s="442" t="s">
        <v>1022</v>
      </c>
      <c r="E23" s="501"/>
      <c r="F23" s="464"/>
      <c r="G23" s="464"/>
      <c r="H23" s="464"/>
      <c r="I23" s="464"/>
      <c r="J23" s="464"/>
      <c r="K23" s="464"/>
      <c r="L23" s="464">
        <f>L6*(1+'.c12_inputs.hr'!$E$5)+(L14*(1+'.c12_inputs.hr'!$E$6))</f>
        <v>383142.85714285716</v>
      </c>
      <c r="M23" s="464">
        <f>M6*(1+'.c12_inputs.hr'!$E$5)+(M14*(1+'.c12_inputs.hr'!$E$6))</f>
        <v>383142.85714285716</v>
      </c>
      <c r="N23" s="464">
        <f>N6*(1+'.c12_inputs.hr'!$E$5)+(N14*(1+'.c12_inputs.hr'!$E$6))</f>
        <v>383142.85714285716</v>
      </c>
      <c r="O23" s="464">
        <f>O6*(1+'.c12_inputs.hr'!$E$5)+(O14*(1+'.c12_inputs.hr'!$E$6))</f>
        <v>383142.85714285716</v>
      </c>
      <c r="P23" s="464">
        <f>P6*(1+'.c12_inputs.hr'!$E$5)+(P14*(1+'.c12_inputs.hr'!$E$6))</f>
        <v>383142.85714285716</v>
      </c>
      <c r="Q23" s="464">
        <f>Q6*(1+'.c12_inputs.hr'!$E$5)+(Q14*(1+'.c12_inputs.hr'!$E$6))</f>
        <v>383142.85714285716</v>
      </c>
      <c r="R23" s="464">
        <f>R6*(1+'.c12_inputs.hr'!$E$5)+(R14*(1+'.c12_inputs.hr'!$E$6))</f>
        <v>383142.85714285716</v>
      </c>
      <c r="S23" s="464">
        <f>S6*(1+'.c12_inputs.hr'!$E$5)+(S14*(1+'.c12_inputs.hr'!$E$6))</f>
        <v>383142.85714285716</v>
      </c>
      <c r="T23" s="464">
        <f>T6*(1+'.c12_inputs.hr'!$E$5)+(T14*(1+'.c12_inputs.hr'!$E$6))</f>
        <v>1532571.4285714286</v>
      </c>
      <c r="U23" s="464">
        <f>U6*(1+'.c12_inputs.hr'!$E$5)+(U14*(1+'.c12_inputs.hr'!$E$6))</f>
        <v>1532571.4285714286</v>
      </c>
      <c r="V23" s="464">
        <f>V6*(1+'.c12_inputs.hr'!$E$5)+(V14*(1+'.c12_inputs.hr'!$E$6))</f>
        <v>1532571.4285714286</v>
      </c>
      <c r="W23" s="464">
        <f>W6*(1+'.c12_inputs.hr'!$E$5)+(W14*(1+'.c12_inputs.hr'!$E$6))</f>
        <v>1532571.4285714286</v>
      </c>
      <c r="X23" s="464"/>
      <c r="Y23" s="454"/>
      <c r="Z23" s="454"/>
      <c r="AA23" s="430"/>
      <c r="AB23" s="430"/>
      <c r="AC23" s="430"/>
      <c r="AD23" s="430"/>
      <c r="AE23" s="430"/>
      <c r="AF23" s="430"/>
      <c r="AG23" s="430"/>
      <c r="AH23" s="430"/>
      <c r="AI23" s="430"/>
      <c r="AJ23" s="430"/>
      <c r="AK23" s="430"/>
      <c r="AL23" s="430"/>
      <c r="AM23" s="430"/>
      <c r="AN23" s="430"/>
      <c r="AO23" s="430"/>
      <c r="AP23" s="430"/>
      <c r="AQ23" s="430"/>
      <c r="AR23" s="430"/>
      <c r="AS23" s="430"/>
      <c r="AT23" s="430"/>
      <c r="AU23" s="430"/>
      <c r="AV23" s="430"/>
      <c r="AW23" s="430"/>
      <c r="AX23" s="430"/>
      <c r="AY23" s="430"/>
      <c r="AZ23" s="430"/>
      <c r="BA23" s="430"/>
      <c r="BB23" s="430"/>
      <c r="BC23" s="430"/>
      <c r="BD23" s="430"/>
      <c r="BE23" s="430"/>
      <c r="BF23" s="430"/>
      <c r="BG23" s="430"/>
      <c r="BH23" s="430"/>
      <c r="BI23" s="430"/>
      <c r="BJ23" s="430"/>
      <c r="BK23" s="430"/>
    </row>
    <row r="24" spans="1:63">
      <c r="A24" s="430" t="str">
        <f t="shared" si="3"/>
        <v>Philanropy senior exec (LM) (100%roots)</v>
      </c>
      <c r="B24" s="442" t="s">
        <v>34</v>
      </c>
      <c r="C24" s="442" t="s">
        <v>1035</v>
      </c>
      <c r="D24" s="442" t="s">
        <v>1024</v>
      </c>
      <c r="E24" s="501"/>
      <c r="F24" s="464"/>
      <c r="G24" s="464"/>
      <c r="H24" s="464"/>
      <c r="I24" s="464"/>
      <c r="J24" s="464"/>
      <c r="K24" s="464"/>
      <c r="L24" s="464">
        <f>L7*(1+'.c12_inputs.hr'!$E$5)+(L15*(1+'.c12_inputs.hr'!$E$6))</f>
        <v>0</v>
      </c>
      <c r="M24" s="464">
        <f>M7*(1+'.c12_inputs.hr'!$E$5)+(M15*(1+'.c12_inputs.hr'!$E$6))</f>
        <v>0</v>
      </c>
      <c r="N24" s="464">
        <f>N7*(1+'.c12_inputs.hr'!$E$5)+(N15*(1+'.c12_inputs.hr'!$E$6))</f>
        <v>0</v>
      </c>
      <c r="O24" s="464">
        <f>O7*(1+'.c12_inputs.hr'!$E$5)+(O15*(1+'.c12_inputs.hr'!$E$6))</f>
        <v>0</v>
      </c>
      <c r="P24" s="464">
        <f>P7*(1+'.c12_inputs.hr'!$E$5)+(P15*(1+'.c12_inputs.hr'!$E$6))</f>
        <v>0</v>
      </c>
      <c r="Q24" s="464">
        <f>Q7*(1+'.c12_inputs.hr'!$E$5)+(Q15*(1+'.c12_inputs.hr'!$E$6))</f>
        <v>0</v>
      </c>
      <c r="R24" s="464">
        <f>R7*(1+'.c12_inputs.hr'!$E$5)+(R15*(1+'.c12_inputs.hr'!$E$6))</f>
        <v>0</v>
      </c>
      <c r="S24" s="464">
        <f>S7*(1+'.c12_inputs.hr'!$E$5)+(S15*(1+'.c12_inputs.hr'!$E$6))</f>
        <v>0</v>
      </c>
      <c r="T24" s="464">
        <f>T7*(1+'.c12_inputs.hr'!$E$5)+(T15*(1+'.c12_inputs.hr'!$E$6))</f>
        <v>0</v>
      </c>
      <c r="U24" s="464">
        <f>U7*(1+'.c12_inputs.hr'!$E$5)+(U15*(1+'.c12_inputs.hr'!$E$6))</f>
        <v>0</v>
      </c>
      <c r="V24" s="464">
        <f>V7*(1+'.c12_inputs.hr'!$E$5)+(V15*(1+'.c12_inputs.hr'!$E$6))</f>
        <v>0</v>
      </c>
      <c r="W24" s="464">
        <f>W7*(1+'.c12_inputs.hr'!$E$5)+(W15*(1+'.c12_inputs.hr'!$E$6))</f>
        <v>0</v>
      </c>
      <c r="X24" s="464"/>
      <c r="Y24" s="454"/>
      <c r="Z24" s="454"/>
      <c r="AA24" s="430"/>
      <c r="AB24" s="430"/>
      <c r="AC24" s="430"/>
      <c r="AD24" s="430"/>
      <c r="AE24" s="430"/>
      <c r="AF24" s="430"/>
      <c r="AG24" s="430"/>
      <c r="AH24" s="430"/>
      <c r="AI24" s="430"/>
      <c r="AJ24" s="430"/>
      <c r="AK24" s="430"/>
      <c r="AL24" s="430"/>
      <c r="AM24" s="430"/>
      <c r="AN24" s="430"/>
      <c r="AO24" s="430"/>
      <c r="AP24" s="430"/>
      <c r="AQ24" s="430"/>
      <c r="AR24" s="430"/>
      <c r="AS24" s="430"/>
      <c r="AT24" s="430"/>
      <c r="AU24" s="430"/>
      <c r="AV24" s="430"/>
      <c r="AW24" s="430"/>
      <c r="AX24" s="430"/>
      <c r="AY24" s="430"/>
      <c r="AZ24" s="430"/>
      <c r="BA24" s="430"/>
      <c r="BB24" s="430"/>
      <c r="BC24" s="430"/>
      <c r="BD24" s="430"/>
      <c r="BE24" s="430"/>
      <c r="BF24" s="430"/>
      <c r="BG24" s="430"/>
      <c r="BH24" s="430"/>
      <c r="BI24" s="430"/>
      <c r="BJ24" s="430"/>
      <c r="BK24" s="430"/>
    </row>
    <row r="25" spans="1:63">
      <c r="A25" s="430" t="str">
        <f t="shared" si="3"/>
        <v>Bookkeeper (DD)</v>
      </c>
      <c r="B25" s="442" t="s">
        <v>34</v>
      </c>
      <c r="C25" s="442" t="s">
        <v>1035</v>
      </c>
      <c r="D25" s="442" t="s">
        <v>1026</v>
      </c>
      <c r="E25" s="501"/>
      <c r="F25" s="464"/>
      <c r="G25" s="464"/>
      <c r="H25" s="464"/>
      <c r="I25" s="464"/>
      <c r="J25" s="464"/>
      <c r="K25" s="464"/>
      <c r="L25" s="464">
        <f>L8*(1+'.c12_inputs.hr'!$E$5)+(L16*(1+'.c12_inputs.hr'!$E$6))</f>
        <v>0</v>
      </c>
      <c r="M25" s="464">
        <f>M8*(1+'.c12_inputs.hr'!$E$5)+(M16*(1+'.c12_inputs.hr'!$E$6))</f>
        <v>0</v>
      </c>
      <c r="N25" s="464">
        <f>N8*(1+'.c12_inputs.hr'!$E$5)+(N16*(1+'.c12_inputs.hr'!$E$6))</f>
        <v>0</v>
      </c>
      <c r="O25" s="464">
        <f>O8*(1+'.c12_inputs.hr'!$E$5)+(O16*(1+'.c12_inputs.hr'!$E$6))</f>
        <v>10390</v>
      </c>
      <c r="P25" s="464">
        <f>P8*(1+'.c12_inputs.hr'!$E$5)+(P16*(1+'.c12_inputs.hr'!$E$6))</f>
        <v>26309.142857142859</v>
      </c>
      <c r="Q25" s="464">
        <f>Q8*(1+'.c12_inputs.hr'!$E$5)+(Q16*(1+'.c12_inputs.hr'!$E$6))</f>
        <v>26309.142857142859</v>
      </c>
      <c r="R25" s="464">
        <f>R8*(1+'.c12_inputs.hr'!$E$5)+(R16*(1+'.c12_inputs.hr'!$E$6))</f>
        <v>26309.142857142859</v>
      </c>
      <c r="S25" s="464">
        <f>S8*(1+'.c12_inputs.hr'!$E$5)+(S16*(1+'.c12_inputs.hr'!$E$6))</f>
        <v>31504.142857142859</v>
      </c>
      <c r="T25" s="464">
        <f>T8*(1+'.c12_inputs.hr'!$E$5)+(T16*(1+'.c12_inputs.hr'!$E$6))</f>
        <v>110431.57142857143</v>
      </c>
      <c r="U25" s="464">
        <f>U8*(1+'.c12_inputs.hr'!$E$5)+(U16*(1+'.c12_inputs.hr'!$E$6))</f>
        <v>110431.57142857143</v>
      </c>
      <c r="V25" s="464">
        <f>V8*(1+'.c12_inputs.hr'!$E$5)+(V16*(1+'.c12_inputs.hr'!$E$6))</f>
        <v>110431.57142857143</v>
      </c>
      <c r="W25" s="464">
        <f>W8*(1+'.c12_inputs.hr'!$E$5)+(W16*(1+'.c12_inputs.hr'!$E$6))</f>
        <v>110431.57142857143</v>
      </c>
      <c r="X25" s="464"/>
      <c r="Y25" s="454"/>
      <c r="Z25" s="430"/>
      <c r="AA25" s="430"/>
      <c r="AB25" s="430"/>
      <c r="AC25" s="430"/>
      <c r="AD25" s="430"/>
      <c r="AE25" s="430"/>
      <c r="AF25" s="430"/>
      <c r="AG25" s="430"/>
      <c r="AH25" s="430"/>
      <c r="AI25" s="430"/>
      <c r="AJ25" s="430"/>
      <c r="AK25" s="430"/>
      <c r="AL25" s="430"/>
      <c r="AM25" s="430"/>
      <c r="AN25" s="430"/>
      <c r="AO25" s="430"/>
      <c r="AP25" s="430"/>
      <c r="AQ25" s="430"/>
      <c r="AR25" s="430"/>
      <c r="AS25" s="430"/>
      <c r="AT25" s="430"/>
      <c r="AU25" s="430"/>
      <c r="AV25" s="430"/>
      <c r="AW25" s="430"/>
      <c r="AX25" s="430"/>
      <c r="AY25" s="430"/>
      <c r="AZ25" s="430"/>
      <c r="BA25" s="430"/>
      <c r="BB25" s="430"/>
      <c r="BC25" s="430"/>
      <c r="BD25" s="430"/>
      <c r="BE25" s="430"/>
      <c r="BF25" s="430"/>
      <c r="BG25" s="430"/>
      <c r="BH25" s="430"/>
      <c r="BI25" s="430"/>
      <c r="BJ25" s="430"/>
      <c r="BK25" s="430"/>
    </row>
    <row r="26" spans="1:63">
      <c r="A26" s="430" t="str">
        <f t="shared" si="3"/>
        <v>Personal Assistant (CD)</v>
      </c>
      <c r="B26" s="442" t="s">
        <v>34</v>
      </c>
      <c r="C26" s="442" t="s">
        <v>1035</v>
      </c>
      <c r="D26" s="442" t="s">
        <v>1028</v>
      </c>
      <c r="E26" s="501"/>
      <c r="F26" s="464"/>
      <c r="G26" s="464"/>
      <c r="H26" s="464"/>
      <c r="I26" s="464"/>
      <c r="J26" s="464"/>
      <c r="K26" s="464"/>
      <c r="L26" s="464">
        <f>L9*(1+'.c12_inputs.hr'!$E$5)+(L17*(1+'.c12_inputs.hr'!$E$6))</f>
        <v>31928.571428571431</v>
      </c>
      <c r="M26" s="464">
        <f>M9*(1+'.c12_inputs.hr'!$E$5)+(M17*(1+'.c12_inputs.hr'!$E$6))</f>
        <v>31928.571428571431</v>
      </c>
      <c r="N26" s="464">
        <f>N9*(1+'.c12_inputs.hr'!$E$5)+(N17*(1+'.c12_inputs.hr'!$E$6))</f>
        <v>31928.571428571431</v>
      </c>
      <c r="O26" s="464">
        <f>O9*(1+'.c12_inputs.hr'!$E$5)+(O17*(1+'.c12_inputs.hr'!$E$6))</f>
        <v>31928.571428571431</v>
      </c>
      <c r="P26" s="464">
        <f>P9*(1+'.c12_inputs.hr'!$E$5)+(P17*(1+'.c12_inputs.hr'!$E$6))</f>
        <v>31928.571428571431</v>
      </c>
      <c r="Q26" s="464">
        <f>Q9*(1+'.c12_inputs.hr'!$E$5)+(Q17*(1+'.c12_inputs.hr'!$E$6))</f>
        <v>31928.571428571431</v>
      </c>
      <c r="R26" s="464">
        <f>R9*(1+'.c12_inputs.hr'!$E$5)+(R17*(1+'.c12_inputs.hr'!$E$6))</f>
        <v>31928.571428571431</v>
      </c>
      <c r="S26" s="464">
        <f>S9*(1+'.c12_inputs.hr'!$E$5)+(S17*(1+'.c12_inputs.hr'!$E$6))</f>
        <v>47513.571428571428</v>
      </c>
      <c r="T26" s="464">
        <f>T9*(1+'.c12_inputs.hr'!$E$5)+(T17*(1+'.c12_inputs.hr'!$E$6))</f>
        <v>143299.28571428571</v>
      </c>
      <c r="U26" s="464">
        <f>U9*(1+'.c12_inputs.hr'!$E$5)+(U17*(1+'.c12_inputs.hr'!$E$6))</f>
        <v>143299.28571428571</v>
      </c>
      <c r="V26" s="464">
        <f>V9*(1+'.c12_inputs.hr'!$E$5)+(V17*(1+'.c12_inputs.hr'!$E$6))</f>
        <v>143299.28571428571</v>
      </c>
      <c r="W26" s="464">
        <f>W9*(1+'.c12_inputs.hr'!$E$5)+(W17*(1+'.c12_inputs.hr'!$E$6))</f>
        <v>143299.28571428571</v>
      </c>
      <c r="X26" s="464"/>
      <c r="Y26" s="454"/>
      <c r="Z26" s="430"/>
      <c r="AA26" s="430"/>
      <c r="AB26" s="430"/>
      <c r="AC26" s="430"/>
      <c r="AD26" s="430"/>
      <c r="AE26" s="430"/>
      <c r="AF26" s="430"/>
      <c r="AG26" s="430"/>
      <c r="AH26" s="430"/>
      <c r="AI26" s="478"/>
      <c r="AJ26" s="430"/>
      <c r="AK26" s="430"/>
      <c r="AL26" s="430"/>
      <c r="AM26" s="430"/>
      <c r="AN26" s="430"/>
      <c r="AO26" s="430"/>
      <c r="AP26" s="430"/>
      <c r="AQ26" s="430"/>
      <c r="AR26" s="430"/>
      <c r="AS26" s="430"/>
      <c r="AT26" s="430"/>
      <c r="AU26" s="430"/>
      <c r="AV26" s="430"/>
      <c r="AW26" s="430"/>
      <c r="AX26" s="430"/>
      <c r="AY26" s="430"/>
      <c r="AZ26" s="430"/>
      <c r="BA26" s="430"/>
      <c r="BB26" s="430"/>
      <c r="BC26" s="430"/>
      <c r="BD26" s="430"/>
      <c r="BE26" s="430"/>
      <c r="BF26" s="430"/>
      <c r="BG26" s="430"/>
      <c r="BH26" s="430"/>
      <c r="BI26" s="430"/>
      <c r="BJ26" s="430"/>
      <c r="BK26" s="430"/>
    </row>
    <row r="27" spans="1:63">
      <c r="A27" s="430" t="str">
        <f t="shared" si="3"/>
        <v>philanthropy assist (100%roots)</v>
      </c>
      <c r="B27" s="442" t="s">
        <v>34</v>
      </c>
      <c r="C27" s="442" t="s">
        <v>1035</v>
      </c>
      <c r="D27" s="442" t="s">
        <v>1030</v>
      </c>
      <c r="E27" s="501"/>
      <c r="F27" s="464"/>
      <c r="G27" s="464"/>
      <c r="H27" s="464"/>
      <c r="I27" s="464"/>
      <c r="J27" s="464"/>
      <c r="K27" s="464"/>
      <c r="L27" s="464">
        <f>L10*(1+'.c12_inputs.hr'!$E$5)+(L18*(1+'.c12_inputs.hr'!$E$6))</f>
        <v>0</v>
      </c>
      <c r="M27" s="464">
        <f>M10*(1+'.c12_inputs.hr'!$E$5)+(M18*(1+'.c12_inputs.hr'!$E$6))</f>
        <v>0</v>
      </c>
      <c r="N27" s="464">
        <f>N10*(1+'.c12_inputs.hr'!$E$5)+(N18*(1+'.c12_inputs.hr'!$E$6))</f>
        <v>0</v>
      </c>
      <c r="O27" s="464">
        <f>O10*(1+'.c12_inputs.hr'!$E$5)+(O18*(1+'.c12_inputs.hr'!$E$6))</f>
        <v>0</v>
      </c>
      <c r="P27" s="464">
        <f>P10*(1+'.c12_inputs.hr'!$E$5)+(P18*(1+'.c12_inputs.hr'!$E$6))</f>
        <v>0</v>
      </c>
      <c r="Q27" s="464">
        <f>Q10*(1+'.c12_inputs.hr'!$E$5)+(Q18*(1+'.c12_inputs.hr'!$E$6))</f>
        <v>0</v>
      </c>
      <c r="R27" s="464">
        <f>R10*(1+'.c12_inputs.hr'!$E$5)+(R18*(1+'.c12_inputs.hr'!$E$6))</f>
        <v>0</v>
      </c>
      <c r="S27" s="464">
        <f>S10*(1+'.c12_inputs.hr'!$E$5)+(S18*(1+'.c12_inputs.hr'!$E$6))</f>
        <v>0</v>
      </c>
      <c r="T27" s="464">
        <f>T10*(1+'.c12_inputs.hr'!$E$5)+(T18*(1+'.c12_inputs.hr'!$E$6))</f>
        <v>0</v>
      </c>
      <c r="U27" s="464">
        <f>U10*(1+'.c12_inputs.hr'!$E$5)+(U18*(1+'.c12_inputs.hr'!$E$6))</f>
        <v>0</v>
      </c>
      <c r="V27" s="464">
        <f>V10*(1+'.c12_inputs.hr'!$E$5)+(V18*(1+'.c12_inputs.hr'!$E$6))</f>
        <v>0</v>
      </c>
      <c r="W27" s="464">
        <f>W10*(1+'.c12_inputs.hr'!$E$5)+(W18*(1+'.c12_inputs.hr'!$E$6))</f>
        <v>0</v>
      </c>
      <c r="X27" s="464"/>
      <c r="Y27" s="454"/>
      <c r="Z27" s="430"/>
      <c r="AA27" s="430"/>
      <c r="AB27" s="430"/>
      <c r="AC27" s="430"/>
      <c r="AD27" s="430"/>
      <c r="AE27" s="430"/>
      <c r="AF27" s="430"/>
      <c r="AG27" s="430"/>
      <c r="AH27" s="430"/>
      <c r="AI27" s="478"/>
      <c r="AJ27" s="430"/>
      <c r="AK27" s="430"/>
      <c r="AL27" s="430"/>
      <c r="AM27" s="430"/>
      <c r="AN27" s="430"/>
      <c r="AO27" s="430"/>
      <c r="AP27" s="430"/>
      <c r="AQ27" s="430"/>
      <c r="AR27" s="430"/>
      <c r="AS27" s="430"/>
      <c r="AT27" s="430"/>
      <c r="AU27" s="430"/>
      <c r="AV27" s="430"/>
      <c r="AW27" s="430"/>
      <c r="AX27" s="430"/>
      <c r="AY27" s="430"/>
      <c r="AZ27" s="430"/>
      <c r="BA27" s="430"/>
      <c r="BB27" s="430"/>
      <c r="BC27" s="430"/>
      <c r="BD27" s="430"/>
      <c r="BE27" s="430"/>
      <c r="BF27" s="430"/>
      <c r="BG27" s="430"/>
      <c r="BH27" s="430"/>
      <c r="BI27" s="430"/>
      <c r="BJ27" s="430"/>
      <c r="BK27" s="430"/>
    </row>
    <row r="28" spans="1:63">
      <c r="A28" s="430" t="str">
        <f t="shared" si="3"/>
        <v>TM (gone)</v>
      </c>
      <c r="B28" s="442" t="s">
        <v>34</v>
      </c>
      <c r="C28" s="442" t="s">
        <v>1035</v>
      </c>
      <c r="D28" s="442" t="s">
        <v>1032</v>
      </c>
      <c r="E28" s="501"/>
      <c r="F28" s="464"/>
      <c r="G28" s="464"/>
      <c r="H28" s="464"/>
      <c r="I28" s="464"/>
      <c r="J28" s="464"/>
      <c r="K28" s="464"/>
      <c r="L28" s="464">
        <f>L11*(1+'.c12_inputs.hr'!$E$5)+(L19*(1+'.c12_inputs.hr'!$E$6))</f>
        <v>89400</v>
      </c>
      <c r="M28" s="464">
        <f>M11*(1+'.c12_inputs.hr'!$E$5)+(M19*(1+'.c12_inputs.hr'!$E$6))</f>
        <v>89400</v>
      </c>
      <c r="N28" s="464">
        <f>N11*(1+'.c12_inputs.hr'!$E$5)+(N19*(1+'.c12_inputs.hr'!$E$6))</f>
        <v>89400</v>
      </c>
      <c r="O28" s="464">
        <f>O11*(1+'.c12_inputs.hr'!$E$5)+(O19*(1+'.c12_inputs.hr'!$E$6))</f>
        <v>89400</v>
      </c>
      <c r="P28" s="464">
        <f>P11*(1+'.c12_inputs.hr'!$E$5)+(P19*(1+'.c12_inputs.hr'!$E$6))</f>
        <v>421880</v>
      </c>
      <c r="Q28" s="464">
        <f>Q11*(1+'.c12_inputs.hr'!$E$5)+(Q19*(1+'.c12_inputs.hr'!$E$6))</f>
        <v>0</v>
      </c>
      <c r="R28" s="464">
        <f>R11*(1+'.c12_inputs.hr'!$E$5)+(R19*(1+'.c12_inputs.hr'!$E$6))</f>
        <v>0</v>
      </c>
      <c r="S28" s="464">
        <f>S11*(1+'.c12_inputs.hr'!$E$5)+(S19*(1+'.c12_inputs.hr'!$E$6))</f>
        <v>519499.99999999994</v>
      </c>
      <c r="T28" s="464">
        <f>T11*(1+'.c12_inputs.hr'!$E$5)+(T19*(1+'.c12_inputs.hr'!$E$6))</f>
        <v>519499.99999999994</v>
      </c>
      <c r="U28" s="464">
        <f>U11*(1+'.c12_inputs.hr'!$E$5)+(U19*(1+'.c12_inputs.hr'!$E$6))</f>
        <v>0</v>
      </c>
      <c r="V28" s="464">
        <f>V11*(1+'.c12_inputs.hr'!$E$5)+(V19*(1+'.c12_inputs.hr'!$E$6))</f>
        <v>0</v>
      </c>
      <c r="W28" s="464">
        <f>W11*(1+'.c12_inputs.hr'!$E$5)+(W19*(1+'.c12_inputs.hr'!$E$6))</f>
        <v>0</v>
      </c>
      <c r="X28" s="464"/>
      <c r="Y28" s="454"/>
      <c r="Z28" s="430"/>
      <c r="AA28" s="430"/>
      <c r="AB28" s="430"/>
      <c r="AC28" s="430"/>
      <c r="AD28" s="430"/>
      <c r="AE28" s="430"/>
      <c r="AF28" s="430"/>
      <c r="AG28" s="430"/>
      <c r="AH28" s="430"/>
      <c r="AI28" s="478"/>
      <c r="AJ28" s="430"/>
      <c r="AK28" s="430"/>
      <c r="AL28" s="430"/>
      <c r="AM28" s="430"/>
      <c r="AN28" s="430"/>
      <c r="AO28" s="430"/>
      <c r="AP28" s="430"/>
      <c r="AQ28" s="430"/>
      <c r="AR28" s="430"/>
      <c r="AS28" s="430"/>
      <c r="AT28" s="430"/>
      <c r="AU28" s="430"/>
      <c r="AV28" s="430"/>
      <c r="AW28" s="430"/>
      <c r="AX28" s="430"/>
      <c r="AY28" s="430"/>
      <c r="AZ28" s="430"/>
      <c r="BA28" s="430"/>
      <c r="BB28" s="430"/>
      <c r="BC28" s="430"/>
      <c r="BD28" s="430"/>
      <c r="BE28" s="430"/>
      <c r="BF28" s="430"/>
      <c r="BG28" s="430"/>
      <c r="BH28" s="430"/>
      <c r="BI28" s="430"/>
      <c r="BJ28" s="430"/>
      <c r="BK28" s="430"/>
    </row>
    <row r="29" spans="1:63" s="428" customFormat="1">
      <c r="A29" s="430"/>
      <c r="B29" s="430"/>
      <c r="C29" s="430"/>
      <c r="D29" s="430"/>
      <c r="E29" s="501"/>
      <c r="F29" s="464"/>
      <c r="G29" s="464"/>
      <c r="H29" s="464"/>
      <c r="I29" s="464"/>
      <c r="J29" s="464"/>
      <c r="K29" s="464"/>
      <c r="L29" s="464"/>
      <c r="M29" s="464"/>
      <c r="N29" s="464"/>
      <c r="O29" s="464"/>
      <c r="P29" s="464"/>
      <c r="Q29" s="464"/>
      <c r="R29" s="464"/>
      <c r="S29" s="464"/>
      <c r="T29" s="464"/>
      <c r="U29" s="464"/>
      <c r="V29" s="464"/>
      <c r="W29" s="464"/>
      <c r="X29" s="464"/>
      <c r="Y29" s="454"/>
      <c r="Z29" s="430"/>
      <c r="AA29" s="430"/>
      <c r="AB29" s="430"/>
      <c r="AC29" s="430"/>
      <c r="AD29" s="430"/>
      <c r="AE29" s="430"/>
      <c r="AF29" s="430"/>
      <c r="AG29" s="430"/>
      <c r="AH29" s="430"/>
      <c r="AI29" s="478"/>
      <c r="AJ29" s="430"/>
      <c r="AK29" s="430"/>
      <c r="AL29" s="430"/>
      <c r="AM29" s="430"/>
      <c r="AN29" s="430"/>
      <c r="AO29" s="430"/>
      <c r="AP29" s="430"/>
      <c r="AQ29" s="430"/>
      <c r="AR29" s="430"/>
      <c r="AS29" s="430"/>
      <c r="AT29" s="430"/>
      <c r="AU29" s="430"/>
      <c r="AV29" s="430"/>
      <c r="AW29" s="430"/>
      <c r="AX29" s="430"/>
      <c r="AY29" s="430"/>
      <c r="AZ29" s="430"/>
      <c r="BA29" s="430"/>
      <c r="BB29" s="430"/>
      <c r="BC29" s="430"/>
      <c r="BD29" s="430"/>
      <c r="BE29" s="430"/>
      <c r="BF29" s="430"/>
      <c r="BG29" s="430"/>
      <c r="BH29" s="430"/>
      <c r="BI29" s="430"/>
      <c r="BJ29" s="430"/>
      <c r="BK29" s="430"/>
    </row>
    <row r="30" spans="1:63">
      <c r="A30" s="474" t="s">
        <v>941</v>
      </c>
      <c r="B30" s="442" t="s">
        <v>34</v>
      </c>
      <c r="C30" s="442" t="s">
        <v>942</v>
      </c>
      <c r="D30" s="430"/>
      <c r="E30" s="501"/>
      <c r="F30" s="464"/>
      <c r="G30" s="464"/>
      <c r="H30" s="464"/>
      <c r="I30" s="464"/>
      <c r="J30" s="464"/>
      <c r="K30" s="464"/>
      <c r="L30" s="464">
        <f t="shared" ref="L30:W30" si="4">SUM(L23:L28)</f>
        <v>504471.42857142858</v>
      </c>
      <c r="M30" s="464">
        <f t="shared" si="4"/>
        <v>504471.42857142858</v>
      </c>
      <c r="N30" s="464">
        <f t="shared" si="4"/>
        <v>504471.42857142858</v>
      </c>
      <c r="O30" s="464">
        <f t="shared" si="4"/>
        <v>514861.42857142858</v>
      </c>
      <c r="P30" s="464">
        <f t="shared" si="4"/>
        <v>863260.57142857136</v>
      </c>
      <c r="Q30" s="464">
        <f t="shared" si="4"/>
        <v>441380.57142857142</v>
      </c>
      <c r="R30" s="464">
        <f t="shared" si="4"/>
        <v>441380.57142857142</v>
      </c>
      <c r="S30" s="464">
        <f t="shared" si="4"/>
        <v>981660.57142857136</v>
      </c>
      <c r="T30" s="464">
        <f t="shared" si="4"/>
        <v>2305802.2857142854</v>
      </c>
      <c r="U30" s="464">
        <f t="shared" si="4"/>
        <v>1786302.2857142857</v>
      </c>
      <c r="V30" s="464">
        <f t="shared" si="4"/>
        <v>1786302.2857142857</v>
      </c>
      <c r="W30" s="464">
        <f t="shared" si="4"/>
        <v>1786302.2857142857</v>
      </c>
      <c r="X30" s="464"/>
      <c r="Y30" s="454"/>
      <c r="Z30" s="430"/>
      <c r="AA30" s="430"/>
      <c r="AB30" s="430"/>
      <c r="AC30" s="430"/>
      <c r="AD30" s="430"/>
      <c r="AE30" s="430"/>
      <c r="AF30" s="430"/>
      <c r="AG30" s="430"/>
      <c r="AH30" s="430"/>
      <c r="AI30" s="478"/>
      <c r="AJ30" s="430"/>
      <c r="AK30" s="430"/>
      <c r="AL30" s="430"/>
      <c r="AM30" s="430"/>
      <c r="AN30" s="430"/>
      <c r="AO30" s="430"/>
      <c r="AP30" s="430"/>
      <c r="AQ30" s="430"/>
      <c r="AR30" s="430"/>
      <c r="AS30" s="430"/>
      <c r="AT30" s="430"/>
      <c r="AU30" s="430"/>
      <c r="AV30" s="430"/>
      <c r="AW30" s="430"/>
      <c r="AX30" s="430"/>
      <c r="AY30" s="430"/>
      <c r="AZ30" s="430"/>
      <c r="BA30" s="430"/>
      <c r="BB30" s="430"/>
      <c r="BC30" s="430"/>
      <c r="BD30" s="430"/>
      <c r="BE30" s="430"/>
      <c r="BF30" s="430"/>
      <c r="BG30" s="430"/>
      <c r="BH30" s="430"/>
      <c r="BI30" s="430"/>
      <c r="BJ30" s="430"/>
      <c r="BK30" s="430"/>
    </row>
    <row r="31" spans="1:63">
      <c r="A31" s="474" t="s">
        <v>943</v>
      </c>
      <c r="B31" s="442" t="s">
        <v>34</v>
      </c>
      <c r="C31" s="442" t="s">
        <v>944</v>
      </c>
      <c r="D31" s="430"/>
      <c r="E31" s="501"/>
      <c r="F31" s="464"/>
      <c r="G31" s="464"/>
      <c r="H31" s="464"/>
      <c r="I31" s="464"/>
      <c r="J31" s="464"/>
      <c r="K31" s="464"/>
      <c r="L31" s="501">
        <f>SUMPRODUCT('.c12_alloc'!$H$6:$H$11,L23:L28)</f>
        <v>0</v>
      </c>
      <c r="M31" s="501">
        <f>SUMPRODUCT('.c12_alloc'!$H$6:$H$11,M23:M28)</f>
        <v>0</v>
      </c>
      <c r="N31" s="501">
        <f>SUMPRODUCT('.c12_alloc'!$H$6:$H$11,N23:N28)</f>
        <v>0</v>
      </c>
      <c r="O31" s="501">
        <f>SUMPRODUCT('.c12_alloc'!$H$6:$H$11,O23:O28)</f>
        <v>0</v>
      </c>
      <c r="P31" s="501">
        <f>SUMPRODUCT('.c12_alloc'!$H$6:$H$11,P23:P28)</f>
        <v>0</v>
      </c>
      <c r="Q31" s="501">
        <f>SUMPRODUCT('.c12_alloc'!$H$6:$H$11,Q23:Q28)</f>
        <v>0</v>
      </c>
      <c r="R31" s="501">
        <f>SUMPRODUCT('.c12_alloc'!$H$6:$H$11,R23:R28)</f>
        <v>0</v>
      </c>
      <c r="S31" s="501">
        <f>SUMPRODUCT('.c12_alloc'!$H$6:$H$11,S23:S28)</f>
        <v>0</v>
      </c>
      <c r="T31" s="501">
        <f>SUMPRODUCT('.c12_alloc'!$H$6:$H$11,T23:T28)</f>
        <v>0</v>
      </c>
      <c r="U31" s="501">
        <f>SUMPRODUCT('.c12_alloc'!$H$6:$H$11,U23:U28)</f>
        <v>0</v>
      </c>
      <c r="V31" s="501">
        <f>SUMPRODUCT('.c12_alloc'!$H$6:$H$11,V23:V28)</f>
        <v>0</v>
      </c>
      <c r="W31" s="501">
        <f>SUMPRODUCT('.c12_alloc'!$H$6:$H$11,W23:W28)</f>
        <v>0</v>
      </c>
      <c r="X31" s="430"/>
      <c r="Y31" s="430"/>
      <c r="Z31" s="430"/>
      <c r="AA31" s="430"/>
      <c r="AB31" s="430"/>
      <c r="AC31" s="430"/>
      <c r="AD31" s="430"/>
      <c r="AE31" s="430"/>
      <c r="AF31" s="430"/>
      <c r="AG31" s="430"/>
      <c r="AH31" s="430"/>
      <c r="AI31" s="430"/>
      <c r="AJ31" s="430"/>
      <c r="AK31" s="430"/>
      <c r="AL31" s="430"/>
      <c r="AM31" s="430"/>
      <c r="AN31" s="430"/>
      <c r="AO31" s="430"/>
      <c r="AP31" s="430"/>
      <c r="AQ31" s="430"/>
      <c r="AR31" s="430"/>
      <c r="AS31" s="430"/>
      <c r="AT31" s="430"/>
      <c r="AU31" s="430"/>
      <c r="AV31" s="430"/>
      <c r="AW31" s="430"/>
      <c r="AX31" s="430"/>
      <c r="AY31" s="430"/>
      <c r="AZ31" s="430"/>
      <c r="BA31" s="430"/>
      <c r="BB31" s="430"/>
      <c r="BC31" s="430"/>
      <c r="BD31" s="430"/>
      <c r="BE31" s="430"/>
      <c r="BF31" s="430"/>
      <c r="BG31" s="430"/>
      <c r="BH31" s="430"/>
      <c r="BI31" s="430"/>
      <c r="BJ31" s="430"/>
      <c r="BK31" s="430"/>
    </row>
    <row r="32" spans="1:63">
      <c r="A32" s="474" t="s">
        <v>945</v>
      </c>
      <c r="B32" s="442" t="s">
        <v>14</v>
      </c>
      <c r="C32" s="442" t="s">
        <v>946</v>
      </c>
      <c r="D32" s="430"/>
      <c r="E32" s="501"/>
      <c r="F32" s="464"/>
      <c r="G32" s="464"/>
      <c r="H32" s="464"/>
      <c r="I32" s="464"/>
      <c r="J32" s="464"/>
      <c r="K32" s="464"/>
      <c r="L32" s="571">
        <f>SUMPRODUCT('.c12_alloc'!$G$6:$G$11,L23:L28)</f>
        <v>472542.85714285716</v>
      </c>
      <c r="M32" s="571">
        <f>SUMPRODUCT('.c12_alloc'!$G$6:$G$11,M23:M28)</f>
        <v>472542.85714285716</v>
      </c>
      <c r="N32" s="571">
        <f>SUMPRODUCT('.c12_alloc'!$G$6:$G$11,N23:N28)</f>
        <v>472542.85714285716</v>
      </c>
      <c r="O32" s="571">
        <f>SUMPRODUCT('.c12_alloc'!$G$6:$G$11,O23:O28)</f>
        <v>472542.85714285716</v>
      </c>
      <c r="P32" s="571">
        <f>SUMPRODUCT('.c12_alloc'!$G$6:$G$11,P23:P28)</f>
        <v>805022.85714285716</v>
      </c>
      <c r="Q32" s="571">
        <f>SUMPRODUCT('.c12_alloc'!$G$6:$G$11,Q23:Q28)</f>
        <v>383142.85714285716</v>
      </c>
      <c r="R32" s="571">
        <f>SUMPRODUCT('.c12_alloc'!$G$6:$G$11,R23:R28)</f>
        <v>383142.85714285716</v>
      </c>
      <c r="S32" s="571">
        <f>SUMPRODUCT('.c12_alloc'!$G$6:$G$11,S23:S28)</f>
        <v>902642.85714285704</v>
      </c>
      <c r="T32" s="501">
        <f>SUMPRODUCT('.c12_alloc'!$G$6:$G$11,T23:T28)</f>
        <v>2052071.4285714286</v>
      </c>
      <c r="U32" s="501">
        <f>SUMPRODUCT('.c12_alloc'!$G$6:$G$11,U23:U28)</f>
        <v>1532571.4285714286</v>
      </c>
      <c r="V32" s="501">
        <f>SUMPRODUCT('.c12_alloc'!$G$6:$G$11,V23:V28)</f>
        <v>1532571.4285714286</v>
      </c>
      <c r="W32" s="501">
        <f>SUMPRODUCT('.c12_alloc'!$G$6:$G$11,W23:W28)</f>
        <v>1532571.4285714286</v>
      </c>
      <c r="X32" s="430"/>
      <c r="Y32" s="430"/>
      <c r="Z32" s="430"/>
      <c r="AA32" s="430"/>
      <c r="AB32" s="430"/>
      <c r="AC32" s="430"/>
      <c r="AD32" s="430"/>
      <c r="AE32" s="430"/>
      <c r="AF32" s="430"/>
      <c r="AG32" s="430"/>
      <c r="AH32" s="430"/>
      <c r="AI32" s="430"/>
      <c r="AJ32" s="430"/>
      <c r="AK32" s="430"/>
      <c r="AL32" s="430"/>
      <c r="AM32" s="430"/>
      <c r="AN32" s="430"/>
      <c r="AO32" s="430"/>
      <c r="AP32" s="430"/>
      <c r="AQ32" s="430"/>
      <c r="AR32" s="430"/>
      <c r="AS32" s="430"/>
      <c r="AT32" s="430"/>
      <c r="AU32" s="430"/>
      <c r="AV32" s="430"/>
      <c r="AW32" s="430"/>
      <c r="AX32" s="430"/>
      <c r="AY32" s="430"/>
      <c r="AZ32" s="430"/>
      <c r="BA32" s="430"/>
      <c r="BB32" s="430"/>
      <c r="BC32" s="430"/>
      <c r="BD32" s="430"/>
      <c r="BE32" s="430"/>
      <c r="BF32" s="430"/>
      <c r="BG32" s="430"/>
      <c r="BH32" s="430"/>
      <c r="BI32" s="430"/>
      <c r="BJ32" s="430"/>
      <c r="BK32" s="430"/>
    </row>
    <row r="33" spans="1:63">
      <c r="A33" s="474" t="s">
        <v>947</v>
      </c>
      <c r="B33" s="442" t="s">
        <v>14</v>
      </c>
      <c r="C33" s="442" t="s">
        <v>948</v>
      </c>
      <c r="D33" s="430"/>
      <c r="E33" s="501"/>
      <c r="F33" s="473"/>
      <c r="G33" s="473"/>
      <c r="H33" s="473"/>
      <c r="I33" s="473"/>
      <c r="J33" s="473"/>
      <c r="K33" s="473"/>
      <c r="L33" s="571">
        <f>SUMPRODUCT('.c12_alloc'!$E$6:$E$11,L23:L28)</f>
        <v>31928.571428571431</v>
      </c>
      <c r="M33" s="571">
        <f>SUMPRODUCT('.c12_alloc'!$E$6:$E$11,M23:M28)</f>
        <v>31928.571428571431</v>
      </c>
      <c r="N33" s="571">
        <f>SUMPRODUCT('.c12_alloc'!$E$6:$E$11,N23:N28)</f>
        <v>31928.571428571431</v>
      </c>
      <c r="O33" s="571">
        <f>SUMPRODUCT('.c12_alloc'!$E$6:$E$11,O23:O28)</f>
        <v>42318.571428571435</v>
      </c>
      <c r="P33" s="571">
        <f>SUMPRODUCT('.c12_alloc'!$E$6:$E$11,P23:P28)</f>
        <v>58237.71428571429</v>
      </c>
      <c r="Q33" s="571">
        <f>SUMPRODUCT('.c12_alloc'!$E$6:$E$11,Q23:Q28)</f>
        <v>58237.71428571429</v>
      </c>
      <c r="R33" s="571">
        <f>SUMPRODUCT('.c12_alloc'!$E$6:$E$11,R23:R28)</f>
        <v>58237.71428571429</v>
      </c>
      <c r="S33" s="571">
        <f>SUMPRODUCT('.c12_alloc'!$E$6:$E$11,S23:S28)</f>
        <v>79017.71428571429</v>
      </c>
      <c r="T33" s="501">
        <f>SUMPRODUCT('.c12_alloc'!$E$6:$E$11,T23:T28)</f>
        <v>253730.85714285716</v>
      </c>
      <c r="U33" s="501">
        <f>SUMPRODUCT('.c12_alloc'!$E$6:$E$11,U23:U28)</f>
        <v>253730.85714285716</v>
      </c>
      <c r="V33" s="501">
        <f>SUMPRODUCT('.c12_alloc'!$E$6:$E$11,V23:V28)</f>
        <v>253730.85714285716</v>
      </c>
      <c r="W33" s="501">
        <f>SUMPRODUCT('.c12_alloc'!$E$6:$E$11,W23:W28)</f>
        <v>253730.85714285716</v>
      </c>
      <c r="X33" s="430"/>
      <c r="Y33" s="430"/>
      <c r="Z33" s="430"/>
      <c r="AA33" s="430"/>
      <c r="AB33" s="430"/>
      <c r="AC33" s="430"/>
      <c r="AD33" s="430"/>
      <c r="AE33" s="430"/>
      <c r="AF33" s="430"/>
      <c r="AG33" s="430"/>
      <c r="AH33" s="430"/>
      <c r="AI33" s="430"/>
      <c r="AJ33" s="430"/>
      <c r="AK33" s="430"/>
      <c r="AL33" s="430"/>
      <c r="AM33" s="430"/>
      <c r="AN33" s="430"/>
      <c r="AO33" s="430"/>
      <c r="AP33" s="430"/>
      <c r="AQ33" s="430"/>
      <c r="AR33" s="430"/>
      <c r="AS33" s="430"/>
      <c r="AT33" s="430"/>
      <c r="AU33" s="430"/>
      <c r="AV33" s="430"/>
      <c r="AW33" s="430"/>
      <c r="AX33" s="430"/>
      <c r="AY33" s="430"/>
      <c r="AZ33" s="430"/>
      <c r="BA33" s="430"/>
      <c r="BB33" s="430"/>
      <c r="BC33" s="430"/>
      <c r="BD33" s="430"/>
      <c r="BE33" s="430"/>
      <c r="BF33" s="430"/>
      <c r="BG33" s="430"/>
      <c r="BH33" s="430"/>
      <c r="BI33" s="430"/>
      <c r="BJ33" s="430"/>
      <c r="BK33" s="430"/>
    </row>
    <row r="34" spans="1:63">
      <c r="A34" s="430"/>
      <c r="B34" s="430"/>
      <c r="C34" s="430"/>
      <c r="D34" s="430"/>
      <c r="E34" s="430"/>
      <c r="F34" s="464"/>
      <c r="G34" s="464"/>
      <c r="H34" s="464"/>
      <c r="I34" s="464"/>
      <c r="J34" s="464"/>
      <c r="K34" s="464"/>
      <c r="L34" s="430"/>
      <c r="M34" s="430"/>
      <c r="N34" s="430"/>
      <c r="O34" s="430"/>
      <c r="P34" s="430"/>
      <c r="Q34" s="430"/>
      <c r="R34" s="430"/>
      <c r="S34" s="430"/>
      <c r="T34" s="430"/>
      <c r="U34" s="430"/>
      <c r="V34" s="430"/>
      <c r="W34" s="430"/>
      <c r="X34" s="430"/>
      <c r="Y34" s="454"/>
      <c r="Z34" s="430"/>
      <c r="AA34" s="430"/>
      <c r="AB34" s="430"/>
      <c r="AC34" s="430"/>
      <c r="AD34" s="430"/>
      <c r="AE34" s="430"/>
      <c r="AF34" s="430"/>
      <c r="AG34" s="430"/>
      <c r="AH34" s="430"/>
      <c r="AI34" s="430"/>
      <c r="AJ34" s="430"/>
      <c r="AK34" s="430"/>
      <c r="AL34" s="430"/>
      <c r="AM34" s="430"/>
      <c r="AN34" s="430"/>
      <c r="AO34" s="430"/>
      <c r="AP34" s="430"/>
      <c r="AQ34" s="484"/>
      <c r="AR34" s="430"/>
      <c r="AS34" s="430"/>
      <c r="AT34" s="484"/>
      <c r="AU34" s="484"/>
      <c r="AV34" s="430"/>
      <c r="AW34" s="430"/>
      <c r="AX34" s="430"/>
      <c r="AY34" s="430"/>
      <c r="AZ34" s="430"/>
      <c r="BA34" s="430"/>
      <c r="BB34" s="430"/>
      <c r="BC34" s="430"/>
      <c r="BD34" s="430"/>
      <c r="BE34" s="430"/>
      <c r="BF34" s="430"/>
      <c r="BG34" s="430"/>
      <c r="BH34" s="430"/>
      <c r="BI34" s="430"/>
      <c r="BJ34" s="430"/>
      <c r="BK34" s="430"/>
    </row>
    <row r="35" spans="1:63">
      <c r="A35" s="430"/>
      <c r="B35" s="430"/>
      <c r="C35" s="430"/>
      <c r="D35" s="430"/>
      <c r="E35" s="430"/>
      <c r="F35" s="430"/>
      <c r="G35" s="430"/>
      <c r="H35" s="430"/>
      <c r="I35" s="430"/>
      <c r="J35" s="430"/>
      <c r="K35" s="430"/>
      <c r="L35" s="430"/>
      <c r="M35" s="430"/>
      <c r="N35" s="430"/>
      <c r="O35" s="430"/>
      <c r="P35" s="430"/>
      <c r="Q35" s="430"/>
      <c r="R35" s="430"/>
      <c r="S35" s="430"/>
      <c r="T35" s="430"/>
      <c r="U35" s="430"/>
      <c r="V35" s="430"/>
      <c r="W35" s="430"/>
      <c r="X35" s="430"/>
      <c r="Y35" s="430"/>
      <c r="Z35" s="430"/>
      <c r="AA35" s="430"/>
      <c r="AB35" s="430"/>
      <c r="AC35" s="454"/>
      <c r="AD35" s="430"/>
      <c r="AE35" s="430"/>
      <c r="AF35" s="430"/>
      <c r="AG35" s="430"/>
      <c r="AH35" s="430"/>
      <c r="AI35" s="430"/>
      <c r="AJ35" s="430"/>
      <c r="AK35" s="430"/>
      <c r="AL35" s="430"/>
      <c r="AM35" s="430"/>
      <c r="AN35" s="430"/>
      <c r="AO35" s="430"/>
      <c r="AP35" s="430"/>
      <c r="AQ35" s="430"/>
      <c r="AR35" s="430"/>
      <c r="AS35" s="430"/>
      <c r="AT35" s="430"/>
      <c r="AU35" s="430"/>
      <c r="AV35" s="430"/>
      <c r="AW35" s="430"/>
      <c r="AX35" s="430"/>
      <c r="AY35" s="430"/>
      <c r="AZ35" s="430"/>
      <c r="BA35" s="430"/>
      <c r="BB35" s="430"/>
      <c r="BC35" s="430"/>
      <c r="BD35" s="430"/>
      <c r="BE35" s="430"/>
      <c r="BF35" s="430"/>
      <c r="BG35" s="430"/>
      <c r="BH35" s="430"/>
      <c r="BI35" s="430"/>
      <c r="BJ35" s="430"/>
      <c r="BK35" s="430"/>
    </row>
    <row r="36" spans="1:63">
      <c r="A36" s="430"/>
      <c r="B36" s="430"/>
      <c r="C36" s="430"/>
      <c r="D36" s="430"/>
      <c r="E36" s="430"/>
      <c r="F36" s="490"/>
      <c r="G36" s="490"/>
      <c r="H36" s="490"/>
      <c r="I36" s="490"/>
      <c r="J36" s="490"/>
      <c r="K36" s="490"/>
      <c r="L36" s="430"/>
      <c r="M36" s="430"/>
      <c r="N36" s="430"/>
      <c r="O36" s="430"/>
      <c r="P36" s="430"/>
      <c r="Q36" s="430"/>
      <c r="R36" s="430"/>
      <c r="S36" s="430"/>
      <c r="T36" s="430"/>
      <c r="U36" s="430"/>
      <c r="V36" s="430"/>
      <c r="W36" s="430"/>
      <c r="X36" s="430"/>
      <c r="Y36" s="430"/>
      <c r="Z36" s="430"/>
      <c r="AA36" s="430"/>
      <c r="AB36" s="430"/>
      <c r="AC36" s="430"/>
      <c r="AD36" s="430"/>
      <c r="AE36" s="430"/>
      <c r="AF36" s="430"/>
      <c r="AG36" s="430"/>
      <c r="AH36" s="430"/>
      <c r="AI36" s="430"/>
      <c r="AJ36" s="430"/>
      <c r="AK36" s="430"/>
      <c r="AL36" s="430"/>
      <c r="AM36" s="430"/>
      <c r="AN36" s="430"/>
      <c r="AO36" s="430"/>
      <c r="AP36" s="430"/>
      <c r="AQ36" s="430"/>
      <c r="AR36" s="430"/>
      <c r="AS36" s="430"/>
      <c r="AT36" s="430"/>
      <c r="AU36" s="430"/>
      <c r="AV36" s="430"/>
      <c r="AW36" s="430"/>
      <c r="AX36" s="430"/>
      <c r="AY36" s="430"/>
      <c r="AZ36" s="430"/>
      <c r="BA36" s="430"/>
      <c r="BB36" s="430"/>
      <c r="BC36" s="430"/>
      <c r="BD36" s="430"/>
      <c r="BE36" s="430"/>
      <c r="BF36" s="430"/>
      <c r="BG36" s="430"/>
      <c r="BH36" s="430"/>
      <c r="BI36" s="430"/>
      <c r="BJ36" s="430"/>
      <c r="BK36" s="430"/>
    </row>
    <row r="37" spans="1:63">
      <c r="A37" s="430"/>
      <c r="B37" s="430"/>
      <c r="C37" s="430"/>
      <c r="D37" s="430"/>
      <c r="E37" s="430"/>
      <c r="F37" s="490"/>
      <c r="G37" s="490"/>
      <c r="H37" s="490"/>
      <c r="I37" s="490"/>
      <c r="J37" s="490"/>
      <c r="K37" s="490"/>
      <c r="L37" s="430"/>
      <c r="M37" s="430"/>
      <c r="N37" s="430"/>
      <c r="O37" s="430"/>
      <c r="P37" s="430"/>
      <c r="Q37" s="430"/>
      <c r="R37" s="430"/>
      <c r="S37" s="430"/>
      <c r="T37" s="430"/>
      <c r="U37" s="430"/>
      <c r="V37" s="430"/>
      <c r="W37" s="430"/>
      <c r="X37" s="430"/>
      <c r="Y37" s="430"/>
      <c r="Z37" s="430"/>
      <c r="AA37" s="430"/>
      <c r="AB37" s="430"/>
      <c r="AC37" s="430"/>
      <c r="AD37" s="430"/>
      <c r="AE37" s="430"/>
      <c r="AF37" s="430"/>
      <c r="AG37" s="430"/>
      <c r="AH37" s="430"/>
      <c r="AI37" s="430"/>
      <c r="AJ37" s="430"/>
      <c r="AK37" s="430"/>
      <c r="AL37" s="430"/>
      <c r="AM37" s="430"/>
      <c r="AN37" s="430"/>
      <c r="AO37" s="430"/>
      <c r="AP37" s="430"/>
      <c r="AQ37" s="430"/>
      <c r="AR37" s="430"/>
      <c r="AS37" s="430"/>
      <c r="AT37" s="430"/>
      <c r="AU37" s="430"/>
      <c r="AV37" s="430"/>
      <c r="AW37" s="430"/>
      <c r="AX37" s="430"/>
      <c r="AY37" s="430"/>
      <c r="AZ37" s="430"/>
      <c r="BA37" s="430"/>
      <c r="BB37" s="430"/>
      <c r="BC37" s="430"/>
      <c r="BD37" s="430"/>
      <c r="BE37" s="430"/>
      <c r="BF37" s="430"/>
      <c r="BG37" s="430"/>
      <c r="BH37" s="430"/>
      <c r="BI37" s="430"/>
      <c r="BJ37" s="430"/>
      <c r="BK37" s="430"/>
    </row>
    <row r="38" spans="1:63">
      <c r="A38" s="430"/>
      <c r="B38" s="430"/>
      <c r="C38" s="430"/>
      <c r="D38" s="430"/>
      <c r="E38" s="430"/>
      <c r="F38" s="490"/>
      <c r="G38" s="490"/>
      <c r="H38" s="490"/>
      <c r="I38" s="490"/>
      <c r="J38" s="490"/>
      <c r="K38" s="490"/>
      <c r="L38" s="430"/>
      <c r="M38" s="430"/>
      <c r="N38" s="430"/>
      <c r="O38" s="430"/>
      <c r="P38" s="430"/>
      <c r="Q38" s="430"/>
      <c r="R38" s="430"/>
      <c r="S38" s="430"/>
      <c r="T38" s="430"/>
      <c r="U38" s="430"/>
      <c r="V38" s="430"/>
      <c r="W38" s="430"/>
      <c r="X38" s="430"/>
      <c r="Y38" s="430"/>
      <c r="Z38" s="430"/>
      <c r="AA38" s="430"/>
      <c r="AB38" s="430"/>
      <c r="AC38" s="430"/>
      <c r="AD38" s="430"/>
      <c r="AE38" s="430"/>
      <c r="AF38" s="430"/>
      <c r="AG38" s="430"/>
      <c r="AH38" s="430"/>
      <c r="AI38" s="430"/>
      <c r="AJ38" s="430"/>
      <c r="AK38" s="430"/>
      <c r="AL38" s="430"/>
      <c r="AM38" s="430"/>
      <c r="AN38" s="430"/>
      <c r="AO38" s="430"/>
      <c r="AP38" s="430"/>
      <c r="AQ38" s="430"/>
      <c r="AR38" s="430"/>
      <c r="AS38" s="430"/>
      <c r="AT38" s="430"/>
      <c r="AU38" s="430"/>
      <c r="AV38" s="430"/>
      <c r="AW38" s="430"/>
      <c r="AX38" s="430"/>
      <c r="AY38" s="430"/>
      <c r="AZ38" s="430"/>
      <c r="BA38" s="430"/>
      <c r="BB38" s="430"/>
      <c r="BC38" s="430"/>
      <c r="BD38" s="430"/>
      <c r="BE38" s="430"/>
      <c r="BF38" s="430"/>
      <c r="BG38" s="430"/>
      <c r="BH38" s="430"/>
      <c r="BI38" s="430"/>
      <c r="BJ38" s="430"/>
      <c r="BK38" s="430"/>
    </row>
    <row r="39" spans="1:63">
      <c r="A39" s="430"/>
      <c r="B39" s="430"/>
      <c r="C39" s="430"/>
      <c r="D39" s="430"/>
      <c r="E39" s="430"/>
      <c r="F39" s="490"/>
      <c r="G39" s="490"/>
      <c r="H39" s="490"/>
      <c r="I39" s="490"/>
      <c r="J39" s="490"/>
      <c r="K39" s="490"/>
      <c r="L39" s="430"/>
      <c r="M39" s="430"/>
      <c r="N39" s="430"/>
      <c r="O39" s="430"/>
      <c r="P39" s="430"/>
      <c r="Q39" s="430"/>
      <c r="R39" s="430"/>
      <c r="S39" s="430"/>
      <c r="T39" s="430"/>
      <c r="U39" s="430"/>
      <c r="V39" s="430"/>
      <c r="W39" s="430"/>
      <c r="X39" s="430"/>
      <c r="Y39" s="430"/>
      <c r="Z39" s="430"/>
      <c r="AA39" s="430"/>
      <c r="AB39" s="430"/>
      <c r="AC39" s="430"/>
      <c r="AD39" s="430"/>
      <c r="AE39" s="430"/>
      <c r="AF39" s="430"/>
      <c r="AG39" s="430"/>
      <c r="AH39" s="430"/>
      <c r="AI39" s="430"/>
      <c r="AJ39" s="430"/>
      <c r="AK39" s="430"/>
      <c r="AL39" s="430"/>
      <c r="AM39" s="430"/>
      <c r="AN39" s="430"/>
      <c r="AO39" s="430"/>
      <c r="AP39" s="430"/>
      <c r="AQ39" s="430"/>
      <c r="AR39" s="430"/>
      <c r="AS39" s="430"/>
      <c r="AT39" s="430"/>
      <c r="AU39" s="430"/>
      <c r="AV39" s="430"/>
      <c r="AW39" s="430"/>
      <c r="AX39" s="430"/>
      <c r="AY39" s="430"/>
      <c r="AZ39" s="430"/>
      <c r="BA39" s="430"/>
      <c r="BB39" s="430"/>
      <c r="BC39" s="430"/>
      <c r="BD39" s="430"/>
      <c r="BE39" s="430"/>
      <c r="BF39" s="430"/>
      <c r="BG39" s="430"/>
      <c r="BH39" s="430"/>
      <c r="BI39" s="430"/>
      <c r="BJ39" s="430"/>
      <c r="BK39" s="430"/>
    </row>
    <row r="40" spans="1:63">
      <c r="A40" s="430"/>
      <c r="B40" s="430"/>
      <c r="C40" s="430"/>
      <c r="D40" s="430"/>
      <c r="E40" s="430"/>
      <c r="F40" s="464"/>
      <c r="G40" s="464"/>
      <c r="H40" s="464"/>
      <c r="I40" s="464"/>
      <c r="J40" s="464"/>
      <c r="K40" s="464"/>
      <c r="L40" s="430"/>
      <c r="M40" s="430"/>
      <c r="N40" s="430"/>
      <c r="O40" s="430"/>
      <c r="P40" s="430"/>
      <c r="Q40" s="430"/>
      <c r="R40" s="430"/>
      <c r="S40" s="430"/>
      <c r="T40" s="430"/>
      <c r="U40" s="430"/>
      <c r="V40" s="430"/>
      <c r="W40" s="430"/>
      <c r="X40" s="430"/>
      <c r="Y40" s="430"/>
      <c r="Z40" s="430"/>
      <c r="AA40" s="430"/>
      <c r="AB40" s="430"/>
      <c r="AC40" s="430"/>
      <c r="AD40" s="430"/>
      <c r="AE40" s="430"/>
      <c r="AF40" s="430"/>
      <c r="AG40" s="430"/>
      <c r="AH40" s="430"/>
      <c r="AI40" s="430"/>
      <c r="AJ40" s="430"/>
      <c r="AK40" s="430"/>
      <c r="AL40" s="430"/>
      <c r="AM40" s="430"/>
      <c r="AN40" s="430"/>
      <c r="AO40" s="430"/>
      <c r="AP40" s="430"/>
      <c r="AQ40" s="430"/>
      <c r="AR40" s="430"/>
      <c r="AS40" s="430"/>
      <c r="AT40" s="430"/>
      <c r="AU40" s="430"/>
      <c r="AV40" s="430"/>
      <c r="AW40" s="430"/>
      <c r="AX40" s="430"/>
      <c r="AY40" s="430"/>
      <c r="AZ40" s="430"/>
      <c r="BA40" s="430"/>
      <c r="BB40" s="430"/>
      <c r="BC40" s="430"/>
      <c r="BD40" s="430"/>
      <c r="BE40" s="430"/>
      <c r="BF40" s="430"/>
      <c r="BG40" s="430"/>
      <c r="BH40" s="430"/>
      <c r="BI40" s="430"/>
      <c r="BJ40" s="430"/>
      <c r="BK40" s="430"/>
    </row>
    <row r="41" spans="1:63">
      <c r="A41" s="430"/>
      <c r="B41" s="430"/>
      <c r="C41" s="430"/>
      <c r="D41" s="430"/>
      <c r="E41" s="430"/>
      <c r="F41" s="490"/>
      <c r="G41" s="490"/>
      <c r="H41" s="490"/>
      <c r="I41" s="490"/>
      <c r="J41" s="490"/>
      <c r="K41" s="490"/>
      <c r="L41" s="430"/>
      <c r="M41" s="430"/>
      <c r="N41" s="430"/>
      <c r="O41" s="430"/>
      <c r="P41" s="430"/>
      <c r="Q41" s="430"/>
      <c r="R41" s="430"/>
      <c r="S41" s="430"/>
      <c r="T41" s="430"/>
      <c r="U41" s="430"/>
      <c r="V41" s="430"/>
      <c r="W41" s="430"/>
      <c r="X41" s="430"/>
      <c r="Y41" s="430"/>
      <c r="Z41" s="430"/>
      <c r="AA41" s="430"/>
      <c r="AB41" s="430"/>
      <c r="AC41" s="430"/>
      <c r="AD41" s="430"/>
      <c r="AE41" s="430"/>
      <c r="AF41" s="430"/>
      <c r="AG41" s="430"/>
      <c r="AH41" s="430"/>
      <c r="AI41" s="430"/>
      <c r="AJ41" s="430"/>
      <c r="AK41" s="430"/>
      <c r="AL41" s="430"/>
      <c r="AM41" s="430"/>
      <c r="AN41" s="430"/>
      <c r="AO41" s="430"/>
      <c r="AP41" s="430"/>
      <c r="AQ41" s="430"/>
      <c r="AR41" s="430"/>
      <c r="AS41" s="430"/>
      <c r="AT41" s="430"/>
      <c r="AU41" s="430"/>
      <c r="AV41" s="430"/>
      <c r="AW41" s="430"/>
      <c r="AX41" s="430"/>
      <c r="AY41" s="430"/>
      <c r="AZ41" s="430"/>
      <c r="BA41" s="430"/>
      <c r="BB41" s="430"/>
      <c r="BC41" s="430"/>
      <c r="BD41" s="430"/>
      <c r="BE41" s="430"/>
      <c r="BF41" s="430"/>
      <c r="BG41" s="430"/>
      <c r="BH41" s="430"/>
      <c r="BI41" s="430"/>
      <c r="BJ41" s="430"/>
      <c r="BK41" s="430"/>
    </row>
    <row r="42" spans="1:63">
      <c r="A42" s="430"/>
      <c r="B42" s="430"/>
      <c r="C42" s="430"/>
      <c r="D42" s="430"/>
      <c r="E42" s="430"/>
      <c r="F42" s="490"/>
      <c r="G42" s="490"/>
      <c r="H42" s="490"/>
      <c r="I42" s="490"/>
      <c r="J42" s="490"/>
      <c r="K42" s="490"/>
      <c r="L42" s="430"/>
      <c r="M42" s="430"/>
      <c r="N42" s="430"/>
      <c r="O42" s="430"/>
      <c r="P42" s="430"/>
      <c r="Q42" s="430"/>
      <c r="R42" s="430"/>
      <c r="S42" s="430"/>
      <c r="T42" s="430"/>
      <c r="U42" s="430"/>
      <c r="V42" s="430"/>
      <c r="W42" s="430"/>
      <c r="X42" s="430"/>
      <c r="Y42" s="430"/>
      <c r="Z42" s="430"/>
      <c r="AA42" s="430"/>
      <c r="AB42" s="430"/>
      <c r="AC42" s="430"/>
      <c r="AD42" s="430"/>
      <c r="AE42" s="430"/>
      <c r="AF42" s="430"/>
      <c r="AG42" s="430"/>
      <c r="AH42" s="430"/>
      <c r="AI42" s="430"/>
      <c r="AJ42" s="430"/>
      <c r="AK42" s="430"/>
      <c r="AL42" s="430"/>
      <c r="AM42" s="430"/>
      <c r="AN42" s="430"/>
      <c r="AO42" s="430"/>
      <c r="AP42" s="430"/>
      <c r="AQ42" s="430"/>
      <c r="AR42" s="430"/>
      <c r="AS42" s="430"/>
      <c r="AT42" s="430"/>
      <c r="AU42" s="430"/>
      <c r="AV42" s="430"/>
      <c r="AW42" s="430"/>
      <c r="AX42" s="430"/>
      <c r="AY42" s="430"/>
      <c r="AZ42" s="430"/>
      <c r="BA42" s="430"/>
      <c r="BB42" s="430"/>
      <c r="BC42" s="430"/>
      <c r="BD42" s="430"/>
      <c r="BE42" s="430"/>
      <c r="BF42" s="430"/>
      <c r="BG42" s="430"/>
      <c r="BH42" s="430"/>
      <c r="BI42" s="430"/>
      <c r="BJ42" s="430"/>
      <c r="BK42" s="430"/>
    </row>
    <row r="43" spans="1:63">
      <c r="A43" s="430"/>
      <c r="B43" s="430"/>
      <c r="C43" s="430"/>
      <c r="D43" s="430"/>
      <c r="E43" s="430"/>
      <c r="F43" s="490"/>
      <c r="G43" s="490"/>
      <c r="H43" s="490"/>
      <c r="I43" s="490"/>
      <c r="J43" s="490"/>
      <c r="K43" s="490"/>
      <c r="L43" s="430"/>
      <c r="M43" s="430"/>
      <c r="N43" s="430"/>
      <c r="O43" s="430"/>
      <c r="P43" s="430"/>
      <c r="Q43" s="430"/>
      <c r="R43" s="430"/>
      <c r="S43" s="430"/>
      <c r="T43" s="430"/>
      <c r="U43" s="430"/>
      <c r="V43" s="430"/>
      <c r="W43" s="430"/>
      <c r="X43" s="430"/>
      <c r="Y43" s="430"/>
      <c r="Z43" s="430"/>
      <c r="AA43" s="430"/>
      <c r="AB43" s="430"/>
      <c r="AC43" s="430"/>
      <c r="AD43" s="430"/>
      <c r="AE43" s="430"/>
      <c r="AF43" s="430"/>
      <c r="AG43" s="430"/>
      <c r="AH43" s="430"/>
      <c r="AI43" s="430"/>
      <c r="AJ43" s="430"/>
      <c r="AK43" s="430"/>
      <c r="AL43" s="430"/>
      <c r="AM43" s="430"/>
      <c r="AN43" s="430"/>
      <c r="AO43" s="430"/>
      <c r="AP43" s="430"/>
      <c r="AQ43" s="430"/>
      <c r="AR43" s="430"/>
      <c r="AS43" s="430"/>
      <c r="AT43" s="430"/>
      <c r="AU43" s="430"/>
      <c r="AV43" s="430"/>
      <c r="AW43" s="430"/>
      <c r="AX43" s="430"/>
      <c r="AY43" s="430"/>
      <c r="AZ43" s="430"/>
      <c r="BA43" s="430"/>
      <c r="BB43" s="430"/>
      <c r="BC43" s="430"/>
      <c r="BD43" s="430"/>
      <c r="BE43" s="430"/>
      <c r="BF43" s="430"/>
      <c r="BG43" s="430"/>
      <c r="BH43" s="430"/>
      <c r="BI43" s="430"/>
      <c r="BJ43" s="430"/>
      <c r="BK43" s="430"/>
    </row>
    <row r="44" spans="1:63">
      <c r="A44" s="430"/>
      <c r="B44" s="430"/>
      <c r="C44" s="430"/>
      <c r="D44" s="430"/>
      <c r="E44" s="430"/>
      <c r="F44" s="490"/>
      <c r="G44" s="490"/>
      <c r="H44" s="490"/>
      <c r="I44" s="490"/>
      <c r="J44" s="490"/>
      <c r="K44" s="490"/>
      <c r="L44" s="430"/>
      <c r="M44" s="430"/>
      <c r="N44" s="430"/>
      <c r="O44" s="430"/>
      <c r="P44" s="430"/>
      <c r="Q44" s="430"/>
      <c r="R44" s="430"/>
      <c r="S44" s="430"/>
      <c r="T44" s="430"/>
      <c r="U44" s="430"/>
      <c r="V44" s="430"/>
      <c r="W44" s="430"/>
      <c r="X44" s="430"/>
      <c r="Y44" s="430"/>
      <c r="Z44" s="430"/>
      <c r="AA44" s="430"/>
      <c r="AB44" s="430"/>
      <c r="AC44" s="430"/>
      <c r="AD44" s="430"/>
      <c r="AE44" s="430"/>
      <c r="AF44" s="430"/>
      <c r="AG44" s="430"/>
      <c r="AH44" s="430"/>
      <c r="AI44" s="430"/>
      <c r="AJ44" s="430"/>
      <c r="AK44" s="430"/>
      <c r="AL44" s="430"/>
      <c r="AM44" s="430"/>
      <c r="AN44" s="430"/>
      <c r="AO44" s="430"/>
      <c r="AP44" s="430"/>
      <c r="AQ44" s="430"/>
      <c r="AR44" s="430"/>
      <c r="AS44" s="430"/>
      <c r="AT44" s="430"/>
      <c r="AU44" s="430"/>
      <c r="AV44" s="430"/>
      <c r="AW44" s="430"/>
      <c r="AX44" s="430"/>
      <c r="AY44" s="430"/>
      <c r="AZ44" s="430"/>
      <c r="BA44" s="430"/>
      <c r="BB44" s="430"/>
      <c r="BC44" s="430"/>
      <c r="BD44" s="430"/>
      <c r="BE44" s="430"/>
      <c r="BF44" s="430"/>
      <c r="BG44" s="430"/>
      <c r="BH44" s="430"/>
      <c r="BI44" s="430"/>
      <c r="BJ44" s="430"/>
      <c r="BK44" s="430"/>
    </row>
    <row r="45" spans="1:63">
      <c r="A45" s="430"/>
      <c r="B45" s="430"/>
      <c r="C45" s="430"/>
      <c r="D45" s="430"/>
      <c r="E45" s="430"/>
      <c r="F45" s="490"/>
      <c r="G45" s="490"/>
      <c r="H45" s="490"/>
      <c r="I45" s="490"/>
      <c r="J45" s="490"/>
      <c r="K45" s="490"/>
      <c r="L45" s="430"/>
      <c r="M45" s="430"/>
      <c r="N45" s="430"/>
      <c r="O45" s="430"/>
      <c r="P45" s="430"/>
      <c r="Q45" s="430"/>
      <c r="R45" s="430"/>
      <c r="S45" s="430"/>
      <c r="T45" s="430"/>
      <c r="U45" s="430"/>
      <c r="V45" s="430"/>
      <c r="W45" s="430"/>
      <c r="X45" s="430"/>
      <c r="Y45" s="430"/>
      <c r="Z45" s="430"/>
      <c r="AA45" s="430"/>
      <c r="AB45" s="430"/>
      <c r="AC45" s="430"/>
      <c r="AD45" s="430"/>
      <c r="AE45" s="430"/>
      <c r="AF45" s="430"/>
      <c r="AG45" s="430"/>
      <c r="AH45" s="430"/>
      <c r="AI45" s="430"/>
      <c r="AJ45" s="430"/>
      <c r="AK45" s="430"/>
      <c r="AL45" s="430"/>
      <c r="AM45" s="430"/>
      <c r="AN45" s="430"/>
      <c r="AO45" s="430"/>
      <c r="AP45" s="430"/>
      <c r="AQ45" s="430"/>
      <c r="AR45" s="430"/>
      <c r="AS45" s="430"/>
      <c r="AT45" s="430"/>
      <c r="AU45" s="430"/>
      <c r="AV45" s="430"/>
      <c r="AW45" s="430"/>
      <c r="AX45" s="430"/>
      <c r="AY45" s="430"/>
      <c r="AZ45" s="430"/>
      <c r="BA45" s="430"/>
      <c r="BB45" s="430"/>
      <c r="BC45" s="430"/>
      <c r="BD45" s="430"/>
      <c r="BE45" s="430"/>
      <c r="BF45" s="430"/>
      <c r="BG45" s="430"/>
      <c r="BH45" s="430"/>
      <c r="BI45" s="430"/>
      <c r="BJ45" s="430"/>
      <c r="BK45" s="430"/>
    </row>
    <row r="46" spans="1:63">
      <c r="A46" s="430"/>
      <c r="B46" s="430"/>
      <c r="C46" s="430"/>
      <c r="D46" s="430"/>
      <c r="E46" s="430"/>
      <c r="F46" s="490"/>
      <c r="G46" s="490"/>
      <c r="H46" s="490"/>
      <c r="I46" s="490"/>
      <c r="J46" s="490"/>
      <c r="K46" s="490"/>
      <c r="L46" s="430"/>
      <c r="M46" s="430"/>
      <c r="N46" s="430"/>
      <c r="O46" s="430"/>
      <c r="P46" s="430"/>
      <c r="Q46" s="430"/>
      <c r="R46" s="430"/>
      <c r="S46" s="430"/>
      <c r="T46" s="430"/>
      <c r="U46" s="430"/>
      <c r="V46" s="430"/>
      <c r="W46" s="430"/>
      <c r="X46" s="430"/>
      <c r="Y46" s="430"/>
      <c r="Z46" s="430"/>
      <c r="AA46" s="430"/>
      <c r="AB46" s="430"/>
      <c r="AC46" s="430"/>
      <c r="AD46" s="430"/>
      <c r="AE46" s="430"/>
      <c r="AF46" s="430"/>
      <c r="AG46" s="430"/>
      <c r="AH46" s="430"/>
      <c r="AI46" s="430"/>
      <c r="AJ46" s="430"/>
      <c r="AK46" s="430"/>
      <c r="AL46" s="430"/>
      <c r="AM46" s="430"/>
      <c r="AN46" s="430"/>
      <c r="AO46" s="430"/>
      <c r="AP46" s="430"/>
      <c r="AQ46" s="430"/>
      <c r="AR46" s="430"/>
      <c r="AS46" s="430"/>
      <c r="AT46" s="430"/>
      <c r="AU46" s="430"/>
      <c r="AV46" s="430"/>
      <c r="AW46" s="430"/>
      <c r="AX46" s="430"/>
      <c r="AY46" s="430"/>
      <c r="AZ46" s="430"/>
      <c r="BA46" s="430"/>
      <c r="BB46" s="430"/>
      <c r="BC46" s="430"/>
      <c r="BD46" s="430"/>
      <c r="BE46" s="430"/>
      <c r="BF46" s="430"/>
      <c r="BG46" s="430"/>
      <c r="BH46" s="430"/>
      <c r="BI46" s="430"/>
      <c r="BJ46" s="430"/>
      <c r="BK46" s="430"/>
    </row>
    <row r="47" spans="1:63">
      <c r="A47" s="432"/>
      <c r="B47" s="430"/>
      <c r="C47" s="430"/>
      <c r="D47" s="430"/>
      <c r="E47" s="432"/>
      <c r="F47" s="490"/>
      <c r="G47" s="490"/>
      <c r="H47" s="490"/>
      <c r="I47" s="490"/>
      <c r="J47" s="490"/>
      <c r="K47" s="490"/>
      <c r="L47" s="432"/>
      <c r="M47" s="432"/>
      <c r="N47" s="432"/>
      <c r="O47" s="432"/>
      <c r="P47" s="432"/>
      <c r="Q47" s="432"/>
      <c r="R47" s="432"/>
      <c r="S47" s="432"/>
      <c r="T47" s="432"/>
      <c r="U47" s="432"/>
      <c r="V47" s="432"/>
      <c r="W47" s="430"/>
      <c r="X47" s="430"/>
      <c r="Y47" s="430"/>
      <c r="Z47" s="430"/>
      <c r="AA47" s="430"/>
      <c r="AB47" s="430"/>
      <c r="AC47" s="430"/>
      <c r="AD47" s="430"/>
      <c r="AE47" s="430"/>
      <c r="AF47" s="430"/>
      <c r="AG47" s="430"/>
      <c r="AH47" s="430"/>
      <c r="AI47" s="430"/>
      <c r="AJ47" s="430"/>
      <c r="AK47" s="430"/>
      <c r="AL47" s="430"/>
      <c r="AM47" s="430"/>
      <c r="AN47" s="430"/>
      <c r="AO47" s="430"/>
      <c r="AP47" s="430"/>
      <c r="AQ47" s="430"/>
      <c r="AR47" s="430"/>
      <c r="AS47" s="430"/>
      <c r="AT47" s="430"/>
      <c r="AU47" s="430"/>
      <c r="AV47" s="430"/>
      <c r="AW47" s="430"/>
      <c r="AX47" s="430"/>
      <c r="AY47" s="430"/>
      <c r="AZ47" s="430"/>
      <c r="BA47" s="430"/>
      <c r="BB47" s="430"/>
      <c r="BC47" s="430"/>
      <c r="BD47" s="430"/>
      <c r="BE47" s="430"/>
      <c r="BF47" s="430"/>
      <c r="BG47" s="430"/>
      <c r="BH47" s="430"/>
      <c r="BI47" s="430"/>
      <c r="BJ47" s="430"/>
      <c r="BK47" s="430"/>
    </row>
    <row r="48" spans="1:63">
      <c r="A48" s="430"/>
      <c r="B48" s="430"/>
      <c r="C48" s="430"/>
      <c r="D48" s="430"/>
      <c r="E48" s="430"/>
      <c r="F48" s="501"/>
      <c r="G48" s="501"/>
      <c r="H48" s="501"/>
      <c r="I48" s="501"/>
      <c r="J48" s="501"/>
      <c r="K48" s="501"/>
      <c r="L48" s="430"/>
      <c r="M48" s="430"/>
      <c r="N48" s="430"/>
      <c r="O48" s="430"/>
      <c r="P48" s="430"/>
      <c r="Q48" s="430"/>
      <c r="R48" s="430"/>
      <c r="S48" s="430"/>
      <c r="T48" s="430"/>
      <c r="U48" s="430"/>
      <c r="V48" s="430"/>
      <c r="W48" s="430"/>
      <c r="X48" s="430"/>
      <c r="Y48" s="430"/>
      <c r="Z48" s="430"/>
      <c r="AA48" s="430"/>
      <c r="AB48" s="430"/>
      <c r="AC48" s="430"/>
      <c r="AD48" s="430"/>
      <c r="AE48" s="430"/>
      <c r="AF48" s="430"/>
      <c r="AG48" s="430"/>
      <c r="AH48" s="430"/>
      <c r="AI48" s="430"/>
      <c r="AJ48" s="430"/>
      <c r="AK48" s="430"/>
      <c r="AL48" s="430"/>
      <c r="AM48" s="430"/>
      <c r="AN48" s="430"/>
      <c r="AO48" s="430"/>
      <c r="AP48" s="430"/>
      <c r="AQ48" s="430"/>
      <c r="AR48" s="430"/>
      <c r="AS48" s="430"/>
      <c r="AT48" s="430"/>
      <c r="AU48" s="430"/>
      <c r="AV48" s="430"/>
      <c r="AW48" s="430"/>
      <c r="AX48" s="430"/>
      <c r="AY48" s="430"/>
      <c r="AZ48" s="430"/>
      <c r="BA48" s="430"/>
      <c r="BB48" s="430"/>
      <c r="BC48" s="430"/>
      <c r="BD48" s="430"/>
      <c r="BE48" s="430"/>
      <c r="BF48" s="430"/>
      <c r="BG48" s="430"/>
      <c r="BH48" s="430"/>
      <c r="BI48" s="430"/>
      <c r="BJ48" s="430"/>
      <c r="BK48" s="430"/>
    </row>
    <row r="49" spans="1:63">
      <c r="A49" s="430"/>
      <c r="B49" s="430"/>
      <c r="C49" s="430"/>
      <c r="D49" s="430"/>
      <c r="E49" s="430"/>
      <c r="F49" s="501"/>
      <c r="G49" s="501"/>
      <c r="H49" s="501"/>
      <c r="I49" s="501"/>
      <c r="J49" s="501"/>
      <c r="K49" s="501"/>
      <c r="L49" s="430"/>
      <c r="M49" s="430"/>
      <c r="N49" s="430"/>
      <c r="O49" s="430"/>
      <c r="P49" s="430"/>
      <c r="Q49" s="430"/>
      <c r="R49" s="430"/>
      <c r="S49" s="430"/>
      <c r="T49" s="430"/>
      <c r="U49" s="430"/>
      <c r="V49" s="430"/>
      <c r="W49" s="430"/>
      <c r="X49" s="430"/>
      <c r="Y49" s="430"/>
      <c r="Z49" s="430"/>
      <c r="AA49" s="430"/>
      <c r="AB49" s="430"/>
      <c r="AC49" s="430"/>
      <c r="AD49" s="430"/>
      <c r="AE49" s="430"/>
      <c r="AF49" s="430"/>
      <c r="AG49" s="430"/>
      <c r="AH49" s="430"/>
      <c r="AI49" s="430"/>
      <c r="AJ49" s="430"/>
      <c r="AK49" s="430"/>
      <c r="AL49" s="430"/>
      <c r="AM49" s="430"/>
      <c r="AN49" s="430"/>
      <c r="AO49" s="430"/>
      <c r="AP49" s="430"/>
      <c r="AQ49" s="430"/>
      <c r="AR49" s="430"/>
      <c r="AS49" s="430"/>
      <c r="AT49" s="430"/>
      <c r="AU49" s="430"/>
      <c r="AV49" s="430"/>
      <c r="AW49" s="430"/>
      <c r="AX49" s="430"/>
      <c r="AY49" s="430"/>
      <c r="AZ49" s="430"/>
      <c r="BA49" s="430"/>
      <c r="BB49" s="430"/>
      <c r="BC49" s="430"/>
      <c r="BD49" s="430"/>
      <c r="BE49" s="430"/>
      <c r="BF49" s="430"/>
      <c r="BG49" s="430"/>
      <c r="BH49" s="430"/>
      <c r="BI49" s="430"/>
      <c r="BJ49" s="430"/>
      <c r="BK49" s="430"/>
    </row>
    <row r="50" spans="1:63">
      <c r="A50" s="430"/>
      <c r="B50" s="430"/>
      <c r="C50" s="430"/>
      <c r="D50" s="430"/>
      <c r="E50" s="430"/>
      <c r="F50" s="501"/>
      <c r="G50" s="501"/>
      <c r="H50" s="501"/>
      <c r="I50" s="501"/>
      <c r="J50" s="501"/>
      <c r="K50" s="501"/>
      <c r="L50" s="430"/>
      <c r="M50" s="430"/>
      <c r="N50" s="430"/>
      <c r="O50" s="430"/>
      <c r="P50" s="430"/>
      <c r="Q50" s="430"/>
      <c r="R50" s="430"/>
      <c r="S50" s="430"/>
      <c r="T50" s="430"/>
      <c r="U50" s="430"/>
      <c r="V50" s="430"/>
      <c r="W50" s="430"/>
      <c r="X50" s="430"/>
      <c r="Y50" s="430"/>
      <c r="Z50" s="430"/>
      <c r="AA50" s="430"/>
      <c r="AB50" s="430"/>
      <c r="AC50" s="430"/>
      <c r="AD50" s="430"/>
      <c r="AE50" s="430"/>
      <c r="AF50" s="430"/>
      <c r="AG50" s="430"/>
      <c r="AH50" s="430"/>
      <c r="AI50" s="430"/>
      <c r="AJ50" s="430"/>
      <c r="AK50" s="430"/>
      <c r="AL50" s="430"/>
      <c r="AM50" s="430"/>
      <c r="AN50" s="430"/>
      <c r="AO50" s="430"/>
      <c r="AP50" s="430"/>
      <c r="AQ50" s="430"/>
      <c r="AR50" s="430"/>
      <c r="AS50" s="430"/>
      <c r="AT50" s="430"/>
      <c r="AU50" s="430"/>
      <c r="AV50" s="430"/>
      <c r="AW50" s="430"/>
      <c r="AX50" s="430"/>
      <c r="AY50" s="430"/>
      <c r="AZ50" s="430"/>
      <c r="BA50" s="430"/>
      <c r="BB50" s="430"/>
      <c r="BC50" s="430"/>
      <c r="BD50" s="430"/>
      <c r="BE50" s="430"/>
      <c r="BF50" s="430"/>
      <c r="BG50" s="430"/>
      <c r="BH50" s="430"/>
      <c r="BI50" s="430"/>
      <c r="BJ50" s="430"/>
      <c r="BK50" s="430"/>
    </row>
    <row r="51" spans="1:63">
      <c r="A51" s="430"/>
      <c r="B51" s="430"/>
      <c r="C51" s="430"/>
      <c r="D51" s="430"/>
      <c r="E51" s="430"/>
      <c r="F51" s="501"/>
      <c r="G51" s="501"/>
      <c r="H51" s="501"/>
      <c r="I51" s="501"/>
      <c r="J51" s="501"/>
      <c r="K51" s="501"/>
      <c r="L51" s="430"/>
      <c r="M51" s="430"/>
      <c r="N51" s="430"/>
      <c r="O51" s="430"/>
      <c r="P51" s="430"/>
      <c r="Q51" s="430"/>
      <c r="R51" s="430"/>
      <c r="S51" s="430"/>
      <c r="T51" s="430"/>
      <c r="U51" s="430"/>
      <c r="V51" s="430"/>
      <c r="W51" s="430"/>
      <c r="X51" s="430"/>
      <c r="Y51" s="430"/>
      <c r="Z51" s="430"/>
      <c r="AA51" s="430"/>
      <c r="AB51" s="430"/>
      <c r="AC51" s="430"/>
      <c r="AD51" s="430"/>
      <c r="AE51" s="430"/>
      <c r="AF51" s="430"/>
      <c r="AG51" s="430"/>
      <c r="AH51" s="430"/>
      <c r="AI51" s="430"/>
      <c r="AJ51" s="430"/>
      <c r="AK51" s="430"/>
      <c r="AL51" s="430"/>
      <c r="AM51" s="430"/>
      <c r="AN51" s="430"/>
      <c r="AO51" s="430"/>
      <c r="AP51" s="430"/>
      <c r="AQ51" s="430"/>
      <c r="AR51" s="430"/>
      <c r="AS51" s="430"/>
      <c r="AT51" s="430"/>
      <c r="AU51" s="430"/>
      <c r="AV51" s="430"/>
      <c r="AW51" s="430"/>
      <c r="AX51" s="430"/>
      <c r="AY51" s="430"/>
      <c r="AZ51" s="430"/>
      <c r="BA51" s="430"/>
      <c r="BB51" s="430"/>
      <c r="BC51" s="430"/>
      <c r="BD51" s="430"/>
      <c r="BE51" s="430"/>
      <c r="BF51" s="430"/>
      <c r="BG51" s="430"/>
      <c r="BH51" s="430"/>
      <c r="BI51" s="430"/>
      <c r="BJ51" s="430"/>
      <c r="BK51" s="430"/>
    </row>
    <row r="52" spans="1:63">
      <c r="A52" s="430"/>
      <c r="B52" s="430"/>
      <c r="C52" s="430"/>
      <c r="D52" s="430"/>
      <c r="E52" s="430"/>
      <c r="F52" s="501"/>
      <c r="G52" s="501"/>
      <c r="H52" s="501"/>
      <c r="I52" s="501"/>
      <c r="J52" s="501"/>
      <c r="K52" s="501"/>
      <c r="L52" s="430"/>
      <c r="M52" s="430"/>
      <c r="N52" s="430"/>
      <c r="O52" s="430"/>
      <c r="P52" s="430"/>
      <c r="Q52" s="430"/>
      <c r="R52" s="430"/>
      <c r="S52" s="430"/>
      <c r="T52" s="430"/>
      <c r="U52" s="430"/>
      <c r="V52" s="430"/>
      <c r="W52" s="430"/>
      <c r="X52" s="430"/>
      <c r="Y52" s="430"/>
      <c r="Z52" s="430"/>
      <c r="AA52" s="430"/>
      <c r="AB52" s="430"/>
      <c r="AC52" s="430"/>
      <c r="AD52" s="430"/>
      <c r="AE52" s="430"/>
      <c r="AF52" s="430"/>
      <c r="AG52" s="430"/>
      <c r="AH52" s="430"/>
      <c r="AI52" s="430"/>
      <c r="AJ52" s="430"/>
      <c r="AK52" s="430"/>
      <c r="AL52" s="430"/>
      <c r="AM52" s="430"/>
      <c r="AN52" s="430"/>
      <c r="AO52" s="430"/>
      <c r="AP52" s="430"/>
      <c r="AQ52" s="430"/>
      <c r="AR52" s="430"/>
      <c r="AS52" s="430"/>
      <c r="AT52" s="430"/>
      <c r="AU52" s="430"/>
      <c r="AV52" s="430"/>
      <c r="AW52" s="430"/>
      <c r="AX52" s="430"/>
      <c r="AY52" s="430"/>
      <c r="AZ52" s="430"/>
      <c r="BA52" s="430"/>
      <c r="BB52" s="430"/>
      <c r="BC52" s="430"/>
      <c r="BD52" s="430"/>
      <c r="BE52" s="430"/>
      <c r="BF52" s="430"/>
      <c r="BG52" s="430"/>
      <c r="BH52" s="430"/>
      <c r="BI52" s="430"/>
      <c r="BJ52" s="430"/>
      <c r="BK52" s="430"/>
    </row>
    <row r="53" spans="1:63">
      <c r="A53" s="430"/>
      <c r="B53" s="430"/>
      <c r="C53" s="430"/>
      <c r="D53" s="430"/>
      <c r="E53" s="430"/>
      <c r="F53" s="430"/>
      <c r="G53" s="430"/>
      <c r="H53" s="430"/>
      <c r="I53" s="430"/>
      <c r="J53" s="430"/>
      <c r="K53" s="430"/>
      <c r="L53" s="430"/>
      <c r="M53" s="430"/>
      <c r="N53" s="430"/>
      <c r="O53" s="430"/>
      <c r="P53" s="430"/>
      <c r="Q53" s="430"/>
      <c r="R53" s="430"/>
      <c r="S53" s="430"/>
      <c r="T53" s="430"/>
      <c r="U53" s="430"/>
      <c r="V53" s="430"/>
      <c r="W53" s="430"/>
      <c r="X53" s="430"/>
      <c r="Y53" s="430"/>
      <c r="Z53" s="430"/>
      <c r="AA53" s="430"/>
      <c r="AB53" s="430"/>
      <c r="AC53" s="430"/>
      <c r="AD53" s="430"/>
      <c r="AE53" s="430"/>
      <c r="AF53" s="430"/>
      <c r="AG53" s="430"/>
      <c r="AH53" s="430"/>
      <c r="AI53" s="430"/>
      <c r="AJ53" s="430"/>
      <c r="AK53" s="430"/>
      <c r="AL53" s="430"/>
      <c r="AM53" s="430"/>
      <c r="AN53" s="430"/>
      <c r="AO53" s="430"/>
      <c r="AP53" s="430"/>
      <c r="AQ53" s="430"/>
      <c r="AR53" s="430"/>
      <c r="AS53" s="430"/>
      <c r="AT53" s="430"/>
      <c r="AU53" s="430"/>
      <c r="AV53" s="430"/>
      <c r="AW53" s="430"/>
      <c r="AX53" s="430"/>
      <c r="AY53" s="430"/>
      <c r="AZ53" s="430"/>
      <c r="BA53" s="430"/>
      <c r="BB53" s="430"/>
      <c r="BC53" s="430"/>
      <c r="BD53" s="430"/>
      <c r="BE53" s="430"/>
      <c r="BF53" s="430"/>
      <c r="BG53" s="430"/>
      <c r="BH53" s="430"/>
      <c r="BI53" s="430"/>
      <c r="BJ53" s="430"/>
      <c r="BK53" s="430"/>
    </row>
    <row r="54" spans="1:63">
      <c r="A54" s="430"/>
      <c r="B54" s="430"/>
      <c r="C54" s="430"/>
      <c r="D54" s="430"/>
      <c r="E54" s="430"/>
      <c r="F54" s="430"/>
      <c r="G54" s="430"/>
      <c r="H54" s="430"/>
      <c r="I54" s="430"/>
      <c r="J54" s="430"/>
      <c r="K54" s="430"/>
      <c r="L54" s="430"/>
      <c r="M54" s="430"/>
      <c r="N54" s="430"/>
      <c r="O54" s="430"/>
      <c r="P54" s="430"/>
      <c r="Q54" s="430"/>
      <c r="R54" s="430"/>
      <c r="S54" s="430"/>
      <c r="T54" s="430"/>
      <c r="U54" s="430"/>
      <c r="V54" s="430"/>
      <c r="W54" s="430"/>
      <c r="X54" s="430"/>
      <c r="Y54" s="430"/>
      <c r="Z54" s="430"/>
      <c r="AA54" s="430"/>
      <c r="AB54" s="430"/>
      <c r="AC54" s="430"/>
      <c r="AD54" s="430"/>
      <c r="AE54" s="430"/>
      <c r="AF54" s="430"/>
      <c r="AG54" s="430"/>
      <c r="AH54" s="430"/>
      <c r="AI54" s="430"/>
      <c r="AJ54" s="430"/>
      <c r="AK54" s="430"/>
      <c r="AL54" s="430"/>
      <c r="AM54" s="430"/>
      <c r="AN54" s="430"/>
      <c r="AO54" s="430"/>
      <c r="AP54" s="430"/>
      <c r="AQ54" s="430"/>
      <c r="AR54" s="430"/>
      <c r="AS54" s="430"/>
      <c r="AT54" s="430"/>
      <c r="AU54" s="430"/>
      <c r="AV54" s="430"/>
      <c r="AW54" s="430"/>
      <c r="AX54" s="430"/>
      <c r="AY54" s="430"/>
      <c r="AZ54" s="430"/>
      <c r="BA54" s="430"/>
      <c r="BB54" s="430"/>
      <c r="BC54" s="430"/>
      <c r="BD54" s="430"/>
      <c r="BE54" s="430"/>
      <c r="BF54" s="430"/>
      <c r="BG54" s="430"/>
      <c r="BH54" s="430"/>
      <c r="BI54" s="430"/>
      <c r="BJ54" s="430"/>
      <c r="BK54" s="430"/>
    </row>
    <row r="55" spans="1:63">
      <c r="A55" s="430"/>
      <c r="B55" s="430"/>
      <c r="C55" s="430"/>
      <c r="D55" s="430"/>
      <c r="E55" s="430"/>
      <c r="F55" s="430"/>
      <c r="G55" s="430"/>
      <c r="H55" s="430"/>
      <c r="I55" s="430"/>
      <c r="J55" s="430"/>
      <c r="K55" s="430"/>
      <c r="L55" s="430"/>
      <c r="M55" s="430"/>
      <c r="N55" s="430"/>
      <c r="O55" s="430"/>
      <c r="P55" s="430"/>
      <c r="Q55" s="430"/>
      <c r="R55" s="430"/>
      <c r="S55" s="430"/>
      <c r="T55" s="430"/>
      <c r="U55" s="430"/>
      <c r="V55" s="430"/>
      <c r="W55" s="430"/>
      <c r="X55" s="430"/>
      <c r="Y55" s="430"/>
      <c r="Z55" s="430"/>
      <c r="AA55" s="430"/>
      <c r="AB55" s="430"/>
      <c r="AC55" s="430"/>
      <c r="AD55" s="430"/>
      <c r="AE55" s="430"/>
      <c r="AF55" s="430"/>
      <c r="AG55" s="430"/>
      <c r="AH55" s="430"/>
      <c r="AI55" s="430"/>
      <c r="AJ55" s="430"/>
      <c r="AK55" s="430"/>
      <c r="AL55" s="430"/>
      <c r="AM55" s="430"/>
      <c r="AN55" s="430"/>
      <c r="AO55" s="430"/>
      <c r="AP55" s="430"/>
      <c r="AQ55" s="430"/>
      <c r="AR55" s="430"/>
      <c r="AS55" s="430"/>
      <c r="AT55" s="430"/>
      <c r="AU55" s="430"/>
      <c r="AV55" s="430"/>
      <c r="AW55" s="430"/>
      <c r="AX55" s="430"/>
      <c r="AY55" s="430"/>
      <c r="AZ55" s="430"/>
      <c r="BA55" s="430"/>
      <c r="BB55" s="430"/>
      <c r="BC55" s="430"/>
      <c r="BD55" s="430"/>
      <c r="BE55" s="430"/>
      <c r="BF55" s="430"/>
      <c r="BG55" s="430"/>
      <c r="BH55" s="430"/>
      <c r="BI55" s="430"/>
      <c r="BJ55" s="430"/>
      <c r="BK55" s="430"/>
    </row>
    <row r="56" spans="1:63">
      <c r="A56" s="430"/>
      <c r="B56" s="430"/>
      <c r="C56" s="430"/>
      <c r="D56" s="430"/>
      <c r="E56" s="430"/>
      <c r="F56" s="430"/>
      <c r="G56" s="430"/>
      <c r="H56" s="430"/>
      <c r="I56" s="430"/>
      <c r="J56" s="430"/>
      <c r="K56" s="430"/>
      <c r="L56" s="430"/>
      <c r="M56" s="430"/>
      <c r="N56" s="430"/>
      <c r="O56" s="430"/>
      <c r="P56" s="430"/>
      <c r="Q56" s="430"/>
      <c r="R56" s="430"/>
      <c r="S56" s="430"/>
      <c r="T56" s="430"/>
      <c r="U56" s="430"/>
      <c r="V56" s="430"/>
      <c r="W56" s="430"/>
      <c r="X56" s="430"/>
      <c r="Y56" s="430"/>
      <c r="Z56" s="430"/>
      <c r="AA56" s="430"/>
      <c r="AB56" s="430"/>
      <c r="AC56" s="430"/>
      <c r="AD56" s="430"/>
      <c r="AE56" s="430"/>
      <c r="AF56" s="430"/>
      <c r="AG56" s="430"/>
      <c r="AH56" s="430"/>
      <c r="AI56" s="430"/>
      <c r="AJ56" s="430"/>
      <c r="AK56" s="430"/>
      <c r="AL56" s="430"/>
      <c r="AM56" s="430"/>
      <c r="AN56" s="430"/>
      <c r="AO56" s="430"/>
      <c r="AP56" s="430"/>
      <c r="AQ56" s="430"/>
      <c r="AR56" s="430"/>
      <c r="AS56" s="430"/>
      <c r="AT56" s="430"/>
      <c r="AU56" s="430"/>
      <c r="AV56" s="430"/>
      <c r="AW56" s="430"/>
      <c r="AX56" s="430"/>
      <c r="AY56" s="430"/>
      <c r="AZ56" s="430"/>
      <c r="BA56" s="430"/>
      <c r="BB56" s="430"/>
      <c r="BC56" s="430"/>
      <c r="BD56" s="430"/>
      <c r="BE56" s="430"/>
      <c r="BF56" s="430"/>
      <c r="BG56" s="430"/>
      <c r="BH56" s="430"/>
      <c r="BI56" s="430"/>
      <c r="BJ56" s="430"/>
      <c r="BK56" s="430"/>
    </row>
    <row r="57" spans="1:63">
      <c r="A57" s="430"/>
      <c r="B57" s="430"/>
      <c r="C57" s="430"/>
      <c r="D57" s="430"/>
      <c r="E57" s="430"/>
      <c r="F57" s="430"/>
      <c r="G57" s="430"/>
      <c r="H57" s="430"/>
      <c r="I57" s="430"/>
      <c r="J57" s="430"/>
      <c r="K57" s="430"/>
      <c r="L57" s="430"/>
      <c r="M57" s="430"/>
      <c r="N57" s="430"/>
      <c r="O57" s="430"/>
      <c r="P57" s="430"/>
      <c r="Q57" s="430"/>
      <c r="R57" s="430"/>
      <c r="S57" s="430"/>
      <c r="T57" s="430"/>
      <c r="U57" s="430"/>
      <c r="V57" s="430"/>
      <c r="W57" s="430"/>
      <c r="X57" s="430"/>
      <c r="Y57" s="430"/>
      <c r="Z57" s="430"/>
      <c r="AA57" s="430"/>
      <c r="AB57" s="430"/>
      <c r="AC57" s="430"/>
      <c r="AD57" s="430"/>
      <c r="AE57" s="430"/>
      <c r="AF57" s="430"/>
      <c r="AG57" s="430"/>
      <c r="AH57" s="430"/>
      <c r="AI57" s="430"/>
      <c r="AJ57" s="430"/>
      <c r="AK57" s="430"/>
      <c r="AL57" s="430"/>
      <c r="AM57" s="430"/>
      <c r="AN57" s="430"/>
      <c r="AO57" s="430"/>
      <c r="AP57" s="430"/>
      <c r="AQ57" s="430"/>
      <c r="AR57" s="430"/>
      <c r="AS57" s="430"/>
      <c r="AT57" s="430"/>
      <c r="AU57" s="430"/>
      <c r="AV57" s="430"/>
      <c r="AW57" s="430"/>
      <c r="AX57" s="430"/>
      <c r="AY57" s="430"/>
      <c r="AZ57" s="430"/>
      <c r="BA57" s="430"/>
      <c r="BB57" s="430"/>
      <c r="BC57" s="430"/>
      <c r="BD57" s="430"/>
      <c r="BE57" s="430"/>
      <c r="BF57" s="430"/>
      <c r="BG57" s="430"/>
      <c r="BH57" s="430"/>
      <c r="BI57" s="430"/>
      <c r="BJ57" s="430"/>
      <c r="BK57" s="430"/>
    </row>
    <row r="58" spans="1:63">
      <c r="A58" s="430"/>
      <c r="B58" s="430"/>
      <c r="C58" s="430"/>
      <c r="D58" s="430"/>
      <c r="E58" s="430"/>
      <c r="F58" s="430"/>
      <c r="G58" s="430"/>
      <c r="H58" s="430"/>
      <c r="I58" s="430"/>
      <c r="J58" s="430"/>
      <c r="K58" s="430"/>
      <c r="L58" s="430"/>
      <c r="M58" s="430"/>
      <c r="N58" s="430"/>
      <c r="O58" s="430"/>
      <c r="P58" s="430"/>
      <c r="Q58" s="430"/>
      <c r="R58" s="430"/>
      <c r="S58" s="430"/>
      <c r="T58" s="430"/>
      <c r="U58" s="430"/>
      <c r="V58" s="430"/>
      <c r="W58" s="430"/>
      <c r="X58" s="430"/>
      <c r="Y58" s="430"/>
      <c r="Z58" s="430"/>
      <c r="AA58" s="430"/>
      <c r="AB58" s="430"/>
      <c r="AC58" s="430"/>
      <c r="AD58" s="430"/>
      <c r="AE58" s="430"/>
      <c r="AF58" s="430"/>
      <c r="AG58" s="430"/>
      <c r="AH58" s="430"/>
      <c r="AI58" s="430"/>
      <c r="AJ58" s="430"/>
      <c r="AK58" s="430"/>
      <c r="AL58" s="430"/>
      <c r="AM58" s="430"/>
      <c r="AN58" s="430"/>
      <c r="AO58" s="430"/>
      <c r="AP58" s="430"/>
      <c r="AQ58" s="430"/>
      <c r="AR58" s="430"/>
      <c r="AS58" s="430"/>
      <c r="AT58" s="430"/>
      <c r="AU58" s="430"/>
      <c r="AV58" s="430"/>
      <c r="AW58" s="430"/>
      <c r="AX58" s="430"/>
      <c r="AY58" s="430"/>
      <c r="AZ58" s="430"/>
      <c r="BA58" s="430"/>
      <c r="BB58" s="430"/>
      <c r="BC58" s="430"/>
      <c r="BD58" s="430"/>
      <c r="BE58" s="430"/>
      <c r="BF58" s="430"/>
      <c r="BG58" s="430"/>
      <c r="BH58" s="430"/>
      <c r="BI58" s="430"/>
      <c r="BJ58" s="430"/>
      <c r="BK58" s="430"/>
    </row>
    <row r="59" spans="1:63">
      <c r="A59" s="430"/>
      <c r="B59" s="430"/>
      <c r="C59" s="430"/>
      <c r="D59" s="430"/>
      <c r="E59" s="430"/>
      <c r="F59" s="430"/>
      <c r="G59" s="430"/>
      <c r="H59" s="430"/>
      <c r="I59" s="430"/>
      <c r="J59" s="430"/>
      <c r="K59" s="430"/>
      <c r="L59" s="430"/>
      <c r="M59" s="430"/>
      <c r="N59" s="430"/>
      <c r="O59" s="430"/>
      <c r="P59" s="430"/>
      <c r="Q59" s="430"/>
      <c r="R59" s="430"/>
      <c r="S59" s="430"/>
      <c r="T59" s="430"/>
      <c r="U59" s="430"/>
      <c r="V59" s="430"/>
      <c r="W59" s="430"/>
      <c r="X59" s="430"/>
      <c r="Y59" s="430"/>
      <c r="Z59" s="430"/>
      <c r="AA59" s="430"/>
      <c r="AB59" s="430"/>
      <c r="AC59" s="430"/>
      <c r="AD59" s="430"/>
      <c r="AE59" s="430"/>
      <c r="AF59" s="430"/>
      <c r="AG59" s="430"/>
      <c r="AH59" s="430"/>
      <c r="AI59" s="430"/>
      <c r="AJ59" s="430"/>
      <c r="AK59" s="430"/>
      <c r="AL59" s="430"/>
      <c r="AM59" s="430"/>
      <c r="AN59" s="430"/>
      <c r="AO59" s="430"/>
      <c r="AP59" s="430"/>
      <c r="AQ59" s="430"/>
      <c r="AR59" s="430"/>
      <c r="AS59" s="430"/>
      <c r="AT59" s="430"/>
      <c r="AU59" s="430"/>
      <c r="AV59" s="430"/>
      <c r="AW59" s="430"/>
      <c r="AX59" s="430"/>
      <c r="AY59" s="430"/>
      <c r="AZ59" s="430"/>
      <c r="BA59" s="430"/>
      <c r="BB59" s="430"/>
      <c r="BC59" s="430"/>
      <c r="BD59" s="430"/>
      <c r="BE59" s="430"/>
      <c r="BF59" s="430"/>
      <c r="BG59" s="430"/>
      <c r="BH59" s="430"/>
      <c r="BI59" s="430"/>
      <c r="BJ59" s="430"/>
      <c r="BK59" s="430"/>
    </row>
    <row r="60" spans="1:63">
      <c r="A60" s="430"/>
      <c r="B60" s="430"/>
      <c r="C60" s="430"/>
      <c r="D60" s="430"/>
      <c r="E60" s="430"/>
      <c r="F60" s="430"/>
      <c r="G60" s="430"/>
      <c r="H60" s="430"/>
      <c r="I60" s="430"/>
      <c r="J60" s="430"/>
      <c r="K60" s="430"/>
      <c r="L60" s="430"/>
      <c r="M60" s="430"/>
      <c r="N60" s="430"/>
      <c r="O60" s="430"/>
      <c r="P60" s="430"/>
      <c r="Q60" s="430"/>
      <c r="R60" s="430"/>
      <c r="S60" s="430"/>
      <c r="T60" s="430"/>
      <c r="U60" s="430"/>
      <c r="V60" s="430"/>
      <c r="W60" s="430"/>
      <c r="X60" s="430"/>
      <c r="Y60" s="430"/>
      <c r="Z60" s="430"/>
      <c r="AA60" s="430"/>
      <c r="AB60" s="430"/>
      <c r="AC60" s="430"/>
      <c r="AD60" s="430"/>
      <c r="AE60" s="430"/>
      <c r="AF60" s="430"/>
      <c r="AG60" s="430"/>
      <c r="AH60" s="430"/>
      <c r="AI60" s="430"/>
      <c r="AJ60" s="430"/>
      <c r="AK60" s="430"/>
      <c r="AL60" s="430"/>
      <c r="AM60" s="430"/>
      <c r="AN60" s="430"/>
      <c r="AO60" s="430"/>
      <c r="AP60" s="430"/>
      <c r="AQ60" s="430"/>
      <c r="AR60" s="430"/>
      <c r="AS60" s="430"/>
      <c r="AT60" s="430"/>
      <c r="AU60" s="430"/>
      <c r="AV60" s="430"/>
      <c r="AW60" s="430"/>
      <c r="AX60" s="430"/>
      <c r="AY60" s="430"/>
      <c r="AZ60" s="430"/>
      <c r="BA60" s="430"/>
      <c r="BB60" s="430"/>
      <c r="BC60" s="430"/>
      <c r="BD60" s="430"/>
      <c r="BE60" s="430"/>
      <c r="BF60" s="430"/>
      <c r="BG60" s="430"/>
      <c r="BH60" s="430"/>
      <c r="BI60" s="430"/>
      <c r="BJ60" s="430"/>
      <c r="BK60" s="430"/>
    </row>
    <row r="61" spans="1:63">
      <c r="A61" s="430"/>
      <c r="B61" s="430"/>
      <c r="C61" s="430"/>
      <c r="D61" s="430"/>
      <c r="E61" s="430"/>
      <c r="F61" s="430"/>
      <c r="G61" s="430"/>
      <c r="H61" s="430"/>
      <c r="I61" s="430"/>
      <c r="J61" s="430"/>
      <c r="K61" s="430"/>
      <c r="L61" s="430"/>
      <c r="M61" s="430"/>
      <c r="N61" s="430"/>
      <c r="O61" s="430"/>
      <c r="P61" s="430"/>
      <c r="Q61" s="430"/>
      <c r="R61" s="430"/>
      <c r="S61" s="430"/>
      <c r="T61" s="430"/>
      <c r="U61" s="430"/>
      <c r="V61" s="430"/>
      <c r="W61" s="430"/>
      <c r="X61" s="430"/>
      <c r="Y61" s="430"/>
      <c r="Z61" s="430"/>
      <c r="AA61" s="430"/>
      <c r="AB61" s="430"/>
      <c r="AC61" s="430"/>
      <c r="AD61" s="430"/>
      <c r="AE61" s="430"/>
      <c r="AF61" s="430"/>
      <c r="AG61" s="430"/>
      <c r="AH61" s="430"/>
      <c r="AI61" s="430"/>
      <c r="AJ61" s="430"/>
      <c r="AK61" s="430"/>
      <c r="AL61" s="430"/>
      <c r="AM61" s="430"/>
      <c r="AN61" s="430"/>
      <c r="AO61" s="430"/>
      <c r="AP61" s="430"/>
      <c r="AQ61" s="430"/>
      <c r="AR61" s="430"/>
      <c r="AS61" s="430"/>
      <c r="AT61" s="430"/>
      <c r="AU61" s="430"/>
      <c r="AV61" s="430"/>
      <c r="AW61" s="430"/>
      <c r="AX61" s="430"/>
      <c r="AY61" s="430"/>
      <c r="AZ61" s="430"/>
      <c r="BA61" s="430"/>
      <c r="BB61" s="430"/>
      <c r="BC61" s="430"/>
      <c r="BD61" s="430"/>
      <c r="BE61" s="430"/>
      <c r="BF61" s="430"/>
      <c r="BG61" s="430"/>
      <c r="BH61" s="430"/>
      <c r="BI61" s="430"/>
      <c r="BJ61" s="430"/>
      <c r="BK61" s="430"/>
    </row>
    <row r="62" spans="1:63">
      <c r="A62" s="430"/>
      <c r="B62" s="430"/>
      <c r="C62" s="430"/>
      <c r="D62" s="430"/>
      <c r="E62" s="430"/>
      <c r="F62" s="430"/>
      <c r="G62" s="430"/>
      <c r="H62" s="430"/>
      <c r="I62" s="430"/>
      <c r="J62" s="430"/>
      <c r="K62" s="430"/>
      <c r="L62" s="430"/>
      <c r="M62" s="430"/>
      <c r="N62" s="430"/>
      <c r="O62" s="430"/>
      <c r="P62" s="430"/>
      <c r="Q62" s="430"/>
      <c r="R62" s="430"/>
      <c r="S62" s="430"/>
      <c r="T62" s="430"/>
      <c r="U62" s="430"/>
      <c r="V62" s="430"/>
      <c r="W62" s="430"/>
      <c r="X62" s="430"/>
      <c r="Y62" s="430"/>
      <c r="Z62" s="430"/>
      <c r="AA62" s="430"/>
      <c r="AB62" s="430"/>
      <c r="AC62" s="430"/>
      <c r="AD62" s="430"/>
      <c r="AE62" s="430"/>
      <c r="AF62" s="430"/>
      <c r="AG62" s="430"/>
      <c r="AH62" s="430"/>
      <c r="AI62" s="430"/>
      <c r="AJ62" s="430"/>
      <c r="AK62" s="430"/>
      <c r="AL62" s="430"/>
      <c r="AM62" s="430"/>
      <c r="AN62" s="430"/>
      <c r="AO62" s="430"/>
      <c r="AP62" s="430"/>
      <c r="AQ62" s="430"/>
      <c r="AR62" s="430"/>
      <c r="AS62" s="430"/>
      <c r="AT62" s="430"/>
      <c r="AU62" s="430"/>
      <c r="AV62" s="430"/>
      <c r="AW62" s="430"/>
      <c r="AX62" s="430"/>
      <c r="AY62" s="430"/>
      <c r="AZ62" s="430"/>
      <c r="BA62" s="430"/>
      <c r="BB62" s="430"/>
      <c r="BC62" s="430"/>
      <c r="BD62" s="430"/>
      <c r="BE62" s="430"/>
      <c r="BF62" s="430"/>
      <c r="BG62" s="430"/>
      <c r="BH62" s="430"/>
      <c r="BI62" s="430"/>
      <c r="BJ62" s="430"/>
      <c r="BK62" s="430"/>
    </row>
    <row r="63" spans="1:63">
      <c r="A63" s="430"/>
      <c r="B63" s="430"/>
      <c r="C63" s="430"/>
      <c r="D63" s="430"/>
      <c r="E63" s="430"/>
      <c r="F63" s="430"/>
      <c r="G63" s="430"/>
      <c r="H63" s="430"/>
      <c r="I63" s="430"/>
      <c r="J63" s="430"/>
      <c r="K63" s="430"/>
      <c r="L63" s="430"/>
      <c r="M63" s="430"/>
      <c r="N63" s="430"/>
      <c r="O63" s="430"/>
      <c r="P63" s="430"/>
      <c r="Q63" s="430"/>
      <c r="R63" s="430"/>
      <c r="S63" s="430"/>
      <c r="T63" s="430"/>
      <c r="U63" s="430"/>
      <c r="V63" s="430"/>
      <c r="W63" s="430"/>
      <c r="X63" s="430"/>
      <c r="Y63" s="430"/>
      <c r="Z63" s="430"/>
      <c r="AA63" s="430"/>
      <c r="AB63" s="430"/>
      <c r="AC63" s="430"/>
      <c r="AD63" s="430"/>
      <c r="AE63" s="430"/>
      <c r="AF63" s="430"/>
      <c r="AG63" s="430"/>
      <c r="AH63" s="430"/>
      <c r="AI63" s="430"/>
      <c r="AJ63" s="430"/>
      <c r="AK63" s="430"/>
      <c r="AL63" s="430"/>
      <c r="AM63" s="430"/>
      <c r="AN63" s="430"/>
      <c r="AO63" s="430"/>
      <c r="AP63" s="430"/>
      <c r="AQ63" s="430"/>
      <c r="AR63" s="430"/>
      <c r="AS63" s="430"/>
      <c r="AT63" s="430"/>
      <c r="AU63" s="430"/>
      <c r="AV63" s="430"/>
      <c r="AW63" s="430"/>
      <c r="AX63" s="430"/>
      <c r="AY63" s="430"/>
      <c r="AZ63" s="430"/>
      <c r="BA63" s="430"/>
      <c r="BB63" s="430"/>
      <c r="BC63" s="430"/>
      <c r="BD63" s="430"/>
      <c r="BE63" s="430"/>
      <c r="BF63" s="430"/>
      <c r="BG63" s="430"/>
      <c r="BH63" s="430"/>
      <c r="BI63" s="430"/>
      <c r="BJ63" s="430"/>
      <c r="BK63" s="430"/>
    </row>
    <row r="64" spans="1:63">
      <c r="A64" s="430"/>
      <c r="B64" s="430"/>
      <c r="C64" s="430"/>
      <c r="D64" s="430"/>
      <c r="E64" s="430"/>
      <c r="F64" s="430"/>
      <c r="G64" s="430"/>
      <c r="H64" s="430"/>
      <c r="I64" s="430"/>
      <c r="J64" s="430"/>
      <c r="K64" s="430"/>
      <c r="L64" s="430"/>
      <c r="M64" s="430"/>
      <c r="N64" s="430"/>
      <c r="O64" s="430"/>
      <c r="P64" s="430"/>
      <c r="Q64" s="430"/>
      <c r="R64" s="430"/>
      <c r="S64" s="430"/>
      <c r="T64" s="430"/>
      <c r="U64" s="430"/>
      <c r="V64" s="430"/>
      <c r="W64" s="430"/>
      <c r="X64" s="430"/>
      <c r="Y64" s="430"/>
      <c r="Z64" s="430"/>
      <c r="AA64" s="430"/>
      <c r="AB64" s="430"/>
      <c r="AC64" s="430"/>
      <c r="AD64" s="430"/>
      <c r="AE64" s="430"/>
      <c r="AF64" s="430"/>
      <c r="AG64" s="430"/>
      <c r="AH64" s="430"/>
      <c r="AI64" s="430"/>
      <c r="AJ64" s="430"/>
      <c r="AK64" s="430"/>
      <c r="AL64" s="430"/>
      <c r="AM64" s="430"/>
      <c r="AN64" s="430"/>
      <c r="AO64" s="430"/>
      <c r="AP64" s="430"/>
      <c r="AQ64" s="430"/>
      <c r="AR64" s="430"/>
      <c r="AS64" s="430"/>
      <c r="AT64" s="430"/>
      <c r="AU64" s="430"/>
      <c r="AV64" s="430"/>
      <c r="AW64" s="430"/>
      <c r="AX64" s="430"/>
      <c r="AY64" s="430"/>
      <c r="AZ64" s="430"/>
      <c r="BA64" s="430"/>
      <c r="BB64" s="430"/>
      <c r="BC64" s="430"/>
      <c r="BD64" s="430"/>
      <c r="BE64" s="430"/>
      <c r="BF64" s="430"/>
      <c r="BG64" s="430"/>
      <c r="BH64" s="430"/>
      <c r="BI64" s="430"/>
      <c r="BJ64" s="430"/>
      <c r="BK64" s="430"/>
    </row>
    <row r="65" spans="1:63">
      <c r="A65" s="430"/>
      <c r="B65" s="430"/>
      <c r="C65" s="430"/>
      <c r="D65" s="430"/>
      <c r="E65" s="430"/>
      <c r="F65" s="430"/>
      <c r="G65" s="430"/>
      <c r="H65" s="430"/>
      <c r="I65" s="430"/>
      <c r="J65" s="430"/>
      <c r="K65" s="430"/>
      <c r="L65" s="430"/>
      <c r="M65" s="430"/>
      <c r="N65" s="430"/>
      <c r="O65" s="430"/>
      <c r="P65" s="430"/>
      <c r="Q65" s="430"/>
      <c r="R65" s="430"/>
      <c r="S65" s="430"/>
      <c r="T65" s="430"/>
      <c r="U65" s="430"/>
      <c r="V65" s="430"/>
      <c r="W65" s="430"/>
      <c r="X65" s="430"/>
      <c r="Y65" s="430"/>
      <c r="Z65" s="430"/>
      <c r="AA65" s="430"/>
      <c r="AB65" s="430"/>
      <c r="AC65" s="430"/>
      <c r="AD65" s="430"/>
      <c r="AE65" s="430"/>
      <c r="AF65" s="430"/>
      <c r="AG65" s="430"/>
      <c r="AH65" s="430"/>
      <c r="AI65" s="430"/>
      <c r="AJ65" s="430"/>
      <c r="AK65" s="430"/>
      <c r="AL65" s="430"/>
      <c r="AM65" s="430"/>
      <c r="AN65" s="430"/>
      <c r="AO65" s="430"/>
      <c r="AP65" s="430"/>
      <c r="AQ65" s="430"/>
      <c r="AR65" s="430"/>
      <c r="AS65" s="430"/>
      <c r="AT65" s="430"/>
      <c r="AU65" s="430"/>
      <c r="AV65" s="430"/>
      <c r="AW65" s="430"/>
      <c r="AX65" s="430"/>
      <c r="AY65" s="430"/>
      <c r="AZ65" s="430"/>
      <c r="BA65" s="430"/>
      <c r="BB65" s="430"/>
      <c r="BC65" s="430"/>
      <c r="BD65" s="430"/>
      <c r="BE65" s="430"/>
      <c r="BF65" s="430"/>
      <c r="BG65" s="430"/>
      <c r="BH65" s="430"/>
      <c r="BI65" s="430"/>
      <c r="BJ65" s="430"/>
      <c r="BK65" s="430"/>
    </row>
    <row r="66" spans="1:63">
      <c r="A66" s="430"/>
      <c r="B66" s="430"/>
      <c r="C66" s="430"/>
      <c r="D66" s="430"/>
      <c r="E66" s="430"/>
      <c r="F66" s="430"/>
      <c r="G66" s="430"/>
      <c r="H66" s="430"/>
      <c r="I66" s="430"/>
      <c r="J66" s="430"/>
      <c r="K66" s="430"/>
      <c r="L66" s="430"/>
      <c r="M66" s="430"/>
      <c r="N66" s="430"/>
      <c r="O66" s="430"/>
      <c r="P66" s="430"/>
      <c r="Q66" s="430"/>
      <c r="R66" s="430"/>
      <c r="S66" s="430"/>
      <c r="T66" s="430"/>
      <c r="U66" s="430"/>
      <c r="V66" s="430"/>
      <c r="W66" s="430"/>
      <c r="X66" s="430"/>
      <c r="Y66" s="430"/>
      <c r="Z66" s="430"/>
      <c r="AA66" s="430"/>
      <c r="AB66" s="430"/>
      <c r="AC66" s="430"/>
      <c r="AD66" s="430"/>
      <c r="AE66" s="430"/>
      <c r="AF66" s="430"/>
      <c r="AG66" s="430"/>
      <c r="AH66" s="430"/>
      <c r="AI66" s="430"/>
      <c r="AJ66" s="430"/>
      <c r="AK66" s="430"/>
      <c r="AL66" s="430"/>
      <c r="AM66" s="430"/>
      <c r="AN66" s="430"/>
      <c r="AO66" s="430"/>
      <c r="AP66" s="430"/>
      <c r="AQ66" s="430"/>
      <c r="AR66" s="430"/>
      <c r="AS66" s="430"/>
      <c r="AT66" s="430"/>
      <c r="AU66" s="430"/>
      <c r="AV66" s="430"/>
      <c r="AW66" s="430"/>
      <c r="AX66" s="430"/>
      <c r="AY66" s="430"/>
      <c r="AZ66" s="430"/>
      <c r="BA66" s="430"/>
      <c r="BB66" s="430"/>
      <c r="BC66" s="430"/>
      <c r="BD66" s="430"/>
      <c r="BE66" s="430"/>
      <c r="BF66" s="430"/>
      <c r="BG66" s="430"/>
      <c r="BH66" s="430"/>
      <c r="BI66" s="430"/>
      <c r="BJ66" s="430"/>
      <c r="BK66" s="430"/>
    </row>
    <row r="67" spans="1:63">
      <c r="A67" s="430"/>
      <c r="B67" s="430"/>
      <c r="C67" s="430"/>
      <c r="D67" s="430"/>
      <c r="E67" s="430"/>
      <c r="F67" s="430"/>
      <c r="G67" s="430"/>
      <c r="H67" s="430"/>
      <c r="I67" s="430"/>
      <c r="J67" s="430"/>
      <c r="K67" s="430"/>
      <c r="L67" s="430"/>
      <c r="M67" s="430"/>
      <c r="N67" s="430"/>
      <c r="O67" s="430"/>
      <c r="P67" s="430"/>
      <c r="Q67" s="430"/>
      <c r="R67" s="430"/>
      <c r="S67" s="430"/>
      <c r="T67" s="430"/>
      <c r="U67" s="430"/>
      <c r="V67" s="430"/>
      <c r="W67" s="430"/>
      <c r="X67" s="430"/>
      <c r="Y67" s="430"/>
      <c r="Z67" s="430"/>
      <c r="AA67" s="430"/>
      <c r="AB67" s="430"/>
      <c r="AC67" s="430"/>
      <c r="AD67" s="430"/>
      <c r="AE67" s="430"/>
      <c r="AF67" s="430"/>
      <c r="AG67" s="430"/>
      <c r="AH67" s="430"/>
      <c r="AI67" s="430"/>
      <c r="AJ67" s="430"/>
      <c r="AK67" s="430"/>
      <c r="AL67" s="430"/>
      <c r="AM67" s="430"/>
      <c r="AN67" s="430"/>
      <c r="AO67" s="430"/>
      <c r="AP67" s="430"/>
      <c r="AQ67" s="430"/>
      <c r="AR67" s="430"/>
      <c r="AS67" s="430"/>
      <c r="AT67" s="430"/>
      <c r="AU67" s="430"/>
      <c r="AV67" s="430"/>
      <c r="AW67" s="430"/>
      <c r="AX67" s="430"/>
      <c r="AY67" s="430"/>
      <c r="AZ67" s="430"/>
      <c r="BA67" s="430"/>
      <c r="BB67" s="430"/>
      <c r="BC67" s="430"/>
      <c r="BD67" s="430"/>
      <c r="BE67" s="430"/>
      <c r="BF67" s="430"/>
      <c r="BG67" s="430"/>
      <c r="BH67" s="430"/>
      <c r="BI67" s="430"/>
      <c r="BJ67" s="430"/>
      <c r="BK67" s="430"/>
    </row>
    <row r="68" spans="1:63">
      <c r="A68" s="430"/>
      <c r="B68" s="430"/>
      <c r="C68" s="430"/>
      <c r="D68" s="430"/>
      <c r="E68" s="430"/>
      <c r="F68" s="430"/>
      <c r="G68" s="430"/>
      <c r="H68" s="430"/>
      <c r="I68" s="430"/>
      <c r="J68" s="430"/>
      <c r="K68" s="430"/>
      <c r="L68" s="430"/>
      <c r="M68" s="430"/>
      <c r="N68" s="430"/>
      <c r="O68" s="430"/>
      <c r="P68" s="430"/>
      <c r="Q68" s="430"/>
      <c r="R68" s="430"/>
      <c r="S68" s="430"/>
      <c r="T68" s="430"/>
      <c r="U68" s="430"/>
      <c r="V68" s="430"/>
      <c r="W68" s="430"/>
      <c r="X68" s="430"/>
      <c r="Y68" s="430"/>
      <c r="Z68" s="430"/>
      <c r="AA68" s="430"/>
      <c r="AB68" s="430"/>
      <c r="AC68" s="430"/>
      <c r="AD68" s="430"/>
      <c r="AE68" s="430"/>
      <c r="AF68" s="430"/>
      <c r="AG68" s="430"/>
      <c r="AH68" s="430"/>
      <c r="AI68" s="430"/>
      <c r="AJ68" s="430"/>
      <c r="AK68" s="430"/>
      <c r="AL68" s="430"/>
      <c r="AM68" s="430"/>
      <c r="AN68" s="430"/>
      <c r="AO68" s="430"/>
      <c r="AP68" s="430"/>
      <c r="AQ68" s="430"/>
      <c r="AR68" s="430"/>
      <c r="AS68" s="430"/>
      <c r="AT68" s="430"/>
      <c r="AU68" s="430"/>
      <c r="AV68" s="430"/>
      <c r="AW68" s="430"/>
      <c r="AX68" s="430"/>
      <c r="AY68" s="430"/>
      <c r="AZ68" s="430"/>
      <c r="BA68" s="430"/>
      <c r="BB68" s="430"/>
      <c r="BC68" s="430"/>
      <c r="BD68" s="430"/>
      <c r="BE68" s="430"/>
      <c r="BF68" s="430"/>
      <c r="BG68" s="430"/>
      <c r="BH68" s="430"/>
      <c r="BI68" s="430"/>
      <c r="BJ68" s="430"/>
      <c r="BK68" s="430"/>
    </row>
    <row r="69" spans="1:63">
      <c r="A69" s="430"/>
      <c r="B69" s="430"/>
      <c r="C69" s="430"/>
      <c r="D69" s="430"/>
      <c r="E69" s="430"/>
      <c r="F69" s="430"/>
      <c r="G69" s="430"/>
      <c r="H69" s="430"/>
      <c r="I69" s="430"/>
      <c r="J69" s="430"/>
      <c r="K69" s="430"/>
      <c r="L69" s="430"/>
      <c r="M69" s="430"/>
      <c r="N69" s="430"/>
      <c r="O69" s="430"/>
      <c r="P69" s="430"/>
      <c r="Q69" s="430"/>
      <c r="R69" s="430"/>
      <c r="S69" s="430"/>
      <c r="T69" s="430"/>
      <c r="U69" s="430"/>
      <c r="V69" s="430"/>
      <c r="W69" s="430"/>
      <c r="X69" s="430"/>
      <c r="Y69" s="430"/>
      <c r="Z69" s="430"/>
      <c r="AA69" s="430"/>
      <c r="AB69" s="430"/>
      <c r="AC69" s="430"/>
      <c r="AD69" s="430"/>
      <c r="AE69" s="430"/>
      <c r="AF69" s="430"/>
      <c r="AG69" s="430"/>
      <c r="AH69" s="430"/>
      <c r="AI69" s="430"/>
      <c r="AJ69" s="430"/>
      <c r="AK69" s="430"/>
      <c r="AL69" s="430"/>
      <c r="AM69" s="430"/>
      <c r="AN69" s="430"/>
      <c r="AO69" s="430"/>
      <c r="AP69" s="430"/>
      <c r="AQ69" s="430"/>
      <c r="AR69" s="430"/>
      <c r="AS69" s="430"/>
      <c r="AT69" s="430"/>
      <c r="AU69" s="430"/>
      <c r="AV69" s="430"/>
      <c r="AW69" s="430"/>
      <c r="AX69" s="430"/>
      <c r="AY69" s="430"/>
      <c r="AZ69" s="430"/>
      <c r="BA69" s="430"/>
      <c r="BB69" s="430"/>
      <c r="BC69" s="430"/>
      <c r="BD69" s="430"/>
      <c r="BE69" s="430"/>
      <c r="BF69" s="430"/>
      <c r="BG69" s="430"/>
      <c r="BH69" s="430"/>
      <c r="BI69" s="430"/>
      <c r="BJ69" s="430"/>
      <c r="BK69" s="430"/>
    </row>
    <row r="70" spans="1:63">
      <c r="A70" s="430"/>
      <c r="B70" s="430"/>
      <c r="C70" s="430"/>
      <c r="D70" s="430"/>
      <c r="E70" s="430"/>
      <c r="F70" s="430"/>
      <c r="G70" s="430"/>
      <c r="H70" s="430"/>
      <c r="I70" s="430"/>
      <c r="J70" s="430"/>
      <c r="K70" s="430"/>
      <c r="L70" s="430"/>
      <c r="M70" s="430"/>
      <c r="N70" s="430"/>
      <c r="O70" s="430"/>
      <c r="P70" s="430"/>
      <c r="Q70" s="430"/>
      <c r="R70" s="430"/>
      <c r="S70" s="430"/>
      <c r="T70" s="430"/>
      <c r="U70" s="430"/>
      <c r="V70" s="430"/>
      <c r="W70" s="430"/>
      <c r="X70" s="430"/>
      <c r="Y70" s="430"/>
      <c r="Z70" s="430"/>
      <c r="AA70" s="430"/>
      <c r="AB70" s="430"/>
      <c r="AC70" s="430"/>
      <c r="AD70" s="430"/>
      <c r="AE70" s="430"/>
      <c r="AF70" s="430"/>
      <c r="AG70" s="430"/>
      <c r="AH70" s="430"/>
      <c r="AI70" s="430"/>
      <c r="AJ70" s="430"/>
      <c r="AK70" s="430"/>
      <c r="AL70" s="430"/>
      <c r="AM70" s="430"/>
      <c r="AN70" s="430"/>
      <c r="AO70" s="430"/>
      <c r="AP70" s="430"/>
      <c r="AQ70" s="430"/>
      <c r="AR70" s="430"/>
      <c r="AS70" s="430"/>
      <c r="AT70" s="430"/>
      <c r="AU70" s="430"/>
      <c r="AV70" s="430"/>
      <c r="AW70" s="430"/>
      <c r="AX70" s="430"/>
      <c r="AY70" s="430"/>
      <c r="AZ70" s="430"/>
      <c r="BA70" s="430"/>
      <c r="BB70" s="430"/>
      <c r="BC70" s="430"/>
      <c r="BD70" s="430"/>
      <c r="BE70" s="430"/>
      <c r="BF70" s="430"/>
      <c r="BG70" s="430"/>
      <c r="BH70" s="430"/>
      <c r="BI70" s="430"/>
      <c r="BJ70" s="430"/>
      <c r="BK70" s="430"/>
    </row>
    <row r="71" spans="1:63">
      <c r="A71" s="430"/>
      <c r="B71" s="430"/>
      <c r="C71" s="430"/>
      <c r="D71" s="430"/>
      <c r="E71" s="430"/>
      <c r="F71" s="430"/>
      <c r="G71" s="430"/>
      <c r="H71" s="430"/>
      <c r="I71" s="430"/>
      <c r="J71" s="430"/>
      <c r="K71" s="430"/>
      <c r="L71" s="430"/>
      <c r="M71" s="430"/>
      <c r="N71" s="430"/>
      <c r="O71" s="430"/>
      <c r="P71" s="430"/>
      <c r="Q71" s="430"/>
      <c r="R71" s="430"/>
      <c r="S71" s="430"/>
      <c r="T71" s="430"/>
      <c r="U71" s="430"/>
      <c r="V71" s="430"/>
      <c r="W71" s="430"/>
      <c r="X71" s="430"/>
      <c r="Y71" s="430"/>
      <c r="Z71" s="430"/>
      <c r="AA71" s="430"/>
      <c r="AB71" s="430"/>
      <c r="AC71" s="430"/>
      <c r="AD71" s="430"/>
      <c r="AE71" s="430"/>
      <c r="AF71" s="430"/>
      <c r="AG71" s="430"/>
      <c r="AH71" s="430"/>
      <c r="AI71" s="430"/>
      <c r="AJ71" s="430"/>
      <c r="AK71" s="430"/>
      <c r="AL71" s="430"/>
      <c r="AM71" s="430"/>
      <c r="AN71" s="430"/>
      <c r="AO71" s="430"/>
      <c r="AP71" s="430"/>
      <c r="AQ71" s="430"/>
      <c r="AR71" s="430"/>
      <c r="AS71" s="430"/>
      <c r="AT71" s="430"/>
      <c r="AU71" s="430"/>
      <c r="AV71" s="430"/>
      <c r="AW71" s="430"/>
      <c r="AX71" s="430"/>
      <c r="AY71" s="430"/>
      <c r="AZ71" s="430"/>
      <c r="BA71" s="430"/>
      <c r="BB71" s="430"/>
      <c r="BC71" s="430"/>
      <c r="BD71" s="430"/>
      <c r="BE71" s="430"/>
      <c r="BF71" s="430"/>
      <c r="BG71" s="430"/>
      <c r="BH71" s="430"/>
      <c r="BI71" s="430"/>
      <c r="BJ71" s="430"/>
      <c r="BK71" s="430"/>
    </row>
    <row r="72" spans="1:63">
      <c r="A72" s="430"/>
      <c r="B72" s="430"/>
      <c r="C72" s="430"/>
      <c r="D72" s="430"/>
      <c r="E72" s="430"/>
      <c r="F72" s="430"/>
      <c r="G72" s="430"/>
      <c r="H72" s="430"/>
      <c r="I72" s="430"/>
      <c r="J72" s="430"/>
      <c r="K72" s="430"/>
      <c r="L72" s="430"/>
      <c r="M72" s="430"/>
      <c r="N72" s="430"/>
      <c r="O72" s="430"/>
      <c r="P72" s="430"/>
      <c r="Q72" s="430"/>
      <c r="R72" s="430"/>
      <c r="S72" s="430"/>
      <c r="T72" s="430"/>
      <c r="U72" s="430"/>
      <c r="V72" s="430"/>
      <c r="W72" s="430"/>
      <c r="X72" s="430"/>
      <c r="Y72" s="430"/>
      <c r="Z72" s="430"/>
      <c r="AA72" s="430"/>
      <c r="AB72" s="430"/>
      <c r="AC72" s="430"/>
      <c r="AD72" s="430"/>
      <c r="AE72" s="430"/>
      <c r="AF72" s="430"/>
      <c r="AG72" s="430"/>
      <c r="AH72" s="430"/>
      <c r="AI72" s="430"/>
      <c r="AJ72" s="430"/>
      <c r="AK72" s="430"/>
      <c r="AL72" s="430"/>
      <c r="AM72" s="430"/>
      <c r="AN72" s="430"/>
      <c r="AO72" s="430"/>
      <c r="AP72" s="430"/>
      <c r="AQ72" s="430"/>
      <c r="AR72" s="430"/>
      <c r="AS72" s="430"/>
      <c r="AT72" s="430"/>
      <c r="AU72" s="430"/>
      <c r="AV72" s="430"/>
      <c r="AW72" s="430"/>
      <c r="AX72" s="430"/>
      <c r="AY72" s="430"/>
      <c r="AZ72" s="430"/>
      <c r="BA72" s="430"/>
      <c r="BB72" s="430"/>
      <c r="BC72" s="430"/>
      <c r="BD72" s="430"/>
      <c r="BE72" s="430"/>
      <c r="BF72" s="430"/>
      <c r="BG72" s="430"/>
      <c r="BH72" s="430"/>
      <c r="BI72" s="430"/>
      <c r="BJ72" s="430"/>
      <c r="BK72" s="430"/>
    </row>
    <row r="73" spans="1:63">
      <c r="A73" s="430"/>
      <c r="B73" s="430"/>
      <c r="C73" s="430"/>
      <c r="D73" s="430"/>
      <c r="E73" s="430"/>
      <c r="F73" s="430"/>
      <c r="G73" s="430"/>
      <c r="H73" s="430"/>
      <c r="I73" s="430"/>
      <c r="J73" s="430"/>
      <c r="K73" s="430"/>
      <c r="L73" s="430"/>
      <c r="M73" s="430"/>
      <c r="N73" s="430"/>
      <c r="O73" s="430"/>
      <c r="P73" s="430"/>
      <c r="Q73" s="430"/>
      <c r="R73" s="430"/>
      <c r="S73" s="430"/>
      <c r="T73" s="430"/>
      <c r="U73" s="430"/>
      <c r="V73" s="430"/>
      <c r="W73" s="430"/>
      <c r="X73" s="430"/>
      <c r="Y73" s="430"/>
      <c r="Z73" s="430"/>
      <c r="AA73" s="430"/>
      <c r="AB73" s="430"/>
      <c r="AC73" s="430"/>
      <c r="AD73" s="430"/>
      <c r="AE73" s="430"/>
      <c r="AF73" s="430"/>
      <c r="AG73" s="430"/>
      <c r="AH73" s="430"/>
      <c r="AI73" s="430"/>
      <c r="AJ73" s="430"/>
      <c r="AK73" s="430"/>
      <c r="AL73" s="430"/>
      <c r="AM73" s="430"/>
      <c r="AN73" s="430"/>
      <c r="AO73" s="430"/>
      <c r="AP73" s="430"/>
      <c r="AQ73" s="430"/>
      <c r="AR73" s="430"/>
      <c r="AS73" s="430"/>
      <c r="AT73" s="430"/>
      <c r="AU73" s="430"/>
      <c r="AV73" s="430"/>
      <c r="AW73" s="430"/>
      <c r="AX73" s="430"/>
      <c r="AY73" s="430"/>
      <c r="AZ73" s="430"/>
      <c r="BA73" s="430"/>
      <c r="BB73" s="430"/>
      <c r="BC73" s="430"/>
      <c r="BD73" s="430"/>
      <c r="BE73" s="430"/>
      <c r="BF73" s="430"/>
      <c r="BG73" s="430"/>
      <c r="BH73" s="430"/>
      <c r="BI73" s="430"/>
      <c r="BJ73" s="430"/>
      <c r="BK73" s="430"/>
    </row>
    <row r="74" spans="1:63">
      <c r="A74" s="430"/>
      <c r="B74" s="430"/>
      <c r="C74" s="430"/>
      <c r="D74" s="430"/>
      <c r="E74" s="430"/>
      <c r="F74" s="430"/>
      <c r="G74" s="430"/>
      <c r="H74" s="430"/>
      <c r="I74" s="430"/>
      <c r="J74" s="430"/>
      <c r="K74" s="430"/>
      <c r="L74" s="430"/>
      <c r="M74" s="430"/>
      <c r="N74" s="430"/>
      <c r="O74" s="430"/>
      <c r="P74" s="430"/>
      <c r="Q74" s="430"/>
      <c r="R74" s="430"/>
      <c r="S74" s="430"/>
      <c r="T74" s="430"/>
      <c r="U74" s="430"/>
      <c r="V74" s="430"/>
      <c r="W74" s="430"/>
      <c r="X74" s="430"/>
      <c r="Y74" s="430"/>
      <c r="Z74" s="430"/>
      <c r="AA74" s="430"/>
      <c r="AB74" s="430"/>
      <c r="AC74" s="430"/>
      <c r="AD74" s="430"/>
      <c r="AE74" s="430"/>
      <c r="AF74" s="430"/>
      <c r="AG74" s="430"/>
      <c r="AH74" s="430"/>
      <c r="AI74" s="430"/>
      <c r="AJ74" s="430"/>
      <c r="AK74" s="430"/>
      <c r="AL74" s="430"/>
      <c r="AM74" s="430"/>
      <c r="AN74" s="430"/>
      <c r="AO74" s="430"/>
      <c r="AP74" s="430"/>
      <c r="AQ74" s="430"/>
      <c r="AR74" s="430"/>
      <c r="AS74" s="430"/>
      <c r="AT74" s="430"/>
      <c r="AU74" s="430"/>
      <c r="AV74" s="430"/>
      <c r="AW74" s="430"/>
      <c r="AX74" s="430"/>
      <c r="AY74" s="430"/>
      <c r="AZ74" s="430"/>
      <c r="BA74" s="430"/>
      <c r="BB74" s="430"/>
      <c r="BC74" s="430"/>
      <c r="BD74" s="430"/>
      <c r="BE74" s="430"/>
      <c r="BF74" s="430"/>
      <c r="BG74" s="430"/>
      <c r="BH74" s="430"/>
      <c r="BI74" s="430"/>
      <c r="BJ74" s="430"/>
      <c r="BK74" s="430"/>
    </row>
    <row r="75" spans="1:63">
      <c r="A75" s="430"/>
      <c r="B75" s="430"/>
      <c r="C75" s="430"/>
      <c r="D75" s="430"/>
      <c r="E75" s="430"/>
      <c r="F75" s="430"/>
      <c r="G75" s="430"/>
      <c r="H75" s="430"/>
      <c r="I75" s="430"/>
      <c r="J75" s="430"/>
      <c r="K75" s="430"/>
      <c r="L75" s="430"/>
      <c r="M75" s="430"/>
      <c r="N75" s="430"/>
      <c r="O75" s="430"/>
      <c r="P75" s="430"/>
      <c r="Q75" s="430"/>
      <c r="R75" s="430"/>
      <c r="S75" s="430"/>
      <c r="T75" s="430"/>
      <c r="U75" s="430"/>
      <c r="V75" s="430"/>
      <c r="W75" s="430"/>
      <c r="X75" s="430"/>
      <c r="Y75" s="430"/>
      <c r="Z75" s="430"/>
      <c r="AA75" s="430"/>
      <c r="AB75" s="430"/>
      <c r="AC75" s="430"/>
      <c r="AD75" s="430"/>
      <c r="AE75" s="430"/>
      <c r="AF75" s="430"/>
      <c r="AG75" s="430"/>
      <c r="AH75" s="430"/>
      <c r="AI75" s="430"/>
      <c r="AJ75" s="430"/>
      <c r="AK75" s="430"/>
      <c r="AL75" s="430"/>
      <c r="AM75" s="430"/>
      <c r="AN75" s="430"/>
      <c r="AO75" s="430"/>
      <c r="AP75" s="430"/>
      <c r="AQ75" s="430"/>
      <c r="AR75" s="430"/>
      <c r="AS75" s="430"/>
      <c r="AT75" s="430"/>
      <c r="AU75" s="430"/>
      <c r="AV75" s="430"/>
      <c r="AW75" s="430"/>
      <c r="AX75" s="430"/>
      <c r="AY75" s="430"/>
      <c r="AZ75" s="430"/>
      <c r="BA75" s="430"/>
      <c r="BB75" s="430"/>
      <c r="BC75" s="430"/>
      <c r="BD75" s="430"/>
      <c r="BE75" s="430"/>
      <c r="BF75" s="430"/>
      <c r="BG75" s="430"/>
      <c r="BH75" s="430"/>
      <c r="BI75" s="430"/>
      <c r="BJ75" s="430"/>
      <c r="BK75" s="430"/>
    </row>
    <row r="76" spans="1:63">
      <c r="A76" s="430"/>
      <c r="B76" s="430"/>
      <c r="C76" s="430"/>
      <c r="D76" s="430"/>
      <c r="E76" s="430"/>
      <c r="F76" s="430"/>
      <c r="G76" s="430"/>
      <c r="H76" s="430"/>
      <c r="I76" s="430"/>
      <c r="J76" s="430"/>
      <c r="K76" s="430"/>
      <c r="L76" s="430"/>
      <c r="M76" s="430"/>
      <c r="N76" s="430"/>
      <c r="O76" s="430"/>
      <c r="P76" s="430"/>
      <c r="Q76" s="430"/>
      <c r="R76" s="430"/>
      <c r="S76" s="430"/>
      <c r="T76" s="430"/>
      <c r="U76" s="430"/>
      <c r="V76" s="430"/>
      <c r="W76" s="430"/>
      <c r="X76" s="430"/>
      <c r="Y76" s="430"/>
      <c r="Z76" s="430"/>
      <c r="AA76" s="430"/>
      <c r="AB76" s="430"/>
      <c r="AC76" s="430"/>
      <c r="AD76" s="430"/>
      <c r="AE76" s="430"/>
      <c r="AF76" s="430"/>
      <c r="AG76" s="430"/>
      <c r="AH76" s="430"/>
      <c r="AI76" s="430"/>
      <c r="AJ76" s="430"/>
      <c r="AK76" s="430"/>
      <c r="AL76" s="430"/>
      <c r="AM76" s="430"/>
      <c r="AN76" s="430"/>
      <c r="AO76" s="430"/>
      <c r="AP76" s="430"/>
      <c r="AQ76" s="430"/>
      <c r="AR76" s="430"/>
      <c r="AS76" s="430"/>
      <c r="AT76" s="430"/>
      <c r="AU76" s="430"/>
      <c r="AV76" s="430"/>
      <c r="AW76" s="430"/>
      <c r="AX76" s="430"/>
      <c r="AY76" s="430"/>
      <c r="AZ76" s="430"/>
      <c r="BA76" s="430"/>
      <c r="BB76" s="430"/>
      <c r="BC76" s="430"/>
      <c r="BD76" s="430"/>
      <c r="BE76" s="430"/>
      <c r="BF76" s="430"/>
      <c r="BG76" s="430"/>
      <c r="BH76" s="430"/>
      <c r="BI76" s="430"/>
      <c r="BJ76" s="430"/>
      <c r="BK76" s="430"/>
    </row>
    <row r="77" spans="1:63">
      <c r="A77" s="430"/>
      <c r="B77" s="430"/>
      <c r="C77" s="430"/>
      <c r="D77" s="430"/>
      <c r="E77" s="430"/>
      <c r="F77" s="430"/>
      <c r="G77" s="430"/>
      <c r="H77" s="430"/>
      <c r="I77" s="430"/>
      <c r="J77" s="430"/>
      <c r="K77" s="430"/>
      <c r="L77" s="430"/>
      <c r="M77" s="430"/>
      <c r="N77" s="430"/>
      <c r="O77" s="430"/>
      <c r="P77" s="430"/>
      <c r="Q77" s="430"/>
      <c r="R77" s="430"/>
      <c r="S77" s="430"/>
      <c r="T77" s="430"/>
      <c r="U77" s="430"/>
      <c r="V77" s="430"/>
      <c r="W77" s="430"/>
      <c r="X77" s="430"/>
      <c r="Y77" s="430"/>
      <c r="Z77" s="430"/>
      <c r="AA77" s="430"/>
      <c r="AB77" s="430"/>
      <c r="AC77" s="430"/>
      <c r="AD77" s="430"/>
      <c r="AE77" s="430"/>
      <c r="AF77" s="430"/>
      <c r="AG77" s="430"/>
      <c r="AH77" s="430"/>
      <c r="AI77" s="430"/>
      <c r="AJ77" s="430"/>
      <c r="AK77" s="430"/>
      <c r="AL77" s="430"/>
      <c r="AM77" s="430"/>
      <c r="AN77" s="430"/>
      <c r="AO77" s="430"/>
      <c r="AP77" s="430"/>
      <c r="AQ77" s="430"/>
      <c r="AR77" s="430"/>
      <c r="AS77" s="430"/>
      <c r="AT77" s="430"/>
      <c r="AU77" s="430"/>
      <c r="AV77" s="430"/>
      <c r="AW77" s="430"/>
      <c r="AX77" s="430"/>
      <c r="AY77" s="430"/>
      <c r="AZ77" s="430"/>
      <c r="BA77" s="430"/>
      <c r="BB77" s="430"/>
      <c r="BC77" s="430"/>
      <c r="BD77" s="430"/>
      <c r="BE77" s="430"/>
      <c r="BF77" s="430"/>
      <c r="BG77" s="430"/>
      <c r="BH77" s="430"/>
      <c r="BI77" s="430"/>
      <c r="BJ77" s="430"/>
      <c r="BK77" s="430"/>
    </row>
    <row r="78" spans="1:63">
      <c r="A78" s="430"/>
      <c r="B78" s="430"/>
      <c r="C78" s="430"/>
      <c r="D78" s="430"/>
      <c r="E78" s="430"/>
      <c r="F78" s="430"/>
      <c r="G78" s="430"/>
      <c r="H78" s="430"/>
      <c r="I78" s="430"/>
      <c r="J78" s="430"/>
      <c r="K78" s="430"/>
      <c r="L78" s="430"/>
      <c r="M78" s="430"/>
      <c r="N78" s="430"/>
      <c r="O78" s="430"/>
      <c r="P78" s="430"/>
      <c r="Q78" s="430"/>
      <c r="R78" s="430"/>
      <c r="S78" s="430"/>
      <c r="T78" s="430"/>
      <c r="U78" s="430"/>
      <c r="V78" s="430"/>
      <c r="W78" s="430"/>
      <c r="X78" s="430"/>
      <c r="Y78" s="430"/>
      <c r="Z78" s="430"/>
      <c r="AA78" s="430"/>
      <c r="AB78" s="430"/>
      <c r="AC78" s="430"/>
      <c r="AD78" s="430"/>
      <c r="AE78" s="430"/>
      <c r="AF78" s="430"/>
      <c r="AG78" s="430"/>
      <c r="AH78" s="430"/>
      <c r="AI78" s="430"/>
      <c r="AJ78" s="430"/>
      <c r="AK78" s="430"/>
      <c r="AL78" s="430"/>
      <c r="AM78" s="430"/>
      <c r="AN78" s="430"/>
      <c r="AO78" s="430"/>
      <c r="AP78" s="430"/>
      <c r="AQ78" s="430"/>
      <c r="AR78" s="430"/>
      <c r="AS78" s="430"/>
      <c r="AT78" s="430"/>
      <c r="AU78" s="430"/>
      <c r="AV78" s="430"/>
      <c r="AW78" s="430"/>
      <c r="AX78" s="430"/>
      <c r="AY78" s="430"/>
      <c r="AZ78" s="430"/>
      <c r="BA78" s="430"/>
      <c r="BB78" s="430"/>
      <c r="BC78" s="430"/>
      <c r="BD78" s="430"/>
      <c r="BE78" s="430"/>
      <c r="BF78" s="430"/>
      <c r="BG78" s="430"/>
      <c r="BH78" s="430"/>
      <c r="BI78" s="430"/>
      <c r="BJ78" s="430"/>
      <c r="BK78" s="430"/>
    </row>
    <row r="79" spans="1:63">
      <c r="A79" s="430"/>
      <c r="B79" s="430"/>
      <c r="C79" s="430"/>
      <c r="D79" s="430"/>
      <c r="E79" s="430"/>
      <c r="F79" s="430"/>
      <c r="G79" s="430"/>
      <c r="H79" s="430"/>
      <c r="I79" s="430"/>
      <c r="J79" s="430"/>
      <c r="K79" s="430"/>
      <c r="L79" s="430"/>
      <c r="M79" s="430"/>
      <c r="N79" s="430"/>
      <c r="O79" s="430"/>
      <c r="P79" s="430"/>
      <c r="Q79" s="430"/>
      <c r="R79" s="430"/>
      <c r="S79" s="430"/>
      <c r="T79" s="430"/>
      <c r="U79" s="430"/>
      <c r="V79" s="430"/>
      <c r="W79" s="430"/>
      <c r="X79" s="430"/>
      <c r="Y79" s="430"/>
      <c r="Z79" s="430"/>
      <c r="AA79" s="430"/>
      <c r="AB79" s="430"/>
      <c r="AC79" s="430"/>
      <c r="AD79" s="430"/>
      <c r="AE79" s="430"/>
      <c r="AF79" s="430"/>
      <c r="AG79" s="430"/>
      <c r="AH79" s="430"/>
      <c r="AI79" s="430"/>
      <c r="AJ79" s="430"/>
      <c r="AK79" s="430"/>
      <c r="AL79" s="430"/>
      <c r="AM79" s="430"/>
      <c r="AN79" s="430"/>
      <c r="AO79" s="430"/>
      <c r="AP79" s="430"/>
      <c r="AQ79" s="430"/>
      <c r="AR79" s="430"/>
      <c r="AS79" s="430"/>
      <c r="AT79" s="430"/>
      <c r="AU79" s="430"/>
      <c r="AV79" s="430"/>
      <c r="AW79" s="430"/>
      <c r="AX79" s="430"/>
      <c r="AY79" s="430"/>
      <c r="AZ79" s="430"/>
      <c r="BA79" s="430"/>
      <c r="BB79" s="430"/>
      <c r="BC79" s="430"/>
      <c r="BD79" s="430"/>
      <c r="BE79" s="430"/>
      <c r="BF79" s="430"/>
      <c r="BG79" s="430"/>
      <c r="BH79" s="430"/>
      <c r="BI79" s="430"/>
      <c r="BJ79" s="430"/>
      <c r="BK79" s="430"/>
    </row>
    <row r="80" spans="1:63">
      <c r="A80" s="430"/>
      <c r="B80" s="430"/>
      <c r="C80" s="430"/>
      <c r="D80" s="430"/>
      <c r="E80" s="430"/>
      <c r="F80" s="430"/>
      <c r="G80" s="430"/>
      <c r="H80" s="430"/>
      <c r="I80" s="430"/>
      <c r="J80" s="430"/>
      <c r="K80" s="430"/>
      <c r="L80" s="430"/>
      <c r="M80" s="430"/>
      <c r="N80" s="430"/>
      <c r="O80" s="430"/>
      <c r="P80" s="430"/>
      <c r="Q80" s="430"/>
      <c r="R80" s="430"/>
      <c r="S80" s="430"/>
      <c r="T80" s="430"/>
      <c r="U80" s="430"/>
      <c r="V80" s="430"/>
      <c r="W80" s="430"/>
      <c r="X80" s="430"/>
      <c r="Y80" s="430"/>
      <c r="Z80" s="430"/>
      <c r="AA80" s="430"/>
      <c r="AB80" s="430"/>
      <c r="AC80" s="430"/>
      <c r="AD80" s="430"/>
      <c r="AE80" s="430"/>
      <c r="AF80" s="430"/>
      <c r="AG80" s="430"/>
      <c r="AH80" s="430"/>
      <c r="AI80" s="430"/>
      <c r="AJ80" s="430"/>
      <c r="AK80" s="430"/>
      <c r="AL80" s="430"/>
      <c r="AM80" s="430"/>
      <c r="AN80" s="430"/>
      <c r="AO80" s="430"/>
      <c r="AP80" s="430"/>
      <c r="AQ80" s="430"/>
      <c r="AR80" s="430"/>
      <c r="AS80" s="430"/>
      <c r="AT80" s="430"/>
      <c r="AU80" s="430"/>
      <c r="AV80" s="430"/>
      <c r="AW80" s="430"/>
      <c r="AX80" s="430"/>
      <c r="AY80" s="430"/>
      <c r="AZ80" s="430"/>
      <c r="BA80" s="430"/>
      <c r="BB80" s="430"/>
      <c r="BC80" s="430"/>
      <c r="BD80" s="430"/>
      <c r="BE80" s="430"/>
      <c r="BF80" s="430"/>
      <c r="BG80" s="430"/>
      <c r="BH80" s="430"/>
      <c r="BI80" s="430"/>
      <c r="BJ80" s="430"/>
      <c r="BK80" s="430"/>
    </row>
    <row r="81" spans="1:63">
      <c r="A81" s="430"/>
      <c r="B81" s="430"/>
      <c r="C81" s="430"/>
      <c r="D81" s="430"/>
      <c r="E81" s="430"/>
      <c r="F81" s="430"/>
      <c r="G81" s="430"/>
      <c r="H81" s="430"/>
      <c r="I81" s="430"/>
      <c r="J81" s="430"/>
      <c r="K81" s="430"/>
      <c r="L81" s="430"/>
      <c r="M81" s="430"/>
      <c r="N81" s="430"/>
      <c r="O81" s="430"/>
      <c r="P81" s="430"/>
      <c r="Q81" s="430"/>
      <c r="R81" s="430"/>
      <c r="S81" s="430"/>
      <c r="T81" s="430"/>
      <c r="U81" s="430"/>
      <c r="V81" s="430"/>
      <c r="W81" s="430"/>
      <c r="X81" s="430"/>
      <c r="Y81" s="430"/>
      <c r="Z81" s="430"/>
      <c r="AA81" s="430"/>
      <c r="AB81" s="430"/>
      <c r="AC81" s="430"/>
      <c r="AD81" s="430"/>
      <c r="AE81" s="430"/>
      <c r="AF81" s="430"/>
      <c r="AG81" s="430"/>
      <c r="AH81" s="430"/>
      <c r="AI81" s="430"/>
      <c r="AJ81" s="430"/>
      <c r="AK81" s="430"/>
      <c r="AL81" s="430"/>
      <c r="AM81" s="430"/>
      <c r="AN81" s="430"/>
      <c r="AO81" s="430"/>
      <c r="AP81" s="430"/>
      <c r="AQ81" s="430"/>
      <c r="AR81" s="430"/>
      <c r="AS81" s="430"/>
      <c r="AT81" s="430"/>
      <c r="AU81" s="430"/>
      <c r="AV81" s="430"/>
      <c r="AW81" s="430"/>
      <c r="AX81" s="430"/>
      <c r="AY81" s="430"/>
      <c r="AZ81" s="430"/>
      <c r="BA81" s="430"/>
      <c r="BB81" s="430"/>
      <c r="BC81" s="430"/>
      <c r="BD81" s="430"/>
      <c r="BE81" s="430"/>
      <c r="BF81" s="430"/>
      <c r="BG81" s="430"/>
      <c r="BH81" s="430"/>
      <c r="BI81" s="430"/>
      <c r="BJ81" s="430"/>
      <c r="BK81" s="430"/>
    </row>
    <row r="82" spans="1:63">
      <c r="A82" s="430"/>
      <c r="B82" s="430"/>
      <c r="C82" s="430"/>
      <c r="D82" s="430"/>
      <c r="E82" s="430"/>
      <c r="F82" s="430"/>
      <c r="G82" s="430"/>
      <c r="H82" s="430"/>
      <c r="I82" s="430"/>
      <c r="J82" s="430"/>
      <c r="K82" s="430"/>
      <c r="L82" s="430"/>
      <c r="M82" s="430"/>
      <c r="N82" s="430"/>
      <c r="O82" s="430"/>
      <c r="P82" s="430"/>
      <c r="Q82" s="430"/>
      <c r="R82" s="430"/>
      <c r="S82" s="430"/>
      <c r="T82" s="430"/>
      <c r="U82" s="430"/>
      <c r="V82" s="430"/>
      <c r="W82" s="430"/>
      <c r="X82" s="430"/>
      <c r="Y82" s="430"/>
      <c r="Z82" s="430"/>
      <c r="AA82" s="430"/>
      <c r="AB82" s="430"/>
      <c r="AC82" s="430"/>
      <c r="AD82" s="430"/>
      <c r="AE82" s="430"/>
      <c r="AF82" s="430"/>
      <c r="AG82" s="430"/>
      <c r="AH82" s="430"/>
      <c r="AI82" s="430"/>
      <c r="AJ82" s="430"/>
      <c r="AK82" s="430"/>
      <c r="AL82" s="430"/>
      <c r="AM82" s="430"/>
      <c r="AN82" s="430"/>
      <c r="AO82" s="430"/>
      <c r="AP82" s="430"/>
      <c r="AQ82" s="430"/>
      <c r="AR82" s="430"/>
      <c r="AS82" s="430"/>
      <c r="AT82" s="430"/>
      <c r="AU82" s="430"/>
      <c r="AV82" s="430"/>
      <c r="AW82" s="430"/>
      <c r="AX82" s="430"/>
      <c r="AY82" s="430"/>
      <c r="AZ82" s="430"/>
      <c r="BA82" s="430"/>
      <c r="BB82" s="430"/>
      <c r="BC82" s="430"/>
      <c r="BD82" s="430"/>
      <c r="BE82" s="430"/>
      <c r="BF82" s="430"/>
      <c r="BG82" s="430"/>
      <c r="BH82" s="430"/>
      <c r="BI82" s="430"/>
      <c r="BJ82" s="430"/>
      <c r="BK82" s="430"/>
    </row>
    <row r="83" spans="1:63">
      <c r="A83" s="430"/>
      <c r="B83" s="430"/>
      <c r="C83" s="430"/>
      <c r="D83" s="430"/>
      <c r="E83" s="430"/>
      <c r="F83" s="430"/>
      <c r="G83" s="430"/>
      <c r="H83" s="430"/>
      <c r="I83" s="430"/>
      <c r="J83" s="430"/>
      <c r="K83" s="430"/>
      <c r="L83" s="430"/>
      <c r="M83" s="430"/>
      <c r="N83" s="430"/>
      <c r="O83" s="430"/>
      <c r="P83" s="430"/>
      <c r="Q83" s="430"/>
      <c r="R83" s="430"/>
      <c r="S83" s="430"/>
      <c r="T83" s="430"/>
      <c r="U83" s="430"/>
      <c r="V83" s="430"/>
      <c r="W83" s="430"/>
      <c r="X83" s="430"/>
      <c r="Y83" s="430"/>
      <c r="Z83" s="430"/>
      <c r="AA83" s="430"/>
      <c r="AB83" s="430"/>
      <c r="AC83" s="430"/>
      <c r="AD83" s="430"/>
      <c r="AE83" s="430"/>
      <c r="AF83" s="430"/>
      <c r="AG83" s="430"/>
      <c r="AH83" s="430"/>
      <c r="AI83" s="430"/>
      <c r="AJ83" s="430"/>
      <c r="AK83" s="430"/>
      <c r="AL83" s="430"/>
      <c r="AM83" s="430"/>
      <c r="AN83" s="430"/>
      <c r="AO83" s="430"/>
      <c r="AP83" s="430"/>
      <c r="AQ83" s="430"/>
      <c r="AR83" s="430"/>
      <c r="AS83" s="430"/>
      <c r="AT83" s="430"/>
      <c r="AU83" s="430"/>
      <c r="AV83" s="430"/>
      <c r="AW83" s="430"/>
      <c r="AX83" s="430"/>
      <c r="AY83" s="430"/>
      <c r="AZ83" s="430"/>
      <c r="BA83" s="430"/>
      <c r="BB83" s="430"/>
      <c r="BC83" s="430"/>
      <c r="BD83" s="430"/>
      <c r="BE83" s="430"/>
      <c r="BF83" s="430"/>
      <c r="BG83" s="430"/>
      <c r="BH83" s="430"/>
      <c r="BI83" s="430"/>
      <c r="BJ83" s="430"/>
      <c r="BK83" s="430"/>
    </row>
    <row r="84" spans="1:63">
      <c r="A84" s="430"/>
      <c r="B84" s="430"/>
      <c r="C84" s="430"/>
      <c r="D84" s="430"/>
      <c r="E84" s="430"/>
      <c r="F84" s="430"/>
      <c r="G84" s="430"/>
      <c r="H84" s="430"/>
      <c r="I84" s="430"/>
      <c r="J84" s="430"/>
      <c r="K84" s="430"/>
      <c r="L84" s="430"/>
      <c r="M84" s="430"/>
      <c r="N84" s="430"/>
      <c r="O84" s="430"/>
      <c r="P84" s="430"/>
      <c r="Q84" s="430"/>
      <c r="R84" s="430"/>
      <c r="S84" s="430"/>
      <c r="T84" s="430"/>
      <c r="U84" s="430"/>
      <c r="V84" s="430"/>
      <c r="W84" s="430"/>
      <c r="X84" s="430"/>
      <c r="Y84" s="430"/>
      <c r="Z84" s="430"/>
      <c r="AA84" s="430"/>
      <c r="AB84" s="430"/>
      <c r="AC84" s="430"/>
      <c r="AD84" s="430"/>
      <c r="AE84" s="430"/>
      <c r="AF84" s="430"/>
      <c r="AG84" s="430"/>
      <c r="AH84" s="430"/>
      <c r="AI84" s="430"/>
      <c r="AJ84" s="430"/>
      <c r="AK84" s="430"/>
      <c r="AL84" s="430"/>
      <c r="AM84" s="430"/>
      <c r="AN84" s="430"/>
      <c r="AO84" s="430"/>
      <c r="AP84" s="430"/>
      <c r="AQ84" s="430"/>
      <c r="AR84" s="430"/>
      <c r="AS84" s="430"/>
      <c r="AT84" s="430"/>
      <c r="AU84" s="430"/>
      <c r="AV84" s="430"/>
      <c r="AW84" s="430"/>
      <c r="AX84" s="430"/>
      <c r="AY84" s="430"/>
      <c r="AZ84" s="430"/>
      <c r="BA84" s="430"/>
      <c r="BB84" s="430"/>
      <c r="BC84" s="430"/>
      <c r="BD84" s="430"/>
      <c r="BE84" s="430"/>
      <c r="BF84" s="430"/>
      <c r="BG84" s="430"/>
      <c r="BH84" s="430"/>
      <c r="BI84" s="430"/>
      <c r="BJ84" s="430"/>
      <c r="BK84" s="430"/>
    </row>
    <row r="85" spans="1:63">
      <c r="A85" s="430"/>
      <c r="B85" s="430"/>
      <c r="C85" s="430"/>
      <c r="D85" s="430"/>
      <c r="E85" s="430"/>
      <c r="F85" s="430"/>
      <c r="G85" s="430"/>
      <c r="H85" s="430"/>
      <c r="I85" s="430"/>
      <c r="J85" s="430"/>
      <c r="K85" s="430"/>
      <c r="L85" s="430"/>
      <c r="M85" s="430"/>
      <c r="N85" s="430"/>
      <c r="O85" s="430"/>
      <c r="P85" s="430"/>
      <c r="Q85" s="430"/>
      <c r="R85" s="430"/>
      <c r="S85" s="430"/>
      <c r="T85" s="430"/>
      <c r="U85" s="430"/>
      <c r="V85" s="430"/>
      <c r="W85" s="430"/>
      <c r="X85" s="430"/>
      <c r="Y85" s="430"/>
      <c r="Z85" s="430"/>
      <c r="AA85" s="430"/>
      <c r="AB85" s="430"/>
      <c r="AC85" s="430"/>
      <c r="AD85" s="430"/>
      <c r="AE85" s="430"/>
      <c r="AF85" s="430"/>
      <c r="AG85" s="430"/>
      <c r="AH85" s="430"/>
      <c r="AI85" s="430"/>
      <c r="AJ85" s="430"/>
      <c r="AK85" s="430"/>
      <c r="AL85" s="430"/>
      <c r="AM85" s="430"/>
      <c r="AN85" s="430"/>
      <c r="AO85" s="430"/>
      <c r="AP85" s="430"/>
      <c r="AQ85" s="430"/>
      <c r="AR85" s="430"/>
      <c r="AS85" s="430"/>
      <c r="AT85" s="430"/>
      <c r="AU85" s="430"/>
      <c r="AV85" s="430"/>
      <c r="AW85" s="430"/>
      <c r="AX85" s="430"/>
      <c r="AY85" s="430"/>
      <c r="AZ85" s="430"/>
      <c r="BA85" s="430"/>
      <c r="BB85" s="430"/>
      <c r="BC85" s="430"/>
      <c r="BD85" s="430"/>
      <c r="BE85" s="430"/>
      <c r="BF85" s="430"/>
      <c r="BG85" s="430"/>
      <c r="BH85" s="430"/>
      <c r="BI85" s="430"/>
      <c r="BJ85" s="430"/>
      <c r="BK85" s="430"/>
    </row>
    <row r="86" spans="1:63">
      <c r="A86" s="430"/>
      <c r="B86" s="430"/>
      <c r="C86" s="430"/>
      <c r="D86" s="430"/>
      <c r="E86" s="430"/>
      <c r="F86" s="430"/>
      <c r="G86" s="430"/>
      <c r="H86" s="430"/>
      <c r="I86" s="430"/>
      <c r="J86" s="430"/>
      <c r="K86" s="430"/>
      <c r="L86" s="430"/>
      <c r="M86" s="430"/>
      <c r="N86" s="430"/>
      <c r="O86" s="430"/>
      <c r="P86" s="430"/>
      <c r="Q86" s="430"/>
      <c r="R86" s="430"/>
      <c r="S86" s="430"/>
      <c r="T86" s="430"/>
      <c r="U86" s="430"/>
      <c r="V86" s="430"/>
      <c r="W86" s="430"/>
      <c r="X86" s="430"/>
      <c r="Y86" s="430"/>
      <c r="Z86" s="430"/>
      <c r="AA86" s="430"/>
      <c r="AB86" s="430"/>
      <c r="AC86" s="430"/>
      <c r="AD86" s="430"/>
      <c r="AE86" s="430"/>
      <c r="AF86" s="430"/>
      <c r="AG86" s="430"/>
      <c r="AH86" s="430"/>
      <c r="AI86" s="430"/>
      <c r="AJ86" s="430"/>
      <c r="AK86" s="430"/>
      <c r="AL86" s="430"/>
      <c r="AM86" s="430"/>
      <c r="AN86" s="430"/>
      <c r="AO86" s="430"/>
      <c r="AP86" s="430"/>
      <c r="AQ86" s="430"/>
      <c r="AR86" s="430"/>
      <c r="AS86" s="430"/>
      <c r="AT86" s="430"/>
      <c r="AU86" s="430"/>
      <c r="AV86" s="430"/>
      <c r="AW86" s="430"/>
      <c r="AX86" s="430"/>
      <c r="AY86" s="430"/>
      <c r="AZ86" s="430"/>
      <c r="BA86" s="430"/>
      <c r="BB86" s="430"/>
      <c r="BC86" s="430"/>
      <c r="BD86" s="430"/>
      <c r="BE86" s="430"/>
      <c r="BF86" s="430"/>
      <c r="BG86" s="430"/>
      <c r="BH86" s="430"/>
      <c r="BI86" s="430"/>
      <c r="BJ86" s="430"/>
      <c r="BK86" s="430"/>
    </row>
    <row r="87" spans="1:63">
      <c r="A87" s="430"/>
      <c r="B87" s="430"/>
      <c r="C87" s="430"/>
      <c r="D87" s="430"/>
      <c r="E87" s="430"/>
      <c r="F87" s="430"/>
      <c r="G87" s="430"/>
      <c r="H87" s="430"/>
      <c r="I87" s="430"/>
      <c r="J87" s="430"/>
      <c r="K87" s="430"/>
      <c r="L87" s="430"/>
      <c r="M87" s="430"/>
      <c r="N87" s="430"/>
      <c r="O87" s="430"/>
      <c r="P87" s="430"/>
      <c r="Q87" s="430"/>
      <c r="R87" s="430"/>
      <c r="S87" s="430"/>
      <c r="T87" s="430"/>
      <c r="U87" s="430"/>
      <c r="V87" s="430"/>
      <c r="W87" s="430"/>
      <c r="X87" s="430"/>
      <c r="Y87" s="430"/>
      <c r="Z87" s="430"/>
      <c r="AA87" s="430"/>
      <c r="AB87" s="430"/>
      <c r="AC87" s="430"/>
      <c r="AD87" s="430"/>
      <c r="AE87" s="430"/>
      <c r="AF87" s="430"/>
      <c r="AG87" s="430"/>
      <c r="AH87" s="430"/>
      <c r="AI87" s="430"/>
      <c r="AJ87" s="430"/>
      <c r="AK87" s="430"/>
      <c r="AL87" s="430"/>
      <c r="AM87" s="430"/>
      <c r="AN87" s="430"/>
      <c r="AO87" s="430"/>
      <c r="AP87" s="430"/>
      <c r="AQ87" s="430"/>
      <c r="AR87" s="430"/>
      <c r="AS87" s="430"/>
      <c r="AT87" s="430"/>
      <c r="AU87" s="430"/>
      <c r="AV87" s="430"/>
      <c r="AW87" s="430"/>
      <c r="AX87" s="430"/>
      <c r="AY87" s="430"/>
      <c r="AZ87" s="430"/>
      <c r="BA87" s="430"/>
      <c r="BB87" s="430"/>
      <c r="BC87" s="430"/>
      <c r="BD87" s="430"/>
      <c r="BE87" s="430"/>
      <c r="BF87" s="430"/>
      <c r="BG87" s="430"/>
      <c r="BH87" s="430"/>
      <c r="BI87" s="430"/>
      <c r="BJ87" s="430"/>
      <c r="BK87" s="430"/>
    </row>
    <row r="88" spans="1:63">
      <c r="A88" s="430"/>
      <c r="B88" s="430"/>
      <c r="C88" s="430"/>
      <c r="D88" s="430"/>
      <c r="E88" s="430"/>
      <c r="F88" s="430"/>
      <c r="G88" s="430"/>
      <c r="H88" s="430"/>
      <c r="I88" s="430"/>
      <c r="J88" s="430"/>
      <c r="K88" s="430"/>
      <c r="L88" s="430"/>
      <c r="M88" s="430"/>
      <c r="N88" s="430"/>
      <c r="O88" s="430"/>
      <c r="P88" s="430"/>
      <c r="Q88" s="430"/>
      <c r="R88" s="430"/>
      <c r="S88" s="430"/>
      <c r="T88" s="430"/>
      <c r="U88" s="430"/>
      <c r="V88" s="430"/>
      <c r="W88" s="430"/>
      <c r="X88" s="430"/>
      <c r="Y88" s="430"/>
      <c r="Z88" s="430"/>
      <c r="AA88" s="430"/>
      <c r="AB88" s="430"/>
      <c r="AC88" s="430"/>
      <c r="AD88" s="430"/>
      <c r="AE88" s="430"/>
      <c r="AF88" s="430"/>
      <c r="AG88" s="430"/>
      <c r="AH88" s="430"/>
      <c r="AI88" s="430"/>
      <c r="AJ88" s="430"/>
      <c r="AK88" s="430"/>
      <c r="AL88" s="430"/>
      <c r="AM88" s="430"/>
      <c r="AN88" s="430"/>
      <c r="AO88" s="430"/>
      <c r="AP88" s="430"/>
      <c r="AQ88" s="430"/>
      <c r="AR88" s="430"/>
      <c r="AS88" s="430"/>
      <c r="AT88" s="430"/>
      <c r="AU88" s="430"/>
      <c r="AV88" s="430"/>
      <c r="AW88" s="430"/>
      <c r="AX88" s="430"/>
      <c r="AY88" s="430"/>
      <c r="AZ88" s="430"/>
      <c r="BA88" s="430"/>
      <c r="BB88" s="430"/>
      <c r="BC88" s="430"/>
      <c r="BD88" s="430"/>
      <c r="BE88" s="430"/>
      <c r="BF88" s="430"/>
      <c r="BG88" s="430"/>
      <c r="BH88" s="430"/>
      <c r="BI88" s="430"/>
      <c r="BJ88" s="430"/>
      <c r="BK88" s="430"/>
    </row>
    <row r="89" spans="1:63">
      <c r="A89" s="430"/>
      <c r="B89" s="430"/>
      <c r="C89" s="430"/>
      <c r="D89" s="430"/>
      <c r="E89" s="430"/>
      <c r="F89" s="430"/>
      <c r="G89" s="430"/>
      <c r="H89" s="430"/>
      <c r="I89" s="430"/>
      <c r="J89" s="430"/>
      <c r="K89" s="430"/>
      <c r="L89" s="430"/>
      <c r="M89" s="430"/>
      <c r="N89" s="430"/>
      <c r="O89" s="430"/>
      <c r="P89" s="430"/>
      <c r="Q89" s="430"/>
      <c r="R89" s="430"/>
      <c r="S89" s="430"/>
      <c r="T89" s="430"/>
      <c r="U89" s="430"/>
      <c r="V89" s="430"/>
      <c r="W89" s="430"/>
      <c r="X89" s="430"/>
      <c r="Y89" s="430"/>
      <c r="Z89" s="430"/>
      <c r="AA89" s="430"/>
      <c r="AB89" s="430"/>
      <c r="AC89" s="430"/>
      <c r="AD89" s="430"/>
      <c r="AE89" s="430"/>
      <c r="AF89" s="430"/>
      <c r="AG89" s="430"/>
      <c r="AH89" s="430"/>
      <c r="AI89" s="430"/>
      <c r="AJ89" s="430"/>
      <c r="AK89" s="430"/>
      <c r="AL89" s="430"/>
      <c r="AM89" s="430"/>
      <c r="AN89" s="430"/>
      <c r="AO89" s="430"/>
      <c r="AP89" s="430"/>
      <c r="AQ89" s="430"/>
      <c r="AR89" s="430"/>
      <c r="AS89" s="430"/>
      <c r="AT89" s="430"/>
      <c r="AU89" s="430"/>
      <c r="AV89" s="430"/>
      <c r="AW89" s="430"/>
      <c r="AX89" s="430"/>
      <c r="AY89" s="430"/>
      <c r="AZ89" s="430"/>
      <c r="BA89" s="430"/>
      <c r="BB89" s="430"/>
      <c r="BC89" s="430"/>
      <c r="BD89" s="430"/>
      <c r="BE89" s="430"/>
      <c r="BF89" s="430"/>
      <c r="BG89" s="430"/>
      <c r="BH89" s="430"/>
      <c r="BI89" s="430"/>
      <c r="BJ89" s="430"/>
      <c r="BK89" s="430"/>
    </row>
    <row r="90" spans="1:63">
      <c r="A90" s="430"/>
      <c r="B90" s="430"/>
      <c r="C90" s="430"/>
      <c r="D90" s="430"/>
      <c r="E90" s="430"/>
      <c r="F90" s="430"/>
      <c r="G90" s="430"/>
      <c r="H90" s="430"/>
      <c r="I90" s="430"/>
      <c r="J90" s="430"/>
      <c r="K90" s="430"/>
      <c r="L90" s="430"/>
      <c r="M90" s="430"/>
      <c r="N90" s="430"/>
      <c r="O90" s="430"/>
      <c r="P90" s="430"/>
      <c r="Q90" s="430"/>
      <c r="R90" s="430"/>
      <c r="S90" s="430"/>
      <c r="T90" s="430"/>
      <c r="U90" s="430"/>
      <c r="V90" s="430"/>
      <c r="W90" s="430"/>
      <c r="X90" s="430"/>
      <c r="Y90" s="430"/>
      <c r="Z90" s="430"/>
      <c r="AA90" s="430"/>
      <c r="AB90" s="430"/>
      <c r="AC90" s="430"/>
      <c r="AD90" s="430"/>
      <c r="AE90" s="430"/>
      <c r="AF90" s="430"/>
      <c r="AG90" s="430"/>
      <c r="AH90" s="430"/>
      <c r="AI90" s="430"/>
      <c r="AJ90" s="430"/>
      <c r="AK90" s="430"/>
      <c r="AL90" s="430"/>
      <c r="AM90" s="430"/>
      <c r="AN90" s="430"/>
      <c r="AO90" s="430"/>
      <c r="AP90" s="430"/>
      <c r="AQ90" s="430"/>
      <c r="AR90" s="430"/>
      <c r="AS90" s="430"/>
      <c r="AT90" s="430"/>
      <c r="AU90" s="430"/>
      <c r="AV90" s="430"/>
      <c r="AW90" s="430"/>
      <c r="AX90" s="430"/>
      <c r="AY90" s="430"/>
      <c r="AZ90" s="430"/>
      <c r="BA90" s="430"/>
      <c r="BB90" s="430"/>
      <c r="BC90" s="430"/>
      <c r="BD90" s="430"/>
      <c r="BE90" s="430"/>
      <c r="BF90" s="430"/>
      <c r="BG90" s="430"/>
      <c r="BH90" s="430"/>
      <c r="BI90" s="430"/>
      <c r="BJ90" s="430"/>
      <c r="BK90" s="430"/>
    </row>
    <row r="91" spans="1:63">
      <c r="A91" s="430"/>
      <c r="B91" s="430"/>
      <c r="C91" s="430"/>
      <c r="D91" s="430"/>
      <c r="E91" s="430"/>
      <c r="F91" s="430"/>
      <c r="G91" s="430"/>
      <c r="H91" s="430"/>
      <c r="I91" s="430"/>
      <c r="J91" s="430"/>
      <c r="K91" s="430"/>
      <c r="L91" s="430"/>
      <c r="M91" s="430"/>
      <c r="N91" s="430"/>
      <c r="O91" s="430"/>
      <c r="P91" s="430"/>
      <c r="Q91" s="430"/>
      <c r="R91" s="430"/>
      <c r="S91" s="430"/>
      <c r="T91" s="430"/>
      <c r="U91" s="430"/>
      <c r="V91" s="430"/>
      <c r="W91" s="430"/>
      <c r="X91" s="430"/>
      <c r="Y91" s="430"/>
      <c r="Z91" s="430"/>
      <c r="AA91" s="430"/>
      <c r="AB91" s="430"/>
      <c r="AC91" s="430"/>
      <c r="AD91" s="430"/>
      <c r="AE91" s="430"/>
      <c r="AF91" s="430"/>
      <c r="AG91" s="430"/>
      <c r="AH91" s="430"/>
      <c r="AI91" s="430"/>
      <c r="AJ91" s="430"/>
      <c r="AK91" s="430"/>
      <c r="AL91" s="430"/>
      <c r="AM91" s="430"/>
      <c r="AN91" s="430"/>
      <c r="AO91" s="430"/>
      <c r="AP91" s="430"/>
      <c r="AQ91" s="430"/>
      <c r="AR91" s="430"/>
      <c r="AS91" s="430"/>
      <c r="AT91" s="430"/>
      <c r="AU91" s="430"/>
      <c r="AV91" s="430"/>
      <c r="AW91" s="430"/>
      <c r="AX91" s="430"/>
      <c r="AY91" s="430"/>
      <c r="AZ91" s="430"/>
      <c r="BA91" s="430"/>
      <c r="BB91" s="430"/>
      <c r="BC91" s="430"/>
      <c r="BD91" s="430"/>
      <c r="BE91" s="430"/>
      <c r="BF91" s="430"/>
      <c r="BG91" s="430"/>
      <c r="BH91" s="430"/>
      <c r="BI91" s="430"/>
      <c r="BJ91" s="430"/>
      <c r="BK91" s="430"/>
    </row>
    <row r="92" spans="1:63">
      <c r="A92" s="430"/>
      <c r="B92" s="430"/>
      <c r="C92" s="430"/>
      <c r="D92" s="430"/>
      <c r="E92" s="430"/>
      <c r="F92" s="430"/>
      <c r="G92" s="430"/>
      <c r="H92" s="430"/>
      <c r="I92" s="430"/>
      <c r="J92" s="430"/>
      <c r="K92" s="430"/>
      <c r="L92" s="430"/>
      <c r="M92" s="430"/>
      <c r="N92" s="430"/>
      <c r="O92" s="430"/>
      <c r="P92" s="430"/>
      <c r="Q92" s="430"/>
      <c r="R92" s="430"/>
      <c r="S92" s="430"/>
      <c r="T92" s="430"/>
      <c r="U92" s="430"/>
      <c r="V92" s="430"/>
      <c r="W92" s="430"/>
      <c r="X92" s="430"/>
      <c r="Y92" s="430"/>
      <c r="Z92" s="430"/>
      <c r="AA92" s="430"/>
      <c r="AB92" s="430"/>
      <c r="AC92" s="430"/>
      <c r="AD92" s="430"/>
      <c r="AE92" s="430"/>
      <c r="AF92" s="430"/>
      <c r="AG92" s="430"/>
      <c r="AH92" s="430"/>
      <c r="AI92" s="430"/>
      <c r="AJ92" s="430"/>
      <c r="AK92" s="430"/>
      <c r="AL92" s="430"/>
      <c r="AM92" s="430"/>
      <c r="AN92" s="430"/>
      <c r="AO92" s="430"/>
      <c r="AP92" s="430"/>
      <c r="AQ92" s="430"/>
      <c r="AR92" s="430"/>
      <c r="AS92" s="430"/>
      <c r="AT92" s="430"/>
      <c r="AU92" s="430"/>
      <c r="AV92" s="430"/>
      <c r="AW92" s="430"/>
      <c r="AX92" s="430"/>
      <c r="AY92" s="430"/>
      <c r="AZ92" s="430"/>
      <c r="BA92" s="430"/>
      <c r="BB92" s="430"/>
      <c r="BC92" s="430"/>
      <c r="BD92" s="430"/>
      <c r="BE92" s="430"/>
      <c r="BF92" s="430"/>
      <c r="BG92" s="430"/>
      <c r="BH92" s="430"/>
      <c r="BI92" s="430"/>
      <c r="BJ92" s="430"/>
      <c r="BK92" s="430"/>
    </row>
    <row r="93" spans="1:63">
      <c r="A93" s="430"/>
      <c r="B93" s="430"/>
      <c r="C93" s="430"/>
      <c r="D93" s="430"/>
      <c r="E93" s="430"/>
      <c r="F93" s="430"/>
      <c r="G93" s="430"/>
      <c r="H93" s="430"/>
      <c r="I93" s="430"/>
      <c r="J93" s="430"/>
      <c r="K93" s="430"/>
      <c r="L93" s="430"/>
      <c r="M93" s="430"/>
      <c r="N93" s="430"/>
      <c r="O93" s="430"/>
      <c r="P93" s="430"/>
      <c r="Q93" s="430"/>
      <c r="R93" s="430"/>
      <c r="S93" s="430"/>
      <c r="T93" s="430"/>
      <c r="U93" s="430"/>
      <c r="V93" s="430"/>
      <c r="W93" s="430"/>
      <c r="X93" s="430"/>
      <c r="Y93" s="430"/>
      <c r="Z93" s="430"/>
      <c r="AA93" s="430"/>
      <c r="AB93" s="430"/>
      <c r="AC93" s="430"/>
      <c r="AD93" s="430"/>
      <c r="AE93" s="430"/>
      <c r="AF93" s="430"/>
      <c r="AG93" s="430"/>
      <c r="AH93" s="430"/>
      <c r="AI93" s="430"/>
      <c r="AJ93" s="430"/>
      <c r="AK93" s="430"/>
      <c r="AL93" s="430"/>
      <c r="AM93" s="430"/>
      <c r="AN93" s="430"/>
      <c r="AO93" s="430"/>
      <c r="AP93" s="430"/>
      <c r="AQ93" s="430"/>
      <c r="AR93" s="430"/>
      <c r="AS93" s="430"/>
      <c r="AT93" s="430"/>
      <c r="AU93" s="430"/>
      <c r="AV93" s="430"/>
      <c r="AW93" s="430"/>
      <c r="AX93" s="430"/>
      <c r="AY93" s="430"/>
      <c r="AZ93" s="430"/>
      <c r="BA93" s="430"/>
      <c r="BB93" s="430"/>
      <c r="BC93" s="430"/>
      <c r="BD93" s="430"/>
      <c r="BE93" s="430"/>
      <c r="BF93" s="430"/>
      <c r="BG93" s="430"/>
      <c r="BH93" s="430"/>
      <c r="BI93" s="430"/>
      <c r="BJ93" s="430"/>
      <c r="BK93" s="430"/>
    </row>
    <row r="94" spans="1:63">
      <c r="A94" s="430"/>
      <c r="B94" s="430"/>
      <c r="C94" s="430"/>
      <c r="D94" s="430"/>
      <c r="E94" s="430"/>
      <c r="F94" s="430"/>
      <c r="G94" s="430"/>
      <c r="H94" s="430"/>
      <c r="I94" s="430"/>
      <c r="J94" s="430"/>
      <c r="K94" s="430"/>
      <c r="L94" s="430"/>
      <c r="M94" s="430"/>
      <c r="N94" s="430"/>
      <c r="O94" s="430"/>
      <c r="P94" s="430"/>
      <c r="Q94" s="430"/>
      <c r="R94" s="430"/>
      <c r="S94" s="430"/>
      <c r="T94" s="430"/>
      <c r="U94" s="430"/>
      <c r="V94" s="430"/>
      <c r="W94" s="430"/>
      <c r="X94" s="430"/>
      <c r="Y94" s="430"/>
      <c r="Z94" s="430"/>
      <c r="AA94" s="430"/>
      <c r="AB94" s="430"/>
      <c r="AC94" s="430"/>
      <c r="AD94" s="430"/>
      <c r="AE94" s="430"/>
      <c r="AF94" s="430"/>
      <c r="AG94" s="430"/>
      <c r="AH94" s="430"/>
      <c r="AI94" s="430"/>
      <c r="AJ94" s="430"/>
      <c r="AK94" s="430"/>
      <c r="AL94" s="430"/>
      <c r="AM94" s="430"/>
      <c r="AN94" s="430"/>
      <c r="AO94" s="430"/>
      <c r="AP94" s="430"/>
      <c r="AQ94" s="430"/>
      <c r="AR94" s="430"/>
      <c r="AS94" s="430"/>
      <c r="AT94" s="430"/>
      <c r="AU94" s="430"/>
      <c r="AV94" s="430"/>
      <c r="AW94" s="430"/>
      <c r="AX94" s="430"/>
      <c r="AY94" s="430"/>
      <c r="AZ94" s="430"/>
      <c r="BA94" s="430"/>
      <c r="BB94" s="430"/>
      <c r="BC94" s="430"/>
      <c r="BD94" s="430"/>
      <c r="BE94" s="430"/>
      <c r="BF94" s="430"/>
      <c r="BG94" s="430"/>
      <c r="BH94" s="430"/>
      <c r="BI94" s="430"/>
      <c r="BJ94" s="430"/>
      <c r="BK94" s="430"/>
    </row>
    <row r="95" spans="1:63">
      <c r="A95" s="430"/>
      <c r="B95" s="430"/>
      <c r="C95" s="430"/>
      <c r="D95" s="430"/>
      <c r="E95" s="430"/>
      <c r="F95" s="430"/>
      <c r="G95" s="430"/>
      <c r="H95" s="430"/>
      <c r="I95" s="430"/>
      <c r="J95" s="430"/>
      <c r="K95" s="430"/>
      <c r="L95" s="430"/>
      <c r="M95" s="430"/>
      <c r="N95" s="430"/>
      <c r="O95" s="430"/>
      <c r="P95" s="430"/>
      <c r="Q95" s="430"/>
      <c r="R95" s="430"/>
      <c r="S95" s="430"/>
      <c r="T95" s="430"/>
      <c r="U95" s="430"/>
      <c r="V95" s="430"/>
      <c r="W95" s="430"/>
      <c r="X95" s="430"/>
      <c r="Y95" s="430"/>
      <c r="Z95" s="430"/>
      <c r="AA95" s="430"/>
      <c r="AB95" s="430"/>
      <c r="AC95" s="430"/>
      <c r="AD95" s="430"/>
      <c r="AE95" s="430"/>
      <c r="AF95" s="430"/>
      <c r="AG95" s="430"/>
      <c r="AH95" s="430"/>
      <c r="AI95" s="430"/>
      <c r="AJ95" s="430"/>
      <c r="AK95" s="430"/>
      <c r="AL95" s="430"/>
      <c r="AM95" s="430"/>
      <c r="AN95" s="430"/>
      <c r="AO95" s="430"/>
      <c r="AP95" s="430"/>
      <c r="AQ95" s="430"/>
      <c r="AR95" s="430"/>
      <c r="AS95" s="430"/>
      <c r="AT95" s="430"/>
      <c r="AU95" s="430"/>
      <c r="AV95" s="430"/>
      <c r="AW95" s="430"/>
      <c r="AX95" s="430"/>
      <c r="AY95" s="430"/>
      <c r="AZ95" s="430"/>
      <c r="BA95" s="430"/>
      <c r="BB95" s="430"/>
      <c r="BC95" s="430"/>
      <c r="BD95" s="430"/>
      <c r="BE95" s="430"/>
      <c r="BF95" s="430"/>
      <c r="BG95" s="430"/>
      <c r="BH95" s="430"/>
      <c r="BI95" s="430"/>
      <c r="BJ95" s="430"/>
      <c r="BK95" s="430"/>
    </row>
    <row r="96" spans="1:63">
      <c r="A96" s="430"/>
      <c r="B96" s="430"/>
      <c r="C96" s="430"/>
      <c r="D96" s="430"/>
      <c r="E96" s="430"/>
      <c r="F96" s="430"/>
      <c r="G96" s="430"/>
      <c r="H96" s="430"/>
      <c r="I96" s="430"/>
      <c r="J96" s="430"/>
      <c r="K96" s="430"/>
      <c r="L96" s="430"/>
      <c r="M96" s="430"/>
      <c r="N96" s="430"/>
      <c r="O96" s="430"/>
      <c r="P96" s="430"/>
      <c r="Q96" s="430"/>
      <c r="R96" s="430"/>
      <c r="S96" s="430"/>
      <c r="T96" s="430"/>
      <c r="U96" s="430"/>
      <c r="V96" s="430"/>
      <c r="W96" s="430"/>
      <c r="X96" s="430"/>
      <c r="Y96" s="430"/>
      <c r="Z96" s="430"/>
      <c r="AA96" s="430"/>
      <c r="AB96" s="430"/>
      <c r="AC96" s="430"/>
      <c r="AD96" s="430"/>
      <c r="AE96" s="430"/>
      <c r="AF96" s="430"/>
      <c r="AG96" s="430"/>
      <c r="AH96" s="430"/>
      <c r="AI96" s="430"/>
      <c r="AJ96" s="430"/>
      <c r="AK96" s="430"/>
      <c r="AL96" s="430"/>
      <c r="AM96" s="430"/>
      <c r="AN96" s="430"/>
      <c r="AO96" s="430"/>
      <c r="AP96" s="430"/>
      <c r="AQ96" s="430"/>
      <c r="AR96" s="430"/>
      <c r="AS96" s="430"/>
      <c r="AT96" s="430"/>
      <c r="AU96" s="430"/>
      <c r="AV96" s="430"/>
      <c r="AW96" s="430"/>
      <c r="AX96" s="430"/>
      <c r="AY96" s="430"/>
      <c r="AZ96" s="430"/>
      <c r="BA96" s="430"/>
      <c r="BB96" s="430"/>
      <c r="BC96" s="430"/>
      <c r="BD96" s="430"/>
      <c r="BE96" s="430"/>
      <c r="BF96" s="430"/>
      <c r="BG96" s="430"/>
      <c r="BH96" s="430"/>
      <c r="BI96" s="430"/>
      <c r="BJ96" s="430"/>
      <c r="BK96" s="430"/>
    </row>
    <row r="97" spans="1:63">
      <c r="A97" s="430"/>
      <c r="B97" s="430"/>
      <c r="C97" s="430"/>
      <c r="D97" s="430"/>
      <c r="E97" s="430"/>
      <c r="F97" s="430"/>
      <c r="G97" s="430"/>
      <c r="H97" s="430"/>
      <c r="I97" s="430"/>
      <c r="J97" s="430"/>
      <c r="K97" s="430"/>
      <c r="L97" s="430"/>
      <c r="M97" s="430"/>
      <c r="N97" s="430"/>
      <c r="O97" s="430"/>
      <c r="P97" s="430"/>
      <c r="Q97" s="430"/>
      <c r="R97" s="430"/>
      <c r="S97" s="430"/>
      <c r="T97" s="430"/>
      <c r="U97" s="430"/>
      <c r="V97" s="430"/>
      <c r="W97" s="430"/>
      <c r="X97" s="430"/>
      <c r="Y97" s="430"/>
      <c r="Z97" s="430"/>
      <c r="AA97" s="430"/>
      <c r="AB97" s="430"/>
      <c r="AC97" s="430"/>
      <c r="AD97" s="430"/>
      <c r="AE97" s="430"/>
      <c r="AF97" s="430"/>
      <c r="AG97" s="430"/>
      <c r="AH97" s="430"/>
      <c r="AI97" s="430"/>
      <c r="AJ97" s="430"/>
      <c r="AK97" s="430"/>
      <c r="AL97" s="430"/>
      <c r="AM97" s="430"/>
      <c r="AN97" s="430"/>
      <c r="AO97" s="430"/>
      <c r="AP97" s="430"/>
      <c r="AQ97" s="430"/>
      <c r="AR97" s="430"/>
      <c r="AS97" s="430"/>
      <c r="AT97" s="430"/>
      <c r="AU97" s="430"/>
      <c r="AV97" s="430"/>
      <c r="AW97" s="430"/>
      <c r="AX97" s="430"/>
      <c r="AY97" s="430"/>
      <c r="AZ97" s="430"/>
      <c r="BA97" s="430"/>
      <c r="BB97" s="430"/>
      <c r="BC97" s="430"/>
      <c r="BD97" s="430"/>
      <c r="BE97" s="430"/>
      <c r="BF97" s="430"/>
      <c r="BG97" s="430"/>
      <c r="BH97" s="430"/>
      <c r="BI97" s="430"/>
      <c r="BJ97" s="430"/>
      <c r="BK97" s="430"/>
    </row>
    <row r="98" spans="1:63">
      <c r="A98" s="430"/>
      <c r="B98" s="430"/>
      <c r="C98" s="430"/>
      <c r="D98" s="430"/>
      <c r="E98" s="430"/>
      <c r="F98" s="430"/>
      <c r="G98" s="430"/>
      <c r="H98" s="430"/>
      <c r="I98" s="430"/>
      <c r="J98" s="430"/>
      <c r="K98" s="430"/>
      <c r="L98" s="430"/>
      <c r="M98" s="430"/>
      <c r="N98" s="430"/>
      <c r="O98" s="430"/>
      <c r="P98" s="430"/>
      <c r="Q98" s="430"/>
      <c r="R98" s="430"/>
      <c r="S98" s="430"/>
      <c r="T98" s="430"/>
      <c r="U98" s="430"/>
      <c r="V98" s="430"/>
      <c r="W98" s="430"/>
      <c r="X98" s="430"/>
      <c r="Y98" s="430"/>
      <c r="Z98" s="430"/>
      <c r="AA98" s="430"/>
      <c r="AB98" s="430"/>
      <c r="AC98" s="430"/>
      <c r="AD98" s="430"/>
      <c r="AE98" s="430"/>
      <c r="AF98" s="430"/>
      <c r="AG98" s="430"/>
      <c r="AH98" s="430"/>
      <c r="AI98" s="430"/>
      <c r="AJ98" s="430"/>
      <c r="AK98" s="430"/>
      <c r="AL98" s="430"/>
      <c r="AM98" s="430"/>
      <c r="AN98" s="430"/>
      <c r="AO98" s="430"/>
      <c r="AP98" s="430"/>
      <c r="AQ98" s="430"/>
      <c r="AR98" s="430"/>
      <c r="AS98" s="430"/>
      <c r="AT98" s="430"/>
      <c r="AU98" s="430"/>
      <c r="AV98" s="430"/>
      <c r="AW98" s="430"/>
      <c r="AX98" s="430"/>
      <c r="AY98" s="430"/>
      <c r="AZ98" s="430"/>
      <c r="BA98" s="430"/>
      <c r="BB98" s="430"/>
      <c r="BC98" s="430"/>
      <c r="BD98" s="430"/>
      <c r="BE98" s="430"/>
      <c r="BF98" s="430"/>
      <c r="BG98" s="430"/>
      <c r="BH98" s="430"/>
      <c r="BI98" s="430"/>
      <c r="BJ98" s="430"/>
      <c r="BK98" s="430"/>
    </row>
    <row r="99" spans="1:63">
      <c r="A99" s="430"/>
      <c r="B99" s="430"/>
      <c r="C99" s="430"/>
      <c r="D99" s="430"/>
      <c r="E99" s="430"/>
      <c r="F99" s="430"/>
      <c r="G99" s="430"/>
      <c r="H99" s="430"/>
      <c r="I99" s="430"/>
      <c r="J99" s="430"/>
      <c r="K99" s="430"/>
      <c r="L99" s="430"/>
      <c r="M99" s="430"/>
      <c r="N99" s="430"/>
      <c r="O99" s="430"/>
      <c r="P99" s="430"/>
      <c r="Q99" s="430"/>
      <c r="R99" s="430"/>
      <c r="S99" s="430"/>
      <c r="T99" s="430"/>
      <c r="U99" s="430"/>
      <c r="V99" s="430"/>
      <c r="W99" s="430"/>
      <c r="X99" s="430"/>
      <c r="Y99" s="430"/>
      <c r="Z99" s="430"/>
      <c r="AA99" s="430"/>
      <c r="AB99" s="430"/>
      <c r="AC99" s="430"/>
      <c r="AD99" s="430"/>
      <c r="AE99" s="430"/>
      <c r="AF99" s="430"/>
      <c r="AG99" s="430"/>
      <c r="AH99" s="430"/>
      <c r="AI99" s="430"/>
      <c r="AJ99" s="430"/>
      <c r="AK99" s="430"/>
      <c r="AL99" s="430"/>
      <c r="AM99" s="430"/>
      <c r="AN99" s="430"/>
      <c r="AO99" s="430"/>
      <c r="AP99" s="430"/>
      <c r="AQ99" s="430"/>
      <c r="AR99" s="430"/>
      <c r="AS99" s="430"/>
      <c r="AT99" s="430"/>
      <c r="AU99" s="430"/>
      <c r="AV99" s="430"/>
      <c r="AW99" s="430"/>
      <c r="AX99" s="430"/>
      <c r="AY99" s="430"/>
      <c r="AZ99" s="430"/>
      <c r="BA99" s="430"/>
      <c r="BB99" s="430"/>
      <c r="BC99" s="430"/>
      <c r="BD99" s="430"/>
      <c r="BE99" s="430"/>
      <c r="BF99" s="430"/>
      <c r="BG99" s="430"/>
      <c r="BH99" s="430"/>
      <c r="BI99" s="430"/>
      <c r="BJ99" s="430"/>
      <c r="BK99" s="430"/>
    </row>
    <row r="100" spans="1:63">
      <c r="A100" s="430"/>
      <c r="B100" s="430"/>
      <c r="C100" s="430"/>
      <c r="D100" s="430"/>
      <c r="E100" s="430"/>
      <c r="F100" s="430"/>
      <c r="G100" s="430"/>
      <c r="H100" s="430"/>
      <c r="I100" s="430"/>
      <c r="J100" s="430"/>
      <c r="K100" s="430"/>
      <c r="L100" s="430"/>
      <c r="M100" s="430"/>
      <c r="N100" s="430"/>
      <c r="O100" s="430"/>
      <c r="P100" s="430"/>
      <c r="Q100" s="430"/>
      <c r="R100" s="430"/>
      <c r="S100" s="430"/>
      <c r="T100" s="430"/>
      <c r="U100" s="430"/>
      <c r="V100" s="430"/>
      <c r="W100" s="430"/>
      <c r="X100" s="430"/>
      <c r="Y100" s="430"/>
      <c r="Z100" s="430"/>
      <c r="AA100" s="430"/>
      <c r="AB100" s="430"/>
      <c r="AC100" s="430"/>
      <c r="AD100" s="430"/>
      <c r="AE100" s="430"/>
      <c r="AF100" s="430"/>
      <c r="AG100" s="430"/>
      <c r="AH100" s="430"/>
      <c r="AI100" s="430"/>
      <c r="AJ100" s="430"/>
      <c r="AK100" s="430"/>
      <c r="AL100" s="430"/>
      <c r="AM100" s="430"/>
      <c r="AN100" s="430"/>
      <c r="AO100" s="430"/>
      <c r="AP100" s="430"/>
      <c r="AQ100" s="430"/>
      <c r="AR100" s="430"/>
      <c r="AS100" s="430"/>
      <c r="AT100" s="430"/>
      <c r="AU100" s="430"/>
      <c r="AV100" s="430"/>
      <c r="AW100" s="430"/>
      <c r="AX100" s="430"/>
      <c r="AY100" s="430"/>
      <c r="AZ100" s="430"/>
      <c r="BA100" s="430"/>
      <c r="BB100" s="430"/>
      <c r="BC100" s="430"/>
      <c r="BD100" s="430"/>
      <c r="BE100" s="430"/>
      <c r="BF100" s="430"/>
      <c r="BG100" s="430"/>
      <c r="BH100" s="430"/>
      <c r="BI100" s="430"/>
      <c r="BJ100" s="430"/>
      <c r="BK100" s="430"/>
    </row>
    <row r="101" spans="1:63">
      <c r="A101" s="430"/>
      <c r="B101" s="430"/>
      <c r="C101" s="430"/>
      <c r="D101" s="430"/>
      <c r="E101" s="430"/>
      <c r="F101" s="430"/>
      <c r="G101" s="430"/>
      <c r="H101" s="430"/>
      <c r="I101" s="430"/>
      <c r="J101" s="430"/>
      <c r="K101" s="430"/>
      <c r="L101" s="430"/>
      <c r="M101" s="430"/>
      <c r="N101" s="430"/>
      <c r="O101" s="430"/>
      <c r="P101" s="430"/>
      <c r="Q101" s="430"/>
      <c r="R101" s="430"/>
      <c r="S101" s="430"/>
      <c r="T101" s="430"/>
      <c r="U101" s="430"/>
      <c r="V101" s="430"/>
      <c r="W101" s="430"/>
      <c r="X101" s="430"/>
      <c r="Y101" s="430"/>
      <c r="Z101" s="430"/>
      <c r="AA101" s="430"/>
      <c r="AB101" s="430"/>
      <c r="AC101" s="430"/>
      <c r="AD101" s="430"/>
      <c r="AE101" s="430"/>
      <c r="AF101" s="430"/>
      <c r="AG101" s="430"/>
      <c r="AH101" s="430"/>
      <c r="AI101" s="430"/>
      <c r="AJ101" s="430"/>
      <c r="AK101" s="430"/>
      <c r="AL101" s="430"/>
      <c r="AM101" s="430"/>
      <c r="AN101" s="430"/>
      <c r="AO101" s="430"/>
      <c r="AP101" s="430"/>
      <c r="AQ101" s="430"/>
      <c r="AR101" s="430"/>
      <c r="AS101" s="430"/>
      <c r="AT101" s="430"/>
      <c r="AU101" s="430"/>
      <c r="AV101" s="430"/>
      <c r="AW101" s="430"/>
      <c r="AX101" s="430"/>
      <c r="AY101" s="430"/>
      <c r="AZ101" s="430"/>
      <c r="BA101" s="430"/>
      <c r="BB101" s="430"/>
      <c r="BC101" s="430"/>
      <c r="BD101" s="430"/>
      <c r="BE101" s="430"/>
      <c r="BF101" s="430"/>
      <c r="BG101" s="430"/>
      <c r="BH101" s="430"/>
      <c r="BI101" s="430"/>
      <c r="BJ101" s="430"/>
      <c r="BK101" s="430"/>
    </row>
    <row r="102" spans="1:63">
      <c r="A102" s="430"/>
      <c r="B102" s="430"/>
      <c r="C102" s="430"/>
      <c r="D102" s="430"/>
      <c r="E102" s="430"/>
      <c r="F102" s="430"/>
      <c r="G102" s="430"/>
      <c r="H102" s="430"/>
      <c r="I102" s="430"/>
      <c r="J102" s="430"/>
      <c r="K102" s="430"/>
      <c r="L102" s="430"/>
      <c r="M102" s="430"/>
      <c r="N102" s="430"/>
      <c r="O102" s="430"/>
      <c r="P102" s="430"/>
      <c r="Q102" s="430"/>
      <c r="R102" s="430"/>
      <c r="S102" s="430"/>
      <c r="T102" s="430"/>
      <c r="U102" s="430"/>
      <c r="V102" s="430"/>
      <c r="W102" s="430"/>
      <c r="X102" s="430"/>
      <c r="Y102" s="430"/>
      <c r="Z102" s="430"/>
      <c r="AA102" s="430"/>
      <c r="AB102" s="430"/>
      <c r="AC102" s="430"/>
      <c r="AD102" s="430"/>
      <c r="AE102" s="430"/>
      <c r="AF102" s="430"/>
      <c r="AG102" s="430"/>
      <c r="AH102" s="430"/>
      <c r="AI102" s="430"/>
      <c r="AJ102" s="430"/>
      <c r="AK102" s="430"/>
      <c r="AL102" s="430"/>
      <c r="AM102" s="430"/>
      <c r="AN102" s="430"/>
      <c r="AO102" s="430"/>
      <c r="AP102" s="430"/>
      <c r="AQ102" s="430"/>
      <c r="AR102" s="430"/>
      <c r="AS102" s="430"/>
      <c r="AT102" s="430"/>
      <c r="AU102" s="430"/>
      <c r="AV102" s="430"/>
      <c r="AW102" s="430"/>
      <c r="AX102" s="430"/>
      <c r="AY102" s="430"/>
      <c r="AZ102" s="430"/>
      <c r="BA102" s="430"/>
      <c r="BB102" s="430"/>
      <c r="BC102" s="430"/>
      <c r="BD102" s="430"/>
      <c r="BE102" s="430"/>
      <c r="BF102" s="430"/>
      <c r="BG102" s="430"/>
      <c r="BH102" s="430"/>
      <c r="BI102" s="430"/>
      <c r="BJ102" s="430"/>
      <c r="BK102" s="430"/>
    </row>
    <row r="103" spans="1:63">
      <c r="A103" s="430"/>
      <c r="B103" s="430"/>
      <c r="C103" s="430"/>
      <c r="D103" s="430"/>
      <c r="E103" s="430"/>
      <c r="F103" s="430"/>
      <c r="G103" s="430"/>
      <c r="H103" s="430"/>
      <c r="I103" s="430"/>
      <c r="J103" s="430"/>
      <c r="K103" s="430"/>
      <c r="L103" s="430"/>
      <c r="M103" s="430"/>
      <c r="N103" s="430"/>
      <c r="O103" s="430"/>
      <c r="P103" s="430"/>
      <c r="Q103" s="430"/>
      <c r="R103" s="430"/>
      <c r="S103" s="430"/>
      <c r="T103" s="430"/>
      <c r="U103" s="430"/>
      <c r="V103" s="430"/>
      <c r="W103" s="430"/>
      <c r="X103" s="430"/>
      <c r="Y103" s="430"/>
      <c r="Z103" s="430"/>
      <c r="AA103" s="430"/>
      <c r="AB103" s="430"/>
      <c r="AC103" s="430"/>
      <c r="AD103" s="430"/>
      <c r="AE103" s="430"/>
      <c r="AF103" s="430"/>
      <c r="AG103" s="430"/>
      <c r="AH103" s="430"/>
      <c r="AI103" s="430"/>
      <c r="AJ103" s="430"/>
      <c r="AK103" s="430"/>
      <c r="AL103" s="430"/>
      <c r="AM103" s="430"/>
      <c r="AN103" s="430"/>
      <c r="AO103" s="430"/>
      <c r="AP103" s="430"/>
      <c r="AQ103" s="430"/>
      <c r="AR103" s="430"/>
      <c r="AS103" s="430"/>
      <c r="AT103" s="430"/>
      <c r="AU103" s="430"/>
      <c r="AV103" s="430"/>
      <c r="AW103" s="430"/>
      <c r="AX103" s="430"/>
      <c r="AY103" s="430"/>
      <c r="AZ103" s="430"/>
      <c r="BA103" s="430"/>
      <c r="BB103" s="430"/>
      <c r="BC103" s="430"/>
      <c r="BD103" s="430"/>
      <c r="BE103" s="430"/>
      <c r="BF103" s="430"/>
      <c r="BG103" s="430"/>
      <c r="BH103" s="430"/>
      <c r="BI103" s="430"/>
      <c r="BJ103" s="430"/>
      <c r="BK103" s="430"/>
    </row>
    <row r="104" spans="1:63">
      <c r="A104" s="430"/>
      <c r="B104" s="430"/>
      <c r="C104" s="430"/>
      <c r="D104" s="430"/>
      <c r="E104" s="430"/>
      <c r="F104" s="430"/>
      <c r="G104" s="430"/>
      <c r="H104" s="430"/>
      <c r="I104" s="430"/>
      <c r="J104" s="430"/>
      <c r="K104" s="430"/>
      <c r="L104" s="430"/>
      <c r="M104" s="430"/>
      <c r="N104" s="430"/>
      <c r="O104" s="430"/>
      <c r="P104" s="430"/>
      <c r="Q104" s="430"/>
      <c r="R104" s="430"/>
      <c r="S104" s="430"/>
      <c r="T104" s="430"/>
      <c r="U104" s="430"/>
      <c r="V104" s="430"/>
      <c r="W104" s="430"/>
      <c r="X104" s="430"/>
      <c r="Y104" s="430"/>
      <c r="Z104" s="430"/>
      <c r="AA104" s="430"/>
      <c r="AB104" s="430"/>
      <c r="AC104" s="430"/>
      <c r="AD104" s="430"/>
      <c r="AE104" s="430"/>
      <c r="AF104" s="430"/>
      <c r="AG104" s="430"/>
      <c r="AH104" s="430"/>
      <c r="AI104" s="430"/>
      <c r="AJ104" s="430"/>
      <c r="AK104" s="430"/>
      <c r="AL104" s="430"/>
      <c r="AM104" s="430"/>
      <c r="AN104" s="430"/>
      <c r="AO104" s="430"/>
      <c r="AP104" s="430"/>
      <c r="AQ104" s="430"/>
      <c r="AR104" s="430"/>
      <c r="AS104" s="430"/>
      <c r="AT104" s="430"/>
      <c r="AU104" s="430"/>
      <c r="AV104" s="430"/>
      <c r="AW104" s="430"/>
      <c r="AX104" s="430"/>
      <c r="AY104" s="430"/>
      <c r="AZ104" s="430"/>
      <c r="BA104" s="430"/>
      <c r="BB104" s="430"/>
      <c r="BC104" s="430"/>
      <c r="BD104" s="430"/>
      <c r="BE104" s="430"/>
      <c r="BF104" s="430"/>
      <c r="BG104" s="430"/>
      <c r="BH104" s="430"/>
      <c r="BI104" s="430"/>
      <c r="BJ104" s="430"/>
      <c r="BK104" s="430"/>
    </row>
    <row r="105" spans="1:63">
      <c r="A105" s="430"/>
      <c r="B105" s="430"/>
      <c r="C105" s="430"/>
      <c r="D105" s="430"/>
      <c r="E105" s="430"/>
      <c r="F105" s="430"/>
      <c r="G105" s="430"/>
      <c r="H105" s="430"/>
      <c r="I105" s="430"/>
      <c r="J105" s="430"/>
      <c r="K105" s="430"/>
      <c r="L105" s="430"/>
      <c r="M105" s="430"/>
      <c r="N105" s="430"/>
      <c r="O105" s="430"/>
      <c r="P105" s="430"/>
      <c r="Q105" s="430"/>
      <c r="R105" s="430"/>
      <c r="S105" s="430"/>
      <c r="T105" s="430"/>
      <c r="U105" s="430"/>
      <c r="V105" s="430"/>
      <c r="W105" s="430"/>
      <c r="X105" s="430"/>
      <c r="Y105" s="430"/>
      <c r="Z105" s="430"/>
      <c r="AA105" s="430"/>
      <c r="AB105" s="430"/>
      <c r="AC105" s="430"/>
      <c r="AD105" s="430"/>
      <c r="AE105" s="430"/>
      <c r="AF105" s="430"/>
      <c r="AG105" s="430"/>
      <c r="AH105" s="430"/>
      <c r="AI105" s="430"/>
      <c r="AJ105" s="430"/>
      <c r="AK105" s="430"/>
      <c r="AL105" s="430"/>
      <c r="AM105" s="430"/>
      <c r="AN105" s="430"/>
      <c r="AO105" s="430"/>
      <c r="AP105" s="430"/>
      <c r="AQ105" s="430"/>
      <c r="AR105" s="430"/>
      <c r="AS105" s="430"/>
      <c r="AT105" s="430"/>
      <c r="AU105" s="430"/>
      <c r="AV105" s="430"/>
      <c r="AW105" s="430"/>
      <c r="AX105" s="430"/>
      <c r="AY105" s="430"/>
      <c r="AZ105" s="430"/>
      <c r="BA105" s="430"/>
      <c r="BB105" s="430"/>
      <c r="BC105" s="430"/>
      <c r="BD105" s="430"/>
      <c r="BE105" s="430"/>
      <c r="BF105" s="430"/>
      <c r="BG105" s="430"/>
      <c r="BH105" s="430"/>
      <c r="BI105" s="430"/>
      <c r="BJ105" s="430"/>
      <c r="BK105" s="430"/>
    </row>
    <row r="106" spans="1:63">
      <c r="A106" s="430"/>
      <c r="B106" s="430"/>
      <c r="C106" s="430"/>
      <c r="D106" s="430"/>
      <c r="E106" s="430"/>
      <c r="F106" s="430"/>
      <c r="G106" s="430"/>
      <c r="H106" s="430"/>
      <c r="I106" s="430"/>
      <c r="J106" s="430"/>
      <c r="K106" s="430"/>
      <c r="L106" s="430"/>
      <c r="M106" s="430"/>
      <c r="N106" s="430"/>
      <c r="O106" s="430"/>
      <c r="P106" s="430"/>
      <c r="Q106" s="430"/>
      <c r="R106" s="430"/>
      <c r="S106" s="430"/>
      <c r="T106" s="430"/>
      <c r="U106" s="430"/>
      <c r="V106" s="430"/>
      <c r="W106" s="430"/>
      <c r="X106" s="430"/>
      <c r="Y106" s="430"/>
      <c r="Z106" s="430"/>
      <c r="AA106" s="430"/>
      <c r="AB106" s="430"/>
      <c r="AC106" s="430"/>
      <c r="AD106" s="430"/>
      <c r="AE106" s="430"/>
      <c r="AF106" s="430"/>
      <c r="AG106" s="430"/>
      <c r="AH106" s="430"/>
      <c r="AI106" s="430"/>
      <c r="AJ106" s="430"/>
      <c r="AK106" s="430"/>
      <c r="AL106" s="430"/>
      <c r="AM106" s="430"/>
      <c r="AN106" s="430"/>
      <c r="AO106" s="430"/>
      <c r="AP106" s="430"/>
      <c r="AQ106" s="430"/>
      <c r="AR106" s="430"/>
      <c r="AS106" s="430"/>
      <c r="AT106" s="430"/>
      <c r="AU106" s="430"/>
      <c r="AV106" s="430"/>
      <c r="AW106" s="430"/>
      <c r="AX106" s="430"/>
      <c r="AY106" s="430"/>
      <c r="AZ106" s="430"/>
      <c r="BA106" s="430"/>
      <c r="BB106" s="430"/>
      <c r="BC106" s="430"/>
      <c r="BD106" s="430"/>
      <c r="BE106" s="430"/>
      <c r="BF106" s="430"/>
      <c r="BG106" s="430"/>
      <c r="BH106" s="430"/>
      <c r="BI106" s="430"/>
      <c r="BJ106" s="430"/>
      <c r="BK106" s="430"/>
    </row>
    <row r="107" spans="1:63">
      <c r="A107" s="430"/>
      <c r="B107" s="430"/>
      <c r="C107" s="430"/>
      <c r="D107" s="430"/>
      <c r="E107" s="430"/>
      <c r="F107" s="430"/>
      <c r="G107" s="430"/>
      <c r="H107" s="430"/>
      <c r="I107" s="430"/>
      <c r="J107" s="430"/>
      <c r="K107" s="430"/>
      <c r="L107" s="430"/>
      <c r="M107" s="430"/>
      <c r="N107" s="430"/>
      <c r="O107" s="430"/>
      <c r="P107" s="430"/>
      <c r="Q107" s="430"/>
      <c r="R107" s="430"/>
      <c r="S107" s="430"/>
      <c r="T107" s="430"/>
      <c r="U107" s="430"/>
      <c r="V107" s="430"/>
      <c r="W107" s="430"/>
      <c r="X107" s="430"/>
      <c r="Y107" s="430"/>
      <c r="Z107" s="430"/>
      <c r="AA107" s="430"/>
      <c r="AB107" s="430"/>
      <c r="AC107" s="430"/>
      <c r="AD107" s="430"/>
      <c r="AE107" s="430"/>
      <c r="AF107" s="430"/>
      <c r="AG107" s="430"/>
      <c r="AH107" s="430"/>
      <c r="AI107" s="430"/>
      <c r="AJ107" s="430"/>
      <c r="AK107" s="430"/>
      <c r="AL107" s="430"/>
      <c r="AM107" s="430"/>
      <c r="AN107" s="430"/>
      <c r="AO107" s="430"/>
      <c r="AP107" s="430"/>
      <c r="AQ107" s="430"/>
      <c r="AR107" s="430"/>
      <c r="AS107" s="430"/>
      <c r="AT107" s="430"/>
      <c r="AU107" s="430"/>
      <c r="AV107" s="430"/>
      <c r="AW107" s="430"/>
      <c r="AX107" s="430"/>
      <c r="AY107" s="430"/>
      <c r="AZ107" s="430"/>
      <c r="BA107" s="430"/>
      <c r="BB107" s="430"/>
      <c r="BC107" s="430"/>
      <c r="BD107" s="430"/>
      <c r="BE107" s="430"/>
      <c r="BF107" s="430"/>
      <c r="BG107" s="430"/>
      <c r="BH107" s="430"/>
      <c r="BI107" s="430"/>
      <c r="BJ107" s="430"/>
      <c r="BK107" s="430"/>
    </row>
    <row r="108" spans="1:63">
      <c r="A108" s="430"/>
      <c r="B108" s="430"/>
      <c r="C108" s="430"/>
      <c r="D108" s="430"/>
      <c r="E108" s="430"/>
      <c r="F108" s="430"/>
      <c r="G108" s="430"/>
      <c r="H108" s="430"/>
      <c r="I108" s="430"/>
      <c r="J108" s="430"/>
      <c r="K108" s="430"/>
      <c r="L108" s="430"/>
      <c r="M108" s="430"/>
      <c r="N108" s="430"/>
      <c r="O108" s="430"/>
      <c r="P108" s="430"/>
      <c r="Q108" s="430"/>
      <c r="R108" s="430"/>
      <c r="S108" s="430"/>
      <c r="T108" s="430"/>
      <c r="U108" s="430"/>
      <c r="V108" s="430"/>
      <c r="W108" s="430"/>
      <c r="X108" s="430"/>
      <c r="Y108" s="430"/>
      <c r="Z108" s="430"/>
      <c r="AA108" s="430"/>
      <c r="AB108" s="430"/>
      <c r="AC108" s="430"/>
      <c r="AD108" s="430"/>
      <c r="AE108" s="430"/>
      <c r="AF108" s="430"/>
      <c r="AG108" s="430"/>
      <c r="AH108" s="430"/>
      <c r="AI108" s="430"/>
      <c r="AJ108" s="430"/>
      <c r="AK108" s="430"/>
      <c r="AL108" s="430"/>
      <c r="AM108" s="430"/>
      <c r="AN108" s="430"/>
      <c r="AO108" s="430"/>
      <c r="AP108" s="430"/>
      <c r="AQ108" s="430"/>
      <c r="AR108" s="430"/>
      <c r="AS108" s="430"/>
      <c r="AT108" s="430"/>
      <c r="AU108" s="430"/>
      <c r="AV108" s="430"/>
      <c r="AW108" s="430"/>
      <c r="AX108" s="430"/>
      <c r="AY108" s="430"/>
      <c r="AZ108" s="430"/>
      <c r="BA108" s="430"/>
      <c r="BB108" s="430"/>
      <c r="BC108" s="430"/>
      <c r="BD108" s="430"/>
      <c r="BE108" s="430"/>
      <c r="BF108" s="430"/>
      <c r="BG108" s="430"/>
      <c r="BH108" s="430"/>
      <c r="BI108" s="430"/>
      <c r="BJ108" s="430"/>
      <c r="BK108" s="430"/>
    </row>
    <row r="109" spans="1:63">
      <c r="A109" s="430"/>
      <c r="B109" s="451"/>
      <c r="C109" s="430"/>
      <c r="D109" s="451"/>
      <c r="E109" s="430"/>
      <c r="F109" s="430"/>
      <c r="G109" s="430"/>
      <c r="H109" s="430"/>
      <c r="I109" s="430"/>
      <c r="J109" s="430"/>
      <c r="K109" s="430"/>
      <c r="L109" s="430"/>
      <c r="M109" s="430"/>
      <c r="N109" s="430"/>
      <c r="O109" s="430"/>
      <c r="P109" s="430"/>
      <c r="Q109" s="430"/>
      <c r="R109" s="430"/>
      <c r="S109" s="430"/>
      <c r="T109" s="430"/>
      <c r="U109" s="430"/>
      <c r="V109" s="430"/>
      <c r="W109" s="430"/>
      <c r="X109" s="430"/>
      <c r="Y109" s="430"/>
      <c r="Z109" s="430"/>
      <c r="AA109" s="430"/>
      <c r="AB109" s="430"/>
      <c r="AC109" s="430"/>
      <c r="AD109" s="430"/>
      <c r="AE109" s="430"/>
      <c r="AF109" s="430"/>
      <c r="AG109" s="430"/>
      <c r="AH109" s="430"/>
      <c r="AI109" s="430"/>
      <c r="AJ109" s="430"/>
      <c r="AK109" s="430"/>
      <c r="AL109" s="430"/>
      <c r="AM109" s="430"/>
      <c r="AN109" s="430"/>
      <c r="AO109" s="430"/>
      <c r="AP109" s="430"/>
      <c r="AQ109" s="430"/>
      <c r="AR109" s="430"/>
      <c r="AS109" s="430"/>
      <c r="AT109" s="430"/>
      <c r="AU109" s="430"/>
      <c r="AV109" s="430"/>
      <c r="AW109" s="430"/>
      <c r="AX109" s="430"/>
      <c r="AY109" s="430"/>
      <c r="AZ109" s="430"/>
      <c r="BA109" s="430"/>
      <c r="BB109" s="430"/>
      <c r="BC109" s="430"/>
      <c r="BD109" s="430"/>
      <c r="BE109" s="430"/>
      <c r="BF109" s="430"/>
      <c r="BG109" s="430"/>
      <c r="BH109" s="430"/>
      <c r="BI109" s="430"/>
      <c r="BJ109" s="430"/>
      <c r="BK109" s="430"/>
    </row>
    <row r="110" spans="1:63">
      <c r="A110" s="430"/>
      <c r="B110" s="451"/>
      <c r="C110" s="430"/>
      <c r="D110" s="451"/>
      <c r="E110" s="430"/>
      <c r="F110" s="430"/>
      <c r="G110" s="430"/>
      <c r="H110" s="430"/>
      <c r="I110" s="430"/>
      <c r="J110" s="430"/>
      <c r="K110" s="430"/>
      <c r="L110" s="430"/>
      <c r="M110" s="430"/>
      <c r="N110" s="430"/>
      <c r="O110" s="430"/>
      <c r="P110" s="430"/>
      <c r="Q110" s="430"/>
      <c r="R110" s="430"/>
      <c r="S110" s="430"/>
      <c r="T110" s="430"/>
      <c r="U110" s="430"/>
      <c r="V110" s="430"/>
      <c r="W110" s="430"/>
      <c r="X110" s="430"/>
      <c r="Y110" s="430"/>
      <c r="Z110" s="430"/>
      <c r="AA110" s="430"/>
      <c r="AB110" s="430"/>
      <c r="AC110" s="430"/>
      <c r="AD110" s="430"/>
      <c r="AE110" s="430"/>
      <c r="AF110" s="430"/>
      <c r="AG110" s="430"/>
      <c r="AH110" s="430"/>
      <c r="AI110" s="430"/>
      <c r="AJ110" s="430"/>
      <c r="AK110" s="430"/>
      <c r="AL110" s="430"/>
      <c r="AM110" s="430"/>
      <c r="AN110" s="430"/>
      <c r="AO110" s="430"/>
      <c r="AP110" s="430"/>
      <c r="AQ110" s="430"/>
      <c r="AR110" s="430"/>
      <c r="AS110" s="430"/>
      <c r="AT110" s="430"/>
      <c r="AU110" s="430"/>
      <c r="AV110" s="430"/>
      <c r="AW110" s="430"/>
      <c r="AX110" s="430"/>
      <c r="AY110" s="430"/>
      <c r="AZ110" s="430"/>
      <c r="BA110" s="430"/>
      <c r="BB110" s="430"/>
      <c r="BC110" s="430"/>
      <c r="BD110" s="430"/>
      <c r="BE110" s="430"/>
      <c r="BF110" s="430"/>
      <c r="BG110" s="430"/>
      <c r="BH110" s="430"/>
      <c r="BI110" s="430"/>
      <c r="BJ110" s="430"/>
      <c r="BK110" s="430"/>
    </row>
    <row r="111" spans="1:63">
      <c r="A111" s="430"/>
      <c r="B111" s="451"/>
      <c r="C111" s="430"/>
      <c r="D111" s="451"/>
      <c r="E111" s="430"/>
      <c r="F111" s="430"/>
      <c r="G111" s="430"/>
      <c r="H111" s="430"/>
      <c r="I111" s="430"/>
      <c r="J111" s="430"/>
      <c r="K111" s="430"/>
      <c r="L111" s="430"/>
      <c r="M111" s="430"/>
      <c r="N111" s="430"/>
      <c r="O111" s="430"/>
      <c r="P111" s="430"/>
      <c r="Q111" s="430"/>
      <c r="R111" s="430"/>
      <c r="S111" s="430"/>
      <c r="T111" s="430"/>
      <c r="U111" s="430"/>
      <c r="V111" s="430"/>
      <c r="W111" s="430"/>
      <c r="X111" s="430"/>
      <c r="Y111" s="430"/>
      <c r="Z111" s="430"/>
      <c r="AA111" s="430"/>
      <c r="AB111" s="430"/>
      <c r="AC111" s="430"/>
      <c r="AD111" s="430"/>
      <c r="AE111" s="430"/>
      <c r="AF111" s="430"/>
      <c r="AG111" s="430"/>
      <c r="AH111" s="430"/>
      <c r="AI111" s="430"/>
      <c r="AJ111" s="430"/>
      <c r="AK111" s="430"/>
      <c r="AL111" s="430"/>
      <c r="AM111" s="430"/>
      <c r="AN111" s="430"/>
      <c r="AO111" s="430"/>
      <c r="AP111" s="430"/>
      <c r="AQ111" s="430"/>
      <c r="AR111" s="430"/>
      <c r="AS111" s="430"/>
      <c r="AT111" s="430"/>
      <c r="AU111" s="430"/>
      <c r="AV111" s="430"/>
      <c r="AW111" s="430"/>
      <c r="AX111" s="430"/>
      <c r="AY111" s="430"/>
      <c r="AZ111" s="430"/>
      <c r="BA111" s="430"/>
      <c r="BB111" s="430"/>
      <c r="BC111" s="430"/>
      <c r="BD111" s="430"/>
      <c r="BE111" s="430"/>
      <c r="BF111" s="430"/>
      <c r="BG111" s="430"/>
      <c r="BH111" s="430"/>
      <c r="BI111" s="430"/>
      <c r="BJ111" s="430"/>
      <c r="BK111" s="430"/>
    </row>
    <row r="112" spans="1:63">
      <c r="A112" s="430"/>
      <c r="B112" s="451"/>
      <c r="C112" s="430"/>
      <c r="D112" s="451"/>
      <c r="E112" s="430"/>
      <c r="F112" s="430"/>
      <c r="G112" s="430"/>
      <c r="H112" s="430"/>
      <c r="I112" s="430"/>
      <c r="J112" s="430"/>
      <c r="K112" s="430"/>
      <c r="L112" s="430"/>
      <c r="M112" s="430"/>
      <c r="N112" s="430"/>
      <c r="O112" s="430"/>
      <c r="P112" s="430"/>
      <c r="Q112" s="430"/>
      <c r="R112" s="430"/>
      <c r="S112" s="430"/>
      <c r="T112" s="430"/>
      <c r="U112" s="430"/>
      <c r="V112" s="430"/>
      <c r="W112" s="430"/>
      <c r="X112" s="430"/>
      <c r="Y112" s="430"/>
      <c r="Z112" s="430"/>
      <c r="AA112" s="430"/>
      <c r="AB112" s="430"/>
      <c r="AC112" s="430"/>
      <c r="AD112" s="430"/>
      <c r="AE112" s="430"/>
      <c r="AF112" s="430"/>
      <c r="AG112" s="430"/>
      <c r="AH112" s="430"/>
      <c r="AI112" s="430"/>
      <c r="AJ112" s="430"/>
      <c r="AK112" s="430"/>
      <c r="AL112" s="430"/>
      <c r="AM112" s="430"/>
      <c r="AN112" s="430"/>
      <c r="AO112" s="430"/>
      <c r="AP112" s="430"/>
      <c r="AQ112" s="430"/>
      <c r="AR112" s="430"/>
      <c r="AS112" s="430"/>
      <c r="AT112" s="430"/>
      <c r="AU112" s="430"/>
      <c r="AV112" s="430"/>
      <c r="AW112" s="430"/>
      <c r="AX112" s="430"/>
      <c r="AY112" s="430"/>
      <c r="AZ112" s="430"/>
      <c r="BA112" s="430"/>
      <c r="BB112" s="430"/>
      <c r="BC112" s="430"/>
      <c r="BD112" s="430"/>
      <c r="BE112" s="430"/>
      <c r="BF112" s="430"/>
      <c r="BG112" s="430"/>
      <c r="BH112" s="430"/>
      <c r="BI112" s="430"/>
      <c r="BJ112" s="430"/>
      <c r="BK112" s="430"/>
    </row>
    <row r="113" spans="1:63">
      <c r="A113" s="430"/>
      <c r="B113" s="451"/>
      <c r="C113" s="430"/>
      <c r="D113" s="451"/>
      <c r="E113" s="430"/>
      <c r="F113" s="430"/>
      <c r="G113" s="430"/>
      <c r="H113" s="430"/>
      <c r="I113" s="430"/>
      <c r="J113" s="430"/>
      <c r="K113" s="430"/>
      <c r="L113" s="430"/>
      <c r="M113" s="430"/>
      <c r="N113" s="430"/>
      <c r="O113" s="430"/>
      <c r="P113" s="430"/>
      <c r="Q113" s="430"/>
      <c r="R113" s="430"/>
      <c r="S113" s="430"/>
      <c r="T113" s="430"/>
      <c r="U113" s="430"/>
      <c r="V113" s="430"/>
      <c r="W113" s="430"/>
      <c r="X113" s="430"/>
      <c r="Y113" s="430"/>
      <c r="Z113" s="430"/>
      <c r="AA113" s="430"/>
      <c r="AB113" s="430"/>
      <c r="AC113" s="430"/>
      <c r="AD113" s="430"/>
      <c r="AE113" s="430"/>
      <c r="AF113" s="430"/>
      <c r="AG113" s="430"/>
      <c r="AH113" s="430"/>
      <c r="AI113" s="430"/>
      <c r="AJ113" s="430"/>
      <c r="AK113" s="430"/>
      <c r="AL113" s="430"/>
      <c r="AM113" s="430"/>
      <c r="AN113" s="430"/>
      <c r="AO113" s="430"/>
      <c r="AP113" s="430"/>
      <c r="AQ113" s="430"/>
      <c r="AR113" s="430"/>
      <c r="AS113" s="430"/>
      <c r="AT113" s="430"/>
      <c r="AU113" s="430"/>
      <c r="AV113" s="430"/>
      <c r="AW113" s="430"/>
      <c r="AX113" s="430"/>
      <c r="AY113" s="430"/>
      <c r="AZ113" s="430"/>
      <c r="BA113" s="430"/>
      <c r="BB113" s="430"/>
      <c r="BC113" s="430"/>
      <c r="BD113" s="430"/>
      <c r="BE113" s="430"/>
      <c r="BF113" s="430"/>
      <c r="BG113" s="430"/>
      <c r="BH113" s="430"/>
      <c r="BI113" s="430"/>
      <c r="BJ113" s="430"/>
      <c r="BK113" s="430"/>
    </row>
    <row r="114" spans="1:63">
      <c r="A114" s="430"/>
      <c r="B114" s="451"/>
      <c r="C114" s="430"/>
      <c r="D114" s="451"/>
      <c r="E114" s="430"/>
      <c r="F114" s="430"/>
      <c r="G114" s="430"/>
      <c r="H114" s="430"/>
      <c r="I114" s="430"/>
      <c r="J114" s="430"/>
      <c r="K114" s="430"/>
      <c r="L114" s="430"/>
      <c r="M114" s="430"/>
      <c r="N114" s="430"/>
      <c r="O114" s="430"/>
      <c r="P114" s="430"/>
      <c r="Q114" s="430"/>
      <c r="R114" s="430"/>
      <c r="S114" s="430"/>
      <c r="T114" s="430"/>
      <c r="U114" s="430"/>
      <c r="V114" s="430"/>
      <c r="W114" s="430"/>
      <c r="X114" s="430"/>
      <c r="Y114" s="430"/>
      <c r="Z114" s="430"/>
      <c r="AA114" s="430"/>
      <c r="AB114" s="430"/>
      <c r="AC114" s="430"/>
      <c r="AD114" s="430"/>
      <c r="AE114" s="430"/>
      <c r="AF114" s="430"/>
      <c r="AG114" s="430"/>
      <c r="AH114" s="430"/>
      <c r="AI114" s="430"/>
      <c r="AJ114" s="430"/>
      <c r="AK114" s="430"/>
      <c r="AL114" s="430"/>
      <c r="AM114" s="430"/>
      <c r="AN114" s="430"/>
      <c r="AO114" s="430"/>
      <c r="AP114" s="430"/>
      <c r="AQ114" s="430"/>
      <c r="AR114" s="430"/>
      <c r="AS114" s="430"/>
      <c r="AT114" s="430"/>
      <c r="AU114" s="430"/>
      <c r="AV114" s="430"/>
      <c r="AW114" s="430"/>
      <c r="AX114" s="430"/>
      <c r="AY114" s="430"/>
      <c r="AZ114" s="430"/>
      <c r="BA114" s="430"/>
      <c r="BB114" s="430"/>
      <c r="BC114" s="430"/>
      <c r="BD114" s="430"/>
      <c r="BE114" s="430"/>
      <c r="BF114" s="430"/>
      <c r="BG114" s="430"/>
      <c r="BH114" s="430"/>
      <c r="BI114" s="430"/>
      <c r="BJ114" s="430"/>
      <c r="BK114" s="430"/>
    </row>
    <row r="115" spans="1:63">
      <c r="A115" s="430"/>
      <c r="B115" s="451"/>
      <c r="C115" s="430"/>
      <c r="D115" s="451"/>
      <c r="E115" s="430"/>
      <c r="F115" s="430"/>
      <c r="G115" s="430"/>
      <c r="H115" s="430"/>
      <c r="I115" s="430"/>
      <c r="J115" s="430"/>
      <c r="K115" s="430"/>
      <c r="L115" s="430"/>
      <c r="M115" s="430"/>
      <c r="N115" s="430"/>
      <c r="O115" s="430"/>
      <c r="P115" s="430"/>
      <c r="Q115" s="430"/>
      <c r="R115" s="430"/>
      <c r="S115" s="430"/>
      <c r="T115" s="430"/>
      <c r="U115" s="430"/>
      <c r="V115" s="430"/>
      <c r="W115" s="430"/>
      <c r="X115" s="430"/>
      <c r="Y115" s="430"/>
      <c r="Z115" s="430"/>
      <c r="AA115" s="430"/>
      <c r="AB115" s="430"/>
      <c r="AC115" s="430"/>
      <c r="AD115" s="430"/>
      <c r="AE115" s="430"/>
      <c r="AF115" s="430"/>
      <c r="AG115" s="430"/>
      <c r="AH115" s="430"/>
      <c r="AI115" s="430"/>
      <c r="AJ115" s="430"/>
      <c r="AK115" s="430"/>
      <c r="AL115" s="430"/>
      <c r="AM115" s="430"/>
      <c r="AN115" s="430"/>
      <c r="AO115" s="430"/>
      <c r="AP115" s="430"/>
      <c r="AQ115" s="430"/>
      <c r="AR115" s="430"/>
      <c r="AS115" s="430"/>
      <c r="AT115" s="430"/>
      <c r="AU115" s="430"/>
      <c r="AV115" s="430"/>
      <c r="AW115" s="430"/>
      <c r="AX115" s="430"/>
      <c r="AY115" s="430"/>
      <c r="AZ115" s="430"/>
      <c r="BA115" s="430"/>
      <c r="BB115" s="430"/>
      <c r="BC115" s="430"/>
      <c r="BD115" s="430"/>
      <c r="BE115" s="430"/>
      <c r="BF115" s="430"/>
      <c r="BG115" s="430"/>
      <c r="BH115" s="430"/>
      <c r="BI115" s="430"/>
      <c r="BJ115" s="430"/>
      <c r="BK115" s="430"/>
    </row>
    <row r="116" spans="1:63">
      <c r="A116" s="430"/>
      <c r="B116" s="451"/>
      <c r="C116" s="430"/>
      <c r="D116" s="451"/>
      <c r="E116" s="430"/>
      <c r="F116" s="430"/>
      <c r="G116" s="430"/>
      <c r="H116" s="430"/>
      <c r="I116" s="430"/>
      <c r="J116" s="430"/>
      <c r="K116" s="430"/>
      <c r="L116" s="430"/>
      <c r="M116" s="430"/>
      <c r="N116" s="430"/>
      <c r="O116" s="430"/>
      <c r="P116" s="430"/>
      <c r="Q116" s="430"/>
      <c r="R116" s="430"/>
      <c r="S116" s="430"/>
      <c r="T116" s="430"/>
      <c r="U116" s="430"/>
      <c r="V116" s="430"/>
      <c r="W116" s="430"/>
      <c r="X116" s="430"/>
      <c r="Y116" s="430"/>
      <c r="Z116" s="430"/>
      <c r="AA116" s="430"/>
      <c r="AB116" s="430"/>
      <c r="AC116" s="430"/>
      <c r="AD116" s="430"/>
      <c r="AE116" s="430"/>
      <c r="AF116" s="430"/>
      <c r="AG116" s="430"/>
      <c r="AH116" s="430"/>
      <c r="AI116" s="430"/>
      <c r="AJ116" s="430"/>
      <c r="AK116" s="430"/>
      <c r="AL116" s="430"/>
      <c r="AM116" s="430"/>
      <c r="AN116" s="430"/>
      <c r="AO116" s="430"/>
      <c r="AP116" s="430"/>
      <c r="AQ116" s="430"/>
      <c r="AR116" s="430"/>
      <c r="AS116" s="430"/>
      <c r="AT116" s="430"/>
      <c r="AU116" s="430"/>
      <c r="AV116" s="430"/>
      <c r="AW116" s="430"/>
      <c r="AX116" s="430"/>
      <c r="AY116" s="430"/>
      <c r="AZ116" s="430"/>
      <c r="BA116" s="430"/>
      <c r="BB116" s="430"/>
      <c r="BC116" s="430"/>
      <c r="BD116" s="430"/>
      <c r="BE116" s="430"/>
      <c r="BF116" s="430"/>
      <c r="BG116" s="430"/>
      <c r="BH116" s="430"/>
      <c r="BI116" s="430"/>
      <c r="BJ116" s="430"/>
      <c r="BK116" s="430"/>
    </row>
    <row r="117" spans="1:63">
      <c r="A117" s="430"/>
      <c r="B117" s="451"/>
      <c r="C117" s="430"/>
      <c r="D117" s="451"/>
      <c r="E117" s="430"/>
      <c r="F117" s="430"/>
      <c r="G117" s="430"/>
      <c r="H117" s="430"/>
      <c r="I117" s="430"/>
      <c r="J117" s="430"/>
      <c r="K117" s="430"/>
      <c r="L117" s="430"/>
      <c r="M117" s="430"/>
      <c r="N117" s="430"/>
      <c r="O117" s="430"/>
      <c r="P117" s="430"/>
      <c r="Q117" s="430"/>
      <c r="R117" s="430"/>
      <c r="S117" s="430"/>
      <c r="T117" s="430"/>
      <c r="U117" s="430"/>
      <c r="V117" s="430"/>
      <c r="W117" s="430"/>
      <c r="X117" s="430"/>
      <c r="Y117" s="430"/>
      <c r="Z117" s="430"/>
      <c r="AA117" s="430"/>
      <c r="AB117" s="430"/>
      <c r="AC117" s="430"/>
      <c r="AD117" s="430"/>
      <c r="AE117" s="430"/>
      <c r="AF117" s="430"/>
      <c r="AG117" s="430"/>
      <c r="AH117" s="430"/>
      <c r="AI117" s="430"/>
      <c r="AJ117" s="430"/>
      <c r="AK117" s="430"/>
      <c r="AL117" s="430"/>
      <c r="AM117" s="430"/>
      <c r="AN117" s="430"/>
      <c r="AO117" s="430"/>
      <c r="AP117" s="430"/>
      <c r="AQ117" s="430"/>
      <c r="AR117" s="430"/>
      <c r="AS117" s="430"/>
      <c r="AT117" s="430"/>
      <c r="AU117" s="430"/>
      <c r="AV117" s="430"/>
      <c r="AW117" s="430"/>
      <c r="AX117" s="430"/>
      <c r="AY117" s="430"/>
      <c r="AZ117" s="430"/>
      <c r="BA117" s="430"/>
      <c r="BB117" s="430"/>
      <c r="BC117" s="430"/>
      <c r="BD117" s="430"/>
      <c r="BE117" s="430"/>
      <c r="BF117" s="430"/>
      <c r="BG117" s="430"/>
      <c r="BH117" s="430"/>
      <c r="BI117" s="430"/>
      <c r="BJ117" s="430"/>
      <c r="BK117" s="430"/>
    </row>
    <row r="118" spans="1:63">
      <c r="A118" s="430"/>
      <c r="B118" s="451"/>
      <c r="C118" s="430"/>
      <c r="D118" s="451"/>
      <c r="E118" s="430"/>
      <c r="F118" s="430"/>
      <c r="G118" s="430"/>
      <c r="H118" s="430"/>
      <c r="I118" s="430"/>
      <c r="J118" s="430"/>
      <c r="K118" s="430"/>
      <c r="L118" s="430"/>
      <c r="M118" s="430"/>
      <c r="N118" s="430"/>
      <c r="O118" s="430"/>
      <c r="P118" s="430"/>
      <c r="Q118" s="430"/>
      <c r="R118" s="430"/>
      <c r="S118" s="430"/>
      <c r="T118" s="430"/>
      <c r="U118" s="430"/>
      <c r="V118" s="430"/>
      <c r="W118" s="430"/>
      <c r="X118" s="430"/>
      <c r="Y118" s="430"/>
      <c r="Z118" s="430"/>
      <c r="AA118" s="430"/>
      <c r="AB118" s="430"/>
      <c r="AC118" s="430"/>
      <c r="AD118" s="430"/>
      <c r="AE118" s="430"/>
      <c r="AF118" s="430"/>
      <c r="AG118" s="430"/>
      <c r="AH118" s="430"/>
      <c r="AI118" s="430"/>
      <c r="AJ118" s="430"/>
      <c r="AK118" s="430"/>
      <c r="AL118" s="430"/>
      <c r="AM118" s="430"/>
      <c r="AN118" s="430"/>
      <c r="AO118" s="430"/>
      <c r="AP118" s="430"/>
      <c r="AQ118" s="430"/>
      <c r="AR118" s="430"/>
      <c r="AS118" s="430"/>
      <c r="AT118" s="430"/>
      <c r="AU118" s="430"/>
      <c r="AV118" s="430"/>
      <c r="AW118" s="430"/>
      <c r="AX118" s="430"/>
      <c r="AY118" s="430"/>
      <c r="AZ118" s="430"/>
      <c r="BA118" s="430"/>
      <c r="BB118" s="430"/>
      <c r="BC118" s="430"/>
      <c r="BD118" s="430"/>
      <c r="BE118" s="430"/>
      <c r="BF118" s="430"/>
      <c r="BG118" s="430"/>
      <c r="BH118" s="430"/>
      <c r="BI118" s="430"/>
      <c r="BJ118" s="430"/>
      <c r="BK118" s="430"/>
    </row>
    <row r="119" spans="1:63">
      <c r="A119" s="430"/>
      <c r="B119" s="451"/>
      <c r="C119" s="430"/>
      <c r="D119" s="451"/>
      <c r="E119" s="430"/>
      <c r="F119" s="430"/>
      <c r="G119" s="430"/>
      <c r="H119" s="430"/>
      <c r="I119" s="430"/>
      <c r="J119" s="430"/>
      <c r="K119" s="430"/>
      <c r="L119" s="430"/>
      <c r="M119" s="430"/>
      <c r="N119" s="430"/>
      <c r="O119" s="430"/>
      <c r="P119" s="430"/>
      <c r="Q119" s="430"/>
      <c r="R119" s="430"/>
      <c r="S119" s="430"/>
      <c r="T119" s="430"/>
      <c r="U119" s="430"/>
      <c r="V119" s="430"/>
      <c r="W119" s="430"/>
      <c r="X119" s="430"/>
      <c r="Y119" s="430"/>
      <c r="Z119" s="430"/>
      <c r="AA119" s="430"/>
      <c r="AB119" s="430"/>
      <c r="AC119" s="430"/>
      <c r="AD119" s="430"/>
      <c r="AE119" s="430"/>
      <c r="AF119" s="430"/>
      <c r="AG119" s="430"/>
      <c r="AH119" s="430"/>
      <c r="AI119" s="430"/>
      <c r="AJ119" s="430"/>
      <c r="AK119" s="430"/>
      <c r="AL119" s="430"/>
      <c r="AM119" s="430"/>
      <c r="AN119" s="430"/>
      <c r="AO119" s="430"/>
      <c r="AP119" s="430"/>
      <c r="AQ119" s="430"/>
      <c r="AR119" s="430"/>
      <c r="AS119" s="430"/>
      <c r="AT119" s="430"/>
      <c r="AU119" s="430"/>
      <c r="AV119" s="430"/>
      <c r="AW119" s="430"/>
      <c r="AX119" s="430"/>
      <c r="AY119" s="430"/>
      <c r="AZ119" s="430"/>
      <c r="BA119" s="430"/>
      <c r="BB119" s="430"/>
      <c r="BC119" s="430"/>
      <c r="BD119" s="430"/>
      <c r="BE119" s="430"/>
      <c r="BF119" s="430"/>
      <c r="BG119" s="430"/>
      <c r="BH119" s="430"/>
      <c r="BI119" s="430"/>
      <c r="BJ119" s="430"/>
      <c r="BK119" s="430"/>
    </row>
    <row r="120" spans="1:63">
      <c r="A120" s="430"/>
      <c r="B120" s="451"/>
      <c r="C120" s="430"/>
      <c r="D120" s="451"/>
      <c r="E120" s="430"/>
      <c r="F120" s="430"/>
      <c r="G120" s="430"/>
      <c r="H120" s="430"/>
      <c r="I120" s="430"/>
      <c r="J120" s="430"/>
      <c r="K120" s="430"/>
      <c r="L120" s="430"/>
      <c r="M120" s="430"/>
      <c r="N120" s="430"/>
      <c r="O120" s="430"/>
      <c r="P120" s="430"/>
      <c r="Q120" s="430"/>
      <c r="R120" s="430"/>
      <c r="S120" s="430"/>
      <c r="T120" s="430"/>
      <c r="U120" s="430"/>
      <c r="V120" s="430"/>
      <c r="W120" s="430"/>
      <c r="X120" s="430"/>
      <c r="Y120" s="430"/>
      <c r="Z120" s="430"/>
      <c r="AA120" s="430"/>
      <c r="AB120" s="430"/>
      <c r="AC120" s="430"/>
      <c r="AD120" s="430"/>
      <c r="AE120" s="430"/>
      <c r="AF120" s="430"/>
      <c r="AG120" s="430"/>
      <c r="AH120" s="430"/>
      <c r="AI120" s="430"/>
      <c r="AJ120" s="430"/>
      <c r="AK120" s="430"/>
      <c r="AL120" s="430"/>
      <c r="AM120" s="430"/>
      <c r="AN120" s="430"/>
      <c r="AO120" s="430"/>
      <c r="AP120" s="430"/>
      <c r="AQ120" s="430"/>
      <c r="AR120" s="430"/>
      <c r="AS120" s="430"/>
      <c r="AT120" s="430"/>
      <c r="AU120" s="430"/>
      <c r="AV120" s="430"/>
      <c r="AW120" s="430"/>
      <c r="AX120" s="430"/>
      <c r="AY120" s="430"/>
      <c r="AZ120" s="430"/>
      <c r="BA120" s="430"/>
      <c r="BB120" s="430"/>
      <c r="BC120" s="430"/>
      <c r="BD120" s="430"/>
      <c r="BE120" s="430"/>
      <c r="BF120" s="430"/>
      <c r="BG120" s="430"/>
      <c r="BH120" s="430"/>
      <c r="BI120" s="430"/>
      <c r="BJ120" s="430"/>
      <c r="BK120" s="430"/>
    </row>
    <row r="121" spans="1:63">
      <c r="A121" s="430"/>
      <c r="B121" s="451"/>
      <c r="C121" s="430"/>
      <c r="D121" s="451"/>
      <c r="E121" s="430"/>
      <c r="F121" s="430"/>
      <c r="G121" s="430"/>
      <c r="H121" s="430"/>
      <c r="I121" s="430"/>
      <c r="J121" s="430"/>
      <c r="K121" s="430"/>
      <c r="L121" s="430"/>
      <c r="M121" s="430"/>
      <c r="N121" s="430"/>
      <c r="O121" s="430"/>
      <c r="P121" s="430"/>
      <c r="Q121" s="430"/>
      <c r="R121" s="430"/>
      <c r="S121" s="430"/>
      <c r="T121" s="430"/>
      <c r="U121" s="430"/>
      <c r="V121" s="430"/>
      <c r="W121" s="430"/>
      <c r="X121" s="430"/>
      <c r="Y121" s="430"/>
      <c r="Z121" s="430"/>
      <c r="AA121" s="430"/>
      <c r="AB121" s="430"/>
      <c r="AC121" s="430"/>
      <c r="AD121" s="430"/>
      <c r="AE121" s="430"/>
      <c r="AF121" s="430"/>
      <c r="AG121" s="430"/>
      <c r="AH121" s="430"/>
      <c r="AI121" s="430"/>
      <c r="AJ121" s="430"/>
      <c r="AK121" s="430"/>
      <c r="AL121" s="430"/>
      <c r="AM121" s="430"/>
      <c r="AN121" s="430"/>
      <c r="AO121" s="430"/>
      <c r="AP121" s="430"/>
      <c r="AQ121" s="430"/>
      <c r="AR121" s="430"/>
      <c r="AS121" s="430"/>
      <c r="AT121" s="430"/>
      <c r="AU121" s="430"/>
      <c r="AV121" s="430"/>
      <c r="AW121" s="430"/>
      <c r="AX121" s="430"/>
      <c r="AY121" s="430"/>
      <c r="AZ121" s="430"/>
      <c r="BA121" s="430"/>
      <c r="BB121" s="430"/>
      <c r="BC121" s="430"/>
      <c r="BD121" s="430"/>
      <c r="BE121" s="430"/>
      <c r="BF121" s="430"/>
      <c r="BG121" s="430"/>
      <c r="BH121" s="430"/>
      <c r="BI121" s="430"/>
      <c r="BJ121" s="430"/>
      <c r="BK121" s="430"/>
    </row>
    <row r="122" spans="1:63">
      <c r="A122" s="430"/>
      <c r="B122" s="451"/>
      <c r="C122" s="430"/>
      <c r="D122" s="451"/>
      <c r="E122" s="430"/>
      <c r="F122" s="430"/>
      <c r="G122" s="430"/>
      <c r="H122" s="430"/>
      <c r="I122" s="430"/>
      <c r="J122" s="430"/>
      <c r="K122" s="430"/>
      <c r="L122" s="430"/>
      <c r="M122" s="430"/>
      <c r="N122" s="430"/>
      <c r="O122" s="430"/>
      <c r="P122" s="430"/>
      <c r="Q122" s="430"/>
      <c r="R122" s="430"/>
      <c r="S122" s="430"/>
      <c r="T122" s="430"/>
      <c r="U122" s="430"/>
      <c r="V122" s="430"/>
      <c r="W122" s="430"/>
      <c r="X122" s="430"/>
      <c r="Y122" s="430"/>
      <c r="Z122" s="430"/>
      <c r="AA122" s="430"/>
      <c r="AB122" s="430"/>
      <c r="AC122" s="430"/>
      <c r="AD122" s="430"/>
      <c r="AE122" s="430"/>
      <c r="AF122" s="430"/>
      <c r="AG122" s="430"/>
      <c r="AH122" s="430"/>
      <c r="AI122" s="430"/>
      <c r="AJ122" s="430"/>
      <c r="AK122" s="430"/>
      <c r="AL122" s="430"/>
      <c r="AM122" s="430"/>
      <c r="AN122" s="430"/>
      <c r="AO122" s="430"/>
      <c r="AP122" s="430"/>
      <c r="AQ122" s="430"/>
      <c r="AR122" s="430"/>
      <c r="AS122" s="430"/>
      <c r="AT122" s="430"/>
      <c r="AU122" s="430"/>
      <c r="AV122" s="430"/>
      <c r="AW122" s="430"/>
      <c r="AX122" s="430"/>
      <c r="AY122" s="430"/>
      <c r="AZ122" s="430"/>
      <c r="BA122" s="430"/>
      <c r="BB122" s="430"/>
      <c r="BC122" s="430"/>
      <c r="BD122" s="430"/>
      <c r="BE122" s="430"/>
      <c r="BF122" s="430"/>
      <c r="BG122" s="430"/>
      <c r="BH122" s="430"/>
      <c r="BI122" s="430"/>
      <c r="BJ122" s="430"/>
      <c r="BK122" s="430"/>
    </row>
    <row r="123" spans="1:63">
      <c r="A123" s="430"/>
      <c r="B123" s="451"/>
      <c r="C123" s="430"/>
      <c r="D123" s="451"/>
      <c r="E123" s="430"/>
      <c r="F123" s="430"/>
      <c r="G123" s="430"/>
      <c r="H123" s="430"/>
      <c r="I123" s="430"/>
      <c r="J123" s="430"/>
      <c r="K123" s="430"/>
      <c r="L123" s="430"/>
      <c r="M123" s="430"/>
      <c r="N123" s="430"/>
      <c r="O123" s="430"/>
      <c r="P123" s="430"/>
      <c r="Q123" s="430"/>
      <c r="R123" s="430"/>
      <c r="S123" s="430"/>
      <c r="T123" s="430"/>
      <c r="U123" s="430"/>
      <c r="V123" s="430"/>
      <c r="W123" s="430"/>
      <c r="X123" s="430"/>
      <c r="Y123" s="430"/>
      <c r="Z123" s="430"/>
      <c r="AA123" s="430"/>
      <c r="AB123" s="430"/>
      <c r="AC123" s="430"/>
      <c r="AD123" s="430"/>
      <c r="AE123" s="430"/>
      <c r="AF123" s="430"/>
      <c r="AG123" s="430"/>
      <c r="AH123" s="430"/>
      <c r="AI123" s="430"/>
      <c r="AJ123" s="430"/>
      <c r="AK123" s="430"/>
      <c r="AL123" s="430"/>
      <c r="AM123" s="430"/>
      <c r="AN123" s="430"/>
      <c r="AO123" s="430"/>
      <c r="AP123" s="430"/>
      <c r="AQ123" s="430"/>
      <c r="AR123" s="430"/>
      <c r="AS123" s="430"/>
      <c r="AT123" s="430"/>
      <c r="AU123" s="430"/>
      <c r="AV123" s="430"/>
      <c r="AW123" s="430"/>
      <c r="AX123" s="430"/>
      <c r="AY123" s="430"/>
      <c r="AZ123" s="430"/>
      <c r="BA123" s="430"/>
      <c r="BB123" s="430"/>
      <c r="BC123" s="430"/>
      <c r="BD123" s="430"/>
      <c r="BE123" s="430"/>
      <c r="BF123" s="430"/>
      <c r="BG123" s="430"/>
      <c r="BH123" s="430"/>
      <c r="BI123" s="430"/>
      <c r="BJ123" s="430"/>
      <c r="BK123" s="430"/>
    </row>
    <row r="124" spans="1:63">
      <c r="A124" s="430"/>
      <c r="B124" s="451"/>
      <c r="C124" s="430"/>
      <c r="D124" s="451"/>
      <c r="E124" s="430"/>
      <c r="F124" s="430"/>
      <c r="G124" s="430"/>
      <c r="H124" s="430"/>
      <c r="I124" s="430"/>
      <c r="J124" s="430"/>
      <c r="K124" s="430"/>
      <c r="L124" s="430"/>
      <c r="M124" s="430"/>
      <c r="N124" s="430"/>
      <c r="O124" s="430"/>
      <c r="P124" s="430"/>
      <c r="Q124" s="430"/>
      <c r="R124" s="430"/>
      <c r="S124" s="430"/>
      <c r="T124" s="430"/>
      <c r="U124" s="430"/>
      <c r="V124" s="430"/>
      <c r="W124" s="430"/>
      <c r="X124" s="430"/>
      <c r="Y124" s="430"/>
      <c r="Z124" s="430"/>
      <c r="AA124" s="430"/>
      <c r="AB124" s="430"/>
      <c r="AC124" s="430"/>
      <c r="AD124" s="430"/>
      <c r="AE124" s="430"/>
      <c r="AF124" s="430"/>
      <c r="AG124" s="430"/>
      <c r="AH124" s="430"/>
      <c r="AI124" s="430"/>
      <c r="AJ124" s="430"/>
      <c r="AK124" s="430"/>
      <c r="AL124" s="430"/>
      <c r="AM124" s="430"/>
      <c r="AN124" s="430"/>
      <c r="AO124" s="430"/>
      <c r="AP124" s="430"/>
      <c r="AQ124" s="430"/>
      <c r="AR124" s="430"/>
      <c r="AS124" s="430"/>
      <c r="AT124" s="430"/>
      <c r="AU124" s="430"/>
      <c r="AV124" s="430"/>
      <c r="AW124" s="430"/>
      <c r="AX124" s="430"/>
      <c r="AY124" s="430"/>
      <c r="AZ124" s="430"/>
      <c r="BA124" s="430"/>
      <c r="BB124" s="430"/>
      <c r="BC124" s="430"/>
      <c r="BD124" s="430"/>
      <c r="BE124" s="430"/>
      <c r="BF124" s="430"/>
      <c r="BG124" s="430"/>
      <c r="BH124" s="430"/>
      <c r="BI124" s="430"/>
      <c r="BJ124" s="430"/>
      <c r="BK124" s="430"/>
    </row>
    <row r="125" spans="1:63">
      <c r="A125" s="430"/>
      <c r="B125" s="451"/>
      <c r="C125" s="430"/>
      <c r="D125" s="451"/>
      <c r="E125" s="430"/>
      <c r="F125" s="430"/>
      <c r="G125" s="430"/>
      <c r="H125" s="430"/>
      <c r="I125" s="430"/>
      <c r="J125" s="430"/>
      <c r="K125" s="430"/>
      <c r="L125" s="430"/>
      <c r="M125" s="430"/>
      <c r="N125" s="430"/>
      <c r="O125" s="430"/>
      <c r="P125" s="430"/>
      <c r="Q125" s="430"/>
      <c r="R125" s="430"/>
      <c r="S125" s="430"/>
      <c r="T125" s="430"/>
      <c r="U125" s="430"/>
      <c r="V125" s="430"/>
      <c r="W125" s="430"/>
      <c r="X125" s="430"/>
      <c r="Y125" s="430"/>
      <c r="Z125" s="430"/>
      <c r="AA125" s="430"/>
      <c r="AB125" s="430"/>
      <c r="AC125" s="430"/>
      <c r="AD125" s="430"/>
      <c r="AE125" s="430"/>
      <c r="AF125" s="430"/>
      <c r="AG125" s="430"/>
      <c r="AH125" s="430"/>
      <c r="AI125" s="430"/>
      <c r="AJ125" s="430"/>
      <c r="AK125" s="430"/>
      <c r="AL125" s="430"/>
      <c r="AM125" s="430"/>
      <c r="AN125" s="430"/>
      <c r="AO125" s="430"/>
      <c r="AP125" s="430"/>
      <c r="AQ125" s="430"/>
      <c r="AR125" s="430"/>
      <c r="AS125" s="430"/>
      <c r="AT125" s="430"/>
      <c r="AU125" s="430"/>
      <c r="AV125" s="430"/>
      <c r="AW125" s="430"/>
      <c r="AX125" s="430"/>
      <c r="AY125" s="430"/>
      <c r="AZ125" s="430"/>
      <c r="BA125" s="430"/>
      <c r="BB125" s="430"/>
      <c r="BC125" s="430"/>
      <c r="BD125" s="430"/>
      <c r="BE125" s="430"/>
      <c r="BF125" s="430"/>
      <c r="BG125" s="430"/>
      <c r="BH125" s="430"/>
      <c r="BI125" s="430"/>
      <c r="BJ125" s="430"/>
      <c r="BK125" s="430"/>
    </row>
    <row r="126" spans="1:63">
      <c r="A126" s="430"/>
      <c r="B126" s="451"/>
      <c r="C126" s="430"/>
      <c r="D126" s="451"/>
      <c r="E126" s="430"/>
      <c r="F126" s="430"/>
      <c r="G126" s="430"/>
      <c r="H126" s="430"/>
      <c r="I126" s="430"/>
      <c r="J126" s="430"/>
      <c r="K126" s="430"/>
      <c r="L126" s="430"/>
      <c r="M126" s="430"/>
      <c r="N126" s="430"/>
      <c r="O126" s="430"/>
      <c r="P126" s="430"/>
      <c r="Q126" s="430"/>
      <c r="R126" s="430"/>
      <c r="S126" s="430"/>
      <c r="T126" s="430"/>
      <c r="U126" s="430"/>
      <c r="V126" s="430"/>
      <c r="W126" s="430"/>
      <c r="X126" s="430"/>
      <c r="Y126" s="430"/>
      <c r="Z126" s="430"/>
      <c r="AA126" s="430"/>
      <c r="AB126" s="430"/>
      <c r="AC126" s="430"/>
      <c r="AD126" s="430"/>
      <c r="AE126" s="430"/>
      <c r="AF126" s="430"/>
      <c r="AG126" s="430"/>
      <c r="AH126" s="430"/>
      <c r="AI126" s="430"/>
      <c r="AJ126" s="430"/>
      <c r="AK126" s="430"/>
      <c r="AL126" s="430"/>
      <c r="AM126" s="430"/>
      <c r="AN126" s="430"/>
      <c r="AO126" s="430"/>
      <c r="AP126" s="430"/>
      <c r="AQ126" s="430"/>
      <c r="AR126" s="430"/>
      <c r="AS126" s="430"/>
      <c r="AT126" s="430"/>
      <c r="AU126" s="430"/>
      <c r="AV126" s="430"/>
      <c r="AW126" s="430"/>
      <c r="AX126" s="430"/>
      <c r="AY126" s="430"/>
      <c r="AZ126" s="430"/>
      <c r="BA126" s="430"/>
      <c r="BB126" s="430"/>
      <c r="BC126" s="430"/>
      <c r="BD126" s="430"/>
      <c r="BE126" s="430"/>
      <c r="BF126" s="430"/>
      <c r="BG126" s="430"/>
      <c r="BH126" s="430"/>
      <c r="BI126" s="430"/>
      <c r="BJ126" s="430"/>
      <c r="BK126" s="430"/>
    </row>
    <row r="127" spans="1:63">
      <c r="A127" s="430"/>
      <c r="B127" s="451"/>
      <c r="C127" s="430"/>
      <c r="D127" s="451"/>
      <c r="E127" s="430"/>
      <c r="F127" s="430"/>
      <c r="G127" s="430"/>
      <c r="H127" s="430"/>
      <c r="I127" s="430"/>
      <c r="J127" s="430"/>
      <c r="K127" s="430"/>
      <c r="L127" s="430"/>
      <c r="M127" s="430"/>
      <c r="N127" s="430"/>
      <c r="O127" s="430"/>
      <c r="P127" s="430"/>
      <c r="Q127" s="430"/>
      <c r="R127" s="430"/>
      <c r="S127" s="430"/>
      <c r="T127" s="430"/>
      <c r="U127" s="430"/>
      <c r="V127" s="430"/>
      <c r="W127" s="430"/>
      <c r="X127" s="430"/>
      <c r="Y127" s="430"/>
      <c r="Z127" s="430"/>
      <c r="AA127" s="430"/>
      <c r="AB127" s="430"/>
      <c r="AC127" s="430"/>
      <c r="AD127" s="430"/>
      <c r="AE127" s="430"/>
      <c r="AF127" s="430"/>
      <c r="AG127" s="430"/>
      <c r="AH127" s="430"/>
      <c r="AI127" s="430"/>
      <c r="AJ127" s="430"/>
      <c r="AK127" s="430"/>
      <c r="AL127" s="430"/>
      <c r="AM127" s="430"/>
      <c r="AN127" s="430"/>
      <c r="AO127" s="430"/>
      <c r="AP127" s="430"/>
      <c r="AQ127" s="430"/>
      <c r="AR127" s="430"/>
      <c r="AS127" s="430"/>
      <c r="AT127" s="430"/>
      <c r="AU127" s="430"/>
      <c r="AV127" s="430"/>
      <c r="AW127" s="430"/>
      <c r="AX127" s="430"/>
      <c r="AY127" s="430"/>
      <c r="AZ127" s="430"/>
      <c r="BA127" s="430"/>
      <c r="BB127" s="430"/>
      <c r="BC127" s="430"/>
      <c r="BD127" s="430"/>
      <c r="BE127" s="430"/>
      <c r="BF127" s="430"/>
      <c r="BG127" s="430"/>
      <c r="BH127" s="430"/>
      <c r="BI127" s="430"/>
      <c r="BJ127" s="430"/>
      <c r="BK127" s="430"/>
    </row>
    <row r="128" spans="1:63">
      <c r="A128" s="430"/>
      <c r="B128" s="451"/>
      <c r="C128" s="430"/>
      <c r="D128" s="451"/>
      <c r="E128" s="430"/>
      <c r="F128" s="430"/>
      <c r="G128" s="430"/>
      <c r="H128" s="430"/>
      <c r="I128" s="430"/>
      <c r="J128" s="430"/>
      <c r="K128" s="430"/>
      <c r="L128" s="430"/>
      <c r="M128" s="430"/>
      <c r="N128" s="430"/>
      <c r="O128" s="430"/>
      <c r="P128" s="430"/>
      <c r="Q128" s="430"/>
      <c r="R128" s="430"/>
      <c r="S128" s="430"/>
      <c r="T128" s="430"/>
      <c r="U128" s="430"/>
      <c r="V128" s="430"/>
      <c r="W128" s="430"/>
      <c r="X128" s="430"/>
      <c r="Y128" s="430"/>
      <c r="Z128" s="430"/>
      <c r="AA128" s="430"/>
      <c r="AB128" s="430"/>
      <c r="AC128" s="430"/>
      <c r="AD128" s="430"/>
      <c r="AE128" s="430"/>
      <c r="AF128" s="430"/>
      <c r="AG128" s="430"/>
      <c r="AH128" s="430"/>
      <c r="AI128" s="430"/>
      <c r="AJ128" s="430"/>
      <c r="AK128" s="430"/>
      <c r="AL128" s="430"/>
      <c r="AM128" s="430"/>
      <c r="AN128" s="430"/>
      <c r="AO128" s="430"/>
      <c r="AP128" s="430"/>
      <c r="AQ128" s="430"/>
      <c r="AR128" s="430"/>
      <c r="AS128" s="430"/>
      <c r="AT128" s="430"/>
      <c r="AU128" s="430"/>
      <c r="AV128" s="430"/>
      <c r="AW128" s="430"/>
      <c r="AX128" s="430"/>
      <c r="AY128" s="430"/>
      <c r="AZ128" s="430"/>
      <c r="BA128" s="430"/>
      <c r="BB128" s="430"/>
      <c r="BC128" s="430"/>
      <c r="BD128" s="430"/>
      <c r="BE128" s="430"/>
      <c r="BF128" s="430"/>
      <c r="BG128" s="430"/>
      <c r="BH128" s="430"/>
      <c r="BI128" s="430"/>
      <c r="BJ128" s="430"/>
      <c r="BK128" s="430"/>
    </row>
    <row r="129" spans="1:63">
      <c r="A129" s="430"/>
      <c r="B129" s="451"/>
      <c r="C129" s="430"/>
      <c r="D129" s="451"/>
      <c r="E129" s="430"/>
      <c r="F129" s="430"/>
      <c r="G129" s="430"/>
      <c r="H129" s="430"/>
      <c r="I129" s="430"/>
      <c r="J129" s="430"/>
      <c r="K129" s="430"/>
      <c r="L129" s="430"/>
      <c r="M129" s="430"/>
      <c r="N129" s="430"/>
      <c r="O129" s="430"/>
      <c r="P129" s="430"/>
      <c r="Q129" s="430"/>
      <c r="R129" s="430"/>
      <c r="S129" s="430"/>
      <c r="T129" s="430"/>
      <c r="U129" s="430"/>
      <c r="V129" s="430"/>
      <c r="W129" s="430"/>
      <c r="X129" s="430"/>
      <c r="Y129" s="430"/>
      <c r="Z129" s="430"/>
      <c r="AA129" s="430"/>
      <c r="AB129" s="430"/>
      <c r="AC129" s="430"/>
      <c r="AD129" s="430"/>
      <c r="AE129" s="430"/>
      <c r="AF129" s="430"/>
      <c r="AG129" s="430"/>
      <c r="AH129" s="430"/>
      <c r="AI129" s="430"/>
      <c r="AJ129" s="430"/>
      <c r="AK129" s="430"/>
      <c r="AL129" s="430"/>
      <c r="AM129" s="430"/>
      <c r="AN129" s="430"/>
      <c r="AO129" s="430"/>
      <c r="AP129" s="430"/>
      <c r="AQ129" s="430"/>
      <c r="AR129" s="430"/>
      <c r="AS129" s="430"/>
      <c r="AT129" s="430"/>
      <c r="AU129" s="430"/>
      <c r="AV129" s="430"/>
      <c r="AW129" s="430"/>
      <c r="AX129" s="430"/>
      <c r="AY129" s="430"/>
      <c r="AZ129" s="430"/>
      <c r="BA129" s="430"/>
      <c r="BB129" s="430"/>
      <c r="BC129" s="430"/>
      <c r="BD129" s="430"/>
      <c r="BE129" s="430"/>
      <c r="BF129" s="430"/>
      <c r="BG129" s="430"/>
      <c r="BH129" s="430"/>
      <c r="BI129" s="430"/>
      <c r="BJ129" s="430"/>
      <c r="BK129" s="430"/>
    </row>
    <row r="130" spans="1:63">
      <c r="A130" s="430"/>
      <c r="B130" s="451"/>
      <c r="C130" s="430"/>
      <c r="D130" s="451"/>
      <c r="E130" s="430"/>
      <c r="F130" s="430"/>
      <c r="G130" s="430"/>
      <c r="H130" s="430"/>
      <c r="I130" s="430"/>
      <c r="J130" s="430"/>
      <c r="K130" s="430"/>
      <c r="L130" s="430"/>
      <c r="M130" s="430"/>
      <c r="N130" s="430"/>
      <c r="O130" s="430"/>
      <c r="P130" s="430"/>
      <c r="Q130" s="430"/>
      <c r="R130" s="430"/>
      <c r="S130" s="430"/>
      <c r="T130" s="430"/>
      <c r="U130" s="430"/>
      <c r="V130" s="430"/>
      <c r="W130" s="430"/>
      <c r="X130" s="430"/>
      <c r="Y130" s="430"/>
      <c r="Z130" s="430"/>
      <c r="AA130" s="430"/>
      <c r="AB130" s="430"/>
      <c r="AC130" s="430"/>
      <c r="AD130" s="430"/>
      <c r="AE130" s="430"/>
      <c r="AF130" s="430"/>
      <c r="AG130" s="430"/>
      <c r="AH130" s="430"/>
      <c r="AI130" s="430"/>
      <c r="AJ130" s="430"/>
      <c r="AK130" s="430"/>
      <c r="AL130" s="430"/>
      <c r="AM130" s="430"/>
      <c r="AN130" s="430"/>
      <c r="AO130" s="430"/>
      <c r="AP130" s="430"/>
      <c r="AQ130" s="430"/>
      <c r="AR130" s="430"/>
      <c r="AS130" s="430"/>
      <c r="AT130" s="430"/>
      <c r="AU130" s="430"/>
      <c r="AV130" s="430"/>
      <c r="AW130" s="430"/>
      <c r="AX130" s="430"/>
      <c r="AY130" s="430"/>
      <c r="AZ130" s="430"/>
      <c r="BA130" s="430"/>
      <c r="BB130" s="430"/>
      <c r="BC130" s="430"/>
      <c r="BD130" s="430"/>
      <c r="BE130" s="430"/>
      <c r="BF130" s="430"/>
      <c r="BG130" s="430"/>
      <c r="BH130" s="430"/>
      <c r="BI130" s="430"/>
      <c r="BJ130" s="430"/>
      <c r="BK130" s="430"/>
    </row>
    <row r="131" spans="1:63">
      <c r="A131" s="430"/>
      <c r="B131" s="451"/>
      <c r="C131" s="430"/>
      <c r="D131" s="451"/>
      <c r="E131" s="430"/>
      <c r="F131" s="430"/>
      <c r="G131" s="430"/>
      <c r="H131" s="430"/>
      <c r="I131" s="430"/>
      <c r="J131" s="430"/>
      <c r="K131" s="430"/>
      <c r="L131" s="430"/>
      <c r="M131" s="430"/>
      <c r="N131" s="430"/>
      <c r="O131" s="430"/>
      <c r="P131" s="430"/>
      <c r="Q131" s="430"/>
      <c r="R131" s="430"/>
      <c r="S131" s="430"/>
      <c r="T131" s="430"/>
      <c r="U131" s="430"/>
      <c r="V131" s="430"/>
      <c r="W131" s="430"/>
      <c r="X131" s="430"/>
      <c r="Y131" s="430"/>
      <c r="Z131" s="430"/>
      <c r="AA131" s="430"/>
      <c r="AB131" s="430"/>
      <c r="AC131" s="430"/>
      <c r="AD131" s="430"/>
      <c r="AE131" s="430"/>
      <c r="AF131" s="430"/>
      <c r="AG131" s="430"/>
      <c r="AH131" s="430"/>
      <c r="AI131" s="430"/>
      <c r="AJ131" s="430"/>
      <c r="AK131" s="430"/>
      <c r="AL131" s="430"/>
      <c r="AM131" s="430"/>
      <c r="AN131" s="430"/>
      <c r="AO131" s="430"/>
      <c r="AP131" s="430"/>
      <c r="AQ131" s="430"/>
      <c r="AR131" s="430"/>
      <c r="AS131" s="430"/>
      <c r="AT131" s="430"/>
      <c r="AU131" s="430"/>
      <c r="AV131" s="430"/>
      <c r="AW131" s="430"/>
      <c r="AX131" s="430"/>
      <c r="AY131" s="430"/>
      <c r="AZ131" s="430"/>
      <c r="BA131" s="430"/>
      <c r="BB131" s="430"/>
      <c r="BC131" s="430"/>
      <c r="BD131" s="430"/>
      <c r="BE131" s="430"/>
      <c r="BF131" s="430"/>
      <c r="BG131" s="430"/>
      <c r="BH131" s="430"/>
      <c r="BI131" s="430"/>
      <c r="BJ131" s="430"/>
      <c r="BK131" s="430"/>
    </row>
    <row r="132" spans="1:63">
      <c r="A132" s="430"/>
      <c r="B132" s="451"/>
      <c r="C132" s="430"/>
      <c r="D132" s="451"/>
      <c r="E132" s="430"/>
      <c r="F132" s="430"/>
      <c r="G132" s="430"/>
      <c r="H132" s="430"/>
      <c r="I132" s="430"/>
      <c r="J132" s="430"/>
      <c r="K132" s="430"/>
      <c r="L132" s="430"/>
      <c r="M132" s="430"/>
      <c r="N132" s="430"/>
      <c r="O132" s="430"/>
      <c r="P132" s="430"/>
      <c r="Q132" s="430"/>
      <c r="R132" s="430"/>
      <c r="S132" s="430"/>
      <c r="T132" s="430"/>
      <c r="U132" s="430"/>
      <c r="V132" s="430"/>
      <c r="W132" s="430"/>
      <c r="X132" s="430"/>
      <c r="Y132" s="430"/>
      <c r="Z132" s="430"/>
      <c r="AA132" s="430"/>
      <c r="AB132" s="430"/>
      <c r="AC132" s="430"/>
      <c r="AD132" s="430"/>
      <c r="AE132" s="430"/>
      <c r="AF132" s="430"/>
      <c r="AG132" s="430"/>
      <c r="AH132" s="430"/>
      <c r="AI132" s="430"/>
      <c r="AJ132" s="430"/>
      <c r="AK132" s="430"/>
      <c r="AL132" s="430"/>
      <c r="AM132" s="430"/>
      <c r="AN132" s="430"/>
      <c r="AO132" s="430"/>
      <c r="AP132" s="430"/>
      <c r="AQ132" s="430"/>
      <c r="AR132" s="430"/>
      <c r="AS132" s="430"/>
      <c r="AT132" s="430"/>
      <c r="AU132" s="430"/>
      <c r="AV132" s="430"/>
      <c r="AW132" s="430"/>
      <c r="AX132" s="430"/>
      <c r="AY132" s="430"/>
      <c r="AZ132" s="430"/>
      <c r="BA132" s="430"/>
      <c r="BB132" s="430"/>
      <c r="BC132" s="430"/>
      <c r="BD132" s="430"/>
      <c r="BE132" s="430"/>
      <c r="BF132" s="430"/>
      <c r="BG132" s="430"/>
      <c r="BH132" s="430"/>
      <c r="BI132" s="430"/>
      <c r="BJ132" s="430"/>
      <c r="BK132" s="430"/>
    </row>
    <row r="133" spans="1:63">
      <c r="A133" s="430"/>
      <c r="B133" s="451"/>
      <c r="C133" s="430"/>
      <c r="D133" s="451"/>
      <c r="E133" s="430"/>
      <c r="F133" s="430"/>
      <c r="G133" s="430"/>
      <c r="H133" s="430"/>
      <c r="I133" s="430"/>
      <c r="J133" s="430"/>
      <c r="K133" s="430"/>
      <c r="L133" s="430"/>
      <c r="M133" s="430"/>
      <c r="N133" s="430"/>
      <c r="O133" s="430"/>
      <c r="P133" s="430"/>
      <c r="Q133" s="430"/>
      <c r="R133" s="430"/>
      <c r="S133" s="430"/>
      <c r="T133" s="430"/>
      <c r="U133" s="430"/>
      <c r="V133" s="430"/>
      <c r="W133" s="430"/>
      <c r="X133" s="430"/>
      <c r="Y133" s="430"/>
      <c r="Z133" s="430"/>
      <c r="AA133" s="430"/>
      <c r="AB133" s="430"/>
      <c r="AC133" s="430"/>
      <c r="AD133" s="430"/>
      <c r="AE133" s="430"/>
      <c r="AF133" s="430"/>
      <c r="AG133" s="430"/>
      <c r="AH133" s="430"/>
      <c r="AI133" s="430"/>
      <c r="AJ133" s="430"/>
      <c r="AK133" s="430"/>
      <c r="AL133" s="430"/>
      <c r="AM133" s="430"/>
      <c r="AN133" s="430"/>
      <c r="AO133" s="430"/>
      <c r="AP133" s="430"/>
      <c r="AQ133" s="430"/>
      <c r="AR133" s="430"/>
      <c r="AS133" s="430"/>
      <c r="AT133" s="430"/>
      <c r="AU133" s="430"/>
      <c r="AV133" s="430"/>
      <c r="AW133" s="430"/>
      <c r="AX133" s="430"/>
      <c r="AY133" s="430"/>
      <c r="AZ133" s="430"/>
      <c r="BA133" s="430"/>
      <c r="BB133" s="430"/>
      <c r="BC133" s="430"/>
      <c r="BD133" s="430"/>
      <c r="BE133" s="430"/>
      <c r="BF133" s="430"/>
      <c r="BG133" s="430"/>
      <c r="BH133" s="430"/>
      <c r="BI133" s="430"/>
      <c r="BJ133" s="430"/>
      <c r="BK133" s="430"/>
    </row>
    <row r="134" spans="1:63">
      <c r="A134" s="430"/>
      <c r="B134" s="451"/>
      <c r="C134" s="430"/>
      <c r="D134" s="451"/>
      <c r="E134" s="430"/>
      <c r="F134" s="430"/>
      <c r="G134" s="430"/>
      <c r="H134" s="430"/>
      <c r="I134" s="430"/>
      <c r="J134" s="430"/>
      <c r="K134" s="430"/>
      <c r="L134" s="430"/>
      <c r="M134" s="430"/>
      <c r="N134" s="430"/>
      <c r="O134" s="430"/>
      <c r="P134" s="430"/>
      <c r="Q134" s="430"/>
      <c r="R134" s="430"/>
      <c r="S134" s="430"/>
      <c r="T134" s="430"/>
      <c r="U134" s="430"/>
      <c r="V134" s="430"/>
      <c r="W134" s="430"/>
      <c r="X134" s="430"/>
      <c r="Y134" s="430"/>
      <c r="Z134" s="430"/>
      <c r="AA134" s="430"/>
      <c r="AB134" s="430"/>
      <c r="AC134" s="430"/>
      <c r="AD134" s="430"/>
      <c r="AE134" s="430"/>
      <c r="AF134" s="430"/>
      <c r="AG134" s="430"/>
      <c r="AH134" s="430"/>
      <c r="AI134" s="430"/>
      <c r="AJ134" s="430"/>
      <c r="AK134" s="430"/>
      <c r="AL134" s="430"/>
      <c r="AM134" s="430"/>
      <c r="AN134" s="430"/>
      <c r="AO134" s="430"/>
      <c r="AP134" s="430"/>
      <c r="AQ134" s="430"/>
      <c r="AR134" s="430"/>
      <c r="AS134" s="430"/>
      <c r="AT134" s="430"/>
      <c r="AU134" s="430"/>
      <c r="AV134" s="430"/>
      <c r="AW134" s="430"/>
      <c r="AX134" s="430"/>
      <c r="AY134" s="430"/>
      <c r="AZ134" s="430"/>
      <c r="BA134" s="430"/>
      <c r="BB134" s="430"/>
      <c r="BC134" s="430"/>
      <c r="BD134" s="430"/>
      <c r="BE134" s="430"/>
      <c r="BF134" s="430"/>
      <c r="BG134" s="430"/>
      <c r="BH134" s="430"/>
      <c r="BI134" s="430"/>
      <c r="BJ134" s="430"/>
      <c r="BK134" s="430"/>
    </row>
    <row r="135" spans="1:63">
      <c r="A135" s="430"/>
      <c r="B135" s="451"/>
      <c r="C135" s="430"/>
      <c r="D135" s="451"/>
      <c r="E135" s="430"/>
      <c r="F135" s="430"/>
      <c r="G135" s="430"/>
      <c r="H135" s="430"/>
      <c r="I135" s="430"/>
      <c r="J135" s="430"/>
      <c r="K135" s="430"/>
      <c r="L135" s="430"/>
      <c r="M135" s="430"/>
      <c r="N135" s="430"/>
      <c r="O135" s="430"/>
      <c r="P135" s="430"/>
      <c r="Q135" s="430"/>
      <c r="R135" s="430"/>
      <c r="S135" s="430"/>
      <c r="T135" s="430"/>
      <c r="U135" s="430"/>
      <c r="V135" s="430"/>
      <c r="W135" s="430"/>
      <c r="X135" s="430"/>
      <c r="Y135" s="430"/>
      <c r="Z135" s="430"/>
      <c r="AA135" s="430"/>
      <c r="AB135" s="430"/>
      <c r="AC135" s="430"/>
      <c r="AD135" s="430"/>
      <c r="AE135" s="430"/>
      <c r="AF135" s="430"/>
      <c r="AG135" s="430"/>
      <c r="AH135" s="430"/>
      <c r="AI135" s="430"/>
      <c r="AJ135" s="430"/>
      <c r="AK135" s="430"/>
      <c r="AL135" s="430"/>
      <c r="AM135" s="430"/>
      <c r="AN135" s="430"/>
      <c r="AO135" s="430"/>
      <c r="AP135" s="430"/>
      <c r="AQ135" s="430"/>
      <c r="AR135" s="430"/>
      <c r="AS135" s="430"/>
      <c r="AT135" s="430"/>
      <c r="AU135" s="430"/>
      <c r="AV135" s="430"/>
      <c r="AW135" s="430"/>
      <c r="AX135" s="430"/>
      <c r="AY135" s="430"/>
      <c r="AZ135" s="430"/>
      <c r="BA135" s="430"/>
      <c r="BB135" s="430"/>
      <c r="BC135" s="430"/>
      <c r="BD135" s="430"/>
      <c r="BE135" s="430"/>
      <c r="BF135" s="430"/>
      <c r="BG135" s="430"/>
      <c r="BH135" s="430"/>
      <c r="BI135" s="430"/>
      <c r="BJ135" s="430"/>
      <c r="BK135" s="430"/>
    </row>
    <row r="136" spans="1:63">
      <c r="A136" s="430"/>
      <c r="B136" s="451"/>
      <c r="C136" s="430"/>
      <c r="D136" s="451"/>
      <c r="E136" s="430"/>
      <c r="F136" s="430"/>
      <c r="G136" s="430"/>
      <c r="H136" s="430"/>
      <c r="I136" s="430"/>
      <c r="J136" s="430"/>
      <c r="K136" s="430"/>
      <c r="L136" s="430"/>
      <c r="M136" s="430"/>
      <c r="N136" s="430"/>
      <c r="O136" s="430"/>
      <c r="P136" s="430"/>
      <c r="Q136" s="430"/>
      <c r="R136" s="430"/>
      <c r="S136" s="430"/>
      <c r="T136" s="430"/>
      <c r="U136" s="430"/>
      <c r="V136" s="430"/>
      <c r="W136" s="430"/>
      <c r="X136" s="430"/>
      <c r="Y136" s="430"/>
      <c r="Z136" s="430"/>
      <c r="AA136" s="430"/>
      <c r="AB136" s="430"/>
      <c r="AC136" s="430"/>
      <c r="AD136" s="430"/>
      <c r="AE136" s="430"/>
      <c r="AF136" s="430"/>
      <c r="AG136" s="430"/>
      <c r="AH136" s="430"/>
      <c r="AI136" s="430"/>
      <c r="AJ136" s="430"/>
      <c r="AK136" s="430"/>
      <c r="AL136" s="430"/>
      <c r="AM136" s="430"/>
      <c r="AN136" s="430"/>
      <c r="AO136" s="430"/>
      <c r="AP136" s="430"/>
      <c r="AQ136" s="430"/>
      <c r="AR136" s="430"/>
      <c r="AS136" s="430"/>
      <c r="AT136" s="430"/>
      <c r="AU136" s="430"/>
      <c r="AV136" s="430"/>
      <c r="AW136" s="430"/>
      <c r="AX136" s="430"/>
      <c r="AY136" s="430"/>
      <c r="AZ136" s="430"/>
      <c r="BA136" s="430"/>
      <c r="BB136" s="430"/>
      <c r="BC136" s="430"/>
      <c r="BD136" s="430"/>
      <c r="BE136" s="430"/>
      <c r="BF136" s="430"/>
      <c r="BG136" s="430"/>
      <c r="BH136" s="430"/>
      <c r="BI136" s="430"/>
      <c r="BJ136" s="430"/>
      <c r="BK136" s="430"/>
    </row>
    <row r="137" spans="1:63">
      <c r="A137" s="430"/>
      <c r="B137" s="451"/>
      <c r="C137" s="430"/>
      <c r="D137" s="451"/>
      <c r="E137" s="430"/>
      <c r="F137" s="430"/>
      <c r="G137" s="430"/>
      <c r="H137" s="430"/>
      <c r="I137" s="430"/>
      <c r="J137" s="430"/>
      <c r="K137" s="430"/>
      <c r="L137" s="430"/>
      <c r="M137" s="430"/>
      <c r="N137" s="430"/>
      <c r="O137" s="430"/>
      <c r="P137" s="430"/>
      <c r="Q137" s="430"/>
      <c r="R137" s="430"/>
      <c r="S137" s="430"/>
      <c r="T137" s="430"/>
      <c r="U137" s="430"/>
      <c r="V137" s="430"/>
      <c r="W137" s="430"/>
      <c r="X137" s="430"/>
      <c r="Y137" s="430"/>
      <c r="Z137" s="430"/>
      <c r="AA137" s="430"/>
      <c r="AB137" s="430"/>
      <c r="AC137" s="430"/>
      <c r="AD137" s="430"/>
      <c r="AE137" s="430"/>
      <c r="AF137" s="430"/>
      <c r="AG137" s="430"/>
      <c r="AH137" s="430"/>
      <c r="AI137" s="430"/>
      <c r="AJ137" s="430"/>
      <c r="AK137" s="430"/>
      <c r="AL137" s="430"/>
      <c r="AM137" s="430"/>
      <c r="AN137" s="430"/>
      <c r="AO137" s="430"/>
      <c r="AP137" s="430"/>
      <c r="AQ137" s="430"/>
      <c r="AR137" s="430"/>
      <c r="AS137" s="430"/>
      <c r="AT137" s="430"/>
      <c r="AU137" s="430"/>
      <c r="AV137" s="430"/>
      <c r="AW137" s="430"/>
      <c r="AX137" s="430"/>
      <c r="AY137" s="430"/>
      <c r="AZ137" s="430"/>
      <c r="BA137" s="430"/>
      <c r="BB137" s="430"/>
      <c r="BC137" s="430"/>
      <c r="BD137" s="430"/>
      <c r="BE137" s="430"/>
      <c r="BF137" s="430"/>
      <c r="BG137" s="430"/>
      <c r="BH137" s="430"/>
      <c r="BI137" s="430"/>
      <c r="BJ137" s="430"/>
      <c r="BK137" s="430"/>
    </row>
    <row r="138" spans="1:63">
      <c r="A138" s="430"/>
      <c r="B138" s="451"/>
      <c r="C138" s="430"/>
      <c r="D138" s="451"/>
      <c r="E138" s="430"/>
      <c r="F138" s="430"/>
      <c r="G138" s="430"/>
      <c r="H138" s="430"/>
      <c r="I138" s="430"/>
      <c r="J138" s="430"/>
      <c r="K138" s="430"/>
      <c r="L138" s="430"/>
      <c r="M138" s="430"/>
      <c r="N138" s="430"/>
      <c r="O138" s="430"/>
      <c r="P138" s="430"/>
      <c r="Q138" s="430"/>
      <c r="R138" s="430"/>
      <c r="S138" s="430"/>
      <c r="T138" s="430"/>
      <c r="U138" s="430"/>
      <c r="V138" s="430"/>
      <c r="W138" s="430"/>
      <c r="X138" s="430"/>
      <c r="Y138" s="430"/>
      <c r="Z138" s="430"/>
      <c r="AA138" s="430"/>
      <c r="AB138" s="430"/>
      <c r="AC138" s="430"/>
      <c r="AD138" s="430"/>
      <c r="AE138" s="430"/>
      <c r="AF138" s="430"/>
      <c r="AG138" s="430"/>
      <c r="AH138" s="430"/>
      <c r="AI138" s="430"/>
      <c r="AJ138" s="430"/>
      <c r="AK138" s="430"/>
      <c r="AL138" s="430"/>
      <c r="AM138" s="430"/>
      <c r="AN138" s="430"/>
      <c r="AO138" s="430"/>
      <c r="AP138" s="430"/>
      <c r="AQ138" s="430"/>
      <c r="AR138" s="430"/>
      <c r="AS138" s="430"/>
      <c r="AT138" s="430"/>
      <c r="AU138" s="430"/>
      <c r="AV138" s="430"/>
      <c r="AW138" s="430"/>
      <c r="AX138" s="430"/>
      <c r="AY138" s="430"/>
      <c r="AZ138" s="430"/>
      <c r="BA138" s="430"/>
      <c r="BB138" s="430"/>
      <c r="BC138" s="430"/>
      <c r="BD138" s="430"/>
      <c r="BE138" s="430"/>
      <c r="BF138" s="430"/>
      <c r="BG138" s="430"/>
      <c r="BH138" s="430"/>
      <c r="BI138" s="430"/>
      <c r="BJ138" s="430"/>
      <c r="BK138" s="430"/>
    </row>
    <row r="139" spans="1:63">
      <c r="A139" s="430"/>
      <c r="B139" s="451"/>
      <c r="C139" s="430"/>
      <c r="D139" s="451"/>
      <c r="E139" s="430"/>
      <c r="F139" s="430"/>
      <c r="G139" s="430"/>
      <c r="H139" s="430"/>
      <c r="I139" s="430"/>
      <c r="J139" s="430"/>
      <c r="K139" s="430"/>
      <c r="L139" s="430"/>
      <c r="M139" s="430"/>
      <c r="N139" s="430"/>
      <c r="O139" s="430"/>
      <c r="P139" s="430"/>
      <c r="Q139" s="430"/>
      <c r="R139" s="430"/>
      <c r="S139" s="430"/>
      <c r="T139" s="430"/>
      <c r="U139" s="430"/>
      <c r="V139" s="430"/>
      <c r="W139" s="430"/>
      <c r="X139" s="430"/>
      <c r="Y139" s="430"/>
      <c r="Z139" s="430"/>
      <c r="AA139" s="430"/>
      <c r="AB139" s="430"/>
      <c r="AC139" s="430"/>
      <c r="AD139" s="430"/>
      <c r="AE139" s="430"/>
      <c r="AF139" s="430"/>
      <c r="AG139" s="430"/>
      <c r="AH139" s="430"/>
      <c r="AI139" s="430"/>
      <c r="AJ139" s="430"/>
      <c r="AK139" s="430"/>
      <c r="AL139" s="430"/>
      <c r="AM139" s="430"/>
      <c r="AN139" s="430"/>
      <c r="AO139" s="430"/>
      <c r="AP139" s="430"/>
      <c r="AQ139" s="430"/>
      <c r="AR139" s="430"/>
      <c r="AS139" s="430"/>
      <c r="AT139" s="430"/>
      <c r="AU139" s="430"/>
      <c r="AV139" s="430"/>
      <c r="AW139" s="430"/>
      <c r="AX139" s="430"/>
      <c r="AY139" s="430"/>
      <c r="AZ139" s="430"/>
      <c r="BA139" s="430"/>
      <c r="BB139" s="430"/>
      <c r="BC139" s="430"/>
      <c r="BD139" s="430"/>
      <c r="BE139" s="430"/>
      <c r="BF139" s="430"/>
      <c r="BG139" s="430"/>
      <c r="BH139" s="430"/>
      <c r="BI139" s="430"/>
      <c r="BJ139" s="430"/>
      <c r="BK139" s="430"/>
    </row>
    <row r="140" spans="1:63">
      <c r="A140" s="430"/>
      <c r="B140" s="451"/>
      <c r="C140" s="430"/>
      <c r="D140" s="451"/>
      <c r="E140" s="430"/>
      <c r="F140" s="430"/>
      <c r="G140" s="430"/>
      <c r="H140" s="430"/>
      <c r="I140" s="430"/>
      <c r="J140" s="430"/>
      <c r="K140" s="430"/>
      <c r="L140" s="430"/>
      <c r="M140" s="430"/>
      <c r="N140" s="430"/>
      <c r="O140" s="430"/>
      <c r="P140" s="430"/>
      <c r="Q140" s="430"/>
      <c r="R140" s="430"/>
      <c r="S140" s="430"/>
      <c r="T140" s="430"/>
      <c r="U140" s="430"/>
      <c r="V140" s="430"/>
      <c r="W140" s="430"/>
      <c r="X140" s="430"/>
      <c r="Y140" s="430"/>
      <c r="Z140" s="430"/>
      <c r="AA140" s="430"/>
      <c r="AB140" s="430"/>
      <c r="AC140" s="430"/>
      <c r="AD140" s="430"/>
      <c r="AE140" s="430"/>
      <c r="AF140" s="430"/>
      <c r="AG140" s="430"/>
      <c r="AH140" s="430"/>
      <c r="AI140" s="430"/>
      <c r="AJ140" s="430"/>
      <c r="AK140" s="430"/>
      <c r="AL140" s="430"/>
      <c r="AM140" s="430"/>
      <c r="AN140" s="430"/>
      <c r="AO140" s="430"/>
      <c r="AP140" s="430"/>
      <c r="AQ140" s="430"/>
      <c r="AR140" s="430"/>
      <c r="AS140" s="430"/>
      <c r="AT140" s="430"/>
      <c r="AU140" s="430"/>
      <c r="AV140" s="430"/>
      <c r="AW140" s="430"/>
      <c r="AX140" s="430"/>
      <c r="AY140" s="430"/>
      <c r="AZ140" s="430"/>
      <c r="BA140" s="430"/>
      <c r="BB140" s="430"/>
      <c r="BC140" s="430"/>
      <c r="BD140" s="430"/>
      <c r="BE140" s="430"/>
      <c r="BF140" s="430"/>
      <c r="BG140" s="430"/>
      <c r="BH140" s="430"/>
      <c r="BI140" s="430"/>
      <c r="BJ140" s="430"/>
      <c r="BK140" s="430"/>
    </row>
    <row r="141" spans="1:63">
      <c r="A141" s="430"/>
      <c r="B141" s="451"/>
      <c r="C141" s="430"/>
      <c r="D141" s="451"/>
      <c r="E141" s="430"/>
      <c r="F141" s="430"/>
      <c r="G141" s="430"/>
      <c r="H141" s="430"/>
      <c r="I141" s="430"/>
      <c r="J141" s="430"/>
      <c r="K141" s="430"/>
      <c r="L141" s="430"/>
      <c r="M141" s="430"/>
      <c r="N141" s="430"/>
      <c r="O141" s="430"/>
      <c r="P141" s="430"/>
      <c r="Q141" s="430"/>
      <c r="R141" s="430"/>
      <c r="S141" s="430"/>
      <c r="T141" s="430"/>
      <c r="U141" s="430"/>
      <c r="V141" s="430"/>
      <c r="W141" s="430"/>
      <c r="X141" s="430"/>
      <c r="Y141" s="430"/>
      <c r="Z141" s="430"/>
      <c r="AA141" s="430"/>
      <c r="AB141" s="430"/>
      <c r="AC141" s="430"/>
      <c r="AD141" s="430"/>
      <c r="AE141" s="430"/>
      <c r="AF141" s="430"/>
      <c r="AG141" s="430"/>
      <c r="AH141" s="430"/>
      <c r="AI141" s="430"/>
      <c r="AJ141" s="430"/>
      <c r="AK141" s="430"/>
      <c r="AL141" s="430"/>
      <c r="AM141" s="430"/>
      <c r="AN141" s="430"/>
      <c r="AO141" s="430"/>
      <c r="AP141" s="430"/>
      <c r="AQ141" s="430"/>
      <c r="AR141" s="430"/>
      <c r="AS141" s="430"/>
      <c r="AT141" s="430"/>
      <c r="AU141" s="430"/>
      <c r="AV141" s="430"/>
      <c r="AW141" s="430"/>
      <c r="AX141" s="430"/>
      <c r="AY141" s="430"/>
      <c r="AZ141" s="430"/>
      <c r="BA141" s="430"/>
      <c r="BB141" s="430"/>
      <c r="BC141" s="430"/>
      <c r="BD141" s="430"/>
      <c r="BE141" s="430"/>
      <c r="BF141" s="430"/>
      <c r="BG141" s="430"/>
      <c r="BH141" s="430"/>
      <c r="BI141" s="430"/>
      <c r="BJ141" s="430"/>
      <c r="BK141" s="430"/>
    </row>
    <row r="142" spans="1:63">
      <c r="A142" s="430"/>
      <c r="B142" s="451"/>
      <c r="C142" s="430"/>
      <c r="D142" s="451"/>
      <c r="E142" s="430"/>
      <c r="F142" s="430"/>
      <c r="G142" s="430"/>
      <c r="H142" s="430"/>
      <c r="I142" s="430"/>
      <c r="J142" s="430"/>
      <c r="K142" s="430"/>
      <c r="L142" s="430"/>
      <c r="M142" s="430"/>
      <c r="N142" s="430"/>
      <c r="O142" s="430"/>
      <c r="P142" s="430"/>
      <c r="Q142" s="430"/>
      <c r="R142" s="430"/>
      <c r="S142" s="430"/>
      <c r="T142" s="430"/>
      <c r="U142" s="430"/>
      <c r="V142" s="430"/>
      <c r="W142" s="430"/>
      <c r="X142" s="430"/>
      <c r="Y142" s="430"/>
      <c r="Z142" s="430"/>
      <c r="AA142" s="430"/>
      <c r="AB142" s="430"/>
      <c r="AC142" s="430"/>
      <c r="AD142" s="430"/>
      <c r="AE142" s="430"/>
      <c r="AF142" s="430"/>
      <c r="AG142" s="430"/>
      <c r="AH142" s="430"/>
      <c r="AI142" s="430"/>
      <c r="AJ142" s="430"/>
      <c r="AK142" s="430"/>
      <c r="AL142" s="430"/>
      <c r="AM142" s="430"/>
      <c r="AN142" s="430"/>
      <c r="AO142" s="430"/>
      <c r="AP142" s="430"/>
      <c r="AQ142" s="430"/>
      <c r="AR142" s="430"/>
      <c r="AS142" s="430"/>
      <c r="AT142" s="430"/>
      <c r="AU142" s="430"/>
      <c r="AV142" s="430"/>
      <c r="AW142" s="430"/>
      <c r="AX142" s="430"/>
      <c r="AY142" s="430"/>
      <c r="AZ142" s="430"/>
      <c r="BA142" s="430"/>
      <c r="BB142" s="430"/>
      <c r="BC142" s="430"/>
      <c r="BD142" s="430"/>
      <c r="BE142" s="430"/>
      <c r="BF142" s="430"/>
      <c r="BG142" s="430"/>
      <c r="BH142" s="430"/>
      <c r="BI142" s="430"/>
      <c r="BJ142" s="430"/>
      <c r="BK142" s="430"/>
    </row>
    <row r="143" spans="1:63">
      <c r="A143" s="430"/>
      <c r="B143" s="451"/>
      <c r="C143" s="430"/>
      <c r="D143" s="451"/>
      <c r="E143" s="430"/>
      <c r="F143" s="430"/>
      <c r="G143" s="430"/>
      <c r="H143" s="430"/>
      <c r="I143" s="430"/>
      <c r="J143" s="430"/>
      <c r="K143" s="430"/>
      <c r="L143" s="430"/>
      <c r="M143" s="430"/>
      <c r="N143" s="430"/>
      <c r="O143" s="430"/>
      <c r="P143" s="430"/>
      <c r="Q143" s="430"/>
      <c r="R143" s="430"/>
      <c r="S143" s="430"/>
      <c r="T143" s="430"/>
      <c r="U143" s="430"/>
      <c r="V143" s="430"/>
      <c r="W143" s="430"/>
      <c r="X143" s="430"/>
      <c r="Y143" s="430"/>
      <c r="Z143" s="430"/>
      <c r="AA143" s="430"/>
      <c r="AB143" s="430"/>
      <c r="AC143" s="430"/>
      <c r="AD143" s="430"/>
      <c r="AE143" s="430"/>
      <c r="AF143" s="430"/>
      <c r="AG143" s="430"/>
      <c r="AH143" s="430"/>
      <c r="AI143" s="430"/>
      <c r="AJ143" s="430"/>
      <c r="AK143" s="430"/>
      <c r="AL143" s="430"/>
      <c r="AM143" s="430"/>
      <c r="AN143" s="430"/>
      <c r="AO143" s="430"/>
      <c r="AP143" s="430"/>
      <c r="AQ143" s="430"/>
      <c r="AR143" s="430"/>
      <c r="AS143" s="430"/>
      <c r="AT143" s="430"/>
      <c r="AU143" s="430"/>
      <c r="AV143" s="430"/>
      <c r="AW143" s="430"/>
      <c r="AX143" s="430"/>
      <c r="AY143" s="430"/>
      <c r="AZ143" s="430"/>
      <c r="BA143" s="430"/>
      <c r="BB143" s="430"/>
      <c r="BC143" s="430"/>
      <c r="BD143" s="430"/>
      <c r="BE143" s="430"/>
      <c r="BF143" s="430"/>
      <c r="BG143" s="430"/>
      <c r="BH143" s="430"/>
      <c r="BI143" s="430"/>
      <c r="BJ143" s="430"/>
      <c r="BK143" s="430"/>
    </row>
    <row r="144" spans="1:63">
      <c r="A144" s="430"/>
      <c r="B144" s="451"/>
      <c r="C144" s="430"/>
      <c r="D144" s="451"/>
      <c r="E144" s="430"/>
      <c r="F144" s="430"/>
      <c r="G144" s="430"/>
      <c r="H144" s="430"/>
      <c r="I144" s="430"/>
      <c r="J144" s="430"/>
      <c r="K144" s="430"/>
      <c r="L144" s="430"/>
      <c r="M144" s="430"/>
      <c r="N144" s="430"/>
      <c r="O144" s="430"/>
      <c r="P144" s="430"/>
      <c r="Q144" s="430"/>
      <c r="R144" s="430"/>
      <c r="S144" s="430"/>
      <c r="T144" s="430"/>
      <c r="U144" s="430"/>
      <c r="V144" s="430"/>
      <c r="W144" s="430"/>
      <c r="X144" s="430"/>
      <c r="Y144" s="430"/>
      <c r="Z144" s="430"/>
      <c r="AA144" s="430"/>
      <c r="AB144" s="430"/>
      <c r="AC144" s="430"/>
      <c r="AD144" s="430"/>
      <c r="AE144" s="430"/>
      <c r="AF144" s="430"/>
      <c r="AG144" s="430"/>
      <c r="AH144" s="430"/>
      <c r="AI144" s="430"/>
      <c r="AJ144" s="430"/>
      <c r="AK144" s="430"/>
      <c r="AL144" s="430"/>
      <c r="AM144" s="430"/>
      <c r="AN144" s="430"/>
      <c r="AO144" s="430"/>
      <c r="AP144" s="430"/>
      <c r="AQ144" s="430"/>
      <c r="AR144" s="430"/>
      <c r="AS144" s="430"/>
      <c r="AT144" s="430"/>
      <c r="AU144" s="430"/>
      <c r="AV144" s="430"/>
      <c r="AW144" s="430"/>
      <c r="AX144" s="430"/>
      <c r="AY144" s="430"/>
      <c r="AZ144" s="430"/>
      <c r="BA144" s="430"/>
      <c r="BB144" s="430"/>
      <c r="BC144" s="430"/>
      <c r="BD144" s="430"/>
      <c r="BE144" s="430"/>
      <c r="BF144" s="430"/>
      <c r="BG144" s="430"/>
      <c r="BH144" s="430"/>
      <c r="BI144" s="430"/>
      <c r="BJ144" s="430"/>
      <c r="BK144" s="430"/>
    </row>
    <row r="145" spans="1:63">
      <c r="A145" s="430"/>
      <c r="B145" s="451"/>
      <c r="C145" s="430"/>
      <c r="D145" s="451"/>
      <c r="E145" s="430"/>
      <c r="F145" s="430"/>
      <c r="G145" s="430"/>
      <c r="H145" s="430"/>
      <c r="I145" s="430"/>
      <c r="J145" s="430"/>
      <c r="K145" s="430"/>
      <c r="L145" s="430"/>
      <c r="M145" s="430"/>
      <c r="N145" s="430"/>
      <c r="O145" s="430"/>
      <c r="P145" s="430"/>
      <c r="Q145" s="430"/>
      <c r="R145" s="430"/>
      <c r="S145" s="430"/>
      <c r="T145" s="430"/>
      <c r="U145" s="430"/>
      <c r="V145" s="430"/>
      <c r="W145" s="430"/>
      <c r="X145" s="430"/>
      <c r="Y145" s="430"/>
      <c r="Z145" s="430"/>
      <c r="AA145" s="430"/>
      <c r="AB145" s="430"/>
      <c r="AC145" s="430"/>
      <c r="AD145" s="430"/>
      <c r="AE145" s="430"/>
      <c r="AF145" s="430"/>
      <c r="AG145" s="430"/>
      <c r="AH145" s="430"/>
      <c r="AI145" s="430"/>
      <c r="AJ145" s="430"/>
      <c r="AK145" s="430"/>
      <c r="AL145" s="430"/>
      <c r="AM145" s="430"/>
      <c r="AN145" s="430"/>
      <c r="AO145" s="430"/>
      <c r="AP145" s="430"/>
      <c r="AQ145" s="430"/>
      <c r="AR145" s="430"/>
      <c r="AS145" s="430"/>
      <c r="AT145" s="430"/>
      <c r="AU145" s="430"/>
      <c r="AV145" s="430"/>
      <c r="AW145" s="430"/>
      <c r="AX145" s="430"/>
      <c r="AY145" s="430"/>
      <c r="AZ145" s="430"/>
      <c r="BA145" s="430"/>
      <c r="BB145" s="430"/>
      <c r="BC145" s="430"/>
      <c r="BD145" s="430"/>
      <c r="BE145" s="430"/>
      <c r="BF145" s="430"/>
      <c r="BG145" s="430"/>
      <c r="BH145" s="430"/>
      <c r="BI145" s="430"/>
      <c r="BJ145" s="430"/>
      <c r="BK145" s="430"/>
    </row>
    <row r="146" spans="1:63">
      <c r="A146" s="430"/>
      <c r="B146" s="451"/>
      <c r="C146" s="430"/>
      <c r="D146" s="451"/>
      <c r="E146" s="430"/>
      <c r="F146" s="430"/>
      <c r="G146" s="430"/>
      <c r="H146" s="430"/>
      <c r="I146" s="430"/>
      <c r="J146" s="430"/>
      <c r="K146" s="430"/>
      <c r="L146" s="430"/>
      <c r="M146" s="430"/>
      <c r="N146" s="430"/>
      <c r="O146" s="430"/>
      <c r="P146" s="430"/>
      <c r="Q146" s="430"/>
      <c r="R146" s="430"/>
      <c r="S146" s="430"/>
      <c r="T146" s="430"/>
      <c r="U146" s="430"/>
      <c r="V146" s="430"/>
      <c r="W146" s="430"/>
      <c r="X146" s="430"/>
      <c r="Y146" s="430"/>
      <c r="Z146" s="430"/>
      <c r="AA146" s="430"/>
      <c r="AB146" s="430"/>
      <c r="AC146" s="430"/>
      <c r="AD146" s="430"/>
      <c r="AE146" s="430"/>
      <c r="AF146" s="430"/>
      <c r="AG146" s="430"/>
      <c r="AH146" s="430"/>
      <c r="AI146" s="430"/>
      <c r="AJ146" s="430"/>
      <c r="AK146" s="430"/>
      <c r="AL146" s="430"/>
      <c r="AM146" s="430"/>
      <c r="AN146" s="430"/>
      <c r="AO146" s="430"/>
      <c r="AP146" s="430"/>
      <c r="AQ146" s="430"/>
      <c r="AR146" s="430"/>
      <c r="AS146" s="430"/>
      <c r="AT146" s="430"/>
      <c r="AU146" s="430"/>
      <c r="AV146" s="430"/>
      <c r="AW146" s="430"/>
      <c r="AX146" s="430"/>
      <c r="AY146" s="430"/>
      <c r="AZ146" s="430"/>
      <c r="BA146" s="430"/>
      <c r="BB146" s="430"/>
      <c r="BC146" s="430"/>
      <c r="BD146" s="430"/>
      <c r="BE146" s="430"/>
      <c r="BF146" s="430"/>
      <c r="BG146" s="430"/>
      <c r="BH146" s="430"/>
      <c r="BI146" s="430"/>
      <c r="BJ146" s="430"/>
      <c r="BK146" s="430"/>
    </row>
    <row r="147" spans="1:63">
      <c r="A147" s="430"/>
      <c r="B147" s="451"/>
      <c r="C147" s="430"/>
      <c r="D147" s="451"/>
      <c r="E147" s="430"/>
      <c r="F147" s="430"/>
      <c r="G147" s="430"/>
      <c r="H147" s="430"/>
      <c r="I147" s="430"/>
      <c r="J147" s="430"/>
      <c r="K147" s="430"/>
      <c r="L147" s="430"/>
      <c r="M147" s="430"/>
      <c r="N147" s="430"/>
      <c r="O147" s="430"/>
      <c r="P147" s="430"/>
      <c r="Q147" s="430"/>
      <c r="R147" s="430"/>
      <c r="S147" s="430"/>
      <c r="T147" s="430"/>
      <c r="U147" s="430"/>
      <c r="V147" s="430"/>
      <c r="W147" s="430"/>
      <c r="X147" s="430"/>
      <c r="Y147" s="430"/>
      <c r="Z147" s="430"/>
      <c r="AA147" s="430"/>
      <c r="AB147" s="430"/>
      <c r="AC147" s="430"/>
      <c r="AD147" s="430"/>
      <c r="AE147" s="430"/>
      <c r="AF147" s="430"/>
      <c r="AG147" s="430"/>
      <c r="AH147" s="430"/>
      <c r="AI147" s="430"/>
      <c r="AJ147" s="430"/>
      <c r="AK147" s="430"/>
      <c r="AL147" s="430"/>
      <c r="AM147" s="430"/>
      <c r="AN147" s="430"/>
      <c r="AO147" s="430"/>
      <c r="AP147" s="430"/>
      <c r="AQ147" s="430"/>
      <c r="AR147" s="430"/>
      <c r="AS147" s="430"/>
      <c r="AT147" s="430"/>
      <c r="AU147" s="430"/>
      <c r="AV147" s="430"/>
      <c r="AW147" s="430"/>
      <c r="AX147" s="430"/>
      <c r="AY147" s="430"/>
      <c r="AZ147" s="430"/>
      <c r="BA147" s="430"/>
      <c r="BB147" s="430"/>
      <c r="BC147" s="430"/>
      <c r="BD147" s="430"/>
      <c r="BE147" s="430"/>
      <c r="BF147" s="430"/>
      <c r="BG147" s="430"/>
      <c r="BH147" s="430"/>
      <c r="BI147" s="430"/>
      <c r="BJ147" s="430"/>
      <c r="BK147" s="430"/>
    </row>
    <row r="148" spans="1:63">
      <c r="A148" s="430"/>
      <c r="B148" s="430"/>
      <c r="C148" s="430"/>
      <c r="D148" s="430"/>
      <c r="E148" s="430"/>
      <c r="F148" s="430"/>
      <c r="G148" s="430"/>
      <c r="H148" s="430"/>
      <c r="I148" s="430"/>
      <c r="J148" s="430"/>
      <c r="K148" s="430"/>
      <c r="L148" s="430"/>
      <c r="M148" s="430"/>
      <c r="N148" s="430"/>
      <c r="O148" s="430"/>
      <c r="P148" s="430"/>
      <c r="Q148" s="430"/>
      <c r="R148" s="430"/>
      <c r="S148" s="430"/>
      <c r="T148" s="430"/>
      <c r="U148" s="430"/>
      <c r="V148" s="430"/>
      <c r="W148" s="430"/>
      <c r="X148" s="430"/>
      <c r="Y148" s="430"/>
      <c r="Z148" s="430"/>
      <c r="AA148" s="430"/>
      <c r="AB148" s="430"/>
      <c r="AC148" s="430"/>
      <c r="AD148" s="430"/>
      <c r="AE148" s="430"/>
      <c r="AF148" s="430"/>
      <c r="AG148" s="430"/>
      <c r="AH148" s="430"/>
      <c r="AI148" s="430"/>
      <c r="AJ148" s="430"/>
      <c r="AK148" s="430"/>
      <c r="AL148" s="430"/>
      <c r="AM148" s="430"/>
      <c r="AN148" s="430"/>
      <c r="AO148" s="430"/>
      <c r="AP148" s="430"/>
      <c r="AQ148" s="430"/>
      <c r="AR148" s="430"/>
      <c r="AS148" s="430"/>
      <c r="AT148" s="430"/>
      <c r="AU148" s="430"/>
      <c r="AV148" s="430"/>
      <c r="AW148" s="430"/>
      <c r="AX148" s="430"/>
      <c r="AY148" s="430"/>
      <c r="AZ148" s="430"/>
      <c r="BA148" s="430"/>
      <c r="BB148" s="430"/>
      <c r="BC148" s="430"/>
      <c r="BD148" s="430"/>
      <c r="BE148" s="430"/>
      <c r="BF148" s="430"/>
      <c r="BG148" s="430"/>
      <c r="BH148" s="430"/>
      <c r="BI148" s="430"/>
      <c r="BJ148" s="430"/>
      <c r="BK148" s="430"/>
    </row>
    <row r="149" spans="1:63">
      <c r="A149" s="430"/>
      <c r="B149" s="430"/>
      <c r="C149" s="430"/>
      <c r="D149" s="430"/>
      <c r="E149" s="430"/>
      <c r="L149" s="430"/>
      <c r="M149" s="430"/>
      <c r="N149" s="430"/>
      <c r="O149" s="430"/>
      <c r="P149" s="430"/>
      <c r="Q149" s="430"/>
      <c r="R149" s="430"/>
      <c r="S149" s="430"/>
      <c r="T149" s="430"/>
      <c r="U149" s="430"/>
      <c r="V149" s="430"/>
      <c r="W149" s="430"/>
      <c r="X149" s="430"/>
      <c r="Y149" s="430"/>
      <c r="Z149" s="430"/>
      <c r="AA149" s="430"/>
      <c r="AB149" s="430"/>
      <c r="AC149" s="430"/>
      <c r="AD149" s="430"/>
      <c r="AE149" s="430"/>
      <c r="AF149" s="430"/>
      <c r="AG149" s="430"/>
      <c r="AH149" s="430"/>
      <c r="AI149" s="430"/>
      <c r="AJ149" s="430"/>
      <c r="AK149" s="430"/>
      <c r="AL149" s="430"/>
      <c r="AM149" s="430"/>
      <c r="AN149" s="430"/>
      <c r="AO149" s="430"/>
      <c r="AP149" s="430"/>
      <c r="AQ149" s="430"/>
      <c r="AR149" s="430"/>
      <c r="AS149" s="430"/>
      <c r="AT149" s="430"/>
      <c r="AU149" s="430"/>
      <c r="AV149" s="430"/>
      <c r="AW149" s="430"/>
      <c r="AX149" s="430"/>
      <c r="AY149" s="430"/>
      <c r="AZ149" s="430"/>
      <c r="BA149" s="430"/>
      <c r="BB149" s="430"/>
      <c r="BC149" s="430"/>
      <c r="BD149" s="430"/>
      <c r="BE149" s="430"/>
      <c r="BF149" s="430"/>
      <c r="BG149" s="430"/>
      <c r="BH149" s="430"/>
      <c r="BI149" s="430"/>
      <c r="BJ149" s="430"/>
      <c r="BK149" s="430"/>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4B084"/>
  </sheetPr>
  <dimension ref="A1:AY149"/>
  <sheetViews>
    <sheetView zoomScale="98" workbookViewId="0">
      <pane xSplit="4" ySplit="3" topLeftCell="E4" activePane="bottomRight" state="frozen"/>
      <selection pane="topRight"/>
      <selection pane="bottomLeft"/>
      <selection pane="bottomRight" activeCell="F1" sqref="F1:K1048576"/>
    </sheetView>
  </sheetViews>
  <sheetFormatPr defaultRowHeight="14.5" outlineLevelCol="1"/>
  <cols>
    <col min="1" max="1" width="36.7265625" bestFit="1" customWidth="1"/>
    <col min="2" max="2" width="4.453125" style="424" customWidth="1"/>
    <col min="3" max="3" width="19.90625" style="418" customWidth="1"/>
    <col min="4" max="4" width="7.6328125" style="424" customWidth="1"/>
    <col min="5" max="5" width="11.7265625" customWidth="1"/>
    <col min="6" max="9" width="10.7265625" style="429" customWidth="1" outlineLevel="1"/>
    <col min="10" max="11" width="10.7265625" style="624" customWidth="1" outlineLevel="1"/>
    <col min="12" max="24" width="11.7265625" customWidth="1"/>
    <col min="28" max="28" width="19.6328125" bestFit="1" customWidth="1"/>
    <col min="29" max="29" width="13.90625" bestFit="1" customWidth="1"/>
    <col min="30" max="30" width="10.81640625" bestFit="1" customWidth="1"/>
    <col min="31" max="31" width="18.26953125" bestFit="1" customWidth="1"/>
  </cols>
  <sheetData>
    <row r="1" spans="1:51">
      <c r="A1" s="430"/>
      <c r="B1" s="430"/>
      <c r="C1" s="430"/>
      <c r="D1" s="430"/>
      <c r="E1" s="430"/>
      <c r="F1" s="430"/>
      <c r="G1" s="430"/>
      <c r="H1" s="430"/>
      <c r="I1" s="430"/>
      <c r="J1" s="430"/>
      <c r="K1" s="430"/>
      <c r="L1" s="430"/>
      <c r="M1" s="430"/>
      <c r="N1" s="430"/>
      <c r="O1" s="430"/>
      <c r="P1" s="430"/>
      <c r="Q1" s="430"/>
      <c r="R1" s="430"/>
      <c r="S1" s="430"/>
      <c r="T1" s="430"/>
      <c r="U1" s="430"/>
      <c r="V1" s="430"/>
      <c r="W1" s="430"/>
      <c r="X1" s="430"/>
      <c r="Y1" s="430"/>
      <c r="Z1" s="430"/>
      <c r="AA1" s="430"/>
      <c r="AB1" s="430"/>
      <c r="AC1" s="430"/>
      <c r="AD1" s="430"/>
      <c r="AE1" s="430"/>
      <c r="AF1" s="430"/>
      <c r="AG1" s="430"/>
      <c r="AH1" s="430"/>
      <c r="AI1" s="430"/>
      <c r="AJ1" s="430"/>
      <c r="AK1" s="430"/>
      <c r="AL1" s="430"/>
      <c r="AM1" s="430"/>
      <c r="AN1" s="430"/>
      <c r="AO1" s="430"/>
      <c r="AP1" s="430"/>
      <c r="AQ1" s="430"/>
      <c r="AR1" s="430"/>
      <c r="AS1" s="430"/>
      <c r="AT1" s="430"/>
      <c r="AU1" s="430"/>
      <c r="AV1" s="430"/>
      <c r="AW1" s="430"/>
      <c r="AX1" s="430"/>
      <c r="AY1" s="430"/>
    </row>
    <row r="2" spans="1:51">
      <c r="A2" s="437"/>
      <c r="B2" s="434"/>
      <c r="C2" s="434"/>
      <c r="D2" s="434"/>
      <c r="E2" s="455">
        <v>45657</v>
      </c>
      <c r="F2" s="436">
        <v>45747</v>
      </c>
      <c r="G2" s="436">
        <v>45838</v>
      </c>
      <c r="H2" s="436">
        <v>45930</v>
      </c>
      <c r="I2" s="436">
        <v>46022</v>
      </c>
      <c r="J2" s="436">
        <v>46112</v>
      </c>
      <c r="K2" s="436">
        <v>46203</v>
      </c>
      <c r="L2" s="455">
        <v>45747</v>
      </c>
      <c r="M2" s="455">
        <v>45838</v>
      </c>
      <c r="N2" s="455">
        <v>45930</v>
      </c>
      <c r="O2" s="455">
        <v>46022</v>
      </c>
      <c r="P2" s="455">
        <v>46112</v>
      </c>
      <c r="Q2" s="455">
        <v>46203</v>
      </c>
      <c r="R2" s="455">
        <v>46295</v>
      </c>
      <c r="S2" s="455">
        <v>46387</v>
      </c>
      <c r="T2" s="455">
        <v>46752</v>
      </c>
      <c r="U2" s="455">
        <v>47118</v>
      </c>
      <c r="V2" s="455">
        <v>47483</v>
      </c>
      <c r="W2" s="455">
        <v>47848</v>
      </c>
      <c r="X2" s="542"/>
      <c r="Y2" s="590"/>
      <c r="Z2" s="590"/>
      <c r="AA2" s="437"/>
      <c r="AB2" s="437"/>
      <c r="AC2" s="437"/>
      <c r="AD2" s="437"/>
      <c r="AE2" s="437"/>
      <c r="AF2" s="437"/>
      <c r="AG2" s="437"/>
      <c r="AH2" s="437"/>
      <c r="AI2" s="437"/>
      <c r="AJ2" s="437"/>
      <c r="AK2" s="437"/>
      <c r="AL2" s="437"/>
      <c r="AM2" s="437"/>
      <c r="AN2" s="437"/>
      <c r="AO2" s="437"/>
      <c r="AP2" s="437"/>
      <c r="AQ2" s="437"/>
      <c r="AR2" s="437"/>
      <c r="AS2" s="437"/>
      <c r="AT2" s="437"/>
      <c r="AU2" s="437"/>
      <c r="AV2" s="437"/>
      <c r="AW2" s="437"/>
      <c r="AX2" s="437"/>
      <c r="AY2" s="437"/>
    </row>
    <row r="3" spans="1:51" ht="14.65" customHeight="1">
      <c r="A3" s="437"/>
      <c r="B3" s="434"/>
      <c r="C3" s="434"/>
      <c r="D3" s="434"/>
      <c r="E3" s="456"/>
      <c r="F3" s="439" t="s">
        <v>3</v>
      </c>
      <c r="G3" s="439" t="s">
        <v>4</v>
      </c>
      <c r="H3" s="439" t="s">
        <v>5</v>
      </c>
      <c r="I3" s="439" t="s">
        <v>2</v>
      </c>
      <c r="J3" s="625" t="s">
        <v>3</v>
      </c>
      <c r="K3" s="625" t="s">
        <v>4</v>
      </c>
      <c r="L3" s="456" t="s">
        <v>3</v>
      </c>
      <c r="M3" s="456" t="s">
        <v>4</v>
      </c>
      <c r="N3" s="456" t="s">
        <v>5</v>
      </c>
      <c r="O3" s="456" t="s">
        <v>2</v>
      </c>
      <c r="P3" s="456" t="s">
        <v>3</v>
      </c>
      <c r="Q3" s="456" t="s">
        <v>4</v>
      </c>
      <c r="R3" s="456" t="s">
        <v>5</v>
      </c>
      <c r="S3" s="456" t="s">
        <v>2</v>
      </c>
      <c r="T3" s="456" t="s">
        <v>2</v>
      </c>
      <c r="U3" s="456" t="s">
        <v>2</v>
      </c>
      <c r="V3" s="456" t="s">
        <v>2</v>
      </c>
      <c r="W3" s="456" t="s">
        <v>2</v>
      </c>
      <c r="X3" s="544"/>
      <c r="Y3" s="590"/>
      <c r="Z3" s="590"/>
      <c r="AA3" s="437"/>
      <c r="AB3" s="437"/>
      <c r="AC3" s="437"/>
      <c r="AD3" s="437"/>
      <c r="AE3" s="437"/>
      <c r="AF3" s="437"/>
      <c r="AG3" s="437"/>
      <c r="AH3" s="437"/>
      <c r="AI3" s="437"/>
      <c r="AJ3" s="437"/>
      <c r="AK3" s="437"/>
      <c r="AL3" s="437"/>
      <c r="AM3" s="437"/>
      <c r="AN3" s="437"/>
      <c r="AO3" s="437"/>
      <c r="AP3" s="437"/>
      <c r="AQ3" s="437"/>
      <c r="AR3" s="437"/>
      <c r="AS3" s="437"/>
      <c r="AT3" s="437"/>
      <c r="AU3" s="437"/>
      <c r="AV3" s="437"/>
      <c r="AW3" s="437"/>
      <c r="AX3" s="437"/>
      <c r="AY3" s="437"/>
    </row>
    <row r="4" spans="1:51" ht="18.5" customHeight="1">
      <c r="A4" s="430"/>
      <c r="B4" s="440" t="s">
        <v>6</v>
      </c>
      <c r="C4" s="441" t="s">
        <v>7</v>
      </c>
      <c r="D4" s="440" t="s">
        <v>8</v>
      </c>
      <c r="E4" s="430"/>
      <c r="F4" s="430"/>
      <c r="G4" s="430"/>
      <c r="H4" s="430"/>
      <c r="I4" s="430"/>
      <c r="J4" s="430"/>
      <c r="K4" s="430"/>
      <c r="L4" s="430"/>
      <c r="M4" s="430"/>
      <c r="N4" s="430"/>
      <c r="O4" s="430"/>
      <c r="P4" s="430"/>
      <c r="Q4" s="430"/>
      <c r="R4" s="430"/>
      <c r="S4" s="430"/>
      <c r="T4" s="430"/>
      <c r="U4" s="430"/>
      <c r="V4" s="430"/>
      <c r="W4" s="430"/>
      <c r="X4" s="430"/>
      <c r="Y4" s="430"/>
      <c r="Z4" s="430"/>
      <c r="AA4" s="430"/>
      <c r="AB4" s="430"/>
      <c r="AC4" s="430"/>
      <c r="AD4" s="430"/>
      <c r="AE4" s="430"/>
      <c r="AF4" s="430"/>
      <c r="AG4" s="430"/>
      <c r="AH4" s="430"/>
      <c r="AI4" s="430"/>
      <c r="AJ4" s="430"/>
      <c r="AK4" s="430"/>
      <c r="AL4" s="430"/>
      <c r="AM4" s="430"/>
      <c r="AN4" s="430"/>
      <c r="AO4" s="430"/>
      <c r="AP4" s="430"/>
      <c r="AQ4" s="430"/>
      <c r="AR4" s="430"/>
      <c r="AS4" s="430"/>
      <c r="AT4" s="430"/>
      <c r="AU4" s="430"/>
      <c r="AV4" s="430"/>
      <c r="AW4" s="430"/>
      <c r="AX4" s="430"/>
      <c r="AY4" s="430"/>
    </row>
    <row r="5" spans="1:51">
      <c r="A5" s="591" t="s">
        <v>1036</v>
      </c>
      <c r="B5" s="445"/>
      <c r="C5" s="447"/>
      <c r="D5" s="445"/>
      <c r="E5" s="430"/>
      <c r="F5" s="430"/>
      <c r="G5" s="430"/>
      <c r="H5" s="430"/>
      <c r="I5" s="430"/>
      <c r="J5" s="430"/>
      <c r="K5" s="430"/>
      <c r="L5" s="430"/>
      <c r="M5" s="430"/>
      <c r="N5" s="430"/>
      <c r="O5" s="430"/>
      <c r="P5" s="430"/>
      <c r="Q5" s="430"/>
      <c r="R5" s="430"/>
      <c r="S5" s="430"/>
      <c r="T5" s="430"/>
      <c r="U5" s="430"/>
      <c r="V5" s="430"/>
      <c r="W5" s="430"/>
      <c r="X5" s="430"/>
      <c r="Y5" s="532"/>
      <c r="Z5" s="532"/>
      <c r="AA5" s="430"/>
      <c r="AB5" s="430"/>
      <c r="AC5" s="430"/>
      <c r="AD5" s="430"/>
      <c r="AE5" s="430"/>
      <c r="AF5" s="430"/>
      <c r="AG5" s="430"/>
      <c r="AH5" s="430"/>
      <c r="AI5" s="430"/>
      <c r="AJ5" s="430"/>
      <c r="AK5" s="430"/>
      <c r="AL5" s="430"/>
      <c r="AM5" s="430"/>
      <c r="AN5" s="430"/>
      <c r="AO5" s="430"/>
      <c r="AP5" s="430"/>
      <c r="AQ5" s="430"/>
      <c r="AR5" s="430"/>
      <c r="AS5" s="430"/>
      <c r="AT5" s="430"/>
      <c r="AU5" s="430"/>
      <c r="AV5" s="430"/>
      <c r="AW5" s="430"/>
      <c r="AX5" s="430"/>
      <c r="AY5" s="430"/>
    </row>
    <row r="6" spans="1:51">
      <c r="A6" s="586" t="s">
        <v>1037</v>
      </c>
      <c r="B6" s="443" t="s">
        <v>18</v>
      </c>
      <c r="C6" s="444" t="s">
        <v>1021</v>
      </c>
      <c r="D6" s="460" t="s">
        <v>1038</v>
      </c>
      <c r="E6" s="430"/>
      <c r="F6" s="430"/>
      <c r="G6" s="430"/>
      <c r="H6" s="430"/>
      <c r="I6" s="430"/>
      <c r="J6" s="430"/>
      <c r="K6" s="430"/>
      <c r="L6" s="511">
        <v>125000</v>
      </c>
      <c r="M6" s="511">
        <v>125000</v>
      </c>
      <c r="N6" s="511">
        <v>125000</v>
      </c>
      <c r="O6" s="511">
        <v>125000</v>
      </c>
      <c r="P6" s="592">
        <v>125000</v>
      </c>
      <c r="Q6" s="511">
        <v>125000</v>
      </c>
      <c r="R6" s="511">
        <v>125000</v>
      </c>
      <c r="S6" s="511">
        <v>125000</v>
      </c>
      <c r="T6" s="492">
        <v>500000</v>
      </c>
      <c r="U6" s="492">
        <v>500000</v>
      </c>
      <c r="V6" s="492">
        <v>500000</v>
      </c>
      <c r="W6" s="492">
        <v>500000</v>
      </c>
      <c r="X6" s="464"/>
      <c r="Y6" s="532"/>
      <c r="Z6" s="532"/>
      <c r="AA6" s="430"/>
      <c r="AB6" s="430"/>
      <c r="AC6" s="430"/>
      <c r="AD6" s="430"/>
      <c r="AE6" s="430"/>
      <c r="AF6" s="430"/>
      <c r="AG6" s="430"/>
      <c r="AH6" s="430"/>
      <c r="AI6" s="430"/>
      <c r="AJ6" s="430"/>
      <c r="AK6" s="430"/>
      <c r="AL6" s="430"/>
      <c r="AM6" s="430"/>
      <c r="AN6" s="430"/>
      <c r="AO6" s="430"/>
      <c r="AP6" s="430"/>
      <c r="AQ6" s="430"/>
      <c r="AR6" s="430"/>
      <c r="AS6" s="430"/>
      <c r="AT6" s="430"/>
      <c r="AU6" s="430"/>
      <c r="AV6" s="430"/>
      <c r="AW6" s="430"/>
      <c r="AX6" s="430"/>
      <c r="AY6" s="430"/>
    </row>
    <row r="7" spans="1:51">
      <c r="A7" s="586" t="s">
        <v>1039</v>
      </c>
      <c r="B7" s="443" t="s">
        <v>18</v>
      </c>
      <c r="C7" s="444" t="s">
        <v>1021</v>
      </c>
      <c r="D7" s="460" t="s">
        <v>1040</v>
      </c>
      <c r="E7" s="430"/>
      <c r="F7" s="430"/>
      <c r="G7" s="430"/>
      <c r="H7" s="430"/>
      <c r="I7" s="430"/>
      <c r="J7" s="430"/>
      <c r="K7" s="430"/>
      <c r="L7" s="511">
        <v>68750</v>
      </c>
      <c r="M7" s="511">
        <v>68750</v>
      </c>
      <c r="N7" s="511">
        <v>68750</v>
      </c>
      <c r="O7" s="511">
        <v>68750</v>
      </c>
      <c r="P7" s="592">
        <v>72500</v>
      </c>
      <c r="Q7" s="511">
        <v>72500</v>
      </c>
      <c r="R7" s="511">
        <v>72500</v>
      </c>
      <c r="S7" s="511">
        <v>72500</v>
      </c>
      <c r="T7" s="492">
        <v>290000</v>
      </c>
      <c r="U7" s="492">
        <v>290000</v>
      </c>
      <c r="V7" s="492">
        <v>290000</v>
      </c>
      <c r="W7" s="492">
        <v>290000</v>
      </c>
      <c r="X7" s="464"/>
      <c r="Y7" s="532"/>
      <c r="Z7" s="532"/>
      <c r="AA7" s="430"/>
      <c r="AB7" s="430"/>
      <c r="AC7" s="430"/>
      <c r="AD7" s="430"/>
      <c r="AE7" s="430"/>
      <c r="AF7" s="430"/>
      <c r="AG7" s="430"/>
      <c r="AH7" s="430"/>
      <c r="AI7" s="430"/>
      <c r="AJ7" s="430"/>
      <c r="AK7" s="430"/>
      <c r="AL7" s="430"/>
      <c r="AM7" s="430"/>
      <c r="AN7" s="430"/>
      <c r="AO7" s="430"/>
      <c r="AP7" s="430"/>
      <c r="AQ7" s="430"/>
      <c r="AR7" s="430"/>
      <c r="AS7" s="430"/>
      <c r="AT7" s="430"/>
      <c r="AU7" s="430"/>
      <c r="AV7" s="430"/>
      <c r="AW7" s="430"/>
      <c r="AX7" s="430"/>
      <c r="AY7" s="430"/>
    </row>
    <row r="8" spans="1:51">
      <c r="A8" s="586" t="s">
        <v>1041</v>
      </c>
      <c r="B8" s="443" t="s">
        <v>18</v>
      </c>
      <c r="C8" s="444" t="s">
        <v>1021</v>
      </c>
      <c r="D8" s="460" t="s">
        <v>1042</v>
      </c>
      <c r="E8" s="430"/>
      <c r="F8" s="430"/>
      <c r="G8" s="430"/>
      <c r="H8" s="430"/>
      <c r="I8" s="430"/>
      <c r="J8" s="430"/>
      <c r="K8" s="430"/>
      <c r="L8" s="511">
        <v>0</v>
      </c>
      <c r="M8" s="511">
        <v>0</v>
      </c>
      <c r="N8" s="511">
        <v>0</v>
      </c>
      <c r="O8" s="511">
        <v>0</v>
      </c>
      <c r="P8" s="592">
        <v>75000</v>
      </c>
      <c r="Q8" s="511">
        <v>75000</v>
      </c>
      <c r="R8" s="511">
        <v>75000</v>
      </c>
      <c r="S8" s="511">
        <v>75000</v>
      </c>
      <c r="T8" s="492">
        <v>300000</v>
      </c>
      <c r="U8" s="492">
        <v>300000</v>
      </c>
      <c r="V8" s="492">
        <v>300000</v>
      </c>
      <c r="W8" s="492">
        <v>300000</v>
      </c>
      <c r="X8" s="464"/>
      <c r="Y8" s="532"/>
      <c r="Z8" s="532"/>
      <c r="AA8" s="430"/>
      <c r="AB8" s="430"/>
      <c r="AC8" s="430"/>
      <c r="AD8" s="430"/>
      <c r="AE8" s="430"/>
      <c r="AF8" s="430"/>
      <c r="AG8" s="430"/>
      <c r="AH8" s="430"/>
      <c r="AI8" s="430"/>
      <c r="AJ8" s="430"/>
      <c r="AK8" s="430"/>
      <c r="AL8" s="430"/>
      <c r="AM8" s="430"/>
      <c r="AN8" s="430"/>
      <c r="AO8" s="430"/>
      <c r="AP8" s="430"/>
      <c r="AQ8" s="430"/>
      <c r="AR8" s="430"/>
      <c r="AS8" s="430"/>
      <c r="AT8" s="430"/>
      <c r="AU8" s="430"/>
      <c r="AV8" s="430"/>
      <c r="AW8" s="430"/>
      <c r="AX8" s="430"/>
      <c r="AY8" s="430"/>
    </row>
    <row r="9" spans="1:51">
      <c r="A9" s="586" t="s">
        <v>1043</v>
      </c>
      <c r="B9" s="442" t="s">
        <v>18</v>
      </c>
      <c r="C9" s="442" t="s">
        <v>1021</v>
      </c>
      <c r="D9" s="442" t="s">
        <v>1044</v>
      </c>
      <c r="E9" s="430"/>
      <c r="F9" s="430"/>
      <c r="G9" s="430"/>
      <c r="H9" s="430"/>
      <c r="I9" s="430"/>
      <c r="J9" s="430"/>
      <c r="K9" s="430"/>
      <c r="L9" s="511">
        <v>37500</v>
      </c>
      <c r="M9" s="511">
        <v>37500</v>
      </c>
      <c r="N9" s="511">
        <v>37500</v>
      </c>
      <c r="O9" s="511">
        <v>37500</v>
      </c>
      <c r="P9" s="592">
        <v>40000</v>
      </c>
      <c r="Q9" s="511">
        <v>40000</v>
      </c>
      <c r="R9" s="511">
        <v>40000</v>
      </c>
      <c r="S9" s="511">
        <v>40000</v>
      </c>
      <c r="T9" s="492">
        <v>160000</v>
      </c>
      <c r="U9" s="492">
        <v>160000</v>
      </c>
      <c r="V9" s="492">
        <v>160000</v>
      </c>
      <c r="W9" s="492">
        <v>160000</v>
      </c>
      <c r="X9" s="464"/>
      <c r="Y9" s="532"/>
      <c r="Z9" s="532"/>
      <c r="AA9" s="430"/>
      <c r="AB9" s="430"/>
      <c r="AC9" s="430"/>
      <c r="AD9" s="430"/>
      <c r="AE9" s="430"/>
      <c r="AF9" s="430"/>
      <c r="AG9" s="430"/>
      <c r="AH9" s="430"/>
      <c r="AI9" s="430"/>
      <c r="AJ9" s="430"/>
      <c r="AK9" s="430"/>
      <c r="AL9" s="430"/>
      <c r="AM9" s="430"/>
      <c r="AN9" s="430"/>
      <c r="AO9" s="430"/>
      <c r="AP9" s="430"/>
      <c r="AQ9" s="430"/>
      <c r="AR9" s="430"/>
      <c r="AS9" s="430"/>
      <c r="AT9" s="430"/>
      <c r="AU9" s="430"/>
      <c r="AV9" s="430"/>
      <c r="AW9" s="430"/>
      <c r="AX9" s="430"/>
      <c r="AY9" s="430"/>
    </row>
    <row r="10" spans="1:51">
      <c r="A10" s="586" t="s">
        <v>1045</v>
      </c>
      <c r="B10" s="442" t="s">
        <v>18</v>
      </c>
      <c r="C10" s="442" t="s">
        <v>1021</v>
      </c>
      <c r="D10" s="442" t="s">
        <v>1046</v>
      </c>
      <c r="E10" s="430"/>
      <c r="F10" s="464"/>
      <c r="G10" s="464"/>
      <c r="H10" s="464"/>
      <c r="I10" s="464"/>
      <c r="J10" s="464"/>
      <c r="K10" s="464"/>
      <c r="L10" s="511">
        <v>27500</v>
      </c>
      <c r="M10" s="511">
        <v>27500</v>
      </c>
      <c r="N10" s="511">
        <v>27500</v>
      </c>
      <c r="O10" s="511">
        <v>27500</v>
      </c>
      <c r="P10" s="592">
        <v>27500</v>
      </c>
      <c r="Q10" s="511">
        <v>27500</v>
      </c>
      <c r="R10" s="511">
        <v>27500</v>
      </c>
      <c r="S10" s="511">
        <v>27500</v>
      </c>
      <c r="T10" s="492">
        <v>110000</v>
      </c>
      <c r="U10" s="492">
        <v>110000</v>
      </c>
      <c r="V10" s="492">
        <v>110000</v>
      </c>
      <c r="W10" s="492">
        <v>110000</v>
      </c>
      <c r="X10" s="464"/>
      <c r="Y10" s="532"/>
      <c r="Z10" s="532"/>
      <c r="AA10" s="430"/>
      <c r="AB10" s="430"/>
      <c r="AC10" s="430"/>
      <c r="AD10" s="430"/>
      <c r="AE10" s="430"/>
      <c r="AF10" s="430"/>
      <c r="AG10" s="430"/>
      <c r="AH10" s="430"/>
      <c r="AI10" s="430"/>
      <c r="AJ10" s="430"/>
      <c r="AK10" s="430"/>
      <c r="AL10" s="430"/>
      <c r="AM10" s="430"/>
      <c r="AN10" s="430"/>
      <c r="AO10" s="430"/>
      <c r="AP10" s="430"/>
      <c r="AQ10" s="430"/>
      <c r="AR10" s="430"/>
      <c r="AS10" s="430"/>
      <c r="AT10" s="430"/>
      <c r="AU10" s="430"/>
      <c r="AV10" s="430"/>
      <c r="AW10" s="430"/>
      <c r="AX10" s="430"/>
      <c r="AY10" s="430"/>
    </row>
    <row r="11" spans="1:51" s="30" customFormat="1">
      <c r="A11" s="442" t="s">
        <v>1047</v>
      </c>
      <c r="B11" s="535" t="s">
        <v>18</v>
      </c>
      <c r="C11" s="533" t="s">
        <v>1021</v>
      </c>
      <c r="D11" s="535" t="s">
        <v>1048</v>
      </c>
      <c r="E11" s="473"/>
      <c r="F11" s="430"/>
      <c r="G11" s="430"/>
      <c r="H11" s="430"/>
      <c r="I11" s="430"/>
      <c r="J11" s="430"/>
      <c r="K11" s="430"/>
      <c r="L11" s="511">
        <v>0</v>
      </c>
      <c r="M11" s="511">
        <v>0</v>
      </c>
      <c r="N11" s="511">
        <v>0</v>
      </c>
      <c r="O11" s="511">
        <v>0</v>
      </c>
      <c r="P11" s="511">
        <v>0</v>
      </c>
      <c r="Q11" s="511">
        <v>0</v>
      </c>
      <c r="R11" s="511">
        <v>37500</v>
      </c>
      <c r="S11" s="511">
        <v>37500</v>
      </c>
      <c r="T11" s="492">
        <v>150000</v>
      </c>
      <c r="U11" s="492">
        <v>150000</v>
      </c>
      <c r="V11" s="492">
        <v>150000</v>
      </c>
      <c r="W11" s="492">
        <v>150000</v>
      </c>
      <c r="X11" s="464"/>
      <c r="Y11" s="532"/>
      <c r="Z11" s="532"/>
      <c r="AA11" s="430"/>
      <c r="AB11" s="430"/>
      <c r="AC11" s="430"/>
      <c r="AD11" s="430"/>
      <c r="AE11" s="430"/>
      <c r="AF11" s="430"/>
      <c r="AG11" s="430"/>
      <c r="AH11" s="430"/>
      <c r="AI11" s="430"/>
      <c r="AJ11" s="430"/>
      <c r="AK11" s="430"/>
      <c r="AL11" s="430"/>
      <c r="AM11" s="430"/>
      <c r="AN11" s="430"/>
      <c r="AO11" s="430"/>
      <c r="AP11" s="430"/>
      <c r="AQ11" s="430"/>
      <c r="AR11" s="430"/>
      <c r="AS11" s="430"/>
      <c r="AT11" s="430"/>
      <c r="AU11" s="430"/>
      <c r="AV11" s="430"/>
      <c r="AW11" s="430"/>
      <c r="AX11" s="430"/>
      <c r="AY11" s="430"/>
    </row>
    <row r="12" spans="1:51" ht="14.65" customHeight="1">
      <c r="A12" s="593" t="s">
        <v>33</v>
      </c>
      <c r="B12" s="430"/>
      <c r="C12" s="430"/>
      <c r="D12" s="430"/>
      <c r="E12" s="473"/>
      <c r="F12" s="469"/>
      <c r="G12" s="469"/>
      <c r="H12" s="469"/>
      <c r="I12" s="469"/>
      <c r="J12" s="469"/>
      <c r="K12" s="469"/>
      <c r="L12" s="464">
        <f t="shared" ref="L12:W12" si="0">SUM(L6:L11)</f>
        <v>258750</v>
      </c>
      <c r="M12" s="464">
        <f t="shared" si="0"/>
        <v>258750</v>
      </c>
      <c r="N12" s="464">
        <f t="shared" si="0"/>
        <v>258750</v>
      </c>
      <c r="O12" s="464">
        <f t="shared" si="0"/>
        <v>258750</v>
      </c>
      <c r="P12" s="464">
        <f t="shared" si="0"/>
        <v>340000</v>
      </c>
      <c r="Q12" s="464">
        <f t="shared" si="0"/>
        <v>340000</v>
      </c>
      <c r="R12" s="464">
        <f t="shared" si="0"/>
        <v>377500</v>
      </c>
      <c r="S12" s="464">
        <f t="shared" si="0"/>
        <v>377500</v>
      </c>
      <c r="T12" s="464">
        <f t="shared" si="0"/>
        <v>1510000</v>
      </c>
      <c r="U12" s="464">
        <f t="shared" si="0"/>
        <v>1510000</v>
      </c>
      <c r="V12" s="464">
        <f t="shared" si="0"/>
        <v>1510000</v>
      </c>
      <c r="W12" s="464">
        <f t="shared" si="0"/>
        <v>1510000</v>
      </c>
      <c r="X12" s="464"/>
      <c r="Y12" s="532"/>
      <c r="Z12" s="532"/>
      <c r="AA12" s="430"/>
      <c r="AB12" s="430"/>
      <c r="AC12" s="430"/>
      <c r="AD12" s="430"/>
      <c r="AE12" s="430"/>
      <c r="AF12" s="430"/>
      <c r="AG12" s="430"/>
      <c r="AH12" s="430"/>
      <c r="AI12" s="430"/>
      <c r="AJ12" s="430"/>
      <c r="AK12" s="430"/>
      <c r="AL12" s="430"/>
      <c r="AM12" s="430"/>
      <c r="AN12" s="430"/>
      <c r="AO12" s="430"/>
      <c r="AP12" s="430"/>
      <c r="AQ12" s="430"/>
      <c r="AR12" s="430"/>
      <c r="AS12" s="430"/>
      <c r="AT12" s="430"/>
      <c r="AU12" s="430"/>
      <c r="AV12" s="430"/>
      <c r="AW12" s="430"/>
      <c r="AX12" s="430"/>
      <c r="AY12" s="430"/>
    </row>
    <row r="13" spans="1:51">
      <c r="A13" s="594"/>
      <c r="B13" s="430"/>
      <c r="C13" s="430"/>
      <c r="D13" s="430"/>
      <c r="E13" s="464"/>
      <c r="F13" s="469"/>
      <c r="G13" s="469"/>
      <c r="H13" s="469"/>
      <c r="I13" s="469"/>
      <c r="J13" s="469"/>
      <c r="K13" s="469"/>
      <c r="L13" s="464"/>
      <c r="M13" s="464"/>
      <c r="N13" s="464"/>
      <c r="O13" s="464"/>
      <c r="P13" s="464"/>
      <c r="Q13" s="464"/>
      <c r="R13" s="464"/>
      <c r="S13" s="464"/>
      <c r="T13" s="464"/>
      <c r="U13" s="464"/>
      <c r="V13" s="464"/>
      <c r="W13" s="464"/>
      <c r="X13" s="464"/>
      <c r="Y13" s="532"/>
      <c r="Z13" s="532"/>
      <c r="AA13" s="430"/>
      <c r="AB13" s="430"/>
      <c r="AC13" s="430"/>
      <c r="AD13" s="430"/>
      <c r="AE13" s="430"/>
      <c r="AF13" s="430"/>
      <c r="AG13" s="430"/>
      <c r="AH13" s="430"/>
      <c r="AI13" s="430"/>
      <c r="AJ13" s="430"/>
      <c r="AK13" s="430"/>
      <c r="AL13" s="430"/>
      <c r="AM13" s="430"/>
      <c r="AN13" s="430"/>
      <c r="AO13" s="430"/>
      <c r="AP13" s="430"/>
      <c r="AQ13" s="430"/>
      <c r="AR13" s="430"/>
      <c r="AS13" s="430"/>
      <c r="AT13" s="430"/>
      <c r="AU13" s="430"/>
      <c r="AV13" s="430"/>
      <c r="AW13" s="430"/>
      <c r="AX13" s="430"/>
      <c r="AY13" s="430"/>
    </row>
    <row r="14" spans="1:51" ht="14.65" customHeight="1">
      <c r="A14" s="533" t="s">
        <v>1033</v>
      </c>
      <c r="B14" s="430"/>
      <c r="C14" s="430"/>
      <c r="D14" s="430"/>
      <c r="E14" s="430"/>
      <c r="F14" s="430"/>
      <c r="G14" s="430"/>
      <c r="H14" s="430"/>
      <c r="I14" s="430"/>
      <c r="J14" s="430"/>
      <c r="K14" s="430"/>
      <c r="L14" s="430"/>
      <c r="M14" s="430"/>
      <c r="N14" s="430"/>
      <c r="O14" s="430"/>
      <c r="P14" s="430"/>
      <c r="Q14" s="430"/>
      <c r="R14" s="430"/>
      <c r="S14" s="430"/>
      <c r="T14" s="430"/>
      <c r="U14" s="430"/>
      <c r="V14" s="430"/>
      <c r="W14" s="430"/>
      <c r="X14" s="430"/>
      <c r="Y14" s="532"/>
      <c r="Z14" s="532"/>
      <c r="AA14" s="430"/>
      <c r="AB14" s="430"/>
      <c r="AC14" s="430"/>
      <c r="AD14" s="430"/>
      <c r="AE14" s="430"/>
      <c r="AF14" s="430"/>
      <c r="AG14" s="430"/>
      <c r="AH14" s="430"/>
      <c r="AI14" s="430"/>
      <c r="AJ14" s="430"/>
      <c r="AK14" s="430"/>
      <c r="AL14" s="430"/>
      <c r="AM14" s="430"/>
      <c r="AN14" s="430"/>
      <c r="AO14" s="430"/>
      <c r="AP14" s="430"/>
      <c r="AQ14" s="430"/>
      <c r="AR14" s="430"/>
      <c r="AS14" s="430"/>
      <c r="AT14" s="430"/>
      <c r="AU14" s="430"/>
      <c r="AV14" s="430"/>
      <c r="AW14" s="430"/>
      <c r="AX14" s="430"/>
      <c r="AY14" s="430"/>
    </row>
    <row r="15" spans="1:51">
      <c r="A15" s="430" t="str">
        <f t="shared" ref="A15:A20" si="1">A6</f>
        <v>ACEO Loren Hotels (CE)</v>
      </c>
      <c r="B15" s="442" t="s">
        <v>18</v>
      </c>
      <c r="C15" s="442" t="s">
        <v>1034</v>
      </c>
      <c r="D15" s="442" t="s">
        <v>1038</v>
      </c>
      <c r="E15" s="478"/>
      <c r="F15" s="430"/>
      <c r="G15" s="430"/>
      <c r="H15" s="430"/>
      <c r="I15" s="430"/>
      <c r="J15" s="430"/>
      <c r="K15" s="430"/>
      <c r="L15" s="511">
        <v>0</v>
      </c>
      <c r="M15" s="511">
        <v>0</v>
      </c>
      <c r="N15" s="511">
        <v>0</v>
      </c>
      <c r="O15" s="511">
        <v>250000</v>
      </c>
      <c r="P15" s="511">
        <v>0</v>
      </c>
      <c r="Q15" s="511">
        <v>0</v>
      </c>
      <c r="R15" s="511">
        <v>0</v>
      </c>
      <c r="S15" s="511">
        <v>250000</v>
      </c>
      <c r="T15" s="492">
        <v>500000</v>
      </c>
      <c r="U15" s="492">
        <v>500000</v>
      </c>
      <c r="V15" s="492">
        <v>500000</v>
      </c>
      <c r="W15" s="492">
        <v>500000</v>
      </c>
      <c r="X15" s="478"/>
      <c r="Y15" s="532"/>
      <c r="Z15" s="532"/>
      <c r="AA15" s="430"/>
      <c r="AB15" s="430"/>
      <c r="AC15" s="430"/>
      <c r="AD15" s="430"/>
      <c r="AE15" s="430"/>
      <c r="AF15" s="430"/>
      <c r="AG15" s="430"/>
      <c r="AH15" s="430"/>
      <c r="AI15" s="430"/>
      <c r="AJ15" s="430"/>
      <c r="AK15" s="430"/>
      <c r="AL15" s="430"/>
      <c r="AM15" s="430"/>
      <c r="AN15" s="430"/>
      <c r="AO15" s="430"/>
      <c r="AP15" s="430"/>
      <c r="AQ15" s="430"/>
      <c r="AR15" s="430"/>
      <c r="AS15" s="430"/>
      <c r="AT15" s="430"/>
      <c r="AU15" s="430"/>
      <c r="AV15" s="430"/>
      <c r="AW15" s="430"/>
      <c r="AX15" s="430"/>
      <c r="AY15" s="430"/>
    </row>
    <row r="16" spans="1:51">
      <c r="A16" s="430" t="str">
        <f t="shared" si="1"/>
        <v>VP Operations (WS)</v>
      </c>
      <c r="B16" s="442" t="s">
        <v>18</v>
      </c>
      <c r="C16" s="442" t="s">
        <v>1034</v>
      </c>
      <c r="D16" s="442" t="s">
        <v>1040</v>
      </c>
      <c r="E16" s="464"/>
      <c r="F16" s="430"/>
      <c r="G16" s="430"/>
      <c r="H16" s="430"/>
      <c r="I16" s="430"/>
      <c r="J16" s="430"/>
      <c r="K16" s="430"/>
      <c r="L16" s="511">
        <v>0</v>
      </c>
      <c r="M16" s="511">
        <v>0</v>
      </c>
      <c r="N16" s="511">
        <v>0</v>
      </c>
      <c r="O16" s="511">
        <v>115000</v>
      </c>
      <c r="P16" s="511">
        <v>0</v>
      </c>
      <c r="Q16" s="511">
        <v>0</v>
      </c>
      <c r="R16" s="511">
        <v>0</v>
      </c>
      <c r="S16" s="511">
        <v>75000</v>
      </c>
      <c r="T16" s="492">
        <v>75000</v>
      </c>
      <c r="U16" s="492">
        <v>75000</v>
      </c>
      <c r="V16" s="492">
        <v>75000</v>
      </c>
      <c r="W16" s="492">
        <v>75000</v>
      </c>
      <c r="X16" s="464"/>
      <c r="Y16" s="532"/>
      <c r="Z16" s="532"/>
      <c r="AA16" s="430"/>
      <c r="AB16" s="430"/>
      <c r="AC16" s="430"/>
      <c r="AD16" s="430"/>
      <c r="AE16" s="430"/>
      <c r="AF16" s="430"/>
      <c r="AG16" s="430"/>
      <c r="AH16" s="430"/>
      <c r="AI16" s="430"/>
      <c r="AJ16" s="430"/>
      <c r="AK16" s="430"/>
      <c r="AL16" s="430"/>
      <c r="AM16" s="430"/>
      <c r="AN16" s="430"/>
      <c r="AO16" s="430"/>
      <c r="AP16" s="430"/>
      <c r="AQ16" s="430"/>
      <c r="AR16" s="430"/>
      <c r="AS16" s="430"/>
      <c r="AT16" s="430"/>
      <c r="AU16" s="430"/>
      <c r="AV16" s="430"/>
      <c r="AW16" s="430"/>
      <c r="AX16" s="430"/>
      <c r="AY16" s="430"/>
    </row>
    <row r="17" spans="1:51">
      <c r="A17" s="430" t="str">
        <f t="shared" si="1"/>
        <v>seniorS&amp;Mexe (CL)</v>
      </c>
      <c r="B17" s="442" t="s">
        <v>18</v>
      </c>
      <c r="C17" s="442" t="s">
        <v>1034</v>
      </c>
      <c r="D17" s="442" t="s">
        <v>1042</v>
      </c>
      <c r="E17" s="464"/>
      <c r="F17" s="473"/>
      <c r="G17" s="473"/>
      <c r="H17" s="473"/>
      <c r="I17" s="473"/>
      <c r="J17" s="473"/>
      <c r="K17" s="473"/>
      <c r="L17" s="511">
        <v>0</v>
      </c>
      <c r="M17" s="511">
        <v>0</v>
      </c>
      <c r="N17" s="511">
        <v>0</v>
      </c>
      <c r="O17" s="511">
        <v>20000</v>
      </c>
      <c r="P17" s="511">
        <v>0</v>
      </c>
      <c r="Q17" s="511">
        <v>0</v>
      </c>
      <c r="R17" s="511">
        <v>0</v>
      </c>
      <c r="S17" s="511">
        <v>75000</v>
      </c>
      <c r="T17" s="492">
        <v>75000</v>
      </c>
      <c r="U17" s="492">
        <v>75000</v>
      </c>
      <c r="V17" s="492">
        <v>75000</v>
      </c>
      <c r="W17" s="492">
        <v>75000</v>
      </c>
      <c r="X17" s="464"/>
      <c r="Y17" s="532"/>
      <c r="Z17" s="532"/>
      <c r="AA17" s="430"/>
      <c r="AB17" s="430"/>
      <c r="AC17" s="430"/>
      <c r="AD17" s="430"/>
      <c r="AE17" s="430"/>
      <c r="AF17" s="430"/>
      <c r="AG17" s="430"/>
      <c r="AH17" s="430"/>
      <c r="AI17" s="430"/>
      <c r="AJ17" s="430"/>
      <c r="AK17" s="430"/>
      <c r="AL17" s="430"/>
      <c r="AM17" s="430"/>
      <c r="AN17" s="430"/>
      <c r="AO17" s="430"/>
      <c r="AP17" s="430"/>
      <c r="AQ17" s="430"/>
      <c r="AR17" s="430"/>
      <c r="AS17" s="430"/>
      <c r="AT17" s="430"/>
      <c r="AU17" s="430"/>
      <c r="AV17" s="430"/>
      <c r="AW17" s="430"/>
      <c r="AX17" s="430"/>
      <c r="AY17" s="430"/>
    </row>
    <row r="18" spans="1:51">
      <c r="A18" s="430" t="str">
        <f t="shared" si="1"/>
        <v>Senior Associate (RF)</v>
      </c>
      <c r="B18" s="442" t="s">
        <v>18</v>
      </c>
      <c r="C18" s="442" t="s">
        <v>1034</v>
      </c>
      <c r="D18" s="442" t="s">
        <v>1044</v>
      </c>
      <c r="E18" s="464"/>
      <c r="F18" s="473"/>
      <c r="G18" s="473"/>
      <c r="H18" s="473"/>
      <c r="I18" s="473"/>
      <c r="J18" s="473"/>
      <c r="K18" s="473"/>
      <c r="L18" s="511">
        <v>0</v>
      </c>
      <c r="M18" s="511">
        <v>0</v>
      </c>
      <c r="N18" s="511">
        <v>0</v>
      </c>
      <c r="O18" s="511">
        <v>50000</v>
      </c>
      <c r="P18" s="511">
        <v>0</v>
      </c>
      <c r="Q18" s="511">
        <v>0</v>
      </c>
      <c r="R18" s="511">
        <v>0</v>
      </c>
      <c r="S18" s="511">
        <v>50000</v>
      </c>
      <c r="T18" s="492">
        <v>50000</v>
      </c>
      <c r="U18" s="492">
        <v>50000</v>
      </c>
      <c r="V18" s="492">
        <v>50000</v>
      </c>
      <c r="W18" s="492">
        <v>50000</v>
      </c>
      <c r="X18" s="464"/>
      <c r="Y18" s="532"/>
      <c r="Z18" s="532"/>
      <c r="AA18" s="430"/>
      <c r="AB18" s="430"/>
      <c r="AC18" s="430"/>
      <c r="AD18" s="430"/>
      <c r="AE18" s="430"/>
      <c r="AF18" s="430"/>
      <c r="AG18" s="430"/>
      <c r="AH18" s="430"/>
      <c r="AI18" s="430"/>
      <c r="AJ18" s="430"/>
      <c r="AK18" s="430"/>
      <c r="AL18" s="430"/>
      <c r="AM18" s="430"/>
      <c r="AN18" s="430"/>
      <c r="AO18" s="430"/>
      <c r="AP18" s="430"/>
      <c r="AQ18" s="430"/>
      <c r="AR18" s="430"/>
      <c r="AS18" s="430"/>
      <c r="AT18" s="430"/>
      <c r="AU18" s="430"/>
      <c r="AV18" s="430"/>
      <c r="AW18" s="430"/>
      <c r="AX18" s="430"/>
      <c r="AY18" s="430"/>
    </row>
    <row r="19" spans="1:51">
      <c r="A19" s="430" t="str">
        <f t="shared" si="1"/>
        <v>associate (MT)</v>
      </c>
      <c r="B19" s="442" t="s">
        <v>18</v>
      </c>
      <c r="C19" s="442" t="s">
        <v>1034</v>
      </c>
      <c r="D19" s="442" t="s">
        <v>1046</v>
      </c>
      <c r="E19" s="464"/>
      <c r="F19" s="464"/>
      <c r="G19" s="464"/>
      <c r="H19" s="464"/>
      <c r="I19" s="464"/>
      <c r="J19" s="464"/>
      <c r="K19" s="464"/>
      <c r="L19" s="511">
        <v>0</v>
      </c>
      <c r="M19" s="511">
        <v>0</v>
      </c>
      <c r="N19" s="511">
        <v>0</v>
      </c>
      <c r="O19" s="511">
        <v>20000</v>
      </c>
      <c r="P19" s="511">
        <v>0</v>
      </c>
      <c r="Q19" s="511">
        <v>0</v>
      </c>
      <c r="R19" s="511">
        <v>0</v>
      </c>
      <c r="S19" s="511">
        <v>40000</v>
      </c>
      <c r="T19" s="492">
        <v>40000</v>
      </c>
      <c r="U19" s="492">
        <v>40000</v>
      </c>
      <c r="V19" s="492">
        <v>40000</v>
      </c>
      <c r="W19" s="492">
        <v>40000</v>
      </c>
      <c r="X19" s="464"/>
      <c r="Y19" s="532"/>
      <c r="Z19" s="532"/>
      <c r="AA19" s="430"/>
      <c r="AB19" s="430"/>
      <c r="AC19" s="430"/>
      <c r="AD19" s="430"/>
      <c r="AE19" s="430"/>
      <c r="AF19" s="430"/>
      <c r="AG19" s="430"/>
      <c r="AH19" s="430"/>
      <c r="AI19" s="430"/>
      <c r="AJ19" s="430"/>
      <c r="AK19" s="430"/>
      <c r="AL19" s="430"/>
      <c r="AM19" s="430"/>
      <c r="AN19" s="430"/>
      <c r="AO19" s="430"/>
      <c r="AP19" s="430"/>
      <c r="AQ19" s="430"/>
      <c r="AR19" s="430"/>
      <c r="AS19" s="430"/>
      <c r="AT19" s="430"/>
      <c r="AU19" s="430"/>
      <c r="AV19" s="430"/>
      <c r="AW19" s="430"/>
      <c r="AX19" s="430"/>
      <c r="AY19" s="430"/>
    </row>
    <row r="20" spans="1:51" ht="14.65" customHeight="1">
      <c r="A20" s="430" t="str">
        <f t="shared" si="1"/>
        <v>project manager</v>
      </c>
      <c r="B20" s="442" t="s">
        <v>18</v>
      </c>
      <c r="C20" s="442" t="s">
        <v>1034</v>
      </c>
      <c r="D20" s="442" t="s">
        <v>1048</v>
      </c>
      <c r="E20" s="464"/>
      <c r="F20" s="430"/>
      <c r="G20" s="430"/>
      <c r="H20" s="430"/>
      <c r="I20" s="430"/>
      <c r="J20" s="430"/>
      <c r="K20" s="430"/>
      <c r="L20" s="511">
        <v>0</v>
      </c>
      <c r="M20" s="511">
        <v>0</v>
      </c>
      <c r="N20" s="511">
        <v>0</v>
      </c>
      <c r="O20" s="511">
        <v>0</v>
      </c>
      <c r="P20" s="511">
        <v>0</v>
      </c>
      <c r="Q20" s="511">
        <v>0</v>
      </c>
      <c r="R20" s="511">
        <v>0</v>
      </c>
      <c r="S20" s="511">
        <v>5000</v>
      </c>
      <c r="T20" s="492">
        <v>10000</v>
      </c>
      <c r="U20" s="492">
        <v>10000</v>
      </c>
      <c r="V20" s="492">
        <v>10000</v>
      </c>
      <c r="W20" s="492">
        <v>10000</v>
      </c>
      <c r="X20" s="464"/>
      <c r="Y20" s="532"/>
      <c r="Z20" s="532"/>
      <c r="AA20" s="430"/>
      <c r="AB20" s="430"/>
      <c r="AC20" s="430"/>
      <c r="AD20" s="430"/>
      <c r="AE20" s="430"/>
      <c r="AF20" s="430"/>
      <c r="AG20" s="430"/>
      <c r="AH20" s="430"/>
      <c r="AI20" s="430"/>
      <c r="AJ20" s="430"/>
      <c r="AK20" s="430"/>
      <c r="AL20" s="430"/>
      <c r="AM20" s="430"/>
      <c r="AN20" s="430"/>
      <c r="AO20" s="430"/>
      <c r="AP20" s="430"/>
      <c r="AQ20" s="430"/>
      <c r="AR20" s="430"/>
      <c r="AS20" s="430"/>
      <c r="AT20" s="430"/>
      <c r="AU20" s="430"/>
      <c r="AV20" s="430"/>
      <c r="AW20" s="430"/>
      <c r="AX20" s="430"/>
      <c r="AY20" s="430"/>
    </row>
    <row r="21" spans="1:51" ht="14.65" customHeight="1">
      <c r="A21" s="593" t="s">
        <v>33</v>
      </c>
      <c r="B21" s="430"/>
      <c r="C21" s="430"/>
      <c r="D21" s="430"/>
      <c r="E21" s="473"/>
      <c r="F21" s="478"/>
      <c r="G21" s="478"/>
      <c r="H21" s="478"/>
      <c r="I21" s="478"/>
      <c r="J21" s="478"/>
      <c r="K21" s="478"/>
      <c r="L21" s="492">
        <f t="shared" ref="L21:W21" si="2">SUM(L15:L20)</f>
        <v>0</v>
      </c>
      <c r="M21" s="492">
        <f t="shared" si="2"/>
        <v>0</v>
      </c>
      <c r="N21" s="492">
        <f t="shared" si="2"/>
        <v>0</v>
      </c>
      <c r="O21" s="492">
        <f t="shared" si="2"/>
        <v>455000</v>
      </c>
      <c r="P21" s="492">
        <f t="shared" si="2"/>
        <v>0</v>
      </c>
      <c r="Q21" s="492">
        <f t="shared" si="2"/>
        <v>0</v>
      </c>
      <c r="R21" s="492">
        <f t="shared" si="2"/>
        <v>0</v>
      </c>
      <c r="S21" s="492">
        <f t="shared" si="2"/>
        <v>495000</v>
      </c>
      <c r="T21" s="492">
        <f t="shared" si="2"/>
        <v>750000</v>
      </c>
      <c r="U21" s="492">
        <f t="shared" si="2"/>
        <v>750000</v>
      </c>
      <c r="V21" s="492">
        <f t="shared" si="2"/>
        <v>750000</v>
      </c>
      <c r="W21" s="492">
        <f t="shared" si="2"/>
        <v>750000</v>
      </c>
      <c r="X21" s="464"/>
      <c r="Y21" s="532"/>
      <c r="Z21" s="532"/>
      <c r="AA21" s="430"/>
      <c r="AB21" s="430"/>
      <c r="AC21" s="430"/>
      <c r="AD21" s="430"/>
      <c r="AE21" s="430"/>
      <c r="AF21" s="430"/>
      <c r="AG21" s="430"/>
      <c r="AH21" s="430"/>
      <c r="AI21" s="430"/>
      <c r="AJ21" s="430"/>
      <c r="AK21" s="430"/>
      <c r="AL21" s="430"/>
      <c r="AM21" s="430"/>
      <c r="AN21" s="430"/>
      <c r="AO21" s="430"/>
      <c r="AP21" s="430"/>
      <c r="AQ21" s="430"/>
      <c r="AR21" s="430"/>
      <c r="AS21" s="430"/>
      <c r="AT21" s="430"/>
      <c r="AU21" s="430"/>
      <c r="AV21" s="430"/>
      <c r="AW21" s="430"/>
      <c r="AX21" s="430"/>
      <c r="AY21" s="430"/>
    </row>
    <row r="22" spans="1:51">
      <c r="A22" s="594"/>
      <c r="B22" s="430"/>
      <c r="C22" s="430"/>
      <c r="D22" s="430"/>
      <c r="E22" s="464"/>
      <c r="F22" s="464"/>
      <c r="G22" s="464"/>
      <c r="H22" s="464"/>
      <c r="I22" s="464"/>
      <c r="J22" s="464"/>
      <c r="K22" s="464"/>
      <c r="L22" s="464"/>
      <c r="M22" s="464"/>
      <c r="N22" s="464"/>
      <c r="O22" s="464"/>
      <c r="P22" s="464"/>
      <c r="Q22" s="464"/>
      <c r="R22" s="464"/>
      <c r="S22" s="464"/>
      <c r="T22" s="464"/>
      <c r="U22" s="464"/>
      <c r="V22" s="464"/>
      <c r="W22" s="464"/>
      <c r="X22" s="501"/>
      <c r="Y22" s="532"/>
      <c r="Z22" s="532"/>
      <c r="AA22" s="430"/>
      <c r="AB22" s="430"/>
      <c r="AC22" s="430"/>
      <c r="AD22" s="430"/>
      <c r="AE22" s="430"/>
      <c r="AF22" s="430"/>
      <c r="AG22" s="430"/>
      <c r="AH22" s="430"/>
      <c r="AI22" s="430"/>
      <c r="AJ22" s="565"/>
      <c r="AK22" s="430"/>
      <c r="AL22" s="430"/>
      <c r="AM22" s="430"/>
      <c r="AN22" s="430"/>
      <c r="AO22" s="430"/>
      <c r="AP22" s="430"/>
      <c r="AQ22" s="430"/>
      <c r="AR22" s="430"/>
      <c r="AS22" s="430"/>
      <c r="AT22" s="430"/>
      <c r="AU22" s="430"/>
      <c r="AV22" s="430"/>
      <c r="AW22" s="430"/>
      <c r="AX22" s="430"/>
      <c r="AY22" s="430"/>
    </row>
    <row r="23" spans="1:51" ht="14.65" customHeight="1">
      <c r="A23" s="533" t="s">
        <v>1049</v>
      </c>
      <c r="B23" s="430"/>
      <c r="C23" s="430"/>
      <c r="D23" s="430"/>
      <c r="E23" s="430"/>
      <c r="F23" s="464"/>
      <c r="G23" s="464"/>
      <c r="H23" s="464"/>
      <c r="I23" s="464"/>
      <c r="J23" s="464"/>
      <c r="K23" s="464"/>
      <c r="L23" s="430"/>
      <c r="M23" s="430"/>
      <c r="N23" s="430"/>
      <c r="O23" s="430"/>
      <c r="P23" s="430"/>
      <c r="Q23" s="430"/>
      <c r="R23" s="430"/>
      <c r="S23" s="430"/>
      <c r="T23" s="430"/>
      <c r="U23" s="430"/>
      <c r="V23" s="430"/>
      <c r="W23" s="430"/>
      <c r="X23" s="430"/>
      <c r="Y23" s="532"/>
      <c r="Z23" s="532"/>
      <c r="AA23" s="430"/>
      <c r="AB23" s="430"/>
      <c r="AC23" s="430"/>
      <c r="AD23" s="430"/>
      <c r="AE23" s="430"/>
      <c r="AF23" s="430"/>
      <c r="AG23" s="430"/>
      <c r="AH23" s="430"/>
      <c r="AI23" s="430"/>
      <c r="AJ23" s="430"/>
      <c r="AK23" s="430"/>
      <c r="AL23" s="430"/>
      <c r="AM23" s="430"/>
      <c r="AN23" s="430"/>
      <c r="AO23" s="430"/>
      <c r="AP23" s="430"/>
      <c r="AQ23" s="430"/>
      <c r="AR23" s="430"/>
      <c r="AS23" s="430"/>
      <c r="AT23" s="430"/>
      <c r="AU23" s="430"/>
      <c r="AV23" s="430"/>
      <c r="AW23" s="430"/>
      <c r="AX23" s="430"/>
      <c r="AY23" s="430"/>
    </row>
    <row r="24" spans="1:51">
      <c r="A24" s="430" t="str">
        <f t="shared" ref="A24:A29" si="3">A15</f>
        <v>ACEO Loren Hotels (CE)</v>
      </c>
      <c r="B24" s="442" t="s">
        <v>34</v>
      </c>
      <c r="C24" s="442" t="s">
        <v>1035</v>
      </c>
      <c r="D24" s="442" t="s">
        <v>1038</v>
      </c>
      <c r="E24" s="432"/>
      <c r="F24" s="464"/>
      <c r="G24" s="464"/>
      <c r="H24" s="464"/>
      <c r="I24" s="464"/>
      <c r="J24" s="464"/>
      <c r="K24" s="464"/>
      <c r="L24" s="490">
        <f>L6*(1+'.c12_inputs.hr'!$E$8)+(L15*(1+'.c12_inputs.hr'!$E$9))</f>
        <v>144000</v>
      </c>
      <c r="M24" s="490">
        <f>M6*(1+'.c12_inputs.hr'!$E$8)+(M15*(1+'.c12_inputs.hr'!$E$9))</f>
        <v>144000</v>
      </c>
      <c r="N24" s="490">
        <f>N6*(1+'.c12_inputs.hr'!$E$8)+(N15*(1+'.c12_inputs.hr'!$E$9))</f>
        <v>144000</v>
      </c>
      <c r="O24" s="490">
        <f>O6*(1+'.c12_inputs.hr'!$E$8)+(O15*(1+'.c12_inputs.hr'!$E$9))</f>
        <v>403750</v>
      </c>
      <c r="P24" s="490">
        <f>P6*(1+'.c12_inputs.hr'!$E$8)+(P15*(1+'.c12_inputs.hr'!$E$9))</f>
        <v>144000</v>
      </c>
      <c r="Q24" s="490">
        <f>Q6*(1+'.c12_inputs.hr'!$E$8)+(Q15*(1+'.c12_inputs.hr'!$E$9))</f>
        <v>144000</v>
      </c>
      <c r="R24" s="490">
        <f>R6*(1+'.c12_inputs.hr'!$E$8)+(R15*(1+'.c12_inputs.hr'!$E$9))</f>
        <v>144000</v>
      </c>
      <c r="S24" s="490">
        <f>S6*(1+'.c12_inputs.hr'!$E$8)+(S15*(1+'.c12_inputs.hr'!$E$9))</f>
        <v>403750</v>
      </c>
      <c r="T24" s="490">
        <f>T6*(1+'.c12_inputs.hr'!$E$8)+(T15*(1+'.c12_inputs.hr'!$E$9))</f>
        <v>1095500</v>
      </c>
      <c r="U24" s="490">
        <f>U6*(1+'.c12_inputs.hr'!$E$8)+(U15*(1+'.c12_inputs.hr'!$E$9))</f>
        <v>1095500</v>
      </c>
      <c r="V24" s="490">
        <f>V6*(1+'.c12_inputs.hr'!$E$8)+(V15*(1+'.c12_inputs.hr'!$E$9))</f>
        <v>1095500</v>
      </c>
      <c r="W24" s="490">
        <f>W6*(1+'.c12_inputs.hr'!$E$8)+(W15*(1+'.c12_inputs.hr'!$E$9))</f>
        <v>1095500</v>
      </c>
      <c r="X24" s="490"/>
      <c r="Y24" s="490"/>
      <c r="Z24" s="532"/>
      <c r="AA24" s="430"/>
      <c r="AB24" s="430"/>
      <c r="AC24" s="430"/>
      <c r="AD24" s="430"/>
      <c r="AE24" s="430"/>
      <c r="AF24" s="430"/>
      <c r="AG24" s="430"/>
      <c r="AH24" s="430"/>
      <c r="AI24" s="430"/>
      <c r="AJ24" s="430"/>
      <c r="AK24" s="430"/>
      <c r="AL24" s="430"/>
      <c r="AM24" s="430"/>
      <c r="AN24" s="430"/>
      <c r="AO24" s="430"/>
      <c r="AP24" s="430"/>
      <c r="AQ24" s="430"/>
      <c r="AR24" s="430"/>
      <c r="AS24" s="430"/>
      <c r="AT24" s="430"/>
      <c r="AU24" s="430"/>
      <c r="AV24" s="430"/>
      <c r="AW24" s="430"/>
      <c r="AX24" s="430"/>
      <c r="AY24" s="430"/>
    </row>
    <row r="25" spans="1:51">
      <c r="A25" s="430" t="str">
        <f t="shared" si="3"/>
        <v>VP Operations (WS)</v>
      </c>
      <c r="B25" s="442" t="s">
        <v>34</v>
      </c>
      <c r="C25" s="442" t="s">
        <v>1035</v>
      </c>
      <c r="D25" s="442" t="s">
        <v>1040</v>
      </c>
      <c r="E25" s="432"/>
      <c r="F25" s="464"/>
      <c r="G25" s="464"/>
      <c r="H25" s="464"/>
      <c r="I25" s="464"/>
      <c r="J25" s="464"/>
      <c r="K25" s="464"/>
      <c r="L25" s="490">
        <f>L7*(1+'.c12_inputs.hr'!$E$8)+(L16*(1+'.c12_inputs.hr'!$E$9))</f>
        <v>79200</v>
      </c>
      <c r="M25" s="490">
        <f>M7*(1+'.c12_inputs.hr'!$E$8)+(M16*(1+'.c12_inputs.hr'!$E$9))</f>
        <v>79200</v>
      </c>
      <c r="N25" s="490">
        <f>N7*(1+'.c12_inputs.hr'!$E$8)+(N16*(1+'.c12_inputs.hr'!$E$9))</f>
        <v>79200</v>
      </c>
      <c r="O25" s="490">
        <f>O7*(1+'.c12_inputs.hr'!$E$8)+(O16*(1+'.c12_inputs.hr'!$E$9))</f>
        <v>198685</v>
      </c>
      <c r="P25" s="490">
        <f>P7*(1+'.c12_inputs.hr'!$E$8)+(P16*(1+'.c12_inputs.hr'!$E$9))</f>
        <v>83520</v>
      </c>
      <c r="Q25" s="490">
        <f>Q7*(1+'.c12_inputs.hr'!$E$8)+(Q16*(1+'.c12_inputs.hr'!$E$9))</f>
        <v>83520</v>
      </c>
      <c r="R25" s="490">
        <f>R7*(1+'.c12_inputs.hr'!$E$8)+(R16*(1+'.c12_inputs.hr'!$E$9))</f>
        <v>83520</v>
      </c>
      <c r="S25" s="490">
        <f>S7*(1+'.c12_inputs.hr'!$E$8)+(S16*(1+'.c12_inputs.hr'!$E$9))</f>
        <v>161445</v>
      </c>
      <c r="T25" s="490">
        <f>T7*(1+'.c12_inputs.hr'!$E$8)+(T16*(1+'.c12_inputs.hr'!$E$9))</f>
        <v>412005</v>
      </c>
      <c r="U25" s="490">
        <f>U7*(1+'.c12_inputs.hr'!$E$8)+(U16*(1+'.c12_inputs.hr'!$E$9))</f>
        <v>412005</v>
      </c>
      <c r="V25" s="490">
        <f>V7*(1+'.c12_inputs.hr'!$E$8)+(V16*(1+'.c12_inputs.hr'!$E$9))</f>
        <v>412005</v>
      </c>
      <c r="W25" s="490">
        <f>W7*(1+'.c12_inputs.hr'!$E$8)+(W16*(1+'.c12_inputs.hr'!$E$9))</f>
        <v>412005</v>
      </c>
      <c r="X25" s="490"/>
      <c r="Y25" s="490"/>
      <c r="Z25" s="532"/>
      <c r="AA25" s="430"/>
      <c r="AB25" s="430"/>
      <c r="AC25" s="430"/>
      <c r="AD25" s="430"/>
      <c r="AE25" s="430"/>
      <c r="AF25" s="430"/>
      <c r="AG25" s="430"/>
      <c r="AH25" s="430"/>
      <c r="AI25" s="430"/>
      <c r="AJ25" s="430"/>
      <c r="AK25" s="430"/>
      <c r="AL25" s="430"/>
      <c r="AM25" s="430"/>
      <c r="AN25" s="430"/>
      <c r="AO25" s="430"/>
      <c r="AP25" s="430"/>
      <c r="AQ25" s="430"/>
      <c r="AR25" s="430"/>
      <c r="AS25" s="430"/>
      <c r="AT25" s="430"/>
      <c r="AU25" s="430"/>
      <c r="AV25" s="430"/>
      <c r="AW25" s="430"/>
      <c r="AX25" s="430"/>
      <c r="AY25" s="430"/>
    </row>
    <row r="26" spans="1:51">
      <c r="A26" s="430" t="str">
        <f t="shared" si="3"/>
        <v>seniorS&amp;Mexe (CL)</v>
      </c>
      <c r="B26" s="442" t="s">
        <v>34</v>
      </c>
      <c r="C26" s="442" t="s">
        <v>1035</v>
      </c>
      <c r="D26" s="442" t="s">
        <v>1042</v>
      </c>
      <c r="E26" s="432"/>
      <c r="F26" s="464"/>
      <c r="G26" s="464"/>
      <c r="H26" s="464"/>
      <c r="I26" s="464"/>
      <c r="J26" s="464"/>
      <c r="K26" s="464"/>
      <c r="L26" s="490">
        <f>L8*(1+'.c12_inputs.hr'!$E$8)+(L17*(1+'.c12_inputs.hr'!$E$9))</f>
        <v>0</v>
      </c>
      <c r="M26" s="490">
        <f>M8*(1+'.c12_inputs.hr'!$E$8)+(M17*(1+'.c12_inputs.hr'!$E$9))</f>
        <v>0</v>
      </c>
      <c r="N26" s="490">
        <f>N8*(1+'.c12_inputs.hr'!$E$8)+(N17*(1+'.c12_inputs.hr'!$E$9))</f>
        <v>0</v>
      </c>
      <c r="O26" s="490">
        <f>O8*(1+'.c12_inputs.hr'!$E$8)+(O17*(1+'.c12_inputs.hr'!$E$9))</f>
        <v>20780</v>
      </c>
      <c r="P26" s="490">
        <f>P8*(1+'.c12_inputs.hr'!$E$8)+(P17*(1+'.c12_inputs.hr'!$E$9))</f>
        <v>86400</v>
      </c>
      <c r="Q26" s="490">
        <f>Q8*(1+'.c12_inputs.hr'!$E$8)+(Q17*(1+'.c12_inputs.hr'!$E$9))</f>
        <v>86400</v>
      </c>
      <c r="R26" s="490">
        <f>R8*(1+'.c12_inputs.hr'!$E$8)+(R17*(1+'.c12_inputs.hr'!$E$9))</f>
        <v>86400</v>
      </c>
      <c r="S26" s="490">
        <f>S8*(1+'.c12_inputs.hr'!$E$8)+(S17*(1+'.c12_inputs.hr'!$E$9))</f>
        <v>164325</v>
      </c>
      <c r="T26" s="490">
        <f>T8*(1+'.c12_inputs.hr'!$E$8)+(T17*(1+'.c12_inputs.hr'!$E$9))</f>
        <v>423525</v>
      </c>
      <c r="U26" s="490">
        <f>U8*(1+'.c12_inputs.hr'!$E$8)+(U17*(1+'.c12_inputs.hr'!$E$9))</f>
        <v>423525</v>
      </c>
      <c r="V26" s="490">
        <f>V8*(1+'.c12_inputs.hr'!$E$8)+(V17*(1+'.c12_inputs.hr'!$E$9))</f>
        <v>423525</v>
      </c>
      <c r="W26" s="490">
        <f>W8*(1+'.c12_inputs.hr'!$E$8)+(W17*(1+'.c12_inputs.hr'!$E$9))</f>
        <v>423525</v>
      </c>
      <c r="X26" s="490"/>
      <c r="Y26" s="490"/>
      <c r="Z26" s="532"/>
      <c r="AA26" s="430"/>
      <c r="AB26" s="430"/>
      <c r="AC26" s="430"/>
      <c r="AD26" s="430"/>
      <c r="AE26" s="430"/>
      <c r="AF26" s="430"/>
      <c r="AG26" s="430"/>
      <c r="AH26" s="430"/>
      <c r="AI26" s="430"/>
      <c r="AJ26" s="430"/>
      <c r="AK26" s="430"/>
      <c r="AL26" s="430"/>
      <c r="AM26" s="430"/>
      <c r="AN26" s="430"/>
      <c r="AO26" s="430"/>
      <c r="AP26" s="430"/>
      <c r="AQ26" s="430"/>
      <c r="AR26" s="430"/>
      <c r="AS26" s="430"/>
      <c r="AT26" s="430"/>
      <c r="AU26" s="430"/>
      <c r="AV26" s="430"/>
      <c r="AW26" s="430"/>
      <c r="AX26" s="430"/>
      <c r="AY26" s="430"/>
    </row>
    <row r="27" spans="1:51">
      <c r="A27" s="430" t="str">
        <f t="shared" si="3"/>
        <v>Senior Associate (RF)</v>
      </c>
      <c r="B27" s="442" t="s">
        <v>34</v>
      </c>
      <c r="C27" s="442" t="s">
        <v>1035</v>
      </c>
      <c r="D27" s="442" t="s">
        <v>1044</v>
      </c>
      <c r="E27" s="432"/>
      <c r="F27" s="464"/>
      <c r="G27" s="464"/>
      <c r="H27" s="464"/>
      <c r="I27" s="464"/>
      <c r="J27" s="464"/>
      <c r="K27" s="464"/>
      <c r="L27" s="490">
        <f>L9*(1+'.c12_inputs.hr'!$E$8)+(L18*(1+'.c12_inputs.hr'!$E$9))</f>
        <v>43200</v>
      </c>
      <c r="M27" s="490">
        <f>M9*(1+'.c12_inputs.hr'!$E$8)+(M18*(1+'.c12_inputs.hr'!$E$9))</f>
        <v>43200</v>
      </c>
      <c r="N27" s="490">
        <f>N9*(1+'.c12_inputs.hr'!$E$8)+(N18*(1+'.c12_inputs.hr'!$E$9))</f>
        <v>43200</v>
      </c>
      <c r="O27" s="490">
        <f>O9*(1+'.c12_inputs.hr'!$E$8)+(O18*(1+'.c12_inputs.hr'!$E$9))</f>
        <v>95150</v>
      </c>
      <c r="P27" s="490">
        <f>P9*(1+'.c12_inputs.hr'!$E$8)+(P18*(1+'.c12_inputs.hr'!$E$9))</f>
        <v>46080</v>
      </c>
      <c r="Q27" s="490">
        <f>Q9*(1+'.c12_inputs.hr'!$E$8)+(Q18*(1+'.c12_inputs.hr'!$E$9))</f>
        <v>46080</v>
      </c>
      <c r="R27" s="490">
        <f>R9*(1+'.c12_inputs.hr'!$E$8)+(R18*(1+'.c12_inputs.hr'!$E$9))</f>
        <v>46080</v>
      </c>
      <c r="S27" s="490">
        <f>S9*(1+'.c12_inputs.hr'!$E$8)+(S18*(1+'.c12_inputs.hr'!$E$9))</f>
        <v>98030</v>
      </c>
      <c r="T27" s="490">
        <f>T9*(1+'.c12_inputs.hr'!$E$8)+(T18*(1+'.c12_inputs.hr'!$E$9))</f>
        <v>236270</v>
      </c>
      <c r="U27" s="490">
        <f>U9*(1+'.c12_inputs.hr'!$E$8)+(U18*(1+'.c12_inputs.hr'!$E$9))</f>
        <v>236270</v>
      </c>
      <c r="V27" s="490">
        <f>V9*(1+'.c12_inputs.hr'!$E$8)+(V18*(1+'.c12_inputs.hr'!$E$9))</f>
        <v>236270</v>
      </c>
      <c r="W27" s="490">
        <f>W9*(1+'.c12_inputs.hr'!$E$8)+(W18*(1+'.c12_inputs.hr'!$E$9))</f>
        <v>236270</v>
      </c>
      <c r="X27" s="490"/>
      <c r="Y27" s="490"/>
      <c r="Z27" s="532"/>
      <c r="AA27" s="430"/>
      <c r="AB27" s="430"/>
      <c r="AC27" s="430"/>
      <c r="AD27" s="430"/>
      <c r="AE27" s="430"/>
      <c r="AF27" s="430"/>
      <c r="AG27" s="430"/>
      <c r="AH27" s="430"/>
      <c r="AI27" s="430"/>
      <c r="AJ27" s="430"/>
      <c r="AK27" s="430"/>
      <c r="AL27" s="430"/>
      <c r="AM27" s="430"/>
      <c r="AN27" s="430"/>
      <c r="AO27" s="430"/>
      <c r="AP27" s="430"/>
      <c r="AQ27" s="430"/>
      <c r="AR27" s="430"/>
      <c r="AS27" s="430"/>
      <c r="AT27" s="430"/>
      <c r="AU27" s="430"/>
      <c r="AV27" s="430"/>
      <c r="AW27" s="430"/>
      <c r="AX27" s="430"/>
      <c r="AY27" s="430"/>
    </row>
    <row r="28" spans="1:51">
      <c r="A28" s="430" t="str">
        <f t="shared" si="3"/>
        <v>associate (MT)</v>
      </c>
      <c r="B28" s="442" t="s">
        <v>34</v>
      </c>
      <c r="C28" s="442" t="s">
        <v>1035</v>
      </c>
      <c r="D28" s="442" t="s">
        <v>1046</v>
      </c>
      <c r="E28" s="432"/>
      <c r="F28" s="464"/>
      <c r="G28" s="464"/>
      <c r="H28" s="464"/>
      <c r="I28" s="464"/>
      <c r="J28" s="464"/>
      <c r="K28" s="464"/>
      <c r="L28" s="490">
        <f>L10*(1+'.c12_inputs.hr'!$E$8)+(L19*(1+'.c12_inputs.hr'!$E$9))</f>
        <v>31679.999999999996</v>
      </c>
      <c r="M28" s="490">
        <f>M10*(1+'.c12_inputs.hr'!$E$8)+(M19*(1+'.c12_inputs.hr'!$E$9))</f>
        <v>31679.999999999996</v>
      </c>
      <c r="N28" s="490">
        <f>N10*(1+'.c12_inputs.hr'!$E$8)+(N19*(1+'.c12_inputs.hr'!$E$9))</f>
        <v>31679.999999999996</v>
      </c>
      <c r="O28" s="490">
        <f>O10*(1+'.c12_inputs.hr'!$E$8)+(O19*(1+'.c12_inputs.hr'!$E$9))</f>
        <v>52460</v>
      </c>
      <c r="P28" s="490">
        <f>P10*(1+'.c12_inputs.hr'!$E$8)+(P19*(1+'.c12_inputs.hr'!$E$9))</f>
        <v>31679.999999999996</v>
      </c>
      <c r="Q28" s="490">
        <f>Q10*(1+'.c12_inputs.hr'!$E$8)+(Q19*(1+'.c12_inputs.hr'!$E$9))</f>
        <v>31679.999999999996</v>
      </c>
      <c r="R28" s="490">
        <f>R10*(1+'.c12_inputs.hr'!$E$8)+(R19*(1+'.c12_inputs.hr'!$E$9))</f>
        <v>31679.999999999996</v>
      </c>
      <c r="S28" s="490">
        <f>S10*(1+'.c12_inputs.hr'!$E$8)+(S19*(1+'.c12_inputs.hr'!$E$9))</f>
        <v>73240</v>
      </c>
      <c r="T28" s="490">
        <f>T10*(1+'.c12_inputs.hr'!$E$8)+(T19*(1+'.c12_inputs.hr'!$E$9))</f>
        <v>168280</v>
      </c>
      <c r="U28" s="490">
        <f>U10*(1+'.c12_inputs.hr'!$E$8)+(U19*(1+'.c12_inputs.hr'!$E$9))</f>
        <v>168280</v>
      </c>
      <c r="V28" s="490">
        <f>V10*(1+'.c12_inputs.hr'!$E$8)+(V19*(1+'.c12_inputs.hr'!$E$9))</f>
        <v>168280</v>
      </c>
      <c r="W28" s="490">
        <f>W10*(1+'.c12_inputs.hr'!$E$8)+(W19*(1+'.c12_inputs.hr'!$E$9))</f>
        <v>168280</v>
      </c>
      <c r="X28" s="490"/>
      <c r="Y28" s="490"/>
      <c r="Z28" s="430"/>
      <c r="AA28" s="430"/>
      <c r="AB28" s="430"/>
      <c r="AC28" s="430"/>
      <c r="AD28" s="430"/>
      <c r="AE28" s="430"/>
      <c r="AF28" s="430"/>
      <c r="AG28" s="430"/>
      <c r="AH28" s="430"/>
      <c r="AI28" s="430"/>
      <c r="AJ28" s="430"/>
      <c r="AK28" s="430"/>
      <c r="AL28" s="430"/>
      <c r="AM28" s="430"/>
      <c r="AN28" s="430"/>
      <c r="AO28" s="430"/>
      <c r="AP28" s="430"/>
      <c r="AQ28" s="430"/>
      <c r="AR28" s="430"/>
      <c r="AS28" s="430"/>
      <c r="AT28" s="430"/>
      <c r="AU28" s="430"/>
      <c r="AV28" s="430"/>
      <c r="AW28" s="430"/>
      <c r="AX28" s="430"/>
      <c r="AY28" s="430"/>
    </row>
    <row r="29" spans="1:51">
      <c r="A29" s="430" t="str">
        <f t="shared" si="3"/>
        <v>project manager</v>
      </c>
      <c r="B29" s="442" t="s">
        <v>34</v>
      </c>
      <c r="C29" s="442" t="s">
        <v>1035</v>
      </c>
      <c r="D29" s="442" t="s">
        <v>1048</v>
      </c>
      <c r="E29" s="432"/>
      <c r="F29" s="464"/>
      <c r="G29" s="464"/>
      <c r="H29" s="464"/>
      <c r="I29" s="464"/>
      <c r="J29" s="464"/>
      <c r="K29" s="464"/>
      <c r="L29" s="490">
        <f>L11*(1+'.c12_inputs.hr'!$E$8)+(L20*(1+'.c12_inputs.hr'!$E$9))</f>
        <v>0</v>
      </c>
      <c r="M29" s="490">
        <f>M11*(1+'.c12_inputs.hr'!$E$8)+(M20*(1+'.c12_inputs.hr'!$E$9))</f>
        <v>0</v>
      </c>
      <c r="N29" s="490">
        <f>N11*(1+'.c12_inputs.hr'!$E$8)+(N20*(1+'.c12_inputs.hr'!$E$9))</f>
        <v>0</v>
      </c>
      <c r="O29" s="490">
        <f>O11*(1+'.c12_inputs.hr'!$E$8)+(O20*(1+'.c12_inputs.hr'!$E$9))</f>
        <v>0</v>
      </c>
      <c r="P29" s="490">
        <f>P11*(1+'.c12_inputs.hr'!$E$8)+(P20*(1+'.c12_inputs.hr'!$E$9))</f>
        <v>0</v>
      </c>
      <c r="Q29" s="490">
        <f>Q11*(1+'.c12_inputs.hr'!$E$8)+(Q20*(1+'.c12_inputs.hr'!$E$9))</f>
        <v>0</v>
      </c>
      <c r="R29" s="490">
        <f>R11*(1+'.c12_inputs.hr'!$E$8)+(R20*(1+'.c12_inputs.hr'!$E$9))</f>
        <v>43200</v>
      </c>
      <c r="S29" s="490">
        <f>S11*(1+'.c12_inputs.hr'!$E$8)+(S20*(1+'.c12_inputs.hr'!$E$9))</f>
        <v>48395</v>
      </c>
      <c r="T29" s="490">
        <f>T11*(1+'.c12_inputs.hr'!$E$8)+(T20*(1+'.c12_inputs.hr'!$E$9))</f>
        <v>183190</v>
      </c>
      <c r="U29" s="490">
        <f>U11*(1+'.c12_inputs.hr'!$E$8)+(U20*(1+'.c12_inputs.hr'!$E$9))</f>
        <v>183190</v>
      </c>
      <c r="V29" s="490">
        <f>V11*(1+'.c12_inputs.hr'!$E$8)+(V20*(1+'.c12_inputs.hr'!$E$9))</f>
        <v>183190</v>
      </c>
      <c r="W29" s="490">
        <f>W11*(1+'.c12_inputs.hr'!$E$8)+(W20*(1+'.c12_inputs.hr'!$E$9))</f>
        <v>183190</v>
      </c>
      <c r="X29" s="490"/>
      <c r="Y29" s="490"/>
      <c r="Z29" s="430"/>
      <c r="AA29" s="430"/>
      <c r="AB29" s="430"/>
      <c r="AC29" s="430"/>
      <c r="AD29" s="430"/>
      <c r="AE29" s="430"/>
      <c r="AF29" s="430"/>
      <c r="AG29" s="430"/>
      <c r="AH29" s="430"/>
      <c r="AI29" s="430"/>
      <c r="AJ29" s="430"/>
      <c r="AK29" s="430"/>
      <c r="AL29" s="430"/>
      <c r="AM29" s="430"/>
      <c r="AN29" s="430"/>
      <c r="AO29" s="430"/>
      <c r="AP29" s="430"/>
      <c r="AQ29" s="430"/>
      <c r="AR29" s="430"/>
      <c r="AS29" s="430"/>
      <c r="AT29" s="430"/>
      <c r="AU29" s="430"/>
      <c r="AV29" s="430"/>
      <c r="AW29" s="430"/>
      <c r="AX29" s="430"/>
      <c r="AY29" s="430"/>
    </row>
    <row r="30" spans="1:51" s="428" customFormat="1" ht="14.65" customHeight="1">
      <c r="A30" s="430"/>
      <c r="B30" s="430"/>
      <c r="C30" s="430"/>
      <c r="D30" s="430"/>
      <c r="E30" s="432"/>
      <c r="F30" s="464"/>
      <c r="G30" s="464"/>
      <c r="H30" s="464"/>
      <c r="I30" s="464"/>
      <c r="J30" s="464"/>
      <c r="K30" s="464"/>
      <c r="L30" s="490"/>
      <c r="M30" s="490"/>
      <c r="N30" s="490"/>
      <c r="O30" s="490"/>
      <c r="P30" s="490"/>
      <c r="Q30" s="490"/>
      <c r="R30" s="490"/>
      <c r="S30" s="490"/>
      <c r="T30" s="490"/>
      <c r="U30" s="490"/>
      <c r="V30" s="490"/>
      <c r="W30" s="490"/>
      <c r="X30" s="490"/>
      <c r="Y30" s="490"/>
      <c r="Z30" s="430"/>
      <c r="AA30" s="430"/>
      <c r="AB30" s="430"/>
      <c r="AC30" s="430"/>
      <c r="AD30" s="430"/>
      <c r="AE30" s="430"/>
      <c r="AF30" s="430"/>
      <c r="AG30" s="430"/>
      <c r="AH30" s="430"/>
      <c r="AI30" s="430"/>
      <c r="AJ30" s="430"/>
      <c r="AK30" s="430"/>
      <c r="AL30" s="430"/>
      <c r="AM30" s="430"/>
      <c r="AN30" s="430"/>
      <c r="AO30" s="430"/>
      <c r="AP30" s="430"/>
      <c r="AQ30" s="430"/>
      <c r="AR30" s="430"/>
      <c r="AS30" s="430"/>
      <c r="AT30" s="430"/>
      <c r="AU30" s="430"/>
      <c r="AV30" s="430"/>
      <c r="AW30" s="430"/>
      <c r="AX30" s="430"/>
      <c r="AY30" s="430"/>
    </row>
    <row r="31" spans="1:51" ht="14.65" customHeight="1">
      <c r="A31" s="593" t="s">
        <v>941</v>
      </c>
      <c r="B31" s="442" t="s">
        <v>34</v>
      </c>
      <c r="C31" s="442" t="s">
        <v>942</v>
      </c>
      <c r="D31" s="430"/>
      <c r="E31" s="490"/>
      <c r="F31" s="464"/>
      <c r="G31" s="464"/>
      <c r="H31" s="464"/>
      <c r="I31" s="464"/>
      <c r="J31" s="464"/>
      <c r="K31" s="464"/>
      <c r="L31" s="490">
        <f t="shared" ref="L31:W31" si="4">SUM(L24:L29)</f>
        <v>298080</v>
      </c>
      <c r="M31" s="490">
        <f t="shared" si="4"/>
        <v>298080</v>
      </c>
      <c r="N31" s="490">
        <f t="shared" si="4"/>
        <v>298080</v>
      </c>
      <c r="O31" s="490">
        <f t="shared" si="4"/>
        <v>770825</v>
      </c>
      <c r="P31" s="490">
        <f t="shared" si="4"/>
        <v>391680</v>
      </c>
      <c r="Q31" s="490">
        <f t="shared" si="4"/>
        <v>391680</v>
      </c>
      <c r="R31" s="490">
        <f t="shared" si="4"/>
        <v>434880</v>
      </c>
      <c r="S31" s="490">
        <f t="shared" si="4"/>
        <v>949185</v>
      </c>
      <c r="T31" s="490">
        <f t="shared" si="4"/>
        <v>2518770</v>
      </c>
      <c r="U31" s="490">
        <f t="shared" si="4"/>
        <v>2518770</v>
      </c>
      <c r="V31" s="490">
        <f t="shared" si="4"/>
        <v>2518770</v>
      </c>
      <c r="W31" s="490">
        <f t="shared" si="4"/>
        <v>2518770</v>
      </c>
      <c r="X31" s="490"/>
      <c r="Y31" s="532"/>
      <c r="Z31" s="430"/>
      <c r="AA31" s="430"/>
      <c r="AB31" s="430"/>
      <c r="AC31" s="430"/>
      <c r="AD31" s="430"/>
      <c r="AE31" s="430"/>
      <c r="AF31" s="430"/>
      <c r="AG31" s="430"/>
      <c r="AH31" s="430"/>
      <c r="AI31" s="430"/>
      <c r="AJ31" s="430"/>
      <c r="AK31" s="430"/>
      <c r="AL31" s="430"/>
      <c r="AM31" s="430"/>
      <c r="AN31" s="430"/>
      <c r="AO31" s="430"/>
      <c r="AP31" s="430"/>
      <c r="AQ31" s="430"/>
      <c r="AR31" s="430"/>
      <c r="AS31" s="430"/>
      <c r="AT31" s="430"/>
      <c r="AU31" s="430"/>
      <c r="AV31" s="430"/>
      <c r="AW31" s="430"/>
      <c r="AX31" s="430"/>
      <c r="AY31" s="430"/>
    </row>
    <row r="32" spans="1:51">
      <c r="A32" s="474" t="s">
        <v>943</v>
      </c>
      <c r="B32" s="442" t="s">
        <v>34</v>
      </c>
      <c r="C32" s="442" t="s">
        <v>944</v>
      </c>
      <c r="D32" s="430"/>
      <c r="E32" s="501"/>
      <c r="F32" s="464"/>
      <c r="G32" s="464"/>
      <c r="H32" s="464"/>
      <c r="I32" s="464"/>
      <c r="J32" s="464"/>
      <c r="K32" s="464"/>
      <c r="L32" s="501">
        <f>SUMPRODUCT('.c12_alloc'!$H$15:$H$20,'.c12_hm_hr'!L$24:L$29)</f>
        <v>154080</v>
      </c>
      <c r="M32" s="501">
        <f>SUMPRODUCT('.c12_alloc'!$H$15:$H$20,'.c12_hm_hr'!M$24:M$29)</f>
        <v>154080</v>
      </c>
      <c r="N32" s="501">
        <f>SUMPRODUCT('.c12_alloc'!$H$15:$H$20,'.c12_hm_hr'!N$24:N$29)</f>
        <v>154080</v>
      </c>
      <c r="O32" s="501">
        <f>SUMPRODUCT('.c12_alloc'!$H$15:$H$20,'.c12_hm_hr'!O$24:O$29)</f>
        <v>367075</v>
      </c>
      <c r="P32" s="501">
        <f>SUMPRODUCT('.c12_alloc'!$H$15:$H$20,'.c12_hm_hr'!P$24:P$29)</f>
        <v>247680</v>
      </c>
      <c r="Q32" s="501">
        <f>SUMPRODUCT('.c12_alloc'!$H$15:$H$20,'.c12_hm_hr'!Q$24:Q$29)</f>
        <v>247680</v>
      </c>
      <c r="R32" s="501">
        <f>SUMPRODUCT('.c12_alloc'!$H$15:$H$20,'.c12_hm_hr'!R$24:R$29)</f>
        <v>290880</v>
      </c>
      <c r="S32" s="501">
        <f>SUMPRODUCT('.c12_alloc'!$H$15:$H$20,'.c12_hm_hr'!S$24:S$29)</f>
        <v>545435</v>
      </c>
      <c r="T32" s="501">
        <f>SUMPRODUCT('.c12_alloc'!$H$15:$H$20,'.c12_hm_hr'!T$24:T$29)</f>
        <v>1423270</v>
      </c>
      <c r="U32" s="501">
        <f>SUMPRODUCT('.c12_alloc'!$H$15:$H$20,'.c12_hm_hr'!U$24:U$29)</f>
        <v>1423270</v>
      </c>
      <c r="V32" s="501">
        <f>SUMPRODUCT('.c12_alloc'!$H$15:$H$20,'.c12_hm_hr'!V$24:V$29)</f>
        <v>1423270</v>
      </c>
      <c r="W32" s="501">
        <f>SUMPRODUCT('.c12_alloc'!$H$15:$H$20,'.c12_hm_hr'!W$24:W$29)</f>
        <v>1423270</v>
      </c>
      <c r="X32" s="430"/>
      <c r="Y32" s="430"/>
      <c r="Z32" s="430"/>
      <c r="AA32" s="430"/>
      <c r="AB32" s="430"/>
      <c r="AC32" s="430"/>
      <c r="AD32" s="430"/>
      <c r="AE32" s="430"/>
      <c r="AF32" s="430"/>
      <c r="AG32" s="430"/>
      <c r="AH32" s="430"/>
      <c r="AI32" s="430"/>
      <c r="AJ32" s="430"/>
      <c r="AK32" s="430"/>
      <c r="AL32" s="430"/>
      <c r="AM32" s="430"/>
      <c r="AN32" s="430"/>
      <c r="AO32" s="430"/>
      <c r="AP32" s="430"/>
      <c r="AQ32" s="430"/>
      <c r="AR32" s="430"/>
      <c r="AS32" s="430"/>
      <c r="AT32" s="430"/>
      <c r="AU32" s="430"/>
      <c r="AV32" s="430"/>
      <c r="AW32" s="430"/>
      <c r="AX32" s="430"/>
      <c r="AY32" s="430"/>
    </row>
    <row r="33" spans="1:51">
      <c r="A33" s="474" t="s">
        <v>945</v>
      </c>
      <c r="B33" s="442" t="s">
        <v>34</v>
      </c>
      <c r="C33" s="442" t="s">
        <v>946</v>
      </c>
      <c r="D33" s="430"/>
      <c r="E33" s="501"/>
      <c r="F33" s="473"/>
      <c r="G33" s="473"/>
      <c r="H33" s="473"/>
      <c r="I33" s="473"/>
      <c r="J33" s="473"/>
      <c r="K33" s="473"/>
      <c r="L33" s="501">
        <f>SUMPRODUCT('.c12_alloc'!$G$15:$G$20,'.c12_hm_hr'!L$24:L$29)</f>
        <v>144000</v>
      </c>
      <c r="M33" s="501">
        <f>SUMPRODUCT('.c12_alloc'!$G$15:$G$20,'.c12_hm_hr'!M$24:M$29)</f>
        <v>144000</v>
      </c>
      <c r="N33" s="501">
        <f>SUMPRODUCT('.c12_alloc'!$G$15:$G$20,'.c12_hm_hr'!N$24:N$29)</f>
        <v>144000</v>
      </c>
      <c r="O33" s="501">
        <f>SUMPRODUCT('.c12_alloc'!$G$15:$G$20,'.c12_hm_hr'!O$24:O$29)</f>
        <v>403750</v>
      </c>
      <c r="P33" s="501">
        <f>SUMPRODUCT('.c12_alloc'!$G$15:$G$20,'.c12_hm_hr'!P$24:P$29)</f>
        <v>144000</v>
      </c>
      <c r="Q33" s="501">
        <f>SUMPRODUCT('.c12_alloc'!$G$15:$G$20,'.c12_hm_hr'!Q$24:Q$29)</f>
        <v>144000</v>
      </c>
      <c r="R33" s="501">
        <f>SUMPRODUCT('.c12_alloc'!$G$15:$G$20,'.c12_hm_hr'!R$24:R$29)</f>
        <v>144000</v>
      </c>
      <c r="S33" s="501">
        <f>SUMPRODUCT('.c12_alloc'!$G$15:$G$20,'.c12_hm_hr'!S$24:S$29)</f>
        <v>403750</v>
      </c>
      <c r="T33" s="501">
        <f>SUMPRODUCT('.c12_alloc'!$G$15:$G$20,'.c12_hm_hr'!T$24:T$29)</f>
        <v>1095500</v>
      </c>
      <c r="U33" s="501">
        <f>SUMPRODUCT('.c12_alloc'!$G$15:$G$20,'.c12_hm_hr'!U$24:U$29)</f>
        <v>1095500</v>
      </c>
      <c r="V33" s="501">
        <f>SUMPRODUCT('.c12_alloc'!$G$15:$G$20,'.c12_hm_hr'!V$24:V$29)</f>
        <v>1095500</v>
      </c>
      <c r="W33" s="501">
        <f>SUMPRODUCT('.c12_alloc'!$G$15:$G$20,'.c12_hm_hr'!W$24:W$29)</f>
        <v>1095500</v>
      </c>
      <c r="X33" s="430"/>
      <c r="Y33" s="430"/>
      <c r="Z33" s="430"/>
      <c r="AA33" s="430"/>
      <c r="AB33" s="430"/>
      <c r="AC33" s="430"/>
      <c r="AD33" s="430"/>
      <c r="AE33" s="430"/>
      <c r="AF33" s="430"/>
      <c r="AG33" s="430"/>
      <c r="AH33" s="430"/>
      <c r="AI33" s="430"/>
      <c r="AJ33" s="430"/>
      <c r="AK33" s="430"/>
      <c r="AL33" s="430"/>
      <c r="AM33" s="430"/>
      <c r="AN33" s="430"/>
      <c r="AO33" s="430"/>
      <c r="AP33" s="430"/>
      <c r="AQ33" s="430"/>
      <c r="AR33" s="430"/>
      <c r="AS33" s="430"/>
      <c r="AT33" s="430"/>
      <c r="AU33" s="430"/>
      <c r="AV33" s="430"/>
      <c r="AW33" s="430"/>
      <c r="AX33" s="430"/>
      <c r="AY33" s="430"/>
    </row>
    <row r="34" spans="1:51">
      <c r="A34" s="474" t="s">
        <v>947</v>
      </c>
      <c r="B34" s="442" t="s">
        <v>34</v>
      </c>
      <c r="C34" s="442" t="s">
        <v>948</v>
      </c>
      <c r="D34" s="430"/>
      <c r="E34" s="501"/>
      <c r="F34" s="464"/>
      <c r="G34" s="464"/>
      <c r="H34" s="464"/>
      <c r="I34" s="464"/>
      <c r="J34" s="464"/>
      <c r="K34" s="464"/>
      <c r="L34" s="501">
        <f>SUMPRODUCT('.c12_alloc'!$E$15:$E$20,'.c12_hm_hr'!L$24:L$29)</f>
        <v>0</v>
      </c>
      <c r="M34" s="501">
        <f>SUMPRODUCT('.c12_alloc'!$E$15:$E$20,'.c12_hm_hr'!M$24:M$29)</f>
        <v>0</v>
      </c>
      <c r="N34" s="501">
        <f>SUMPRODUCT('.c12_alloc'!$E$15:$E$20,'.c12_hm_hr'!N$24:N$29)</f>
        <v>0</v>
      </c>
      <c r="O34" s="501">
        <f>SUMPRODUCT('.c12_alloc'!$E$15:$E$20,'.c12_hm_hr'!O$24:O$29)</f>
        <v>0</v>
      </c>
      <c r="P34" s="501">
        <f>SUMPRODUCT('.c12_alloc'!$E$15:$E$20,'.c12_hm_hr'!P$24:P$29)</f>
        <v>0</v>
      </c>
      <c r="Q34" s="501">
        <f>SUMPRODUCT('.c12_alloc'!$E$15:$E$20,'.c12_hm_hr'!Q$24:Q$29)</f>
        <v>0</v>
      </c>
      <c r="R34" s="501">
        <f>SUMPRODUCT('.c12_alloc'!$E$15:$E$20,'.c12_hm_hr'!R$24:R$29)</f>
        <v>0</v>
      </c>
      <c r="S34" s="501">
        <f>SUMPRODUCT('.c12_alloc'!$E$15:$E$20,'.c12_hm_hr'!S$24:S$29)</f>
        <v>0</v>
      </c>
      <c r="T34" s="501">
        <f>SUMPRODUCT('.c12_alloc'!$E$15:$E$20,'.c12_hm_hr'!T$24:T$29)</f>
        <v>0</v>
      </c>
      <c r="U34" s="501">
        <f>SUMPRODUCT('.c12_alloc'!$E$15:$E$20,'.c12_hm_hr'!U$24:U$29)</f>
        <v>0</v>
      </c>
      <c r="V34" s="501">
        <f>SUMPRODUCT('.c12_alloc'!$E$15:$E$20,'.c12_hm_hr'!V$24:V$29)</f>
        <v>0</v>
      </c>
      <c r="W34" s="501">
        <f>SUMPRODUCT('.c12_alloc'!$E$15:$E$20,'.c12_hm_hr'!W$24:W$29)</f>
        <v>0</v>
      </c>
      <c r="X34" s="430"/>
      <c r="Y34" s="430"/>
      <c r="Z34" s="430"/>
      <c r="AA34" s="430"/>
      <c r="AB34" s="430"/>
      <c r="AC34" s="430"/>
      <c r="AD34" s="430"/>
      <c r="AE34" s="430"/>
      <c r="AF34" s="430"/>
      <c r="AG34" s="430"/>
      <c r="AH34" s="430"/>
      <c r="AI34" s="430"/>
      <c r="AJ34" s="430"/>
      <c r="AK34" s="430"/>
      <c r="AL34" s="430"/>
      <c r="AM34" s="430"/>
      <c r="AN34" s="430"/>
      <c r="AO34" s="430"/>
      <c r="AP34" s="430"/>
      <c r="AQ34" s="430"/>
      <c r="AR34" s="430"/>
      <c r="AS34" s="430"/>
      <c r="AT34" s="430"/>
      <c r="AU34" s="430"/>
      <c r="AV34" s="430"/>
      <c r="AW34" s="430"/>
      <c r="AX34" s="430"/>
      <c r="AY34" s="430"/>
    </row>
    <row r="35" spans="1:51">
      <c r="A35" s="430"/>
      <c r="B35" s="430"/>
      <c r="C35" s="430"/>
      <c r="D35" s="430"/>
      <c r="E35" s="501"/>
      <c r="F35" s="430"/>
      <c r="G35" s="430"/>
      <c r="H35" s="430"/>
      <c r="I35" s="430"/>
      <c r="J35" s="430"/>
      <c r="K35" s="430"/>
      <c r="L35" s="501"/>
      <c r="M35" s="501"/>
      <c r="N35" s="501"/>
      <c r="O35" s="501"/>
      <c r="P35" s="501"/>
      <c r="Q35" s="501"/>
      <c r="R35" s="501"/>
      <c r="S35" s="501"/>
      <c r="T35" s="501"/>
      <c r="U35" s="501"/>
      <c r="V35" s="501"/>
      <c r="W35" s="501"/>
      <c r="X35" s="430"/>
      <c r="Y35" s="430"/>
      <c r="Z35" s="430"/>
      <c r="AA35" s="430"/>
      <c r="AB35" s="430"/>
      <c r="AC35" s="430"/>
      <c r="AD35" s="430"/>
      <c r="AE35" s="430"/>
      <c r="AF35" s="430"/>
      <c r="AG35" s="430"/>
      <c r="AH35" s="430"/>
      <c r="AI35" s="430"/>
      <c r="AJ35" s="430"/>
      <c r="AK35" s="430"/>
      <c r="AL35" s="430"/>
      <c r="AM35" s="430"/>
      <c r="AN35" s="430"/>
      <c r="AO35" s="430"/>
      <c r="AP35" s="430"/>
      <c r="AQ35" s="430"/>
      <c r="AR35" s="430"/>
      <c r="AS35" s="430"/>
      <c r="AT35" s="430"/>
      <c r="AU35" s="430"/>
      <c r="AV35" s="430"/>
      <c r="AW35" s="430"/>
      <c r="AX35" s="430"/>
      <c r="AY35" s="430"/>
    </row>
    <row r="36" spans="1:51">
      <c r="A36" s="430"/>
      <c r="B36" s="430"/>
      <c r="C36" s="430"/>
      <c r="D36" s="430"/>
      <c r="E36" s="430"/>
      <c r="F36" s="490"/>
      <c r="G36" s="490"/>
      <c r="H36" s="490"/>
      <c r="I36" s="490"/>
      <c r="J36" s="490"/>
      <c r="K36" s="490"/>
      <c r="L36" s="430"/>
      <c r="M36" s="430"/>
      <c r="N36" s="430"/>
      <c r="O36" s="430"/>
      <c r="P36" s="430"/>
      <c r="Q36" s="430"/>
      <c r="R36" s="430"/>
      <c r="S36" s="430"/>
      <c r="T36" s="430"/>
      <c r="U36" s="430"/>
      <c r="V36" s="430"/>
      <c r="W36" s="430"/>
      <c r="X36" s="430"/>
      <c r="Y36" s="430"/>
      <c r="Z36" s="430"/>
      <c r="AA36" s="430"/>
      <c r="AB36" s="430"/>
      <c r="AC36" s="430"/>
      <c r="AD36" s="430"/>
      <c r="AE36" s="430"/>
      <c r="AF36" s="430"/>
      <c r="AG36" s="430"/>
      <c r="AH36" s="430"/>
      <c r="AI36" s="430"/>
      <c r="AJ36" s="430"/>
      <c r="AK36" s="430"/>
      <c r="AL36" s="430"/>
      <c r="AM36" s="430"/>
      <c r="AN36" s="430"/>
      <c r="AO36" s="430"/>
      <c r="AP36" s="430"/>
      <c r="AQ36" s="430"/>
      <c r="AR36" s="430"/>
      <c r="AS36" s="430"/>
      <c r="AT36" s="430"/>
      <c r="AU36" s="430"/>
      <c r="AV36" s="430"/>
      <c r="AW36" s="430"/>
      <c r="AX36" s="430"/>
      <c r="AY36" s="430"/>
    </row>
    <row r="37" spans="1:51">
      <c r="A37" s="430"/>
      <c r="B37" s="430"/>
      <c r="C37" s="430"/>
      <c r="D37" s="430"/>
      <c r="E37" s="430"/>
      <c r="F37" s="490"/>
      <c r="G37" s="490"/>
      <c r="H37" s="490"/>
      <c r="I37" s="490"/>
      <c r="J37" s="490"/>
      <c r="K37" s="490"/>
      <c r="L37" s="430"/>
      <c r="M37" s="430"/>
      <c r="N37" s="430"/>
      <c r="O37" s="430"/>
      <c r="P37" s="430"/>
      <c r="Q37" s="430"/>
      <c r="R37" s="430"/>
      <c r="S37" s="430"/>
      <c r="T37" s="430"/>
      <c r="U37" s="430"/>
      <c r="V37" s="430"/>
      <c r="W37" s="430"/>
      <c r="X37" s="430"/>
      <c r="Y37" s="430"/>
      <c r="Z37" s="430"/>
      <c r="AA37" s="430"/>
      <c r="AB37" s="430"/>
      <c r="AC37" s="430"/>
      <c r="AD37" s="430"/>
      <c r="AE37" s="430"/>
      <c r="AF37" s="430"/>
      <c r="AG37" s="430"/>
      <c r="AH37" s="430"/>
      <c r="AI37" s="430"/>
      <c r="AJ37" s="430"/>
      <c r="AK37" s="430"/>
      <c r="AL37" s="430"/>
      <c r="AM37" s="430"/>
      <c r="AN37" s="430"/>
      <c r="AO37" s="430"/>
      <c r="AP37" s="430"/>
      <c r="AQ37" s="430"/>
      <c r="AR37" s="430"/>
      <c r="AS37" s="430"/>
      <c r="AT37" s="430"/>
      <c r="AU37" s="430"/>
      <c r="AV37" s="430"/>
      <c r="AW37" s="430"/>
      <c r="AX37" s="430"/>
      <c r="AY37" s="430"/>
    </row>
    <row r="38" spans="1:51">
      <c r="A38" s="430"/>
      <c r="B38" s="430"/>
      <c r="C38" s="430"/>
      <c r="D38" s="430"/>
      <c r="E38" s="430"/>
      <c r="F38" s="490"/>
      <c r="G38" s="490"/>
      <c r="H38" s="490"/>
      <c r="I38" s="490"/>
      <c r="J38" s="490"/>
      <c r="K38" s="490"/>
      <c r="L38" s="430"/>
      <c r="M38" s="430"/>
      <c r="N38" s="430"/>
      <c r="O38" s="430"/>
      <c r="P38" s="430"/>
      <c r="Q38" s="430"/>
      <c r="R38" s="430"/>
      <c r="S38" s="430"/>
      <c r="T38" s="430"/>
      <c r="U38" s="430"/>
      <c r="V38" s="430"/>
      <c r="W38" s="430"/>
      <c r="X38" s="430"/>
      <c r="Y38" s="430"/>
      <c r="Z38" s="430"/>
      <c r="AA38" s="430"/>
      <c r="AB38" s="430"/>
      <c r="AC38" s="430"/>
      <c r="AD38" s="430"/>
      <c r="AE38" s="430"/>
      <c r="AF38" s="430"/>
      <c r="AG38" s="430"/>
      <c r="AH38" s="430"/>
      <c r="AI38" s="430"/>
      <c r="AJ38" s="430"/>
      <c r="AK38" s="430"/>
      <c r="AL38" s="430"/>
      <c r="AM38" s="430"/>
      <c r="AN38" s="430"/>
      <c r="AO38" s="430"/>
      <c r="AP38" s="430"/>
      <c r="AQ38" s="430"/>
      <c r="AR38" s="430"/>
      <c r="AS38" s="430"/>
      <c r="AT38" s="430"/>
      <c r="AU38" s="430"/>
      <c r="AV38" s="430"/>
      <c r="AW38" s="430"/>
      <c r="AX38" s="430"/>
      <c r="AY38" s="430"/>
    </row>
    <row r="39" spans="1:51">
      <c r="A39" s="430"/>
      <c r="B39" s="430"/>
      <c r="C39" s="430"/>
      <c r="D39" s="430"/>
      <c r="E39" s="430"/>
      <c r="F39" s="490"/>
      <c r="G39" s="490"/>
      <c r="H39" s="490"/>
      <c r="I39" s="490"/>
      <c r="J39" s="490"/>
      <c r="K39" s="490"/>
      <c r="L39" s="430"/>
      <c r="M39" s="430"/>
      <c r="N39" s="430"/>
      <c r="O39" s="430"/>
      <c r="P39" s="430"/>
      <c r="Q39" s="430"/>
      <c r="R39" s="430"/>
      <c r="S39" s="430"/>
      <c r="T39" s="430"/>
      <c r="U39" s="430"/>
      <c r="V39" s="430"/>
      <c r="W39" s="430"/>
      <c r="X39" s="430"/>
      <c r="Y39" s="430"/>
      <c r="Z39" s="430"/>
      <c r="AA39" s="430"/>
      <c r="AB39" s="430"/>
      <c r="AC39" s="430"/>
      <c r="AD39" s="430"/>
      <c r="AE39" s="430"/>
      <c r="AF39" s="430"/>
      <c r="AG39" s="430"/>
      <c r="AH39" s="430"/>
      <c r="AI39" s="430"/>
      <c r="AJ39" s="430"/>
      <c r="AK39" s="430"/>
      <c r="AL39" s="430"/>
      <c r="AM39" s="430"/>
      <c r="AN39" s="430"/>
      <c r="AO39" s="430"/>
      <c r="AP39" s="430"/>
      <c r="AQ39" s="430"/>
      <c r="AR39" s="430"/>
      <c r="AS39" s="430"/>
      <c r="AT39" s="430"/>
      <c r="AU39" s="430"/>
      <c r="AV39" s="430"/>
      <c r="AW39" s="430"/>
      <c r="AX39" s="430"/>
      <c r="AY39" s="430"/>
    </row>
    <row r="40" spans="1:51">
      <c r="A40" s="430"/>
      <c r="B40" s="430"/>
      <c r="C40" s="430"/>
      <c r="D40" s="430"/>
      <c r="E40" s="430"/>
      <c r="F40" s="464"/>
      <c r="G40" s="464"/>
      <c r="H40" s="464"/>
      <c r="I40" s="464"/>
      <c r="J40" s="464"/>
      <c r="K40" s="464"/>
      <c r="L40" s="430"/>
      <c r="M40" s="430"/>
      <c r="N40" s="430"/>
      <c r="O40" s="430"/>
      <c r="P40" s="430"/>
      <c r="Q40" s="430"/>
      <c r="R40" s="430"/>
      <c r="S40" s="430"/>
      <c r="T40" s="430"/>
      <c r="U40" s="430"/>
      <c r="V40" s="430"/>
      <c r="W40" s="430"/>
      <c r="X40" s="430"/>
      <c r="Y40" s="430"/>
      <c r="Z40" s="430"/>
      <c r="AA40" s="430"/>
      <c r="AB40" s="430"/>
      <c r="AC40" s="430"/>
      <c r="AD40" s="430"/>
      <c r="AE40" s="430"/>
      <c r="AF40" s="430"/>
      <c r="AG40" s="430"/>
      <c r="AH40" s="430"/>
      <c r="AI40" s="430"/>
      <c r="AJ40" s="430"/>
      <c r="AK40" s="430"/>
      <c r="AL40" s="430"/>
      <c r="AM40" s="430"/>
      <c r="AN40" s="430"/>
      <c r="AO40" s="430"/>
      <c r="AP40" s="430"/>
      <c r="AQ40" s="430"/>
      <c r="AR40" s="430"/>
      <c r="AS40" s="430"/>
      <c r="AT40" s="430"/>
      <c r="AU40" s="430"/>
      <c r="AV40" s="430"/>
      <c r="AW40" s="430"/>
      <c r="AX40" s="430"/>
      <c r="AY40" s="430"/>
    </row>
    <row r="41" spans="1:51">
      <c r="A41" s="430"/>
      <c r="B41" s="430"/>
      <c r="C41" s="430"/>
      <c r="D41" s="430"/>
      <c r="E41" s="430"/>
      <c r="F41" s="490"/>
      <c r="G41" s="490"/>
      <c r="H41" s="490"/>
      <c r="I41" s="490"/>
      <c r="J41" s="490"/>
      <c r="K41" s="490"/>
      <c r="L41" s="430"/>
      <c r="M41" s="430"/>
      <c r="N41" s="430"/>
      <c r="O41" s="430"/>
      <c r="P41" s="430"/>
      <c r="Q41" s="430"/>
      <c r="R41" s="430"/>
      <c r="S41" s="430"/>
      <c r="T41" s="430"/>
      <c r="U41" s="430"/>
      <c r="V41" s="430"/>
      <c r="W41" s="430"/>
      <c r="X41" s="430"/>
      <c r="Y41" s="430"/>
      <c r="Z41" s="430"/>
      <c r="AA41" s="430"/>
      <c r="AB41" s="430"/>
      <c r="AC41" s="430"/>
      <c r="AD41" s="430"/>
      <c r="AE41" s="430"/>
      <c r="AF41" s="430"/>
      <c r="AG41" s="430"/>
      <c r="AH41" s="430"/>
      <c r="AI41" s="430"/>
      <c r="AJ41" s="430"/>
      <c r="AK41" s="430"/>
      <c r="AL41" s="430"/>
      <c r="AM41" s="430"/>
      <c r="AN41" s="430"/>
      <c r="AO41" s="430"/>
      <c r="AP41" s="430"/>
      <c r="AQ41" s="430"/>
      <c r="AR41" s="430"/>
      <c r="AS41" s="430"/>
      <c r="AT41" s="430"/>
      <c r="AU41" s="430"/>
      <c r="AV41" s="430"/>
      <c r="AW41" s="430"/>
      <c r="AX41" s="430"/>
      <c r="AY41" s="430"/>
    </row>
    <row r="42" spans="1:51">
      <c r="A42" s="430"/>
      <c r="B42" s="430"/>
      <c r="C42" s="430"/>
      <c r="D42" s="430"/>
      <c r="E42" s="430"/>
      <c r="F42" s="490"/>
      <c r="G42" s="490"/>
      <c r="H42" s="490"/>
      <c r="I42" s="490"/>
      <c r="J42" s="490"/>
      <c r="K42" s="490"/>
      <c r="L42" s="430"/>
      <c r="M42" s="430"/>
      <c r="N42" s="430"/>
      <c r="O42" s="430"/>
      <c r="P42" s="430"/>
      <c r="Q42" s="430"/>
      <c r="R42" s="430"/>
      <c r="S42" s="430"/>
      <c r="T42" s="430"/>
      <c r="U42" s="430"/>
      <c r="V42" s="430"/>
      <c r="W42" s="430"/>
      <c r="X42" s="430"/>
      <c r="Y42" s="430"/>
      <c r="Z42" s="430"/>
      <c r="AA42" s="430"/>
      <c r="AB42" s="430"/>
      <c r="AC42" s="430"/>
      <c r="AD42" s="430"/>
      <c r="AE42" s="430"/>
      <c r="AF42" s="430"/>
      <c r="AG42" s="430"/>
      <c r="AH42" s="430"/>
      <c r="AI42" s="430"/>
      <c r="AJ42" s="430"/>
      <c r="AK42" s="430"/>
      <c r="AL42" s="430"/>
      <c r="AM42" s="430"/>
      <c r="AN42" s="430"/>
      <c r="AO42" s="430"/>
      <c r="AP42" s="430"/>
      <c r="AQ42" s="430"/>
      <c r="AR42" s="430"/>
      <c r="AS42" s="430"/>
      <c r="AT42" s="430"/>
      <c r="AU42" s="430"/>
      <c r="AV42" s="430"/>
      <c r="AW42" s="430"/>
      <c r="AX42" s="430"/>
      <c r="AY42" s="430"/>
    </row>
    <row r="43" spans="1:51">
      <c r="A43" s="430"/>
      <c r="B43" s="430"/>
      <c r="C43" s="430"/>
      <c r="D43" s="430"/>
      <c r="E43" s="430"/>
      <c r="F43" s="490"/>
      <c r="G43" s="490"/>
      <c r="H43" s="490"/>
      <c r="I43" s="490"/>
      <c r="J43" s="490"/>
      <c r="K43" s="490"/>
      <c r="L43" s="430"/>
      <c r="M43" s="430"/>
      <c r="N43" s="430"/>
      <c r="O43" s="430"/>
      <c r="P43" s="430"/>
      <c r="Q43" s="430"/>
      <c r="R43" s="430"/>
      <c r="S43" s="430"/>
      <c r="T43" s="430"/>
      <c r="U43" s="430"/>
      <c r="V43" s="430"/>
      <c r="W43" s="430"/>
      <c r="X43" s="430"/>
      <c r="Y43" s="430"/>
      <c r="Z43" s="430"/>
      <c r="AA43" s="430"/>
      <c r="AB43" s="430"/>
      <c r="AC43" s="430"/>
      <c r="AD43" s="430"/>
      <c r="AE43" s="430"/>
      <c r="AF43" s="430"/>
      <c r="AG43" s="430"/>
      <c r="AH43" s="430"/>
      <c r="AI43" s="430"/>
      <c r="AJ43" s="430"/>
      <c r="AK43" s="430"/>
      <c r="AL43" s="430"/>
      <c r="AM43" s="430"/>
      <c r="AN43" s="430"/>
      <c r="AO43" s="430"/>
      <c r="AP43" s="430"/>
      <c r="AQ43" s="430"/>
      <c r="AR43" s="430"/>
      <c r="AS43" s="430"/>
      <c r="AT43" s="430"/>
      <c r="AU43" s="430"/>
      <c r="AV43" s="430"/>
      <c r="AW43" s="430"/>
      <c r="AX43" s="430"/>
      <c r="AY43" s="430"/>
    </row>
    <row r="44" spans="1:51">
      <c r="A44" s="430"/>
      <c r="B44" s="430"/>
      <c r="C44" s="430"/>
      <c r="D44" s="430"/>
      <c r="E44" s="430"/>
      <c r="F44" s="490"/>
      <c r="G44" s="490"/>
      <c r="H44" s="490"/>
      <c r="I44" s="490"/>
      <c r="J44" s="490"/>
      <c r="K44" s="490"/>
      <c r="L44" s="430"/>
      <c r="M44" s="430"/>
      <c r="N44" s="430"/>
      <c r="O44" s="430"/>
      <c r="P44" s="430"/>
      <c r="Q44" s="430"/>
      <c r="R44" s="430"/>
      <c r="S44" s="430"/>
      <c r="T44" s="430"/>
      <c r="U44" s="430"/>
      <c r="V44" s="430"/>
      <c r="W44" s="430"/>
      <c r="X44" s="430"/>
      <c r="Y44" s="430"/>
      <c r="Z44" s="430"/>
      <c r="AA44" s="430"/>
      <c r="AB44" s="430"/>
      <c r="AC44" s="430"/>
      <c r="AD44" s="430"/>
      <c r="AE44" s="430"/>
      <c r="AF44" s="430"/>
      <c r="AG44" s="430"/>
      <c r="AH44" s="430"/>
      <c r="AI44" s="430"/>
      <c r="AJ44" s="430"/>
      <c r="AK44" s="430"/>
      <c r="AL44" s="430"/>
      <c r="AM44" s="430"/>
      <c r="AN44" s="430"/>
      <c r="AO44" s="430"/>
      <c r="AP44" s="430"/>
      <c r="AQ44" s="430"/>
      <c r="AR44" s="430"/>
      <c r="AS44" s="430"/>
      <c r="AT44" s="430"/>
      <c r="AU44" s="430"/>
      <c r="AV44" s="430"/>
      <c r="AW44" s="430"/>
      <c r="AX44" s="430"/>
      <c r="AY44" s="430"/>
    </row>
    <row r="45" spans="1:51">
      <c r="A45" s="430"/>
      <c r="B45" s="430"/>
      <c r="C45" s="430"/>
      <c r="D45" s="430"/>
      <c r="E45" s="430"/>
      <c r="F45" s="490"/>
      <c r="G45" s="490"/>
      <c r="H45" s="490"/>
      <c r="I45" s="490"/>
      <c r="J45" s="490"/>
      <c r="K45" s="490"/>
      <c r="L45" s="430"/>
      <c r="M45" s="430"/>
      <c r="N45" s="430"/>
      <c r="O45" s="430"/>
      <c r="P45" s="430"/>
      <c r="Q45" s="430"/>
      <c r="R45" s="430"/>
      <c r="S45" s="430"/>
      <c r="T45" s="430"/>
      <c r="U45" s="430"/>
      <c r="V45" s="430"/>
      <c r="W45" s="430"/>
      <c r="X45" s="430"/>
      <c r="Y45" s="430"/>
      <c r="Z45" s="430"/>
      <c r="AA45" s="430"/>
      <c r="AB45" s="430"/>
      <c r="AC45" s="430"/>
      <c r="AD45" s="430"/>
      <c r="AE45" s="430"/>
      <c r="AF45" s="430"/>
      <c r="AG45" s="430"/>
      <c r="AH45" s="430"/>
      <c r="AI45" s="430"/>
      <c r="AJ45" s="430"/>
      <c r="AK45" s="430"/>
      <c r="AL45" s="430"/>
      <c r="AM45" s="430"/>
      <c r="AN45" s="430"/>
      <c r="AO45" s="430"/>
      <c r="AP45" s="430"/>
      <c r="AQ45" s="430"/>
      <c r="AR45" s="430"/>
      <c r="AS45" s="430"/>
      <c r="AT45" s="430"/>
      <c r="AU45" s="430"/>
      <c r="AV45" s="430"/>
      <c r="AW45" s="430"/>
      <c r="AX45" s="430"/>
      <c r="AY45" s="430"/>
    </row>
    <row r="46" spans="1:51">
      <c r="A46" s="430"/>
      <c r="B46" s="430"/>
      <c r="C46" s="430"/>
      <c r="D46" s="430"/>
      <c r="E46" s="430"/>
      <c r="F46" s="490"/>
      <c r="G46" s="490"/>
      <c r="H46" s="490"/>
      <c r="I46" s="490"/>
      <c r="J46" s="490"/>
      <c r="K46" s="490"/>
      <c r="L46" s="430"/>
      <c r="M46" s="430"/>
      <c r="N46" s="430"/>
      <c r="O46" s="430"/>
      <c r="P46" s="430"/>
      <c r="Q46" s="430"/>
      <c r="R46" s="430"/>
      <c r="S46" s="430"/>
      <c r="T46" s="430"/>
      <c r="U46" s="430"/>
      <c r="V46" s="430"/>
      <c r="W46" s="430"/>
      <c r="X46" s="430"/>
      <c r="Y46" s="430"/>
      <c r="Z46" s="430"/>
      <c r="AA46" s="430"/>
      <c r="AB46" s="430"/>
      <c r="AC46" s="430"/>
      <c r="AD46" s="430"/>
      <c r="AE46" s="430"/>
      <c r="AF46" s="430"/>
      <c r="AG46" s="430"/>
      <c r="AH46" s="430"/>
      <c r="AI46" s="430"/>
      <c r="AJ46" s="430"/>
      <c r="AK46" s="430"/>
      <c r="AL46" s="430"/>
      <c r="AM46" s="430"/>
      <c r="AN46" s="430"/>
      <c r="AO46" s="430"/>
      <c r="AP46" s="430"/>
      <c r="AQ46" s="430"/>
      <c r="AR46" s="430"/>
      <c r="AS46" s="430"/>
      <c r="AT46" s="430"/>
      <c r="AU46" s="430"/>
      <c r="AV46" s="430"/>
      <c r="AW46" s="430"/>
      <c r="AX46" s="430"/>
      <c r="AY46" s="430"/>
    </row>
    <row r="47" spans="1:51">
      <c r="A47" s="430"/>
      <c r="B47" s="430"/>
      <c r="C47" s="430"/>
      <c r="D47" s="430"/>
      <c r="E47" s="430"/>
      <c r="F47" s="490"/>
      <c r="G47" s="490"/>
      <c r="H47" s="490"/>
      <c r="I47" s="490"/>
      <c r="J47" s="490"/>
      <c r="K47" s="490"/>
      <c r="L47" s="430"/>
      <c r="M47" s="430"/>
      <c r="N47" s="430"/>
      <c r="O47" s="430"/>
      <c r="P47" s="430"/>
      <c r="Q47" s="430"/>
      <c r="R47" s="430"/>
      <c r="S47" s="430"/>
      <c r="T47" s="430"/>
      <c r="U47" s="430"/>
      <c r="V47" s="430"/>
      <c r="W47" s="430"/>
      <c r="X47" s="430"/>
      <c r="Y47" s="430"/>
      <c r="Z47" s="430"/>
      <c r="AA47" s="430"/>
      <c r="AB47" s="430"/>
      <c r="AC47" s="430"/>
      <c r="AD47" s="430"/>
      <c r="AE47" s="430"/>
      <c r="AF47" s="430"/>
      <c r="AG47" s="430"/>
      <c r="AH47" s="430"/>
      <c r="AI47" s="430"/>
      <c r="AJ47" s="430"/>
      <c r="AK47" s="430"/>
      <c r="AL47" s="430"/>
      <c r="AM47" s="430"/>
      <c r="AN47" s="430"/>
      <c r="AO47" s="430"/>
      <c r="AP47" s="430"/>
      <c r="AQ47" s="430"/>
      <c r="AR47" s="430"/>
      <c r="AS47" s="430"/>
      <c r="AT47" s="430"/>
      <c r="AU47" s="430"/>
      <c r="AV47" s="430"/>
      <c r="AW47" s="430"/>
      <c r="AX47" s="430"/>
      <c r="AY47" s="430"/>
    </row>
    <row r="48" spans="1:51">
      <c r="A48" s="430"/>
      <c r="B48" s="430"/>
      <c r="C48" s="430"/>
      <c r="D48" s="430"/>
      <c r="E48" s="430"/>
      <c r="F48" s="501"/>
      <c r="G48" s="501"/>
      <c r="H48" s="501"/>
      <c r="I48" s="501"/>
      <c r="J48" s="501"/>
      <c r="K48" s="501"/>
      <c r="L48" s="430"/>
      <c r="M48" s="430"/>
      <c r="N48" s="430"/>
      <c r="O48" s="430"/>
      <c r="P48" s="430"/>
      <c r="Q48" s="430"/>
      <c r="R48" s="430"/>
      <c r="S48" s="430"/>
      <c r="T48" s="430"/>
      <c r="U48" s="430"/>
      <c r="V48" s="430"/>
      <c r="W48" s="430"/>
      <c r="X48" s="430"/>
      <c r="Y48" s="430"/>
      <c r="Z48" s="430"/>
      <c r="AA48" s="430"/>
      <c r="AB48" s="430"/>
      <c r="AC48" s="430"/>
      <c r="AD48" s="430"/>
      <c r="AE48" s="430"/>
      <c r="AF48" s="430"/>
      <c r="AG48" s="430"/>
      <c r="AH48" s="430"/>
      <c r="AI48" s="430"/>
      <c r="AJ48" s="430"/>
      <c r="AK48" s="430"/>
      <c r="AL48" s="430"/>
      <c r="AM48" s="430"/>
      <c r="AN48" s="430"/>
      <c r="AO48" s="430"/>
      <c r="AP48" s="430"/>
      <c r="AQ48" s="430"/>
      <c r="AR48" s="430"/>
      <c r="AS48" s="430"/>
      <c r="AT48" s="430"/>
      <c r="AU48" s="430"/>
      <c r="AV48" s="430"/>
      <c r="AW48" s="430"/>
      <c r="AX48" s="430"/>
      <c r="AY48" s="430"/>
    </row>
    <row r="49" spans="1:51">
      <c r="A49" s="430"/>
      <c r="B49" s="430"/>
      <c r="C49" s="430"/>
      <c r="D49" s="430"/>
      <c r="E49" s="430"/>
      <c r="F49" s="501"/>
      <c r="G49" s="501"/>
      <c r="H49" s="501"/>
      <c r="I49" s="501"/>
      <c r="J49" s="501"/>
      <c r="K49" s="501"/>
      <c r="L49" s="430"/>
      <c r="M49" s="430"/>
      <c r="N49" s="430"/>
      <c r="O49" s="430"/>
      <c r="P49" s="430"/>
      <c r="Q49" s="430"/>
      <c r="R49" s="430"/>
      <c r="S49" s="430"/>
      <c r="T49" s="430"/>
      <c r="U49" s="430"/>
      <c r="V49" s="430"/>
      <c r="W49" s="430"/>
      <c r="X49" s="430"/>
      <c r="Y49" s="430"/>
      <c r="Z49" s="430"/>
      <c r="AA49" s="430"/>
      <c r="AB49" s="430"/>
      <c r="AC49" s="430"/>
      <c r="AD49" s="430"/>
      <c r="AE49" s="430"/>
      <c r="AF49" s="430"/>
      <c r="AG49" s="430"/>
      <c r="AH49" s="430"/>
      <c r="AI49" s="430"/>
      <c r="AJ49" s="430"/>
      <c r="AK49" s="430"/>
      <c r="AL49" s="430"/>
      <c r="AM49" s="430"/>
      <c r="AN49" s="430"/>
      <c r="AO49" s="430"/>
      <c r="AP49" s="430"/>
      <c r="AQ49" s="430"/>
      <c r="AR49" s="430"/>
      <c r="AS49" s="430"/>
      <c r="AT49" s="430"/>
      <c r="AU49" s="430"/>
      <c r="AV49" s="430"/>
      <c r="AW49" s="430"/>
      <c r="AX49" s="430"/>
      <c r="AY49" s="430"/>
    </row>
    <row r="50" spans="1:51">
      <c r="A50" s="430"/>
      <c r="B50" s="430"/>
      <c r="C50" s="430"/>
      <c r="D50" s="430"/>
      <c r="E50" s="430"/>
      <c r="F50" s="501"/>
      <c r="G50" s="501"/>
      <c r="H50" s="501"/>
      <c r="I50" s="501"/>
      <c r="J50" s="501"/>
      <c r="K50" s="501"/>
      <c r="L50" s="430"/>
      <c r="M50" s="430"/>
      <c r="N50" s="430"/>
      <c r="O50" s="430"/>
      <c r="P50" s="430"/>
      <c r="Q50" s="430"/>
      <c r="R50" s="430"/>
      <c r="S50" s="430"/>
      <c r="T50" s="430"/>
      <c r="U50" s="430"/>
      <c r="V50" s="430"/>
      <c r="W50" s="430"/>
      <c r="X50" s="430"/>
      <c r="Y50" s="430"/>
      <c r="Z50" s="430"/>
      <c r="AA50" s="430"/>
      <c r="AB50" s="430"/>
      <c r="AC50" s="430"/>
      <c r="AD50" s="430"/>
      <c r="AE50" s="430"/>
      <c r="AF50" s="430"/>
      <c r="AG50" s="430"/>
      <c r="AH50" s="430"/>
      <c r="AI50" s="430"/>
      <c r="AJ50" s="430"/>
      <c r="AK50" s="430"/>
      <c r="AL50" s="430"/>
      <c r="AM50" s="430"/>
      <c r="AN50" s="430"/>
      <c r="AO50" s="430"/>
      <c r="AP50" s="430"/>
      <c r="AQ50" s="430"/>
      <c r="AR50" s="430"/>
      <c r="AS50" s="430"/>
      <c r="AT50" s="430"/>
      <c r="AU50" s="430"/>
      <c r="AV50" s="430"/>
      <c r="AW50" s="430"/>
      <c r="AX50" s="430"/>
      <c r="AY50" s="430"/>
    </row>
    <row r="51" spans="1:51">
      <c r="A51" s="430"/>
      <c r="B51" s="430"/>
      <c r="C51" s="430"/>
      <c r="D51" s="430"/>
      <c r="E51" s="430"/>
      <c r="F51" s="501"/>
      <c r="G51" s="501"/>
      <c r="H51" s="501"/>
      <c r="I51" s="501"/>
      <c r="J51" s="501"/>
      <c r="K51" s="501"/>
      <c r="L51" s="430"/>
      <c r="M51" s="430"/>
      <c r="N51" s="430"/>
      <c r="O51" s="430"/>
      <c r="P51" s="430"/>
      <c r="Q51" s="430"/>
      <c r="R51" s="430"/>
      <c r="S51" s="430"/>
      <c r="T51" s="430"/>
      <c r="U51" s="430"/>
      <c r="V51" s="430"/>
      <c r="W51" s="430"/>
      <c r="X51" s="430"/>
      <c r="Y51" s="430"/>
      <c r="Z51" s="430"/>
      <c r="AA51" s="430"/>
      <c r="AB51" s="430"/>
      <c r="AC51" s="430"/>
      <c r="AD51" s="430"/>
      <c r="AE51" s="430"/>
      <c r="AF51" s="430"/>
      <c r="AG51" s="430"/>
      <c r="AH51" s="430"/>
      <c r="AI51" s="430"/>
      <c r="AJ51" s="430"/>
      <c r="AK51" s="430"/>
      <c r="AL51" s="430"/>
      <c r="AM51" s="430"/>
      <c r="AN51" s="430"/>
      <c r="AO51" s="430"/>
      <c r="AP51" s="430"/>
      <c r="AQ51" s="430"/>
      <c r="AR51" s="430"/>
      <c r="AS51" s="430"/>
      <c r="AT51" s="430"/>
      <c r="AU51" s="430"/>
      <c r="AV51" s="430"/>
      <c r="AW51" s="430"/>
      <c r="AX51" s="430"/>
      <c r="AY51" s="430"/>
    </row>
    <row r="52" spans="1:51">
      <c r="A52" s="430"/>
      <c r="B52" s="430"/>
      <c r="C52" s="430"/>
      <c r="D52" s="430"/>
      <c r="E52" s="430"/>
      <c r="F52" s="501"/>
      <c r="G52" s="501"/>
      <c r="H52" s="501"/>
      <c r="I52" s="501"/>
      <c r="J52" s="501"/>
      <c r="K52" s="501"/>
      <c r="L52" s="430"/>
      <c r="M52" s="430"/>
      <c r="N52" s="430"/>
      <c r="O52" s="430"/>
      <c r="P52" s="430"/>
      <c r="Q52" s="430"/>
      <c r="R52" s="430"/>
      <c r="S52" s="430"/>
      <c r="T52" s="430"/>
      <c r="U52" s="430"/>
      <c r="V52" s="430"/>
      <c r="W52" s="430"/>
      <c r="X52" s="430"/>
      <c r="Y52" s="430"/>
      <c r="Z52" s="430"/>
      <c r="AA52" s="430"/>
      <c r="AB52" s="430"/>
      <c r="AC52" s="430"/>
      <c r="AD52" s="430"/>
      <c r="AE52" s="430"/>
      <c r="AF52" s="430"/>
      <c r="AG52" s="430"/>
      <c r="AH52" s="430"/>
      <c r="AI52" s="430"/>
      <c r="AJ52" s="430"/>
      <c r="AK52" s="430"/>
      <c r="AL52" s="430"/>
      <c r="AM52" s="430"/>
      <c r="AN52" s="430"/>
      <c r="AO52" s="430"/>
      <c r="AP52" s="430"/>
      <c r="AQ52" s="430"/>
      <c r="AR52" s="430"/>
      <c r="AS52" s="430"/>
      <c r="AT52" s="430"/>
      <c r="AU52" s="430"/>
      <c r="AV52" s="430"/>
      <c r="AW52" s="430"/>
      <c r="AX52" s="430"/>
      <c r="AY52" s="430"/>
    </row>
    <row r="53" spans="1:51">
      <c r="A53" s="430"/>
      <c r="B53" s="430"/>
      <c r="C53" s="430"/>
      <c r="D53" s="430"/>
      <c r="E53" s="430"/>
      <c r="F53" s="430"/>
      <c r="G53" s="430"/>
      <c r="H53" s="430"/>
      <c r="I53" s="430"/>
      <c r="J53" s="430"/>
      <c r="K53" s="430"/>
      <c r="L53" s="430"/>
      <c r="M53" s="430"/>
      <c r="N53" s="430"/>
      <c r="O53" s="430"/>
      <c r="P53" s="430"/>
      <c r="Q53" s="430"/>
      <c r="R53" s="430"/>
      <c r="S53" s="430"/>
      <c r="T53" s="430"/>
      <c r="U53" s="430"/>
      <c r="V53" s="430"/>
      <c r="W53" s="430"/>
      <c r="X53" s="430"/>
      <c r="Y53" s="430"/>
      <c r="Z53" s="430"/>
      <c r="AA53" s="430"/>
      <c r="AB53" s="430"/>
      <c r="AC53" s="430"/>
      <c r="AD53" s="430"/>
      <c r="AE53" s="430"/>
      <c r="AF53" s="430"/>
      <c r="AG53" s="430"/>
      <c r="AH53" s="430"/>
      <c r="AI53" s="430"/>
      <c r="AJ53" s="430"/>
      <c r="AK53" s="430"/>
      <c r="AL53" s="430"/>
      <c r="AM53" s="430"/>
      <c r="AN53" s="430"/>
      <c r="AO53" s="430"/>
      <c r="AP53" s="430"/>
      <c r="AQ53" s="430"/>
      <c r="AR53" s="430"/>
      <c r="AS53" s="430"/>
      <c r="AT53" s="430"/>
      <c r="AU53" s="430"/>
      <c r="AV53" s="430"/>
      <c r="AW53" s="430"/>
      <c r="AX53" s="430"/>
      <c r="AY53" s="430"/>
    </row>
    <row r="54" spans="1:51">
      <c r="A54" s="430"/>
      <c r="B54" s="430"/>
      <c r="C54" s="430"/>
      <c r="D54" s="430"/>
      <c r="E54" s="430"/>
      <c r="F54" s="430"/>
      <c r="G54" s="430"/>
      <c r="H54" s="430"/>
      <c r="I54" s="430"/>
      <c r="J54" s="430"/>
      <c r="K54" s="430"/>
      <c r="L54" s="430"/>
      <c r="M54" s="430"/>
      <c r="N54" s="430"/>
      <c r="O54" s="430"/>
      <c r="P54" s="430"/>
      <c r="Q54" s="430"/>
      <c r="R54" s="430"/>
      <c r="S54" s="430"/>
      <c r="T54" s="430"/>
      <c r="U54" s="430"/>
      <c r="V54" s="430"/>
      <c r="W54" s="430"/>
      <c r="X54" s="430"/>
      <c r="Y54" s="430"/>
      <c r="Z54" s="430"/>
      <c r="AA54" s="430"/>
      <c r="AB54" s="430"/>
      <c r="AC54" s="430"/>
      <c r="AD54" s="430"/>
      <c r="AE54" s="430"/>
      <c r="AF54" s="430"/>
      <c r="AG54" s="430"/>
      <c r="AH54" s="430"/>
      <c r="AI54" s="430"/>
      <c r="AJ54" s="430"/>
      <c r="AK54" s="430"/>
      <c r="AL54" s="430"/>
      <c r="AM54" s="430"/>
      <c r="AN54" s="430"/>
      <c r="AO54" s="430"/>
      <c r="AP54" s="430"/>
      <c r="AQ54" s="430"/>
      <c r="AR54" s="430"/>
      <c r="AS54" s="430"/>
      <c r="AT54" s="430"/>
      <c r="AU54" s="430"/>
      <c r="AV54" s="430"/>
      <c r="AW54" s="430"/>
      <c r="AX54" s="430"/>
      <c r="AY54" s="430"/>
    </row>
    <row r="55" spans="1:51">
      <c r="A55" s="430"/>
      <c r="B55" s="430"/>
      <c r="C55" s="430"/>
      <c r="D55" s="430"/>
      <c r="E55" s="430"/>
      <c r="F55" s="430"/>
      <c r="G55" s="430"/>
      <c r="H55" s="430"/>
      <c r="I55" s="430"/>
      <c r="J55" s="430"/>
      <c r="K55" s="430"/>
      <c r="L55" s="430"/>
      <c r="M55" s="430"/>
      <c r="N55" s="430"/>
      <c r="O55" s="430"/>
      <c r="P55" s="430"/>
      <c r="Q55" s="430"/>
      <c r="R55" s="430"/>
      <c r="S55" s="430"/>
      <c r="T55" s="430"/>
      <c r="U55" s="430"/>
      <c r="V55" s="430"/>
      <c r="W55" s="430"/>
      <c r="X55" s="430"/>
      <c r="Y55" s="430"/>
      <c r="Z55" s="430"/>
      <c r="AA55" s="430"/>
      <c r="AB55" s="430"/>
      <c r="AC55" s="430"/>
      <c r="AD55" s="430"/>
      <c r="AE55" s="430"/>
      <c r="AF55" s="430"/>
      <c r="AG55" s="430"/>
      <c r="AH55" s="430"/>
      <c r="AI55" s="430"/>
      <c r="AJ55" s="430"/>
      <c r="AK55" s="430"/>
      <c r="AL55" s="430"/>
      <c r="AM55" s="430"/>
      <c r="AN55" s="430"/>
      <c r="AO55" s="430"/>
      <c r="AP55" s="430"/>
      <c r="AQ55" s="430"/>
      <c r="AR55" s="430"/>
      <c r="AS55" s="430"/>
      <c r="AT55" s="430"/>
      <c r="AU55" s="430"/>
      <c r="AV55" s="430"/>
      <c r="AW55" s="430"/>
      <c r="AX55" s="430"/>
      <c r="AY55" s="430"/>
    </row>
    <row r="56" spans="1:51">
      <c r="A56" s="430"/>
      <c r="B56" s="430"/>
      <c r="C56" s="430"/>
      <c r="D56" s="430"/>
      <c r="E56" s="430"/>
      <c r="F56" s="430"/>
      <c r="G56" s="430"/>
      <c r="H56" s="430"/>
      <c r="I56" s="430"/>
      <c r="J56" s="430"/>
      <c r="K56" s="430"/>
      <c r="L56" s="430"/>
      <c r="M56" s="430"/>
      <c r="N56" s="430"/>
      <c r="O56" s="430"/>
      <c r="P56" s="430"/>
      <c r="Q56" s="430"/>
      <c r="R56" s="430"/>
      <c r="S56" s="430"/>
      <c r="T56" s="430"/>
      <c r="U56" s="430"/>
      <c r="V56" s="430"/>
      <c r="W56" s="430"/>
      <c r="X56" s="430"/>
      <c r="Y56" s="430"/>
      <c r="Z56" s="430"/>
      <c r="AA56" s="430"/>
      <c r="AB56" s="430"/>
      <c r="AC56" s="430"/>
      <c r="AD56" s="430"/>
      <c r="AE56" s="430"/>
      <c r="AF56" s="430"/>
      <c r="AG56" s="430"/>
      <c r="AH56" s="430"/>
      <c r="AI56" s="430"/>
      <c r="AJ56" s="430"/>
      <c r="AK56" s="430"/>
      <c r="AL56" s="430"/>
      <c r="AM56" s="430"/>
      <c r="AN56" s="430"/>
      <c r="AO56" s="430"/>
      <c r="AP56" s="430"/>
      <c r="AQ56" s="430"/>
      <c r="AR56" s="430"/>
      <c r="AS56" s="430"/>
      <c r="AT56" s="430"/>
      <c r="AU56" s="430"/>
      <c r="AV56" s="430"/>
      <c r="AW56" s="430"/>
      <c r="AX56" s="430"/>
      <c r="AY56" s="430"/>
    </row>
    <row r="57" spans="1:51">
      <c r="A57" s="430"/>
      <c r="B57" s="430"/>
      <c r="C57" s="430"/>
      <c r="D57" s="430"/>
      <c r="E57" s="430"/>
      <c r="F57" s="430"/>
      <c r="G57" s="430"/>
      <c r="H57" s="430"/>
      <c r="I57" s="430"/>
      <c r="J57" s="430"/>
      <c r="K57" s="430"/>
      <c r="L57" s="430"/>
      <c r="M57" s="430"/>
      <c r="N57" s="430"/>
      <c r="O57" s="430"/>
      <c r="P57" s="430"/>
      <c r="Q57" s="430"/>
      <c r="R57" s="430"/>
      <c r="S57" s="430"/>
      <c r="T57" s="430"/>
      <c r="U57" s="430"/>
      <c r="V57" s="430"/>
      <c r="W57" s="430"/>
      <c r="X57" s="430"/>
      <c r="Y57" s="430"/>
      <c r="Z57" s="430"/>
      <c r="AA57" s="430"/>
      <c r="AB57" s="430"/>
      <c r="AC57" s="430"/>
      <c r="AD57" s="430"/>
      <c r="AE57" s="430"/>
      <c r="AF57" s="430"/>
      <c r="AG57" s="430"/>
      <c r="AH57" s="430"/>
      <c r="AI57" s="430"/>
      <c r="AJ57" s="430"/>
      <c r="AK57" s="430"/>
      <c r="AL57" s="430"/>
      <c r="AM57" s="430"/>
      <c r="AN57" s="430"/>
      <c r="AO57" s="430"/>
      <c r="AP57" s="430"/>
      <c r="AQ57" s="430"/>
      <c r="AR57" s="430"/>
      <c r="AS57" s="430"/>
      <c r="AT57" s="430"/>
      <c r="AU57" s="430"/>
      <c r="AV57" s="430"/>
      <c r="AW57" s="430"/>
      <c r="AX57" s="430"/>
      <c r="AY57" s="430"/>
    </row>
    <row r="58" spans="1:51">
      <c r="A58" s="430"/>
      <c r="B58" s="430"/>
      <c r="C58" s="430"/>
      <c r="D58" s="430"/>
      <c r="E58" s="430"/>
      <c r="F58" s="430"/>
      <c r="G58" s="430"/>
      <c r="H58" s="430"/>
      <c r="I58" s="430"/>
      <c r="J58" s="430"/>
      <c r="K58" s="430"/>
      <c r="L58" s="430"/>
      <c r="M58" s="430"/>
      <c r="N58" s="430"/>
      <c r="O58" s="430"/>
      <c r="P58" s="430"/>
      <c r="Q58" s="430"/>
      <c r="R58" s="430"/>
      <c r="S58" s="430"/>
      <c r="T58" s="430"/>
      <c r="U58" s="430"/>
      <c r="V58" s="430"/>
      <c r="W58" s="430"/>
      <c r="X58" s="430"/>
      <c r="Y58" s="430"/>
      <c r="Z58" s="430"/>
      <c r="AA58" s="430"/>
      <c r="AB58" s="430"/>
      <c r="AC58" s="430"/>
      <c r="AD58" s="430"/>
      <c r="AE58" s="430"/>
      <c r="AF58" s="430"/>
      <c r="AG58" s="430"/>
      <c r="AH58" s="430"/>
      <c r="AI58" s="430"/>
      <c r="AJ58" s="430"/>
      <c r="AK58" s="430"/>
      <c r="AL58" s="430"/>
      <c r="AM58" s="430"/>
      <c r="AN58" s="430"/>
      <c r="AO58" s="430"/>
      <c r="AP58" s="430"/>
      <c r="AQ58" s="430"/>
      <c r="AR58" s="430"/>
      <c r="AS58" s="430"/>
      <c r="AT58" s="430"/>
      <c r="AU58" s="430"/>
      <c r="AV58" s="430"/>
      <c r="AW58" s="430"/>
      <c r="AX58" s="430"/>
      <c r="AY58" s="430"/>
    </row>
    <row r="59" spans="1:51">
      <c r="A59" s="430"/>
      <c r="B59" s="430"/>
      <c r="C59" s="430"/>
      <c r="D59" s="430"/>
      <c r="E59" s="430"/>
      <c r="F59" s="430"/>
      <c r="G59" s="430"/>
      <c r="H59" s="430"/>
      <c r="I59" s="430"/>
      <c r="J59" s="430"/>
      <c r="K59" s="430"/>
      <c r="L59" s="430"/>
      <c r="M59" s="430"/>
      <c r="N59" s="430"/>
      <c r="O59" s="430"/>
      <c r="P59" s="430"/>
      <c r="Q59" s="430"/>
      <c r="R59" s="430"/>
      <c r="S59" s="430"/>
      <c r="T59" s="430"/>
      <c r="U59" s="430"/>
      <c r="V59" s="430"/>
      <c r="W59" s="430"/>
      <c r="X59" s="430"/>
      <c r="Y59" s="430"/>
      <c r="Z59" s="430"/>
      <c r="AA59" s="430"/>
      <c r="AB59" s="430"/>
      <c r="AC59" s="430"/>
      <c r="AD59" s="430"/>
      <c r="AE59" s="430"/>
      <c r="AF59" s="430"/>
      <c r="AG59" s="430"/>
      <c r="AH59" s="430"/>
      <c r="AI59" s="430"/>
      <c r="AJ59" s="430"/>
      <c r="AK59" s="430"/>
      <c r="AL59" s="430"/>
      <c r="AM59" s="430"/>
      <c r="AN59" s="430"/>
      <c r="AO59" s="430"/>
      <c r="AP59" s="430"/>
      <c r="AQ59" s="430"/>
      <c r="AR59" s="430"/>
      <c r="AS59" s="430"/>
      <c r="AT59" s="430"/>
      <c r="AU59" s="430"/>
      <c r="AV59" s="430"/>
      <c r="AW59" s="430"/>
      <c r="AX59" s="430"/>
      <c r="AY59" s="430"/>
    </row>
    <row r="60" spans="1:51">
      <c r="A60" s="430"/>
      <c r="B60" s="430"/>
      <c r="C60" s="430"/>
      <c r="D60" s="430"/>
      <c r="E60" s="430"/>
      <c r="F60" s="430"/>
      <c r="G60" s="430"/>
      <c r="H60" s="430"/>
      <c r="I60" s="430"/>
      <c r="J60" s="430"/>
      <c r="K60" s="430"/>
      <c r="L60" s="430"/>
      <c r="M60" s="430"/>
      <c r="N60" s="430"/>
      <c r="O60" s="430"/>
      <c r="P60" s="430"/>
      <c r="Q60" s="430"/>
      <c r="R60" s="430"/>
      <c r="S60" s="430"/>
      <c r="T60" s="430"/>
      <c r="U60" s="430"/>
      <c r="V60" s="430"/>
      <c r="W60" s="430"/>
      <c r="X60" s="430"/>
      <c r="Y60" s="430"/>
      <c r="Z60" s="430"/>
      <c r="AA60" s="430"/>
      <c r="AB60" s="430"/>
      <c r="AC60" s="430"/>
      <c r="AD60" s="430"/>
      <c r="AE60" s="430"/>
      <c r="AF60" s="430"/>
      <c r="AG60" s="430"/>
      <c r="AH60" s="430"/>
      <c r="AI60" s="430"/>
      <c r="AJ60" s="430"/>
      <c r="AK60" s="430"/>
      <c r="AL60" s="430"/>
      <c r="AM60" s="430"/>
      <c r="AN60" s="430"/>
      <c r="AO60" s="430"/>
      <c r="AP60" s="430"/>
      <c r="AQ60" s="430"/>
      <c r="AR60" s="430"/>
      <c r="AS60" s="430"/>
      <c r="AT60" s="430"/>
      <c r="AU60" s="430"/>
      <c r="AV60" s="430"/>
      <c r="AW60" s="430"/>
      <c r="AX60" s="430"/>
      <c r="AY60" s="430"/>
    </row>
    <row r="61" spans="1:51">
      <c r="A61" s="430"/>
      <c r="B61" s="430"/>
      <c r="C61" s="430"/>
      <c r="D61" s="430"/>
      <c r="E61" s="430"/>
      <c r="F61" s="430"/>
      <c r="G61" s="430"/>
      <c r="H61" s="430"/>
      <c r="I61" s="430"/>
      <c r="J61" s="430"/>
      <c r="K61" s="430"/>
      <c r="L61" s="430"/>
      <c r="M61" s="430"/>
      <c r="N61" s="430"/>
      <c r="O61" s="430"/>
      <c r="P61" s="430"/>
      <c r="Q61" s="430"/>
      <c r="R61" s="430"/>
      <c r="S61" s="430"/>
      <c r="T61" s="430"/>
      <c r="U61" s="430"/>
      <c r="V61" s="430"/>
      <c r="W61" s="430"/>
      <c r="X61" s="430"/>
      <c r="Y61" s="430"/>
      <c r="Z61" s="430"/>
      <c r="AA61" s="430"/>
      <c r="AB61" s="430"/>
      <c r="AC61" s="430"/>
      <c r="AD61" s="430"/>
      <c r="AE61" s="430"/>
      <c r="AF61" s="430"/>
      <c r="AG61" s="430"/>
      <c r="AH61" s="430"/>
      <c r="AI61" s="430"/>
      <c r="AJ61" s="430"/>
      <c r="AK61" s="430"/>
      <c r="AL61" s="430"/>
      <c r="AM61" s="430"/>
      <c r="AN61" s="430"/>
      <c r="AO61" s="430"/>
      <c r="AP61" s="430"/>
      <c r="AQ61" s="430"/>
      <c r="AR61" s="430"/>
      <c r="AS61" s="430"/>
      <c r="AT61" s="430"/>
      <c r="AU61" s="430"/>
      <c r="AV61" s="430"/>
      <c r="AW61" s="430"/>
      <c r="AX61" s="430"/>
      <c r="AY61" s="430"/>
    </row>
    <row r="62" spans="1:51">
      <c r="A62" s="430"/>
      <c r="B62" s="430"/>
      <c r="C62" s="430"/>
      <c r="D62" s="430"/>
      <c r="E62" s="430"/>
      <c r="F62" s="430"/>
      <c r="G62" s="430"/>
      <c r="H62" s="430"/>
      <c r="I62" s="430"/>
      <c r="J62" s="430"/>
      <c r="K62" s="430"/>
      <c r="L62" s="430"/>
      <c r="M62" s="430"/>
      <c r="N62" s="430"/>
      <c r="O62" s="430"/>
      <c r="P62" s="430"/>
      <c r="Q62" s="430"/>
      <c r="R62" s="430"/>
      <c r="S62" s="430"/>
      <c r="T62" s="430"/>
      <c r="U62" s="430"/>
      <c r="V62" s="430"/>
      <c r="W62" s="430"/>
      <c r="X62" s="430"/>
      <c r="Y62" s="430"/>
      <c r="Z62" s="430"/>
      <c r="AA62" s="430"/>
      <c r="AB62" s="430"/>
      <c r="AC62" s="430"/>
      <c r="AD62" s="430"/>
      <c r="AE62" s="430"/>
      <c r="AF62" s="430"/>
      <c r="AG62" s="430"/>
      <c r="AH62" s="430"/>
      <c r="AI62" s="430"/>
      <c r="AJ62" s="430"/>
      <c r="AK62" s="430"/>
      <c r="AL62" s="430"/>
      <c r="AM62" s="430"/>
      <c r="AN62" s="430"/>
      <c r="AO62" s="430"/>
      <c r="AP62" s="430"/>
      <c r="AQ62" s="430"/>
      <c r="AR62" s="430"/>
      <c r="AS62" s="430"/>
      <c r="AT62" s="430"/>
      <c r="AU62" s="430"/>
      <c r="AV62" s="430"/>
      <c r="AW62" s="430"/>
      <c r="AX62" s="430"/>
      <c r="AY62" s="430"/>
    </row>
    <row r="63" spans="1:51">
      <c r="A63" s="430"/>
      <c r="B63" s="430"/>
      <c r="C63" s="430"/>
      <c r="D63" s="430"/>
      <c r="E63" s="430"/>
      <c r="F63" s="430"/>
      <c r="G63" s="430"/>
      <c r="H63" s="430"/>
      <c r="I63" s="430"/>
      <c r="J63" s="430"/>
      <c r="K63" s="430"/>
      <c r="L63" s="430"/>
      <c r="M63" s="430"/>
      <c r="N63" s="430"/>
      <c r="O63" s="430"/>
      <c r="P63" s="430"/>
      <c r="Q63" s="430"/>
      <c r="R63" s="430"/>
      <c r="S63" s="430"/>
      <c r="T63" s="430"/>
      <c r="U63" s="430"/>
      <c r="V63" s="430"/>
      <c r="W63" s="430"/>
      <c r="X63" s="430"/>
      <c r="Y63" s="430"/>
      <c r="Z63" s="430"/>
      <c r="AA63" s="430"/>
      <c r="AB63" s="430"/>
      <c r="AC63" s="430"/>
      <c r="AD63" s="430"/>
      <c r="AE63" s="430"/>
      <c r="AF63" s="430"/>
      <c r="AG63" s="430"/>
      <c r="AH63" s="430"/>
      <c r="AI63" s="430"/>
      <c r="AJ63" s="430"/>
      <c r="AK63" s="430"/>
      <c r="AL63" s="430"/>
      <c r="AM63" s="430"/>
      <c r="AN63" s="430"/>
      <c r="AO63" s="430"/>
      <c r="AP63" s="430"/>
      <c r="AQ63" s="430"/>
      <c r="AR63" s="430"/>
      <c r="AS63" s="430"/>
      <c r="AT63" s="430"/>
      <c r="AU63" s="430"/>
      <c r="AV63" s="430"/>
      <c r="AW63" s="430"/>
      <c r="AX63" s="430"/>
      <c r="AY63" s="430"/>
    </row>
    <row r="64" spans="1:51">
      <c r="A64" s="430"/>
      <c r="B64" s="430"/>
      <c r="C64" s="430"/>
      <c r="D64" s="430"/>
      <c r="E64" s="430"/>
      <c r="F64" s="430"/>
      <c r="G64" s="430"/>
      <c r="H64" s="430"/>
      <c r="I64" s="430"/>
      <c r="J64" s="430"/>
      <c r="K64" s="430"/>
      <c r="L64" s="430"/>
      <c r="M64" s="430"/>
      <c r="N64" s="430"/>
      <c r="O64" s="430"/>
      <c r="P64" s="430"/>
      <c r="Q64" s="430"/>
      <c r="R64" s="430"/>
      <c r="S64" s="430"/>
      <c r="T64" s="430"/>
      <c r="U64" s="430"/>
      <c r="V64" s="430"/>
      <c r="W64" s="430"/>
      <c r="X64" s="430"/>
      <c r="Y64" s="430"/>
      <c r="Z64" s="430"/>
      <c r="AA64" s="430"/>
      <c r="AB64" s="430"/>
      <c r="AC64" s="430"/>
      <c r="AD64" s="430"/>
      <c r="AE64" s="430"/>
      <c r="AF64" s="430"/>
      <c r="AG64" s="430"/>
      <c r="AH64" s="430"/>
      <c r="AI64" s="430"/>
      <c r="AJ64" s="430"/>
      <c r="AK64" s="430"/>
      <c r="AL64" s="430"/>
      <c r="AM64" s="430"/>
      <c r="AN64" s="430"/>
      <c r="AO64" s="430"/>
      <c r="AP64" s="430"/>
      <c r="AQ64" s="430"/>
      <c r="AR64" s="430"/>
      <c r="AS64" s="430"/>
      <c r="AT64" s="430"/>
      <c r="AU64" s="430"/>
      <c r="AV64" s="430"/>
      <c r="AW64" s="430"/>
      <c r="AX64" s="430"/>
      <c r="AY64" s="430"/>
    </row>
    <row r="65" spans="1:51">
      <c r="A65" s="430"/>
      <c r="B65" s="430"/>
      <c r="C65" s="430"/>
      <c r="D65" s="430"/>
      <c r="E65" s="430"/>
      <c r="F65" s="430"/>
      <c r="G65" s="430"/>
      <c r="H65" s="430"/>
      <c r="I65" s="430"/>
      <c r="J65" s="430"/>
      <c r="K65" s="430"/>
      <c r="L65" s="430"/>
      <c r="M65" s="430"/>
      <c r="N65" s="430"/>
      <c r="O65" s="430"/>
      <c r="P65" s="430"/>
      <c r="Q65" s="430"/>
      <c r="R65" s="430"/>
      <c r="S65" s="430"/>
      <c r="T65" s="430"/>
      <c r="U65" s="430"/>
      <c r="V65" s="430"/>
      <c r="W65" s="430"/>
      <c r="X65" s="430"/>
      <c r="Y65" s="430"/>
      <c r="Z65" s="430"/>
      <c r="AA65" s="430"/>
      <c r="AB65" s="430"/>
      <c r="AC65" s="430"/>
      <c r="AD65" s="430"/>
      <c r="AE65" s="430"/>
      <c r="AF65" s="430"/>
      <c r="AG65" s="430"/>
      <c r="AH65" s="430"/>
      <c r="AI65" s="430"/>
      <c r="AJ65" s="430"/>
      <c r="AK65" s="430"/>
      <c r="AL65" s="430"/>
      <c r="AM65" s="430"/>
      <c r="AN65" s="430"/>
      <c r="AO65" s="430"/>
      <c r="AP65" s="430"/>
      <c r="AQ65" s="430"/>
      <c r="AR65" s="430"/>
      <c r="AS65" s="430"/>
      <c r="AT65" s="430"/>
      <c r="AU65" s="430"/>
      <c r="AV65" s="430"/>
      <c r="AW65" s="430"/>
      <c r="AX65" s="430"/>
      <c r="AY65" s="430"/>
    </row>
    <row r="66" spans="1:51">
      <c r="A66" s="430"/>
      <c r="B66" s="430"/>
      <c r="C66" s="430"/>
      <c r="D66" s="430"/>
      <c r="E66" s="430"/>
      <c r="F66" s="430"/>
      <c r="G66" s="430"/>
      <c r="H66" s="430"/>
      <c r="I66" s="430"/>
      <c r="J66" s="430"/>
      <c r="K66" s="430"/>
      <c r="L66" s="430"/>
      <c r="M66" s="430"/>
      <c r="N66" s="430"/>
      <c r="O66" s="430"/>
      <c r="P66" s="430"/>
      <c r="Q66" s="430"/>
      <c r="R66" s="430"/>
      <c r="S66" s="430"/>
      <c r="T66" s="430"/>
      <c r="U66" s="430"/>
      <c r="V66" s="430"/>
      <c r="W66" s="430"/>
      <c r="X66" s="430"/>
      <c r="Y66" s="430"/>
      <c r="Z66" s="430"/>
      <c r="AA66" s="430"/>
      <c r="AB66" s="430"/>
      <c r="AC66" s="430"/>
      <c r="AD66" s="430"/>
      <c r="AE66" s="430"/>
      <c r="AF66" s="430"/>
      <c r="AG66" s="430"/>
      <c r="AH66" s="430"/>
      <c r="AI66" s="430"/>
      <c r="AJ66" s="430"/>
      <c r="AK66" s="430"/>
      <c r="AL66" s="430"/>
      <c r="AM66" s="430"/>
      <c r="AN66" s="430"/>
      <c r="AO66" s="430"/>
      <c r="AP66" s="430"/>
      <c r="AQ66" s="430"/>
      <c r="AR66" s="430"/>
      <c r="AS66" s="430"/>
      <c r="AT66" s="430"/>
      <c r="AU66" s="430"/>
      <c r="AV66" s="430"/>
      <c r="AW66" s="430"/>
      <c r="AX66" s="430"/>
      <c r="AY66" s="430"/>
    </row>
    <row r="67" spans="1:51">
      <c r="A67" s="430"/>
      <c r="B67" s="430"/>
      <c r="C67" s="430"/>
      <c r="D67" s="430"/>
      <c r="E67" s="430"/>
      <c r="F67" s="430"/>
      <c r="G67" s="430"/>
      <c r="H67" s="430"/>
      <c r="I67" s="430"/>
      <c r="J67" s="430"/>
      <c r="K67" s="430"/>
      <c r="L67" s="430"/>
      <c r="M67" s="430"/>
      <c r="N67" s="430"/>
      <c r="O67" s="430"/>
      <c r="P67" s="430"/>
      <c r="Q67" s="430"/>
      <c r="R67" s="430"/>
      <c r="S67" s="430"/>
      <c r="T67" s="430"/>
      <c r="U67" s="430"/>
      <c r="V67" s="430"/>
      <c r="W67" s="430"/>
      <c r="X67" s="430"/>
      <c r="Y67" s="430"/>
      <c r="Z67" s="430"/>
      <c r="AA67" s="430"/>
      <c r="AB67" s="430"/>
      <c r="AC67" s="430"/>
      <c r="AD67" s="430"/>
      <c r="AE67" s="430"/>
      <c r="AF67" s="430"/>
      <c r="AG67" s="430"/>
      <c r="AH67" s="430"/>
      <c r="AI67" s="430"/>
      <c r="AJ67" s="430"/>
      <c r="AK67" s="430"/>
      <c r="AL67" s="430"/>
      <c r="AM67" s="430"/>
      <c r="AN67" s="430"/>
      <c r="AO67" s="430"/>
      <c r="AP67" s="430"/>
      <c r="AQ67" s="430"/>
      <c r="AR67" s="430"/>
      <c r="AS67" s="430"/>
      <c r="AT67" s="430"/>
      <c r="AU67" s="430"/>
      <c r="AV67" s="430"/>
      <c r="AW67" s="430"/>
      <c r="AX67" s="430"/>
      <c r="AY67" s="430"/>
    </row>
    <row r="68" spans="1:51">
      <c r="A68" s="430"/>
      <c r="B68" s="430"/>
      <c r="C68" s="430"/>
      <c r="D68" s="430"/>
      <c r="E68" s="430"/>
      <c r="F68" s="430"/>
      <c r="G68" s="430"/>
      <c r="H68" s="430"/>
      <c r="I68" s="430"/>
      <c r="J68" s="430"/>
      <c r="K68" s="430"/>
      <c r="L68" s="430"/>
      <c r="M68" s="430"/>
      <c r="N68" s="430"/>
      <c r="O68" s="430"/>
      <c r="P68" s="430"/>
      <c r="Q68" s="430"/>
      <c r="R68" s="430"/>
      <c r="S68" s="430"/>
      <c r="T68" s="430"/>
      <c r="U68" s="430"/>
      <c r="V68" s="430"/>
      <c r="W68" s="430"/>
      <c r="X68" s="430"/>
      <c r="Y68" s="430"/>
      <c r="Z68" s="430"/>
      <c r="AA68" s="430"/>
      <c r="AB68" s="430"/>
      <c r="AC68" s="430"/>
      <c r="AD68" s="430"/>
      <c r="AE68" s="430"/>
      <c r="AF68" s="430"/>
      <c r="AG68" s="430"/>
      <c r="AH68" s="430"/>
      <c r="AI68" s="430"/>
      <c r="AJ68" s="430"/>
      <c r="AK68" s="430"/>
      <c r="AL68" s="430"/>
      <c r="AM68" s="430"/>
      <c r="AN68" s="430"/>
      <c r="AO68" s="430"/>
      <c r="AP68" s="430"/>
      <c r="AQ68" s="430"/>
      <c r="AR68" s="430"/>
      <c r="AS68" s="430"/>
      <c r="AT68" s="430"/>
      <c r="AU68" s="430"/>
      <c r="AV68" s="430"/>
      <c r="AW68" s="430"/>
      <c r="AX68" s="430"/>
      <c r="AY68" s="430"/>
    </row>
    <row r="69" spans="1:51">
      <c r="A69" s="430"/>
      <c r="B69" s="430"/>
      <c r="C69" s="430"/>
      <c r="D69" s="430"/>
      <c r="E69" s="430"/>
      <c r="F69" s="430"/>
      <c r="G69" s="430"/>
      <c r="H69" s="430"/>
      <c r="I69" s="430"/>
      <c r="J69" s="430"/>
      <c r="K69" s="430"/>
      <c r="L69" s="430"/>
      <c r="M69" s="430"/>
      <c r="N69" s="430"/>
      <c r="O69" s="430"/>
      <c r="P69" s="430"/>
      <c r="Q69" s="430"/>
      <c r="R69" s="430"/>
      <c r="S69" s="430"/>
      <c r="T69" s="430"/>
      <c r="U69" s="430"/>
      <c r="V69" s="430"/>
      <c r="W69" s="430"/>
      <c r="X69" s="430"/>
      <c r="Y69" s="430"/>
      <c r="Z69" s="430"/>
      <c r="AA69" s="430"/>
      <c r="AB69" s="430"/>
      <c r="AC69" s="430"/>
      <c r="AD69" s="430"/>
      <c r="AE69" s="430"/>
      <c r="AF69" s="430"/>
      <c r="AG69" s="430"/>
      <c r="AH69" s="430"/>
      <c r="AI69" s="430"/>
      <c r="AJ69" s="430"/>
      <c r="AK69" s="430"/>
      <c r="AL69" s="430"/>
      <c r="AM69" s="430"/>
      <c r="AN69" s="430"/>
      <c r="AO69" s="430"/>
      <c r="AP69" s="430"/>
      <c r="AQ69" s="430"/>
      <c r="AR69" s="430"/>
      <c r="AS69" s="430"/>
      <c r="AT69" s="430"/>
      <c r="AU69" s="430"/>
      <c r="AV69" s="430"/>
      <c r="AW69" s="430"/>
      <c r="AX69" s="430"/>
      <c r="AY69" s="430"/>
    </row>
    <row r="70" spans="1:51">
      <c r="A70" s="430"/>
      <c r="B70" s="430"/>
      <c r="C70" s="430"/>
      <c r="D70" s="430"/>
      <c r="E70" s="430"/>
      <c r="F70" s="430"/>
      <c r="G70" s="430"/>
      <c r="H70" s="430"/>
      <c r="I70" s="430"/>
      <c r="J70" s="430"/>
      <c r="K70" s="430"/>
      <c r="L70" s="430"/>
      <c r="M70" s="430"/>
      <c r="N70" s="430"/>
      <c r="O70" s="430"/>
      <c r="P70" s="430"/>
      <c r="Q70" s="430"/>
      <c r="R70" s="430"/>
      <c r="S70" s="430"/>
      <c r="T70" s="430"/>
      <c r="U70" s="430"/>
      <c r="V70" s="430"/>
      <c r="W70" s="430"/>
      <c r="X70" s="430"/>
      <c r="Y70" s="430"/>
      <c r="Z70" s="430"/>
      <c r="AA70" s="430"/>
      <c r="AB70" s="430"/>
      <c r="AC70" s="430"/>
      <c r="AD70" s="430"/>
      <c r="AE70" s="430"/>
      <c r="AF70" s="430"/>
      <c r="AG70" s="430"/>
      <c r="AH70" s="430"/>
      <c r="AI70" s="430"/>
      <c r="AJ70" s="430"/>
      <c r="AK70" s="430"/>
      <c r="AL70" s="430"/>
      <c r="AM70" s="430"/>
      <c r="AN70" s="430"/>
      <c r="AO70" s="430"/>
      <c r="AP70" s="430"/>
      <c r="AQ70" s="430"/>
      <c r="AR70" s="430"/>
      <c r="AS70" s="430"/>
      <c r="AT70" s="430"/>
      <c r="AU70" s="430"/>
      <c r="AV70" s="430"/>
      <c r="AW70" s="430"/>
      <c r="AX70" s="430"/>
      <c r="AY70" s="430"/>
    </row>
    <row r="71" spans="1:51">
      <c r="A71" s="430"/>
      <c r="B71" s="430"/>
      <c r="C71" s="430"/>
      <c r="D71" s="430"/>
      <c r="E71" s="430"/>
      <c r="F71" s="430"/>
      <c r="G71" s="430"/>
      <c r="H71" s="430"/>
      <c r="I71" s="430"/>
      <c r="J71" s="430"/>
      <c r="K71" s="430"/>
      <c r="L71" s="430"/>
      <c r="M71" s="430"/>
      <c r="N71" s="430"/>
      <c r="O71" s="430"/>
      <c r="P71" s="430"/>
      <c r="Q71" s="430"/>
      <c r="R71" s="430"/>
      <c r="S71" s="430"/>
      <c r="T71" s="430"/>
      <c r="U71" s="430"/>
      <c r="V71" s="430"/>
      <c r="W71" s="430"/>
      <c r="X71" s="430"/>
      <c r="Y71" s="430"/>
      <c r="Z71" s="430"/>
      <c r="AA71" s="430"/>
      <c r="AB71" s="430"/>
      <c r="AC71" s="430"/>
      <c r="AD71" s="430"/>
      <c r="AE71" s="430"/>
      <c r="AF71" s="430"/>
      <c r="AG71" s="430"/>
      <c r="AH71" s="430"/>
      <c r="AI71" s="430"/>
      <c r="AJ71" s="430"/>
      <c r="AK71" s="430"/>
      <c r="AL71" s="430"/>
      <c r="AM71" s="430"/>
      <c r="AN71" s="430"/>
      <c r="AO71" s="430"/>
      <c r="AP71" s="430"/>
      <c r="AQ71" s="430"/>
      <c r="AR71" s="430"/>
      <c r="AS71" s="430"/>
      <c r="AT71" s="430"/>
      <c r="AU71" s="430"/>
      <c r="AV71" s="430"/>
      <c r="AW71" s="430"/>
      <c r="AX71" s="430"/>
      <c r="AY71" s="430"/>
    </row>
    <row r="72" spans="1:51">
      <c r="A72" s="430"/>
      <c r="B72" s="430"/>
      <c r="C72" s="430"/>
      <c r="D72" s="430"/>
      <c r="E72" s="430"/>
      <c r="F72" s="430"/>
      <c r="G72" s="430"/>
      <c r="H72" s="430"/>
      <c r="I72" s="430"/>
      <c r="J72" s="430"/>
      <c r="K72" s="430"/>
      <c r="L72" s="430"/>
      <c r="M72" s="430"/>
      <c r="N72" s="430"/>
      <c r="O72" s="430"/>
      <c r="P72" s="430"/>
      <c r="Q72" s="430"/>
      <c r="R72" s="430"/>
      <c r="S72" s="430"/>
      <c r="T72" s="430"/>
      <c r="U72" s="430"/>
      <c r="V72" s="430"/>
      <c r="W72" s="430"/>
      <c r="X72" s="430"/>
      <c r="Y72" s="430"/>
      <c r="Z72" s="430"/>
      <c r="AA72" s="430"/>
      <c r="AB72" s="430"/>
      <c r="AC72" s="430"/>
      <c r="AD72" s="430"/>
      <c r="AE72" s="430"/>
      <c r="AF72" s="430"/>
      <c r="AG72" s="430"/>
      <c r="AH72" s="430"/>
      <c r="AI72" s="430"/>
      <c r="AJ72" s="430"/>
      <c r="AK72" s="430"/>
      <c r="AL72" s="430"/>
      <c r="AM72" s="430"/>
      <c r="AN72" s="430"/>
      <c r="AO72" s="430"/>
      <c r="AP72" s="430"/>
      <c r="AQ72" s="430"/>
      <c r="AR72" s="430"/>
      <c r="AS72" s="430"/>
      <c r="AT72" s="430"/>
      <c r="AU72" s="430"/>
      <c r="AV72" s="430"/>
      <c r="AW72" s="430"/>
      <c r="AX72" s="430"/>
      <c r="AY72" s="430"/>
    </row>
    <row r="73" spans="1:51">
      <c r="A73" s="430"/>
      <c r="B73" s="430"/>
      <c r="C73" s="430"/>
      <c r="D73" s="430"/>
      <c r="E73" s="430"/>
      <c r="F73" s="430"/>
      <c r="G73" s="430"/>
      <c r="H73" s="430"/>
      <c r="I73" s="430"/>
      <c r="J73" s="430"/>
      <c r="K73" s="430"/>
      <c r="L73" s="430"/>
      <c r="M73" s="430"/>
      <c r="N73" s="430"/>
      <c r="O73" s="430"/>
      <c r="P73" s="430"/>
      <c r="Q73" s="430"/>
      <c r="R73" s="430"/>
      <c r="S73" s="430"/>
      <c r="T73" s="430"/>
      <c r="U73" s="430"/>
      <c r="V73" s="430"/>
      <c r="W73" s="430"/>
      <c r="X73" s="430"/>
      <c r="Y73" s="430"/>
      <c r="Z73" s="430"/>
      <c r="AA73" s="430"/>
      <c r="AB73" s="430"/>
      <c r="AC73" s="430"/>
      <c r="AD73" s="430"/>
      <c r="AE73" s="430"/>
      <c r="AF73" s="430"/>
      <c r="AG73" s="430"/>
      <c r="AH73" s="430"/>
      <c r="AI73" s="430"/>
      <c r="AJ73" s="430"/>
      <c r="AK73" s="430"/>
      <c r="AL73" s="430"/>
      <c r="AM73" s="430"/>
      <c r="AN73" s="430"/>
      <c r="AO73" s="430"/>
      <c r="AP73" s="430"/>
      <c r="AQ73" s="430"/>
      <c r="AR73" s="430"/>
      <c r="AS73" s="430"/>
      <c r="AT73" s="430"/>
      <c r="AU73" s="430"/>
      <c r="AV73" s="430"/>
      <c r="AW73" s="430"/>
      <c r="AX73" s="430"/>
      <c r="AY73" s="430"/>
    </row>
    <row r="74" spans="1:51">
      <c r="A74" s="430"/>
      <c r="B74" s="430"/>
      <c r="C74" s="430"/>
      <c r="D74" s="430"/>
      <c r="E74" s="430"/>
      <c r="F74" s="430"/>
      <c r="G74" s="430"/>
      <c r="H74" s="430"/>
      <c r="I74" s="430"/>
      <c r="J74" s="430"/>
      <c r="K74" s="430"/>
      <c r="L74" s="430"/>
      <c r="M74" s="430"/>
      <c r="N74" s="430"/>
      <c r="O74" s="430"/>
      <c r="P74" s="430"/>
      <c r="Q74" s="430"/>
      <c r="R74" s="430"/>
      <c r="S74" s="430"/>
      <c r="T74" s="430"/>
      <c r="U74" s="430"/>
      <c r="V74" s="430"/>
      <c r="W74" s="430"/>
      <c r="X74" s="430"/>
      <c r="Y74" s="430"/>
      <c r="Z74" s="430"/>
      <c r="AA74" s="430"/>
      <c r="AB74" s="430"/>
      <c r="AC74" s="430"/>
      <c r="AD74" s="430"/>
      <c r="AE74" s="430"/>
      <c r="AF74" s="430"/>
      <c r="AG74" s="430"/>
      <c r="AH74" s="430"/>
      <c r="AI74" s="430"/>
      <c r="AJ74" s="430"/>
      <c r="AK74" s="430"/>
      <c r="AL74" s="430"/>
      <c r="AM74" s="430"/>
      <c r="AN74" s="430"/>
      <c r="AO74" s="430"/>
      <c r="AP74" s="430"/>
      <c r="AQ74" s="430"/>
      <c r="AR74" s="430"/>
      <c r="AS74" s="430"/>
      <c r="AT74" s="430"/>
      <c r="AU74" s="430"/>
      <c r="AV74" s="430"/>
      <c r="AW74" s="430"/>
      <c r="AX74" s="430"/>
      <c r="AY74" s="430"/>
    </row>
    <row r="75" spans="1:51">
      <c r="A75" s="430"/>
      <c r="B75" s="430"/>
      <c r="C75" s="430"/>
      <c r="D75" s="430"/>
      <c r="E75" s="430"/>
      <c r="F75" s="430"/>
      <c r="G75" s="430"/>
      <c r="H75" s="430"/>
      <c r="I75" s="430"/>
      <c r="J75" s="430"/>
      <c r="K75" s="430"/>
      <c r="L75" s="430"/>
      <c r="M75" s="430"/>
      <c r="N75" s="430"/>
      <c r="O75" s="430"/>
      <c r="P75" s="430"/>
      <c r="Q75" s="430"/>
      <c r="R75" s="430"/>
      <c r="S75" s="430"/>
      <c r="T75" s="430"/>
      <c r="U75" s="430"/>
      <c r="V75" s="430"/>
      <c r="W75" s="430"/>
      <c r="X75" s="430"/>
      <c r="Y75" s="430"/>
      <c r="Z75" s="430"/>
      <c r="AA75" s="430"/>
      <c r="AB75" s="430"/>
      <c r="AC75" s="430"/>
      <c r="AD75" s="430"/>
      <c r="AE75" s="430"/>
      <c r="AF75" s="430"/>
      <c r="AG75" s="430"/>
      <c r="AH75" s="430"/>
      <c r="AI75" s="430"/>
      <c r="AJ75" s="430"/>
      <c r="AK75" s="430"/>
      <c r="AL75" s="430"/>
      <c r="AM75" s="430"/>
      <c r="AN75" s="430"/>
      <c r="AO75" s="430"/>
      <c r="AP75" s="430"/>
      <c r="AQ75" s="430"/>
      <c r="AR75" s="430"/>
      <c r="AS75" s="430"/>
      <c r="AT75" s="430"/>
      <c r="AU75" s="430"/>
      <c r="AV75" s="430"/>
      <c r="AW75" s="430"/>
      <c r="AX75" s="430"/>
      <c r="AY75" s="430"/>
    </row>
    <row r="76" spans="1:51">
      <c r="A76" s="430"/>
      <c r="B76" s="430"/>
      <c r="C76" s="430"/>
      <c r="D76" s="430"/>
      <c r="E76" s="430"/>
      <c r="F76" s="430"/>
      <c r="G76" s="430"/>
      <c r="H76" s="430"/>
      <c r="I76" s="430"/>
      <c r="J76" s="430"/>
      <c r="K76" s="430"/>
      <c r="L76" s="430"/>
      <c r="M76" s="430"/>
      <c r="N76" s="430"/>
      <c r="O76" s="430"/>
      <c r="P76" s="430"/>
      <c r="Q76" s="430"/>
      <c r="R76" s="430"/>
      <c r="S76" s="430"/>
      <c r="T76" s="430"/>
      <c r="U76" s="430"/>
      <c r="V76" s="430"/>
      <c r="W76" s="430"/>
      <c r="X76" s="430"/>
      <c r="Y76" s="430"/>
      <c r="Z76" s="430"/>
      <c r="AA76" s="430"/>
      <c r="AB76" s="430"/>
      <c r="AC76" s="430"/>
      <c r="AD76" s="430"/>
      <c r="AE76" s="430"/>
      <c r="AF76" s="430"/>
      <c r="AG76" s="430"/>
      <c r="AH76" s="430"/>
      <c r="AI76" s="430"/>
      <c r="AJ76" s="430"/>
      <c r="AK76" s="430"/>
      <c r="AL76" s="430"/>
      <c r="AM76" s="430"/>
      <c r="AN76" s="430"/>
      <c r="AO76" s="430"/>
      <c r="AP76" s="430"/>
      <c r="AQ76" s="430"/>
      <c r="AR76" s="430"/>
      <c r="AS76" s="430"/>
      <c r="AT76" s="430"/>
      <c r="AU76" s="430"/>
      <c r="AV76" s="430"/>
      <c r="AW76" s="430"/>
      <c r="AX76" s="430"/>
      <c r="AY76" s="430"/>
    </row>
    <row r="77" spans="1:51">
      <c r="A77" s="430"/>
      <c r="B77" s="430"/>
      <c r="C77" s="430"/>
      <c r="D77" s="430"/>
      <c r="E77" s="430"/>
      <c r="F77" s="430"/>
      <c r="G77" s="430"/>
      <c r="H77" s="430"/>
      <c r="I77" s="430"/>
      <c r="J77" s="430"/>
      <c r="K77" s="430"/>
      <c r="L77" s="430"/>
      <c r="M77" s="430"/>
      <c r="N77" s="430"/>
      <c r="O77" s="430"/>
      <c r="P77" s="430"/>
      <c r="Q77" s="430"/>
      <c r="R77" s="430"/>
      <c r="S77" s="430"/>
      <c r="T77" s="430"/>
      <c r="U77" s="430"/>
      <c r="V77" s="430"/>
      <c r="W77" s="430"/>
      <c r="X77" s="430"/>
      <c r="Y77" s="430"/>
      <c r="Z77" s="430"/>
      <c r="AA77" s="430"/>
      <c r="AB77" s="430"/>
      <c r="AC77" s="430"/>
      <c r="AD77" s="430"/>
      <c r="AE77" s="430"/>
      <c r="AF77" s="430"/>
      <c r="AG77" s="430"/>
      <c r="AH77" s="430"/>
      <c r="AI77" s="430"/>
      <c r="AJ77" s="430"/>
      <c r="AK77" s="430"/>
      <c r="AL77" s="430"/>
      <c r="AM77" s="430"/>
      <c r="AN77" s="430"/>
      <c r="AO77" s="430"/>
      <c r="AP77" s="430"/>
      <c r="AQ77" s="430"/>
      <c r="AR77" s="430"/>
      <c r="AS77" s="430"/>
      <c r="AT77" s="430"/>
      <c r="AU77" s="430"/>
      <c r="AV77" s="430"/>
      <c r="AW77" s="430"/>
      <c r="AX77" s="430"/>
      <c r="AY77" s="430"/>
    </row>
    <row r="78" spans="1:51">
      <c r="A78" s="430"/>
      <c r="B78" s="430"/>
      <c r="C78" s="430"/>
      <c r="D78" s="430"/>
      <c r="E78" s="430"/>
      <c r="F78" s="430"/>
      <c r="G78" s="430"/>
      <c r="H78" s="430"/>
      <c r="I78" s="430"/>
      <c r="J78" s="430"/>
      <c r="K78" s="430"/>
      <c r="L78" s="430"/>
      <c r="M78" s="430"/>
      <c r="N78" s="430"/>
      <c r="O78" s="430"/>
      <c r="P78" s="430"/>
      <c r="Q78" s="430"/>
      <c r="R78" s="430"/>
      <c r="S78" s="430"/>
      <c r="T78" s="430"/>
      <c r="U78" s="430"/>
      <c r="V78" s="430"/>
      <c r="W78" s="430"/>
      <c r="X78" s="430"/>
      <c r="Y78" s="430"/>
      <c r="Z78" s="430"/>
      <c r="AA78" s="430"/>
      <c r="AB78" s="430"/>
      <c r="AC78" s="430"/>
      <c r="AD78" s="430"/>
      <c r="AE78" s="430"/>
      <c r="AF78" s="430"/>
      <c r="AG78" s="430"/>
      <c r="AH78" s="430"/>
      <c r="AI78" s="430"/>
      <c r="AJ78" s="430"/>
      <c r="AK78" s="430"/>
      <c r="AL78" s="430"/>
      <c r="AM78" s="430"/>
      <c r="AN78" s="430"/>
      <c r="AO78" s="430"/>
      <c r="AP78" s="430"/>
      <c r="AQ78" s="430"/>
      <c r="AR78" s="430"/>
      <c r="AS78" s="430"/>
      <c r="AT78" s="430"/>
      <c r="AU78" s="430"/>
      <c r="AV78" s="430"/>
      <c r="AW78" s="430"/>
      <c r="AX78" s="430"/>
      <c r="AY78" s="430"/>
    </row>
    <row r="79" spans="1:51">
      <c r="A79" s="430"/>
      <c r="B79" s="430"/>
      <c r="C79" s="430"/>
      <c r="D79" s="430"/>
      <c r="E79" s="430"/>
      <c r="F79" s="430"/>
      <c r="G79" s="430"/>
      <c r="H79" s="430"/>
      <c r="I79" s="430"/>
      <c r="J79" s="430"/>
      <c r="K79" s="430"/>
      <c r="L79" s="430"/>
      <c r="M79" s="430"/>
      <c r="N79" s="430"/>
      <c r="O79" s="430"/>
      <c r="P79" s="430"/>
      <c r="Q79" s="430"/>
      <c r="R79" s="430"/>
      <c r="S79" s="430"/>
      <c r="T79" s="430"/>
      <c r="U79" s="430"/>
      <c r="V79" s="430"/>
      <c r="W79" s="430"/>
      <c r="X79" s="430"/>
      <c r="Y79" s="430"/>
      <c r="Z79" s="430"/>
      <c r="AA79" s="430"/>
      <c r="AB79" s="430"/>
      <c r="AC79" s="430"/>
      <c r="AD79" s="430"/>
      <c r="AE79" s="430"/>
      <c r="AF79" s="430"/>
      <c r="AG79" s="430"/>
      <c r="AH79" s="430"/>
      <c r="AI79" s="430"/>
      <c r="AJ79" s="430"/>
      <c r="AK79" s="430"/>
      <c r="AL79" s="430"/>
      <c r="AM79" s="430"/>
      <c r="AN79" s="430"/>
      <c r="AO79" s="430"/>
      <c r="AP79" s="430"/>
      <c r="AQ79" s="430"/>
      <c r="AR79" s="430"/>
      <c r="AS79" s="430"/>
      <c r="AT79" s="430"/>
      <c r="AU79" s="430"/>
      <c r="AV79" s="430"/>
      <c r="AW79" s="430"/>
      <c r="AX79" s="430"/>
      <c r="AY79" s="430"/>
    </row>
    <row r="80" spans="1:51">
      <c r="A80" s="430"/>
      <c r="B80" s="430"/>
      <c r="C80" s="430"/>
      <c r="D80" s="430"/>
      <c r="E80" s="430"/>
      <c r="F80" s="430"/>
      <c r="G80" s="430"/>
      <c r="H80" s="430"/>
      <c r="I80" s="430"/>
      <c r="J80" s="430"/>
      <c r="K80" s="430"/>
      <c r="L80" s="430"/>
      <c r="M80" s="430"/>
      <c r="N80" s="430"/>
      <c r="O80" s="430"/>
      <c r="P80" s="430"/>
      <c r="Q80" s="430"/>
      <c r="R80" s="430"/>
      <c r="S80" s="430"/>
      <c r="T80" s="430"/>
      <c r="U80" s="430"/>
      <c r="V80" s="430"/>
      <c r="W80" s="430"/>
      <c r="X80" s="430"/>
      <c r="Y80" s="430"/>
      <c r="Z80" s="430"/>
      <c r="AA80" s="430"/>
      <c r="AB80" s="430"/>
      <c r="AC80" s="430"/>
      <c r="AD80" s="430"/>
      <c r="AE80" s="430"/>
      <c r="AF80" s="430"/>
      <c r="AG80" s="430"/>
      <c r="AH80" s="430"/>
      <c r="AI80" s="430"/>
      <c r="AJ80" s="430"/>
      <c r="AK80" s="430"/>
      <c r="AL80" s="430"/>
      <c r="AM80" s="430"/>
      <c r="AN80" s="430"/>
      <c r="AO80" s="430"/>
      <c r="AP80" s="430"/>
      <c r="AQ80" s="430"/>
      <c r="AR80" s="430"/>
      <c r="AS80" s="430"/>
      <c r="AT80" s="430"/>
      <c r="AU80" s="430"/>
      <c r="AV80" s="430"/>
      <c r="AW80" s="430"/>
      <c r="AX80" s="430"/>
      <c r="AY80" s="430"/>
    </row>
    <row r="81" spans="1:51">
      <c r="A81" s="430"/>
      <c r="B81" s="430"/>
      <c r="C81" s="430"/>
      <c r="D81" s="430"/>
      <c r="E81" s="430"/>
      <c r="F81" s="430"/>
      <c r="G81" s="430"/>
      <c r="H81" s="430"/>
      <c r="I81" s="430"/>
      <c r="J81" s="430"/>
      <c r="K81" s="430"/>
      <c r="L81" s="430"/>
      <c r="M81" s="430"/>
      <c r="N81" s="430"/>
      <c r="O81" s="430"/>
      <c r="P81" s="430"/>
      <c r="Q81" s="430"/>
      <c r="R81" s="430"/>
      <c r="S81" s="430"/>
      <c r="T81" s="430"/>
      <c r="U81" s="430"/>
      <c r="V81" s="430"/>
      <c r="W81" s="430"/>
      <c r="X81" s="430"/>
      <c r="Y81" s="430"/>
      <c r="Z81" s="430"/>
      <c r="AA81" s="430"/>
      <c r="AB81" s="430"/>
      <c r="AC81" s="430"/>
      <c r="AD81" s="430"/>
      <c r="AE81" s="430"/>
      <c r="AF81" s="430"/>
      <c r="AG81" s="430"/>
      <c r="AH81" s="430"/>
      <c r="AI81" s="430"/>
      <c r="AJ81" s="430"/>
      <c r="AK81" s="430"/>
      <c r="AL81" s="430"/>
      <c r="AM81" s="430"/>
      <c r="AN81" s="430"/>
      <c r="AO81" s="430"/>
      <c r="AP81" s="430"/>
      <c r="AQ81" s="430"/>
      <c r="AR81" s="430"/>
      <c r="AS81" s="430"/>
      <c r="AT81" s="430"/>
      <c r="AU81" s="430"/>
      <c r="AV81" s="430"/>
      <c r="AW81" s="430"/>
      <c r="AX81" s="430"/>
      <c r="AY81" s="430"/>
    </row>
    <row r="82" spans="1:51">
      <c r="A82" s="430"/>
      <c r="B82" s="430"/>
      <c r="C82" s="430"/>
      <c r="D82" s="430"/>
      <c r="E82" s="430"/>
      <c r="F82" s="430"/>
      <c r="G82" s="430"/>
      <c r="H82" s="430"/>
      <c r="I82" s="430"/>
      <c r="J82" s="430"/>
      <c r="K82" s="430"/>
      <c r="L82" s="430"/>
      <c r="M82" s="430"/>
      <c r="N82" s="430"/>
      <c r="O82" s="430"/>
      <c r="P82" s="430"/>
      <c r="Q82" s="430"/>
      <c r="R82" s="430"/>
      <c r="S82" s="430"/>
      <c r="T82" s="430"/>
      <c r="U82" s="430"/>
      <c r="V82" s="430"/>
      <c r="W82" s="430"/>
      <c r="X82" s="430"/>
      <c r="Y82" s="430"/>
      <c r="Z82" s="430"/>
      <c r="AA82" s="430"/>
      <c r="AB82" s="430"/>
      <c r="AC82" s="430"/>
      <c r="AD82" s="430"/>
      <c r="AE82" s="430"/>
      <c r="AF82" s="430"/>
      <c r="AG82" s="430"/>
      <c r="AH82" s="430"/>
      <c r="AI82" s="430"/>
      <c r="AJ82" s="430"/>
      <c r="AK82" s="430"/>
      <c r="AL82" s="430"/>
      <c r="AM82" s="430"/>
      <c r="AN82" s="430"/>
      <c r="AO82" s="430"/>
      <c r="AP82" s="430"/>
      <c r="AQ82" s="430"/>
      <c r="AR82" s="430"/>
      <c r="AS82" s="430"/>
      <c r="AT82" s="430"/>
      <c r="AU82" s="430"/>
      <c r="AV82" s="430"/>
      <c r="AW82" s="430"/>
      <c r="AX82" s="430"/>
      <c r="AY82" s="430"/>
    </row>
    <row r="83" spans="1:51">
      <c r="A83" s="430"/>
      <c r="B83" s="430"/>
      <c r="C83" s="430"/>
      <c r="D83" s="430"/>
      <c r="E83" s="430"/>
      <c r="F83" s="430"/>
      <c r="G83" s="430"/>
      <c r="H83" s="430"/>
      <c r="I83" s="430"/>
      <c r="J83" s="430"/>
      <c r="K83" s="430"/>
      <c r="L83" s="430"/>
      <c r="M83" s="430"/>
      <c r="N83" s="430"/>
      <c r="O83" s="430"/>
      <c r="P83" s="430"/>
      <c r="Q83" s="430"/>
      <c r="R83" s="430"/>
      <c r="S83" s="430"/>
      <c r="T83" s="430"/>
      <c r="U83" s="430"/>
      <c r="V83" s="430"/>
      <c r="W83" s="430"/>
      <c r="X83" s="430"/>
      <c r="Y83" s="430"/>
      <c r="Z83" s="430"/>
      <c r="AA83" s="430"/>
      <c r="AB83" s="430"/>
      <c r="AC83" s="430"/>
      <c r="AD83" s="430"/>
      <c r="AE83" s="430"/>
      <c r="AF83" s="430"/>
      <c r="AG83" s="430"/>
      <c r="AH83" s="430"/>
      <c r="AI83" s="430"/>
      <c r="AJ83" s="430"/>
      <c r="AK83" s="430"/>
      <c r="AL83" s="430"/>
      <c r="AM83" s="430"/>
      <c r="AN83" s="430"/>
      <c r="AO83" s="430"/>
      <c r="AP83" s="430"/>
      <c r="AQ83" s="430"/>
      <c r="AR83" s="430"/>
      <c r="AS83" s="430"/>
      <c r="AT83" s="430"/>
      <c r="AU83" s="430"/>
      <c r="AV83" s="430"/>
      <c r="AW83" s="430"/>
      <c r="AX83" s="430"/>
      <c r="AY83" s="430"/>
    </row>
    <row r="84" spans="1:51">
      <c r="A84" s="430"/>
      <c r="B84" s="430"/>
      <c r="C84" s="430"/>
      <c r="D84" s="430"/>
      <c r="E84" s="430"/>
      <c r="F84" s="430"/>
      <c r="G84" s="430"/>
      <c r="H84" s="430"/>
      <c r="I84" s="430"/>
      <c r="J84" s="430"/>
      <c r="K84" s="430"/>
      <c r="L84" s="430"/>
      <c r="M84" s="430"/>
      <c r="N84" s="430"/>
      <c r="O84" s="430"/>
      <c r="P84" s="430"/>
      <c r="Q84" s="430"/>
      <c r="R84" s="430"/>
      <c r="S84" s="430"/>
      <c r="T84" s="430"/>
      <c r="U84" s="430"/>
      <c r="V84" s="430"/>
      <c r="W84" s="430"/>
      <c r="X84" s="430"/>
      <c r="Y84" s="430"/>
      <c r="Z84" s="430"/>
      <c r="AA84" s="430"/>
      <c r="AB84" s="430"/>
      <c r="AC84" s="430"/>
      <c r="AD84" s="430"/>
      <c r="AE84" s="430"/>
      <c r="AF84" s="430"/>
      <c r="AG84" s="430"/>
      <c r="AH84" s="430"/>
      <c r="AI84" s="430"/>
      <c r="AJ84" s="430"/>
      <c r="AK84" s="430"/>
      <c r="AL84" s="430"/>
      <c r="AM84" s="430"/>
      <c r="AN84" s="430"/>
      <c r="AO84" s="430"/>
      <c r="AP84" s="430"/>
      <c r="AQ84" s="430"/>
      <c r="AR84" s="430"/>
      <c r="AS84" s="430"/>
      <c r="AT84" s="430"/>
      <c r="AU84" s="430"/>
      <c r="AV84" s="430"/>
      <c r="AW84" s="430"/>
      <c r="AX84" s="430"/>
      <c r="AY84" s="430"/>
    </row>
    <row r="85" spans="1:51">
      <c r="A85" s="430"/>
      <c r="B85" s="430"/>
      <c r="C85" s="430"/>
      <c r="D85" s="430"/>
      <c r="E85" s="430"/>
      <c r="F85" s="430"/>
      <c r="G85" s="430"/>
      <c r="H85" s="430"/>
      <c r="I85" s="430"/>
      <c r="J85" s="430"/>
      <c r="K85" s="430"/>
      <c r="L85" s="430"/>
      <c r="M85" s="430"/>
      <c r="N85" s="430"/>
      <c r="O85" s="430"/>
      <c r="P85" s="430"/>
      <c r="Q85" s="430"/>
      <c r="R85" s="430"/>
      <c r="S85" s="430"/>
      <c r="T85" s="430"/>
      <c r="U85" s="430"/>
      <c r="V85" s="430"/>
      <c r="W85" s="430"/>
      <c r="X85" s="430"/>
      <c r="Y85" s="430"/>
      <c r="Z85" s="430"/>
      <c r="AA85" s="430"/>
      <c r="AB85" s="430"/>
      <c r="AC85" s="430"/>
      <c r="AD85" s="430"/>
      <c r="AE85" s="430"/>
      <c r="AF85" s="430"/>
      <c r="AG85" s="430"/>
      <c r="AH85" s="430"/>
      <c r="AI85" s="430"/>
      <c r="AJ85" s="430"/>
      <c r="AK85" s="430"/>
      <c r="AL85" s="430"/>
      <c r="AM85" s="430"/>
      <c r="AN85" s="430"/>
      <c r="AO85" s="430"/>
      <c r="AP85" s="430"/>
      <c r="AQ85" s="430"/>
      <c r="AR85" s="430"/>
      <c r="AS85" s="430"/>
      <c r="AT85" s="430"/>
      <c r="AU85" s="430"/>
      <c r="AV85" s="430"/>
      <c r="AW85" s="430"/>
      <c r="AX85" s="430"/>
      <c r="AY85" s="430"/>
    </row>
    <row r="86" spans="1:51">
      <c r="A86" s="430"/>
      <c r="B86" s="430"/>
      <c r="C86" s="430"/>
      <c r="D86" s="430"/>
      <c r="E86" s="430"/>
      <c r="F86" s="430"/>
      <c r="G86" s="430"/>
      <c r="H86" s="430"/>
      <c r="I86" s="430"/>
      <c r="J86" s="430"/>
      <c r="K86" s="430"/>
      <c r="L86" s="430"/>
      <c r="M86" s="430"/>
      <c r="N86" s="430"/>
      <c r="O86" s="430"/>
      <c r="P86" s="430"/>
      <c r="Q86" s="430"/>
      <c r="R86" s="430"/>
      <c r="S86" s="430"/>
      <c r="T86" s="430"/>
      <c r="U86" s="430"/>
      <c r="V86" s="430"/>
      <c r="W86" s="430"/>
      <c r="X86" s="430"/>
      <c r="Y86" s="430"/>
      <c r="Z86" s="430"/>
      <c r="AA86" s="430"/>
      <c r="AB86" s="430"/>
      <c r="AC86" s="430"/>
      <c r="AD86" s="430"/>
      <c r="AE86" s="430"/>
      <c r="AF86" s="430"/>
      <c r="AG86" s="430"/>
      <c r="AH86" s="430"/>
      <c r="AI86" s="430"/>
      <c r="AJ86" s="430"/>
      <c r="AK86" s="430"/>
      <c r="AL86" s="430"/>
      <c r="AM86" s="430"/>
      <c r="AN86" s="430"/>
      <c r="AO86" s="430"/>
      <c r="AP86" s="430"/>
      <c r="AQ86" s="430"/>
      <c r="AR86" s="430"/>
      <c r="AS86" s="430"/>
      <c r="AT86" s="430"/>
      <c r="AU86" s="430"/>
      <c r="AV86" s="430"/>
      <c r="AW86" s="430"/>
      <c r="AX86" s="430"/>
      <c r="AY86" s="430"/>
    </row>
    <row r="87" spans="1:51">
      <c r="A87" s="430"/>
      <c r="B87" s="430"/>
      <c r="C87" s="430"/>
      <c r="D87" s="430"/>
      <c r="E87" s="430"/>
      <c r="F87" s="430"/>
      <c r="G87" s="430"/>
      <c r="H87" s="430"/>
      <c r="I87" s="430"/>
      <c r="J87" s="430"/>
      <c r="K87" s="430"/>
      <c r="L87" s="430"/>
      <c r="M87" s="430"/>
      <c r="N87" s="430"/>
      <c r="O87" s="430"/>
      <c r="P87" s="430"/>
      <c r="Q87" s="430"/>
      <c r="R87" s="430"/>
      <c r="S87" s="430"/>
      <c r="T87" s="430"/>
      <c r="U87" s="430"/>
      <c r="V87" s="430"/>
      <c r="W87" s="430"/>
      <c r="X87" s="430"/>
      <c r="Y87" s="430"/>
      <c r="Z87" s="430"/>
      <c r="AA87" s="430"/>
      <c r="AB87" s="430"/>
      <c r="AC87" s="430"/>
      <c r="AD87" s="430"/>
      <c r="AE87" s="430"/>
      <c r="AF87" s="430"/>
      <c r="AG87" s="430"/>
      <c r="AH87" s="430"/>
      <c r="AI87" s="430"/>
      <c r="AJ87" s="430"/>
      <c r="AK87" s="430"/>
      <c r="AL87" s="430"/>
      <c r="AM87" s="430"/>
      <c r="AN87" s="430"/>
      <c r="AO87" s="430"/>
      <c r="AP87" s="430"/>
      <c r="AQ87" s="430"/>
      <c r="AR87" s="430"/>
      <c r="AS87" s="430"/>
      <c r="AT87" s="430"/>
      <c r="AU87" s="430"/>
      <c r="AV87" s="430"/>
      <c r="AW87" s="430"/>
      <c r="AX87" s="430"/>
      <c r="AY87" s="430"/>
    </row>
    <row r="88" spans="1:51">
      <c r="A88" s="430"/>
      <c r="B88" s="430"/>
      <c r="C88" s="430"/>
      <c r="D88" s="430"/>
      <c r="E88" s="430"/>
      <c r="F88" s="430"/>
      <c r="G88" s="430"/>
      <c r="H88" s="430"/>
      <c r="I88" s="430"/>
      <c r="J88" s="430"/>
      <c r="K88" s="430"/>
      <c r="L88" s="430"/>
      <c r="M88" s="430"/>
      <c r="N88" s="430"/>
      <c r="O88" s="430"/>
      <c r="P88" s="430"/>
      <c r="Q88" s="430"/>
      <c r="R88" s="430"/>
      <c r="S88" s="430"/>
      <c r="T88" s="430"/>
      <c r="U88" s="430"/>
      <c r="V88" s="430"/>
      <c r="W88" s="430"/>
      <c r="X88" s="430"/>
      <c r="Y88" s="430"/>
      <c r="Z88" s="430"/>
      <c r="AA88" s="430"/>
      <c r="AB88" s="430"/>
      <c r="AC88" s="430"/>
      <c r="AD88" s="430"/>
      <c r="AE88" s="430"/>
      <c r="AF88" s="430"/>
      <c r="AG88" s="430"/>
      <c r="AH88" s="430"/>
      <c r="AI88" s="430"/>
      <c r="AJ88" s="430"/>
      <c r="AK88" s="430"/>
      <c r="AL88" s="430"/>
      <c r="AM88" s="430"/>
      <c r="AN88" s="430"/>
      <c r="AO88" s="430"/>
      <c r="AP88" s="430"/>
      <c r="AQ88" s="430"/>
      <c r="AR88" s="430"/>
      <c r="AS88" s="430"/>
      <c r="AT88" s="430"/>
      <c r="AU88" s="430"/>
      <c r="AV88" s="430"/>
      <c r="AW88" s="430"/>
      <c r="AX88" s="430"/>
      <c r="AY88" s="430"/>
    </row>
    <row r="89" spans="1:51">
      <c r="A89" s="430"/>
      <c r="B89" s="430"/>
      <c r="C89" s="430"/>
      <c r="D89" s="430"/>
      <c r="E89" s="430"/>
      <c r="F89" s="430"/>
      <c r="G89" s="430"/>
      <c r="H89" s="430"/>
      <c r="I89" s="430"/>
      <c r="J89" s="430"/>
      <c r="K89" s="430"/>
      <c r="L89" s="430"/>
      <c r="M89" s="430"/>
      <c r="N89" s="430"/>
      <c r="O89" s="430"/>
      <c r="P89" s="430"/>
      <c r="Q89" s="430"/>
      <c r="R89" s="430"/>
      <c r="S89" s="430"/>
      <c r="T89" s="430"/>
      <c r="U89" s="430"/>
      <c r="V89" s="430"/>
      <c r="W89" s="430"/>
      <c r="X89" s="430"/>
      <c r="Y89" s="430"/>
      <c r="Z89" s="430"/>
      <c r="AA89" s="430"/>
      <c r="AB89" s="430"/>
      <c r="AC89" s="430"/>
      <c r="AD89" s="430"/>
      <c r="AE89" s="430"/>
      <c r="AF89" s="430"/>
      <c r="AG89" s="430"/>
      <c r="AH89" s="430"/>
      <c r="AI89" s="430"/>
      <c r="AJ89" s="430"/>
      <c r="AK89" s="430"/>
      <c r="AL89" s="430"/>
      <c r="AM89" s="430"/>
      <c r="AN89" s="430"/>
      <c r="AO89" s="430"/>
      <c r="AP89" s="430"/>
      <c r="AQ89" s="430"/>
      <c r="AR89" s="430"/>
      <c r="AS89" s="430"/>
      <c r="AT89" s="430"/>
      <c r="AU89" s="430"/>
      <c r="AV89" s="430"/>
      <c r="AW89" s="430"/>
      <c r="AX89" s="430"/>
      <c r="AY89" s="430"/>
    </row>
    <row r="90" spans="1:51">
      <c r="A90" s="430"/>
      <c r="B90" s="430"/>
      <c r="C90" s="430"/>
      <c r="D90" s="430"/>
      <c r="E90" s="430"/>
      <c r="F90" s="430"/>
      <c r="G90" s="430"/>
      <c r="H90" s="430"/>
      <c r="I90" s="430"/>
      <c r="J90" s="430"/>
      <c r="K90" s="430"/>
      <c r="L90" s="430"/>
      <c r="M90" s="430"/>
      <c r="N90" s="430"/>
      <c r="O90" s="430"/>
      <c r="P90" s="430"/>
      <c r="Q90" s="430"/>
      <c r="R90" s="430"/>
      <c r="S90" s="430"/>
      <c r="T90" s="430"/>
      <c r="U90" s="430"/>
      <c r="V90" s="430"/>
      <c r="W90" s="430"/>
      <c r="X90" s="430"/>
      <c r="Y90" s="430"/>
      <c r="Z90" s="430"/>
      <c r="AA90" s="430"/>
      <c r="AB90" s="430"/>
      <c r="AC90" s="430"/>
      <c r="AD90" s="430"/>
      <c r="AE90" s="430"/>
      <c r="AF90" s="430"/>
      <c r="AG90" s="430"/>
      <c r="AH90" s="430"/>
      <c r="AI90" s="430"/>
      <c r="AJ90" s="430"/>
      <c r="AK90" s="430"/>
      <c r="AL90" s="430"/>
      <c r="AM90" s="430"/>
      <c r="AN90" s="430"/>
      <c r="AO90" s="430"/>
      <c r="AP90" s="430"/>
      <c r="AQ90" s="430"/>
      <c r="AR90" s="430"/>
      <c r="AS90" s="430"/>
      <c r="AT90" s="430"/>
      <c r="AU90" s="430"/>
      <c r="AV90" s="430"/>
      <c r="AW90" s="430"/>
      <c r="AX90" s="430"/>
      <c r="AY90" s="430"/>
    </row>
    <row r="91" spans="1:51">
      <c r="A91" s="430"/>
      <c r="B91" s="430"/>
      <c r="C91" s="430"/>
      <c r="D91" s="430"/>
      <c r="E91" s="430"/>
      <c r="F91" s="430"/>
      <c r="G91" s="430"/>
      <c r="H91" s="430"/>
      <c r="I91" s="430"/>
      <c r="J91" s="430"/>
      <c r="K91" s="430"/>
      <c r="L91" s="430"/>
      <c r="M91" s="430"/>
      <c r="N91" s="430"/>
      <c r="O91" s="430"/>
      <c r="P91" s="430"/>
      <c r="Q91" s="430"/>
      <c r="R91" s="430"/>
      <c r="S91" s="430"/>
      <c r="T91" s="430"/>
      <c r="U91" s="430"/>
      <c r="V91" s="430"/>
      <c r="W91" s="430"/>
      <c r="X91" s="430"/>
      <c r="Y91" s="430"/>
      <c r="Z91" s="430"/>
      <c r="AA91" s="430"/>
      <c r="AB91" s="430"/>
      <c r="AC91" s="430"/>
      <c r="AD91" s="430"/>
      <c r="AE91" s="430"/>
      <c r="AF91" s="430"/>
      <c r="AG91" s="430"/>
      <c r="AH91" s="430"/>
      <c r="AI91" s="430"/>
      <c r="AJ91" s="430"/>
      <c r="AK91" s="430"/>
      <c r="AL91" s="430"/>
      <c r="AM91" s="430"/>
      <c r="AN91" s="430"/>
      <c r="AO91" s="430"/>
      <c r="AP91" s="430"/>
      <c r="AQ91" s="430"/>
      <c r="AR91" s="430"/>
      <c r="AS91" s="430"/>
      <c r="AT91" s="430"/>
      <c r="AU91" s="430"/>
      <c r="AV91" s="430"/>
      <c r="AW91" s="430"/>
      <c r="AX91" s="430"/>
      <c r="AY91" s="430"/>
    </row>
    <row r="92" spans="1:51">
      <c r="A92" s="430"/>
      <c r="B92" s="430"/>
      <c r="C92" s="430"/>
      <c r="D92" s="430"/>
      <c r="E92" s="430"/>
      <c r="F92" s="430"/>
      <c r="G92" s="430"/>
      <c r="H92" s="430"/>
      <c r="I92" s="430"/>
      <c r="J92" s="430"/>
      <c r="K92" s="430"/>
      <c r="L92" s="430"/>
      <c r="M92" s="430"/>
      <c r="N92" s="430"/>
      <c r="O92" s="430"/>
      <c r="P92" s="430"/>
      <c r="Q92" s="430"/>
      <c r="R92" s="430"/>
      <c r="S92" s="430"/>
      <c r="T92" s="430"/>
      <c r="U92" s="430"/>
      <c r="V92" s="430"/>
      <c r="W92" s="430"/>
      <c r="X92" s="430"/>
      <c r="Y92" s="430"/>
      <c r="Z92" s="430"/>
      <c r="AA92" s="430"/>
      <c r="AB92" s="430"/>
      <c r="AC92" s="430"/>
      <c r="AD92" s="430"/>
      <c r="AE92" s="430"/>
      <c r="AF92" s="430"/>
      <c r="AG92" s="430"/>
      <c r="AH92" s="430"/>
      <c r="AI92" s="430"/>
      <c r="AJ92" s="430"/>
      <c r="AK92" s="430"/>
      <c r="AL92" s="430"/>
      <c r="AM92" s="430"/>
      <c r="AN92" s="430"/>
      <c r="AO92" s="430"/>
      <c r="AP92" s="430"/>
      <c r="AQ92" s="430"/>
      <c r="AR92" s="430"/>
      <c r="AS92" s="430"/>
      <c r="AT92" s="430"/>
      <c r="AU92" s="430"/>
      <c r="AV92" s="430"/>
      <c r="AW92" s="430"/>
      <c r="AX92" s="430"/>
      <c r="AY92" s="430"/>
    </row>
    <row r="93" spans="1:51">
      <c r="A93" s="430"/>
      <c r="B93" s="430"/>
      <c r="C93" s="430"/>
      <c r="D93" s="430"/>
      <c r="E93" s="430"/>
      <c r="F93" s="430"/>
      <c r="G93" s="430"/>
      <c r="H93" s="430"/>
      <c r="I93" s="430"/>
      <c r="J93" s="430"/>
      <c r="K93" s="430"/>
      <c r="L93" s="430"/>
      <c r="M93" s="430"/>
      <c r="N93" s="430"/>
      <c r="O93" s="430"/>
      <c r="P93" s="430"/>
      <c r="Q93" s="430"/>
      <c r="R93" s="430"/>
      <c r="S93" s="430"/>
      <c r="T93" s="430"/>
      <c r="U93" s="430"/>
      <c r="V93" s="430"/>
      <c r="W93" s="430"/>
      <c r="X93" s="430"/>
      <c r="Y93" s="430"/>
      <c r="Z93" s="430"/>
      <c r="AA93" s="430"/>
      <c r="AB93" s="430"/>
      <c r="AC93" s="430"/>
      <c r="AD93" s="430"/>
      <c r="AE93" s="430"/>
      <c r="AF93" s="430"/>
      <c r="AG93" s="430"/>
      <c r="AH93" s="430"/>
      <c r="AI93" s="430"/>
      <c r="AJ93" s="430"/>
      <c r="AK93" s="430"/>
      <c r="AL93" s="430"/>
      <c r="AM93" s="430"/>
      <c r="AN93" s="430"/>
      <c r="AO93" s="430"/>
      <c r="AP93" s="430"/>
      <c r="AQ93" s="430"/>
      <c r="AR93" s="430"/>
      <c r="AS93" s="430"/>
      <c r="AT93" s="430"/>
      <c r="AU93" s="430"/>
      <c r="AV93" s="430"/>
      <c r="AW93" s="430"/>
      <c r="AX93" s="430"/>
      <c r="AY93" s="430"/>
    </row>
    <row r="94" spans="1:51">
      <c r="A94" s="430"/>
      <c r="B94" s="430"/>
      <c r="C94" s="430"/>
      <c r="D94" s="430"/>
      <c r="E94" s="430"/>
      <c r="F94" s="430"/>
      <c r="G94" s="430"/>
      <c r="H94" s="430"/>
      <c r="I94" s="430"/>
      <c r="J94" s="430"/>
      <c r="K94" s="430"/>
      <c r="L94" s="430"/>
      <c r="M94" s="430"/>
      <c r="N94" s="430"/>
      <c r="O94" s="430"/>
      <c r="P94" s="430"/>
      <c r="Q94" s="430"/>
      <c r="R94" s="430"/>
      <c r="S94" s="430"/>
      <c r="T94" s="430"/>
      <c r="U94" s="430"/>
      <c r="V94" s="430"/>
      <c r="W94" s="430"/>
      <c r="X94" s="430"/>
      <c r="Y94" s="430"/>
      <c r="Z94" s="430"/>
      <c r="AA94" s="430"/>
      <c r="AB94" s="430"/>
      <c r="AC94" s="430"/>
      <c r="AD94" s="430"/>
      <c r="AE94" s="430"/>
      <c r="AF94" s="430"/>
      <c r="AG94" s="430"/>
      <c r="AH94" s="430"/>
      <c r="AI94" s="430"/>
      <c r="AJ94" s="430"/>
      <c r="AK94" s="430"/>
      <c r="AL94" s="430"/>
      <c r="AM94" s="430"/>
      <c r="AN94" s="430"/>
      <c r="AO94" s="430"/>
      <c r="AP94" s="430"/>
      <c r="AQ94" s="430"/>
      <c r="AR94" s="430"/>
      <c r="AS94" s="430"/>
      <c r="AT94" s="430"/>
      <c r="AU94" s="430"/>
      <c r="AV94" s="430"/>
      <c r="AW94" s="430"/>
      <c r="AX94" s="430"/>
      <c r="AY94" s="430"/>
    </row>
    <row r="95" spans="1:51">
      <c r="A95" s="430"/>
      <c r="B95" s="430"/>
      <c r="C95" s="430"/>
      <c r="D95" s="430"/>
      <c r="E95" s="430"/>
      <c r="F95" s="430"/>
      <c r="G95" s="430"/>
      <c r="H95" s="430"/>
      <c r="I95" s="430"/>
      <c r="J95" s="430"/>
      <c r="K95" s="430"/>
      <c r="L95" s="430"/>
      <c r="M95" s="430"/>
      <c r="N95" s="430"/>
      <c r="O95" s="430"/>
      <c r="P95" s="430"/>
      <c r="Q95" s="430"/>
      <c r="R95" s="430"/>
      <c r="S95" s="430"/>
      <c r="T95" s="430"/>
      <c r="U95" s="430"/>
      <c r="V95" s="430"/>
      <c r="W95" s="430"/>
      <c r="X95" s="430"/>
      <c r="Y95" s="430"/>
      <c r="Z95" s="430"/>
      <c r="AA95" s="430"/>
      <c r="AB95" s="430"/>
      <c r="AC95" s="430"/>
      <c r="AD95" s="430"/>
      <c r="AE95" s="430"/>
      <c r="AF95" s="430"/>
      <c r="AG95" s="430"/>
      <c r="AH95" s="430"/>
      <c r="AI95" s="430"/>
      <c r="AJ95" s="430"/>
      <c r="AK95" s="430"/>
      <c r="AL95" s="430"/>
      <c r="AM95" s="430"/>
      <c r="AN95" s="430"/>
      <c r="AO95" s="430"/>
      <c r="AP95" s="430"/>
      <c r="AQ95" s="430"/>
      <c r="AR95" s="430"/>
      <c r="AS95" s="430"/>
      <c r="AT95" s="430"/>
      <c r="AU95" s="430"/>
      <c r="AV95" s="430"/>
      <c r="AW95" s="430"/>
      <c r="AX95" s="430"/>
      <c r="AY95" s="430"/>
    </row>
    <row r="96" spans="1:51">
      <c r="A96" s="430"/>
      <c r="B96" s="430"/>
      <c r="C96" s="430"/>
      <c r="D96" s="430"/>
      <c r="E96" s="430"/>
      <c r="F96" s="430"/>
      <c r="G96" s="430"/>
      <c r="H96" s="430"/>
      <c r="I96" s="430"/>
      <c r="J96" s="430"/>
      <c r="K96" s="430"/>
      <c r="L96" s="430"/>
      <c r="M96" s="430"/>
      <c r="N96" s="430"/>
      <c r="O96" s="430"/>
      <c r="P96" s="430"/>
      <c r="Q96" s="430"/>
      <c r="R96" s="430"/>
      <c r="S96" s="430"/>
      <c r="T96" s="430"/>
      <c r="U96" s="430"/>
      <c r="V96" s="430"/>
      <c r="W96" s="430"/>
      <c r="X96" s="430"/>
      <c r="Y96" s="430"/>
      <c r="Z96" s="430"/>
      <c r="AA96" s="430"/>
      <c r="AB96" s="430"/>
      <c r="AC96" s="430"/>
      <c r="AD96" s="430"/>
      <c r="AE96" s="430"/>
      <c r="AF96" s="430"/>
      <c r="AG96" s="430"/>
      <c r="AH96" s="430"/>
      <c r="AI96" s="430"/>
      <c r="AJ96" s="430"/>
      <c r="AK96" s="430"/>
      <c r="AL96" s="430"/>
      <c r="AM96" s="430"/>
      <c r="AN96" s="430"/>
      <c r="AO96" s="430"/>
      <c r="AP96" s="430"/>
      <c r="AQ96" s="430"/>
      <c r="AR96" s="430"/>
      <c r="AS96" s="430"/>
      <c r="AT96" s="430"/>
      <c r="AU96" s="430"/>
      <c r="AV96" s="430"/>
      <c r="AW96" s="430"/>
      <c r="AX96" s="430"/>
      <c r="AY96" s="430"/>
    </row>
    <row r="97" spans="1:51">
      <c r="A97" s="430"/>
      <c r="B97" s="430"/>
      <c r="C97" s="430"/>
      <c r="D97" s="430"/>
      <c r="E97" s="430"/>
      <c r="F97" s="430"/>
      <c r="G97" s="430"/>
      <c r="H97" s="430"/>
      <c r="I97" s="430"/>
      <c r="J97" s="430"/>
      <c r="K97" s="430"/>
      <c r="L97" s="430"/>
      <c r="M97" s="430"/>
      <c r="N97" s="430"/>
      <c r="O97" s="430"/>
      <c r="P97" s="430"/>
      <c r="Q97" s="430"/>
      <c r="R97" s="430"/>
      <c r="S97" s="430"/>
      <c r="T97" s="430"/>
      <c r="U97" s="430"/>
      <c r="V97" s="430"/>
      <c r="W97" s="430"/>
      <c r="X97" s="430"/>
      <c r="Y97" s="430"/>
      <c r="Z97" s="430"/>
      <c r="AA97" s="430"/>
      <c r="AB97" s="430"/>
      <c r="AC97" s="430"/>
      <c r="AD97" s="430"/>
      <c r="AE97" s="430"/>
      <c r="AF97" s="430"/>
      <c r="AG97" s="430"/>
      <c r="AH97" s="430"/>
      <c r="AI97" s="430"/>
      <c r="AJ97" s="430"/>
      <c r="AK97" s="430"/>
      <c r="AL97" s="430"/>
      <c r="AM97" s="430"/>
      <c r="AN97" s="430"/>
      <c r="AO97" s="430"/>
      <c r="AP97" s="430"/>
      <c r="AQ97" s="430"/>
      <c r="AR97" s="430"/>
      <c r="AS97" s="430"/>
      <c r="AT97" s="430"/>
      <c r="AU97" s="430"/>
      <c r="AV97" s="430"/>
      <c r="AW97" s="430"/>
      <c r="AX97" s="430"/>
      <c r="AY97" s="430"/>
    </row>
    <row r="98" spans="1:51">
      <c r="A98" s="430"/>
      <c r="B98" s="430"/>
      <c r="C98" s="430"/>
      <c r="D98" s="430"/>
      <c r="E98" s="430"/>
      <c r="F98" s="430"/>
      <c r="G98" s="430"/>
      <c r="H98" s="430"/>
      <c r="I98" s="430"/>
      <c r="J98" s="430"/>
      <c r="K98" s="430"/>
      <c r="L98" s="430"/>
      <c r="M98" s="430"/>
      <c r="N98" s="430"/>
      <c r="O98" s="430"/>
      <c r="P98" s="430"/>
      <c r="Q98" s="430"/>
      <c r="R98" s="430"/>
      <c r="S98" s="430"/>
      <c r="T98" s="430"/>
      <c r="U98" s="430"/>
      <c r="V98" s="430"/>
      <c r="W98" s="430"/>
      <c r="X98" s="430"/>
      <c r="Y98" s="430"/>
      <c r="Z98" s="430"/>
      <c r="AA98" s="430"/>
      <c r="AB98" s="430"/>
      <c r="AC98" s="430"/>
      <c r="AD98" s="430"/>
      <c r="AE98" s="430"/>
      <c r="AF98" s="430"/>
      <c r="AG98" s="430"/>
      <c r="AH98" s="430"/>
      <c r="AI98" s="430"/>
      <c r="AJ98" s="430"/>
      <c r="AK98" s="430"/>
      <c r="AL98" s="430"/>
      <c r="AM98" s="430"/>
      <c r="AN98" s="430"/>
      <c r="AO98" s="430"/>
      <c r="AP98" s="430"/>
      <c r="AQ98" s="430"/>
      <c r="AR98" s="430"/>
      <c r="AS98" s="430"/>
      <c r="AT98" s="430"/>
      <c r="AU98" s="430"/>
      <c r="AV98" s="430"/>
      <c r="AW98" s="430"/>
      <c r="AX98" s="430"/>
      <c r="AY98" s="430"/>
    </row>
    <row r="99" spans="1:51">
      <c r="A99" s="430"/>
      <c r="B99" s="430"/>
      <c r="C99" s="430"/>
      <c r="D99" s="430"/>
      <c r="E99" s="430"/>
      <c r="F99" s="430"/>
      <c r="G99" s="430"/>
      <c r="H99" s="430"/>
      <c r="I99" s="430"/>
      <c r="J99" s="430"/>
      <c r="K99" s="430"/>
      <c r="L99" s="430"/>
      <c r="M99" s="430"/>
      <c r="N99" s="430"/>
      <c r="O99" s="430"/>
      <c r="P99" s="430"/>
      <c r="Q99" s="430"/>
      <c r="R99" s="430"/>
      <c r="S99" s="430"/>
      <c r="T99" s="430"/>
      <c r="U99" s="430"/>
      <c r="V99" s="430"/>
      <c r="W99" s="430"/>
      <c r="X99" s="430"/>
      <c r="Y99" s="430"/>
      <c r="Z99" s="430"/>
      <c r="AA99" s="430"/>
      <c r="AB99" s="430"/>
      <c r="AC99" s="430"/>
      <c r="AD99" s="430"/>
      <c r="AE99" s="430"/>
      <c r="AF99" s="430"/>
      <c r="AG99" s="430"/>
      <c r="AH99" s="430"/>
      <c r="AI99" s="430"/>
      <c r="AJ99" s="430"/>
      <c r="AK99" s="430"/>
      <c r="AL99" s="430"/>
      <c r="AM99" s="430"/>
      <c r="AN99" s="430"/>
      <c r="AO99" s="430"/>
      <c r="AP99" s="430"/>
      <c r="AQ99" s="430"/>
      <c r="AR99" s="430"/>
      <c r="AS99" s="430"/>
      <c r="AT99" s="430"/>
      <c r="AU99" s="430"/>
      <c r="AV99" s="430"/>
      <c r="AW99" s="430"/>
      <c r="AX99" s="430"/>
      <c r="AY99" s="430"/>
    </row>
    <row r="100" spans="1:51">
      <c r="A100" s="430"/>
      <c r="B100" s="430"/>
      <c r="C100" s="430"/>
      <c r="D100" s="430"/>
      <c r="E100" s="430"/>
      <c r="F100" s="430"/>
      <c r="G100" s="430"/>
      <c r="H100" s="430"/>
      <c r="I100" s="430"/>
      <c r="J100" s="430"/>
      <c r="K100" s="430"/>
      <c r="L100" s="430"/>
      <c r="M100" s="430"/>
      <c r="N100" s="430"/>
      <c r="O100" s="430"/>
      <c r="P100" s="430"/>
      <c r="Q100" s="430"/>
      <c r="R100" s="430"/>
      <c r="S100" s="430"/>
      <c r="T100" s="430"/>
      <c r="U100" s="430"/>
      <c r="V100" s="430"/>
      <c r="W100" s="430"/>
      <c r="X100" s="430"/>
      <c r="Y100" s="430"/>
      <c r="Z100" s="430"/>
      <c r="AA100" s="430"/>
      <c r="AB100" s="430"/>
      <c r="AC100" s="430"/>
      <c r="AD100" s="430"/>
      <c r="AE100" s="430"/>
      <c r="AF100" s="430"/>
      <c r="AG100" s="430"/>
      <c r="AH100" s="430"/>
      <c r="AI100" s="430"/>
      <c r="AJ100" s="430"/>
      <c r="AK100" s="430"/>
      <c r="AL100" s="430"/>
      <c r="AM100" s="430"/>
      <c r="AN100" s="430"/>
      <c r="AO100" s="430"/>
      <c r="AP100" s="430"/>
      <c r="AQ100" s="430"/>
      <c r="AR100" s="430"/>
      <c r="AS100" s="430"/>
      <c r="AT100" s="430"/>
      <c r="AU100" s="430"/>
      <c r="AV100" s="430"/>
      <c r="AW100" s="430"/>
      <c r="AX100" s="430"/>
      <c r="AY100" s="430"/>
    </row>
    <row r="101" spans="1:51">
      <c r="A101" s="430"/>
      <c r="B101" s="430"/>
      <c r="C101" s="430"/>
      <c r="D101" s="430"/>
      <c r="E101" s="430"/>
      <c r="F101" s="430"/>
      <c r="G101" s="430"/>
      <c r="H101" s="430"/>
      <c r="I101" s="430"/>
      <c r="J101" s="430"/>
      <c r="K101" s="430"/>
      <c r="L101" s="430"/>
      <c r="M101" s="430"/>
      <c r="N101" s="430"/>
      <c r="O101" s="430"/>
      <c r="P101" s="430"/>
      <c r="Q101" s="430"/>
      <c r="R101" s="430"/>
      <c r="S101" s="430"/>
      <c r="T101" s="430"/>
      <c r="U101" s="430"/>
      <c r="V101" s="430"/>
      <c r="W101" s="430"/>
      <c r="X101" s="430"/>
      <c r="Y101" s="430"/>
      <c r="Z101" s="430"/>
      <c r="AA101" s="430"/>
      <c r="AB101" s="430"/>
      <c r="AC101" s="430"/>
      <c r="AD101" s="430"/>
      <c r="AE101" s="430"/>
      <c r="AF101" s="430"/>
      <c r="AG101" s="430"/>
      <c r="AH101" s="430"/>
      <c r="AI101" s="430"/>
      <c r="AJ101" s="430"/>
      <c r="AK101" s="430"/>
      <c r="AL101" s="430"/>
      <c r="AM101" s="430"/>
      <c r="AN101" s="430"/>
      <c r="AO101" s="430"/>
      <c r="AP101" s="430"/>
      <c r="AQ101" s="430"/>
      <c r="AR101" s="430"/>
      <c r="AS101" s="430"/>
      <c r="AT101" s="430"/>
      <c r="AU101" s="430"/>
      <c r="AV101" s="430"/>
      <c r="AW101" s="430"/>
      <c r="AX101" s="430"/>
      <c r="AY101" s="430"/>
    </row>
    <row r="102" spans="1:51">
      <c r="A102" s="430"/>
      <c r="B102" s="430"/>
      <c r="C102" s="430"/>
      <c r="D102" s="430"/>
      <c r="E102" s="430"/>
      <c r="F102" s="430"/>
      <c r="G102" s="430"/>
      <c r="H102" s="430"/>
      <c r="I102" s="430"/>
      <c r="J102" s="430"/>
      <c r="K102" s="430"/>
      <c r="L102" s="430"/>
      <c r="M102" s="430"/>
      <c r="N102" s="430"/>
      <c r="O102" s="430"/>
      <c r="P102" s="430"/>
      <c r="Q102" s="430"/>
      <c r="R102" s="430"/>
      <c r="S102" s="430"/>
      <c r="T102" s="430"/>
      <c r="U102" s="430"/>
      <c r="V102" s="430"/>
      <c r="W102" s="430"/>
      <c r="X102" s="430"/>
      <c r="Y102" s="430"/>
      <c r="Z102" s="430"/>
      <c r="AA102" s="430"/>
      <c r="AB102" s="430"/>
      <c r="AC102" s="430"/>
      <c r="AD102" s="430"/>
      <c r="AE102" s="430"/>
      <c r="AF102" s="430"/>
      <c r="AG102" s="430"/>
      <c r="AH102" s="430"/>
      <c r="AI102" s="430"/>
      <c r="AJ102" s="430"/>
      <c r="AK102" s="430"/>
      <c r="AL102" s="430"/>
      <c r="AM102" s="430"/>
      <c r="AN102" s="430"/>
      <c r="AO102" s="430"/>
      <c r="AP102" s="430"/>
      <c r="AQ102" s="430"/>
      <c r="AR102" s="430"/>
      <c r="AS102" s="430"/>
      <c r="AT102" s="430"/>
      <c r="AU102" s="430"/>
      <c r="AV102" s="430"/>
      <c r="AW102" s="430"/>
      <c r="AX102" s="430"/>
      <c r="AY102" s="430"/>
    </row>
    <row r="103" spans="1:51">
      <c r="A103" s="430"/>
      <c r="B103" s="430"/>
      <c r="C103" s="430"/>
      <c r="D103" s="430"/>
      <c r="E103" s="430"/>
      <c r="F103" s="430"/>
      <c r="G103" s="430"/>
      <c r="H103" s="430"/>
      <c r="I103" s="430"/>
      <c r="J103" s="430"/>
      <c r="K103" s="430"/>
      <c r="L103" s="430"/>
      <c r="M103" s="430"/>
      <c r="N103" s="430"/>
      <c r="O103" s="430"/>
      <c r="P103" s="430"/>
      <c r="Q103" s="430"/>
      <c r="R103" s="430"/>
      <c r="S103" s="430"/>
      <c r="T103" s="430"/>
      <c r="U103" s="430"/>
      <c r="V103" s="430"/>
      <c r="W103" s="430"/>
      <c r="X103" s="430"/>
      <c r="Y103" s="430"/>
      <c r="Z103" s="430"/>
      <c r="AA103" s="430"/>
      <c r="AB103" s="430"/>
      <c r="AC103" s="430"/>
      <c r="AD103" s="430"/>
      <c r="AE103" s="430"/>
      <c r="AF103" s="430"/>
      <c r="AG103" s="430"/>
      <c r="AH103" s="430"/>
      <c r="AI103" s="430"/>
      <c r="AJ103" s="430"/>
      <c r="AK103" s="430"/>
      <c r="AL103" s="430"/>
      <c r="AM103" s="430"/>
      <c r="AN103" s="430"/>
      <c r="AO103" s="430"/>
      <c r="AP103" s="430"/>
      <c r="AQ103" s="430"/>
      <c r="AR103" s="430"/>
      <c r="AS103" s="430"/>
      <c r="AT103" s="430"/>
      <c r="AU103" s="430"/>
      <c r="AV103" s="430"/>
      <c r="AW103" s="430"/>
      <c r="AX103" s="430"/>
      <c r="AY103" s="430"/>
    </row>
    <row r="104" spans="1:51">
      <c r="A104" s="430"/>
      <c r="B104" s="430"/>
      <c r="C104" s="430"/>
      <c r="D104" s="430"/>
      <c r="E104" s="430"/>
      <c r="F104" s="430"/>
      <c r="G104" s="430"/>
      <c r="H104" s="430"/>
      <c r="I104" s="430"/>
      <c r="J104" s="430"/>
      <c r="K104" s="430"/>
      <c r="L104" s="430"/>
      <c r="M104" s="430"/>
      <c r="N104" s="430"/>
      <c r="O104" s="430"/>
      <c r="P104" s="430"/>
      <c r="Q104" s="430"/>
      <c r="R104" s="430"/>
      <c r="S104" s="430"/>
      <c r="T104" s="430"/>
      <c r="U104" s="430"/>
      <c r="V104" s="430"/>
      <c r="W104" s="430"/>
      <c r="X104" s="430"/>
      <c r="Y104" s="430"/>
      <c r="Z104" s="430"/>
      <c r="AA104" s="430"/>
      <c r="AB104" s="430"/>
      <c r="AC104" s="430"/>
      <c r="AD104" s="430"/>
      <c r="AE104" s="430"/>
      <c r="AF104" s="430"/>
      <c r="AG104" s="430"/>
      <c r="AH104" s="430"/>
      <c r="AI104" s="430"/>
      <c r="AJ104" s="430"/>
      <c r="AK104" s="430"/>
      <c r="AL104" s="430"/>
      <c r="AM104" s="430"/>
      <c r="AN104" s="430"/>
      <c r="AO104" s="430"/>
      <c r="AP104" s="430"/>
      <c r="AQ104" s="430"/>
      <c r="AR104" s="430"/>
      <c r="AS104" s="430"/>
      <c r="AT104" s="430"/>
      <c r="AU104" s="430"/>
      <c r="AV104" s="430"/>
      <c r="AW104" s="430"/>
      <c r="AX104" s="430"/>
      <c r="AY104" s="430"/>
    </row>
    <row r="105" spans="1:51">
      <c r="A105" s="430"/>
      <c r="B105" s="430"/>
      <c r="C105" s="430"/>
      <c r="D105" s="430"/>
      <c r="E105" s="430"/>
      <c r="F105" s="430"/>
      <c r="G105" s="430"/>
      <c r="H105" s="430"/>
      <c r="I105" s="430"/>
      <c r="J105" s="430"/>
      <c r="K105" s="430"/>
      <c r="L105" s="430"/>
      <c r="M105" s="430"/>
      <c r="N105" s="430"/>
      <c r="O105" s="430"/>
      <c r="P105" s="430"/>
      <c r="Q105" s="430"/>
      <c r="R105" s="430"/>
      <c r="S105" s="430"/>
      <c r="T105" s="430"/>
      <c r="U105" s="430"/>
      <c r="V105" s="430"/>
      <c r="W105" s="430"/>
      <c r="X105" s="430"/>
      <c r="Y105" s="430"/>
      <c r="Z105" s="430"/>
      <c r="AA105" s="430"/>
      <c r="AB105" s="430"/>
      <c r="AC105" s="430"/>
      <c r="AD105" s="430"/>
      <c r="AE105" s="430"/>
      <c r="AF105" s="430"/>
      <c r="AG105" s="430"/>
      <c r="AH105" s="430"/>
      <c r="AI105" s="430"/>
      <c r="AJ105" s="430"/>
      <c r="AK105" s="430"/>
      <c r="AL105" s="430"/>
      <c r="AM105" s="430"/>
      <c r="AN105" s="430"/>
      <c r="AO105" s="430"/>
      <c r="AP105" s="430"/>
      <c r="AQ105" s="430"/>
      <c r="AR105" s="430"/>
      <c r="AS105" s="430"/>
      <c r="AT105" s="430"/>
      <c r="AU105" s="430"/>
      <c r="AV105" s="430"/>
      <c r="AW105" s="430"/>
      <c r="AX105" s="430"/>
      <c r="AY105" s="430"/>
    </row>
    <row r="106" spans="1:51">
      <c r="A106" s="430"/>
      <c r="B106" s="451"/>
      <c r="C106" s="430"/>
      <c r="D106" s="451"/>
      <c r="E106" s="430"/>
      <c r="F106" s="430"/>
      <c r="G106" s="430"/>
      <c r="H106" s="430"/>
      <c r="I106" s="430"/>
      <c r="J106" s="430"/>
      <c r="K106" s="430"/>
      <c r="L106" s="430"/>
      <c r="M106" s="430"/>
      <c r="N106" s="430"/>
      <c r="O106" s="430"/>
      <c r="P106" s="430"/>
      <c r="Q106" s="430"/>
      <c r="R106" s="430"/>
      <c r="S106" s="430"/>
      <c r="T106" s="430"/>
      <c r="U106" s="430"/>
      <c r="V106" s="430"/>
      <c r="W106" s="430"/>
      <c r="X106" s="430"/>
      <c r="Y106" s="430"/>
      <c r="Z106" s="430"/>
      <c r="AA106" s="430"/>
      <c r="AB106" s="430"/>
      <c r="AC106" s="430"/>
      <c r="AD106" s="430"/>
      <c r="AE106" s="430"/>
      <c r="AF106" s="430"/>
      <c r="AG106" s="430"/>
      <c r="AH106" s="430"/>
      <c r="AI106" s="430"/>
      <c r="AJ106" s="430"/>
      <c r="AK106" s="430"/>
      <c r="AL106" s="430"/>
      <c r="AM106" s="430"/>
      <c r="AN106" s="430"/>
      <c r="AO106" s="430"/>
      <c r="AP106" s="430"/>
      <c r="AQ106" s="430"/>
      <c r="AR106" s="430"/>
      <c r="AS106" s="430"/>
      <c r="AT106" s="430"/>
      <c r="AU106" s="430"/>
      <c r="AV106" s="430"/>
      <c r="AW106" s="430"/>
      <c r="AX106" s="430"/>
      <c r="AY106" s="430"/>
    </row>
    <row r="107" spans="1:51">
      <c r="A107" s="430"/>
      <c r="B107" s="451"/>
      <c r="C107" s="430"/>
      <c r="D107" s="451"/>
      <c r="E107" s="430"/>
      <c r="F107" s="430"/>
      <c r="G107" s="430"/>
      <c r="H107" s="430"/>
      <c r="I107" s="430"/>
      <c r="J107" s="430"/>
      <c r="K107" s="430"/>
      <c r="L107" s="430"/>
      <c r="M107" s="430"/>
      <c r="N107" s="430"/>
      <c r="O107" s="430"/>
      <c r="P107" s="430"/>
      <c r="Q107" s="430"/>
      <c r="R107" s="430"/>
      <c r="S107" s="430"/>
      <c r="T107" s="430"/>
      <c r="U107" s="430"/>
      <c r="V107" s="430"/>
      <c r="W107" s="430"/>
      <c r="X107" s="430"/>
      <c r="Y107" s="430"/>
      <c r="Z107" s="430"/>
      <c r="AA107" s="430"/>
      <c r="AB107" s="430"/>
      <c r="AC107" s="430"/>
      <c r="AD107" s="430"/>
      <c r="AE107" s="430"/>
      <c r="AF107" s="430"/>
      <c r="AG107" s="430"/>
      <c r="AH107" s="430"/>
      <c r="AI107" s="430"/>
      <c r="AJ107" s="430"/>
      <c r="AK107" s="430"/>
      <c r="AL107" s="430"/>
      <c r="AM107" s="430"/>
      <c r="AN107" s="430"/>
      <c r="AO107" s="430"/>
      <c r="AP107" s="430"/>
      <c r="AQ107" s="430"/>
      <c r="AR107" s="430"/>
      <c r="AS107" s="430"/>
      <c r="AT107" s="430"/>
      <c r="AU107" s="430"/>
      <c r="AV107" s="430"/>
      <c r="AW107" s="430"/>
      <c r="AX107" s="430"/>
      <c r="AY107" s="430"/>
    </row>
    <row r="108" spans="1:51">
      <c r="A108" s="430"/>
      <c r="B108" s="451"/>
      <c r="C108" s="430"/>
      <c r="D108" s="451"/>
      <c r="E108" s="430"/>
      <c r="F108" s="430"/>
      <c r="G108" s="430"/>
      <c r="H108" s="430"/>
      <c r="I108" s="430"/>
      <c r="J108" s="430"/>
      <c r="K108" s="430"/>
      <c r="L108" s="430"/>
      <c r="M108" s="430"/>
      <c r="N108" s="430"/>
      <c r="O108" s="430"/>
      <c r="P108" s="430"/>
      <c r="Q108" s="430"/>
      <c r="R108" s="430"/>
      <c r="S108" s="430"/>
      <c r="T108" s="430"/>
      <c r="U108" s="430"/>
      <c r="V108" s="430"/>
      <c r="W108" s="430"/>
      <c r="X108" s="430"/>
      <c r="Y108" s="430"/>
      <c r="Z108" s="430"/>
      <c r="AA108" s="430"/>
      <c r="AB108" s="430"/>
      <c r="AC108" s="430"/>
      <c r="AD108" s="430"/>
      <c r="AE108" s="430"/>
      <c r="AF108" s="430"/>
      <c r="AG108" s="430"/>
      <c r="AH108" s="430"/>
      <c r="AI108" s="430"/>
      <c r="AJ108" s="430"/>
      <c r="AK108" s="430"/>
      <c r="AL108" s="430"/>
      <c r="AM108" s="430"/>
      <c r="AN108" s="430"/>
      <c r="AO108" s="430"/>
      <c r="AP108" s="430"/>
      <c r="AQ108" s="430"/>
      <c r="AR108" s="430"/>
      <c r="AS108" s="430"/>
      <c r="AT108" s="430"/>
      <c r="AU108" s="430"/>
      <c r="AV108" s="430"/>
      <c r="AW108" s="430"/>
      <c r="AX108" s="430"/>
      <c r="AY108" s="430"/>
    </row>
    <row r="109" spans="1:51">
      <c r="A109" s="430"/>
      <c r="B109" s="451"/>
      <c r="C109" s="430"/>
      <c r="D109" s="451"/>
      <c r="E109" s="430"/>
      <c r="F109" s="430"/>
      <c r="G109" s="430"/>
      <c r="H109" s="430"/>
      <c r="I109" s="430"/>
      <c r="J109" s="430"/>
      <c r="K109" s="430"/>
      <c r="L109" s="430"/>
      <c r="M109" s="430"/>
      <c r="N109" s="430"/>
      <c r="O109" s="430"/>
      <c r="P109" s="430"/>
      <c r="Q109" s="430"/>
      <c r="R109" s="430"/>
      <c r="S109" s="430"/>
      <c r="T109" s="430"/>
      <c r="U109" s="430"/>
      <c r="V109" s="430"/>
      <c r="W109" s="430"/>
      <c r="X109" s="430"/>
      <c r="Y109" s="430"/>
      <c r="Z109" s="430"/>
      <c r="AA109" s="430"/>
      <c r="AB109" s="430"/>
      <c r="AC109" s="430"/>
      <c r="AD109" s="430"/>
      <c r="AE109" s="430"/>
      <c r="AF109" s="430"/>
      <c r="AG109" s="430"/>
      <c r="AH109" s="430"/>
      <c r="AI109" s="430"/>
      <c r="AJ109" s="430"/>
      <c r="AK109" s="430"/>
      <c r="AL109" s="430"/>
      <c r="AM109" s="430"/>
      <c r="AN109" s="430"/>
      <c r="AO109" s="430"/>
      <c r="AP109" s="430"/>
      <c r="AQ109" s="430"/>
      <c r="AR109" s="430"/>
      <c r="AS109" s="430"/>
      <c r="AT109" s="430"/>
      <c r="AU109" s="430"/>
      <c r="AV109" s="430"/>
      <c r="AW109" s="430"/>
      <c r="AX109" s="430"/>
      <c r="AY109" s="430"/>
    </row>
    <row r="110" spans="1:51">
      <c r="A110" s="430"/>
      <c r="B110" s="451"/>
      <c r="C110" s="430"/>
      <c r="D110" s="451"/>
      <c r="E110" s="430"/>
      <c r="F110" s="430"/>
      <c r="G110" s="430"/>
      <c r="H110" s="430"/>
      <c r="I110" s="430"/>
      <c r="J110" s="430"/>
      <c r="K110" s="430"/>
      <c r="L110" s="430"/>
      <c r="M110" s="430"/>
      <c r="N110" s="430"/>
      <c r="O110" s="430"/>
      <c r="P110" s="430"/>
      <c r="Q110" s="430"/>
      <c r="R110" s="430"/>
      <c r="S110" s="430"/>
      <c r="T110" s="430"/>
      <c r="U110" s="430"/>
      <c r="V110" s="430"/>
      <c r="W110" s="430"/>
      <c r="X110" s="430"/>
      <c r="Y110" s="430"/>
      <c r="Z110" s="430"/>
      <c r="AA110" s="430"/>
      <c r="AB110" s="430"/>
      <c r="AC110" s="430"/>
      <c r="AD110" s="430"/>
      <c r="AE110" s="430"/>
      <c r="AF110" s="430"/>
      <c r="AG110" s="430"/>
      <c r="AH110" s="430"/>
      <c r="AI110" s="430"/>
      <c r="AJ110" s="430"/>
      <c r="AK110" s="430"/>
      <c r="AL110" s="430"/>
      <c r="AM110" s="430"/>
      <c r="AN110" s="430"/>
      <c r="AO110" s="430"/>
      <c r="AP110" s="430"/>
      <c r="AQ110" s="430"/>
      <c r="AR110" s="430"/>
      <c r="AS110" s="430"/>
      <c r="AT110" s="430"/>
      <c r="AU110" s="430"/>
      <c r="AV110" s="430"/>
      <c r="AW110" s="430"/>
      <c r="AX110" s="430"/>
      <c r="AY110" s="430"/>
    </row>
    <row r="111" spans="1:51">
      <c r="A111" s="430"/>
      <c r="B111" s="451"/>
      <c r="C111" s="430"/>
      <c r="D111" s="451"/>
      <c r="E111" s="430"/>
      <c r="F111" s="430"/>
      <c r="G111" s="430"/>
      <c r="H111" s="430"/>
      <c r="I111" s="430"/>
      <c r="J111" s="430"/>
      <c r="K111" s="430"/>
      <c r="L111" s="430"/>
      <c r="M111" s="430"/>
      <c r="N111" s="430"/>
      <c r="O111" s="430"/>
      <c r="P111" s="430"/>
      <c r="Q111" s="430"/>
      <c r="R111" s="430"/>
      <c r="S111" s="430"/>
      <c r="T111" s="430"/>
      <c r="U111" s="430"/>
      <c r="V111" s="430"/>
      <c r="W111" s="430"/>
      <c r="X111" s="430"/>
      <c r="Y111" s="430"/>
      <c r="Z111" s="430"/>
      <c r="AA111" s="430"/>
      <c r="AB111" s="430"/>
      <c r="AC111" s="430"/>
      <c r="AD111" s="430"/>
      <c r="AE111" s="430"/>
      <c r="AF111" s="430"/>
      <c r="AG111" s="430"/>
      <c r="AH111" s="430"/>
      <c r="AI111" s="430"/>
      <c r="AJ111" s="430"/>
      <c r="AK111" s="430"/>
      <c r="AL111" s="430"/>
      <c r="AM111" s="430"/>
      <c r="AN111" s="430"/>
      <c r="AO111" s="430"/>
      <c r="AP111" s="430"/>
      <c r="AQ111" s="430"/>
      <c r="AR111" s="430"/>
      <c r="AS111" s="430"/>
      <c r="AT111" s="430"/>
      <c r="AU111" s="430"/>
      <c r="AV111" s="430"/>
      <c r="AW111" s="430"/>
      <c r="AX111" s="430"/>
      <c r="AY111" s="430"/>
    </row>
    <row r="112" spans="1:51">
      <c r="A112" s="430"/>
      <c r="B112" s="451"/>
      <c r="C112" s="430"/>
      <c r="D112" s="451"/>
      <c r="E112" s="430"/>
      <c r="F112" s="430"/>
      <c r="G112" s="430"/>
      <c r="H112" s="430"/>
      <c r="I112" s="430"/>
      <c r="J112" s="430"/>
      <c r="K112" s="430"/>
      <c r="L112" s="430"/>
      <c r="M112" s="430"/>
      <c r="N112" s="430"/>
      <c r="O112" s="430"/>
      <c r="P112" s="430"/>
      <c r="Q112" s="430"/>
      <c r="R112" s="430"/>
      <c r="S112" s="430"/>
      <c r="T112" s="430"/>
      <c r="U112" s="430"/>
      <c r="V112" s="430"/>
      <c r="W112" s="430"/>
      <c r="X112" s="430"/>
      <c r="Y112" s="430"/>
      <c r="Z112" s="430"/>
      <c r="AA112" s="430"/>
      <c r="AB112" s="430"/>
      <c r="AC112" s="430"/>
      <c r="AD112" s="430"/>
      <c r="AE112" s="430"/>
      <c r="AF112" s="430"/>
      <c r="AG112" s="430"/>
      <c r="AH112" s="430"/>
      <c r="AI112" s="430"/>
      <c r="AJ112" s="430"/>
      <c r="AK112" s="430"/>
      <c r="AL112" s="430"/>
      <c r="AM112" s="430"/>
      <c r="AN112" s="430"/>
      <c r="AO112" s="430"/>
      <c r="AP112" s="430"/>
      <c r="AQ112" s="430"/>
      <c r="AR112" s="430"/>
      <c r="AS112" s="430"/>
      <c r="AT112" s="430"/>
      <c r="AU112" s="430"/>
      <c r="AV112" s="430"/>
      <c r="AW112" s="430"/>
      <c r="AX112" s="430"/>
      <c r="AY112" s="430"/>
    </row>
    <row r="113" spans="1:51">
      <c r="A113" s="430"/>
      <c r="B113" s="451"/>
      <c r="C113" s="430"/>
      <c r="D113" s="451"/>
      <c r="E113" s="430"/>
      <c r="F113" s="430"/>
      <c r="G113" s="430"/>
      <c r="H113" s="430"/>
      <c r="I113" s="430"/>
      <c r="J113" s="430"/>
      <c r="K113" s="430"/>
      <c r="L113" s="430"/>
      <c r="M113" s="430"/>
      <c r="N113" s="430"/>
      <c r="O113" s="430"/>
      <c r="P113" s="430"/>
      <c r="Q113" s="430"/>
      <c r="R113" s="430"/>
      <c r="S113" s="430"/>
      <c r="T113" s="430"/>
      <c r="U113" s="430"/>
      <c r="V113" s="430"/>
      <c r="W113" s="430"/>
      <c r="X113" s="430"/>
      <c r="Y113" s="430"/>
      <c r="Z113" s="430"/>
      <c r="AA113" s="430"/>
      <c r="AB113" s="430"/>
      <c r="AC113" s="430"/>
      <c r="AD113" s="430"/>
      <c r="AE113" s="430"/>
      <c r="AF113" s="430"/>
      <c r="AG113" s="430"/>
      <c r="AH113" s="430"/>
      <c r="AI113" s="430"/>
      <c r="AJ113" s="430"/>
      <c r="AK113" s="430"/>
      <c r="AL113" s="430"/>
      <c r="AM113" s="430"/>
      <c r="AN113" s="430"/>
      <c r="AO113" s="430"/>
      <c r="AP113" s="430"/>
      <c r="AQ113" s="430"/>
      <c r="AR113" s="430"/>
      <c r="AS113" s="430"/>
      <c r="AT113" s="430"/>
      <c r="AU113" s="430"/>
      <c r="AV113" s="430"/>
      <c r="AW113" s="430"/>
      <c r="AX113" s="430"/>
      <c r="AY113" s="430"/>
    </row>
    <row r="114" spans="1:51">
      <c r="A114" s="430"/>
      <c r="B114" s="451"/>
      <c r="C114" s="430"/>
      <c r="D114" s="451"/>
      <c r="E114" s="430"/>
      <c r="F114" s="430"/>
      <c r="G114" s="430"/>
      <c r="H114" s="430"/>
      <c r="I114" s="430"/>
      <c r="J114" s="430"/>
      <c r="K114" s="430"/>
      <c r="L114" s="430"/>
      <c r="M114" s="430"/>
      <c r="N114" s="430"/>
      <c r="O114" s="430"/>
      <c r="P114" s="430"/>
      <c r="Q114" s="430"/>
      <c r="R114" s="430"/>
      <c r="S114" s="430"/>
      <c r="T114" s="430"/>
      <c r="U114" s="430"/>
      <c r="V114" s="430"/>
      <c r="W114" s="430"/>
      <c r="X114" s="430"/>
      <c r="Y114" s="430"/>
      <c r="Z114" s="430"/>
      <c r="AA114" s="430"/>
      <c r="AB114" s="430"/>
      <c r="AC114" s="430"/>
      <c r="AD114" s="430"/>
      <c r="AE114" s="430"/>
      <c r="AF114" s="430"/>
      <c r="AG114" s="430"/>
      <c r="AH114" s="430"/>
      <c r="AI114" s="430"/>
      <c r="AJ114" s="430"/>
      <c r="AK114" s="430"/>
      <c r="AL114" s="430"/>
      <c r="AM114" s="430"/>
      <c r="AN114" s="430"/>
      <c r="AO114" s="430"/>
      <c r="AP114" s="430"/>
      <c r="AQ114" s="430"/>
      <c r="AR114" s="430"/>
      <c r="AS114" s="430"/>
      <c r="AT114" s="430"/>
      <c r="AU114" s="430"/>
      <c r="AV114" s="430"/>
      <c r="AW114" s="430"/>
      <c r="AX114" s="430"/>
      <c r="AY114" s="430"/>
    </row>
    <row r="115" spans="1:51">
      <c r="A115" s="430"/>
      <c r="B115" s="451"/>
      <c r="C115" s="430"/>
      <c r="D115" s="451"/>
      <c r="E115" s="430"/>
      <c r="F115" s="430"/>
      <c r="G115" s="430"/>
      <c r="H115" s="430"/>
      <c r="I115" s="430"/>
      <c r="J115" s="430"/>
      <c r="K115" s="430"/>
      <c r="L115" s="430"/>
      <c r="M115" s="430"/>
      <c r="N115" s="430"/>
      <c r="O115" s="430"/>
      <c r="P115" s="430"/>
      <c r="Q115" s="430"/>
      <c r="R115" s="430"/>
      <c r="S115" s="430"/>
      <c r="T115" s="430"/>
      <c r="U115" s="430"/>
      <c r="V115" s="430"/>
      <c r="W115" s="430"/>
      <c r="X115" s="430"/>
      <c r="Y115" s="430"/>
      <c r="Z115" s="430"/>
      <c r="AA115" s="430"/>
      <c r="AB115" s="430"/>
      <c r="AC115" s="430"/>
      <c r="AD115" s="430"/>
      <c r="AE115" s="430"/>
      <c r="AF115" s="430"/>
      <c r="AG115" s="430"/>
      <c r="AH115" s="430"/>
      <c r="AI115" s="430"/>
      <c r="AJ115" s="430"/>
      <c r="AK115" s="430"/>
      <c r="AL115" s="430"/>
      <c r="AM115" s="430"/>
      <c r="AN115" s="430"/>
      <c r="AO115" s="430"/>
      <c r="AP115" s="430"/>
      <c r="AQ115" s="430"/>
      <c r="AR115" s="430"/>
      <c r="AS115" s="430"/>
      <c r="AT115" s="430"/>
      <c r="AU115" s="430"/>
      <c r="AV115" s="430"/>
      <c r="AW115" s="430"/>
      <c r="AX115" s="430"/>
      <c r="AY115" s="430"/>
    </row>
    <row r="116" spans="1:51">
      <c r="A116" s="430"/>
      <c r="B116" s="451"/>
      <c r="C116" s="430"/>
      <c r="D116" s="451"/>
      <c r="E116" s="430"/>
      <c r="F116" s="430"/>
      <c r="G116" s="430"/>
      <c r="H116" s="430"/>
      <c r="I116" s="430"/>
      <c r="J116" s="430"/>
      <c r="K116" s="430"/>
      <c r="L116" s="430"/>
      <c r="M116" s="430"/>
      <c r="N116" s="430"/>
      <c r="O116" s="430"/>
      <c r="P116" s="430"/>
      <c r="Q116" s="430"/>
      <c r="R116" s="430"/>
      <c r="S116" s="430"/>
      <c r="T116" s="430"/>
      <c r="U116" s="430"/>
      <c r="V116" s="430"/>
      <c r="W116" s="430"/>
      <c r="X116" s="430"/>
      <c r="Y116" s="430"/>
      <c r="Z116" s="430"/>
      <c r="AA116" s="430"/>
      <c r="AB116" s="430"/>
      <c r="AC116" s="430"/>
      <c r="AD116" s="430"/>
      <c r="AE116" s="430"/>
      <c r="AF116" s="430"/>
      <c r="AG116" s="430"/>
      <c r="AH116" s="430"/>
      <c r="AI116" s="430"/>
      <c r="AJ116" s="430"/>
      <c r="AK116" s="430"/>
      <c r="AL116" s="430"/>
      <c r="AM116" s="430"/>
      <c r="AN116" s="430"/>
      <c r="AO116" s="430"/>
      <c r="AP116" s="430"/>
      <c r="AQ116" s="430"/>
      <c r="AR116" s="430"/>
      <c r="AS116" s="430"/>
      <c r="AT116" s="430"/>
      <c r="AU116" s="430"/>
      <c r="AV116" s="430"/>
      <c r="AW116" s="430"/>
      <c r="AX116" s="430"/>
      <c r="AY116" s="430"/>
    </row>
    <row r="117" spans="1:51">
      <c r="A117" s="430"/>
      <c r="B117" s="451"/>
      <c r="C117" s="430"/>
      <c r="D117" s="451"/>
      <c r="E117" s="430"/>
      <c r="F117" s="430"/>
      <c r="G117" s="430"/>
      <c r="H117" s="430"/>
      <c r="I117" s="430"/>
      <c r="J117" s="430"/>
      <c r="K117" s="430"/>
      <c r="L117" s="430"/>
      <c r="M117" s="430"/>
      <c r="N117" s="430"/>
      <c r="O117" s="430"/>
      <c r="P117" s="430"/>
      <c r="Q117" s="430"/>
      <c r="R117" s="430"/>
      <c r="S117" s="430"/>
      <c r="T117" s="430"/>
      <c r="U117" s="430"/>
      <c r="V117" s="430"/>
      <c r="W117" s="430"/>
      <c r="X117" s="430"/>
      <c r="Y117" s="430"/>
      <c r="Z117" s="430"/>
      <c r="AA117" s="430"/>
      <c r="AB117" s="430"/>
      <c r="AC117" s="430"/>
      <c r="AD117" s="430"/>
      <c r="AE117" s="430"/>
      <c r="AF117" s="430"/>
      <c r="AG117" s="430"/>
      <c r="AH117" s="430"/>
      <c r="AI117" s="430"/>
      <c r="AJ117" s="430"/>
      <c r="AK117" s="430"/>
      <c r="AL117" s="430"/>
      <c r="AM117" s="430"/>
      <c r="AN117" s="430"/>
      <c r="AO117" s="430"/>
      <c r="AP117" s="430"/>
      <c r="AQ117" s="430"/>
      <c r="AR117" s="430"/>
      <c r="AS117" s="430"/>
      <c r="AT117" s="430"/>
      <c r="AU117" s="430"/>
      <c r="AV117" s="430"/>
      <c r="AW117" s="430"/>
      <c r="AX117" s="430"/>
      <c r="AY117" s="430"/>
    </row>
    <row r="118" spans="1:51">
      <c r="A118" s="430"/>
      <c r="B118" s="451"/>
      <c r="C118" s="430"/>
      <c r="D118" s="451"/>
      <c r="E118" s="430"/>
      <c r="F118" s="430"/>
      <c r="G118" s="430"/>
      <c r="H118" s="430"/>
      <c r="I118" s="430"/>
      <c r="J118" s="430"/>
      <c r="K118" s="430"/>
      <c r="L118" s="430"/>
      <c r="M118" s="430"/>
      <c r="N118" s="430"/>
      <c r="O118" s="430"/>
      <c r="P118" s="430"/>
      <c r="Q118" s="430"/>
      <c r="R118" s="430"/>
      <c r="S118" s="430"/>
      <c r="T118" s="430"/>
      <c r="U118" s="430"/>
      <c r="V118" s="430"/>
      <c r="W118" s="430"/>
      <c r="X118" s="430"/>
      <c r="Y118" s="430"/>
      <c r="Z118" s="430"/>
      <c r="AA118" s="430"/>
      <c r="AB118" s="430"/>
      <c r="AC118" s="430"/>
      <c r="AD118" s="430"/>
      <c r="AE118" s="430"/>
      <c r="AF118" s="430"/>
      <c r="AG118" s="430"/>
      <c r="AH118" s="430"/>
      <c r="AI118" s="430"/>
      <c r="AJ118" s="430"/>
      <c r="AK118" s="430"/>
      <c r="AL118" s="430"/>
      <c r="AM118" s="430"/>
      <c r="AN118" s="430"/>
      <c r="AO118" s="430"/>
      <c r="AP118" s="430"/>
      <c r="AQ118" s="430"/>
      <c r="AR118" s="430"/>
      <c r="AS118" s="430"/>
      <c r="AT118" s="430"/>
      <c r="AU118" s="430"/>
      <c r="AV118" s="430"/>
      <c r="AW118" s="430"/>
      <c r="AX118" s="430"/>
      <c r="AY118" s="430"/>
    </row>
    <row r="119" spans="1:51">
      <c r="A119" s="430"/>
      <c r="B119" s="451"/>
      <c r="C119" s="430"/>
      <c r="D119" s="451"/>
      <c r="E119" s="430"/>
      <c r="F119" s="430"/>
      <c r="G119" s="430"/>
      <c r="H119" s="430"/>
      <c r="I119" s="430"/>
      <c r="J119" s="430"/>
      <c r="K119" s="430"/>
      <c r="L119" s="430"/>
      <c r="M119" s="430"/>
      <c r="N119" s="430"/>
      <c r="O119" s="430"/>
      <c r="P119" s="430"/>
      <c r="Q119" s="430"/>
      <c r="R119" s="430"/>
      <c r="S119" s="430"/>
      <c r="T119" s="430"/>
      <c r="U119" s="430"/>
      <c r="V119" s="430"/>
      <c r="W119" s="430"/>
      <c r="X119" s="430"/>
      <c r="Y119" s="430"/>
      <c r="Z119" s="430"/>
      <c r="AA119" s="430"/>
      <c r="AB119" s="430"/>
      <c r="AC119" s="430"/>
      <c r="AD119" s="430"/>
      <c r="AE119" s="430"/>
      <c r="AF119" s="430"/>
      <c r="AG119" s="430"/>
      <c r="AH119" s="430"/>
      <c r="AI119" s="430"/>
      <c r="AJ119" s="430"/>
      <c r="AK119" s="430"/>
      <c r="AL119" s="430"/>
      <c r="AM119" s="430"/>
      <c r="AN119" s="430"/>
      <c r="AO119" s="430"/>
      <c r="AP119" s="430"/>
      <c r="AQ119" s="430"/>
      <c r="AR119" s="430"/>
      <c r="AS119" s="430"/>
      <c r="AT119" s="430"/>
      <c r="AU119" s="430"/>
      <c r="AV119" s="430"/>
      <c r="AW119" s="430"/>
      <c r="AX119" s="430"/>
      <c r="AY119" s="430"/>
    </row>
    <row r="120" spans="1:51">
      <c r="A120" s="430"/>
      <c r="B120" s="451"/>
      <c r="C120" s="430"/>
      <c r="D120" s="451"/>
      <c r="E120" s="430"/>
      <c r="F120" s="430"/>
      <c r="G120" s="430"/>
      <c r="H120" s="430"/>
      <c r="I120" s="430"/>
      <c r="J120" s="430"/>
      <c r="K120" s="430"/>
      <c r="L120" s="430"/>
      <c r="M120" s="430"/>
      <c r="N120" s="430"/>
      <c r="O120" s="430"/>
      <c r="P120" s="430"/>
      <c r="Q120" s="430"/>
      <c r="R120" s="430"/>
      <c r="S120" s="430"/>
      <c r="T120" s="430"/>
      <c r="U120" s="430"/>
      <c r="V120" s="430"/>
      <c r="W120" s="430"/>
      <c r="X120" s="430"/>
      <c r="Y120" s="430"/>
      <c r="Z120" s="430"/>
      <c r="AA120" s="430"/>
      <c r="AB120" s="430"/>
      <c r="AC120" s="430"/>
      <c r="AD120" s="430"/>
      <c r="AE120" s="430"/>
      <c r="AF120" s="430"/>
      <c r="AG120" s="430"/>
      <c r="AH120" s="430"/>
      <c r="AI120" s="430"/>
      <c r="AJ120" s="430"/>
      <c r="AK120" s="430"/>
      <c r="AL120" s="430"/>
      <c r="AM120" s="430"/>
      <c r="AN120" s="430"/>
      <c r="AO120" s="430"/>
      <c r="AP120" s="430"/>
      <c r="AQ120" s="430"/>
      <c r="AR120" s="430"/>
      <c r="AS120" s="430"/>
      <c r="AT120" s="430"/>
      <c r="AU120" s="430"/>
      <c r="AV120" s="430"/>
      <c r="AW120" s="430"/>
      <c r="AX120" s="430"/>
      <c r="AY120" s="430"/>
    </row>
    <row r="121" spans="1:51">
      <c r="A121" s="430"/>
      <c r="B121" s="451"/>
      <c r="C121" s="430"/>
      <c r="D121" s="451"/>
      <c r="E121" s="430"/>
      <c r="F121" s="430"/>
      <c r="G121" s="430"/>
      <c r="H121" s="430"/>
      <c r="I121" s="430"/>
      <c r="J121" s="430"/>
      <c r="K121" s="430"/>
      <c r="L121" s="430"/>
      <c r="M121" s="430"/>
      <c r="N121" s="430"/>
      <c r="O121" s="430"/>
      <c r="P121" s="430"/>
      <c r="Q121" s="430"/>
      <c r="R121" s="430"/>
      <c r="S121" s="430"/>
      <c r="T121" s="430"/>
      <c r="U121" s="430"/>
      <c r="V121" s="430"/>
      <c r="W121" s="430"/>
      <c r="X121" s="430"/>
      <c r="Y121" s="430"/>
      <c r="Z121" s="430"/>
      <c r="AA121" s="430"/>
      <c r="AB121" s="430"/>
      <c r="AC121" s="430"/>
      <c r="AD121" s="430"/>
      <c r="AE121" s="430"/>
      <c r="AF121" s="430"/>
      <c r="AG121" s="430"/>
      <c r="AH121" s="430"/>
      <c r="AI121" s="430"/>
      <c r="AJ121" s="430"/>
      <c r="AK121" s="430"/>
      <c r="AL121" s="430"/>
      <c r="AM121" s="430"/>
      <c r="AN121" s="430"/>
      <c r="AO121" s="430"/>
      <c r="AP121" s="430"/>
      <c r="AQ121" s="430"/>
      <c r="AR121" s="430"/>
      <c r="AS121" s="430"/>
      <c r="AT121" s="430"/>
      <c r="AU121" s="430"/>
      <c r="AV121" s="430"/>
      <c r="AW121" s="430"/>
      <c r="AX121" s="430"/>
      <c r="AY121" s="430"/>
    </row>
    <row r="122" spans="1:51">
      <c r="A122" s="430"/>
      <c r="B122" s="451"/>
      <c r="C122" s="430"/>
      <c r="D122" s="451"/>
      <c r="E122" s="430"/>
      <c r="F122" s="430"/>
      <c r="G122" s="430"/>
      <c r="H122" s="430"/>
      <c r="I122" s="430"/>
      <c r="J122" s="430"/>
      <c r="K122" s="430"/>
      <c r="L122" s="430"/>
      <c r="M122" s="430"/>
      <c r="N122" s="430"/>
      <c r="O122" s="430"/>
      <c r="P122" s="430"/>
      <c r="Q122" s="430"/>
      <c r="R122" s="430"/>
      <c r="S122" s="430"/>
      <c r="T122" s="430"/>
      <c r="U122" s="430"/>
      <c r="V122" s="430"/>
      <c r="W122" s="430"/>
      <c r="X122" s="430"/>
      <c r="Y122" s="430"/>
      <c r="Z122" s="430"/>
      <c r="AA122" s="430"/>
      <c r="AB122" s="430"/>
      <c r="AC122" s="430"/>
      <c r="AD122" s="430"/>
      <c r="AE122" s="430"/>
      <c r="AF122" s="430"/>
      <c r="AG122" s="430"/>
      <c r="AH122" s="430"/>
      <c r="AI122" s="430"/>
      <c r="AJ122" s="430"/>
      <c r="AK122" s="430"/>
      <c r="AL122" s="430"/>
      <c r="AM122" s="430"/>
      <c r="AN122" s="430"/>
      <c r="AO122" s="430"/>
      <c r="AP122" s="430"/>
      <c r="AQ122" s="430"/>
      <c r="AR122" s="430"/>
      <c r="AS122" s="430"/>
      <c r="AT122" s="430"/>
      <c r="AU122" s="430"/>
      <c r="AV122" s="430"/>
      <c r="AW122" s="430"/>
      <c r="AX122" s="430"/>
      <c r="AY122" s="430"/>
    </row>
    <row r="123" spans="1:51">
      <c r="A123" s="430"/>
      <c r="B123" s="451"/>
      <c r="C123" s="430"/>
      <c r="D123" s="451"/>
      <c r="E123" s="430"/>
      <c r="F123" s="430"/>
      <c r="G123" s="430"/>
      <c r="H123" s="430"/>
      <c r="I123" s="430"/>
      <c r="J123" s="430"/>
      <c r="K123" s="430"/>
      <c r="L123" s="430"/>
      <c r="M123" s="430"/>
      <c r="N123" s="430"/>
      <c r="O123" s="430"/>
      <c r="P123" s="430"/>
      <c r="Q123" s="430"/>
      <c r="R123" s="430"/>
      <c r="S123" s="430"/>
      <c r="T123" s="430"/>
      <c r="U123" s="430"/>
      <c r="V123" s="430"/>
      <c r="W123" s="430"/>
      <c r="X123" s="430"/>
      <c r="Y123" s="430"/>
      <c r="Z123" s="430"/>
      <c r="AA123" s="430"/>
      <c r="AB123" s="430"/>
      <c r="AC123" s="430"/>
      <c r="AD123" s="430"/>
      <c r="AE123" s="430"/>
      <c r="AF123" s="430"/>
      <c r="AG123" s="430"/>
      <c r="AH123" s="430"/>
      <c r="AI123" s="430"/>
      <c r="AJ123" s="430"/>
      <c r="AK123" s="430"/>
      <c r="AL123" s="430"/>
      <c r="AM123" s="430"/>
      <c r="AN123" s="430"/>
      <c r="AO123" s="430"/>
      <c r="AP123" s="430"/>
      <c r="AQ123" s="430"/>
      <c r="AR123" s="430"/>
      <c r="AS123" s="430"/>
      <c r="AT123" s="430"/>
      <c r="AU123" s="430"/>
      <c r="AV123" s="430"/>
      <c r="AW123" s="430"/>
      <c r="AX123" s="430"/>
      <c r="AY123" s="430"/>
    </row>
    <row r="124" spans="1:51">
      <c r="A124" s="430"/>
      <c r="B124" s="451"/>
      <c r="C124" s="430"/>
      <c r="D124" s="451"/>
      <c r="E124" s="430"/>
      <c r="F124" s="430"/>
      <c r="G124" s="430"/>
      <c r="H124" s="430"/>
      <c r="I124" s="430"/>
      <c r="J124" s="430"/>
      <c r="K124" s="430"/>
      <c r="L124" s="430"/>
      <c r="M124" s="430"/>
      <c r="N124" s="430"/>
      <c r="O124" s="430"/>
      <c r="P124" s="430"/>
      <c r="Q124" s="430"/>
      <c r="R124" s="430"/>
      <c r="S124" s="430"/>
      <c r="T124" s="430"/>
      <c r="U124" s="430"/>
      <c r="V124" s="430"/>
      <c r="W124" s="430"/>
      <c r="X124" s="430"/>
      <c r="Y124" s="430"/>
      <c r="Z124" s="430"/>
      <c r="AA124" s="430"/>
      <c r="AB124" s="430"/>
      <c r="AC124" s="430"/>
      <c r="AD124" s="430"/>
      <c r="AE124" s="430"/>
      <c r="AF124" s="430"/>
      <c r="AG124" s="430"/>
      <c r="AH124" s="430"/>
      <c r="AI124" s="430"/>
      <c r="AJ124" s="430"/>
      <c r="AK124" s="430"/>
      <c r="AL124" s="430"/>
      <c r="AM124" s="430"/>
      <c r="AN124" s="430"/>
      <c r="AO124" s="430"/>
      <c r="AP124" s="430"/>
      <c r="AQ124" s="430"/>
      <c r="AR124" s="430"/>
      <c r="AS124" s="430"/>
      <c r="AT124" s="430"/>
      <c r="AU124" s="430"/>
      <c r="AV124" s="430"/>
      <c r="AW124" s="430"/>
      <c r="AX124" s="430"/>
      <c r="AY124" s="430"/>
    </row>
    <row r="125" spans="1:51">
      <c r="A125" s="430"/>
      <c r="B125" s="451"/>
      <c r="C125" s="430"/>
      <c r="D125" s="451"/>
      <c r="E125" s="430"/>
      <c r="F125" s="430"/>
      <c r="G125" s="430"/>
      <c r="H125" s="430"/>
      <c r="I125" s="430"/>
      <c r="J125" s="430"/>
      <c r="K125" s="430"/>
      <c r="L125" s="430"/>
      <c r="M125" s="430"/>
      <c r="N125" s="430"/>
      <c r="O125" s="430"/>
      <c r="P125" s="430"/>
      <c r="Q125" s="430"/>
      <c r="R125" s="430"/>
      <c r="S125" s="430"/>
      <c r="T125" s="430"/>
      <c r="U125" s="430"/>
      <c r="V125" s="430"/>
      <c r="W125" s="430"/>
      <c r="X125" s="430"/>
      <c r="Y125" s="430"/>
      <c r="Z125" s="430"/>
      <c r="AA125" s="430"/>
      <c r="AB125" s="430"/>
      <c r="AC125" s="430"/>
      <c r="AD125" s="430"/>
      <c r="AE125" s="430"/>
      <c r="AF125" s="430"/>
      <c r="AG125" s="430"/>
      <c r="AH125" s="430"/>
      <c r="AI125" s="430"/>
      <c r="AJ125" s="430"/>
      <c r="AK125" s="430"/>
      <c r="AL125" s="430"/>
      <c r="AM125" s="430"/>
      <c r="AN125" s="430"/>
      <c r="AO125" s="430"/>
      <c r="AP125" s="430"/>
      <c r="AQ125" s="430"/>
      <c r="AR125" s="430"/>
      <c r="AS125" s="430"/>
      <c r="AT125" s="430"/>
      <c r="AU125" s="430"/>
      <c r="AV125" s="430"/>
      <c r="AW125" s="430"/>
      <c r="AX125" s="430"/>
      <c r="AY125" s="430"/>
    </row>
    <row r="126" spans="1:51">
      <c r="A126" s="430"/>
      <c r="B126" s="451"/>
      <c r="C126" s="430"/>
      <c r="D126" s="451"/>
      <c r="E126" s="430"/>
      <c r="F126" s="430"/>
      <c r="G126" s="430"/>
      <c r="H126" s="430"/>
      <c r="I126" s="430"/>
      <c r="J126" s="430"/>
      <c r="K126" s="430"/>
      <c r="L126" s="430"/>
      <c r="M126" s="430"/>
      <c r="N126" s="430"/>
      <c r="O126" s="430"/>
      <c r="P126" s="430"/>
      <c r="Q126" s="430"/>
      <c r="R126" s="430"/>
      <c r="S126" s="430"/>
      <c r="T126" s="430"/>
      <c r="U126" s="430"/>
      <c r="V126" s="430"/>
      <c r="W126" s="430"/>
      <c r="X126" s="430"/>
      <c r="Y126" s="430"/>
      <c r="Z126" s="430"/>
      <c r="AA126" s="430"/>
      <c r="AB126" s="430"/>
      <c r="AC126" s="430"/>
      <c r="AD126" s="430"/>
      <c r="AE126" s="430"/>
      <c r="AF126" s="430"/>
      <c r="AG126" s="430"/>
      <c r="AH126" s="430"/>
      <c r="AI126" s="430"/>
      <c r="AJ126" s="430"/>
      <c r="AK126" s="430"/>
      <c r="AL126" s="430"/>
      <c r="AM126" s="430"/>
      <c r="AN126" s="430"/>
      <c r="AO126" s="430"/>
      <c r="AP126" s="430"/>
      <c r="AQ126" s="430"/>
      <c r="AR126" s="430"/>
      <c r="AS126" s="430"/>
      <c r="AT126" s="430"/>
      <c r="AU126" s="430"/>
      <c r="AV126" s="430"/>
      <c r="AW126" s="430"/>
      <c r="AX126" s="430"/>
      <c r="AY126" s="430"/>
    </row>
    <row r="127" spans="1:51">
      <c r="A127" s="430"/>
      <c r="B127" s="451"/>
      <c r="C127" s="430"/>
      <c r="D127" s="451"/>
      <c r="E127" s="430"/>
      <c r="F127" s="430"/>
      <c r="G127" s="430"/>
      <c r="H127" s="430"/>
      <c r="I127" s="430"/>
      <c r="J127" s="430"/>
      <c r="K127" s="430"/>
      <c r="L127" s="430"/>
      <c r="M127" s="430"/>
      <c r="N127" s="430"/>
      <c r="O127" s="430"/>
      <c r="P127" s="430"/>
      <c r="Q127" s="430"/>
      <c r="R127" s="430"/>
      <c r="S127" s="430"/>
      <c r="T127" s="430"/>
      <c r="U127" s="430"/>
      <c r="V127" s="430"/>
      <c r="W127" s="430"/>
      <c r="X127" s="430"/>
      <c r="Y127" s="430"/>
      <c r="Z127" s="430"/>
      <c r="AA127" s="430"/>
      <c r="AB127" s="430"/>
      <c r="AC127" s="430"/>
      <c r="AD127" s="430"/>
      <c r="AE127" s="430"/>
      <c r="AF127" s="430"/>
      <c r="AG127" s="430"/>
      <c r="AH127" s="430"/>
      <c r="AI127" s="430"/>
      <c r="AJ127" s="430"/>
      <c r="AK127" s="430"/>
      <c r="AL127" s="430"/>
      <c r="AM127" s="430"/>
      <c r="AN127" s="430"/>
      <c r="AO127" s="430"/>
      <c r="AP127" s="430"/>
      <c r="AQ127" s="430"/>
      <c r="AR127" s="430"/>
      <c r="AS127" s="430"/>
      <c r="AT127" s="430"/>
      <c r="AU127" s="430"/>
      <c r="AV127" s="430"/>
      <c r="AW127" s="430"/>
      <c r="AX127" s="430"/>
      <c r="AY127" s="430"/>
    </row>
    <row r="128" spans="1:51">
      <c r="A128" s="430"/>
      <c r="B128" s="451"/>
      <c r="C128" s="430"/>
      <c r="D128" s="451"/>
      <c r="E128" s="430"/>
      <c r="F128" s="430"/>
      <c r="G128" s="430"/>
      <c r="H128" s="430"/>
      <c r="I128" s="430"/>
      <c r="J128" s="430"/>
      <c r="K128" s="430"/>
      <c r="L128" s="430"/>
      <c r="M128" s="430"/>
      <c r="N128" s="430"/>
      <c r="O128" s="430"/>
      <c r="P128" s="430"/>
      <c r="Q128" s="430"/>
      <c r="R128" s="430"/>
      <c r="S128" s="430"/>
      <c r="T128" s="430"/>
      <c r="U128" s="430"/>
      <c r="V128" s="430"/>
      <c r="W128" s="430"/>
      <c r="X128" s="430"/>
      <c r="Y128" s="430"/>
      <c r="Z128" s="430"/>
      <c r="AA128" s="430"/>
      <c r="AB128" s="430"/>
      <c r="AC128" s="430"/>
      <c r="AD128" s="430"/>
      <c r="AE128" s="430"/>
      <c r="AF128" s="430"/>
      <c r="AG128" s="430"/>
      <c r="AH128" s="430"/>
      <c r="AI128" s="430"/>
      <c r="AJ128" s="430"/>
      <c r="AK128" s="430"/>
      <c r="AL128" s="430"/>
      <c r="AM128" s="430"/>
      <c r="AN128" s="430"/>
      <c r="AO128" s="430"/>
      <c r="AP128" s="430"/>
      <c r="AQ128" s="430"/>
      <c r="AR128" s="430"/>
      <c r="AS128" s="430"/>
      <c r="AT128" s="430"/>
      <c r="AU128" s="430"/>
      <c r="AV128" s="430"/>
      <c r="AW128" s="430"/>
      <c r="AX128" s="430"/>
      <c r="AY128" s="430"/>
    </row>
    <row r="129" spans="1:51">
      <c r="A129" s="430"/>
      <c r="B129" s="451"/>
      <c r="C129" s="430"/>
      <c r="D129" s="451"/>
      <c r="E129" s="430"/>
      <c r="F129" s="430"/>
      <c r="G129" s="430"/>
      <c r="H129" s="430"/>
      <c r="I129" s="430"/>
      <c r="J129" s="430"/>
      <c r="K129" s="430"/>
      <c r="L129" s="430"/>
      <c r="M129" s="430"/>
      <c r="N129" s="430"/>
      <c r="O129" s="430"/>
      <c r="P129" s="430"/>
      <c r="Q129" s="430"/>
      <c r="R129" s="430"/>
      <c r="S129" s="430"/>
      <c r="T129" s="430"/>
      <c r="U129" s="430"/>
      <c r="V129" s="430"/>
      <c r="W129" s="430"/>
      <c r="X129" s="430"/>
      <c r="Y129" s="430"/>
      <c r="Z129" s="430"/>
      <c r="AA129" s="430"/>
      <c r="AB129" s="430"/>
      <c r="AC129" s="430"/>
      <c r="AD129" s="430"/>
      <c r="AE129" s="430"/>
      <c r="AF129" s="430"/>
      <c r="AG129" s="430"/>
      <c r="AH129" s="430"/>
      <c r="AI129" s="430"/>
      <c r="AJ129" s="430"/>
      <c r="AK129" s="430"/>
      <c r="AL129" s="430"/>
      <c r="AM129" s="430"/>
      <c r="AN129" s="430"/>
      <c r="AO129" s="430"/>
      <c r="AP129" s="430"/>
      <c r="AQ129" s="430"/>
      <c r="AR129" s="430"/>
      <c r="AS129" s="430"/>
      <c r="AT129" s="430"/>
      <c r="AU129" s="430"/>
      <c r="AV129" s="430"/>
      <c r="AW129" s="430"/>
      <c r="AX129" s="430"/>
      <c r="AY129" s="430"/>
    </row>
    <row r="130" spans="1:51">
      <c r="A130" s="430"/>
      <c r="B130" s="451"/>
      <c r="C130" s="430"/>
      <c r="D130" s="451"/>
      <c r="E130" s="430"/>
      <c r="F130" s="430"/>
      <c r="G130" s="430"/>
      <c r="H130" s="430"/>
      <c r="I130" s="430"/>
      <c r="J130" s="430"/>
      <c r="K130" s="430"/>
      <c r="L130" s="430"/>
      <c r="M130" s="430"/>
      <c r="N130" s="430"/>
      <c r="O130" s="430"/>
      <c r="P130" s="430"/>
      <c r="Q130" s="430"/>
      <c r="R130" s="430"/>
      <c r="S130" s="430"/>
      <c r="T130" s="430"/>
      <c r="U130" s="430"/>
      <c r="V130" s="430"/>
      <c r="W130" s="430"/>
      <c r="X130" s="430"/>
      <c r="Y130" s="430"/>
      <c r="Z130" s="430"/>
      <c r="AA130" s="430"/>
      <c r="AB130" s="430"/>
      <c r="AC130" s="430"/>
      <c r="AD130" s="430"/>
      <c r="AE130" s="430"/>
      <c r="AF130" s="430"/>
      <c r="AG130" s="430"/>
      <c r="AH130" s="430"/>
      <c r="AI130" s="430"/>
      <c r="AJ130" s="430"/>
      <c r="AK130" s="430"/>
      <c r="AL130" s="430"/>
      <c r="AM130" s="430"/>
      <c r="AN130" s="430"/>
      <c r="AO130" s="430"/>
      <c r="AP130" s="430"/>
      <c r="AQ130" s="430"/>
      <c r="AR130" s="430"/>
      <c r="AS130" s="430"/>
      <c r="AT130" s="430"/>
      <c r="AU130" s="430"/>
      <c r="AV130" s="430"/>
      <c r="AW130" s="430"/>
      <c r="AX130" s="430"/>
      <c r="AY130" s="430"/>
    </row>
    <row r="131" spans="1:51">
      <c r="A131" s="430"/>
      <c r="B131" s="451"/>
      <c r="C131" s="430"/>
      <c r="D131" s="451"/>
      <c r="E131" s="430"/>
      <c r="F131" s="430"/>
      <c r="G131" s="430"/>
      <c r="H131" s="430"/>
      <c r="I131" s="430"/>
      <c r="J131" s="430"/>
      <c r="K131" s="430"/>
      <c r="L131" s="430"/>
      <c r="M131" s="430"/>
      <c r="N131" s="430"/>
      <c r="O131" s="430"/>
      <c r="P131" s="430"/>
      <c r="Q131" s="430"/>
      <c r="R131" s="430"/>
      <c r="S131" s="430"/>
      <c r="T131" s="430"/>
      <c r="U131" s="430"/>
      <c r="V131" s="430"/>
      <c r="W131" s="430"/>
      <c r="X131" s="430"/>
      <c r="Y131" s="430"/>
      <c r="Z131" s="430"/>
      <c r="AA131" s="430"/>
      <c r="AB131" s="430"/>
      <c r="AC131" s="430"/>
      <c r="AD131" s="430"/>
      <c r="AE131" s="430"/>
      <c r="AF131" s="430"/>
      <c r="AG131" s="430"/>
      <c r="AH131" s="430"/>
      <c r="AI131" s="430"/>
      <c r="AJ131" s="430"/>
      <c r="AK131" s="430"/>
      <c r="AL131" s="430"/>
      <c r="AM131" s="430"/>
      <c r="AN131" s="430"/>
      <c r="AO131" s="430"/>
      <c r="AP131" s="430"/>
      <c r="AQ131" s="430"/>
      <c r="AR131" s="430"/>
      <c r="AS131" s="430"/>
      <c r="AT131" s="430"/>
      <c r="AU131" s="430"/>
      <c r="AV131" s="430"/>
      <c r="AW131" s="430"/>
      <c r="AX131" s="430"/>
      <c r="AY131" s="430"/>
    </row>
    <row r="132" spans="1:51">
      <c r="A132" s="430"/>
      <c r="B132" s="451"/>
      <c r="C132" s="430"/>
      <c r="D132" s="451"/>
      <c r="E132" s="430"/>
      <c r="F132" s="430"/>
      <c r="G132" s="430"/>
      <c r="H132" s="430"/>
      <c r="I132" s="430"/>
      <c r="J132" s="430"/>
      <c r="K132" s="430"/>
      <c r="L132" s="430"/>
      <c r="M132" s="430"/>
      <c r="N132" s="430"/>
      <c r="O132" s="430"/>
      <c r="P132" s="430"/>
      <c r="Q132" s="430"/>
      <c r="R132" s="430"/>
      <c r="S132" s="430"/>
      <c r="T132" s="430"/>
      <c r="U132" s="430"/>
      <c r="V132" s="430"/>
      <c r="W132" s="430"/>
      <c r="X132" s="430"/>
      <c r="Y132" s="430"/>
      <c r="Z132" s="430"/>
      <c r="AA132" s="430"/>
      <c r="AB132" s="430"/>
      <c r="AC132" s="430"/>
      <c r="AD132" s="430"/>
      <c r="AE132" s="430"/>
      <c r="AF132" s="430"/>
      <c r="AG132" s="430"/>
      <c r="AH132" s="430"/>
      <c r="AI132" s="430"/>
      <c r="AJ132" s="430"/>
      <c r="AK132" s="430"/>
      <c r="AL132" s="430"/>
      <c r="AM132" s="430"/>
      <c r="AN132" s="430"/>
      <c r="AO132" s="430"/>
      <c r="AP132" s="430"/>
      <c r="AQ132" s="430"/>
      <c r="AR132" s="430"/>
      <c r="AS132" s="430"/>
      <c r="AT132" s="430"/>
      <c r="AU132" s="430"/>
      <c r="AV132" s="430"/>
      <c r="AW132" s="430"/>
      <c r="AX132" s="430"/>
      <c r="AY132" s="430"/>
    </row>
    <row r="133" spans="1:51">
      <c r="A133" s="430"/>
      <c r="B133" s="451"/>
      <c r="C133" s="430"/>
      <c r="D133" s="451"/>
      <c r="E133" s="430"/>
      <c r="F133" s="430"/>
      <c r="G133" s="430"/>
      <c r="H133" s="430"/>
      <c r="I133" s="430"/>
      <c r="J133" s="430"/>
      <c r="K133" s="430"/>
      <c r="L133" s="430"/>
      <c r="M133" s="430"/>
      <c r="N133" s="430"/>
      <c r="O133" s="430"/>
      <c r="P133" s="430"/>
      <c r="Q133" s="430"/>
      <c r="R133" s="430"/>
      <c r="S133" s="430"/>
      <c r="T133" s="430"/>
      <c r="U133" s="430"/>
      <c r="V133" s="430"/>
      <c r="W133" s="430"/>
      <c r="X133" s="430"/>
      <c r="Y133" s="430"/>
      <c r="Z133" s="430"/>
      <c r="AA133" s="430"/>
      <c r="AB133" s="430"/>
      <c r="AC133" s="430"/>
      <c r="AD133" s="430"/>
      <c r="AE133" s="430"/>
      <c r="AF133" s="430"/>
      <c r="AG133" s="430"/>
      <c r="AH133" s="430"/>
      <c r="AI133" s="430"/>
      <c r="AJ133" s="430"/>
      <c r="AK133" s="430"/>
      <c r="AL133" s="430"/>
      <c r="AM133" s="430"/>
      <c r="AN133" s="430"/>
      <c r="AO133" s="430"/>
      <c r="AP133" s="430"/>
      <c r="AQ133" s="430"/>
      <c r="AR133" s="430"/>
      <c r="AS133" s="430"/>
      <c r="AT133" s="430"/>
      <c r="AU133" s="430"/>
      <c r="AV133" s="430"/>
      <c r="AW133" s="430"/>
      <c r="AX133" s="430"/>
      <c r="AY133" s="430"/>
    </row>
    <row r="134" spans="1:51">
      <c r="A134" s="430"/>
      <c r="B134" s="451"/>
      <c r="C134" s="430"/>
      <c r="D134" s="451"/>
      <c r="E134" s="430"/>
      <c r="F134" s="430"/>
      <c r="G134" s="430"/>
      <c r="H134" s="430"/>
      <c r="I134" s="430"/>
      <c r="J134" s="430"/>
      <c r="K134" s="430"/>
      <c r="L134" s="430"/>
      <c r="M134" s="430"/>
      <c r="N134" s="430"/>
      <c r="O134" s="430"/>
      <c r="P134" s="430"/>
      <c r="Q134" s="430"/>
      <c r="R134" s="430"/>
      <c r="S134" s="430"/>
      <c r="T134" s="430"/>
      <c r="U134" s="430"/>
      <c r="V134" s="430"/>
      <c r="W134" s="430"/>
      <c r="X134" s="430"/>
      <c r="Y134" s="430"/>
      <c r="Z134" s="430"/>
      <c r="AA134" s="430"/>
      <c r="AB134" s="430"/>
      <c r="AC134" s="430"/>
      <c r="AD134" s="430"/>
      <c r="AE134" s="430"/>
      <c r="AF134" s="430"/>
      <c r="AG134" s="430"/>
      <c r="AH134" s="430"/>
      <c r="AI134" s="430"/>
      <c r="AJ134" s="430"/>
      <c r="AK134" s="430"/>
      <c r="AL134" s="430"/>
      <c r="AM134" s="430"/>
      <c r="AN134" s="430"/>
      <c r="AO134" s="430"/>
      <c r="AP134" s="430"/>
      <c r="AQ134" s="430"/>
      <c r="AR134" s="430"/>
      <c r="AS134" s="430"/>
      <c r="AT134" s="430"/>
      <c r="AU134" s="430"/>
      <c r="AV134" s="430"/>
      <c r="AW134" s="430"/>
      <c r="AX134" s="430"/>
      <c r="AY134" s="430"/>
    </row>
    <row r="135" spans="1:51">
      <c r="A135" s="430"/>
      <c r="B135" s="451"/>
      <c r="C135" s="430"/>
      <c r="D135" s="451"/>
      <c r="E135" s="430"/>
      <c r="F135" s="430"/>
      <c r="G135" s="430"/>
      <c r="H135" s="430"/>
      <c r="I135" s="430"/>
      <c r="J135" s="430"/>
      <c r="K135" s="430"/>
      <c r="L135" s="430"/>
      <c r="M135" s="430"/>
      <c r="N135" s="430"/>
      <c r="O135" s="430"/>
      <c r="P135" s="430"/>
      <c r="Q135" s="430"/>
      <c r="R135" s="430"/>
      <c r="S135" s="430"/>
      <c r="T135" s="430"/>
      <c r="U135" s="430"/>
      <c r="V135" s="430"/>
      <c r="W135" s="430"/>
      <c r="X135" s="430"/>
      <c r="Y135" s="430"/>
      <c r="Z135" s="430"/>
      <c r="AA135" s="430"/>
      <c r="AB135" s="430"/>
      <c r="AC135" s="430"/>
      <c r="AD135" s="430"/>
      <c r="AE135" s="430"/>
      <c r="AF135" s="430"/>
      <c r="AG135" s="430"/>
      <c r="AH135" s="430"/>
      <c r="AI135" s="430"/>
      <c r="AJ135" s="430"/>
      <c r="AK135" s="430"/>
      <c r="AL135" s="430"/>
      <c r="AM135" s="430"/>
      <c r="AN135" s="430"/>
      <c r="AO135" s="430"/>
      <c r="AP135" s="430"/>
      <c r="AQ135" s="430"/>
      <c r="AR135" s="430"/>
      <c r="AS135" s="430"/>
      <c r="AT135" s="430"/>
      <c r="AU135" s="430"/>
      <c r="AV135" s="430"/>
      <c r="AW135" s="430"/>
      <c r="AX135" s="430"/>
      <c r="AY135" s="430"/>
    </row>
    <row r="136" spans="1:51">
      <c r="A136" s="430"/>
      <c r="B136" s="451"/>
      <c r="C136" s="430"/>
      <c r="D136" s="451"/>
      <c r="E136" s="430"/>
      <c r="F136" s="430"/>
      <c r="G136" s="430"/>
      <c r="H136" s="430"/>
      <c r="I136" s="430"/>
      <c r="J136" s="430"/>
      <c r="K136" s="430"/>
      <c r="L136" s="430"/>
      <c r="M136" s="430"/>
      <c r="N136" s="430"/>
      <c r="O136" s="430"/>
      <c r="P136" s="430"/>
      <c r="Q136" s="430"/>
      <c r="R136" s="430"/>
      <c r="S136" s="430"/>
      <c r="T136" s="430"/>
      <c r="U136" s="430"/>
      <c r="V136" s="430"/>
      <c r="W136" s="430"/>
      <c r="X136" s="430"/>
      <c r="Y136" s="430"/>
      <c r="Z136" s="430"/>
      <c r="AA136" s="430"/>
      <c r="AB136" s="430"/>
      <c r="AC136" s="430"/>
      <c r="AD136" s="430"/>
      <c r="AE136" s="430"/>
      <c r="AF136" s="430"/>
      <c r="AG136" s="430"/>
      <c r="AH136" s="430"/>
      <c r="AI136" s="430"/>
      <c r="AJ136" s="430"/>
      <c r="AK136" s="430"/>
      <c r="AL136" s="430"/>
      <c r="AM136" s="430"/>
      <c r="AN136" s="430"/>
      <c r="AO136" s="430"/>
      <c r="AP136" s="430"/>
      <c r="AQ136" s="430"/>
      <c r="AR136" s="430"/>
      <c r="AS136" s="430"/>
      <c r="AT136" s="430"/>
      <c r="AU136" s="430"/>
      <c r="AV136" s="430"/>
      <c r="AW136" s="430"/>
      <c r="AX136" s="430"/>
      <c r="AY136" s="430"/>
    </row>
    <row r="137" spans="1:51">
      <c r="A137" s="430"/>
      <c r="B137" s="451"/>
      <c r="C137" s="430"/>
      <c r="D137" s="451"/>
      <c r="E137" s="430"/>
      <c r="F137" s="430"/>
      <c r="G137" s="430"/>
      <c r="H137" s="430"/>
      <c r="I137" s="430"/>
      <c r="J137" s="430"/>
      <c r="K137" s="430"/>
      <c r="L137" s="430"/>
      <c r="M137" s="430"/>
      <c r="N137" s="430"/>
      <c r="O137" s="430"/>
      <c r="P137" s="430"/>
      <c r="Q137" s="430"/>
      <c r="R137" s="430"/>
      <c r="S137" s="430"/>
      <c r="T137" s="430"/>
      <c r="U137" s="430"/>
      <c r="V137" s="430"/>
      <c r="W137" s="430"/>
      <c r="X137" s="430"/>
      <c r="Y137" s="430"/>
      <c r="Z137" s="430"/>
      <c r="AA137" s="430"/>
      <c r="AB137" s="430"/>
      <c r="AC137" s="430"/>
      <c r="AD137" s="430"/>
      <c r="AE137" s="430"/>
      <c r="AF137" s="430"/>
      <c r="AG137" s="430"/>
      <c r="AH137" s="430"/>
      <c r="AI137" s="430"/>
      <c r="AJ137" s="430"/>
      <c r="AK137" s="430"/>
      <c r="AL137" s="430"/>
      <c r="AM137" s="430"/>
      <c r="AN137" s="430"/>
      <c r="AO137" s="430"/>
      <c r="AP137" s="430"/>
      <c r="AQ137" s="430"/>
      <c r="AR137" s="430"/>
      <c r="AS137" s="430"/>
      <c r="AT137" s="430"/>
      <c r="AU137" s="430"/>
      <c r="AV137" s="430"/>
      <c r="AW137" s="430"/>
      <c r="AX137" s="430"/>
      <c r="AY137" s="430"/>
    </row>
    <row r="138" spans="1:51">
      <c r="A138" s="430"/>
      <c r="B138" s="451"/>
      <c r="C138" s="430"/>
      <c r="D138" s="451"/>
      <c r="E138" s="430"/>
      <c r="F138" s="430"/>
      <c r="G138" s="430"/>
      <c r="H138" s="430"/>
      <c r="I138" s="430"/>
      <c r="J138" s="430"/>
      <c r="K138" s="430"/>
      <c r="L138" s="430"/>
      <c r="M138" s="430"/>
      <c r="N138" s="430"/>
      <c r="O138" s="430"/>
      <c r="P138" s="430"/>
      <c r="Q138" s="430"/>
      <c r="R138" s="430"/>
      <c r="S138" s="430"/>
      <c r="T138" s="430"/>
      <c r="U138" s="430"/>
      <c r="V138" s="430"/>
      <c r="W138" s="430"/>
      <c r="X138" s="430"/>
      <c r="Y138" s="430"/>
      <c r="Z138" s="430"/>
      <c r="AA138" s="430"/>
      <c r="AB138" s="430"/>
      <c r="AC138" s="430"/>
      <c r="AD138" s="430"/>
      <c r="AE138" s="430"/>
      <c r="AF138" s="430"/>
      <c r="AG138" s="430"/>
      <c r="AH138" s="430"/>
      <c r="AI138" s="430"/>
      <c r="AJ138" s="430"/>
      <c r="AK138" s="430"/>
      <c r="AL138" s="430"/>
      <c r="AM138" s="430"/>
      <c r="AN138" s="430"/>
      <c r="AO138" s="430"/>
      <c r="AP138" s="430"/>
      <c r="AQ138" s="430"/>
      <c r="AR138" s="430"/>
      <c r="AS138" s="430"/>
      <c r="AT138" s="430"/>
      <c r="AU138" s="430"/>
      <c r="AV138" s="430"/>
      <c r="AW138" s="430"/>
      <c r="AX138" s="430"/>
      <c r="AY138" s="430"/>
    </row>
    <row r="139" spans="1:51">
      <c r="A139" s="430"/>
      <c r="B139" s="451"/>
      <c r="C139" s="430"/>
      <c r="D139" s="451"/>
      <c r="E139" s="430"/>
      <c r="F139" s="430"/>
      <c r="G139" s="430"/>
      <c r="H139" s="430"/>
      <c r="I139" s="430"/>
      <c r="J139" s="430"/>
      <c r="K139" s="430"/>
      <c r="L139" s="430"/>
      <c r="M139" s="430"/>
      <c r="N139" s="430"/>
      <c r="O139" s="430"/>
      <c r="P139" s="430"/>
      <c r="Q139" s="430"/>
      <c r="R139" s="430"/>
      <c r="S139" s="430"/>
      <c r="T139" s="430"/>
      <c r="U139" s="430"/>
      <c r="V139" s="430"/>
      <c r="W139" s="430"/>
      <c r="X139" s="430"/>
      <c r="Y139" s="430"/>
      <c r="Z139" s="430"/>
      <c r="AA139" s="430"/>
      <c r="AB139" s="430"/>
      <c r="AC139" s="430"/>
      <c r="AD139" s="430"/>
      <c r="AE139" s="430"/>
      <c r="AF139" s="430"/>
      <c r="AG139" s="430"/>
      <c r="AH139" s="430"/>
      <c r="AI139" s="430"/>
      <c r="AJ139" s="430"/>
      <c r="AK139" s="430"/>
      <c r="AL139" s="430"/>
      <c r="AM139" s="430"/>
      <c r="AN139" s="430"/>
      <c r="AO139" s="430"/>
      <c r="AP139" s="430"/>
      <c r="AQ139" s="430"/>
      <c r="AR139" s="430"/>
      <c r="AS139" s="430"/>
      <c r="AT139" s="430"/>
      <c r="AU139" s="430"/>
      <c r="AV139" s="430"/>
      <c r="AW139" s="430"/>
      <c r="AX139" s="430"/>
      <c r="AY139" s="430"/>
    </row>
    <row r="140" spans="1:51">
      <c r="A140" s="430"/>
      <c r="B140" s="451"/>
      <c r="C140" s="430"/>
      <c r="D140" s="451"/>
      <c r="E140" s="430"/>
      <c r="F140" s="430"/>
      <c r="G140" s="430"/>
      <c r="H140" s="430"/>
      <c r="I140" s="430"/>
      <c r="J140" s="430"/>
      <c r="K140" s="430"/>
      <c r="L140" s="430"/>
      <c r="M140" s="430"/>
      <c r="N140" s="430"/>
      <c r="O140" s="430"/>
      <c r="P140" s="430"/>
      <c r="Q140" s="430"/>
      <c r="R140" s="430"/>
      <c r="S140" s="430"/>
      <c r="T140" s="430"/>
      <c r="U140" s="430"/>
      <c r="V140" s="430"/>
      <c r="W140" s="430"/>
      <c r="X140" s="430"/>
      <c r="Y140" s="430"/>
      <c r="Z140" s="430"/>
      <c r="AA140" s="430"/>
      <c r="AB140" s="430"/>
      <c r="AC140" s="430"/>
      <c r="AD140" s="430"/>
      <c r="AE140" s="430"/>
      <c r="AF140" s="430"/>
      <c r="AG140" s="430"/>
      <c r="AH140" s="430"/>
      <c r="AI140" s="430"/>
      <c r="AJ140" s="430"/>
      <c r="AK140" s="430"/>
      <c r="AL140" s="430"/>
      <c r="AM140" s="430"/>
      <c r="AN140" s="430"/>
      <c r="AO140" s="430"/>
      <c r="AP140" s="430"/>
      <c r="AQ140" s="430"/>
      <c r="AR140" s="430"/>
      <c r="AS140" s="430"/>
      <c r="AT140" s="430"/>
      <c r="AU140" s="430"/>
      <c r="AV140" s="430"/>
      <c r="AW140" s="430"/>
      <c r="AX140" s="430"/>
      <c r="AY140" s="430"/>
    </row>
    <row r="141" spans="1:51">
      <c r="A141" s="430"/>
      <c r="B141" s="451"/>
      <c r="C141" s="430"/>
      <c r="D141" s="451"/>
      <c r="E141" s="430"/>
      <c r="F141" s="430"/>
      <c r="G141" s="430"/>
      <c r="H141" s="430"/>
      <c r="I141" s="430"/>
      <c r="J141" s="430"/>
      <c r="K141" s="430"/>
      <c r="L141" s="430"/>
      <c r="M141" s="430"/>
      <c r="N141" s="430"/>
      <c r="O141" s="430"/>
      <c r="P141" s="430"/>
      <c r="Q141" s="430"/>
      <c r="R141" s="430"/>
      <c r="S141" s="430"/>
      <c r="T141" s="430"/>
      <c r="U141" s="430"/>
      <c r="V141" s="430"/>
      <c r="W141" s="430"/>
      <c r="X141" s="430"/>
      <c r="Y141" s="430"/>
      <c r="Z141" s="430"/>
      <c r="AA141" s="430"/>
      <c r="AB141" s="430"/>
      <c r="AC141" s="430"/>
      <c r="AD141" s="430"/>
      <c r="AE141" s="430"/>
      <c r="AF141" s="430"/>
      <c r="AG141" s="430"/>
      <c r="AH141" s="430"/>
      <c r="AI141" s="430"/>
      <c r="AJ141" s="430"/>
      <c r="AK141" s="430"/>
      <c r="AL141" s="430"/>
      <c r="AM141" s="430"/>
      <c r="AN141" s="430"/>
      <c r="AO141" s="430"/>
      <c r="AP141" s="430"/>
      <c r="AQ141" s="430"/>
      <c r="AR141" s="430"/>
      <c r="AS141" s="430"/>
      <c r="AT141" s="430"/>
      <c r="AU141" s="430"/>
      <c r="AV141" s="430"/>
      <c r="AW141" s="430"/>
      <c r="AX141" s="430"/>
      <c r="AY141" s="430"/>
    </row>
    <row r="142" spans="1:51">
      <c r="A142" s="430"/>
      <c r="B142" s="451"/>
      <c r="C142" s="430"/>
      <c r="D142" s="451"/>
      <c r="E142" s="430"/>
      <c r="F142" s="430"/>
      <c r="G142" s="430"/>
      <c r="H142" s="430"/>
      <c r="I142" s="430"/>
      <c r="J142" s="430"/>
      <c r="K142" s="430"/>
      <c r="L142" s="430"/>
      <c r="M142" s="430"/>
      <c r="N142" s="430"/>
      <c r="O142" s="430"/>
      <c r="P142" s="430"/>
      <c r="Q142" s="430"/>
      <c r="R142" s="430"/>
      <c r="S142" s="430"/>
      <c r="T142" s="430"/>
      <c r="U142" s="430"/>
      <c r="V142" s="430"/>
      <c r="W142" s="430"/>
      <c r="X142" s="430"/>
      <c r="Y142" s="430"/>
      <c r="Z142" s="430"/>
      <c r="AA142" s="430"/>
      <c r="AB142" s="430"/>
      <c r="AC142" s="430"/>
      <c r="AD142" s="430"/>
      <c r="AE142" s="430"/>
      <c r="AF142" s="430"/>
      <c r="AG142" s="430"/>
      <c r="AH142" s="430"/>
      <c r="AI142" s="430"/>
      <c r="AJ142" s="430"/>
      <c r="AK142" s="430"/>
      <c r="AL142" s="430"/>
      <c r="AM142" s="430"/>
      <c r="AN142" s="430"/>
      <c r="AO142" s="430"/>
      <c r="AP142" s="430"/>
      <c r="AQ142" s="430"/>
      <c r="AR142" s="430"/>
      <c r="AS142" s="430"/>
      <c r="AT142" s="430"/>
      <c r="AU142" s="430"/>
      <c r="AV142" s="430"/>
      <c r="AW142" s="430"/>
      <c r="AX142" s="430"/>
      <c r="AY142" s="430"/>
    </row>
    <row r="143" spans="1:51">
      <c r="A143" s="430"/>
      <c r="B143" s="451"/>
      <c r="C143" s="430"/>
      <c r="D143" s="451"/>
      <c r="E143" s="430"/>
      <c r="F143" s="430"/>
      <c r="G143" s="430"/>
      <c r="H143" s="430"/>
      <c r="I143" s="430"/>
      <c r="J143" s="430"/>
      <c r="K143" s="430"/>
      <c r="L143" s="430"/>
      <c r="M143" s="430"/>
      <c r="N143" s="430"/>
      <c r="O143" s="430"/>
      <c r="P143" s="430"/>
      <c r="Q143" s="430"/>
      <c r="R143" s="430"/>
      <c r="S143" s="430"/>
      <c r="T143" s="430"/>
      <c r="U143" s="430"/>
      <c r="V143" s="430"/>
      <c r="W143" s="430"/>
      <c r="X143" s="430"/>
      <c r="Y143" s="430"/>
      <c r="Z143" s="430"/>
      <c r="AA143" s="430"/>
      <c r="AB143" s="430"/>
      <c r="AC143" s="430"/>
      <c r="AD143" s="430"/>
      <c r="AE143" s="430"/>
      <c r="AF143" s="430"/>
      <c r="AG143" s="430"/>
      <c r="AH143" s="430"/>
      <c r="AI143" s="430"/>
      <c r="AJ143" s="430"/>
      <c r="AK143" s="430"/>
      <c r="AL143" s="430"/>
      <c r="AM143" s="430"/>
      <c r="AN143" s="430"/>
      <c r="AO143" s="430"/>
      <c r="AP143" s="430"/>
      <c r="AQ143" s="430"/>
      <c r="AR143" s="430"/>
      <c r="AS143" s="430"/>
      <c r="AT143" s="430"/>
      <c r="AU143" s="430"/>
      <c r="AV143" s="430"/>
      <c r="AW143" s="430"/>
      <c r="AX143" s="430"/>
      <c r="AY143" s="430"/>
    </row>
    <row r="144" spans="1:51">
      <c r="A144" s="430"/>
      <c r="B144" s="451"/>
      <c r="C144" s="430"/>
      <c r="D144" s="451"/>
      <c r="E144" s="430"/>
      <c r="F144" s="430"/>
      <c r="G144" s="430"/>
      <c r="H144" s="430"/>
      <c r="I144" s="430"/>
      <c r="J144" s="430"/>
      <c r="K144" s="430"/>
      <c r="L144" s="430"/>
      <c r="M144" s="430"/>
      <c r="N144" s="430"/>
      <c r="O144" s="430"/>
      <c r="P144" s="430"/>
      <c r="Q144" s="430"/>
      <c r="R144" s="430"/>
      <c r="S144" s="430"/>
      <c r="T144" s="430"/>
      <c r="U144" s="430"/>
      <c r="V144" s="430"/>
      <c r="W144" s="430"/>
      <c r="X144" s="430"/>
      <c r="Y144" s="430"/>
      <c r="Z144" s="430"/>
      <c r="AA144" s="430"/>
      <c r="AB144" s="430"/>
      <c r="AC144" s="430"/>
      <c r="AD144" s="430"/>
      <c r="AE144" s="430"/>
      <c r="AF144" s="430"/>
      <c r="AG144" s="430"/>
      <c r="AH144" s="430"/>
      <c r="AI144" s="430"/>
      <c r="AJ144" s="430"/>
      <c r="AK144" s="430"/>
      <c r="AL144" s="430"/>
      <c r="AM144" s="430"/>
      <c r="AN144" s="430"/>
      <c r="AO144" s="430"/>
      <c r="AP144" s="430"/>
      <c r="AQ144" s="430"/>
      <c r="AR144" s="430"/>
      <c r="AS144" s="430"/>
      <c r="AT144" s="430"/>
      <c r="AU144" s="430"/>
      <c r="AV144" s="430"/>
      <c r="AW144" s="430"/>
      <c r="AX144" s="430"/>
      <c r="AY144" s="430"/>
    </row>
    <row r="145" spans="1:51">
      <c r="A145" s="430"/>
      <c r="B145" s="430"/>
      <c r="C145" s="430"/>
      <c r="D145" s="430"/>
      <c r="E145" s="430"/>
      <c r="F145" s="430"/>
      <c r="G145" s="430"/>
      <c r="H145" s="430"/>
      <c r="I145" s="430"/>
      <c r="J145" s="430"/>
      <c r="K145" s="430"/>
      <c r="L145" s="430"/>
      <c r="M145" s="430"/>
      <c r="N145" s="430"/>
      <c r="O145" s="430"/>
      <c r="P145" s="430"/>
      <c r="Q145" s="430"/>
      <c r="R145" s="430"/>
      <c r="S145" s="430"/>
      <c r="T145" s="430"/>
      <c r="U145" s="430"/>
      <c r="V145" s="430"/>
      <c r="W145" s="430"/>
      <c r="X145" s="430"/>
      <c r="Y145" s="430"/>
      <c r="Z145" s="430"/>
      <c r="AA145" s="430"/>
      <c r="AB145" s="430"/>
      <c r="AC145" s="430"/>
      <c r="AD145" s="430"/>
      <c r="AE145" s="430"/>
      <c r="AF145" s="430"/>
      <c r="AG145" s="430"/>
      <c r="AH145" s="430"/>
      <c r="AI145" s="430"/>
      <c r="AJ145" s="430"/>
      <c r="AK145" s="430"/>
      <c r="AL145" s="430"/>
      <c r="AM145" s="430"/>
      <c r="AN145" s="430"/>
      <c r="AO145" s="430"/>
      <c r="AP145" s="430"/>
      <c r="AQ145" s="430"/>
      <c r="AR145" s="430"/>
      <c r="AS145" s="430"/>
      <c r="AT145" s="430"/>
      <c r="AU145" s="430"/>
      <c r="AV145" s="430"/>
      <c r="AW145" s="430"/>
      <c r="AX145" s="430"/>
      <c r="AY145" s="430"/>
    </row>
    <row r="146" spans="1:51">
      <c r="A146" s="430"/>
      <c r="B146" s="430"/>
      <c r="C146" s="430"/>
      <c r="D146" s="430"/>
      <c r="E146" s="430"/>
      <c r="F146" s="430"/>
      <c r="G146" s="430"/>
      <c r="H146" s="430"/>
      <c r="I146" s="430"/>
      <c r="J146" s="430"/>
      <c r="K146" s="430"/>
      <c r="L146" s="430"/>
      <c r="M146" s="430"/>
      <c r="N146" s="430"/>
      <c r="O146" s="430"/>
      <c r="P146" s="430"/>
      <c r="Q146" s="430"/>
      <c r="R146" s="430"/>
      <c r="S146" s="430"/>
      <c r="T146" s="430"/>
      <c r="U146" s="430"/>
      <c r="V146" s="430"/>
      <c r="W146" s="430"/>
      <c r="X146" s="430"/>
      <c r="Y146" s="430"/>
      <c r="Z146" s="430"/>
      <c r="AA146" s="430"/>
      <c r="AB146" s="430"/>
      <c r="AC146" s="430"/>
      <c r="AD146" s="430"/>
      <c r="AE146" s="430"/>
      <c r="AF146" s="430"/>
      <c r="AG146" s="430"/>
      <c r="AH146" s="430"/>
      <c r="AI146" s="430"/>
      <c r="AJ146" s="430"/>
      <c r="AK146" s="430"/>
      <c r="AL146" s="430"/>
      <c r="AM146" s="430"/>
      <c r="AN146" s="430"/>
      <c r="AO146" s="430"/>
      <c r="AP146" s="430"/>
      <c r="AQ146" s="430"/>
      <c r="AR146" s="430"/>
      <c r="AS146" s="430"/>
      <c r="AT146" s="430"/>
      <c r="AU146" s="430"/>
      <c r="AV146" s="430"/>
      <c r="AW146" s="430"/>
      <c r="AX146" s="430"/>
      <c r="AY146" s="430"/>
    </row>
    <row r="147" spans="1:51">
      <c r="A147" s="430"/>
      <c r="B147" s="430"/>
      <c r="C147" s="430"/>
      <c r="D147" s="430"/>
      <c r="E147" s="430"/>
      <c r="F147" s="430"/>
      <c r="G147" s="430"/>
      <c r="H147" s="430"/>
      <c r="I147" s="430"/>
      <c r="J147" s="430"/>
      <c r="K147" s="430"/>
      <c r="L147" s="430"/>
      <c r="M147" s="430"/>
      <c r="N147" s="430"/>
      <c r="O147" s="430"/>
      <c r="P147" s="430"/>
      <c r="Q147" s="430"/>
      <c r="R147" s="430"/>
      <c r="S147" s="430"/>
      <c r="T147" s="430"/>
      <c r="U147" s="430"/>
      <c r="V147" s="430"/>
      <c r="W147" s="430"/>
      <c r="X147" s="430"/>
      <c r="Y147" s="430"/>
      <c r="Z147" s="430"/>
      <c r="AA147" s="430"/>
      <c r="AB147" s="430"/>
      <c r="AC147" s="430"/>
      <c r="AD147" s="430"/>
      <c r="AE147" s="430"/>
      <c r="AF147" s="430"/>
      <c r="AG147" s="430"/>
      <c r="AH147" s="430"/>
      <c r="AI147" s="430"/>
      <c r="AJ147" s="430"/>
      <c r="AK147" s="430"/>
      <c r="AL147" s="430"/>
      <c r="AM147" s="430"/>
      <c r="AN147" s="430"/>
      <c r="AO147" s="430"/>
      <c r="AP147" s="430"/>
      <c r="AQ147" s="430"/>
      <c r="AR147" s="430"/>
      <c r="AS147" s="430"/>
      <c r="AT147" s="430"/>
      <c r="AU147" s="430"/>
      <c r="AV147" s="430"/>
      <c r="AW147" s="430"/>
      <c r="AX147" s="430"/>
      <c r="AY147" s="430"/>
    </row>
    <row r="148" spans="1:51">
      <c r="A148" s="430"/>
      <c r="B148" s="430"/>
      <c r="C148" s="430"/>
      <c r="D148" s="430"/>
      <c r="E148" s="430"/>
      <c r="F148" s="430"/>
      <c r="G148" s="430"/>
      <c r="H148" s="430"/>
      <c r="I148" s="430"/>
      <c r="J148" s="430"/>
      <c r="K148" s="430"/>
      <c r="L148" s="430"/>
      <c r="M148" s="430"/>
      <c r="N148" s="430"/>
      <c r="O148" s="430"/>
      <c r="P148" s="430"/>
      <c r="Q148" s="430"/>
      <c r="R148" s="430"/>
      <c r="S148" s="430"/>
      <c r="T148" s="430"/>
      <c r="U148" s="430"/>
      <c r="V148" s="430"/>
      <c r="W148" s="430"/>
      <c r="X148" s="430"/>
      <c r="Y148" s="430"/>
      <c r="Z148" s="430"/>
      <c r="AA148" s="430"/>
      <c r="AB148" s="430"/>
      <c r="AC148" s="430"/>
      <c r="AD148" s="430"/>
      <c r="AE148" s="430"/>
      <c r="AF148" s="430"/>
      <c r="AG148" s="430"/>
      <c r="AH148" s="430"/>
      <c r="AI148" s="430"/>
      <c r="AJ148" s="430"/>
      <c r="AK148" s="430"/>
      <c r="AL148" s="430"/>
      <c r="AM148" s="430"/>
      <c r="AN148" s="430"/>
      <c r="AO148" s="430"/>
      <c r="AP148" s="430"/>
      <c r="AQ148" s="430"/>
      <c r="AR148" s="430"/>
      <c r="AS148" s="430"/>
      <c r="AT148" s="430"/>
      <c r="AU148" s="430"/>
      <c r="AV148" s="430"/>
      <c r="AW148" s="430"/>
      <c r="AX148" s="430"/>
      <c r="AY148" s="430"/>
    </row>
    <row r="149" spans="1:51">
      <c r="A149" s="430"/>
      <c r="B149" s="430"/>
      <c r="C149" s="430"/>
      <c r="D149" s="430"/>
      <c r="E149" s="430"/>
      <c r="L149" s="430"/>
      <c r="M149" s="430"/>
      <c r="N149" s="430"/>
      <c r="O149" s="430"/>
      <c r="P149" s="430"/>
      <c r="Q149" s="430"/>
      <c r="R149" s="430"/>
      <c r="S149" s="430"/>
      <c r="T149" s="430"/>
      <c r="U149" s="430"/>
      <c r="V149" s="430"/>
      <c r="W149" s="430"/>
      <c r="X149" s="430"/>
      <c r="Y149" s="430"/>
      <c r="Z149" s="430"/>
      <c r="AA149" s="430"/>
      <c r="AB149" s="430"/>
      <c r="AC149" s="430"/>
      <c r="AD149" s="430"/>
      <c r="AE149" s="430"/>
      <c r="AF149" s="430"/>
      <c r="AG149" s="430"/>
      <c r="AH149" s="430"/>
      <c r="AI149" s="430"/>
      <c r="AJ149" s="430"/>
      <c r="AK149" s="430"/>
      <c r="AL149" s="430"/>
      <c r="AM149" s="430"/>
      <c r="AN149" s="430"/>
      <c r="AO149" s="430"/>
      <c r="AP149" s="430"/>
      <c r="AQ149" s="430"/>
      <c r="AR149" s="430"/>
      <c r="AS149" s="430"/>
      <c r="AT149" s="430"/>
      <c r="AU149" s="430"/>
      <c r="AV149" s="430"/>
      <c r="AW149" s="430"/>
      <c r="AX149" s="430"/>
      <c r="AY149" s="430"/>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4B084"/>
  </sheetPr>
  <dimension ref="A1:AY149"/>
  <sheetViews>
    <sheetView zoomScale="98" workbookViewId="0">
      <pane xSplit="4" ySplit="3" topLeftCell="E4" activePane="bottomRight" state="frozen"/>
      <selection pane="topRight"/>
      <selection pane="bottomLeft"/>
      <selection pane="bottomRight" activeCell="F1" sqref="F1:K1048576"/>
    </sheetView>
  </sheetViews>
  <sheetFormatPr defaultRowHeight="14.5" outlineLevelCol="1"/>
  <cols>
    <col min="1" max="1" width="36.1796875" customWidth="1"/>
    <col min="2" max="2" width="4.453125" style="424" customWidth="1"/>
    <col min="3" max="3" width="19.90625" style="418" customWidth="1"/>
    <col min="4" max="4" width="7.6328125" style="424" customWidth="1"/>
    <col min="5" max="5" width="11.7265625" customWidth="1"/>
    <col min="6" max="9" width="10.7265625" style="429" customWidth="1" outlineLevel="1"/>
    <col min="10" max="11" width="10.7265625" style="624" customWidth="1" outlineLevel="1"/>
    <col min="12" max="15" width="11.7265625" customWidth="1"/>
    <col min="16" max="16" width="12" bestFit="1" customWidth="1"/>
    <col min="17" max="18" width="11.7265625" customWidth="1"/>
    <col min="19" max="19" width="12" bestFit="1" customWidth="1"/>
    <col min="20" max="24" width="11.7265625" customWidth="1"/>
    <col min="28" max="28" width="19.6328125" bestFit="1" customWidth="1"/>
    <col min="29" max="29" width="13.90625" bestFit="1" customWidth="1"/>
    <col min="30" max="30" width="10.81640625" bestFit="1" customWidth="1"/>
    <col min="31" max="31" width="18.26953125" bestFit="1" customWidth="1"/>
  </cols>
  <sheetData>
    <row r="1" spans="1:51">
      <c r="A1" s="430"/>
      <c r="B1" s="430"/>
      <c r="C1" s="430"/>
      <c r="D1" s="430"/>
      <c r="E1" s="430"/>
      <c r="F1" s="430"/>
      <c r="G1" s="430"/>
      <c r="H1" s="430"/>
      <c r="I1" s="430"/>
      <c r="J1" s="430"/>
      <c r="K1" s="430"/>
      <c r="L1" s="430"/>
      <c r="M1" s="430"/>
      <c r="N1" s="430"/>
      <c r="O1" s="430"/>
      <c r="P1" s="430"/>
      <c r="Q1" s="430"/>
      <c r="R1" s="430"/>
      <c r="S1" s="430"/>
      <c r="T1" s="430"/>
      <c r="U1" s="430"/>
      <c r="V1" s="430"/>
      <c r="W1" s="430"/>
      <c r="X1" s="430"/>
      <c r="Y1" s="430"/>
      <c r="Z1" s="430"/>
      <c r="AA1" s="430"/>
      <c r="AB1" s="430"/>
      <c r="AC1" s="430"/>
      <c r="AD1" s="430"/>
      <c r="AE1" s="430"/>
      <c r="AF1" s="430"/>
      <c r="AG1" s="430"/>
      <c r="AH1" s="430"/>
      <c r="AI1" s="430"/>
      <c r="AJ1" s="430"/>
      <c r="AK1" s="430"/>
      <c r="AL1" s="430"/>
      <c r="AM1" s="430"/>
      <c r="AN1" s="430"/>
      <c r="AO1" s="430"/>
      <c r="AP1" s="430"/>
      <c r="AQ1" s="430"/>
      <c r="AR1" s="430"/>
      <c r="AS1" s="430"/>
      <c r="AT1" s="430"/>
      <c r="AU1" s="430"/>
      <c r="AV1" s="430"/>
      <c r="AW1" s="430"/>
      <c r="AX1" s="430"/>
      <c r="AY1" s="430"/>
    </row>
    <row r="2" spans="1:51">
      <c r="A2" s="437"/>
      <c r="B2" s="434"/>
      <c r="C2" s="434"/>
      <c r="D2" s="434"/>
      <c r="E2" s="455">
        <v>45657</v>
      </c>
      <c r="F2" s="436">
        <v>45747</v>
      </c>
      <c r="G2" s="436">
        <v>45838</v>
      </c>
      <c r="H2" s="436">
        <v>45930</v>
      </c>
      <c r="I2" s="436">
        <v>46022</v>
      </c>
      <c r="J2" s="436">
        <v>46112</v>
      </c>
      <c r="K2" s="436">
        <v>46203</v>
      </c>
      <c r="L2" s="455">
        <v>45747</v>
      </c>
      <c r="M2" s="455">
        <v>45838</v>
      </c>
      <c r="N2" s="455">
        <v>45930</v>
      </c>
      <c r="O2" s="455">
        <v>46022</v>
      </c>
      <c r="P2" s="455">
        <v>46112</v>
      </c>
      <c r="Q2" s="455">
        <v>46203</v>
      </c>
      <c r="R2" s="455">
        <v>46295</v>
      </c>
      <c r="S2" s="455">
        <v>46387</v>
      </c>
      <c r="T2" s="455">
        <v>46752</v>
      </c>
      <c r="U2" s="455">
        <v>47118</v>
      </c>
      <c r="V2" s="455">
        <v>47483</v>
      </c>
      <c r="W2" s="455">
        <v>47848</v>
      </c>
      <c r="X2" s="542"/>
      <c r="Y2" s="590"/>
      <c r="Z2" s="590"/>
      <c r="AA2" s="437"/>
      <c r="AB2" s="437"/>
      <c r="AC2" s="437"/>
      <c r="AD2" s="437"/>
      <c r="AE2" s="437"/>
      <c r="AF2" s="437"/>
      <c r="AG2" s="437"/>
      <c r="AH2" s="437"/>
      <c r="AI2" s="437"/>
      <c r="AJ2" s="437"/>
      <c r="AK2" s="437"/>
      <c r="AL2" s="437"/>
      <c r="AM2" s="437"/>
      <c r="AN2" s="437"/>
      <c r="AO2" s="437"/>
      <c r="AP2" s="437"/>
      <c r="AQ2" s="437"/>
      <c r="AR2" s="437"/>
      <c r="AS2" s="437"/>
      <c r="AT2" s="437"/>
      <c r="AU2" s="437"/>
      <c r="AV2" s="437"/>
      <c r="AW2" s="437"/>
      <c r="AX2" s="437"/>
      <c r="AY2" s="437"/>
    </row>
    <row r="3" spans="1:51" ht="14.65" customHeight="1">
      <c r="A3" s="437" t="s">
        <v>39</v>
      </c>
      <c r="B3" s="434"/>
      <c r="C3" s="434"/>
      <c r="D3" s="434"/>
      <c r="E3" s="456"/>
      <c r="F3" s="439" t="s">
        <v>3</v>
      </c>
      <c r="G3" s="439" t="s">
        <v>4</v>
      </c>
      <c r="H3" s="439" t="s">
        <v>5</v>
      </c>
      <c r="I3" s="439" t="s">
        <v>2</v>
      </c>
      <c r="J3" s="625" t="s">
        <v>3</v>
      </c>
      <c r="K3" s="625" t="s">
        <v>4</v>
      </c>
      <c r="L3" s="456" t="s">
        <v>3</v>
      </c>
      <c r="M3" s="456" t="s">
        <v>4</v>
      </c>
      <c r="N3" s="456" t="s">
        <v>5</v>
      </c>
      <c r="O3" s="456" t="s">
        <v>2</v>
      </c>
      <c r="P3" s="456" t="s">
        <v>3</v>
      </c>
      <c r="Q3" s="456" t="s">
        <v>4</v>
      </c>
      <c r="R3" s="456" t="s">
        <v>5</v>
      </c>
      <c r="S3" s="456" t="s">
        <v>2</v>
      </c>
      <c r="T3" s="456" t="s">
        <v>2</v>
      </c>
      <c r="U3" s="456" t="s">
        <v>2</v>
      </c>
      <c r="V3" s="456" t="s">
        <v>2</v>
      </c>
      <c r="W3" s="456" t="s">
        <v>2</v>
      </c>
      <c r="X3" s="544"/>
      <c r="Y3" s="590"/>
      <c r="Z3" s="590"/>
      <c r="AA3" s="437"/>
      <c r="AB3" s="437"/>
      <c r="AC3" s="437"/>
      <c r="AD3" s="437"/>
      <c r="AE3" s="437"/>
      <c r="AF3" s="437"/>
      <c r="AG3" s="437"/>
      <c r="AH3" s="437"/>
      <c r="AI3" s="437"/>
      <c r="AJ3" s="437"/>
      <c r="AK3" s="437"/>
      <c r="AL3" s="437"/>
      <c r="AM3" s="437"/>
      <c r="AN3" s="437"/>
      <c r="AO3" s="437"/>
      <c r="AP3" s="437"/>
      <c r="AQ3" s="437"/>
      <c r="AR3" s="437"/>
      <c r="AS3" s="437"/>
      <c r="AT3" s="437"/>
      <c r="AU3" s="437"/>
      <c r="AV3" s="437"/>
      <c r="AW3" s="437"/>
      <c r="AX3" s="437"/>
      <c r="AY3" s="437"/>
    </row>
    <row r="4" spans="1:51" ht="18.5" customHeight="1">
      <c r="A4" s="430"/>
      <c r="B4" s="440" t="s">
        <v>6</v>
      </c>
      <c r="C4" s="441" t="s">
        <v>7</v>
      </c>
      <c r="D4" s="440" t="s">
        <v>8</v>
      </c>
      <c r="E4" s="430"/>
      <c r="F4" s="430"/>
      <c r="G4" s="430"/>
      <c r="H4" s="430"/>
      <c r="I4" s="430"/>
      <c r="J4" s="430"/>
      <c r="K4" s="430"/>
      <c r="L4" s="430"/>
      <c r="M4" s="430"/>
      <c r="N4" s="430"/>
      <c r="O4" s="430"/>
      <c r="P4" s="430"/>
      <c r="Q4" s="430"/>
      <c r="R4" s="430"/>
      <c r="S4" s="430"/>
      <c r="T4" s="430"/>
      <c r="U4" s="430"/>
      <c r="V4" s="430"/>
      <c r="W4" s="430"/>
      <c r="X4" s="430"/>
      <c r="Y4" s="430"/>
      <c r="Z4" s="430"/>
      <c r="AA4" s="430"/>
      <c r="AB4" s="430"/>
      <c r="AC4" s="430"/>
      <c r="AD4" s="430"/>
      <c r="AE4" s="430"/>
      <c r="AF4" s="430"/>
      <c r="AG4" s="430"/>
      <c r="AH4" s="430"/>
      <c r="AI4" s="430"/>
      <c r="AJ4" s="430"/>
      <c r="AK4" s="430"/>
      <c r="AL4" s="430"/>
      <c r="AM4" s="430"/>
      <c r="AN4" s="430"/>
      <c r="AO4" s="430"/>
      <c r="AP4" s="430"/>
      <c r="AQ4" s="430"/>
      <c r="AR4" s="430"/>
      <c r="AS4" s="430"/>
      <c r="AT4" s="430"/>
      <c r="AU4" s="430"/>
      <c r="AV4" s="430"/>
      <c r="AW4" s="430"/>
      <c r="AX4" s="430"/>
      <c r="AY4" s="430"/>
    </row>
    <row r="5" spans="1:51">
      <c r="A5" s="591" t="s">
        <v>1036</v>
      </c>
      <c r="B5" s="445"/>
      <c r="C5" s="447"/>
      <c r="D5" s="445"/>
      <c r="E5" s="430"/>
      <c r="F5" s="430"/>
      <c r="G5" s="430"/>
      <c r="H5" s="430"/>
      <c r="I5" s="430"/>
      <c r="J5" s="430"/>
      <c r="K5" s="430"/>
      <c r="L5" s="430"/>
      <c r="M5" s="430"/>
      <c r="N5" s="430"/>
      <c r="O5" s="430"/>
      <c r="P5" s="430"/>
      <c r="Q5" s="430"/>
      <c r="R5" s="430"/>
      <c r="S5" s="430"/>
      <c r="T5" s="430"/>
      <c r="U5" s="430"/>
      <c r="V5" s="430"/>
      <c r="W5" s="430"/>
      <c r="X5" s="430"/>
      <c r="Y5" s="532"/>
      <c r="Z5" s="532"/>
      <c r="AA5" s="430"/>
      <c r="AB5" s="430"/>
      <c r="AC5" s="430"/>
      <c r="AD5" s="430"/>
      <c r="AE5" s="430"/>
      <c r="AF5" s="430"/>
      <c r="AG5" s="430"/>
      <c r="AH5" s="430"/>
      <c r="AI5" s="430"/>
      <c r="AJ5" s="430"/>
      <c r="AK5" s="430"/>
      <c r="AL5" s="430"/>
      <c r="AM5" s="430"/>
      <c r="AN5" s="430"/>
      <c r="AO5" s="430"/>
      <c r="AP5" s="430"/>
      <c r="AQ5" s="430"/>
      <c r="AR5" s="430"/>
      <c r="AS5" s="430"/>
      <c r="AT5" s="430"/>
      <c r="AU5" s="430"/>
      <c r="AV5" s="430"/>
      <c r="AW5" s="430"/>
      <c r="AX5" s="430"/>
      <c r="AY5" s="430"/>
    </row>
    <row r="6" spans="1:51">
      <c r="A6" s="586" t="s">
        <v>1050</v>
      </c>
      <c r="B6" s="443" t="s">
        <v>18</v>
      </c>
      <c r="C6" s="444" t="s">
        <v>1021</v>
      </c>
      <c r="D6" s="460" t="s">
        <v>1051</v>
      </c>
      <c r="E6" s="464"/>
      <c r="F6" s="430"/>
      <c r="G6" s="430"/>
      <c r="H6" s="430"/>
      <c r="I6" s="430"/>
      <c r="J6" s="430"/>
      <c r="K6" s="430"/>
      <c r="L6" s="587">
        <v>87500</v>
      </c>
      <c r="M6" s="587">
        <v>87500</v>
      </c>
      <c r="N6" s="587">
        <v>87500</v>
      </c>
      <c r="O6" s="587">
        <v>87500</v>
      </c>
      <c r="P6" s="587">
        <v>187500</v>
      </c>
      <c r="Q6" s="587">
        <v>187500</v>
      </c>
      <c r="R6" s="587">
        <v>187500</v>
      </c>
      <c r="S6" s="587">
        <v>187500</v>
      </c>
      <c r="T6" s="464">
        <v>750000</v>
      </c>
      <c r="U6" s="464">
        <v>750000</v>
      </c>
      <c r="V6" s="464">
        <v>750000</v>
      </c>
      <c r="W6" s="464">
        <v>750000</v>
      </c>
      <c r="X6" s="464"/>
      <c r="Y6" s="532"/>
      <c r="Z6" s="532"/>
      <c r="AA6" s="430"/>
      <c r="AB6" s="430"/>
      <c r="AC6" s="430"/>
      <c r="AD6" s="430"/>
      <c r="AE6" s="430"/>
      <c r="AF6" s="430"/>
      <c r="AG6" s="430"/>
      <c r="AH6" s="430"/>
      <c r="AI6" s="430"/>
      <c r="AJ6" s="430"/>
      <c r="AK6" s="430"/>
      <c r="AL6" s="430"/>
      <c r="AM6" s="430"/>
      <c r="AN6" s="430"/>
      <c r="AO6" s="430"/>
      <c r="AP6" s="430"/>
      <c r="AQ6" s="430"/>
      <c r="AR6" s="430"/>
      <c r="AS6" s="430"/>
      <c r="AT6" s="430"/>
      <c r="AU6" s="430"/>
      <c r="AV6" s="430"/>
      <c r="AW6" s="430"/>
      <c r="AX6" s="430"/>
      <c r="AY6" s="430"/>
    </row>
    <row r="7" spans="1:51">
      <c r="A7" s="586" t="s">
        <v>1052</v>
      </c>
      <c r="B7" s="443" t="s">
        <v>18</v>
      </c>
      <c r="C7" s="444" t="s">
        <v>1021</v>
      </c>
      <c r="D7" s="460" t="s">
        <v>1053</v>
      </c>
      <c r="E7" s="464"/>
      <c r="F7" s="430"/>
      <c r="G7" s="430"/>
      <c r="H7" s="430"/>
      <c r="I7" s="430"/>
      <c r="J7" s="430"/>
      <c r="K7" s="430"/>
      <c r="L7" s="587">
        <v>46250</v>
      </c>
      <c r="M7" s="587">
        <v>46250</v>
      </c>
      <c r="N7" s="587">
        <v>46250</v>
      </c>
      <c r="O7" s="587">
        <v>46250</v>
      </c>
      <c r="P7" s="587">
        <v>46250</v>
      </c>
      <c r="Q7" s="587">
        <v>46250</v>
      </c>
      <c r="R7" s="587">
        <v>46250</v>
      </c>
      <c r="S7" s="587">
        <v>46250</v>
      </c>
      <c r="T7" s="464">
        <v>185000</v>
      </c>
      <c r="U7" s="464">
        <v>185000</v>
      </c>
      <c r="V7" s="464">
        <v>185000</v>
      </c>
      <c r="W7" s="464">
        <v>185000</v>
      </c>
      <c r="X7" s="464"/>
      <c r="Y7" s="532"/>
      <c r="Z7" s="532"/>
      <c r="AA7" s="430"/>
      <c r="AB7" s="430"/>
      <c r="AC7" s="430"/>
      <c r="AD7" s="430"/>
      <c r="AE7" s="430"/>
      <c r="AF7" s="430"/>
      <c r="AG7" s="430"/>
      <c r="AH7" s="430"/>
      <c r="AI7" s="430"/>
      <c r="AJ7" s="430"/>
      <c r="AK7" s="430"/>
      <c r="AL7" s="430"/>
      <c r="AM7" s="430"/>
      <c r="AN7" s="430"/>
      <c r="AO7" s="430"/>
      <c r="AP7" s="430"/>
      <c r="AQ7" s="430"/>
      <c r="AR7" s="430"/>
      <c r="AS7" s="430"/>
      <c r="AT7" s="430"/>
      <c r="AU7" s="430"/>
      <c r="AV7" s="430"/>
      <c r="AW7" s="430"/>
      <c r="AX7" s="430"/>
      <c r="AY7" s="430"/>
    </row>
    <row r="8" spans="1:51">
      <c r="A8" s="586" t="s">
        <v>1054</v>
      </c>
      <c r="B8" s="443" t="s">
        <v>18</v>
      </c>
      <c r="C8" s="444" t="s">
        <v>1021</v>
      </c>
      <c r="D8" s="460" t="s">
        <v>1055</v>
      </c>
      <c r="E8" s="464"/>
      <c r="F8" s="430"/>
      <c r="G8" s="430"/>
      <c r="H8" s="430"/>
      <c r="I8" s="430"/>
      <c r="J8" s="430"/>
      <c r="K8" s="430"/>
      <c r="L8" s="587">
        <v>27500</v>
      </c>
      <c r="M8" s="587">
        <v>27500</v>
      </c>
      <c r="N8" s="587">
        <v>27500</v>
      </c>
      <c r="O8" s="587">
        <v>27500</v>
      </c>
      <c r="P8" s="587">
        <v>28125</v>
      </c>
      <c r="Q8" s="587">
        <v>28125</v>
      </c>
      <c r="R8" s="587">
        <v>28125</v>
      </c>
      <c r="S8" s="587">
        <v>28125</v>
      </c>
      <c r="T8" s="464">
        <v>112500</v>
      </c>
      <c r="U8" s="464">
        <v>112500</v>
      </c>
      <c r="V8" s="464">
        <v>112500</v>
      </c>
      <c r="W8" s="464">
        <v>112500</v>
      </c>
      <c r="X8" s="464"/>
      <c r="Y8" s="532"/>
      <c r="Z8" s="532"/>
      <c r="AA8" s="430"/>
      <c r="AB8" s="430"/>
      <c r="AC8" s="430"/>
      <c r="AD8" s="430"/>
      <c r="AE8" s="430"/>
      <c r="AF8" s="430"/>
      <c r="AG8" s="430"/>
      <c r="AH8" s="430"/>
      <c r="AI8" s="430"/>
      <c r="AJ8" s="430"/>
      <c r="AK8" s="430"/>
      <c r="AL8" s="430"/>
      <c r="AM8" s="430"/>
      <c r="AN8" s="430"/>
      <c r="AO8" s="430"/>
      <c r="AP8" s="430"/>
      <c r="AQ8" s="430"/>
      <c r="AR8" s="430"/>
      <c r="AS8" s="430"/>
      <c r="AT8" s="430"/>
      <c r="AU8" s="430"/>
      <c r="AV8" s="430"/>
      <c r="AW8" s="430"/>
      <c r="AX8" s="430"/>
      <c r="AY8" s="430"/>
    </row>
    <row r="9" spans="1:51">
      <c r="A9" s="586" t="s">
        <v>1056</v>
      </c>
      <c r="B9" s="442" t="s">
        <v>18</v>
      </c>
      <c r="C9" s="442" t="s">
        <v>1021</v>
      </c>
      <c r="D9" s="442" t="s">
        <v>1057</v>
      </c>
      <c r="E9" s="464"/>
      <c r="F9" s="430"/>
      <c r="G9" s="430"/>
      <c r="H9" s="430"/>
      <c r="I9" s="430"/>
      <c r="J9" s="430"/>
      <c r="K9" s="430"/>
      <c r="L9" s="587">
        <v>62500</v>
      </c>
      <c r="M9" s="587">
        <v>62500</v>
      </c>
      <c r="N9" s="587">
        <v>62500</v>
      </c>
      <c r="O9" s="587">
        <v>62500</v>
      </c>
      <c r="P9" s="587">
        <v>65000</v>
      </c>
      <c r="Q9" s="587">
        <v>65000</v>
      </c>
      <c r="R9" s="587">
        <v>65000</v>
      </c>
      <c r="S9" s="587">
        <v>65000</v>
      </c>
      <c r="T9" s="464">
        <v>260000</v>
      </c>
      <c r="U9" s="464">
        <v>260000</v>
      </c>
      <c r="V9" s="464">
        <v>260000</v>
      </c>
      <c r="W9" s="464">
        <v>260000</v>
      </c>
      <c r="X9" s="464"/>
      <c r="Y9" s="532"/>
      <c r="Z9" s="532"/>
      <c r="AA9" s="430"/>
      <c r="AB9" s="430"/>
      <c r="AC9" s="430"/>
      <c r="AD9" s="430"/>
      <c r="AE9" s="430"/>
      <c r="AF9" s="430"/>
      <c r="AG9" s="430"/>
      <c r="AH9" s="430"/>
      <c r="AI9" s="430"/>
      <c r="AJ9" s="430"/>
      <c r="AK9" s="430"/>
      <c r="AL9" s="430"/>
      <c r="AM9" s="430"/>
      <c r="AN9" s="430"/>
      <c r="AO9" s="430"/>
      <c r="AP9" s="430"/>
      <c r="AQ9" s="430"/>
      <c r="AR9" s="430"/>
      <c r="AS9" s="430"/>
      <c r="AT9" s="430"/>
      <c r="AU9" s="430"/>
      <c r="AV9" s="430"/>
      <c r="AW9" s="430"/>
      <c r="AX9" s="430"/>
      <c r="AY9" s="430"/>
    </row>
    <row r="10" spans="1:51">
      <c r="A10" s="586" t="s">
        <v>1058</v>
      </c>
      <c r="B10" s="442" t="s">
        <v>18</v>
      </c>
      <c r="C10" s="442" t="s">
        <v>1021</v>
      </c>
      <c r="D10" s="442" t="s">
        <v>1059</v>
      </c>
      <c r="E10" s="464"/>
      <c r="F10" s="464"/>
      <c r="G10" s="464"/>
      <c r="H10" s="464"/>
      <c r="I10" s="464"/>
      <c r="J10" s="464"/>
      <c r="K10" s="464"/>
      <c r="L10" s="587">
        <v>43750</v>
      </c>
      <c r="M10" s="587">
        <v>43750</v>
      </c>
      <c r="N10" s="587">
        <v>43750</v>
      </c>
      <c r="O10" s="587">
        <v>0</v>
      </c>
      <c r="P10" s="587">
        <v>0</v>
      </c>
      <c r="Q10" s="587">
        <v>0</v>
      </c>
      <c r="R10" s="587">
        <v>0</v>
      </c>
      <c r="S10" s="587">
        <v>0</v>
      </c>
      <c r="T10" s="464">
        <v>0</v>
      </c>
      <c r="U10" s="464">
        <v>0</v>
      </c>
      <c r="V10" s="464">
        <v>0</v>
      </c>
      <c r="W10" s="464">
        <v>0</v>
      </c>
      <c r="X10" s="464"/>
      <c r="Y10" s="532"/>
      <c r="Z10" s="532"/>
      <c r="AA10" s="430"/>
      <c r="AB10" s="430"/>
      <c r="AC10" s="430"/>
      <c r="AD10" s="430"/>
      <c r="AE10" s="430"/>
      <c r="AF10" s="430"/>
      <c r="AG10" s="430"/>
      <c r="AH10" s="430"/>
      <c r="AI10" s="430"/>
      <c r="AJ10" s="430"/>
      <c r="AK10" s="430"/>
      <c r="AL10" s="430"/>
      <c r="AM10" s="430"/>
      <c r="AN10" s="430"/>
      <c r="AO10" s="430"/>
      <c r="AP10" s="430"/>
      <c r="AQ10" s="430"/>
      <c r="AR10" s="430"/>
      <c r="AS10" s="430"/>
      <c r="AT10" s="430"/>
      <c r="AU10" s="430"/>
      <c r="AV10" s="430"/>
      <c r="AW10" s="430"/>
      <c r="AX10" s="430"/>
      <c r="AY10" s="430"/>
    </row>
    <row r="11" spans="1:51">
      <c r="A11" s="586" t="s">
        <v>1060</v>
      </c>
      <c r="B11" s="442" t="s">
        <v>18</v>
      </c>
      <c r="C11" s="442" t="s">
        <v>1021</v>
      </c>
      <c r="D11" s="442" t="s">
        <v>1061</v>
      </c>
      <c r="E11" s="464"/>
      <c r="F11" s="430"/>
      <c r="G11" s="430"/>
      <c r="H11" s="430"/>
      <c r="I11" s="430"/>
      <c r="J11" s="430"/>
      <c r="K11" s="430"/>
      <c r="L11" s="587">
        <v>75000</v>
      </c>
      <c r="M11" s="587">
        <v>75000</v>
      </c>
      <c r="N11" s="587">
        <v>75000</v>
      </c>
      <c r="O11" s="587">
        <v>75000</v>
      </c>
      <c r="P11" s="587">
        <v>0</v>
      </c>
      <c r="Q11" s="587">
        <v>0</v>
      </c>
      <c r="R11" s="587">
        <v>0</v>
      </c>
      <c r="S11" s="587">
        <v>0</v>
      </c>
      <c r="T11" s="464">
        <v>0</v>
      </c>
      <c r="U11" s="464">
        <v>0</v>
      </c>
      <c r="V11" s="464">
        <v>0</v>
      </c>
      <c r="W11" s="464">
        <v>0</v>
      </c>
      <c r="X11" s="464"/>
      <c r="Y11" s="532"/>
      <c r="Z11" s="532"/>
      <c r="AA11" s="430"/>
      <c r="AB11" s="430"/>
      <c r="AC11" s="430"/>
      <c r="AD11" s="430"/>
      <c r="AE11" s="430"/>
      <c r="AF11" s="430"/>
      <c r="AG11" s="430"/>
      <c r="AH11" s="430"/>
      <c r="AI11" s="430"/>
      <c r="AJ11" s="430"/>
      <c r="AK11" s="430"/>
      <c r="AL11" s="430"/>
      <c r="AM11" s="430"/>
      <c r="AN11" s="430"/>
      <c r="AO11" s="430"/>
      <c r="AP11" s="430"/>
      <c r="AQ11" s="430"/>
      <c r="AR11" s="430"/>
      <c r="AS11" s="430"/>
      <c r="AT11" s="430"/>
      <c r="AU11" s="430"/>
      <c r="AV11" s="430"/>
      <c r="AW11" s="430"/>
      <c r="AX11" s="430"/>
      <c r="AY11" s="430"/>
    </row>
    <row r="12" spans="1:51">
      <c r="A12" s="586" t="s">
        <v>1062</v>
      </c>
      <c r="B12" s="442" t="s">
        <v>18</v>
      </c>
      <c r="C12" s="442" t="s">
        <v>1021</v>
      </c>
      <c r="D12" s="442" t="s">
        <v>1063</v>
      </c>
      <c r="E12" s="464"/>
      <c r="F12" s="469"/>
      <c r="G12" s="469"/>
      <c r="H12" s="469"/>
      <c r="I12" s="469"/>
      <c r="J12" s="469"/>
      <c r="K12" s="469"/>
      <c r="L12" s="587">
        <v>45000</v>
      </c>
      <c r="M12" s="587">
        <v>45000</v>
      </c>
      <c r="N12" s="587">
        <v>45000</v>
      </c>
      <c r="O12" s="587">
        <v>45000</v>
      </c>
      <c r="P12" s="587">
        <v>47500</v>
      </c>
      <c r="Q12" s="587">
        <v>47500</v>
      </c>
      <c r="R12" s="587">
        <v>47500</v>
      </c>
      <c r="S12" s="587">
        <v>47500</v>
      </c>
      <c r="T12" s="464">
        <v>190000</v>
      </c>
      <c r="U12" s="464">
        <v>190000</v>
      </c>
      <c r="V12" s="464">
        <v>190000</v>
      </c>
      <c r="W12" s="464">
        <v>190000</v>
      </c>
      <c r="X12" s="464"/>
      <c r="Y12" s="532"/>
      <c r="Z12" s="532"/>
      <c r="AA12" s="430"/>
      <c r="AB12" s="430"/>
      <c r="AC12" s="430"/>
      <c r="AD12" s="430"/>
      <c r="AE12" s="430"/>
      <c r="AF12" s="430"/>
      <c r="AG12" s="430"/>
      <c r="AH12" s="430"/>
      <c r="AI12" s="430"/>
      <c r="AJ12" s="430"/>
      <c r="AK12" s="430"/>
      <c r="AL12" s="430"/>
      <c r="AM12" s="430"/>
      <c r="AN12" s="430"/>
      <c r="AO12" s="430"/>
      <c r="AP12" s="430"/>
      <c r="AQ12" s="430"/>
      <c r="AR12" s="430"/>
      <c r="AS12" s="430"/>
      <c r="AT12" s="430"/>
      <c r="AU12" s="430"/>
      <c r="AV12" s="430"/>
      <c r="AW12" s="430"/>
      <c r="AX12" s="430"/>
      <c r="AY12" s="430"/>
    </row>
    <row r="13" spans="1:51">
      <c r="A13" s="586" t="s">
        <v>1064</v>
      </c>
      <c r="B13" s="442" t="s">
        <v>18</v>
      </c>
      <c r="C13" s="442" t="s">
        <v>1021</v>
      </c>
      <c r="D13" s="442" t="s">
        <v>1065</v>
      </c>
      <c r="E13" s="464"/>
      <c r="F13" s="469"/>
      <c r="G13" s="469"/>
      <c r="H13" s="469"/>
      <c r="I13" s="469"/>
      <c r="J13" s="469"/>
      <c r="K13" s="469"/>
      <c r="L13" s="587">
        <v>32500</v>
      </c>
      <c r="M13" s="587">
        <v>32500</v>
      </c>
      <c r="N13" s="587">
        <v>32500</v>
      </c>
      <c r="O13" s="587">
        <v>32500</v>
      </c>
      <c r="P13" s="587">
        <v>34375</v>
      </c>
      <c r="Q13" s="587">
        <v>0</v>
      </c>
      <c r="R13" s="587">
        <v>0</v>
      </c>
      <c r="S13" s="587">
        <v>0</v>
      </c>
      <c r="T13" s="464">
        <v>0</v>
      </c>
      <c r="U13" s="464">
        <v>0</v>
      </c>
      <c r="V13" s="464">
        <v>0</v>
      </c>
      <c r="W13" s="464">
        <v>0</v>
      </c>
      <c r="X13" s="464"/>
      <c r="Y13" s="532"/>
      <c r="Z13" s="532"/>
      <c r="AA13" s="430"/>
      <c r="AB13" s="430"/>
      <c r="AC13" s="430"/>
      <c r="AD13" s="430"/>
      <c r="AE13" s="430"/>
      <c r="AF13" s="430"/>
      <c r="AG13" s="430"/>
      <c r="AH13" s="430"/>
      <c r="AI13" s="430"/>
      <c r="AJ13" s="430"/>
      <c r="AK13" s="430"/>
      <c r="AL13" s="430"/>
      <c r="AM13" s="430"/>
      <c r="AN13" s="430"/>
      <c r="AO13" s="430"/>
      <c r="AP13" s="430"/>
      <c r="AQ13" s="430"/>
      <c r="AR13" s="430"/>
      <c r="AS13" s="430"/>
      <c r="AT13" s="430"/>
      <c r="AU13" s="430"/>
      <c r="AV13" s="430"/>
      <c r="AW13" s="430"/>
      <c r="AX13" s="430"/>
      <c r="AY13" s="430"/>
    </row>
    <row r="14" spans="1:51">
      <c r="A14" s="586" t="s">
        <v>1066</v>
      </c>
      <c r="B14" s="442" t="s">
        <v>18</v>
      </c>
      <c r="C14" s="442" t="s">
        <v>1021</v>
      </c>
      <c r="D14" s="442" t="s">
        <v>1067</v>
      </c>
      <c r="E14" s="464"/>
      <c r="F14" s="430"/>
      <c r="G14" s="430"/>
      <c r="H14" s="430"/>
      <c r="I14" s="430"/>
      <c r="J14" s="430"/>
      <c r="K14" s="430"/>
      <c r="L14" s="587">
        <v>0</v>
      </c>
      <c r="M14" s="587">
        <v>0</v>
      </c>
      <c r="N14" s="587">
        <v>0</v>
      </c>
      <c r="O14" s="587">
        <v>0</v>
      </c>
      <c r="P14" s="587">
        <v>0</v>
      </c>
      <c r="Q14" s="587">
        <v>0</v>
      </c>
      <c r="R14" s="587">
        <v>34375</v>
      </c>
      <c r="S14" s="587">
        <v>34375</v>
      </c>
      <c r="T14" s="464">
        <v>137500</v>
      </c>
      <c r="U14" s="464">
        <v>137500</v>
      </c>
      <c r="V14" s="464">
        <v>137500</v>
      </c>
      <c r="W14" s="464">
        <v>137500</v>
      </c>
      <c r="X14" s="464"/>
      <c r="Y14" s="532"/>
      <c r="Z14" s="532"/>
      <c r="AA14" s="430"/>
      <c r="AB14" s="430"/>
      <c r="AC14" s="430"/>
      <c r="AD14" s="430"/>
      <c r="AE14" s="430"/>
      <c r="AF14" s="430"/>
      <c r="AG14" s="430"/>
      <c r="AH14" s="430"/>
      <c r="AI14" s="430"/>
      <c r="AJ14" s="430"/>
      <c r="AK14" s="430"/>
      <c r="AL14" s="430"/>
      <c r="AM14" s="430"/>
      <c r="AN14" s="430"/>
      <c r="AO14" s="430"/>
      <c r="AP14" s="430"/>
      <c r="AQ14" s="430"/>
      <c r="AR14" s="430"/>
      <c r="AS14" s="430"/>
      <c r="AT14" s="430"/>
      <c r="AU14" s="430"/>
      <c r="AV14" s="430"/>
      <c r="AW14" s="430"/>
      <c r="AX14" s="430"/>
      <c r="AY14" s="430"/>
    </row>
    <row r="15" spans="1:51" s="30" customFormat="1">
      <c r="A15" s="586" t="s">
        <v>1068</v>
      </c>
      <c r="B15" s="535" t="s">
        <v>18</v>
      </c>
      <c r="C15" s="533" t="s">
        <v>1021</v>
      </c>
      <c r="D15" s="535" t="s">
        <v>1069</v>
      </c>
      <c r="E15" s="464"/>
      <c r="F15" s="430"/>
      <c r="G15" s="430"/>
      <c r="H15" s="430"/>
      <c r="I15" s="430"/>
      <c r="J15" s="430"/>
      <c r="K15" s="430"/>
      <c r="L15" s="587">
        <v>27500</v>
      </c>
      <c r="M15" s="587">
        <v>27500</v>
      </c>
      <c r="N15" s="587">
        <v>27500</v>
      </c>
      <c r="O15" s="587">
        <v>27500</v>
      </c>
      <c r="P15" s="587">
        <v>27500</v>
      </c>
      <c r="Q15" s="595">
        <v>27500</v>
      </c>
      <c r="R15" s="595">
        <v>27500</v>
      </c>
      <c r="S15" s="595">
        <v>27500</v>
      </c>
      <c r="T15" s="464">
        <v>110000</v>
      </c>
      <c r="U15" s="464">
        <v>110000</v>
      </c>
      <c r="V15" s="464">
        <v>110000</v>
      </c>
      <c r="W15" s="464">
        <v>110000</v>
      </c>
      <c r="X15" s="464"/>
      <c r="Y15" s="532"/>
      <c r="Z15" s="532"/>
      <c r="AA15" s="430"/>
      <c r="AB15" s="430"/>
      <c r="AC15" s="430"/>
      <c r="AD15" s="430"/>
      <c r="AE15" s="430"/>
      <c r="AF15" s="430"/>
      <c r="AG15" s="430"/>
      <c r="AH15" s="430"/>
      <c r="AI15" s="430"/>
      <c r="AJ15" s="430"/>
      <c r="AK15" s="430"/>
      <c r="AL15" s="430"/>
      <c r="AM15" s="430"/>
      <c r="AN15" s="430"/>
      <c r="AO15" s="430"/>
      <c r="AP15" s="430"/>
      <c r="AQ15" s="430"/>
      <c r="AR15" s="430"/>
      <c r="AS15" s="430"/>
      <c r="AT15" s="430"/>
      <c r="AU15" s="430"/>
      <c r="AV15" s="430"/>
      <c r="AW15" s="430"/>
      <c r="AX15" s="430"/>
      <c r="AY15" s="430"/>
    </row>
    <row r="16" spans="1:51" ht="14.65" customHeight="1">
      <c r="A16" s="586" t="s">
        <v>1070</v>
      </c>
      <c r="B16" s="442" t="s">
        <v>18</v>
      </c>
      <c r="C16" s="442" t="s">
        <v>1021</v>
      </c>
      <c r="D16" s="442" t="s">
        <v>1071</v>
      </c>
      <c r="E16" s="464"/>
      <c r="F16" s="430"/>
      <c r="G16" s="430"/>
      <c r="H16" s="430"/>
      <c r="I16" s="430"/>
      <c r="J16" s="430"/>
      <c r="K16" s="430"/>
      <c r="L16" s="587"/>
      <c r="M16" s="587"/>
      <c r="N16" s="587"/>
      <c r="O16" s="587"/>
      <c r="P16" s="587">
        <v>50000</v>
      </c>
      <c r="Q16" s="595">
        <v>50000</v>
      </c>
      <c r="R16" s="595">
        <v>50000</v>
      </c>
      <c r="S16" s="595">
        <v>50000</v>
      </c>
      <c r="T16" s="464">
        <v>200000</v>
      </c>
      <c r="U16" s="464">
        <v>200000</v>
      </c>
      <c r="V16" s="464">
        <v>200000</v>
      </c>
      <c r="W16" s="464">
        <v>200000</v>
      </c>
      <c r="X16" s="464"/>
      <c r="Y16" s="532"/>
      <c r="Z16" s="532"/>
      <c r="AA16" s="430"/>
      <c r="AB16" s="430"/>
      <c r="AC16" s="430"/>
      <c r="AD16" s="430"/>
      <c r="AE16" s="430"/>
      <c r="AF16" s="430"/>
      <c r="AG16" s="430"/>
      <c r="AH16" s="430"/>
      <c r="AI16" s="430"/>
      <c r="AJ16" s="430"/>
      <c r="AK16" s="430"/>
      <c r="AL16" s="430"/>
      <c r="AM16" s="430"/>
      <c r="AN16" s="430"/>
      <c r="AO16" s="430"/>
      <c r="AP16" s="430"/>
      <c r="AQ16" s="430"/>
      <c r="AR16" s="430"/>
      <c r="AS16" s="430"/>
      <c r="AT16" s="430"/>
      <c r="AU16" s="430"/>
      <c r="AV16" s="430"/>
      <c r="AW16" s="430"/>
      <c r="AX16" s="430"/>
      <c r="AY16" s="430"/>
    </row>
    <row r="17" spans="1:51" ht="14.65" customHeight="1">
      <c r="A17" s="593" t="s">
        <v>33</v>
      </c>
      <c r="B17" s="430"/>
      <c r="C17" s="430"/>
      <c r="D17" s="430"/>
      <c r="E17" s="464"/>
      <c r="F17" s="473"/>
      <c r="G17" s="473"/>
      <c r="H17" s="473"/>
      <c r="I17" s="473"/>
      <c r="J17" s="473"/>
      <c r="K17" s="473"/>
      <c r="L17" s="464">
        <f t="shared" ref="L17:W17" si="0">SUM(L6:L16)</f>
        <v>447500</v>
      </c>
      <c r="M17" s="464">
        <f t="shared" si="0"/>
        <v>447500</v>
      </c>
      <c r="N17" s="464">
        <f t="shared" si="0"/>
        <v>447500</v>
      </c>
      <c r="O17" s="464">
        <f t="shared" si="0"/>
        <v>403750</v>
      </c>
      <c r="P17" s="464">
        <f t="shared" si="0"/>
        <v>486250</v>
      </c>
      <c r="Q17" s="464">
        <f t="shared" si="0"/>
        <v>451875</v>
      </c>
      <c r="R17" s="464">
        <f t="shared" si="0"/>
        <v>486250</v>
      </c>
      <c r="S17" s="464">
        <f t="shared" si="0"/>
        <v>486250</v>
      </c>
      <c r="T17" s="464">
        <f t="shared" si="0"/>
        <v>1945000</v>
      </c>
      <c r="U17" s="464">
        <f t="shared" si="0"/>
        <v>1945000</v>
      </c>
      <c r="V17" s="464">
        <f t="shared" si="0"/>
        <v>1945000</v>
      </c>
      <c r="W17" s="464">
        <f t="shared" si="0"/>
        <v>1945000</v>
      </c>
      <c r="X17" s="464"/>
      <c r="Y17" s="532"/>
      <c r="Z17" s="532"/>
      <c r="AA17" s="430"/>
      <c r="AB17" s="430"/>
      <c r="AC17" s="430"/>
      <c r="AD17" s="430"/>
      <c r="AE17" s="430"/>
      <c r="AF17" s="430"/>
      <c r="AG17" s="430"/>
      <c r="AH17" s="430"/>
      <c r="AI17" s="430"/>
      <c r="AJ17" s="430"/>
      <c r="AK17" s="430"/>
      <c r="AL17" s="430"/>
      <c r="AM17" s="430"/>
      <c r="AN17" s="430"/>
      <c r="AO17" s="430"/>
      <c r="AP17" s="430"/>
      <c r="AQ17" s="430"/>
      <c r="AR17" s="430"/>
      <c r="AS17" s="430"/>
      <c r="AT17" s="430"/>
      <c r="AU17" s="430"/>
      <c r="AV17" s="430"/>
      <c r="AW17" s="430"/>
      <c r="AX17" s="430"/>
      <c r="AY17" s="430"/>
    </row>
    <row r="18" spans="1:51">
      <c r="A18" s="594"/>
      <c r="B18" s="430"/>
      <c r="C18" s="430"/>
      <c r="D18" s="430"/>
      <c r="E18" s="464"/>
      <c r="F18" s="473"/>
      <c r="G18" s="473"/>
      <c r="H18" s="473"/>
      <c r="I18" s="473"/>
      <c r="J18" s="473"/>
      <c r="K18" s="473"/>
      <c r="L18" s="464"/>
      <c r="M18" s="464"/>
      <c r="N18" s="464"/>
      <c r="O18" s="464"/>
      <c r="P18" s="464"/>
      <c r="Q18" s="464"/>
      <c r="R18" s="464"/>
      <c r="S18" s="464"/>
      <c r="T18" s="464"/>
      <c r="U18" s="464"/>
      <c r="V18" s="464"/>
      <c r="W18" s="464"/>
      <c r="X18" s="464"/>
      <c r="Y18" s="532"/>
      <c r="Z18" s="532"/>
      <c r="AA18" s="430"/>
      <c r="AB18" s="430"/>
      <c r="AC18" s="430"/>
      <c r="AD18" s="430"/>
      <c r="AE18" s="430"/>
      <c r="AF18" s="430"/>
      <c r="AG18" s="430"/>
      <c r="AH18" s="430"/>
      <c r="AI18" s="430"/>
      <c r="AJ18" s="430"/>
      <c r="AK18" s="430"/>
      <c r="AL18" s="430"/>
      <c r="AM18" s="430"/>
      <c r="AN18" s="430"/>
      <c r="AO18" s="430"/>
      <c r="AP18" s="430"/>
      <c r="AQ18" s="430"/>
      <c r="AR18" s="430"/>
      <c r="AS18" s="430"/>
      <c r="AT18" s="430"/>
      <c r="AU18" s="430"/>
      <c r="AV18" s="430"/>
      <c r="AW18" s="430"/>
      <c r="AX18" s="430"/>
      <c r="AY18" s="430"/>
    </row>
    <row r="19" spans="1:51" ht="14.65" customHeight="1">
      <c r="A19" s="533" t="s">
        <v>1033</v>
      </c>
      <c r="B19" s="430"/>
      <c r="C19" s="430"/>
      <c r="D19" s="430"/>
      <c r="E19" s="430"/>
      <c r="F19" s="464"/>
      <c r="G19" s="464"/>
      <c r="H19" s="464"/>
      <c r="I19" s="464"/>
      <c r="J19" s="464"/>
      <c r="K19" s="464"/>
      <c r="L19" s="430"/>
      <c r="M19" s="430"/>
      <c r="N19" s="430"/>
      <c r="O19" s="430"/>
      <c r="P19" s="430"/>
      <c r="Q19" s="430"/>
      <c r="R19" s="430"/>
      <c r="S19" s="430"/>
      <c r="T19" s="430"/>
      <c r="U19" s="430"/>
      <c r="V19" s="430"/>
      <c r="W19" s="430"/>
      <c r="X19" s="430"/>
      <c r="Y19" s="532"/>
      <c r="Z19" s="532"/>
      <c r="AA19" s="430"/>
      <c r="AB19" s="430"/>
      <c r="AC19" s="430"/>
      <c r="AD19" s="430"/>
      <c r="AE19" s="430"/>
      <c r="AF19" s="430"/>
      <c r="AG19" s="430"/>
      <c r="AH19" s="430"/>
      <c r="AI19" s="430"/>
      <c r="AJ19" s="430"/>
      <c r="AK19" s="430"/>
      <c r="AL19" s="430"/>
      <c r="AM19" s="430"/>
      <c r="AN19" s="430"/>
      <c r="AO19" s="430"/>
      <c r="AP19" s="430"/>
      <c r="AQ19" s="430"/>
      <c r="AR19" s="430"/>
      <c r="AS19" s="430"/>
      <c r="AT19" s="430"/>
      <c r="AU19" s="430"/>
      <c r="AV19" s="430"/>
      <c r="AW19" s="430"/>
      <c r="AX19" s="430"/>
      <c r="AY19" s="430"/>
    </row>
    <row r="20" spans="1:51">
      <c r="A20" s="430" t="str">
        <f t="shared" ref="A20:A30" si="1">+A6</f>
        <v>HODS  (RB)</v>
      </c>
      <c r="B20" s="442" t="s">
        <v>18</v>
      </c>
      <c r="C20" s="442" t="s">
        <v>1034</v>
      </c>
      <c r="D20" s="442" t="s">
        <v>1051</v>
      </c>
      <c r="E20" s="478"/>
      <c r="F20" s="430"/>
      <c r="G20" s="430"/>
      <c r="H20" s="430"/>
      <c r="I20" s="430"/>
      <c r="J20" s="430"/>
      <c r="K20" s="430"/>
      <c r="L20" s="511">
        <v>0</v>
      </c>
      <c r="M20" s="511">
        <v>0</v>
      </c>
      <c r="N20" s="511">
        <v>0</v>
      </c>
      <c r="O20" s="511">
        <v>685000</v>
      </c>
      <c r="P20" s="511">
        <v>0</v>
      </c>
      <c r="Q20" s="511">
        <v>0</v>
      </c>
      <c r="R20" s="511">
        <v>0</v>
      </c>
      <c r="S20" s="511">
        <v>250000</v>
      </c>
      <c r="T20" s="492">
        <v>250000</v>
      </c>
      <c r="U20" s="492">
        <v>250000</v>
      </c>
      <c r="V20" s="492">
        <v>250000</v>
      </c>
      <c r="W20" s="492">
        <v>250000</v>
      </c>
      <c r="X20" s="478"/>
      <c r="Y20" s="532"/>
      <c r="Z20" s="532"/>
      <c r="AA20" s="430"/>
      <c r="AB20" s="430"/>
      <c r="AC20" s="430"/>
      <c r="AD20" s="430"/>
      <c r="AE20" s="430"/>
      <c r="AF20" s="430"/>
      <c r="AG20" s="430"/>
      <c r="AH20" s="430"/>
      <c r="AI20" s="430"/>
      <c r="AJ20" s="430"/>
      <c r="AK20" s="430"/>
      <c r="AL20" s="430"/>
      <c r="AM20" s="430"/>
      <c r="AN20" s="430"/>
      <c r="AO20" s="430"/>
      <c r="AP20" s="430"/>
      <c r="AQ20" s="430"/>
      <c r="AR20" s="430"/>
      <c r="AS20" s="430"/>
      <c r="AT20" s="430"/>
      <c r="AU20" s="430"/>
      <c r="AV20" s="430"/>
      <c r="AW20" s="430"/>
      <c r="AX20" s="430"/>
      <c r="AY20" s="430"/>
    </row>
    <row r="21" spans="1:51">
      <c r="A21" s="430" t="str">
        <f t="shared" si="1"/>
        <v>Project Executive  (LS) (100%)</v>
      </c>
      <c r="B21" s="442" t="s">
        <v>18</v>
      </c>
      <c r="C21" s="442" t="s">
        <v>1034</v>
      </c>
      <c r="D21" s="442" t="s">
        <v>1053</v>
      </c>
      <c r="E21" s="464"/>
      <c r="F21" s="478"/>
      <c r="G21" s="478"/>
      <c r="H21" s="478"/>
      <c r="I21" s="478"/>
      <c r="J21" s="478"/>
      <c r="K21" s="478"/>
      <c r="L21" s="511">
        <v>0</v>
      </c>
      <c r="M21" s="511">
        <v>0</v>
      </c>
      <c r="N21" s="511">
        <v>0</v>
      </c>
      <c r="O21" s="511">
        <v>20000</v>
      </c>
      <c r="P21" s="511">
        <v>0</v>
      </c>
      <c r="Q21" s="511">
        <v>0</v>
      </c>
      <c r="R21" s="511">
        <v>0</v>
      </c>
      <c r="S21" s="511">
        <v>15000</v>
      </c>
      <c r="T21" s="492">
        <v>15000</v>
      </c>
      <c r="U21" s="492">
        <v>15000</v>
      </c>
      <c r="V21" s="492">
        <v>15000</v>
      </c>
      <c r="W21" s="492">
        <v>15000</v>
      </c>
      <c r="X21" s="464"/>
      <c r="Y21" s="532"/>
      <c r="Z21" s="532"/>
      <c r="AA21" s="430"/>
      <c r="AB21" s="430"/>
      <c r="AC21" s="430"/>
      <c r="AD21" s="430"/>
      <c r="AE21" s="430"/>
      <c r="AF21" s="430"/>
      <c r="AG21" s="430"/>
      <c r="AH21" s="430"/>
      <c r="AI21" s="430"/>
      <c r="AJ21" s="430"/>
      <c r="AK21" s="430"/>
      <c r="AL21" s="430"/>
      <c r="AM21" s="430"/>
      <c r="AN21" s="430"/>
      <c r="AO21" s="430"/>
      <c r="AP21" s="430"/>
      <c r="AQ21" s="430"/>
      <c r="AR21" s="430"/>
      <c r="AS21" s="430"/>
      <c r="AT21" s="430"/>
      <c r="AU21" s="430"/>
      <c r="AV21" s="430"/>
      <c r="AW21" s="430"/>
      <c r="AX21" s="430"/>
      <c r="AY21" s="430"/>
    </row>
    <row r="22" spans="1:51">
      <c r="A22" s="430" t="str">
        <f t="shared" si="1"/>
        <v>Project Manager (BD) (100%)</v>
      </c>
      <c r="B22" s="442" t="s">
        <v>18</v>
      </c>
      <c r="C22" s="442" t="s">
        <v>1034</v>
      </c>
      <c r="D22" s="442" t="s">
        <v>1055</v>
      </c>
      <c r="E22" s="464"/>
      <c r="F22" s="464"/>
      <c r="G22" s="464"/>
      <c r="H22" s="464"/>
      <c r="I22" s="464"/>
      <c r="J22" s="464"/>
      <c r="K22" s="464"/>
      <c r="L22" s="511">
        <v>0</v>
      </c>
      <c r="M22" s="511">
        <v>0</v>
      </c>
      <c r="N22" s="511">
        <v>0</v>
      </c>
      <c r="O22" s="511">
        <v>17500</v>
      </c>
      <c r="P22" s="511">
        <v>0</v>
      </c>
      <c r="Q22" s="511">
        <v>0</v>
      </c>
      <c r="R22" s="511">
        <v>0</v>
      </c>
      <c r="S22" s="511">
        <v>15000</v>
      </c>
      <c r="T22" s="492">
        <v>15000</v>
      </c>
      <c r="U22" s="492">
        <v>15000</v>
      </c>
      <c r="V22" s="492">
        <v>15000</v>
      </c>
      <c r="W22" s="492">
        <v>15000</v>
      </c>
      <c r="X22" s="464"/>
      <c r="Y22" s="532"/>
      <c r="Z22" s="532"/>
      <c r="AA22" s="430"/>
      <c r="AB22" s="430"/>
      <c r="AC22" s="430"/>
      <c r="AD22" s="430"/>
      <c r="AE22" s="430"/>
      <c r="AF22" s="430"/>
      <c r="AG22" s="430"/>
      <c r="AH22" s="430"/>
      <c r="AI22" s="430"/>
      <c r="AJ22" s="430"/>
      <c r="AK22" s="430"/>
      <c r="AL22" s="430"/>
      <c r="AM22" s="430"/>
      <c r="AN22" s="430"/>
      <c r="AO22" s="430"/>
      <c r="AP22" s="430"/>
      <c r="AQ22" s="430"/>
      <c r="AR22" s="430"/>
      <c r="AS22" s="430"/>
      <c r="AT22" s="430"/>
      <c r="AU22" s="430"/>
      <c r="AV22" s="430"/>
      <c r="AW22" s="430"/>
      <c r="AX22" s="430"/>
      <c r="AY22" s="430"/>
    </row>
    <row r="23" spans="1:51">
      <c r="A23" s="430" t="str">
        <f t="shared" si="1"/>
        <v>Counsel (KT)</v>
      </c>
      <c r="B23" s="442" t="s">
        <v>18</v>
      </c>
      <c r="C23" s="442" t="s">
        <v>1034</v>
      </c>
      <c r="D23" s="442" t="s">
        <v>1057</v>
      </c>
      <c r="E23" s="464"/>
      <c r="F23" s="464"/>
      <c r="G23" s="464"/>
      <c r="H23" s="464"/>
      <c r="I23" s="464"/>
      <c r="J23" s="464"/>
      <c r="K23" s="464"/>
      <c r="L23" s="511">
        <v>0</v>
      </c>
      <c r="M23" s="511">
        <v>0</v>
      </c>
      <c r="N23" s="511">
        <v>0</v>
      </c>
      <c r="O23" s="511">
        <v>230000</v>
      </c>
      <c r="P23" s="511">
        <v>0</v>
      </c>
      <c r="Q23" s="511">
        <v>0</v>
      </c>
      <c r="R23" s="511">
        <v>0</v>
      </c>
      <c r="S23" s="511">
        <v>125000</v>
      </c>
      <c r="T23" s="492">
        <v>125000</v>
      </c>
      <c r="U23" s="492">
        <v>125000</v>
      </c>
      <c r="V23" s="492">
        <v>125000</v>
      </c>
      <c r="W23" s="492">
        <v>125000</v>
      </c>
      <c r="X23" s="464"/>
      <c r="Y23" s="532"/>
      <c r="Z23" s="532"/>
      <c r="AA23" s="430"/>
      <c r="AB23" s="430"/>
      <c r="AC23" s="430"/>
      <c r="AD23" s="430"/>
      <c r="AE23" s="430"/>
      <c r="AF23" s="430"/>
      <c r="AG23" s="430"/>
      <c r="AH23" s="430"/>
      <c r="AI23" s="430"/>
      <c r="AJ23" s="430"/>
      <c r="AK23" s="430"/>
      <c r="AL23" s="430"/>
      <c r="AM23" s="430"/>
      <c r="AN23" s="430"/>
      <c r="AO23" s="430"/>
      <c r="AP23" s="430"/>
      <c r="AQ23" s="430"/>
      <c r="AR23" s="430"/>
      <c r="AS23" s="430"/>
      <c r="AT23" s="430"/>
      <c r="AU23" s="430"/>
      <c r="AV23" s="430"/>
      <c r="AW23" s="430"/>
      <c r="AX23" s="430"/>
      <c r="AY23" s="430"/>
    </row>
    <row r="24" spans="1:51">
      <c r="A24" s="430" t="str">
        <f t="shared" si="1"/>
        <v>Development Manager??? (alexi?)</v>
      </c>
      <c r="B24" s="442" t="s">
        <v>18</v>
      </c>
      <c r="C24" s="442" t="s">
        <v>1034</v>
      </c>
      <c r="D24" s="442" t="s">
        <v>1059</v>
      </c>
      <c r="E24" s="464"/>
      <c r="F24" s="464"/>
      <c r="G24" s="464"/>
      <c r="H24" s="464"/>
      <c r="I24" s="464"/>
      <c r="J24" s="464"/>
      <c r="K24" s="464"/>
      <c r="L24" s="511">
        <v>0</v>
      </c>
      <c r="M24" s="511">
        <v>0</v>
      </c>
      <c r="N24" s="511">
        <v>0</v>
      </c>
      <c r="O24" s="511">
        <v>0</v>
      </c>
      <c r="P24" s="511">
        <v>0</v>
      </c>
      <c r="Q24" s="511">
        <v>0</v>
      </c>
      <c r="R24" s="511">
        <v>0</v>
      </c>
      <c r="S24" s="511">
        <v>0</v>
      </c>
      <c r="T24" s="492">
        <v>0</v>
      </c>
      <c r="U24" s="492">
        <v>0</v>
      </c>
      <c r="V24" s="492">
        <v>0</v>
      </c>
      <c r="W24" s="492">
        <v>0</v>
      </c>
      <c r="X24" s="464"/>
      <c r="Y24" s="532"/>
      <c r="Z24" s="532"/>
      <c r="AA24" s="430"/>
      <c r="AB24" s="430"/>
      <c r="AC24" s="430"/>
      <c r="AD24" s="430"/>
      <c r="AE24" s="430"/>
      <c r="AF24" s="430"/>
      <c r="AG24" s="430"/>
      <c r="AH24" s="430"/>
      <c r="AI24" s="430"/>
      <c r="AJ24" s="430"/>
      <c r="AK24" s="430"/>
      <c r="AL24" s="430"/>
      <c r="AM24" s="430"/>
      <c r="AN24" s="430"/>
      <c r="AO24" s="430"/>
      <c r="AP24" s="430"/>
      <c r="AQ24" s="430"/>
      <c r="AR24" s="430"/>
      <c r="AS24" s="430"/>
      <c r="AT24" s="430"/>
      <c r="AU24" s="430"/>
      <c r="AV24" s="430"/>
      <c r="AW24" s="430"/>
      <c r="AX24" s="430"/>
      <c r="AY24" s="430"/>
    </row>
    <row r="25" spans="1:51">
      <c r="A25" s="430" t="str">
        <f t="shared" si="1"/>
        <v>Banker (tBD)</v>
      </c>
      <c r="B25" s="442" t="s">
        <v>18</v>
      </c>
      <c r="C25" s="442" t="s">
        <v>1034</v>
      </c>
      <c r="D25" s="442" t="s">
        <v>1061</v>
      </c>
      <c r="E25" s="464"/>
      <c r="F25" s="464"/>
      <c r="G25" s="464"/>
      <c r="H25" s="464"/>
      <c r="I25" s="464"/>
      <c r="J25" s="464"/>
      <c r="K25" s="464"/>
      <c r="L25" s="511">
        <v>0</v>
      </c>
      <c r="M25" s="511">
        <v>0</v>
      </c>
      <c r="N25" s="511">
        <v>0</v>
      </c>
      <c r="O25" s="511">
        <v>50000</v>
      </c>
      <c r="P25" s="511">
        <v>0</v>
      </c>
      <c r="Q25" s="511">
        <v>0</v>
      </c>
      <c r="R25" s="511">
        <v>0</v>
      </c>
      <c r="S25" s="511">
        <v>100000</v>
      </c>
      <c r="T25" s="492">
        <v>0</v>
      </c>
      <c r="U25" s="492">
        <v>0</v>
      </c>
      <c r="V25" s="492">
        <v>0</v>
      </c>
      <c r="W25" s="492">
        <v>0</v>
      </c>
      <c r="X25" s="464"/>
      <c r="Y25" s="532"/>
      <c r="Z25" s="532"/>
      <c r="AA25" s="430"/>
      <c r="AB25" s="430"/>
      <c r="AC25" s="430"/>
      <c r="AD25" s="430"/>
      <c r="AE25" s="430"/>
      <c r="AF25" s="430"/>
      <c r="AG25" s="430"/>
      <c r="AH25" s="430"/>
      <c r="AI25" s="430"/>
      <c r="AJ25" s="430"/>
      <c r="AK25" s="430"/>
      <c r="AL25" s="430"/>
      <c r="AM25" s="430"/>
      <c r="AN25" s="430"/>
      <c r="AO25" s="430"/>
      <c r="AP25" s="430"/>
      <c r="AQ25" s="430"/>
      <c r="AR25" s="430"/>
      <c r="AS25" s="430"/>
      <c r="AT25" s="430"/>
      <c r="AU25" s="430"/>
      <c r="AV25" s="430"/>
      <c r="AW25" s="430"/>
      <c r="AX25" s="430"/>
      <c r="AY25" s="430"/>
    </row>
    <row r="26" spans="1:51">
      <c r="A26" s="430" t="str">
        <f t="shared" si="1"/>
        <v>Senior Design Manager (AM)</v>
      </c>
      <c r="B26" s="442" t="s">
        <v>18</v>
      </c>
      <c r="C26" s="442" t="s">
        <v>1034</v>
      </c>
      <c r="D26" s="442" t="s">
        <v>1063</v>
      </c>
      <c r="E26" s="464"/>
      <c r="F26" s="464"/>
      <c r="G26" s="464"/>
      <c r="H26" s="464"/>
      <c r="I26" s="464"/>
      <c r="J26" s="464"/>
      <c r="K26" s="464"/>
      <c r="L26" s="511"/>
      <c r="M26" s="511"/>
      <c r="N26" s="511"/>
      <c r="O26" s="511">
        <v>65000</v>
      </c>
      <c r="P26" s="511">
        <v>0</v>
      </c>
      <c r="Q26" s="511">
        <v>0</v>
      </c>
      <c r="R26" s="511">
        <v>0</v>
      </c>
      <c r="S26" s="511">
        <v>55000</v>
      </c>
      <c r="T26" s="492">
        <v>55000</v>
      </c>
      <c r="U26" s="492">
        <v>55000</v>
      </c>
      <c r="V26" s="492">
        <v>55000</v>
      </c>
      <c r="W26" s="492">
        <v>55000</v>
      </c>
      <c r="X26" s="464"/>
      <c r="Y26" s="532"/>
      <c r="Z26" s="532"/>
      <c r="AA26" s="430"/>
      <c r="AB26" s="430"/>
      <c r="AC26" s="430"/>
      <c r="AD26" s="430"/>
      <c r="AE26" s="430"/>
      <c r="AF26" s="430"/>
      <c r="AG26" s="430"/>
      <c r="AH26" s="430"/>
      <c r="AI26" s="430"/>
      <c r="AJ26" s="430"/>
      <c r="AK26" s="430"/>
      <c r="AL26" s="430"/>
      <c r="AM26" s="430"/>
      <c r="AN26" s="430"/>
      <c r="AO26" s="430"/>
      <c r="AP26" s="430"/>
      <c r="AQ26" s="430"/>
      <c r="AR26" s="430"/>
      <c r="AS26" s="430"/>
      <c r="AT26" s="430"/>
      <c r="AU26" s="430"/>
      <c r="AV26" s="430"/>
      <c r="AW26" s="430"/>
      <c r="AX26" s="430"/>
      <c r="AY26" s="430"/>
    </row>
    <row r="27" spans="1:51">
      <c r="A27" s="430" t="str">
        <f t="shared" si="1"/>
        <v>Design Manager (AL) (gone)</v>
      </c>
      <c r="B27" s="442" t="s">
        <v>18</v>
      </c>
      <c r="C27" s="442" t="s">
        <v>1034</v>
      </c>
      <c r="D27" s="442" t="s">
        <v>1065</v>
      </c>
      <c r="E27" s="464"/>
      <c r="F27" s="464"/>
      <c r="G27" s="464"/>
      <c r="H27" s="464"/>
      <c r="I27" s="464"/>
      <c r="J27" s="464"/>
      <c r="K27" s="464"/>
      <c r="L27" s="511">
        <v>0</v>
      </c>
      <c r="M27" s="511">
        <v>0</v>
      </c>
      <c r="N27" s="511">
        <v>0</v>
      </c>
      <c r="O27" s="511">
        <v>25000</v>
      </c>
      <c r="P27" s="511">
        <v>0</v>
      </c>
      <c r="Q27" s="511">
        <v>0</v>
      </c>
      <c r="R27" s="511">
        <v>0</v>
      </c>
      <c r="S27" s="511">
        <v>0</v>
      </c>
      <c r="T27" s="492">
        <v>0</v>
      </c>
      <c r="U27" s="492">
        <v>0</v>
      </c>
      <c r="V27" s="492">
        <v>0</v>
      </c>
      <c r="W27" s="492">
        <v>0</v>
      </c>
      <c r="X27" s="464"/>
      <c r="Y27" s="532"/>
      <c r="Z27" s="532"/>
      <c r="AA27" s="430"/>
      <c r="AB27" s="430"/>
      <c r="AC27" s="430"/>
      <c r="AD27" s="430"/>
      <c r="AE27" s="430"/>
      <c r="AF27" s="430"/>
      <c r="AG27" s="430"/>
      <c r="AH27" s="430"/>
      <c r="AI27" s="430"/>
      <c r="AJ27" s="430"/>
      <c r="AK27" s="430"/>
      <c r="AL27" s="430"/>
      <c r="AM27" s="430"/>
      <c r="AN27" s="430"/>
      <c r="AO27" s="430"/>
      <c r="AP27" s="430"/>
      <c r="AQ27" s="430"/>
      <c r="AR27" s="430"/>
      <c r="AS27" s="430"/>
      <c r="AT27" s="430"/>
      <c r="AU27" s="430"/>
      <c r="AV27" s="430"/>
      <c r="AW27" s="430"/>
      <c r="AX27" s="430"/>
      <c r="AY27" s="430"/>
    </row>
    <row r="28" spans="1:51">
      <c r="A28" s="430" t="str">
        <f t="shared" si="1"/>
        <v>new design manager (TBD)</v>
      </c>
      <c r="B28" s="442" t="s">
        <v>18</v>
      </c>
      <c r="C28" s="442" t="s">
        <v>1034</v>
      </c>
      <c r="D28" s="442" t="s">
        <v>1067</v>
      </c>
      <c r="E28" s="464"/>
      <c r="F28" s="464"/>
      <c r="G28" s="464"/>
      <c r="H28" s="464"/>
      <c r="I28" s="464"/>
      <c r="J28" s="464"/>
      <c r="K28" s="464"/>
      <c r="L28" s="511">
        <v>0</v>
      </c>
      <c r="M28" s="511">
        <v>0</v>
      </c>
      <c r="N28" s="511">
        <v>0</v>
      </c>
      <c r="O28" s="511">
        <v>0</v>
      </c>
      <c r="P28" s="511">
        <v>0</v>
      </c>
      <c r="Q28" s="511">
        <v>0</v>
      </c>
      <c r="R28" s="511">
        <v>0</v>
      </c>
      <c r="S28" s="511">
        <v>11250</v>
      </c>
      <c r="T28" s="492">
        <v>22500</v>
      </c>
      <c r="U28" s="492">
        <v>22500</v>
      </c>
      <c r="V28" s="492">
        <v>22500</v>
      </c>
      <c r="W28" s="492">
        <v>22500</v>
      </c>
      <c r="X28" s="464"/>
      <c r="Y28" s="532"/>
      <c r="Z28" s="532"/>
      <c r="AA28" s="430"/>
      <c r="AB28" s="430"/>
      <c r="AC28" s="430"/>
      <c r="AD28" s="430"/>
      <c r="AE28" s="430"/>
      <c r="AF28" s="430"/>
      <c r="AG28" s="430"/>
      <c r="AH28" s="430"/>
      <c r="AI28" s="430"/>
      <c r="AJ28" s="430"/>
      <c r="AK28" s="430"/>
      <c r="AL28" s="430"/>
      <c r="AM28" s="430"/>
      <c r="AN28" s="430"/>
      <c r="AO28" s="430"/>
      <c r="AP28" s="430"/>
      <c r="AQ28" s="430"/>
      <c r="AR28" s="430"/>
      <c r="AS28" s="430"/>
      <c r="AT28" s="430"/>
      <c r="AU28" s="430"/>
      <c r="AV28" s="430"/>
      <c r="AW28" s="430"/>
      <c r="AX28" s="430"/>
      <c r="AY28" s="430"/>
    </row>
    <row r="29" spans="1:51" ht="14.65" customHeight="1">
      <c r="A29" s="430" t="str">
        <f t="shared" si="1"/>
        <v>FF&amp;E (SB)</v>
      </c>
      <c r="B29" s="442" t="s">
        <v>18</v>
      </c>
      <c r="C29" s="442" t="s">
        <v>1034</v>
      </c>
      <c r="D29" s="442" t="s">
        <v>1069</v>
      </c>
      <c r="E29" s="464"/>
      <c r="F29" s="464"/>
      <c r="G29" s="464"/>
      <c r="H29" s="464"/>
      <c r="I29" s="464"/>
      <c r="J29" s="464"/>
      <c r="K29" s="464"/>
      <c r="L29" s="511">
        <v>0</v>
      </c>
      <c r="M29" s="511">
        <v>0</v>
      </c>
      <c r="N29" s="511">
        <v>0</v>
      </c>
      <c r="O29" s="511">
        <v>0</v>
      </c>
      <c r="P29" s="511">
        <v>0</v>
      </c>
      <c r="Q29" s="511">
        <v>0</v>
      </c>
      <c r="R29" s="511">
        <v>0</v>
      </c>
      <c r="S29" s="511">
        <v>15000</v>
      </c>
      <c r="T29" s="492">
        <v>15000</v>
      </c>
      <c r="U29" s="492">
        <v>15000</v>
      </c>
      <c r="V29" s="492">
        <v>15000</v>
      </c>
      <c r="W29" s="492">
        <v>15000</v>
      </c>
      <c r="X29" s="464"/>
      <c r="Y29" s="532"/>
      <c r="Z29" s="532"/>
      <c r="AA29" s="430"/>
      <c r="AB29" s="430"/>
      <c r="AC29" s="430"/>
      <c r="AD29" s="430"/>
      <c r="AE29" s="430"/>
      <c r="AF29" s="430"/>
      <c r="AG29" s="430"/>
      <c r="AH29" s="430"/>
      <c r="AI29" s="430"/>
      <c r="AJ29" s="430"/>
      <c r="AK29" s="430"/>
      <c r="AL29" s="430"/>
      <c r="AM29" s="430"/>
      <c r="AN29" s="430"/>
      <c r="AO29" s="430"/>
      <c r="AP29" s="430"/>
      <c r="AQ29" s="430"/>
      <c r="AR29" s="430"/>
      <c r="AS29" s="430"/>
      <c r="AT29" s="430"/>
      <c r="AU29" s="430"/>
      <c r="AV29" s="430"/>
      <c r="AW29" s="430"/>
      <c r="AX29" s="430"/>
      <c r="AY29" s="430"/>
    </row>
    <row r="30" spans="1:51" ht="15" customHeight="1">
      <c r="A30" s="430" t="str">
        <f t="shared" si="1"/>
        <v>Senior Financial Analyst (KS)</v>
      </c>
      <c r="B30" s="442" t="s">
        <v>18</v>
      </c>
      <c r="C30" s="442" t="s">
        <v>1034</v>
      </c>
      <c r="D30" s="442" t="s">
        <v>1071</v>
      </c>
      <c r="E30" s="464"/>
      <c r="F30" s="464"/>
      <c r="G30" s="464"/>
      <c r="H30" s="464"/>
      <c r="I30" s="464"/>
      <c r="J30" s="464"/>
      <c r="K30" s="464"/>
      <c r="L30" s="511">
        <v>0</v>
      </c>
      <c r="M30" s="511">
        <v>0</v>
      </c>
      <c r="N30" s="511">
        <v>0</v>
      </c>
      <c r="O30" s="511">
        <v>50000</v>
      </c>
      <c r="P30" s="511"/>
      <c r="Q30" s="511"/>
      <c r="R30" s="511"/>
      <c r="S30" s="511">
        <v>50000</v>
      </c>
      <c r="T30" s="492">
        <v>50000</v>
      </c>
      <c r="U30" s="492">
        <v>50000</v>
      </c>
      <c r="V30" s="492">
        <v>50000</v>
      </c>
      <c r="W30" s="492">
        <v>50000</v>
      </c>
      <c r="X30" s="464"/>
      <c r="Y30" s="532"/>
      <c r="Z30" s="532"/>
      <c r="AA30" s="430"/>
      <c r="AB30" s="430"/>
      <c r="AC30" s="430"/>
      <c r="AD30" s="430"/>
      <c r="AE30" s="430"/>
      <c r="AF30" s="430"/>
      <c r="AG30" s="430"/>
      <c r="AH30" s="430"/>
      <c r="AI30" s="430"/>
      <c r="AJ30" s="430"/>
      <c r="AK30" s="430"/>
      <c r="AL30" s="430"/>
      <c r="AM30" s="430"/>
      <c r="AN30" s="430"/>
      <c r="AO30" s="430"/>
      <c r="AP30" s="430"/>
      <c r="AQ30" s="430"/>
      <c r="AR30" s="430"/>
      <c r="AS30" s="430"/>
      <c r="AT30" s="430"/>
      <c r="AU30" s="430"/>
      <c r="AV30" s="430"/>
      <c r="AW30" s="430"/>
      <c r="AX30" s="430"/>
      <c r="AY30" s="430"/>
    </row>
    <row r="31" spans="1:51" ht="14.65" customHeight="1">
      <c r="A31" s="593" t="s">
        <v>33</v>
      </c>
      <c r="B31" s="430"/>
      <c r="C31" s="430"/>
      <c r="D31" s="430"/>
      <c r="E31" s="464"/>
      <c r="F31" s="464"/>
      <c r="G31" s="464"/>
      <c r="H31" s="464"/>
      <c r="I31" s="464"/>
      <c r="J31" s="464"/>
      <c r="K31" s="464"/>
      <c r="L31" s="492">
        <v>0</v>
      </c>
      <c r="M31" s="492">
        <v>0</v>
      </c>
      <c r="N31" s="492">
        <v>0</v>
      </c>
      <c r="O31" s="492">
        <v>1142500</v>
      </c>
      <c r="P31" s="492">
        <v>0</v>
      </c>
      <c r="Q31" s="492">
        <v>0</v>
      </c>
      <c r="R31" s="492">
        <v>0</v>
      </c>
      <c r="S31" s="492">
        <v>897500</v>
      </c>
      <c r="T31" s="492">
        <v>797500</v>
      </c>
      <c r="U31" s="492">
        <v>797500</v>
      </c>
      <c r="V31" s="492">
        <v>797500</v>
      </c>
      <c r="W31" s="492">
        <v>797500</v>
      </c>
      <c r="X31" s="464"/>
      <c r="Y31" s="532"/>
      <c r="Z31" s="532"/>
      <c r="AA31" s="430"/>
      <c r="AB31" s="430"/>
      <c r="AC31" s="430"/>
      <c r="AD31" s="430"/>
      <c r="AE31" s="430"/>
      <c r="AF31" s="430"/>
      <c r="AG31" s="430"/>
      <c r="AH31" s="430"/>
      <c r="AI31" s="430"/>
      <c r="AJ31" s="430"/>
      <c r="AK31" s="430"/>
      <c r="AL31" s="430"/>
      <c r="AM31" s="430"/>
      <c r="AN31" s="430"/>
      <c r="AO31" s="430"/>
      <c r="AP31" s="430"/>
      <c r="AQ31" s="430"/>
      <c r="AR31" s="430"/>
      <c r="AS31" s="430"/>
      <c r="AT31" s="430"/>
      <c r="AU31" s="430"/>
      <c r="AV31" s="430"/>
      <c r="AW31" s="430"/>
      <c r="AX31" s="430"/>
      <c r="AY31" s="430"/>
    </row>
    <row r="32" spans="1:51">
      <c r="A32" s="594"/>
      <c r="B32" s="430"/>
      <c r="C32" s="430"/>
      <c r="D32" s="430"/>
      <c r="E32" s="464"/>
      <c r="F32" s="464"/>
      <c r="G32" s="464"/>
      <c r="H32" s="464"/>
      <c r="I32" s="464"/>
      <c r="J32" s="464"/>
      <c r="K32" s="464"/>
      <c r="L32" s="464"/>
      <c r="M32" s="464"/>
      <c r="N32" s="464"/>
      <c r="O32" s="464"/>
      <c r="P32" s="464"/>
      <c r="Q32" s="464"/>
      <c r="R32" s="464"/>
      <c r="S32" s="464"/>
      <c r="T32" s="464"/>
      <c r="U32" s="464"/>
      <c r="V32" s="464"/>
      <c r="W32" s="464"/>
      <c r="X32" s="501"/>
      <c r="Y32" s="532"/>
      <c r="Z32" s="532"/>
      <c r="AA32" s="430"/>
      <c r="AB32" s="430"/>
      <c r="AC32" s="430"/>
      <c r="AD32" s="430"/>
      <c r="AE32" s="430"/>
      <c r="AF32" s="430"/>
      <c r="AG32" s="430"/>
      <c r="AH32" s="430"/>
      <c r="AI32" s="430"/>
      <c r="AJ32" s="565"/>
      <c r="AK32" s="430"/>
      <c r="AL32" s="430"/>
      <c r="AM32" s="430"/>
      <c r="AN32" s="430"/>
      <c r="AO32" s="430"/>
      <c r="AP32" s="430"/>
      <c r="AQ32" s="430"/>
      <c r="AR32" s="430"/>
      <c r="AS32" s="430"/>
      <c r="AT32" s="430"/>
      <c r="AU32" s="430"/>
      <c r="AV32" s="430"/>
      <c r="AW32" s="430"/>
      <c r="AX32" s="430"/>
      <c r="AY32" s="430"/>
    </row>
    <row r="33" spans="1:51" ht="14.65" customHeight="1">
      <c r="A33" s="533" t="s">
        <v>1049</v>
      </c>
      <c r="B33" s="430"/>
      <c r="C33" s="430"/>
      <c r="D33" s="430"/>
      <c r="E33" s="430"/>
      <c r="F33" s="473"/>
      <c r="G33" s="473"/>
      <c r="H33" s="473"/>
      <c r="I33" s="473"/>
      <c r="J33" s="473"/>
      <c r="K33" s="473"/>
      <c r="L33" s="430"/>
      <c r="M33" s="430"/>
      <c r="N33" s="430"/>
      <c r="O33" s="430"/>
      <c r="P33" s="430"/>
      <c r="Q33" s="430"/>
      <c r="R33" s="430"/>
      <c r="S33" s="430"/>
      <c r="T33" s="430"/>
      <c r="U33" s="430"/>
      <c r="V33" s="430"/>
      <c r="W33" s="430"/>
      <c r="X33" s="430"/>
      <c r="Y33" s="532"/>
      <c r="Z33" s="532"/>
      <c r="AA33" s="430"/>
      <c r="AB33" s="430"/>
      <c r="AC33" s="430"/>
      <c r="AD33" s="430"/>
      <c r="AE33" s="430"/>
      <c r="AF33" s="430"/>
      <c r="AG33" s="430"/>
      <c r="AH33" s="430"/>
      <c r="AI33" s="430"/>
      <c r="AJ33" s="430"/>
      <c r="AK33" s="430"/>
      <c r="AL33" s="430"/>
      <c r="AM33" s="430"/>
      <c r="AN33" s="430"/>
      <c r="AO33" s="430"/>
      <c r="AP33" s="430"/>
      <c r="AQ33" s="430"/>
      <c r="AR33" s="430"/>
      <c r="AS33" s="430"/>
      <c r="AT33" s="430"/>
      <c r="AU33" s="430"/>
      <c r="AV33" s="430"/>
      <c r="AW33" s="430"/>
      <c r="AX33" s="430"/>
      <c r="AY33" s="430"/>
    </row>
    <row r="34" spans="1:51">
      <c r="A34" s="430" t="str">
        <f t="shared" ref="A34:A44" si="2">+A6</f>
        <v>HODS  (RB)</v>
      </c>
      <c r="B34" s="442" t="s">
        <v>34</v>
      </c>
      <c r="C34" s="442" t="s">
        <v>1035</v>
      </c>
      <c r="D34" s="442" t="s">
        <v>1051</v>
      </c>
      <c r="E34" s="490"/>
      <c r="F34" s="464"/>
      <c r="G34" s="464"/>
      <c r="H34" s="464"/>
      <c r="I34" s="464"/>
      <c r="J34" s="464"/>
      <c r="K34" s="464"/>
      <c r="L34" s="490">
        <f>+L6*(1+'.c12_inputs.hr'!$E$15)+(L20*(1+'.c12_inputs.hr'!$E$16))</f>
        <v>100799.99999999999</v>
      </c>
      <c r="M34" s="490">
        <f>+M6*(1+'.c12_inputs.hr'!$E$15)+(M20*(1+'.c12_inputs.hr'!$E$16))</f>
        <v>100799.99999999999</v>
      </c>
      <c r="N34" s="490">
        <f>+N6*(1+'.c12_inputs.hr'!$E$15)+(N20*(1+'.c12_inputs.hr'!$E$16))</f>
        <v>100799.99999999999</v>
      </c>
      <c r="O34" s="490">
        <f>+O6*(1+'.c12_inputs.hr'!$E$15)+(O20*(1+'.c12_inputs.hr'!$E$16))</f>
        <v>812515</v>
      </c>
      <c r="P34" s="490">
        <f>+P6*(1+'.c12_inputs.hr'!$E$15)+(P20*(1+'.c12_inputs.hr'!$E$16))</f>
        <v>215999.99999999997</v>
      </c>
      <c r="Q34" s="490">
        <f>+Q6*(1+'.c12_inputs.hr'!$E$15)+(Q20*(1+'.c12_inputs.hr'!$E$16))</f>
        <v>215999.99999999997</v>
      </c>
      <c r="R34" s="490">
        <f>+R6*(1+'.c12_inputs.hr'!$E$15)+(R20*(1+'.c12_inputs.hr'!$E$16))</f>
        <v>215999.99999999997</v>
      </c>
      <c r="S34" s="490">
        <f>+S6*(1+'.c12_inputs.hr'!$E$15)+(S20*(1+'.c12_inputs.hr'!$E$16))</f>
        <v>475749.99999999994</v>
      </c>
      <c r="T34" s="490">
        <f>+T6*(1+'.c12_inputs.hr'!$E$15)+(T20*(1+'.c12_inputs.hr'!$E$16))</f>
        <v>1123749.9999999998</v>
      </c>
      <c r="U34" s="490">
        <f>+U6*(1+'.c12_inputs.hr'!$E$15)+(U20*(1+'.c12_inputs.hr'!$E$16))</f>
        <v>1123749.9999999998</v>
      </c>
      <c r="V34" s="490">
        <f>+V6*(1+'.c12_inputs.hr'!$E$15)+(V20*(1+'.c12_inputs.hr'!$E$16))</f>
        <v>1123749.9999999998</v>
      </c>
      <c r="W34" s="490">
        <f>+W6*(1+'.c12_inputs.hr'!$E$15)+(W20*(1+'.c12_inputs.hr'!$E$16))</f>
        <v>1123749.9999999998</v>
      </c>
      <c r="X34" s="490"/>
      <c r="Y34" s="490"/>
      <c r="Z34" s="532"/>
      <c r="AA34" s="430"/>
      <c r="AB34" s="430"/>
      <c r="AC34" s="430"/>
      <c r="AD34" s="430"/>
      <c r="AE34" s="430"/>
      <c r="AF34" s="430"/>
      <c r="AG34" s="430"/>
      <c r="AH34" s="430"/>
      <c r="AI34" s="430"/>
      <c r="AJ34" s="430"/>
      <c r="AK34" s="430"/>
      <c r="AL34" s="430"/>
      <c r="AM34" s="430"/>
      <c r="AN34" s="430"/>
      <c r="AO34" s="430"/>
      <c r="AP34" s="430"/>
      <c r="AQ34" s="430"/>
      <c r="AR34" s="430"/>
      <c r="AS34" s="430"/>
      <c r="AT34" s="430"/>
      <c r="AU34" s="430"/>
      <c r="AV34" s="430"/>
      <c r="AW34" s="430"/>
      <c r="AX34" s="430"/>
      <c r="AY34" s="430"/>
    </row>
    <row r="35" spans="1:51">
      <c r="A35" s="430" t="str">
        <f t="shared" si="2"/>
        <v>Project Executive  (LS) (100%)</v>
      </c>
      <c r="B35" s="442" t="s">
        <v>34</v>
      </c>
      <c r="C35" s="442" t="s">
        <v>1035</v>
      </c>
      <c r="D35" s="442" t="s">
        <v>1053</v>
      </c>
      <c r="E35" s="490"/>
      <c r="F35" s="430"/>
      <c r="G35" s="430"/>
      <c r="H35" s="430"/>
      <c r="I35" s="430"/>
      <c r="J35" s="430"/>
      <c r="K35" s="430"/>
      <c r="L35" s="490">
        <f>+L7*(1+'.c12_inputs.hr'!$E$15)+(L21*(1+'.c12_inputs.hr'!$E$16))</f>
        <v>53279.999999999993</v>
      </c>
      <c r="M35" s="490">
        <f>+M7*(1+'.c12_inputs.hr'!$E$15)+(M21*(1+'.c12_inputs.hr'!$E$16))</f>
        <v>53279.999999999993</v>
      </c>
      <c r="N35" s="490">
        <f>+N7*(1+'.c12_inputs.hr'!$E$15)+(N21*(1+'.c12_inputs.hr'!$E$16))</f>
        <v>53279.999999999993</v>
      </c>
      <c r="O35" s="490">
        <f>+O7*(1+'.c12_inputs.hr'!$E$15)+(O21*(1+'.c12_inputs.hr'!$E$16))</f>
        <v>74060</v>
      </c>
      <c r="P35" s="490">
        <f>+P7*(1+'.c12_inputs.hr'!$E$15)+(P21*(1+'.c12_inputs.hr'!$E$16))</f>
        <v>53279.999999999993</v>
      </c>
      <c r="Q35" s="490">
        <f>+Q7*(1+'.c12_inputs.hr'!$E$15)+(Q21*(1+'.c12_inputs.hr'!$E$16))</f>
        <v>53279.999999999993</v>
      </c>
      <c r="R35" s="490">
        <f>+R7*(1+'.c12_inputs.hr'!$E$15)+(R21*(1+'.c12_inputs.hr'!$E$16))</f>
        <v>53279.999999999993</v>
      </c>
      <c r="S35" s="490">
        <f>+S7*(1+'.c12_inputs.hr'!$E$15)+(S21*(1+'.c12_inputs.hr'!$E$16))</f>
        <v>68864.999999999985</v>
      </c>
      <c r="T35" s="490">
        <f>+T7*(1+'.c12_inputs.hr'!$E$15)+(T21*(1+'.c12_inputs.hr'!$E$16))</f>
        <v>228704.99999999997</v>
      </c>
      <c r="U35" s="490">
        <f>+U7*(1+'.c12_inputs.hr'!$E$15)+(U21*(1+'.c12_inputs.hr'!$E$16))</f>
        <v>228704.99999999997</v>
      </c>
      <c r="V35" s="490">
        <f>+V7*(1+'.c12_inputs.hr'!$E$15)+(V21*(1+'.c12_inputs.hr'!$E$16))</f>
        <v>228704.99999999997</v>
      </c>
      <c r="W35" s="490">
        <f>+W7*(1+'.c12_inputs.hr'!$E$15)+(W21*(1+'.c12_inputs.hr'!$E$16))</f>
        <v>228704.99999999997</v>
      </c>
      <c r="X35" s="490"/>
      <c r="Y35" s="490"/>
      <c r="Z35" s="532"/>
      <c r="AA35" s="430"/>
      <c r="AB35" s="430"/>
      <c r="AC35" s="430"/>
      <c r="AD35" s="430"/>
      <c r="AE35" s="430"/>
      <c r="AF35" s="430"/>
      <c r="AG35" s="430"/>
      <c r="AH35" s="430"/>
      <c r="AI35" s="430"/>
      <c r="AJ35" s="430"/>
      <c r="AK35" s="430"/>
      <c r="AL35" s="430"/>
      <c r="AM35" s="430"/>
      <c r="AN35" s="430"/>
      <c r="AO35" s="430"/>
      <c r="AP35" s="430"/>
      <c r="AQ35" s="430"/>
      <c r="AR35" s="430"/>
      <c r="AS35" s="430"/>
      <c r="AT35" s="430"/>
      <c r="AU35" s="430"/>
      <c r="AV35" s="430"/>
      <c r="AW35" s="430"/>
      <c r="AX35" s="430"/>
      <c r="AY35" s="430"/>
    </row>
    <row r="36" spans="1:51">
      <c r="A36" s="430" t="str">
        <f t="shared" si="2"/>
        <v>Project Manager (BD) (100%)</v>
      </c>
      <c r="B36" s="442" t="s">
        <v>34</v>
      </c>
      <c r="C36" s="442" t="s">
        <v>1035</v>
      </c>
      <c r="D36" s="442" t="s">
        <v>1055</v>
      </c>
      <c r="E36" s="490"/>
      <c r="F36" s="490"/>
      <c r="G36" s="490"/>
      <c r="H36" s="490"/>
      <c r="I36" s="490"/>
      <c r="J36" s="490"/>
      <c r="K36" s="490"/>
      <c r="L36" s="490">
        <f>+L8*(1+'.c12_inputs.hr'!$E$15)+(L22*(1+'.c12_inputs.hr'!$E$16))</f>
        <v>31679.999999999996</v>
      </c>
      <c r="M36" s="490">
        <f>+M8*(1+'.c12_inputs.hr'!$E$15)+(M22*(1+'.c12_inputs.hr'!$E$16))</f>
        <v>31679.999999999996</v>
      </c>
      <c r="N36" s="490">
        <f>+N8*(1+'.c12_inputs.hr'!$E$15)+(N22*(1+'.c12_inputs.hr'!$E$16))</f>
        <v>31679.999999999996</v>
      </c>
      <c r="O36" s="490">
        <f>+O8*(1+'.c12_inputs.hr'!$E$15)+(O22*(1+'.c12_inputs.hr'!$E$16))</f>
        <v>49862.5</v>
      </c>
      <c r="P36" s="490">
        <f>+P8*(1+'.c12_inputs.hr'!$E$15)+(P22*(1+'.c12_inputs.hr'!$E$16))</f>
        <v>32399.999999999996</v>
      </c>
      <c r="Q36" s="490">
        <f>+Q8*(1+'.c12_inputs.hr'!$E$15)+(Q22*(1+'.c12_inputs.hr'!$E$16))</f>
        <v>32399.999999999996</v>
      </c>
      <c r="R36" s="490">
        <f>+R8*(1+'.c12_inputs.hr'!$E$15)+(R22*(1+'.c12_inputs.hr'!$E$16))</f>
        <v>32399.999999999996</v>
      </c>
      <c r="S36" s="490">
        <f>+S8*(1+'.c12_inputs.hr'!$E$15)+(S22*(1+'.c12_inputs.hr'!$E$16))</f>
        <v>47984.999999999993</v>
      </c>
      <c r="T36" s="490">
        <f>+T8*(1+'.c12_inputs.hr'!$E$15)+(T22*(1+'.c12_inputs.hr'!$E$16))</f>
        <v>145184.99999999997</v>
      </c>
      <c r="U36" s="490">
        <f>+U8*(1+'.c12_inputs.hr'!$E$15)+(U22*(1+'.c12_inputs.hr'!$E$16))</f>
        <v>145184.99999999997</v>
      </c>
      <c r="V36" s="490">
        <f>+V8*(1+'.c12_inputs.hr'!$E$15)+(V22*(1+'.c12_inputs.hr'!$E$16))</f>
        <v>145184.99999999997</v>
      </c>
      <c r="W36" s="490">
        <f>+W8*(1+'.c12_inputs.hr'!$E$15)+(W22*(1+'.c12_inputs.hr'!$E$16))</f>
        <v>145184.99999999997</v>
      </c>
      <c r="X36" s="490"/>
      <c r="Y36" s="490"/>
      <c r="Z36" s="532"/>
      <c r="AA36" s="430"/>
      <c r="AB36" s="430"/>
      <c r="AC36" s="430"/>
      <c r="AD36" s="430"/>
      <c r="AE36" s="430"/>
      <c r="AF36" s="430"/>
      <c r="AG36" s="430"/>
      <c r="AH36" s="430"/>
      <c r="AI36" s="430"/>
      <c r="AJ36" s="430"/>
      <c r="AK36" s="430"/>
      <c r="AL36" s="430"/>
      <c r="AM36" s="430"/>
      <c r="AN36" s="430"/>
      <c r="AO36" s="430"/>
      <c r="AP36" s="430"/>
      <c r="AQ36" s="430"/>
      <c r="AR36" s="430"/>
      <c r="AS36" s="430"/>
      <c r="AT36" s="430"/>
      <c r="AU36" s="430"/>
      <c r="AV36" s="430"/>
      <c r="AW36" s="430"/>
      <c r="AX36" s="430"/>
      <c r="AY36" s="430"/>
    </row>
    <row r="37" spans="1:51">
      <c r="A37" s="430" t="str">
        <f t="shared" si="2"/>
        <v>Counsel (KT)</v>
      </c>
      <c r="B37" s="442" t="s">
        <v>34</v>
      </c>
      <c r="C37" s="442" t="s">
        <v>1035</v>
      </c>
      <c r="D37" s="442" t="s">
        <v>1057</v>
      </c>
      <c r="E37" s="490"/>
      <c r="F37" s="490"/>
      <c r="G37" s="490"/>
      <c r="H37" s="490"/>
      <c r="I37" s="490"/>
      <c r="J37" s="490"/>
      <c r="K37" s="490"/>
      <c r="L37" s="490">
        <f>+L9*(1+'.c12_inputs.hr'!$E$15)+(L23*(1+'.c12_inputs.hr'!$E$16))</f>
        <v>72000</v>
      </c>
      <c r="M37" s="490">
        <f>+M9*(1+'.c12_inputs.hr'!$E$15)+(M23*(1+'.c12_inputs.hr'!$E$16))</f>
        <v>72000</v>
      </c>
      <c r="N37" s="490">
        <f>+N9*(1+'.c12_inputs.hr'!$E$15)+(N23*(1+'.c12_inputs.hr'!$E$16))</f>
        <v>72000</v>
      </c>
      <c r="O37" s="490">
        <f>+O9*(1+'.c12_inputs.hr'!$E$15)+(O23*(1+'.c12_inputs.hr'!$E$16))</f>
        <v>310970</v>
      </c>
      <c r="P37" s="490">
        <f>+P9*(1+'.c12_inputs.hr'!$E$15)+(P23*(1+'.c12_inputs.hr'!$E$16))</f>
        <v>74880</v>
      </c>
      <c r="Q37" s="490">
        <f>+Q9*(1+'.c12_inputs.hr'!$E$15)+(Q23*(1+'.c12_inputs.hr'!$E$16))</f>
        <v>74880</v>
      </c>
      <c r="R37" s="490">
        <f>+R9*(1+'.c12_inputs.hr'!$E$15)+(R23*(1+'.c12_inputs.hr'!$E$16))</f>
        <v>74880</v>
      </c>
      <c r="S37" s="490">
        <f>+S9*(1+'.c12_inputs.hr'!$E$15)+(S23*(1+'.c12_inputs.hr'!$E$16))</f>
        <v>204755</v>
      </c>
      <c r="T37" s="490">
        <f>+T9*(1+'.c12_inputs.hr'!$E$15)+(T23*(1+'.c12_inputs.hr'!$E$16))</f>
        <v>429395</v>
      </c>
      <c r="U37" s="490">
        <f>+U9*(1+'.c12_inputs.hr'!$E$15)+(U23*(1+'.c12_inputs.hr'!$E$16))</f>
        <v>429395</v>
      </c>
      <c r="V37" s="490">
        <f>+V9*(1+'.c12_inputs.hr'!$E$15)+(V23*(1+'.c12_inputs.hr'!$E$16))</f>
        <v>429395</v>
      </c>
      <c r="W37" s="490">
        <f>+W9*(1+'.c12_inputs.hr'!$E$15)+(W23*(1+'.c12_inputs.hr'!$E$16))</f>
        <v>429395</v>
      </c>
      <c r="X37" s="490"/>
      <c r="Y37" s="490"/>
      <c r="Z37" s="532"/>
      <c r="AA37" s="430"/>
      <c r="AB37" s="430"/>
      <c r="AC37" s="430"/>
      <c r="AD37" s="430"/>
      <c r="AE37" s="430"/>
      <c r="AF37" s="430"/>
      <c r="AG37" s="430"/>
      <c r="AH37" s="430"/>
      <c r="AI37" s="430"/>
      <c r="AJ37" s="430"/>
      <c r="AK37" s="430"/>
      <c r="AL37" s="430"/>
      <c r="AM37" s="430"/>
      <c r="AN37" s="430"/>
      <c r="AO37" s="430"/>
      <c r="AP37" s="430"/>
      <c r="AQ37" s="430"/>
      <c r="AR37" s="430"/>
      <c r="AS37" s="430"/>
      <c r="AT37" s="430"/>
      <c r="AU37" s="430"/>
      <c r="AV37" s="430"/>
      <c r="AW37" s="430"/>
      <c r="AX37" s="430"/>
      <c r="AY37" s="430"/>
    </row>
    <row r="38" spans="1:51">
      <c r="A38" s="430" t="str">
        <f t="shared" si="2"/>
        <v>Development Manager??? (alexi?)</v>
      </c>
      <c r="B38" s="442" t="s">
        <v>34</v>
      </c>
      <c r="C38" s="442" t="s">
        <v>1035</v>
      </c>
      <c r="D38" s="442" t="s">
        <v>1059</v>
      </c>
      <c r="E38" s="490"/>
      <c r="F38" s="490"/>
      <c r="G38" s="490"/>
      <c r="H38" s="490"/>
      <c r="I38" s="490"/>
      <c r="J38" s="490"/>
      <c r="K38" s="490"/>
      <c r="L38" s="490">
        <f>+L10*(1+'.c12_inputs.hr'!$E$15)+(L24*(1+'.c12_inputs.hr'!$E$16))</f>
        <v>50399.999999999993</v>
      </c>
      <c r="M38" s="490">
        <f>+M10*(1+'.c12_inputs.hr'!$E$15)+(M24*(1+'.c12_inputs.hr'!$E$16))</f>
        <v>50399.999999999993</v>
      </c>
      <c r="N38" s="490">
        <f>+N10*(1+'.c12_inputs.hr'!$E$15)+(N24*(1+'.c12_inputs.hr'!$E$16))</f>
        <v>50399.999999999993</v>
      </c>
      <c r="O38" s="490">
        <f>+O10*(1+'.c12_inputs.hr'!$E$15)+(O24*(1+'.c12_inputs.hr'!$E$16))</f>
        <v>0</v>
      </c>
      <c r="P38" s="490">
        <f>+P10*(1+'.c12_inputs.hr'!$E$15)+(P24*(1+'.c12_inputs.hr'!$E$16))</f>
        <v>0</v>
      </c>
      <c r="Q38" s="490">
        <f>+Q10*(1+'.c12_inputs.hr'!$E$15)+(Q24*(1+'.c12_inputs.hr'!$E$16))</f>
        <v>0</v>
      </c>
      <c r="R38" s="490">
        <f>+R10*(1+'.c12_inputs.hr'!$E$15)+(R24*(1+'.c12_inputs.hr'!$E$16))</f>
        <v>0</v>
      </c>
      <c r="S38" s="490">
        <f>+S10*(1+'.c12_inputs.hr'!$E$15)+(S24*(1+'.c12_inputs.hr'!$E$16))</f>
        <v>0</v>
      </c>
      <c r="T38" s="490">
        <f>+T10*(1+'.c12_inputs.hr'!$E$15)+(T24*(1+'.c12_inputs.hr'!$E$16))</f>
        <v>0</v>
      </c>
      <c r="U38" s="490">
        <f>+U10*(1+'.c12_inputs.hr'!$E$15)+(U24*(1+'.c12_inputs.hr'!$E$16))</f>
        <v>0</v>
      </c>
      <c r="V38" s="490">
        <f>+V10*(1+'.c12_inputs.hr'!$E$15)+(V24*(1+'.c12_inputs.hr'!$E$16))</f>
        <v>0</v>
      </c>
      <c r="W38" s="490">
        <f>+W10*(1+'.c12_inputs.hr'!$E$15)+(W24*(1+'.c12_inputs.hr'!$E$16))</f>
        <v>0</v>
      </c>
      <c r="X38" s="490"/>
      <c r="Y38" s="490"/>
      <c r="Z38" s="532"/>
      <c r="AA38" s="430"/>
      <c r="AB38" s="430"/>
      <c r="AC38" s="430"/>
      <c r="AD38" s="430"/>
      <c r="AE38" s="430"/>
      <c r="AF38" s="430"/>
      <c r="AG38" s="430"/>
      <c r="AH38" s="430"/>
      <c r="AI38" s="430"/>
      <c r="AJ38" s="430"/>
      <c r="AK38" s="430"/>
      <c r="AL38" s="430"/>
      <c r="AM38" s="430"/>
      <c r="AN38" s="430"/>
      <c r="AO38" s="430"/>
      <c r="AP38" s="430"/>
      <c r="AQ38" s="430"/>
      <c r="AR38" s="430"/>
      <c r="AS38" s="430"/>
      <c r="AT38" s="430"/>
      <c r="AU38" s="430"/>
      <c r="AV38" s="430"/>
      <c r="AW38" s="430"/>
      <c r="AX38" s="430"/>
      <c r="AY38" s="430"/>
    </row>
    <row r="39" spans="1:51">
      <c r="A39" s="430" t="str">
        <f t="shared" si="2"/>
        <v>Banker (tBD)</v>
      </c>
      <c r="B39" s="442" t="s">
        <v>34</v>
      </c>
      <c r="C39" s="442" t="s">
        <v>1035</v>
      </c>
      <c r="D39" s="442" t="s">
        <v>1061</v>
      </c>
      <c r="E39" s="490"/>
      <c r="F39" s="490"/>
      <c r="G39" s="490"/>
      <c r="H39" s="490"/>
      <c r="I39" s="490"/>
      <c r="J39" s="490"/>
      <c r="K39" s="490"/>
      <c r="L39" s="490">
        <f>+L11*(1+'.c12_inputs.hr'!$E$15)+(L25*(1+'.c12_inputs.hr'!$E$16))</f>
        <v>86400</v>
      </c>
      <c r="M39" s="490">
        <f>+M11*(1+'.c12_inputs.hr'!$E$15)+(M25*(1+'.c12_inputs.hr'!$E$16))</f>
        <v>86400</v>
      </c>
      <c r="N39" s="490">
        <f>+N11*(1+'.c12_inputs.hr'!$E$15)+(N25*(1+'.c12_inputs.hr'!$E$16))</f>
        <v>86400</v>
      </c>
      <c r="O39" s="490">
        <f>+O11*(1+'.c12_inputs.hr'!$E$15)+(O25*(1+'.c12_inputs.hr'!$E$16))</f>
        <v>138350</v>
      </c>
      <c r="P39" s="490">
        <f>+P11*(1+'.c12_inputs.hr'!$E$15)+(P25*(1+'.c12_inputs.hr'!$E$16))</f>
        <v>0</v>
      </c>
      <c r="Q39" s="490">
        <f>+Q11*(1+'.c12_inputs.hr'!$E$15)+(Q25*(1+'.c12_inputs.hr'!$E$16))</f>
        <v>0</v>
      </c>
      <c r="R39" s="490">
        <f>+R11*(1+'.c12_inputs.hr'!$E$15)+(R25*(1+'.c12_inputs.hr'!$E$16))</f>
        <v>0</v>
      </c>
      <c r="S39" s="490">
        <f>+S11*(1+'.c12_inputs.hr'!$E$15)+(S25*(1+'.c12_inputs.hr'!$E$16))</f>
        <v>103899.99999999999</v>
      </c>
      <c r="T39" s="490">
        <f>+T11*(1+'.c12_inputs.hr'!$E$15)+(T25*(1+'.c12_inputs.hr'!$E$16))</f>
        <v>0</v>
      </c>
      <c r="U39" s="490">
        <f>+U11*(1+'.c12_inputs.hr'!$E$15)+(U25*(1+'.c12_inputs.hr'!$E$16))</f>
        <v>0</v>
      </c>
      <c r="V39" s="490">
        <f>+V11*(1+'.c12_inputs.hr'!$E$15)+(V25*(1+'.c12_inputs.hr'!$E$16))</f>
        <v>0</v>
      </c>
      <c r="W39" s="490">
        <f>+W11*(1+'.c12_inputs.hr'!$E$15)+(W25*(1+'.c12_inputs.hr'!$E$16))</f>
        <v>0</v>
      </c>
      <c r="X39" s="490"/>
      <c r="Y39" s="490"/>
      <c r="Z39" s="532"/>
      <c r="AA39" s="430"/>
      <c r="AB39" s="430"/>
      <c r="AC39" s="430"/>
      <c r="AD39" s="430"/>
      <c r="AE39" s="430"/>
      <c r="AF39" s="430"/>
      <c r="AG39" s="430"/>
      <c r="AH39" s="430"/>
      <c r="AI39" s="430"/>
      <c r="AJ39" s="430"/>
      <c r="AK39" s="430"/>
      <c r="AL39" s="430"/>
      <c r="AM39" s="430"/>
      <c r="AN39" s="430"/>
      <c r="AO39" s="430"/>
      <c r="AP39" s="430"/>
      <c r="AQ39" s="430"/>
      <c r="AR39" s="430"/>
      <c r="AS39" s="430"/>
      <c r="AT39" s="430"/>
      <c r="AU39" s="430"/>
      <c r="AV39" s="430"/>
      <c r="AW39" s="430"/>
      <c r="AX39" s="430"/>
      <c r="AY39" s="430"/>
    </row>
    <row r="40" spans="1:51">
      <c r="A40" s="430" t="str">
        <f t="shared" si="2"/>
        <v>Senior Design Manager (AM)</v>
      </c>
      <c r="B40" s="442" t="s">
        <v>34</v>
      </c>
      <c r="C40" s="442" t="s">
        <v>1035</v>
      </c>
      <c r="D40" s="442" t="s">
        <v>1063</v>
      </c>
      <c r="E40" s="490"/>
      <c r="F40" s="464"/>
      <c r="G40" s="464"/>
      <c r="H40" s="464"/>
      <c r="I40" s="464"/>
      <c r="J40" s="464"/>
      <c r="K40" s="464"/>
      <c r="L40" s="490">
        <f>+L12*(1+'.c12_inputs.hr'!$E$15)+(L26*(1+'.c12_inputs.hr'!$E$16))</f>
        <v>51839.999999999993</v>
      </c>
      <c r="M40" s="490">
        <f>+M12*(1+'.c12_inputs.hr'!$E$15)+(M26*(1+'.c12_inputs.hr'!$E$16))</f>
        <v>51839.999999999993</v>
      </c>
      <c r="N40" s="490">
        <f>+N12*(1+'.c12_inputs.hr'!$E$15)+(N26*(1+'.c12_inputs.hr'!$E$16))</f>
        <v>51839.999999999993</v>
      </c>
      <c r="O40" s="490">
        <f>+O12*(1+'.c12_inputs.hr'!$E$15)+(O26*(1+'.c12_inputs.hr'!$E$16))</f>
        <v>119375</v>
      </c>
      <c r="P40" s="490">
        <f>+P12*(1+'.c12_inputs.hr'!$E$15)+(P26*(1+'.c12_inputs.hr'!$E$16))</f>
        <v>54719.999999999993</v>
      </c>
      <c r="Q40" s="490">
        <f>+Q12*(1+'.c12_inputs.hr'!$E$15)+(Q26*(1+'.c12_inputs.hr'!$E$16))</f>
        <v>54719.999999999993</v>
      </c>
      <c r="R40" s="490">
        <f>+R12*(1+'.c12_inputs.hr'!$E$15)+(R26*(1+'.c12_inputs.hr'!$E$16))</f>
        <v>54719.999999999993</v>
      </c>
      <c r="S40" s="490">
        <f>+S12*(1+'.c12_inputs.hr'!$E$15)+(S26*(1+'.c12_inputs.hr'!$E$16))</f>
        <v>111864.99999999999</v>
      </c>
      <c r="T40" s="490">
        <f>+T12*(1+'.c12_inputs.hr'!$E$15)+(T26*(1+'.c12_inputs.hr'!$E$16))</f>
        <v>276024.99999999994</v>
      </c>
      <c r="U40" s="490">
        <f>+U12*(1+'.c12_inputs.hr'!$E$15)+(U26*(1+'.c12_inputs.hr'!$E$16))</f>
        <v>276024.99999999994</v>
      </c>
      <c r="V40" s="490">
        <f>+V12*(1+'.c12_inputs.hr'!$E$15)+(V26*(1+'.c12_inputs.hr'!$E$16))</f>
        <v>276024.99999999994</v>
      </c>
      <c r="W40" s="490">
        <f>+W12*(1+'.c12_inputs.hr'!$E$15)+(W26*(1+'.c12_inputs.hr'!$E$16))</f>
        <v>276024.99999999994</v>
      </c>
      <c r="X40" s="490"/>
      <c r="Y40" s="490"/>
      <c r="Z40" s="532"/>
      <c r="AA40" s="430"/>
      <c r="AB40" s="430"/>
      <c r="AC40" s="430"/>
      <c r="AD40" s="430"/>
      <c r="AE40" s="430"/>
      <c r="AF40" s="430"/>
      <c r="AG40" s="430"/>
      <c r="AH40" s="430"/>
      <c r="AI40" s="430"/>
      <c r="AJ40" s="430"/>
      <c r="AK40" s="430"/>
      <c r="AL40" s="430"/>
      <c r="AM40" s="430"/>
      <c r="AN40" s="430"/>
      <c r="AO40" s="430"/>
      <c r="AP40" s="430"/>
      <c r="AQ40" s="430"/>
      <c r="AR40" s="430"/>
      <c r="AS40" s="430"/>
      <c r="AT40" s="430"/>
      <c r="AU40" s="430"/>
      <c r="AV40" s="430"/>
      <c r="AW40" s="430"/>
      <c r="AX40" s="430"/>
      <c r="AY40" s="430"/>
    </row>
    <row r="41" spans="1:51">
      <c r="A41" s="430" t="str">
        <f t="shared" si="2"/>
        <v>Design Manager (AL) (gone)</v>
      </c>
      <c r="B41" s="442" t="s">
        <v>34</v>
      </c>
      <c r="C41" s="442" t="s">
        <v>1035</v>
      </c>
      <c r="D41" s="442" t="s">
        <v>1065</v>
      </c>
      <c r="E41" s="490"/>
      <c r="F41" s="490"/>
      <c r="G41" s="490"/>
      <c r="H41" s="490"/>
      <c r="I41" s="490"/>
      <c r="J41" s="490"/>
      <c r="K41" s="490"/>
      <c r="L41" s="490">
        <f>+L13*(1+'.c12_inputs.hr'!$E$15)+(L27*(1+'.c12_inputs.hr'!$E$16))</f>
        <v>37440</v>
      </c>
      <c r="M41" s="490">
        <f>+M13*(1+'.c12_inputs.hr'!$E$15)+(M27*(1+'.c12_inputs.hr'!$E$16))</f>
        <v>37440</v>
      </c>
      <c r="N41" s="490">
        <f>+N13*(1+'.c12_inputs.hr'!$E$15)+(N27*(1+'.c12_inputs.hr'!$E$16))</f>
        <v>37440</v>
      </c>
      <c r="O41" s="490">
        <f>+O13*(1+'.c12_inputs.hr'!$E$15)+(O27*(1+'.c12_inputs.hr'!$E$16))</f>
        <v>63415</v>
      </c>
      <c r="P41" s="490">
        <f>+P13*(1+'.c12_inputs.hr'!$E$15)+(P27*(1+'.c12_inputs.hr'!$E$16))</f>
        <v>39600</v>
      </c>
      <c r="Q41" s="490">
        <f>+Q13*(1+'.c12_inputs.hr'!$E$15)+(Q27*(1+'.c12_inputs.hr'!$E$16))</f>
        <v>0</v>
      </c>
      <c r="R41" s="490">
        <f>+R13*(1+'.c12_inputs.hr'!$E$15)+(R27*(1+'.c12_inputs.hr'!$E$16))</f>
        <v>0</v>
      </c>
      <c r="S41" s="490">
        <f>+S13*(1+'.c12_inputs.hr'!$E$15)+(S27*(1+'.c12_inputs.hr'!$E$16))</f>
        <v>0</v>
      </c>
      <c r="T41" s="490">
        <f>+T13*(1+'.c12_inputs.hr'!$E$15)+(T27*(1+'.c12_inputs.hr'!$E$16))</f>
        <v>0</v>
      </c>
      <c r="U41" s="490">
        <f>+U13*(1+'.c12_inputs.hr'!$E$15)+(U27*(1+'.c12_inputs.hr'!$E$16))</f>
        <v>0</v>
      </c>
      <c r="V41" s="490">
        <f>+V13*(1+'.c12_inputs.hr'!$E$15)+(V27*(1+'.c12_inputs.hr'!$E$16))</f>
        <v>0</v>
      </c>
      <c r="W41" s="490">
        <f>+W13*(1+'.c12_inputs.hr'!$E$15)+(W27*(1+'.c12_inputs.hr'!$E$16))</f>
        <v>0</v>
      </c>
      <c r="X41" s="490"/>
      <c r="Y41" s="490"/>
      <c r="Z41" s="430"/>
      <c r="AA41" s="430"/>
      <c r="AB41" s="430"/>
      <c r="AC41" s="430"/>
      <c r="AD41" s="430"/>
      <c r="AE41" s="430"/>
      <c r="AF41" s="430"/>
      <c r="AG41" s="430"/>
      <c r="AH41" s="430"/>
      <c r="AI41" s="430"/>
      <c r="AJ41" s="430"/>
      <c r="AK41" s="430"/>
      <c r="AL41" s="430"/>
      <c r="AM41" s="430"/>
      <c r="AN41" s="430"/>
      <c r="AO41" s="430"/>
      <c r="AP41" s="430"/>
      <c r="AQ41" s="430"/>
      <c r="AR41" s="430"/>
      <c r="AS41" s="430"/>
      <c r="AT41" s="430"/>
      <c r="AU41" s="430"/>
      <c r="AV41" s="430"/>
      <c r="AW41" s="430"/>
      <c r="AX41" s="430"/>
      <c r="AY41" s="430"/>
    </row>
    <row r="42" spans="1:51">
      <c r="A42" s="430" t="str">
        <f t="shared" si="2"/>
        <v>new design manager (TBD)</v>
      </c>
      <c r="B42" s="442" t="s">
        <v>34</v>
      </c>
      <c r="C42" s="442" t="s">
        <v>1035</v>
      </c>
      <c r="D42" s="442" t="s">
        <v>1067</v>
      </c>
      <c r="E42" s="490"/>
      <c r="F42" s="490"/>
      <c r="G42" s="490"/>
      <c r="H42" s="490"/>
      <c r="I42" s="490"/>
      <c r="J42" s="490"/>
      <c r="K42" s="490"/>
      <c r="L42" s="490">
        <f>+L14*(1+'.c12_inputs.hr'!$E$15)+(L28*(1+'.c12_inputs.hr'!$E$16))</f>
        <v>0</v>
      </c>
      <c r="M42" s="490">
        <f>+M14*(1+'.c12_inputs.hr'!$E$15)+(M28*(1+'.c12_inputs.hr'!$E$16))</f>
        <v>0</v>
      </c>
      <c r="N42" s="490">
        <f>+N14*(1+'.c12_inputs.hr'!$E$15)+(N28*(1+'.c12_inputs.hr'!$E$16))</f>
        <v>0</v>
      </c>
      <c r="O42" s="490">
        <f>+O14*(1+'.c12_inputs.hr'!$E$15)+(O28*(1+'.c12_inputs.hr'!$E$16))</f>
        <v>0</v>
      </c>
      <c r="P42" s="490">
        <f>+P14*(1+'.c12_inputs.hr'!$E$15)+(P28*(1+'.c12_inputs.hr'!$E$16))</f>
        <v>0</v>
      </c>
      <c r="Q42" s="490">
        <f>+Q14*(1+'.c12_inputs.hr'!$E$15)+(Q28*(1+'.c12_inputs.hr'!$E$16))</f>
        <v>0</v>
      </c>
      <c r="R42" s="490">
        <f>+R14*(1+'.c12_inputs.hr'!$E$15)+(R28*(1+'.c12_inputs.hr'!$E$16))</f>
        <v>39600</v>
      </c>
      <c r="S42" s="490">
        <f>+S14*(1+'.c12_inputs.hr'!$E$15)+(S28*(1+'.c12_inputs.hr'!$E$16))</f>
        <v>51288.75</v>
      </c>
      <c r="T42" s="490">
        <f>+T14*(1+'.c12_inputs.hr'!$E$15)+(T28*(1+'.c12_inputs.hr'!$E$16))</f>
        <v>181777.5</v>
      </c>
      <c r="U42" s="490">
        <f>+U14*(1+'.c12_inputs.hr'!$E$15)+(U28*(1+'.c12_inputs.hr'!$E$16))</f>
        <v>181777.5</v>
      </c>
      <c r="V42" s="490">
        <f>+V14*(1+'.c12_inputs.hr'!$E$15)+(V28*(1+'.c12_inputs.hr'!$E$16))</f>
        <v>181777.5</v>
      </c>
      <c r="W42" s="490">
        <f>+W14*(1+'.c12_inputs.hr'!$E$15)+(W28*(1+'.c12_inputs.hr'!$E$16))</f>
        <v>181777.5</v>
      </c>
      <c r="X42" s="490"/>
      <c r="Y42" s="490"/>
      <c r="Z42" s="430"/>
      <c r="AA42" s="430"/>
      <c r="AB42" s="430"/>
      <c r="AC42" s="430"/>
      <c r="AD42" s="430"/>
      <c r="AE42" s="430"/>
      <c r="AF42" s="430"/>
      <c r="AG42" s="430"/>
      <c r="AH42" s="430"/>
      <c r="AI42" s="430"/>
      <c r="AJ42" s="430"/>
      <c r="AK42" s="430"/>
      <c r="AL42" s="430"/>
      <c r="AM42" s="430"/>
      <c r="AN42" s="430"/>
      <c r="AO42" s="430"/>
      <c r="AP42" s="430"/>
      <c r="AQ42" s="430"/>
      <c r="AR42" s="430"/>
      <c r="AS42" s="430"/>
      <c r="AT42" s="430"/>
      <c r="AU42" s="430"/>
      <c r="AV42" s="430"/>
      <c r="AW42" s="430"/>
      <c r="AX42" s="430"/>
      <c r="AY42" s="430"/>
    </row>
    <row r="43" spans="1:51">
      <c r="A43" s="430" t="str">
        <f t="shared" si="2"/>
        <v>FF&amp;E (SB)</v>
      </c>
      <c r="B43" s="442" t="s">
        <v>34</v>
      </c>
      <c r="C43" s="442" t="s">
        <v>1035</v>
      </c>
      <c r="D43" s="442" t="s">
        <v>1069</v>
      </c>
      <c r="E43" s="490"/>
      <c r="F43" s="490"/>
      <c r="G43" s="490"/>
      <c r="H43" s="490"/>
      <c r="I43" s="490"/>
      <c r="J43" s="490"/>
      <c r="K43" s="490"/>
      <c r="L43" s="490">
        <f>+L15*(1+'.c12_inputs.hr'!$E$15)+(L29*(1+'.c12_inputs.hr'!$E$16))</f>
        <v>31679.999999999996</v>
      </c>
      <c r="M43" s="490">
        <f>+M15*(1+'.c12_inputs.hr'!$E$15)+(M29*(1+'.c12_inputs.hr'!$E$16))</f>
        <v>31679.999999999996</v>
      </c>
      <c r="N43" s="490">
        <f>+N15*(1+'.c12_inputs.hr'!$E$15)+(N29*(1+'.c12_inputs.hr'!$E$16))</f>
        <v>31679.999999999996</v>
      </c>
      <c r="O43" s="490">
        <f>+O15*(1+'.c12_inputs.hr'!$E$15)+(O29*(1+'.c12_inputs.hr'!$E$16))</f>
        <v>31679.999999999996</v>
      </c>
      <c r="P43" s="490">
        <f>+P15*(1+'.c12_inputs.hr'!$E$15)+(P29*(1+'.c12_inputs.hr'!$E$16))</f>
        <v>31679.999999999996</v>
      </c>
      <c r="Q43" s="490">
        <f>+Q15*(1+'.c12_inputs.hr'!$E$15)+(Q29*(1+'.c12_inputs.hr'!$E$16))</f>
        <v>31679.999999999996</v>
      </c>
      <c r="R43" s="490">
        <f>+R15*(1+'.c12_inputs.hr'!$E$15)+(R29*(1+'.c12_inputs.hr'!$E$16))</f>
        <v>31679.999999999996</v>
      </c>
      <c r="S43" s="490">
        <f>+S15*(1+'.c12_inputs.hr'!$E$15)+(S29*(1+'.c12_inputs.hr'!$E$16))</f>
        <v>47264.999999999993</v>
      </c>
      <c r="T43" s="490">
        <f>+T15*(1+'.c12_inputs.hr'!$E$15)+(T29*(1+'.c12_inputs.hr'!$E$16))</f>
        <v>142304.99999999997</v>
      </c>
      <c r="U43" s="490">
        <f>+U15*(1+'.c12_inputs.hr'!$E$15)+(U29*(1+'.c12_inputs.hr'!$E$16))</f>
        <v>142304.99999999997</v>
      </c>
      <c r="V43" s="490">
        <f>+V15*(1+'.c12_inputs.hr'!$E$15)+(V29*(1+'.c12_inputs.hr'!$E$16))</f>
        <v>142304.99999999997</v>
      </c>
      <c r="W43" s="490">
        <f>+W15*(1+'.c12_inputs.hr'!$E$15)+(W29*(1+'.c12_inputs.hr'!$E$16))</f>
        <v>142304.99999999997</v>
      </c>
      <c r="X43" s="490"/>
      <c r="Y43" s="490"/>
      <c r="Z43" s="430"/>
      <c r="AA43" s="430"/>
      <c r="AB43" s="430"/>
      <c r="AC43" s="430"/>
      <c r="AD43" s="430"/>
      <c r="AE43" s="430"/>
      <c r="AF43" s="430"/>
      <c r="AG43" s="430"/>
      <c r="AH43" s="430"/>
      <c r="AI43" s="430"/>
      <c r="AJ43" s="430"/>
      <c r="AK43" s="430"/>
      <c r="AL43" s="430"/>
      <c r="AM43" s="430"/>
      <c r="AN43" s="430"/>
      <c r="AO43" s="430"/>
      <c r="AP43" s="430"/>
      <c r="AQ43" s="430"/>
      <c r="AR43" s="430"/>
      <c r="AS43" s="430"/>
      <c r="AT43" s="430"/>
      <c r="AU43" s="430"/>
      <c r="AV43" s="430"/>
      <c r="AW43" s="430"/>
      <c r="AX43" s="430"/>
      <c r="AY43" s="430"/>
    </row>
    <row r="44" spans="1:51" ht="14.65" customHeight="1">
      <c r="A44" s="430" t="str">
        <f t="shared" si="2"/>
        <v>Senior Financial Analyst (KS)</v>
      </c>
      <c r="B44" s="442" t="s">
        <v>34</v>
      </c>
      <c r="C44" s="442" t="s">
        <v>1035</v>
      </c>
      <c r="D44" s="442" t="s">
        <v>1071</v>
      </c>
      <c r="E44" s="490"/>
      <c r="F44" s="490"/>
      <c r="G44" s="490"/>
      <c r="H44" s="490"/>
      <c r="I44" s="490"/>
      <c r="J44" s="490"/>
      <c r="K44" s="490"/>
      <c r="L44" s="490">
        <f>+L16*(1+'.c12_inputs.hr'!$E$15)+(L30*(1+'.c12_inputs.hr'!$E$16))</f>
        <v>0</v>
      </c>
      <c r="M44" s="490">
        <f>+M16*(1+'.c12_inputs.hr'!$E$15)+(M30*(1+'.c12_inputs.hr'!$E$16))</f>
        <v>0</v>
      </c>
      <c r="N44" s="490">
        <f>+N16*(1+'.c12_inputs.hr'!$E$15)+(N30*(1+'.c12_inputs.hr'!$E$16))</f>
        <v>0</v>
      </c>
      <c r="O44" s="490">
        <f>+O16*(1+'.c12_inputs.hr'!$E$15)+(O30*(1+'.c12_inputs.hr'!$E$16))</f>
        <v>51949.999999999993</v>
      </c>
      <c r="P44" s="490">
        <f>+P16*(1+'.c12_inputs.hr'!$E$15)+(P30*(1+'.c12_inputs.hr'!$E$16))</f>
        <v>57599.999999999993</v>
      </c>
      <c r="Q44" s="490">
        <f>+Q16*(1+'.c12_inputs.hr'!$E$15)+(Q30*(1+'.c12_inputs.hr'!$E$16))</f>
        <v>57599.999999999993</v>
      </c>
      <c r="R44" s="490">
        <f>+R16*(1+'.c12_inputs.hr'!$E$15)+(R30*(1+'.c12_inputs.hr'!$E$16))</f>
        <v>57599.999999999993</v>
      </c>
      <c r="S44" s="490">
        <f>+S16*(1+'.c12_inputs.hr'!$E$15)+(S30*(1+'.c12_inputs.hr'!$E$16))</f>
        <v>109549.99999999999</v>
      </c>
      <c r="T44" s="490">
        <f>+T16*(1+'.c12_inputs.hr'!$E$15)+(T30*(1+'.c12_inputs.hr'!$E$16))</f>
        <v>282349.99999999994</v>
      </c>
      <c r="U44" s="490">
        <f>+U16*(1+'.c12_inputs.hr'!$E$15)+(U30*(1+'.c12_inputs.hr'!$E$16))</f>
        <v>282349.99999999994</v>
      </c>
      <c r="V44" s="490">
        <f>+V16*(1+'.c12_inputs.hr'!$E$15)+(V30*(1+'.c12_inputs.hr'!$E$16))</f>
        <v>282349.99999999994</v>
      </c>
      <c r="W44" s="490">
        <f>+W16*(1+'.c12_inputs.hr'!$E$15)+(W30*(1+'.c12_inputs.hr'!$E$16))</f>
        <v>282349.99999999994</v>
      </c>
      <c r="X44" s="490"/>
      <c r="Y44" s="490"/>
      <c r="Z44" s="430"/>
      <c r="AA44" s="430"/>
      <c r="AB44" s="430"/>
      <c r="AC44" s="430"/>
      <c r="AD44" s="430"/>
      <c r="AE44" s="430"/>
      <c r="AF44" s="430"/>
      <c r="AG44" s="430"/>
      <c r="AH44" s="430"/>
      <c r="AI44" s="430"/>
      <c r="AJ44" s="430"/>
      <c r="AK44" s="430"/>
      <c r="AL44" s="430"/>
      <c r="AM44" s="430"/>
      <c r="AN44" s="430"/>
      <c r="AO44" s="430"/>
      <c r="AP44" s="430"/>
      <c r="AQ44" s="430"/>
      <c r="AR44" s="430"/>
      <c r="AS44" s="430"/>
      <c r="AT44" s="430"/>
      <c r="AU44" s="430"/>
      <c r="AV44" s="430"/>
      <c r="AW44" s="430"/>
      <c r="AX44" s="430"/>
      <c r="AY44" s="430"/>
    </row>
    <row r="45" spans="1:51" ht="14.65" customHeight="1">
      <c r="A45" s="593" t="s">
        <v>941</v>
      </c>
      <c r="B45" s="442" t="s">
        <v>14</v>
      </c>
      <c r="C45" s="442" t="s">
        <v>942</v>
      </c>
      <c r="D45" s="430"/>
      <c r="E45" s="490"/>
      <c r="F45" s="490"/>
      <c r="G45" s="490"/>
      <c r="H45" s="490"/>
      <c r="I45" s="490"/>
      <c r="J45" s="490"/>
      <c r="K45" s="490"/>
      <c r="L45" s="596">
        <f t="shared" ref="L45:W45" si="3">SUM(L34:L44)</f>
        <v>515519.99999999994</v>
      </c>
      <c r="M45" s="596">
        <f t="shared" si="3"/>
        <v>515519.99999999994</v>
      </c>
      <c r="N45" s="596">
        <f t="shared" si="3"/>
        <v>515519.99999999994</v>
      </c>
      <c r="O45" s="596">
        <f t="shared" si="3"/>
        <v>1652177.5</v>
      </c>
      <c r="P45" s="596">
        <f t="shared" si="3"/>
        <v>560159.99999999988</v>
      </c>
      <c r="Q45" s="596">
        <f t="shared" si="3"/>
        <v>520559.99999999994</v>
      </c>
      <c r="R45" s="596">
        <f t="shared" si="3"/>
        <v>560159.99999999988</v>
      </c>
      <c r="S45" s="596">
        <f t="shared" si="3"/>
        <v>1221223.75</v>
      </c>
      <c r="T45" s="490">
        <f t="shared" si="3"/>
        <v>2809492.4999999995</v>
      </c>
      <c r="U45" s="490">
        <f t="shared" si="3"/>
        <v>2809492.4999999995</v>
      </c>
      <c r="V45" s="490">
        <f t="shared" si="3"/>
        <v>2809492.4999999995</v>
      </c>
      <c r="W45" s="490">
        <f t="shared" si="3"/>
        <v>2809492.4999999995</v>
      </c>
      <c r="X45" s="490"/>
      <c r="Y45" s="532"/>
      <c r="Z45" s="430"/>
      <c r="AA45" s="430"/>
      <c r="AB45" s="430"/>
      <c r="AC45" s="430"/>
      <c r="AD45" s="430"/>
      <c r="AE45" s="430"/>
      <c r="AF45" s="430"/>
      <c r="AG45" s="430"/>
      <c r="AH45" s="430"/>
      <c r="AI45" s="430"/>
      <c r="AJ45" s="430"/>
      <c r="AK45" s="430"/>
      <c r="AL45" s="430"/>
      <c r="AM45" s="430"/>
      <c r="AN45" s="430"/>
      <c r="AO45" s="430"/>
      <c r="AP45" s="430"/>
      <c r="AQ45" s="430"/>
      <c r="AR45" s="430"/>
      <c r="AS45" s="430"/>
      <c r="AT45" s="430"/>
      <c r="AU45" s="430"/>
      <c r="AV45" s="430"/>
      <c r="AW45" s="430"/>
      <c r="AX45" s="430"/>
      <c r="AY45" s="430"/>
    </row>
    <row r="46" spans="1:51">
      <c r="A46" s="474" t="s">
        <v>943</v>
      </c>
      <c r="B46" s="442" t="s">
        <v>14</v>
      </c>
      <c r="C46" s="442" t="s">
        <v>944</v>
      </c>
      <c r="D46" s="430"/>
      <c r="E46" s="501"/>
      <c r="F46" s="490"/>
      <c r="G46" s="490"/>
      <c r="H46" s="490"/>
      <c r="I46" s="490"/>
      <c r="J46" s="490"/>
      <c r="K46" s="490"/>
      <c r="L46" s="571">
        <f>SUMPRODUCT('.c12_alloc'!$H$24:$H$34,'.c12_d&amp;s_hr'!L$34:L$44)</f>
        <v>84959.999999999985</v>
      </c>
      <c r="M46" s="571">
        <f>SUMPRODUCT('.c12_alloc'!$H$24:$H$34,'.c12_d&amp;s_hr'!M$34:M$44)</f>
        <v>84959.999999999985</v>
      </c>
      <c r="N46" s="571">
        <f>SUMPRODUCT('.c12_alloc'!$H$24:$H$34,'.c12_d&amp;s_hr'!N$34:N$44)</f>
        <v>84959.999999999985</v>
      </c>
      <c r="O46" s="571">
        <f>SUMPRODUCT('.c12_alloc'!$H$24:$H$34,'.c12_d&amp;s_hr'!O$34:O$44)</f>
        <v>123922.5</v>
      </c>
      <c r="P46" s="571">
        <f>SUMPRODUCT('.c12_alloc'!$H$24:$H$34,'.c12_d&amp;s_hr'!P$34:P$44)</f>
        <v>85679.999999999985</v>
      </c>
      <c r="Q46" s="571">
        <f>SUMPRODUCT('.c12_alloc'!$H$24:$H$34,'.c12_d&amp;s_hr'!Q$34:Q$44)</f>
        <v>85679.999999999985</v>
      </c>
      <c r="R46" s="571">
        <f>SUMPRODUCT('.c12_alloc'!$H$24:$H$34,'.c12_d&amp;s_hr'!R$34:R$44)</f>
        <v>85679.999999999985</v>
      </c>
      <c r="S46" s="571">
        <f>SUMPRODUCT('.c12_alloc'!$H$24:$H$34,'.c12_d&amp;s_hr'!S$34:S$44)</f>
        <v>116849.99999999997</v>
      </c>
      <c r="T46" s="501">
        <f>SUMPRODUCT('.c12_alloc'!$H$24:$H$34,'.c12_d&amp;s_hr'!T$34:T$44)</f>
        <v>373889.99999999994</v>
      </c>
      <c r="U46" s="501">
        <f>SUMPRODUCT('.c12_alloc'!$H$24:$H$34,'.c12_d&amp;s_hr'!U$34:U$44)</f>
        <v>373889.99999999994</v>
      </c>
      <c r="V46" s="501">
        <f>SUMPRODUCT('.c12_alloc'!$H$24:$H$34,'.c12_d&amp;s_hr'!V$34:V$44)</f>
        <v>373889.99999999994</v>
      </c>
      <c r="W46" s="501">
        <f>SUMPRODUCT('.c12_alloc'!$H$24:$H$34,'.c12_d&amp;s_hr'!W$34:W$44)</f>
        <v>373889.99999999994</v>
      </c>
      <c r="X46" s="430"/>
      <c r="Y46" s="430"/>
      <c r="Z46" s="430"/>
      <c r="AA46" s="430"/>
      <c r="AB46" s="430"/>
      <c r="AC46" s="430"/>
      <c r="AD46" s="430"/>
      <c r="AE46" s="430"/>
      <c r="AF46" s="430"/>
      <c r="AG46" s="430"/>
      <c r="AH46" s="430"/>
      <c r="AI46" s="430"/>
      <c r="AJ46" s="430"/>
      <c r="AK46" s="430"/>
      <c r="AL46" s="430"/>
      <c r="AM46" s="430"/>
      <c r="AN46" s="430"/>
      <c r="AO46" s="430"/>
      <c r="AP46" s="430"/>
      <c r="AQ46" s="430"/>
      <c r="AR46" s="430"/>
      <c r="AS46" s="430"/>
      <c r="AT46" s="430"/>
      <c r="AU46" s="430"/>
      <c r="AV46" s="430"/>
      <c r="AW46" s="430"/>
      <c r="AX46" s="430"/>
      <c r="AY46" s="430"/>
    </row>
    <row r="47" spans="1:51">
      <c r="A47" s="474" t="s">
        <v>945</v>
      </c>
      <c r="B47" s="442" t="s">
        <v>14</v>
      </c>
      <c r="C47" s="442" t="s">
        <v>946</v>
      </c>
      <c r="D47" s="430"/>
      <c r="E47" s="501"/>
      <c r="F47" s="490"/>
      <c r="G47" s="490"/>
      <c r="H47" s="490"/>
      <c r="I47" s="490"/>
      <c r="J47" s="490"/>
      <c r="K47" s="490"/>
      <c r="L47" s="571">
        <f>SUMPRODUCT('.c12_alloc'!$G$24:$G$34,'.c12_d&amp;s_hr'!L$34:L$44)</f>
        <v>430560</v>
      </c>
      <c r="M47" s="571">
        <f>SUMPRODUCT('.c12_alloc'!$G$24:$G$34,'.c12_d&amp;s_hr'!M$34:M$44)</f>
        <v>430560</v>
      </c>
      <c r="N47" s="571">
        <f>SUMPRODUCT('.c12_alloc'!$G$24:$G$34,'.c12_d&amp;s_hr'!N$34:N$44)</f>
        <v>430560</v>
      </c>
      <c r="O47" s="571">
        <f>SUMPRODUCT('.c12_alloc'!$G$24:$G$34,'.c12_d&amp;s_hr'!O$34:O$44)</f>
        <v>1528255</v>
      </c>
      <c r="P47" s="571">
        <f>SUMPRODUCT('.c12_alloc'!$G$24:$G$34,'.c12_d&amp;s_hr'!P$34:P$44)</f>
        <v>474480</v>
      </c>
      <c r="Q47" s="571">
        <f>SUMPRODUCT('.c12_alloc'!$G$24:$G$34,'.c12_d&amp;s_hr'!Q$34:Q$44)</f>
        <v>434880</v>
      </c>
      <c r="R47" s="571">
        <f>SUMPRODUCT('.c12_alloc'!$G$24:$G$34,'.c12_d&amp;s_hr'!R$34:R$44)</f>
        <v>474480</v>
      </c>
      <c r="S47" s="571">
        <f>SUMPRODUCT('.c12_alloc'!$G$24:$G$34,'.c12_d&amp;s_hr'!S$34:S$44)</f>
        <v>1104373.75</v>
      </c>
      <c r="T47" s="501">
        <f>SUMPRODUCT('.c12_alloc'!$G$24:$G$34,'.c12_d&amp;s_hr'!T$34:T$44)</f>
        <v>2435602.4999999995</v>
      </c>
      <c r="U47" s="501">
        <f>SUMPRODUCT('.c12_alloc'!$G$24:$G$34,'.c12_d&amp;s_hr'!U$34:U$44)</f>
        <v>2435602.4999999995</v>
      </c>
      <c r="V47" s="501">
        <f>SUMPRODUCT('.c12_alloc'!$G$24:$G$34,'.c12_d&amp;s_hr'!V$34:V$44)</f>
        <v>2435602.4999999995</v>
      </c>
      <c r="W47" s="501">
        <f>SUMPRODUCT('.c12_alloc'!$G$24:$G$34,'.c12_d&amp;s_hr'!W$34:W$44)</f>
        <v>2435602.4999999995</v>
      </c>
      <c r="X47" s="430"/>
      <c r="Y47" s="430"/>
      <c r="Z47" s="430"/>
      <c r="AA47" s="430"/>
      <c r="AB47" s="430"/>
      <c r="AC47" s="430"/>
      <c r="AD47" s="430"/>
      <c r="AE47" s="430"/>
      <c r="AF47" s="430"/>
      <c r="AG47" s="430"/>
      <c r="AH47" s="430"/>
      <c r="AI47" s="430"/>
      <c r="AJ47" s="430"/>
      <c r="AK47" s="430"/>
      <c r="AL47" s="430"/>
      <c r="AM47" s="430"/>
      <c r="AN47" s="430"/>
      <c r="AO47" s="430"/>
      <c r="AP47" s="430"/>
      <c r="AQ47" s="430"/>
      <c r="AR47" s="430"/>
      <c r="AS47" s="430"/>
      <c r="AT47" s="430"/>
      <c r="AU47" s="430"/>
      <c r="AV47" s="430"/>
      <c r="AW47" s="430"/>
      <c r="AX47" s="430"/>
      <c r="AY47" s="430"/>
    </row>
    <row r="48" spans="1:51">
      <c r="A48" s="474" t="s">
        <v>947</v>
      </c>
      <c r="B48" s="442" t="s">
        <v>14</v>
      </c>
      <c r="C48" s="442" t="s">
        <v>948</v>
      </c>
      <c r="D48" s="430"/>
      <c r="E48" s="501"/>
      <c r="F48" s="501"/>
      <c r="G48" s="501"/>
      <c r="H48" s="501"/>
      <c r="I48" s="501"/>
      <c r="J48" s="501"/>
      <c r="K48" s="501"/>
      <c r="L48" s="571">
        <f>SUMPRODUCT('.c12_alloc'!$E$24:$E$34,'.c12_d&amp;s_hr'!L$34:L$44)</f>
        <v>0</v>
      </c>
      <c r="M48" s="571">
        <f>SUMPRODUCT('.c12_alloc'!$E$24:$E$34,'.c12_d&amp;s_hr'!M$34:M$44)</f>
        <v>0</v>
      </c>
      <c r="N48" s="571">
        <f>SUMPRODUCT('.c12_alloc'!$E$24:$E$34,'.c12_d&amp;s_hr'!N$34:N$44)</f>
        <v>0</v>
      </c>
      <c r="O48" s="571">
        <f>SUMPRODUCT('.c12_alloc'!$E$24:$E$34,'.c12_d&amp;s_hr'!O$34:O$44)</f>
        <v>0</v>
      </c>
      <c r="P48" s="571">
        <f>SUMPRODUCT('.c12_alloc'!$E$24:$E$34,'.c12_d&amp;s_hr'!P$34:P$44)</f>
        <v>0</v>
      </c>
      <c r="Q48" s="571">
        <f>SUMPRODUCT('.c12_alloc'!$E$24:$E$34,'.c12_d&amp;s_hr'!Q$34:Q$44)</f>
        <v>0</v>
      </c>
      <c r="R48" s="571">
        <f>SUMPRODUCT('.c12_alloc'!$E$24:$E$34,'.c12_d&amp;s_hr'!R$34:R$44)</f>
        <v>0</v>
      </c>
      <c r="S48" s="571">
        <f>SUMPRODUCT('.c12_alloc'!$E$24:$E$34,'.c12_d&amp;s_hr'!S$34:S$44)</f>
        <v>0</v>
      </c>
      <c r="T48" s="501">
        <f>SUMPRODUCT('.c12_alloc'!$E$24:$E$34,'.c12_d&amp;s_hr'!T$34:T$44)</f>
        <v>0</v>
      </c>
      <c r="U48" s="501">
        <f>SUMPRODUCT('.c12_alloc'!$E$24:$E$34,'.c12_d&amp;s_hr'!U$34:U$44)</f>
        <v>0</v>
      </c>
      <c r="V48" s="501">
        <f>SUMPRODUCT('.c12_alloc'!$E$24:$E$34,'.c12_d&amp;s_hr'!V$34:V$44)</f>
        <v>0</v>
      </c>
      <c r="W48" s="501">
        <f>SUMPRODUCT('.c12_alloc'!$E$24:$E$34,'.c12_d&amp;s_hr'!W$34:W$44)</f>
        <v>0</v>
      </c>
      <c r="X48" s="430"/>
      <c r="Y48" s="430"/>
      <c r="Z48" s="430"/>
      <c r="AA48" s="430"/>
      <c r="AB48" s="430"/>
      <c r="AC48" s="430"/>
      <c r="AD48" s="430"/>
      <c r="AE48" s="430"/>
      <c r="AF48" s="430"/>
      <c r="AG48" s="430"/>
      <c r="AH48" s="430"/>
      <c r="AI48" s="430"/>
      <c r="AJ48" s="430"/>
      <c r="AK48" s="430"/>
      <c r="AL48" s="430"/>
      <c r="AM48" s="430"/>
      <c r="AN48" s="430"/>
      <c r="AO48" s="430"/>
      <c r="AP48" s="430"/>
      <c r="AQ48" s="430"/>
      <c r="AR48" s="430"/>
      <c r="AS48" s="430"/>
      <c r="AT48" s="430"/>
      <c r="AU48" s="430"/>
      <c r="AV48" s="430"/>
      <c r="AW48" s="430"/>
      <c r="AX48" s="430"/>
      <c r="AY48" s="430"/>
    </row>
    <row r="49" spans="1:51">
      <c r="A49" s="430"/>
      <c r="B49" s="430"/>
      <c r="C49" s="430"/>
      <c r="D49" s="430"/>
      <c r="E49" s="501"/>
      <c r="F49" s="501"/>
      <c r="G49" s="501"/>
      <c r="H49" s="501"/>
      <c r="I49" s="501"/>
      <c r="J49" s="501"/>
      <c r="K49" s="501"/>
      <c r="L49" s="501"/>
      <c r="M49" s="501"/>
      <c r="N49" s="501"/>
      <c r="O49" s="501"/>
      <c r="P49" s="501"/>
      <c r="Q49" s="501"/>
      <c r="R49" s="501"/>
      <c r="S49" s="501"/>
      <c r="T49" s="501"/>
      <c r="U49" s="501"/>
      <c r="V49" s="501"/>
      <c r="W49" s="501"/>
      <c r="X49" s="430"/>
      <c r="Y49" s="430"/>
      <c r="Z49" s="430"/>
      <c r="AA49" s="430"/>
      <c r="AB49" s="430"/>
      <c r="AC49" s="430"/>
      <c r="AD49" s="430"/>
      <c r="AE49" s="430"/>
      <c r="AF49" s="430"/>
      <c r="AG49" s="430"/>
      <c r="AH49" s="430"/>
      <c r="AI49" s="430"/>
      <c r="AJ49" s="430"/>
      <c r="AK49" s="430"/>
      <c r="AL49" s="430"/>
      <c r="AM49" s="430"/>
      <c r="AN49" s="430"/>
      <c r="AO49" s="430"/>
      <c r="AP49" s="430"/>
      <c r="AQ49" s="430"/>
      <c r="AR49" s="430"/>
      <c r="AS49" s="430"/>
      <c r="AT49" s="430"/>
      <c r="AU49" s="430"/>
      <c r="AV49" s="430"/>
      <c r="AW49" s="430"/>
      <c r="AX49" s="430"/>
      <c r="AY49" s="430"/>
    </row>
    <row r="50" spans="1:51">
      <c r="A50" s="430"/>
      <c r="B50" s="430"/>
      <c r="C50" s="430"/>
      <c r="D50" s="430"/>
      <c r="E50" s="501"/>
      <c r="F50" s="501"/>
      <c r="G50" s="501"/>
      <c r="H50" s="501"/>
      <c r="I50" s="501"/>
      <c r="J50" s="501"/>
      <c r="K50" s="501"/>
      <c r="L50" s="501"/>
      <c r="M50" s="501"/>
      <c r="N50" s="501"/>
      <c r="O50" s="501"/>
      <c r="P50" s="501"/>
      <c r="Q50" s="501"/>
      <c r="R50" s="501"/>
      <c r="S50" s="501"/>
      <c r="T50" s="501"/>
      <c r="U50" s="501"/>
      <c r="V50" s="501"/>
      <c r="W50" s="501"/>
      <c r="X50" s="430"/>
      <c r="Y50" s="430"/>
      <c r="Z50" s="430"/>
      <c r="AA50" s="430"/>
      <c r="AB50" s="430"/>
      <c r="AC50" s="430"/>
      <c r="AD50" s="430"/>
      <c r="AE50" s="430"/>
      <c r="AF50" s="430"/>
      <c r="AG50" s="430"/>
      <c r="AH50" s="430"/>
      <c r="AI50" s="430"/>
      <c r="AJ50" s="430"/>
      <c r="AK50" s="430"/>
      <c r="AL50" s="430"/>
      <c r="AM50" s="430"/>
      <c r="AN50" s="430"/>
      <c r="AO50" s="430"/>
      <c r="AP50" s="430"/>
      <c r="AQ50" s="430"/>
      <c r="AR50" s="430"/>
      <c r="AS50" s="430"/>
      <c r="AT50" s="430"/>
      <c r="AU50" s="430"/>
      <c r="AV50" s="430"/>
      <c r="AW50" s="430"/>
      <c r="AX50" s="430"/>
      <c r="AY50" s="430"/>
    </row>
    <row r="51" spans="1:51">
      <c r="A51" s="430"/>
      <c r="B51" s="430"/>
      <c r="C51" s="430"/>
      <c r="D51" s="430"/>
      <c r="E51" s="430"/>
      <c r="F51" s="501"/>
      <c r="G51" s="501"/>
      <c r="H51" s="501"/>
      <c r="I51" s="501"/>
      <c r="J51" s="501"/>
      <c r="K51" s="501"/>
      <c r="L51" s="430"/>
      <c r="M51" s="430"/>
      <c r="N51" s="430"/>
      <c r="O51" s="430"/>
      <c r="P51" s="430"/>
      <c r="Q51" s="430"/>
      <c r="R51" s="430"/>
      <c r="S51" s="430"/>
      <c r="T51" s="430"/>
      <c r="U51" s="430"/>
      <c r="V51" s="430"/>
      <c r="W51" s="430"/>
      <c r="X51" s="430"/>
      <c r="Y51" s="430"/>
      <c r="Z51" s="430"/>
      <c r="AA51" s="430"/>
      <c r="AB51" s="430"/>
      <c r="AC51" s="430"/>
      <c r="AD51" s="430"/>
      <c r="AE51" s="430"/>
      <c r="AF51" s="430"/>
      <c r="AG51" s="430"/>
      <c r="AH51" s="430"/>
      <c r="AI51" s="430"/>
      <c r="AJ51" s="430"/>
      <c r="AK51" s="430"/>
      <c r="AL51" s="430"/>
      <c r="AM51" s="430"/>
      <c r="AN51" s="430"/>
      <c r="AO51" s="430"/>
      <c r="AP51" s="430"/>
      <c r="AQ51" s="430"/>
      <c r="AR51" s="430"/>
      <c r="AS51" s="430"/>
      <c r="AT51" s="430"/>
      <c r="AU51" s="430"/>
      <c r="AV51" s="430"/>
      <c r="AW51" s="430"/>
      <c r="AX51" s="430"/>
      <c r="AY51" s="430"/>
    </row>
    <row r="52" spans="1:51">
      <c r="A52" s="430"/>
      <c r="B52" s="430"/>
      <c r="C52" s="430"/>
      <c r="D52" s="430"/>
      <c r="E52" s="430"/>
      <c r="F52" s="501"/>
      <c r="G52" s="501"/>
      <c r="H52" s="501"/>
      <c r="I52" s="501"/>
      <c r="J52" s="501"/>
      <c r="K52" s="501"/>
      <c r="L52" s="430"/>
      <c r="M52" s="430"/>
      <c r="N52" s="430"/>
      <c r="O52" s="430"/>
      <c r="P52" s="430"/>
      <c r="Q52" s="430"/>
      <c r="R52" s="430"/>
      <c r="S52" s="430"/>
      <c r="T52" s="430"/>
      <c r="U52" s="430"/>
      <c r="V52" s="430"/>
      <c r="W52" s="430"/>
      <c r="X52" s="430"/>
      <c r="Y52" s="430"/>
      <c r="Z52" s="430"/>
      <c r="AA52" s="430"/>
      <c r="AB52" s="430"/>
      <c r="AC52" s="430"/>
      <c r="AD52" s="430"/>
      <c r="AE52" s="430"/>
      <c r="AF52" s="430"/>
      <c r="AG52" s="430"/>
      <c r="AH52" s="430"/>
      <c r="AI52" s="430"/>
      <c r="AJ52" s="430"/>
      <c r="AK52" s="430"/>
      <c r="AL52" s="430"/>
      <c r="AM52" s="430"/>
      <c r="AN52" s="430"/>
      <c r="AO52" s="430"/>
      <c r="AP52" s="430"/>
      <c r="AQ52" s="430"/>
      <c r="AR52" s="430"/>
      <c r="AS52" s="430"/>
      <c r="AT52" s="430"/>
      <c r="AU52" s="430"/>
      <c r="AV52" s="430"/>
      <c r="AW52" s="430"/>
      <c r="AX52" s="430"/>
      <c r="AY52" s="430"/>
    </row>
    <row r="53" spans="1:51">
      <c r="A53" s="430"/>
      <c r="B53" s="430"/>
      <c r="C53" s="430"/>
      <c r="D53" s="430"/>
      <c r="E53" s="430"/>
      <c r="F53" s="430"/>
      <c r="G53" s="430"/>
      <c r="H53" s="430"/>
      <c r="I53" s="430"/>
      <c r="J53" s="430"/>
      <c r="K53" s="430"/>
      <c r="L53" s="430"/>
      <c r="M53" s="430"/>
      <c r="N53" s="430"/>
      <c r="O53" s="430"/>
      <c r="P53" s="430"/>
      <c r="Q53" s="430"/>
      <c r="R53" s="430"/>
      <c r="S53" s="430"/>
      <c r="T53" s="430"/>
      <c r="U53" s="430"/>
      <c r="V53" s="430"/>
      <c r="W53" s="430"/>
      <c r="X53" s="430"/>
      <c r="Y53" s="430"/>
      <c r="Z53" s="430"/>
      <c r="AA53" s="430"/>
      <c r="AB53" s="430"/>
      <c r="AC53" s="430"/>
      <c r="AD53" s="430"/>
      <c r="AE53" s="430"/>
      <c r="AF53" s="430"/>
      <c r="AG53" s="430"/>
      <c r="AH53" s="430"/>
      <c r="AI53" s="430"/>
      <c r="AJ53" s="430"/>
      <c r="AK53" s="430"/>
      <c r="AL53" s="430"/>
      <c r="AM53" s="430"/>
      <c r="AN53" s="430"/>
      <c r="AO53" s="430"/>
      <c r="AP53" s="430"/>
      <c r="AQ53" s="430"/>
      <c r="AR53" s="430"/>
      <c r="AS53" s="430"/>
      <c r="AT53" s="430"/>
      <c r="AU53" s="430"/>
      <c r="AV53" s="430"/>
      <c r="AW53" s="430"/>
      <c r="AX53" s="430"/>
      <c r="AY53" s="430"/>
    </row>
    <row r="54" spans="1:51">
      <c r="A54" s="430"/>
      <c r="B54" s="430"/>
      <c r="C54" s="430"/>
      <c r="D54" s="430"/>
      <c r="E54" s="430"/>
      <c r="F54" s="430"/>
      <c r="G54" s="430"/>
      <c r="H54" s="430"/>
      <c r="I54" s="430"/>
      <c r="J54" s="430"/>
      <c r="K54" s="430"/>
      <c r="L54" s="430"/>
      <c r="M54" s="430"/>
      <c r="N54" s="430"/>
      <c r="O54" s="430"/>
      <c r="P54" s="430"/>
      <c r="Q54" s="430"/>
      <c r="R54" s="430"/>
      <c r="S54" s="430"/>
      <c r="T54" s="430"/>
      <c r="U54" s="430"/>
      <c r="V54" s="430"/>
      <c r="W54" s="430"/>
      <c r="X54" s="430"/>
      <c r="Y54" s="430"/>
      <c r="Z54" s="430"/>
      <c r="AA54" s="430"/>
      <c r="AB54" s="430"/>
      <c r="AC54" s="430"/>
      <c r="AD54" s="430"/>
      <c r="AE54" s="430"/>
      <c r="AF54" s="430"/>
      <c r="AG54" s="430"/>
      <c r="AH54" s="430"/>
      <c r="AI54" s="430"/>
      <c r="AJ54" s="430"/>
      <c r="AK54" s="430"/>
      <c r="AL54" s="430"/>
      <c r="AM54" s="430"/>
      <c r="AN54" s="430"/>
      <c r="AO54" s="430"/>
      <c r="AP54" s="430"/>
      <c r="AQ54" s="430"/>
      <c r="AR54" s="430"/>
      <c r="AS54" s="430"/>
      <c r="AT54" s="430"/>
      <c r="AU54" s="430"/>
      <c r="AV54" s="430"/>
      <c r="AW54" s="430"/>
      <c r="AX54" s="430"/>
      <c r="AY54" s="430"/>
    </row>
    <row r="55" spans="1:51">
      <c r="A55" s="430"/>
      <c r="B55" s="430"/>
      <c r="C55" s="430"/>
      <c r="D55" s="430"/>
      <c r="E55" s="430"/>
      <c r="F55" s="430"/>
      <c r="G55" s="430"/>
      <c r="H55" s="430"/>
      <c r="I55" s="430"/>
      <c r="J55" s="430"/>
      <c r="K55" s="430"/>
      <c r="L55" s="430"/>
      <c r="M55" s="430"/>
      <c r="N55" s="430"/>
      <c r="O55" s="430"/>
      <c r="P55" s="430"/>
      <c r="Q55" s="430"/>
      <c r="R55" s="430"/>
      <c r="S55" s="430"/>
      <c r="T55" s="430"/>
      <c r="U55" s="430"/>
      <c r="V55" s="430"/>
      <c r="W55" s="430"/>
      <c r="X55" s="430"/>
      <c r="Y55" s="430"/>
      <c r="Z55" s="430"/>
      <c r="AA55" s="430"/>
      <c r="AB55" s="430"/>
      <c r="AC55" s="430"/>
      <c r="AD55" s="430"/>
      <c r="AE55" s="430"/>
      <c r="AF55" s="430"/>
      <c r="AG55" s="430"/>
      <c r="AH55" s="430"/>
      <c r="AI55" s="430"/>
      <c r="AJ55" s="430"/>
      <c r="AK55" s="430"/>
      <c r="AL55" s="430"/>
      <c r="AM55" s="430"/>
      <c r="AN55" s="430"/>
      <c r="AO55" s="430"/>
      <c r="AP55" s="430"/>
      <c r="AQ55" s="430"/>
      <c r="AR55" s="430"/>
      <c r="AS55" s="430"/>
      <c r="AT55" s="430"/>
      <c r="AU55" s="430"/>
      <c r="AV55" s="430"/>
      <c r="AW55" s="430"/>
      <c r="AX55" s="430"/>
      <c r="AY55" s="430"/>
    </row>
    <row r="56" spans="1:51">
      <c r="A56" s="430"/>
      <c r="B56" s="430"/>
      <c r="C56" s="430"/>
      <c r="D56" s="430"/>
      <c r="E56" s="430"/>
      <c r="F56" s="430"/>
      <c r="G56" s="430"/>
      <c r="H56" s="430"/>
      <c r="I56" s="430"/>
      <c r="J56" s="430"/>
      <c r="K56" s="430"/>
      <c r="L56" s="430"/>
      <c r="M56" s="430"/>
      <c r="N56" s="430"/>
      <c r="O56" s="430"/>
      <c r="P56" s="430"/>
      <c r="Q56" s="430"/>
      <c r="R56" s="430"/>
      <c r="S56" s="430"/>
      <c r="T56" s="430"/>
      <c r="U56" s="430"/>
      <c r="V56" s="430"/>
      <c r="W56" s="430"/>
      <c r="X56" s="430"/>
      <c r="Y56" s="430"/>
      <c r="Z56" s="430"/>
      <c r="AA56" s="430"/>
      <c r="AB56" s="430"/>
      <c r="AC56" s="430"/>
      <c r="AD56" s="430"/>
      <c r="AE56" s="430"/>
      <c r="AF56" s="430"/>
      <c r="AG56" s="430"/>
      <c r="AH56" s="430"/>
      <c r="AI56" s="430"/>
      <c r="AJ56" s="430"/>
      <c r="AK56" s="430"/>
      <c r="AL56" s="430"/>
      <c r="AM56" s="430"/>
      <c r="AN56" s="430"/>
      <c r="AO56" s="430"/>
      <c r="AP56" s="430"/>
      <c r="AQ56" s="430"/>
      <c r="AR56" s="430"/>
      <c r="AS56" s="430"/>
      <c r="AT56" s="430"/>
      <c r="AU56" s="430"/>
      <c r="AV56" s="430"/>
      <c r="AW56" s="430"/>
      <c r="AX56" s="430"/>
      <c r="AY56" s="430"/>
    </row>
    <row r="57" spans="1:51">
      <c r="A57" s="430"/>
      <c r="B57" s="430"/>
      <c r="C57" s="430"/>
      <c r="D57" s="430"/>
      <c r="E57" s="430"/>
      <c r="F57" s="430"/>
      <c r="G57" s="430"/>
      <c r="H57" s="430"/>
      <c r="I57" s="430"/>
      <c r="J57" s="430"/>
      <c r="K57" s="430"/>
      <c r="L57" s="430"/>
      <c r="M57" s="430"/>
      <c r="N57" s="430"/>
      <c r="O57" s="430"/>
      <c r="P57" s="430"/>
      <c r="Q57" s="430"/>
      <c r="R57" s="430"/>
      <c r="S57" s="430"/>
      <c r="T57" s="430"/>
      <c r="U57" s="430"/>
      <c r="V57" s="430"/>
      <c r="W57" s="430"/>
      <c r="X57" s="430"/>
      <c r="Y57" s="430"/>
      <c r="Z57" s="430"/>
      <c r="AA57" s="430"/>
      <c r="AB57" s="430"/>
      <c r="AC57" s="430"/>
      <c r="AD57" s="430"/>
      <c r="AE57" s="430"/>
      <c r="AF57" s="430"/>
      <c r="AG57" s="430"/>
      <c r="AH57" s="430"/>
      <c r="AI57" s="430"/>
      <c r="AJ57" s="430"/>
      <c r="AK57" s="430"/>
      <c r="AL57" s="430"/>
      <c r="AM57" s="430"/>
      <c r="AN57" s="430"/>
      <c r="AO57" s="430"/>
      <c r="AP57" s="430"/>
      <c r="AQ57" s="430"/>
      <c r="AR57" s="430"/>
      <c r="AS57" s="430"/>
      <c r="AT57" s="430"/>
      <c r="AU57" s="430"/>
      <c r="AV57" s="430"/>
      <c r="AW57" s="430"/>
      <c r="AX57" s="430"/>
      <c r="AY57" s="430"/>
    </row>
    <row r="58" spans="1:51">
      <c r="A58" s="430"/>
      <c r="B58" s="430"/>
      <c r="C58" s="430"/>
      <c r="D58" s="430"/>
      <c r="E58" s="430"/>
      <c r="F58" s="430"/>
      <c r="G58" s="430"/>
      <c r="H58" s="430"/>
      <c r="I58" s="430"/>
      <c r="J58" s="430"/>
      <c r="K58" s="430"/>
      <c r="L58" s="430"/>
      <c r="M58" s="430"/>
      <c r="N58" s="430"/>
      <c r="O58" s="430"/>
      <c r="P58" s="430"/>
      <c r="Q58" s="430"/>
      <c r="R58" s="430"/>
      <c r="S58" s="430"/>
      <c r="T58" s="430"/>
      <c r="U58" s="430"/>
      <c r="V58" s="430"/>
      <c r="W58" s="430"/>
      <c r="X58" s="430"/>
      <c r="Y58" s="430"/>
      <c r="Z58" s="430"/>
      <c r="AA58" s="430"/>
      <c r="AB58" s="430"/>
      <c r="AC58" s="430"/>
      <c r="AD58" s="430"/>
      <c r="AE58" s="430"/>
      <c r="AF58" s="430"/>
      <c r="AG58" s="430"/>
      <c r="AH58" s="430"/>
      <c r="AI58" s="430"/>
      <c r="AJ58" s="430"/>
      <c r="AK58" s="430"/>
      <c r="AL58" s="430"/>
      <c r="AM58" s="430"/>
      <c r="AN58" s="430"/>
      <c r="AO58" s="430"/>
      <c r="AP58" s="430"/>
      <c r="AQ58" s="430"/>
      <c r="AR58" s="430"/>
      <c r="AS58" s="430"/>
      <c r="AT58" s="430"/>
      <c r="AU58" s="430"/>
      <c r="AV58" s="430"/>
      <c r="AW58" s="430"/>
      <c r="AX58" s="430"/>
      <c r="AY58" s="430"/>
    </row>
    <row r="59" spans="1:51">
      <c r="A59" s="430"/>
      <c r="B59" s="430"/>
      <c r="C59" s="430"/>
      <c r="D59" s="430"/>
      <c r="E59" s="430"/>
      <c r="F59" s="430"/>
      <c r="G59" s="430"/>
      <c r="H59" s="430"/>
      <c r="I59" s="430"/>
      <c r="J59" s="430"/>
      <c r="K59" s="430"/>
      <c r="L59" s="430"/>
      <c r="M59" s="430"/>
      <c r="N59" s="430"/>
      <c r="O59" s="430"/>
      <c r="P59" s="430"/>
      <c r="Q59" s="430"/>
      <c r="R59" s="430"/>
      <c r="S59" s="430"/>
      <c r="T59" s="430"/>
      <c r="U59" s="430"/>
      <c r="V59" s="430"/>
      <c r="W59" s="430"/>
      <c r="X59" s="430"/>
      <c r="Y59" s="430"/>
      <c r="Z59" s="430"/>
      <c r="AA59" s="430"/>
      <c r="AB59" s="430"/>
      <c r="AC59" s="430"/>
      <c r="AD59" s="430"/>
      <c r="AE59" s="430"/>
      <c r="AF59" s="430"/>
      <c r="AG59" s="430"/>
      <c r="AH59" s="430"/>
      <c r="AI59" s="430"/>
      <c r="AJ59" s="430"/>
      <c r="AK59" s="430"/>
      <c r="AL59" s="430"/>
      <c r="AM59" s="430"/>
      <c r="AN59" s="430"/>
      <c r="AO59" s="430"/>
      <c r="AP59" s="430"/>
      <c r="AQ59" s="430"/>
      <c r="AR59" s="430"/>
      <c r="AS59" s="430"/>
      <c r="AT59" s="430"/>
      <c r="AU59" s="430"/>
      <c r="AV59" s="430"/>
      <c r="AW59" s="430"/>
      <c r="AX59" s="430"/>
      <c r="AY59" s="430"/>
    </row>
    <row r="60" spans="1:51">
      <c r="A60" s="430"/>
      <c r="B60" s="430"/>
      <c r="C60" s="430"/>
      <c r="D60" s="430"/>
      <c r="E60" s="430"/>
      <c r="F60" s="430"/>
      <c r="G60" s="430"/>
      <c r="H60" s="430"/>
      <c r="I60" s="430"/>
      <c r="J60" s="430"/>
      <c r="K60" s="430"/>
      <c r="L60" s="430"/>
      <c r="M60" s="430"/>
      <c r="N60" s="430"/>
      <c r="O60" s="430"/>
      <c r="P60" s="430"/>
      <c r="Q60" s="430"/>
      <c r="R60" s="430"/>
      <c r="S60" s="430"/>
      <c r="T60" s="430"/>
      <c r="U60" s="430"/>
      <c r="V60" s="430"/>
      <c r="W60" s="430"/>
      <c r="X60" s="430"/>
      <c r="Y60" s="430"/>
      <c r="Z60" s="430"/>
      <c r="AA60" s="430"/>
      <c r="AB60" s="430"/>
      <c r="AC60" s="430"/>
      <c r="AD60" s="430"/>
      <c r="AE60" s="430"/>
      <c r="AF60" s="430"/>
      <c r="AG60" s="430"/>
      <c r="AH60" s="430"/>
      <c r="AI60" s="430"/>
      <c r="AJ60" s="430"/>
      <c r="AK60" s="430"/>
      <c r="AL60" s="430"/>
      <c r="AM60" s="430"/>
      <c r="AN60" s="430"/>
      <c r="AO60" s="430"/>
      <c r="AP60" s="430"/>
      <c r="AQ60" s="430"/>
      <c r="AR60" s="430"/>
      <c r="AS60" s="430"/>
      <c r="AT60" s="430"/>
      <c r="AU60" s="430"/>
      <c r="AV60" s="430"/>
      <c r="AW60" s="430"/>
      <c r="AX60" s="430"/>
      <c r="AY60" s="430"/>
    </row>
    <row r="61" spans="1:51">
      <c r="A61" s="430"/>
      <c r="B61" s="430"/>
      <c r="C61" s="430"/>
      <c r="D61" s="430"/>
      <c r="E61" s="430"/>
      <c r="F61" s="430"/>
      <c r="G61" s="430"/>
      <c r="H61" s="430"/>
      <c r="I61" s="430"/>
      <c r="J61" s="430"/>
      <c r="K61" s="430"/>
      <c r="L61" s="430"/>
      <c r="M61" s="430"/>
      <c r="N61" s="430"/>
      <c r="O61" s="430"/>
      <c r="P61" s="430"/>
      <c r="Q61" s="430"/>
      <c r="R61" s="430"/>
      <c r="S61" s="430"/>
      <c r="T61" s="430"/>
      <c r="U61" s="430"/>
      <c r="V61" s="430"/>
      <c r="W61" s="430"/>
      <c r="X61" s="430"/>
      <c r="Y61" s="430"/>
      <c r="Z61" s="430"/>
      <c r="AA61" s="430"/>
      <c r="AB61" s="430"/>
      <c r="AC61" s="430"/>
      <c r="AD61" s="430"/>
      <c r="AE61" s="430"/>
      <c r="AF61" s="430"/>
      <c r="AG61" s="430"/>
      <c r="AH61" s="430"/>
      <c r="AI61" s="430"/>
      <c r="AJ61" s="430"/>
      <c r="AK61" s="430"/>
      <c r="AL61" s="430"/>
      <c r="AM61" s="430"/>
      <c r="AN61" s="430"/>
      <c r="AO61" s="430"/>
      <c r="AP61" s="430"/>
      <c r="AQ61" s="430"/>
      <c r="AR61" s="430"/>
      <c r="AS61" s="430"/>
      <c r="AT61" s="430"/>
      <c r="AU61" s="430"/>
      <c r="AV61" s="430"/>
      <c r="AW61" s="430"/>
      <c r="AX61" s="430"/>
      <c r="AY61" s="430"/>
    </row>
    <row r="62" spans="1:51">
      <c r="A62" s="430"/>
      <c r="B62" s="430"/>
      <c r="C62" s="430"/>
      <c r="D62" s="430"/>
      <c r="E62" s="430"/>
      <c r="F62" s="430"/>
      <c r="G62" s="430"/>
      <c r="H62" s="430"/>
      <c r="I62" s="430"/>
      <c r="J62" s="430"/>
      <c r="K62" s="430"/>
      <c r="L62" s="430"/>
      <c r="M62" s="430"/>
      <c r="N62" s="430"/>
      <c r="O62" s="430"/>
      <c r="P62" s="430"/>
      <c r="Q62" s="430"/>
      <c r="R62" s="430"/>
      <c r="S62" s="430"/>
      <c r="T62" s="430"/>
      <c r="U62" s="430"/>
      <c r="V62" s="430"/>
      <c r="W62" s="430"/>
      <c r="X62" s="430"/>
      <c r="Y62" s="430"/>
      <c r="Z62" s="430"/>
      <c r="AA62" s="430"/>
      <c r="AB62" s="430"/>
      <c r="AC62" s="430"/>
      <c r="AD62" s="430"/>
      <c r="AE62" s="430"/>
      <c r="AF62" s="430"/>
      <c r="AG62" s="430"/>
      <c r="AH62" s="430"/>
      <c r="AI62" s="430"/>
      <c r="AJ62" s="430"/>
      <c r="AK62" s="430"/>
      <c r="AL62" s="430"/>
      <c r="AM62" s="430"/>
      <c r="AN62" s="430"/>
      <c r="AO62" s="430"/>
      <c r="AP62" s="430"/>
      <c r="AQ62" s="430"/>
      <c r="AR62" s="430"/>
      <c r="AS62" s="430"/>
      <c r="AT62" s="430"/>
      <c r="AU62" s="430"/>
      <c r="AV62" s="430"/>
      <c r="AW62" s="430"/>
      <c r="AX62" s="430"/>
      <c r="AY62" s="430"/>
    </row>
    <row r="63" spans="1:51">
      <c r="A63" s="430"/>
      <c r="B63" s="430"/>
      <c r="C63" s="430"/>
      <c r="D63" s="430"/>
      <c r="E63" s="430"/>
      <c r="F63" s="430"/>
      <c r="G63" s="430"/>
      <c r="H63" s="430"/>
      <c r="I63" s="430"/>
      <c r="J63" s="430"/>
      <c r="K63" s="430"/>
      <c r="L63" s="430"/>
      <c r="M63" s="430"/>
      <c r="N63" s="430"/>
      <c r="O63" s="430"/>
      <c r="P63" s="430"/>
      <c r="Q63" s="430"/>
      <c r="R63" s="430"/>
      <c r="S63" s="430"/>
      <c r="T63" s="430"/>
      <c r="U63" s="430"/>
      <c r="V63" s="430"/>
      <c r="W63" s="430"/>
      <c r="X63" s="430"/>
      <c r="Y63" s="430"/>
      <c r="Z63" s="430"/>
      <c r="AA63" s="430"/>
      <c r="AB63" s="430"/>
      <c r="AC63" s="430"/>
      <c r="AD63" s="430"/>
      <c r="AE63" s="430"/>
      <c r="AF63" s="430"/>
      <c r="AG63" s="430"/>
      <c r="AH63" s="430"/>
      <c r="AI63" s="430"/>
      <c r="AJ63" s="430"/>
      <c r="AK63" s="430"/>
      <c r="AL63" s="430"/>
      <c r="AM63" s="430"/>
      <c r="AN63" s="430"/>
      <c r="AO63" s="430"/>
      <c r="AP63" s="430"/>
      <c r="AQ63" s="430"/>
      <c r="AR63" s="430"/>
      <c r="AS63" s="430"/>
      <c r="AT63" s="430"/>
      <c r="AU63" s="430"/>
      <c r="AV63" s="430"/>
      <c r="AW63" s="430"/>
      <c r="AX63" s="430"/>
      <c r="AY63" s="430"/>
    </row>
    <row r="64" spans="1:51">
      <c r="A64" s="430"/>
      <c r="B64" s="430"/>
      <c r="C64" s="430"/>
      <c r="D64" s="430"/>
      <c r="E64" s="430"/>
      <c r="F64" s="430"/>
      <c r="G64" s="430"/>
      <c r="H64" s="430"/>
      <c r="I64" s="430"/>
      <c r="J64" s="430"/>
      <c r="K64" s="430"/>
      <c r="L64" s="430"/>
      <c r="M64" s="430"/>
      <c r="N64" s="430"/>
      <c r="O64" s="430"/>
      <c r="P64" s="430"/>
      <c r="Q64" s="430"/>
      <c r="R64" s="430"/>
      <c r="S64" s="430"/>
      <c r="T64" s="430"/>
      <c r="U64" s="430"/>
      <c r="V64" s="430"/>
      <c r="W64" s="430"/>
      <c r="X64" s="430"/>
      <c r="Y64" s="430"/>
      <c r="Z64" s="430"/>
      <c r="AA64" s="430"/>
      <c r="AB64" s="430"/>
      <c r="AC64" s="430"/>
      <c r="AD64" s="430"/>
      <c r="AE64" s="430"/>
      <c r="AF64" s="430"/>
      <c r="AG64" s="430"/>
      <c r="AH64" s="430"/>
      <c r="AI64" s="430"/>
      <c r="AJ64" s="430"/>
      <c r="AK64" s="430"/>
      <c r="AL64" s="430"/>
      <c r="AM64" s="430"/>
      <c r="AN64" s="430"/>
      <c r="AO64" s="430"/>
      <c r="AP64" s="430"/>
      <c r="AQ64" s="430"/>
      <c r="AR64" s="430"/>
      <c r="AS64" s="430"/>
      <c r="AT64" s="430"/>
      <c r="AU64" s="430"/>
      <c r="AV64" s="430"/>
      <c r="AW64" s="430"/>
      <c r="AX64" s="430"/>
      <c r="AY64" s="430"/>
    </row>
    <row r="65" spans="1:51">
      <c r="A65" s="430"/>
      <c r="B65" s="430"/>
      <c r="C65" s="430"/>
      <c r="D65" s="430"/>
      <c r="E65" s="430"/>
      <c r="F65" s="430"/>
      <c r="G65" s="430"/>
      <c r="H65" s="430"/>
      <c r="I65" s="430"/>
      <c r="J65" s="430"/>
      <c r="K65" s="430"/>
      <c r="L65" s="430"/>
      <c r="M65" s="430"/>
      <c r="N65" s="430"/>
      <c r="O65" s="430"/>
      <c r="P65" s="430"/>
      <c r="Q65" s="430"/>
      <c r="R65" s="430"/>
      <c r="S65" s="430"/>
      <c r="T65" s="430"/>
      <c r="U65" s="430"/>
      <c r="V65" s="430"/>
      <c r="W65" s="430"/>
      <c r="X65" s="430"/>
      <c r="Y65" s="430"/>
      <c r="Z65" s="430"/>
      <c r="AA65" s="430"/>
      <c r="AB65" s="430"/>
      <c r="AC65" s="430"/>
      <c r="AD65" s="430"/>
      <c r="AE65" s="430"/>
      <c r="AF65" s="430"/>
      <c r="AG65" s="430"/>
      <c r="AH65" s="430"/>
      <c r="AI65" s="430"/>
      <c r="AJ65" s="430"/>
      <c r="AK65" s="430"/>
      <c r="AL65" s="430"/>
      <c r="AM65" s="430"/>
      <c r="AN65" s="430"/>
      <c r="AO65" s="430"/>
      <c r="AP65" s="430"/>
      <c r="AQ65" s="430"/>
      <c r="AR65" s="430"/>
      <c r="AS65" s="430"/>
      <c r="AT65" s="430"/>
      <c r="AU65" s="430"/>
      <c r="AV65" s="430"/>
      <c r="AW65" s="430"/>
      <c r="AX65" s="430"/>
      <c r="AY65" s="430"/>
    </row>
    <row r="66" spans="1:51">
      <c r="A66" s="430"/>
      <c r="B66" s="430"/>
      <c r="C66" s="430"/>
      <c r="D66" s="430"/>
      <c r="E66" s="430"/>
      <c r="F66" s="430"/>
      <c r="G66" s="430"/>
      <c r="H66" s="430"/>
      <c r="I66" s="430"/>
      <c r="J66" s="430"/>
      <c r="K66" s="430"/>
      <c r="L66" s="430"/>
      <c r="M66" s="430"/>
      <c r="N66" s="430"/>
      <c r="O66" s="430"/>
      <c r="P66" s="430"/>
      <c r="Q66" s="430"/>
      <c r="R66" s="430"/>
      <c r="S66" s="430"/>
      <c r="T66" s="430"/>
      <c r="U66" s="430"/>
      <c r="V66" s="430"/>
      <c r="W66" s="430"/>
      <c r="X66" s="430"/>
      <c r="Y66" s="430"/>
      <c r="Z66" s="430"/>
      <c r="AA66" s="430"/>
      <c r="AB66" s="430"/>
      <c r="AC66" s="430"/>
      <c r="AD66" s="430"/>
      <c r="AE66" s="430"/>
      <c r="AF66" s="430"/>
      <c r="AG66" s="430"/>
      <c r="AH66" s="430"/>
      <c r="AI66" s="430"/>
      <c r="AJ66" s="430"/>
      <c r="AK66" s="430"/>
      <c r="AL66" s="430"/>
      <c r="AM66" s="430"/>
      <c r="AN66" s="430"/>
      <c r="AO66" s="430"/>
      <c r="AP66" s="430"/>
      <c r="AQ66" s="430"/>
      <c r="AR66" s="430"/>
      <c r="AS66" s="430"/>
      <c r="AT66" s="430"/>
      <c r="AU66" s="430"/>
      <c r="AV66" s="430"/>
      <c r="AW66" s="430"/>
      <c r="AX66" s="430"/>
      <c r="AY66" s="430"/>
    </row>
    <row r="67" spans="1:51">
      <c r="A67" s="430"/>
      <c r="B67" s="430"/>
      <c r="C67" s="430"/>
      <c r="D67" s="430"/>
      <c r="E67" s="430"/>
      <c r="F67" s="430"/>
      <c r="G67" s="430"/>
      <c r="H67" s="430"/>
      <c r="I67" s="430"/>
      <c r="J67" s="430"/>
      <c r="K67" s="430"/>
      <c r="L67" s="430"/>
      <c r="M67" s="430"/>
      <c r="N67" s="430"/>
      <c r="O67" s="430"/>
      <c r="P67" s="430"/>
      <c r="Q67" s="430"/>
      <c r="R67" s="430"/>
      <c r="S67" s="430"/>
      <c r="T67" s="430"/>
      <c r="U67" s="430"/>
      <c r="V67" s="430"/>
      <c r="W67" s="430"/>
      <c r="X67" s="430"/>
      <c r="Y67" s="430"/>
      <c r="Z67" s="430"/>
      <c r="AA67" s="430"/>
      <c r="AB67" s="430"/>
      <c r="AC67" s="430"/>
      <c r="AD67" s="430"/>
      <c r="AE67" s="430"/>
      <c r="AF67" s="430"/>
      <c r="AG67" s="430"/>
      <c r="AH67" s="430"/>
      <c r="AI67" s="430"/>
      <c r="AJ67" s="430"/>
      <c r="AK67" s="430"/>
      <c r="AL67" s="430"/>
      <c r="AM67" s="430"/>
      <c r="AN67" s="430"/>
      <c r="AO67" s="430"/>
      <c r="AP67" s="430"/>
      <c r="AQ67" s="430"/>
      <c r="AR67" s="430"/>
      <c r="AS67" s="430"/>
      <c r="AT67" s="430"/>
      <c r="AU67" s="430"/>
      <c r="AV67" s="430"/>
      <c r="AW67" s="430"/>
      <c r="AX67" s="430"/>
      <c r="AY67" s="430"/>
    </row>
    <row r="68" spans="1:51">
      <c r="A68" s="430"/>
      <c r="B68" s="430"/>
      <c r="C68" s="430"/>
      <c r="D68" s="430"/>
      <c r="E68" s="430"/>
      <c r="F68" s="430"/>
      <c r="G68" s="430"/>
      <c r="H68" s="430"/>
      <c r="I68" s="430"/>
      <c r="J68" s="430"/>
      <c r="K68" s="430"/>
      <c r="L68" s="430"/>
      <c r="M68" s="430"/>
      <c r="N68" s="430"/>
      <c r="O68" s="430"/>
      <c r="P68" s="430"/>
      <c r="Q68" s="430"/>
      <c r="R68" s="430"/>
      <c r="S68" s="430"/>
      <c r="T68" s="430"/>
      <c r="U68" s="430"/>
      <c r="V68" s="430"/>
      <c r="W68" s="430"/>
      <c r="X68" s="430"/>
      <c r="Y68" s="430"/>
      <c r="Z68" s="430"/>
      <c r="AA68" s="430"/>
      <c r="AB68" s="430"/>
      <c r="AC68" s="430"/>
      <c r="AD68" s="430"/>
      <c r="AE68" s="430"/>
      <c r="AF68" s="430"/>
      <c r="AG68" s="430"/>
      <c r="AH68" s="430"/>
      <c r="AI68" s="430"/>
      <c r="AJ68" s="430"/>
      <c r="AK68" s="430"/>
      <c r="AL68" s="430"/>
      <c r="AM68" s="430"/>
      <c r="AN68" s="430"/>
      <c r="AO68" s="430"/>
      <c r="AP68" s="430"/>
      <c r="AQ68" s="430"/>
      <c r="AR68" s="430"/>
      <c r="AS68" s="430"/>
      <c r="AT68" s="430"/>
      <c r="AU68" s="430"/>
      <c r="AV68" s="430"/>
      <c r="AW68" s="430"/>
      <c r="AX68" s="430"/>
      <c r="AY68" s="430"/>
    </row>
    <row r="69" spans="1:51">
      <c r="A69" s="430"/>
      <c r="B69" s="430"/>
      <c r="C69" s="430"/>
      <c r="D69" s="430"/>
      <c r="E69" s="430"/>
      <c r="F69" s="430"/>
      <c r="G69" s="430"/>
      <c r="H69" s="430"/>
      <c r="I69" s="430"/>
      <c r="J69" s="430"/>
      <c r="K69" s="430"/>
      <c r="L69" s="430"/>
      <c r="M69" s="430"/>
      <c r="N69" s="430"/>
      <c r="O69" s="430"/>
      <c r="P69" s="430"/>
      <c r="Q69" s="430"/>
      <c r="R69" s="430"/>
      <c r="S69" s="430"/>
      <c r="T69" s="430"/>
      <c r="U69" s="430"/>
      <c r="V69" s="430"/>
      <c r="W69" s="430"/>
      <c r="X69" s="430"/>
      <c r="Y69" s="430"/>
      <c r="Z69" s="430"/>
      <c r="AA69" s="430"/>
      <c r="AB69" s="430"/>
      <c r="AC69" s="430"/>
      <c r="AD69" s="430"/>
      <c r="AE69" s="430"/>
      <c r="AF69" s="430"/>
      <c r="AG69" s="430"/>
      <c r="AH69" s="430"/>
      <c r="AI69" s="430"/>
      <c r="AJ69" s="430"/>
      <c r="AK69" s="430"/>
      <c r="AL69" s="430"/>
      <c r="AM69" s="430"/>
      <c r="AN69" s="430"/>
      <c r="AO69" s="430"/>
      <c r="AP69" s="430"/>
      <c r="AQ69" s="430"/>
      <c r="AR69" s="430"/>
      <c r="AS69" s="430"/>
      <c r="AT69" s="430"/>
      <c r="AU69" s="430"/>
      <c r="AV69" s="430"/>
      <c r="AW69" s="430"/>
      <c r="AX69" s="430"/>
      <c r="AY69" s="430"/>
    </row>
    <row r="70" spans="1:51">
      <c r="A70" s="430"/>
      <c r="B70" s="430"/>
      <c r="C70" s="430"/>
      <c r="D70" s="430"/>
      <c r="E70" s="430"/>
      <c r="F70" s="430"/>
      <c r="G70" s="430"/>
      <c r="H70" s="430"/>
      <c r="I70" s="430"/>
      <c r="J70" s="430"/>
      <c r="K70" s="430"/>
      <c r="L70" s="430"/>
      <c r="M70" s="430"/>
      <c r="N70" s="430"/>
      <c r="O70" s="430"/>
      <c r="P70" s="430"/>
      <c r="Q70" s="430"/>
      <c r="R70" s="430"/>
      <c r="S70" s="430"/>
      <c r="T70" s="430"/>
      <c r="U70" s="430"/>
      <c r="V70" s="430"/>
      <c r="W70" s="430"/>
      <c r="X70" s="430"/>
      <c r="Y70" s="430"/>
      <c r="Z70" s="430"/>
      <c r="AA70" s="430"/>
      <c r="AB70" s="430"/>
      <c r="AC70" s="430"/>
      <c r="AD70" s="430"/>
      <c r="AE70" s="430"/>
      <c r="AF70" s="430"/>
      <c r="AG70" s="430"/>
      <c r="AH70" s="430"/>
      <c r="AI70" s="430"/>
      <c r="AJ70" s="430"/>
      <c r="AK70" s="430"/>
      <c r="AL70" s="430"/>
      <c r="AM70" s="430"/>
      <c r="AN70" s="430"/>
      <c r="AO70" s="430"/>
      <c r="AP70" s="430"/>
      <c r="AQ70" s="430"/>
      <c r="AR70" s="430"/>
      <c r="AS70" s="430"/>
      <c r="AT70" s="430"/>
      <c r="AU70" s="430"/>
      <c r="AV70" s="430"/>
      <c r="AW70" s="430"/>
      <c r="AX70" s="430"/>
      <c r="AY70" s="430"/>
    </row>
    <row r="71" spans="1:51">
      <c r="A71" s="430"/>
      <c r="B71" s="430"/>
      <c r="C71" s="430"/>
      <c r="D71" s="430"/>
      <c r="E71" s="430"/>
      <c r="F71" s="430"/>
      <c r="G71" s="430"/>
      <c r="H71" s="430"/>
      <c r="I71" s="430"/>
      <c r="J71" s="430"/>
      <c r="K71" s="430"/>
      <c r="L71" s="430"/>
      <c r="M71" s="430"/>
      <c r="N71" s="430"/>
      <c r="O71" s="430"/>
      <c r="P71" s="430"/>
      <c r="Q71" s="430"/>
      <c r="R71" s="430"/>
      <c r="S71" s="430"/>
      <c r="T71" s="430"/>
      <c r="U71" s="430"/>
      <c r="V71" s="430"/>
      <c r="W71" s="430"/>
      <c r="X71" s="430"/>
      <c r="Y71" s="430"/>
      <c r="Z71" s="430"/>
      <c r="AA71" s="430"/>
      <c r="AB71" s="430"/>
      <c r="AC71" s="430"/>
      <c r="AD71" s="430"/>
      <c r="AE71" s="430"/>
      <c r="AF71" s="430"/>
      <c r="AG71" s="430"/>
      <c r="AH71" s="430"/>
      <c r="AI71" s="430"/>
      <c r="AJ71" s="430"/>
      <c r="AK71" s="430"/>
      <c r="AL71" s="430"/>
      <c r="AM71" s="430"/>
      <c r="AN71" s="430"/>
      <c r="AO71" s="430"/>
      <c r="AP71" s="430"/>
      <c r="AQ71" s="430"/>
      <c r="AR71" s="430"/>
      <c r="AS71" s="430"/>
      <c r="AT71" s="430"/>
      <c r="AU71" s="430"/>
      <c r="AV71" s="430"/>
      <c r="AW71" s="430"/>
      <c r="AX71" s="430"/>
      <c r="AY71" s="430"/>
    </row>
    <row r="72" spans="1:51">
      <c r="A72" s="430"/>
      <c r="B72" s="430"/>
      <c r="C72" s="430"/>
      <c r="D72" s="430"/>
      <c r="E72" s="430"/>
      <c r="F72" s="430"/>
      <c r="G72" s="430"/>
      <c r="H72" s="430"/>
      <c r="I72" s="430"/>
      <c r="J72" s="430"/>
      <c r="K72" s="430"/>
      <c r="L72" s="430"/>
      <c r="M72" s="430"/>
      <c r="N72" s="430"/>
      <c r="O72" s="430"/>
      <c r="P72" s="430"/>
      <c r="Q72" s="430"/>
      <c r="R72" s="430"/>
      <c r="S72" s="430"/>
      <c r="T72" s="430"/>
      <c r="U72" s="430"/>
      <c r="V72" s="430"/>
      <c r="W72" s="430"/>
      <c r="X72" s="430"/>
      <c r="Y72" s="430"/>
      <c r="Z72" s="430"/>
      <c r="AA72" s="430"/>
      <c r="AB72" s="430"/>
      <c r="AC72" s="430"/>
      <c r="AD72" s="430"/>
      <c r="AE72" s="430"/>
      <c r="AF72" s="430"/>
      <c r="AG72" s="430"/>
      <c r="AH72" s="430"/>
      <c r="AI72" s="430"/>
      <c r="AJ72" s="430"/>
      <c r="AK72" s="430"/>
      <c r="AL72" s="430"/>
      <c r="AM72" s="430"/>
      <c r="AN72" s="430"/>
      <c r="AO72" s="430"/>
      <c r="AP72" s="430"/>
      <c r="AQ72" s="430"/>
      <c r="AR72" s="430"/>
      <c r="AS72" s="430"/>
      <c r="AT72" s="430"/>
      <c r="AU72" s="430"/>
      <c r="AV72" s="430"/>
      <c r="AW72" s="430"/>
      <c r="AX72" s="430"/>
      <c r="AY72" s="430"/>
    </row>
    <row r="73" spans="1:51">
      <c r="A73" s="430"/>
      <c r="B73" s="430"/>
      <c r="C73" s="430"/>
      <c r="D73" s="430"/>
      <c r="E73" s="430"/>
      <c r="F73" s="430"/>
      <c r="G73" s="430"/>
      <c r="H73" s="430"/>
      <c r="I73" s="430"/>
      <c r="J73" s="430"/>
      <c r="K73" s="430"/>
      <c r="L73" s="430"/>
      <c r="M73" s="430"/>
      <c r="N73" s="430"/>
      <c r="O73" s="430"/>
      <c r="P73" s="430"/>
      <c r="Q73" s="430"/>
      <c r="R73" s="430"/>
      <c r="S73" s="430"/>
      <c r="T73" s="430"/>
      <c r="U73" s="430"/>
      <c r="V73" s="430"/>
      <c r="W73" s="430"/>
      <c r="X73" s="430"/>
      <c r="Y73" s="430"/>
      <c r="Z73" s="430"/>
      <c r="AA73" s="430"/>
      <c r="AB73" s="430"/>
      <c r="AC73" s="430"/>
      <c r="AD73" s="430"/>
      <c r="AE73" s="430"/>
      <c r="AF73" s="430"/>
      <c r="AG73" s="430"/>
      <c r="AH73" s="430"/>
      <c r="AI73" s="430"/>
      <c r="AJ73" s="430"/>
      <c r="AK73" s="430"/>
      <c r="AL73" s="430"/>
      <c r="AM73" s="430"/>
      <c r="AN73" s="430"/>
      <c r="AO73" s="430"/>
      <c r="AP73" s="430"/>
      <c r="AQ73" s="430"/>
      <c r="AR73" s="430"/>
      <c r="AS73" s="430"/>
      <c r="AT73" s="430"/>
      <c r="AU73" s="430"/>
      <c r="AV73" s="430"/>
      <c r="AW73" s="430"/>
      <c r="AX73" s="430"/>
      <c r="AY73" s="430"/>
    </row>
    <row r="74" spans="1:51">
      <c r="A74" s="430"/>
      <c r="B74" s="430"/>
      <c r="C74" s="430"/>
      <c r="D74" s="430"/>
      <c r="E74" s="430"/>
      <c r="F74" s="430"/>
      <c r="G74" s="430"/>
      <c r="H74" s="430"/>
      <c r="I74" s="430"/>
      <c r="J74" s="430"/>
      <c r="K74" s="430"/>
      <c r="L74" s="430"/>
      <c r="M74" s="430"/>
      <c r="N74" s="430"/>
      <c r="O74" s="430"/>
      <c r="P74" s="430"/>
      <c r="Q74" s="430"/>
      <c r="R74" s="430"/>
      <c r="S74" s="430"/>
      <c r="T74" s="430"/>
      <c r="U74" s="430"/>
      <c r="V74" s="430"/>
      <c r="W74" s="430"/>
      <c r="X74" s="430"/>
      <c r="Y74" s="430"/>
      <c r="Z74" s="430"/>
      <c r="AA74" s="430"/>
      <c r="AB74" s="430"/>
      <c r="AC74" s="430"/>
      <c r="AD74" s="430"/>
      <c r="AE74" s="430"/>
      <c r="AF74" s="430"/>
      <c r="AG74" s="430"/>
      <c r="AH74" s="430"/>
      <c r="AI74" s="430"/>
      <c r="AJ74" s="430"/>
      <c r="AK74" s="430"/>
      <c r="AL74" s="430"/>
      <c r="AM74" s="430"/>
      <c r="AN74" s="430"/>
      <c r="AO74" s="430"/>
      <c r="AP74" s="430"/>
      <c r="AQ74" s="430"/>
      <c r="AR74" s="430"/>
      <c r="AS74" s="430"/>
      <c r="AT74" s="430"/>
      <c r="AU74" s="430"/>
      <c r="AV74" s="430"/>
      <c r="AW74" s="430"/>
      <c r="AX74" s="430"/>
      <c r="AY74" s="430"/>
    </row>
    <row r="75" spans="1:51">
      <c r="A75" s="430"/>
      <c r="B75" s="430"/>
      <c r="C75" s="430"/>
      <c r="D75" s="430"/>
      <c r="E75" s="430"/>
      <c r="F75" s="430"/>
      <c r="G75" s="430"/>
      <c r="H75" s="430"/>
      <c r="I75" s="430"/>
      <c r="J75" s="430"/>
      <c r="K75" s="430"/>
      <c r="L75" s="430"/>
      <c r="M75" s="430"/>
      <c r="N75" s="430"/>
      <c r="O75" s="430"/>
      <c r="P75" s="430"/>
      <c r="Q75" s="430"/>
      <c r="R75" s="430"/>
      <c r="S75" s="430"/>
      <c r="T75" s="430"/>
      <c r="U75" s="430"/>
      <c r="V75" s="430"/>
      <c r="W75" s="430"/>
      <c r="X75" s="430"/>
      <c r="Y75" s="430"/>
      <c r="Z75" s="430"/>
      <c r="AA75" s="430"/>
      <c r="AB75" s="430"/>
      <c r="AC75" s="430"/>
      <c r="AD75" s="430"/>
      <c r="AE75" s="430"/>
      <c r="AF75" s="430"/>
      <c r="AG75" s="430"/>
      <c r="AH75" s="430"/>
      <c r="AI75" s="430"/>
      <c r="AJ75" s="430"/>
      <c r="AK75" s="430"/>
      <c r="AL75" s="430"/>
      <c r="AM75" s="430"/>
      <c r="AN75" s="430"/>
      <c r="AO75" s="430"/>
      <c r="AP75" s="430"/>
      <c r="AQ75" s="430"/>
      <c r="AR75" s="430"/>
      <c r="AS75" s="430"/>
      <c r="AT75" s="430"/>
      <c r="AU75" s="430"/>
      <c r="AV75" s="430"/>
      <c r="AW75" s="430"/>
      <c r="AX75" s="430"/>
      <c r="AY75" s="430"/>
    </row>
    <row r="76" spans="1:51">
      <c r="A76" s="430"/>
      <c r="B76" s="430"/>
      <c r="C76" s="430"/>
      <c r="D76" s="430"/>
      <c r="E76" s="430"/>
      <c r="F76" s="430"/>
      <c r="G76" s="430"/>
      <c r="H76" s="430"/>
      <c r="I76" s="430"/>
      <c r="J76" s="430"/>
      <c r="K76" s="430"/>
      <c r="L76" s="430"/>
      <c r="M76" s="430"/>
      <c r="N76" s="430"/>
      <c r="O76" s="430"/>
      <c r="P76" s="430"/>
      <c r="Q76" s="430"/>
      <c r="R76" s="430"/>
      <c r="S76" s="430"/>
      <c r="T76" s="430"/>
      <c r="U76" s="430"/>
      <c r="V76" s="430"/>
      <c r="W76" s="430"/>
      <c r="X76" s="430"/>
      <c r="Y76" s="430"/>
      <c r="Z76" s="430"/>
      <c r="AA76" s="430"/>
      <c r="AB76" s="430"/>
      <c r="AC76" s="430"/>
      <c r="AD76" s="430"/>
      <c r="AE76" s="430"/>
      <c r="AF76" s="430"/>
      <c r="AG76" s="430"/>
      <c r="AH76" s="430"/>
      <c r="AI76" s="430"/>
      <c r="AJ76" s="430"/>
      <c r="AK76" s="430"/>
      <c r="AL76" s="430"/>
      <c r="AM76" s="430"/>
      <c r="AN76" s="430"/>
      <c r="AO76" s="430"/>
      <c r="AP76" s="430"/>
      <c r="AQ76" s="430"/>
      <c r="AR76" s="430"/>
      <c r="AS76" s="430"/>
      <c r="AT76" s="430"/>
      <c r="AU76" s="430"/>
      <c r="AV76" s="430"/>
      <c r="AW76" s="430"/>
      <c r="AX76" s="430"/>
      <c r="AY76" s="430"/>
    </row>
    <row r="77" spans="1:51">
      <c r="A77" s="430"/>
      <c r="B77" s="430"/>
      <c r="C77" s="430"/>
      <c r="D77" s="430"/>
      <c r="E77" s="430"/>
      <c r="F77" s="430"/>
      <c r="G77" s="430"/>
      <c r="H77" s="430"/>
      <c r="I77" s="430"/>
      <c r="J77" s="430"/>
      <c r="K77" s="430"/>
      <c r="L77" s="430"/>
      <c r="M77" s="430"/>
      <c r="N77" s="430"/>
      <c r="O77" s="430"/>
      <c r="P77" s="430"/>
      <c r="Q77" s="430"/>
      <c r="R77" s="430"/>
      <c r="S77" s="430"/>
      <c r="T77" s="430"/>
      <c r="U77" s="430"/>
      <c r="V77" s="430"/>
      <c r="W77" s="430"/>
      <c r="X77" s="430"/>
      <c r="Y77" s="430"/>
      <c r="Z77" s="430"/>
      <c r="AA77" s="430"/>
      <c r="AB77" s="430"/>
      <c r="AC77" s="430"/>
      <c r="AD77" s="430"/>
      <c r="AE77" s="430"/>
      <c r="AF77" s="430"/>
      <c r="AG77" s="430"/>
      <c r="AH77" s="430"/>
      <c r="AI77" s="430"/>
      <c r="AJ77" s="430"/>
      <c r="AK77" s="430"/>
      <c r="AL77" s="430"/>
      <c r="AM77" s="430"/>
      <c r="AN77" s="430"/>
      <c r="AO77" s="430"/>
      <c r="AP77" s="430"/>
      <c r="AQ77" s="430"/>
      <c r="AR77" s="430"/>
      <c r="AS77" s="430"/>
      <c r="AT77" s="430"/>
      <c r="AU77" s="430"/>
      <c r="AV77" s="430"/>
      <c r="AW77" s="430"/>
      <c r="AX77" s="430"/>
      <c r="AY77" s="430"/>
    </row>
    <row r="78" spans="1:51">
      <c r="A78" s="430"/>
      <c r="B78" s="430"/>
      <c r="C78" s="430"/>
      <c r="D78" s="430"/>
      <c r="E78" s="430"/>
      <c r="F78" s="430"/>
      <c r="G78" s="430"/>
      <c r="H78" s="430"/>
      <c r="I78" s="430"/>
      <c r="J78" s="430"/>
      <c r="K78" s="430"/>
      <c r="L78" s="430"/>
      <c r="M78" s="430"/>
      <c r="N78" s="430"/>
      <c r="O78" s="430"/>
      <c r="P78" s="430"/>
      <c r="Q78" s="430"/>
      <c r="R78" s="430"/>
      <c r="S78" s="430"/>
      <c r="T78" s="430"/>
      <c r="U78" s="430"/>
      <c r="V78" s="430"/>
      <c r="W78" s="430"/>
      <c r="X78" s="430"/>
      <c r="Y78" s="430"/>
      <c r="Z78" s="430"/>
      <c r="AA78" s="430"/>
      <c r="AB78" s="430"/>
      <c r="AC78" s="430"/>
      <c r="AD78" s="430"/>
      <c r="AE78" s="430"/>
      <c r="AF78" s="430"/>
      <c r="AG78" s="430"/>
      <c r="AH78" s="430"/>
      <c r="AI78" s="430"/>
      <c r="AJ78" s="430"/>
      <c r="AK78" s="430"/>
      <c r="AL78" s="430"/>
      <c r="AM78" s="430"/>
      <c r="AN78" s="430"/>
      <c r="AO78" s="430"/>
      <c r="AP78" s="430"/>
      <c r="AQ78" s="430"/>
      <c r="AR78" s="430"/>
      <c r="AS78" s="430"/>
      <c r="AT78" s="430"/>
      <c r="AU78" s="430"/>
      <c r="AV78" s="430"/>
      <c r="AW78" s="430"/>
      <c r="AX78" s="430"/>
      <c r="AY78" s="430"/>
    </row>
    <row r="79" spans="1:51">
      <c r="A79" s="430"/>
      <c r="B79" s="430"/>
      <c r="C79" s="430"/>
      <c r="D79" s="430"/>
      <c r="E79" s="430"/>
      <c r="F79" s="430"/>
      <c r="G79" s="430"/>
      <c r="H79" s="430"/>
      <c r="I79" s="430"/>
      <c r="J79" s="430"/>
      <c r="K79" s="430"/>
      <c r="L79" s="430"/>
      <c r="M79" s="430"/>
      <c r="N79" s="430"/>
      <c r="O79" s="430"/>
      <c r="P79" s="430"/>
      <c r="Q79" s="430"/>
      <c r="R79" s="430"/>
      <c r="S79" s="430"/>
      <c r="T79" s="430"/>
      <c r="U79" s="430"/>
      <c r="V79" s="430"/>
      <c r="W79" s="430"/>
      <c r="X79" s="430"/>
      <c r="Y79" s="430"/>
      <c r="Z79" s="430"/>
      <c r="AA79" s="430"/>
      <c r="AB79" s="430"/>
      <c r="AC79" s="430"/>
      <c r="AD79" s="430"/>
      <c r="AE79" s="430"/>
      <c r="AF79" s="430"/>
      <c r="AG79" s="430"/>
      <c r="AH79" s="430"/>
      <c r="AI79" s="430"/>
      <c r="AJ79" s="430"/>
      <c r="AK79" s="430"/>
      <c r="AL79" s="430"/>
      <c r="AM79" s="430"/>
      <c r="AN79" s="430"/>
      <c r="AO79" s="430"/>
      <c r="AP79" s="430"/>
      <c r="AQ79" s="430"/>
      <c r="AR79" s="430"/>
      <c r="AS79" s="430"/>
      <c r="AT79" s="430"/>
      <c r="AU79" s="430"/>
      <c r="AV79" s="430"/>
      <c r="AW79" s="430"/>
      <c r="AX79" s="430"/>
      <c r="AY79" s="430"/>
    </row>
    <row r="80" spans="1:51">
      <c r="A80" s="430"/>
      <c r="B80" s="430"/>
      <c r="C80" s="430"/>
      <c r="D80" s="430"/>
      <c r="E80" s="430"/>
      <c r="F80" s="430"/>
      <c r="G80" s="430"/>
      <c r="H80" s="430"/>
      <c r="I80" s="430"/>
      <c r="J80" s="430"/>
      <c r="K80" s="430"/>
      <c r="L80" s="430"/>
      <c r="M80" s="430"/>
      <c r="N80" s="430"/>
      <c r="O80" s="430"/>
      <c r="P80" s="430"/>
      <c r="Q80" s="430"/>
      <c r="R80" s="430"/>
      <c r="S80" s="430"/>
      <c r="T80" s="430"/>
      <c r="U80" s="430"/>
      <c r="V80" s="430"/>
      <c r="W80" s="430"/>
      <c r="X80" s="430"/>
      <c r="Y80" s="430"/>
      <c r="Z80" s="430"/>
      <c r="AA80" s="430"/>
      <c r="AB80" s="430"/>
      <c r="AC80" s="430"/>
      <c r="AD80" s="430"/>
      <c r="AE80" s="430"/>
      <c r="AF80" s="430"/>
      <c r="AG80" s="430"/>
      <c r="AH80" s="430"/>
      <c r="AI80" s="430"/>
      <c r="AJ80" s="430"/>
      <c r="AK80" s="430"/>
      <c r="AL80" s="430"/>
      <c r="AM80" s="430"/>
      <c r="AN80" s="430"/>
      <c r="AO80" s="430"/>
      <c r="AP80" s="430"/>
      <c r="AQ80" s="430"/>
      <c r="AR80" s="430"/>
      <c r="AS80" s="430"/>
      <c r="AT80" s="430"/>
      <c r="AU80" s="430"/>
      <c r="AV80" s="430"/>
      <c r="AW80" s="430"/>
      <c r="AX80" s="430"/>
      <c r="AY80" s="430"/>
    </row>
    <row r="81" spans="1:51">
      <c r="A81" s="430"/>
      <c r="B81" s="430"/>
      <c r="C81" s="430"/>
      <c r="D81" s="430"/>
      <c r="E81" s="430"/>
      <c r="F81" s="430"/>
      <c r="G81" s="430"/>
      <c r="H81" s="430"/>
      <c r="I81" s="430"/>
      <c r="J81" s="430"/>
      <c r="K81" s="430"/>
      <c r="L81" s="430"/>
      <c r="M81" s="430"/>
      <c r="N81" s="430"/>
      <c r="O81" s="430"/>
      <c r="P81" s="430"/>
      <c r="Q81" s="430"/>
      <c r="R81" s="430"/>
      <c r="S81" s="430"/>
      <c r="T81" s="430"/>
      <c r="U81" s="430"/>
      <c r="V81" s="430"/>
      <c r="W81" s="430"/>
      <c r="X81" s="430"/>
      <c r="Y81" s="430"/>
      <c r="Z81" s="430"/>
      <c r="AA81" s="430"/>
      <c r="AB81" s="430"/>
      <c r="AC81" s="430"/>
      <c r="AD81" s="430"/>
      <c r="AE81" s="430"/>
      <c r="AF81" s="430"/>
      <c r="AG81" s="430"/>
      <c r="AH81" s="430"/>
      <c r="AI81" s="430"/>
      <c r="AJ81" s="430"/>
      <c r="AK81" s="430"/>
      <c r="AL81" s="430"/>
      <c r="AM81" s="430"/>
      <c r="AN81" s="430"/>
      <c r="AO81" s="430"/>
      <c r="AP81" s="430"/>
      <c r="AQ81" s="430"/>
      <c r="AR81" s="430"/>
      <c r="AS81" s="430"/>
      <c r="AT81" s="430"/>
      <c r="AU81" s="430"/>
      <c r="AV81" s="430"/>
      <c r="AW81" s="430"/>
      <c r="AX81" s="430"/>
      <c r="AY81" s="430"/>
    </row>
    <row r="82" spans="1:51">
      <c r="A82" s="430"/>
      <c r="B82" s="430"/>
      <c r="C82" s="430"/>
      <c r="D82" s="430"/>
      <c r="E82" s="430"/>
      <c r="F82" s="430"/>
      <c r="G82" s="430"/>
      <c r="H82" s="430"/>
      <c r="I82" s="430"/>
      <c r="J82" s="430"/>
      <c r="K82" s="430"/>
      <c r="L82" s="430"/>
      <c r="M82" s="430"/>
      <c r="N82" s="430"/>
      <c r="O82" s="430"/>
      <c r="P82" s="430"/>
      <c r="Q82" s="430"/>
      <c r="R82" s="430"/>
      <c r="S82" s="430"/>
      <c r="T82" s="430"/>
      <c r="U82" s="430"/>
      <c r="V82" s="430"/>
      <c r="W82" s="430"/>
      <c r="X82" s="430"/>
      <c r="Y82" s="430"/>
      <c r="Z82" s="430"/>
      <c r="AA82" s="430"/>
      <c r="AB82" s="430"/>
      <c r="AC82" s="430"/>
      <c r="AD82" s="430"/>
      <c r="AE82" s="430"/>
      <c r="AF82" s="430"/>
      <c r="AG82" s="430"/>
      <c r="AH82" s="430"/>
      <c r="AI82" s="430"/>
      <c r="AJ82" s="430"/>
      <c r="AK82" s="430"/>
      <c r="AL82" s="430"/>
      <c r="AM82" s="430"/>
      <c r="AN82" s="430"/>
      <c r="AO82" s="430"/>
      <c r="AP82" s="430"/>
      <c r="AQ82" s="430"/>
      <c r="AR82" s="430"/>
      <c r="AS82" s="430"/>
      <c r="AT82" s="430"/>
      <c r="AU82" s="430"/>
      <c r="AV82" s="430"/>
      <c r="AW82" s="430"/>
      <c r="AX82" s="430"/>
      <c r="AY82" s="430"/>
    </row>
    <row r="83" spans="1:51">
      <c r="A83" s="430"/>
      <c r="B83" s="430"/>
      <c r="C83" s="430"/>
      <c r="D83" s="430"/>
      <c r="E83" s="430"/>
      <c r="F83" s="430"/>
      <c r="G83" s="430"/>
      <c r="H83" s="430"/>
      <c r="I83" s="430"/>
      <c r="J83" s="430"/>
      <c r="K83" s="430"/>
      <c r="L83" s="430"/>
      <c r="M83" s="430"/>
      <c r="N83" s="430"/>
      <c r="O83" s="430"/>
      <c r="P83" s="430"/>
      <c r="Q83" s="430"/>
      <c r="R83" s="430"/>
      <c r="S83" s="430"/>
      <c r="T83" s="430"/>
      <c r="U83" s="430"/>
      <c r="V83" s="430"/>
      <c r="W83" s="430"/>
      <c r="X83" s="430"/>
      <c r="Y83" s="430"/>
      <c r="Z83" s="430"/>
      <c r="AA83" s="430"/>
      <c r="AB83" s="430"/>
      <c r="AC83" s="430"/>
      <c r="AD83" s="430"/>
      <c r="AE83" s="430"/>
      <c r="AF83" s="430"/>
      <c r="AG83" s="430"/>
      <c r="AH83" s="430"/>
      <c r="AI83" s="430"/>
      <c r="AJ83" s="430"/>
      <c r="AK83" s="430"/>
      <c r="AL83" s="430"/>
      <c r="AM83" s="430"/>
      <c r="AN83" s="430"/>
      <c r="AO83" s="430"/>
      <c r="AP83" s="430"/>
      <c r="AQ83" s="430"/>
      <c r="AR83" s="430"/>
      <c r="AS83" s="430"/>
      <c r="AT83" s="430"/>
      <c r="AU83" s="430"/>
      <c r="AV83" s="430"/>
      <c r="AW83" s="430"/>
      <c r="AX83" s="430"/>
      <c r="AY83" s="430"/>
    </row>
    <row r="84" spans="1:51">
      <c r="A84" s="430"/>
      <c r="B84" s="430"/>
      <c r="C84" s="430"/>
      <c r="D84" s="430"/>
      <c r="E84" s="430"/>
      <c r="F84" s="430"/>
      <c r="G84" s="430"/>
      <c r="H84" s="430"/>
      <c r="I84" s="430"/>
      <c r="J84" s="430"/>
      <c r="K84" s="430"/>
      <c r="L84" s="430"/>
      <c r="M84" s="430"/>
      <c r="N84" s="430"/>
      <c r="O84" s="430"/>
      <c r="P84" s="430"/>
      <c r="Q84" s="430"/>
      <c r="R84" s="430"/>
      <c r="S84" s="430"/>
      <c r="T84" s="430"/>
      <c r="U84" s="430"/>
      <c r="V84" s="430"/>
      <c r="W84" s="430"/>
      <c r="X84" s="430"/>
      <c r="Y84" s="430"/>
      <c r="Z84" s="430"/>
      <c r="AA84" s="430"/>
      <c r="AB84" s="430"/>
      <c r="AC84" s="430"/>
      <c r="AD84" s="430"/>
      <c r="AE84" s="430"/>
      <c r="AF84" s="430"/>
      <c r="AG84" s="430"/>
      <c r="AH84" s="430"/>
      <c r="AI84" s="430"/>
      <c r="AJ84" s="430"/>
      <c r="AK84" s="430"/>
      <c r="AL84" s="430"/>
      <c r="AM84" s="430"/>
      <c r="AN84" s="430"/>
      <c r="AO84" s="430"/>
      <c r="AP84" s="430"/>
      <c r="AQ84" s="430"/>
      <c r="AR84" s="430"/>
      <c r="AS84" s="430"/>
      <c r="AT84" s="430"/>
      <c r="AU84" s="430"/>
      <c r="AV84" s="430"/>
      <c r="AW84" s="430"/>
      <c r="AX84" s="430"/>
      <c r="AY84" s="430"/>
    </row>
    <row r="85" spans="1:51">
      <c r="A85" s="430"/>
      <c r="B85" s="430"/>
      <c r="C85" s="430"/>
      <c r="D85" s="430"/>
      <c r="E85" s="430"/>
      <c r="F85" s="430"/>
      <c r="G85" s="430"/>
      <c r="H85" s="430"/>
      <c r="I85" s="430"/>
      <c r="J85" s="430"/>
      <c r="K85" s="430"/>
      <c r="L85" s="430"/>
      <c r="M85" s="430"/>
      <c r="N85" s="430"/>
      <c r="O85" s="430"/>
      <c r="P85" s="430"/>
      <c r="Q85" s="430"/>
      <c r="R85" s="430"/>
      <c r="S85" s="430"/>
      <c r="T85" s="430"/>
      <c r="U85" s="430"/>
      <c r="V85" s="430"/>
      <c r="W85" s="430"/>
      <c r="X85" s="430"/>
      <c r="Y85" s="430"/>
      <c r="Z85" s="430"/>
      <c r="AA85" s="430"/>
      <c r="AB85" s="430"/>
      <c r="AC85" s="430"/>
      <c r="AD85" s="430"/>
      <c r="AE85" s="430"/>
      <c r="AF85" s="430"/>
      <c r="AG85" s="430"/>
      <c r="AH85" s="430"/>
      <c r="AI85" s="430"/>
      <c r="AJ85" s="430"/>
      <c r="AK85" s="430"/>
      <c r="AL85" s="430"/>
      <c r="AM85" s="430"/>
      <c r="AN85" s="430"/>
      <c r="AO85" s="430"/>
      <c r="AP85" s="430"/>
      <c r="AQ85" s="430"/>
      <c r="AR85" s="430"/>
      <c r="AS85" s="430"/>
      <c r="AT85" s="430"/>
      <c r="AU85" s="430"/>
      <c r="AV85" s="430"/>
      <c r="AW85" s="430"/>
      <c r="AX85" s="430"/>
      <c r="AY85" s="430"/>
    </row>
    <row r="86" spans="1:51">
      <c r="A86" s="430"/>
      <c r="B86" s="430"/>
      <c r="C86" s="430"/>
      <c r="D86" s="430"/>
      <c r="E86" s="430"/>
      <c r="F86" s="430"/>
      <c r="G86" s="430"/>
      <c r="H86" s="430"/>
      <c r="I86" s="430"/>
      <c r="J86" s="430"/>
      <c r="K86" s="430"/>
      <c r="L86" s="430"/>
      <c r="M86" s="430"/>
      <c r="N86" s="430"/>
      <c r="O86" s="430"/>
      <c r="P86" s="430"/>
      <c r="Q86" s="430"/>
      <c r="R86" s="430"/>
      <c r="S86" s="430"/>
      <c r="T86" s="430"/>
      <c r="U86" s="430"/>
      <c r="V86" s="430"/>
      <c r="W86" s="430"/>
      <c r="X86" s="430"/>
      <c r="Y86" s="430"/>
      <c r="Z86" s="430"/>
      <c r="AA86" s="430"/>
      <c r="AB86" s="430"/>
      <c r="AC86" s="430"/>
      <c r="AD86" s="430"/>
      <c r="AE86" s="430"/>
      <c r="AF86" s="430"/>
      <c r="AG86" s="430"/>
      <c r="AH86" s="430"/>
      <c r="AI86" s="430"/>
      <c r="AJ86" s="430"/>
      <c r="AK86" s="430"/>
      <c r="AL86" s="430"/>
      <c r="AM86" s="430"/>
      <c r="AN86" s="430"/>
      <c r="AO86" s="430"/>
      <c r="AP86" s="430"/>
      <c r="AQ86" s="430"/>
      <c r="AR86" s="430"/>
      <c r="AS86" s="430"/>
      <c r="AT86" s="430"/>
      <c r="AU86" s="430"/>
      <c r="AV86" s="430"/>
      <c r="AW86" s="430"/>
      <c r="AX86" s="430"/>
      <c r="AY86" s="430"/>
    </row>
    <row r="87" spans="1:51">
      <c r="A87" s="430"/>
      <c r="B87" s="430"/>
      <c r="C87" s="430"/>
      <c r="D87" s="430"/>
      <c r="E87" s="430"/>
      <c r="F87" s="430"/>
      <c r="G87" s="430"/>
      <c r="H87" s="430"/>
      <c r="I87" s="430"/>
      <c r="J87" s="430"/>
      <c r="K87" s="430"/>
      <c r="L87" s="430"/>
      <c r="M87" s="430"/>
      <c r="N87" s="430"/>
      <c r="O87" s="430"/>
      <c r="P87" s="430"/>
      <c r="Q87" s="430"/>
      <c r="R87" s="430"/>
      <c r="S87" s="430"/>
      <c r="T87" s="430"/>
      <c r="U87" s="430"/>
      <c r="V87" s="430"/>
      <c r="W87" s="430"/>
      <c r="X87" s="430"/>
      <c r="Y87" s="430"/>
      <c r="Z87" s="430"/>
      <c r="AA87" s="430"/>
      <c r="AB87" s="430"/>
      <c r="AC87" s="430"/>
      <c r="AD87" s="430"/>
      <c r="AE87" s="430"/>
      <c r="AF87" s="430"/>
      <c r="AG87" s="430"/>
      <c r="AH87" s="430"/>
      <c r="AI87" s="430"/>
      <c r="AJ87" s="430"/>
      <c r="AK87" s="430"/>
      <c r="AL87" s="430"/>
      <c r="AM87" s="430"/>
      <c r="AN87" s="430"/>
      <c r="AO87" s="430"/>
      <c r="AP87" s="430"/>
      <c r="AQ87" s="430"/>
      <c r="AR87" s="430"/>
      <c r="AS87" s="430"/>
      <c r="AT87" s="430"/>
      <c r="AU87" s="430"/>
      <c r="AV87" s="430"/>
      <c r="AW87" s="430"/>
      <c r="AX87" s="430"/>
      <c r="AY87" s="430"/>
    </row>
    <row r="88" spans="1:51">
      <c r="A88" s="430"/>
      <c r="B88" s="430"/>
      <c r="C88" s="430"/>
      <c r="D88" s="430"/>
      <c r="E88" s="430"/>
      <c r="F88" s="430"/>
      <c r="G88" s="430"/>
      <c r="H88" s="430"/>
      <c r="I88" s="430"/>
      <c r="J88" s="430"/>
      <c r="K88" s="430"/>
      <c r="L88" s="430"/>
      <c r="M88" s="430"/>
      <c r="N88" s="430"/>
      <c r="O88" s="430"/>
      <c r="P88" s="430"/>
      <c r="Q88" s="430"/>
      <c r="R88" s="430"/>
      <c r="S88" s="430"/>
      <c r="T88" s="430"/>
      <c r="U88" s="430"/>
      <c r="V88" s="430"/>
      <c r="W88" s="430"/>
      <c r="X88" s="430"/>
      <c r="Y88" s="430"/>
      <c r="Z88" s="430"/>
      <c r="AA88" s="430"/>
      <c r="AB88" s="430"/>
      <c r="AC88" s="430"/>
      <c r="AD88" s="430"/>
      <c r="AE88" s="430"/>
      <c r="AF88" s="430"/>
      <c r="AG88" s="430"/>
      <c r="AH88" s="430"/>
      <c r="AI88" s="430"/>
      <c r="AJ88" s="430"/>
      <c r="AK88" s="430"/>
      <c r="AL88" s="430"/>
      <c r="AM88" s="430"/>
      <c r="AN88" s="430"/>
      <c r="AO88" s="430"/>
      <c r="AP88" s="430"/>
      <c r="AQ88" s="430"/>
      <c r="AR88" s="430"/>
      <c r="AS88" s="430"/>
      <c r="AT88" s="430"/>
      <c r="AU88" s="430"/>
      <c r="AV88" s="430"/>
      <c r="AW88" s="430"/>
      <c r="AX88" s="430"/>
      <c r="AY88" s="430"/>
    </row>
    <row r="89" spans="1:51">
      <c r="A89" s="430"/>
      <c r="B89" s="430"/>
      <c r="C89" s="430"/>
      <c r="D89" s="430"/>
      <c r="E89" s="430"/>
      <c r="F89" s="430"/>
      <c r="G89" s="430"/>
      <c r="H89" s="430"/>
      <c r="I89" s="430"/>
      <c r="J89" s="430"/>
      <c r="K89" s="430"/>
      <c r="L89" s="430"/>
      <c r="M89" s="430"/>
      <c r="N89" s="430"/>
      <c r="O89" s="430"/>
      <c r="P89" s="430"/>
      <c r="Q89" s="430"/>
      <c r="R89" s="430"/>
      <c r="S89" s="430"/>
      <c r="T89" s="430"/>
      <c r="U89" s="430"/>
      <c r="V89" s="430"/>
      <c r="W89" s="430"/>
      <c r="X89" s="430"/>
      <c r="Y89" s="430"/>
      <c r="Z89" s="430"/>
      <c r="AA89" s="430"/>
      <c r="AB89" s="430"/>
      <c r="AC89" s="430"/>
      <c r="AD89" s="430"/>
      <c r="AE89" s="430"/>
      <c r="AF89" s="430"/>
      <c r="AG89" s="430"/>
      <c r="AH89" s="430"/>
      <c r="AI89" s="430"/>
      <c r="AJ89" s="430"/>
      <c r="AK89" s="430"/>
      <c r="AL89" s="430"/>
      <c r="AM89" s="430"/>
      <c r="AN89" s="430"/>
      <c r="AO89" s="430"/>
      <c r="AP89" s="430"/>
      <c r="AQ89" s="430"/>
      <c r="AR89" s="430"/>
      <c r="AS89" s="430"/>
      <c r="AT89" s="430"/>
      <c r="AU89" s="430"/>
      <c r="AV89" s="430"/>
      <c r="AW89" s="430"/>
      <c r="AX89" s="430"/>
      <c r="AY89" s="430"/>
    </row>
    <row r="90" spans="1:51">
      <c r="A90" s="430"/>
      <c r="B90" s="430"/>
      <c r="C90" s="430"/>
      <c r="D90" s="430"/>
      <c r="E90" s="430"/>
      <c r="F90" s="430"/>
      <c r="G90" s="430"/>
      <c r="H90" s="430"/>
      <c r="I90" s="430"/>
      <c r="J90" s="430"/>
      <c r="K90" s="430"/>
      <c r="L90" s="430"/>
      <c r="M90" s="430"/>
      <c r="N90" s="430"/>
      <c r="O90" s="430"/>
      <c r="P90" s="430"/>
      <c r="Q90" s="430"/>
      <c r="R90" s="430"/>
      <c r="S90" s="430"/>
      <c r="T90" s="430"/>
      <c r="U90" s="430"/>
      <c r="V90" s="430"/>
      <c r="W90" s="430"/>
      <c r="X90" s="430"/>
      <c r="Y90" s="430"/>
      <c r="Z90" s="430"/>
      <c r="AA90" s="430"/>
      <c r="AB90" s="430"/>
      <c r="AC90" s="430"/>
      <c r="AD90" s="430"/>
      <c r="AE90" s="430"/>
      <c r="AF90" s="430"/>
      <c r="AG90" s="430"/>
      <c r="AH90" s="430"/>
      <c r="AI90" s="430"/>
      <c r="AJ90" s="430"/>
      <c r="AK90" s="430"/>
      <c r="AL90" s="430"/>
      <c r="AM90" s="430"/>
      <c r="AN90" s="430"/>
      <c r="AO90" s="430"/>
      <c r="AP90" s="430"/>
      <c r="AQ90" s="430"/>
      <c r="AR90" s="430"/>
      <c r="AS90" s="430"/>
      <c r="AT90" s="430"/>
      <c r="AU90" s="430"/>
      <c r="AV90" s="430"/>
      <c r="AW90" s="430"/>
      <c r="AX90" s="430"/>
      <c r="AY90" s="430"/>
    </row>
    <row r="91" spans="1:51">
      <c r="A91" s="430"/>
      <c r="B91" s="430"/>
      <c r="C91" s="430"/>
      <c r="D91" s="430"/>
      <c r="E91" s="430"/>
      <c r="F91" s="430"/>
      <c r="G91" s="430"/>
      <c r="H91" s="430"/>
      <c r="I91" s="430"/>
      <c r="J91" s="430"/>
      <c r="K91" s="430"/>
      <c r="L91" s="430"/>
      <c r="M91" s="430"/>
      <c r="N91" s="430"/>
      <c r="O91" s="430"/>
      <c r="P91" s="430"/>
      <c r="Q91" s="430"/>
      <c r="R91" s="430"/>
      <c r="S91" s="430"/>
      <c r="T91" s="430"/>
      <c r="U91" s="430"/>
      <c r="V91" s="430"/>
      <c r="W91" s="430"/>
      <c r="X91" s="430"/>
      <c r="Y91" s="430"/>
      <c r="Z91" s="430"/>
      <c r="AA91" s="430"/>
      <c r="AB91" s="430"/>
      <c r="AC91" s="430"/>
      <c r="AD91" s="430"/>
      <c r="AE91" s="430"/>
      <c r="AF91" s="430"/>
      <c r="AG91" s="430"/>
      <c r="AH91" s="430"/>
      <c r="AI91" s="430"/>
      <c r="AJ91" s="430"/>
      <c r="AK91" s="430"/>
      <c r="AL91" s="430"/>
      <c r="AM91" s="430"/>
      <c r="AN91" s="430"/>
      <c r="AO91" s="430"/>
      <c r="AP91" s="430"/>
      <c r="AQ91" s="430"/>
      <c r="AR91" s="430"/>
      <c r="AS91" s="430"/>
      <c r="AT91" s="430"/>
      <c r="AU91" s="430"/>
      <c r="AV91" s="430"/>
      <c r="AW91" s="430"/>
      <c r="AX91" s="430"/>
      <c r="AY91" s="430"/>
    </row>
    <row r="92" spans="1:51">
      <c r="A92" s="430"/>
      <c r="B92" s="430"/>
      <c r="C92" s="430"/>
      <c r="D92" s="430"/>
      <c r="E92" s="430"/>
      <c r="F92" s="430"/>
      <c r="G92" s="430"/>
      <c r="H92" s="430"/>
      <c r="I92" s="430"/>
      <c r="J92" s="430"/>
      <c r="K92" s="430"/>
      <c r="L92" s="430"/>
      <c r="M92" s="430"/>
      <c r="N92" s="430"/>
      <c r="O92" s="430"/>
      <c r="P92" s="430"/>
      <c r="Q92" s="430"/>
      <c r="R92" s="430"/>
      <c r="S92" s="430"/>
      <c r="T92" s="430"/>
      <c r="U92" s="430"/>
      <c r="V92" s="430"/>
      <c r="W92" s="430"/>
      <c r="X92" s="430"/>
      <c r="Y92" s="430"/>
      <c r="Z92" s="430"/>
      <c r="AA92" s="430"/>
      <c r="AB92" s="430"/>
      <c r="AC92" s="430"/>
      <c r="AD92" s="430"/>
      <c r="AE92" s="430"/>
      <c r="AF92" s="430"/>
      <c r="AG92" s="430"/>
      <c r="AH92" s="430"/>
      <c r="AI92" s="430"/>
      <c r="AJ92" s="430"/>
      <c r="AK92" s="430"/>
      <c r="AL92" s="430"/>
      <c r="AM92" s="430"/>
      <c r="AN92" s="430"/>
      <c r="AO92" s="430"/>
      <c r="AP92" s="430"/>
      <c r="AQ92" s="430"/>
      <c r="AR92" s="430"/>
      <c r="AS92" s="430"/>
      <c r="AT92" s="430"/>
      <c r="AU92" s="430"/>
      <c r="AV92" s="430"/>
      <c r="AW92" s="430"/>
      <c r="AX92" s="430"/>
      <c r="AY92" s="430"/>
    </row>
    <row r="93" spans="1:51">
      <c r="A93" s="430"/>
      <c r="B93" s="430"/>
      <c r="C93" s="430"/>
      <c r="D93" s="430"/>
      <c r="E93" s="430"/>
      <c r="F93" s="430"/>
      <c r="G93" s="430"/>
      <c r="H93" s="430"/>
      <c r="I93" s="430"/>
      <c r="J93" s="430"/>
      <c r="K93" s="430"/>
      <c r="L93" s="430"/>
      <c r="M93" s="430"/>
      <c r="N93" s="430"/>
      <c r="O93" s="430"/>
      <c r="P93" s="430"/>
      <c r="Q93" s="430"/>
      <c r="R93" s="430"/>
      <c r="S93" s="430"/>
      <c r="T93" s="430"/>
      <c r="U93" s="430"/>
      <c r="V93" s="430"/>
      <c r="W93" s="430"/>
      <c r="X93" s="430"/>
      <c r="Y93" s="430"/>
      <c r="Z93" s="430"/>
      <c r="AA93" s="430"/>
      <c r="AB93" s="430"/>
      <c r="AC93" s="430"/>
      <c r="AD93" s="430"/>
      <c r="AE93" s="430"/>
      <c r="AF93" s="430"/>
      <c r="AG93" s="430"/>
      <c r="AH93" s="430"/>
      <c r="AI93" s="430"/>
      <c r="AJ93" s="430"/>
      <c r="AK93" s="430"/>
      <c r="AL93" s="430"/>
      <c r="AM93" s="430"/>
      <c r="AN93" s="430"/>
      <c r="AO93" s="430"/>
      <c r="AP93" s="430"/>
      <c r="AQ93" s="430"/>
      <c r="AR93" s="430"/>
      <c r="AS93" s="430"/>
      <c r="AT93" s="430"/>
      <c r="AU93" s="430"/>
      <c r="AV93" s="430"/>
      <c r="AW93" s="430"/>
      <c r="AX93" s="430"/>
      <c r="AY93" s="430"/>
    </row>
    <row r="94" spans="1:51">
      <c r="A94" s="430"/>
      <c r="B94" s="430"/>
      <c r="C94" s="430"/>
      <c r="D94" s="430"/>
      <c r="E94" s="430"/>
      <c r="F94" s="430"/>
      <c r="G94" s="430"/>
      <c r="H94" s="430"/>
      <c r="I94" s="430"/>
      <c r="J94" s="430"/>
      <c r="K94" s="430"/>
      <c r="L94" s="430"/>
      <c r="M94" s="430"/>
      <c r="N94" s="430"/>
      <c r="O94" s="430"/>
      <c r="P94" s="430"/>
      <c r="Q94" s="430"/>
      <c r="R94" s="430"/>
      <c r="S94" s="430"/>
      <c r="T94" s="430"/>
      <c r="U94" s="430"/>
      <c r="V94" s="430"/>
      <c r="W94" s="430"/>
      <c r="X94" s="430"/>
      <c r="Y94" s="430"/>
      <c r="Z94" s="430"/>
      <c r="AA94" s="430"/>
      <c r="AB94" s="430"/>
      <c r="AC94" s="430"/>
      <c r="AD94" s="430"/>
      <c r="AE94" s="430"/>
      <c r="AF94" s="430"/>
      <c r="AG94" s="430"/>
      <c r="AH94" s="430"/>
      <c r="AI94" s="430"/>
      <c r="AJ94" s="430"/>
      <c r="AK94" s="430"/>
      <c r="AL94" s="430"/>
      <c r="AM94" s="430"/>
      <c r="AN94" s="430"/>
      <c r="AO94" s="430"/>
      <c r="AP94" s="430"/>
      <c r="AQ94" s="430"/>
      <c r="AR94" s="430"/>
      <c r="AS94" s="430"/>
      <c r="AT94" s="430"/>
      <c r="AU94" s="430"/>
      <c r="AV94" s="430"/>
      <c r="AW94" s="430"/>
      <c r="AX94" s="430"/>
      <c r="AY94" s="430"/>
    </row>
    <row r="95" spans="1:51">
      <c r="A95" s="430"/>
      <c r="B95" s="430"/>
      <c r="C95" s="430"/>
      <c r="D95" s="430"/>
      <c r="E95" s="430"/>
      <c r="F95" s="430"/>
      <c r="G95" s="430"/>
      <c r="H95" s="430"/>
      <c r="I95" s="430"/>
      <c r="J95" s="430"/>
      <c r="K95" s="430"/>
      <c r="L95" s="430"/>
      <c r="M95" s="430"/>
      <c r="N95" s="430"/>
      <c r="O95" s="430"/>
      <c r="P95" s="430"/>
      <c r="Q95" s="430"/>
      <c r="R95" s="430"/>
      <c r="S95" s="430"/>
      <c r="T95" s="430"/>
      <c r="U95" s="430"/>
      <c r="V95" s="430"/>
      <c r="W95" s="430"/>
      <c r="X95" s="430"/>
      <c r="Y95" s="430"/>
      <c r="Z95" s="430"/>
      <c r="AA95" s="430"/>
      <c r="AB95" s="430"/>
      <c r="AC95" s="430"/>
      <c r="AD95" s="430"/>
      <c r="AE95" s="430"/>
      <c r="AF95" s="430"/>
      <c r="AG95" s="430"/>
      <c r="AH95" s="430"/>
      <c r="AI95" s="430"/>
      <c r="AJ95" s="430"/>
      <c r="AK95" s="430"/>
      <c r="AL95" s="430"/>
      <c r="AM95" s="430"/>
      <c r="AN95" s="430"/>
      <c r="AO95" s="430"/>
      <c r="AP95" s="430"/>
      <c r="AQ95" s="430"/>
      <c r="AR95" s="430"/>
      <c r="AS95" s="430"/>
      <c r="AT95" s="430"/>
      <c r="AU95" s="430"/>
      <c r="AV95" s="430"/>
      <c r="AW95" s="430"/>
      <c r="AX95" s="430"/>
      <c r="AY95" s="430"/>
    </row>
    <row r="96" spans="1:51">
      <c r="A96" s="430"/>
      <c r="B96" s="430"/>
      <c r="C96" s="430"/>
      <c r="D96" s="430"/>
      <c r="E96" s="430"/>
      <c r="F96" s="430"/>
      <c r="G96" s="430"/>
      <c r="H96" s="430"/>
      <c r="I96" s="430"/>
      <c r="J96" s="430"/>
      <c r="K96" s="430"/>
      <c r="L96" s="430"/>
      <c r="M96" s="430"/>
      <c r="N96" s="430"/>
      <c r="O96" s="430"/>
      <c r="P96" s="430"/>
      <c r="Q96" s="430"/>
      <c r="R96" s="430"/>
      <c r="S96" s="430"/>
      <c r="T96" s="430"/>
      <c r="U96" s="430"/>
      <c r="V96" s="430"/>
      <c r="W96" s="430"/>
      <c r="X96" s="430"/>
      <c r="Y96" s="430"/>
      <c r="Z96" s="430"/>
      <c r="AA96" s="430"/>
      <c r="AB96" s="430"/>
      <c r="AC96" s="430"/>
      <c r="AD96" s="430"/>
      <c r="AE96" s="430"/>
      <c r="AF96" s="430"/>
      <c r="AG96" s="430"/>
      <c r="AH96" s="430"/>
      <c r="AI96" s="430"/>
      <c r="AJ96" s="430"/>
      <c r="AK96" s="430"/>
      <c r="AL96" s="430"/>
      <c r="AM96" s="430"/>
      <c r="AN96" s="430"/>
      <c r="AO96" s="430"/>
      <c r="AP96" s="430"/>
      <c r="AQ96" s="430"/>
      <c r="AR96" s="430"/>
      <c r="AS96" s="430"/>
      <c r="AT96" s="430"/>
      <c r="AU96" s="430"/>
      <c r="AV96" s="430"/>
      <c r="AW96" s="430"/>
      <c r="AX96" s="430"/>
      <c r="AY96" s="430"/>
    </row>
    <row r="97" spans="1:51">
      <c r="A97" s="430"/>
      <c r="B97" s="430"/>
      <c r="C97" s="430"/>
      <c r="D97" s="430"/>
      <c r="E97" s="430"/>
      <c r="F97" s="430"/>
      <c r="G97" s="430"/>
      <c r="H97" s="430"/>
      <c r="I97" s="430"/>
      <c r="J97" s="430"/>
      <c r="K97" s="430"/>
      <c r="L97" s="430"/>
      <c r="M97" s="430"/>
      <c r="N97" s="430"/>
      <c r="O97" s="430"/>
      <c r="P97" s="430"/>
      <c r="Q97" s="430"/>
      <c r="R97" s="430"/>
      <c r="S97" s="430"/>
      <c r="T97" s="430"/>
      <c r="U97" s="430"/>
      <c r="V97" s="430"/>
      <c r="W97" s="430"/>
      <c r="X97" s="430"/>
      <c r="Y97" s="430"/>
      <c r="Z97" s="430"/>
      <c r="AA97" s="430"/>
      <c r="AB97" s="430"/>
      <c r="AC97" s="430"/>
      <c r="AD97" s="430"/>
      <c r="AE97" s="430"/>
      <c r="AF97" s="430"/>
      <c r="AG97" s="430"/>
      <c r="AH97" s="430"/>
      <c r="AI97" s="430"/>
      <c r="AJ97" s="430"/>
      <c r="AK97" s="430"/>
      <c r="AL97" s="430"/>
      <c r="AM97" s="430"/>
      <c r="AN97" s="430"/>
      <c r="AO97" s="430"/>
      <c r="AP97" s="430"/>
      <c r="AQ97" s="430"/>
      <c r="AR97" s="430"/>
      <c r="AS97" s="430"/>
      <c r="AT97" s="430"/>
      <c r="AU97" s="430"/>
      <c r="AV97" s="430"/>
      <c r="AW97" s="430"/>
      <c r="AX97" s="430"/>
      <c r="AY97" s="430"/>
    </row>
    <row r="98" spans="1:51">
      <c r="A98" s="430"/>
      <c r="B98" s="430"/>
      <c r="C98" s="430"/>
      <c r="D98" s="430"/>
      <c r="E98" s="430"/>
      <c r="F98" s="430"/>
      <c r="G98" s="430"/>
      <c r="H98" s="430"/>
      <c r="I98" s="430"/>
      <c r="J98" s="430"/>
      <c r="K98" s="430"/>
      <c r="L98" s="430"/>
      <c r="M98" s="430"/>
      <c r="N98" s="430"/>
      <c r="O98" s="430"/>
      <c r="P98" s="430"/>
      <c r="Q98" s="430"/>
      <c r="R98" s="430"/>
      <c r="S98" s="430"/>
      <c r="T98" s="430"/>
      <c r="U98" s="430"/>
      <c r="V98" s="430"/>
      <c r="W98" s="430"/>
      <c r="X98" s="430"/>
      <c r="Y98" s="430"/>
      <c r="Z98" s="430"/>
      <c r="AA98" s="430"/>
      <c r="AB98" s="430"/>
      <c r="AC98" s="430"/>
      <c r="AD98" s="430"/>
      <c r="AE98" s="430"/>
      <c r="AF98" s="430"/>
      <c r="AG98" s="430"/>
      <c r="AH98" s="430"/>
      <c r="AI98" s="430"/>
      <c r="AJ98" s="430"/>
      <c r="AK98" s="430"/>
      <c r="AL98" s="430"/>
      <c r="AM98" s="430"/>
      <c r="AN98" s="430"/>
      <c r="AO98" s="430"/>
      <c r="AP98" s="430"/>
      <c r="AQ98" s="430"/>
      <c r="AR98" s="430"/>
      <c r="AS98" s="430"/>
      <c r="AT98" s="430"/>
      <c r="AU98" s="430"/>
      <c r="AV98" s="430"/>
      <c r="AW98" s="430"/>
      <c r="AX98" s="430"/>
      <c r="AY98" s="430"/>
    </row>
    <row r="99" spans="1:51">
      <c r="A99" s="430"/>
      <c r="B99" s="430"/>
      <c r="C99" s="430"/>
      <c r="D99" s="430"/>
      <c r="E99" s="430"/>
      <c r="F99" s="430"/>
      <c r="G99" s="430"/>
      <c r="H99" s="430"/>
      <c r="I99" s="430"/>
      <c r="J99" s="430"/>
      <c r="K99" s="430"/>
      <c r="L99" s="430"/>
      <c r="M99" s="430"/>
      <c r="N99" s="430"/>
      <c r="O99" s="430"/>
      <c r="P99" s="430"/>
      <c r="Q99" s="430"/>
      <c r="R99" s="430"/>
      <c r="S99" s="430"/>
      <c r="T99" s="430"/>
      <c r="U99" s="430"/>
      <c r="V99" s="430"/>
      <c r="W99" s="430"/>
      <c r="X99" s="430"/>
      <c r="Y99" s="430"/>
      <c r="Z99" s="430"/>
      <c r="AA99" s="430"/>
      <c r="AB99" s="430"/>
      <c r="AC99" s="430"/>
      <c r="AD99" s="430"/>
      <c r="AE99" s="430"/>
      <c r="AF99" s="430"/>
      <c r="AG99" s="430"/>
      <c r="AH99" s="430"/>
      <c r="AI99" s="430"/>
      <c r="AJ99" s="430"/>
      <c r="AK99" s="430"/>
      <c r="AL99" s="430"/>
      <c r="AM99" s="430"/>
      <c r="AN99" s="430"/>
      <c r="AO99" s="430"/>
      <c r="AP99" s="430"/>
      <c r="AQ99" s="430"/>
      <c r="AR99" s="430"/>
      <c r="AS99" s="430"/>
      <c r="AT99" s="430"/>
      <c r="AU99" s="430"/>
      <c r="AV99" s="430"/>
      <c r="AW99" s="430"/>
      <c r="AX99" s="430"/>
      <c r="AY99" s="430"/>
    </row>
    <row r="100" spans="1:51">
      <c r="A100" s="430"/>
      <c r="B100" s="430"/>
      <c r="C100" s="430"/>
      <c r="D100" s="430"/>
      <c r="E100" s="430"/>
      <c r="F100" s="430"/>
      <c r="G100" s="430"/>
      <c r="H100" s="430"/>
      <c r="I100" s="430"/>
      <c r="J100" s="430"/>
      <c r="K100" s="430"/>
      <c r="L100" s="430"/>
      <c r="M100" s="430"/>
      <c r="N100" s="430"/>
      <c r="O100" s="430"/>
      <c r="P100" s="430"/>
      <c r="Q100" s="430"/>
      <c r="R100" s="430"/>
      <c r="S100" s="430"/>
      <c r="T100" s="430"/>
      <c r="U100" s="430"/>
      <c r="V100" s="430"/>
      <c r="W100" s="430"/>
      <c r="X100" s="430"/>
      <c r="Y100" s="430"/>
      <c r="Z100" s="430"/>
      <c r="AA100" s="430"/>
      <c r="AB100" s="430"/>
      <c r="AC100" s="430"/>
      <c r="AD100" s="430"/>
      <c r="AE100" s="430"/>
      <c r="AF100" s="430"/>
      <c r="AG100" s="430"/>
      <c r="AH100" s="430"/>
      <c r="AI100" s="430"/>
      <c r="AJ100" s="430"/>
      <c r="AK100" s="430"/>
      <c r="AL100" s="430"/>
      <c r="AM100" s="430"/>
      <c r="AN100" s="430"/>
      <c r="AO100" s="430"/>
      <c r="AP100" s="430"/>
      <c r="AQ100" s="430"/>
      <c r="AR100" s="430"/>
      <c r="AS100" s="430"/>
      <c r="AT100" s="430"/>
      <c r="AU100" s="430"/>
      <c r="AV100" s="430"/>
      <c r="AW100" s="430"/>
      <c r="AX100" s="430"/>
      <c r="AY100" s="430"/>
    </row>
    <row r="101" spans="1:51">
      <c r="A101" s="430"/>
      <c r="B101" s="430"/>
      <c r="C101" s="430"/>
      <c r="D101" s="430"/>
      <c r="E101" s="430"/>
      <c r="F101" s="430"/>
      <c r="G101" s="430"/>
      <c r="H101" s="430"/>
      <c r="I101" s="430"/>
      <c r="J101" s="430"/>
      <c r="K101" s="430"/>
      <c r="L101" s="430"/>
      <c r="M101" s="430"/>
      <c r="N101" s="430"/>
      <c r="O101" s="430"/>
      <c r="P101" s="430"/>
      <c r="Q101" s="430"/>
      <c r="R101" s="430"/>
      <c r="S101" s="430"/>
      <c r="T101" s="430"/>
      <c r="U101" s="430"/>
      <c r="V101" s="430"/>
      <c r="W101" s="430"/>
      <c r="X101" s="430"/>
      <c r="Y101" s="430"/>
      <c r="Z101" s="430"/>
      <c r="AA101" s="430"/>
      <c r="AB101" s="430"/>
      <c r="AC101" s="430"/>
      <c r="AD101" s="430"/>
      <c r="AE101" s="430"/>
      <c r="AF101" s="430"/>
      <c r="AG101" s="430"/>
      <c r="AH101" s="430"/>
      <c r="AI101" s="430"/>
      <c r="AJ101" s="430"/>
      <c r="AK101" s="430"/>
      <c r="AL101" s="430"/>
      <c r="AM101" s="430"/>
      <c r="AN101" s="430"/>
      <c r="AO101" s="430"/>
      <c r="AP101" s="430"/>
      <c r="AQ101" s="430"/>
      <c r="AR101" s="430"/>
      <c r="AS101" s="430"/>
      <c r="AT101" s="430"/>
      <c r="AU101" s="430"/>
      <c r="AV101" s="430"/>
      <c r="AW101" s="430"/>
      <c r="AX101" s="430"/>
      <c r="AY101" s="430"/>
    </row>
    <row r="102" spans="1:51">
      <c r="A102" s="430"/>
      <c r="B102" s="430"/>
      <c r="C102" s="430"/>
      <c r="D102" s="430"/>
      <c r="E102" s="430"/>
      <c r="F102" s="430"/>
      <c r="G102" s="430"/>
      <c r="H102" s="430"/>
      <c r="I102" s="430"/>
      <c r="J102" s="430"/>
      <c r="K102" s="430"/>
      <c r="L102" s="430"/>
      <c r="M102" s="430"/>
      <c r="N102" s="430"/>
      <c r="O102" s="430"/>
      <c r="P102" s="430"/>
      <c r="Q102" s="430"/>
      <c r="R102" s="430"/>
      <c r="S102" s="430"/>
      <c r="T102" s="430"/>
      <c r="U102" s="430"/>
      <c r="V102" s="430"/>
      <c r="W102" s="430"/>
      <c r="X102" s="430"/>
      <c r="Y102" s="430"/>
      <c r="Z102" s="430"/>
      <c r="AA102" s="430"/>
      <c r="AB102" s="430"/>
      <c r="AC102" s="430"/>
      <c r="AD102" s="430"/>
      <c r="AE102" s="430"/>
      <c r="AF102" s="430"/>
      <c r="AG102" s="430"/>
      <c r="AH102" s="430"/>
      <c r="AI102" s="430"/>
      <c r="AJ102" s="430"/>
      <c r="AK102" s="430"/>
      <c r="AL102" s="430"/>
      <c r="AM102" s="430"/>
      <c r="AN102" s="430"/>
      <c r="AO102" s="430"/>
      <c r="AP102" s="430"/>
      <c r="AQ102" s="430"/>
      <c r="AR102" s="430"/>
      <c r="AS102" s="430"/>
      <c r="AT102" s="430"/>
      <c r="AU102" s="430"/>
      <c r="AV102" s="430"/>
      <c r="AW102" s="430"/>
      <c r="AX102" s="430"/>
      <c r="AY102" s="430"/>
    </row>
    <row r="103" spans="1:51">
      <c r="A103" s="430"/>
      <c r="B103" s="430"/>
      <c r="C103" s="430"/>
      <c r="D103" s="430"/>
      <c r="E103" s="430"/>
      <c r="F103" s="430"/>
      <c r="G103" s="430"/>
      <c r="H103" s="430"/>
      <c r="I103" s="430"/>
      <c r="J103" s="430"/>
      <c r="K103" s="430"/>
      <c r="L103" s="430"/>
      <c r="M103" s="430"/>
      <c r="N103" s="430"/>
      <c r="O103" s="430"/>
      <c r="P103" s="430"/>
      <c r="Q103" s="430"/>
      <c r="R103" s="430"/>
      <c r="S103" s="430"/>
      <c r="T103" s="430"/>
      <c r="U103" s="430"/>
      <c r="V103" s="430"/>
      <c r="W103" s="430"/>
      <c r="X103" s="430"/>
      <c r="Y103" s="430"/>
      <c r="Z103" s="430"/>
      <c r="AA103" s="430"/>
      <c r="AB103" s="430"/>
      <c r="AC103" s="430"/>
      <c r="AD103" s="430"/>
      <c r="AE103" s="430"/>
      <c r="AF103" s="430"/>
      <c r="AG103" s="430"/>
      <c r="AH103" s="430"/>
      <c r="AI103" s="430"/>
      <c r="AJ103" s="430"/>
      <c r="AK103" s="430"/>
      <c r="AL103" s="430"/>
      <c r="AM103" s="430"/>
      <c r="AN103" s="430"/>
      <c r="AO103" s="430"/>
      <c r="AP103" s="430"/>
      <c r="AQ103" s="430"/>
      <c r="AR103" s="430"/>
      <c r="AS103" s="430"/>
      <c r="AT103" s="430"/>
      <c r="AU103" s="430"/>
      <c r="AV103" s="430"/>
      <c r="AW103" s="430"/>
      <c r="AX103" s="430"/>
      <c r="AY103" s="430"/>
    </row>
    <row r="104" spans="1:51">
      <c r="A104" s="430"/>
      <c r="B104" s="430"/>
      <c r="C104" s="430"/>
      <c r="D104" s="430"/>
      <c r="E104" s="430"/>
      <c r="F104" s="430"/>
      <c r="G104" s="430"/>
      <c r="H104" s="430"/>
      <c r="I104" s="430"/>
      <c r="J104" s="430"/>
      <c r="K104" s="430"/>
      <c r="L104" s="430"/>
      <c r="M104" s="430"/>
      <c r="N104" s="430"/>
      <c r="O104" s="430"/>
      <c r="P104" s="430"/>
      <c r="Q104" s="430"/>
      <c r="R104" s="430"/>
      <c r="S104" s="430"/>
      <c r="T104" s="430"/>
      <c r="U104" s="430"/>
      <c r="V104" s="430"/>
      <c r="W104" s="430"/>
      <c r="X104" s="430"/>
      <c r="Y104" s="430"/>
      <c r="Z104" s="430"/>
      <c r="AA104" s="430"/>
      <c r="AB104" s="430"/>
      <c r="AC104" s="430"/>
      <c r="AD104" s="430"/>
      <c r="AE104" s="430"/>
      <c r="AF104" s="430"/>
      <c r="AG104" s="430"/>
      <c r="AH104" s="430"/>
      <c r="AI104" s="430"/>
      <c r="AJ104" s="430"/>
      <c r="AK104" s="430"/>
      <c r="AL104" s="430"/>
      <c r="AM104" s="430"/>
      <c r="AN104" s="430"/>
      <c r="AO104" s="430"/>
      <c r="AP104" s="430"/>
      <c r="AQ104" s="430"/>
      <c r="AR104" s="430"/>
      <c r="AS104" s="430"/>
      <c r="AT104" s="430"/>
      <c r="AU104" s="430"/>
      <c r="AV104" s="430"/>
      <c r="AW104" s="430"/>
      <c r="AX104" s="430"/>
      <c r="AY104" s="430"/>
    </row>
    <row r="105" spans="1:51">
      <c r="A105" s="430"/>
      <c r="B105" s="430"/>
      <c r="C105" s="430"/>
      <c r="D105" s="430"/>
      <c r="E105" s="430"/>
      <c r="F105" s="430"/>
      <c r="G105" s="430"/>
      <c r="H105" s="430"/>
      <c r="I105" s="430"/>
      <c r="J105" s="430"/>
      <c r="K105" s="430"/>
      <c r="L105" s="430"/>
      <c r="M105" s="430"/>
      <c r="N105" s="430"/>
      <c r="O105" s="430"/>
      <c r="P105" s="430"/>
      <c r="Q105" s="430"/>
      <c r="R105" s="430"/>
      <c r="S105" s="430"/>
      <c r="T105" s="430"/>
      <c r="U105" s="430"/>
      <c r="V105" s="430"/>
      <c r="W105" s="430"/>
      <c r="X105" s="430"/>
      <c r="Y105" s="430"/>
      <c r="Z105" s="430"/>
      <c r="AA105" s="430"/>
      <c r="AB105" s="430"/>
      <c r="AC105" s="430"/>
      <c r="AD105" s="430"/>
      <c r="AE105" s="430"/>
      <c r="AF105" s="430"/>
      <c r="AG105" s="430"/>
      <c r="AH105" s="430"/>
      <c r="AI105" s="430"/>
      <c r="AJ105" s="430"/>
      <c r="AK105" s="430"/>
      <c r="AL105" s="430"/>
      <c r="AM105" s="430"/>
      <c r="AN105" s="430"/>
      <c r="AO105" s="430"/>
      <c r="AP105" s="430"/>
      <c r="AQ105" s="430"/>
      <c r="AR105" s="430"/>
      <c r="AS105" s="430"/>
      <c r="AT105" s="430"/>
      <c r="AU105" s="430"/>
      <c r="AV105" s="430"/>
      <c r="AW105" s="430"/>
      <c r="AX105" s="430"/>
      <c r="AY105" s="430"/>
    </row>
    <row r="106" spans="1:51">
      <c r="A106" s="430"/>
      <c r="B106" s="430"/>
      <c r="C106" s="430"/>
      <c r="D106" s="430"/>
      <c r="E106" s="430"/>
      <c r="F106" s="430"/>
      <c r="G106" s="430"/>
      <c r="H106" s="430"/>
      <c r="I106" s="430"/>
      <c r="J106" s="430"/>
      <c r="K106" s="430"/>
      <c r="L106" s="430"/>
      <c r="M106" s="430"/>
      <c r="N106" s="430"/>
      <c r="O106" s="430"/>
      <c r="P106" s="430"/>
      <c r="Q106" s="430"/>
      <c r="R106" s="430"/>
      <c r="S106" s="430"/>
      <c r="T106" s="430"/>
      <c r="U106" s="430"/>
      <c r="V106" s="430"/>
      <c r="W106" s="430"/>
      <c r="X106" s="430"/>
      <c r="Y106" s="430"/>
      <c r="Z106" s="430"/>
      <c r="AA106" s="430"/>
      <c r="AB106" s="430"/>
      <c r="AC106" s="430"/>
      <c r="AD106" s="430"/>
      <c r="AE106" s="430"/>
      <c r="AF106" s="430"/>
      <c r="AG106" s="430"/>
      <c r="AH106" s="430"/>
      <c r="AI106" s="430"/>
      <c r="AJ106" s="430"/>
      <c r="AK106" s="430"/>
      <c r="AL106" s="430"/>
      <c r="AM106" s="430"/>
      <c r="AN106" s="430"/>
      <c r="AO106" s="430"/>
      <c r="AP106" s="430"/>
      <c r="AQ106" s="430"/>
      <c r="AR106" s="430"/>
      <c r="AS106" s="430"/>
      <c r="AT106" s="430"/>
      <c r="AU106" s="430"/>
      <c r="AV106" s="430"/>
      <c r="AW106" s="430"/>
      <c r="AX106" s="430"/>
      <c r="AY106" s="430"/>
    </row>
    <row r="107" spans="1:51">
      <c r="A107" s="430"/>
      <c r="B107" s="430"/>
      <c r="C107" s="430"/>
      <c r="D107" s="430"/>
      <c r="E107" s="430"/>
      <c r="F107" s="430"/>
      <c r="G107" s="430"/>
      <c r="H107" s="430"/>
      <c r="I107" s="430"/>
      <c r="J107" s="430"/>
      <c r="K107" s="430"/>
      <c r="L107" s="430"/>
      <c r="M107" s="430"/>
      <c r="N107" s="430"/>
      <c r="O107" s="430"/>
      <c r="P107" s="430"/>
      <c r="Q107" s="430"/>
      <c r="R107" s="430"/>
      <c r="S107" s="430"/>
      <c r="T107" s="430"/>
      <c r="U107" s="430"/>
      <c r="V107" s="430"/>
      <c r="W107" s="430"/>
      <c r="X107" s="430"/>
      <c r="Y107" s="430"/>
      <c r="Z107" s="430"/>
      <c r="AA107" s="430"/>
      <c r="AB107" s="430"/>
      <c r="AC107" s="430"/>
      <c r="AD107" s="430"/>
      <c r="AE107" s="430"/>
      <c r="AF107" s="430"/>
      <c r="AG107" s="430"/>
      <c r="AH107" s="430"/>
      <c r="AI107" s="430"/>
      <c r="AJ107" s="430"/>
      <c r="AK107" s="430"/>
      <c r="AL107" s="430"/>
      <c r="AM107" s="430"/>
      <c r="AN107" s="430"/>
      <c r="AO107" s="430"/>
      <c r="AP107" s="430"/>
      <c r="AQ107" s="430"/>
      <c r="AR107" s="430"/>
      <c r="AS107" s="430"/>
      <c r="AT107" s="430"/>
      <c r="AU107" s="430"/>
      <c r="AV107" s="430"/>
      <c r="AW107" s="430"/>
      <c r="AX107" s="430"/>
      <c r="AY107" s="430"/>
    </row>
    <row r="108" spans="1:51">
      <c r="A108" s="430"/>
      <c r="B108" s="430"/>
      <c r="C108" s="430"/>
      <c r="D108" s="430"/>
      <c r="E108" s="430"/>
      <c r="F108" s="430"/>
      <c r="G108" s="430"/>
      <c r="H108" s="430"/>
      <c r="I108" s="430"/>
      <c r="J108" s="430"/>
      <c r="K108" s="430"/>
      <c r="L108" s="430"/>
      <c r="M108" s="430"/>
      <c r="N108" s="430"/>
      <c r="O108" s="430"/>
      <c r="P108" s="430"/>
      <c r="Q108" s="430"/>
      <c r="R108" s="430"/>
      <c r="S108" s="430"/>
      <c r="T108" s="430"/>
      <c r="U108" s="430"/>
      <c r="V108" s="430"/>
      <c r="W108" s="430"/>
      <c r="X108" s="430"/>
      <c r="Y108" s="430"/>
      <c r="Z108" s="430"/>
      <c r="AA108" s="430"/>
      <c r="AB108" s="430"/>
      <c r="AC108" s="430"/>
      <c r="AD108" s="430"/>
      <c r="AE108" s="430"/>
      <c r="AF108" s="430"/>
      <c r="AG108" s="430"/>
      <c r="AH108" s="430"/>
      <c r="AI108" s="430"/>
      <c r="AJ108" s="430"/>
      <c r="AK108" s="430"/>
      <c r="AL108" s="430"/>
      <c r="AM108" s="430"/>
      <c r="AN108" s="430"/>
      <c r="AO108" s="430"/>
      <c r="AP108" s="430"/>
      <c r="AQ108" s="430"/>
      <c r="AR108" s="430"/>
      <c r="AS108" s="430"/>
      <c r="AT108" s="430"/>
      <c r="AU108" s="430"/>
      <c r="AV108" s="430"/>
      <c r="AW108" s="430"/>
      <c r="AX108" s="430"/>
      <c r="AY108" s="430"/>
    </row>
    <row r="109" spans="1:51">
      <c r="A109" s="430"/>
      <c r="B109" s="430"/>
      <c r="C109" s="430"/>
      <c r="D109" s="430"/>
      <c r="E109" s="430"/>
      <c r="F109" s="430"/>
      <c r="G109" s="430"/>
      <c r="H109" s="430"/>
      <c r="I109" s="430"/>
      <c r="J109" s="430"/>
      <c r="K109" s="430"/>
      <c r="L109" s="430"/>
      <c r="M109" s="430"/>
      <c r="N109" s="430"/>
      <c r="O109" s="430"/>
      <c r="P109" s="430"/>
      <c r="Q109" s="430"/>
      <c r="R109" s="430"/>
      <c r="S109" s="430"/>
      <c r="T109" s="430"/>
      <c r="U109" s="430"/>
      <c r="V109" s="430"/>
      <c r="W109" s="430"/>
      <c r="X109" s="430"/>
      <c r="Y109" s="430"/>
      <c r="Z109" s="430"/>
      <c r="AA109" s="430"/>
      <c r="AB109" s="430"/>
      <c r="AC109" s="430"/>
      <c r="AD109" s="430"/>
      <c r="AE109" s="430"/>
      <c r="AF109" s="430"/>
      <c r="AG109" s="430"/>
      <c r="AH109" s="430"/>
      <c r="AI109" s="430"/>
      <c r="AJ109" s="430"/>
      <c r="AK109" s="430"/>
      <c r="AL109" s="430"/>
      <c r="AM109" s="430"/>
      <c r="AN109" s="430"/>
      <c r="AO109" s="430"/>
      <c r="AP109" s="430"/>
      <c r="AQ109" s="430"/>
      <c r="AR109" s="430"/>
      <c r="AS109" s="430"/>
      <c r="AT109" s="430"/>
      <c r="AU109" s="430"/>
      <c r="AV109" s="430"/>
      <c r="AW109" s="430"/>
      <c r="AX109" s="430"/>
      <c r="AY109" s="430"/>
    </row>
    <row r="110" spans="1:51">
      <c r="A110" s="430"/>
      <c r="B110" s="430"/>
      <c r="C110" s="430"/>
      <c r="D110" s="430"/>
      <c r="E110" s="430"/>
      <c r="F110" s="430"/>
      <c r="G110" s="430"/>
      <c r="H110" s="430"/>
      <c r="I110" s="430"/>
      <c r="J110" s="430"/>
      <c r="K110" s="430"/>
      <c r="L110" s="430"/>
      <c r="M110" s="430"/>
      <c r="N110" s="430"/>
      <c r="O110" s="430"/>
      <c r="P110" s="430"/>
      <c r="Q110" s="430"/>
      <c r="R110" s="430"/>
      <c r="S110" s="430"/>
      <c r="T110" s="430"/>
      <c r="U110" s="430"/>
      <c r="V110" s="430"/>
      <c r="W110" s="430"/>
      <c r="X110" s="430"/>
      <c r="Y110" s="430"/>
      <c r="Z110" s="430"/>
      <c r="AA110" s="430"/>
      <c r="AB110" s="430"/>
      <c r="AC110" s="430"/>
      <c r="AD110" s="430"/>
      <c r="AE110" s="430"/>
      <c r="AF110" s="430"/>
      <c r="AG110" s="430"/>
      <c r="AH110" s="430"/>
      <c r="AI110" s="430"/>
      <c r="AJ110" s="430"/>
      <c r="AK110" s="430"/>
      <c r="AL110" s="430"/>
      <c r="AM110" s="430"/>
      <c r="AN110" s="430"/>
      <c r="AO110" s="430"/>
      <c r="AP110" s="430"/>
      <c r="AQ110" s="430"/>
      <c r="AR110" s="430"/>
      <c r="AS110" s="430"/>
      <c r="AT110" s="430"/>
      <c r="AU110" s="430"/>
      <c r="AV110" s="430"/>
      <c r="AW110" s="430"/>
      <c r="AX110" s="430"/>
      <c r="AY110" s="430"/>
    </row>
    <row r="111" spans="1:51">
      <c r="A111" s="430"/>
      <c r="B111" s="451"/>
      <c r="C111" s="430"/>
      <c r="D111" s="451"/>
      <c r="E111" s="430"/>
      <c r="F111" s="430"/>
      <c r="G111" s="430"/>
      <c r="H111" s="430"/>
      <c r="I111" s="430"/>
      <c r="J111" s="430"/>
      <c r="K111" s="430"/>
      <c r="L111" s="430"/>
      <c r="M111" s="430"/>
      <c r="N111" s="430"/>
      <c r="O111" s="430"/>
      <c r="P111" s="430"/>
      <c r="Q111" s="430"/>
      <c r="R111" s="430"/>
      <c r="S111" s="430"/>
      <c r="T111" s="430"/>
      <c r="U111" s="430"/>
      <c r="V111" s="430"/>
      <c r="W111" s="430"/>
      <c r="X111" s="430"/>
      <c r="Y111" s="430"/>
      <c r="Z111" s="430"/>
      <c r="AA111" s="430"/>
      <c r="AB111" s="430"/>
      <c r="AC111" s="430"/>
      <c r="AD111" s="430"/>
      <c r="AE111" s="430"/>
      <c r="AF111" s="430"/>
      <c r="AG111" s="430"/>
      <c r="AH111" s="430"/>
      <c r="AI111" s="430"/>
      <c r="AJ111" s="430"/>
      <c r="AK111" s="430"/>
      <c r="AL111" s="430"/>
      <c r="AM111" s="430"/>
      <c r="AN111" s="430"/>
      <c r="AO111" s="430"/>
      <c r="AP111" s="430"/>
      <c r="AQ111" s="430"/>
      <c r="AR111" s="430"/>
      <c r="AS111" s="430"/>
      <c r="AT111" s="430"/>
      <c r="AU111" s="430"/>
      <c r="AV111" s="430"/>
      <c r="AW111" s="430"/>
      <c r="AX111" s="430"/>
      <c r="AY111" s="430"/>
    </row>
    <row r="112" spans="1:51">
      <c r="A112" s="430"/>
      <c r="B112" s="451"/>
      <c r="C112" s="430"/>
      <c r="D112" s="451"/>
      <c r="E112" s="430"/>
      <c r="F112" s="430"/>
      <c r="G112" s="430"/>
      <c r="H112" s="430"/>
      <c r="I112" s="430"/>
      <c r="J112" s="430"/>
      <c r="K112" s="430"/>
      <c r="L112" s="430"/>
      <c r="M112" s="430"/>
      <c r="N112" s="430"/>
      <c r="O112" s="430"/>
      <c r="P112" s="430"/>
      <c r="Q112" s="430"/>
      <c r="R112" s="430"/>
      <c r="S112" s="430"/>
      <c r="T112" s="430"/>
      <c r="U112" s="430"/>
      <c r="V112" s="430"/>
      <c r="W112" s="430"/>
      <c r="X112" s="430"/>
      <c r="Y112" s="430"/>
      <c r="Z112" s="430"/>
      <c r="AA112" s="430"/>
      <c r="AB112" s="430"/>
      <c r="AC112" s="430"/>
      <c r="AD112" s="430"/>
      <c r="AE112" s="430"/>
      <c r="AF112" s="430"/>
      <c r="AG112" s="430"/>
      <c r="AH112" s="430"/>
      <c r="AI112" s="430"/>
      <c r="AJ112" s="430"/>
      <c r="AK112" s="430"/>
      <c r="AL112" s="430"/>
      <c r="AM112" s="430"/>
      <c r="AN112" s="430"/>
      <c r="AO112" s="430"/>
      <c r="AP112" s="430"/>
      <c r="AQ112" s="430"/>
      <c r="AR112" s="430"/>
      <c r="AS112" s="430"/>
      <c r="AT112" s="430"/>
      <c r="AU112" s="430"/>
      <c r="AV112" s="430"/>
      <c r="AW112" s="430"/>
      <c r="AX112" s="430"/>
      <c r="AY112" s="430"/>
    </row>
    <row r="113" spans="1:51">
      <c r="A113" s="430"/>
      <c r="B113" s="451"/>
      <c r="C113" s="430"/>
      <c r="D113" s="451"/>
      <c r="E113" s="430"/>
      <c r="F113" s="430"/>
      <c r="G113" s="430"/>
      <c r="H113" s="430"/>
      <c r="I113" s="430"/>
      <c r="J113" s="430"/>
      <c r="K113" s="430"/>
      <c r="L113" s="430"/>
      <c r="M113" s="430"/>
      <c r="N113" s="430"/>
      <c r="O113" s="430"/>
      <c r="P113" s="430"/>
      <c r="Q113" s="430"/>
      <c r="R113" s="430"/>
      <c r="S113" s="430"/>
      <c r="T113" s="430"/>
      <c r="U113" s="430"/>
      <c r="V113" s="430"/>
      <c r="W113" s="430"/>
      <c r="X113" s="430"/>
      <c r="Y113" s="430"/>
      <c r="Z113" s="430"/>
      <c r="AA113" s="430"/>
      <c r="AB113" s="430"/>
      <c r="AC113" s="430"/>
      <c r="AD113" s="430"/>
      <c r="AE113" s="430"/>
      <c r="AF113" s="430"/>
      <c r="AG113" s="430"/>
      <c r="AH113" s="430"/>
      <c r="AI113" s="430"/>
      <c r="AJ113" s="430"/>
      <c r="AK113" s="430"/>
      <c r="AL113" s="430"/>
      <c r="AM113" s="430"/>
      <c r="AN113" s="430"/>
      <c r="AO113" s="430"/>
      <c r="AP113" s="430"/>
      <c r="AQ113" s="430"/>
      <c r="AR113" s="430"/>
      <c r="AS113" s="430"/>
      <c r="AT113" s="430"/>
      <c r="AU113" s="430"/>
      <c r="AV113" s="430"/>
      <c r="AW113" s="430"/>
      <c r="AX113" s="430"/>
      <c r="AY113" s="430"/>
    </row>
    <row r="114" spans="1:51">
      <c r="A114" s="430"/>
      <c r="B114" s="451"/>
      <c r="C114" s="430"/>
      <c r="D114" s="451"/>
      <c r="E114" s="430"/>
      <c r="F114" s="430"/>
      <c r="G114" s="430"/>
      <c r="H114" s="430"/>
      <c r="I114" s="430"/>
      <c r="J114" s="430"/>
      <c r="K114" s="430"/>
      <c r="L114" s="430"/>
      <c r="M114" s="430"/>
      <c r="N114" s="430"/>
      <c r="O114" s="430"/>
      <c r="P114" s="430"/>
      <c r="Q114" s="430"/>
      <c r="R114" s="430"/>
      <c r="S114" s="430"/>
      <c r="T114" s="430"/>
      <c r="U114" s="430"/>
      <c r="V114" s="430"/>
      <c r="W114" s="430"/>
      <c r="X114" s="430"/>
      <c r="Y114" s="430"/>
      <c r="Z114" s="430"/>
      <c r="AA114" s="430"/>
      <c r="AB114" s="430"/>
      <c r="AC114" s="430"/>
      <c r="AD114" s="430"/>
      <c r="AE114" s="430"/>
      <c r="AF114" s="430"/>
      <c r="AG114" s="430"/>
      <c r="AH114" s="430"/>
      <c r="AI114" s="430"/>
      <c r="AJ114" s="430"/>
      <c r="AK114" s="430"/>
      <c r="AL114" s="430"/>
      <c r="AM114" s="430"/>
      <c r="AN114" s="430"/>
      <c r="AO114" s="430"/>
      <c r="AP114" s="430"/>
      <c r="AQ114" s="430"/>
      <c r="AR114" s="430"/>
      <c r="AS114" s="430"/>
      <c r="AT114" s="430"/>
      <c r="AU114" s="430"/>
      <c r="AV114" s="430"/>
      <c r="AW114" s="430"/>
      <c r="AX114" s="430"/>
      <c r="AY114" s="430"/>
    </row>
    <row r="115" spans="1:51">
      <c r="A115" s="430"/>
      <c r="B115" s="451"/>
      <c r="C115" s="430"/>
      <c r="D115" s="451"/>
      <c r="E115" s="430"/>
      <c r="F115" s="430"/>
      <c r="G115" s="430"/>
      <c r="H115" s="430"/>
      <c r="I115" s="430"/>
      <c r="J115" s="430"/>
      <c r="K115" s="430"/>
      <c r="L115" s="430"/>
      <c r="M115" s="430"/>
      <c r="N115" s="430"/>
      <c r="O115" s="430"/>
      <c r="P115" s="430"/>
      <c r="Q115" s="430"/>
      <c r="R115" s="430"/>
      <c r="S115" s="430"/>
      <c r="T115" s="430"/>
      <c r="U115" s="430"/>
      <c r="V115" s="430"/>
      <c r="W115" s="430"/>
      <c r="X115" s="430"/>
      <c r="Y115" s="430"/>
      <c r="Z115" s="430"/>
      <c r="AA115" s="430"/>
      <c r="AB115" s="430"/>
      <c r="AC115" s="430"/>
      <c r="AD115" s="430"/>
      <c r="AE115" s="430"/>
      <c r="AF115" s="430"/>
      <c r="AG115" s="430"/>
      <c r="AH115" s="430"/>
      <c r="AI115" s="430"/>
      <c r="AJ115" s="430"/>
      <c r="AK115" s="430"/>
      <c r="AL115" s="430"/>
      <c r="AM115" s="430"/>
      <c r="AN115" s="430"/>
      <c r="AO115" s="430"/>
      <c r="AP115" s="430"/>
      <c r="AQ115" s="430"/>
      <c r="AR115" s="430"/>
      <c r="AS115" s="430"/>
      <c r="AT115" s="430"/>
      <c r="AU115" s="430"/>
      <c r="AV115" s="430"/>
      <c r="AW115" s="430"/>
      <c r="AX115" s="430"/>
      <c r="AY115" s="430"/>
    </row>
    <row r="116" spans="1:51">
      <c r="A116" s="430"/>
      <c r="B116" s="451"/>
      <c r="C116" s="430"/>
      <c r="D116" s="451"/>
      <c r="E116" s="430"/>
      <c r="F116" s="430"/>
      <c r="G116" s="430"/>
      <c r="H116" s="430"/>
      <c r="I116" s="430"/>
      <c r="J116" s="430"/>
      <c r="K116" s="430"/>
      <c r="L116" s="430"/>
      <c r="M116" s="430"/>
      <c r="N116" s="430"/>
      <c r="O116" s="430"/>
      <c r="P116" s="430"/>
      <c r="Q116" s="430"/>
      <c r="R116" s="430"/>
      <c r="S116" s="430"/>
      <c r="T116" s="430"/>
      <c r="U116" s="430"/>
      <c r="V116" s="430"/>
      <c r="W116" s="430"/>
      <c r="X116" s="430"/>
      <c r="Y116" s="430"/>
      <c r="Z116" s="430"/>
      <c r="AA116" s="430"/>
      <c r="AB116" s="430"/>
      <c r="AC116" s="430"/>
      <c r="AD116" s="430"/>
      <c r="AE116" s="430"/>
      <c r="AF116" s="430"/>
      <c r="AG116" s="430"/>
      <c r="AH116" s="430"/>
      <c r="AI116" s="430"/>
      <c r="AJ116" s="430"/>
      <c r="AK116" s="430"/>
      <c r="AL116" s="430"/>
      <c r="AM116" s="430"/>
      <c r="AN116" s="430"/>
      <c r="AO116" s="430"/>
      <c r="AP116" s="430"/>
      <c r="AQ116" s="430"/>
      <c r="AR116" s="430"/>
      <c r="AS116" s="430"/>
      <c r="AT116" s="430"/>
      <c r="AU116" s="430"/>
      <c r="AV116" s="430"/>
      <c r="AW116" s="430"/>
      <c r="AX116" s="430"/>
      <c r="AY116" s="430"/>
    </row>
    <row r="117" spans="1:51">
      <c r="A117" s="430"/>
      <c r="B117" s="451"/>
      <c r="C117" s="430"/>
      <c r="D117" s="451"/>
      <c r="E117" s="430"/>
      <c r="F117" s="430"/>
      <c r="G117" s="430"/>
      <c r="H117" s="430"/>
      <c r="I117" s="430"/>
      <c r="J117" s="430"/>
      <c r="K117" s="430"/>
      <c r="L117" s="430"/>
      <c r="M117" s="430"/>
      <c r="N117" s="430"/>
      <c r="O117" s="430"/>
      <c r="P117" s="430"/>
      <c r="Q117" s="430"/>
      <c r="R117" s="430"/>
      <c r="S117" s="430"/>
      <c r="T117" s="430"/>
      <c r="U117" s="430"/>
      <c r="V117" s="430"/>
      <c r="W117" s="430"/>
      <c r="X117" s="430"/>
      <c r="Y117" s="430"/>
      <c r="Z117" s="430"/>
      <c r="AA117" s="430"/>
      <c r="AB117" s="430"/>
      <c r="AC117" s="430"/>
      <c r="AD117" s="430"/>
      <c r="AE117" s="430"/>
      <c r="AF117" s="430"/>
      <c r="AG117" s="430"/>
      <c r="AH117" s="430"/>
      <c r="AI117" s="430"/>
      <c r="AJ117" s="430"/>
      <c r="AK117" s="430"/>
      <c r="AL117" s="430"/>
      <c r="AM117" s="430"/>
      <c r="AN117" s="430"/>
      <c r="AO117" s="430"/>
      <c r="AP117" s="430"/>
      <c r="AQ117" s="430"/>
      <c r="AR117" s="430"/>
      <c r="AS117" s="430"/>
      <c r="AT117" s="430"/>
      <c r="AU117" s="430"/>
      <c r="AV117" s="430"/>
      <c r="AW117" s="430"/>
      <c r="AX117" s="430"/>
      <c r="AY117" s="430"/>
    </row>
    <row r="118" spans="1:51">
      <c r="A118" s="430"/>
      <c r="B118" s="451"/>
      <c r="C118" s="430"/>
      <c r="D118" s="451"/>
      <c r="E118" s="430"/>
      <c r="F118" s="430"/>
      <c r="G118" s="430"/>
      <c r="H118" s="430"/>
      <c r="I118" s="430"/>
      <c r="J118" s="430"/>
      <c r="K118" s="430"/>
      <c r="L118" s="430"/>
      <c r="M118" s="430"/>
      <c r="N118" s="430"/>
      <c r="O118" s="430"/>
      <c r="P118" s="430"/>
      <c r="Q118" s="430"/>
      <c r="R118" s="430"/>
      <c r="S118" s="430"/>
      <c r="T118" s="430"/>
      <c r="U118" s="430"/>
      <c r="V118" s="430"/>
      <c r="W118" s="430"/>
      <c r="X118" s="430"/>
      <c r="Y118" s="430"/>
      <c r="Z118" s="430"/>
      <c r="AA118" s="430"/>
      <c r="AB118" s="430"/>
      <c r="AC118" s="430"/>
      <c r="AD118" s="430"/>
      <c r="AE118" s="430"/>
      <c r="AF118" s="430"/>
      <c r="AG118" s="430"/>
      <c r="AH118" s="430"/>
      <c r="AI118" s="430"/>
      <c r="AJ118" s="430"/>
      <c r="AK118" s="430"/>
      <c r="AL118" s="430"/>
      <c r="AM118" s="430"/>
      <c r="AN118" s="430"/>
      <c r="AO118" s="430"/>
      <c r="AP118" s="430"/>
      <c r="AQ118" s="430"/>
      <c r="AR118" s="430"/>
      <c r="AS118" s="430"/>
      <c r="AT118" s="430"/>
      <c r="AU118" s="430"/>
      <c r="AV118" s="430"/>
      <c r="AW118" s="430"/>
      <c r="AX118" s="430"/>
      <c r="AY118" s="430"/>
    </row>
    <row r="119" spans="1:51">
      <c r="A119" s="430"/>
      <c r="B119" s="451"/>
      <c r="C119" s="430"/>
      <c r="D119" s="451"/>
      <c r="E119" s="430"/>
      <c r="F119" s="430"/>
      <c r="G119" s="430"/>
      <c r="H119" s="430"/>
      <c r="I119" s="430"/>
      <c r="J119" s="430"/>
      <c r="K119" s="430"/>
      <c r="L119" s="430"/>
      <c r="M119" s="430"/>
      <c r="N119" s="430"/>
      <c r="O119" s="430"/>
      <c r="P119" s="430"/>
      <c r="Q119" s="430"/>
      <c r="R119" s="430"/>
      <c r="S119" s="430"/>
      <c r="T119" s="430"/>
      <c r="U119" s="430"/>
      <c r="V119" s="430"/>
      <c r="W119" s="430"/>
      <c r="X119" s="430"/>
      <c r="Y119" s="430"/>
      <c r="Z119" s="430"/>
      <c r="AA119" s="430"/>
      <c r="AB119" s="430"/>
      <c r="AC119" s="430"/>
      <c r="AD119" s="430"/>
      <c r="AE119" s="430"/>
      <c r="AF119" s="430"/>
      <c r="AG119" s="430"/>
      <c r="AH119" s="430"/>
      <c r="AI119" s="430"/>
      <c r="AJ119" s="430"/>
      <c r="AK119" s="430"/>
      <c r="AL119" s="430"/>
      <c r="AM119" s="430"/>
      <c r="AN119" s="430"/>
      <c r="AO119" s="430"/>
      <c r="AP119" s="430"/>
      <c r="AQ119" s="430"/>
      <c r="AR119" s="430"/>
      <c r="AS119" s="430"/>
      <c r="AT119" s="430"/>
      <c r="AU119" s="430"/>
      <c r="AV119" s="430"/>
      <c r="AW119" s="430"/>
      <c r="AX119" s="430"/>
      <c r="AY119" s="430"/>
    </row>
    <row r="120" spans="1:51">
      <c r="A120" s="430"/>
      <c r="B120" s="451"/>
      <c r="C120" s="430"/>
      <c r="D120" s="451"/>
      <c r="E120" s="430"/>
      <c r="F120" s="430"/>
      <c r="G120" s="430"/>
      <c r="H120" s="430"/>
      <c r="I120" s="430"/>
      <c r="J120" s="430"/>
      <c r="K120" s="430"/>
      <c r="L120" s="430"/>
      <c r="M120" s="430"/>
      <c r="N120" s="430"/>
      <c r="O120" s="430"/>
      <c r="P120" s="430"/>
      <c r="Q120" s="430"/>
      <c r="R120" s="430"/>
      <c r="S120" s="430"/>
      <c r="T120" s="430"/>
      <c r="U120" s="430"/>
      <c r="V120" s="430"/>
      <c r="W120" s="430"/>
      <c r="X120" s="430"/>
      <c r="Y120" s="430"/>
      <c r="Z120" s="430"/>
      <c r="AA120" s="430"/>
      <c r="AB120" s="430"/>
      <c r="AC120" s="430"/>
      <c r="AD120" s="430"/>
      <c r="AE120" s="430"/>
      <c r="AF120" s="430"/>
      <c r="AG120" s="430"/>
      <c r="AH120" s="430"/>
      <c r="AI120" s="430"/>
      <c r="AJ120" s="430"/>
      <c r="AK120" s="430"/>
      <c r="AL120" s="430"/>
      <c r="AM120" s="430"/>
      <c r="AN120" s="430"/>
      <c r="AO120" s="430"/>
      <c r="AP120" s="430"/>
      <c r="AQ120" s="430"/>
      <c r="AR120" s="430"/>
      <c r="AS120" s="430"/>
      <c r="AT120" s="430"/>
      <c r="AU120" s="430"/>
      <c r="AV120" s="430"/>
      <c r="AW120" s="430"/>
      <c r="AX120" s="430"/>
      <c r="AY120" s="430"/>
    </row>
    <row r="121" spans="1:51">
      <c r="A121" s="430"/>
      <c r="B121" s="451"/>
      <c r="C121" s="430"/>
      <c r="D121" s="451"/>
      <c r="E121" s="430"/>
      <c r="F121" s="430"/>
      <c r="G121" s="430"/>
      <c r="H121" s="430"/>
      <c r="I121" s="430"/>
      <c r="J121" s="430"/>
      <c r="K121" s="430"/>
      <c r="L121" s="430"/>
      <c r="M121" s="430"/>
      <c r="N121" s="430"/>
      <c r="O121" s="430"/>
      <c r="P121" s="430"/>
      <c r="Q121" s="430"/>
      <c r="R121" s="430"/>
      <c r="S121" s="430"/>
      <c r="T121" s="430"/>
      <c r="U121" s="430"/>
      <c r="V121" s="430"/>
      <c r="W121" s="430"/>
      <c r="X121" s="430"/>
      <c r="Y121" s="430"/>
      <c r="Z121" s="430"/>
      <c r="AA121" s="430"/>
      <c r="AB121" s="430"/>
      <c r="AC121" s="430"/>
      <c r="AD121" s="430"/>
      <c r="AE121" s="430"/>
      <c r="AF121" s="430"/>
      <c r="AG121" s="430"/>
      <c r="AH121" s="430"/>
      <c r="AI121" s="430"/>
      <c r="AJ121" s="430"/>
      <c r="AK121" s="430"/>
      <c r="AL121" s="430"/>
      <c r="AM121" s="430"/>
      <c r="AN121" s="430"/>
      <c r="AO121" s="430"/>
      <c r="AP121" s="430"/>
      <c r="AQ121" s="430"/>
      <c r="AR121" s="430"/>
      <c r="AS121" s="430"/>
      <c r="AT121" s="430"/>
      <c r="AU121" s="430"/>
      <c r="AV121" s="430"/>
      <c r="AW121" s="430"/>
      <c r="AX121" s="430"/>
      <c r="AY121" s="430"/>
    </row>
    <row r="122" spans="1:51">
      <c r="A122" s="430"/>
      <c r="B122" s="451"/>
      <c r="C122" s="430"/>
      <c r="D122" s="451"/>
      <c r="E122" s="430"/>
      <c r="F122" s="430"/>
      <c r="G122" s="430"/>
      <c r="H122" s="430"/>
      <c r="I122" s="430"/>
      <c r="J122" s="430"/>
      <c r="K122" s="430"/>
      <c r="L122" s="430"/>
      <c r="M122" s="430"/>
      <c r="N122" s="430"/>
      <c r="O122" s="430"/>
      <c r="P122" s="430"/>
      <c r="Q122" s="430"/>
      <c r="R122" s="430"/>
      <c r="S122" s="430"/>
      <c r="T122" s="430"/>
      <c r="U122" s="430"/>
      <c r="V122" s="430"/>
      <c r="W122" s="430"/>
      <c r="X122" s="430"/>
      <c r="Y122" s="430"/>
      <c r="Z122" s="430"/>
      <c r="AA122" s="430"/>
      <c r="AB122" s="430"/>
      <c r="AC122" s="430"/>
      <c r="AD122" s="430"/>
      <c r="AE122" s="430"/>
      <c r="AF122" s="430"/>
      <c r="AG122" s="430"/>
      <c r="AH122" s="430"/>
      <c r="AI122" s="430"/>
      <c r="AJ122" s="430"/>
      <c r="AK122" s="430"/>
      <c r="AL122" s="430"/>
      <c r="AM122" s="430"/>
      <c r="AN122" s="430"/>
      <c r="AO122" s="430"/>
      <c r="AP122" s="430"/>
      <c r="AQ122" s="430"/>
      <c r="AR122" s="430"/>
      <c r="AS122" s="430"/>
      <c r="AT122" s="430"/>
      <c r="AU122" s="430"/>
      <c r="AV122" s="430"/>
      <c r="AW122" s="430"/>
      <c r="AX122" s="430"/>
      <c r="AY122" s="430"/>
    </row>
    <row r="123" spans="1:51">
      <c r="A123" s="430"/>
      <c r="B123" s="451"/>
      <c r="C123" s="430"/>
      <c r="D123" s="451"/>
      <c r="E123" s="430"/>
      <c r="F123" s="430"/>
      <c r="G123" s="430"/>
      <c r="H123" s="430"/>
      <c r="I123" s="430"/>
      <c r="J123" s="430"/>
      <c r="K123" s="430"/>
      <c r="L123" s="430"/>
      <c r="M123" s="430"/>
      <c r="N123" s="430"/>
      <c r="O123" s="430"/>
      <c r="P123" s="430"/>
      <c r="Q123" s="430"/>
      <c r="R123" s="430"/>
      <c r="S123" s="430"/>
      <c r="T123" s="430"/>
      <c r="U123" s="430"/>
      <c r="V123" s="430"/>
      <c r="W123" s="430"/>
      <c r="X123" s="430"/>
      <c r="Y123" s="430"/>
      <c r="Z123" s="430"/>
      <c r="AA123" s="430"/>
      <c r="AB123" s="430"/>
      <c r="AC123" s="430"/>
      <c r="AD123" s="430"/>
      <c r="AE123" s="430"/>
      <c r="AF123" s="430"/>
      <c r="AG123" s="430"/>
      <c r="AH123" s="430"/>
      <c r="AI123" s="430"/>
      <c r="AJ123" s="430"/>
      <c r="AK123" s="430"/>
      <c r="AL123" s="430"/>
      <c r="AM123" s="430"/>
      <c r="AN123" s="430"/>
      <c r="AO123" s="430"/>
      <c r="AP123" s="430"/>
      <c r="AQ123" s="430"/>
      <c r="AR123" s="430"/>
      <c r="AS123" s="430"/>
      <c r="AT123" s="430"/>
      <c r="AU123" s="430"/>
      <c r="AV123" s="430"/>
      <c r="AW123" s="430"/>
      <c r="AX123" s="430"/>
      <c r="AY123" s="430"/>
    </row>
    <row r="124" spans="1:51">
      <c r="A124" s="430"/>
      <c r="B124" s="451"/>
      <c r="C124" s="430"/>
      <c r="D124" s="451"/>
      <c r="E124" s="430"/>
      <c r="F124" s="430"/>
      <c r="G124" s="430"/>
      <c r="H124" s="430"/>
      <c r="I124" s="430"/>
      <c r="J124" s="430"/>
      <c r="K124" s="430"/>
      <c r="L124" s="430"/>
      <c r="M124" s="430"/>
      <c r="N124" s="430"/>
      <c r="O124" s="430"/>
      <c r="P124" s="430"/>
      <c r="Q124" s="430"/>
      <c r="R124" s="430"/>
      <c r="S124" s="430"/>
      <c r="T124" s="430"/>
      <c r="U124" s="430"/>
      <c r="V124" s="430"/>
      <c r="W124" s="430"/>
      <c r="X124" s="430"/>
      <c r="Y124" s="430"/>
      <c r="Z124" s="430"/>
      <c r="AA124" s="430"/>
      <c r="AB124" s="430"/>
      <c r="AC124" s="430"/>
      <c r="AD124" s="430"/>
      <c r="AE124" s="430"/>
      <c r="AF124" s="430"/>
      <c r="AG124" s="430"/>
      <c r="AH124" s="430"/>
      <c r="AI124" s="430"/>
      <c r="AJ124" s="430"/>
      <c r="AK124" s="430"/>
      <c r="AL124" s="430"/>
      <c r="AM124" s="430"/>
      <c r="AN124" s="430"/>
      <c r="AO124" s="430"/>
      <c r="AP124" s="430"/>
      <c r="AQ124" s="430"/>
      <c r="AR124" s="430"/>
      <c r="AS124" s="430"/>
      <c r="AT124" s="430"/>
      <c r="AU124" s="430"/>
      <c r="AV124" s="430"/>
      <c r="AW124" s="430"/>
      <c r="AX124" s="430"/>
      <c r="AY124" s="430"/>
    </row>
    <row r="125" spans="1:51">
      <c r="A125" s="430"/>
      <c r="B125" s="451"/>
      <c r="C125" s="430"/>
      <c r="D125" s="451"/>
      <c r="E125" s="430"/>
      <c r="F125" s="430"/>
      <c r="G125" s="430"/>
      <c r="H125" s="430"/>
      <c r="I125" s="430"/>
      <c r="J125" s="430"/>
      <c r="K125" s="430"/>
      <c r="L125" s="430"/>
      <c r="M125" s="430"/>
      <c r="N125" s="430"/>
      <c r="O125" s="430"/>
      <c r="P125" s="430"/>
      <c r="Q125" s="430"/>
      <c r="R125" s="430"/>
      <c r="S125" s="430"/>
      <c r="T125" s="430"/>
      <c r="U125" s="430"/>
      <c r="V125" s="430"/>
      <c r="W125" s="430"/>
      <c r="X125" s="430"/>
      <c r="Y125" s="430"/>
      <c r="Z125" s="430"/>
      <c r="AA125" s="430"/>
      <c r="AB125" s="430"/>
      <c r="AC125" s="430"/>
      <c r="AD125" s="430"/>
      <c r="AE125" s="430"/>
      <c r="AF125" s="430"/>
      <c r="AG125" s="430"/>
      <c r="AH125" s="430"/>
      <c r="AI125" s="430"/>
      <c r="AJ125" s="430"/>
      <c r="AK125" s="430"/>
      <c r="AL125" s="430"/>
      <c r="AM125" s="430"/>
      <c r="AN125" s="430"/>
      <c r="AO125" s="430"/>
      <c r="AP125" s="430"/>
      <c r="AQ125" s="430"/>
      <c r="AR125" s="430"/>
      <c r="AS125" s="430"/>
      <c r="AT125" s="430"/>
      <c r="AU125" s="430"/>
      <c r="AV125" s="430"/>
      <c r="AW125" s="430"/>
      <c r="AX125" s="430"/>
      <c r="AY125" s="430"/>
    </row>
    <row r="126" spans="1:51">
      <c r="A126" s="430"/>
      <c r="B126" s="451"/>
      <c r="C126" s="430"/>
      <c r="D126" s="451"/>
      <c r="E126" s="430"/>
      <c r="F126" s="430"/>
      <c r="G126" s="430"/>
      <c r="H126" s="430"/>
      <c r="I126" s="430"/>
      <c r="J126" s="430"/>
      <c r="K126" s="430"/>
      <c r="L126" s="430"/>
      <c r="M126" s="430"/>
      <c r="N126" s="430"/>
      <c r="O126" s="430"/>
      <c r="P126" s="430"/>
      <c r="Q126" s="430"/>
      <c r="R126" s="430"/>
      <c r="S126" s="430"/>
      <c r="T126" s="430"/>
      <c r="U126" s="430"/>
      <c r="V126" s="430"/>
      <c r="W126" s="430"/>
      <c r="X126" s="430"/>
      <c r="Y126" s="430"/>
      <c r="Z126" s="430"/>
      <c r="AA126" s="430"/>
      <c r="AB126" s="430"/>
      <c r="AC126" s="430"/>
      <c r="AD126" s="430"/>
      <c r="AE126" s="430"/>
      <c r="AF126" s="430"/>
      <c r="AG126" s="430"/>
      <c r="AH126" s="430"/>
      <c r="AI126" s="430"/>
      <c r="AJ126" s="430"/>
      <c r="AK126" s="430"/>
      <c r="AL126" s="430"/>
      <c r="AM126" s="430"/>
      <c r="AN126" s="430"/>
      <c r="AO126" s="430"/>
      <c r="AP126" s="430"/>
      <c r="AQ126" s="430"/>
      <c r="AR126" s="430"/>
      <c r="AS126" s="430"/>
      <c r="AT126" s="430"/>
      <c r="AU126" s="430"/>
      <c r="AV126" s="430"/>
      <c r="AW126" s="430"/>
      <c r="AX126" s="430"/>
      <c r="AY126" s="430"/>
    </row>
    <row r="127" spans="1:51">
      <c r="A127" s="430"/>
      <c r="B127" s="451"/>
      <c r="C127" s="430"/>
      <c r="D127" s="451"/>
      <c r="E127" s="430"/>
      <c r="F127" s="430"/>
      <c r="G127" s="430"/>
      <c r="H127" s="430"/>
      <c r="I127" s="430"/>
      <c r="J127" s="430"/>
      <c r="K127" s="430"/>
      <c r="L127" s="430"/>
      <c r="M127" s="430"/>
      <c r="N127" s="430"/>
      <c r="O127" s="430"/>
      <c r="P127" s="430"/>
      <c r="Q127" s="430"/>
      <c r="R127" s="430"/>
      <c r="S127" s="430"/>
      <c r="T127" s="430"/>
      <c r="U127" s="430"/>
      <c r="V127" s="430"/>
      <c r="W127" s="430"/>
      <c r="X127" s="430"/>
      <c r="Y127" s="430"/>
      <c r="Z127" s="430"/>
      <c r="AA127" s="430"/>
      <c r="AB127" s="430"/>
      <c r="AC127" s="430"/>
      <c r="AD127" s="430"/>
      <c r="AE127" s="430"/>
      <c r="AF127" s="430"/>
      <c r="AG127" s="430"/>
      <c r="AH127" s="430"/>
      <c r="AI127" s="430"/>
      <c r="AJ127" s="430"/>
      <c r="AK127" s="430"/>
      <c r="AL127" s="430"/>
      <c r="AM127" s="430"/>
      <c r="AN127" s="430"/>
      <c r="AO127" s="430"/>
      <c r="AP127" s="430"/>
      <c r="AQ127" s="430"/>
      <c r="AR127" s="430"/>
      <c r="AS127" s="430"/>
      <c r="AT127" s="430"/>
      <c r="AU127" s="430"/>
      <c r="AV127" s="430"/>
      <c r="AW127" s="430"/>
      <c r="AX127" s="430"/>
      <c r="AY127" s="430"/>
    </row>
    <row r="128" spans="1:51">
      <c r="A128" s="430"/>
      <c r="B128" s="451"/>
      <c r="C128" s="430"/>
      <c r="D128" s="451"/>
      <c r="E128" s="430"/>
      <c r="F128" s="430"/>
      <c r="G128" s="430"/>
      <c r="H128" s="430"/>
      <c r="I128" s="430"/>
      <c r="J128" s="430"/>
      <c r="K128" s="430"/>
      <c r="L128" s="430"/>
      <c r="M128" s="430"/>
      <c r="N128" s="430"/>
      <c r="O128" s="430"/>
      <c r="P128" s="430"/>
      <c r="Q128" s="430"/>
      <c r="R128" s="430"/>
      <c r="S128" s="430"/>
      <c r="T128" s="430"/>
      <c r="U128" s="430"/>
      <c r="V128" s="430"/>
      <c r="W128" s="430"/>
      <c r="X128" s="430"/>
      <c r="Y128" s="430"/>
      <c r="Z128" s="430"/>
      <c r="AA128" s="430"/>
      <c r="AB128" s="430"/>
      <c r="AC128" s="430"/>
      <c r="AD128" s="430"/>
      <c r="AE128" s="430"/>
      <c r="AF128" s="430"/>
      <c r="AG128" s="430"/>
      <c r="AH128" s="430"/>
      <c r="AI128" s="430"/>
      <c r="AJ128" s="430"/>
      <c r="AK128" s="430"/>
      <c r="AL128" s="430"/>
      <c r="AM128" s="430"/>
      <c r="AN128" s="430"/>
      <c r="AO128" s="430"/>
      <c r="AP128" s="430"/>
      <c r="AQ128" s="430"/>
      <c r="AR128" s="430"/>
      <c r="AS128" s="430"/>
      <c r="AT128" s="430"/>
      <c r="AU128" s="430"/>
      <c r="AV128" s="430"/>
      <c r="AW128" s="430"/>
      <c r="AX128" s="430"/>
      <c r="AY128" s="430"/>
    </row>
    <row r="129" spans="1:51">
      <c r="A129" s="430"/>
      <c r="B129" s="451"/>
      <c r="C129" s="430"/>
      <c r="D129" s="451"/>
      <c r="E129" s="430"/>
      <c r="F129" s="430"/>
      <c r="G129" s="430"/>
      <c r="H129" s="430"/>
      <c r="I129" s="430"/>
      <c r="J129" s="430"/>
      <c r="K129" s="430"/>
      <c r="L129" s="430"/>
      <c r="M129" s="430"/>
      <c r="N129" s="430"/>
      <c r="O129" s="430"/>
      <c r="P129" s="430"/>
      <c r="Q129" s="430"/>
      <c r="R129" s="430"/>
      <c r="S129" s="430"/>
      <c r="T129" s="430"/>
      <c r="U129" s="430"/>
      <c r="V129" s="430"/>
      <c r="W129" s="430"/>
      <c r="X129" s="430"/>
      <c r="Y129" s="430"/>
      <c r="Z129" s="430"/>
      <c r="AA129" s="430"/>
      <c r="AB129" s="430"/>
      <c r="AC129" s="430"/>
      <c r="AD129" s="430"/>
      <c r="AE129" s="430"/>
      <c r="AF129" s="430"/>
      <c r="AG129" s="430"/>
      <c r="AH129" s="430"/>
      <c r="AI129" s="430"/>
      <c r="AJ129" s="430"/>
      <c r="AK129" s="430"/>
      <c r="AL129" s="430"/>
      <c r="AM129" s="430"/>
      <c r="AN129" s="430"/>
      <c r="AO129" s="430"/>
      <c r="AP129" s="430"/>
      <c r="AQ129" s="430"/>
      <c r="AR129" s="430"/>
      <c r="AS129" s="430"/>
      <c r="AT129" s="430"/>
      <c r="AU129" s="430"/>
      <c r="AV129" s="430"/>
      <c r="AW129" s="430"/>
      <c r="AX129" s="430"/>
      <c r="AY129" s="430"/>
    </row>
    <row r="130" spans="1:51">
      <c r="A130" s="430"/>
      <c r="B130" s="451"/>
      <c r="C130" s="430"/>
      <c r="D130" s="451"/>
      <c r="E130" s="430"/>
      <c r="F130" s="430"/>
      <c r="G130" s="430"/>
      <c r="H130" s="430"/>
      <c r="I130" s="430"/>
      <c r="J130" s="430"/>
      <c r="K130" s="430"/>
      <c r="L130" s="430"/>
      <c r="M130" s="430"/>
      <c r="N130" s="430"/>
      <c r="O130" s="430"/>
      <c r="P130" s="430"/>
      <c r="Q130" s="430"/>
      <c r="R130" s="430"/>
      <c r="S130" s="430"/>
      <c r="T130" s="430"/>
      <c r="U130" s="430"/>
      <c r="V130" s="430"/>
      <c r="W130" s="430"/>
      <c r="X130" s="430"/>
      <c r="Y130" s="430"/>
      <c r="Z130" s="430"/>
      <c r="AA130" s="430"/>
      <c r="AB130" s="430"/>
      <c r="AC130" s="430"/>
      <c r="AD130" s="430"/>
      <c r="AE130" s="430"/>
      <c r="AF130" s="430"/>
      <c r="AG130" s="430"/>
      <c r="AH130" s="430"/>
      <c r="AI130" s="430"/>
      <c r="AJ130" s="430"/>
      <c r="AK130" s="430"/>
      <c r="AL130" s="430"/>
      <c r="AM130" s="430"/>
      <c r="AN130" s="430"/>
      <c r="AO130" s="430"/>
      <c r="AP130" s="430"/>
      <c r="AQ130" s="430"/>
      <c r="AR130" s="430"/>
      <c r="AS130" s="430"/>
      <c r="AT130" s="430"/>
      <c r="AU130" s="430"/>
      <c r="AV130" s="430"/>
      <c r="AW130" s="430"/>
      <c r="AX130" s="430"/>
      <c r="AY130" s="430"/>
    </row>
    <row r="131" spans="1:51">
      <c r="A131" s="430"/>
      <c r="B131" s="451"/>
      <c r="C131" s="430"/>
      <c r="D131" s="451"/>
      <c r="E131" s="430"/>
      <c r="F131" s="430"/>
      <c r="G131" s="430"/>
      <c r="H131" s="430"/>
      <c r="I131" s="430"/>
      <c r="J131" s="430"/>
      <c r="K131" s="430"/>
      <c r="L131" s="430"/>
      <c r="M131" s="430"/>
      <c r="N131" s="430"/>
      <c r="O131" s="430"/>
      <c r="P131" s="430"/>
      <c r="Q131" s="430"/>
      <c r="R131" s="430"/>
      <c r="S131" s="430"/>
      <c r="T131" s="430"/>
      <c r="U131" s="430"/>
      <c r="V131" s="430"/>
      <c r="W131" s="430"/>
      <c r="X131" s="430"/>
      <c r="Y131" s="430"/>
      <c r="Z131" s="430"/>
      <c r="AA131" s="430"/>
      <c r="AB131" s="430"/>
      <c r="AC131" s="430"/>
      <c r="AD131" s="430"/>
      <c r="AE131" s="430"/>
      <c r="AF131" s="430"/>
      <c r="AG131" s="430"/>
      <c r="AH131" s="430"/>
      <c r="AI131" s="430"/>
      <c r="AJ131" s="430"/>
      <c r="AK131" s="430"/>
      <c r="AL131" s="430"/>
      <c r="AM131" s="430"/>
      <c r="AN131" s="430"/>
      <c r="AO131" s="430"/>
      <c r="AP131" s="430"/>
      <c r="AQ131" s="430"/>
      <c r="AR131" s="430"/>
      <c r="AS131" s="430"/>
      <c r="AT131" s="430"/>
      <c r="AU131" s="430"/>
      <c r="AV131" s="430"/>
      <c r="AW131" s="430"/>
      <c r="AX131" s="430"/>
      <c r="AY131" s="430"/>
    </row>
    <row r="132" spans="1:51">
      <c r="A132" s="430"/>
      <c r="B132" s="451"/>
      <c r="C132" s="430"/>
      <c r="D132" s="451"/>
      <c r="E132" s="430"/>
      <c r="F132" s="430"/>
      <c r="G132" s="430"/>
      <c r="H132" s="430"/>
      <c r="I132" s="430"/>
      <c r="J132" s="430"/>
      <c r="K132" s="430"/>
      <c r="L132" s="430"/>
      <c r="M132" s="430"/>
      <c r="N132" s="430"/>
      <c r="O132" s="430"/>
      <c r="P132" s="430"/>
      <c r="Q132" s="430"/>
      <c r="R132" s="430"/>
      <c r="S132" s="430"/>
      <c r="T132" s="430"/>
      <c r="U132" s="430"/>
      <c r="V132" s="430"/>
      <c r="W132" s="430"/>
      <c r="X132" s="430"/>
      <c r="Y132" s="430"/>
      <c r="Z132" s="430"/>
      <c r="AA132" s="430"/>
      <c r="AB132" s="430"/>
      <c r="AC132" s="430"/>
      <c r="AD132" s="430"/>
      <c r="AE132" s="430"/>
      <c r="AF132" s="430"/>
      <c r="AG132" s="430"/>
      <c r="AH132" s="430"/>
      <c r="AI132" s="430"/>
      <c r="AJ132" s="430"/>
      <c r="AK132" s="430"/>
      <c r="AL132" s="430"/>
      <c r="AM132" s="430"/>
      <c r="AN132" s="430"/>
      <c r="AO132" s="430"/>
      <c r="AP132" s="430"/>
      <c r="AQ132" s="430"/>
      <c r="AR132" s="430"/>
      <c r="AS132" s="430"/>
      <c r="AT132" s="430"/>
      <c r="AU132" s="430"/>
      <c r="AV132" s="430"/>
      <c r="AW132" s="430"/>
      <c r="AX132" s="430"/>
      <c r="AY132" s="430"/>
    </row>
    <row r="133" spans="1:51">
      <c r="A133" s="430"/>
      <c r="B133" s="451"/>
      <c r="C133" s="430"/>
      <c r="D133" s="451"/>
      <c r="E133" s="430"/>
      <c r="F133" s="430"/>
      <c r="G133" s="430"/>
      <c r="H133" s="430"/>
      <c r="I133" s="430"/>
      <c r="J133" s="430"/>
      <c r="K133" s="430"/>
      <c r="L133" s="430"/>
      <c r="M133" s="430"/>
      <c r="N133" s="430"/>
      <c r="O133" s="430"/>
      <c r="P133" s="430"/>
      <c r="Q133" s="430"/>
      <c r="R133" s="430"/>
      <c r="S133" s="430"/>
      <c r="T133" s="430"/>
      <c r="U133" s="430"/>
      <c r="V133" s="430"/>
      <c r="W133" s="430"/>
      <c r="X133" s="430"/>
      <c r="Y133" s="430"/>
      <c r="Z133" s="430"/>
      <c r="AA133" s="430"/>
      <c r="AB133" s="430"/>
      <c r="AC133" s="430"/>
      <c r="AD133" s="430"/>
      <c r="AE133" s="430"/>
      <c r="AF133" s="430"/>
      <c r="AG133" s="430"/>
      <c r="AH133" s="430"/>
      <c r="AI133" s="430"/>
      <c r="AJ133" s="430"/>
      <c r="AK133" s="430"/>
      <c r="AL133" s="430"/>
      <c r="AM133" s="430"/>
      <c r="AN133" s="430"/>
      <c r="AO133" s="430"/>
      <c r="AP133" s="430"/>
      <c r="AQ133" s="430"/>
      <c r="AR133" s="430"/>
      <c r="AS133" s="430"/>
      <c r="AT133" s="430"/>
      <c r="AU133" s="430"/>
      <c r="AV133" s="430"/>
      <c r="AW133" s="430"/>
      <c r="AX133" s="430"/>
      <c r="AY133" s="430"/>
    </row>
    <row r="134" spans="1:51">
      <c r="A134" s="430"/>
      <c r="B134" s="451"/>
      <c r="C134" s="430"/>
      <c r="D134" s="451"/>
      <c r="E134" s="430"/>
      <c r="F134" s="430"/>
      <c r="G134" s="430"/>
      <c r="H134" s="430"/>
      <c r="I134" s="430"/>
      <c r="J134" s="430"/>
      <c r="K134" s="430"/>
      <c r="L134" s="430"/>
      <c r="M134" s="430"/>
      <c r="N134" s="430"/>
      <c r="O134" s="430"/>
      <c r="P134" s="430"/>
      <c r="Q134" s="430"/>
      <c r="R134" s="430"/>
      <c r="S134" s="430"/>
      <c r="T134" s="430"/>
      <c r="U134" s="430"/>
      <c r="V134" s="430"/>
      <c r="W134" s="430"/>
      <c r="X134" s="430"/>
      <c r="Y134" s="430"/>
      <c r="Z134" s="430"/>
      <c r="AA134" s="430"/>
      <c r="AB134" s="430"/>
      <c r="AC134" s="430"/>
      <c r="AD134" s="430"/>
      <c r="AE134" s="430"/>
      <c r="AF134" s="430"/>
      <c r="AG134" s="430"/>
      <c r="AH134" s="430"/>
      <c r="AI134" s="430"/>
      <c r="AJ134" s="430"/>
      <c r="AK134" s="430"/>
      <c r="AL134" s="430"/>
      <c r="AM134" s="430"/>
      <c r="AN134" s="430"/>
      <c r="AO134" s="430"/>
      <c r="AP134" s="430"/>
      <c r="AQ134" s="430"/>
      <c r="AR134" s="430"/>
      <c r="AS134" s="430"/>
      <c r="AT134" s="430"/>
      <c r="AU134" s="430"/>
      <c r="AV134" s="430"/>
      <c r="AW134" s="430"/>
      <c r="AX134" s="430"/>
      <c r="AY134" s="430"/>
    </row>
    <row r="135" spans="1:51">
      <c r="A135" s="430"/>
      <c r="B135" s="451"/>
      <c r="C135" s="430"/>
      <c r="D135" s="451"/>
      <c r="E135" s="430"/>
      <c r="F135" s="430"/>
      <c r="G135" s="430"/>
      <c r="H135" s="430"/>
      <c r="I135" s="430"/>
      <c r="J135" s="430"/>
      <c r="K135" s="430"/>
      <c r="L135" s="430"/>
      <c r="M135" s="430"/>
      <c r="N135" s="430"/>
      <c r="O135" s="430"/>
      <c r="P135" s="430"/>
      <c r="Q135" s="430"/>
      <c r="R135" s="430"/>
      <c r="S135" s="430"/>
      <c r="T135" s="430"/>
      <c r="U135" s="430"/>
      <c r="V135" s="430"/>
      <c r="W135" s="430"/>
      <c r="X135" s="430"/>
      <c r="Y135" s="430"/>
      <c r="Z135" s="430"/>
      <c r="AA135" s="430"/>
      <c r="AB135" s="430"/>
      <c r="AC135" s="430"/>
      <c r="AD135" s="430"/>
      <c r="AE135" s="430"/>
      <c r="AF135" s="430"/>
      <c r="AG135" s="430"/>
      <c r="AH135" s="430"/>
      <c r="AI135" s="430"/>
      <c r="AJ135" s="430"/>
      <c r="AK135" s="430"/>
      <c r="AL135" s="430"/>
      <c r="AM135" s="430"/>
      <c r="AN135" s="430"/>
      <c r="AO135" s="430"/>
      <c r="AP135" s="430"/>
      <c r="AQ135" s="430"/>
      <c r="AR135" s="430"/>
      <c r="AS135" s="430"/>
      <c r="AT135" s="430"/>
      <c r="AU135" s="430"/>
      <c r="AV135" s="430"/>
      <c r="AW135" s="430"/>
      <c r="AX135" s="430"/>
      <c r="AY135" s="430"/>
    </row>
    <row r="136" spans="1:51">
      <c r="A136" s="430"/>
      <c r="B136" s="451"/>
      <c r="C136" s="430"/>
      <c r="D136" s="451"/>
      <c r="E136" s="430"/>
      <c r="F136" s="430"/>
      <c r="G136" s="430"/>
      <c r="H136" s="430"/>
      <c r="I136" s="430"/>
      <c r="J136" s="430"/>
      <c r="K136" s="430"/>
      <c r="L136" s="430"/>
      <c r="M136" s="430"/>
      <c r="N136" s="430"/>
      <c r="O136" s="430"/>
      <c r="P136" s="430"/>
      <c r="Q136" s="430"/>
      <c r="R136" s="430"/>
      <c r="S136" s="430"/>
      <c r="T136" s="430"/>
      <c r="U136" s="430"/>
      <c r="V136" s="430"/>
      <c r="W136" s="430"/>
      <c r="X136" s="430"/>
      <c r="Y136" s="430"/>
      <c r="Z136" s="430"/>
      <c r="AA136" s="430"/>
      <c r="AB136" s="430"/>
      <c r="AC136" s="430"/>
      <c r="AD136" s="430"/>
      <c r="AE136" s="430"/>
      <c r="AF136" s="430"/>
      <c r="AG136" s="430"/>
      <c r="AH136" s="430"/>
      <c r="AI136" s="430"/>
      <c r="AJ136" s="430"/>
      <c r="AK136" s="430"/>
      <c r="AL136" s="430"/>
      <c r="AM136" s="430"/>
      <c r="AN136" s="430"/>
      <c r="AO136" s="430"/>
      <c r="AP136" s="430"/>
      <c r="AQ136" s="430"/>
      <c r="AR136" s="430"/>
      <c r="AS136" s="430"/>
      <c r="AT136" s="430"/>
      <c r="AU136" s="430"/>
      <c r="AV136" s="430"/>
      <c r="AW136" s="430"/>
      <c r="AX136" s="430"/>
      <c r="AY136" s="430"/>
    </row>
    <row r="137" spans="1:51">
      <c r="A137" s="430"/>
      <c r="B137" s="451"/>
      <c r="C137" s="430"/>
      <c r="D137" s="451"/>
      <c r="E137" s="430"/>
      <c r="F137" s="430"/>
      <c r="G137" s="430"/>
      <c r="H137" s="430"/>
      <c r="I137" s="430"/>
      <c r="J137" s="430"/>
      <c r="K137" s="430"/>
      <c r="L137" s="430"/>
      <c r="M137" s="430"/>
      <c r="N137" s="430"/>
      <c r="O137" s="430"/>
      <c r="P137" s="430"/>
      <c r="Q137" s="430"/>
      <c r="R137" s="430"/>
      <c r="S137" s="430"/>
      <c r="T137" s="430"/>
      <c r="U137" s="430"/>
      <c r="V137" s="430"/>
      <c r="W137" s="430"/>
      <c r="X137" s="430"/>
      <c r="Y137" s="430"/>
      <c r="Z137" s="430"/>
      <c r="AA137" s="430"/>
      <c r="AB137" s="430"/>
      <c r="AC137" s="430"/>
      <c r="AD137" s="430"/>
      <c r="AE137" s="430"/>
      <c r="AF137" s="430"/>
      <c r="AG137" s="430"/>
      <c r="AH137" s="430"/>
      <c r="AI137" s="430"/>
      <c r="AJ137" s="430"/>
      <c r="AK137" s="430"/>
      <c r="AL137" s="430"/>
      <c r="AM137" s="430"/>
      <c r="AN137" s="430"/>
      <c r="AO137" s="430"/>
      <c r="AP137" s="430"/>
      <c r="AQ137" s="430"/>
      <c r="AR137" s="430"/>
      <c r="AS137" s="430"/>
      <c r="AT137" s="430"/>
      <c r="AU137" s="430"/>
      <c r="AV137" s="430"/>
      <c r="AW137" s="430"/>
      <c r="AX137" s="430"/>
      <c r="AY137" s="430"/>
    </row>
    <row r="138" spans="1:51">
      <c r="A138" s="430"/>
      <c r="B138" s="451"/>
      <c r="C138" s="430"/>
      <c r="D138" s="451"/>
      <c r="E138" s="430"/>
      <c r="F138" s="430"/>
      <c r="G138" s="430"/>
      <c r="H138" s="430"/>
      <c r="I138" s="430"/>
      <c r="J138" s="430"/>
      <c r="K138" s="430"/>
      <c r="L138" s="430"/>
      <c r="M138" s="430"/>
      <c r="N138" s="430"/>
      <c r="O138" s="430"/>
      <c r="P138" s="430"/>
      <c r="Q138" s="430"/>
      <c r="R138" s="430"/>
      <c r="S138" s="430"/>
      <c r="T138" s="430"/>
      <c r="U138" s="430"/>
      <c r="V138" s="430"/>
      <c r="W138" s="430"/>
      <c r="X138" s="430"/>
      <c r="Y138" s="430"/>
      <c r="Z138" s="430"/>
      <c r="AA138" s="430"/>
      <c r="AB138" s="430"/>
      <c r="AC138" s="430"/>
      <c r="AD138" s="430"/>
      <c r="AE138" s="430"/>
      <c r="AF138" s="430"/>
      <c r="AG138" s="430"/>
      <c r="AH138" s="430"/>
      <c r="AI138" s="430"/>
      <c r="AJ138" s="430"/>
      <c r="AK138" s="430"/>
      <c r="AL138" s="430"/>
      <c r="AM138" s="430"/>
      <c r="AN138" s="430"/>
      <c r="AO138" s="430"/>
      <c r="AP138" s="430"/>
      <c r="AQ138" s="430"/>
      <c r="AR138" s="430"/>
      <c r="AS138" s="430"/>
      <c r="AT138" s="430"/>
      <c r="AU138" s="430"/>
      <c r="AV138" s="430"/>
      <c r="AW138" s="430"/>
      <c r="AX138" s="430"/>
      <c r="AY138" s="430"/>
    </row>
    <row r="139" spans="1:51">
      <c r="A139" s="430"/>
      <c r="B139" s="451"/>
      <c r="C139" s="430"/>
      <c r="D139" s="451"/>
      <c r="E139" s="430"/>
      <c r="F139" s="430"/>
      <c r="G139" s="430"/>
      <c r="H139" s="430"/>
      <c r="I139" s="430"/>
      <c r="J139" s="430"/>
      <c r="K139" s="430"/>
      <c r="L139" s="430"/>
      <c r="M139" s="430"/>
      <c r="N139" s="430"/>
      <c r="O139" s="430"/>
      <c r="P139" s="430"/>
      <c r="Q139" s="430"/>
      <c r="R139" s="430"/>
      <c r="S139" s="430"/>
      <c r="T139" s="430"/>
      <c r="U139" s="430"/>
      <c r="V139" s="430"/>
      <c r="W139" s="430"/>
      <c r="X139" s="430"/>
      <c r="Y139" s="430"/>
      <c r="Z139" s="430"/>
      <c r="AA139" s="430"/>
      <c r="AB139" s="430"/>
      <c r="AC139" s="430"/>
      <c r="AD139" s="430"/>
      <c r="AE139" s="430"/>
      <c r="AF139" s="430"/>
      <c r="AG139" s="430"/>
      <c r="AH139" s="430"/>
      <c r="AI139" s="430"/>
      <c r="AJ139" s="430"/>
      <c r="AK139" s="430"/>
      <c r="AL139" s="430"/>
      <c r="AM139" s="430"/>
      <c r="AN139" s="430"/>
      <c r="AO139" s="430"/>
      <c r="AP139" s="430"/>
      <c r="AQ139" s="430"/>
      <c r="AR139" s="430"/>
      <c r="AS139" s="430"/>
      <c r="AT139" s="430"/>
      <c r="AU139" s="430"/>
      <c r="AV139" s="430"/>
      <c r="AW139" s="430"/>
      <c r="AX139" s="430"/>
      <c r="AY139" s="430"/>
    </row>
    <row r="140" spans="1:51">
      <c r="A140" s="430"/>
      <c r="B140" s="451"/>
      <c r="C140" s="430"/>
      <c r="D140" s="451"/>
      <c r="E140" s="430"/>
      <c r="F140" s="430"/>
      <c r="G140" s="430"/>
      <c r="H140" s="430"/>
      <c r="I140" s="430"/>
      <c r="J140" s="430"/>
      <c r="K140" s="430"/>
      <c r="L140" s="430"/>
      <c r="M140" s="430"/>
      <c r="N140" s="430"/>
      <c r="O140" s="430"/>
      <c r="P140" s="430"/>
      <c r="Q140" s="430"/>
      <c r="R140" s="430"/>
      <c r="S140" s="430"/>
      <c r="T140" s="430"/>
      <c r="U140" s="430"/>
      <c r="V140" s="430"/>
      <c r="W140" s="430"/>
      <c r="X140" s="430"/>
      <c r="Y140" s="430"/>
      <c r="Z140" s="430"/>
      <c r="AA140" s="430"/>
      <c r="AB140" s="430"/>
      <c r="AC140" s="430"/>
      <c r="AD140" s="430"/>
      <c r="AE140" s="430"/>
      <c r="AF140" s="430"/>
      <c r="AG140" s="430"/>
      <c r="AH140" s="430"/>
      <c r="AI140" s="430"/>
      <c r="AJ140" s="430"/>
      <c r="AK140" s="430"/>
      <c r="AL140" s="430"/>
      <c r="AM140" s="430"/>
      <c r="AN140" s="430"/>
      <c r="AO140" s="430"/>
      <c r="AP140" s="430"/>
      <c r="AQ140" s="430"/>
      <c r="AR140" s="430"/>
      <c r="AS140" s="430"/>
      <c r="AT140" s="430"/>
      <c r="AU140" s="430"/>
      <c r="AV140" s="430"/>
      <c r="AW140" s="430"/>
      <c r="AX140" s="430"/>
      <c r="AY140" s="430"/>
    </row>
    <row r="141" spans="1:51">
      <c r="A141" s="430"/>
      <c r="B141" s="451"/>
      <c r="C141" s="430"/>
      <c r="D141" s="451"/>
      <c r="E141" s="430"/>
      <c r="F141" s="430"/>
      <c r="G141" s="430"/>
      <c r="H141" s="430"/>
      <c r="I141" s="430"/>
      <c r="J141" s="430"/>
      <c r="K141" s="430"/>
      <c r="L141" s="430"/>
      <c r="M141" s="430"/>
      <c r="N141" s="430"/>
      <c r="O141" s="430"/>
      <c r="P141" s="430"/>
      <c r="Q141" s="430"/>
      <c r="R141" s="430"/>
      <c r="S141" s="430"/>
      <c r="T141" s="430"/>
      <c r="U141" s="430"/>
      <c r="V141" s="430"/>
      <c r="W141" s="430"/>
      <c r="X141" s="430"/>
      <c r="Y141" s="430"/>
      <c r="Z141" s="430"/>
      <c r="AA141" s="430"/>
      <c r="AB141" s="430"/>
      <c r="AC141" s="430"/>
      <c r="AD141" s="430"/>
      <c r="AE141" s="430"/>
      <c r="AF141" s="430"/>
      <c r="AG141" s="430"/>
      <c r="AH141" s="430"/>
      <c r="AI141" s="430"/>
      <c r="AJ141" s="430"/>
      <c r="AK141" s="430"/>
      <c r="AL141" s="430"/>
      <c r="AM141" s="430"/>
      <c r="AN141" s="430"/>
      <c r="AO141" s="430"/>
      <c r="AP141" s="430"/>
      <c r="AQ141" s="430"/>
      <c r="AR141" s="430"/>
      <c r="AS141" s="430"/>
      <c r="AT141" s="430"/>
      <c r="AU141" s="430"/>
      <c r="AV141" s="430"/>
      <c r="AW141" s="430"/>
      <c r="AX141" s="430"/>
      <c r="AY141" s="430"/>
    </row>
    <row r="142" spans="1:51">
      <c r="A142" s="430"/>
      <c r="B142" s="451"/>
      <c r="C142" s="430"/>
      <c r="D142" s="451"/>
      <c r="E142" s="430"/>
      <c r="F142" s="430"/>
      <c r="G142" s="430"/>
      <c r="H142" s="430"/>
      <c r="I142" s="430"/>
      <c r="J142" s="430"/>
      <c r="K142" s="430"/>
      <c r="L142" s="430"/>
      <c r="M142" s="430"/>
      <c r="N142" s="430"/>
      <c r="O142" s="430"/>
      <c r="P142" s="430"/>
      <c r="Q142" s="430"/>
      <c r="R142" s="430"/>
      <c r="S142" s="430"/>
      <c r="T142" s="430"/>
      <c r="U142" s="430"/>
      <c r="V142" s="430"/>
      <c r="W142" s="430"/>
      <c r="X142" s="430"/>
      <c r="Y142" s="430"/>
      <c r="Z142" s="430"/>
      <c r="AA142" s="430"/>
      <c r="AB142" s="430"/>
      <c r="AC142" s="430"/>
      <c r="AD142" s="430"/>
      <c r="AE142" s="430"/>
      <c r="AF142" s="430"/>
      <c r="AG142" s="430"/>
      <c r="AH142" s="430"/>
      <c r="AI142" s="430"/>
      <c r="AJ142" s="430"/>
      <c r="AK142" s="430"/>
      <c r="AL142" s="430"/>
      <c r="AM142" s="430"/>
      <c r="AN142" s="430"/>
      <c r="AO142" s="430"/>
      <c r="AP142" s="430"/>
      <c r="AQ142" s="430"/>
      <c r="AR142" s="430"/>
      <c r="AS142" s="430"/>
      <c r="AT142" s="430"/>
      <c r="AU142" s="430"/>
      <c r="AV142" s="430"/>
      <c r="AW142" s="430"/>
      <c r="AX142" s="430"/>
      <c r="AY142" s="430"/>
    </row>
    <row r="143" spans="1:51">
      <c r="A143" s="430"/>
      <c r="B143" s="451"/>
      <c r="C143" s="430"/>
      <c r="D143" s="451"/>
      <c r="E143" s="430"/>
      <c r="F143" s="430"/>
      <c r="G143" s="430"/>
      <c r="H143" s="430"/>
      <c r="I143" s="430"/>
      <c r="J143" s="430"/>
      <c r="K143" s="430"/>
      <c r="L143" s="430"/>
      <c r="M143" s="430"/>
      <c r="N143" s="430"/>
      <c r="O143" s="430"/>
      <c r="P143" s="430"/>
      <c r="Q143" s="430"/>
      <c r="R143" s="430"/>
      <c r="S143" s="430"/>
      <c r="T143" s="430"/>
      <c r="U143" s="430"/>
      <c r="V143" s="430"/>
      <c r="W143" s="430"/>
      <c r="X143" s="430"/>
      <c r="Y143" s="430"/>
      <c r="Z143" s="430"/>
      <c r="AA143" s="430"/>
      <c r="AB143" s="430"/>
      <c r="AC143" s="430"/>
      <c r="AD143" s="430"/>
      <c r="AE143" s="430"/>
      <c r="AF143" s="430"/>
      <c r="AG143" s="430"/>
      <c r="AH143" s="430"/>
      <c r="AI143" s="430"/>
      <c r="AJ143" s="430"/>
      <c r="AK143" s="430"/>
      <c r="AL143" s="430"/>
      <c r="AM143" s="430"/>
      <c r="AN143" s="430"/>
      <c r="AO143" s="430"/>
      <c r="AP143" s="430"/>
      <c r="AQ143" s="430"/>
      <c r="AR143" s="430"/>
      <c r="AS143" s="430"/>
      <c r="AT143" s="430"/>
      <c r="AU143" s="430"/>
      <c r="AV143" s="430"/>
      <c r="AW143" s="430"/>
      <c r="AX143" s="430"/>
      <c r="AY143" s="430"/>
    </row>
    <row r="144" spans="1:51">
      <c r="A144" s="430"/>
      <c r="B144" s="451"/>
      <c r="C144" s="430"/>
      <c r="D144" s="451"/>
      <c r="E144" s="430"/>
      <c r="F144" s="430"/>
      <c r="G144" s="430"/>
      <c r="H144" s="430"/>
      <c r="I144" s="430"/>
      <c r="J144" s="430"/>
      <c r="K144" s="430"/>
      <c r="L144" s="430"/>
      <c r="M144" s="430"/>
      <c r="N144" s="430"/>
      <c r="O144" s="430"/>
      <c r="P144" s="430"/>
      <c r="Q144" s="430"/>
      <c r="R144" s="430"/>
      <c r="S144" s="430"/>
      <c r="T144" s="430"/>
      <c r="U144" s="430"/>
      <c r="V144" s="430"/>
      <c r="W144" s="430"/>
      <c r="X144" s="430"/>
      <c r="Y144" s="430"/>
      <c r="Z144" s="430"/>
      <c r="AA144" s="430"/>
      <c r="AB144" s="430"/>
      <c r="AC144" s="430"/>
      <c r="AD144" s="430"/>
      <c r="AE144" s="430"/>
      <c r="AF144" s="430"/>
      <c r="AG144" s="430"/>
      <c r="AH144" s="430"/>
      <c r="AI144" s="430"/>
      <c r="AJ144" s="430"/>
      <c r="AK144" s="430"/>
      <c r="AL144" s="430"/>
      <c r="AM144" s="430"/>
      <c r="AN144" s="430"/>
      <c r="AO144" s="430"/>
      <c r="AP144" s="430"/>
      <c r="AQ144" s="430"/>
      <c r="AR144" s="430"/>
      <c r="AS144" s="430"/>
      <c r="AT144" s="430"/>
      <c r="AU144" s="430"/>
      <c r="AV144" s="430"/>
      <c r="AW144" s="430"/>
      <c r="AX144" s="430"/>
      <c r="AY144" s="430"/>
    </row>
    <row r="145" spans="1:51">
      <c r="A145" s="430"/>
      <c r="B145" s="451"/>
      <c r="C145" s="430"/>
      <c r="D145" s="451"/>
      <c r="E145" s="430"/>
      <c r="F145" s="430"/>
      <c r="G145" s="430"/>
      <c r="H145" s="430"/>
      <c r="I145" s="430"/>
      <c r="J145" s="430"/>
      <c r="K145" s="430"/>
      <c r="L145" s="430"/>
      <c r="M145" s="430"/>
      <c r="N145" s="430"/>
      <c r="O145" s="430"/>
      <c r="P145" s="430"/>
      <c r="Q145" s="430"/>
      <c r="R145" s="430"/>
      <c r="S145" s="430"/>
      <c r="T145" s="430"/>
      <c r="U145" s="430"/>
      <c r="V145" s="430"/>
      <c r="W145" s="430"/>
      <c r="X145" s="430"/>
      <c r="Y145" s="430"/>
      <c r="Z145" s="430"/>
      <c r="AA145" s="430"/>
      <c r="AB145" s="430"/>
      <c r="AC145" s="430"/>
      <c r="AD145" s="430"/>
      <c r="AE145" s="430"/>
      <c r="AF145" s="430"/>
      <c r="AG145" s="430"/>
      <c r="AH145" s="430"/>
      <c r="AI145" s="430"/>
      <c r="AJ145" s="430"/>
      <c r="AK145" s="430"/>
      <c r="AL145" s="430"/>
      <c r="AM145" s="430"/>
      <c r="AN145" s="430"/>
      <c r="AO145" s="430"/>
      <c r="AP145" s="430"/>
      <c r="AQ145" s="430"/>
      <c r="AR145" s="430"/>
      <c r="AS145" s="430"/>
      <c r="AT145" s="430"/>
      <c r="AU145" s="430"/>
      <c r="AV145" s="430"/>
      <c r="AW145" s="430"/>
      <c r="AX145" s="430"/>
      <c r="AY145" s="430"/>
    </row>
    <row r="146" spans="1:51">
      <c r="A146" s="430"/>
      <c r="B146" s="451"/>
      <c r="C146" s="430"/>
      <c r="D146" s="451"/>
      <c r="E146" s="430"/>
      <c r="F146" s="430"/>
      <c r="G146" s="430"/>
      <c r="H146" s="430"/>
      <c r="I146" s="430"/>
      <c r="J146" s="430"/>
      <c r="K146" s="430"/>
      <c r="L146" s="430"/>
      <c r="M146" s="430"/>
      <c r="N146" s="430"/>
      <c r="O146" s="430"/>
      <c r="P146" s="430"/>
      <c r="Q146" s="430"/>
      <c r="R146" s="430"/>
      <c r="S146" s="430"/>
      <c r="T146" s="430"/>
      <c r="U146" s="430"/>
      <c r="V146" s="430"/>
      <c r="W146" s="430"/>
      <c r="X146" s="430"/>
      <c r="Y146" s="430"/>
      <c r="Z146" s="430"/>
      <c r="AA146" s="430"/>
      <c r="AB146" s="430"/>
      <c r="AC146" s="430"/>
      <c r="AD146" s="430"/>
      <c r="AE146" s="430"/>
      <c r="AF146" s="430"/>
      <c r="AG146" s="430"/>
      <c r="AH146" s="430"/>
      <c r="AI146" s="430"/>
      <c r="AJ146" s="430"/>
      <c r="AK146" s="430"/>
      <c r="AL146" s="430"/>
      <c r="AM146" s="430"/>
      <c r="AN146" s="430"/>
      <c r="AO146" s="430"/>
      <c r="AP146" s="430"/>
      <c r="AQ146" s="430"/>
      <c r="AR146" s="430"/>
      <c r="AS146" s="430"/>
      <c r="AT146" s="430"/>
      <c r="AU146" s="430"/>
      <c r="AV146" s="430"/>
      <c r="AW146" s="430"/>
      <c r="AX146" s="430"/>
      <c r="AY146" s="430"/>
    </row>
    <row r="147" spans="1:51">
      <c r="A147" s="430"/>
      <c r="B147" s="451"/>
      <c r="C147" s="430"/>
      <c r="D147" s="451"/>
      <c r="E147" s="430"/>
      <c r="F147" s="430"/>
      <c r="G147" s="430"/>
      <c r="H147" s="430"/>
      <c r="I147" s="430"/>
      <c r="J147" s="430"/>
      <c r="K147" s="430"/>
      <c r="L147" s="430"/>
      <c r="M147" s="430"/>
      <c r="N147" s="430"/>
      <c r="O147" s="430"/>
      <c r="P147" s="430"/>
      <c r="Q147" s="430"/>
      <c r="R147" s="430"/>
      <c r="S147" s="430"/>
      <c r="T147" s="430"/>
      <c r="U147" s="430"/>
      <c r="V147" s="430"/>
      <c r="W147" s="430"/>
      <c r="X147" s="430"/>
      <c r="Y147" s="430"/>
      <c r="Z147" s="430"/>
      <c r="AA147" s="430"/>
      <c r="AB147" s="430"/>
      <c r="AC147" s="430"/>
      <c r="AD147" s="430"/>
      <c r="AE147" s="430"/>
      <c r="AF147" s="430"/>
      <c r="AG147" s="430"/>
      <c r="AH147" s="430"/>
      <c r="AI147" s="430"/>
      <c r="AJ147" s="430"/>
      <c r="AK147" s="430"/>
      <c r="AL147" s="430"/>
      <c r="AM147" s="430"/>
      <c r="AN147" s="430"/>
      <c r="AO147" s="430"/>
      <c r="AP147" s="430"/>
      <c r="AQ147" s="430"/>
      <c r="AR147" s="430"/>
      <c r="AS147" s="430"/>
      <c r="AT147" s="430"/>
      <c r="AU147" s="430"/>
      <c r="AV147" s="430"/>
      <c r="AW147" s="430"/>
      <c r="AX147" s="430"/>
      <c r="AY147" s="430"/>
    </row>
    <row r="148" spans="1:51">
      <c r="A148" s="430"/>
      <c r="B148" s="451"/>
      <c r="C148" s="430"/>
      <c r="D148" s="451"/>
      <c r="E148" s="430"/>
      <c r="F148" s="430"/>
      <c r="G148" s="430"/>
      <c r="H148" s="430"/>
      <c r="I148" s="430"/>
      <c r="J148" s="430"/>
      <c r="K148" s="430"/>
      <c r="L148" s="430"/>
      <c r="M148" s="430"/>
      <c r="N148" s="430"/>
      <c r="O148" s="430"/>
      <c r="P148" s="430"/>
      <c r="Q148" s="430"/>
      <c r="R148" s="430"/>
      <c r="S148" s="430"/>
      <c r="T148" s="430"/>
      <c r="U148" s="430"/>
      <c r="V148" s="430"/>
      <c r="W148" s="430"/>
      <c r="X148" s="430"/>
      <c r="Y148" s="430"/>
      <c r="Z148" s="430"/>
      <c r="AA148" s="430"/>
      <c r="AB148" s="430"/>
      <c r="AC148" s="430"/>
      <c r="AD148" s="430"/>
      <c r="AE148" s="430"/>
      <c r="AF148" s="430"/>
      <c r="AG148" s="430"/>
      <c r="AH148" s="430"/>
      <c r="AI148" s="430"/>
      <c r="AJ148" s="430"/>
      <c r="AK148" s="430"/>
      <c r="AL148" s="430"/>
      <c r="AM148" s="430"/>
      <c r="AN148" s="430"/>
      <c r="AO148" s="430"/>
      <c r="AP148" s="430"/>
      <c r="AQ148" s="430"/>
      <c r="AR148" s="430"/>
      <c r="AS148" s="430"/>
      <c r="AT148" s="430"/>
      <c r="AU148" s="430"/>
      <c r="AV148" s="430"/>
      <c r="AW148" s="430"/>
      <c r="AX148" s="430"/>
      <c r="AY148" s="430"/>
    </row>
    <row r="149" spans="1:51">
      <c r="A149" s="430"/>
      <c r="B149" s="451"/>
      <c r="C149" s="430"/>
      <c r="D149" s="451"/>
      <c r="E149" s="430"/>
      <c r="L149" s="430"/>
      <c r="M149" s="430"/>
      <c r="N149" s="430"/>
      <c r="O149" s="430"/>
      <c r="P149" s="430"/>
      <c r="Q149" s="430"/>
      <c r="R149" s="430"/>
      <c r="S149" s="430"/>
      <c r="T149" s="430"/>
      <c r="U149" s="430"/>
      <c r="V149" s="430"/>
      <c r="W149" s="430"/>
      <c r="X149" s="430"/>
      <c r="Y149" s="430"/>
      <c r="Z149" s="430"/>
      <c r="AA149" s="430"/>
      <c r="AB149" s="430"/>
      <c r="AC149" s="430"/>
      <c r="AD149" s="430"/>
      <c r="AE149" s="430"/>
      <c r="AF149" s="430"/>
      <c r="AG149" s="430"/>
      <c r="AH149" s="430"/>
      <c r="AI149" s="430"/>
      <c r="AJ149" s="430"/>
      <c r="AK149" s="430"/>
      <c r="AL149" s="430"/>
      <c r="AM149" s="430"/>
      <c r="AN149" s="430"/>
      <c r="AO149" s="430"/>
      <c r="AP149" s="430"/>
      <c r="AQ149" s="430"/>
      <c r="AR149" s="430"/>
      <c r="AS149" s="430"/>
      <c r="AT149" s="430"/>
      <c r="AU149" s="430"/>
      <c r="AV149" s="430"/>
      <c r="AW149" s="430"/>
      <c r="AX149" s="430"/>
      <c r="AY149" s="430"/>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4B084"/>
  </sheetPr>
  <dimension ref="A1:BK149"/>
  <sheetViews>
    <sheetView zoomScale="98" workbookViewId="0">
      <pane xSplit="4" ySplit="3" topLeftCell="E4" activePane="bottomRight" state="frozen"/>
      <selection pane="topRight"/>
      <selection pane="bottomLeft"/>
      <selection pane="bottomRight" activeCell="H21" sqref="H21"/>
    </sheetView>
  </sheetViews>
  <sheetFormatPr defaultRowHeight="14.5" outlineLevelCol="1"/>
  <cols>
    <col min="1" max="1" width="42.08984375" customWidth="1"/>
    <col min="2" max="2" width="4.453125" style="424" customWidth="1"/>
    <col min="3" max="3" width="19.90625" style="418" customWidth="1"/>
    <col min="4" max="4" width="7.6328125" style="424" customWidth="1"/>
    <col min="5" max="5" width="11.7265625" customWidth="1"/>
    <col min="6" max="9" width="10.7265625" style="429" customWidth="1" outlineLevel="1"/>
    <col min="10" max="11" width="10.7265625" style="624" customWidth="1" outlineLevel="1"/>
    <col min="12" max="15" width="11.7265625" customWidth="1"/>
    <col min="16" max="16" width="12" bestFit="1" customWidth="1"/>
    <col min="17" max="24" width="11.7265625" customWidth="1"/>
    <col min="25" max="27" width="8.7265625" customWidth="1"/>
    <col min="28" max="28" width="19.6328125" bestFit="1" customWidth="1"/>
    <col min="29" max="29" width="13.90625" bestFit="1" customWidth="1"/>
    <col min="30" max="30" width="10.81640625" bestFit="1" customWidth="1"/>
    <col min="31" max="31" width="18.26953125" bestFit="1" customWidth="1"/>
  </cols>
  <sheetData>
    <row r="1" spans="1:63">
      <c r="A1" s="430"/>
      <c r="B1" s="430"/>
      <c r="C1" s="430"/>
      <c r="D1" s="430"/>
      <c r="E1" s="430"/>
      <c r="F1" s="430"/>
      <c r="G1" s="430"/>
      <c r="H1" s="430"/>
      <c r="I1" s="430"/>
      <c r="J1" s="430"/>
      <c r="K1" s="430"/>
      <c r="L1" s="430"/>
      <c r="M1" s="430"/>
      <c r="N1" s="430"/>
      <c r="O1" s="430"/>
      <c r="P1" s="430"/>
      <c r="Q1" s="430"/>
      <c r="R1" s="430"/>
      <c r="S1" s="430"/>
      <c r="T1" s="430"/>
      <c r="U1" s="430"/>
      <c r="V1" s="430"/>
      <c r="W1" s="430"/>
      <c r="X1" s="430"/>
      <c r="Y1" s="430"/>
      <c r="Z1" s="430"/>
      <c r="AA1" s="430"/>
      <c r="AB1" s="430"/>
      <c r="AC1" s="430"/>
      <c r="AD1" s="430"/>
      <c r="AE1" s="430"/>
      <c r="AF1" s="430"/>
      <c r="AG1" s="430"/>
      <c r="AH1" s="430"/>
      <c r="AI1" s="430"/>
      <c r="AJ1" s="430"/>
      <c r="AK1" s="430"/>
      <c r="AL1" s="430"/>
      <c r="AM1" s="430"/>
      <c r="AN1" s="430"/>
      <c r="AO1" s="430"/>
      <c r="AP1" s="430"/>
      <c r="AQ1" s="430"/>
      <c r="AR1" s="430"/>
      <c r="AS1" s="430"/>
      <c r="AT1" s="430"/>
      <c r="AU1" s="430"/>
      <c r="AV1" s="430"/>
      <c r="AW1" s="430"/>
      <c r="AX1" s="430"/>
      <c r="AY1" s="430"/>
      <c r="AZ1" s="430"/>
      <c r="BA1" s="430"/>
      <c r="BB1" s="430"/>
      <c r="BC1" s="430"/>
      <c r="BD1" s="430"/>
      <c r="BE1" s="430"/>
      <c r="BF1" s="430"/>
      <c r="BG1" s="430"/>
      <c r="BH1" s="430"/>
      <c r="BI1" s="430"/>
      <c r="BJ1" s="430"/>
      <c r="BK1" s="430"/>
    </row>
    <row r="2" spans="1:63">
      <c r="A2" s="437"/>
      <c r="B2" s="434"/>
      <c r="C2" s="434"/>
      <c r="D2" s="434"/>
      <c r="E2" s="455">
        <v>45657</v>
      </c>
      <c r="F2" s="436">
        <v>45747</v>
      </c>
      <c r="G2" s="436">
        <v>45838</v>
      </c>
      <c r="H2" s="436">
        <v>45930</v>
      </c>
      <c r="I2" s="436">
        <v>46022</v>
      </c>
      <c r="J2" s="436">
        <v>46112</v>
      </c>
      <c r="K2" s="436">
        <v>46203</v>
      </c>
      <c r="L2" s="455">
        <v>45747</v>
      </c>
      <c r="M2" s="455">
        <v>45838</v>
      </c>
      <c r="N2" s="455">
        <v>45930</v>
      </c>
      <c r="O2" s="455">
        <v>46022</v>
      </c>
      <c r="P2" s="455">
        <v>46112</v>
      </c>
      <c r="Q2" s="455">
        <v>46203</v>
      </c>
      <c r="R2" s="455">
        <v>46295</v>
      </c>
      <c r="S2" s="455">
        <v>46387</v>
      </c>
      <c r="T2" s="455">
        <v>46752</v>
      </c>
      <c r="U2" s="455">
        <v>47118</v>
      </c>
      <c r="V2" s="455">
        <v>47483</v>
      </c>
      <c r="W2" s="455">
        <v>47848</v>
      </c>
      <c r="X2" s="542"/>
      <c r="Y2" s="590"/>
      <c r="Z2" s="590"/>
      <c r="AA2" s="437"/>
      <c r="AB2" s="437"/>
      <c r="AC2" s="437"/>
      <c r="AD2" s="437"/>
      <c r="AE2" s="437"/>
      <c r="AF2" s="437"/>
      <c r="AG2" s="437"/>
      <c r="AH2" s="437"/>
      <c r="AI2" s="437"/>
      <c r="AJ2" s="437"/>
      <c r="AK2" s="437"/>
      <c r="AL2" s="437"/>
      <c r="AM2" s="437"/>
      <c r="AN2" s="437"/>
      <c r="AO2" s="437"/>
      <c r="AP2" s="437"/>
      <c r="AQ2" s="437"/>
      <c r="AR2" s="437"/>
      <c r="AS2" s="437"/>
      <c r="AT2" s="437"/>
      <c r="AU2" s="437"/>
      <c r="AV2" s="437"/>
      <c r="AW2" s="437"/>
      <c r="AX2" s="437"/>
      <c r="AY2" s="437"/>
      <c r="AZ2" s="437"/>
      <c r="BA2" s="437"/>
      <c r="BB2" s="437"/>
      <c r="BC2" s="437"/>
      <c r="BD2" s="437"/>
      <c r="BE2" s="437"/>
      <c r="BF2" s="437"/>
      <c r="BG2" s="437"/>
      <c r="BH2" s="437"/>
      <c r="BI2" s="437"/>
      <c r="BJ2" s="437"/>
      <c r="BK2" s="437"/>
    </row>
    <row r="3" spans="1:63" ht="14.65" customHeight="1">
      <c r="A3" s="437" t="s">
        <v>1072</v>
      </c>
      <c r="B3" s="434"/>
      <c r="C3" s="434"/>
      <c r="D3" s="434"/>
      <c r="E3" s="456"/>
      <c r="F3" s="439" t="s">
        <v>3</v>
      </c>
      <c r="G3" s="439" t="s">
        <v>4</v>
      </c>
      <c r="H3" s="439" t="s">
        <v>5</v>
      </c>
      <c r="I3" s="439" t="s">
        <v>2</v>
      </c>
      <c r="J3" s="625" t="s">
        <v>3</v>
      </c>
      <c r="K3" s="625" t="s">
        <v>4</v>
      </c>
      <c r="L3" s="456" t="s">
        <v>3</v>
      </c>
      <c r="M3" s="456" t="s">
        <v>4</v>
      </c>
      <c r="N3" s="456" t="s">
        <v>5</v>
      </c>
      <c r="O3" s="456" t="s">
        <v>2</v>
      </c>
      <c r="P3" s="456" t="s">
        <v>3</v>
      </c>
      <c r="Q3" s="456" t="s">
        <v>4</v>
      </c>
      <c r="R3" s="456" t="s">
        <v>5</v>
      </c>
      <c r="S3" s="456" t="s">
        <v>2</v>
      </c>
      <c r="T3" s="456" t="s">
        <v>2</v>
      </c>
      <c r="U3" s="456" t="s">
        <v>2</v>
      </c>
      <c r="V3" s="456" t="s">
        <v>2</v>
      </c>
      <c r="W3" s="456" t="s">
        <v>2</v>
      </c>
      <c r="X3" s="544"/>
      <c r="Y3" s="590"/>
      <c r="Z3" s="590"/>
      <c r="AA3" s="437"/>
      <c r="AB3" s="437"/>
      <c r="AC3" s="437"/>
      <c r="AD3" s="437"/>
      <c r="AE3" s="437"/>
      <c r="AF3" s="437"/>
      <c r="AG3" s="437"/>
      <c r="AH3" s="437"/>
      <c r="AI3" s="437"/>
      <c r="AJ3" s="437"/>
      <c r="AK3" s="437"/>
      <c r="AL3" s="437"/>
      <c r="AM3" s="437"/>
      <c r="AN3" s="437"/>
      <c r="AO3" s="437"/>
      <c r="AP3" s="437"/>
      <c r="AQ3" s="437"/>
      <c r="AR3" s="437"/>
      <c r="AS3" s="437"/>
      <c r="AT3" s="437"/>
      <c r="AU3" s="437"/>
      <c r="AV3" s="437"/>
      <c r="AW3" s="437"/>
      <c r="AX3" s="437"/>
      <c r="AY3" s="437"/>
      <c r="AZ3" s="437"/>
      <c r="BA3" s="437"/>
      <c r="BB3" s="437"/>
      <c r="BC3" s="437"/>
      <c r="BD3" s="437"/>
      <c r="BE3" s="437"/>
      <c r="BF3" s="437"/>
      <c r="BG3" s="437"/>
      <c r="BH3" s="437"/>
      <c r="BI3" s="437"/>
      <c r="BJ3" s="437"/>
      <c r="BK3" s="437"/>
    </row>
    <row r="4" spans="1:63" ht="18.5" customHeight="1">
      <c r="A4" s="430"/>
      <c r="B4" s="440" t="s">
        <v>6</v>
      </c>
      <c r="C4" s="441" t="s">
        <v>7</v>
      </c>
      <c r="D4" s="440" t="s">
        <v>8</v>
      </c>
      <c r="E4" s="430"/>
      <c r="F4" s="430"/>
      <c r="G4" s="430"/>
      <c r="H4" s="430"/>
      <c r="I4" s="430"/>
      <c r="J4" s="430"/>
      <c r="K4" s="430"/>
      <c r="L4" s="430"/>
      <c r="M4" s="430"/>
      <c r="N4" s="430"/>
      <c r="O4" s="430"/>
      <c r="P4" s="430"/>
      <c r="Q4" s="430"/>
      <c r="R4" s="430"/>
      <c r="S4" s="430"/>
      <c r="T4" s="430"/>
      <c r="U4" s="430"/>
      <c r="V4" s="430"/>
      <c r="W4" s="430"/>
      <c r="X4" s="430"/>
      <c r="Y4" s="430"/>
      <c r="Z4" s="430"/>
      <c r="AA4" s="430"/>
      <c r="AB4" s="430"/>
      <c r="AC4" s="430"/>
      <c r="AD4" s="430"/>
      <c r="AE4" s="430"/>
      <c r="AF4" s="430"/>
      <c r="AG4" s="430"/>
      <c r="AH4" s="430"/>
      <c r="AI4" s="430"/>
      <c r="AJ4" s="430"/>
      <c r="AK4" s="430"/>
      <c r="AL4" s="430"/>
      <c r="AM4" s="430"/>
      <c r="AN4" s="430"/>
      <c r="AO4" s="430"/>
      <c r="AP4" s="430"/>
      <c r="AQ4" s="430"/>
      <c r="AR4" s="430"/>
      <c r="AS4" s="430"/>
      <c r="AT4" s="430"/>
      <c r="AU4" s="430"/>
      <c r="AV4" s="430"/>
      <c r="AW4" s="430"/>
      <c r="AX4" s="430"/>
      <c r="AY4" s="430"/>
      <c r="AZ4" s="430"/>
      <c r="BA4" s="430"/>
      <c r="BB4" s="430"/>
      <c r="BC4" s="430"/>
      <c r="BD4" s="430"/>
      <c r="BE4" s="430"/>
      <c r="BF4" s="430"/>
      <c r="BG4" s="430"/>
      <c r="BH4" s="430"/>
      <c r="BI4" s="430"/>
      <c r="BJ4" s="430"/>
      <c r="BK4" s="430"/>
    </row>
    <row r="5" spans="1:63">
      <c r="A5" s="591" t="s">
        <v>1036</v>
      </c>
      <c r="B5" s="445"/>
      <c r="C5" s="447"/>
      <c r="D5" s="445"/>
      <c r="E5" s="430"/>
      <c r="F5" s="430"/>
      <c r="G5" s="430"/>
      <c r="H5" s="430"/>
      <c r="I5" s="430"/>
      <c r="J5" s="430"/>
      <c r="K5" s="430"/>
      <c r="L5" s="430"/>
      <c r="M5" s="430"/>
      <c r="N5" s="430"/>
      <c r="O5" s="430"/>
      <c r="P5" s="430"/>
      <c r="Q5" s="430"/>
      <c r="R5" s="430"/>
      <c r="S5" s="430"/>
      <c r="T5" s="430"/>
      <c r="U5" s="430"/>
      <c r="V5" s="430"/>
      <c r="W5" s="430"/>
      <c r="X5" s="430"/>
      <c r="Y5" s="532"/>
      <c r="Z5" s="532"/>
      <c r="AA5" s="430"/>
      <c r="AB5" s="430"/>
      <c r="AC5" s="430"/>
      <c r="AD5" s="430"/>
      <c r="AE5" s="430"/>
      <c r="AF5" s="430"/>
      <c r="AG5" s="430"/>
      <c r="AH5" s="430"/>
      <c r="AI5" s="430"/>
      <c r="AJ5" s="430"/>
      <c r="AK5" s="430"/>
      <c r="AL5" s="430"/>
      <c r="AM5" s="430"/>
      <c r="AN5" s="430"/>
      <c r="AO5" s="430"/>
      <c r="AP5" s="430"/>
      <c r="AQ5" s="430"/>
      <c r="AR5" s="430"/>
      <c r="AS5" s="430"/>
      <c r="AT5" s="430"/>
      <c r="AU5" s="430"/>
      <c r="AV5" s="430"/>
      <c r="AW5" s="430"/>
      <c r="AX5" s="430"/>
      <c r="AY5" s="430"/>
      <c r="AZ5" s="430"/>
      <c r="BA5" s="430"/>
      <c r="BB5" s="430"/>
      <c r="BC5" s="430"/>
      <c r="BD5" s="430"/>
      <c r="BE5" s="430"/>
      <c r="BF5" s="430"/>
      <c r="BG5" s="430"/>
      <c r="BH5" s="430"/>
      <c r="BI5" s="430"/>
      <c r="BJ5" s="430"/>
      <c r="BK5" s="430"/>
    </row>
    <row r="6" spans="1:63" s="5" customFormat="1">
      <c r="A6" s="586" t="s">
        <v>1073</v>
      </c>
      <c r="B6" s="443" t="s">
        <v>18</v>
      </c>
      <c r="C6" s="444" t="s">
        <v>1021</v>
      </c>
      <c r="D6" s="460" t="s">
        <v>1074</v>
      </c>
      <c r="E6" s="430"/>
      <c r="F6" s="430"/>
      <c r="G6" s="430"/>
      <c r="H6" s="430"/>
      <c r="I6" s="430"/>
      <c r="J6" s="430"/>
      <c r="K6" s="430"/>
      <c r="L6" s="587">
        <v>93750</v>
      </c>
      <c r="M6" s="587">
        <v>93750</v>
      </c>
      <c r="N6" s="587">
        <v>93750</v>
      </c>
      <c r="O6" s="587">
        <v>93750</v>
      </c>
      <c r="P6" s="588">
        <v>93750</v>
      </c>
      <c r="Q6" s="587">
        <v>93750</v>
      </c>
      <c r="R6" s="587">
        <v>93750</v>
      </c>
      <c r="S6" s="587">
        <v>93750</v>
      </c>
      <c r="T6" s="464">
        <v>375000</v>
      </c>
      <c r="U6" s="464">
        <v>375000</v>
      </c>
      <c r="V6" s="464">
        <v>375000</v>
      </c>
      <c r="W6" s="464">
        <v>375000</v>
      </c>
      <c r="X6" s="430"/>
      <c r="Y6" s="532"/>
      <c r="Z6" s="430"/>
      <c r="AA6" s="430"/>
      <c r="AB6" s="430"/>
      <c r="AC6" s="430"/>
      <c r="AD6" s="430"/>
      <c r="AE6" s="430"/>
      <c r="AF6" s="430"/>
      <c r="AG6" s="430"/>
      <c r="AH6" s="430"/>
      <c r="AI6" s="430"/>
      <c r="AJ6" s="430"/>
      <c r="AK6" s="430"/>
      <c r="AL6" s="430"/>
      <c r="AM6" s="430"/>
      <c r="AN6" s="430"/>
      <c r="AO6" s="430"/>
      <c r="AP6" s="430"/>
      <c r="AQ6" s="430"/>
      <c r="AR6" s="430"/>
      <c r="AS6" s="430"/>
      <c r="AT6" s="430"/>
      <c r="AU6" s="430"/>
      <c r="AV6" s="430"/>
      <c r="AW6" s="430"/>
      <c r="AX6" s="430"/>
      <c r="AY6" s="430"/>
      <c r="AZ6" s="430"/>
      <c r="BA6" s="430"/>
      <c r="BB6" s="430"/>
      <c r="BC6" s="430"/>
      <c r="BD6" s="430"/>
      <c r="BE6" s="430"/>
      <c r="BF6" s="430"/>
      <c r="BG6" s="430"/>
      <c r="BH6" s="430"/>
      <c r="BI6" s="430"/>
      <c r="BJ6" s="430"/>
      <c r="BK6" s="430"/>
    </row>
    <row r="7" spans="1:63" s="5" customFormat="1">
      <c r="A7" s="586" t="s">
        <v>1075</v>
      </c>
      <c r="B7" s="443" t="s">
        <v>18</v>
      </c>
      <c r="C7" s="444" t="s">
        <v>1021</v>
      </c>
      <c r="D7" s="460" t="s">
        <v>1076</v>
      </c>
      <c r="E7" s="430"/>
      <c r="F7" s="430"/>
      <c r="G7" s="430"/>
      <c r="H7" s="430"/>
      <c r="I7" s="430"/>
      <c r="J7" s="430"/>
      <c r="K7" s="430"/>
      <c r="L7" s="587">
        <v>0</v>
      </c>
      <c r="M7" s="587">
        <v>0</v>
      </c>
      <c r="N7" s="587">
        <v>0</v>
      </c>
      <c r="O7" s="587">
        <v>0</v>
      </c>
      <c r="P7" s="587">
        <v>0</v>
      </c>
      <c r="Q7" s="587">
        <v>125000</v>
      </c>
      <c r="R7" s="587">
        <v>125000</v>
      </c>
      <c r="S7" s="587">
        <v>125000</v>
      </c>
      <c r="T7" s="464">
        <v>375000</v>
      </c>
      <c r="U7" s="464">
        <v>375000</v>
      </c>
      <c r="V7" s="464">
        <v>375000</v>
      </c>
      <c r="W7" s="464">
        <v>375000</v>
      </c>
      <c r="X7" s="430"/>
      <c r="Y7" s="532"/>
      <c r="Z7" s="430"/>
      <c r="AA7" s="430"/>
      <c r="AB7" s="565"/>
      <c r="AC7" s="597"/>
      <c r="AD7" s="565"/>
      <c r="AE7" s="565"/>
      <c r="AF7" s="430"/>
      <c r="AG7" s="430"/>
      <c r="AH7" s="430"/>
      <c r="AI7" s="430"/>
      <c r="AJ7" s="430"/>
      <c r="AK7" s="430"/>
      <c r="AL7" s="430"/>
      <c r="AM7" s="430"/>
      <c r="AN7" s="430"/>
      <c r="AO7" s="430"/>
      <c r="AP7" s="430"/>
      <c r="AQ7" s="430"/>
      <c r="AR7" s="430"/>
      <c r="AS7" s="430"/>
      <c r="AT7" s="430"/>
      <c r="AU7" s="430"/>
      <c r="AV7" s="430"/>
      <c r="AW7" s="430"/>
      <c r="AX7" s="430"/>
      <c r="AY7" s="430"/>
      <c r="AZ7" s="430"/>
      <c r="BA7" s="430"/>
      <c r="BB7" s="430"/>
      <c r="BC7" s="430"/>
      <c r="BD7" s="430"/>
      <c r="BE7" s="430"/>
      <c r="BF7" s="430"/>
      <c r="BG7" s="430"/>
      <c r="BH7" s="430"/>
      <c r="BI7" s="430"/>
      <c r="BJ7" s="430"/>
      <c r="BK7" s="430"/>
    </row>
    <row r="8" spans="1:63" s="5" customFormat="1">
      <c r="A8" s="586" t="s">
        <v>1077</v>
      </c>
      <c r="B8" s="443" t="s">
        <v>18</v>
      </c>
      <c r="C8" s="444" t="s">
        <v>1021</v>
      </c>
      <c r="D8" s="460" t="s">
        <v>1078</v>
      </c>
      <c r="E8" s="430"/>
      <c r="F8" s="430"/>
      <c r="G8" s="430"/>
      <c r="H8" s="430"/>
      <c r="I8" s="430"/>
      <c r="J8" s="430"/>
      <c r="K8" s="430"/>
      <c r="L8" s="587">
        <v>0</v>
      </c>
      <c r="M8" s="587">
        <v>0</v>
      </c>
      <c r="N8" s="587">
        <v>21250</v>
      </c>
      <c r="O8" s="587">
        <v>21250</v>
      </c>
      <c r="P8" s="588">
        <v>21250</v>
      </c>
      <c r="Q8" s="595">
        <v>21250</v>
      </c>
      <c r="R8" s="595">
        <v>21250</v>
      </c>
      <c r="S8" s="595">
        <v>21250</v>
      </c>
      <c r="T8" s="598">
        <v>85000</v>
      </c>
      <c r="U8" s="598">
        <v>85000</v>
      </c>
      <c r="V8" s="598">
        <v>85000</v>
      </c>
      <c r="W8" s="598">
        <v>85000</v>
      </c>
      <c r="X8" s="430"/>
      <c r="Y8" s="532"/>
      <c r="Z8" s="430"/>
      <c r="AA8" s="430"/>
      <c r="AB8" s="430"/>
      <c r="AC8" s="454"/>
      <c r="AD8" s="430"/>
      <c r="AE8" s="430"/>
      <c r="AF8" s="430"/>
      <c r="AG8" s="430"/>
      <c r="AH8" s="430"/>
      <c r="AI8" s="430"/>
      <c r="AJ8" s="430"/>
      <c r="AK8" s="430"/>
      <c r="AL8" s="430"/>
      <c r="AM8" s="430"/>
      <c r="AN8" s="430"/>
      <c r="AO8" s="430"/>
      <c r="AP8" s="430"/>
      <c r="AQ8" s="430"/>
      <c r="AR8" s="430"/>
      <c r="AS8" s="430"/>
      <c r="AT8" s="430"/>
      <c r="AU8" s="430"/>
      <c r="AV8" s="430"/>
      <c r="AW8" s="430"/>
      <c r="AX8" s="430"/>
      <c r="AY8" s="430"/>
      <c r="AZ8" s="430"/>
      <c r="BA8" s="430"/>
      <c r="BB8" s="430"/>
      <c r="BC8" s="430"/>
      <c r="BD8" s="430"/>
      <c r="BE8" s="430"/>
      <c r="BF8" s="430"/>
      <c r="BG8" s="430"/>
      <c r="BH8" s="430"/>
      <c r="BI8" s="430"/>
      <c r="BJ8" s="430"/>
      <c r="BK8" s="430"/>
    </row>
    <row r="9" spans="1:63" s="5" customFormat="1">
      <c r="A9" s="586" t="s">
        <v>1079</v>
      </c>
      <c r="B9" s="535" t="s">
        <v>18</v>
      </c>
      <c r="C9" s="533" t="s">
        <v>1021</v>
      </c>
      <c r="D9" s="535" t="s">
        <v>1080</v>
      </c>
      <c r="E9" s="430"/>
      <c r="F9" s="430"/>
      <c r="G9" s="430"/>
      <c r="H9" s="430"/>
      <c r="I9" s="430"/>
      <c r="J9" s="430"/>
      <c r="K9" s="430"/>
      <c r="L9" s="587">
        <v>46250</v>
      </c>
      <c r="M9" s="587">
        <v>46250</v>
      </c>
      <c r="N9" s="587">
        <v>46250</v>
      </c>
      <c r="O9" s="587">
        <v>46250</v>
      </c>
      <c r="P9" s="588">
        <v>48750</v>
      </c>
      <c r="Q9" s="595">
        <v>48750</v>
      </c>
      <c r="R9" s="595">
        <v>48750</v>
      </c>
      <c r="S9" s="595">
        <v>48750</v>
      </c>
      <c r="T9" s="598">
        <v>195000</v>
      </c>
      <c r="U9" s="598">
        <v>195000</v>
      </c>
      <c r="V9" s="598">
        <v>195000</v>
      </c>
      <c r="W9" s="598">
        <v>195000</v>
      </c>
      <c r="X9" s="430"/>
      <c r="Y9" s="532"/>
      <c r="Z9" s="430"/>
      <c r="AA9" s="430"/>
      <c r="AB9" s="599"/>
      <c r="AC9" s="600"/>
      <c r="AD9" s="601"/>
      <c r="AE9" s="492"/>
      <c r="AF9" s="430"/>
      <c r="AG9" s="430"/>
      <c r="AH9" s="430"/>
      <c r="AI9" s="430"/>
      <c r="AJ9" s="430"/>
      <c r="AK9" s="430"/>
      <c r="AL9" s="430"/>
      <c r="AM9" s="430"/>
      <c r="AN9" s="430"/>
      <c r="AO9" s="430"/>
      <c r="AP9" s="430"/>
      <c r="AQ9" s="430"/>
      <c r="AR9" s="430"/>
      <c r="AS9" s="430"/>
      <c r="AT9" s="430"/>
      <c r="AU9" s="430"/>
      <c r="AV9" s="430"/>
      <c r="AW9" s="430"/>
      <c r="AX9" s="430"/>
      <c r="AY9" s="430"/>
      <c r="AZ9" s="430"/>
      <c r="BA9" s="430"/>
      <c r="BB9" s="430"/>
      <c r="BC9" s="430"/>
      <c r="BD9" s="430"/>
      <c r="BE9" s="430"/>
      <c r="BF9" s="430"/>
      <c r="BG9" s="430"/>
      <c r="BH9" s="430"/>
      <c r="BI9" s="430"/>
      <c r="BJ9" s="430"/>
      <c r="BK9" s="430"/>
    </row>
    <row r="10" spans="1:63" s="34" customFormat="1">
      <c r="A10" s="442" t="s">
        <v>1081</v>
      </c>
      <c r="B10" s="535" t="s">
        <v>18</v>
      </c>
      <c r="C10" s="533" t="s">
        <v>1021</v>
      </c>
      <c r="D10" s="535" t="s">
        <v>1063</v>
      </c>
      <c r="E10" s="464"/>
      <c r="F10" s="464"/>
      <c r="G10" s="464"/>
      <c r="H10" s="464"/>
      <c r="I10" s="464"/>
      <c r="J10" s="464"/>
      <c r="K10" s="464"/>
      <c r="L10" s="587">
        <v>37500</v>
      </c>
      <c r="M10" s="587">
        <v>37500</v>
      </c>
      <c r="N10" s="587">
        <v>37500</v>
      </c>
      <c r="O10" s="587">
        <v>31250</v>
      </c>
      <c r="P10" s="587">
        <v>0</v>
      </c>
      <c r="Q10" s="587">
        <v>0</v>
      </c>
      <c r="R10" s="587">
        <v>0</v>
      </c>
      <c r="S10" s="587">
        <v>0</v>
      </c>
      <c r="T10" s="598">
        <v>0</v>
      </c>
      <c r="U10" s="598">
        <v>0</v>
      </c>
      <c r="V10" s="598">
        <v>0</v>
      </c>
      <c r="W10" s="598">
        <v>0</v>
      </c>
      <c r="X10" s="430"/>
      <c r="Y10" s="532"/>
      <c r="Z10" s="430"/>
      <c r="AA10" s="430"/>
      <c r="AB10" s="599"/>
      <c r="AC10" s="600"/>
      <c r="AD10" s="601"/>
      <c r="AE10" s="492"/>
      <c r="AF10" s="430"/>
      <c r="AG10" s="430"/>
      <c r="AH10" s="430"/>
      <c r="AI10" s="430"/>
      <c r="AJ10" s="430"/>
      <c r="AK10" s="430"/>
      <c r="AL10" s="430"/>
      <c r="AM10" s="430"/>
      <c r="AN10" s="430"/>
      <c r="AO10" s="430"/>
      <c r="AP10" s="430"/>
      <c r="AQ10" s="430"/>
      <c r="AR10" s="430"/>
      <c r="AS10" s="430"/>
      <c r="AT10" s="430"/>
      <c r="AU10" s="430"/>
      <c r="AV10" s="430"/>
      <c r="AW10" s="430"/>
      <c r="AX10" s="430"/>
      <c r="AY10" s="430"/>
      <c r="AZ10" s="430"/>
      <c r="BA10" s="430"/>
      <c r="BB10" s="430"/>
      <c r="BC10" s="430"/>
      <c r="BD10" s="430"/>
      <c r="BE10" s="430"/>
      <c r="BF10" s="430"/>
      <c r="BG10" s="430"/>
      <c r="BH10" s="430"/>
      <c r="BI10" s="430"/>
      <c r="BJ10" s="430"/>
      <c r="BK10" s="430"/>
    </row>
    <row r="11" spans="1:63">
      <c r="A11" s="586" t="s">
        <v>1082</v>
      </c>
      <c r="B11" s="442" t="s">
        <v>18</v>
      </c>
      <c r="C11" s="442" t="s">
        <v>1021</v>
      </c>
      <c r="D11" s="442" t="s">
        <v>1083</v>
      </c>
      <c r="E11" s="430"/>
      <c r="F11" s="430"/>
      <c r="G11" s="430"/>
      <c r="H11" s="430"/>
      <c r="I11" s="430"/>
      <c r="J11" s="430"/>
      <c r="K11" s="430"/>
      <c r="L11" s="587">
        <v>0</v>
      </c>
      <c r="M11" s="587">
        <v>0</v>
      </c>
      <c r="N11" s="587">
        <v>0</v>
      </c>
      <c r="O11" s="587">
        <v>0</v>
      </c>
      <c r="P11" s="587">
        <v>0</v>
      </c>
      <c r="Q11" s="511">
        <v>36250</v>
      </c>
      <c r="R11" s="511">
        <v>36250</v>
      </c>
      <c r="S11" s="511">
        <v>36250</v>
      </c>
      <c r="T11" s="464">
        <v>145000</v>
      </c>
      <c r="U11" s="492">
        <v>145000</v>
      </c>
      <c r="V11" s="492">
        <v>145000</v>
      </c>
      <c r="W11" s="492">
        <v>145000</v>
      </c>
      <c r="X11" s="464"/>
      <c r="Y11" s="454"/>
      <c r="Z11" s="454"/>
      <c r="AA11" s="430"/>
      <c r="AB11" s="430"/>
      <c r="AC11" s="430"/>
      <c r="AD11" s="430"/>
      <c r="AE11" s="430"/>
      <c r="AF11" s="430"/>
      <c r="AG11" s="430"/>
      <c r="AH11" s="430"/>
      <c r="AI11" s="478"/>
      <c r="AJ11" s="430"/>
      <c r="AK11" s="430"/>
      <c r="AL11" s="430"/>
      <c r="AM11" s="430"/>
      <c r="AN11" s="430"/>
      <c r="AO11" s="430"/>
      <c r="AP11" s="430"/>
      <c r="AQ11" s="430"/>
      <c r="AR11" s="430"/>
      <c r="AS11" s="430"/>
      <c r="AT11" s="430"/>
      <c r="AU11" s="430"/>
      <c r="AV11" s="430"/>
      <c r="AW11" s="430"/>
      <c r="AX11" s="430"/>
      <c r="AY11" s="430"/>
      <c r="AZ11" s="430"/>
      <c r="BA11" s="430"/>
      <c r="BB11" s="430"/>
      <c r="BC11" s="430"/>
      <c r="BD11" s="430"/>
      <c r="BE11" s="430"/>
      <c r="BF11" s="430"/>
      <c r="BG11" s="430"/>
      <c r="BH11" s="430"/>
      <c r="BI11" s="430"/>
      <c r="BJ11" s="430"/>
      <c r="BK11" s="430"/>
    </row>
    <row r="12" spans="1:63" s="30" customFormat="1">
      <c r="A12" s="586" t="s">
        <v>1084</v>
      </c>
      <c r="B12" s="535" t="s">
        <v>18</v>
      </c>
      <c r="C12" s="533" t="s">
        <v>1021</v>
      </c>
      <c r="D12" s="535" t="s">
        <v>1085</v>
      </c>
      <c r="E12" s="469"/>
      <c r="F12" s="469"/>
      <c r="G12" s="469"/>
      <c r="H12" s="469"/>
      <c r="I12" s="469"/>
      <c r="J12" s="469"/>
      <c r="K12" s="469"/>
      <c r="L12" s="587">
        <v>0</v>
      </c>
      <c r="M12" s="587">
        <v>0</v>
      </c>
      <c r="N12" s="592">
        <v>53750</v>
      </c>
      <c r="O12" s="592">
        <v>53750</v>
      </c>
      <c r="P12" s="592">
        <v>53750</v>
      </c>
      <c r="Q12" s="511">
        <v>53750</v>
      </c>
      <c r="R12" s="511">
        <v>53750</v>
      </c>
      <c r="S12" s="511">
        <v>53750</v>
      </c>
      <c r="T12" s="598">
        <v>215000</v>
      </c>
      <c r="U12" s="598">
        <v>215000</v>
      </c>
      <c r="V12" s="598">
        <v>215000</v>
      </c>
      <c r="W12" s="598">
        <v>215000</v>
      </c>
      <c r="X12" s="430"/>
      <c r="Y12" s="430"/>
      <c r="Z12" s="430"/>
      <c r="AA12" s="430"/>
      <c r="AB12" s="464"/>
      <c r="AC12" s="532"/>
      <c r="AD12" s="532"/>
      <c r="AE12" s="430"/>
      <c r="AF12" s="599"/>
      <c r="AG12" s="600"/>
      <c r="AH12" s="601"/>
      <c r="AI12" s="464"/>
      <c r="AJ12" s="430"/>
      <c r="AK12" s="430"/>
      <c r="AL12" s="430"/>
      <c r="AM12" s="430"/>
      <c r="AN12" s="430"/>
      <c r="AO12" s="430"/>
      <c r="AP12" s="430"/>
      <c r="AQ12" s="430"/>
      <c r="AR12" s="430"/>
      <c r="AS12" s="430"/>
      <c r="AT12" s="430"/>
      <c r="AU12" s="430"/>
      <c r="AV12" s="430"/>
      <c r="AW12" s="430"/>
      <c r="AX12" s="430"/>
      <c r="AY12" s="430"/>
      <c r="AZ12" s="430"/>
      <c r="BA12" s="430"/>
      <c r="BB12" s="430"/>
      <c r="BC12" s="430"/>
      <c r="BD12" s="430"/>
      <c r="BE12" s="430"/>
      <c r="BF12" s="430"/>
      <c r="BG12" s="430"/>
      <c r="BH12" s="430"/>
      <c r="BI12" s="430"/>
      <c r="BJ12" s="430"/>
      <c r="BK12" s="430"/>
    </row>
    <row r="13" spans="1:63" s="30" customFormat="1">
      <c r="A13" s="586" t="s">
        <v>1086</v>
      </c>
      <c r="B13" s="535" t="s">
        <v>18</v>
      </c>
      <c r="C13" s="533" t="s">
        <v>1021</v>
      </c>
      <c r="D13" s="535" t="s">
        <v>1087</v>
      </c>
      <c r="E13" s="469"/>
      <c r="F13" s="469"/>
      <c r="G13" s="469"/>
      <c r="H13" s="469"/>
      <c r="I13" s="469"/>
      <c r="J13" s="469"/>
      <c r="K13" s="469"/>
      <c r="L13" s="511">
        <v>40000</v>
      </c>
      <c r="M13" s="511">
        <v>40000</v>
      </c>
      <c r="N13" s="511">
        <v>40000</v>
      </c>
      <c r="O13" s="511">
        <v>40000</v>
      </c>
      <c r="P13" s="511">
        <v>40000</v>
      </c>
      <c r="Q13" s="511">
        <v>40000</v>
      </c>
      <c r="R13" s="511">
        <v>40000</v>
      </c>
      <c r="S13" s="511">
        <v>40000</v>
      </c>
      <c r="T13" s="602">
        <v>200000</v>
      </c>
      <c r="U13" s="602">
        <v>200000</v>
      </c>
      <c r="V13" s="602">
        <v>200000</v>
      </c>
      <c r="W13" s="602">
        <v>200000</v>
      </c>
      <c r="X13" s="492"/>
      <c r="Y13" s="492"/>
      <c r="Z13" s="492"/>
      <c r="AA13" s="492"/>
      <c r="AB13" s="464"/>
      <c r="AC13" s="532"/>
      <c r="AD13" s="532"/>
      <c r="AE13" s="430"/>
      <c r="AF13" s="599"/>
      <c r="AG13" s="600"/>
      <c r="AH13" s="601"/>
      <c r="AI13" s="464"/>
      <c r="AJ13" s="430"/>
      <c r="AK13" s="430"/>
      <c r="AL13" s="430"/>
      <c r="AM13" s="430"/>
      <c r="AN13" s="430"/>
      <c r="AO13" s="430"/>
      <c r="AP13" s="430"/>
      <c r="AQ13" s="430"/>
      <c r="AR13" s="430"/>
      <c r="AS13" s="430"/>
      <c r="AT13" s="430"/>
      <c r="AU13" s="430"/>
      <c r="AV13" s="430"/>
      <c r="AW13" s="430"/>
      <c r="AX13" s="430"/>
      <c r="AY13" s="430"/>
      <c r="AZ13" s="430"/>
      <c r="BA13" s="430"/>
      <c r="BB13" s="430"/>
      <c r="BC13" s="430"/>
      <c r="BD13" s="430"/>
      <c r="BE13" s="430"/>
      <c r="BF13" s="430"/>
      <c r="BG13" s="430"/>
      <c r="BH13" s="430"/>
      <c r="BI13" s="430"/>
      <c r="BJ13" s="430"/>
      <c r="BK13" s="430"/>
    </row>
    <row r="14" spans="1:63" s="34" customFormat="1">
      <c r="A14" s="442" t="s">
        <v>1088</v>
      </c>
      <c r="B14" s="535" t="s">
        <v>18</v>
      </c>
      <c r="C14" s="533" t="s">
        <v>1021</v>
      </c>
      <c r="D14" s="535" t="s">
        <v>1089</v>
      </c>
      <c r="E14" s="430"/>
      <c r="F14" s="430"/>
      <c r="G14" s="430"/>
      <c r="H14" s="430"/>
      <c r="I14" s="430"/>
      <c r="J14" s="430"/>
      <c r="K14" s="430"/>
      <c r="L14" s="587">
        <v>0</v>
      </c>
      <c r="M14" s="587">
        <v>0</v>
      </c>
      <c r="N14" s="587">
        <v>0</v>
      </c>
      <c r="O14" s="587">
        <v>0</v>
      </c>
      <c r="P14" s="587">
        <v>0</v>
      </c>
      <c r="Q14" s="595">
        <v>0</v>
      </c>
      <c r="R14" s="511">
        <v>37500</v>
      </c>
      <c r="S14" s="511">
        <v>37500</v>
      </c>
      <c r="T14" s="598">
        <v>150000</v>
      </c>
      <c r="U14" s="598">
        <v>150000</v>
      </c>
      <c r="V14" s="598">
        <v>150000</v>
      </c>
      <c r="W14" s="598">
        <v>150000</v>
      </c>
      <c r="X14" s="430"/>
      <c r="Y14" s="532"/>
      <c r="Z14" s="430"/>
      <c r="AA14" s="430"/>
      <c r="AB14" s="599"/>
      <c r="AC14" s="600"/>
      <c r="AD14" s="601"/>
      <c r="AE14" s="492"/>
      <c r="AF14" s="430"/>
      <c r="AG14" s="430"/>
      <c r="AH14" s="430"/>
      <c r="AI14" s="430"/>
      <c r="AJ14" s="430"/>
      <c r="AK14" s="430"/>
      <c r="AL14" s="430"/>
      <c r="AM14" s="430"/>
      <c r="AN14" s="430"/>
      <c r="AO14" s="430"/>
      <c r="AP14" s="430"/>
      <c r="AQ14" s="430"/>
      <c r="AR14" s="430"/>
      <c r="AS14" s="430"/>
      <c r="AT14" s="430"/>
      <c r="AU14" s="430"/>
      <c r="AV14" s="430"/>
      <c r="AW14" s="430"/>
      <c r="AX14" s="430"/>
      <c r="AY14" s="430"/>
      <c r="AZ14" s="430"/>
      <c r="BA14" s="430"/>
      <c r="BB14" s="430"/>
      <c r="BC14" s="430"/>
      <c r="BD14" s="430"/>
      <c r="BE14" s="430"/>
      <c r="BF14" s="430"/>
      <c r="BG14" s="430"/>
      <c r="BH14" s="430"/>
      <c r="BI14" s="430"/>
      <c r="BJ14" s="430"/>
      <c r="BK14" s="430"/>
    </row>
    <row r="15" spans="1:63" s="34" customFormat="1">
      <c r="A15" s="442" t="s">
        <v>1090</v>
      </c>
      <c r="B15" s="535" t="s">
        <v>18</v>
      </c>
      <c r="C15" s="533" t="s">
        <v>1021</v>
      </c>
      <c r="D15" s="535" t="s">
        <v>1091</v>
      </c>
      <c r="E15" s="430"/>
      <c r="F15" s="430"/>
      <c r="G15" s="430"/>
      <c r="H15" s="430"/>
      <c r="I15" s="430"/>
      <c r="J15" s="430"/>
      <c r="K15" s="430"/>
      <c r="L15" s="587">
        <v>0</v>
      </c>
      <c r="M15" s="587">
        <v>0</v>
      </c>
      <c r="N15" s="587">
        <v>0</v>
      </c>
      <c r="O15" s="587">
        <v>0</v>
      </c>
      <c r="P15" s="587">
        <v>0</v>
      </c>
      <c r="Q15" s="595">
        <v>0</v>
      </c>
      <c r="R15" s="511">
        <v>56250</v>
      </c>
      <c r="S15" s="511">
        <v>56250</v>
      </c>
      <c r="T15" s="598">
        <v>225000</v>
      </c>
      <c r="U15" s="598">
        <v>225000</v>
      </c>
      <c r="V15" s="598">
        <v>225000</v>
      </c>
      <c r="W15" s="598">
        <v>225000</v>
      </c>
      <c r="X15" s="430"/>
      <c r="Y15" s="532"/>
      <c r="Z15" s="430"/>
      <c r="AA15" s="430"/>
      <c r="AB15" s="599"/>
      <c r="AC15" s="600"/>
      <c r="AD15" s="601"/>
      <c r="AE15" s="492"/>
      <c r="AF15" s="430"/>
      <c r="AG15" s="430"/>
      <c r="AH15" s="430"/>
      <c r="AI15" s="430"/>
      <c r="AJ15" s="430"/>
      <c r="AK15" s="430"/>
      <c r="AL15" s="430"/>
      <c r="AM15" s="430"/>
      <c r="AN15" s="430"/>
      <c r="AO15" s="430"/>
      <c r="AP15" s="430"/>
      <c r="AQ15" s="430"/>
      <c r="AR15" s="430"/>
      <c r="AS15" s="430"/>
      <c r="AT15" s="430"/>
      <c r="AU15" s="430"/>
      <c r="AV15" s="430"/>
      <c r="AW15" s="430"/>
      <c r="AX15" s="430"/>
      <c r="AY15" s="430"/>
      <c r="AZ15" s="430"/>
      <c r="BA15" s="430"/>
      <c r="BB15" s="430"/>
      <c r="BC15" s="430"/>
      <c r="BD15" s="430"/>
      <c r="BE15" s="430"/>
      <c r="BF15" s="430"/>
      <c r="BG15" s="430"/>
      <c r="BH15" s="430"/>
      <c r="BI15" s="430"/>
      <c r="BJ15" s="430"/>
      <c r="BK15" s="430"/>
    </row>
    <row r="16" spans="1:63" s="34" customFormat="1">
      <c r="A16" s="442" t="s">
        <v>1092</v>
      </c>
      <c r="B16" s="535" t="s">
        <v>18</v>
      </c>
      <c r="C16" s="533" t="s">
        <v>1021</v>
      </c>
      <c r="D16" s="535" t="s">
        <v>1093</v>
      </c>
      <c r="E16" s="430"/>
      <c r="F16" s="430"/>
      <c r="G16" s="430"/>
      <c r="H16" s="430"/>
      <c r="I16" s="430"/>
      <c r="J16" s="430"/>
      <c r="K16" s="430"/>
      <c r="L16" s="587">
        <v>0</v>
      </c>
      <c r="M16" s="587">
        <v>0</v>
      </c>
      <c r="N16" s="587">
        <v>0</v>
      </c>
      <c r="O16" s="587">
        <v>0</v>
      </c>
      <c r="P16" s="587">
        <v>0</v>
      </c>
      <c r="Q16" s="595">
        <v>0</v>
      </c>
      <c r="R16" s="511">
        <v>56250</v>
      </c>
      <c r="S16" s="511">
        <v>56250</v>
      </c>
      <c r="T16" s="598">
        <v>225000</v>
      </c>
      <c r="U16" s="598">
        <v>225000</v>
      </c>
      <c r="V16" s="598">
        <v>225000</v>
      </c>
      <c r="W16" s="598">
        <v>225000</v>
      </c>
      <c r="X16" s="430"/>
      <c r="Y16" s="532"/>
      <c r="Z16" s="430"/>
      <c r="AA16" s="430"/>
      <c r="AB16" s="599"/>
      <c r="AC16" s="600"/>
      <c r="AD16" s="601"/>
      <c r="AE16" s="492"/>
      <c r="AF16" s="430"/>
      <c r="AG16" s="430"/>
      <c r="AH16" s="430"/>
      <c r="AI16" s="430"/>
      <c r="AJ16" s="430"/>
      <c r="AK16" s="430"/>
      <c r="AL16" s="430"/>
      <c r="AM16" s="430"/>
      <c r="AN16" s="430"/>
      <c r="AO16" s="430"/>
      <c r="AP16" s="430"/>
      <c r="AQ16" s="430"/>
      <c r="AR16" s="430"/>
      <c r="AS16" s="430"/>
      <c r="AT16" s="430"/>
      <c r="AU16" s="430"/>
      <c r="AV16" s="430"/>
      <c r="AW16" s="430"/>
      <c r="AX16" s="430"/>
      <c r="AY16" s="430"/>
      <c r="AZ16" s="430"/>
      <c r="BA16" s="430"/>
      <c r="BB16" s="430"/>
      <c r="BC16" s="430"/>
      <c r="BD16" s="430"/>
      <c r="BE16" s="430"/>
      <c r="BF16" s="430"/>
      <c r="BG16" s="430"/>
      <c r="BH16" s="430"/>
      <c r="BI16" s="430"/>
      <c r="BJ16" s="430"/>
      <c r="BK16" s="430"/>
    </row>
    <row r="17" spans="1:63" s="34" customFormat="1">
      <c r="A17" s="442" t="s">
        <v>1094</v>
      </c>
      <c r="B17" s="535" t="s">
        <v>18</v>
      </c>
      <c r="C17" s="533" t="s">
        <v>1021</v>
      </c>
      <c r="D17" s="535" t="s">
        <v>1095</v>
      </c>
      <c r="E17" s="473"/>
      <c r="F17" s="473"/>
      <c r="G17" s="473"/>
      <c r="H17" s="473"/>
      <c r="I17" s="473"/>
      <c r="J17" s="473"/>
      <c r="K17" s="473"/>
      <c r="L17" s="587">
        <v>0</v>
      </c>
      <c r="M17" s="587">
        <v>0</v>
      </c>
      <c r="N17" s="587">
        <v>0</v>
      </c>
      <c r="O17" s="587">
        <v>0</v>
      </c>
      <c r="P17" s="587">
        <v>0</v>
      </c>
      <c r="Q17" s="595">
        <v>0</v>
      </c>
      <c r="R17" s="511">
        <v>18750</v>
      </c>
      <c r="S17" s="511">
        <v>18750</v>
      </c>
      <c r="T17" s="598">
        <v>75000</v>
      </c>
      <c r="U17" s="598">
        <v>75000</v>
      </c>
      <c r="V17" s="598">
        <v>75000</v>
      </c>
      <c r="W17" s="598">
        <v>75000</v>
      </c>
      <c r="X17" s="430"/>
      <c r="Y17" s="532"/>
      <c r="Z17" s="430"/>
      <c r="AA17" s="430"/>
      <c r="AB17" s="599"/>
      <c r="AC17" s="600"/>
      <c r="AD17" s="601"/>
      <c r="AE17" s="492"/>
      <c r="AF17" s="430"/>
      <c r="AG17" s="430"/>
      <c r="AH17" s="430"/>
      <c r="AI17" s="430"/>
      <c r="AJ17" s="430"/>
      <c r="AK17" s="430"/>
      <c r="AL17" s="430"/>
      <c r="AM17" s="430"/>
      <c r="AN17" s="430"/>
      <c r="AO17" s="430"/>
      <c r="AP17" s="430"/>
      <c r="AQ17" s="430"/>
      <c r="AR17" s="430"/>
      <c r="AS17" s="430"/>
      <c r="AT17" s="430"/>
      <c r="AU17" s="430"/>
      <c r="AV17" s="430"/>
      <c r="AW17" s="430"/>
      <c r="AX17" s="430"/>
      <c r="AY17" s="430"/>
      <c r="AZ17" s="430"/>
      <c r="BA17" s="430"/>
      <c r="BB17" s="430"/>
      <c r="BC17" s="430"/>
      <c r="BD17" s="430"/>
      <c r="BE17" s="430"/>
      <c r="BF17" s="430"/>
      <c r="BG17" s="430"/>
      <c r="BH17" s="430"/>
      <c r="BI17" s="430"/>
      <c r="BJ17" s="430"/>
      <c r="BK17" s="430"/>
    </row>
    <row r="18" spans="1:63" ht="14.65" customHeight="1">
      <c r="A18" s="593" t="s">
        <v>33</v>
      </c>
      <c r="B18" s="430"/>
      <c r="C18" s="430"/>
      <c r="D18" s="430"/>
      <c r="E18" s="473"/>
      <c r="F18" s="473"/>
      <c r="G18" s="473"/>
      <c r="H18" s="473"/>
      <c r="I18" s="473"/>
      <c r="J18" s="473"/>
      <c r="K18" s="473"/>
      <c r="L18" s="464">
        <f t="shared" ref="L18:W18" si="0">SUM(L6:L17)</f>
        <v>217500</v>
      </c>
      <c r="M18" s="464">
        <f t="shared" si="0"/>
        <v>217500</v>
      </c>
      <c r="N18" s="464">
        <f t="shared" si="0"/>
        <v>292500</v>
      </c>
      <c r="O18" s="464">
        <f t="shared" si="0"/>
        <v>286250</v>
      </c>
      <c r="P18" s="464">
        <f t="shared" si="0"/>
        <v>257500</v>
      </c>
      <c r="Q18" s="464">
        <f t="shared" si="0"/>
        <v>418750</v>
      </c>
      <c r="R18" s="464">
        <f t="shared" si="0"/>
        <v>587500</v>
      </c>
      <c r="S18" s="464">
        <f t="shared" si="0"/>
        <v>587500</v>
      </c>
      <c r="T18" s="464">
        <f t="shared" si="0"/>
        <v>2265000</v>
      </c>
      <c r="U18" s="464">
        <f t="shared" si="0"/>
        <v>2265000</v>
      </c>
      <c r="V18" s="464">
        <f t="shared" si="0"/>
        <v>2265000</v>
      </c>
      <c r="W18" s="464">
        <f t="shared" si="0"/>
        <v>2265000</v>
      </c>
      <c r="X18" s="464"/>
      <c r="Y18" s="532"/>
      <c r="Z18" s="532"/>
      <c r="AA18" s="430"/>
      <c r="AB18" s="430"/>
      <c r="AC18" s="430"/>
      <c r="AD18" s="430"/>
      <c r="AE18" s="430"/>
      <c r="AF18" s="430"/>
      <c r="AG18" s="430"/>
      <c r="AH18" s="430"/>
      <c r="AI18" s="430"/>
      <c r="AJ18" s="430"/>
      <c r="AK18" s="430"/>
      <c r="AL18" s="430"/>
      <c r="AM18" s="430"/>
      <c r="AN18" s="430"/>
      <c r="AO18" s="430"/>
      <c r="AP18" s="430"/>
      <c r="AQ18" s="430"/>
      <c r="AR18" s="430"/>
      <c r="AS18" s="430"/>
      <c r="AT18" s="430"/>
      <c r="AU18" s="430"/>
      <c r="AV18" s="430"/>
      <c r="AW18" s="430"/>
      <c r="AX18" s="430"/>
      <c r="AY18" s="430"/>
      <c r="AZ18" s="430"/>
      <c r="BA18" s="430"/>
      <c r="BB18" s="430"/>
      <c r="BC18" s="430"/>
      <c r="BD18" s="430"/>
      <c r="BE18" s="430"/>
      <c r="BF18" s="430"/>
      <c r="BG18" s="430"/>
      <c r="BH18" s="430"/>
      <c r="BI18" s="430"/>
      <c r="BJ18" s="430"/>
      <c r="BK18" s="430"/>
    </row>
    <row r="19" spans="1:63">
      <c r="A19" s="594"/>
      <c r="B19" s="430"/>
      <c r="C19" s="430"/>
      <c r="D19" s="430"/>
      <c r="E19" s="464"/>
      <c r="F19" s="464"/>
      <c r="G19" s="464"/>
      <c r="H19" s="464"/>
      <c r="I19" s="464"/>
      <c r="J19" s="464"/>
      <c r="K19" s="464"/>
      <c r="L19" s="464"/>
      <c r="M19" s="464"/>
      <c r="N19" s="464"/>
      <c r="O19" s="464"/>
      <c r="P19" s="464"/>
      <c r="Q19" s="464"/>
      <c r="R19" s="464"/>
      <c r="S19" s="464"/>
      <c r="T19" s="464"/>
      <c r="U19" s="464"/>
      <c r="V19" s="464"/>
      <c r="W19" s="464"/>
      <c r="X19" s="464"/>
      <c r="Y19" s="532"/>
      <c r="Z19" s="532"/>
      <c r="AA19" s="430"/>
      <c r="AB19" s="430"/>
      <c r="AC19" s="430"/>
      <c r="AD19" s="430"/>
      <c r="AE19" s="430"/>
      <c r="AF19" s="430"/>
      <c r="AG19" s="430"/>
      <c r="AH19" s="430"/>
      <c r="AI19" s="430"/>
      <c r="AJ19" s="430"/>
      <c r="AK19" s="430"/>
      <c r="AL19" s="430"/>
      <c r="AM19" s="430"/>
      <c r="AN19" s="430"/>
      <c r="AO19" s="430"/>
      <c r="AP19" s="430"/>
      <c r="AQ19" s="430"/>
      <c r="AR19" s="430"/>
      <c r="AS19" s="430"/>
      <c r="AT19" s="430"/>
      <c r="AU19" s="430"/>
      <c r="AV19" s="430"/>
      <c r="AW19" s="430"/>
      <c r="AX19" s="430"/>
      <c r="AY19" s="430"/>
      <c r="AZ19" s="430"/>
      <c r="BA19" s="430"/>
      <c r="BB19" s="430"/>
      <c r="BC19" s="430"/>
      <c r="BD19" s="430"/>
      <c r="BE19" s="430"/>
      <c r="BF19" s="430"/>
      <c r="BG19" s="430"/>
      <c r="BH19" s="430"/>
      <c r="BI19" s="430"/>
      <c r="BJ19" s="430"/>
      <c r="BK19" s="430"/>
    </row>
    <row r="20" spans="1:63" ht="14.65" customHeight="1">
      <c r="A20" s="533" t="s">
        <v>1033</v>
      </c>
      <c r="B20" s="430"/>
      <c r="C20" s="430"/>
      <c r="D20" s="430"/>
      <c r="E20" s="430"/>
      <c r="F20" s="430"/>
      <c r="G20" s="430"/>
      <c r="H20" s="430"/>
      <c r="I20" s="430"/>
      <c r="J20" s="430"/>
      <c r="K20" s="430"/>
      <c r="L20" s="430"/>
      <c r="M20" s="430"/>
      <c r="N20" s="430"/>
      <c r="O20" s="430"/>
      <c r="P20" s="430"/>
      <c r="Q20" s="430"/>
      <c r="R20" s="430"/>
      <c r="S20" s="430"/>
      <c r="T20" s="430"/>
      <c r="U20" s="430"/>
      <c r="V20" s="430"/>
      <c r="W20" s="430"/>
      <c r="X20" s="430"/>
      <c r="Y20" s="532"/>
      <c r="Z20" s="532"/>
      <c r="AA20" s="430"/>
      <c r="AB20" s="430"/>
      <c r="AC20" s="430"/>
      <c r="AD20" s="430"/>
      <c r="AE20" s="430"/>
      <c r="AF20" s="430"/>
      <c r="AG20" s="430"/>
      <c r="AH20" s="430"/>
      <c r="AI20" s="430"/>
      <c r="AJ20" s="430"/>
      <c r="AK20" s="430"/>
      <c r="AL20" s="430"/>
      <c r="AM20" s="430"/>
      <c r="AN20" s="430"/>
      <c r="AO20" s="430"/>
      <c r="AP20" s="430"/>
      <c r="AQ20" s="430"/>
      <c r="AR20" s="430"/>
      <c r="AS20" s="430"/>
      <c r="AT20" s="430"/>
      <c r="AU20" s="430"/>
      <c r="AV20" s="430"/>
      <c r="AW20" s="430"/>
      <c r="AX20" s="430"/>
      <c r="AY20" s="430"/>
      <c r="AZ20" s="430"/>
      <c r="BA20" s="430"/>
      <c r="BB20" s="430"/>
      <c r="BC20" s="430"/>
      <c r="BD20" s="430"/>
      <c r="BE20" s="430"/>
      <c r="BF20" s="430"/>
      <c r="BG20" s="430"/>
      <c r="BH20" s="430"/>
      <c r="BI20" s="430"/>
      <c r="BJ20" s="430"/>
      <c r="BK20" s="430"/>
    </row>
    <row r="21" spans="1:63" s="5" customFormat="1">
      <c r="A21" s="430" t="str">
        <f t="shared" ref="A21:A32" si="1">+A6</f>
        <v>HOBI (CW)</v>
      </c>
      <c r="B21" s="535" t="s">
        <v>18</v>
      </c>
      <c r="C21" s="533" t="s">
        <v>1034</v>
      </c>
      <c r="D21" s="535" t="s">
        <v>1074</v>
      </c>
      <c r="E21" s="478"/>
      <c r="F21" s="478"/>
      <c r="G21" s="478"/>
      <c r="H21" s="478"/>
      <c r="I21" s="478"/>
      <c r="J21" s="478"/>
      <c r="K21" s="478"/>
      <c r="L21" s="511">
        <v>0</v>
      </c>
      <c r="M21" s="511">
        <v>0</v>
      </c>
      <c r="N21" s="511">
        <v>0</v>
      </c>
      <c r="O21" s="511">
        <v>125000</v>
      </c>
      <c r="P21" s="511">
        <v>0</v>
      </c>
      <c r="Q21" s="511">
        <v>0</v>
      </c>
      <c r="R21" s="511">
        <v>0</v>
      </c>
      <c r="S21" s="511">
        <v>225000</v>
      </c>
      <c r="T21" s="492">
        <v>325000</v>
      </c>
      <c r="U21" s="492">
        <v>325000</v>
      </c>
      <c r="V21" s="492">
        <v>325000</v>
      </c>
      <c r="W21" s="492">
        <v>325000</v>
      </c>
      <c r="X21" s="430"/>
      <c r="Y21" s="532"/>
      <c r="Z21" s="430"/>
      <c r="AA21" s="430"/>
      <c r="AB21" s="603"/>
      <c r="AC21" s="600"/>
      <c r="AD21" s="600"/>
      <c r="AE21" s="600"/>
      <c r="AF21" s="430"/>
      <c r="AG21" s="430"/>
      <c r="AH21" s="430"/>
      <c r="AI21" s="430"/>
      <c r="AJ21" s="430"/>
      <c r="AK21" s="430"/>
      <c r="AL21" s="430"/>
      <c r="AM21" s="430"/>
      <c r="AN21" s="430"/>
      <c r="AO21" s="430"/>
      <c r="AP21" s="430"/>
      <c r="AQ21" s="430"/>
      <c r="AR21" s="430"/>
      <c r="AS21" s="430"/>
      <c r="AT21" s="430"/>
      <c r="AU21" s="430"/>
      <c r="AV21" s="430"/>
      <c r="AW21" s="430"/>
      <c r="AX21" s="430"/>
      <c r="AY21" s="430"/>
      <c r="AZ21" s="430"/>
      <c r="BA21" s="430"/>
      <c r="BB21" s="430"/>
      <c r="BC21" s="430"/>
      <c r="BD21" s="430"/>
      <c r="BE21" s="430"/>
      <c r="BF21" s="430"/>
      <c r="BG21" s="430"/>
      <c r="BH21" s="430"/>
      <c r="BI21" s="430"/>
      <c r="BJ21" s="430"/>
      <c r="BK21" s="430"/>
    </row>
    <row r="22" spans="1:63" s="5" customFormat="1">
      <c r="A22" s="430" t="str">
        <f t="shared" si="1"/>
        <v xml:space="preserve">CFO (ZS) </v>
      </c>
      <c r="B22" s="535" t="s">
        <v>18</v>
      </c>
      <c r="C22" s="533" t="s">
        <v>1034</v>
      </c>
      <c r="D22" s="535" t="s">
        <v>1076</v>
      </c>
      <c r="E22" s="464"/>
      <c r="F22" s="464"/>
      <c r="G22" s="464"/>
      <c r="H22" s="464"/>
      <c r="I22" s="464"/>
      <c r="J22" s="464"/>
      <c r="K22" s="464"/>
      <c r="L22" s="511">
        <v>0</v>
      </c>
      <c r="M22" s="511">
        <v>0</v>
      </c>
      <c r="N22" s="511">
        <v>0</v>
      </c>
      <c r="O22" s="511">
        <v>60000</v>
      </c>
      <c r="P22" s="511">
        <v>0</v>
      </c>
      <c r="Q22" s="511">
        <v>0</v>
      </c>
      <c r="R22" s="511">
        <v>0</v>
      </c>
      <c r="S22" s="511">
        <v>100000</v>
      </c>
      <c r="T22" s="492">
        <v>150000</v>
      </c>
      <c r="U22" s="492">
        <v>150000</v>
      </c>
      <c r="V22" s="492">
        <v>150000</v>
      </c>
      <c r="W22" s="492">
        <v>150000</v>
      </c>
      <c r="X22" s="430"/>
      <c r="Y22" s="532"/>
      <c r="Z22" s="430"/>
      <c r="AA22" s="430"/>
      <c r="AB22" s="430"/>
      <c r="AC22" s="454"/>
      <c r="AD22" s="600"/>
      <c r="AE22" s="600"/>
      <c r="AF22" s="430"/>
      <c r="AG22" s="430"/>
      <c r="AH22" s="430"/>
      <c r="AI22" s="430"/>
      <c r="AJ22" s="430"/>
      <c r="AK22" s="430"/>
      <c r="AL22" s="430"/>
      <c r="AM22" s="430"/>
      <c r="AN22" s="430"/>
      <c r="AO22" s="430"/>
      <c r="AP22" s="430"/>
      <c r="AQ22" s="430"/>
      <c r="AR22" s="430"/>
      <c r="AS22" s="430"/>
      <c r="AT22" s="430"/>
      <c r="AU22" s="430"/>
      <c r="AV22" s="430"/>
      <c r="AW22" s="430"/>
      <c r="AX22" s="430"/>
      <c r="AY22" s="430"/>
      <c r="AZ22" s="430"/>
      <c r="BA22" s="430"/>
      <c r="BB22" s="430"/>
      <c r="BC22" s="430"/>
      <c r="BD22" s="430"/>
      <c r="BE22" s="430"/>
      <c r="BF22" s="430"/>
      <c r="BG22" s="430"/>
      <c r="BH22" s="430"/>
      <c r="BI22" s="430"/>
      <c r="BJ22" s="430"/>
      <c r="BK22" s="430"/>
    </row>
    <row r="23" spans="1:63" s="5" customFormat="1">
      <c r="A23" s="430" t="str">
        <f t="shared" si="1"/>
        <v xml:space="preserve">Financial Analyst (NR) </v>
      </c>
      <c r="B23" s="535" t="s">
        <v>18</v>
      </c>
      <c r="C23" s="533" t="s">
        <v>1034</v>
      </c>
      <c r="D23" s="535" t="s">
        <v>1078</v>
      </c>
      <c r="E23" s="464"/>
      <c r="F23" s="464"/>
      <c r="G23" s="464"/>
      <c r="H23" s="464"/>
      <c r="I23" s="464"/>
      <c r="J23" s="464"/>
      <c r="K23" s="464"/>
      <c r="L23" s="511">
        <v>0</v>
      </c>
      <c r="M23" s="511">
        <v>0</v>
      </c>
      <c r="N23" s="511">
        <v>0</v>
      </c>
      <c r="O23" s="511">
        <v>5000</v>
      </c>
      <c r="P23" s="511">
        <v>0</v>
      </c>
      <c r="Q23" s="511">
        <v>0</v>
      </c>
      <c r="R23" s="511">
        <v>0</v>
      </c>
      <c r="S23" s="511">
        <v>7500</v>
      </c>
      <c r="T23" s="492">
        <v>7500</v>
      </c>
      <c r="U23" s="492">
        <v>7500</v>
      </c>
      <c r="V23" s="492">
        <v>7500</v>
      </c>
      <c r="W23" s="492">
        <v>7500</v>
      </c>
      <c r="X23" s="430"/>
      <c r="Y23" s="532"/>
      <c r="Z23" s="430"/>
      <c r="AA23" s="430"/>
      <c r="AB23" s="430"/>
      <c r="AC23" s="454"/>
      <c r="AD23" s="430"/>
      <c r="AE23" s="454"/>
      <c r="AF23" s="430"/>
      <c r="AG23" s="430"/>
      <c r="AH23" s="430"/>
      <c r="AI23" s="430"/>
      <c r="AJ23" s="430"/>
      <c r="AK23" s="430"/>
      <c r="AL23" s="430"/>
      <c r="AM23" s="430"/>
      <c r="AN23" s="430"/>
      <c r="AO23" s="430"/>
      <c r="AP23" s="430"/>
      <c r="AQ23" s="430"/>
      <c r="AR23" s="430"/>
      <c r="AS23" s="430"/>
      <c r="AT23" s="430"/>
      <c r="AU23" s="430"/>
      <c r="AV23" s="430"/>
      <c r="AW23" s="430"/>
      <c r="AX23" s="430"/>
      <c r="AY23" s="430"/>
      <c r="AZ23" s="430"/>
      <c r="BA23" s="430"/>
      <c r="BB23" s="430"/>
      <c r="BC23" s="430"/>
      <c r="BD23" s="430"/>
      <c r="BE23" s="430"/>
      <c r="BF23" s="430"/>
      <c r="BG23" s="430"/>
      <c r="BH23" s="430"/>
      <c r="BI23" s="430"/>
      <c r="BJ23" s="430"/>
      <c r="BK23" s="430"/>
    </row>
    <row r="24" spans="1:63" s="5" customFormat="1">
      <c r="A24" s="430" t="str">
        <f t="shared" si="1"/>
        <v>Fin Controls (TB) - 100%</v>
      </c>
      <c r="B24" s="535" t="s">
        <v>18</v>
      </c>
      <c r="C24" s="533" t="s">
        <v>1034</v>
      </c>
      <c r="D24" s="535" t="s">
        <v>1080</v>
      </c>
      <c r="E24" s="464"/>
      <c r="F24" s="464"/>
      <c r="G24" s="464"/>
      <c r="H24" s="464"/>
      <c r="I24" s="464"/>
      <c r="J24" s="464"/>
      <c r="K24" s="464"/>
      <c r="L24" s="511">
        <v>0</v>
      </c>
      <c r="M24" s="511">
        <v>0</v>
      </c>
      <c r="N24" s="511">
        <v>0</v>
      </c>
      <c r="O24" s="511">
        <v>17500</v>
      </c>
      <c r="P24" s="511">
        <v>0</v>
      </c>
      <c r="Q24" s="511">
        <v>0</v>
      </c>
      <c r="R24" s="511">
        <v>0</v>
      </c>
      <c r="S24" s="511">
        <v>15000</v>
      </c>
      <c r="T24" s="492">
        <v>15000</v>
      </c>
      <c r="U24" s="492">
        <v>15000</v>
      </c>
      <c r="V24" s="492">
        <v>15000</v>
      </c>
      <c r="W24" s="492">
        <v>15000</v>
      </c>
      <c r="X24" s="430"/>
      <c r="Y24" s="532"/>
      <c r="Z24" s="430"/>
      <c r="AA24" s="430"/>
      <c r="AB24" s="430"/>
      <c r="AC24" s="600"/>
      <c r="AD24" s="430"/>
      <c r="AE24" s="454"/>
      <c r="AF24" s="430"/>
      <c r="AG24" s="430"/>
      <c r="AH24" s="430"/>
      <c r="AI24" s="430"/>
      <c r="AJ24" s="430"/>
      <c r="AK24" s="430"/>
      <c r="AL24" s="430"/>
      <c r="AM24" s="430"/>
      <c r="AN24" s="430"/>
      <c r="AO24" s="430"/>
      <c r="AP24" s="430"/>
      <c r="AQ24" s="430"/>
      <c r="AR24" s="430"/>
      <c r="AS24" s="430"/>
      <c r="AT24" s="430"/>
      <c r="AU24" s="430"/>
      <c r="AV24" s="430"/>
      <c r="AW24" s="430"/>
      <c r="AX24" s="430"/>
      <c r="AY24" s="430"/>
      <c r="AZ24" s="430"/>
      <c r="BA24" s="430"/>
      <c r="BB24" s="430"/>
      <c r="BC24" s="430"/>
      <c r="BD24" s="430"/>
      <c r="BE24" s="430"/>
      <c r="BF24" s="430"/>
      <c r="BG24" s="430"/>
      <c r="BH24" s="430"/>
      <c r="BI24" s="430"/>
      <c r="BJ24" s="430"/>
      <c r="BK24" s="430"/>
    </row>
    <row r="25" spans="1:63" s="5" customFormat="1">
      <c r="A25" s="430" t="str">
        <f t="shared" si="1"/>
        <v>Administrative Assistant (AM)</v>
      </c>
      <c r="B25" s="535" t="s">
        <v>18</v>
      </c>
      <c r="C25" s="533" t="s">
        <v>1034</v>
      </c>
      <c r="D25" s="535" t="s">
        <v>1063</v>
      </c>
      <c r="E25" s="464"/>
      <c r="F25" s="464"/>
      <c r="G25" s="464"/>
      <c r="H25" s="464"/>
      <c r="I25" s="464"/>
      <c r="J25" s="464"/>
      <c r="K25" s="464"/>
      <c r="L25" s="511">
        <v>0</v>
      </c>
      <c r="M25" s="511">
        <v>0</v>
      </c>
      <c r="N25" s="511">
        <v>0</v>
      </c>
      <c r="O25" s="511">
        <v>10000</v>
      </c>
      <c r="P25" s="511">
        <v>0</v>
      </c>
      <c r="Q25" s="511">
        <v>0</v>
      </c>
      <c r="R25" s="511">
        <v>0</v>
      </c>
      <c r="S25" s="511">
        <v>0</v>
      </c>
      <c r="T25" s="492">
        <v>0</v>
      </c>
      <c r="U25" s="492">
        <v>0</v>
      </c>
      <c r="V25" s="492">
        <v>0</v>
      </c>
      <c r="W25" s="492">
        <v>0</v>
      </c>
      <c r="X25" s="430"/>
      <c r="Y25" s="532"/>
      <c r="Z25" s="430"/>
      <c r="AA25" s="430"/>
      <c r="AB25" s="430"/>
      <c r="AC25" s="430"/>
      <c r="AD25" s="430"/>
      <c r="AE25" s="601"/>
      <c r="AF25" s="430"/>
      <c r="AG25" s="430"/>
      <c r="AH25" s="430"/>
      <c r="AI25" s="430"/>
      <c r="AJ25" s="430"/>
      <c r="AK25" s="430"/>
      <c r="AL25" s="430"/>
      <c r="AM25" s="430"/>
      <c r="AN25" s="430"/>
      <c r="AO25" s="430"/>
      <c r="AP25" s="430"/>
      <c r="AQ25" s="430"/>
      <c r="AR25" s="430"/>
      <c r="AS25" s="430"/>
      <c r="AT25" s="430"/>
      <c r="AU25" s="430"/>
      <c r="AV25" s="430"/>
      <c r="AW25" s="430"/>
      <c r="AX25" s="430"/>
      <c r="AY25" s="430"/>
      <c r="AZ25" s="430"/>
      <c r="BA25" s="430"/>
      <c r="BB25" s="430"/>
      <c r="BC25" s="430"/>
      <c r="BD25" s="430"/>
      <c r="BE25" s="430"/>
      <c r="BF25" s="430"/>
      <c r="BG25" s="430"/>
      <c r="BH25" s="430"/>
      <c r="BI25" s="430"/>
      <c r="BJ25" s="430"/>
      <c r="BK25" s="430"/>
    </row>
    <row r="26" spans="1:63">
      <c r="A26" s="430" t="str">
        <f t="shared" si="1"/>
        <v>Administrative Assistant (PT)</v>
      </c>
      <c r="B26" s="442" t="s">
        <v>18</v>
      </c>
      <c r="C26" s="442" t="s">
        <v>1034</v>
      </c>
      <c r="D26" s="442" t="s">
        <v>1083</v>
      </c>
      <c r="E26" s="464"/>
      <c r="F26" s="464"/>
      <c r="G26" s="464"/>
      <c r="H26" s="464"/>
      <c r="I26" s="464"/>
      <c r="J26" s="464"/>
      <c r="K26" s="464"/>
      <c r="L26" s="511">
        <v>0</v>
      </c>
      <c r="M26" s="511">
        <v>0</v>
      </c>
      <c r="N26" s="511">
        <v>0</v>
      </c>
      <c r="O26" s="511">
        <v>0</v>
      </c>
      <c r="P26" s="511">
        <v>0</v>
      </c>
      <c r="Q26" s="511">
        <v>0</v>
      </c>
      <c r="R26" s="511">
        <v>0</v>
      </c>
      <c r="S26" s="511">
        <v>10000</v>
      </c>
      <c r="T26" s="492">
        <v>10000</v>
      </c>
      <c r="U26" s="492">
        <v>10000</v>
      </c>
      <c r="V26" s="492">
        <v>10000</v>
      </c>
      <c r="W26" s="492">
        <v>10000</v>
      </c>
      <c r="X26" s="464"/>
      <c r="Y26" s="454"/>
      <c r="Z26" s="454"/>
      <c r="AA26" s="430"/>
      <c r="AB26" s="430"/>
      <c r="AC26" s="430"/>
      <c r="AD26" s="430"/>
      <c r="AE26" s="430"/>
      <c r="AF26" s="430"/>
      <c r="AG26" s="430"/>
      <c r="AH26" s="430"/>
      <c r="AI26" s="430"/>
      <c r="AJ26" s="430"/>
      <c r="AK26" s="430"/>
      <c r="AL26" s="430"/>
      <c r="AM26" s="430"/>
      <c r="AN26" s="430"/>
      <c r="AO26" s="430"/>
      <c r="AP26" s="430"/>
      <c r="AQ26" s="430"/>
      <c r="AR26" s="430"/>
      <c r="AS26" s="430"/>
      <c r="AT26" s="430"/>
      <c r="AU26" s="430"/>
      <c r="AV26" s="430"/>
      <c r="AW26" s="430"/>
      <c r="AX26" s="430"/>
      <c r="AY26" s="430"/>
      <c r="AZ26" s="430"/>
      <c r="BA26" s="430"/>
      <c r="BB26" s="430"/>
      <c r="BC26" s="430"/>
      <c r="BD26" s="430"/>
      <c r="BE26" s="430"/>
      <c r="BF26" s="430"/>
      <c r="BG26" s="430"/>
      <c r="BH26" s="430"/>
      <c r="BI26" s="430"/>
      <c r="BJ26" s="430"/>
      <c r="BK26" s="430"/>
    </row>
    <row r="27" spans="1:63" s="30" customFormat="1">
      <c r="A27" s="430" t="str">
        <f t="shared" si="1"/>
        <v>Financial Director (DV) - 100%</v>
      </c>
      <c r="B27" s="535" t="s">
        <v>18</v>
      </c>
      <c r="C27" s="533" t="s">
        <v>1034</v>
      </c>
      <c r="D27" s="535" t="s">
        <v>1085</v>
      </c>
      <c r="E27" s="464"/>
      <c r="F27" s="464"/>
      <c r="G27" s="464"/>
      <c r="H27" s="464"/>
      <c r="I27" s="464"/>
      <c r="J27" s="464"/>
      <c r="K27" s="464"/>
      <c r="L27" s="511">
        <v>0</v>
      </c>
      <c r="M27" s="511">
        <v>0</v>
      </c>
      <c r="N27" s="511">
        <v>0</v>
      </c>
      <c r="O27" s="511">
        <v>20000</v>
      </c>
      <c r="P27" s="511">
        <v>0</v>
      </c>
      <c r="Q27" s="511">
        <v>0</v>
      </c>
      <c r="R27" s="511">
        <v>0</v>
      </c>
      <c r="S27" s="511">
        <v>40000</v>
      </c>
      <c r="T27" s="492">
        <v>40000</v>
      </c>
      <c r="U27" s="492">
        <v>40000</v>
      </c>
      <c r="V27" s="492">
        <v>40000</v>
      </c>
      <c r="W27" s="492">
        <v>40000</v>
      </c>
      <c r="X27" s="464"/>
      <c r="Y27" s="532"/>
      <c r="Z27" s="532"/>
      <c r="AA27" s="430"/>
      <c r="AB27" s="430"/>
      <c r="AC27" s="454"/>
      <c r="AD27" s="430"/>
      <c r="AE27" s="600"/>
      <c r="AF27" s="430"/>
      <c r="AG27" s="430"/>
      <c r="AH27" s="430"/>
      <c r="AI27" s="430"/>
      <c r="AJ27" s="430"/>
      <c r="AK27" s="430"/>
      <c r="AL27" s="430"/>
      <c r="AM27" s="430"/>
      <c r="AN27" s="430"/>
      <c r="AO27" s="430"/>
      <c r="AP27" s="430"/>
      <c r="AQ27" s="430"/>
      <c r="AR27" s="430"/>
      <c r="AS27" s="430"/>
      <c r="AT27" s="430"/>
      <c r="AU27" s="430"/>
      <c r="AV27" s="430"/>
      <c r="AW27" s="430"/>
      <c r="AX27" s="430"/>
      <c r="AY27" s="430"/>
      <c r="AZ27" s="430"/>
      <c r="BA27" s="430"/>
      <c r="BB27" s="430"/>
      <c r="BC27" s="430"/>
      <c r="BD27" s="430"/>
      <c r="BE27" s="430"/>
      <c r="BF27" s="430"/>
      <c r="BG27" s="430"/>
      <c r="BH27" s="430"/>
      <c r="BI27" s="430"/>
      <c r="BJ27" s="430"/>
      <c r="BK27" s="430"/>
    </row>
    <row r="28" spans="1:63" s="30" customFormat="1">
      <c r="A28" s="430" t="str">
        <f t="shared" si="1"/>
        <v>IM (TW)</v>
      </c>
      <c r="B28" s="535" t="s">
        <v>18</v>
      </c>
      <c r="C28" s="533" t="s">
        <v>1034</v>
      </c>
      <c r="D28" s="535" t="s">
        <v>1087</v>
      </c>
      <c r="E28" s="464"/>
      <c r="F28" s="464"/>
      <c r="G28" s="464"/>
      <c r="H28" s="464"/>
      <c r="I28" s="464"/>
      <c r="J28" s="464"/>
      <c r="K28" s="464"/>
      <c r="L28" s="511">
        <v>0</v>
      </c>
      <c r="M28" s="511">
        <v>0</v>
      </c>
      <c r="N28" s="511">
        <v>0</v>
      </c>
      <c r="O28" s="511">
        <v>25000</v>
      </c>
      <c r="P28" s="511">
        <v>0</v>
      </c>
      <c r="Q28" s="511">
        <v>0</v>
      </c>
      <c r="R28" s="511">
        <v>0</v>
      </c>
      <c r="S28" s="511">
        <v>25000</v>
      </c>
      <c r="T28" s="492">
        <v>25000</v>
      </c>
      <c r="U28" s="492">
        <v>25000</v>
      </c>
      <c r="V28" s="492">
        <v>25000</v>
      </c>
      <c r="W28" s="492">
        <v>25000</v>
      </c>
      <c r="X28" s="464"/>
      <c r="Y28" s="532"/>
      <c r="Z28" s="532"/>
      <c r="AA28" s="430"/>
      <c r="AB28" s="430"/>
      <c r="AC28" s="454"/>
      <c r="AD28" s="430"/>
      <c r="AE28" s="600"/>
      <c r="AF28" s="430"/>
      <c r="AG28" s="430"/>
      <c r="AH28" s="430"/>
      <c r="AI28" s="430"/>
      <c r="AJ28" s="430"/>
      <c r="AK28" s="430"/>
      <c r="AL28" s="430"/>
      <c r="AM28" s="430"/>
      <c r="AN28" s="430"/>
      <c r="AO28" s="430"/>
      <c r="AP28" s="430"/>
      <c r="AQ28" s="430"/>
      <c r="AR28" s="430"/>
      <c r="AS28" s="430"/>
      <c r="AT28" s="430"/>
      <c r="AU28" s="430"/>
      <c r="AV28" s="430"/>
      <c r="AW28" s="430"/>
      <c r="AX28" s="430"/>
      <c r="AY28" s="430"/>
      <c r="AZ28" s="430"/>
      <c r="BA28" s="430"/>
      <c r="BB28" s="430"/>
      <c r="BC28" s="430"/>
      <c r="BD28" s="430"/>
      <c r="BE28" s="430"/>
      <c r="BF28" s="430"/>
      <c r="BG28" s="430"/>
      <c r="BH28" s="430"/>
      <c r="BI28" s="430"/>
      <c r="BJ28" s="430"/>
      <c r="BK28" s="430"/>
    </row>
    <row r="29" spans="1:63" s="5" customFormat="1">
      <c r="A29" s="430" t="str">
        <f t="shared" si="1"/>
        <v>HR (100%)</v>
      </c>
      <c r="B29" s="535" t="s">
        <v>18</v>
      </c>
      <c r="C29" s="533" t="s">
        <v>1034</v>
      </c>
      <c r="D29" s="535" t="s">
        <v>1089</v>
      </c>
      <c r="E29" s="464"/>
      <c r="F29" s="464"/>
      <c r="G29" s="464"/>
      <c r="H29" s="464"/>
      <c r="I29" s="464"/>
      <c r="J29" s="464"/>
      <c r="K29" s="464"/>
      <c r="L29" s="511">
        <v>0</v>
      </c>
      <c r="M29" s="511">
        <v>0</v>
      </c>
      <c r="N29" s="511">
        <v>0</v>
      </c>
      <c r="O29" s="511">
        <v>0</v>
      </c>
      <c r="P29" s="511">
        <v>0</v>
      </c>
      <c r="Q29" s="511">
        <v>0</v>
      </c>
      <c r="R29" s="511">
        <v>0</v>
      </c>
      <c r="S29" s="511">
        <v>15000</v>
      </c>
      <c r="T29" s="492">
        <v>25000</v>
      </c>
      <c r="U29" s="492">
        <v>25000</v>
      </c>
      <c r="V29" s="492">
        <v>25000</v>
      </c>
      <c r="W29" s="492">
        <v>25000</v>
      </c>
      <c r="X29" s="430"/>
      <c r="Y29" s="532"/>
      <c r="Z29" s="430"/>
      <c r="AA29" s="430"/>
      <c r="AB29" s="430"/>
      <c r="AC29" s="600"/>
      <c r="AD29" s="430"/>
      <c r="AE29" s="601"/>
      <c r="AF29" s="430"/>
      <c r="AG29" s="430"/>
      <c r="AH29" s="430"/>
      <c r="AI29" s="430"/>
      <c r="AJ29" s="430"/>
      <c r="AK29" s="430"/>
      <c r="AL29" s="430"/>
      <c r="AM29" s="430"/>
      <c r="AN29" s="430"/>
      <c r="AO29" s="430"/>
      <c r="AP29" s="430"/>
      <c r="AQ29" s="430"/>
      <c r="AR29" s="430"/>
      <c r="AS29" s="430"/>
      <c r="AT29" s="430"/>
      <c r="AU29" s="430"/>
      <c r="AV29" s="430"/>
      <c r="AW29" s="430"/>
      <c r="AX29" s="430"/>
      <c r="AY29" s="430"/>
      <c r="AZ29" s="430"/>
      <c r="BA29" s="430"/>
      <c r="BB29" s="430"/>
      <c r="BC29" s="430"/>
      <c r="BD29" s="430"/>
      <c r="BE29" s="430"/>
      <c r="BF29" s="430"/>
      <c r="BG29" s="430"/>
      <c r="BH29" s="430"/>
      <c r="BI29" s="430"/>
      <c r="BJ29" s="430"/>
      <c r="BK29" s="430"/>
    </row>
    <row r="30" spans="1:63" s="5" customFormat="1">
      <c r="A30" s="430" t="str">
        <f t="shared" si="1"/>
        <v>Legal (100%)</v>
      </c>
      <c r="B30" s="535" t="s">
        <v>18</v>
      </c>
      <c r="C30" s="533" t="s">
        <v>1034</v>
      </c>
      <c r="D30" s="535" t="s">
        <v>1091</v>
      </c>
      <c r="E30" s="464"/>
      <c r="F30" s="464"/>
      <c r="G30" s="464"/>
      <c r="H30" s="464"/>
      <c r="I30" s="464"/>
      <c r="J30" s="464"/>
      <c r="K30" s="464"/>
      <c r="L30" s="511">
        <v>0</v>
      </c>
      <c r="M30" s="511">
        <v>0</v>
      </c>
      <c r="N30" s="511">
        <v>0</v>
      </c>
      <c r="O30" s="511">
        <v>0</v>
      </c>
      <c r="P30" s="511">
        <v>0</v>
      </c>
      <c r="Q30" s="511">
        <v>0</v>
      </c>
      <c r="R30" s="511">
        <v>0</v>
      </c>
      <c r="S30" s="511">
        <v>15000</v>
      </c>
      <c r="T30" s="492">
        <v>25000</v>
      </c>
      <c r="U30" s="492">
        <v>25000</v>
      </c>
      <c r="V30" s="492">
        <v>25000</v>
      </c>
      <c r="W30" s="492">
        <v>25000</v>
      </c>
      <c r="X30" s="430"/>
      <c r="Y30" s="532"/>
      <c r="Z30" s="430"/>
      <c r="AA30" s="430"/>
      <c r="AB30" s="430"/>
      <c r="AC30" s="600"/>
      <c r="AD30" s="430"/>
      <c r="AE30" s="601"/>
      <c r="AF30" s="430"/>
      <c r="AG30" s="430"/>
      <c r="AH30" s="430"/>
      <c r="AI30" s="430"/>
      <c r="AJ30" s="430"/>
      <c r="AK30" s="430"/>
      <c r="AL30" s="430"/>
      <c r="AM30" s="430"/>
      <c r="AN30" s="430"/>
      <c r="AO30" s="430"/>
      <c r="AP30" s="430"/>
      <c r="AQ30" s="430"/>
      <c r="AR30" s="430"/>
      <c r="AS30" s="430"/>
      <c r="AT30" s="430"/>
      <c r="AU30" s="430"/>
      <c r="AV30" s="430"/>
      <c r="AW30" s="430"/>
      <c r="AX30" s="430"/>
      <c r="AY30" s="430"/>
      <c r="AZ30" s="430"/>
      <c r="BA30" s="430"/>
      <c r="BB30" s="430"/>
      <c r="BC30" s="430"/>
      <c r="BD30" s="430"/>
      <c r="BE30" s="430"/>
      <c r="BF30" s="430"/>
      <c r="BG30" s="430"/>
      <c r="BH30" s="430"/>
      <c r="BI30" s="430"/>
      <c r="BJ30" s="430"/>
      <c r="BK30" s="430"/>
    </row>
    <row r="31" spans="1:63" s="5" customFormat="1">
      <c r="A31" s="430" t="str">
        <f t="shared" si="1"/>
        <v>Tech1</v>
      </c>
      <c r="B31" s="535" t="s">
        <v>18</v>
      </c>
      <c r="C31" s="533" t="s">
        <v>1034</v>
      </c>
      <c r="D31" s="535" t="s">
        <v>1093</v>
      </c>
      <c r="E31" s="464"/>
      <c r="F31" s="464"/>
      <c r="G31" s="464"/>
      <c r="H31" s="464"/>
      <c r="I31" s="464"/>
      <c r="J31" s="464"/>
      <c r="K31" s="464"/>
      <c r="L31" s="511">
        <v>0</v>
      </c>
      <c r="M31" s="511">
        <v>0</v>
      </c>
      <c r="N31" s="511">
        <v>0</v>
      </c>
      <c r="O31" s="511">
        <v>0</v>
      </c>
      <c r="P31" s="511">
        <v>0</v>
      </c>
      <c r="Q31" s="511">
        <v>0</v>
      </c>
      <c r="R31" s="511">
        <v>0</v>
      </c>
      <c r="S31" s="511">
        <v>15000</v>
      </c>
      <c r="T31" s="492">
        <v>25000</v>
      </c>
      <c r="U31" s="492">
        <v>25000</v>
      </c>
      <c r="V31" s="492">
        <v>25000</v>
      </c>
      <c r="W31" s="492">
        <v>25000</v>
      </c>
      <c r="X31" s="430"/>
      <c r="Y31" s="532"/>
      <c r="Z31" s="430"/>
      <c r="AA31" s="430"/>
      <c r="AB31" s="528"/>
      <c r="AC31" s="600"/>
      <c r="AD31" s="430"/>
      <c r="AE31" s="600"/>
      <c r="AF31" s="430"/>
      <c r="AG31" s="430"/>
      <c r="AH31" s="430"/>
      <c r="AI31" s="430"/>
      <c r="AJ31" s="430"/>
      <c r="AK31" s="430"/>
      <c r="AL31" s="430"/>
      <c r="AM31" s="430"/>
      <c r="AN31" s="430"/>
      <c r="AO31" s="430"/>
      <c r="AP31" s="430"/>
      <c r="AQ31" s="430"/>
      <c r="AR31" s="430"/>
      <c r="AS31" s="430"/>
      <c r="AT31" s="430"/>
      <c r="AU31" s="430"/>
      <c r="AV31" s="430"/>
      <c r="AW31" s="430"/>
      <c r="AX31" s="430"/>
      <c r="AY31" s="430"/>
      <c r="AZ31" s="430"/>
      <c r="BA31" s="430"/>
      <c r="BB31" s="430"/>
      <c r="BC31" s="430"/>
      <c r="BD31" s="430"/>
      <c r="BE31" s="430"/>
      <c r="BF31" s="430"/>
      <c r="BG31" s="430"/>
      <c r="BH31" s="430"/>
      <c r="BI31" s="430"/>
      <c r="BJ31" s="430"/>
      <c r="BK31" s="430"/>
    </row>
    <row r="32" spans="1:63" s="5" customFormat="1">
      <c r="A32" s="430" t="str">
        <f t="shared" si="1"/>
        <v>Tech2</v>
      </c>
      <c r="B32" s="535" t="s">
        <v>18</v>
      </c>
      <c r="C32" s="533" t="s">
        <v>1034</v>
      </c>
      <c r="D32" s="535" t="s">
        <v>1095</v>
      </c>
      <c r="E32" s="464"/>
      <c r="F32" s="464"/>
      <c r="G32" s="464"/>
      <c r="H32" s="464"/>
      <c r="I32" s="464"/>
      <c r="J32" s="464"/>
      <c r="K32" s="464"/>
      <c r="L32" s="511">
        <v>0</v>
      </c>
      <c r="M32" s="511">
        <v>0</v>
      </c>
      <c r="N32" s="511">
        <v>0</v>
      </c>
      <c r="O32" s="511">
        <v>0</v>
      </c>
      <c r="P32" s="511">
        <v>0</v>
      </c>
      <c r="Q32" s="511">
        <v>0</v>
      </c>
      <c r="R32" s="511">
        <v>0</v>
      </c>
      <c r="S32" s="511">
        <v>15000</v>
      </c>
      <c r="T32" s="492">
        <v>25000</v>
      </c>
      <c r="U32" s="492">
        <v>25000</v>
      </c>
      <c r="V32" s="492">
        <v>25000</v>
      </c>
      <c r="W32" s="492">
        <v>25000</v>
      </c>
      <c r="X32" s="430"/>
      <c r="Y32" s="532"/>
      <c r="Z32" s="430"/>
      <c r="AA32" s="430"/>
      <c r="AB32" s="528"/>
      <c r="AC32" s="600"/>
      <c r="AD32" s="430"/>
      <c r="AE32" s="600"/>
      <c r="AF32" s="430"/>
      <c r="AG32" s="430"/>
      <c r="AH32" s="430"/>
      <c r="AI32" s="430"/>
      <c r="AJ32" s="430"/>
      <c r="AK32" s="430"/>
      <c r="AL32" s="430"/>
      <c r="AM32" s="430"/>
      <c r="AN32" s="430"/>
      <c r="AO32" s="430"/>
      <c r="AP32" s="430"/>
      <c r="AQ32" s="430"/>
      <c r="AR32" s="430"/>
      <c r="AS32" s="430"/>
      <c r="AT32" s="430"/>
      <c r="AU32" s="430"/>
      <c r="AV32" s="430"/>
      <c r="AW32" s="430"/>
      <c r="AX32" s="430"/>
      <c r="AY32" s="430"/>
      <c r="AZ32" s="430"/>
      <c r="BA32" s="430"/>
      <c r="BB32" s="430"/>
      <c r="BC32" s="430"/>
      <c r="BD32" s="430"/>
      <c r="BE32" s="430"/>
      <c r="BF32" s="430"/>
      <c r="BG32" s="430"/>
      <c r="BH32" s="430"/>
      <c r="BI32" s="430"/>
      <c r="BJ32" s="430"/>
      <c r="BK32" s="430"/>
    </row>
    <row r="33" spans="1:63" ht="14.65" customHeight="1">
      <c r="A33" s="593" t="s">
        <v>33</v>
      </c>
      <c r="B33" s="430"/>
      <c r="C33" s="430"/>
      <c r="D33" s="430"/>
      <c r="E33" s="473"/>
      <c r="F33" s="473"/>
      <c r="G33" s="473"/>
      <c r="H33" s="473"/>
      <c r="I33" s="473"/>
      <c r="J33" s="473"/>
      <c r="K33" s="473"/>
      <c r="L33" s="464">
        <f t="shared" ref="L33:W33" si="2">SUM(L21:L32)</f>
        <v>0</v>
      </c>
      <c r="M33" s="464">
        <f t="shared" si="2"/>
        <v>0</v>
      </c>
      <c r="N33" s="464">
        <f t="shared" si="2"/>
        <v>0</v>
      </c>
      <c r="O33" s="464">
        <f t="shared" si="2"/>
        <v>262500</v>
      </c>
      <c r="P33" s="464">
        <f t="shared" si="2"/>
        <v>0</v>
      </c>
      <c r="Q33" s="464">
        <f t="shared" si="2"/>
        <v>0</v>
      </c>
      <c r="R33" s="464">
        <f t="shared" si="2"/>
        <v>0</v>
      </c>
      <c r="S33" s="464">
        <f t="shared" si="2"/>
        <v>482500</v>
      </c>
      <c r="T33" s="464">
        <f t="shared" si="2"/>
        <v>672500</v>
      </c>
      <c r="U33" s="464">
        <f t="shared" si="2"/>
        <v>672500</v>
      </c>
      <c r="V33" s="464">
        <f t="shared" si="2"/>
        <v>672500</v>
      </c>
      <c r="W33" s="464">
        <f t="shared" si="2"/>
        <v>672500</v>
      </c>
      <c r="X33" s="464"/>
      <c r="Y33" s="532"/>
      <c r="Z33" s="532"/>
      <c r="AA33" s="430"/>
      <c r="AB33" s="430"/>
      <c r="AC33" s="430"/>
      <c r="AD33" s="430"/>
      <c r="AE33" s="430"/>
      <c r="AF33" s="430"/>
      <c r="AG33" s="430"/>
      <c r="AH33" s="430"/>
      <c r="AI33" s="430"/>
      <c r="AJ33" s="430"/>
      <c r="AK33" s="430"/>
      <c r="AL33" s="430"/>
      <c r="AM33" s="430"/>
      <c r="AN33" s="430"/>
      <c r="AO33" s="430"/>
      <c r="AP33" s="430"/>
      <c r="AQ33" s="430"/>
      <c r="AR33" s="430"/>
      <c r="AS33" s="430"/>
      <c r="AT33" s="430"/>
      <c r="AU33" s="430"/>
      <c r="AV33" s="430"/>
      <c r="AW33" s="430"/>
      <c r="AX33" s="430"/>
      <c r="AY33" s="430"/>
      <c r="AZ33" s="430"/>
      <c r="BA33" s="430"/>
      <c r="BB33" s="430"/>
      <c r="BC33" s="430"/>
      <c r="BD33" s="430"/>
      <c r="BE33" s="430"/>
      <c r="BF33" s="430"/>
      <c r="BG33" s="430"/>
      <c r="BH33" s="430"/>
      <c r="BI33" s="430"/>
      <c r="BJ33" s="430"/>
      <c r="BK33" s="430"/>
    </row>
    <row r="34" spans="1:63">
      <c r="A34" s="594"/>
      <c r="B34" s="430"/>
      <c r="C34" s="430"/>
      <c r="D34" s="430"/>
      <c r="E34" s="464"/>
      <c r="F34" s="464"/>
      <c r="G34" s="464"/>
      <c r="H34" s="464"/>
      <c r="I34" s="464"/>
      <c r="J34" s="464"/>
      <c r="K34" s="464"/>
      <c r="L34" s="464"/>
      <c r="M34" s="464"/>
      <c r="N34" s="464"/>
      <c r="O34" s="464"/>
      <c r="P34" s="464"/>
      <c r="Q34" s="464"/>
      <c r="R34" s="464"/>
      <c r="S34" s="464"/>
      <c r="T34" s="464"/>
      <c r="U34" s="464"/>
      <c r="V34" s="464"/>
      <c r="W34" s="464"/>
      <c r="X34" s="501"/>
      <c r="Y34" s="532"/>
      <c r="Z34" s="532"/>
      <c r="AA34" s="430"/>
      <c r="AB34" s="430"/>
      <c r="AC34" s="430"/>
      <c r="AD34" s="430"/>
      <c r="AE34" s="430"/>
      <c r="AF34" s="430"/>
      <c r="AG34" s="430"/>
      <c r="AH34" s="430"/>
      <c r="AI34" s="430"/>
      <c r="AJ34" s="565"/>
      <c r="AK34" s="430"/>
      <c r="AL34" s="430"/>
      <c r="AM34" s="430"/>
      <c r="AN34" s="430"/>
      <c r="AO34" s="430"/>
      <c r="AP34" s="430"/>
      <c r="AQ34" s="430"/>
      <c r="AR34" s="430"/>
      <c r="AS34" s="430"/>
      <c r="AT34" s="430"/>
      <c r="AU34" s="430"/>
      <c r="AV34" s="430"/>
      <c r="AW34" s="430"/>
      <c r="AX34" s="430"/>
      <c r="AY34" s="430"/>
      <c r="AZ34" s="430"/>
      <c r="BA34" s="430"/>
      <c r="BB34" s="430"/>
      <c r="BC34" s="430"/>
      <c r="BD34" s="430"/>
      <c r="BE34" s="430"/>
      <c r="BF34" s="430"/>
      <c r="BG34" s="430"/>
      <c r="BH34" s="430"/>
      <c r="BI34" s="430"/>
      <c r="BJ34" s="430"/>
      <c r="BK34" s="430"/>
    </row>
    <row r="35" spans="1:63" ht="14.65" customHeight="1">
      <c r="A35" s="533" t="s">
        <v>1049</v>
      </c>
      <c r="B35" s="430"/>
      <c r="C35" s="430"/>
      <c r="D35" s="430"/>
      <c r="E35" s="430"/>
      <c r="F35" s="430"/>
      <c r="G35" s="430"/>
      <c r="H35" s="430"/>
      <c r="I35" s="430"/>
      <c r="J35" s="430"/>
      <c r="K35" s="430"/>
      <c r="L35" s="430"/>
      <c r="M35" s="430"/>
      <c r="N35" s="430"/>
      <c r="O35" s="430"/>
      <c r="P35" s="430"/>
      <c r="Q35" s="430"/>
      <c r="R35" s="430"/>
      <c r="S35" s="430"/>
      <c r="T35" s="430"/>
      <c r="U35" s="430"/>
      <c r="V35" s="430"/>
      <c r="W35" s="430"/>
      <c r="X35" s="430"/>
      <c r="Y35" s="532"/>
      <c r="Z35" s="532"/>
      <c r="AA35" s="430"/>
      <c r="AB35" s="430"/>
      <c r="AC35" s="430"/>
      <c r="AD35" s="430"/>
      <c r="AE35" s="430"/>
      <c r="AF35" s="430"/>
      <c r="AG35" s="430"/>
      <c r="AH35" s="430"/>
      <c r="AI35" s="430"/>
      <c r="AJ35" s="430"/>
      <c r="AK35" s="430"/>
      <c r="AL35" s="430"/>
      <c r="AM35" s="430"/>
      <c r="AN35" s="430"/>
      <c r="AO35" s="430"/>
      <c r="AP35" s="430"/>
      <c r="AQ35" s="430"/>
      <c r="AR35" s="430"/>
      <c r="AS35" s="430"/>
      <c r="AT35" s="430"/>
      <c r="AU35" s="430"/>
      <c r="AV35" s="430"/>
      <c r="AW35" s="430"/>
      <c r="AX35" s="430"/>
      <c r="AY35" s="430"/>
      <c r="AZ35" s="430"/>
      <c r="BA35" s="430"/>
      <c r="BB35" s="430"/>
      <c r="BC35" s="430"/>
      <c r="BD35" s="430"/>
      <c r="BE35" s="430"/>
      <c r="BF35" s="430"/>
      <c r="BG35" s="430"/>
      <c r="BH35" s="430"/>
      <c r="BI35" s="430"/>
      <c r="BJ35" s="430"/>
      <c r="BK35" s="430"/>
    </row>
    <row r="36" spans="1:63">
      <c r="A36" s="430" t="str">
        <f t="shared" ref="A36:A47" si="3">+A6</f>
        <v>HOBI (CW)</v>
      </c>
      <c r="B36" s="442" t="s">
        <v>34</v>
      </c>
      <c r="C36" s="442" t="s">
        <v>1035</v>
      </c>
      <c r="D36" s="442" t="s">
        <v>1074</v>
      </c>
      <c r="E36" s="490"/>
      <c r="F36" s="490"/>
      <c r="G36" s="490"/>
      <c r="H36" s="490"/>
      <c r="I36" s="490"/>
      <c r="J36" s="490"/>
      <c r="K36" s="490"/>
      <c r="L36" s="490">
        <f>+L6*(1+'.c12_inputs.hr'!$E$15)+(L21*(1+'.c12_inputs.hr'!$E$16))</f>
        <v>107999.99999999999</v>
      </c>
      <c r="M36" s="490">
        <f>+M6*(1+'.c12_inputs.hr'!$E$15)+(M21*(1+'.c12_inputs.hr'!$E$16))</f>
        <v>107999.99999999999</v>
      </c>
      <c r="N36" s="490">
        <f>+N6*(1+'.c12_inputs.hr'!$E$15)+(N21*(1+'.c12_inputs.hr'!$E$16))</f>
        <v>107999.99999999999</v>
      </c>
      <c r="O36" s="490">
        <f>+O6*(1+'.c12_inputs.hr'!$E$15)+(O21*(1+'.c12_inputs.hr'!$E$16))</f>
        <v>237874.99999999997</v>
      </c>
      <c r="P36" s="490">
        <f>+P6*(1+'.c12_inputs.hr'!$E$15)+(P21*(1+'.c12_inputs.hr'!$E$16))</f>
        <v>107999.99999999999</v>
      </c>
      <c r="Q36" s="490">
        <f>+Q6*(1+'.c12_inputs.hr'!$E$15)+(Q21*(1+'.c12_inputs.hr'!$E$16))</f>
        <v>107999.99999999999</v>
      </c>
      <c r="R36" s="490">
        <f>+R6*(1+'.c12_inputs.hr'!$E$15)+(R21*(1+'.c12_inputs.hr'!$E$16))</f>
        <v>107999.99999999999</v>
      </c>
      <c r="S36" s="490">
        <f>+S6*(1+'.c12_inputs.hr'!$E$15)+(S21*(1+'.c12_inputs.hr'!$E$16))</f>
        <v>341774.99999999994</v>
      </c>
      <c r="T36" s="490">
        <f>+T6*(1+'.c12_inputs.hr'!$E$15)+(T21*(1+'.c12_inputs.hr'!$E$16))</f>
        <v>769675</v>
      </c>
      <c r="U36" s="490">
        <f>+U6*(1+'.c12_inputs.hr'!$E$15)+(U21*(1+'.c12_inputs.hr'!$E$16))</f>
        <v>769675</v>
      </c>
      <c r="V36" s="490">
        <f>+V6*(1+'.c12_inputs.hr'!$E$15)+(V21*(1+'.c12_inputs.hr'!$E$16))</f>
        <v>769675</v>
      </c>
      <c r="W36" s="490">
        <f>+W6*(1+'.c12_inputs.hr'!$E$15)+(W21*(1+'.c12_inputs.hr'!$E$16))</f>
        <v>769675</v>
      </c>
      <c r="X36" s="490"/>
      <c r="Y36" s="490"/>
      <c r="Z36" s="532"/>
      <c r="AA36" s="430"/>
      <c r="AB36" s="430"/>
      <c r="AC36" s="430"/>
      <c r="AD36" s="430"/>
      <c r="AE36" s="430"/>
      <c r="AF36" s="430"/>
      <c r="AG36" s="430"/>
      <c r="AH36" s="430"/>
      <c r="AI36" s="430"/>
      <c r="AJ36" s="430"/>
      <c r="AK36" s="430"/>
      <c r="AL36" s="430"/>
      <c r="AM36" s="430"/>
      <c r="AN36" s="430"/>
      <c r="AO36" s="430"/>
      <c r="AP36" s="430"/>
      <c r="AQ36" s="430"/>
      <c r="AR36" s="430"/>
      <c r="AS36" s="430"/>
      <c r="AT36" s="430"/>
      <c r="AU36" s="430"/>
      <c r="AV36" s="430"/>
      <c r="AW36" s="430"/>
      <c r="AX36" s="430"/>
      <c r="AY36" s="430"/>
      <c r="AZ36" s="430"/>
      <c r="BA36" s="430"/>
      <c r="BB36" s="430"/>
      <c r="BC36" s="430"/>
      <c r="BD36" s="430"/>
      <c r="BE36" s="430"/>
      <c r="BF36" s="430"/>
      <c r="BG36" s="430"/>
      <c r="BH36" s="430"/>
      <c r="BI36" s="430"/>
      <c r="BJ36" s="430"/>
      <c r="BK36" s="430"/>
    </row>
    <row r="37" spans="1:63">
      <c r="A37" s="430" t="str">
        <f t="shared" si="3"/>
        <v xml:space="preserve">CFO (ZS) </v>
      </c>
      <c r="B37" s="442" t="s">
        <v>34</v>
      </c>
      <c r="C37" s="442" t="s">
        <v>1035</v>
      </c>
      <c r="D37" s="442" t="s">
        <v>1076</v>
      </c>
      <c r="E37" s="490"/>
      <c r="F37" s="490"/>
      <c r="G37" s="490"/>
      <c r="H37" s="490"/>
      <c r="I37" s="490"/>
      <c r="J37" s="490"/>
      <c r="K37" s="490"/>
      <c r="L37" s="490">
        <f>+L7*(1+'.c12_inputs.hr'!$E$15)+(L22*(1+'.c12_inputs.hr'!$E$16))</f>
        <v>0</v>
      </c>
      <c r="M37" s="490">
        <f>+M7*(1+'.c12_inputs.hr'!$E$15)+(M22*(1+'.c12_inputs.hr'!$E$16))</f>
        <v>0</v>
      </c>
      <c r="N37" s="490">
        <f>+N7*(1+'.c12_inputs.hr'!$E$15)+(N22*(1+'.c12_inputs.hr'!$E$16))</f>
        <v>0</v>
      </c>
      <c r="O37" s="490">
        <f>+O7*(1+'.c12_inputs.hr'!$E$15)+(O22*(1+'.c12_inputs.hr'!$E$16))</f>
        <v>62339.999999999993</v>
      </c>
      <c r="P37" s="490">
        <f>+P7*(1+'.c12_inputs.hr'!$E$15)+(P22*(1+'.c12_inputs.hr'!$E$16))</f>
        <v>0</v>
      </c>
      <c r="Q37" s="490">
        <f>+Q7*(1+'.c12_inputs.hr'!$E$15)+(Q22*(1+'.c12_inputs.hr'!$E$16))</f>
        <v>144000</v>
      </c>
      <c r="R37" s="490">
        <f>+R7*(1+'.c12_inputs.hr'!$E$15)+(R22*(1+'.c12_inputs.hr'!$E$16))</f>
        <v>144000</v>
      </c>
      <c r="S37" s="490">
        <f>+S7*(1+'.c12_inputs.hr'!$E$15)+(S22*(1+'.c12_inputs.hr'!$E$16))</f>
        <v>247900</v>
      </c>
      <c r="T37" s="490">
        <f>+T7*(1+'.c12_inputs.hr'!$E$15)+(T22*(1+'.c12_inputs.hr'!$E$16))</f>
        <v>587850</v>
      </c>
      <c r="U37" s="490">
        <f>+U7*(1+'.c12_inputs.hr'!$E$15)+(U22*(1+'.c12_inputs.hr'!$E$16))</f>
        <v>587850</v>
      </c>
      <c r="V37" s="490">
        <f>+V7*(1+'.c12_inputs.hr'!$E$15)+(V22*(1+'.c12_inputs.hr'!$E$16))</f>
        <v>587850</v>
      </c>
      <c r="W37" s="490">
        <f>+W7*(1+'.c12_inputs.hr'!$E$15)+(W22*(1+'.c12_inputs.hr'!$E$16))</f>
        <v>587850</v>
      </c>
      <c r="X37" s="490"/>
      <c r="Y37" s="490"/>
      <c r="Z37" s="532"/>
      <c r="AA37" s="430"/>
      <c r="AB37" s="430"/>
      <c r="AC37" s="430"/>
      <c r="AD37" s="430"/>
      <c r="AE37" s="430"/>
      <c r="AF37" s="430"/>
      <c r="AG37" s="430"/>
      <c r="AH37" s="430"/>
      <c r="AI37" s="430"/>
      <c r="AJ37" s="430"/>
      <c r="AK37" s="430"/>
      <c r="AL37" s="430"/>
      <c r="AM37" s="430"/>
      <c r="AN37" s="430"/>
      <c r="AO37" s="430"/>
      <c r="AP37" s="430"/>
      <c r="AQ37" s="430"/>
      <c r="AR37" s="430"/>
      <c r="AS37" s="430"/>
      <c r="AT37" s="430"/>
      <c r="AU37" s="430"/>
      <c r="AV37" s="430"/>
      <c r="AW37" s="430"/>
      <c r="AX37" s="430"/>
      <c r="AY37" s="430"/>
      <c r="AZ37" s="430"/>
      <c r="BA37" s="430"/>
      <c r="BB37" s="430"/>
      <c r="BC37" s="430"/>
      <c r="BD37" s="430"/>
      <c r="BE37" s="430"/>
      <c r="BF37" s="430"/>
      <c r="BG37" s="430"/>
      <c r="BH37" s="430"/>
      <c r="BI37" s="430"/>
      <c r="BJ37" s="430"/>
      <c r="BK37" s="430"/>
    </row>
    <row r="38" spans="1:63">
      <c r="A38" s="430" t="str">
        <f t="shared" si="3"/>
        <v xml:space="preserve">Financial Analyst (NR) </v>
      </c>
      <c r="B38" s="442" t="s">
        <v>34</v>
      </c>
      <c r="C38" s="442" t="s">
        <v>1035</v>
      </c>
      <c r="D38" s="442" t="s">
        <v>1078</v>
      </c>
      <c r="E38" s="490"/>
      <c r="F38" s="490"/>
      <c r="G38" s="490"/>
      <c r="H38" s="490"/>
      <c r="I38" s="490"/>
      <c r="J38" s="490"/>
      <c r="K38" s="490"/>
      <c r="L38" s="490">
        <f>+L8*(1+'.c12_inputs.hr'!$E$15)+(L23*(1+'.c12_inputs.hr'!$E$16))</f>
        <v>0</v>
      </c>
      <c r="M38" s="490">
        <f>+M8*(1+'.c12_inputs.hr'!$E$15)+(M23*(1+'.c12_inputs.hr'!$E$16))</f>
        <v>0</v>
      </c>
      <c r="N38" s="490">
        <f>+N8*(1+'.c12_inputs.hr'!$E$15)+(N23*(1+'.c12_inputs.hr'!$E$16))</f>
        <v>24479.999999999996</v>
      </c>
      <c r="O38" s="490">
        <f>+O8*(1+'.c12_inputs.hr'!$E$15)+(O23*(1+'.c12_inputs.hr'!$E$16))</f>
        <v>29674.999999999996</v>
      </c>
      <c r="P38" s="490">
        <f>+P8*(1+'.c12_inputs.hr'!$E$15)+(P23*(1+'.c12_inputs.hr'!$E$16))</f>
        <v>24479.999999999996</v>
      </c>
      <c r="Q38" s="490">
        <f>+Q8*(1+'.c12_inputs.hr'!$E$15)+(Q23*(1+'.c12_inputs.hr'!$E$16))</f>
        <v>24479.999999999996</v>
      </c>
      <c r="R38" s="490">
        <f>+R8*(1+'.c12_inputs.hr'!$E$15)+(R23*(1+'.c12_inputs.hr'!$E$16))</f>
        <v>24479.999999999996</v>
      </c>
      <c r="S38" s="490">
        <f>+S8*(1+'.c12_inputs.hr'!$E$15)+(S23*(1+'.c12_inputs.hr'!$E$16))</f>
        <v>32272.499999999996</v>
      </c>
      <c r="T38" s="490">
        <f>+T8*(1+'.c12_inputs.hr'!$E$15)+(T23*(1+'.c12_inputs.hr'!$E$16))</f>
        <v>105712.49999999999</v>
      </c>
      <c r="U38" s="490">
        <f>+U8*(1+'.c12_inputs.hr'!$E$15)+(U23*(1+'.c12_inputs.hr'!$E$16))</f>
        <v>105712.49999999999</v>
      </c>
      <c r="V38" s="490">
        <f>+V8*(1+'.c12_inputs.hr'!$E$15)+(V23*(1+'.c12_inputs.hr'!$E$16))</f>
        <v>105712.49999999999</v>
      </c>
      <c r="W38" s="490">
        <f>+W8*(1+'.c12_inputs.hr'!$E$15)+(W23*(1+'.c12_inputs.hr'!$E$16))</f>
        <v>105712.49999999999</v>
      </c>
      <c r="X38" s="490"/>
      <c r="Y38" s="490"/>
      <c r="Z38" s="532"/>
      <c r="AA38" s="430"/>
      <c r="AB38" s="430"/>
      <c r="AC38" s="430"/>
      <c r="AD38" s="430"/>
      <c r="AE38" s="430"/>
      <c r="AF38" s="430"/>
      <c r="AG38" s="430"/>
      <c r="AH38" s="430"/>
      <c r="AI38" s="430"/>
      <c r="AJ38" s="430"/>
      <c r="AK38" s="430"/>
      <c r="AL38" s="430"/>
      <c r="AM38" s="430"/>
      <c r="AN38" s="430"/>
      <c r="AO38" s="430"/>
      <c r="AP38" s="430"/>
      <c r="AQ38" s="430"/>
      <c r="AR38" s="430"/>
      <c r="AS38" s="430"/>
      <c r="AT38" s="430"/>
      <c r="AU38" s="430"/>
      <c r="AV38" s="430"/>
      <c r="AW38" s="430"/>
      <c r="AX38" s="430"/>
      <c r="AY38" s="430"/>
      <c r="AZ38" s="430"/>
      <c r="BA38" s="430"/>
      <c r="BB38" s="430"/>
      <c r="BC38" s="430"/>
      <c r="BD38" s="430"/>
      <c r="BE38" s="430"/>
      <c r="BF38" s="430"/>
      <c r="BG38" s="430"/>
      <c r="BH38" s="430"/>
      <c r="BI38" s="430"/>
      <c r="BJ38" s="430"/>
      <c r="BK38" s="430"/>
    </row>
    <row r="39" spans="1:63">
      <c r="A39" s="430" t="str">
        <f t="shared" si="3"/>
        <v>Fin Controls (TB) - 100%</v>
      </c>
      <c r="B39" s="442" t="s">
        <v>34</v>
      </c>
      <c r="C39" s="442" t="s">
        <v>1035</v>
      </c>
      <c r="D39" s="442" t="s">
        <v>1080</v>
      </c>
      <c r="E39" s="490"/>
      <c r="F39" s="490"/>
      <c r="G39" s="490"/>
      <c r="H39" s="490"/>
      <c r="I39" s="490"/>
      <c r="J39" s="490"/>
      <c r="K39" s="490"/>
      <c r="L39" s="490">
        <f>+L9*(1+'.c12_inputs.hr'!$E$15)+(L24*(1+'.c12_inputs.hr'!$E$16))</f>
        <v>53279.999999999993</v>
      </c>
      <c r="M39" s="490">
        <f>+M9*(1+'.c12_inputs.hr'!$E$15)+(M24*(1+'.c12_inputs.hr'!$E$16))</f>
        <v>53279.999999999993</v>
      </c>
      <c r="N39" s="490">
        <f>+N9*(1+'.c12_inputs.hr'!$E$15)+(N24*(1+'.c12_inputs.hr'!$E$16))</f>
        <v>53279.999999999993</v>
      </c>
      <c r="O39" s="490">
        <f>+O9*(1+'.c12_inputs.hr'!$E$15)+(O24*(1+'.c12_inputs.hr'!$E$16))</f>
        <v>71462.5</v>
      </c>
      <c r="P39" s="490">
        <f>+P9*(1+'.c12_inputs.hr'!$E$15)+(P24*(1+'.c12_inputs.hr'!$E$16))</f>
        <v>56159.999999999993</v>
      </c>
      <c r="Q39" s="490">
        <f>+Q9*(1+'.c12_inputs.hr'!$E$15)+(Q24*(1+'.c12_inputs.hr'!$E$16))</f>
        <v>56159.999999999993</v>
      </c>
      <c r="R39" s="490">
        <f>+R9*(1+'.c12_inputs.hr'!$E$15)+(R24*(1+'.c12_inputs.hr'!$E$16))</f>
        <v>56159.999999999993</v>
      </c>
      <c r="S39" s="490">
        <f>+S9*(1+'.c12_inputs.hr'!$E$15)+(S24*(1+'.c12_inputs.hr'!$E$16))</f>
        <v>71744.999999999985</v>
      </c>
      <c r="T39" s="490">
        <f>+T9*(1+'.c12_inputs.hr'!$E$15)+(T24*(1+'.c12_inputs.hr'!$E$16))</f>
        <v>240224.99999999997</v>
      </c>
      <c r="U39" s="490">
        <f>+U9*(1+'.c12_inputs.hr'!$E$15)+(U24*(1+'.c12_inputs.hr'!$E$16))</f>
        <v>240224.99999999997</v>
      </c>
      <c r="V39" s="490">
        <f>+V9*(1+'.c12_inputs.hr'!$E$15)+(V24*(1+'.c12_inputs.hr'!$E$16))</f>
        <v>240224.99999999997</v>
      </c>
      <c r="W39" s="490">
        <f>+W9*(1+'.c12_inputs.hr'!$E$15)+(W24*(1+'.c12_inputs.hr'!$E$16))</f>
        <v>240224.99999999997</v>
      </c>
      <c r="X39" s="490"/>
      <c r="Y39" s="490"/>
      <c r="Z39" s="532"/>
      <c r="AA39" s="430"/>
      <c r="AB39" s="430"/>
      <c r="AC39" s="430"/>
      <c r="AD39" s="430"/>
      <c r="AE39" s="430"/>
      <c r="AF39" s="430"/>
      <c r="AG39" s="430"/>
      <c r="AH39" s="430"/>
      <c r="AI39" s="430"/>
      <c r="AJ39" s="430"/>
      <c r="AK39" s="430"/>
      <c r="AL39" s="430"/>
      <c r="AM39" s="430"/>
      <c r="AN39" s="430"/>
      <c r="AO39" s="430"/>
      <c r="AP39" s="430"/>
      <c r="AQ39" s="430"/>
      <c r="AR39" s="430"/>
      <c r="AS39" s="430"/>
      <c r="AT39" s="430"/>
      <c r="AU39" s="430"/>
      <c r="AV39" s="430"/>
      <c r="AW39" s="430"/>
      <c r="AX39" s="430"/>
      <c r="AY39" s="430"/>
      <c r="AZ39" s="430"/>
      <c r="BA39" s="430"/>
      <c r="BB39" s="430"/>
      <c r="BC39" s="430"/>
      <c r="BD39" s="430"/>
      <c r="BE39" s="430"/>
      <c r="BF39" s="430"/>
      <c r="BG39" s="430"/>
      <c r="BH39" s="430"/>
      <c r="BI39" s="430"/>
      <c r="BJ39" s="430"/>
      <c r="BK39" s="430"/>
    </row>
    <row r="40" spans="1:63">
      <c r="A40" s="430" t="str">
        <f t="shared" si="3"/>
        <v>Administrative Assistant (AM)</v>
      </c>
      <c r="B40" s="442" t="s">
        <v>34</v>
      </c>
      <c r="C40" s="442" t="s">
        <v>1035</v>
      </c>
      <c r="D40" s="442" t="s">
        <v>1063</v>
      </c>
      <c r="E40" s="490"/>
      <c r="F40" s="464"/>
      <c r="G40" s="464"/>
      <c r="H40" s="464"/>
      <c r="I40" s="464"/>
      <c r="J40" s="464"/>
      <c r="K40" s="464"/>
      <c r="L40" s="490">
        <f>+L10*(1+'.c12_inputs.hr'!$E$15)+(L25*(1+'.c12_inputs.hr'!$E$16))</f>
        <v>43200</v>
      </c>
      <c r="M40" s="490">
        <f>+M10*(1+'.c12_inputs.hr'!$E$15)+(M25*(1+'.c12_inputs.hr'!$E$16))</f>
        <v>43200</v>
      </c>
      <c r="N40" s="490">
        <f>+N10*(1+'.c12_inputs.hr'!$E$15)+(N25*(1+'.c12_inputs.hr'!$E$16))</f>
        <v>43200</v>
      </c>
      <c r="O40" s="490">
        <f>+O10*(1+'.c12_inputs.hr'!$E$15)+(O25*(1+'.c12_inputs.hr'!$E$16))</f>
        <v>46390</v>
      </c>
      <c r="P40" s="490">
        <f>+P10*(1+'.c12_inputs.hr'!$E$15)+(P25*(1+'.c12_inputs.hr'!$E$16))</f>
        <v>0</v>
      </c>
      <c r="Q40" s="490">
        <f>+Q10*(1+'.c12_inputs.hr'!$E$15)+(Q25*(1+'.c12_inputs.hr'!$E$16))</f>
        <v>0</v>
      </c>
      <c r="R40" s="490">
        <f>+R10*(1+'.c12_inputs.hr'!$E$15)+(R25*(1+'.c12_inputs.hr'!$E$16))</f>
        <v>0</v>
      </c>
      <c r="S40" s="490">
        <f>+S10*(1+'.c12_inputs.hr'!$E$15)+(S25*(1+'.c12_inputs.hr'!$E$16))</f>
        <v>0</v>
      </c>
      <c r="T40" s="490">
        <f>+T10*(1+'.c12_inputs.hr'!$E$15)+(T25*(1+'.c12_inputs.hr'!$E$16))</f>
        <v>0</v>
      </c>
      <c r="U40" s="490">
        <f>+U10*(1+'.c12_inputs.hr'!$E$15)+(U25*(1+'.c12_inputs.hr'!$E$16))</f>
        <v>0</v>
      </c>
      <c r="V40" s="490">
        <f>+V10*(1+'.c12_inputs.hr'!$E$15)+(V25*(1+'.c12_inputs.hr'!$E$16))</f>
        <v>0</v>
      </c>
      <c r="W40" s="490">
        <f>+W10*(1+'.c12_inputs.hr'!$E$15)+(W25*(1+'.c12_inputs.hr'!$E$16))</f>
        <v>0</v>
      </c>
      <c r="X40" s="490"/>
      <c r="Y40" s="490"/>
      <c r="Z40" s="532"/>
      <c r="AA40" s="430"/>
      <c r="AB40" s="430"/>
      <c r="AC40" s="430"/>
      <c r="AD40" s="430"/>
      <c r="AE40" s="430"/>
      <c r="AF40" s="430"/>
      <c r="AG40" s="430"/>
      <c r="AH40" s="430"/>
      <c r="AI40" s="430"/>
      <c r="AJ40" s="430"/>
      <c r="AK40" s="430"/>
      <c r="AL40" s="430"/>
      <c r="AM40" s="430"/>
      <c r="AN40" s="430"/>
      <c r="AO40" s="430"/>
      <c r="AP40" s="430"/>
      <c r="AQ40" s="430"/>
      <c r="AR40" s="430"/>
      <c r="AS40" s="430"/>
      <c r="AT40" s="430"/>
      <c r="AU40" s="430"/>
      <c r="AV40" s="430"/>
      <c r="AW40" s="430"/>
      <c r="AX40" s="430"/>
      <c r="AY40" s="430"/>
      <c r="AZ40" s="430"/>
      <c r="BA40" s="430"/>
      <c r="BB40" s="430"/>
      <c r="BC40" s="430"/>
      <c r="BD40" s="430"/>
      <c r="BE40" s="430"/>
      <c r="BF40" s="430"/>
      <c r="BG40" s="430"/>
      <c r="BH40" s="430"/>
      <c r="BI40" s="430"/>
      <c r="BJ40" s="430"/>
      <c r="BK40" s="430"/>
    </row>
    <row r="41" spans="1:63">
      <c r="A41" s="430" t="str">
        <f t="shared" si="3"/>
        <v>Administrative Assistant (PT)</v>
      </c>
      <c r="B41" s="442" t="s">
        <v>34</v>
      </c>
      <c r="C41" s="442" t="s">
        <v>1035</v>
      </c>
      <c r="D41" s="442" t="s">
        <v>1083</v>
      </c>
      <c r="E41" s="464"/>
      <c r="F41" s="490"/>
      <c r="G41" s="490"/>
      <c r="H41" s="490"/>
      <c r="I41" s="490"/>
      <c r="J41" s="490"/>
      <c r="K41" s="490"/>
      <c r="L41" s="464">
        <f>'.c12_bi&amp;f_hr'!L11*(1+'.c12_inputs.hr'!$E$5)+('.c12_bi&amp;f_hr'!L26*(1+'.c12_inputs.hr'!$E$6))</f>
        <v>0</v>
      </c>
      <c r="M41" s="464">
        <f>'.c12_bi&amp;f_hr'!M11*(1+'.c12_inputs.hr'!$E$5)+('.c12_bi&amp;f_hr'!M26*(1+'.c12_inputs.hr'!$E$6))</f>
        <v>0</v>
      </c>
      <c r="N41" s="464">
        <f>'.c12_bi&amp;f_hr'!N11*(1+'.c12_inputs.hr'!$E$5)+('.c12_bi&amp;f_hr'!N26*(1+'.c12_inputs.hr'!$E$6))</f>
        <v>0</v>
      </c>
      <c r="O41" s="464">
        <f>'.c12_bi&amp;f_hr'!O11*(1+'.c12_inputs.hr'!$E$5)+('.c12_bi&amp;f_hr'!O26*(1+'.c12_inputs.hr'!$E$6))</f>
        <v>0</v>
      </c>
      <c r="P41" s="464">
        <f>'.c12_bi&amp;f_hr'!P11*(1+'.c12_inputs.hr'!$E$5)+('.c12_bi&amp;f_hr'!P26*(1+'.c12_inputs.hr'!$E$6))</f>
        <v>0</v>
      </c>
      <c r="Q41" s="464">
        <f>'.c12_bi&amp;f_hr'!Q11*(1+'.c12_inputs.hr'!$E$5)+('.c12_bi&amp;f_hr'!Q26*(1+'.c12_inputs.hr'!$E$6))</f>
        <v>37037.142857142862</v>
      </c>
      <c r="R41" s="464">
        <f>'.c12_bi&amp;f_hr'!R11*(1+'.c12_inputs.hr'!$E$5)+('.c12_bi&amp;f_hr'!R26*(1+'.c12_inputs.hr'!$E$6))</f>
        <v>37037.142857142862</v>
      </c>
      <c r="S41" s="464">
        <f>'.c12_bi&amp;f_hr'!S11*(1+'.c12_inputs.hr'!$E$5)+('.c12_bi&amp;f_hr'!S26*(1+'.c12_inputs.hr'!$E$6))</f>
        <v>47427.142857142862</v>
      </c>
      <c r="T41" s="464">
        <f>'.c12_bi&amp;f_hr'!T11*(1+'.c12_inputs.hr'!$E$5)+('.c12_bi&amp;f_hr'!T26*(1+'.c12_inputs.hr'!$E$6))</f>
        <v>158538.57142857145</v>
      </c>
      <c r="U41" s="464">
        <f>'.c12_bi&amp;f_hr'!U11*(1+'.c12_inputs.hr'!$E$5)+('.c12_bi&amp;f_hr'!U26*(1+'.c12_inputs.hr'!$E$6))</f>
        <v>158538.57142857145</v>
      </c>
      <c r="V41" s="464">
        <f>'.c12_bi&amp;f_hr'!V11*(1+'.c12_inputs.hr'!$E$5)+('.c12_bi&amp;f_hr'!V26*(1+'.c12_inputs.hr'!$E$6))</f>
        <v>158538.57142857145</v>
      </c>
      <c r="W41" s="464">
        <f>'.c12_bi&amp;f_hr'!W11*(1+'.c12_inputs.hr'!$E$5)+('.c12_bi&amp;f_hr'!W26*(1+'.c12_inputs.hr'!$E$6))</f>
        <v>158538.57142857145</v>
      </c>
      <c r="X41" s="464"/>
      <c r="Y41" s="454"/>
      <c r="Z41" s="430"/>
      <c r="AA41" s="430"/>
      <c r="AB41" s="430"/>
      <c r="AC41" s="430"/>
      <c r="AD41" s="430"/>
      <c r="AE41" s="430"/>
      <c r="AF41" s="430"/>
      <c r="AG41" s="430"/>
      <c r="AH41" s="430"/>
      <c r="AI41" s="478"/>
      <c r="AJ41" s="430"/>
      <c r="AK41" s="430"/>
      <c r="AL41" s="430"/>
      <c r="AM41" s="430"/>
      <c r="AN41" s="430"/>
      <c r="AO41" s="430"/>
      <c r="AP41" s="430"/>
      <c r="AQ41" s="430"/>
      <c r="AR41" s="430"/>
      <c r="AS41" s="430"/>
      <c r="AT41" s="430"/>
      <c r="AU41" s="430"/>
      <c r="AV41" s="430"/>
      <c r="AW41" s="430"/>
      <c r="AX41" s="430"/>
      <c r="AY41" s="430"/>
      <c r="AZ41" s="430"/>
      <c r="BA41" s="430"/>
      <c r="BB41" s="430"/>
      <c r="BC41" s="430"/>
      <c r="BD41" s="430"/>
      <c r="BE41" s="430"/>
      <c r="BF41" s="430"/>
      <c r="BG41" s="430"/>
      <c r="BH41" s="430"/>
      <c r="BI41" s="430"/>
      <c r="BJ41" s="430"/>
      <c r="BK41" s="430"/>
    </row>
    <row r="42" spans="1:63">
      <c r="A42" s="430" t="str">
        <f t="shared" si="3"/>
        <v>Financial Director (DV) - 100%</v>
      </c>
      <c r="B42" s="442" t="s">
        <v>34</v>
      </c>
      <c r="C42" s="442" t="s">
        <v>1035</v>
      </c>
      <c r="D42" s="442" t="s">
        <v>1085</v>
      </c>
      <c r="E42" s="490"/>
      <c r="F42" s="490"/>
      <c r="G42" s="490"/>
      <c r="H42" s="490"/>
      <c r="I42" s="490"/>
      <c r="J42" s="490"/>
      <c r="K42" s="490"/>
      <c r="L42" s="490">
        <f>+L12*(1+'.c12_inputs.hr'!$E$15)+(L27*(1+'.c12_inputs.hr'!$E$16))</f>
        <v>0</v>
      </c>
      <c r="M42" s="490">
        <f>+M12*(1+'.c12_inputs.hr'!$E$15)+(M27*(1+'.c12_inputs.hr'!$E$16))</f>
        <v>0</v>
      </c>
      <c r="N42" s="490">
        <f>+N12*(1+'.c12_inputs.hr'!$E$15)+(N27*(1+'.c12_inputs.hr'!$E$16))</f>
        <v>61919.999999999993</v>
      </c>
      <c r="O42" s="490">
        <f>+O12*(1+'.c12_inputs.hr'!$E$15)+(O27*(1+'.c12_inputs.hr'!$E$16))</f>
        <v>82700</v>
      </c>
      <c r="P42" s="490">
        <f>+P12*(1+'.c12_inputs.hr'!$E$15)+(P27*(1+'.c12_inputs.hr'!$E$16))</f>
        <v>61919.999999999993</v>
      </c>
      <c r="Q42" s="490">
        <f>+Q12*(1+'.c12_inputs.hr'!$E$15)+(Q27*(1+'.c12_inputs.hr'!$E$16))</f>
        <v>61919.999999999993</v>
      </c>
      <c r="R42" s="490">
        <f>+R12*(1+'.c12_inputs.hr'!$E$15)+(R27*(1+'.c12_inputs.hr'!$E$16))</f>
        <v>61919.999999999993</v>
      </c>
      <c r="S42" s="490">
        <f>+S12*(1+'.c12_inputs.hr'!$E$15)+(S27*(1+'.c12_inputs.hr'!$E$16))</f>
        <v>103480</v>
      </c>
      <c r="T42" s="490">
        <f>+T12*(1+'.c12_inputs.hr'!$E$15)+(T27*(1+'.c12_inputs.hr'!$E$16))</f>
        <v>289240</v>
      </c>
      <c r="U42" s="490">
        <f>+U12*(1+'.c12_inputs.hr'!$E$15)+(U27*(1+'.c12_inputs.hr'!$E$16))</f>
        <v>289240</v>
      </c>
      <c r="V42" s="490">
        <f>+V12*(1+'.c12_inputs.hr'!$E$15)+(V27*(1+'.c12_inputs.hr'!$E$16))</f>
        <v>289240</v>
      </c>
      <c r="W42" s="490">
        <f>+W12*(1+'.c12_inputs.hr'!$E$15)+(W27*(1+'.c12_inputs.hr'!$E$16))</f>
        <v>289240</v>
      </c>
      <c r="X42" s="490"/>
      <c r="Y42" s="490"/>
      <c r="Z42" s="532"/>
      <c r="AA42" s="430"/>
      <c r="AB42" s="430"/>
      <c r="AC42" s="430"/>
      <c r="AD42" s="430"/>
      <c r="AE42" s="430"/>
      <c r="AF42" s="430"/>
      <c r="AG42" s="430"/>
      <c r="AH42" s="430"/>
      <c r="AI42" s="430"/>
      <c r="AJ42" s="430"/>
      <c r="AK42" s="430"/>
      <c r="AL42" s="430"/>
      <c r="AM42" s="430"/>
      <c r="AN42" s="430"/>
      <c r="AO42" s="430"/>
      <c r="AP42" s="430"/>
      <c r="AQ42" s="430"/>
      <c r="AR42" s="430"/>
      <c r="AS42" s="430"/>
      <c r="AT42" s="430"/>
      <c r="AU42" s="430"/>
      <c r="AV42" s="430"/>
      <c r="AW42" s="430"/>
      <c r="AX42" s="430"/>
      <c r="AY42" s="430"/>
      <c r="AZ42" s="430"/>
      <c r="BA42" s="430"/>
      <c r="BB42" s="430"/>
      <c r="BC42" s="430"/>
      <c r="BD42" s="430"/>
      <c r="BE42" s="430"/>
      <c r="BF42" s="430"/>
      <c r="BG42" s="430"/>
      <c r="BH42" s="430"/>
      <c r="BI42" s="430"/>
      <c r="BJ42" s="430"/>
      <c r="BK42" s="430"/>
    </row>
    <row r="43" spans="1:63">
      <c r="A43" s="430" t="str">
        <f t="shared" si="3"/>
        <v>IM (TW)</v>
      </c>
      <c r="B43" s="442" t="s">
        <v>34</v>
      </c>
      <c r="C43" s="442" t="s">
        <v>1035</v>
      </c>
      <c r="D43" s="442" t="s">
        <v>1087</v>
      </c>
      <c r="E43" s="490"/>
      <c r="F43" s="490"/>
      <c r="G43" s="490"/>
      <c r="H43" s="490"/>
      <c r="I43" s="490"/>
      <c r="J43" s="490"/>
      <c r="K43" s="490"/>
      <c r="L43" s="490">
        <f>+L13*(1+'.c12_inputs.hr'!$E$15)+(L28*(1+'.c12_inputs.hr'!$E$16))</f>
        <v>46080</v>
      </c>
      <c r="M43" s="490">
        <f>+M13*(1+'.c12_inputs.hr'!$E$15)+(M28*(1+'.c12_inputs.hr'!$E$16))</f>
        <v>46080</v>
      </c>
      <c r="N43" s="490">
        <f>+N13*(1+'.c12_inputs.hr'!$E$15)+(N28*(1+'.c12_inputs.hr'!$E$16))</f>
        <v>46080</v>
      </c>
      <c r="O43" s="490">
        <f>+O13*(1+'.c12_inputs.hr'!$E$15)+(O28*(1+'.c12_inputs.hr'!$E$16))</f>
        <v>72055</v>
      </c>
      <c r="P43" s="490">
        <f>+P13*(1+'.c12_inputs.hr'!$E$15)+(P28*(1+'.c12_inputs.hr'!$E$16))</f>
        <v>46080</v>
      </c>
      <c r="Q43" s="490">
        <f>+Q13*(1+'.c12_inputs.hr'!$E$15)+(Q28*(1+'.c12_inputs.hr'!$E$16))</f>
        <v>46080</v>
      </c>
      <c r="R43" s="490">
        <f>+R13*(1+'.c12_inputs.hr'!$E$15)+(R28*(1+'.c12_inputs.hr'!$E$16))</f>
        <v>46080</v>
      </c>
      <c r="S43" s="490">
        <f>+S13*(1+'.c12_inputs.hr'!$E$15)+(S28*(1+'.c12_inputs.hr'!$E$16))</f>
        <v>72055</v>
      </c>
      <c r="T43" s="490">
        <f>+T13*(1+'.c12_inputs.hr'!$E$15)+(T28*(1+'.c12_inputs.hr'!$E$16))</f>
        <v>256374.99999999997</v>
      </c>
      <c r="U43" s="490">
        <f>+U13*(1+'.c12_inputs.hr'!$E$15)+(U28*(1+'.c12_inputs.hr'!$E$16))</f>
        <v>256374.99999999997</v>
      </c>
      <c r="V43" s="490">
        <f>+V13*(1+'.c12_inputs.hr'!$E$15)+(V28*(1+'.c12_inputs.hr'!$E$16))</f>
        <v>256374.99999999997</v>
      </c>
      <c r="W43" s="490">
        <f>+W13*(1+'.c12_inputs.hr'!$E$15)+(W28*(1+'.c12_inputs.hr'!$E$16))</f>
        <v>256374.99999999997</v>
      </c>
      <c r="X43" s="490"/>
      <c r="Y43" s="490"/>
      <c r="Z43" s="532"/>
      <c r="AA43" s="430"/>
      <c r="AB43" s="430"/>
      <c r="AC43" s="430"/>
      <c r="AD43" s="430"/>
      <c r="AE43" s="430"/>
      <c r="AF43" s="430"/>
      <c r="AG43" s="430"/>
      <c r="AH43" s="430"/>
      <c r="AI43" s="430"/>
      <c r="AJ43" s="430"/>
      <c r="AK43" s="430"/>
      <c r="AL43" s="430"/>
      <c r="AM43" s="430"/>
      <c r="AN43" s="430"/>
      <c r="AO43" s="430"/>
      <c r="AP43" s="430"/>
      <c r="AQ43" s="430"/>
      <c r="AR43" s="430"/>
      <c r="AS43" s="430"/>
      <c r="AT43" s="430"/>
      <c r="AU43" s="430"/>
      <c r="AV43" s="430"/>
      <c r="AW43" s="430"/>
      <c r="AX43" s="430"/>
      <c r="AY43" s="430"/>
      <c r="AZ43" s="430"/>
      <c r="BA43" s="430"/>
      <c r="BB43" s="430"/>
      <c r="BC43" s="430"/>
      <c r="BD43" s="430"/>
      <c r="BE43" s="430"/>
      <c r="BF43" s="430"/>
      <c r="BG43" s="430"/>
      <c r="BH43" s="430"/>
      <c r="BI43" s="430"/>
      <c r="BJ43" s="430"/>
      <c r="BK43" s="430"/>
    </row>
    <row r="44" spans="1:63">
      <c r="A44" s="430" t="str">
        <f t="shared" si="3"/>
        <v>HR (100%)</v>
      </c>
      <c r="B44" s="442" t="s">
        <v>34</v>
      </c>
      <c r="C44" s="442" t="s">
        <v>1035</v>
      </c>
      <c r="D44" s="442" t="s">
        <v>1089</v>
      </c>
      <c r="E44" s="490"/>
      <c r="F44" s="490"/>
      <c r="G44" s="490"/>
      <c r="H44" s="490"/>
      <c r="I44" s="490"/>
      <c r="J44" s="490"/>
      <c r="K44" s="490"/>
      <c r="L44" s="490">
        <f>+L14*(1+'.c12_inputs.hr'!$E$15)+(L29*(1+'.c12_inputs.hr'!$E$16))</f>
        <v>0</v>
      </c>
      <c r="M44" s="490">
        <f>+M14*(1+'.c12_inputs.hr'!$E$15)+(M29*(1+'.c12_inputs.hr'!$E$16))</f>
        <v>0</v>
      </c>
      <c r="N44" s="490">
        <f>+N14*(1+'.c12_inputs.hr'!$E$15)+(N29*(1+'.c12_inputs.hr'!$E$16))</f>
        <v>0</v>
      </c>
      <c r="O44" s="490">
        <f>+O14*(1+'.c12_inputs.hr'!$E$15)+(O29*(1+'.c12_inputs.hr'!$E$16))</f>
        <v>0</v>
      </c>
      <c r="P44" s="490">
        <f>+P14*(1+'.c12_inputs.hr'!$E$15)+(P29*(1+'.c12_inputs.hr'!$E$16))</f>
        <v>0</v>
      </c>
      <c r="Q44" s="490">
        <f>+Q14*(1+'.c12_inputs.hr'!$E$15)+(Q29*(1+'.c12_inputs.hr'!$E$16))</f>
        <v>0</v>
      </c>
      <c r="R44" s="490">
        <f>+R14*(1+'.c12_inputs.hr'!$E$15)+(R29*(1+'.c12_inputs.hr'!$E$16))</f>
        <v>43200</v>
      </c>
      <c r="S44" s="490">
        <f>+S14*(1+'.c12_inputs.hr'!$E$15)+(S29*(1+'.c12_inputs.hr'!$E$16))</f>
        <v>58785</v>
      </c>
      <c r="T44" s="490">
        <f>+T14*(1+'.c12_inputs.hr'!$E$15)+(T29*(1+'.c12_inputs.hr'!$E$16))</f>
        <v>198775</v>
      </c>
      <c r="U44" s="490">
        <f>+U14*(1+'.c12_inputs.hr'!$E$15)+(U29*(1+'.c12_inputs.hr'!$E$16))</f>
        <v>198775</v>
      </c>
      <c r="V44" s="490">
        <f>+V14*(1+'.c12_inputs.hr'!$E$15)+(V29*(1+'.c12_inputs.hr'!$E$16))</f>
        <v>198775</v>
      </c>
      <c r="W44" s="490">
        <f>+W14*(1+'.c12_inputs.hr'!$E$15)+(W29*(1+'.c12_inputs.hr'!$E$16))</f>
        <v>198775</v>
      </c>
      <c r="X44" s="490"/>
      <c r="Y44" s="490"/>
      <c r="Z44" s="430"/>
      <c r="AA44" s="430"/>
      <c r="AB44" s="430"/>
      <c r="AC44" s="430"/>
      <c r="AD44" s="430"/>
      <c r="AE44" s="430"/>
      <c r="AF44" s="430"/>
      <c r="AG44" s="430"/>
      <c r="AH44" s="430"/>
      <c r="AI44" s="430"/>
      <c r="AJ44" s="430"/>
      <c r="AK44" s="430"/>
      <c r="AL44" s="430"/>
      <c r="AM44" s="430"/>
      <c r="AN44" s="430"/>
      <c r="AO44" s="430"/>
      <c r="AP44" s="430"/>
      <c r="AQ44" s="430"/>
      <c r="AR44" s="430"/>
      <c r="AS44" s="430"/>
      <c r="AT44" s="430"/>
      <c r="AU44" s="430"/>
      <c r="AV44" s="430"/>
      <c r="AW44" s="430"/>
      <c r="AX44" s="430"/>
      <c r="AY44" s="430"/>
      <c r="AZ44" s="430"/>
      <c r="BA44" s="430"/>
      <c r="BB44" s="430"/>
      <c r="BC44" s="430"/>
      <c r="BD44" s="430"/>
      <c r="BE44" s="430"/>
      <c r="BF44" s="430"/>
      <c r="BG44" s="430"/>
      <c r="BH44" s="430"/>
      <c r="BI44" s="430"/>
      <c r="BJ44" s="430"/>
      <c r="BK44" s="430"/>
    </row>
    <row r="45" spans="1:63">
      <c r="A45" s="430" t="str">
        <f t="shared" si="3"/>
        <v>Legal (100%)</v>
      </c>
      <c r="B45" s="442" t="s">
        <v>34</v>
      </c>
      <c r="C45" s="442" t="s">
        <v>1035</v>
      </c>
      <c r="D45" s="442" t="s">
        <v>1091</v>
      </c>
      <c r="E45" s="490"/>
      <c r="F45" s="490"/>
      <c r="G45" s="490"/>
      <c r="H45" s="490"/>
      <c r="I45" s="490"/>
      <c r="J45" s="490"/>
      <c r="K45" s="490"/>
      <c r="L45" s="490">
        <f>+L15*(1+'.c12_inputs.hr'!$E$15)+(L30*(1+'.c12_inputs.hr'!$E$16))</f>
        <v>0</v>
      </c>
      <c r="M45" s="490">
        <f>+M15*(1+'.c12_inputs.hr'!$E$15)+(M30*(1+'.c12_inputs.hr'!$E$16))</f>
        <v>0</v>
      </c>
      <c r="N45" s="490">
        <f>+N15*(1+'.c12_inputs.hr'!$E$15)+(N30*(1+'.c12_inputs.hr'!$E$16))</f>
        <v>0</v>
      </c>
      <c r="O45" s="490">
        <f>+O15*(1+'.c12_inputs.hr'!$E$15)+(O30*(1+'.c12_inputs.hr'!$E$16))</f>
        <v>0</v>
      </c>
      <c r="P45" s="490">
        <f>+P15*(1+'.c12_inputs.hr'!$E$15)+(P30*(1+'.c12_inputs.hr'!$E$16))</f>
        <v>0</v>
      </c>
      <c r="Q45" s="490">
        <f>+Q15*(1+'.c12_inputs.hr'!$E$15)+(Q30*(1+'.c12_inputs.hr'!$E$16))</f>
        <v>0</v>
      </c>
      <c r="R45" s="490">
        <f>+R15*(1+'.c12_inputs.hr'!$E$15)+(R30*(1+'.c12_inputs.hr'!$E$16))</f>
        <v>64799.999999999993</v>
      </c>
      <c r="S45" s="490">
        <f>+S15*(1+'.c12_inputs.hr'!$E$15)+(S30*(1+'.c12_inputs.hr'!$E$16))</f>
        <v>80384.999999999985</v>
      </c>
      <c r="T45" s="490">
        <f>+T15*(1+'.c12_inputs.hr'!$E$15)+(T30*(1+'.c12_inputs.hr'!$E$16))</f>
        <v>285174.99999999994</v>
      </c>
      <c r="U45" s="490">
        <f>+U15*(1+'.c12_inputs.hr'!$E$15)+(U30*(1+'.c12_inputs.hr'!$E$16))</f>
        <v>285174.99999999994</v>
      </c>
      <c r="V45" s="490">
        <f>+V15*(1+'.c12_inputs.hr'!$E$15)+(V30*(1+'.c12_inputs.hr'!$E$16))</f>
        <v>285174.99999999994</v>
      </c>
      <c r="W45" s="490">
        <f>+W15*(1+'.c12_inputs.hr'!$E$15)+(W30*(1+'.c12_inputs.hr'!$E$16))</f>
        <v>285174.99999999994</v>
      </c>
      <c r="X45" s="490"/>
      <c r="Y45" s="490"/>
      <c r="Z45" s="430"/>
      <c r="AA45" s="430"/>
      <c r="AB45" s="430"/>
      <c r="AC45" s="430"/>
      <c r="AD45" s="430"/>
      <c r="AE45" s="430"/>
      <c r="AF45" s="430"/>
      <c r="AG45" s="430"/>
      <c r="AH45" s="430"/>
      <c r="AI45" s="430"/>
      <c r="AJ45" s="430"/>
      <c r="AK45" s="430"/>
      <c r="AL45" s="430"/>
      <c r="AM45" s="430"/>
      <c r="AN45" s="430"/>
      <c r="AO45" s="430"/>
      <c r="AP45" s="430"/>
      <c r="AQ45" s="430"/>
      <c r="AR45" s="430"/>
      <c r="AS45" s="430"/>
      <c r="AT45" s="430"/>
      <c r="AU45" s="430"/>
      <c r="AV45" s="430"/>
      <c r="AW45" s="430"/>
      <c r="AX45" s="430"/>
      <c r="AY45" s="430"/>
      <c r="AZ45" s="430"/>
      <c r="BA45" s="430"/>
      <c r="BB45" s="430"/>
      <c r="BC45" s="430"/>
      <c r="BD45" s="430"/>
      <c r="BE45" s="430"/>
      <c r="BF45" s="430"/>
      <c r="BG45" s="430"/>
      <c r="BH45" s="430"/>
      <c r="BI45" s="430"/>
      <c r="BJ45" s="430"/>
      <c r="BK45" s="430"/>
    </row>
    <row r="46" spans="1:63">
      <c r="A46" s="430" t="str">
        <f t="shared" si="3"/>
        <v>Tech1</v>
      </c>
      <c r="B46" s="442" t="s">
        <v>34</v>
      </c>
      <c r="C46" s="442" t="s">
        <v>1035</v>
      </c>
      <c r="D46" s="442" t="s">
        <v>1093</v>
      </c>
      <c r="E46" s="490"/>
      <c r="F46" s="490"/>
      <c r="G46" s="490"/>
      <c r="H46" s="490"/>
      <c r="I46" s="490"/>
      <c r="J46" s="490"/>
      <c r="K46" s="490"/>
      <c r="L46" s="490">
        <f>+L16*(1+'.c12_inputs.hr'!$E$15)+(L31*(1+'.c12_inputs.hr'!$E$16))</f>
        <v>0</v>
      </c>
      <c r="M46" s="490">
        <f>+M16*(1+'.c12_inputs.hr'!$E$15)+(M31*(1+'.c12_inputs.hr'!$E$16))</f>
        <v>0</v>
      </c>
      <c r="N46" s="490">
        <f>+N16*(1+'.c12_inputs.hr'!$E$15)+(N31*(1+'.c12_inputs.hr'!$E$16))</f>
        <v>0</v>
      </c>
      <c r="O46" s="490">
        <f>+O16*(1+'.c12_inputs.hr'!$E$15)+(O31*(1+'.c12_inputs.hr'!$E$16))</f>
        <v>0</v>
      </c>
      <c r="P46" s="490">
        <f>+P16*(1+'.c12_inputs.hr'!$E$15)+(P31*(1+'.c12_inputs.hr'!$E$16))</f>
        <v>0</v>
      </c>
      <c r="Q46" s="490">
        <f>+Q16*(1+'.c12_inputs.hr'!$E$15)+(Q31*(1+'.c12_inputs.hr'!$E$16))</f>
        <v>0</v>
      </c>
      <c r="R46" s="490">
        <f>+R16*(1+'.c12_inputs.hr'!$E$15)+(R31*(1+'.c12_inputs.hr'!$E$16))</f>
        <v>64799.999999999993</v>
      </c>
      <c r="S46" s="490">
        <f>+S16*(1+'.c12_inputs.hr'!$E$15)+(S31*(1+'.c12_inputs.hr'!$E$16))</f>
        <v>80384.999999999985</v>
      </c>
      <c r="T46" s="490">
        <f>+T16*(1+'.c12_inputs.hr'!$E$15)+(T31*(1+'.c12_inputs.hr'!$E$16))</f>
        <v>285174.99999999994</v>
      </c>
      <c r="U46" s="490">
        <f>+U16*(1+'.c12_inputs.hr'!$E$15)+(U31*(1+'.c12_inputs.hr'!$E$16))</f>
        <v>285174.99999999994</v>
      </c>
      <c r="V46" s="490">
        <f>+V16*(1+'.c12_inputs.hr'!$E$15)+(V31*(1+'.c12_inputs.hr'!$E$16))</f>
        <v>285174.99999999994</v>
      </c>
      <c r="W46" s="490">
        <f>+W16*(1+'.c12_inputs.hr'!$E$15)+(W31*(1+'.c12_inputs.hr'!$E$16))</f>
        <v>285174.99999999994</v>
      </c>
      <c r="X46" s="490"/>
      <c r="Y46" s="490"/>
      <c r="Z46" s="430"/>
      <c r="AA46" s="430"/>
      <c r="AB46" s="430"/>
      <c r="AC46" s="430"/>
      <c r="AD46" s="430"/>
      <c r="AE46" s="430"/>
      <c r="AF46" s="430"/>
      <c r="AG46" s="430"/>
      <c r="AH46" s="430"/>
      <c r="AI46" s="430"/>
      <c r="AJ46" s="430"/>
      <c r="AK46" s="430"/>
      <c r="AL46" s="430"/>
      <c r="AM46" s="430"/>
      <c r="AN46" s="430"/>
      <c r="AO46" s="430"/>
      <c r="AP46" s="430"/>
      <c r="AQ46" s="430"/>
      <c r="AR46" s="430"/>
      <c r="AS46" s="430"/>
      <c r="AT46" s="430"/>
      <c r="AU46" s="430"/>
      <c r="AV46" s="430"/>
      <c r="AW46" s="430"/>
      <c r="AX46" s="430"/>
      <c r="AY46" s="430"/>
      <c r="AZ46" s="430"/>
      <c r="BA46" s="430"/>
      <c r="BB46" s="430"/>
      <c r="BC46" s="430"/>
      <c r="BD46" s="430"/>
      <c r="BE46" s="430"/>
      <c r="BF46" s="430"/>
      <c r="BG46" s="430"/>
      <c r="BH46" s="430"/>
      <c r="BI46" s="430"/>
      <c r="BJ46" s="430"/>
      <c r="BK46" s="430"/>
    </row>
    <row r="47" spans="1:63" ht="14.65" customHeight="1">
      <c r="A47" s="430" t="str">
        <f t="shared" si="3"/>
        <v>Tech2</v>
      </c>
      <c r="B47" s="442" t="s">
        <v>34</v>
      </c>
      <c r="C47" s="442" t="s">
        <v>1035</v>
      </c>
      <c r="D47" s="442" t="s">
        <v>1095</v>
      </c>
      <c r="E47" s="490"/>
      <c r="F47" s="490"/>
      <c r="G47" s="490"/>
      <c r="H47" s="490"/>
      <c r="I47" s="490"/>
      <c r="J47" s="490"/>
      <c r="K47" s="490"/>
      <c r="L47" s="490">
        <f>+L17*(1+'.c12_inputs.hr'!$E$15)+(L32*(1+'.c12_inputs.hr'!$E$16))</f>
        <v>0</v>
      </c>
      <c r="M47" s="490">
        <f>+M17*(1+'.c12_inputs.hr'!$E$15)+(M32*(1+'.c12_inputs.hr'!$E$16))</f>
        <v>0</v>
      </c>
      <c r="N47" s="490">
        <f>+N17*(1+'.c12_inputs.hr'!$E$15)+(N32*(1+'.c12_inputs.hr'!$E$16))</f>
        <v>0</v>
      </c>
      <c r="O47" s="490">
        <f>+O17*(1+'.c12_inputs.hr'!$E$15)+(O32*(1+'.c12_inputs.hr'!$E$16))</f>
        <v>0</v>
      </c>
      <c r="P47" s="490">
        <f>+P17*(1+'.c12_inputs.hr'!$E$15)+(P32*(1+'.c12_inputs.hr'!$E$16))</f>
        <v>0</v>
      </c>
      <c r="Q47" s="490">
        <f>+Q17*(1+'.c12_inputs.hr'!$E$15)+(Q32*(1+'.c12_inputs.hr'!$E$16))</f>
        <v>0</v>
      </c>
      <c r="R47" s="490">
        <f>+R17*(1+'.c12_inputs.hr'!$E$15)+(R32*(1+'.c12_inputs.hr'!$E$16))</f>
        <v>21600</v>
      </c>
      <c r="S47" s="490">
        <f>+S17*(1+'.c12_inputs.hr'!$E$15)+(S32*(1+'.c12_inputs.hr'!$E$16))</f>
        <v>37185</v>
      </c>
      <c r="T47" s="490">
        <f>+T17*(1+'.c12_inputs.hr'!$E$15)+(T32*(1+'.c12_inputs.hr'!$E$16))</f>
        <v>112375</v>
      </c>
      <c r="U47" s="490">
        <f>+U17*(1+'.c12_inputs.hr'!$E$15)+(U32*(1+'.c12_inputs.hr'!$E$16))</f>
        <v>112375</v>
      </c>
      <c r="V47" s="490">
        <f>+V17*(1+'.c12_inputs.hr'!$E$15)+(V32*(1+'.c12_inputs.hr'!$E$16))</f>
        <v>112375</v>
      </c>
      <c r="W47" s="490">
        <f>+W17*(1+'.c12_inputs.hr'!$E$15)+(W32*(1+'.c12_inputs.hr'!$E$16))</f>
        <v>112375</v>
      </c>
      <c r="X47" s="490"/>
      <c r="Y47" s="490"/>
      <c r="Z47" s="430"/>
      <c r="AA47" s="430"/>
      <c r="AB47" s="430"/>
      <c r="AC47" s="430"/>
      <c r="AD47" s="430"/>
      <c r="AE47" s="430"/>
      <c r="AF47" s="430"/>
      <c r="AG47" s="430"/>
      <c r="AH47" s="430"/>
      <c r="AI47" s="430"/>
      <c r="AJ47" s="430"/>
      <c r="AK47" s="430"/>
      <c r="AL47" s="430"/>
      <c r="AM47" s="430"/>
      <c r="AN47" s="430"/>
      <c r="AO47" s="430"/>
      <c r="AP47" s="430"/>
      <c r="AQ47" s="430"/>
      <c r="AR47" s="430"/>
      <c r="AS47" s="430"/>
      <c r="AT47" s="430"/>
      <c r="AU47" s="430"/>
      <c r="AV47" s="430"/>
      <c r="AW47" s="430"/>
      <c r="AX47" s="430"/>
      <c r="AY47" s="430"/>
      <c r="AZ47" s="430"/>
      <c r="BA47" s="430"/>
      <c r="BB47" s="430"/>
      <c r="BC47" s="430"/>
      <c r="BD47" s="430"/>
      <c r="BE47" s="430"/>
      <c r="BF47" s="430"/>
      <c r="BG47" s="430"/>
      <c r="BH47" s="430"/>
      <c r="BI47" s="430"/>
      <c r="BJ47" s="430"/>
      <c r="BK47" s="430"/>
    </row>
    <row r="48" spans="1:63" ht="14.65" customHeight="1">
      <c r="A48" s="593" t="s">
        <v>941</v>
      </c>
      <c r="B48" s="442" t="s">
        <v>14</v>
      </c>
      <c r="C48" s="442" t="s">
        <v>942</v>
      </c>
      <c r="D48" s="430"/>
      <c r="E48" s="490"/>
      <c r="F48" s="501"/>
      <c r="G48" s="501"/>
      <c r="H48" s="501"/>
      <c r="I48" s="501"/>
      <c r="J48" s="501"/>
      <c r="K48" s="501"/>
      <c r="L48" s="596">
        <f t="shared" ref="L48:W48" si="4">SUM(L36:L47)</f>
        <v>250559.99999999997</v>
      </c>
      <c r="M48" s="596">
        <f t="shared" si="4"/>
        <v>250559.99999999997</v>
      </c>
      <c r="N48" s="596">
        <f t="shared" si="4"/>
        <v>336959.99999999994</v>
      </c>
      <c r="O48" s="596">
        <f t="shared" si="4"/>
        <v>602497.5</v>
      </c>
      <c r="P48" s="596">
        <f t="shared" si="4"/>
        <v>296640</v>
      </c>
      <c r="Q48" s="596">
        <f t="shared" si="4"/>
        <v>477677.14285714284</v>
      </c>
      <c r="R48" s="596">
        <f t="shared" si="4"/>
        <v>672077.14285714284</v>
      </c>
      <c r="S48" s="596">
        <f t="shared" si="4"/>
        <v>1173394.6428571427</v>
      </c>
      <c r="T48" s="490">
        <f t="shared" si="4"/>
        <v>3289116.0714285714</v>
      </c>
      <c r="U48" s="490">
        <f t="shared" si="4"/>
        <v>3289116.0714285714</v>
      </c>
      <c r="V48" s="490">
        <f t="shared" si="4"/>
        <v>3289116.0714285714</v>
      </c>
      <c r="W48" s="490">
        <f t="shared" si="4"/>
        <v>3289116.0714285714</v>
      </c>
      <c r="X48" s="490"/>
      <c r="Y48" s="532"/>
      <c r="Z48" s="430"/>
      <c r="AA48" s="430"/>
      <c r="AB48" s="430"/>
      <c r="AC48" s="430"/>
      <c r="AD48" s="430"/>
      <c r="AE48" s="430"/>
      <c r="AF48" s="430"/>
      <c r="AG48" s="430"/>
      <c r="AH48" s="430"/>
      <c r="AI48" s="430"/>
      <c r="AJ48" s="430"/>
      <c r="AK48" s="430"/>
      <c r="AL48" s="430"/>
      <c r="AM48" s="430"/>
      <c r="AN48" s="430"/>
      <c r="AO48" s="430"/>
      <c r="AP48" s="430"/>
      <c r="AQ48" s="430"/>
      <c r="AR48" s="430"/>
      <c r="AS48" s="430"/>
      <c r="AT48" s="430"/>
      <c r="AU48" s="430"/>
      <c r="AV48" s="430"/>
      <c r="AW48" s="430"/>
      <c r="AX48" s="430"/>
      <c r="AY48" s="430"/>
      <c r="AZ48" s="430"/>
      <c r="BA48" s="430"/>
      <c r="BB48" s="430"/>
      <c r="BC48" s="430"/>
      <c r="BD48" s="430"/>
      <c r="BE48" s="430"/>
      <c r="BF48" s="430"/>
      <c r="BG48" s="430"/>
      <c r="BH48" s="430"/>
      <c r="BI48" s="430"/>
      <c r="BJ48" s="430"/>
      <c r="BK48" s="430"/>
    </row>
    <row r="49" spans="1:63">
      <c r="A49" s="474" t="s">
        <v>943</v>
      </c>
      <c r="B49" s="442" t="s">
        <v>14</v>
      </c>
      <c r="C49" s="442" t="s">
        <v>944</v>
      </c>
      <c r="D49" s="430"/>
      <c r="E49" s="501"/>
      <c r="F49" s="501"/>
      <c r="G49" s="501"/>
      <c r="H49" s="501"/>
      <c r="I49" s="501"/>
      <c r="J49" s="501"/>
      <c r="K49" s="501"/>
      <c r="L49" s="571">
        <f>SUMPRODUCT('.c12_alloc'!$H$38:$H$49,'.c12_bi&amp;f_hr'!L$36:L$47)</f>
        <v>53279.999999999993</v>
      </c>
      <c r="M49" s="571">
        <f>SUMPRODUCT('.c12_alloc'!$H$38:$H$49,'.c12_bi&amp;f_hr'!M$36:M$47)</f>
        <v>53279.999999999993</v>
      </c>
      <c r="N49" s="571">
        <f>SUMPRODUCT('.c12_alloc'!$H$38:$H$49,'.c12_bi&amp;f_hr'!N$36:N$47)</f>
        <v>115199.99999999999</v>
      </c>
      <c r="O49" s="571">
        <f>SUMPRODUCT('.c12_alloc'!$H$38:$H$49,'.c12_bi&amp;f_hr'!O$36:O$47)</f>
        <v>154162.5</v>
      </c>
      <c r="P49" s="571">
        <f>SUMPRODUCT('.c12_alloc'!$H$38:$H$49,'.c12_bi&amp;f_hr'!P$36:P$47)</f>
        <v>118079.99999999999</v>
      </c>
      <c r="Q49" s="571">
        <f>SUMPRODUCT('.c12_alloc'!$H$38:$H$49,'.c12_bi&amp;f_hr'!Q$36:Q$47)</f>
        <v>118079.99999999999</v>
      </c>
      <c r="R49" s="571">
        <f>SUMPRODUCT('.c12_alloc'!$H$38:$H$49,'.c12_bi&amp;f_hr'!R$36:R$47)</f>
        <v>226080</v>
      </c>
      <c r="S49" s="571">
        <f>SUMPRODUCT('.c12_alloc'!$H$38:$H$49,'.c12_bi&amp;f_hr'!S$36:S$47)</f>
        <v>314395</v>
      </c>
      <c r="T49" s="501">
        <f>SUMPRODUCT('.c12_alloc'!$H$38:$H$49,'.c12_bi&amp;f_hr'!T$36:T$47)</f>
        <v>1013415</v>
      </c>
      <c r="U49" s="501">
        <f>SUMPRODUCT('.c12_alloc'!$H$38:$H$49,'.c12_bi&amp;f_hr'!U$36:U$47)</f>
        <v>1013415</v>
      </c>
      <c r="V49" s="501">
        <f>SUMPRODUCT('.c12_alloc'!$H$38:$H$49,'.c12_bi&amp;f_hr'!V$36:V$47)</f>
        <v>1013415</v>
      </c>
      <c r="W49" s="501">
        <f>SUMPRODUCT('.c12_alloc'!$H$38:$H$49,'.c12_bi&amp;f_hr'!W$36:W$47)</f>
        <v>1013415</v>
      </c>
      <c r="X49" s="430"/>
      <c r="Y49" s="430"/>
      <c r="Z49" s="430"/>
      <c r="AA49" s="430"/>
      <c r="AB49" s="430"/>
      <c r="AC49" s="430"/>
      <c r="AD49" s="430"/>
      <c r="AE49" s="430"/>
      <c r="AF49" s="430"/>
      <c r="AG49" s="430"/>
      <c r="AH49" s="430"/>
      <c r="AI49" s="430"/>
      <c r="AJ49" s="430"/>
      <c r="AK49" s="430"/>
      <c r="AL49" s="430"/>
      <c r="AM49" s="430"/>
      <c r="AN49" s="430"/>
      <c r="AO49" s="430"/>
      <c r="AP49" s="430"/>
      <c r="AQ49" s="430"/>
      <c r="AR49" s="430"/>
      <c r="AS49" s="430"/>
      <c r="AT49" s="430"/>
      <c r="AU49" s="430"/>
      <c r="AV49" s="430"/>
      <c r="AW49" s="430"/>
      <c r="AX49" s="430"/>
      <c r="AY49" s="430"/>
      <c r="AZ49" s="430"/>
      <c r="BA49" s="430"/>
      <c r="BB49" s="430"/>
      <c r="BC49" s="430"/>
      <c r="BD49" s="430"/>
      <c r="BE49" s="430"/>
      <c r="BF49" s="430"/>
      <c r="BG49" s="430"/>
      <c r="BH49" s="430"/>
      <c r="BI49" s="430"/>
      <c r="BJ49" s="430"/>
      <c r="BK49" s="430"/>
    </row>
    <row r="50" spans="1:63">
      <c r="A50" s="474" t="s">
        <v>945</v>
      </c>
      <c r="B50" s="442" t="s">
        <v>14</v>
      </c>
      <c r="C50" s="442" t="s">
        <v>946</v>
      </c>
      <c r="D50" s="430"/>
      <c r="E50" s="501"/>
      <c r="F50" s="501"/>
      <c r="G50" s="501"/>
      <c r="H50" s="501"/>
      <c r="I50" s="501"/>
      <c r="J50" s="501"/>
      <c r="K50" s="501"/>
      <c r="L50" s="571">
        <f>SUMPRODUCT('.c12_alloc'!$G$38:$G$49,'.c12_bi&amp;f_hr'!L$36:L$47)</f>
        <v>197280</v>
      </c>
      <c r="M50" s="571">
        <f>SUMPRODUCT('.c12_alloc'!$G$38:$G$49,'.c12_bi&amp;f_hr'!M$36:M$47)</f>
        <v>197280</v>
      </c>
      <c r="N50" s="571">
        <f>SUMPRODUCT('.c12_alloc'!$G$38:$G$49,'.c12_bi&amp;f_hr'!N$36:N$47)</f>
        <v>221759.99999999997</v>
      </c>
      <c r="O50" s="571">
        <f>SUMPRODUCT('.c12_alloc'!$G$38:$G$49,'.c12_bi&amp;f_hr'!O$36:O$47)</f>
        <v>448334.99999999994</v>
      </c>
      <c r="P50" s="571">
        <f>SUMPRODUCT('.c12_alloc'!$G$38:$G$49,'.c12_bi&amp;f_hr'!P$36:P$47)</f>
        <v>178559.99999999997</v>
      </c>
      <c r="Q50" s="571">
        <f>SUMPRODUCT('.c12_alloc'!$G$38:$G$49,'.c12_bi&amp;f_hr'!Q$36:Q$47)</f>
        <v>359597.14285714284</v>
      </c>
      <c r="R50" s="571">
        <f>SUMPRODUCT('.c12_alloc'!$G$38:$G$49,'.c12_bi&amp;f_hr'!R$36:R$47)</f>
        <v>445997.14285714284</v>
      </c>
      <c r="S50" s="571">
        <f>SUMPRODUCT('.c12_alloc'!$G$38:$G$49,'.c12_bi&amp;f_hr'!S$36:S$47)</f>
        <v>858999.64285714284</v>
      </c>
      <c r="T50" s="501">
        <f>SUMPRODUCT('.c12_alloc'!$G$38:$G$49,'.c12_bi&amp;f_hr'!T$36:T$47)</f>
        <v>2275701.0714285714</v>
      </c>
      <c r="U50" s="501">
        <f>SUMPRODUCT('.c12_alloc'!$G$38:$G$49,'.c12_bi&amp;f_hr'!U$36:U$47)</f>
        <v>2275701.0714285714</v>
      </c>
      <c r="V50" s="501">
        <f>SUMPRODUCT('.c12_alloc'!$G$38:$G$49,'.c12_bi&amp;f_hr'!V$36:V$47)</f>
        <v>2275701.0714285714</v>
      </c>
      <c r="W50" s="501">
        <f>SUMPRODUCT('.c12_alloc'!$G$38:$G$49,'.c12_bi&amp;f_hr'!W$36:W$47)</f>
        <v>2275701.0714285714</v>
      </c>
      <c r="X50" s="430"/>
      <c r="Y50" s="430"/>
      <c r="Z50" s="430"/>
      <c r="AA50" s="430"/>
      <c r="AB50" s="430"/>
      <c r="AC50" s="430"/>
      <c r="AD50" s="430"/>
      <c r="AE50" s="430"/>
      <c r="AF50" s="430"/>
      <c r="AG50" s="430"/>
      <c r="AH50" s="430"/>
      <c r="AI50" s="430"/>
      <c r="AJ50" s="430"/>
      <c r="AK50" s="430"/>
      <c r="AL50" s="430"/>
      <c r="AM50" s="430"/>
      <c r="AN50" s="430"/>
      <c r="AO50" s="430"/>
      <c r="AP50" s="430"/>
      <c r="AQ50" s="430"/>
      <c r="AR50" s="430"/>
      <c r="AS50" s="430"/>
      <c r="AT50" s="430"/>
      <c r="AU50" s="430"/>
      <c r="AV50" s="430"/>
      <c r="AW50" s="430"/>
      <c r="AX50" s="430"/>
      <c r="AY50" s="430"/>
      <c r="AZ50" s="430"/>
      <c r="BA50" s="430"/>
      <c r="BB50" s="430"/>
      <c r="BC50" s="430"/>
      <c r="BD50" s="430"/>
      <c r="BE50" s="430"/>
      <c r="BF50" s="430"/>
      <c r="BG50" s="430"/>
      <c r="BH50" s="430"/>
      <c r="BI50" s="430"/>
      <c r="BJ50" s="430"/>
      <c r="BK50" s="430"/>
    </row>
    <row r="51" spans="1:63">
      <c r="A51" s="474" t="s">
        <v>947</v>
      </c>
      <c r="B51" s="442" t="s">
        <v>14</v>
      </c>
      <c r="C51" s="442" t="s">
        <v>948</v>
      </c>
      <c r="D51" s="430"/>
      <c r="E51" s="501"/>
      <c r="F51" s="501"/>
      <c r="G51" s="501"/>
      <c r="H51" s="501"/>
      <c r="I51" s="501"/>
      <c r="J51" s="501"/>
      <c r="K51" s="501"/>
      <c r="L51" s="571">
        <f>SUMPRODUCT('.c12_alloc'!$E$38:$E$49,'.c12_bi&amp;f_hr'!L$36:L$47)</f>
        <v>0</v>
      </c>
      <c r="M51" s="571">
        <f>SUMPRODUCT('.c12_alloc'!$E$38:$E$49,'.c12_bi&amp;f_hr'!M$36:M$47)</f>
        <v>0</v>
      </c>
      <c r="N51" s="571">
        <f>SUMPRODUCT('.c12_alloc'!$E$38:$E$49,'.c12_bi&amp;f_hr'!N$36:N$47)</f>
        <v>0</v>
      </c>
      <c r="O51" s="571">
        <f>SUMPRODUCT('.c12_alloc'!$E$38:$E$49,'.c12_bi&amp;f_hr'!O$36:O$47)</f>
        <v>0</v>
      </c>
      <c r="P51" s="571">
        <f>SUMPRODUCT('.c12_alloc'!$E$38:$E$49,'.c12_bi&amp;f_hr'!P$36:P$47)</f>
        <v>0</v>
      </c>
      <c r="Q51" s="571">
        <f>SUMPRODUCT('.c12_alloc'!$E$38:$E$49,'.c12_bi&amp;f_hr'!Q$36:Q$47)</f>
        <v>0</v>
      </c>
      <c r="R51" s="571">
        <f>SUMPRODUCT('.c12_alloc'!$E$38:$E$49,'.c12_bi&amp;f_hr'!R$36:R$47)</f>
        <v>0</v>
      </c>
      <c r="S51" s="571">
        <f>SUMPRODUCT('.c12_alloc'!$E$38:$E$49,'.c12_bi&amp;f_hr'!S$36:S$47)</f>
        <v>0</v>
      </c>
      <c r="T51" s="501">
        <f>SUMPRODUCT('.c12_alloc'!$E$38:$E$49,'.c12_bi&amp;f_hr'!T$36:T$47)</f>
        <v>0</v>
      </c>
      <c r="U51" s="501">
        <f>SUMPRODUCT('.c12_alloc'!$E$38:$E$49,'.c12_bi&amp;f_hr'!U$36:U$47)</f>
        <v>0</v>
      </c>
      <c r="V51" s="501">
        <f>SUMPRODUCT('.c12_alloc'!$E$38:$E$49,'.c12_bi&amp;f_hr'!V$36:V$47)</f>
        <v>0</v>
      </c>
      <c r="W51" s="501">
        <f>SUMPRODUCT('.c12_alloc'!$E$38:$E$49,'.c12_bi&amp;f_hr'!W$36:W$47)</f>
        <v>0</v>
      </c>
      <c r="X51" s="430"/>
      <c r="Y51" s="430"/>
      <c r="Z51" s="430"/>
      <c r="AA51" s="430"/>
      <c r="AB51" s="430"/>
      <c r="AC51" s="430"/>
      <c r="AD51" s="430"/>
      <c r="AE51" s="430"/>
      <c r="AF51" s="430"/>
      <c r="AG51" s="430"/>
      <c r="AH51" s="430"/>
      <c r="AI51" s="430"/>
      <c r="AJ51" s="430"/>
      <c r="AK51" s="430"/>
      <c r="AL51" s="430"/>
      <c r="AM51" s="430"/>
      <c r="AN51" s="430"/>
      <c r="AO51" s="430"/>
      <c r="AP51" s="430"/>
      <c r="AQ51" s="430"/>
      <c r="AR51" s="430"/>
      <c r="AS51" s="430"/>
      <c r="AT51" s="430"/>
      <c r="AU51" s="430"/>
      <c r="AV51" s="430"/>
      <c r="AW51" s="430"/>
      <c r="AX51" s="430"/>
      <c r="AY51" s="430"/>
      <c r="AZ51" s="430"/>
      <c r="BA51" s="430"/>
      <c r="BB51" s="430"/>
      <c r="BC51" s="430"/>
      <c r="BD51" s="430"/>
      <c r="BE51" s="430"/>
      <c r="BF51" s="430"/>
      <c r="BG51" s="430"/>
      <c r="BH51" s="430"/>
      <c r="BI51" s="430"/>
      <c r="BJ51" s="430"/>
      <c r="BK51" s="430"/>
    </row>
    <row r="52" spans="1:63">
      <c r="A52" s="430"/>
      <c r="B52" s="430"/>
      <c r="C52" s="430"/>
      <c r="D52" s="430"/>
      <c r="E52" s="501"/>
      <c r="F52" s="501"/>
      <c r="G52" s="501"/>
      <c r="H52" s="501"/>
      <c r="I52" s="501"/>
      <c r="J52" s="501"/>
      <c r="K52" s="501"/>
      <c r="L52" s="501"/>
      <c r="M52" s="501"/>
      <c r="N52" s="501"/>
      <c r="O52" s="501"/>
      <c r="P52" s="501"/>
      <c r="Q52" s="501"/>
      <c r="R52" s="501"/>
      <c r="S52" s="501"/>
      <c r="T52" s="501"/>
      <c r="U52" s="501"/>
      <c r="V52" s="501"/>
      <c r="W52" s="501"/>
      <c r="X52" s="430"/>
      <c r="Y52" s="430"/>
      <c r="Z52" s="430"/>
      <c r="AA52" s="430"/>
      <c r="AB52" s="430"/>
      <c r="AC52" s="430"/>
      <c r="AD52" s="430"/>
      <c r="AE52" s="430"/>
      <c r="AF52" s="430"/>
      <c r="AG52" s="430"/>
      <c r="AH52" s="430"/>
      <c r="AI52" s="430"/>
      <c r="AJ52" s="430"/>
      <c r="AK52" s="430"/>
      <c r="AL52" s="430"/>
      <c r="AM52" s="430"/>
      <c r="AN52" s="430"/>
      <c r="AO52" s="430"/>
      <c r="AP52" s="430"/>
      <c r="AQ52" s="430"/>
      <c r="AR52" s="430"/>
      <c r="AS52" s="430"/>
      <c r="AT52" s="430"/>
      <c r="AU52" s="430"/>
      <c r="AV52" s="430"/>
      <c r="AW52" s="430"/>
      <c r="AX52" s="430"/>
      <c r="AY52" s="430"/>
      <c r="AZ52" s="430"/>
      <c r="BA52" s="430"/>
      <c r="BB52" s="430"/>
      <c r="BC52" s="430"/>
      <c r="BD52" s="430"/>
      <c r="BE52" s="430"/>
      <c r="BF52" s="430"/>
      <c r="BG52" s="430"/>
      <c r="BH52" s="430"/>
      <c r="BI52" s="430"/>
      <c r="BJ52" s="430"/>
      <c r="BK52" s="430"/>
    </row>
    <row r="53" spans="1:63">
      <c r="A53" s="430"/>
      <c r="B53" s="430"/>
      <c r="C53" s="430"/>
      <c r="D53" s="430"/>
      <c r="E53" s="501"/>
      <c r="F53" s="430"/>
      <c r="G53" s="430"/>
      <c r="H53" s="430"/>
      <c r="I53" s="430"/>
      <c r="J53" s="430"/>
      <c r="K53" s="430"/>
      <c r="L53" s="501"/>
      <c r="M53" s="501"/>
      <c r="N53" s="501"/>
      <c r="O53" s="501"/>
      <c r="P53" s="501"/>
      <c r="Q53" s="501"/>
      <c r="R53" s="501"/>
      <c r="S53" s="501"/>
      <c r="T53" s="501"/>
      <c r="U53" s="501"/>
      <c r="V53" s="501"/>
      <c r="W53" s="501"/>
      <c r="X53" s="430"/>
      <c r="Y53" s="430"/>
      <c r="Z53" s="430"/>
      <c r="AA53" s="430"/>
      <c r="AB53" s="430"/>
      <c r="AC53" s="430"/>
      <c r="AD53" s="430"/>
      <c r="AE53" s="430"/>
      <c r="AF53" s="430"/>
      <c r="AG53" s="430"/>
      <c r="AH53" s="430"/>
      <c r="AI53" s="430"/>
      <c r="AJ53" s="430"/>
      <c r="AK53" s="430"/>
      <c r="AL53" s="430"/>
      <c r="AM53" s="430"/>
      <c r="AN53" s="430"/>
      <c r="AO53" s="430"/>
      <c r="AP53" s="430"/>
      <c r="AQ53" s="430"/>
      <c r="AR53" s="430"/>
      <c r="AS53" s="430"/>
      <c r="AT53" s="430"/>
      <c r="AU53" s="430"/>
      <c r="AV53" s="430"/>
      <c r="AW53" s="430"/>
      <c r="AX53" s="430"/>
      <c r="AY53" s="430"/>
      <c r="AZ53" s="430"/>
      <c r="BA53" s="430"/>
      <c r="BB53" s="430"/>
      <c r="BC53" s="430"/>
      <c r="BD53" s="430"/>
      <c r="BE53" s="430"/>
      <c r="BF53" s="430"/>
      <c r="BG53" s="430"/>
      <c r="BH53" s="430"/>
      <c r="BI53" s="430"/>
      <c r="BJ53" s="430"/>
      <c r="BK53" s="430"/>
    </row>
    <row r="54" spans="1:63">
      <c r="A54" s="430"/>
      <c r="B54" s="430"/>
      <c r="C54" s="430"/>
      <c r="D54" s="430"/>
      <c r="E54" s="430"/>
      <c r="F54" s="430"/>
      <c r="G54" s="430"/>
      <c r="H54" s="430"/>
      <c r="I54" s="430"/>
      <c r="J54" s="430"/>
      <c r="K54" s="430"/>
      <c r="L54" s="430"/>
      <c r="M54" s="430"/>
      <c r="N54" s="430"/>
      <c r="O54" s="430"/>
      <c r="P54" s="430"/>
      <c r="Q54" s="430"/>
      <c r="R54" s="430"/>
      <c r="S54" s="430"/>
      <c r="T54" s="430"/>
      <c r="U54" s="430"/>
      <c r="V54" s="430"/>
      <c r="W54" s="430"/>
      <c r="X54" s="430"/>
      <c r="Y54" s="430"/>
      <c r="Z54" s="430"/>
      <c r="AA54" s="430"/>
      <c r="AB54" s="430"/>
      <c r="AC54" s="430"/>
      <c r="AD54" s="430"/>
      <c r="AE54" s="430"/>
      <c r="AF54" s="430"/>
      <c r="AG54" s="430"/>
      <c r="AH54" s="430"/>
      <c r="AI54" s="430"/>
      <c r="AJ54" s="430"/>
      <c r="AK54" s="430"/>
      <c r="AL54" s="430"/>
      <c r="AM54" s="430"/>
      <c r="AN54" s="430"/>
      <c r="AO54" s="430"/>
      <c r="AP54" s="430"/>
      <c r="AQ54" s="430"/>
      <c r="AR54" s="430"/>
      <c r="AS54" s="430"/>
      <c r="AT54" s="430"/>
      <c r="AU54" s="430"/>
      <c r="AV54" s="430"/>
      <c r="AW54" s="430"/>
      <c r="AX54" s="430"/>
      <c r="AY54" s="430"/>
      <c r="AZ54" s="430"/>
      <c r="BA54" s="430"/>
      <c r="BB54" s="430"/>
      <c r="BC54" s="430"/>
      <c r="BD54" s="430"/>
      <c r="BE54" s="430"/>
      <c r="BF54" s="430"/>
      <c r="BG54" s="430"/>
      <c r="BH54" s="430"/>
      <c r="BI54" s="430"/>
      <c r="BJ54" s="430"/>
      <c r="BK54" s="430"/>
    </row>
    <row r="55" spans="1:63">
      <c r="A55" s="430"/>
      <c r="B55" s="430"/>
      <c r="C55" s="430"/>
      <c r="D55" s="430"/>
      <c r="E55" s="430"/>
      <c r="F55" s="430"/>
      <c r="G55" s="430"/>
      <c r="H55" s="430"/>
      <c r="I55" s="430"/>
      <c r="J55" s="430"/>
      <c r="K55" s="430"/>
      <c r="L55" s="430"/>
      <c r="M55" s="430"/>
      <c r="N55" s="430"/>
      <c r="O55" s="430"/>
      <c r="P55" s="430"/>
      <c r="Q55" s="430"/>
      <c r="R55" s="430"/>
      <c r="S55" s="430"/>
      <c r="T55" s="430"/>
      <c r="U55" s="430"/>
      <c r="V55" s="430"/>
      <c r="W55" s="430"/>
      <c r="X55" s="430"/>
      <c r="Y55" s="430"/>
      <c r="Z55" s="430"/>
      <c r="AA55" s="430"/>
      <c r="AB55" s="430"/>
      <c r="AC55" s="430"/>
      <c r="AD55" s="430"/>
      <c r="AE55" s="430"/>
      <c r="AF55" s="430"/>
      <c r="AG55" s="430"/>
      <c r="AH55" s="430"/>
      <c r="AI55" s="430"/>
      <c r="AJ55" s="430"/>
      <c r="AK55" s="430"/>
      <c r="AL55" s="430"/>
      <c r="AM55" s="430"/>
      <c r="AN55" s="430"/>
      <c r="AO55" s="430"/>
      <c r="AP55" s="430"/>
      <c r="AQ55" s="430"/>
      <c r="AR55" s="430"/>
      <c r="AS55" s="430"/>
      <c r="AT55" s="430"/>
      <c r="AU55" s="430"/>
      <c r="AV55" s="430"/>
      <c r="AW55" s="430"/>
      <c r="AX55" s="430"/>
      <c r="AY55" s="430"/>
      <c r="AZ55" s="430"/>
      <c r="BA55" s="430"/>
      <c r="BB55" s="430"/>
      <c r="BC55" s="430"/>
      <c r="BD55" s="430"/>
      <c r="BE55" s="430"/>
      <c r="BF55" s="430"/>
      <c r="BG55" s="430"/>
      <c r="BH55" s="430"/>
      <c r="BI55" s="430"/>
      <c r="BJ55" s="430"/>
      <c r="BK55" s="430"/>
    </row>
    <row r="56" spans="1:63">
      <c r="A56" s="430"/>
      <c r="B56" s="430"/>
      <c r="C56" s="430"/>
      <c r="D56" s="430"/>
      <c r="E56" s="430"/>
      <c r="F56" s="430"/>
      <c r="G56" s="430"/>
      <c r="H56" s="430"/>
      <c r="I56" s="430"/>
      <c r="J56" s="430"/>
      <c r="K56" s="430"/>
      <c r="L56" s="430"/>
      <c r="M56" s="430"/>
      <c r="N56" s="430"/>
      <c r="O56" s="430"/>
      <c r="P56" s="430"/>
      <c r="Q56" s="430"/>
      <c r="R56" s="430"/>
      <c r="S56" s="430"/>
      <c r="T56" s="430"/>
      <c r="U56" s="430"/>
      <c r="V56" s="430"/>
      <c r="W56" s="430"/>
      <c r="X56" s="430"/>
      <c r="Y56" s="430"/>
      <c r="Z56" s="430"/>
      <c r="AA56" s="430"/>
      <c r="AB56" s="430"/>
      <c r="AC56" s="430"/>
      <c r="AD56" s="430"/>
      <c r="AE56" s="430"/>
      <c r="AF56" s="430"/>
      <c r="AG56" s="430"/>
      <c r="AH56" s="430"/>
      <c r="AI56" s="430"/>
      <c r="AJ56" s="430"/>
      <c r="AK56" s="430"/>
      <c r="AL56" s="430"/>
      <c r="AM56" s="430"/>
      <c r="AN56" s="430"/>
      <c r="AO56" s="430"/>
      <c r="AP56" s="430"/>
      <c r="AQ56" s="430"/>
      <c r="AR56" s="430"/>
      <c r="AS56" s="430"/>
      <c r="AT56" s="430"/>
      <c r="AU56" s="430"/>
      <c r="AV56" s="430"/>
      <c r="AW56" s="430"/>
      <c r="AX56" s="430"/>
      <c r="AY56" s="430"/>
      <c r="AZ56" s="430"/>
      <c r="BA56" s="430"/>
      <c r="BB56" s="430"/>
      <c r="BC56" s="430"/>
      <c r="BD56" s="430"/>
      <c r="BE56" s="430"/>
      <c r="BF56" s="430"/>
      <c r="BG56" s="430"/>
      <c r="BH56" s="430"/>
      <c r="BI56" s="430"/>
      <c r="BJ56" s="430"/>
      <c r="BK56" s="430"/>
    </row>
    <row r="57" spans="1:63">
      <c r="A57" s="430"/>
      <c r="B57" s="430"/>
      <c r="C57" s="430"/>
      <c r="D57" s="430"/>
      <c r="E57" s="430"/>
      <c r="F57" s="430"/>
      <c r="G57" s="430"/>
      <c r="H57" s="430"/>
      <c r="I57" s="430"/>
      <c r="J57" s="430"/>
      <c r="K57" s="430"/>
      <c r="L57" s="430"/>
      <c r="M57" s="430"/>
      <c r="N57" s="430"/>
      <c r="O57" s="430"/>
      <c r="P57" s="430"/>
      <c r="Q57" s="430"/>
      <c r="R57" s="430"/>
      <c r="S57" s="430"/>
      <c r="T57" s="430"/>
      <c r="U57" s="430"/>
      <c r="V57" s="430"/>
      <c r="W57" s="430"/>
      <c r="X57" s="430"/>
      <c r="Y57" s="430"/>
      <c r="Z57" s="430"/>
      <c r="AA57" s="430"/>
      <c r="AB57" s="430"/>
      <c r="AC57" s="430"/>
      <c r="AD57" s="430"/>
      <c r="AE57" s="430"/>
      <c r="AF57" s="430"/>
      <c r="AG57" s="430"/>
      <c r="AH57" s="430"/>
      <c r="AI57" s="430"/>
      <c r="AJ57" s="430"/>
      <c r="AK57" s="430"/>
      <c r="AL57" s="430"/>
      <c r="AM57" s="430"/>
      <c r="AN57" s="430"/>
      <c r="AO57" s="430"/>
      <c r="AP57" s="430"/>
      <c r="AQ57" s="430"/>
      <c r="AR57" s="430"/>
      <c r="AS57" s="430"/>
      <c r="AT57" s="430"/>
      <c r="AU57" s="430"/>
      <c r="AV57" s="430"/>
      <c r="AW57" s="430"/>
      <c r="AX57" s="430"/>
      <c r="AY57" s="430"/>
      <c r="AZ57" s="430"/>
      <c r="BA57" s="430"/>
      <c r="BB57" s="430"/>
      <c r="BC57" s="430"/>
      <c r="BD57" s="430"/>
      <c r="BE57" s="430"/>
      <c r="BF57" s="430"/>
      <c r="BG57" s="430"/>
      <c r="BH57" s="430"/>
      <c r="BI57" s="430"/>
      <c r="BJ57" s="430"/>
      <c r="BK57" s="430"/>
    </row>
    <row r="58" spans="1:63">
      <c r="A58" s="430"/>
      <c r="B58" s="430"/>
      <c r="C58" s="430"/>
      <c r="D58" s="430"/>
      <c r="E58" s="430"/>
      <c r="F58" s="430"/>
      <c r="G58" s="430"/>
      <c r="H58" s="430"/>
      <c r="I58" s="430"/>
      <c r="J58" s="430"/>
      <c r="K58" s="430"/>
      <c r="L58" s="430"/>
      <c r="M58" s="430"/>
      <c r="N58" s="430"/>
      <c r="O58" s="430"/>
      <c r="P58" s="430"/>
      <c r="Q58" s="430"/>
      <c r="R58" s="430"/>
      <c r="S58" s="430"/>
      <c r="T58" s="430"/>
      <c r="U58" s="430"/>
      <c r="V58" s="430"/>
      <c r="W58" s="430"/>
      <c r="X58" s="430"/>
      <c r="Y58" s="430"/>
      <c r="Z58" s="430"/>
      <c r="AA58" s="430"/>
      <c r="AB58" s="430"/>
      <c r="AC58" s="430"/>
      <c r="AD58" s="430"/>
      <c r="AE58" s="430"/>
      <c r="AF58" s="430"/>
      <c r="AG58" s="430"/>
      <c r="AH58" s="430"/>
      <c r="AI58" s="430"/>
      <c r="AJ58" s="430"/>
      <c r="AK58" s="430"/>
      <c r="AL58" s="430"/>
      <c r="AM58" s="430"/>
      <c r="AN58" s="430"/>
      <c r="AO58" s="430"/>
      <c r="AP58" s="430"/>
      <c r="AQ58" s="430"/>
      <c r="AR58" s="430"/>
      <c r="AS58" s="430"/>
      <c r="AT58" s="430"/>
      <c r="AU58" s="430"/>
      <c r="AV58" s="430"/>
      <c r="AW58" s="430"/>
      <c r="AX58" s="430"/>
      <c r="AY58" s="430"/>
      <c r="AZ58" s="430"/>
      <c r="BA58" s="430"/>
      <c r="BB58" s="430"/>
      <c r="BC58" s="430"/>
      <c r="BD58" s="430"/>
      <c r="BE58" s="430"/>
      <c r="BF58" s="430"/>
      <c r="BG58" s="430"/>
      <c r="BH58" s="430"/>
      <c r="BI58" s="430"/>
      <c r="BJ58" s="430"/>
      <c r="BK58" s="430"/>
    </row>
    <row r="59" spans="1:63">
      <c r="A59" s="430"/>
      <c r="B59" s="430"/>
      <c r="C59" s="430"/>
      <c r="D59" s="430"/>
      <c r="E59" s="430"/>
      <c r="F59" s="430"/>
      <c r="G59" s="430"/>
      <c r="H59" s="430"/>
      <c r="I59" s="430"/>
      <c r="J59" s="430"/>
      <c r="K59" s="430"/>
      <c r="L59" s="430"/>
      <c r="M59" s="430"/>
      <c r="N59" s="430"/>
      <c r="O59" s="430"/>
      <c r="P59" s="430"/>
      <c r="Q59" s="430"/>
      <c r="R59" s="430"/>
      <c r="S59" s="430"/>
      <c r="T59" s="430"/>
      <c r="U59" s="430"/>
      <c r="V59" s="430"/>
      <c r="W59" s="430"/>
      <c r="X59" s="430"/>
      <c r="Y59" s="430"/>
      <c r="Z59" s="430"/>
      <c r="AA59" s="430"/>
      <c r="AB59" s="430"/>
      <c r="AC59" s="430"/>
      <c r="AD59" s="430"/>
      <c r="AE59" s="430"/>
      <c r="AF59" s="430"/>
      <c r="AG59" s="430"/>
      <c r="AH59" s="430"/>
      <c r="AI59" s="430"/>
      <c r="AJ59" s="430"/>
      <c r="AK59" s="430"/>
      <c r="AL59" s="430"/>
      <c r="AM59" s="430"/>
      <c r="AN59" s="430"/>
      <c r="AO59" s="430"/>
      <c r="AP59" s="430"/>
      <c r="AQ59" s="430"/>
      <c r="AR59" s="430"/>
      <c r="AS59" s="430"/>
      <c r="AT59" s="430"/>
      <c r="AU59" s="430"/>
      <c r="AV59" s="430"/>
      <c r="AW59" s="430"/>
      <c r="AX59" s="430"/>
      <c r="AY59" s="430"/>
      <c r="AZ59" s="430"/>
      <c r="BA59" s="430"/>
      <c r="BB59" s="430"/>
      <c r="BC59" s="430"/>
      <c r="BD59" s="430"/>
      <c r="BE59" s="430"/>
      <c r="BF59" s="430"/>
      <c r="BG59" s="430"/>
      <c r="BH59" s="430"/>
      <c r="BI59" s="430"/>
      <c r="BJ59" s="430"/>
      <c r="BK59" s="430"/>
    </row>
    <row r="60" spans="1:63">
      <c r="A60" s="430"/>
      <c r="B60" s="430"/>
      <c r="C60" s="430"/>
      <c r="D60" s="430"/>
      <c r="E60" s="430"/>
      <c r="F60" s="430"/>
      <c r="G60" s="430"/>
      <c r="H60" s="430"/>
      <c r="I60" s="430"/>
      <c r="J60" s="430"/>
      <c r="K60" s="430"/>
      <c r="L60" s="430"/>
      <c r="M60" s="430"/>
      <c r="N60" s="430"/>
      <c r="O60" s="430"/>
      <c r="P60" s="430"/>
      <c r="Q60" s="430"/>
      <c r="R60" s="430"/>
      <c r="S60" s="430"/>
      <c r="T60" s="430"/>
      <c r="U60" s="430"/>
      <c r="V60" s="430"/>
      <c r="W60" s="430"/>
      <c r="X60" s="430"/>
      <c r="Y60" s="430"/>
      <c r="Z60" s="430"/>
      <c r="AA60" s="430"/>
      <c r="AB60" s="430"/>
      <c r="AC60" s="430"/>
      <c r="AD60" s="430"/>
      <c r="AE60" s="430"/>
      <c r="AF60" s="430"/>
      <c r="AG60" s="430"/>
      <c r="AH60" s="430"/>
      <c r="AI60" s="430"/>
      <c r="AJ60" s="430"/>
      <c r="AK60" s="430"/>
      <c r="AL60" s="430"/>
      <c r="AM60" s="430"/>
      <c r="AN60" s="430"/>
      <c r="AO60" s="430"/>
      <c r="AP60" s="430"/>
      <c r="AQ60" s="430"/>
      <c r="AR60" s="430"/>
      <c r="AS60" s="430"/>
      <c r="AT60" s="430"/>
      <c r="AU60" s="430"/>
      <c r="AV60" s="430"/>
      <c r="AW60" s="430"/>
      <c r="AX60" s="430"/>
      <c r="AY60" s="430"/>
      <c r="AZ60" s="430"/>
      <c r="BA60" s="430"/>
      <c r="BB60" s="430"/>
      <c r="BC60" s="430"/>
      <c r="BD60" s="430"/>
      <c r="BE60" s="430"/>
      <c r="BF60" s="430"/>
      <c r="BG60" s="430"/>
      <c r="BH60" s="430"/>
      <c r="BI60" s="430"/>
      <c r="BJ60" s="430"/>
      <c r="BK60" s="430"/>
    </row>
    <row r="61" spans="1:63">
      <c r="A61" s="430"/>
      <c r="B61" s="430"/>
      <c r="C61" s="430"/>
      <c r="D61" s="430"/>
      <c r="E61" s="430"/>
      <c r="F61" s="430"/>
      <c r="G61" s="430"/>
      <c r="H61" s="430"/>
      <c r="I61" s="430"/>
      <c r="J61" s="430"/>
      <c r="K61" s="430"/>
      <c r="L61" s="430"/>
      <c r="M61" s="430"/>
      <c r="N61" s="430"/>
      <c r="O61" s="430"/>
      <c r="P61" s="430"/>
      <c r="Q61" s="430"/>
      <c r="R61" s="430"/>
      <c r="S61" s="430"/>
      <c r="T61" s="430"/>
      <c r="U61" s="430"/>
      <c r="V61" s="430"/>
      <c r="W61" s="430"/>
      <c r="X61" s="430"/>
      <c r="Y61" s="430"/>
      <c r="Z61" s="430"/>
      <c r="AA61" s="430"/>
      <c r="AB61" s="430"/>
      <c r="AC61" s="430"/>
      <c r="AD61" s="430"/>
      <c r="AE61" s="430"/>
      <c r="AF61" s="430"/>
      <c r="AG61" s="430"/>
      <c r="AH61" s="430"/>
      <c r="AI61" s="430"/>
      <c r="AJ61" s="430"/>
      <c r="AK61" s="430"/>
      <c r="AL61" s="430"/>
      <c r="AM61" s="430"/>
      <c r="AN61" s="430"/>
      <c r="AO61" s="430"/>
      <c r="AP61" s="430"/>
      <c r="AQ61" s="430"/>
      <c r="AR61" s="430"/>
      <c r="AS61" s="430"/>
      <c r="AT61" s="430"/>
      <c r="AU61" s="430"/>
      <c r="AV61" s="430"/>
      <c r="AW61" s="430"/>
      <c r="AX61" s="430"/>
      <c r="AY61" s="430"/>
      <c r="AZ61" s="430"/>
      <c r="BA61" s="430"/>
      <c r="BB61" s="430"/>
      <c r="BC61" s="430"/>
      <c r="BD61" s="430"/>
      <c r="BE61" s="430"/>
      <c r="BF61" s="430"/>
      <c r="BG61" s="430"/>
      <c r="BH61" s="430"/>
      <c r="BI61" s="430"/>
      <c r="BJ61" s="430"/>
      <c r="BK61" s="430"/>
    </row>
    <row r="62" spans="1:63">
      <c r="A62" s="430"/>
      <c r="B62" s="430"/>
      <c r="C62" s="430"/>
      <c r="D62" s="430"/>
      <c r="E62" s="430"/>
      <c r="F62" s="430"/>
      <c r="G62" s="430"/>
      <c r="H62" s="430"/>
      <c r="I62" s="430"/>
      <c r="J62" s="430"/>
      <c r="K62" s="430"/>
      <c r="L62" s="430"/>
      <c r="M62" s="430"/>
      <c r="N62" s="430"/>
      <c r="O62" s="430"/>
      <c r="P62" s="430"/>
      <c r="Q62" s="430"/>
      <c r="R62" s="430"/>
      <c r="S62" s="430"/>
      <c r="T62" s="430"/>
      <c r="U62" s="430"/>
      <c r="V62" s="430"/>
      <c r="W62" s="430"/>
      <c r="X62" s="430"/>
      <c r="Y62" s="430"/>
      <c r="Z62" s="430"/>
      <c r="AA62" s="430"/>
      <c r="AB62" s="430"/>
      <c r="AC62" s="430"/>
      <c r="AD62" s="430"/>
      <c r="AE62" s="430"/>
      <c r="AF62" s="430"/>
      <c r="AG62" s="430"/>
      <c r="AH62" s="430"/>
      <c r="AI62" s="430"/>
      <c r="AJ62" s="430"/>
      <c r="AK62" s="430"/>
      <c r="AL62" s="430"/>
      <c r="AM62" s="430"/>
      <c r="AN62" s="430"/>
      <c r="AO62" s="430"/>
      <c r="AP62" s="430"/>
      <c r="AQ62" s="430"/>
      <c r="AR62" s="430"/>
      <c r="AS62" s="430"/>
      <c r="AT62" s="430"/>
      <c r="AU62" s="430"/>
      <c r="AV62" s="430"/>
      <c r="AW62" s="430"/>
      <c r="AX62" s="430"/>
      <c r="AY62" s="430"/>
      <c r="AZ62" s="430"/>
      <c r="BA62" s="430"/>
      <c r="BB62" s="430"/>
      <c r="BC62" s="430"/>
      <c r="BD62" s="430"/>
      <c r="BE62" s="430"/>
      <c r="BF62" s="430"/>
      <c r="BG62" s="430"/>
      <c r="BH62" s="430"/>
      <c r="BI62" s="430"/>
      <c r="BJ62" s="430"/>
      <c r="BK62" s="430"/>
    </row>
    <row r="63" spans="1:63">
      <c r="A63" s="430"/>
      <c r="B63" s="430"/>
      <c r="C63" s="430"/>
      <c r="D63" s="430"/>
      <c r="E63" s="430"/>
      <c r="F63" s="430"/>
      <c r="G63" s="430"/>
      <c r="H63" s="430"/>
      <c r="I63" s="430"/>
      <c r="J63" s="430"/>
      <c r="K63" s="430"/>
      <c r="L63" s="430"/>
      <c r="M63" s="430"/>
      <c r="N63" s="430"/>
      <c r="O63" s="430"/>
      <c r="P63" s="430"/>
      <c r="Q63" s="430"/>
      <c r="R63" s="430"/>
      <c r="S63" s="430"/>
      <c r="T63" s="430"/>
      <c r="U63" s="430"/>
      <c r="V63" s="430"/>
      <c r="W63" s="430"/>
      <c r="X63" s="430"/>
      <c r="Y63" s="430"/>
      <c r="Z63" s="430"/>
      <c r="AA63" s="430"/>
      <c r="AB63" s="430"/>
      <c r="AC63" s="430"/>
      <c r="AD63" s="430"/>
      <c r="AE63" s="430"/>
      <c r="AF63" s="430"/>
      <c r="AG63" s="430"/>
      <c r="AH63" s="430"/>
      <c r="AI63" s="430"/>
      <c r="AJ63" s="430"/>
      <c r="AK63" s="430"/>
      <c r="AL63" s="430"/>
      <c r="AM63" s="430"/>
      <c r="AN63" s="430"/>
      <c r="AO63" s="430"/>
      <c r="AP63" s="430"/>
      <c r="AQ63" s="430"/>
      <c r="AR63" s="430"/>
      <c r="AS63" s="430"/>
      <c r="AT63" s="430"/>
      <c r="AU63" s="430"/>
      <c r="AV63" s="430"/>
      <c r="AW63" s="430"/>
      <c r="AX63" s="430"/>
      <c r="AY63" s="430"/>
      <c r="AZ63" s="430"/>
      <c r="BA63" s="430"/>
      <c r="BB63" s="430"/>
      <c r="BC63" s="430"/>
      <c r="BD63" s="430"/>
      <c r="BE63" s="430"/>
      <c r="BF63" s="430"/>
      <c r="BG63" s="430"/>
      <c r="BH63" s="430"/>
      <c r="BI63" s="430"/>
      <c r="BJ63" s="430"/>
      <c r="BK63" s="430"/>
    </row>
    <row r="64" spans="1:63">
      <c r="A64" s="430"/>
      <c r="B64" s="430"/>
      <c r="C64" s="430"/>
      <c r="D64" s="430"/>
      <c r="E64" s="430"/>
      <c r="F64" s="430"/>
      <c r="G64" s="430"/>
      <c r="H64" s="430"/>
      <c r="I64" s="430"/>
      <c r="J64" s="430"/>
      <c r="K64" s="430"/>
      <c r="L64" s="430"/>
      <c r="M64" s="430"/>
      <c r="N64" s="430"/>
      <c r="O64" s="430"/>
      <c r="P64" s="430"/>
      <c r="Q64" s="430"/>
      <c r="R64" s="430"/>
      <c r="S64" s="430"/>
      <c r="T64" s="430"/>
      <c r="U64" s="430"/>
      <c r="V64" s="430"/>
      <c r="W64" s="430"/>
      <c r="X64" s="430"/>
      <c r="Y64" s="430"/>
      <c r="Z64" s="430"/>
      <c r="AA64" s="430"/>
      <c r="AB64" s="430"/>
      <c r="AC64" s="430"/>
      <c r="AD64" s="430"/>
      <c r="AE64" s="430"/>
      <c r="AF64" s="430"/>
      <c r="AG64" s="430"/>
      <c r="AH64" s="430"/>
      <c r="AI64" s="430"/>
      <c r="AJ64" s="430"/>
      <c r="AK64" s="430"/>
      <c r="AL64" s="430"/>
      <c r="AM64" s="430"/>
      <c r="AN64" s="430"/>
      <c r="AO64" s="430"/>
      <c r="AP64" s="430"/>
      <c r="AQ64" s="430"/>
      <c r="AR64" s="430"/>
      <c r="AS64" s="430"/>
      <c r="AT64" s="430"/>
      <c r="AU64" s="430"/>
      <c r="AV64" s="430"/>
      <c r="AW64" s="430"/>
      <c r="AX64" s="430"/>
      <c r="AY64" s="430"/>
      <c r="AZ64" s="430"/>
      <c r="BA64" s="430"/>
      <c r="BB64" s="430"/>
      <c r="BC64" s="430"/>
      <c r="BD64" s="430"/>
      <c r="BE64" s="430"/>
      <c r="BF64" s="430"/>
      <c r="BG64" s="430"/>
      <c r="BH64" s="430"/>
      <c r="BI64" s="430"/>
      <c r="BJ64" s="430"/>
      <c r="BK64" s="430"/>
    </row>
    <row r="65" spans="1:63">
      <c r="A65" s="430"/>
      <c r="B65" s="430"/>
      <c r="C65" s="430"/>
      <c r="D65" s="430"/>
      <c r="E65" s="430"/>
      <c r="F65" s="430"/>
      <c r="G65" s="430"/>
      <c r="H65" s="430"/>
      <c r="I65" s="430"/>
      <c r="J65" s="430"/>
      <c r="K65" s="430"/>
      <c r="L65" s="430"/>
      <c r="M65" s="430"/>
      <c r="N65" s="430"/>
      <c r="O65" s="430"/>
      <c r="P65" s="430"/>
      <c r="Q65" s="430"/>
      <c r="R65" s="430"/>
      <c r="S65" s="430"/>
      <c r="T65" s="430"/>
      <c r="U65" s="430"/>
      <c r="V65" s="430"/>
      <c r="W65" s="430"/>
      <c r="X65" s="430"/>
      <c r="Y65" s="430"/>
      <c r="Z65" s="430"/>
      <c r="AA65" s="430"/>
      <c r="AB65" s="430"/>
      <c r="AC65" s="430"/>
      <c r="AD65" s="430"/>
      <c r="AE65" s="430"/>
      <c r="AF65" s="430"/>
      <c r="AG65" s="430"/>
      <c r="AH65" s="430"/>
      <c r="AI65" s="430"/>
      <c r="AJ65" s="430"/>
      <c r="AK65" s="430"/>
      <c r="AL65" s="430"/>
      <c r="AM65" s="430"/>
      <c r="AN65" s="430"/>
      <c r="AO65" s="430"/>
      <c r="AP65" s="430"/>
      <c r="AQ65" s="430"/>
      <c r="AR65" s="430"/>
      <c r="AS65" s="430"/>
      <c r="AT65" s="430"/>
      <c r="AU65" s="430"/>
      <c r="AV65" s="430"/>
      <c r="AW65" s="430"/>
      <c r="AX65" s="430"/>
      <c r="AY65" s="430"/>
      <c r="AZ65" s="430"/>
      <c r="BA65" s="430"/>
      <c r="BB65" s="430"/>
      <c r="BC65" s="430"/>
      <c r="BD65" s="430"/>
      <c r="BE65" s="430"/>
      <c r="BF65" s="430"/>
      <c r="BG65" s="430"/>
      <c r="BH65" s="430"/>
      <c r="BI65" s="430"/>
      <c r="BJ65" s="430"/>
      <c r="BK65" s="430"/>
    </row>
    <row r="66" spans="1:63">
      <c r="A66" s="430"/>
      <c r="B66" s="430"/>
      <c r="C66" s="430"/>
      <c r="D66" s="430"/>
      <c r="E66" s="430"/>
      <c r="F66" s="430"/>
      <c r="G66" s="430"/>
      <c r="H66" s="430"/>
      <c r="I66" s="430"/>
      <c r="J66" s="430"/>
      <c r="K66" s="430"/>
      <c r="L66" s="430"/>
      <c r="M66" s="430"/>
      <c r="N66" s="430"/>
      <c r="O66" s="430"/>
      <c r="P66" s="430"/>
      <c r="Q66" s="430"/>
      <c r="R66" s="430"/>
      <c r="S66" s="430"/>
      <c r="T66" s="430"/>
      <c r="U66" s="430"/>
      <c r="V66" s="430"/>
      <c r="W66" s="430"/>
      <c r="X66" s="430"/>
      <c r="Y66" s="430"/>
      <c r="Z66" s="430"/>
      <c r="AA66" s="430"/>
      <c r="AB66" s="430"/>
      <c r="AC66" s="430"/>
      <c r="AD66" s="430"/>
      <c r="AE66" s="430"/>
      <c r="AF66" s="430"/>
      <c r="AG66" s="430"/>
      <c r="AH66" s="430"/>
      <c r="AI66" s="430"/>
      <c r="AJ66" s="430"/>
      <c r="AK66" s="430"/>
      <c r="AL66" s="430"/>
      <c r="AM66" s="430"/>
      <c r="AN66" s="430"/>
      <c r="AO66" s="430"/>
      <c r="AP66" s="430"/>
      <c r="AQ66" s="430"/>
      <c r="AR66" s="430"/>
      <c r="AS66" s="430"/>
      <c r="AT66" s="430"/>
      <c r="AU66" s="430"/>
      <c r="AV66" s="430"/>
      <c r="AW66" s="430"/>
      <c r="AX66" s="430"/>
      <c r="AY66" s="430"/>
      <c r="AZ66" s="430"/>
      <c r="BA66" s="430"/>
      <c r="BB66" s="430"/>
      <c r="BC66" s="430"/>
      <c r="BD66" s="430"/>
      <c r="BE66" s="430"/>
      <c r="BF66" s="430"/>
      <c r="BG66" s="430"/>
      <c r="BH66" s="430"/>
      <c r="BI66" s="430"/>
      <c r="BJ66" s="430"/>
      <c r="BK66" s="430"/>
    </row>
    <row r="67" spans="1:63">
      <c r="A67" s="430"/>
      <c r="B67" s="430"/>
      <c r="C67" s="430"/>
      <c r="D67" s="430"/>
      <c r="E67" s="430"/>
      <c r="F67" s="430"/>
      <c r="G67" s="430"/>
      <c r="H67" s="430"/>
      <c r="I67" s="430"/>
      <c r="J67" s="430"/>
      <c r="K67" s="430"/>
      <c r="L67" s="430"/>
      <c r="M67" s="430"/>
      <c r="N67" s="430"/>
      <c r="O67" s="430"/>
      <c r="P67" s="430"/>
      <c r="Q67" s="430"/>
      <c r="R67" s="430"/>
      <c r="S67" s="430"/>
      <c r="T67" s="430"/>
      <c r="U67" s="430"/>
      <c r="V67" s="430"/>
      <c r="W67" s="430"/>
      <c r="X67" s="430"/>
      <c r="Y67" s="430"/>
      <c r="Z67" s="430"/>
      <c r="AA67" s="430"/>
      <c r="AB67" s="430"/>
      <c r="AC67" s="430"/>
      <c r="AD67" s="430"/>
      <c r="AE67" s="430"/>
      <c r="AF67" s="430"/>
      <c r="AG67" s="430"/>
      <c r="AH67" s="430"/>
      <c r="AI67" s="430"/>
      <c r="AJ67" s="430"/>
      <c r="AK67" s="430"/>
      <c r="AL67" s="430"/>
      <c r="AM67" s="430"/>
      <c r="AN67" s="430"/>
      <c r="AO67" s="430"/>
      <c r="AP67" s="430"/>
      <c r="AQ67" s="430"/>
      <c r="AR67" s="430"/>
      <c r="AS67" s="430"/>
      <c r="AT67" s="430"/>
      <c r="AU67" s="430"/>
      <c r="AV67" s="430"/>
      <c r="AW67" s="430"/>
      <c r="AX67" s="430"/>
      <c r="AY67" s="430"/>
      <c r="AZ67" s="430"/>
      <c r="BA67" s="430"/>
      <c r="BB67" s="430"/>
      <c r="BC67" s="430"/>
      <c r="BD67" s="430"/>
      <c r="BE67" s="430"/>
      <c r="BF67" s="430"/>
      <c r="BG67" s="430"/>
      <c r="BH67" s="430"/>
      <c r="BI67" s="430"/>
      <c r="BJ67" s="430"/>
      <c r="BK67" s="430"/>
    </row>
    <row r="68" spans="1:63">
      <c r="A68" s="430"/>
      <c r="B68" s="430"/>
      <c r="C68" s="430"/>
      <c r="D68" s="430"/>
      <c r="E68" s="430"/>
      <c r="F68" s="430"/>
      <c r="G68" s="430"/>
      <c r="H68" s="430"/>
      <c r="I68" s="430"/>
      <c r="J68" s="430"/>
      <c r="K68" s="430"/>
      <c r="L68" s="430"/>
      <c r="M68" s="430"/>
      <c r="N68" s="430"/>
      <c r="O68" s="430"/>
      <c r="P68" s="430"/>
      <c r="Q68" s="430"/>
      <c r="R68" s="430"/>
      <c r="S68" s="430"/>
      <c r="T68" s="430"/>
      <c r="U68" s="430"/>
      <c r="V68" s="430"/>
      <c r="W68" s="430"/>
      <c r="X68" s="430"/>
      <c r="Y68" s="430"/>
      <c r="Z68" s="430"/>
      <c r="AA68" s="430"/>
      <c r="AB68" s="430"/>
      <c r="AC68" s="430"/>
      <c r="AD68" s="430"/>
      <c r="AE68" s="430"/>
      <c r="AF68" s="430"/>
      <c r="AG68" s="430"/>
      <c r="AH68" s="430"/>
      <c r="AI68" s="430"/>
      <c r="AJ68" s="430"/>
      <c r="AK68" s="430"/>
      <c r="AL68" s="430"/>
      <c r="AM68" s="430"/>
      <c r="AN68" s="430"/>
      <c r="AO68" s="430"/>
      <c r="AP68" s="430"/>
      <c r="AQ68" s="430"/>
      <c r="AR68" s="430"/>
      <c r="AS68" s="430"/>
      <c r="AT68" s="430"/>
      <c r="AU68" s="430"/>
      <c r="AV68" s="430"/>
      <c r="AW68" s="430"/>
      <c r="AX68" s="430"/>
      <c r="AY68" s="430"/>
      <c r="AZ68" s="430"/>
      <c r="BA68" s="430"/>
      <c r="BB68" s="430"/>
      <c r="BC68" s="430"/>
      <c r="BD68" s="430"/>
      <c r="BE68" s="430"/>
      <c r="BF68" s="430"/>
      <c r="BG68" s="430"/>
      <c r="BH68" s="430"/>
      <c r="BI68" s="430"/>
      <c r="BJ68" s="430"/>
      <c r="BK68" s="430"/>
    </row>
    <row r="69" spans="1:63">
      <c r="A69" s="430"/>
      <c r="B69" s="430"/>
      <c r="C69" s="430"/>
      <c r="D69" s="430"/>
      <c r="E69" s="430"/>
      <c r="F69" s="430"/>
      <c r="G69" s="430"/>
      <c r="H69" s="430"/>
      <c r="I69" s="430"/>
      <c r="J69" s="430"/>
      <c r="K69" s="430"/>
      <c r="L69" s="430"/>
      <c r="M69" s="430"/>
      <c r="N69" s="430"/>
      <c r="O69" s="430"/>
      <c r="P69" s="430"/>
      <c r="Q69" s="430"/>
      <c r="R69" s="430"/>
      <c r="S69" s="430"/>
      <c r="T69" s="430"/>
      <c r="U69" s="430"/>
      <c r="V69" s="430"/>
      <c r="W69" s="430"/>
      <c r="X69" s="430"/>
      <c r="Y69" s="430"/>
      <c r="Z69" s="430"/>
      <c r="AA69" s="430"/>
      <c r="AB69" s="430"/>
      <c r="AC69" s="430"/>
      <c r="AD69" s="430"/>
      <c r="AE69" s="430"/>
      <c r="AF69" s="430"/>
      <c r="AG69" s="430"/>
      <c r="AH69" s="430"/>
      <c r="AI69" s="430"/>
      <c r="AJ69" s="430"/>
      <c r="AK69" s="430"/>
      <c r="AL69" s="430"/>
      <c r="AM69" s="430"/>
      <c r="AN69" s="430"/>
      <c r="AO69" s="430"/>
      <c r="AP69" s="430"/>
      <c r="AQ69" s="430"/>
      <c r="AR69" s="430"/>
      <c r="AS69" s="430"/>
      <c r="AT69" s="430"/>
      <c r="AU69" s="430"/>
      <c r="AV69" s="430"/>
      <c r="AW69" s="430"/>
      <c r="AX69" s="430"/>
      <c r="AY69" s="430"/>
      <c r="AZ69" s="430"/>
      <c r="BA69" s="430"/>
      <c r="BB69" s="430"/>
      <c r="BC69" s="430"/>
      <c r="BD69" s="430"/>
      <c r="BE69" s="430"/>
      <c r="BF69" s="430"/>
      <c r="BG69" s="430"/>
      <c r="BH69" s="430"/>
      <c r="BI69" s="430"/>
      <c r="BJ69" s="430"/>
      <c r="BK69" s="430"/>
    </row>
    <row r="70" spans="1:63">
      <c r="A70" s="430"/>
      <c r="B70" s="430"/>
      <c r="C70" s="430"/>
      <c r="D70" s="430"/>
      <c r="E70" s="430"/>
      <c r="F70" s="430"/>
      <c r="G70" s="430"/>
      <c r="H70" s="430"/>
      <c r="I70" s="430"/>
      <c r="J70" s="430"/>
      <c r="K70" s="430"/>
      <c r="L70" s="430"/>
      <c r="M70" s="430"/>
      <c r="N70" s="430"/>
      <c r="O70" s="430"/>
      <c r="P70" s="430"/>
      <c r="Q70" s="430"/>
      <c r="R70" s="430"/>
      <c r="S70" s="430"/>
      <c r="T70" s="430"/>
      <c r="U70" s="430"/>
      <c r="V70" s="430"/>
      <c r="W70" s="430"/>
      <c r="X70" s="430"/>
      <c r="Y70" s="430"/>
      <c r="Z70" s="430"/>
      <c r="AA70" s="430"/>
      <c r="AB70" s="430"/>
      <c r="AC70" s="430"/>
      <c r="AD70" s="430"/>
      <c r="AE70" s="430"/>
      <c r="AF70" s="430"/>
      <c r="AG70" s="430"/>
      <c r="AH70" s="430"/>
      <c r="AI70" s="430"/>
      <c r="AJ70" s="430"/>
      <c r="AK70" s="430"/>
      <c r="AL70" s="430"/>
      <c r="AM70" s="430"/>
      <c r="AN70" s="430"/>
      <c r="AO70" s="430"/>
      <c r="AP70" s="430"/>
      <c r="AQ70" s="430"/>
      <c r="AR70" s="430"/>
      <c r="AS70" s="430"/>
      <c r="AT70" s="430"/>
      <c r="AU70" s="430"/>
      <c r="AV70" s="430"/>
      <c r="AW70" s="430"/>
      <c r="AX70" s="430"/>
      <c r="AY70" s="430"/>
      <c r="AZ70" s="430"/>
      <c r="BA70" s="430"/>
      <c r="BB70" s="430"/>
      <c r="BC70" s="430"/>
      <c r="BD70" s="430"/>
      <c r="BE70" s="430"/>
      <c r="BF70" s="430"/>
      <c r="BG70" s="430"/>
      <c r="BH70" s="430"/>
      <c r="BI70" s="430"/>
      <c r="BJ70" s="430"/>
      <c r="BK70" s="430"/>
    </row>
    <row r="71" spans="1:63">
      <c r="A71" s="430"/>
      <c r="B71" s="430"/>
      <c r="C71" s="430"/>
      <c r="D71" s="430"/>
      <c r="E71" s="430"/>
      <c r="F71" s="430"/>
      <c r="G71" s="430"/>
      <c r="H71" s="430"/>
      <c r="I71" s="430"/>
      <c r="J71" s="430"/>
      <c r="K71" s="430"/>
      <c r="L71" s="430"/>
      <c r="M71" s="430"/>
      <c r="N71" s="430"/>
      <c r="O71" s="430"/>
      <c r="P71" s="430"/>
      <c r="Q71" s="430"/>
      <c r="R71" s="430"/>
      <c r="S71" s="430"/>
      <c r="T71" s="430"/>
      <c r="U71" s="430"/>
      <c r="V71" s="430"/>
      <c r="W71" s="430"/>
      <c r="X71" s="430"/>
      <c r="Y71" s="430"/>
      <c r="Z71" s="430"/>
      <c r="AA71" s="430"/>
      <c r="AB71" s="430"/>
      <c r="AC71" s="430"/>
      <c r="AD71" s="430"/>
      <c r="AE71" s="430"/>
      <c r="AF71" s="430"/>
      <c r="AG71" s="430"/>
      <c r="AH71" s="430"/>
      <c r="AI71" s="430"/>
      <c r="AJ71" s="430"/>
      <c r="AK71" s="430"/>
      <c r="AL71" s="430"/>
      <c r="AM71" s="430"/>
      <c r="AN71" s="430"/>
      <c r="AO71" s="430"/>
      <c r="AP71" s="430"/>
      <c r="AQ71" s="430"/>
      <c r="AR71" s="430"/>
      <c r="AS71" s="430"/>
      <c r="AT71" s="430"/>
      <c r="AU71" s="430"/>
      <c r="AV71" s="430"/>
      <c r="AW71" s="430"/>
      <c r="AX71" s="430"/>
      <c r="AY71" s="430"/>
      <c r="AZ71" s="430"/>
      <c r="BA71" s="430"/>
      <c r="BB71" s="430"/>
      <c r="BC71" s="430"/>
      <c r="BD71" s="430"/>
      <c r="BE71" s="430"/>
      <c r="BF71" s="430"/>
      <c r="BG71" s="430"/>
      <c r="BH71" s="430"/>
      <c r="BI71" s="430"/>
      <c r="BJ71" s="430"/>
      <c r="BK71" s="430"/>
    </row>
    <row r="72" spans="1:63">
      <c r="A72" s="430"/>
      <c r="B72" s="430"/>
      <c r="C72" s="430"/>
      <c r="D72" s="430"/>
      <c r="E72" s="430"/>
      <c r="F72" s="430"/>
      <c r="G72" s="430"/>
      <c r="H72" s="430"/>
      <c r="I72" s="430"/>
      <c r="J72" s="430"/>
      <c r="K72" s="430"/>
      <c r="L72" s="430"/>
      <c r="M72" s="430"/>
      <c r="N72" s="430"/>
      <c r="O72" s="430"/>
      <c r="P72" s="430"/>
      <c r="Q72" s="430"/>
      <c r="R72" s="430"/>
      <c r="S72" s="430"/>
      <c r="T72" s="430"/>
      <c r="U72" s="430"/>
      <c r="V72" s="430"/>
      <c r="W72" s="430"/>
      <c r="X72" s="430"/>
      <c r="Y72" s="430"/>
      <c r="Z72" s="430"/>
      <c r="AA72" s="430"/>
      <c r="AB72" s="430"/>
      <c r="AC72" s="430"/>
      <c r="AD72" s="430"/>
      <c r="AE72" s="430"/>
      <c r="AF72" s="430"/>
      <c r="AG72" s="430"/>
      <c r="AH72" s="430"/>
      <c r="AI72" s="430"/>
      <c r="AJ72" s="430"/>
      <c r="AK72" s="430"/>
      <c r="AL72" s="430"/>
      <c r="AM72" s="430"/>
      <c r="AN72" s="430"/>
      <c r="AO72" s="430"/>
      <c r="AP72" s="430"/>
      <c r="AQ72" s="430"/>
      <c r="AR72" s="430"/>
      <c r="AS72" s="430"/>
      <c r="AT72" s="430"/>
      <c r="AU72" s="430"/>
      <c r="AV72" s="430"/>
      <c r="AW72" s="430"/>
      <c r="AX72" s="430"/>
      <c r="AY72" s="430"/>
      <c r="AZ72" s="430"/>
      <c r="BA72" s="430"/>
      <c r="BB72" s="430"/>
      <c r="BC72" s="430"/>
      <c r="BD72" s="430"/>
      <c r="BE72" s="430"/>
      <c r="BF72" s="430"/>
      <c r="BG72" s="430"/>
      <c r="BH72" s="430"/>
      <c r="BI72" s="430"/>
      <c r="BJ72" s="430"/>
      <c r="BK72" s="430"/>
    </row>
    <row r="73" spans="1:63">
      <c r="A73" s="430"/>
      <c r="B73" s="430"/>
      <c r="C73" s="430"/>
      <c r="D73" s="430"/>
      <c r="E73" s="430"/>
      <c r="F73" s="430"/>
      <c r="G73" s="430"/>
      <c r="H73" s="430"/>
      <c r="I73" s="430"/>
      <c r="J73" s="430"/>
      <c r="K73" s="430"/>
      <c r="L73" s="430"/>
      <c r="M73" s="430"/>
      <c r="N73" s="430"/>
      <c r="O73" s="430"/>
      <c r="P73" s="430"/>
      <c r="Q73" s="430"/>
      <c r="R73" s="430"/>
      <c r="S73" s="430"/>
      <c r="T73" s="430"/>
      <c r="U73" s="430"/>
      <c r="V73" s="430"/>
      <c r="W73" s="430"/>
      <c r="X73" s="430"/>
      <c r="Y73" s="430"/>
      <c r="Z73" s="430"/>
      <c r="AA73" s="430"/>
      <c r="AB73" s="430"/>
      <c r="AC73" s="430"/>
      <c r="AD73" s="430"/>
      <c r="AE73" s="430"/>
      <c r="AF73" s="430"/>
      <c r="AG73" s="430"/>
      <c r="AH73" s="430"/>
      <c r="AI73" s="430"/>
      <c r="AJ73" s="430"/>
      <c r="AK73" s="430"/>
      <c r="AL73" s="430"/>
      <c r="AM73" s="430"/>
      <c r="AN73" s="430"/>
      <c r="AO73" s="430"/>
      <c r="AP73" s="430"/>
      <c r="AQ73" s="430"/>
      <c r="AR73" s="430"/>
      <c r="AS73" s="430"/>
      <c r="AT73" s="430"/>
      <c r="AU73" s="430"/>
      <c r="AV73" s="430"/>
      <c r="AW73" s="430"/>
      <c r="AX73" s="430"/>
      <c r="AY73" s="430"/>
      <c r="AZ73" s="430"/>
      <c r="BA73" s="430"/>
      <c r="BB73" s="430"/>
      <c r="BC73" s="430"/>
      <c r="BD73" s="430"/>
      <c r="BE73" s="430"/>
      <c r="BF73" s="430"/>
      <c r="BG73" s="430"/>
      <c r="BH73" s="430"/>
      <c r="BI73" s="430"/>
      <c r="BJ73" s="430"/>
      <c r="BK73" s="430"/>
    </row>
    <row r="74" spans="1:63">
      <c r="A74" s="430"/>
      <c r="B74" s="430"/>
      <c r="C74" s="430"/>
      <c r="D74" s="430"/>
      <c r="E74" s="430"/>
      <c r="F74" s="430"/>
      <c r="G74" s="430"/>
      <c r="H74" s="430"/>
      <c r="I74" s="430"/>
      <c r="J74" s="430"/>
      <c r="K74" s="430"/>
      <c r="L74" s="430"/>
      <c r="M74" s="430"/>
      <c r="N74" s="430"/>
      <c r="O74" s="430"/>
      <c r="P74" s="430"/>
      <c r="Q74" s="430"/>
      <c r="R74" s="430"/>
      <c r="S74" s="430"/>
      <c r="T74" s="430"/>
      <c r="U74" s="430"/>
      <c r="V74" s="430"/>
      <c r="W74" s="430"/>
      <c r="X74" s="430"/>
      <c r="Y74" s="430"/>
      <c r="Z74" s="430"/>
      <c r="AA74" s="430"/>
      <c r="AB74" s="430"/>
      <c r="AC74" s="430"/>
      <c r="AD74" s="430"/>
      <c r="AE74" s="430"/>
      <c r="AF74" s="430"/>
      <c r="AG74" s="430"/>
      <c r="AH74" s="430"/>
      <c r="AI74" s="430"/>
      <c r="AJ74" s="430"/>
      <c r="AK74" s="430"/>
      <c r="AL74" s="430"/>
      <c r="AM74" s="430"/>
      <c r="AN74" s="430"/>
      <c r="AO74" s="430"/>
      <c r="AP74" s="430"/>
      <c r="AQ74" s="430"/>
      <c r="AR74" s="430"/>
      <c r="AS74" s="430"/>
      <c r="AT74" s="430"/>
      <c r="AU74" s="430"/>
      <c r="AV74" s="430"/>
      <c r="AW74" s="430"/>
      <c r="AX74" s="430"/>
      <c r="AY74" s="430"/>
      <c r="AZ74" s="430"/>
      <c r="BA74" s="430"/>
      <c r="BB74" s="430"/>
      <c r="BC74" s="430"/>
      <c r="BD74" s="430"/>
      <c r="BE74" s="430"/>
      <c r="BF74" s="430"/>
      <c r="BG74" s="430"/>
      <c r="BH74" s="430"/>
      <c r="BI74" s="430"/>
      <c r="BJ74" s="430"/>
      <c r="BK74" s="430"/>
    </row>
    <row r="75" spans="1:63">
      <c r="A75" s="430"/>
      <c r="B75" s="430"/>
      <c r="C75" s="430"/>
      <c r="D75" s="430"/>
      <c r="E75" s="430"/>
      <c r="F75" s="430"/>
      <c r="G75" s="430"/>
      <c r="H75" s="430"/>
      <c r="I75" s="430"/>
      <c r="J75" s="430"/>
      <c r="K75" s="430"/>
      <c r="L75" s="430"/>
      <c r="M75" s="430"/>
      <c r="N75" s="430"/>
      <c r="O75" s="430"/>
      <c r="P75" s="430"/>
      <c r="Q75" s="430"/>
      <c r="R75" s="430"/>
      <c r="S75" s="430"/>
      <c r="T75" s="430"/>
      <c r="U75" s="430"/>
      <c r="V75" s="430"/>
      <c r="W75" s="430"/>
      <c r="X75" s="430"/>
      <c r="Y75" s="430"/>
      <c r="Z75" s="430"/>
      <c r="AA75" s="430"/>
      <c r="AB75" s="430"/>
      <c r="AC75" s="430"/>
      <c r="AD75" s="430"/>
      <c r="AE75" s="430"/>
      <c r="AF75" s="430"/>
      <c r="AG75" s="430"/>
      <c r="AH75" s="430"/>
      <c r="AI75" s="430"/>
      <c r="AJ75" s="430"/>
      <c r="AK75" s="430"/>
      <c r="AL75" s="430"/>
      <c r="AM75" s="430"/>
      <c r="AN75" s="430"/>
      <c r="AO75" s="430"/>
      <c r="AP75" s="430"/>
      <c r="AQ75" s="430"/>
      <c r="AR75" s="430"/>
      <c r="AS75" s="430"/>
      <c r="AT75" s="430"/>
      <c r="AU75" s="430"/>
      <c r="AV75" s="430"/>
      <c r="AW75" s="430"/>
      <c r="AX75" s="430"/>
      <c r="AY75" s="430"/>
      <c r="AZ75" s="430"/>
      <c r="BA75" s="430"/>
      <c r="BB75" s="430"/>
      <c r="BC75" s="430"/>
      <c r="BD75" s="430"/>
      <c r="BE75" s="430"/>
      <c r="BF75" s="430"/>
      <c r="BG75" s="430"/>
      <c r="BH75" s="430"/>
      <c r="BI75" s="430"/>
      <c r="BJ75" s="430"/>
      <c r="BK75" s="430"/>
    </row>
    <row r="76" spans="1:63">
      <c r="A76" s="430"/>
      <c r="B76" s="430"/>
      <c r="C76" s="430"/>
      <c r="D76" s="430"/>
      <c r="E76" s="430"/>
      <c r="F76" s="430"/>
      <c r="G76" s="430"/>
      <c r="H76" s="430"/>
      <c r="I76" s="430"/>
      <c r="J76" s="430"/>
      <c r="K76" s="430"/>
      <c r="L76" s="430"/>
      <c r="M76" s="430"/>
      <c r="N76" s="430"/>
      <c r="O76" s="430"/>
      <c r="P76" s="430"/>
      <c r="Q76" s="430"/>
      <c r="R76" s="430"/>
      <c r="S76" s="430"/>
      <c r="T76" s="430"/>
      <c r="U76" s="430"/>
      <c r="V76" s="430"/>
      <c r="W76" s="430"/>
      <c r="X76" s="430"/>
      <c r="Y76" s="430"/>
      <c r="Z76" s="430"/>
      <c r="AA76" s="430"/>
      <c r="AB76" s="430"/>
      <c r="AC76" s="430"/>
      <c r="AD76" s="430"/>
      <c r="AE76" s="430"/>
      <c r="AF76" s="430"/>
      <c r="AG76" s="430"/>
      <c r="AH76" s="430"/>
      <c r="AI76" s="430"/>
      <c r="AJ76" s="430"/>
      <c r="AK76" s="430"/>
      <c r="AL76" s="430"/>
      <c r="AM76" s="430"/>
      <c r="AN76" s="430"/>
      <c r="AO76" s="430"/>
      <c r="AP76" s="430"/>
      <c r="AQ76" s="430"/>
      <c r="AR76" s="430"/>
      <c r="AS76" s="430"/>
      <c r="AT76" s="430"/>
      <c r="AU76" s="430"/>
      <c r="AV76" s="430"/>
      <c r="AW76" s="430"/>
      <c r="AX76" s="430"/>
      <c r="AY76" s="430"/>
      <c r="AZ76" s="430"/>
      <c r="BA76" s="430"/>
      <c r="BB76" s="430"/>
      <c r="BC76" s="430"/>
      <c r="BD76" s="430"/>
      <c r="BE76" s="430"/>
      <c r="BF76" s="430"/>
      <c r="BG76" s="430"/>
      <c r="BH76" s="430"/>
      <c r="BI76" s="430"/>
      <c r="BJ76" s="430"/>
      <c r="BK76" s="430"/>
    </row>
    <row r="77" spans="1:63">
      <c r="A77" s="430"/>
      <c r="B77" s="430"/>
      <c r="C77" s="430"/>
      <c r="D77" s="430"/>
      <c r="E77" s="430"/>
      <c r="F77" s="430"/>
      <c r="G77" s="430"/>
      <c r="H77" s="430"/>
      <c r="I77" s="430"/>
      <c r="J77" s="430"/>
      <c r="K77" s="430"/>
      <c r="L77" s="430"/>
      <c r="M77" s="430"/>
      <c r="N77" s="430"/>
      <c r="O77" s="430"/>
      <c r="P77" s="430"/>
      <c r="Q77" s="430"/>
      <c r="R77" s="430"/>
      <c r="S77" s="430"/>
      <c r="T77" s="430"/>
      <c r="U77" s="430"/>
      <c r="V77" s="430"/>
      <c r="W77" s="430"/>
      <c r="X77" s="430"/>
      <c r="Y77" s="430"/>
      <c r="Z77" s="430"/>
      <c r="AA77" s="430"/>
      <c r="AB77" s="430"/>
      <c r="AC77" s="430"/>
      <c r="AD77" s="430"/>
      <c r="AE77" s="430"/>
      <c r="AF77" s="430"/>
      <c r="AG77" s="430"/>
      <c r="AH77" s="430"/>
      <c r="AI77" s="430"/>
      <c r="AJ77" s="430"/>
      <c r="AK77" s="430"/>
      <c r="AL77" s="430"/>
      <c r="AM77" s="430"/>
      <c r="AN77" s="430"/>
      <c r="AO77" s="430"/>
      <c r="AP77" s="430"/>
      <c r="AQ77" s="430"/>
      <c r="AR77" s="430"/>
      <c r="AS77" s="430"/>
      <c r="AT77" s="430"/>
      <c r="AU77" s="430"/>
      <c r="AV77" s="430"/>
      <c r="AW77" s="430"/>
      <c r="AX77" s="430"/>
      <c r="AY77" s="430"/>
      <c r="AZ77" s="430"/>
      <c r="BA77" s="430"/>
      <c r="BB77" s="430"/>
      <c r="BC77" s="430"/>
      <c r="BD77" s="430"/>
      <c r="BE77" s="430"/>
      <c r="BF77" s="430"/>
      <c r="BG77" s="430"/>
      <c r="BH77" s="430"/>
      <c r="BI77" s="430"/>
      <c r="BJ77" s="430"/>
      <c r="BK77" s="430"/>
    </row>
    <row r="78" spans="1:63">
      <c r="A78" s="430"/>
      <c r="B78" s="430"/>
      <c r="C78" s="430"/>
      <c r="D78" s="430"/>
      <c r="E78" s="430"/>
      <c r="F78" s="430"/>
      <c r="G78" s="430"/>
      <c r="H78" s="430"/>
      <c r="I78" s="430"/>
      <c r="J78" s="430"/>
      <c r="K78" s="430"/>
      <c r="L78" s="430"/>
      <c r="M78" s="430"/>
      <c r="N78" s="430"/>
      <c r="O78" s="430"/>
      <c r="P78" s="430"/>
      <c r="Q78" s="430"/>
      <c r="R78" s="430"/>
      <c r="S78" s="430"/>
      <c r="T78" s="430"/>
      <c r="U78" s="430"/>
      <c r="V78" s="430"/>
      <c r="W78" s="430"/>
      <c r="X78" s="430"/>
      <c r="Y78" s="430"/>
      <c r="Z78" s="430"/>
      <c r="AA78" s="430"/>
      <c r="AB78" s="430"/>
      <c r="AC78" s="430"/>
      <c r="AD78" s="430"/>
      <c r="AE78" s="430"/>
      <c r="AF78" s="430"/>
      <c r="AG78" s="430"/>
      <c r="AH78" s="430"/>
      <c r="AI78" s="430"/>
      <c r="AJ78" s="430"/>
      <c r="AK78" s="430"/>
      <c r="AL78" s="430"/>
      <c r="AM78" s="430"/>
      <c r="AN78" s="430"/>
      <c r="AO78" s="430"/>
      <c r="AP78" s="430"/>
      <c r="AQ78" s="430"/>
      <c r="AR78" s="430"/>
      <c r="AS78" s="430"/>
      <c r="AT78" s="430"/>
      <c r="AU78" s="430"/>
      <c r="AV78" s="430"/>
      <c r="AW78" s="430"/>
      <c r="AX78" s="430"/>
      <c r="AY78" s="430"/>
      <c r="AZ78" s="430"/>
      <c r="BA78" s="430"/>
      <c r="BB78" s="430"/>
      <c r="BC78" s="430"/>
      <c r="BD78" s="430"/>
      <c r="BE78" s="430"/>
      <c r="BF78" s="430"/>
      <c r="BG78" s="430"/>
      <c r="BH78" s="430"/>
      <c r="BI78" s="430"/>
      <c r="BJ78" s="430"/>
      <c r="BK78" s="430"/>
    </row>
    <row r="79" spans="1:63">
      <c r="A79" s="430"/>
      <c r="B79" s="430"/>
      <c r="C79" s="430"/>
      <c r="D79" s="430"/>
      <c r="E79" s="430"/>
      <c r="F79" s="430"/>
      <c r="G79" s="430"/>
      <c r="H79" s="430"/>
      <c r="I79" s="430"/>
      <c r="J79" s="430"/>
      <c r="K79" s="430"/>
      <c r="L79" s="430"/>
      <c r="M79" s="430"/>
      <c r="N79" s="430"/>
      <c r="O79" s="430"/>
      <c r="P79" s="430"/>
      <c r="Q79" s="430"/>
      <c r="R79" s="430"/>
      <c r="S79" s="430"/>
      <c r="T79" s="430"/>
      <c r="U79" s="430"/>
      <c r="V79" s="430"/>
      <c r="W79" s="430"/>
      <c r="X79" s="430"/>
      <c r="Y79" s="430"/>
      <c r="Z79" s="430"/>
      <c r="AA79" s="430"/>
      <c r="AB79" s="430"/>
      <c r="AC79" s="430"/>
      <c r="AD79" s="430"/>
      <c r="AE79" s="430"/>
      <c r="AF79" s="430"/>
      <c r="AG79" s="430"/>
      <c r="AH79" s="430"/>
      <c r="AI79" s="430"/>
      <c r="AJ79" s="430"/>
      <c r="AK79" s="430"/>
      <c r="AL79" s="430"/>
      <c r="AM79" s="430"/>
      <c r="AN79" s="430"/>
      <c r="AO79" s="430"/>
      <c r="AP79" s="430"/>
      <c r="AQ79" s="430"/>
      <c r="AR79" s="430"/>
      <c r="AS79" s="430"/>
      <c r="AT79" s="430"/>
      <c r="AU79" s="430"/>
      <c r="AV79" s="430"/>
      <c r="AW79" s="430"/>
      <c r="AX79" s="430"/>
      <c r="AY79" s="430"/>
      <c r="AZ79" s="430"/>
      <c r="BA79" s="430"/>
      <c r="BB79" s="430"/>
      <c r="BC79" s="430"/>
      <c r="BD79" s="430"/>
      <c r="BE79" s="430"/>
      <c r="BF79" s="430"/>
      <c r="BG79" s="430"/>
      <c r="BH79" s="430"/>
      <c r="BI79" s="430"/>
      <c r="BJ79" s="430"/>
      <c r="BK79" s="430"/>
    </row>
    <row r="80" spans="1:63">
      <c r="A80" s="430"/>
      <c r="B80" s="430"/>
      <c r="C80" s="430"/>
      <c r="D80" s="430"/>
      <c r="E80" s="430"/>
      <c r="F80" s="430"/>
      <c r="G80" s="430"/>
      <c r="H80" s="430"/>
      <c r="I80" s="430"/>
      <c r="J80" s="430"/>
      <c r="K80" s="430"/>
      <c r="L80" s="430"/>
      <c r="M80" s="430"/>
      <c r="N80" s="430"/>
      <c r="O80" s="430"/>
      <c r="P80" s="430"/>
      <c r="Q80" s="430"/>
      <c r="R80" s="430"/>
      <c r="S80" s="430"/>
      <c r="T80" s="430"/>
      <c r="U80" s="430"/>
      <c r="V80" s="430"/>
      <c r="W80" s="430"/>
      <c r="X80" s="430"/>
      <c r="Y80" s="430"/>
      <c r="Z80" s="430"/>
      <c r="AA80" s="430"/>
      <c r="AB80" s="430"/>
      <c r="AC80" s="430"/>
      <c r="AD80" s="430"/>
      <c r="AE80" s="430"/>
      <c r="AF80" s="430"/>
      <c r="AG80" s="430"/>
      <c r="AH80" s="430"/>
      <c r="AI80" s="430"/>
      <c r="AJ80" s="430"/>
      <c r="AK80" s="430"/>
      <c r="AL80" s="430"/>
      <c r="AM80" s="430"/>
      <c r="AN80" s="430"/>
      <c r="AO80" s="430"/>
      <c r="AP80" s="430"/>
      <c r="AQ80" s="430"/>
      <c r="AR80" s="430"/>
      <c r="AS80" s="430"/>
      <c r="AT80" s="430"/>
      <c r="AU80" s="430"/>
      <c r="AV80" s="430"/>
      <c r="AW80" s="430"/>
      <c r="AX80" s="430"/>
      <c r="AY80" s="430"/>
      <c r="AZ80" s="430"/>
      <c r="BA80" s="430"/>
      <c r="BB80" s="430"/>
      <c r="BC80" s="430"/>
      <c r="BD80" s="430"/>
      <c r="BE80" s="430"/>
      <c r="BF80" s="430"/>
      <c r="BG80" s="430"/>
      <c r="BH80" s="430"/>
      <c r="BI80" s="430"/>
      <c r="BJ80" s="430"/>
      <c r="BK80" s="430"/>
    </row>
    <row r="81" spans="1:63">
      <c r="A81" s="430"/>
      <c r="B81" s="430"/>
      <c r="C81" s="430"/>
      <c r="D81" s="430"/>
      <c r="E81" s="430"/>
      <c r="F81" s="430"/>
      <c r="G81" s="430"/>
      <c r="H81" s="430"/>
      <c r="I81" s="430"/>
      <c r="J81" s="430"/>
      <c r="K81" s="430"/>
      <c r="L81" s="430"/>
      <c r="M81" s="430"/>
      <c r="N81" s="430"/>
      <c r="O81" s="430"/>
      <c r="P81" s="430"/>
      <c r="Q81" s="430"/>
      <c r="R81" s="430"/>
      <c r="S81" s="430"/>
      <c r="T81" s="430"/>
      <c r="U81" s="430"/>
      <c r="V81" s="430"/>
      <c r="W81" s="430"/>
      <c r="X81" s="430"/>
      <c r="Y81" s="430"/>
      <c r="Z81" s="430"/>
      <c r="AA81" s="430"/>
      <c r="AB81" s="430"/>
      <c r="AC81" s="430"/>
      <c r="AD81" s="430"/>
      <c r="AE81" s="430"/>
      <c r="AF81" s="430"/>
      <c r="AG81" s="430"/>
      <c r="AH81" s="430"/>
      <c r="AI81" s="430"/>
      <c r="AJ81" s="430"/>
      <c r="AK81" s="430"/>
      <c r="AL81" s="430"/>
      <c r="AM81" s="430"/>
      <c r="AN81" s="430"/>
      <c r="AO81" s="430"/>
      <c r="AP81" s="430"/>
      <c r="AQ81" s="430"/>
      <c r="AR81" s="430"/>
      <c r="AS81" s="430"/>
      <c r="AT81" s="430"/>
      <c r="AU81" s="430"/>
      <c r="AV81" s="430"/>
      <c r="AW81" s="430"/>
      <c r="AX81" s="430"/>
      <c r="AY81" s="430"/>
      <c r="AZ81" s="430"/>
      <c r="BA81" s="430"/>
      <c r="BB81" s="430"/>
      <c r="BC81" s="430"/>
      <c r="BD81" s="430"/>
      <c r="BE81" s="430"/>
      <c r="BF81" s="430"/>
      <c r="BG81" s="430"/>
      <c r="BH81" s="430"/>
      <c r="BI81" s="430"/>
      <c r="BJ81" s="430"/>
      <c r="BK81" s="430"/>
    </row>
    <row r="82" spans="1:63">
      <c r="A82" s="430"/>
      <c r="B82" s="430"/>
      <c r="C82" s="430"/>
      <c r="D82" s="430"/>
      <c r="E82" s="430"/>
      <c r="F82" s="430"/>
      <c r="G82" s="430"/>
      <c r="H82" s="430"/>
      <c r="I82" s="430"/>
      <c r="J82" s="430"/>
      <c r="K82" s="430"/>
      <c r="L82" s="430"/>
      <c r="M82" s="430"/>
      <c r="N82" s="430"/>
      <c r="O82" s="430"/>
      <c r="P82" s="430"/>
      <c r="Q82" s="430"/>
      <c r="R82" s="430"/>
      <c r="S82" s="430"/>
      <c r="T82" s="430"/>
      <c r="U82" s="430"/>
      <c r="V82" s="430"/>
      <c r="W82" s="430"/>
      <c r="X82" s="430"/>
      <c r="Y82" s="430"/>
      <c r="Z82" s="430"/>
      <c r="AA82" s="430"/>
      <c r="AB82" s="430"/>
      <c r="AC82" s="430"/>
      <c r="AD82" s="430"/>
      <c r="AE82" s="430"/>
      <c r="AF82" s="430"/>
      <c r="AG82" s="430"/>
      <c r="AH82" s="430"/>
      <c r="AI82" s="430"/>
      <c r="AJ82" s="430"/>
      <c r="AK82" s="430"/>
      <c r="AL82" s="430"/>
      <c r="AM82" s="430"/>
      <c r="AN82" s="430"/>
      <c r="AO82" s="430"/>
      <c r="AP82" s="430"/>
      <c r="AQ82" s="430"/>
      <c r="AR82" s="430"/>
      <c r="AS82" s="430"/>
      <c r="AT82" s="430"/>
      <c r="AU82" s="430"/>
      <c r="AV82" s="430"/>
      <c r="AW82" s="430"/>
      <c r="AX82" s="430"/>
      <c r="AY82" s="430"/>
      <c r="AZ82" s="430"/>
      <c r="BA82" s="430"/>
      <c r="BB82" s="430"/>
      <c r="BC82" s="430"/>
      <c r="BD82" s="430"/>
      <c r="BE82" s="430"/>
      <c r="BF82" s="430"/>
      <c r="BG82" s="430"/>
      <c r="BH82" s="430"/>
      <c r="BI82" s="430"/>
      <c r="BJ82" s="430"/>
      <c r="BK82" s="430"/>
    </row>
    <row r="83" spans="1:63">
      <c r="A83" s="430"/>
      <c r="B83" s="430"/>
      <c r="C83" s="430"/>
      <c r="D83" s="430"/>
      <c r="E83" s="430"/>
      <c r="F83" s="430"/>
      <c r="G83" s="430"/>
      <c r="H83" s="430"/>
      <c r="I83" s="430"/>
      <c r="J83" s="430"/>
      <c r="K83" s="430"/>
      <c r="L83" s="430"/>
      <c r="M83" s="430"/>
      <c r="N83" s="430"/>
      <c r="O83" s="430"/>
      <c r="P83" s="430"/>
      <c r="Q83" s="430"/>
      <c r="R83" s="430"/>
      <c r="S83" s="430"/>
      <c r="T83" s="430"/>
      <c r="U83" s="430"/>
      <c r="V83" s="430"/>
      <c r="W83" s="430"/>
      <c r="X83" s="430"/>
      <c r="Y83" s="430"/>
      <c r="Z83" s="430"/>
      <c r="AA83" s="430"/>
      <c r="AB83" s="430"/>
      <c r="AC83" s="430"/>
      <c r="AD83" s="430"/>
      <c r="AE83" s="430"/>
      <c r="AF83" s="430"/>
      <c r="AG83" s="430"/>
      <c r="AH83" s="430"/>
      <c r="AI83" s="430"/>
      <c r="AJ83" s="430"/>
      <c r="AK83" s="430"/>
      <c r="AL83" s="430"/>
      <c r="AM83" s="430"/>
      <c r="AN83" s="430"/>
      <c r="AO83" s="430"/>
      <c r="AP83" s="430"/>
      <c r="AQ83" s="430"/>
      <c r="AR83" s="430"/>
      <c r="AS83" s="430"/>
      <c r="AT83" s="430"/>
      <c r="AU83" s="430"/>
      <c r="AV83" s="430"/>
      <c r="AW83" s="430"/>
      <c r="AX83" s="430"/>
      <c r="AY83" s="430"/>
      <c r="AZ83" s="430"/>
      <c r="BA83" s="430"/>
      <c r="BB83" s="430"/>
      <c r="BC83" s="430"/>
      <c r="BD83" s="430"/>
      <c r="BE83" s="430"/>
      <c r="BF83" s="430"/>
      <c r="BG83" s="430"/>
      <c r="BH83" s="430"/>
      <c r="BI83" s="430"/>
      <c r="BJ83" s="430"/>
      <c r="BK83" s="430"/>
    </row>
    <row r="84" spans="1:63">
      <c r="A84" s="430"/>
      <c r="B84" s="430"/>
      <c r="C84" s="430"/>
      <c r="D84" s="430"/>
      <c r="E84" s="430"/>
      <c r="F84" s="430"/>
      <c r="G84" s="430"/>
      <c r="H84" s="430"/>
      <c r="I84" s="430"/>
      <c r="J84" s="430"/>
      <c r="K84" s="430"/>
      <c r="L84" s="430"/>
      <c r="M84" s="430"/>
      <c r="N84" s="430"/>
      <c r="O84" s="430"/>
      <c r="P84" s="430"/>
      <c r="Q84" s="430"/>
      <c r="R84" s="430"/>
      <c r="S84" s="430"/>
      <c r="T84" s="430"/>
      <c r="U84" s="430"/>
      <c r="V84" s="430"/>
      <c r="W84" s="430"/>
      <c r="X84" s="430"/>
      <c r="Y84" s="430"/>
      <c r="Z84" s="430"/>
      <c r="AA84" s="430"/>
      <c r="AB84" s="430"/>
      <c r="AC84" s="430"/>
      <c r="AD84" s="430"/>
      <c r="AE84" s="430"/>
      <c r="AF84" s="430"/>
      <c r="AG84" s="430"/>
      <c r="AH84" s="430"/>
      <c r="AI84" s="430"/>
      <c r="AJ84" s="430"/>
      <c r="AK84" s="430"/>
      <c r="AL84" s="430"/>
      <c r="AM84" s="430"/>
      <c r="AN84" s="430"/>
      <c r="AO84" s="430"/>
      <c r="AP84" s="430"/>
      <c r="AQ84" s="430"/>
      <c r="AR84" s="430"/>
      <c r="AS84" s="430"/>
      <c r="AT84" s="430"/>
      <c r="AU84" s="430"/>
      <c r="AV84" s="430"/>
      <c r="AW84" s="430"/>
      <c r="AX84" s="430"/>
      <c r="AY84" s="430"/>
      <c r="AZ84" s="430"/>
      <c r="BA84" s="430"/>
      <c r="BB84" s="430"/>
      <c r="BC84" s="430"/>
      <c r="BD84" s="430"/>
      <c r="BE84" s="430"/>
      <c r="BF84" s="430"/>
      <c r="BG84" s="430"/>
      <c r="BH84" s="430"/>
      <c r="BI84" s="430"/>
      <c r="BJ84" s="430"/>
      <c r="BK84" s="430"/>
    </row>
    <row r="85" spans="1:63">
      <c r="A85" s="430"/>
      <c r="B85" s="430"/>
      <c r="C85" s="430"/>
      <c r="D85" s="430"/>
      <c r="E85" s="430"/>
      <c r="F85" s="430"/>
      <c r="G85" s="430"/>
      <c r="H85" s="430"/>
      <c r="I85" s="430"/>
      <c r="J85" s="430"/>
      <c r="K85" s="430"/>
      <c r="L85" s="430"/>
      <c r="M85" s="430"/>
      <c r="N85" s="430"/>
      <c r="O85" s="430"/>
      <c r="P85" s="430"/>
      <c r="Q85" s="430"/>
      <c r="R85" s="430"/>
      <c r="S85" s="430"/>
      <c r="T85" s="430"/>
      <c r="U85" s="430"/>
      <c r="V85" s="430"/>
      <c r="W85" s="430"/>
      <c r="X85" s="430"/>
      <c r="Y85" s="430"/>
      <c r="Z85" s="430"/>
      <c r="AA85" s="430"/>
      <c r="AB85" s="430"/>
      <c r="AC85" s="430"/>
      <c r="AD85" s="430"/>
      <c r="AE85" s="430"/>
      <c r="AF85" s="430"/>
      <c r="AG85" s="430"/>
      <c r="AH85" s="430"/>
      <c r="AI85" s="430"/>
      <c r="AJ85" s="430"/>
      <c r="AK85" s="430"/>
      <c r="AL85" s="430"/>
      <c r="AM85" s="430"/>
      <c r="AN85" s="430"/>
      <c r="AO85" s="430"/>
      <c r="AP85" s="430"/>
      <c r="AQ85" s="430"/>
      <c r="AR85" s="430"/>
      <c r="AS85" s="430"/>
      <c r="AT85" s="430"/>
      <c r="AU85" s="430"/>
      <c r="AV85" s="430"/>
      <c r="AW85" s="430"/>
      <c r="AX85" s="430"/>
      <c r="AY85" s="430"/>
      <c r="AZ85" s="430"/>
      <c r="BA85" s="430"/>
      <c r="BB85" s="430"/>
      <c r="BC85" s="430"/>
      <c r="BD85" s="430"/>
      <c r="BE85" s="430"/>
      <c r="BF85" s="430"/>
      <c r="BG85" s="430"/>
      <c r="BH85" s="430"/>
      <c r="BI85" s="430"/>
      <c r="BJ85" s="430"/>
      <c r="BK85" s="430"/>
    </row>
    <row r="86" spans="1:63">
      <c r="A86" s="430"/>
      <c r="B86" s="430"/>
      <c r="C86" s="430"/>
      <c r="D86" s="430"/>
      <c r="E86" s="430"/>
      <c r="F86" s="430"/>
      <c r="G86" s="430"/>
      <c r="H86" s="430"/>
      <c r="I86" s="430"/>
      <c r="J86" s="430"/>
      <c r="K86" s="430"/>
      <c r="L86" s="430"/>
      <c r="M86" s="430"/>
      <c r="N86" s="430"/>
      <c r="O86" s="430"/>
      <c r="P86" s="430"/>
      <c r="Q86" s="430"/>
      <c r="R86" s="430"/>
      <c r="S86" s="430"/>
      <c r="T86" s="430"/>
      <c r="U86" s="430"/>
      <c r="V86" s="430"/>
      <c r="W86" s="430"/>
      <c r="X86" s="430"/>
      <c r="Y86" s="430"/>
      <c r="Z86" s="430"/>
      <c r="AA86" s="430"/>
      <c r="AB86" s="430"/>
      <c r="AC86" s="430"/>
      <c r="AD86" s="430"/>
      <c r="AE86" s="430"/>
      <c r="AF86" s="430"/>
      <c r="AG86" s="430"/>
      <c r="AH86" s="430"/>
      <c r="AI86" s="430"/>
      <c r="AJ86" s="430"/>
      <c r="AK86" s="430"/>
      <c r="AL86" s="430"/>
      <c r="AM86" s="430"/>
      <c r="AN86" s="430"/>
      <c r="AO86" s="430"/>
      <c r="AP86" s="430"/>
      <c r="AQ86" s="430"/>
      <c r="AR86" s="430"/>
      <c r="AS86" s="430"/>
      <c r="AT86" s="430"/>
      <c r="AU86" s="430"/>
      <c r="AV86" s="430"/>
      <c r="AW86" s="430"/>
      <c r="AX86" s="430"/>
      <c r="AY86" s="430"/>
      <c r="AZ86" s="430"/>
      <c r="BA86" s="430"/>
      <c r="BB86" s="430"/>
      <c r="BC86" s="430"/>
      <c r="BD86" s="430"/>
      <c r="BE86" s="430"/>
      <c r="BF86" s="430"/>
      <c r="BG86" s="430"/>
      <c r="BH86" s="430"/>
      <c r="BI86" s="430"/>
      <c r="BJ86" s="430"/>
      <c r="BK86" s="430"/>
    </row>
    <row r="87" spans="1:63">
      <c r="A87" s="430"/>
      <c r="B87" s="430"/>
      <c r="C87" s="430"/>
      <c r="D87" s="430"/>
      <c r="E87" s="430"/>
      <c r="F87" s="430"/>
      <c r="G87" s="430"/>
      <c r="H87" s="430"/>
      <c r="I87" s="430"/>
      <c r="J87" s="430"/>
      <c r="K87" s="430"/>
      <c r="L87" s="430"/>
      <c r="M87" s="430"/>
      <c r="N87" s="430"/>
      <c r="O87" s="430"/>
      <c r="P87" s="430"/>
      <c r="Q87" s="430"/>
      <c r="R87" s="430"/>
      <c r="S87" s="430"/>
      <c r="T87" s="430"/>
      <c r="U87" s="430"/>
      <c r="V87" s="430"/>
      <c r="W87" s="430"/>
      <c r="X87" s="430"/>
      <c r="Y87" s="430"/>
      <c r="Z87" s="430"/>
      <c r="AA87" s="430"/>
      <c r="AB87" s="430"/>
      <c r="AC87" s="430"/>
      <c r="AD87" s="430"/>
      <c r="AE87" s="430"/>
      <c r="AF87" s="430"/>
      <c r="AG87" s="430"/>
      <c r="AH87" s="430"/>
      <c r="AI87" s="430"/>
      <c r="AJ87" s="430"/>
      <c r="AK87" s="430"/>
      <c r="AL87" s="430"/>
      <c r="AM87" s="430"/>
      <c r="AN87" s="430"/>
      <c r="AO87" s="430"/>
      <c r="AP87" s="430"/>
      <c r="AQ87" s="430"/>
      <c r="AR87" s="430"/>
      <c r="AS87" s="430"/>
      <c r="AT87" s="430"/>
      <c r="AU87" s="430"/>
      <c r="AV87" s="430"/>
      <c r="AW87" s="430"/>
      <c r="AX87" s="430"/>
      <c r="AY87" s="430"/>
      <c r="AZ87" s="430"/>
      <c r="BA87" s="430"/>
      <c r="BB87" s="430"/>
      <c r="BC87" s="430"/>
      <c r="BD87" s="430"/>
      <c r="BE87" s="430"/>
      <c r="BF87" s="430"/>
      <c r="BG87" s="430"/>
      <c r="BH87" s="430"/>
      <c r="BI87" s="430"/>
      <c r="BJ87" s="430"/>
      <c r="BK87" s="430"/>
    </row>
    <row r="88" spans="1:63">
      <c r="A88" s="430"/>
      <c r="B88" s="430"/>
      <c r="C88" s="430"/>
      <c r="D88" s="430"/>
      <c r="E88" s="430"/>
      <c r="F88" s="430"/>
      <c r="G88" s="430"/>
      <c r="H88" s="430"/>
      <c r="I88" s="430"/>
      <c r="J88" s="430"/>
      <c r="K88" s="430"/>
      <c r="L88" s="430"/>
      <c r="M88" s="430"/>
      <c r="N88" s="430"/>
      <c r="O88" s="430"/>
      <c r="P88" s="430"/>
      <c r="Q88" s="430"/>
      <c r="R88" s="430"/>
      <c r="S88" s="430"/>
      <c r="T88" s="430"/>
      <c r="U88" s="430"/>
      <c r="V88" s="430"/>
      <c r="W88" s="430"/>
      <c r="X88" s="430"/>
      <c r="Y88" s="430"/>
      <c r="Z88" s="430"/>
      <c r="AA88" s="430"/>
      <c r="AB88" s="430"/>
      <c r="AC88" s="430"/>
      <c r="AD88" s="430"/>
      <c r="AE88" s="430"/>
      <c r="AF88" s="430"/>
      <c r="AG88" s="430"/>
      <c r="AH88" s="430"/>
      <c r="AI88" s="430"/>
      <c r="AJ88" s="430"/>
      <c r="AK88" s="430"/>
      <c r="AL88" s="430"/>
      <c r="AM88" s="430"/>
      <c r="AN88" s="430"/>
      <c r="AO88" s="430"/>
      <c r="AP88" s="430"/>
      <c r="AQ88" s="430"/>
      <c r="AR88" s="430"/>
      <c r="AS88" s="430"/>
      <c r="AT88" s="430"/>
      <c r="AU88" s="430"/>
      <c r="AV88" s="430"/>
      <c r="AW88" s="430"/>
      <c r="AX88" s="430"/>
      <c r="AY88" s="430"/>
      <c r="AZ88" s="430"/>
      <c r="BA88" s="430"/>
      <c r="BB88" s="430"/>
      <c r="BC88" s="430"/>
      <c r="BD88" s="430"/>
      <c r="BE88" s="430"/>
      <c r="BF88" s="430"/>
      <c r="BG88" s="430"/>
      <c r="BH88" s="430"/>
      <c r="BI88" s="430"/>
      <c r="BJ88" s="430"/>
      <c r="BK88" s="430"/>
    </row>
    <row r="89" spans="1:63">
      <c r="A89" s="430"/>
      <c r="B89" s="430"/>
      <c r="C89" s="430"/>
      <c r="D89" s="430"/>
      <c r="E89" s="430"/>
      <c r="F89" s="430"/>
      <c r="G89" s="430"/>
      <c r="H89" s="430"/>
      <c r="I89" s="430"/>
      <c r="J89" s="430"/>
      <c r="K89" s="430"/>
      <c r="L89" s="430"/>
      <c r="M89" s="430"/>
      <c r="N89" s="430"/>
      <c r="O89" s="430"/>
      <c r="P89" s="430"/>
      <c r="Q89" s="430"/>
      <c r="R89" s="430"/>
      <c r="S89" s="430"/>
      <c r="T89" s="430"/>
      <c r="U89" s="430"/>
      <c r="V89" s="430"/>
      <c r="W89" s="430"/>
      <c r="X89" s="430"/>
      <c r="Y89" s="430"/>
      <c r="Z89" s="430"/>
      <c r="AA89" s="430"/>
      <c r="AB89" s="430"/>
      <c r="AC89" s="430"/>
      <c r="AD89" s="430"/>
      <c r="AE89" s="430"/>
      <c r="AF89" s="430"/>
      <c r="AG89" s="430"/>
      <c r="AH89" s="430"/>
      <c r="AI89" s="430"/>
      <c r="AJ89" s="430"/>
      <c r="AK89" s="430"/>
      <c r="AL89" s="430"/>
      <c r="AM89" s="430"/>
      <c r="AN89" s="430"/>
      <c r="AO89" s="430"/>
      <c r="AP89" s="430"/>
      <c r="AQ89" s="430"/>
      <c r="AR89" s="430"/>
      <c r="AS89" s="430"/>
      <c r="AT89" s="430"/>
      <c r="AU89" s="430"/>
      <c r="AV89" s="430"/>
      <c r="AW89" s="430"/>
      <c r="AX89" s="430"/>
      <c r="AY89" s="430"/>
      <c r="AZ89" s="430"/>
      <c r="BA89" s="430"/>
      <c r="BB89" s="430"/>
      <c r="BC89" s="430"/>
      <c r="BD89" s="430"/>
      <c r="BE89" s="430"/>
      <c r="BF89" s="430"/>
      <c r="BG89" s="430"/>
      <c r="BH89" s="430"/>
      <c r="BI89" s="430"/>
      <c r="BJ89" s="430"/>
      <c r="BK89" s="430"/>
    </row>
    <row r="90" spans="1:63">
      <c r="A90" s="430"/>
      <c r="B90" s="430"/>
      <c r="C90" s="430"/>
      <c r="D90" s="430"/>
      <c r="E90" s="430"/>
      <c r="F90" s="430"/>
      <c r="G90" s="430"/>
      <c r="H90" s="430"/>
      <c r="I90" s="430"/>
      <c r="J90" s="430"/>
      <c r="K90" s="430"/>
      <c r="L90" s="430"/>
      <c r="M90" s="430"/>
      <c r="N90" s="430"/>
      <c r="O90" s="430"/>
      <c r="P90" s="430"/>
      <c r="Q90" s="430"/>
      <c r="R90" s="430"/>
      <c r="S90" s="430"/>
      <c r="T90" s="430"/>
      <c r="U90" s="430"/>
      <c r="V90" s="430"/>
      <c r="W90" s="430"/>
      <c r="X90" s="430"/>
      <c r="Y90" s="430"/>
      <c r="Z90" s="430"/>
      <c r="AA90" s="430"/>
      <c r="AB90" s="430"/>
      <c r="AC90" s="430"/>
      <c r="AD90" s="430"/>
      <c r="AE90" s="430"/>
      <c r="AF90" s="430"/>
      <c r="AG90" s="430"/>
      <c r="AH90" s="430"/>
      <c r="AI90" s="430"/>
      <c r="AJ90" s="430"/>
      <c r="AK90" s="430"/>
      <c r="AL90" s="430"/>
      <c r="AM90" s="430"/>
      <c r="AN90" s="430"/>
      <c r="AO90" s="430"/>
      <c r="AP90" s="430"/>
      <c r="AQ90" s="430"/>
      <c r="AR90" s="430"/>
      <c r="AS90" s="430"/>
      <c r="AT90" s="430"/>
      <c r="AU90" s="430"/>
      <c r="AV90" s="430"/>
      <c r="AW90" s="430"/>
      <c r="AX90" s="430"/>
      <c r="AY90" s="430"/>
      <c r="AZ90" s="430"/>
      <c r="BA90" s="430"/>
      <c r="BB90" s="430"/>
      <c r="BC90" s="430"/>
      <c r="BD90" s="430"/>
      <c r="BE90" s="430"/>
      <c r="BF90" s="430"/>
      <c r="BG90" s="430"/>
      <c r="BH90" s="430"/>
      <c r="BI90" s="430"/>
      <c r="BJ90" s="430"/>
      <c r="BK90" s="430"/>
    </row>
    <row r="91" spans="1:63">
      <c r="A91" s="430"/>
      <c r="B91" s="430"/>
      <c r="C91" s="430"/>
      <c r="D91" s="430"/>
      <c r="E91" s="430"/>
      <c r="F91" s="430"/>
      <c r="G91" s="430"/>
      <c r="H91" s="430"/>
      <c r="I91" s="430"/>
      <c r="J91" s="430"/>
      <c r="K91" s="430"/>
      <c r="L91" s="430"/>
      <c r="M91" s="430"/>
      <c r="N91" s="430"/>
      <c r="O91" s="430"/>
      <c r="P91" s="430"/>
      <c r="Q91" s="430"/>
      <c r="R91" s="430"/>
      <c r="S91" s="430"/>
      <c r="T91" s="430"/>
      <c r="U91" s="430"/>
      <c r="V91" s="430"/>
      <c r="W91" s="430"/>
      <c r="X91" s="430"/>
      <c r="Y91" s="430"/>
      <c r="Z91" s="430"/>
      <c r="AA91" s="430"/>
      <c r="AB91" s="430"/>
      <c r="AC91" s="430"/>
      <c r="AD91" s="430"/>
      <c r="AE91" s="430"/>
      <c r="AF91" s="430"/>
      <c r="AG91" s="430"/>
      <c r="AH91" s="430"/>
      <c r="AI91" s="430"/>
      <c r="AJ91" s="430"/>
      <c r="AK91" s="430"/>
      <c r="AL91" s="430"/>
      <c r="AM91" s="430"/>
      <c r="AN91" s="430"/>
      <c r="AO91" s="430"/>
      <c r="AP91" s="430"/>
      <c r="AQ91" s="430"/>
      <c r="AR91" s="430"/>
      <c r="AS91" s="430"/>
      <c r="AT91" s="430"/>
      <c r="AU91" s="430"/>
      <c r="AV91" s="430"/>
      <c r="AW91" s="430"/>
      <c r="AX91" s="430"/>
      <c r="AY91" s="430"/>
      <c r="AZ91" s="430"/>
      <c r="BA91" s="430"/>
      <c r="BB91" s="430"/>
      <c r="BC91" s="430"/>
      <c r="BD91" s="430"/>
      <c r="BE91" s="430"/>
      <c r="BF91" s="430"/>
      <c r="BG91" s="430"/>
      <c r="BH91" s="430"/>
      <c r="BI91" s="430"/>
      <c r="BJ91" s="430"/>
      <c r="BK91" s="430"/>
    </row>
    <row r="92" spans="1:63">
      <c r="A92" s="430"/>
      <c r="B92" s="430"/>
      <c r="C92" s="430"/>
      <c r="D92" s="430"/>
      <c r="E92" s="430"/>
      <c r="F92" s="430"/>
      <c r="G92" s="430"/>
      <c r="H92" s="430"/>
      <c r="I92" s="430"/>
      <c r="J92" s="430"/>
      <c r="K92" s="430"/>
      <c r="L92" s="430"/>
      <c r="M92" s="430"/>
      <c r="N92" s="430"/>
      <c r="O92" s="430"/>
      <c r="P92" s="430"/>
      <c r="Q92" s="430"/>
      <c r="R92" s="430"/>
      <c r="S92" s="430"/>
      <c r="T92" s="430"/>
      <c r="U92" s="430"/>
      <c r="V92" s="430"/>
      <c r="W92" s="430"/>
      <c r="X92" s="430"/>
      <c r="Y92" s="430"/>
      <c r="Z92" s="430"/>
      <c r="AA92" s="430"/>
      <c r="AB92" s="430"/>
      <c r="AC92" s="430"/>
      <c r="AD92" s="430"/>
      <c r="AE92" s="430"/>
      <c r="AF92" s="430"/>
      <c r="AG92" s="430"/>
      <c r="AH92" s="430"/>
      <c r="AI92" s="430"/>
      <c r="AJ92" s="430"/>
      <c r="AK92" s="430"/>
      <c r="AL92" s="430"/>
      <c r="AM92" s="430"/>
      <c r="AN92" s="430"/>
      <c r="AO92" s="430"/>
      <c r="AP92" s="430"/>
      <c r="AQ92" s="430"/>
      <c r="AR92" s="430"/>
      <c r="AS92" s="430"/>
      <c r="AT92" s="430"/>
      <c r="AU92" s="430"/>
      <c r="AV92" s="430"/>
      <c r="AW92" s="430"/>
      <c r="AX92" s="430"/>
      <c r="AY92" s="430"/>
      <c r="AZ92" s="430"/>
      <c r="BA92" s="430"/>
      <c r="BB92" s="430"/>
      <c r="BC92" s="430"/>
      <c r="BD92" s="430"/>
      <c r="BE92" s="430"/>
      <c r="BF92" s="430"/>
      <c r="BG92" s="430"/>
      <c r="BH92" s="430"/>
      <c r="BI92" s="430"/>
      <c r="BJ92" s="430"/>
      <c r="BK92" s="430"/>
    </row>
    <row r="93" spans="1:63">
      <c r="A93" s="430"/>
      <c r="B93" s="430"/>
      <c r="C93" s="430"/>
      <c r="D93" s="430"/>
      <c r="E93" s="430"/>
      <c r="F93" s="430"/>
      <c r="G93" s="430"/>
      <c r="H93" s="430"/>
      <c r="I93" s="430"/>
      <c r="J93" s="430"/>
      <c r="K93" s="430"/>
      <c r="L93" s="430"/>
      <c r="M93" s="430"/>
      <c r="N93" s="430"/>
      <c r="O93" s="430"/>
      <c r="P93" s="430"/>
      <c r="Q93" s="430"/>
      <c r="R93" s="430"/>
      <c r="S93" s="430"/>
      <c r="T93" s="430"/>
      <c r="U93" s="430"/>
      <c r="V93" s="430"/>
      <c r="W93" s="430"/>
      <c r="X93" s="430"/>
      <c r="Y93" s="430"/>
      <c r="Z93" s="430"/>
      <c r="AA93" s="430"/>
      <c r="AB93" s="430"/>
      <c r="AC93" s="430"/>
      <c r="AD93" s="430"/>
      <c r="AE93" s="430"/>
      <c r="AF93" s="430"/>
      <c r="AG93" s="430"/>
      <c r="AH93" s="430"/>
      <c r="AI93" s="430"/>
      <c r="AJ93" s="430"/>
      <c r="AK93" s="430"/>
      <c r="AL93" s="430"/>
      <c r="AM93" s="430"/>
      <c r="AN93" s="430"/>
      <c r="AO93" s="430"/>
      <c r="AP93" s="430"/>
      <c r="AQ93" s="430"/>
      <c r="AR93" s="430"/>
      <c r="AS93" s="430"/>
      <c r="AT93" s="430"/>
      <c r="AU93" s="430"/>
      <c r="AV93" s="430"/>
      <c r="AW93" s="430"/>
      <c r="AX93" s="430"/>
      <c r="AY93" s="430"/>
      <c r="AZ93" s="430"/>
      <c r="BA93" s="430"/>
      <c r="BB93" s="430"/>
      <c r="BC93" s="430"/>
      <c r="BD93" s="430"/>
      <c r="BE93" s="430"/>
      <c r="BF93" s="430"/>
      <c r="BG93" s="430"/>
      <c r="BH93" s="430"/>
      <c r="BI93" s="430"/>
      <c r="BJ93" s="430"/>
      <c r="BK93" s="430"/>
    </row>
    <row r="94" spans="1:63">
      <c r="A94" s="430"/>
      <c r="B94" s="430"/>
      <c r="C94" s="430"/>
      <c r="D94" s="430"/>
      <c r="E94" s="430"/>
      <c r="F94" s="430"/>
      <c r="G94" s="430"/>
      <c r="H94" s="430"/>
      <c r="I94" s="430"/>
      <c r="J94" s="430"/>
      <c r="K94" s="430"/>
      <c r="L94" s="430"/>
      <c r="M94" s="430"/>
      <c r="N94" s="430"/>
      <c r="O94" s="430"/>
      <c r="P94" s="430"/>
      <c r="Q94" s="430"/>
      <c r="R94" s="430"/>
      <c r="S94" s="430"/>
      <c r="T94" s="430"/>
      <c r="U94" s="430"/>
      <c r="V94" s="430"/>
      <c r="W94" s="430"/>
      <c r="X94" s="430"/>
      <c r="Y94" s="430"/>
      <c r="Z94" s="430"/>
      <c r="AA94" s="430"/>
      <c r="AB94" s="430"/>
      <c r="AC94" s="430"/>
      <c r="AD94" s="430"/>
      <c r="AE94" s="430"/>
      <c r="AF94" s="430"/>
      <c r="AG94" s="430"/>
      <c r="AH94" s="430"/>
      <c r="AI94" s="430"/>
      <c r="AJ94" s="430"/>
      <c r="AK94" s="430"/>
      <c r="AL94" s="430"/>
      <c r="AM94" s="430"/>
      <c r="AN94" s="430"/>
      <c r="AO94" s="430"/>
      <c r="AP94" s="430"/>
      <c r="AQ94" s="430"/>
      <c r="AR94" s="430"/>
      <c r="AS94" s="430"/>
      <c r="AT94" s="430"/>
      <c r="AU94" s="430"/>
      <c r="AV94" s="430"/>
      <c r="AW94" s="430"/>
      <c r="AX94" s="430"/>
      <c r="AY94" s="430"/>
      <c r="AZ94" s="430"/>
      <c r="BA94" s="430"/>
      <c r="BB94" s="430"/>
      <c r="BC94" s="430"/>
      <c r="BD94" s="430"/>
      <c r="BE94" s="430"/>
      <c r="BF94" s="430"/>
      <c r="BG94" s="430"/>
      <c r="BH94" s="430"/>
      <c r="BI94" s="430"/>
      <c r="BJ94" s="430"/>
      <c r="BK94" s="430"/>
    </row>
    <row r="95" spans="1:63">
      <c r="A95" s="430"/>
      <c r="B95" s="430"/>
      <c r="C95" s="430"/>
      <c r="D95" s="430"/>
      <c r="E95" s="430"/>
      <c r="F95" s="430"/>
      <c r="G95" s="430"/>
      <c r="H95" s="430"/>
      <c r="I95" s="430"/>
      <c r="J95" s="430"/>
      <c r="K95" s="430"/>
      <c r="L95" s="430"/>
      <c r="M95" s="430"/>
      <c r="N95" s="430"/>
      <c r="O95" s="430"/>
      <c r="P95" s="430"/>
      <c r="Q95" s="430"/>
      <c r="R95" s="430"/>
      <c r="S95" s="430"/>
      <c r="T95" s="430"/>
      <c r="U95" s="430"/>
      <c r="V95" s="430"/>
      <c r="W95" s="430"/>
      <c r="X95" s="430"/>
      <c r="Y95" s="430"/>
      <c r="Z95" s="430"/>
      <c r="AA95" s="430"/>
      <c r="AB95" s="430"/>
      <c r="AC95" s="430"/>
      <c r="AD95" s="430"/>
      <c r="AE95" s="430"/>
      <c r="AF95" s="430"/>
      <c r="AG95" s="430"/>
      <c r="AH95" s="430"/>
      <c r="AI95" s="430"/>
      <c r="AJ95" s="430"/>
      <c r="AK95" s="430"/>
      <c r="AL95" s="430"/>
      <c r="AM95" s="430"/>
      <c r="AN95" s="430"/>
      <c r="AO95" s="430"/>
      <c r="AP95" s="430"/>
      <c r="AQ95" s="430"/>
      <c r="AR95" s="430"/>
      <c r="AS95" s="430"/>
      <c r="AT95" s="430"/>
      <c r="AU95" s="430"/>
      <c r="AV95" s="430"/>
      <c r="AW95" s="430"/>
      <c r="AX95" s="430"/>
      <c r="AY95" s="430"/>
      <c r="AZ95" s="430"/>
      <c r="BA95" s="430"/>
      <c r="BB95" s="430"/>
      <c r="BC95" s="430"/>
      <c r="BD95" s="430"/>
      <c r="BE95" s="430"/>
      <c r="BF95" s="430"/>
      <c r="BG95" s="430"/>
      <c r="BH95" s="430"/>
      <c r="BI95" s="430"/>
      <c r="BJ95" s="430"/>
      <c r="BK95" s="430"/>
    </row>
    <row r="96" spans="1:63">
      <c r="A96" s="430"/>
      <c r="B96" s="430"/>
      <c r="C96" s="430"/>
      <c r="D96" s="430"/>
      <c r="E96" s="430"/>
      <c r="F96" s="430"/>
      <c r="G96" s="430"/>
      <c r="H96" s="430"/>
      <c r="I96" s="430"/>
      <c r="J96" s="430"/>
      <c r="K96" s="430"/>
      <c r="L96" s="430"/>
      <c r="M96" s="430"/>
      <c r="N96" s="430"/>
      <c r="O96" s="430"/>
      <c r="P96" s="430"/>
      <c r="Q96" s="430"/>
      <c r="R96" s="430"/>
      <c r="S96" s="430"/>
      <c r="T96" s="430"/>
      <c r="U96" s="430"/>
      <c r="V96" s="430"/>
      <c r="W96" s="430"/>
      <c r="X96" s="430"/>
      <c r="Y96" s="430"/>
      <c r="Z96" s="430"/>
      <c r="AA96" s="430"/>
      <c r="AB96" s="430"/>
      <c r="AC96" s="430"/>
      <c r="AD96" s="430"/>
      <c r="AE96" s="430"/>
      <c r="AF96" s="430"/>
      <c r="AG96" s="430"/>
      <c r="AH96" s="430"/>
      <c r="AI96" s="430"/>
      <c r="AJ96" s="430"/>
      <c r="AK96" s="430"/>
      <c r="AL96" s="430"/>
      <c r="AM96" s="430"/>
      <c r="AN96" s="430"/>
      <c r="AO96" s="430"/>
      <c r="AP96" s="430"/>
      <c r="AQ96" s="430"/>
      <c r="AR96" s="430"/>
      <c r="AS96" s="430"/>
      <c r="AT96" s="430"/>
      <c r="AU96" s="430"/>
      <c r="AV96" s="430"/>
      <c r="AW96" s="430"/>
      <c r="AX96" s="430"/>
      <c r="AY96" s="430"/>
      <c r="AZ96" s="430"/>
      <c r="BA96" s="430"/>
      <c r="BB96" s="430"/>
      <c r="BC96" s="430"/>
      <c r="BD96" s="430"/>
      <c r="BE96" s="430"/>
      <c r="BF96" s="430"/>
      <c r="BG96" s="430"/>
      <c r="BH96" s="430"/>
      <c r="BI96" s="430"/>
      <c r="BJ96" s="430"/>
      <c r="BK96" s="430"/>
    </row>
    <row r="97" spans="1:63">
      <c r="A97" s="430"/>
      <c r="B97" s="430"/>
      <c r="C97" s="430"/>
      <c r="D97" s="430"/>
      <c r="E97" s="430"/>
      <c r="F97" s="430"/>
      <c r="G97" s="430"/>
      <c r="H97" s="430"/>
      <c r="I97" s="430"/>
      <c r="J97" s="430"/>
      <c r="K97" s="430"/>
      <c r="L97" s="430"/>
      <c r="M97" s="430"/>
      <c r="N97" s="430"/>
      <c r="O97" s="430"/>
      <c r="P97" s="430"/>
      <c r="Q97" s="430"/>
      <c r="R97" s="430"/>
      <c r="S97" s="430"/>
      <c r="T97" s="430"/>
      <c r="U97" s="430"/>
      <c r="V97" s="430"/>
      <c r="W97" s="430"/>
      <c r="X97" s="430"/>
      <c r="Y97" s="430"/>
      <c r="Z97" s="430"/>
      <c r="AA97" s="430"/>
      <c r="AB97" s="430"/>
      <c r="AC97" s="430"/>
      <c r="AD97" s="430"/>
      <c r="AE97" s="430"/>
      <c r="AF97" s="430"/>
      <c r="AG97" s="430"/>
      <c r="AH97" s="430"/>
      <c r="AI97" s="430"/>
      <c r="AJ97" s="430"/>
      <c r="AK97" s="430"/>
      <c r="AL97" s="430"/>
      <c r="AM97" s="430"/>
      <c r="AN97" s="430"/>
      <c r="AO97" s="430"/>
      <c r="AP97" s="430"/>
      <c r="AQ97" s="430"/>
      <c r="AR97" s="430"/>
      <c r="AS97" s="430"/>
      <c r="AT97" s="430"/>
      <c r="AU97" s="430"/>
      <c r="AV97" s="430"/>
      <c r="AW97" s="430"/>
      <c r="AX97" s="430"/>
      <c r="AY97" s="430"/>
      <c r="AZ97" s="430"/>
      <c r="BA97" s="430"/>
      <c r="BB97" s="430"/>
      <c r="BC97" s="430"/>
      <c r="BD97" s="430"/>
      <c r="BE97" s="430"/>
      <c r="BF97" s="430"/>
      <c r="BG97" s="430"/>
      <c r="BH97" s="430"/>
      <c r="BI97" s="430"/>
      <c r="BJ97" s="430"/>
      <c r="BK97" s="430"/>
    </row>
    <row r="98" spans="1:63">
      <c r="A98" s="430"/>
      <c r="B98" s="430"/>
      <c r="C98" s="430"/>
      <c r="D98" s="430"/>
      <c r="E98" s="430"/>
      <c r="F98" s="430"/>
      <c r="G98" s="430"/>
      <c r="H98" s="430"/>
      <c r="I98" s="430"/>
      <c r="J98" s="430"/>
      <c r="K98" s="430"/>
      <c r="L98" s="430"/>
      <c r="M98" s="430"/>
      <c r="N98" s="430"/>
      <c r="O98" s="430"/>
      <c r="P98" s="430"/>
      <c r="Q98" s="430"/>
      <c r="R98" s="430"/>
      <c r="S98" s="430"/>
      <c r="T98" s="430"/>
      <c r="U98" s="430"/>
      <c r="V98" s="430"/>
      <c r="W98" s="430"/>
      <c r="X98" s="430"/>
      <c r="Y98" s="430"/>
      <c r="Z98" s="430"/>
      <c r="AA98" s="430"/>
      <c r="AB98" s="430"/>
      <c r="AC98" s="430"/>
      <c r="AD98" s="430"/>
      <c r="AE98" s="430"/>
      <c r="AF98" s="430"/>
      <c r="AG98" s="430"/>
      <c r="AH98" s="430"/>
      <c r="AI98" s="430"/>
      <c r="AJ98" s="430"/>
      <c r="AK98" s="430"/>
      <c r="AL98" s="430"/>
      <c r="AM98" s="430"/>
      <c r="AN98" s="430"/>
      <c r="AO98" s="430"/>
      <c r="AP98" s="430"/>
      <c r="AQ98" s="430"/>
      <c r="AR98" s="430"/>
      <c r="AS98" s="430"/>
      <c r="AT98" s="430"/>
      <c r="AU98" s="430"/>
      <c r="AV98" s="430"/>
      <c r="AW98" s="430"/>
      <c r="AX98" s="430"/>
      <c r="AY98" s="430"/>
      <c r="AZ98" s="430"/>
      <c r="BA98" s="430"/>
      <c r="BB98" s="430"/>
      <c r="BC98" s="430"/>
      <c r="BD98" s="430"/>
      <c r="BE98" s="430"/>
      <c r="BF98" s="430"/>
      <c r="BG98" s="430"/>
      <c r="BH98" s="430"/>
      <c r="BI98" s="430"/>
      <c r="BJ98" s="430"/>
      <c r="BK98" s="430"/>
    </row>
    <row r="99" spans="1:63">
      <c r="A99" s="430"/>
      <c r="B99" s="430"/>
      <c r="C99" s="430"/>
      <c r="D99" s="430"/>
      <c r="E99" s="430"/>
      <c r="F99" s="430"/>
      <c r="G99" s="430"/>
      <c r="H99" s="430"/>
      <c r="I99" s="430"/>
      <c r="J99" s="430"/>
      <c r="K99" s="430"/>
      <c r="L99" s="430"/>
      <c r="M99" s="430"/>
      <c r="N99" s="430"/>
      <c r="O99" s="430"/>
      <c r="P99" s="430"/>
      <c r="Q99" s="430"/>
      <c r="R99" s="430"/>
      <c r="S99" s="430"/>
      <c r="T99" s="430"/>
      <c r="U99" s="430"/>
      <c r="V99" s="430"/>
      <c r="W99" s="430"/>
      <c r="X99" s="430"/>
      <c r="Y99" s="430"/>
      <c r="Z99" s="430"/>
      <c r="AA99" s="430"/>
      <c r="AB99" s="430"/>
      <c r="AC99" s="430"/>
      <c r="AD99" s="430"/>
      <c r="AE99" s="430"/>
      <c r="AF99" s="430"/>
      <c r="AG99" s="430"/>
      <c r="AH99" s="430"/>
      <c r="AI99" s="430"/>
      <c r="AJ99" s="430"/>
      <c r="AK99" s="430"/>
      <c r="AL99" s="430"/>
      <c r="AM99" s="430"/>
      <c r="AN99" s="430"/>
      <c r="AO99" s="430"/>
      <c r="AP99" s="430"/>
      <c r="AQ99" s="430"/>
      <c r="AR99" s="430"/>
      <c r="AS99" s="430"/>
      <c r="AT99" s="430"/>
      <c r="AU99" s="430"/>
      <c r="AV99" s="430"/>
      <c r="AW99" s="430"/>
      <c r="AX99" s="430"/>
      <c r="AY99" s="430"/>
      <c r="AZ99" s="430"/>
      <c r="BA99" s="430"/>
      <c r="BB99" s="430"/>
      <c r="BC99" s="430"/>
      <c r="BD99" s="430"/>
      <c r="BE99" s="430"/>
      <c r="BF99" s="430"/>
      <c r="BG99" s="430"/>
      <c r="BH99" s="430"/>
      <c r="BI99" s="430"/>
      <c r="BJ99" s="430"/>
      <c r="BK99" s="430"/>
    </row>
    <row r="100" spans="1:63">
      <c r="A100" s="430"/>
      <c r="B100" s="430"/>
      <c r="C100" s="430"/>
      <c r="D100" s="430"/>
      <c r="E100" s="430"/>
      <c r="F100" s="430"/>
      <c r="G100" s="430"/>
      <c r="H100" s="430"/>
      <c r="I100" s="430"/>
      <c r="J100" s="430"/>
      <c r="K100" s="430"/>
      <c r="L100" s="430"/>
      <c r="M100" s="430"/>
      <c r="N100" s="430"/>
      <c r="O100" s="430"/>
      <c r="P100" s="430"/>
      <c r="Q100" s="430"/>
      <c r="R100" s="430"/>
      <c r="S100" s="430"/>
      <c r="T100" s="430"/>
      <c r="U100" s="430"/>
      <c r="V100" s="430"/>
      <c r="W100" s="430"/>
      <c r="X100" s="430"/>
      <c r="Y100" s="430"/>
      <c r="Z100" s="430"/>
      <c r="AA100" s="430"/>
      <c r="AB100" s="430"/>
      <c r="AC100" s="430"/>
      <c r="AD100" s="430"/>
      <c r="AE100" s="430"/>
      <c r="AF100" s="430"/>
      <c r="AG100" s="430"/>
      <c r="AH100" s="430"/>
      <c r="AI100" s="430"/>
      <c r="AJ100" s="430"/>
      <c r="AK100" s="430"/>
      <c r="AL100" s="430"/>
      <c r="AM100" s="430"/>
      <c r="AN100" s="430"/>
      <c r="AO100" s="430"/>
      <c r="AP100" s="430"/>
      <c r="AQ100" s="430"/>
      <c r="AR100" s="430"/>
      <c r="AS100" s="430"/>
      <c r="AT100" s="430"/>
      <c r="AU100" s="430"/>
      <c r="AV100" s="430"/>
      <c r="AW100" s="430"/>
      <c r="AX100" s="430"/>
      <c r="AY100" s="430"/>
      <c r="AZ100" s="430"/>
      <c r="BA100" s="430"/>
      <c r="BB100" s="430"/>
      <c r="BC100" s="430"/>
      <c r="BD100" s="430"/>
      <c r="BE100" s="430"/>
      <c r="BF100" s="430"/>
      <c r="BG100" s="430"/>
      <c r="BH100" s="430"/>
      <c r="BI100" s="430"/>
      <c r="BJ100" s="430"/>
      <c r="BK100" s="430"/>
    </row>
    <row r="101" spans="1:63">
      <c r="A101" s="430"/>
      <c r="B101" s="430"/>
      <c r="C101" s="430"/>
      <c r="D101" s="430"/>
      <c r="E101" s="430"/>
      <c r="F101" s="430"/>
      <c r="G101" s="430"/>
      <c r="H101" s="430"/>
      <c r="I101" s="430"/>
      <c r="J101" s="430"/>
      <c r="K101" s="430"/>
      <c r="L101" s="430"/>
      <c r="M101" s="430"/>
      <c r="N101" s="430"/>
      <c r="O101" s="430"/>
      <c r="P101" s="430"/>
      <c r="Q101" s="430"/>
      <c r="R101" s="430"/>
      <c r="S101" s="430"/>
      <c r="T101" s="430"/>
      <c r="U101" s="430"/>
      <c r="V101" s="430"/>
      <c r="W101" s="430"/>
      <c r="X101" s="430"/>
      <c r="Y101" s="430"/>
      <c r="Z101" s="430"/>
      <c r="AA101" s="430"/>
      <c r="AB101" s="430"/>
      <c r="AC101" s="430"/>
      <c r="AD101" s="430"/>
      <c r="AE101" s="430"/>
      <c r="AF101" s="430"/>
      <c r="AG101" s="430"/>
      <c r="AH101" s="430"/>
      <c r="AI101" s="430"/>
      <c r="AJ101" s="430"/>
      <c r="AK101" s="430"/>
      <c r="AL101" s="430"/>
      <c r="AM101" s="430"/>
      <c r="AN101" s="430"/>
      <c r="AO101" s="430"/>
      <c r="AP101" s="430"/>
      <c r="AQ101" s="430"/>
      <c r="AR101" s="430"/>
      <c r="AS101" s="430"/>
      <c r="AT101" s="430"/>
      <c r="AU101" s="430"/>
      <c r="AV101" s="430"/>
      <c r="AW101" s="430"/>
      <c r="AX101" s="430"/>
      <c r="AY101" s="430"/>
      <c r="AZ101" s="430"/>
      <c r="BA101" s="430"/>
      <c r="BB101" s="430"/>
      <c r="BC101" s="430"/>
      <c r="BD101" s="430"/>
      <c r="BE101" s="430"/>
      <c r="BF101" s="430"/>
      <c r="BG101" s="430"/>
      <c r="BH101" s="430"/>
      <c r="BI101" s="430"/>
      <c r="BJ101" s="430"/>
      <c r="BK101" s="430"/>
    </row>
    <row r="102" spans="1:63">
      <c r="A102" s="430"/>
      <c r="B102" s="430"/>
      <c r="C102" s="430"/>
      <c r="D102" s="430"/>
      <c r="E102" s="430"/>
      <c r="F102" s="430"/>
      <c r="G102" s="430"/>
      <c r="H102" s="430"/>
      <c r="I102" s="430"/>
      <c r="J102" s="430"/>
      <c r="K102" s="430"/>
      <c r="L102" s="430"/>
      <c r="M102" s="430"/>
      <c r="N102" s="430"/>
      <c r="O102" s="430"/>
      <c r="P102" s="430"/>
      <c r="Q102" s="430"/>
      <c r="R102" s="430"/>
      <c r="S102" s="430"/>
      <c r="T102" s="430"/>
      <c r="U102" s="430"/>
      <c r="V102" s="430"/>
      <c r="W102" s="430"/>
      <c r="X102" s="430"/>
      <c r="Y102" s="430"/>
      <c r="Z102" s="430"/>
      <c r="AA102" s="430"/>
      <c r="AB102" s="430"/>
      <c r="AC102" s="430"/>
      <c r="AD102" s="430"/>
      <c r="AE102" s="430"/>
      <c r="AF102" s="430"/>
      <c r="AG102" s="430"/>
      <c r="AH102" s="430"/>
      <c r="AI102" s="430"/>
      <c r="AJ102" s="430"/>
      <c r="AK102" s="430"/>
      <c r="AL102" s="430"/>
      <c r="AM102" s="430"/>
      <c r="AN102" s="430"/>
      <c r="AO102" s="430"/>
      <c r="AP102" s="430"/>
      <c r="AQ102" s="430"/>
      <c r="AR102" s="430"/>
      <c r="AS102" s="430"/>
      <c r="AT102" s="430"/>
      <c r="AU102" s="430"/>
      <c r="AV102" s="430"/>
      <c r="AW102" s="430"/>
      <c r="AX102" s="430"/>
      <c r="AY102" s="430"/>
      <c r="AZ102" s="430"/>
      <c r="BA102" s="430"/>
      <c r="BB102" s="430"/>
      <c r="BC102" s="430"/>
      <c r="BD102" s="430"/>
      <c r="BE102" s="430"/>
      <c r="BF102" s="430"/>
      <c r="BG102" s="430"/>
      <c r="BH102" s="430"/>
      <c r="BI102" s="430"/>
      <c r="BJ102" s="430"/>
      <c r="BK102" s="430"/>
    </row>
    <row r="103" spans="1:63">
      <c r="A103" s="430"/>
      <c r="B103" s="430"/>
      <c r="C103" s="430"/>
      <c r="D103" s="430"/>
      <c r="E103" s="430"/>
      <c r="F103" s="430"/>
      <c r="G103" s="430"/>
      <c r="H103" s="430"/>
      <c r="I103" s="430"/>
      <c r="J103" s="430"/>
      <c r="K103" s="430"/>
      <c r="L103" s="430"/>
      <c r="M103" s="430"/>
      <c r="N103" s="430"/>
      <c r="O103" s="430"/>
      <c r="P103" s="430"/>
      <c r="Q103" s="430"/>
      <c r="R103" s="430"/>
      <c r="S103" s="430"/>
      <c r="T103" s="430"/>
      <c r="U103" s="430"/>
      <c r="V103" s="430"/>
      <c r="W103" s="430"/>
      <c r="X103" s="430"/>
      <c r="Y103" s="430"/>
      <c r="Z103" s="430"/>
      <c r="AA103" s="430"/>
      <c r="AB103" s="430"/>
      <c r="AC103" s="430"/>
      <c r="AD103" s="430"/>
      <c r="AE103" s="430"/>
      <c r="AF103" s="430"/>
      <c r="AG103" s="430"/>
      <c r="AH103" s="430"/>
      <c r="AI103" s="430"/>
      <c r="AJ103" s="430"/>
      <c r="AK103" s="430"/>
      <c r="AL103" s="430"/>
      <c r="AM103" s="430"/>
      <c r="AN103" s="430"/>
      <c r="AO103" s="430"/>
      <c r="AP103" s="430"/>
      <c r="AQ103" s="430"/>
      <c r="AR103" s="430"/>
      <c r="AS103" s="430"/>
      <c r="AT103" s="430"/>
      <c r="AU103" s="430"/>
      <c r="AV103" s="430"/>
      <c r="AW103" s="430"/>
      <c r="AX103" s="430"/>
      <c r="AY103" s="430"/>
      <c r="AZ103" s="430"/>
      <c r="BA103" s="430"/>
      <c r="BB103" s="430"/>
      <c r="BC103" s="430"/>
      <c r="BD103" s="430"/>
      <c r="BE103" s="430"/>
      <c r="BF103" s="430"/>
      <c r="BG103" s="430"/>
      <c r="BH103" s="430"/>
      <c r="BI103" s="430"/>
      <c r="BJ103" s="430"/>
      <c r="BK103" s="430"/>
    </row>
    <row r="104" spans="1:63">
      <c r="A104" s="430"/>
      <c r="B104" s="430"/>
      <c r="C104" s="430"/>
      <c r="D104" s="430"/>
      <c r="E104" s="430"/>
      <c r="F104" s="430"/>
      <c r="G104" s="430"/>
      <c r="H104" s="430"/>
      <c r="I104" s="430"/>
      <c r="J104" s="430"/>
      <c r="K104" s="430"/>
      <c r="L104" s="430"/>
      <c r="M104" s="430"/>
      <c r="N104" s="430"/>
      <c r="O104" s="430"/>
      <c r="P104" s="430"/>
      <c r="Q104" s="430"/>
      <c r="R104" s="430"/>
      <c r="S104" s="430"/>
      <c r="T104" s="430"/>
      <c r="U104" s="430"/>
      <c r="V104" s="430"/>
      <c r="W104" s="430"/>
      <c r="X104" s="430"/>
      <c r="Y104" s="430"/>
      <c r="Z104" s="430"/>
      <c r="AA104" s="430"/>
      <c r="AB104" s="430"/>
      <c r="AC104" s="430"/>
      <c r="AD104" s="430"/>
      <c r="AE104" s="430"/>
      <c r="AF104" s="430"/>
      <c r="AG104" s="430"/>
      <c r="AH104" s="430"/>
      <c r="AI104" s="430"/>
      <c r="AJ104" s="430"/>
      <c r="AK104" s="430"/>
      <c r="AL104" s="430"/>
      <c r="AM104" s="430"/>
      <c r="AN104" s="430"/>
      <c r="AO104" s="430"/>
      <c r="AP104" s="430"/>
      <c r="AQ104" s="430"/>
      <c r="AR104" s="430"/>
      <c r="AS104" s="430"/>
      <c r="AT104" s="430"/>
      <c r="AU104" s="430"/>
      <c r="AV104" s="430"/>
      <c r="AW104" s="430"/>
      <c r="AX104" s="430"/>
      <c r="AY104" s="430"/>
      <c r="AZ104" s="430"/>
      <c r="BA104" s="430"/>
      <c r="BB104" s="430"/>
      <c r="BC104" s="430"/>
      <c r="BD104" s="430"/>
      <c r="BE104" s="430"/>
      <c r="BF104" s="430"/>
      <c r="BG104" s="430"/>
      <c r="BH104" s="430"/>
      <c r="BI104" s="430"/>
      <c r="BJ104" s="430"/>
      <c r="BK104" s="430"/>
    </row>
    <row r="105" spans="1:63">
      <c r="A105" s="430"/>
      <c r="B105" s="430"/>
      <c r="C105" s="430"/>
      <c r="D105" s="430"/>
      <c r="E105" s="430"/>
      <c r="F105" s="430"/>
      <c r="G105" s="430"/>
      <c r="H105" s="430"/>
      <c r="I105" s="430"/>
      <c r="J105" s="430"/>
      <c r="K105" s="430"/>
      <c r="L105" s="430"/>
      <c r="M105" s="430"/>
      <c r="N105" s="430"/>
      <c r="O105" s="430"/>
      <c r="P105" s="430"/>
      <c r="Q105" s="430"/>
      <c r="R105" s="430"/>
      <c r="S105" s="430"/>
      <c r="T105" s="430"/>
      <c r="U105" s="430"/>
      <c r="V105" s="430"/>
      <c r="W105" s="430"/>
      <c r="X105" s="430"/>
      <c r="Y105" s="430"/>
      <c r="Z105" s="430"/>
      <c r="AA105" s="430"/>
      <c r="AB105" s="430"/>
      <c r="AC105" s="430"/>
      <c r="AD105" s="430"/>
      <c r="AE105" s="430"/>
      <c r="AF105" s="430"/>
      <c r="AG105" s="430"/>
      <c r="AH105" s="430"/>
      <c r="AI105" s="430"/>
      <c r="AJ105" s="430"/>
      <c r="AK105" s="430"/>
      <c r="AL105" s="430"/>
      <c r="AM105" s="430"/>
      <c r="AN105" s="430"/>
      <c r="AO105" s="430"/>
      <c r="AP105" s="430"/>
      <c r="AQ105" s="430"/>
      <c r="AR105" s="430"/>
      <c r="AS105" s="430"/>
      <c r="AT105" s="430"/>
      <c r="AU105" s="430"/>
      <c r="AV105" s="430"/>
      <c r="AW105" s="430"/>
      <c r="AX105" s="430"/>
      <c r="AY105" s="430"/>
      <c r="AZ105" s="430"/>
      <c r="BA105" s="430"/>
      <c r="BB105" s="430"/>
      <c r="BC105" s="430"/>
      <c r="BD105" s="430"/>
      <c r="BE105" s="430"/>
      <c r="BF105" s="430"/>
      <c r="BG105" s="430"/>
      <c r="BH105" s="430"/>
      <c r="BI105" s="430"/>
      <c r="BJ105" s="430"/>
      <c r="BK105" s="430"/>
    </row>
    <row r="106" spans="1:63">
      <c r="A106" s="430"/>
      <c r="B106" s="430"/>
      <c r="C106" s="430"/>
      <c r="D106" s="430"/>
      <c r="E106" s="430"/>
      <c r="F106" s="430"/>
      <c r="G106" s="430"/>
      <c r="H106" s="430"/>
      <c r="I106" s="430"/>
      <c r="J106" s="430"/>
      <c r="K106" s="430"/>
      <c r="L106" s="430"/>
      <c r="M106" s="430"/>
      <c r="N106" s="430"/>
      <c r="O106" s="430"/>
      <c r="P106" s="430"/>
      <c r="Q106" s="430"/>
      <c r="R106" s="430"/>
      <c r="S106" s="430"/>
      <c r="T106" s="430"/>
      <c r="U106" s="430"/>
      <c r="V106" s="430"/>
      <c r="W106" s="430"/>
      <c r="X106" s="430"/>
      <c r="Y106" s="430"/>
      <c r="Z106" s="430"/>
      <c r="AA106" s="430"/>
      <c r="AB106" s="430"/>
      <c r="AC106" s="430"/>
      <c r="AD106" s="430"/>
      <c r="AE106" s="430"/>
      <c r="AF106" s="430"/>
      <c r="AG106" s="430"/>
      <c r="AH106" s="430"/>
      <c r="AI106" s="430"/>
      <c r="AJ106" s="430"/>
      <c r="AK106" s="430"/>
      <c r="AL106" s="430"/>
      <c r="AM106" s="430"/>
      <c r="AN106" s="430"/>
      <c r="AO106" s="430"/>
      <c r="AP106" s="430"/>
      <c r="AQ106" s="430"/>
      <c r="AR106" s="430"/>
      <c r="AS106" s="430"/>
      <c r="AT106" s="430"/>
      <c r="AU106" s="430"/>
      <c r="AV106" s="430"/>
      <c r="AW106" s="430"/>
      <c r="AX106" s="430"/>
      <c r="AY106" s="430"/>
      <c r="AZ106" s="430"/>
      <c r="BA106" s="430"/>
      <c r="BB106" s="430"/>
      <c r="BC106" s="430"/>
      <c r="BD106" s="430"/>
      <c r="BE106" s="430"/>
      <c r="BF106" s="430"/>
      <c r="BG106" s="430"/>
      <c r="BH106" s="430"/>
      <c r="BI106" s="430"/>
      <c r="BJ106" s="430"/>
      <c r="BK106" s="430"/>
    </row>
    <row r="107" spans="1:63">
      <c r="A107" s="430"/>
      <c r="B107" s="430"/>
      <c r="C107" s="430"/>
      <c r="D107" s="430"/>
      <c r="E107" s="430"/>
      <c r="F107" s="430"/>
      <c r="G107" s="430"/>
      <c r="H107" s="430"/>
      <c r="I107" s="430"/>
      <c r="J107" s="430"/>
      <c r="K107" s="430"/>
      <c r="L107" s="430"/>
      <c r="M107" s="430"/>
      <c r="N107" s="430"/>
      <c r="O107" s="430"/>
      <c r="P107" s="430"/>
      <c r="Q107" s="430"/>
      <c r="R107" s="430"/>
      <c r="S107" s="430"/>
      <c r="T107" s="430"/>
      <c r="U107" s="430"/>
      <c r="V107" s="430"/>
      <c r="W107" s="430"/>
      <c r="X107" s="430"/>
      <c r="Y107" s="430"/>
      <c r="Z107" s="430"/>
      <c r="AA107" s="430"/>
      <c r="AB107" s="430"/>
      <c r="AC107" s="430"/>
      <c r="AD107" s="430"/>
      <c r="AE107" s="430"/>
      <c r="AF107" s="430"/>
      <c r="AG107" s="430"/>
      <c r="AH107" s="430"/>
      <c r="AI107" s="430"/>
      <c r="AJ107" s="430"/>
      <c r="AK107" s="430"/>
      <c r="AL107" s="430"/>
      <c r="AM107" s="430"/>
      <c r="AN107" s="430"/>
      <c r="AO107" s="430"/>
      <c r="AP107" s="430"/>
      <c r="AQ107" s="430"/>
      <c r="AR107" s="430"/>
      <c r="AS107" s="430"/>
      <c r="AT107" s="430"/>
      <c r="AU107" s="430"/>
      <c r="AV107" s="430"/>
      <c r="AW107" s="430"/>
      <c r="AX107" s="430"/>
      <c r="AY107" s="430"/>
      <c r="AZ107" s="430"/>
      <c r="BA107" s="430"/>
      <c r="BB107" s="430"/>
      <c r="BC107" s="430"/>
      <c r="BD107" s="430"/>
      <c r="BE107" s="430"/>
      <c r="BF107" s="430"/>
      <c r="BG107" s="430"/>
      <c r="BH107" s="430"/>
      <c r="BI107" s="430"/>
      <c r="BJ107" s="430"/>
      <c r="BK107" s="430"/>
    </row>
    <row r="108" spans="1:63">
      <c r="A108" s="430"/>
      <c r="B108" s="430"/>
      <c r="C108" s="430"/>
      <c r="D108" s="430"/>
      <c r="E108" s="430"/>
      <c r="F108" s="430"/>
      <c r="G108" s="430"/>
      <c r="H108" s="430"/>
      <c r="I108" s="430"/>
      <c r="J108" s="430"/>
      <c r="K108" s="430"/>
      <c r="L108" s="430"/>
      <c r="M108" s="430"/>
      <c r="N108" s="430"/>
      <c r="O108" s="430"/>
      <c r="P108" s="430"/>
      <c r="Q108" s="430"/>
      <c r="R108" s="430"/>
      <c r="S108" s="430"/>
      <c r="T108" s="430"/>
      <c r="U108" s="430"/>
      <c r="V108" s="430"/>
      <c r="W108" s="430"/>
      <c r="X108" s="430"/>
      <c r="Y108" s="430"/>
      <c r="Z108" s="430"/>
      <c r="AA108" s="430"/>
      <c r="AB108" s="430"/>
      <c r="AC108" s="430"/>
      <c r="AD108" s="430"/>
      <c r="AE108" s="430"/>
      <c r="AF108" s="430"/>
      <c r="AG108" s="430"/>
      <c r="AH108" s="430"/>
      <c r="AI108" s="430"/>
      <c r="AJ108" s="430"/>
      <c r="AK108" s="430"/>
      <c r="AL108" s="430"/>
      <c r="AM108" s="430"/>
      <c r="AN108" s="430"/>
      <c r="AO108" s="430"/>
      <c r="AP108" s="430"/>
      <c r="AQ108" s="430"/>
      <c r="AR108" s="430"/>
      <c r="AS108" s="430"/>
      <c r="AT108" s="430"/>
      <c r="AU108" s="430"/>
      <c r="AV108" s="430"/>
      <c r="AW108" s="430"/>
      <c r="AX108" s="430"/>
      <c r="AY108" s="430"/>
      <c r="AZ108" s="430"/>
      <c r="BA108" s="430"/>
      <c r="BB108" s="430"/>
      <c r="BC108" s="430"/>
      <c r="BD108" s="430"/>
      <c r="BE108" s="430"/>
      <c r="BF108" s="430"/>
      <c r="BG108" s="430"/>
      <c r="BH108" s="430"/>
      <c r="BI108" s="430"/>
      <c r="BJ108" s="430"/>
      <c r="BK108" s="430"/>
    </row>
    <row r="109" spans="1:63">
      <c r="A109" s="430"/>
      <c r="B109" s="430"/>
      <c r="C109" s="430"/>
      <c r="D109" s="430"/>
      <c r="E109" s="430"/>
      <c r="F109" s="430"/>
      <c r="G109" s="430"/>
      <c r="H109" s="430"/>
      <c r="I109" s="430"/>
      <c r="J109" s="430"/>
      <c r="K109" s="430"/>
      <c r="L109" s="430"/>
      <c r="M109" s="430"/>
      <c r="N109" s="430"/>
      <c r="O109" s="430"/>
      <c r="P109" s="430"/>
      <c r="Q109" s="430"/>
      <c r="R109" s="430"/>
      <c r="S109" s="430"/>
      <c r="T109" s="430"/>
      <c r="U109" s="430"/>
      <c r="V109" s="430"/>
      <c r="W109" s="430"/>
      <c r="X109" s="430"/>
      <c r="Y109" s="430"/>
      <c r="Z109" s="430"/>
      <c r="AA109" s="430"/>
      <c r="AB109" s="430"/>
      <c r="AC109" s="430"/>
      <c r="AD109" s="430"/>
      <c r="AE109" s="430"/>
      <c r="AF109" s="430"/>
      <c r="AG109" s="430"/>
      <c r="AH109" s="430"/>
      <c r="AI109" s="430"/>
      <c r="AJ109" s="430"/>
      <c r="AK109" s="430"/>
      <c r="AL109" s="430"/>
      <c r="AM109" s="430"/>
      <c r="AN109" s="430"/>
      <c r="AO109" s="430"/>
      <c r="AP109" s="430"/>
      <c r="AQ109" s="430"/>
      <c r="AR109" s="430"/>
      <c r="AS109" s="430"/>
      <c r="AT109" s="430"/>
      <c r="AU109" s="430"/>
      <c r="AV109" s="430"/>
      <c r="AW109" s="430"/>
      <c r="AX109" s="430"/>
      <c r="AY109" s="430"/>
      <c r="AZ109" s="430"/>
      <c r="BA109" s="430"/>
      <c r="BB109" s="430"/>
      <c r="BC109" s="430"/>
      <c r="BD109" s="430"/>
      <c r="BE109" s="430"/>
      <c r="BF109" s="430"/>
      <c r="BG109" s="430"/>
      <c r="BH109" s="430"/>
      <c r="BI109" s="430"/>
      <c r="BJ109" s="430"/>
      <c r="BK109" s="430"/>
    </row>
    <row r="110" spans="1:63">
      <c r="A110" s="430"/>
      <c r="B110" s="430"/>
      <c r="C110" s="430"/>
      <c r="D110" s="430"/>
      <c r="E110" s="430"/>
      <c r="F110" s="430"/>
      <c r="G110" s="430"/>
      <c r="H110" s="430"/>
      <c r="I110" s="430"/>
      <c r="J110" s="430"/>
      <c r="K110" s="430"/>
      <c r="L110" s="430"/>
      <c r="M110" s="430"/>
      <c r="N110" s="430"/>
      <c r="O110" s="430"/>
      <c r="P110" s="430"/>
      <c r="Q110" s="430"/>
      <c r="R110" s="430"/>
      <c r="S110" s="430"/>
      <c r="T110" s="430"/>
      <c r="U110" s="430"/>
      <c r="V110" s="430"/>
      <c r="W110" s="430"/>
      <c r="X110" s="430"/>
      <c r="Y110" s="430"/>
      <c r="Z110" s="430"/>
      <c r="AA110" s="430"/>
      <c r="AB110" s="430"/>
      <c r="AC110" s="430"/>
      <c r="AD110" s="430"/>
      <c r="AE110" s="430"/>
      <c r="AF110" s="430"/>
      <c r="AG110" s="430"/>
      <c r="AH110" s="430"/>
      <c r="AI110" s="430"/>
      <c r="AJ110" s="430"/>
      <c r="AK110" s="430"/>
      <c r="AL110" s="430"/>
      <c r="AM110" s="430"/>
      <c r="AN110" s="430"/>
      <c r="AO110" s="430"/>
      <c r="AP110" s="430"/>
      <c r="AQ110" s="430"/>
      <c r="AR110" s="430"/>
      <c r="AS110" s="430"/>
      <c r="AT110" s="430"/>
      <c r="AU110" s="430"/>
      <c r="AV110" s="430"/>
      <c r="AW110" s="430"/>
      <c r="AX110" s="430"/>
      <c r="AY110" s="430"/>
      <c r="AZ110" s="430"/>
      <c r="BA110" s="430"/>
      <c r="BB110" s="430"/>
      <c r="BC110" s="430"/>
      <c r="BD110" s="430"/>
      <c r="BE110" s="430"/>
      <c r="BF110" s="430"/>
      <c r="BG110" s="430"/>
      <c r="BH110" s="430"/>
      <c r="BI110" s="430"/>
      <c r="BJ110" s="430"/>
      <c r="BK110" s="430"/>
    </row>
    <row r="111" spans="1:63">
      <c r="A111" s="430"/>
      <c r="B111" s="451"/>
      <c r="C111" s="430"/>
      <c r="D111" s="451"/>
      <c r="E111" s="430"/>
      <c r="F111" s="430"/>
      <c r="G111" s="430"/>
      <c r="H111" s="430"/>
      <c r="I111" s="430"/>
      <c r="J111" s="430"/>
      <c r="K111" s="430"/>
      <c r="L111" s="430"/>
      <c r="M111" s="430"/>
      <c r="N111" s="430"/>
      <c r="O111" s="430"/>
      <c r="P111" s="430"/>
      <c r="Q111" s="430"/>
      <c r="R111" s="430"/>
      <c r="S111" s="430"/>
      <c r="T111" s="430"/>
      <c r="U111" s="430"/>
      <c r="V111" s="430"/>
      <c r="W111" s="430"/>
      <c r="X111" s="430"/>
      <c r="Y111" s="430"/>
      <c r="Z111" s="430"/>
      <c r="AA111" s="430"/>
      <c r="AB111" s="430"/>
      <c r="AC111" s="430"/>
      <c r="AD111" s="430"/>
      <c r="AE111" s="430"/>
      <c r="AF111" s="430"/>
      <c r="AG111" s="430"/>
      <c r="AH111" s="430"/>
      <c r="AI111" s="430"/>
      <c r="AJ111" s="430"/>
      <c r="AK111" s="430"/>
      <c r="AL111" s="430"/>
      <c r="AM111" s="430"/>
      <c r="AN111" s="430"/>
      <c r="AO111" s="430"/>
      <c r="AP111" s="430"/>
      <c r="AQ111" s="430"/>
      <c r="AR111" s="430"/>
      <c r="AS111" s="430"/>
      <c r="AT111" s="430"/>
      <c r="AU111" s="430"/>
      <c r="AV111" s="430"/>
      <c r="AW111" s="430"/>
      <c r="AX111" s="430"/>
      <c r="AY111" s="430"/>
      <c r="AZ111" s="430"/>
      <c r="BA111" s="430"/>
      <c r="BB111" s="430"/>
      <c r="BC111" s="430"/>
      <c r="BD111" s="430"/>
      <c r="BE111" s="430"/>
      <c r="BF111" s="430"/>
      <c r="BG111" s="430"/>
      <c r="BH111" s="430"/>
      <c r="BI111" s="430"/>
      <c r="BJ111" s="430"/>
      <c r="BK111" s="430"/>
    </row>
    <row r="112" spans="1:63">
      <c r="A112" s="430"/>
      <c r="B112" s="451"/>
      <c r="C112" s="430"/>
      <c r="D112" s="451"/>
      <c r="E112" s="430"/>
      <c r="F112" s="430"/>
      <c r="G112" s="430"/>
      <c r="H112" s="430"/>
      <c r="I112" s="430"/>
      <c r="J112" s="430"/>
      <c r="K112" s="430"/>
      <c r="L112" s="430"/>
      <c r="M112" s="430"/>
      <c r="N112" s="430"/>
      <c r="O112" s="430"/>
      <c r="P112" s="430"/>
      <c r="Q112" s="430"/>
      <c r="R112" s="430"/>
      <c r="S112" s="430"/>
      <c r="T112" s="430"/>
      <c r="U112" s="430"/>
      <c r="V112" s="430"/>
      <c r="W112" s="430"/>
      <c r="X112" s="430"/>
      <c r="Y112" s="430"/>
      <c r="Z112" s="430"/>
      <c r="AA112" s="430"/>
      <c r="AB112" s="430"/>
      <c r="AC112" s="430"/>
      <c r="AD112" s="430"/>
      <c r="AE112" s="430"/>
      <c r="AF112" s="430"/>
      <c r="AG112" s="430"/>
      <c r="AH112" s="430"/>
      <c r="AI112" s="430"/>
      <c r="AJ112" s="430"/>
      <c r="AK112" s="430"/>
      <c r="AL112" s="430"/>
      <c r="AM112" s="430"/>
      <c r="AN112" s="430"/>
      <c r="AO112" s="430"/>
      <c r="AP112" s="430"/>
      <c r="AQ112" s="430"/>
      <c r="AR112" s="430"/>
      <c r="AS112" s="430"/>
      <c r="AT112" s="430"/>
      <c r="AU112" s="430"/>
      <c r="AV112" s="430"/>
      <c r="AW112" s="430"/>
      <c r="AX112" s="430"/>
      <c r="AY112" s="430"/>
      <c r="AZ112" s="430"/>
      <c r="BA112" s="430"/>
      <c r="BB112" s="430"/>
      <c r="BC112" s="430"/>
      <c r="BD112" s="430"/>
      <c r="BE112" s="430"/>
      <c r="BF112" s="430"/>
      <c r="BG112" s="430"/>
      <c r="BH112" s="430"/>
      <c r="BI112" s="430"/>
      <c r="BJ112" s="430"/>
      <c r="BK112" s="430"/>
    </row>
    <row r="113" spans="1:63">
      <c r="A113" s="430"/>
      <c r="B113" s="451"/>
      <c r="C113" s="430"/>
      <c r="D113" s="451"/>
      <c r="E113" s="430"/>
      <c r="F113" s="430"/>
      <c r="G113" s="430"/>
      <c r="H113" s="430"/>
      <c r="I113" s="430"/>
      <c r="J113" s="430"/>
      <c r="K113" s="430"/>
      <c r="L113" s="430"/>
      <c r="M113" s="430"/>
      <c r="N113" s="430"/>
      <c r="O113" s="430"/>
      <c r="P113" s="430"/>
      <c r="Q113" s="430"/>
      <c r="R113" s="430"/>
      <c r="S113" s="430"/>
      <c r="T113" s="430"/>
      <c r="U113" s="430"/>
      <c r="V113" s="430"/>
      <c r="W113" s="430"/>
      <c r="X113" s="430"/>
      <c r="Y113" s="430"/>
      <c r="Z113" s="430"/>
      <c r="AA113" s="430"/>
      <c r="AB113" s="430"/>
      <c r="AC113" s="430"/>
      <c r="AD113" s="430"/>
      <c r="AE113" s="430"/>
      <c r="AF113" s="430"/>
      <c r="AG113" s="430"/>
      <c r="AH113" s="430"/>
      <c r="AI113" s="430"/>
      <c r="AJ113" s="430"/>
      <c r="AK113" s="430"/>
      <c r="AL113" s="430"/>
      <c r="AM113" s="430"/>
      <c r="AN113" s="430"/>
      <c r="AO113" s="430"/>
      <c r="AP113" s="430"/>
      <c r="AQ113" s="430"/>
      <c r="AR113" s="430"/>
      <c r="AS113" s="430"/>
      <c r="AT113" s="430"/>
      <c r="AU113" s="430"/>
      <c r="AV113" s="430"/>
      <c r="AW113" s="430"/>
      <c r="AX113" s="430"/>
      <c r="AY113" s="430"/>
      <c r="AZ113" s="430"/>
      <c r="BA113" s="430"/>
      <c r="BB113" s="430"/>
      <c r="BC113" s="430"/>
      <c r="BD113" s="430"/>
      <c r="BE113" s="430"/>
      <c r="BF113" s="430"/>
      <c r="BG113" s="430"/>
      <c r="BH113" s="430"/>
      <c r="BI113" s="430"/>
      <c r="BJ113" s="430"/>
      <c r="BK113" s="430"/>
    </row>
    <row r="114" spans="1:63">
      <c r="A114" s="430"/>
      <c r="B114" s="451"/>
      <c r="C114" s="430"/>
      <c r="D114" s="451"/>
      <c r="E114" s="430"/>
      <c r="F114" s="430"/>
      <c r="G114" s="430"/>
      <c r="H114" s="430"/>
      <c r="I114" s="430"/>
      <c r="J114" s="430"/>
      <c r="K114" s="430"/>
      <c r="L114" s="430"/>
      <c r="M114" s="430"/>
      <c r="N114" s="430"/>
      <c r="O114" s="430"/>
      <c r="P114" s="430"/>
      <c r="Q114" s="430"/>
      <c r="R114" s="430"/>
      <c r="S114" s="430"/>
      <c r="T114" s="430"/>
      <c r="U114" s="430"/>
      <c r="V114" s="430"/>
      <c r="W114" s="430"/>
      <c r="X114" s="430"/>
      <c r="Y114" s="430"/>
      <c r="Z114" s="430"/>
      <c r="AA114" s="430"/>
      <c r="AB114" s="430"/>
      <c r="AC114" s="430"/>
      <c r="AD114" s="430"/>
      <c r="AE114" s="430"/>
      <c r="AF114" s="430"/>
      <c r="AG114" s="430"/>
      <c r="AH114" s="430"/>
      <c r="AI114" s="430"/>
      <c r="AJ114" s="430"/>
      <c r="AK114" s="430"/>
      <c r="AL114" s="430"/>
      <c r="AM114" s="430"/>
      <c r="AN114" s="430"/>
      <c r="AO114" s="430"/>
      <c r="AP114" s="430"/>
      <c r="AQ114" s="430"/>
      <c r="AR114" s="430"/>
      <c r="AS114" s="430"/>
      <c r="AT114" s="430"/>
      <c r="AU114" s="430"/>
      <c r="AV114" s="430"/>
      <c r="AW114" s="430"/>
      <c r="AX114" s="430"/>
      <c r="AY114" s="430"/>
      <c r="AZ114" s="430"/>
      <c r="BA114" s="430"/>
      <c r="BB114" s="430"/>
      <c r="BC114" s="430"/>
      <c r="BD114" s="430"/>
      <c r="BE114" s="430"/>
      <c r="BF114" s="430"/>
      <c r="BG114" s="430"/>
      <c r="BH114" s="430"/>
      <c r="BI114" s="430"/>
      <c r="BJ114" s="430"/>
      <c r="BK114" s="430"/>
    </row>
    <row r="115" spans="1:63">
      <c r="A115" s="430"/>
      <c r="B115" s="451"/>
      <c r="C115" s="430"/>
      <c r="D115" s="451"/>
      <c r="E115" s="430"/>
      <c r="F115" s="430"/>
      <c r="G115" s="430"/>
      <c r="H115" s="430"/>
      <c r="I115" s="430"/>
      <c r="J115" s="430"/>
      <c r="K115" s="430"/>
      <c r="L115" s="430"/>
      <c r="M115" s="430"/>
      <c r="N115" s="430"/>
      <c r="O115" s="430"/>
      <c r="P115" s="430"/>
      <c r="Q115" s="430"/>
      <c r="R115" s="430"/>
      <c r="S115" s="430"/>
      <c r="T115" s="430"/>
      <c r="U115" s="430"/>
      <c r="V115" s="430"/>
      <c r="W115" s="430"/>
      <c r="X115" s="430"/>
      <c r="Y115" s="430"/>
      <c r="Z115" s="430"/>
      <c r="AA115" s="430"/>
      <c r="AB115" s="430"/>
      <c r="AC115" s="430"/>
      <c r="AD115" s="430"/>
      <c r="AE115" s="430"/>
      <c r="AF115" s="430"/>
      <c r="AG115" s="430"/>
      <c r="AH115" s="430"/>
      <c r="AI115" s="430"/>
      <c r="AJ115" s="430"/>
      <c r="AK115" s="430"/>
      <c r="AL115" s="430"/>
      <c r="AM115" s="430"/>
      <c r="AN115" s="430"/>
      <c r="AO115" s="430"/>
      <c r="AP115" s="430"/>
      <c r="AQ115" s="430"/>
      <c r="AR115" s="430"/>
      <c r="AS115" s="430"/>
      <c r="AT115" s="430"/>
      <c r="AU115" s="430"/>
      <c r="AV115" s="430"/>
      <c r="AW115" s="430"/>
      <c r="AX115" s="430"/>
      <c r="AY115" s="430"/>
      <c r="AZ115" s="430"/>
      <c r="BA115" s="430"/>
      <c r="BB115" s="430"/>
      <c r="BC115" s="430"/>
      <c r="BD115" s="430"/>
      <c r="BE115" s="430"/>
      <c r="BF115" s="430"/>
      <c r="BG115" s="430"/>
      <c r="BH115" s="430"/>
      <c r="BI115" s="430"/>
      <c r="BJ115" s="430"/>
      <c r="BK115" s="430"/>
    </row>
    <row r="116" spans="1:63">
      <c r="A116" s="430"/>
      <c r="B116" s="451"/>
      <c r="C116" s="430"/>
      <c r="D116" s="451"/>
      <c r="E116" s="430"/>
      <c r="F116" s="430"/>
      <c r="G116" s="430"/>
      <c r="H116" s="430"/>
      <c r="I116" s="430"/>
      <c r="J116" s="430"/>
      <c r="K116" s="430"/>
      <c r="L116" s="430"/>
      <c r="M116" s="430"/>
      <c r="N116" s="430"/>
      <c r="O116" s="430"/>
      <c r="P116" s="430"/>
      <c r="Q116" s="430"/>
      <c r="R116" s="430"/>
      <c r="S116" s="430"/>
      <c r="T116" s="430"/>
      <c r="U116" s="430"/>
      <c r="V116" s="430"/>
      <c r="W116" s="430"/>
      <c r="X116" s="430"/>
      <c r="Y116" s="430"/>
      <c r="Z116" s="430"/>
      <c r="AA116" s="430"/>
      <c r="AB116" s="430"/>
      <c r="AC116" s="430"/>
      <c r="AD116" s="430"/>
      <c r="AE116" s="430"/>
      <c r="AF116" s="430"/>
      <c r="AG116" s="430"/>
      <c r="AH116" s="430"/>
      <c r="AI116" s="430"/>
      <c r="AJ116" s="430"/>
      <c r="AK116" s="430"/>
      <c r="AL116" s="430"/>
      <c r="AM116" s="430"/>
      <c r="AN116" s="430"/>
      <c r="AO116" s="430"/>
      <c r="AP116" s="430"/>
      <c r="AQ116" s="430"/>
      <c r="AR116" s="430"/>
      <c r="AS116" s="430"/>
      <c r="AT116" s="430"/>
      <c r="AU116" s="430"/>
      <c r="AV116" s="430"/>
      <c r="AW116" s="430"/>
      <c r="AX116" s="430"/>
      <c r="AY116" s="430"/>
      <c r="AZ116" s="430"/>
      <c r="BA116" s="430"/>
      <c r="BB116" s="430"/>
      <c r="BC116" s="430"/>
      <c r="BD116" s="430"/>
      <c r="BE116" s="430"/>
      <c r="BF116" s="430"/>
      <c r="BG116" s="430"/>
      <c r="BH116" s="430"/>
      <c r="BI116" s="430"/>
      <c r="BJ116" s="430"/>
      <c r="BK116" s="430"/>
    </row>
    <row r="117" spans="1:63">
      <c r="A117" s="430"/>
      <c r="B117" s="451"/>
      <c r="C117" s="430"/>
      <c r="D117" s="451"/>
      <c r="E117" s="430"/>
      <c r="F117" s="430"/>
      <c r="G117" s="430"/>
      <c r="H117" s="430"/>
      <c r="I117" s="430"/>
      <c r="J117" s="430"/>
      <c r="K117" s="430"/>
      <c r="L117" s="430"/>
      <c r="M117" s="430"/>
      <c r="N117" s="430"/>
      <c r="O117" s="430"/>
      <c r="P117" s="430"/>
      <c r="Q117" s="430"/>
      <c r="R117" s="430"/>
      <c r="S117" s="430"/>
      <c r="T117" s="430"/>
      <c r="U117" s="430"/>
      <c r="V117" s="430"/>
      <c r="W117" s="430"/>
      <c r="X117" s="430"/>
      <c r="Y117" s="430"/>
      <c r="Z117" s="430"/>
      <c r="AA117" s="430"/>
      <c r="AB117" s="430"/>
      <c r="AC117" s="430"/>
      <c r="AD117" s="430"/>
      <c r="AE117" s="430"/>
      <c r="AF117" s="430"/>
      <c r="AG117" s="430"/>
      <c r="AH117" s="430"/>
      <c r="AI117" s="430"/>
      <c r="AJ117" s="430"/>
      <c r="AK117" s="430"/>
      <c r="AL117" s="430"/>
      <c r="AM117" s="430"/>
      <c r="AN117" s="430"/>
      <c r="AO117" s="430"/>
      <c r="AP117" s="430"/>
      <c r="AQ117" s="430"/>
      <c r="AR117" s="430"/>
      <c r="AS117" s="430"/>
      <c r="AT117" s="430"/>
      <c r="AU117" s="430"/>
      <c r="AV117" s="430"/>
      <c r="AW117" s="430"/>
      <c r="AX117" s="430"/>
      <c r="AY117" s="430"/>
      <c r="AZ117" s="430"/>
      <c r="BA117" s="430"/>
      <c r="BB117" s="430"/>
      <c r="BC117" s="430"/>
      <c r="BD117" s="430"/>
      <c r="BE117" s="430"/>
      <c r="BF117" s="430"/>
      <c r="BG117" s="430"/>
      <c r="BH117" s="430"/>
      <c r="BI117" s="430"/>
      <c r="BJ117" s="430"/>
      <c r="BK117" s="430"/>
    </row>
    <row r="118" spans="1:63">
      <c r="A118" s="430"/>
      <c r="B118" s="451"/>
      <c r="C118" s="430"/>
      <c r="D118" s="451"/>
      <c r="E118" s="430"/>
      <c r="F118" s="430"/>
      <c r="G118" s="430"/>
      <c r="H118" s="430"/>
      <c r="I118" s="430"/>
      <c r="J118" s="430"/>
      <c r="K118" s="430"/>
      <c r="L118" s="430"/>
      <c r="M118" s="430"/>
      <c r="N118" s="430"/>
      <c r="O118" s="430"/>
      <c r="P118" s="430"/>
      <c r="Q118" s="430"/>
      <c r="R118" s="430"/>
      <c r="S118" s="430"/>
      <c r="T118" s="430"/>
      <c r="U118" s="430"/>
      <c r="V118" s="430"/>
      <c r="W118" s="430"/>
      <c r="X118" s="430"/>
      <c r="Y118" s="430"/>
      <c r="Z118" s="430"/>
      <c r="AA118" s="430"/>
      <c r="AB118" s="430"/>
      <c r="AC118" s="430"/>
      <c r="AD118" s="430"/>
      <c r="AE118" s="430"/>
      <c r="AF118" s="430"/>
      <c r="AG118" s="430"/>
      <c r="AH118" s="430"/>
      <c r="AI118" s="430"/>
      <c r="AJ118" s="430"/>
      <c r="AK118" s="430"/>
      <c r="AL118" s="430"/>
      <c r="AM118" s="430"/>
      <c r="AN118" s="430"/>
      <c r="AO118" s="430"/>
      <c r="AP118" s="430"/>
      <c r="AQ118" s="430"/>
      <c r="AR118" s="430"/>
      <c r="AS118" s="430"/>
      <c r="AT118" s="430"/>
      <c r="AU118" s="430"/>
      <c r="AV118" s="430"/>
      <c r="AW118" s="430"/>
      <c r="AX118" s="430"/>
      <c r="AY118" s="430"/>
      <c r="AZ118" s="430"/>
      <c r="BA118" s="430"/>
      <c r="BB118" s="430"/>
      <c r="BC118" s="430"/>
      <c r="BD118" s="430"/>
      <c r="BE118" s="430"/>
      <c r="BF118" s="430"/>
      <c r="BG118" s="430"/>
      <c r="BH118" s="430"/>
      <c r="BI118" s="430"/>
      <c r="BJ118" s="430"/>
      <c r="BK118" s="430"/>
    </row>
    <row r="119" spans="1:63">
      <c r="A119" s="430"/>
      <c r="B119" s="451"/>
      <c r="C119" s="430"/>
      <c r="D119" s="451"/>
      <c r="E119" s="430"/>
      <c r="F119" s="430"/>
      <c r="G119" s="430"/>
      <c r="H119" s="430"/>
      <c r="I119" s="430"/>
      <c r="J119" s="430"/>
      <c r="K119" s="430"/>
      <c r="L119" s="430"/>
      <c r="M119" s="430"/>
      <c r="N119" s="430"/>
      <c r="O119" s="430"/>
      <c r="P119" s="430"/>
      <c r="Q119" s="430"/>
      <c r="R119" s="430"/>
      <c r="S119" s="430"/>
      <c r="T119" s="430"/>
      <c r="U119" s="430"/>
      <c r="V119" s="430"/>
      <c r="W119" s="430"/>
      <c r="X119" s="430"/>
      <c r="Y119" s="430"/>
      <c r="Z119" s="430"/>
      <c r="AA119" s="430"/>
      <c r="AB119" s="430"/>
      <c r="AC119" s="430"/>
      <c r="AD119" s="430"/>
      <c r="AE119" s="430"/>
      <c r="AF119" s="430"/>
      <c r="AG119" s="430"/>
      <c r="AH119" s="430"/>
      <c r="AI119" s="430"/>
      <c r="AJ119" s="430"/>
      <c r="AK119" s="430"/>
      <c r="AL119" s="430"/>
      <c r="AM119" s="430"/>
      <c r="AN119" s="430"/>
      <c r="AO119" s="430"/>
      <c r="AP119" s="430"/>
      <c r="AQ119" s="430"/>
      <c r="AR119" s="430"/>
      <c r="AS119" s="430"/>
      <c r="AT119" s="430"/>
      <c r="AU119" s="430"/>
      <c r="AV119" s="430"/>
      <c r="AW119" s="430"/>
      <c r="AX119" s="430"/>
      <c r="AY119" s="430"/>
      <c r="AZ119" s="430"/>
      <c r="BA119" s="430"/>
      <c r="BB119" s="430"/>
      <c r="BC119" s="430"/>
      <c r="BD119" s="430"/>
      <c r="BE119" s="430"/>
      <c r="BF119" s="430"/>
      <c r="BG119" s="430"/>
      <c r="BH119" s="430"/>
      <c r="BI119" s="430"/>
      <c r="BJ119" s="430"/>
      <c r="BK119" s="430"/>
    </row>
    <row r="120" spans="1:63">
      <c r="A120" s="430"/>
      <c r="B120" s="451"/>
      <c r="C120" s="430"/>
      <c r="D120" s="451"/>
      <c r="E120" s="430"/>
      <c r="F120" s="430"/>
      <c r="G120" s="430"/>
      <c r="H120" s="430"/>
      <c r="I120" s="430"/>
      <c r="J120" s="430"/>
      <c r="K120" s="430"/>
      <c r="L120" s="430"/>
      <c r="M120" s="430"/>
      <c r="N120" s="430"/>
      <c r="O120" s="430"/>
      <c r="P120" s="430"/>
      <c r="Q120" s="430"/>
      <c r="R120" s="430"/>
      <c r="S120" s="430"/>
      <c r="T120" s="430"/>
      <c r="U120" s="430"/>
      <c r="V120" s="430"/>
      <c r="W120" s="430"/>
      <c r="X120" s="430"/>
      <c r="Y120" s="430"/>
      <c r="Z120" s="430"/>
      <c r="AA120" s="430"/>
      <c r="AB120" s="430"/>
      <c r="AC120" s="430"/>
      <c r="AD120" s="430"/>
      <c r="AE120" s="430"/>
      <c r="AF120" s="430"/>
      <c r="AG120" s="430"/>
      <c r="AH120" s="430"/>
      <c r="AI120" s="430"/>
      <c r="AJ120" s="430"/>
      <c r="AK120" s="430"/>
      <c r="AL120" s="430"/>
      <c r="AM120" s="430"/>
      <c r="AN120" s="430"/>
      <c r="AO120" s="430"/>
      <c r="AP120" s="430"/>
      <c r="AQ120" s="430"/>
      <c r="AR120" s="430"/>
      <c r="AS120" s="430"/>
      <c r="AT120" s="430"/>
      <c r="AU120" s="430"/>
      <c r="AV120" s="430"/>
      <c r="AW120" s="430"/>
      <c r="AX120" s="430"/>
      <c r="AY120" s="430"/>
      <c r="AZ120" s="430"/>
      <c r="BA120" s="430"/>
      <c r="BB120" s="430"/>
      <c r="BC120" s="430"/>
      <c r="BD120" s="430"/>
      <c r="BE120" s="430"/>
      <c r="BF120" s="430"/>
      <c r="BG120" s="430"/>
      <c r="BH120" s="430"/>
      <c r="BI120" s="430"/>
      <c r="BJ120" s="430"/>
      <c r="BK120" s="430"/>
    </row>
    <row r="121" spans="1:63">
      <c r="A121" s="430"/>
      <c r="B121" s="451"/>
      <c r="C121" s="430"/>
      <c r="D121" s="451"/>
      <c r="E121" s="430"/>
      <c r="F121" s="430"/>
      <c r="G121" s="430"/>
      <c r="H121" s="430"/>
      <c r="I121" s="430"/>
      <c r="J121" s="430"/>
      <c r="K121" s="430"/>
      <c r="L121" s="430"/>
      <c r="M121" s="430"/>
      <c r="N121" s="430"/>
      <c r="O121" s="430"/>
      <c r="P121" s="430"/>
      <c r="Q121" s="430"/>
      <c r="R121" s="430"/>
      <c r="S121" s="430"/>
      <c r="T121" s="430"/>
      <c r="U121" s="430"/>
      <c r="V121" s="430"/>
      <c r="W121" s="430"/>
      <c r="X121" s="430"/>
      <c r="Y121" s="430"/>
      <c r="Z121" s="430"/>
      <c r="AA121" s="430"/>
      <c r="AB121" s="430"/>
      <c r="AC121" s="430"/>
      <c r="AD121" s="430"/>
      <c r="AE121" s="430"/>
      <c r="AF121" s="430"/>
      <c r="AG121" s="430"/>
      <c r="AH121" s="430"/>
      <c r="AI121" s="430"/>
      <c r="AJ121" s="430"/>
      <c r="AK121" s="430"/>
      <c r="AL121" s="430"/>
      <c r="AM121" s="430"/>
      <c r="AN121" s="430"/>
      <c r="AO121" s="430"/>
      <c r="AP121" s="430"/>
      <c r="AQ121" s="430"/>
      <c r="AR121" s="430"/>
      <c r="AS121" s="430"/>
      <c r="AT121" s="430"/>
      <c r="AU121" s="430"/>
      <c r="AV121" s="430"/>
      <c r="AW121" s="430"/>
      <c r="AX121" s="430"/>
      <c r="AY121" s="430"/>
      <c r="AZ121" s="430"/>
      <c r="BA121" s="430"/>
      <c r="BB121" s="430"/>
      <c r="BC121" s="430"/>
      <c r="BD121" s="430"/>
      <c r="BE121" s="430"/>
      <c r="BF121" s="430"/>
      <c r="BG121" s="430"/>
      <c r="BH121" s="430"/>
      <c r="BI121" s="430"/>
      <c r="BJ121" s="430"/>
      <c r="BK121" s="430"/>
    </row>
    <row r="122" spans="1:63">
      <c r="A122" s="430"/>
      <c r="B122" s="451"/>
      <c r="C122" s="430"/>
      <c r="D122" s="451"/>
      <c r="E122" s="430"/>
      <c r="F122" s="430"/>
      <c r="G122" s="430"/>
      <c r="H122" s="430"/>
      <c r="I122" s="430"/>
      <c r="J122" s="430"/>
      <c r="K122" s="430"/>
      <c r="L122" s="430"/>
      <c r="M122" s="430"/>
      <c r="N122" s="430"/>
      <c r="O122" s="430"/>
      <c r="P122" s="430"/>
      <c r="Q122" s="430"/>
      <c r="R122" s="430"/>
      <c r="S122" s="430"/>
      <c r="T122" s="430"/>
      <c r="U122" s="430"/>
      <c r="V122" s="430"/>
      <c r="W122" s="430"/>
      <c r="X122" s="430"/>
      <c r="Y122" s="430"/>
      <c r="Z122" s="430"/>
      <c r="AA122" s="430"/>
      <c r="AB122" s="430"/>
      <c r="AC122" s="430"/>
      <c r="AD122" s="430"/>
      <c r="AE122" s="430"/>
      <c r="AF122" s="430"/>
      <c r="AG122" s="430"/>
      <c r="AH122" s="430"/>
      <c r="AI122" s="430"/>
      <c r="AJ122" s="430"/>
      <c r="AK122" s="430"/>
      <c r="AL122" s="430"/>
      <c r="AM122" s="430"/>
      <c r="AN122" s="430"/>
      <c r="AO122" s="430"/>
      <c r="AP122" s="430"/>
      <c r="AQ122" s="430"/>
      <c r="AR122" s="430"/>
      <c r="AS122" s="430"/>
      <c r="AT122" s="430"/>
      <c r="AU122" s="430"/>
      <c r="AV122" s="430"/>
      <c r="AW122" s="430"/>
      <c r="AX122" s="430"/>
      <c r="AY122" s="430"/>
      <c r="AZ122" s="430"/>
      <c r="BA122" s="430"/>
      <c r="BB122" s="430"/>
      <c r="BC122" s="430"/>
      <c r="BD122" s="430"/>
      <c r="BE122" s="430"/>
      <c r="BF122" s="430"/>
      <c r="BG122" s="430"/>
      <c r="BH122" s="430"/>
      <c r="BI122" s="430"/>
      <c r="BJ122" s="430"/>
      <c r="BK122" s="430"/>
    </row>
    <row r="123" spans="1:63">
      <c r="A123" s="430"/>
      <c r="B123" s="451"/>
      <c r="C123" s="430"/>
      <c r="D123" s="451"/>
      <c r="E123" s="430"/>
      <c r="F123" s="430"/>
      <c r="G123" s="430"/>
      <c r="H123" s="430"/>
      <c r="I123" s="430"/>
      <c r="J123" s="430"/>
      <c r="K123" s="430"/>
      <c r="L123" s="430"/>
      <c r="M123" s="430"/>
      <c r="N123" s="430"/>
      <c r="O123" s="430"/>
      <c r="P123" s="430"/>
      <c r="Q123" s="430"/>
      <c r="R123" s="430"/>
      <c r="S123" s="430"/>
      <c r="T123" s="430"/>
      <c r="U123" s="430"/>
      <c r="V123" s="430"/>
      <c r="W123" s="430"/>
      <c r="X123" s="430"/>
      <c r="Y123" s="430"/>
      <c r="Z123" s="430"/>
      <c r="AA123" s="430"/>
      <c r="AB123" s="430"/>
      <c r="AC123" s="430"/>
      <c r="AD123" s="430"/>
      <c r="AE123" s="430"/>
      <c r="AF123" s="430"/>
      <c r="AG123" s="430"/>
      <c r="AH123" s="430"/>
      <c r="AI123" s="430"/>
      <c r="AJ123" s="430"/>
      <c r="AK123" s="430"/>
      <c r="AL123" s="430"/>
      <c r="AM123" s="430"/>
      <c r="AN123" s="430"/>
      <c r="AO123" s="430"/>
      <c r="AP123" s="430"/>
      <c r="AQ123" s="430"/>
      <c r="AR123" s="430"/>
      <c r="AS123" s="430"/>
      <c r="AT123" s="430"/>
      <c r="AU123" s="430"/>
      <c r="AV123" s="430"/>
      <c r="AW123" s="430"/>
      <c r="AX123" s="430"/>
      <c r="AY123" s="430"/>
      <c r="AZ123" s="430"/>
      <c r="BA123" s="430"/>
      <c r="BB123" s="430"/>
      <c r="BC123" s="430"/>
      <c r="BD123" s="430"/>
      <c r="BE123" s="430"/>
      <c r="BF123" s="430"/>
      <c r="BG123" s="430"/>
      <c r="BH123" s="430"/>
      <c r="BI123" s="430"/>
      <c r="BJ123" s="430"/>
      <c r="BK123" s="430"/>
    </row>
    <row r="124" spans="1:63">
      <c r="A124" s="430"/>
      <c r="B124" s="451"/>
      <c r="C124" s="430"/>
      <c r="D124" s="451"/>
      <c r="E124" s="430"/>
      <c r="F124" s="430"/>
      <c r="G124" s="430"/>
      <c r="H124" s="430"/>
      <c r="I124" s="430"/>
      <c r="J124" s="430"/>
      <c r="K124" s="430"/>
      <c r="L124" s="430"/>
      <c r="M124" s="430"/>
      <c r="N124" s="430"/>
      <c r="O124" s="430"/>
      <c r="P124" s="430"/>
      <c r="Q124" s="430"/>
      <c r="R124" s="430"/>
      <c r="S124" s="430"/>
      <c r="T124" s="430"/>
      <c r="U124" s="430"/>
      <c r="V124" s="430"/>
      <c r="W124" s="430"/>
      <c r="X124" s="430"/>
      <c r="Y124" s="430"/>
      <c r="Z124" s="430"/>
      <c r="AA124" s="430"/>
      <c r="AB124" s="430"/>
      <c r="AC124" s="430"/>
      <c r="AD124" s="430"/>
      <c r="AE124" s="430"/>
      <c r="AF124" s="430"/>
      <c r="AG124" s="430"/>
      <c r="AH124" s="430"/>
      <c r="AI124" s="430"/>
      <c r="AJ124" s="430"/>
      <c r="AK124" s="430"/>
      <c r="AL124" s="430"/>
      <c r="AM124" s="430"/>
      <c r="AN124" s="430"/>
      <c r="AO124" s="430"/>
      <c r="AP124" s="430"/>
      <c r="AQ124" s="430"/>
      <c r="AR124" s="430"/>
      <c r="AS124" s="430"/>
      <c r="AT124" s="430"/>
      <c r="AU124" s="430"/>
      <c r="AV124" s="430"/>
      <c r="AW124" s="430"/>
      <c r="AX124" s="430"/>
      <c r="AY124" s="430"/>
      <c r="AZ124" s="430"/>
      <c r="BA124" s="430"/>
      <c r="BB124" s="430"/>
      <c r="BC124" s="430"/>
      <c r="BD124" s="430"/>
      <c r="BE124" s="430"/>
      <c r="BF124" s="430"/>
      <c r="BG124" s="430"/>
      <c r="BH124" s="430"/>
      <c r="BI124" s="430"/>
      <c r="BJ124" s="430"/>
      <c r="BK124" s="430"/>
    </row>
    <row r="125" spans="1:63">
      <c r="A125" s="430"/>
      <c r="B125" s="451"/>
      <c r="C125" s="430"/>
      <c r="D125" s="451"/>
      <c r="E125" s="430"/>
      <c r="F125" s="430"/>
      <c r="G125" s="430"/>
      <c r="H125" s="430"/>
      <c r="I125" s="430"/>
      <c r="J125" s="430"/>
      <c r="K125" s="430"/>
      <c r="L125" s="430"/>
      <c r="M125" s="430"/>
      <c r="N125" s="430"/>
      <c r="O125" s="430"/>
      <c r="P125" s="430"/>
      <c r="Q125" s="430"/>
      <c r="R125" s="430"/>
      <c r="S125" s="430"/>
      <c r="T125" s="430"/>
      <c r="U125" s="430"/>
      <c r="V125" s="430"/>
      <c r="W125" s="430"/>
      <c r="X125" s="430"/>
      <c r="Y125" s="430"/>
      <c r="Z125" s="430"/>
      <c r="AA125" s="430"/>
      <c r="AB125" s="430"/>
      <c r="AC125" s="430"/>
      <c r="AD125" s="430"/>
      <c r="AE125" s="430"/>
      <c r="AF125" s="430"/>
      <c r="AG125" s="430"/>
      <c r="AH125" s="430"/>
      <c r="AI125" s="430"/>
      <c r="AJ125" s="430"/>
      <c r="AK125" s="430"/>
      <c r="AL125" s="430"/>
      <c r="AM125" s="430"/>
      <c r="AN125" s="430"/>
      <c r="AO125" s="430"/>
      <c r="AP125" s="430"/>
      <c r="AQ125" s="430"/>
      <c r="AR125" s="430"/>
      <c r="AS125" s="430"/>
      <c r="AT125" s="430"/>
      <c r="AU125" s="430"/>
      <c r="AV125" s="430"/>
      <c r="AW125" s="430"/>
      <c r="AX125" s="430"/>
      <c r="AY125" s="430"/>
      <c r="AZ125" s="430"/>
      <c r="BA125" s="430"/>
      <c r="BB125" s="430"/>
      <c r="BC125" s="430"/>
      <c r="BD125" s="430"/>
      <c r="BE125" s="430"/>
      <c r="BF125" s="430"/>
      <c r="BG125" s="430"/>
      <c r="BH125" s="430"/>
      <c r="BI125" s="430"/>
      <c r="BJ125" s="430"/>
      <c r="BK125" s="430"/>
    </row>
    <row r="126" spans="1:63">
      <c r="A126" s="430"/>
      <c r="B126" s="451"/>
      <c r="C126" s="430"/>
      <c r="D126" s="451"/>
      <c r="E126" s="430"/>
      <c r="F126" s="430"/>
      <c r="G126" s="430"/>
      <c r="H126" s="430"/>
      <c r="I126" s="430"/>
      <c r="J126" s="430"/>
      <c r="K126" s="430"/>
      <c r="L126" s="430"/>
      <c r="M126" s="430"/>
      <c r="N126" s="430"/>
      <c r="O126" s="430"/>
      <c r="P126" s="430"/>
      <c r="Q126" s="430"/>
      <c r="R126" s="430"/>
      <c r="S126" s="430"/>
      <c r="T126" s="430"/>
      <c r="U126" s="430"/>
      <c r="V126" s="430"/>
      <c r="W126" s="430"/>
      <c r="X126" s="430"/>
      <c r="Y126" s="430"/>
      <c r="Z126" s="430"/>
      <c r="AA126" s="430"/>
      <c r="AB126" s="430"/>
      <c r="AC126" s="430"/>
      <c r="AD126" s="430"/>
      <c r="AE126" s="430"/>
      <c r="AF126" s="430"/>
      <c r="AG126" s="430"/>
      <c r="AH126" s="430"/>
      <c r="AI126" s="430"/>
      <c r="AJ126" s="430"/>
      <c r="AK126" s="430"/>
      <c r="AL126" s="430"/>
      <c r="AM126" s="430"/>
      <c r="AN126" s="430"/>
      <c r="AO126" s="430"/>
      <c r="AP126" s="430"/>
      <c r="AQ126" s="430"/>
      <c r="AR126" s="430"/>
      <c r="AS126" s="430"/>
      <c r="AT126" s="430"/>
      <c r="AU126" s="430"/>
      <c r="AV126" s="430"/>
      <c r="AW126" s="430"/>
      <c r="AX126" s="430"/>
      <c r="AY126" s="430"/>
      <c r="AZ126" s="430"/>
      <c r="BA126" s="430"/>
      <c r="BB126" s="430"/>
      <c r="BC126" s="430"/>
      <c r="BD126" s="430"/>
      <c r="BE126" s="430"/>
      <c r="BF126" s="430"/>
      <c r="BG126" s="430"/>
      <c r="BH126" s="430"/>
      <c r="BI126" s="430"/>
      <c r="BJ126" s="430"/>
      <c r="BK126" s="430"/>
    </row>
    <row r="127" spans="1:63">
      <c r="A127" s="430"/>
      <c r="B127" s="451"/>
      <c r="C127" s="430"/>
      <c r="D127" s="451"/>
      <c r="E127" s="430"/>
      <c r="F127" s="430"/>
      <c r="G127" s="430"/>
      <c r="H127" s="430"/>
      <c r="I127" s="430"/>
      <c r="J127" s="430"/>
      <c r="K127" s="430"/>
      <c r="L127" s="430"/>
      <c r="M127" s="430"/>
      <c r="N127" s="430"/>
      <c r="O127" s="430"/>
      <c r="P127" s="430"/>
      <c r="Q127" s="430"/>
      <c r="R127" s="430"/>
      <c r="S127" s="430"/>
      <c r="T127" s="430"/>
      <c r="U127" s="430"/>
      <c r="V127" s="430"/>
      <c r="W127" s="430"/>
      <c r="X127" s="430"/>
      <c r="Y127" s="430"/>
      <c r="Z127" s="430"/>
      <c r="AA127" s="430"/>
      <c r="AB127" s="430"/>
      <c r="AC127" s="430"/>
      <c r="AD127" s="430"/>
      <c r="AE127" s="430"/>
      <c r="AF127" s="430"/>
      <c r="AG127" s="430"/>
      <c r="AH127" s="430"/>
      <c r="AI127" s="430"/>
      <c r="AJ127" s="430"/>
      <c r="AK127" s="430"/>
      <c r="AL127" s="430"/>
      <c r="AM127" s="430"/>
      <c r="AN127" s="430"/>
      <c r="AO127" s="430"/>
      <c r="AP127" s="430"/>
      <c r="AQ127" s="430"/>
      <c r="AR127" s="430"/>
      <c r="AS127" s="430"/>
      <c r="AT127" s="430"/>
      <c r="AU127" s="430"/>
      <c r="AV127" s="430"/>
      <c r="AW127" s="430"/>
      <c r="AX127" s="430"/>
      <c r="AY127" s="430"/>
      <c r="AZ127" s="430"/>
      <c r="BA127" s="430"/>
      <c r="BB127" s="430"/>
      <c r="BC127" s="430"/>
      <c r="BD127" s="430"/>
      <c r="BE127" s="430"/>
      <c r="BF127" s="430"/>
      <c r="BG127" s="430"/>
      <c r="BH127" s="430"/>
      <c r="BI127" s="430"/>
      <c r="BJ127" s="430"/>
      <c r="BK127" s="430"/>
    </row>
    <row r="128" spans="1:63">
      <c r="A128" s="430"/>
      <c r="B128" s="451"/>
      <c r="C128" s="430"/>
      <c r="D128" s="451"/>
      <c r="E128" s="430"/>
      <c r="F128" s="430"/>
      <c r="G128" s="430"/>
      <c r="H128" s="430"/>
      <c r="I128" s="430"/>
      <c r="J128" s="430"/>
      <c r="K128" s="430"/>
      <c r="L128" s="430"/>
      <c r="M128" s="430"/>
      <c r="N128" s="430"/>
      <c r="O128" s="430"/>
      <c r="P128" s="430"/>
      <c r="Q128" s="430"/>
      <c r="R128" s="430"/>
      <c r="S128" s="430"/>
      <c r="T128" s="430"/>
      <c r="U128" s="430"/>
      <c r="V128" s="430"/>
      <c r="W128" s="430"/>
      <c r="X128" s="430"/>
      <c r="Y128" s="430"/>
      <c r="Z128" s="430"/>
      <c r="AA128" s="430"/>
      <c r="AB128" s="430"/>
      <c r="AC128" s="430"/>
      <c r="AD128" s="430"/>
      <c r="AE128" s="430"/>
      <c r="AF128" s="430"/>
      <c r="AG128" s="430"/>
      <c r="AH128" s="430"/>
      <c r="AI128" s="430"/>
      <c r="AJ128" s="430"/>
      <c r="AK128" s="430"/>
      <c r="AL128" s="430"/>
      <c r="AM128" s="430"/>
      <c r="AN128" s="430"/>
      <c r="AO128" s="430"/>
      <c r="AP128" s="430"/>
      <c r="AQ128" s="430"/>
      <c r="AR128" s="430"/>
      <c r="AS128" s="430"/>
      <c r="AT128" s="430"/>
      <c r="AU128" s="430"/>
      <c r="AV128" s="430"/>
      <c r="AW128" s="430"/>
      <c r="AX128" s="430"/>
      <c r="AY128" s="430"/>
      <c r="AZ128" s="430"/>
      <c r="BA128" s="430"/>
      <c r="BB128" s="430"/>
      <c r="BC128" s="430"/>
      <c r="BD128" s="430"/>
      <c r="BE128" s="430"/>
      <c r="BF128" s="430"/>
      <c r="BG128" s="430"/>
      <c r="BH128" s="430"/>
      <c r="BI128" s="430"/>
      <c r="BJ128" s="430"/>
      <c r="BK128" s="430"/>
    </row>
    <row r="129" spans="1:63">
      <c r="A129" s="430"/>
      <c r="B129" s="451"/>
      <c r="C129" s="430"/>
      <c r="D129" s="451"/>
      <c r="E129" s="430"/>
      <c r="F129" s="430"/>
      <c r="G129" s="430"/>
      <c r="H129" s="430"/>
      <c r="I129" s="430"/>
      <c r="J129" s="430"/>
      <c r="K129" s="430"/>
      <c r="L129" s="430"/>
      <c r="M129" s="430"/>
      <c r="N129" s="430"/>
      <c r="O129" s="430"/>
      <c r="P129" s="430"/>
      <c r="Q129" s="430"/>
      <c r="R129" s="430"/>
      <c r="S129" s="430"/>
      <c r="T129" s="430"/>
      <c r="U129" s="430"/>
      <c r="V129" s="430"/>
      <c r="W129" s="430"/>
      <c r="X129" s="430"/>
      <c r="Y129" s="430"/>
      <c r="Z129" s="430"/>
      <c r="AA129" s="430"/>
      <c r="AB129" s="430"/>
      <c r="AC129" s="430"/>
      <c r="AD129" s="430"/>
      <c r="AE129" s="430"/>
      <c r="AF129" s="430"/>
      <c r="AG129" s="430"/>
      <c r="AH129" s="430"/>
      <c r="AI129" s="430"/>
      <c r="AJ129" s="430"/>
      <c r="AK129" s="430"/>
      <c r="AL129" s="430"/>
      <c r="AM129" s="430"/>
      <c r="AN129" s="430"/>
      <c r="AO129" s="430"/>
      <c r="AP129" s="430"/>
      <c r="AQ129" s="430"/>
      <c r="AR129" s="430"/>
      <c r="AS129" s="430"/>
      <c r="AT129" s="430"/>
      <c r="AU129" s="430"/>
      <c r="AV129" s="430"/>
      <c r="AW129" s="430"/>
      <c r="AX129" s="430"/>
      <c r="AY129" s="430"/>
      <c r="AZ129" s="430"/>
      <c r="BA129" s="430"/>
      <c r="BB129" s="430"/>
      <c r="BC129" s="430"/>
      <c r="BD129" s="430"/>
      <c r="BE129" s="430"/>
      <c r="BF129" s="430"/>
      <c r="BG129" s="430"/>
      <c r="BH129" s="430"/>
      <c r="BI129" s="430"/>
      <c r="BJ129" s="430"/>
      <c r="BK129" s="430"/>
    </row>
    <row r="130" spans="1:63">
      <c r="A130" s="430"/>
      <c r="B130" s="451"/>
      <c r="C130" s="430"/>
      <c r="D130" s="451"/>
      <c r="E130" s="430"/>
      <c r="F130" s="430"/>
      <c r="G130" s="430"/>
      <c r="H130" s="430"/>
      <c r="I130" s="430"/>
      <c r="J130" s="430"/>
      <c r="K130" s="430"/>
      <c r="L130" s="430"/>
      <c r="M130" s="430"/>
      <c r="N130" s="430"/>
      <c r="O130" s="430"/>
      <c r="P130" s="430"/>
      <c r="Q130" s="430"/>
      <c r="R130" s="430"/>
      <c r="S130" s="430"/>
      <c r="T130" s="430"/>
      <c r="U130" s="430"/>
      <c r="V130" s="430"/>
      <c r="W130" s="430"/>
      <c r="X130" s="430"/>
      <c r="Y130" s="430"/>
      <c r="Z130" s="430"/>
      <c r="AA130" s="430"/>
      <c r="AB130" s="430"/>
      <c r="AC130" s="430"/>
      <c r="AD130" s="430"/>
      <c r="AE130" s="430"/>
      <c r="AF130" s="430"/>
      <c r="AG130" s="430"/>
      <c r="AH130" s="430"/>
      <c r="AI130" s="430"/>
      <c r="AJ130" s="430"/>
      <c r="AK130" s="430"/>
      <c r="AL130" s="430"/>
      <c r="AM130" s="430"/>
      <c r="AN130" s="430"/>
      <c r="AO130" s="430"/>
      <c r="AP130" s="430"/>
      <c r="AQ130" s="430"/>
      <c r="AR130" s="430"/>
      <c r="AS130" s="430"/>
      <c r="AT130" s="430"/>
      <c r="AU130" s="430"/>
      <c r="AV130" s="430"/>
      <c r="AW130" s="430"/>
      <c r="AX130" s="430"/>
      <c r="AY130" s="430"/>
      <c r="AZ130" s="430"/>
      <c r="BA130" s="430"/>
      <c r="BB130" s="430"/>
      <c r="BC130" s="430"/>
      <c r="BD130" s="430"/>
      <c r="BE130" s="430"/>
      <c r="BF130" s="430"/>
      <c r="BG130" s="430"/>
      <c r="BH130" s="430"/>
      <c r="BI130" s="430"/>
      <c r="BJ130" s="430"/>
      <c r="BK130" s="430"/>
    </row>
    <row r="131" spans="1:63">
      <c r="A131" s="430"/>
      <c r="B131" s="451"/>
      <c r="C131" s="430"/>
      <c r="D131" s="451"/>
      <c r="E131" s="430"/>
      <c r="F131" s="430"/>
      <c r="G131" s="430"/>
      <c r="H131" s="430"/>
      <c r="I131" s="430"/>
      <c r="J131" s="430"/>
      <c r="K131" s="430"/>
      <c r="L131" s="430"/>
      <c r="M131" s="430"/>
      <c r="N131" s="430"/>
      <c r="O131" s="430"/>
      <c r="P131" s="430"/>
      <c r="Q131" s="430"/>
      <c r="R131" s="430"/>
      <c r="S131" s="430"/>
      <c r="T131" s="430"/>
      <c r="U131" s="430"/>
      <c r="V131" s="430"/>
      <c r="W131" s="430"/>
      <c r="X131" s="430"/>
      <c r="Y131" s="430"/>
      <c r="Z131" s="430"/>
      <c r="AA131" s="430"/>
      <c r="AB131" s="430"/>
      <c r="AC131" s="430"/>
      <c r="AD131" s="430"/>
      <c r="AE131" s="430"/>
      <c r="AF131" s="430"/>
      <c r="AG131" s="430"/>
      <c r="AH131" s="430"/>
      <c r="AI131" s="430"/>
      <c r="AJ131" s="430"/>
      <c r="AK131" s="430"/>
      <c r="AL131" s="430"/>
      <c r="AM131" s="430"/>
      <c r="AN131" s="430"/>
      <c r="AO131" s="430"/>
      <c r="AP131" s="430"/>
      <c r="AQ131" s="430"/>
      <c r="AR131" s="430"/>
      <c r="AS131" s="430"/>
      <c r="AT131" s="430"/>
      <c r="AU131" s="430"/>
      <c r="AV131" s="430"/>
      <c r="AW131" s="430"/>
      <c r="AX131" s="430"/>
      <c r="AY131" s="430"/>
      <c r="AZ131" s="430"/>
      <c r="BA131" s="430"/>
      <c r="BB131" s="430"/>
      <c r="BC131" s="430"/>
      <c r="BD131" s="430"/>
      <c r="BE131" s="430"/>
      <c r="BF131" s="430"/>
      <c r="BG131" s="430"/>
      <c r="BH131" s="430"/>
      <c r="BI131" s="430"/>
      <c r="BJ131" s="430"/>
      <c r="BK131" s="430"/>
    </row>
    <row r="132" spans="1:63">
      <c r="A132" s="430"/>
      <c r="B132" s="451"/>
      <c r="C132" s="430"/>
      <c r="D132" s="451"/>
      <c r="E132" s="430"/>
      <c r="F132" s="430"/>
      <c r="G132" s="430"/>
      <c r="H132" s="430"/>
      <c r="I132" s="430"/>
      <c r="J132" s="430"/>
      <c r="K132" s="430"/>
      <c r="L132" s="430"/>
      <c r="M132" s="430"/>
      <c r="N132" s="430"/>
      <c r="O132" s="430"/>
      <c r="P132" s="430"/>
      <c r="Q132" s="430"/>
      <c r="R132" s="430"/>
      <c r="S132" s="430"/>
      <c r="T132" s="430"/>
      <c r="U132" s="430"/>
      <c r="V132" s="430"/>
      <c r="W132" s="430"/>
      <c r="X132" s="430"/>
      <c r="Y132" s="430"/>
      <c r="Z132" s="430"/>
      <c r="AA132" s="430"/>
      <c r="AB132" s="430"/>
      <c r="AC132" s="430"/>
      <c r="AD132" s="430"/>
      <c r="AE132" s="430"/>
      <c r="AF132" s="430"/>
      <c r="AG132" s="430"/>
      <c r="AH132" s="430"/>
      <c r="AI132" s="430"/>
      <c r="AJ132" s="430"/>
      <c r="AK132" s="430"/>
      <c r="AL132" s="430"/>
      <c r="AM132" s="430"/>
      <c r="AN132" s="430"/>
      <c r="AO132" s="430"/>
      <c r="AP132" s="430"/>
      <c r="AQ132" s="430"/>
      <c r="AR132" s="430"/>
      <c r="AS132" s="430"/>
      <c r="AT132" s="430"/>
      <c r="AU132" s="430"/>
      <c r="AV132" s="430"/>
      <c r="AW132" s="430"/>
      <c r="AX132" s="430"/>
      <c r="AY132" s="430"/>
      <c r="AZ132" s="430"/>
      <c r="BA132" s="430"/>
      <c r="BB132" s="430"/>
      <c r="BC132" s="430"/>
      <c r="BD132" s="430"/>
      <c r="BE132" s="430"/>
      <c r="BF132" s="430"/>
      <c r="BG132" s="430"/>
      <c r="BH132" s="430"/>
      <c r="BI132" s="430"/>
      <c r="BJ132" s="430"/>
      <c r="BK132" s="430"/>
    </row>
    <row r="133" spans="1:63">
      <c r="A133" s="430"/>
      <c r="B133" s="451"/>
      <c r="C133" s="430"/>
      <c r="D133" s="451"/>
      <c r="E133" s="430"/>
      <c r="F133" s="430"/>
      <c r="G133" s="430"/>
      <c r="H133" s="430"/>
      <c r="I133" s="430"/>
      <c r="J133" s="430"/>
      <c r="K133" s="430"/>
      <c r="L133" s="430"/>
      <c r="M133" s="430"/>
      <c r="N133" s="430"/>
      <c r="O133" s="430"/>
      <c r="P133" s="430"/>
      <c r="Q133" s="430"/>
      <c r="R133" s="430"/>
      <c r="S133" s="430"/>
      <c r="T133" s="430"/>
      <c r="U133" s="430"/>
      <c r="V133" s="430"/>
      <c r="W133" s="430"/>
      <c r="X133" s="430"/>
      <c r="Y133" s="430"/>
      <c r="Z133" s="430"/>
      <c r="AA133" s="430"/>
      <c r="AB133" s="430"/>
      <c r="AC133" s="430"/>
      <c r="AD133" s="430"/>
      <c r="AE133" s="430"/>
      <c r="AF133" s="430"/>
      <c r="AG133" s="430"/>
      <c r="AH133" s="430"/>
      <c r="AI133" s="430"/>
      <c r="AJ133" s="430"/>
      <c r="AK133" s="430"/>
      <c r="AL133" s="430"/>
      <c r="AM133" s="430"/>
      <c r="AN133" s="430"/>
      <c r="AO133" s="430"/>
      <c r="AP133" s="430"/>
      <c r="AQ133" s="430"/>
      <c r="AR133" s="430"/>
      <c r="AS133" s="430"/>
      <c r="AT133" s="430"/>
      <c r="AU133" s="430"/>
      <c r="AV133" s="430"/>
      <c r="AW133" s="430"/>
      <c r="AX133" s="430"/>
      <c r="AY133" s="430"/>
      <c r="AZ133" s="430"/>
      <c r="BA133" s="430"/>
      <c r="BB133" s="430"/>
      <c r="BC133" s="430"/>
      <c r="BD133" s="430"/>
      <c r="BE133" s="430"/>
      <c r="BF133" s="430"/>
      <c r="BG133" s="430"/>
      <c r="BH133" s="430"/>
      <c r="BI133" s="430"/>
      <c r="BJ133" s="430"/>
      <c r="BK133" s="430"/>
    </row>
    <row r="134" spans="1:63">
      <c r="A134" s="430"/>
      <c r="B134" s="451"/>
      <c r="C134" s="430"/>
      <c r="D134" s="451"/>
      <c r="E134" s="430"/>
      <c r="F134" s="430"/>
      <c r="G134" s="430"/>
      <c r="H134" s="430"/>
      <c r="I134" s="430"/>
      <c r="J134" s="430"/>
      <c r="K134" s="430"/>
      <c r="L134" s="430"/>
      <c r="M134" s="430"/>
      <c r="N134" s="430"/>
      <c r="O134" s="430"/>
      <c r="P134" s="430"/>
      <c r="Q134" s="430"/>
      <c r="R134" s="430"/>
      <c r="S134" s="430"/>
      <c r="T134" s="430"/>
      <c r="U134" s="430"/>
      <c r="V134" s="430"/>
      <c r="W134" s="430"/>
      <c r="X134" s="430"/>
      <c r="Y134" s="430"/>
      <c r="Z134" s="430"/>
      <c r="AA134" s="430"/>
      <c r="AB134" s="430"/>
      <c r="AC134" s="430"/>
      <c r="AD134" s="430"/>
      <c r="AE134" s="430"/>
      <c r="AF134" s="430"/>
      <c r="AG134" s="430"/>
      <c r="AH134" s="430"/>
      <c r="AI134" s="430"/>
      <c r="AJ134" s="430"/>
      <c r="AK134" s="430"/>
      <c r="AL134" s="430"/>
      <c r="AM134" s="430"/>
      <c r="AN134" s="430"/>
      <c r="AO134" s="430"/>
      <c r="AP134" s="430"/>
      <c r="AQ134" s="430"/>
      <c r="AR134" s="430"/>
      <c r="AS134" s="430"/>
      <c r="AT134" s="430"/>
      <c r="AU134" s="430"/>
      <c r="AV134" s="430"/>
      <c r="AW134" s="430"/>
      <c r="AX134" s="430"/>
      <c r="AY134" s="430"/>
      <c r="AZ134" s="430"/>
      <c r="BA134" s="430"/>
      <c r="BB134" s="430"/>
      <c r="BC134" s="430"/>
      <c r="BD134" s="430"/>
      <c r="BE134" s="430"/>
      <c r="BF134" s="430"/>
      <c r="BG134" s="430"/>
      <c r="BH134" s="430"/>
      <c r="BI134" s="430"/>
      <c r="BJ134" s="430"/>
      <c r="BK134" s="430"/>
    </row>
    <row r="135" spans="1:63">
      <c r="A135" s="430"/>
      <c r="B135" s="451"/>
      <c r="C135" s="430"/>
      <c r="D135" s="451"/>
      <c r="E135" s="430"/>
      <c r="F135" s="430"/>
      <c r="G135" s="430"/>
      <c r="H135" s="430"/>
      <c r="I135" s="430"/>
      <c r="J135" s="430"/>
      <c r="K135" s="430"/>
      <c r="L135" s="430"/>
      <c r="M135" s="430"/>
      <c r="N135" s="430"/>
      <c r="O135" s="430"/>
      <c r="P135" s="430"/>
      <c r="Q135" s="430"/>
      <c r="R135" s="430"/>
      <c r="S135" s="430"/>
      <c r="T135" s="430"/>
      <c r="U135" s="430"/>
      <c r="V135" s="430"/>
      <c r="W135" s="430"/>
      <c r="X135" s="430"/>
      <c r="Y135" s="430"/>
      <c r="Z135" s="430"/>
      <c r="AA135" s="430"/>
      <c r="AB135" s="430"/>
      <c r="AC135" s="430"/>
      <c r="AD135" s="430"/>
      <c r="AE135" s="430"/>
      <c r="AF135" s="430"/>
      <c r="AG135" s="430"/>
      <c r="AH135" s="430"/>
      <c r="AI135" s="430"/>
      <c r="AJ135" s="430"/>
      <c r="AK135" s="430"/>
      <c r="AL135" s="430"/>
      <c r="AM135" s="430"/>
      <c r="AN135" s="430"/>
      <c r="AO135" s="430"/>
      <c r="AP135" s="430"/>
      <c r="AQ135" s="430"/>
      <c r="AR135" s="430"/>
      <c r="AS135" s="430"/>
      <c r="AT135" s="430"/>
      <c r="AU135" s="430"/>
      <c r="AV135" s="430"/>
      <c r="AW135" s="430"/>
      <c r="AX135" s="430"/>
      <c r="AY135" s="430"/>
      <c r="AZ135" s="430"/>
      <c r="BA135" s="430"/>
      <c r="BB135" s="430"/>
      <c r="BC135" s="430"/>
      <c r="BD135" s="430"/>
      <c r="BE135" s="430"/>
      <c r="BF135" s="430"/>
      <c r="BG135" s="430"/>
      <c r="BH135" s="430"/>
      <c r="BI135" s="430"/>
      <c r="BJ135" s="430"/>
      <c r="BK135" s="430"/>
    </row>
    <row r="136" spans="1:63">
      <c r="A136" s="430"/>
      <c r="B136" s="451"/>
      <c r="C136" s="430"/>
      <c r="D136" s="451"/>
      <c r="E136" s="430"/>
      <c r="F136" s="430"/>
      <c r="G136" s="430"/>
      <c r="H136" s="430"/>
      <c r="I136" s="430"/>
      <c r="J136" s="430"/>
      <c r="K136" s="430"/>
      <c r="L136" s="430"/>
      <c r="M136" s="430"/>
      <c r="N136" s="430"/>
      <c r="O136" s="430"/>
      <c r="P136" s="430"/>
      <c r="Q136" s="430"/>
      <c r="R136" s="430"/>
      <c r="S136" s="430"/>
      <c r="T136" s="430"/>
      <c r="U136" s="430"/>
      <c r="V136" s="430"/>
      <c r="W136" s="430"/>
      <c r="X136" s="430"/>
      <c r="Y136" s="430"/>
      <c r="Z136" s="430"/>
      <c r="AA136" s="430"/>
      <c r="AB136" s="430"/>
      <c r="AC136" s="430"/>
      <c r="AD136" s="430"/>
      <c r="AE136" s="430"/>
      <c r="AF136" s="430"/>
      <c r="AG136" s="430"/>
      <c r="AH136" s="430"/>
      <c r="AI136" s="430"/>
      <c r="AJ136" s="430"/>
      <c r="AK136" s="430"/>
      <c r="AL136" s="430"/>
      <c r="AM136" s="430"/>
      <c r="AN136" s="430"/>
      <c r="AO136" s="430"/>
      <c r="AP136" s="430"/>
      <c r="AQ136" s="430"/>
      <c r="AR136" s="430"/>
      <c r="AS136" s="430"/>
      <c r="AT136" s="430"/>
      <c r="AU136" s="430"/>
      <c r="AV136" s="430"/>
      <c r="AW136" s="430"/>
      <c r="AX136" s="430"/>
      <c r="AY136" s="430"/>
      <c r="AZ136" s="430"/>
      <c r="BA136" s="430"/>
      <c r="BB136" s="430"/>
      <c r="BC136" s="430"/>
      <c r="BD136" s="430"/>
      <c r="BE136" s="430"/>
      <c r="BF136" s="430"/>
      <c r="BG136" s="430"/>
      <c r="BH136" s="430"/>
      <c r="BI136" s="430"/>
      <c r="BJ136" s="430"/>
      <c r="BK136" s="430"/>
    </row>
    <row r="137" spans="1:63">
      <c r="A137" s="430"/>
      <c r="B137" s="451"/>
      <c r="C137" s="430"/>
      <c r="D137" s="451"/>
      <c r="E137" s="430"/>
      <c r="F137" s="430"/>
      <c r="G137" s="430"/>
      <c r="H137" s="430"/>
      <c r="I137" s="430"/>
      <c r="J137" s="430"/>
      <c r="K137" s="430"/>
      <c r="L137" s="430"/>
      <c r="M137" s="430"/>
      <c r="N137" s="430"/>
      <c r="O137" s="430"/>
      <c r="P137" s="430"/>
      <c r="Q137" s="430"/>
      <c r="R137" s="430"/>
      <c r="S137" s="430"/>
      <c r="T137" s="430"/>
      <c r="U137" s="430"/>
      <c r="V137" s="430"/>
      <c r="W137" s="430"/>
      <c r="X137" s="430"/>
      <c r="Y137" s="430"/>
      <c r="Z137" s="430"/>
      <c r="AA137" s="430"/>
      <c r="AB137" s="430"/>
      <c r="AC137" s="430"/>
      <c r="AD137" s="430"/>
      <c r="AE137" s="430"/>
      <c r="AF137" s="430"/>
      <c r="AG137" s="430"/>
      <c r="AH137" s="430"/>
      <c r="AI137" s="430"/>
      <c r="AJ137" s="430"/>
      <c r="AK137" s="430"/>
      <c r="AL137" s="430"/>
      <c r="AM137" s="430"/>
      <c r="AN137" s="430"/>
      <c r="AO137" s="430"/>
      <c r="AP137" s="430"/>
      <c r="AQ137" s="430"/>
      <c r="AR137" s="430"/>
      <c r="AS137" s="430"/>
      <c r="AT137" s="430"/>
      <c r="AU137" s="430"/>
      <c r="AV137" s="430"/>
      <c r="AW137" s="430"/>
      <c r="AX137" s="430"/>
      <c r="AY137" s="430"/>
      <c r="AZ137" s="430"/>
      <c r="BA137" s="430"/>
      <c r="BB137" s="430"/>
      <c r="BC137" s="430"/>
      <c r="BD137" s="430"/>
      <c r="BE137" s="430"/>
      <c r="BF137" s="430"/>
      <c r="BG137" s="430"/>
      <c r="BH137" s="430"/>
      <c r="BI137" s="430"/>
      <c r="BJ137" s="430"/>
      <c r="BK137" s="430"/>
    </row>
    <row r="138" spans="1:63">
      <c r="A138" s="430"/>
      <c r="B138" s="451"/>
      <c r="C138" s="430"/>
      <c r="D138" s="451"/>
      <c r="E138" s="430"/>
      <c r="F138" s="430"/>
      <c r="G138" s="430"/>
      <c r="H138" s="430"/>
      <c r="I138" s="430"/>
      <c r="J138" s="430"/>
      <c r="K138" s="430"/>
      <c r="L138" s="430"/>
      <c r="M138" s="430"/>
      <c r="N138" s="430"/>
      <c r="O138" s="430"/>
      <c r="P138" s="430"/>
      <c r="Q138" s="430"/>
      <c r="R138" s="430"/>
      <c r="S138" s="430"/>
      <c r="T138" s="430"/>
      <c r="U138" s="430"/>
      <c r="V138" s="430"/>
      <c r="W138" s="430"/>
      <c r="X138" s="430"/>
      <c r="Y138" s="430"/>
      <c r="Z138" s="430"/>
      <c r="AA138" s="430"/>
      <c r="AB138" s="430"/>
      <c r="AC138" s="430"/>
      <c r="AD138" s="430"/>
      <c r="AE138" s="430"/>
      <c r="AF138" s="430"/>
      <c r="AG138" s="430"/>
      <c r="AH138" s="430"/>
      <c r="AI138" s="430"/>
      <c r="AJ138" s="430"/>
      <c r="AK138" s="430"/>
      <c r="AL138" s="430"/>
      <c r="AM138" s="430"/>
      <c r="AN138" s="430"/>
      <c r="AO138" s="430"/>
      <c r="AP138" s="430"/>
      <c r="AQ138" s="430"/>
      <c r="AR138" s="430"/>
      <c r="AS138" s="430"/>
      <c r="AT138" s="430"/>
      <c r="AU138" s="430"/>
      <c r="AV138" s="430"/>
      <c r="AW138" s="430"/>
      <c r="AX138" s="430"/>
      <c r="AY138" s="430"/>
      <c r="AZ138" s="430"/>
      <c r="BA138" s="430"/>
      <c r="BB138" s="430"/>
      <c r="BC138" s="430"/>
      <c r="BD138" s="430"/>
      <c r="BE138" s="430"/>
      <c r="BF138" s="430"/>
      <c r="BG138" s="430"/>
      <c r="BH138" s="430"/>
      <c r="BI138" s="430"/>
      <c r="BJ138" s="430"/>
      <c r="BK138" s="430"/>
    </row>
    <row r="139" spans="1:63">
      <c r="A139" s="430"/>
      <c r="B139" s="451"/>
      <c r="C139" s="430"/>
      <c r="D139" s="451"/>
      <c r="E139" s="430"/>
      <c r="F139" s="430"/>
      <c r="G139" s="430"/>
      <c r="H139" s="430"/>
      <c r="I139" s="430"/>
      <c r="J139" s="430"/>
      <c r="K139" s="430"/>
      <c r="L139" s="430"/>
      <c r="M139" s="430"/>
      <c r="N139" s="430"/>
      <c r="O139" s="430"/>
      <c r="P139" s="430"/>
      <c r="Q139" s="430"/>
      <c r="R139" s="430"/>
      <c r="S139" s="430"/>
      <c r="T139" s="430"/>
      <c r="U139" s="430"/>
      <c r="V139" s="430"/>
      <c r="W139" s="430"/>
      <c r="X139" s="430"/>
      <c r="Y139" s="430"/>
      <c r="Z139" s="430"/>
      <c r="AA139" s="430"/>
      <c r="AB139" s="430"/>
      <c r="AC139" s="430"/>
      <c r="AD139" s="430"/>
      <c r="AE139" s="430"/>
      <c r="AF139" s="430"/>
      <c r="AG139" s="430"/>
      <c r="AH139" s="430"/>
      <c r="AI139" s="430"/>
      <c r="AJ139" s="430"/>
      <c r="AK139" s="430"/>
      <c r="AL139" s="430"/>
      <c r="AM139" s="430"/>
      <c r="AN139" s="430"/>
      <c r="AO139" s="430"/>
      <c r="AP139" s="430"/>
      <c r="AQ139" s="430"/>
      <c r="AR139" s="430"/>
      <c r="AS139" s="430"/>
      <c r="AT139" s="430"/>
      <c r="AU139" s="430"/>
      <c r="AV139" s="430"/>
      <c r="AW139" s="430"/>
      <c r="AX139" s="430"/>
      <c r="AY139" s="430"/>
      <c r="AZ139" s="430"/>
      <c r="BA139" s="430"/>
      <c r="BB139" s="430"/>
      <c r="BC139" s="430"/>
      <c r="BD139" s="430"/>
      <c r="BE139" s="430"/>
      <c r="BF139" s="430"/>
      <c r="BG139" s="430"/>
      <c r="BH139" s="430"/>
      <c r="BI139" s="430"/>
      <c r="BJ139" s="430"/>
      <c r="BK139" s="430"/>
    </row>
    <row r="140" spans="1:63">
      <c r="A140" s="430"/>
      <c r="B140" s="451"/>
      <c r="C140" s="430"/>
      <c r="D140" s="451"/>
      <c r="E140" s="430"/>
      <c r="F140" s="430"/>
      <c r="G140" s="430"/>
      <c r="H140" s="430"/>
      <c r="I140" s="430"/>
      <c r="J140" s="430"/>
      <c r="K140" s="430"/>
      <c r="L140" s="430"/>
      <c r="M140" s="430"/>
      <c r="N140" s="430"/>
      <c r="O140" s="430"/>
      <c r="P140" s="430"/>
      <c r="Q140" s="430"/>
      <c r="R140" s="430"/>
      <c r="S140" s="430"/>
      <c r="T140" s="430"/>
      <c r="U140" s="430"/>
      <c r="V140" s="430"/>
      <c r="W140" s="430"/>
      <c r="X140" s="430"/>
      <c r="Y140" s="430"/>
      <c r="Z140" s="430"/>
      <c r="AA140" s="430"/>
      <c r="AB140" s="430"/>
      <c r="AC140" s="430"/>
      <c r="AD140" s="430"/>
      <c r="AE140" s="430"/>
      <c r="AF140" s="430"/>
      <c r="AG140" s="430"/>
      <c r="AH140" s="430"/>
      <c r="AI140" s="430"/>
      <c r="AJ140" s="430"/>
      <c r="AK140" s="430"/>
      <c r="AL140" s="430"/>
      <c r="AM140" s="430"/>
      <c r="AN140" s="430"/>
      <c r="AO140" s="430"/>
      <c r="AP140" s="430"/>
      <c r="AQ140" s="430"/>
      <c r="AR140" s="430"/>
      <c r="AS140" s="430"/>
      <c r="AT140" s="430"/>
      <c r="AU140" s="430"/>
      <c r="AV140" s="430"/>
      <c r="AW140" s="430"/>
      <c r="AX140" s="430"/>
      <c r="AY140" s="430"/>
      <c r="AZ140" s="430"/>
      <c r="BA140" s="430"/>
      <c r="BB140" s="430"/>
      <c r="BC140" s="430"/>
      <c r="BD140" s="430"/>
      <c r="BE140" s="430"/>
      <c r="BF140" s="430"/>
      <c r="BG140" s="430"/>
      <c r="BH140" s="430"/>
      <c r="BI140" s="430"/>
      <c r="BJ140" s="430"/>
      <c r="BK140" s="430"/>
    </row>
    <row r="141" spans="1:63">
      <c r="A141" s="430"/>
      <c r="B141" s="451"/>
      <c r="C141" s="430"/>
      <c r="D141" s="451"/>
      <c r="E141" s="430"/>
      <c r="F141" s="430"/>
      <c r="G141" s="430"/>
      <c r="H141" s="430"/>
      <c r="I141" s="430"/>
      <c r="J141" s="430"/>
      <c r="K141" s="430"/>
      <c r="L141" s="430"/>
      <c r="M141" s="430"/>
      <c r="N141" s="430"/>
      <c r="O141" s="430"/>
      <c r="P141" s="430"/>
      <c r="Q141" s="430"/>
      <c r="R141" s="430"/>
      <c r="S141" s="430"/>
      <c r="T141" s="430"/>
      <c r="U141" s="430"/>
      <c r="V141" s="430"/>
      <c r="W141" s="430"/>
      <c r="X141" s="430"/>
      <c r="Y141" s="430"/>
      <c r="Z141" s="430"/>
      <c r="AA141" s="430"/>
      <c r="AB141" s="430"/>
      <c r="AC141" s="430"/>
      <c r="AD141" s="430"/>
      <c r="AE141" s="430"/>
      <c r="AF141" s="430"/>
      <c r="AG141" s="430"/>
      <c r="AH141" s="430"/>
      <c r="AI141" s="430"/>
      <c r="AJ141" s="430"/>
      <c r="AK141" s="430"/>
      <c r="AL141" s="430"/>
      <c r="AM141" s="430"/>
      <c r="AN141" s="430"/>
      <c r="AO141" s="430"/>
      <c r="AP141" s="430"/>
      <c r="AQ141" s="430"/>
      <c r="AR141" s="430"/>
      <c r="AS141" s="430"/>
      <c r="AT141" s="430"/>
      <c r="AU141" s="430"/>
      <c r="AV141" s="430"/>
      <c r="AW141" s="430"/>
      <c r="AX141" s="430"/>
      <c r="AY141" s="430"/>
      <c r="AZ141" s="430"/>
      <c r="BA141" s="430"/>
      <c r="BB141" s="430"/>
      <c r="BC141" s="430"/>
      <c r="BD141" s="430"/>
      <c r="BE141" s="430"/>
      <c r="BF141" s="430"/>
      <c r="BG141" s="430"/>
      <c r="BH141" s="430"/>
      <c r="BI141" s="430"/>
      <c r="BJ141" s="430"/>
      <c r="BK141" s="430"/>
    </row>
    <row r="142" spans="1:63">
      <c r="A142" s="430"/>
      <c r="B142" s="451"/>
      <c r="C142" s="430"/>
      <c r="D142" s="451"/>
      <c r="E142" s="430"/>
      <c r="F142" s="430"/>
      <c r="G142" s="430"/>
      <c r="H142" s="430"/>
      <c r="I142" s="430"/>
      <c r="J142" s="430"/>
      <c r="K142" s="430"/>
      <c r="L142" s="430"/>
      <c r="M142" s="430"/>
      <c r="N142" s="430"/>
      <c r="O142" s="430"/>
      <c r="P142" s="430"/>
      <c r="Q142" s="430"/>
      <c r="R142" s="430"/>
      <c r="S142" s="430"/>
      <c r="T142" s="430"/>
      <c r="U142" s="430"/>
      <c r="V142" s="430"/>
      <c r="W142" s="430"/>
      <c r="X142" s="430"/>
      <c r="Y142" s="430"/>
      <c r="Z142" s="430"/>
      <c r="AA142" s="430"/>
      <c r="AB142" s="430"/>
      <c r="AC142" s="430"/>
      <c r="AD142" s="430"/>
      <c r="AE142" s="430"/>
      <c r="AF142" s="430"/>
      <c r="AG142" s="430"/>
      <c r="AH142" s="430"/>
      <c r="AI142" s="430"/>
      <c r="AJ142" s="430"/>
      <c r="AK142" s="430"/>
      <c r="AL142" s="430"/>
      <c r="AM142" s="430"/>
      <c r="AN142" s="430"/>
      <c r="AO142" s="430"/>
      <c r="AP142" s="430"/>
      <c r="AQ142" s="430"/>
      <c r="AR142" s="430"/>
      <c r="AS142" s="430"/>
      <c r="AT142" s="430"/>
      <c r="AU142" s="430"/>
      <c r="AV142" s="430"/>
      <c r="AW142" s="430"/>
      <c r="AX142" s="430"/>
      <c r="AY142" s="430"/>
      <c r="AZ142" s="430"/>
      <c r="BA142" s="430"/>
      <c r="BB142" s="430"/>
      <c r="BC142" s="430"/>
      <c r="BD142" s="430"/>
      <c r="BE142" s="430"/>
      <c r="BF142" s="430"/>
      <c r="BG142" s="430"/>
      <c r="BH142" s="430"/>
      <c r="BI142" s="430"/>
      <c r="BJ142" s="430"/>
      <c r="BK142" s="430"/>
    </row>
    <row r="143" spans="1:63">
      <c r="A143" s="430"/>
      <c r="B143" s="451"/>
      <c r="C143" s="430"/>
      <c r="D143" s="451"/>
      <c r="E143" s="430"/>
      <c r="F143" s="430"/>
      <c r="G143" s="430"/>
      <c r="H143" s="430"/>
      <c r="I143" s="430"/>
      <c r="J143" s="430"/>
      <c r="K143" s="430"/>
      <c r="L143" s="430"/>
      <c r="M143" s="430"/>
      <c r="N143" s="430"/>
      <c r="O143" s="430"/>
      <c r="P143" s="430"/>
      <c r="Q143" s="430"/>
      <c r="R143" s="430"/>
      <c r="S143" s="430"/>
      <c r="T143" s="430"/>
      <c r="U143" s="430"/>
      <c r="V143" s="430"/>
      <c r="W143" s="430"/>
      <c r="X143" s="430"/>
      <c r="Y143" s="430"/>
      <c r="Z143" s="430"/>
      <c r="AA143" s="430"/>
      <c r="AB143" s="430"/>
      <c r="AC143" s="430"/>
      <c r="AD143" s="430"/>
      <c r="AE143" s="430"/>
      <c r="AF143" s="430"/>
      <c r="AG143" s="430"/>
      <c r="AH143" s="430"/>
      <c r="AI143" s="430"/>
      <c r="AJ143" s="430"/>
      <c r="AK143" s="430"/>
      <c r="AL143" s="430"/>
      <c r="AM143" s="430"/>
      <c r="AN143" s="430"/>
      <c r="AO143" s="430"/>
      <c r="AP143" s="430"/>
      <c r="AQ143" s="430"/>
      <c r="AR143" s="430"/>
      <c r="AS143" s="430"/>
      <c r="AT143" s="430"/>
      <c r="AU143" s="430"/>
      <c r="AV143" s="430"/>
      <c r="AW143" s="430"/>
      <c r="AX143" s="430"/>
      <c r="AY143" s="430"/>
      <c r="AZ143" s="430"/>
      <c r="BA143" s="430"/>
      <c r="BB143" s="430"/>
      <c r="BC143" s="430"/>
      <c r="BD143" s="430"/>
      <c r="BE143" s="430"/>
      <c r="BF143" s="430"/>
      <c r="BG143" s="430"/>
      <c r="BH143" s="430"/>
      <c r="BI143" s="430"/>
      <c r="BJ143" s="430"/>
      <c r="BK143" s="430"/>
    </row>
    <row r="144" spans="1:63">
      <c r="A144" s="430"/>
      <c r="B144" s="451"/>
      <c r="C144" s="430"/>
      <c r="D144" s="451"/>
      <c r="E144" s="430"/>
      <c r="F144" s="430"/>
      <c r="G144" s="430"/>
      <c r="H144" s="430"/>
      <c r="I144" s="430"/>
      <c r="J144" s="430"/>
      <c r="K144" s="430"/>
      <c r="L144" s="430"/>
      <c r="M144" s="430"/>
      <c r="N144" s="430"/>
      <c r="O144" s="430"/>
      <c r="P144" s="430"/>
      <c r="Q144" s="430"/>
      <c r="R144" s="430"/>
      <c r="S144" s="430"/>
      <c r="T144" s="430"/>
      <c r="U144" s="430"/>
      <c r="V144" s="430"/>
      <c r="W144" s="430"/>
      <c r="X144" s="430"/>
      <c r="Y144" s="430"/>
      <c r="Z144" s="430"/>
      <c r="AA144" s="430"/>
      <c r="AB144" s="430"/>
      <c r="AC144" s="430"/>
      <c r="AD144" s="430"/>
      <c r="AE144" s="430"/>
      <c r="AF144" s="430"/>
      <c r="AG144" s="430"/>
      <c r="AH144" s="430"/>
      <c r="AI144" s="430"/>
      <c r="AJ144" s="430"/>
      <c r="AK144" s="430"/>
      <c r="AL144" s="430"/>
      <c r="AM144" s="430"/>
      <c r="AN144" s="430"/>
      <c r="AO144" s="430"/>
      <c r="AP144" s="430"/>
      <c r="AQ144" s="430"/>
      <c r="AR144" s="430"/>
      <c r="AS144" s="430"/>
      <c r="AT144" s="430"/>
      <c r="AU144" s="430"/>
      <c r="AV144" s="430"/>
      <c r="AW144" s="430"/>
      <c r="AX144" s="430"/>
      <c r="AY144" s="430"/>
      <c r="AZ144" s="430"/>
      <c r="BA144" s="430"/>
      <c r="BB144" s="430"/>
      <c r="BC144" s="430"/>
      <c r="BD144" s="430"/>
      <c r="BE144" s="430"/>
      <c r="BF144" s="430"/>
      <c r="BG144" s="430"/>
      <c r="BH144" s="430"/>
      <c r="BI144" s="430"/>
      <c r="BJ144" s="430"/>
      <c r="BK144" s="430"/>
    </row>
    <row r="145" spans="1:63">
      <c r="A145" s="430"/>
      <c r="B145" s="451"/>
      <c r="C145" s="430"/>
      <c r="D145" s="451"/>
      <c r="E145" s="430"/>
      <c r="F145" s="430"/>
      <c r="G145" s="430"/>
      <c r="H145" s="430"/>
      <c r="I145" s="430"/>
      <c r="J145" s="430"/>
      <c r="K145" s="430"/>
      <c r="L145" s="430"/>
      <c r="M145" s="430"/>
      <c r="N145" s="430"/>
      <c r="O145" s="430"/>
      <c r="P145" s="430"/>
      <c r="Q145" s="430"/>
      <c r="R145" s="430"/>
      <c r="S145" s="430"/>
      <c r="T145" s="430"/>
      <c r="U145" s="430"/>
      <c r="V145" s="430"/>
      <c r="W145" s="430"/>
      <c r="X145" s="430"/>
      <c r="Y145" s="430"/>
      <c r="Z145" s="430"/>
      <c r="AA145" s="430"/>
      <c r="AB145" s="430"/>
      <c r="AC145" s="430"/>
      <c r="AD145" s="430"/>
      <c r="AE145" s="430"/>
      <c r="AF145" s="430"/>
      <c r="AG145" s="430"/>
      <c r="AH145" s="430"/>
      <c r="AI145" s="430"/>
      <c r="AJ145" s="430"/>
      <c r="AK145" s="430"/>
      <c r="AL145" s="430"/>
      <c r="AM145" s="430"/>
      <c r="AN145" s="430"/>
      <c r="AO145" s="430"/>
      <c r="AP145" s="430"/>
      <c r="AQ145" s="430"/>
      <c r="AR145" s="430"/>
      <c r="AS145" s="430"/>
      <c r="AT145" s="430"/>
      <c r="AU145" s="430"/>
      <c r="AV145" s="430"/>
      <c r="AW145" s="430"/>
      <c r="AX145" s="430"/>
      <c r="AY145" s="430"/>
      <c r="AZ145" s="430"/>
      <c r="BA145" s="430"/>
      <c r="BB145" s="430"/>
      <c r="BC145" s="430"/>
      <c r="BD145" s="430"/>
      <c r="BE145" s="430"/>
      <c r="BF145" s="430"/>
      <c r="BG145" s="430"/>
      <c r="BH145" s="430"/>
      <c r="BI145" s="430"/>
      <c r="BJ145" s="430"/>
      <c r="BK145" s="430"/>
    </row>
    <row r="146" spans="1:63">
      <c r="A146" s="430"/>
      <c r="B146" s="451"/>
      <c r="C146" s="430"/>
      <c r="D146" s="451"/>
      <c r="E146" s="430"/>
      <c r="F146" s="430"/>
      <c r="G146" s="430"/>
      <c r="H146" s="430"/>
      <c r="I146" s="430"/>
      <c r="J146" s="430"/>
      <c r="K146" s="430"/>
      <c r="L146" s="430"/>
      <c r="M146" s="430"/>
      <c r="N146" s="430"/>
      <c r="O146" s="430"/>
      <c r="P146" s="430"/>
      <c r="Q146" s="430"/>
      <c r="R146" s="430"/>
      <c r="S146" s="430"/>
      <c r="T146" s="430"/>
      <c r="U146" s="430"/>
      <c r="V146" s="430"/>
      <c r="W146" s="430"/>
      <c r="X146" s="430"/>
      <c r="Y146" s="430"/>
      <c r="Z146" s="430"/>
      <c r="AA146" s="430"/>
      <c r="AB146" s="430"/>
      <c r="AC146" s="430"/>
      <c r="AD146" s="430"/>
      <c r="AE146" s="430"/>
      <c r="AF146" s="430"/>
      <c r="AG146" s="430"/>
      <c r="AH146" s="430"/>
      <c r="AI146" s="430"/>
      <c r="AJ146" s="430"/>
      <c r="AK146" s="430"/>
      <c r="AL146" s="430"/>
      <c r="AM146" s="430"/>
      <c r="AN146" s="430"/>
      <c r="AO146" s="430"/>
      <c r="AP146" s="430"/>
      <c r="AQ146" s="430"/>
      <c r="AR146" s="430"/>
      <c r="AS146" s="430"/>
      <c r="AT146" s="430"/>
      <c r="AU146" s="430"/>
      <c r="AV146" s="430"/>
      <c r="AW146" s="430"/>
      <c r="AX146" s="430"/>
      <c r="AY146" s="430"/>
      <c r="AZ146" s="430"/>
      <c r="BA146" s="430"/>
      <c r="BB146" s="430"/>
      <c r="BC146" s="430"/>
      <c r="BD146" s="430"/>
      <c r="BE146" s="430"/>
      <c r="BF146" s="430"/>
      <c r="BG146" s="430"/>
      <c r="BH146" s="430"/>
      <c r="BI146" s="430"/>
      <c r="BJ146" s="430"/>
      <c r="BK146" s="430"/>
    </row>
    <row r="147" spans="1:63">
      <c r="A147" s="430"/>
      <c r="B147" s="451"/>
      <c r="C147" s="430"/>
      <c r="D147" s="451"/>
      <c r="E147" s="430"/>
      <c r="F147" s="430"/>
      <c r="G147" s="430"/>
      <c r="H147" s="430"/>
      <c r="I147" s="430"/>
      <c r="J147" s="430"/>
      <c r="K147" s="430"/>
      <c r="L147" s="430"/>
      <c r="M147" s="430"/>
      <c r="N147" s="430"/>
      <c r="O147" s="430"/>
      <c r="P147" s="430"/>
      <c r="Q147" s="430"/>
      <c r="R147" s="430"/>
      <c r="S147" s="430"/>
      <c r="T147" s="430"/>
      <c r="U147" s="430"/>
      <c r="V147" s="430"/>
      <c r="W147" s="430"/>
      <c r="X147" s="430"/>
      <c r="Y147" s="430"/>
      <c r="Z147" s="430"/>
      <c r="AA147" s="430"/>
      <c r="AB147" s="430"/>
      <c r="AC147" s="430"/>
      <c r="AD147" s="430"/>
      <c r="AE147" s="430"/>
      <c r="AF147" s="430"/>
      <c r="AG147" s="430"/>
      <c r="AH147" s="430"/>
      <c r="AI147" s="430"/>
      <c r="AJ147" s="430"/>
      <c r="AK147" s="430"/>
      <c r="AL147" s="430"/>
      <c r="AM147" s="430"/>
      <c r="AN147" s="430"/>
      <c r="AO147" s="430"/>
      <c r="AP147" s="430"/>
      <c r="AQ147" s="430"/>
      <c r="AR147" s="430"/>
      <c r="AS147" s="430"/>
      <c r="AT147" s="430"/>
      <c r="AU147" s="430"/>
      <c r="AV147" s="430"/>
      <c r="AW147" s="430"/>
      <c r="AX147" s="430"/>
      <c r="AY147" s="430"/>
      <c r="AZ147" s="430"/>
      <c r="BA147" s="430"/>
      <c r="BB147" s="430"/>
      <c r="BC147" s="430"/>
      <c r="BD147" s="430"/>
      <c r="BE147" s="430"/>
      <c r="BF147" s="430"/>
      <c r="BG147" s="430"/>
      <c r="BH147" s="430"/>
      <c r="BI147" s="430"/>
      <c r="BJ147" s="430"/>
      <c r="BK147" s="430"/>
    </row>
    <row r="148" spans="1:63">
      <c r="A148" s="430"/>
      <c r="B148" s="451"/>
      <c r="C148" s="430"/>
      <c r="D148" s="451"/>
      <c r="E148" s="430"/>
      <c r="F148" s="430"/>
      <c r="G148" s="430"/>
      <c r="H148" s="430"/>
      <c r="I148" s="430"/>
      <c r="J148" s="430"/>
      <c r="K148" s="430"/>
      <c r="L148" s="430"/>
      <c r="M148" s="430"/>
      <c r="N148" s="430"/>
      <c r="O148" s="430"/>
      <c r="P148" s="430"/>
      <c r="Q148" s="430"/>
      <c r="R148" s="430"/>
      <c r="S148" s="430"/>
      <c r="T148" s="430"/>
      <c r="U148" s="430"/>
      <c r="V148" s="430"/>
      <c r="W148" s="430"/>
      <c r="X148" s="430"/>
      <c r="Y148" s="430"/>
      <c r="Z148" s="430"/>
      <c r="AA148" s="430"/>
      <c r="AB148" s="430"/>
      <c r="AC148" s="430"/>
      <c r="AD148" s="430"/>
      <c r="AE148" s="430"/>
      <c r="AF148" s="430"/>
      <c r="AG148" s="430"/>
      <c r="AH148" s="430"/>
      <c r="AI148" s="430"/>
      <c r="AJ148" s="430"/>
      <c r="AK148" s="430"/>
      <c r="AL148" s="430"/>
      <c r="AM148" s="430"/>
      <c r="AN148" s="430"/>
      <c r="AO148" s="430"/>
      <c r="AP148" s="430"/>
      <c r="AQ148" s="430"/>
      <c r="AR148" s="430"/>
      <c r="AS148" s="430"/>
      <c r="AT148" s="430"/>
      <c r="AU148" s="430"/>
      <c r="AV148" s="430"/>
      <c r="AW148" s="430"/>
      <c r="AX148" s="430"/>
      <c r="AY148" s="430"/>
      <c r="AZ148" s="430"/>
      <c r="BA148" s="430"/>
      <c r="BB148" s="430"/>
      <c r="BC148" s="430"/>
      <c r="BD148" s="430"/>
      <c r="BE148" s="430"/>
      <c r="BF148" s="430"/>
      <c r="BG148" s="430"/>
      <c r="BH148" s="430"/>
      <c r="BI148" s="430"/>
      <c r="BJ148" s="430"/>
      <c r="BK148" s="430"/>
    </row>
    <row r="149" spans="1:63">
      <c r="A149" s="430"/>
      <c r="B149" s="451"/>
      <c r="C149" s="430"/>
      <c r="D149" s="451"/>
      <c r="E149" s="430"/>
      <c r="L149" s="430"/>
      <c r="M149" s="430"/>
      <c r="N149" s="430"/>
      <c r="O149" s="430"/>
      <c r="P149" s="430"/>
      <c r="Q149" s="430"/>
      <c r="R149" s="430"/>
      <c r="S149" s="430"/>
      <c r="T149" s="430"/>
      <c r="U149" s="430"/>
      <c r="V149" s="430"/>
      <c r="W149" s="430"/>
      <c r="X149" s="430"/>
      <c r="Y149" s="430"/>
      <c r="Z149" s="430"/>
      <c r="AA149" s="430"/>
      <c r="AB149" s="430"/>
      <c r="AC149" s="430"/>
      <c r="AD149" s="430"/>
      <c r="AE149" s="430"/>
      <c r="AF149" s="430"/>
      <c r="AG149" s="430"/>
      <c r="AH149" s="430"/>
      <c r="AI149" s="430"/>
      <c r="AJ149" s="430"/>
      <c r="AK149" s="430"/>
      <c r="AL149" s="430"/>
      <c r="AM149" s="430"/>
      <c r="AN149" s="430"/>
      <c r="AO149" s="430"/>
      <c r="AP149" s="430"/>
      <c r="AQ149" s="430"/>
      <c r="AR149" s="430"/>
      <c r="AS149" s="430"/>
      <c r="AT149" s="430"/>
      <c r="AU149" s="430"/>
      <c r="AV149" s="430"/>
      <c r="AW149" s="430"/>
      <c r="AX149" s="430"/>
      <c r="AY149" s="430"/>
      <c r="AZ149" s="430"/>
      <c r="BA149" s="430"/>
      <c r="BB149" s="430"/>
      <c r="BC149" s="430"/>
      <c r="BD149" s="430"/>
      <c r="BE149" s="430"/>
      <c r="BF149" s="430"/>
      <c r="BG149" s="430"/>
      <c r="BH149" s="430"/>
      <c r="BI149" s="430"/>
      <c r="BJ149" s="430"/>
      <c r="BK149" s="430"/>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E49"/>
  <sheetViews>
    <sheetView workbookViewId="0">
      <pane xSplit="4" ySplit="2" topLeftCell="E4" activePane="bottomRight" state="frozen"/>
      <selection pane="topRight"/>
      <selection pane="bottomLeft"/>
      <selection pane="bottomRight" activeCell="A2" sqref="A2:XFD2"/>
    </sheetView>
  </sheetViews>
  <sheetFormatPr defaultRowHeight="14.5"/>
  <cols>
    <col min="1" max="1" width="35.7265625" bestFit="1" customWidth="1"/>
    <col min="2" max="2" width="4.08984375" bestFit="1" customWidth="1"/>
    <col min="3" max="3" width="12.90625" bestFit="1" customWidth="1"/>
    <col min="4" max="4" width="15.36328125" bestFit="1" customWidth="1"/>
  </cols>
  <sheetData>
    <row r="1" spans="1:57" s="426" customFormat="1">
      <c r="A1" s="430"/>
      <c r="B1" s="431"/>
      <c r="C1" s="432"/>
      <c r="D1" s="431"/>
      <c r="E1" s="430"/>
      <c r="F1" s="430"/>
      <c r="G1" s="430"/>
      <c r="H1" s="430"/>
      <c r="I1" s="430"/>
      <c r="J1" s="430"/>
      <c r="K1" s="430"/>
      <c r="L1" s="430"/>
      <c r="M1" s="430"/>
      <c r="N1" s="430"/>
      <c r="O1" s="430"/>
      <c r="P1" s="430"/>
      <c r="Q1" s="430"/>
      <c r="R1" s="430"/>
      <c r="S1" s="430"/>
      <c r="T1" s="430"/>
      <c r="U1" s="430"/>
      <c r="V1" s="430"/>
      <c r="W1" s="430"/>
      <c r="X1" s="430"/>
      <c r="Y1" s="430"/>
      <c r="Z1" s="430"/>
      <c r="AA1" s="430"/>
      <c r="AB1" s="430"/>
      <c r="AC1" s="430"/>
      <c r="AD1" s="430"/>
      <c r="AE1" s="430"/>
      <c r="AF1" s="430"/>
      <c r="AG1" s="430"/>
      <c r="AH1" s="430"/>
      <c r="AI1" s="430"/>
      <c r="AJ1" s="430"/>
      <c r="AK1" s="430"/>
      <c r="AL1" s="430"/>
      <c r="AM1" s="430"/>
      <c r="AN1" s="430"/>
      <c r="AO1" s="430"/>
      <c r="AP1" s="430"/>
      <c r="AQ1" s="430"/>
      <c r="AR1" s="430"/>
      <c r="AS1" s="430"/>
      <c r="AT1" s="430"/>
      <c r="AU1" s="430"/>
      <c r="AV1" s="430"/>
      <c r="AW1" s="430"/>
      <c r="AX1" s="430"/>
      <c r="AY1" s="430"/>
      <c r="AZ1" s="430"/>
      <c r="BA1" s="430"/>
      <c r="BB1" s="430"/>
      <c r="BC1" s="430"/>
      <c r="BD1" s="430"/>
      <c r="BE1" s="430"/>
    </row>
    <row r="2" spans="1:57">
      <c r="A2" s="447"/>
      <c r="B2" s="445"/>
      <c r="C2" s="445"/>
      <c r="D2" s="445"/>
      <c r="E2" s="458"/>
      <c r="F2" s="458"/>
      <c r="G2" s="458"/>
      <c r="H2" s="458"/>
      <c r="I2" s="458"/>
      <c r="J2" s="458"/>
      <c r="K2" s="458"/>
      <c r="L2" s="458"/>
      <c r="M2" s="458"/>
      <c r="N2" s="458"/>
      <c r="O2" s="458"/>
      <c r="P2" s="458"/>
      <c r="Q2" s="457"/>
      <c r="R2" s="430"/>
      <c r="S2" s="430"/>
      <c r="T2" s="430"/>
      <c r="U2" s="430"/>
      <c r="V2" s="430"/>
      <c r="W2" s="430"/>
      <c r="X2" s="430"/>
      <c r="Y2" s="430"/>
      <c r="Z2" s="430"/>
      <c r="AA2" s="430"/>
      <c r="AB2" s="430"/>
      <c r="AC2" s="430"/>
      <c r="AD2" s="430"/>
      <c r="AE2" s="430"/>
      <c r="AF2" s="430"/>
      <c r="AG2" s="430"/>
      <c r="AH2" s="430"/>
      <c r="AI2" s="430"/>
      <c r="AJ2" s="430"/>
      <c r="AK2" s="430"/>
      <c r="AL2" s="430"/>
      <c r="AM2" s="430"/>
      <c r="AN2" s="430"/>
      <c r="AO2" s="430"/>
      <c r="AP2" s="430"/>
      <c r="AQ2" s="430"/>
      <c r="AR2" s="430"/>
      <c r="AS2" s="430"/>
      <c r="AT2" s="430"/>
      <c r="AU2" s="430"/>
      <c r="AV2" s="430"/>
      <c r="AW2" s="430"/>
      <c r="AX2" s="430"/>
      <c r="AY2" s="430"/>
      <c r="AZ2" s="430"/>
      <c r="BA2" s="430"/>
      <c r="BB2" s="430"/>
      <c r="BC2" s="430"/>
      <c r="BD2" s="430"/>
      <c r="BE2" s="430"/>
    </row>
    <row r="3" spans="1:57" ht="18.5" customHeight="1">
      <c r="A3" s="437"/>
      <c r="B3" s="604" t="s">
        <v>6</v>
      </c>
      <c r="C3" s="605" t="s">
        <v>7</v>
      </c>
      <c r="D3" s="604" t="s">
        <v>8</v>
      </c>
      <c r="E3" s="437"/>
      <c r="F3" s="437"/>
      <c r="G3" s="437"/>
      <c r="H3" s="437"/>
      <c r="I3" s="437"/>
      <c r="J3" s="437"/>
      <c r="K3" s="437"/>
      <c r="L3" s="437"/>
      <c r="M3" s="437"/>
      <c r="N3" s="437"/>
      <c r="O3" s="437"/>
      <c r="P3" s="437"/>
      <c r="Q3" s="437"/>
      <c r="R3" s="437"/>
      <c r="S3" s="437"/>
      <c r="T3" s="437"/>
      <c r="U3" s="437"/>
      <c r="V3" s="437"/>
      <c r="W3" s="437"/>
      <c r="X3" s="437"/>
      <c r="Y3" s="437"/>
      <c r="Z3" s="437"/>
      <c r="AA3" s="437"/>
      <c r="AB3" s="437"/>
      <c r="AC3" s="437"/>
      <c r="AD3" s="437"/>
      <c r="AE3" s="437"/>
      <c r="AF3" s="437"/>
      <c r="AG3" s="437"/>
      <c r="AH3" s="437"/>
      <c r="AI3" s="437"/>
      <c r="AJ3" s="437"/>
      <c r="AK3" s="437"/>
      <c r="AL3" s="437"/>
      <c r="AM3" s="437"/>
      <c r="AN3" s="437"/>
      <c r="AO3" s="437"/>
      <c r="AP3" s="437"/>
      <c r="AQ3" s="437"/>
      <c r="AR3" s="437"/>
      <c r="AS3" s="437"/>
      <c r="AT3" s="437"/>
      <c r="AU3" s="437"/>
      <c r="AV3" s="437"/>
      <c r="AW3" s="437"/>
      <c r="AX3" s="437"/>
      <c r="AY3" s="437"/>
      <c r="AZ3" s="437"/>
      <c r="BA3" s="437"/>
      <c r="BB3" s="437"/>
      <c r="BC3" s="437"/>
      <c r="BD3" s="437"/>
      <c r="BE3" s="437"/>
    </row>
    <row r="4" spans="1:57">
      <c r="A4" s="437" t="s">
        <v>1096</v>
      </c>
      <c r="B4" s="606"/>
      <c r="C4" s="607"/>
      <c r="D4" s="606"/>
      <c r="E4" s="581"/>
      <c r="F4" s="581"/>
      <c r="G4" s="608"/>
      <c r="H4" s="609"/>
      <c r="I4" s="609"/>
      <c r="J4" s="609"/>
      <c r="K4" s="609"/>
      <c r="L4" s="609"/>
      <c r="M4" s="437"/>
      <c r="N4" s="437"/>
      <c r="O4" s="437"/>
      <c r="P4" s="437"/>
      <c r="Q4" s="437"/>
      <c r="R4" s="437"/>
      <c r="S4" s="437"/>
      <c r="T4" s="437"/>
      <c r="U4" s="437"/>
      <c r="V4" s="437"/>
      <c r="W4" s="580"/>
      <c r="X4" s="437"/>
      <c r="Y4" s="437"/>
      <c r="Z4" s="437"/>
      <c r="AA4" s="437"/>
      <c r="AB4" s="437"/>
      <c r="AC4" s="437"/>
      <c r="AD4" s="437"/>
      <c r="AE4" s="437"/>
      <c r="AF4" s="437"/>
      <c r="AG4" s="437"/>
      <c r="AH4" s="437"/>
      <c r="AI4" s="437"/>
      <c r="AJ4" s="437"/>
      <c r="AK4" s="437"/>
      <c r="AL4" s="437"/>
      <c r="AM4" s="437"/>
      <c r="AN4" s="437"/>
      <c r="AO4" s="437"/>
      <c r="AP4" s="437"/>
      <c r="AQ4" s="437"/>
      <c r="AR4" s="437"/>
      <c r="AS4" s="437"/>
      <c r="AT4" s="437"/>
      <c r="AU4" s="437"/>
      <c r="AV4" s="437"/>
      <c r="AW4" s="437"/>
      <c r="AX4" s="437"/>
      <c r="AY4" s="437"/>
      <c r="AZ4" s="437"/>
      <c r="BA4" s="437"/>
      <c r="BB4" s="437"/>
      <c r="BC4" s="437"/>
      <c r="BD4" s="437"/>
      <c r="BE4" s="437"/>
    </row>
    <row r="5" spans="1:57">
      <c r="A5" s="437" t="s">
        <v>1097</v>
      </c>
      <c r="B5" s="606"/>
      <c r="C5" s="607"/>
      <c r="D5" s="606"/>
      <c r="E5" s="610" t="s">
        <v>1098</v>
      </c>
      <c r="F5" s="610" t="s">
        <v>1099</v>
      </c>
      <c r="G5" s="610" t="s">
        <v>1100</v>
      </c>
      <c r="H5" s="610" t="s">
        <v>1101</v>
      </c>
      <c r="I5" s="611" t="s">
        <v>1102</v>
      </c>
      <c r="J5" s="611" t="s">
        <v>1103</v>
      </c>
      <c r="K5" s="611" t="s">
        <v>195</v>
      </c>
      <c r="L5" s="611" t="s">
        <v>1104</v>
      </c>
      <c r="M5" s="611" t="s">
        <v>1105</v>
      </c>
      <c r="N5" s="611" t="s">
        <v>895</v>
      </c>
      <c r="O5" s="611" t="s">
        <v>1106</v>
      </c>
      <c r="P5" s="611" t="s">
        <v>1107</v>
      </c>
      <c r="Q5" s="437"/>
      <c r="R5" s="437"/>
      <c r="S5" s="437"/>
      <c r="T5" s="437"/>
      <c r="U5" s="437"/>
      <c r="V5" s="437"/>
      <c r="W5" s="580"/>
      <c r="X5" s="437"/>
      <c r="Y5" s="437"/>
      <c r="Z5" s="437"/>
      <c r="AA5" s="437"/>
      <c r="AB5" s="437"/>
      <c r="AC5" s="437"/>
      <c r="AD5" s="437"/>
      <c r="AE5" s="437"/>
      <c r="AF5" s="437"/>
      <c r="AG5" s="437"/>
      <c r="AH5" s="437"/>
      <c r="AI5" s="437"/>
      <c r="AJ5" s="437"/>
      <c r="AK5" s="437"/>
      <c r="AL5" s="437"/>
      <c r="AM5" s="437"/>
      <c r="AN5" s="437"/>
      <c r="AO5" s="437"/>
      <c r="AP5" s="437"/>
      <c r="AQ5" s="437"/>
      <c r="AR5" s="437"/>
      <c r="AS5" s="437"/>
      <c r="AT5" s="437"/>
      <c r="AU5" s="437"/>
      <c r="AV5" s="437"/>
      <c r="AW5" s="437"/>
      <c r="AX5" s="437"/>
      <c r="AY5" s="437"/>
      <c r="AZ5" s="437"/>
      <c r="BA5" s="437"/>
      <c r="BB5" s="437"/>
      <c r="BC5" s="437"/>
      <c r="BD5" s="437"/>
      <c r="BE5" s="437"/>
    </row>
    <row r="6" spans="1:57">
      <c r="A6" s="442" t="s">
        <v>1020</v>
      </c>
      <c r="B6" s="535" t="s">
        <v>18</v>
      </c>
      <c r="C6" s="533" t="s">
        <v>1108</v>
      </c>
      <c r="D6" s="535" t="s">
        <v>1109</v>
      </c>
      <c r="E6" s="497">
        <f t="shared" ref="E6:E11" si="0">1-F6</f>
        <v>0</v>
      </c>
      <c r="F6" s="497">
        <f t="shared" ref="F6:F11" si="1">G6+H6</f>
        <v>1</v>
      </c>
      <c r="G6" s="497">
        <f t="shared" ref="G6:G11" si="2">1-H6-P6</f>
        <v>1</v>
      </c>
      <c r="H6" s="497">
        <f t="shared" ref="H6:H11" si="3">+SUM(I6:O6)</f>
        <v>0</v>
      </c>
      <c r="I6" s="612">
        <v>0</v>
      </c>
      <c r="J6" s="612">
        <v>0</v>
      </c>
      <c r="K6" s="612">
        <v>0</v>
      </c>
      <c r="L6" s="612">
        <v>0</v>
      </c>
      <c r="M6" s="612">
        <v>0</v>
      </c>
      <c r="N6" s="450">
        <v>0</v>
      </c>
      <c r="O6" s="446">
        <v>0</v>
      </c>
      <c r="P6" s="446">
        <v>0</v>
      </c>
      <c r="Q6" s="430"/>
      <c r="R6" s="430"/>
      <c r="S6" s="430"/>
      <c r="T6" s="430"/>
      <c r="U6" s="430"/>
      <c r="V6" s="430"/>
      <c r="W6" s="454"/>
      <c r="X6" s="430"/>
      <c r="Y6" s="430"/>
      <c r="Z6" s="430"/>
      <c r="AA6" s="430"/>
      <c r="AB6" s="430"/>
      <c r="AC6" s="430"/>
      <c r="AD6" s="430"/>
      <c r="AE6" s="430"/>
      <c r="AF6" s="430"/>
      <c r="AG6" s="430"/>
      <c r="AH6" s="430"/>
      <c r="AI6" s="430"/>
      <c r="AJ6" s="430"/>
      <c r="AK6" s="430"/>
      <c r="AL6" s="430"/>
      <c r="AM6" s="430"/>
      <c r="AN6" s="430"/>
      <c r="AO6" s="430"/>
      <c r="AP6" s="430"/>
      <c r="AQ6" s="430"/>
      <c r="AR6" s="430"/>
      <c r="AS6" s="430"/>
      <c r="AT6" s="430"/>
      <c r="AU6" s="430"/>
      <c r="AV6" s="430"/>
      <c r="AW6" s="430"/>
      <c r="AX6" s="430"/>
      <c r="AY6" s="430"/>
      <c r="AZ6" s="430"/>
      <c r="BA6" s="430"/>
      <c r="BB6" s="430"/>
      <c r="BC6" s="430"/>
      <c r="BD6" s="430"/>
      <c r="BE6" s="430"/>
    </row>
    <row r="7" spans="1:57">
      <c r="A7" s="442" t="s">
        <v>1023</v>
      </c>
      <c r="B7" s="535" t="s">
        <v>18</v>
      </c>
      <c r="C7" s="533" t="s">
        <v>1108</v>
      </c>
      <c r="D7" s="535" t="s">
        <v>1110</v>
      </c>
      <c r="E7" s="497">
        <f t="shared" si="0"/>
        <v>0</v>
      </c>
      <c r="F7" s="497">
        <f t="shared" si="1"/>
        <v>1</v>
      </c>
      <c r="G7" s="497">
        <f t="shared" si="2"/>
        <v>0</v>
      </c>
      <c r="H7" s="497">
        <f t="shared" si="3"/>
        <v>1</v>
      </c>
      <c r="I7" s="613">
        <v>0</v>
      </c>
      <c r="J7" s="613">
        <v>0</v>
      </c>
      <c r="K7" s="613">
        <v>0</v>
      </c>
      <c r="L7" s="613">
        <v>0</v>
      </c>
      <c r="M7" s="613">
        <v>0</v>
      </c>
      <c r="N7" s="450">
        <v>0</v>
      </c>
      <c r="O7" s="446">
        <v>1</v>
      </c>
      <c r="P7" s="446">
        <v>0</v>
      </c>
      <c r="Q7" s="430"/>
      <c r="R7" s="430"/>
      <c r="S7" s="430"/>
      <c r="T7" s="430"/>
      <c r="U7" s="430"/>
      <c r="V7" s="430"/>
      <c r="W7" s="454"/>
      <c r="X7" s="430"/>
      <c r="Y7" s="430"/>
      <c r="Z7" s="430"/>
      <c r="AA7" s="430"/>
      <c r="AB7" s="430"/>
      <c r="AC7" s="430"/>
      <c r="AD7" s="430"/>
      <c r="AE7" s="430"/>
      <c r="AF7" s="430"/>
      <c r="AG7" s="430"/>
      <c r="AH7" s="430"/>
      <c r="AI7" s="430"/>
      <c r="AJ7" s="430"/>
      <c r="AK7" s="430"/>
      <c r="AL7" s="430"/>
      <c r="AM7" s="430"/>
      <c r="AN7" s="430"/>
      <c r="AO7" s="430"/>
      <c r="AP7" s="430"/>
      <c r="AQ7" s="430"/>
      <c r="AR7" s="430"/>
      <c r="AS7" s="430"/>
      <c r="AT7" s="430"/>
      <c r="AU7" s="430"/>
      <c r="AV7" s="430"/>
      <c r="AW7" s="430"/>
      <c r="AX7" s="430"/>
      <c r="AY7" s="430"/>
      <c r="AZ7" s="430"/>
      <c r="BA7" s="430"/>
      <c r="BB7" s="430"/>
      <c r="BC7" s="430"/>
      <c r="BD7" s="430"/>
      <c r="BE7" s="430"/>
    </row>
    <row r="8" spans="1:57">
      <c r="A8" s="442" t="s">
        <v>1025</v>
      </c>
      <c r="B8" s="535" t="s">
        <v>18</v>
      </c>
      <c r="C8" s="533" t="s">
        <v>1108</v>
      </c>
      <c r="D8" s="535" t="s">
        <v>1111</v>
      </c>
      <c r="E8" s="497">
        <f t="shared" si="0"/>
        <v>1</v>
      </c>
      <c r="F8" s="497">
        <f t="shared" si="1"/>
        <v>0</v>
      </c>
      <c r="G8" s="497">
        <f t="shared" si="2"/>
        <v>0</v>
      </c>
      <c r="H8" s="497">
        <f t="shared" si="3"/>
        <v>0</v>
      </c>
      <c r="I8" s="613">
        <v>0</v>
      </c>
      <c r="J8" s="613">
        <v>0</v>
      </c>
      <c r="K8" s="613">
        <v>0</v>
      </c>
      <c r="L8" s="613">
        <v>0</v>
      </c>
      <c r="M8" s="613">
        <v>0</v>
      </c>
      <c r="N8" s="450">
        <v>0</v>
      </c>
      <c r="O8" s="446">
        <v>0</v>
      </c>
      <c r="P8" s="446">
        <v>1</v>
      </c>
      <c r="Q8" s="430"/>
      <c r="R8" s="430"/>
      <c r="S8" s="430"/>
      <c r="T8" s="430"/>
      <c r="U8" s="430"/>
      <c r="V8" s="430"/>
      <c r="W8" s="454"/>
      <c r="X8" s="430"/>
      <c r="Y8" s="430"/>
      <c r="Z8" s="430"/>
      <c r="AA8" s="430"/>
      <c r="AB8" s="430"/>
      <c r="AC8" s="430"/>
      <c r="AD8" s="430"/>
      <c r="AE8" s="430"/>
      <c r="AF8" s="430"/>
      <c r="AG8" s="430"/>
      <c r="AH8" s="430"/>
      <c r="AI8" s="430"/>
      <c r="AJ8" s="430"/>
      <c r="AK8" s="430"/>
      <c r="AL8" s="430"/>
      <c r="AM8" s="430"/>
      <c r="AN8" s="430"/>
      <c r="AO8" s="430"/>
      <c r="AP8" s="430"/>
      <c r="AQ8" s="430"/>
      <c r="AR8" s="430"/>
      <c r="AS8" s="430"/>
      <c r="AT8" s="430"/>
      <c r="AU8" s="430"/>
      <c r="AV8" s="430"/>
      <c r="AW8" s="430"/>
      <c r="AX8" s="430"/>
      <c r="AY8" s="430"/>
      <c r="AZ8" s="430"/>
      <c r="BA8" s="430"/>
      <c r="BB8" s="430"/>
      <c r="BC8" s="430"/>
      <c r="BD8" s="430"/>
      <c r="BE8" s="430"/>
    </row>
    <row r="9" spans="1:57">
      <c r="A9" s="442" t="s">
        <v>1027</v>
      </c>
      <c r="B9" s="535" t="s">
        <v>18</v>
      </c>
      <c r="C9" s="533" t="s">
        <v>1108</v>
      </c>
      <c r="D9" s="535" t="s">
        <v>1112</v>
      </c>
      <c r="E9" s="497">
        <f t="shared" si="0"/>
        <v>1</v>
      </c>
      <c r="F9" s="497">
        <f t="shared" si="1"/>
        <v>0</v>
      </c>
      <c r="G9" s="497">
        <f t="shared" si="2"/>
        <v>0</v>
      </c>
      <c r="H9" s="497">
        <f t="shared" si="3"/>
        <v>0</v>
      </c>
      <c r="I9" s="613">
        <v>0</v>
      </c>
      <c r="J9" s="613">
        <v>0</v>
      </c>
      <c r="K9" s="613">
        <v>0</v>
      </c>
      <c r="L9" s="613">
        <v>0</v>
      </c>
      <c r="M9" s="613">
        <v>0</v>
      </c>
      <c r="N9" s="450">
        <v>0</v>
      </c>
      <c r="O9" s="446">
        <v>0</v>
      </c>
      <c r="P9" s="446">
        <v>1</v>
      </c>
      <c r="Q9" s="430"/>
      <c r="R9" s="430"/>
      <c r="S9" s="430"/>
      <c r="T9" s="430"/>
      <c r="U9" s="430"/>
      <c r="V9" s="430"/>
      <c r="W9" s="454"/>
      <c r="X9" s="430"/>
      <c r="Y9" s="430"/>
      <c r="Z9" s="430"/>
      <c r="AA9" s="430"/>
      <c r="AB9" s="430"/>
      <c r="AC9" s="430"/>
      <c r="AD9" s="430"/>
      <c r="AE9" s="430"/>
      <c r="AF9" s="430"/>
      <c r="AG9" s="430"/>
      <c r="AH9" s="430"/>
      <c r="AI9" s="430"/>
      <c r="AJ9" s="430"/>
      <c r="AK9" s="430"/>
      <c r="AL9" s="430"/>
      <c r="AM9" s="430"/>
      <c r="AN9" s="430"/>
      <c r="AO9" s="430"/>
      <c r="AP9" s="430"/>
      <c r="AQ9" s="430"/>
      <c r="AR9" s="430"/>
      <c r="AS9" s="430"/>
      <c r="AT9" s="430"/>
      <c r="AU9" s="430"/>
      <c r="AV9" s="430"/>
      <c r="AW9" s="430"/>
      <c r="AX9" s="430"/>
      <c r="AY9" s="430"/>
      <c r="AZ9" s="430"/>
      <c r="BA9" s="430"/>
      <c r="BB9" s="430"/>
      <c r="BC9" s="430"/>
      <c r="BD9" s="430"/>
      <c r="BE9" s="430"/>
    </row>
    <row r="10" spans="1:57">
      <c r="A10" s="442" t="s">
        <v>1029</v>
      </c>
      <c r="B10" s="535" t="s">
        <v>18</v>
      </c>
      <c r="C10" s="533" t="s">
        <v>1108</v>
      </c>
      <c r="D10" s="535" t="s">
        <v>1113</v>
      </c>
      <c r="E10" s="497">
        <f t="shared" si="0"/>
        <v>0</v>
      </c>
      <c r="F10" s="497">
        <f t="shared" si="1"/>
        <v>1</v>
      </c>
      <c r="G10" s="497">
        <f t="shared" si="2"/>
        <v>0</v>
      </c>
      <c r="H10" s="497">
        <f t="shared" si="3"/>
        <v>1</v>
      </c>
      <c r="I10" s="613">
        <v>0</v>
      </c>
      <c r="J10" s="613">
        <v>0</v>
      </c>
      <c r="K10" s="613">
        <v>0</v>
      </c>
      <c r="L10" s="613">
        <v>0</v>
      </c>
      <c r="M10" s="613">
        <v>0</v>
      </c>
      <c r="N10" s="450">
        <v>0</v>
      </c>
      <c r="O10" s="446">
        <v>1</v>
      </c>
      <c r="P10" s="446">
        <v>0</v>
      </c>
      <c r="Q10" s="430"/>
      <c r="R10" s="430"/>
      <c r="S10" s="430"/>
      <c r="T10" s="430"/>
      <c r="U10" s="430"/>
      <c r="V10" s="430"/>
      <c r="W10" s="454"/>
      <c r="X10" s="430"/>
      <c r="Y10" s="430"/>
      <c r="Z10" s="430"/>
      <c r="AA10" s="430"/>
      <c r="AB10" s="430"/>
      <c r="AC10" s="430"/>
      <c r="AD10" s="430"/>
      <c r="AE10" s="430"/>
      <c r="AF10" s="430"/>
      <c r="AG10" s="430"/>
      <c r="AH10" s="430"/>
      <c r="AI10" s="430"/>
      <c r="AJ10" s="430"/>
      <c r="AK10" s="430"/>
      <c r="AL10" s="430"/>
      <c r="AM10" s="430"/>
      <c r="AN10" s="430"/>
      <c r="AO10" s="430"/>
      <c r="AP10" s="430"/>
      <c r="AQ10" s="430"/>
      <c r="AR10" s="430"/>
      <c r="AS10" s="430"/>
      <c r="AT10" s="430"/>
      <c r="AU10" s="430"/>
      <c r="AV10" s="430"/>
      <c r="AW10" s="430"/>
      <c r="AX10" s="430"/>
      <c r="AY10" s="430"/>
      <c r="AZ10" s="430"/>
      <c r="BA10" s="430"/>
      <c r="BB10" s="430"/>
      <c r="BC10" s="430"/>
      <c r="BD10" s="430"/>
      <c r="BE10" s="430"/>
    </row>
    <row r="11" spans="1:57">
      <c r="A11" s="442" t="s">
        <v>1031</v>
      </c>
      <c r="B11" s="535" t="s">
        <v>18</v>
      </c>
      <c r="C11" s="533" t="s">
        <v>1108</v>
      </c>
      <c r="D11" s="535" t="s">
        <v>1114</v>
      </c>
      <c r="E11" s="497">
        <f t="shared" si="0"/>
        <v>0</v>
      </c>
      <c r="F11" s="497">
        <f t="shared" si="1"/>
        <v>1</v>
      </c>
      <c r="G11" s="497">
        <f t="shared" si="2"/>
        <v>1</v>
      </c>
      <c r="H11" s="497">
        <f t="shared" si="3"/>
        <v>0</v>
      </c>
      <c r="I11" s="613">
        <v>0</v>
      </c>
      <c r="J11" s="613">
        <v>0</v>
      </c>
      <c r="K11" s="613">
        <v>0</v>
      </c>
      <c r="L11" s="613">
        <v>0</v>
      </c>
      <c r="M11" s="613">
        <v>0</v>
      </c>
      <c r="N11" s="450">
        <v>0</v>
      </c>
      <c r="O11" s="446">
        <v>0</v>
      </c>
      <c r="P11" s="446">
        <v>0</v>
      </c>
      <c r="Q11" s="430"/>
      <c r="R11" s="430"/>
      <c r="S11" s="430"/>
      <c r="T11" s="430"/>
      <c r="U11" s="430"/>
      <c r="V11" s="430"/>
      <c r="W11" s="454"/>
      <c r="X11" s="430"/>
      <c r="Y11" s="430"/>
      <c r="Z11" s="430"/>
      <c r="AA11" s="430"/>
      <c r="AB11" s="430"/>
      <c r="AC11" s="430"/>
      <c r="AD11" s="430"/>
      <c r="AE11" s="430"/>
      <c r="AF11" s="430"/>
      <c r="AG11" s="430"/>
      <c r="AH11" s="430"/>
      <c r="AI11" s="430"/>
      <c r="AJ11" s="430"/>
      <c r="AK11" s="430"/>
      <c r="AL11" s="430"/>
      <c r="AM11" s="430"/>
      <c r="AN11" s="430"/>
      <c r="AO11" s="430"/>
      <c r="AP11" s="430"/>
      <c r="AQ11" s="430"/>
      <c r="AR11" s="430"/>
      <c r="AS11" s="430"/>
      <c r="AT11" s="430"/>
      <c r="AU11" s="430"/>
      <c r="AV11" s="430"/>
      <c r="AW11" s="430"/>
      <c r="AX11" s="430"/>
      <c r="AY11" s="430"/>
      <c r="AZ11" s="430"/>
      <c r="BA11" s="430"/>
      <c r="BB11" s="430"/>
      <c r="BC11" s="430"/>
      <c r="BD11" s="430"/>
      <c r="BE11" s="430"/>
    </row>
    <row r="12" spans="1:57" s="428" customFormat="1">
      <c r="A12" s="430"/>
      <c r="B12" s="431"/>
      <c r="C12" s="432"/>
      <c r="D12" s="431"/>
      <c r="E12" s="497"/>
      <c r="F12" s="497"/>
      <c r="G12" s="497"/>
      <c r="H12" s="497"/>
      <c r="I12" s="524"/>
      <c r="J12" s="524"/>
      <c r="K12" s="524"/>
      <c r="L12" s="524"/>
      <c r="M12" s="524"/>
      <c r="N12" s="525"/>
      <c r="O12" s="523"/>
      <c r="P12" s="523"/>
      <c r="Q12" s="430"/>
      <c r="R12" s="430"/>
      <c r="S12" s="430"/>
      <c r="T12" s="430"/>
      <c r="U12" s="430"/>
      <c r="V12" s="430"/>
      <c r="W12" s="454"/>
      <c r="X12" s="430"/>
      <c r="Y12" s="430"/>
      <c r="Z12" s="430"/>
      <c r="AA12" s="430"/>
      <c r="AB12" s="430"/>
      <c r="AC12" s="430"/>
      <c r="AD12" s="430"/>
      <c r="AE12" s="430"/>
      <c r="AF12" s="430"/>
      <c r="AG12" s="430"/>
      <c r="AH12" s="430"/>
      <c r="AI12" s="430"/>
      <c r="AJ12" s="430"/>
      <c r="AK12" s="430"/>
      <c r="AL12" s="430"/>
      <c r="AM12" s="430"/>
      <c r="AN12" s="430"/>
      <c r="AO12" s="430"/>
      <c r="AP12" s="430"/>
      <c r="AQ12" s="430"/>
      <c r="AR12" s="430"/>
      <c r="AS12" s="430"/>
      <c r="AT12" s="430"/>
      <c r="AU12" s="430"/>
      <c r="AV12" s="430"/>
      <c r="AW12" s="430"/>
      <c r="AX12" s="430"/>
      <c r="AY12" s="430"/>
      <c r="AZ12" s="430"/>
      <c r="BA12" s="430"/>
      <c r="BB12" s="430"/>
      <c r="BC12" s="430"/>
      <c r="BD12" s="430"/>
      <c r="BE12" s="430"/>
    </row>
    <row r="13" spans="1:57" ht="14.65" customHeight="1">
      <c r="A13" s="437" t="s">
        <v>1096</v>
      </c>
      <c r="B13" s="437"/>
      <c r="C13" s="437"/>
      <c r="D13" s="437"/>
      <c r="E13" s="609"/>
      <c r="F13" s="609"/>
      <c r="G13" s="609"/>
      <c r="H13" s="609"/>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437"/>
      <c r="AN13" s="437"/>
      <c r="AO13" s="437"/>
      <c r="AP13" s="437"/>
      <c r="AQ13" s="437"/>
      <c r="AR13" s="437"/>
      <c r="AS13" s="437"/>
      <c r="AT13" s="437"/>
      <c r="AU13" s="437"/>
      <c r="AV13" s="437"/>
      <c r="AW13" s="437"/>
      <c r="AX13" s="437"/>
      <c r="AY13" s="437"/>
      <c r="AZ13" s="437"/>
      <c r="BA13" s="437"/>
      <c r="BB13" s="437"/>
      <c r="BC13" s="437"/>
      <c r="BD13" s="437"/>
      <c r="BE13" s="437"/>
    </row>
    <row r="14" spans="1:57" ht="14.65" customHeight="1">
      <c r="A14" s="437" t="s">
        <v>39</v>
      </c>
      <c r="B14" s="437"/>
      <c r="C14" s="437"/>
      <c r="D14" s="437"/>
      <c r="E14" s="610" t="s">
        <v>1098</v>
      </c>
      <c r="F14" s="610" t="s">
        <v>1099</v>
      </c>
      <c r="G14" s="610" t="s">
        <v>1100</v>
      </c>
      <c r="H14" s="610" t="s">
        <v>1101</v>
      </c>
      <c r="I14" s="611" t="s">
        <v>1102</v>
      </c>
      <c r="J14" s="611" t="s">
        <v>1103</v>
      </c>
      <c r="K14" s="611" t="s">
        <v>195</v>
      </c>
      <c r="L14" s="611" t="s">
        <v>1104</v>
      </c>
      <c r="M14" s="611" t="s">
        <v>1105</v>
      </c>
      <c r="N14" s="611" t="s">
        <v>895</v>
      </c>
      <c r="O14" s="611" t="s">
        <v>1106</v>
      </c>
      <c r="P14" s="611" t="s">
        <v>1107</v>
      </c>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437"/>
      <c r="AN14" s="437"/>
      <c r="AO14" s="437"/>
      <c r="AP14" s="437"/>
      <c r="AQ14" s="437"/>
      <c r="AR14" s="437"/>
      <c r="AS14" s="437"/>
      <c r="AT14" s="437"/>
      <c r="AU14" s="437"/>
      <c r="AV14" s="437"/>
      <c r="AW14" s="437"/>
      <c r="AX14" s="437"/>
      <c r="AY14" s="437"/>
      <c r="AZ14" s="437"/>
      <c r="BA14" s="437"/>
      <c r="BB14" s="437"/>
      <c r="BC14" s="437"/>
      <c r="BD14" s="437"/>
      <c r="BE14" s="437"/>
    </row>
    <row r="15" spans="1:57" ht="14.65" customHeight="1">
      <c r="A15" s="442" t="s">
        <v>1037</v>
      </c>
      <c r="B15" s="442" t="s">
        <v>18</v>
      </c>
      <c r="C15" s="442" t="s">
        <v>1108</v>
      </c>
      <c r="D15" s="442" t="s">
        <v>1115</v>
      </c>
      <c r="E15" s="497">
        <f t="shared" ref="E15:E20" si="4">1-F15</f>
        <v>0</v>
      </c>
      <c r="F15" s="497">
        <f t="shared" ref="F15:F20" si="5">G15+H15</f>
        <v>1</v>
      </c>
      <c r="G15" s="497">
        <f t="shared" ref="G15:G20" si="6">1-H15</f>
        <v>1</v>
      </c>
      <c r="H15" s="497">
        <f t="shared" ref="H15:H20" si="7">+SUM(I15:O15)</f>
        <v>0</v>
      </c>
      <c r="I15" s="612">
        <v>0</v>
      </c>
      <c r="J15" s="612">
        <v>0</v>
      </c>
      <c r="K15" s="612">
        <v>0</v>
      </c>
      <c r="L15" s="612">
        <v>0</v>
      </c>
      <c r="M15" s="612">
        <v>0</v>
      </c>
      <c r="N15" s="450">
        <v>0</v>
      </c>
      <c r="O15" s="446">
        <v>0</v>
      </c>
      <c r="P15" s="446">
        <v>0</v>
      </c>
      <c r="Q15" s="430"/>
      <c r="R15" s="430"/>
      <c r="S15" s="430"/>
      <c r="T15" s="430"/>
      <c r="U15" s="430"/>
      <c r="V15" s="430"/>
      <c r="W15" s="430"/>
      <c r="X15" s="430"/>
      <c r="Y15" s="430"/>
      <c r="Z15" s="430"/>
      <c r="AA15" s="430"/>
      <c r="AB15" s="430"/>
      <c r="AC15" s="430"/>
      <c r="AD15" s="430"/>
      <c r="AE15" s="430"/>
      <c r="AF15" s="430"/>
      <c r="AG15" s="430"/>
      <c r="AH15" s="430"/>
      <c r="AI15" s="430"/>
      <c r="AJ15" s="430"/>
      <c r="AK15" s="430"/>
      <c r="AL15" s="430"/>
      <c r="AM15" s="430"/>
      <c r="AN15" s="430"/>
      <c r="AO15" s="430"/>
      <c r="AP15" s="430"/>
      <c r="AQ15" s="430"/>
      <c r="AR15" s="430"/>
      <c r="AS15" s="430"/>
      <c r="AT15" s="430"/>
      <c r="AU15" s="430"/>
      <c r="AV15" s="430"/>
      <c r="AW15" s="430"/>
      <c r="AX15" s="430"/>
      <c r="AY15" s="430"/>
      <c r="AZ15" s="430"/>
      <c r="BA15" s="430"/>
      <c r="BB15" s="430"/>
      <c r="BC15" s="430"/>
      <c r="BD15" s="430"/>
      <c r="BE15" s="430"/>
    </row>
    <row r="16" spans="1:57">
      <c r="A16" s="442" t="s">
        <v>1039</v>
      </c>
      <c r="B16" s="442" t="s">
        <v>18</v>
      </c>
      <c r="C16" s="442" t="s">
        <v>1108</v>
      </c>
      <c r="D16" s="442" t="s">
        <v>1116</v>
      </c>
      <c r="E16" s="497">
        <f t="shared" si="4"/>
        <v>0</v>
      </c>
      <c r="F16" s="497">
        <f t="shared" si="5"/>
        <v>1</v>
      </c>
      <c r="G16" s="497">
        <f t="shared" si="6"/>
        <v>0</v>
      </c>
      <c r="H16" s="497">
        <f t="shared" si="7"/>
        <v>1</v>
      </c>
      <c r="I16" s="613">
        <v>0.25</v>
      </c>
      <c r="J16" s="613">
        <v>0.25</v>
      </c>
      <c r="K16" s="613">
        <v>0.25</v>
      </c>
      <c r="L16" s="613">
        <v>0</v>
      </c>
      <c r="M16" s="613">
        <v>0.25</v>
      </c>
      <c r="N16" s="450">
        <v>0</v>
      </c>
      <c r="O16" s="446">
        <v>0</v>
      </c>
      <c r="P16" s="446">
        <v>0</v>
      </c>
      <c r="Q16" s="430"/>
      <c r="R16" s="430"/>
      <c r="S16" s="430"/>
      <c r="T16" s="430"/>
      <c r="U16" s="430"/>
      <c r="V16" s="430"/>
      <c r="W16" s="430"/>
      <c r="X16" s="430"/>
      <c r="Y16" s="430"/>
      <c r="Z16" s="430"/>
      <c r="AA16" s="430"/>
      <c r="AB16" s="430"/>
      <c r="AC16" s="430"/>
      <c r="AD16" s="430"/>
      <c r="AE16" s="430"/>
      <c r="AF16" s="430"/>
      <c r="AG16" s="430"/>
      <c r="AH16" s="430"/>
      <c r="AI16" s="430"/>
      <c r="AJ16" s="430"/>
      <c r="AK16" s="430"/>
      <c r="AL16" s="430"/>
      <c r="AM16" s="430"/>
      <c r="AN16" s="430"/>
      <c r="AO16" s="430"/>
      <c r="AP16" s="430"/>
      <c r="AQ16" s="430"/>
      <c r="AR16" s="430"/>
      <c r="AS16" s="430"/>
      <c r="AT16" s="430"/>
      <c r="AU16" s="430"/>
      <c r="AV16" s="430"/>
      <c r="AW16" s="430"/>
      <c r="AX16" s="430"/>
      <c r="AY16" s="430"/>
      <c r="AZ16" s="430"/>
      <c r="BA16" s="430"/>
      <c r="BB16" s="430"/>
      <c r="BC16" s="430"/>
      <c r="BD16" s="430"/>
      <c r="BE16" s="430"/>
    </row>
    <row r="17" spans="1:57">
      <c r="A17" s="442" t="s">
        <v>1041</v>
      </c>
      <c r="B17" s="442" t="s">
        <v>18</v>
      </c>
      <c r="C17" s="442" t="s">
        <v>1108</v>
      </c>
      <c r="D17" s="442" t="s">
        <v>1117</v>
      </c>
      <c r="E17" s="497">
        <f t="shared" si="4"/>
        <v>0</v>
      </c>
      <c r="F17" s="497">
        <f t="shared" si="5"/>
        <v>1</v>
      </c>
      <c r="G17" s="497">
        <f t="shared" si="6"/>
        <v>0</v>
      </c>
      <c r="H17" s="497">
        <f t="shared" si="7"/>
        <v>1</v>
      </c>
      <c r="I17" s="613">
        <v>0.25</v>
      </c>
      <c r="J17" s="613">
        <v>0.25</v>
      </c>
      <c r="K17" s="613">
        <v>0.25</v>
      </c>
      <c r="L17" s="613">
        <v>0</v>
      </c>
      <c r="M17" s="613">
        <v>0.25</v>
      </c>
      <c r="N17" s="450">
        <v>0</v>
      </c>
      <c r="O17" s="446">
        <v>0</v>
      </c>
      <c r="P17" s="446">
        <v>0</v>
      </c>
      <c r="Q17" s="430"/>
      <c r="R17" s="430"/>
      <c r="S17" s="430"/>
      <c r="T17" s="430"/>
      <c r="U17" s="430"/>
      <c r="V17" s="430"/>
      <c r="W17" s="430"/>
      <c r="X17" s="430"/>
      <c r="Y17" s="430"/>
      <c r="Z17" s="430"/>
      <c r="AA17" s="430"/>
      <c r="AB17" s="430"/>
      <c r="AC17" s="430"/>
      <c r="AD17" s="430"/>
      <c r="AE17" s="430"/>
      <c r="AF17" s="430"/>
      <c r="AG17" s="430"/>
      <c r="AH17" s="430"/>
      <c r="AI17" s="430"/>
      <c r="AJ17" s="430"/>
      <c r="AK17" s="430"/>
      <c r="AL17" s="430"/>
      <c r="AM17" s="430"/>
      <c r="AN17" s="430"/>
      <c r="AO17" s="430"/>
      <c r="AP17" s="430"/>
      <c r="AQ17" s="430"/>
      <c r="AR17" s="430"/>
      <c r="AS17" s="430"/>
      <c r="AT17" s="430"/>
      <c r="AU17" s="430"/>
      <c r="AV17" s="430"/>
      <c r="AW17" s="430"/>
      <c r="AX17" s="430"/>
      <c r="AY17" s="430"/>
      <c r="AZ17" s="430"/>
      <c r="BA17" s="430"/>
      <c r="BB17" s="430"/>
      <c r="BC17" s="430"/>
      <c r="BD17" s="430"/>
      <c r="BE17" s="430"/>
    </row>
    <row r="18" spans="1:57">
      <c r="A18" s="442" t="s">
        <v>1043</v>
      </c>
      <c r="B18" s="442" t="s">
        <v>18</v>
      </c>
      <c r="C18" s="442" t="s">
        <v>1108</v>
      </c>
      <c r="D18" s="442" t="s">
        <v>1118</v>
      </c>
      <c r="E18" s="497">
        <f t="shared" si="4"/>
        <v>0</v>
      </c>
      <c r="F18" s="497">
        <f t="shared" si="5"/>
        <v>1</v>
      </c>
      <c r="G18" s="497">
        <f t="shared" si="6"/>
        <v>0</v>
      </c>
      <c r="H18" s="497">
        <f t="shared" si="7"/>
        <v>1</v>
      </c>
      <c r="I18" s="613">
        <v>0.25</v>
      </c>
      <c r="J18" s="613">
        <v>0.25</v>
      </c>
      <c r="K18" s="613">
        <v>0.25</v>
      </c>
      <c r="L18" s="613">
        <v>0</v>
      </c>
      <c r="M18" s="613">
        <v>0.25</v>
      </c>
      <c r="N18" s="450">
        <v>0</v>
      </c>
      <c r="O18" s="446">
        <v>0</v>
      </c>
      <c r="P18" s="446">
        <v>0</v>
      </c>
      <c r="Q18" s="430"/>
      <c r="R18" s="430"/>
      <c r="S18" s="430"/>
      <c r="T18" s="430"/>
      <c r="U18" s="430"/>
      <c r="V18" s="430"/>
      <c r="W18" s="430"/>
      <c r="X18" s="430"/>
      <c r="Y18" s="430"/>
      <c r="Z18" s="430"/>
      <c r="AA18" s="430"/>
      <c r="AB18" s="430"/>
      <c r="AC18" s="430"/>
      <c r="AD18" s="430"/>
      <c r="AE18" s="430"/>
      <c r="AF18" s="430"/>
      <c r="AG18" s="430"/>
      <c r="AH18" s="430"/>
      <c r="AI18" s="430"/>
      <c r="AJ18" s="430"/>
      <c r="AK18" s="430"/>
      <c r="AL18" s="430"/>
      <c r="AM18" s="430"/>
      <c r="AN18" s="430"/>
      <c r="AO18" s="430"/>
      <c r="AP18" s="430"/>
      <c r="AQ18" s="430"/>
      <c r="AR18" s="430"/>
      <c r="AS18" s="430"/>
      <c r="AT18" s="430"/>
      <c r="AU18" s="430"/>
      <c r="AV18" s="430"/>
      <c r="AW18" s="430"/>
      <c r="AX18" s="430"/>
      <c r="AY18" s="430"/>
      <c r="AZ18" s="430"/>
      <c r="BA18" s="430"/>
      <c r="BB18" s="430"/>
      <c r="BC18" s="430"/>
      <c r="BD18" s="430"/>
      <c r="BE18" s="430"/>
    </row>
    <row r="19" spans="1:57">
      <c r="A19" s="442" t="s">
        <v>1045</v>
      </c>
      <c r="B19" s="442" t="s">
        <v>18</v>
      </c>
      <c r="C19" s="442" t="s">
        <v>1108</v>
      </c>
      <c r="D19" s="442" t="s">
        <v>1119</v>
      </c>
      <c r="E19" s="497">
        <f t="shared" si="4"/>
        <v>0</v>
      </c>
      <c r="F19" s="497">
        <f t="shared" si="5"/>
        <v>1</v>
      </c>
      <c r="G19" s="497">
        <f t="shared" si="6"/>
        <v>0</v>
      </c>
      <c r="H19" s="497">
        <f t="shared" si="7"/>
        <v>1</v>
      </c>
      <c r="I19" s="613">
        <v>0.25</v>
      </c>
      <c r="J19" s="613">
        <v>0.25</v>
      </c>
      <c r="K19" s="613">
        <v>0.25</v>
      </c>
      <c r="L19" s="613">
        <v>0</v>
      </c>
      <c r="M19" s="613">
        <v>0.25</v>
      </c>
      <c r="N19" s="450">
        <v>0</v>
      </c>
      <c r="O19" s="446">
        <v>0</v>
      </c>
      <c r="P19" s="446">
        <v>0</v>
      </c>
      <c r="Q19" s="430"/>
      <c r="R19" s="430"/>
      <c r="S19" s="430"/>
      <c r="T19" s="430"/>
      <c r="U19" s="430"/>
      <c r="V19" s="430"/>
      <c r="W19" s="430"/>
      <c r="X19" s="430"/>
      <c r="Y19" s="430"/>
      <c r="Z19" s="430"/>
      <c r="AA19" s="430"/>
      <c r="AB19" s="430"/>
      <c r="AC19" s="430"/>
      <c r="AD19" s="430"/>
      <c r="AE19" s="430"/>
      <c r="AF19" s="430"/>
      <c r="AG19" s="430"/>
      <c r="AH19" s="430"/>
      <c r="AI19" s="430"/>
      <c r="AJ19" s="430"/>
      <c r="AK19" s="430"/>
      <c r="AL19" s="430"/>
      <c r="AM19" s="430"/>
      <c r="AN19" s="430"/>
      <c r="AO19" s="430"/>
      <c r="AP19" s="430"/>
      <c r="AQ19" s="430"/>
      <c r="AR19" s="430"/>
      <c r="AS19" s="430"/>
      <c r="AT19" s="430"/>
      <c r="AU19" s="430"/>
      <c r="AV19" s="430"/>
      <c r="AW19" s="430"/>
      <c r="AX19" s="430"/>
      <c r="AY19" s="430"/>
      <c r="AZ19" s="430"/>
      <c r="BA19" s="430"/>
      <c r="BB19" s="430"/>
      <c r="BC19" s="430"/>
      <c r="BD19" s="430"/>
      <c r="BE19" s="430"/>
    </row>
    <row r="20" spans="1:57">
      <c r="A20" s="442" t="s">
        <v>1047</v>
      </c>
      <c r="B20" s="442" t="s">
        <v>18</v>
      </c>
      <c r="C20" s="442" t="s">
        <v>1108</v>
      </c>
      <c r="D20" s="442" t="s">
        <v>1120</v>
      </c>
      <c r="E20" s="497">
        <f t="shared" si="4"/>
        <v>0</v>
      </c>
      <c r="F20" s="497">
        <f t="shared" si="5"/>
        <v>1</v>
      </c>
      <c r="G20" s="497">
        <f t="shared" si="6"/>
        <v>0</v>
      </c>
      <c r="H20" s="497">
        <f t="shared" si="7"/>
        <v>1</v>
      </c>
      <c r="I20" s="613">
        <v>0</v>
      </c>
      <c r="J20" s="613">
        <v>0</v>
      </c>
      <c r="K20" s="613">
        <v>0.5</v>
      </c>
      <c r="L20" s="613">
        <v>0</v>
      </c>
      <c r="M20" s="613">
        <v>0.5</v>
      </c>
      <c r="N20" s="450">
        <v>0</v>
      </c>
      <c r="O20" s="446">
        <v>0</v>
      </c>
      <c r="P20" s="446">
        <v>0</v>
      </c>
      <c r="Q20" s="430"/>
      <c r="R20" s="430"/>
      <c r="S20" s="430"/>
      <c r="T20" s="430"/>
      <c r="U20" s="430"/>
      <c r="V20" s="430"/>
      <c r="W20" s="430"/>
      <c r="X20" s="430"/>
      <c r="Y20" s="430"/>
      <c r="Z20" s="430"/>
      <c r="AA20" s="430"/>
      <c r="AB20" s="430"/>
      <c r="AC20" s="430"/>
      <c r="AD20" s="430"/>
      <c r="AE20" s="430"/>
      <c r="AF20" s="430"/>
      <c r="AG20" s="430"/>
      <c r="AH20" s="430"/>
      <c r="AI20" s="430"/>
      <c r="AJ20" s="430"/>
      <c r="AK20" s="430"/>
      <c r="AL20" s="430"/>
      <c r="AM20" s="430"/>
      <c r="AN20" s="430"/>
      <c r="AO20" s="430"/>
      <c r="AP20" s="430"/>
      <c r="AQ20" s="430"/>
      <c r="AR20" s="430"/>
      <c r="AS20" s="430"/>
      <c r="AT20" s="430"/>
      <c r="AU20" s="430"/>
      <c r="AV20" s="430"/>
      <c r="AW20" s="430"/>
      <c r="AX20" s="430"/>
      <c r="AY20" s="430"/>
      <c r="AZ20" s="430"/>
      <c r="BA20" s="430"/>
      <c r="BB20" s="430"/>
      <c r="BC20" s="430"/>
      <c r="BD20" s="430"/>
      <c r="BE20" s="430"/>
    </row>
    <row r="21" spans="1:57" s="427" customFormat="1">
      <c r="A21" s="430"/>
      <c r="B21" s="431"/>
      <c r="C21" s="432"/>
      <c r="D21" s="431"/>
      <c r="E21" s="497"/>
      <c r="F21" s="497"/>
      <c r="G21" s="497"/>
      <c r="H21" s="497"/>
      <c r="I21" s="524"/>
      <c r="J21" s="524"/>
      <c r="K21" s="524"/>
      <c r="L21" s="524"/>
      <c r="M21" s="524"/>
      <c r="N21" s="525"/>
      <c r="O21" s="523"/>
      <c r="P21" s="523"/>
      <c r="Q21" s="430"/>
      <c r="R21" s="430"/>
      <c r="S21" s="430"/>
      <c r="T21" s="430"/>
      <c r="U21" s="430"/>
      <c r="V21" s="430"/>
      <c r="W21" s="454"/>
      <c r="X21" s="430"/>
      <c r="Y21" s="430"/>
      <c r="Z21" s="430"/>
      <c r="AA21" s="430"/>
      <c r="AB21" s="430"/>
      <c r="AC21" s="430"/>
      <c r="AD21" s="430"/>
      <c r="AE21" s="430"/>
      <c r="AF21" s="430"/>
      <c r="AG21" s="430"/>
      <c r="AH21" s="430"/>
      <c r="AI21" s="430"/>
      <c r="AJ21" s="430"/>
      <c r="AK21" s="430"/>
      <c r="AL21" s="430"/>
      <c r="AM21" s="430"/>
      <c r="AN21" s="430"/>
      <c r="AO21" s="430"/>
      <c r="AP21" s="430"/>
      <c r="AQ21" s="430"/>
      <c r="AR21" s="430"/>
      <c r="AS21" s="430"/>
      <c r="AT21" s="430"/>
      <c r="AU21" s="430"/>
      <c r="AV21" s="430"/>
      <c r="AW21" s="430"/>
      <c r="AX21" s="430"/>
      <c r="AY21" s="430"/>
      <c r="AZ21" s="430"/>
      <c r="BA21" s="430"/>
      <c r="BB21" s="430"/>
      <c r="BC21" s="430"/>
      <c r="BD21" s="430"/>
      <c r="BE21" s="430"/>
    </row>
    <row r="22" spans="1:57" ht="14.65" customHeight="1">
      <c r="A22" s="437" t="s">
        <v>1096</v>
      </c>
      <c r="B22" s="606"/>
      <c r="C22" s="607"/>
      <c r="D22" s="606"/>
      <c r="E22" s="609"/>
      <c r="F22" s="609"/>
      <c r="G22" s="609"/>
      <c r="H22" s="609"/>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437"/>
      <c r="AN22" s="437"/>
      <c r="AO22" s="437"/>
      <c r="AP22" s="437"/>
      <c r="AQ22" s="437"/>
      <c r="AR22" s="437"/>
      <c r="AS22" s="437"/>
      <c r="AT22" s="437"/>
      <c r="AU22" s="437"/>
      <c r="AV22" s="437"/>
      <c r="AW22" s="437"/>
      <c r="AX22" s="437"/>
      <c r="AY22" s="437"/>
      <c r="AZ22" s="437"/>
      <c r="BA22" s="437"/>
      <c r="BB22" s="437"/>
      <c r="BC22" s="437"/>
      <c r="BD22" s="437"/>
      <c r="BE22" s="437"/>
    </row>
    <row r="23" spans="1:57" ht="14.65" customHeight="1">
      <c r="A23" s="437" t="s">
        <v>1121</v>
      </c>
      <c r="B23" s="606"/>
      <c r="C23" s="607"/>
      <c r="D23" s="606"/>
      <c r="E23" s="610" t="s">
        <v>1098</v>
      </c>
      <c r="F23" s="610" t="s">
        <v>1099</v>
      </c>
      <c r="G23" s="610" t="s">
        <v>1100</v>
      </c>
      <c r="H23" s="610" t="s">
        <v>1101</v>
      </c>
      <c r="I23" s="611" t="s">
        <v>1102</v>
      </c>
      <c r="J23" s="611" t="s">
        <v>1103</v>
      </c>
      <c r="K23" s="611" t="s">
        <v>195</v>
      </c>
      <c r="L23" s="611" t="s">
        <v>1104</v>
      </c>
      <c r="M23" s="611" t="s">
        <v>1105</v>
      </c>
      <c r="N23" s="611" t="s">
        <v>895</v>
      </c>
      <c r="O23" s="611" t="s">
        <v>1106</v>
      </c>
      <c r="P23" s="611" t="s">
        <v>1107</v>
      </c>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437"/>
      <c r="AN23" s="437"/>
      <c r="AO23" s="437"/>
      <c r="AP23" s="437"/>
      <c r="AQ23" s="437"/>
      <c r="AR23" s="437"/>
      <c r="AS23" s="437"/>
      <c r="AT23" s="437"/>
      <c r="AU23" s="437"/>
      <c r="AV23" s="437"/>
      <c r="AW23" s="437"/>
      <c r="AX23" s="437"/>
      <c r="AY23" s="437"/>
      <c r="AZ23" s="437"/>
      <c r="BA23" s="437"/>
      <c r="BB23" s="437"/>
      <c r="BC23" s="437"/>
      <c r="BD23" s="437"/>
      <c r="BE23" s="437"/>
    </row>
    <row r="24" spans="1:57" ht="14.65" customHeight="1">
      <c r="A24" s="442" t="s">
        <v>1050</v>
      </c>
      <c r="B24" s="535" t="s">
        <v>18</v>
      </c>
      <c r="C24" s="533" t="s">
        <v>1108</v>
      </c>
      <c r="D24" s="535" t="s">
        <v>1122</v>
      </c>
      <c r="E24" s="497">
        <f t="shared" ref="E24:E34" si="8">1-F24</f>
        <v>0</v>
      </c>
      <c r="F24" s="497">
        <f t="shared" ref="F24:F34" si="9">G24+H24</f>
        <v>1</v>
      </c>
      <c r="G24" s="497">
        <f t="shared" ref="G24:G34" si="10">1-H24</f>
        <v>1</v>
      </c>
      <c r="H24" s="497">
        <f t="shared" ref="H24:H34" si="11">+SUM(I24:O24)</f>
        <v>0</v>
      </c>
      <c r="I24" s="612">
        <v>0</v>
      </c>
      <c r="J24" s="612">
        <v>0</v>
      </c>
      <c r="K24" s="612">
        <v>0</v>
      </c>
      <c r="L24" s="612">
        <v>0</v>
      </c>
      <c r="M24" s="612">
        <v>0</v>
      </c>
      <c r="N24" s="450">
        <v>0</v>
      </c>
      <c r="O24" s="446">
        <v>0</v>
      </c>
      <c r="P24" s="446">
        <v>0</v>
      </c>
      <c r="Q24" s="430"/>
      <c r="R24" s="430"/>
      <c r="S24" s="430"/>
      <c r="T24" s="430"/>
      <c r="U24" s="430"/>
      <c r="V24" s="430"/>
      <c r="W24" s="430"/>
      <c r="X24" s="430"/>
      <c r="Y24" s="430"/>
      <c r="Z24" s="430"/>
      <c r="AA24" s="430"/>
      <c r="AB24" s="430"/>
      <c r="AC24" s="430"/>
      <c r="AD24" s="430"/>
      <c r="AE24" s="430"/>
      <c r="AF24" s="430"/>
      <c r="AG24" s="430"/>
      <c r="AH24" s="430"/>
      <c r="AI24" s="430"/>
      <c r="AJ24" s="430"/>
      <c r="AK24" s="430"/>
      <c r="AL24" s="430"/>
      <c r="AM24" s="430"/>
      <c r="AN24" s="430"/>
      <c r="AO24" s="430"/>
      <c r="AP24" s="430"/>
      <c r="AQ24" s="430"/>
      <c r="AR24" s="430"/>
      <c r="AS24" s="430"/>
      <c r="AT24" s="430"/>
      <c r="AU24" s="430"/>
      <c r="AV24" s="430"/>
      <c r="AW24" s="430"/>
      <c r="AX24" s="430"/>
      <c r="AY24" s="430"/>
      <c r="AZ24" s="430"/>
      <c r="BA24" s="430"/>
      <c r="BB24" s="430"/>
      <c r="BC24" s="430"/>
      <c r="BD24" s="430"/>
      <c r="BE24" s="430"/>
    </row>
    <row r="25" spans="1:57">
      <c r="A25" s="442" t="s">
        <v>1052</v>
      </c>
      <c r="B25" s="535" t="s">
        <v>18</v>
      </c>
      <c r="C25" s="533" t="s">
        <v>1108</v>
      </c>
      <c r="D25" s="535" t="s">
        <v>1123</v>
      </c>
      <c r="E25" s="497">
        <f t="shared" si="8"/>
        <v>0</v>
      </c>
      <c r="F25" s="497">
        <f t="shared" si="9"/>
        <v>1</v>
      </c>
      <c r="G25" s="497">
        <f t="shared" si="10"/>
        <v>0</v>
      </c>
      <c r="H25" s="497">
        <f t="shared" si="11"/>
        <v>1</v>
      </c>
      <c r="I25" s="613">
        <v>0</v>
      </c>
      <c r="J25" s="613">
        <v>0</v>
      </c>
      <c r="K25" s="613">
        <v>0.5</v>
      </c>
      <c r="L25" s="613">
        <v>0.5</v>
      </c>
      <c r="M25" s="613">
        <v>0</v>
      </c>
      <c r="N25" s="450">
        <v>0</v>
      </c>
      <c r="O25" s="446">
        <v>0</v>
      </c>
      <c r="P25" s="446">
        <v>0</v>
      </c>
      <c r="Q25" s="430"/>
      <c r="R25" s="430"/>
      <c r="S25" s="430"/>
      <c r="T25" s="430"/>
      <c r="U25" s="430"/>
      <c r="V25" s="430"/>
      <c r="W25" s="430"/>
      <c r="X25" s="430"/>
      <c r="Y25" s="430"/>
      <c r="Z25" s="430"/>
      <c r="AA25" s="430"/>
      <c r="AB25" s="430"/>
      <c r="AC25" s="430"/>
      <c r="AD25" s="430"/>
      <c r="AE25" s="430"/>
      <c r="AF25" s="430"/>
      <c r="AG25" s="430"/>
      <c r="AH25" s="430"/>
      <c r="AI25" s="430"/>
      <c r="AJ25" s="430"/>
      <c r="AK25" s="430"/>
      <c r="AL25" s="430"/>
      <c r="AM25" s="430"/>
      <c r="AN25" s="430"/>
      <c r="AO25" s="430"/>
      <c r="AP25" s="430"/>
      <c r="AQ25" s="430"/>
      <c r="AR25" s="430"/>
      <c r="AS25" s="430"/>
      <c r="AT25" s="430"/>
      <c r="AU25" s="430"/>
      <c r="AV25" s="430"/>
      <c r="AW25" s="430"/>
      <c r="AX25" s="430"/>
      <c r="AY25" s="430"/>
      <c r="AZ25" s="430"/>
      <c r="BA25" s="430"/>
      <c r="BB25" s="430"/>
      <c r="BC25" s="430"/>
      <c r="BD25" s="430"/>
      <c r="BE25" s="430"/>
    </row>
    <row r="26" spans="1:57">
      <c r="A26" s="442" t="s">
        <v>1054</v>
      </c>
      <c r="B26" s="535" t="s">
        <v>18</v>
      </c>
      <c r="C26" s="533" t="s">
        <v>1108</v>
      </c>
      <c r="D26" s="535" t="s">
        <v>1124</v>
      </c>
      <c r="E26" s="497">
        <f t="shared" si="8"/>
        <v>0</v>
      </c>
      <c r="F26" s="497">
        <f t="shared" si="9"/>
        <v>1</v>
      </c>
      <c r="G26" s="497">
        <f t="shared" si="10"/>
        <v>0</v>
      </c>
      <c r="H26" s="497">
        <f t="shared" si="11"/>
        <v>1</v>
      </c>
      <c r="I26" s="613">
        <v>0</v>
      </c>
      <c r="J26" s="613">
        <v>0</v>
      </c>
      <c r="K26" s="613">
        <v>0.5</v>
      </c>
      <c r="L26" s="613">
        <v>0.5</v>
      </c>
      <c r="M26" s="613">
        <v>0</v>
      </c>
      <c r="N26" s="450">
        <v>0</v>
      </c>
      <c r="O26" s="446">
        <v>0</v>
      </c>
      <c r="P26" s="446">
        <v>0</v>
      </c>
      <c r="Q26" s="430"/>
      <c r="R26" s="430"/>
      <c r="S26" s="430"/>
      <c r="T26" s="430"/>
      <c r="U26" s="430"/>
      <c r="V26" s="430"/>
      <c r="W26" s="430"/>
      <c r="X26" s="430"/>
      <c r="Y26" s="430"/>
      <c r="Z26" s="430"/>
      <c r="AA26" s="430"/>
      <c r="AB26" s="430"/>
      <c r="AC26" s="430"/>
      <c r="AD26" s="430"/>
      <c r="AE26" s="430"/>
      <c r="AF26" s="430"/>
      <c r="AG26" s="430"/>
      <c r="AH26" s="430"/>
      <c r="AI26" s="430"/>
      <c r="AJ26" s="430"/>
      <c r="AK26" s="430"/>
      <c r="AL26" s="430"/>
      <c r="AM26" s="430"/>
      <c r="AN26" s="430"/>
      <c r="AO26" s="430"/>
      <c r="AP26" s="430"/>
      <c r="AQ26" s="430"/>
      <c r="AR26" s="430"/>
      <c r="AS26" s="430"/>
      <c r="AT26" s="430"/>
      <c r="AU26" s="430"/>
      <c r="AV26" s="430"/>
      <c r="AW26" s="430"/>
      <c r="AX26" s="430"/>
      <c r="AY26" s="430"/>
      <c r="AZ26" s="430"/>
      <c r="BA26" s="430"/>
      <c r="BB26" s="430"/>
      <c r="BC26" s="430"/>
      <c r="BD26" s="430"/>
      <c r="BE26" s="430"/>
    </row>
    <row r="27" spans="1:57">
      <c r="A27" s="442" t="s">
        <v>1056</v>
      </c>
      <c r="B27" s="535" t="s">
        <v>18</v>
      </c>
      <c r="C27" s="533" t="s">
        <v>1108</v>
      </c>
      <c r="D27" s="535" t="s">
        <v>1125</v>
      </c>
      <c r="E27" s="497">
        <f t="shared" si="8"/>
        <v>0</v>
      </c>
      <c r="F27" s="497">
        <f t="shared" si="9"/>
        <v>1</v>
      </c>
      <c r="G27" s="497">
        <f t="shared" si="10"/>
        <v>1</v>
      </c>
      <c r="H27" s="497">
        <f t="shared" si="11"/>
        <v>0</v>
      </c>
      <c r="I27" s="613">
        <v>0</v>
      </c>
      <c r="J27" s="613">
        <v>0</v>
      </c>
      <c r="K27" s="613">
        <v>0</v>
      </c>
      <c r="L27" s="613">
        <v>0</v>
      </c>
      <c r="M27" s="613">
        <v>0</v>
      </c>
      <c r="N27" s="450">
        <v>0</v>
      </c>
      <c r="O27" s="446">
        <v>0</v>
      </c>
      <c r="P27" s="446">
        <v>0</v>
      </c>
      <c r="Q27" s="430"/>
      <c r="R27" s="430"/>
      <c r="S27" s="430"/>
      <c r="T27" s="430"/>
      <c r="U27" s="430"/>
      <c r="V27" s="430"/>
      <c r="W27" s="430"/>
      <c r="X27" s="430"/>
      <c r="Y27" s="430"/>
      <c r="Z27" s="430"/>
      <c r="AA27" s="430"/>
      <c r="AB27" s="430"/>
      <c r="AC27" s="430"/>
      <c r="AD27" s="430"/>
      <c r="AE27" s="430"/>
      <c r="AF27" s="430"/>
      <c r="AG27" s="430"/>
      <c r="AH27" s="430"/>
      <c r="AI27" s="430"/>
      <c r="AJ27" s="430"/>
      <c r="AK27" s="430"/>
      <c r="AL27" s="430"/>
      <c r="AM27" s="430"/>
      <c r="AN27" s="430"/>
      <c r="AO27" s="430"/>
      <c r="AP27" s="430"/>
      <c r="AQ27" s="430"/>
      <c r="AR27" s="430"/>
      <c r="AS27" s="430"/>
      <c r="AT27" s="430"/>
      <c r="AU27" s="430"/>
      <c r="AV27" s="430"/>
      <c r="AW27" s="430"/>
      <c r="AX27" s="430"/>
      <c r="AY27" s="430"/>
      <c r="AZ27" s="430"/>
      <c r="BA27" s="430"/>
      <c r="BB27" s="430"/>
      <c r="BC27" s="430"/>
      <c r="BD27" s="430"/>
      <c r="BE27" s="430"/>
    </row>
    <row r="28" spans="1:57">
      <c r="A28" s="442" t="s">
        <v>1058</v>
      </c>
      <c r="B28" s="535" t="s">
        <v>18</v>
      </c>
      <c r="C28" s="533" t="s">
        <v>1108</v>
      </c>
      <c r="D28" s="535" t="s">
        <v>1126</v>
      </c>
      <c r="E28" s="497">
        <f t="shared" si="8"/>
        <v>0</v>
      </c>
      <c r="F28" s="497">
        <f t="shared" si="9"/>
        <v>1</v>
      </c>
      <c r="G28" s="497">
        <f t="shared" si="10"/>
        <v>1</v>
      </c>
      <c r="H28" s="497">
        <f t="shared" si="11"/>
        <v>0</v>
      </c>
      <c r="I28" s="613">
        <v>0</v>
      </c>
      <c r="J28" s="613">
        <v>0</v>
      </c>
      <c r="K28" s="613">
        <v>0</v>
      </c>
      <c r="L28" s="613">
        <v>0</v>
      </c>
      <c r="M28" s="613">
        <v>0</v>
      </c>
      <c r="N28" s="450">
        <v>0</v>
      </c>
      <c r="O28" s="446">
        <v>0</v>
      </c>
      <c r="P28" s="446">
        <v>0</v>
      </c>
      <c r="Q28" s="430"/>
      <c r="R28" s="430"/>
      <c r="S28" s="430"/>
      <c r="T28" s="430"/>
      <c r="U28" s="430"/>
      <c r="V28" s="430"/>
      <c r="W28" s="430"/>
      <c r="X28" s="430"/>
      <c r="Y28" s="430"/>
      <c r="Z28" s="430"/>
      <c r="AA28" s="430"/>
      <c r="AB28" s="430"/>
      <c r="AC28" s="430"/>
      <c r="AD28" s="430"/>
      <c r="AE28" s="430"/>
      <c r="AF28" s="430"/>
      <c r="AG28" s="430"/>
      <c r="AH28" s="430"/>
      <c r="AI28" s="430"/>
      <c r="AJ28" s="430"/>
      <c r="AK28" s="430"/>
      <c r="AL28" s="430"/>
      <c r="AM28" s="430"/>
      <c r="AN28" s="430"/>
      <c r="AO28" s="430"/>
      <c r="AP28" s="430"/>
      <c r="AQ28" s="430"/>
      <c r="AR28" s="430"/>
      <c r="AS28" s="430"/>
      <c r="AT28" s="430"/>
      <c r="AU28" s="430"/>
      <c r="AV28" s="430"/>
      <c r="AW28" s="430"/>
      <c r="AX28" s="430"/>
      <c r="AY28" s="430"/>
      <c r="AZ28" s="430"/>
      <c r="BA28" s="430"/>
      <c r="BB28" s="430"/>
      <c r="BC28" s="430"/>
      <c r="BD28" s="430"/>
      <c r="BE28" s="430"/>
    </row>
    <row r="29" spans="1:57">
      <c r="A29" s="442" t="s">
        <v>1060</v>
      </c>
      <c r="B29" s="535" t="s">
        <v>18</v>
      </c>
      <c r="C29" s="533" t="s">
        <v>1108</v>
      </c>
      <c r="D29" s="535" t="s">
        <v>1127</v>
      </c>
      <c r="E29" s="497">
        <f t="shared" si="8"/>
        <v>0</v>
      </c>
      <c r="F29" s="497">
        <f t="shared" si="9"/>
        <v>1</v>
      </c>
      <c r="G29" s="497">
        <f t="shared" si="10"/>
        <v>1</v>
      </c>
      <c r="H29" s="497">
        <f t="shared" si="11"/>
        <v>0</v>
      </c>
      <c r="I29" s="613">
        <v>0</v>
      </c>
      <c r="J29" s="613">
        <v>0</v>
      </c>
      <c r="K29" s="613">
        <v>0</v>
      </c>
      <c r="L29" s="613">
        <v>0</v>
      </c>
      <c r="M29" s="613">
        <v>0</v>
      </c>
      <c r="N29" s="450">
        <v>0</v>
      </c>
      <c r="O29" s="446">
        <v>0</v>
      </c>
      <c r="P29" s="446">
        <v>0</v>
      </c>
      <c r="Q29" s="430"/>
      <c r="R29" s="430"/>
      <c r="S29" s="430"/>
      <c r="T29" s="430"/>
      <c r="U29" s="430"/>
      <c r="V29" s="430"/>
      <c r="W29" s="430"/>
      <c r="X29" s="430"/>
      <c r="Y29" s="430"/>
      <c r="Z29" s="430"/>
      <c r="AA29" s="430"/>
      <c r="AB29" s="430"/>
      <c r="AC29" s="430"/>
      <c r="AD29" s="430"/>
      <c r="AE29" s="430"/>
      <c r="AF29" s="430"/>
      <c r="AG29" s="430"/>
      <c r="AH29" s="430"/>
      <c r="AI29" s="430"/>
      <c r="AJ29" s="430"/>
      <c r="AK29" s="430"/>
      <c r="AL29" s="430"/>
      <c r="AM29" s="430"/>
      <c r="AN29" s="430"/>
      <c r="AO29" s="430"/>
      <c r="AP29" s="430"/>
      <c r="AQ29" s="430"/>
      <c r="AR29" s="430"/>
      <c r="AS29" s="430"/>
      <c r="AT29" s="430"/>
      <c r="AU29" s="430"/>
      <c r="AV29" s="430"/>
      <c r="AW29" s="430"/>
      <c r="AX29" s="430"/>
      <c r="AY29" s="430"/>
      <c r="AZ29" s="430"/>
      <c r="BA29" s="430"/>
      <c r="BB29" s="430"/>
      <c r="BC29" s="430"/>
      <c r="BD29" s="430"/>
      <c r="BE29" s="430"/>
    </row>
    <row r="30" spans="1:57">
      <c r="A30" s="442" t="s">
        <v>1062</v>
      </c>
      <c r="B30" s="535" t="s">
        <v>18</v>
      </c>
      <c r="C30" s="533" t="s">
        <v>1108</v>
      </c>
      <c r="D30" s="535" t="s">
        <v>1128</v>
      </c>
      <c r="E30" s="497">
        <f t="shared" si="8"/>
        <v>0</v>
      </c>
      <c r="F30" s="497">
        <f t="shared" si="9"/>
        <v>1</v>
      </c>
      <c r="G30" s="497">
        <f t="shared" si="10"/>
        <v>1</v>
      </c>
      <c r="H30" s="497">
        <f t="shared" si="11"/>
        <v>0</v>
      </c>
      <c r="I30" s="613">
        <v>0</v>
      </c>
      <c r="J30" s="613">
        <v>0</v>
      </c>
      <c r="K30" s="613">
        <v>0</v>
      </c>
      <c r="L30" s="613">
        <v>0</v>
      </c>
      <c r="M30" s="613">
        <v>0</v>
      </c>
      <c r="N30" s="450">
        <v>0</v>
      </c>
      <c r="O30" s="446">
        <v>0</v>
      </c>
      <c r="P30" s="446">
        <v>0</v>
      </c>
      <c r="Q30" s="430"/>
      <c r="R30" s="430"/>
      <c r="S30" s="430"/>
      <c r="T30" s="430"/>
      <c r="U30" s="430"/>
      <c r="V30" s="430"/>
      <c r="W30" s="430"/>
      <c r="X30" s="430"/>
      <c r="Y30" s="430"/>
      <c r="Z30" s="430"/>
      <c r="AA30" s="430"/>
      <c r="AB30" s="430"/>
      <c r="AC30" s="430"/>
      <c r="AD30" s="430"/>
      <c r="AE30" s="430"/>
      <c r="AF30" s="430"/>
      <c r="AG30" s="430"/>
      <c r="AH30" s="430"/>
      <c r="AI30" s="430"/>
      <c r="AJ30" s="430"/>
      <c r="AK30" s="430"/>
      <c r="AL30" s="430"/>
      <c r="AM30" s="430"/>
      <c r="AN30" s="430"/>
      <c r="AO30" s="430"/>
      <c r="AP30" s="430"/>
      <c r="AQ30" s="430"/>
      <c r="AR30" s="430"/>
      <c r="AS30" s="430"/>
      <c r="AT30" s="430"/>
      <c r="AU30" s="430"/>
      <c r="AV30" s="430"/>
      <c r="AW30" s="430"/>
      <c r="AX30" s="430"/>
      <c r="AY30" s="430"/>
      <c r="AZ30" s="430"/>
      <c r="BA30" s="430"/>
      <c r="BB30" s="430"/>
      <c r="BC30" s="430"/>
      <c r="BD30" s="430"/>
      <c r="BE30" s="430"/>
    </row>
    <row r="31" spans="1:57">
      <c r="A31" s="442" t="s">
        <v>1064</v>
      </c>
      <c r="B31" s="535" t="s">
        <v>18</v>
      </c>
      <c r="C31" s="533" t="s">
        <v>1108</v>
      </c>
      <c r="D31" s="535" t="s">
        <v>1129</v>
      </c>
      <c r="E31" s="497">
        <f t="shared" si="8"/>
        <v>0</v>
      </c>
      <c r="F31" s="497">
        <f t="shared" si="9"/>
        <v>1</v>
      </c>
      <c r="G31" s="497">
        <f t="shared" si="10"/>
        <v>1</v>
      </c>
      <c r="H31" s="497">
        <f t="shared" si="11"/>
        <v>0</v>
      </c>
      <c r="I31" s="613">
        <v>0</v>
      </c>
      <c r="J31" s="613">
        <v>0</v>
      </c>
      <c r="K31" s="613">
        <v>0</v>
      </c>
      <c r="L31" s="613">
        <v>0</v>
      </c>
      <c r="M31" s="613">
        <v>0</v>
      </c>
      <c r="N31" s="450">
        <v>0</v>
      </c>
      <c r="O31" s="446">
        <v>0</v>
      </c>
      <c r="P31" s="446">
        <v>0</v>
      </c>
      <c r="Q31" s="430"/>
      <c r="R31" s="430"/>
      <c r="S31" s="430"/>
      <c r="T31" s="430"/>
      <c r="U31" s="430"/>
      <c r="V31" s="430"/>
      <c r="W31" s="430"/>
      <c r="X31" s="430"/>
      <c r="Y31" s="430"/>
      <c r="Z31" s="430"/>
      <c r="AA31" s="430"/>
      <c r="AB31" s="430"/>
      <c r="AC31" s="430"/>
      <c r="AD31" s="430"/>
      <c r="AE31" s="430"/>
      <c r="AF31" s="430"/>
      <c r="AG31" s="430"/>
      <c r="AH31" s="430"/>
      <c r="AI31" s="430"/>
      <c r="AJ31" s="430"/>
      <c r="AK31" s="430"/>
      <c r="AL31" s="430"/>
      <c r="AM31" s="430"/>
      <c r="AN31" s="430"/>
      <c r="AO31" s="430"/>
      <c r="AP31" s="430"/>
      <c r="AQ31" s="430"/>
      <c r="AR31" s="430"/>
      <c r="AS31" s="430"/>
      <c r="AT31" s="430"/>
      <c r="AU31" s="430"/>
      <c r="AV31" s="430"/>
      <c r="AW31" s="430"/>
      <c r="AX31" s="430"/>
      <c r="AY31" s="430"/>
      <c r="AZ31" s="430"/>
      <c r="BA31" s="430"/>
      <c r="BB31" s="430"/>
      <c r="BC31" s="430"/>
      <c r="BD31" s="430"/>
      <c r="BE31" s="430"/>
    </row>
    <row r="32" spans="1:57">
      <c r="A32" s="442" t="s">
        <v>1066</v>
      </c>
      <c r="B32" s="535" t="s">
        <v>18</v>
      </c>
      <c r="C32" s="533" t="s">
        <v>1108</v>
      </c>
      <c r="D32" s="535" t="s">
        <v>1130</v>
      </c>
      <c r="E32" s="497">
        <f t="shared" si="8"/>
        <v>0</v>
      </c>
      <c r="F32" s="497">
        <f t="shared" si="9"/>
        <v>1</v>
      </c>
      <c r="G32" s="497">
        <f t="shared" si="10"/>
        <v>1</v>
      </c>
      <c r="H32" s="497">
        <f t="shared" si="11"/>
        <v>0</v>
      </c>
      <c r="I32" s="613">
        <v>0</v>
      </c>
      <c r="J32" s="613">
        <v>0</v>
      </c>
      <c r="K32" s="613">
        <v>0</v>
      </c>
      <c r="L32" s="613">
        <v>0</v>
      </c>
      <c r="M32" s="613">
        <v>0</v>
      </c>
      <c r="N32" s="450">
        <v>0</v>
      </c>
      <c r="O32" s="446">
        <v>0</v>
      </c>
      <c r="P32" s="446">
        <v>0</v>
      </c>
      <c r="Q32" s="430"/>
      <c r="R32" s="430"/>
      <c r="S32" s="430"/>
      <c r="T32" s="430"/>
      <c r="U32" s="430"/>
      <c r="V32" s="430"/>
      <c r="W32" s="430"/>
      <c r="X32" s="430"/>
      <c r="Y32" s="430"/>
      <c r="Z32" s="430"/>
      <c r="AA32" s="430"/>
      <c r="AB32" s="430"/>
      <c r="AC32" s="430"/>
      <c r="AD32" s="430"/>
      <c r="AE32" s="430"/>
      <c r="AF32" s="430"/>
      <c r="AG32" s="430"/>
      <c r="AH32" s="430"/>
      <c r="AI32" s="430"/>
      <c r="AJ32" s="430"/>
      <c r="AK32" s="430"/>
      <c r="AL32" s="430"/>
      <c r="AM32" s="430"/>
      <c r="AN32" s="430"/>
      <c r="AO32" s="430"/>
      <c r="AP32" s="430"/>
      <c r="AQ32" s="430"/>
      <c r="AR32" s="430"/>
      <c r="AS32" s="430"/>
      <c r="AT32" s="430"/>
      <c r="AU32" s="430"/>
      <c r="AV32" s="430"/>
      <c r="AW32" s="430"/>
      <c r="AX32" s="430"/>
      <c r="AY32" s="430"/>
      <c r="AZ32" s="430"/>
      <c r="BA32" s="430"/>
      <c r="BB32" s="430"/>
      <c r="BC32" s="430"/>
      <c r="BD32" s="430"/>
      <c r="BE32" s="430"/>
    </row>
    <row r="33" spans="1:57">
      <c r="A33" s="442" t="s">
        <v>1068</v>
      </c>
      <c r="B33" s="535" t="s">
        <v>18</v>
      </c>
      <c r="C33" s="533" t="s">
        <v>1108</v>
      </c>
      <c r="D33" s="535" t="s">
        <v>1131</v>
      </c>
      <c r="E33" s="497">
        <f t="shared" si="8"/>
        <v>0</v>
      </c>
      <c r="F33" s="497">
        <f t="shared" si="9"/>
        <v>1</v>
      </c>
      <c r="G33" s="497">
        <f t="shared" si="10"/>
        <v>1</v>
      </c>
      <c r="H33" s="497">
        <f t="shared" si="11"/>
        <v>0</v>
      </c>
      <c r="I33" s="613">
        <v>0</v>
      </c>
      <c r="J33" s="613">
        <v>0</v>
      </c>
      <c r="K33" s="613">
        <v>0</v>
      </c>
      <c r="L33" s="613">
        <v>0</v>
      </c>
      <c r="M33" s="613">
        <v>0</v>
      </c>
      <c r="N33" s="450">
        <v>0</v>
      </c>
      <c r="O33" s="446">
        <v>0</v>
      </c>
      <c r="P33" s="446">
        <v>0</v>
      </c>
      <c r="Q33" s="430"/>
      <c r="R33" s="430"/>
      <c r="S33" s="430"/>
      <c r="T33" s="430"/>
      <c r="U33" s="430"/>
      <c r="V33" s="430"/>
      <c r="W33" s="430"/>
      <c r="X33" s="430"/>
      <c r="Y33" s="430"/>
      <c r="Z33" s="430"/>
      <c r="AA33" s="430"/>
      <c r="AB33" s="430"/>
      <c r="AC33" s="430"/>
      <c r="AD33" s="430"/>
      <c r="AE33" s="430"/>
      <c r="AF33" s="430"/>
      <c r="AG33" s="430"/>
      <c r="AH33" s="430"/>
      <c r="AI33" s="430"/>
      <c r="AJ33" s="430"/>
      <c r="AK33" s="430"/>
      <c r="AL33" s="430"/>
      <c r="AM33" s="430"/>
      <c r="AN33" s="430"/>
      <c r="AO33" s="430"/>
      <c r="AP33" s="430"/>
      <c r="AQ33" s="430"/>
      <c r="AR33" s="430"/>
      <c r="AS33" s="430"/>
      <c r="AT33" s="430"/>
      <c r="AU33" s="430"/>
      <c r="AV33" s="430"/>
      <c r="AW33" s="430"/>
      <c r="AX33" s="430"/>
      <c r="AY33" s="430"/>
      <c r="AZ33" s="430"/>
      <c r="BA33" s="430"/>
      <c r="BB33" s="430"/>
      <c r="BC33" s="430"/>
      <c r="BD33" s="430"/>
      <c r="BE33" s="430"/>
    </row>
    <row r="34" spans="1:57">
      <c r="A34" s="442" t="s">
        <v>1070</v>
      </c>
      <c r="B34" s="535" t="s">
        <v>18</v>
      </c>
      <c r="C34" s="533" t="s">
        <v>1108</v>
      </c>
      <c r="D34" s="535" t="s">
        <v>1132</v>
      </c>
      <c r="E34" s="497">
        <f t="shared" si="8"/>
        <v>0</v>
      </c>
      <c r="F34" s="497">
        <f t="shared" si="9"/>
        <v>1</v>
      </c>
      <c r="G34" s="497">
        <f t="shared" si="10"/>
        <v>1</v>
      </c>
      <c r="H34" s="497">
        <f t="shared" si="11"/>
        <v>0</v>
      </c>
      <c r="I34" s="613">
        <v>0</v>
      </c>
      <c r="J34" s="613">
        <v>0</v>
      </c>
      <c r="K34" s="613">
        <v>0</v>
      </c>
      <c r="L34" s="613">
        <v>0</v>
      </c>
      <c r="M34" s="613">
        <v>0</v>
      </c>
      <c r="N34" s="450">
        <v>0</v>
      </c>
      <c r="O34" s="446">
        <v>0</v>
      </c>
      <c r="P34" s="446">
        <v>0</v>
      </c>
      <c r="Q34" s="430"/>
      <c r="R34" s="430"/>
      <c r="S34" s="430"/>
      <c r="T34" s="430"/>
      <c r="U34" s="430"/>
      <c r="V34" s="430"/>
      <c r="W34" s="430"/>
      <c r="X34" s="430"/>
      <c r="Y34" s="430"/>
      <c r="Z34" s="430"/>
      <c r="AA34" s="430"/>
      <c r="AB34" s="430"/>
      <c r="AC34" s="430"/>
      <c r="AD34" s="430"/>
      <c r="AE34" s="430"/>
      <c r="AF34" s="430"/>
      <c r="AG34" s="430"/>
      <c r="AH34" s="430"/>
      <c r="AI34" s="430"/>
      <c r="AJ34" s="430"/>
      <c r="AK34" s="430"/>
      <c r="AL34" s="430"/>
      <c r="AM34" s="430"/>
      <c r="AN34" s="430"/>
      <c r="AO34" s="430"/>
      <c r="AP34" s="430"/>
      <c r="AQ34" s="430"/>
      <c r="AR34" s="430"/>
      <c r="AS34" s="430"/>
      <c r="AT34" s="430"/>
      <c r="AU34" s="430"/>
      <c r="AV34" s="430"/>
      <c r="AW34" s="430"/>
      <c r="AX34" s="430"/>
      <c r="AY34" s="430"/>
      <c r="AZ34" s="430"/>
      <c r="BA34" s="430"/>
      <c r="BB34" s="430"/>
      <c r="BC34" s="430"/>
      <c r="BD34" s="430"/>
      <c r="BE34" s="430"/>
    </row>
    <row r="35" spans="1:57">
      <c r="A35" s="430"/>
      <c r="B35" s="430"/>
      <c r="C35" s="430"/>
      <c r="D35" s="430"/>
      <c r="E35" s="430"/>
      <c r="F35" s="430"/>
      <c r="G35" s="430"/>
      <c r="H35" s="430"/>
      <c r="I35" s="430"/>
      <c r="J35" s="430"/>
      <c r="K35" s="430"/>
      <c r="L35" s="430"/>
      <c r="M35" s="430"/>
      <c r="N35" s="430"/>
      <c r="O35" s="430"/>
      <c r="P35" s="430"/>
      <c r="Q35" s="430"/>
      <c r="R35" s="430"/>
      <c r="S35" s="430"/>
      <c r="T35" s="430"/>
      <c r="U35" s="430"/>
      <c r="V35" s="430"/>
      <c r="W35" s="430"/>
      <c r="X35" s="430"/>
      <c r="Y35" s="430"/>
      <c r="Z35" s="430"/>
      <c r="AA35" s="430"/>
      <c r="AB35" s="430"/>
      <c r="AC35" s="430"/>
      <c r="AD35" s="430"/>
      <c r="AE35" s="430"/>
      <c r="AF35" s="430"/>
      <c r="AG35" s="430"/>
      <c r="AH35" s="430"/>
      <c r="AI35" s="430"/>
      <c r="AJ35" s="430"/>
      <c r="AK35" s="430"/>
      <c r="AL35" s="430"/>
      <c r="AM35" s="430"/>
      <c r="AN35" s="430"/>
      <c r="AO35" s="430"/>
      <c r="AP35" s="430"/>
      <c r="AQ35" s="430"/>
      <c r="AR35" s="430"/>
      <c r="AS35" s="430"/>
      <c r="AT35" s="430"/>
      <c r="AU35" s="430"/>
      <c r="AV35" s="430"/>
      <c r="AW35" s="430"/>
      <c r="AX35" s="430"/>
      <c r="AY35" s="430"/>
      <c r="AZ35" s="430"/>
      <c r="BA35" s="430"/>
      <c r="BB35" s="430"/>
      <c r="BC35" s="430"/>
      <c r="BD35" s="430"/>
      <c r="BE35" s="430"/>
    </row>
    <row r="36" spans="1:57" ht="14.65" customHeight="1">
      <c r="A36" s="442" t="s">
        <v>1096</v>
      </c>
      <c r="B36" s="431"/>
      <c r="C36" s="432"/>
      <c r="D36" s="431"/>
      <c r="E36" s="565"/>
      <c r="F36" s="565"/>
      <c r="G36" s="565"/>
      <c r="H36" s="565"/>
      <c r="I36" s="430"/>
      <c r="J36" s="430"/>
      <c r="K36" s="430"/>
      <c r="L36" s="430"/>
      <c r="M36" s="430"/>
      <c r="N36" s="430"/>
      <c r="O36" s="430"/>
      <c r="P36" s="430"/>
      <c r="Q36" s="430"/>
      <c r="R36" s="430"/>
      <c r="S36" s="430"/>
      <c r="T36" s="430"/>
      <c r="U36" s="430"/>
      <c r="V36" s="430"/>
      <c r="W36" s="430"/>
      <c r="X36" s="430"/>
      <c r="Y36" s="430"/>
      <c r="Z36" s="430"/>
      <c r="AA36" s="430"/>
      <c r="AB36" s="430"/>
      <c r="AC36" s="430"/>
      <c r="AD36" s="430"/>
      <c r="AE36" s="430"/>
      <c r="AF36" s="430"/>
      <c r="AG36" s="430"/>
      <c r="AH36" s="430"/>
      <c r="AI36" s="430"/>
      <c r="AJ36" s="430"/>
      <c r="AK36" s="430"/>
      <c r="AL36" s="430"/>
      <c r="AM36" s="430"/>
      <c r="AN36" s="430"/>
      <c r="AO36" s="430"/>
      <c r="AP36" s="430"/>
      <c r="AQ36" s="430"/>
      <c r="AR36" s="430"/>
      <c r="AS36" s="430"/>
      <c r="AT36" s="430"/>
      <c r="AU36" s="430"/>
      <c r="AV36" s="430"/>
      <c r="AW36" s="430"/>
      <c r="AX36" s="430"/>
      <c r="AY36" s="430"/>
      <c r="AZ36" s="430"/>
      <c r="BA36" s="430"/>
      <c r="BB36" s="430"/>
      <c r="BC36" s="430"/>
      <c r="BD36" s="430"/>
      <c r="BE36" s="430"/>
    </row>
    <row r="37" spans="1:57" ht="14.65" customHeight="1">
      <c r="A37" s="442" t="s">
        <v>1072</v>
      </c>
      <c r="B37" s="431"/>
      <c r="C37" s="432"/>
      <c r="D37" s="431"/>
      <c r="E37" s="614" t="s">
        <v>1098</v>
      </c>
      <c r="F37" s="614" t="s">
        <v>1099</v>
      </c>
      <c r="G37" s="614" t="s">
        <v>1100</v>
      </c>
      <c r="H37" s="614" t="s">
        <v>1101</v>
      </c>
      <c r="I37" s="615" t="s">
        <v>1102</v>
      </c>
      <c r="J37" s="615" t="s">
        <v>1103</v>
      </c>
      <c r="K37" s="615" t="s">
        <v>195</v>
      </c>
      <c r="L37" s="615" t="s">
        <v>1104</v>
      </c>
      <c r="M37" s="615" t="s">
        <v>1105</v>
      </c>
      <c r="N37" s="615" t="s">
        <v>895</v>
      </c>
      <c r="O37" s="615" t="s">
        <v>1106</v>
      </c>
      <c r="P37" s="615" t="s">
        <v>1107</v>
      </c>
      <c r="Q37" s="430"/>
      <c r="R37" s="430"/>
      <c r="S37" s="430"/>
      <c r="T37" s="430"/>
      <c r="U37" s="430"/>
      <c r="V37" s="430"/>
      <c r="W37" s="430"/>
      <c r="X37" s="430"/>
      <c r="Y37" s="430"/>
      <c r="Z37" s="430"/>
      <c r="AA37" s="430"/>
      <c r="AB37" s="430"/>
      <c r="AC37" s="430"/>
      <c r="AD37" s="430"/>
      <c r="AE37" s="430"/>
      <c r="AF37" s="430"/>
      <c r="AG37" s="430"/>
      <c r="AH37" s="430"/>
      <c r="AI37" s="430"/>
      <c r="AJ37" s="430"/>
      <c r="AK37" s="430"/>
      <c r="AL37" s="430"/>
      <c r="AM37" s="430"/>
      <c r="AN37" s="430"/>
      <c r="AO37" s="430"/>
      <c r="AP37" s="430"/>
      <c r="AQ37" s="430"/>
      <c r="AR37" s="430"/>
      <c r="AS37" s="430"/>
      <c r="AT37" s="430"/>
      <c r="AU37" s="430"/>
      <c r="AV37" s="430"/>
      <c r="AW37" s="430"/>
      <c r="AX37" s="430"/>
      <c r="AY37" s="430"/>
      <c r="AZ37" s="430"/>
      <c r="BA37" s="430"/>
      <c r="BB37" s="430"/>
      <c r="BC37" s="430"/>
      <c r="BD37" s="430"/>
      <c r="BE37" s="430"/>
    </row>
    <row r="38" spans="1:57" ht="14.65" customHeight="1">
      <c r="A38" s="442" t="s">
        <v>1073</v>
      </c>
      <c r="B38" s="535" t="s">
        <v>18</v>
      </c>
      <c r="C38" s="533" t="s">
        <v>1108</v>
      </c>
      <c r="D38" s="535" t="s">
        <v>1133</v>
      </c>
      <c r="E38" s="497">
        <f t="shared" ref="E38:E49" si="12">1-F38</f>
        <v>0</v>
      </c>
      <c r="F38" s="497">
        <f t="shared" ref="F38:F49" si="13">G38+H38</f>
        <v>1</v>
      </c>
      <c r="G38" s="497">
        <f>1-H38</f>
        <v>1</v>
      </c>
      <c r="H38" s="497">
        <f t="shared" ref="H38:H49" si="14">+SUM(I38:O38)</f>
        <v>0</v>
      </c>
      <c r="I38" s="612">
        <v>0</v>
      </c>
      <c r="J38" s="612">
        <v>0</v>
      </c>
      <c r="K38" s="612">
        <v>0</v>
      </c>
      <c r="L38" s="612">
        <v>0</v>
      </c>
      <c r="M38" s="612">
        <v>0</v>
      </c>
      <c r="N38" s="450">
        <v>0</v>
      </c>
      <c r="O38" s="446">
        <v>0</v>
      </c>
      <c r="P38" s="446">
        <v>0</v>
      </c>
      <c r="Q38" s="430"/>
      <c r="R38" s="430"/>
      <c r="S38" s="430"/>
      <c r="T38" s="430"/>
      <c r="U38" s="430"/>
      <c r="V38" s="430"/>
      <c r="W38" s="430"/>
      <c r="X38" s="430"/>
      <c r="Y38" s="430"/>
      <c r="Z38" s="430"/>
      <c r="AA38" s="430"/>
      <c r="AB38" s="430"/>
      <c r="AC38" s="430"/>
      <c r="AD38" s="430"/>
      <c r="AE38" s="430"/>
      <c r="AF38" s="430"/>
      <c r="AG38" s="430"/>
      <c r="AH38" s="430"/>
      <c r="AI38" s="430"/>
      <c r="AJ38" s="430"/>
      <c r="AK38" s="430"/>
      <c r="AL38" s="430"/>
      <c r="AM38" s="430"/>
      <c r="AN38" s="430"/>
      <c r="AO38" s="430"/>
      <c r="AP38" s="430"/>
      <c r="AQ38" s="430"/>
      <c r="AR38" s="430"/>
      <c r="AS38" s="430"/>
      <c r="AT38" s="430"/>
      <c r="AU38" s="430"/>
      <c r="AV38" s="430"/>
      <c r="AW38" s="430"/>
      <c r="AX38" s="430"/>
      <c r="AY38" s="430"/>
      <c r="AZ38" s="430"/>
      <c r="BA38" s="430"/>
      <c r="BB38" s="430"/>
      <c r="BC38" s="430"/>
      <c r="BD38" s="430"/>
      <c r="BE38" s="430"/>
    </row>
    <row r="39" spans="1:57">
      <c r="A39" s="442" t="s">
        <v>1075</v>
      </c>
      <c r="B39" s="535" t="s">
        <v>18</v>
      </c>
      <c r="C39" s="533" t="s">
        <v>1108</v>
      </c>
      <c r="D39" s="535" t="s">
        <v>1134</v>
      </c>
      <c r="E39" s="497">
        <f t="shared" si="12"/>
        <v>0</v>
      </c>
      <c r="F39" s="497">
        <f t="shared" si="13"/>
        <v>1</v>
      </c>
      <c r="G39" s="497">
        <f>1-H39</f>
        <v>1</v>
      </c>
      <c r="H39" s="497">
        <f t="shared" si="14"/>
        <v>0</v>
      </c>
      <c r="I39" s="613">
        <v>0</v>
      </c>
      <c r="J39" s="613">
        <v>0</v>
      </c>
      <c r="K39" s="613">
        <v>0</v>
      </c>
      <c r="L39" s="613">
        <v>0</v>
      </c>
      <c r="M39" s="613">
        <v>0</v>
      </c>
      <c r="N39" s="450">
        <v>0</v>
      </c>
      <c r="O39" s="446">
        <v>0</v>
      </c>
      <c r="P39" s="446">
        <v>0</v>
      </c>
      <c r="Q39" s="430"/>
      <c r="R39" s="430"/>
      <c r="S39" s="430"/>
      <c r="T39" s="430"/>
      <c r="U39" s="430"/>
      <c r="V39" s="430"/>
      <c r="W39" s="430"/>
      <c r="X39" s="430"/>
      <c r="Y39" s="430"/>
      <c r="Z39" s="430"/>
      <c r="AA39" s="430"/>
      <c r="AB39" s="430"/>
      <c r="AC39" s="430"/>
      <c r="AD39" s="430"/>
      <c r="AE39" s="430"/>
      <c r="AF39" s="430"/>
      <c r="AG39" s="430"/>
      <c r="AH39" s="430"/>
      <c r="AI39" s="430"/>
      <c r="AJ39" s="430"/>
      <c r="AK39" s="430"/>
      <c r="AL39" s="430"/>
      <c r="AM39" s="430"/>
      <c r="AN39" s="430"/>
      <c r="AO39" s="430"/>
      <c r="AP39" s="430"/>
      <c r="AQ39" s="430"/>
      <c r="AR39" s="430"/>
      <c r="AS39" s="430"/>
      <c r="AT39" s="430"/>
      <c r="AU39" s="430"/>
      <c r="AV39" s="430"/>
      <c r="AW39" s="430"/>
      <c r="AX39" s="430"/>
      <c r="AY39" s="430"/>
      <c r="AZ39" s="430"/>
      <c r="BA39" s="430"/>
      <c r="BB39" s="430"/>
      <c r="BC39" s="430"/>
      <c r="BD39" s="430"/>
      <c r="BE39" s="430"/>
    </row>
    <row r="40" spans="1:57">
      <c r="A40" s="442" t="s">
        <v>1077</v>
      </c>
      <c r="B40" s="535" t="s">
        <v>18</v>
      </c>
      <c r="C40" s="533" t="s">
        <v>1108</v>
      </c>
      <c r="D40" s="535" t="s">
        <v>1135</v>
      </c>
      <c r="E40" s="497">
        <f t="shared" si="12"/>
        <v>0</v>
      </c>
      <c r="F40" s="497">
        <f t="shared" si="13"/>
        <v>1</v>
      </c>
      <c r="G40" s="497">
        <f>1-H40</f>
        <v>1</v>
      </c>
      <c r="H40" s="497">
        <f t="shared" si="14"/>
        <v>0</v>
      </c>
      <c r="I40" s="613">
        <v>0</v>
      </c>
      <c r="J40" s="613">
        <v>0</v>
      </c>
      <c r="K40" s="613">
        <v>0</v>
      </c>
      <c r="L40" s="613">
        <v>0</v>
      </c>
      <c r="M40" s="613">
        <v>0</v>
      </c>
      <c r="N40" s="450">
        <v>0</v>
      </c>
      <c r="O40" s="446">
        <v>0</v>
      </c>
      <c r="P40" s="446">
        <v>0</v>
      </c>
      <c r="Q40" s="430"/>
      <c r="R40" s="430"/>
      <c r="S40" s="430"/>
      <c r="T40" s="430"/>
      <c r="U40" s="430"/>
      <c r="V40" s="430"/>
      <c r="W40" s="430"/>
      <c r="X40" s="430"/>
      <c r="Y40" s="430"/>
      <c r="Z40" s="430"/>
      <c r="AA40" s="430"/>
      <c r="AB40" s="430"/>
      <c r="AC40" s="430"/>
      <c r="AD40" s="430"/>
      <c r="AE40" s="430"/>
      <c r="AF40" s="430"/>
      <c r="AG40" s="430"/>
      <c r="AH40" s="430"/>
      <c r="AI40" s="430"/>
      <c r="AJ40" s="430"/>
      <c r="AK40" s="430"/>
      <c r="AL40" s="430"/>
      <c r="AM40" s="430"/>
      <c r="AN40" s="430"/>
      <c r="AO40" s="430"/>
      <c r="AP40" s="430"/>
      <c r="AQ40" s="430"/>
      <c r="AR40" s="430"/>
      <c r="AS40" s="430"/>
      <c r="AT40" s="430"/>
      <c r="AU40" s="430"/>
      <c r="AV40" s="430"/>
      <c r="AW40" s="430"/>
      <c r="AX40" s="430"/>
      <c r="AY40" s="430"/>
      <c r="AZ40" s="430"/>
      <c r="BA40" s="430"/>
      <c r="BB40" s="430"/>
      <c r="BC40" s="430"/>
      <c r="BD40" s="430"/>
      <c r="BE40" s="430"/>
    </row>
    <row r="41" spans="1:57">
      <c r="A41" s="442" t="s">
        <v>1079</v>
      </c>
      <c r="B41" s="535" t="s">
        <v>18</v>
      </c>
      <c r="C41" s="533" t="s">
        <v>1108</v>
      </c>
      <c r="D41" s="535" t="s">
        <v>1136</v>
      </c>
      <c r="E41" s="497">
        <f t="shared" si="12"/>
        <v>0</v>
      </c>
      <c r="F41" s="497">
        <f t="shared" si="13"/>
        <v>1</v>
      </c>
      <c r="G41" s="497">
        <f>1-H41</f>
        <v>0</v>
      </c>
      <c r="H41" s="497">
        <f t="shared" si="14"/>
        <v>1</v>
      </c>
      <c r="I41" s="613">
        <v>0.25</v>
      </c>
      <c r="J41" s="613">
        <v>0.25</v>
      </c>
      <c r="K41" s="613">
        <v>0.25</v>
      </c>
      <c r="L41" s="613">
        <v>0</v>
      </c>
      <c r="M41" s="613">
        <v>0.25</v>
      </c>
      <c r="N41" s="450">
        <v>0</v>
      </c>
      <c r="O41" s="446">
        <v>0</v>
      </c>
      <c r="P41" s="446">
        <v>0</v>
      </c>
      <c r="Q41" s="430"/>
      <c r="R41" s="430"/>
      <c r="S41" s="430"/>
      <c r="T41" s="430"/>
      <c r="U41" s="430"/>
      <c r="V41" s="430"/>
      <c r="W41" s="430"/>
      <c r="X41" s="430"/>
      <c r="Y41" s="430"/>
      <c r="Z41" s="430"/>
      <c r="AA41" s="430"/>
      <c r="AB41" s="430"/>
      <c r="AC41" s="430"/>
      <c r="AD41" s="430"/>
      <c r="AE41" s="430"/>
      <c r="AF41" s="430"/>
      <c r="AG41" s="430"/>
      <c r="AH41" s="430"/>
      <c r="AI41" s="430"/>
      <c r="AJ41" s="430"/>
      <c r="AK41" s="430"/>
      <c r="AL41" s="430"/>
      <c r="AM41" s="430"/>
      <c r="AN41" s="430"/>
      <c r="AO41" s="430"/>
      <c r="AP41" s="430"/>
      <c r="AQ41" s="430"/>
      <c r="AR41" s="430"/>
      <c r="AS41" s="430"/>
      <c r="AT41" s="430"/>
      <c r="AU41" s="430"/>
      <c r="AV41" s="430"/>
      <c r="AW41" s="430"/>
      <c r="AX41" s="430"/>
      <c r="AY41" s="430"/>
      <c r="AZ41" s="430"/>
      <c r="BA41" s="430"/>
      <c r="BB41" s="430"/>
      <c r="BC41" s="430"/>
      <c r="BD41" s="430"/>
      <c r="BE41" s="430"/>
    </row>
    <row r="42" spans="1:57">
      <c r="A42" s="442" t="s">
        <v>1081</v>
      </c>
      <c r="B42" s="535" t="s">
        <v>18</v>
      </c>
      <c r="C42" s="533" t="s">
        <v>1108</v>
      </c>
      <c r="D42" s="535" t="s">
        <v>1137</v>
      </c>
      <c r="E42" s="497">
        <f t="shared" si="12"/>
        <v>0</v>
      </c>
      <c r="F42" s="497">
        <f t="shared" si="13"/>
        <v>1</v>
      </c>
      <c r="G42" s="497">
        <f>1-H42</f>
        <v>1</v>
      </c>
      <c r="H42" s="497">
        <f t="shared" si="14"/>
        <v>0</v>
      </c>
      <c r="I42" s="613">
        <v>0</v>
      </c>
      <c r="J42" s="613">
        <v>0</v>
      </c>
      <c r="K42" s="613">
        <v>0</v>
      </c>
      <c r="L42" s="613">
        <v>0</v>
      </c>
      <c r="M42" s="613">
        <v>0</v>
      </c>
      <c r="N42" s="450">
        <v>0</v>
      </c>
      <c r="O42" s="446">
        <v>0</v>
      </c>
      <c r="P42" s="446">
        <v>0</v>
      </c>
      <c r="Q42" s="430"/>
      <c r="R42" s="430"/>
      <c r="S42" s="430"/>
      <c r="T42" s="430"/>
      <c r="U42" s="430"/>
      <c r="V42" s="430"/>
      <c r="W42" s="430"/>
      <c r="X42" s="430"/>
      <c r="Y42" s="430"/>
      <c r="Z42" s="430"/>
      <c r="AA42" s="430"/>
      <c r="AB42" s="430"/>
      <c r="AC42" s="430"/>
      <c r="AD42" s="430"/>
      <c r="AE42" s="430"/>
      <c r="AF42" s="430"/>
      <c r="AG42" s="430"/>
      <c r="AH42" s="430"/>
      <c r="AI42" s="430"/>
      <c r="AJ42" s="430"/>
      <c r="AK42" s="430"/>
      <c r="AL42" s="430"/>
      <c r="AM42" s="430"/>
      <c r="AN42" s="430"/>
      <c r="AO42" s="430"/>
      <c r="AP42" s="430"/>
      <c r="AQ42" s="430"/>
      <c r="AR42" s="430"/>
      <c r="AS42" s="430"/>
      <c r="AT42" s="430"/>
      <c r="AU42" s="430"/>
      <c r="AV42" s="430"/>
      <c r="AW42" s="430"/>
      <c r="AX42" s="430"/>
      <c r="AY42" s="430"/>
      <c r="AZ42" s="430"/>
      <c r="BA42" s="430"/>
      <c r="BB42" s="430"/>
      <c r="BC42" s="430"/>
      <c r="BD42" s="430"/>
      <c r="BE42" s="430"/>
    </row>
    <row r="43" spans="1:57">
      <c r="A43" s="442" t="s">
        <v>1082</v>
      </c>
      <c r="B43" s="535" t="s">
        <v>18</v>
      </c>
      <c r="C43" s="533" t="s">
        <v>1108</v>
      </c>
      <c r="D43" s="535" t="s">
        <v>1138</v>
      </c>
      <c r="E43" s="497">
        <f t="shared" si="12"/>
        <v>0</v>
      </c>
      <c r="F43" s="497">
        <f t="shared" si="13"/>
        <v>1</v>
      </c>
      <c r="G43" s="497">
        <f>1-H43-P43</f>
        <v>1</v>
      </c>
      <c r="H43" s="497">
        <f t="shared" si="14"/>
        <v>0</v>
      </c>
      <c r="I43" s="613">
        <v>0</v>
      </c>
      <c r="J43" s="613">
        <v>0</v>
      </c>
      <c r="K43" s="613">
        <v>0</v>
      </c>
      <c r="L43" s="613">
        <v>0</v>
      </c>
      <c r="M43" s="613">
        <v>0</v>
      </c>
      <c r="N43" s="450">
        <v>0</v>
      </c>
      <c r="O43" s="446">
        <v>0</v>
      </c>
      <c r="P43" s="446">
        <v>0</v>
      </c>
      <c r="Q43" s="430"/>
      <c r="R43" s="430"/>
      <c r="S43" s="430"/>
      <c r="T43" s="430"/>
      <c r="U43" s="430"/>
      <c r="V43" s="430"/>
      <c r="W43" s="454"/>
      <c r="X43" s="430"/>
      <c r="Y43" s="430"/>
      <c r="Z43" s="430"/>
      <c r="AA43" s="430"/>
      <c r="AB43" s="430"/>
      <c r="AC43" s="430"/>
      <c r="AD43" s="430"/>
      <c r="AE43" s="430"/>
      <c r="AF43" s="430"/>
      <c r="AG43" s="430"/>
      <c r="AH43" s="430"/>
      <c r="AI43" s="430"/>
      <c r="AJ43" s="430"/>
      <c r="AK43" s="430"/>
      <c r="AL43" s="430"/>
      <c r="AM43" s="430"/>
      <c r="AN43" s="430"/>
      <c r="AO43" s="430"/>
      <c r="AP43" s="430"/>
      <c r="AQ43" s="430"/>
      <c r="AR43" s="430"/>
      <c r="AS43" s="430"/>
      <c r="AT43" s="430"/>
      <c r="AU43" s="430"/>
      <c r="AV43" s="430"/>
      <c r="AW43" s="430"/>
      <c r="AX43" s="430"/>
      <c r="AY43" s="430"/>
      <c r="AZ43" s="430"/>
      <c r="BA43" s="430"/>
      <c r="BB43" s="430"/>
      <c r="BC43" s="430"/>
      <c r="BD43" s="430"/>
      <c r="BE43" s="430"/>
    </row>
    <row r="44" spans="1:57">
      <c r="A44" s="442" t="s">
        <v>1084</v>
      </c>
      <c r="B44" s="535" t="s">
        <v>18</v>
      </c>
      <c r="C44" s="533" t="s">
        <v>1108</v>
      </c>
      <c r="D44" s="535" t="s">
        <v>1139</v>
      </c>
      <c r="E44" s="497">
        <f t="shared" si="12"/>
        <v>0</v>
      </c>
      <c r="F44" s="497">
        <f t="shared" si="13"/>
        <v>1</v>
      </c>
      <c r="G44" s="497">
        <f t="shared" ref="G44:G49" si="15">1-H44</f>
        <v>0</v>
      </c>
      <c r="H44" s="497">
        <f t="shared" si="14"/>
        <v>1</v>
      </c>
      <c r="I44" s="613">
        <v>0.25</v>
      </c>
      <c r="J44" s="613">
        <v>0.25</v>
      </c>
      <c r="K44" s="613">
        <v>0.25</v>
      </c>
      <c r="L44" s="613">
        <v>0</v>
      </c>
      <c r="M44" s="613">
        <v>0.25</v>
      </c>
      <c r="N44" s="450">
        <v>0</v>
      </c>
      <c r="O44" s="446">
        <v>0</v>
      </c>
      <c r="P44" s="446">
        <v>0</v>
      </c>
      <c r="Q44" s="430"/>
      <c r="R44" s="430"/>
      <c r="S44" s="430"/>
      <c r="T44" s="430"/>
      <c r="U44" s="430"/>
      <c r="V44" s="430"/>
      <c r="W44" s="430"/>
      <c r="X44" s="430"/>
      <c r="Y44" s="430"/>
      <c r="Z44" s="430"/>
      <c r="AA44" s="430"/>
      <c r="AB44" s="430"/>
      <c r="AC44" s="430"/>
      <c r="AD44" s="430"/>
      <c r="AE44" s="430"/>
      <c r="AF44" s="430"/>
      <c r="AG44" s="430"/>
      <c r="AH44" s="430"/>
      <c r="AI44" s="430"/>
      <c r="AJ44" s="430"/>
      <c r="AK44" s="430"/>
      <c r="AL44" s="430"/>
      <c r="AM44" s="430"/>
      <c r="AN44" s="430"/>
      <c r="AO44" s="430"/>
      <c r="AP44" s="430"/>
      <c r="AQ44" s="430"/>
      <c r="AR44" s="430"/>
      <c r="AS44" s="430"/>
      <c r="AT44" s="430"/>
      <c r="AU44" s="430"/>
      <c r="AV44" s="430"/>
      <c r="AW44" s="430"/>
      <c r="AX44" s="430"/>
      <c r="AY44" s="430"/>
      <c r="AZ44" s="430"/>
      <c r="BA44" s="430"/>
      <c r="BB44" s="430"/>
      <c r="BC44" s="430"/>
      <c r="BD44" s="430"/>
      <c r="BE44" s="430"/>
    </row>
    <row r="45" spans="1:57">
      <c r="A45" s="442" t="s">
        <v>1086</v>
      </c>
      <c r="B45" s="535" t="s">
        <v>18</v>
      </c>
      <c r="C45" s="533" t="s">
        <v>1108</v>
      </c>
      <c r="D45" s="535" t="s">
        <v>1140</v>
      </c>
      <c r="E45" s="497">
        <f t="shared" si="12"/>
        <v>0</v>
      </c>
      <c r="F45" s="497">
        <f t="shared" si="13"/>
        <v>1</v>
      </c>
      <c r="G45" s="497">
        <f t="shared" si="15"/>
        <v>1</v>
      </c>
      <c r="H45" s="497">
        <f t="shared" si="14"/>
        <v>0</v>
      </c>
      <c r="I45" s="613">
        <v>0</v>
      </c>
      <c r="J45" s="613">
        <v>0</v>
      </c>
      <c r="K45" s="613">
        <v>0</v>
      </c>
      <c r="L45" s="613">
        <v>0</v>
      </c>
      <c r="M45" s="613">
        <v>0</v>
      </c>
      <c r="N45" s="450">
        <v>0</v>
      </c>
      <c r="O45" s="446">
        <v>0</v>
      </c>
      <c r="P45" s="446">
        <v>0</v>
      </c>
      <c r="Q45" s="430"/>
      <c r="R45" s="430"/>
      <c r="S45" s="430"/>
      <c r="T45" s="430"/>
      <c r="U45" s="430"/>
      <c r="V45" s="430"/>
      <c r="W45" s="430"/>
      <c r="X45" s="430"/>
      <c r="Y45" s="430"/>
      <c r="Z45" s="430"/>
      <c r="AA45" s="430"/>
      <c r="AB45" s="430"/>
      <c r="AC45" s="430"/>
      <c r="AD45" s="430"/>
      <c r="AE45" s="430"/>
      <c r="AF45" s="430"/>
      <c r="AG45" s="430"/>
      <c r="AH45" s="430"/>
      <c r="AI45" s="430"/>
      <c r="AJ45" s="430"/>
      <c r="AK45" s="430"/>
      <c r="AL45" s="430"/>
      <c r="AM45" s="430"/>
      <c r="AN45" s="430"/>
      <c r="AO45" s="430"/>
      <c r="AP45" s="430"/>
      <c r="AQ45" s="430"/>
      <c r="AR45" s="430"/>
      <c r="AS45" s="430"/>
      <c r="AT45" s="430"/>
      <c r="AU45" s="430"/>
      <c r="AV45" s="430"/>
      <c r="AW45" s="430"/>
      <c r="AX45" s="430"/>
      <c r="AY45" s="430"/>
      <c r="AZ45" s="430"/>
      <c r="BA45" s="430"/>
      <c r="BB45" s="430"/>
      <c r="BC45" s="430"/>
      <c r="BD45" s="430"/>
      <c r="BE45" s="430"/>
    </row>
    <row r="46" spans="1:57">
      <c r="A46" s="442" t="s">
        <v>1088</v>
      </c>
      <c r="B46" s="535" t="s">
        <v>18</v>
      </c>
      <c r="C46" s="533" t="s">
        <v>1108</v>
      </c>
      <c r="D46" s="535" t="s">
        <v>1141</v>
      </c>
      <c r="E46" s="497">
        <f t="shared" si="12"/>
        <v>0</v>
      </c>
      <c r="F46" s="497">
        <f t="shared" si="13"/>
        <v>1</v>
      </c>
      <c r="G46" s="497">
        <f t="shared" si="15"/>
        <v>0</v>
      </c>
      <c r="H46" s="497">
        <f t="shared" si="14"/>
        <v>1</v>
      </c>
      <c r="I46" s="613">
        <v>0.25</v>
      </c>
      <c r="J46" s="613">
        <v>0.25</v>
      </c>
      <c r="K46" s="613">
        <v>0.25</v>
      </c>
      <c r="L46" s="613">
        <v>0</v>
      </c>
      <c r="M46" s="613">
        <v>0.25</v>
      </c>
      <c r="N46" s="450">
        <v>0</v>
      </c>
      <c r="O46" s="446">
        <v>0</v>
      </c>
      <c r="P46" s="446">
        <v>0</v>
      </c>
      <c r="Q46" s="430"/>
      <c r="R46" s="430"/>
      <c r="S46" s="430"/>
      <c r="T46" s="430"/>
      <c r="U46" s="430"/>
      <c r="V46" s="430"/>
      <c r="W46" s="430"/>
      <c r="X46" s="430"/>
      <c r="Y46" s="430"/>
      <c r="Z46" s="430"/>
      <c r="AA46" s="430"/>
      <c r="AB46" s="430"/>
      <c r="AC46" s="430"/>
      <c r="AD46" s="430"/>
      <c r="AE46" s="430"/>
      <c r="AF46" s="430"/>
      <c r="AG46" s="430"/>
      <c r="AH46" s="430"/>
      <c r="AI46" s="430"/>
      <c r="AJ46" s="430"/>
      <c r="AK46" s="430"/>
      <c r="AL46" s="430"/>
      <c r="AM46" s="430"/>
      <c r="AN46" s="430"/>
      <c r="AO46" s="430"/>
      <c r="AP46" s="430"/>
      <c r="AQ46" s="430"/>
      <c r="AR46" s="430"/>
      <c r="AS46" s="430"/>
      <c r="AT46" s="430"/>
      <c r="AU46" s="430"/>
      <c r="AV46" s="430"/>
      <c r="AW46" s="430"/>
      <c r="AX46" s="430"/>
      <c r="AY46" s="430"/>
      <c r="AZ46" s="430"/>
      <c r="BA46" s="430"/>
      <c r="BB46" s="430"/>
      <c r="BC46" s="430"/>
      <c r="BD46" s="430"/>
      <c r="BE46" s="430"/>
    </row>
    <row r="47" spans="1:57">
      <c r="A47" s="442" t="s">
        <v>1090</v>
      </c>
      <c r="B47" s="535" t="s">
        <v>18</v>
      </c>
      <c r="C47" s="533" t="s">
        <v>1108</v>
      </c>
      <c r="D47" s="535" t="s">
        <v>1142</v>
      </c>
      <c r="E47" s="497">
        <f t="shared" si="12"/>
        <v>0</v>
      </c>
      <c r="F47" s="497">
        <f t="shared" si="13"/>
        <v>1</v>
      </c>
      <c r="G47" s="497">
        <f t="shared" si="15"/>
        <v>0</v>
      </c>
      <c r="H47" s="497">
        <f t="shared" si="14"/>
        <v>1</v>
      </c>
      <c r="I47" s="613">
        <v>0.25</v>
      </c>
      <c r="J47" s="613">
        <v>0.25</v>
      </c>
      <c r="K47" s="613">
        <v>0.25</v>
      </c>
      <c r="L47" s="613">
        <v>0</v>
      </c>
      <c r="M47" s="613">
        <v>0.25</v>
      </c>
      <c r="N47" s="450">
        <v>0</v>
      </c>
      <c r="O47" s="446">
        <v>0</v>
      </c>
      <c r="P47" s="446">
        <v>0</v>
      </c>
      <c r="Q47" s="430"/>
      <c r="R47" s="430"/>
      <c r="S47" s="430"/>
      <c r="T47" s="430"/>
      <c r="U47" s="430"/>
      <c r="V47" s="430"/>
      <c r="W47" s="430"/>
      <c r="X47" s="430"/>
      <c r="Y47" s="430"/>
      <c r="Z47" s="430"/>
      <c r="AA47" s="430"/>
      <c r="AB47" s="430"/>
      <c r="AC47" s="430"/>
      <c r="AD47" s="430"/>
      <c r="AE47" s="430"/>
      <c r="AF47" s="430"/>
      <c r="AG47" s="430"/>
      <c r="AH47" s="430"/>
      <c r="AI47" s="430"/>
      <c r="AJ47" s="430"/>
      <c r="AK47" s="430"/>
      <c r="AL47" s="430"/>
      <c r="AM47" s="430"/>
      <c r="AN47" s="430"/>
      <c r="AO47" s="430"/>
      <c r="AP47" s="430"/>
      <c r="AQ47" s="430"/>
      <c r="AR47" s="430"/>
      <c r="AS47" s="430"/>
      <c r="AT47" s="430"/>
      <c r="AU47" s="430"/>
      <c r="AV47" s="430"/>
      <c r="AW47" s="430"/>
      <c r="AX47" s="430"/>
      <c r="AY47" s="430"/>
      <c r="AZ47" s="430"/>
      <c r="BA47" s="430"/>
      <c r="BB47" s="430"/>
      <c r="BC47" s="430"/>
      <c r="BD47" s="430"/>
      <c r="BE47" s="430"/>
    </row>
    <row r="48" spans="1:57">
      <c r="A48" s="442" t="s">
        <v>1092</v>
      </c>
      <c r="B48" s="535" t="s">
        <v>18</v>
      </c>
      <c r="C48" s="533" t="s">
        <v>1108</v>
      </c>
      <c r="D48" s="535" t="s">
        <v>1143</v>
      </c>
      <c r="E48" s="497">
        <f t="shared" si="12"/>
        <v>0</v>
      </c>
      <c r="F48" s="497">
        <f t="shared" si="13"/>
        <v>1</v>
      </c>
      <c r="G48" s="497">
        <f t="shared" si="15"/>
        <v>1</v>
      </c>
      <c r="H48" s="497">
        <f t="shared" si="14"/>
        <v>0</v>
      </c>
      <c r="I48" s="613">
        <v>0</v>
      </c>
      <c r="J48" s="613">
        <v>0</v>
      </c>
      <c r="K48" s="613">
        <v>0</v>
      </c>
      <c r="L48" s="613">
        <v>0</v>
      </c>
      <c r="M48" s="613">
        <v>0</v>
      </c>
      <c r="N48" s="450">
        <v>0</v>
      </c>
      <c r="O48" s="446">
        <v>0</v>
      </c>
      <c r="P48" s="446">
        <v>0</v>
      </c>
      <c r="Q48" s="430"/>
      <c r="R48" s="430"/>
      <c r="S48" s="430"/>
      <c r="T48" s="430"/>
      <c r="U48" s="430"/>
      <c r="V48" s="430"/>
      <c r="W48" s="430"/>
      <c r="X48" s="430"/>
      <c r="Y48" s="430"/>
      <c r="Z48" s="430"/>
      <c r="AA48" s="430"/>
      <c r="AB48" s="430"/>
      <c r="AC48" s="430"/>
      <c r="AD48" s="430"/>
      <c r="AE48" s="430"/>
      <c r="AF48" s="430"/>
      <c r="AG48" s="430"/>
      <c r="AH48" s="430"/>
      <c r="AI48" s="430"/>
      <c r="AJ48" s="430"/>
      <c r="AK48" s="430"/>
      <c r="AL48" s="430"/>
      <c r="AM48" s="430"/>
      <c r="AN48" s="430"/>
      <c r="AO48" s="430"/>
      <c r="AP48" s="430"/>
      <c r="AQ48" s="430"/>
      <c r="AR48" s="430"/>
      <c r="AS48" s="430"/>
      <c r="AT48" s="430"/>
      <c r="AU48" s="430"/>
      <c r="AV48" s="430"/>
      <c r="AW48" s="430"/>
      <c r="AX48" s="430"/>
      <c r="AY48" s="430"/>
      <c r="AZ48" s="430"/>
      <c r="BA48" s="430"/>
      <c r="BB48" s="430"/>
      <c r="BC48" s="430"/>
      <c r="BD48" s="430"/>
      <c r="BE48" s="430"/>
    </row>
    <row r="49" spans="1:57">
      <c r="A49" s="442" t="s">
        <v>1094</v>
      </c>
      <c r="B49" s="535" t="s">
        <v>18</v>
      </c>
      <c r="C49" s="533" t="s">
        <v>1108</v>
      </c>
      <c r="D49" s="535" t="s">
        <v>1144</v>
      </c>
      <c r="E49" s="497">
        <f t="shared" si="12"/>
        <v>0</v>
      </c>
      <c r="F49" s="497">
        <f t="shared" si="13"/>
        <v>1</v>
      </c>
      <c r="G49" s="497">
        <f t="shared" si="15"/>
        <v>1</v>
      </c>
      <c r="H49" s="497">
        <f t="shared" si="14"/>
        <v>0</v>
      </c>
      <c r="I49" s="613">
        <v>0</v>
      </c>
      <c r="J49" s="613">
        <v>0</v>
      </c>
      <c r="K49" s="613">
        <v>0</v>
      </c>
      <c r="L49" s="613">
        <v>0</v>
      </c>
      <c r="M49" s="613">
        <v>0</v>
      </c>
      <c r="N49" s="450">
        <v>0</v>
      </c>
      <c r="O49" s="446">
        <v>0</v>
      </c>
      <c r="P49" s="446">
        <v>0</v>
      </c>
      <c r="Q49" s="430"/>
      <c r="R49" s="430"/>
      <c r="S49" s="430"/>
      <c r="T49" s="430"/>
      <c r="U49" s="430"/>
      <c r="V49" s="430"/>
      <c r="W49" s="430"/>
      <c r="X49" s="430"/>
      <c r="Y49" s="430"/>
      <c r="Z49" s="430"/>
      <c r="AA49" s="430"/>
      <c r="AB49" s="430"/>
      <c r="AC49" s="430"/>
      <c r="AD49" s="430"/>
      <c r="AE49" s="430"/>
      <c r="AF49" s="430"/>
      <c r="AG49" s="430"/>
      <c r="AH49" s="430"/>
      <c r="AI49" s="430"/>
      <c r="AJ49" s="430"/>
      <c r="AK49" s="430"/>
      <c r="AL49" s="430"/>
      <c r="AM49" s="430"/>
      <c r="AN49" s="430"/>
      <c r="AO49" s="430"/>
      <c r="AP49" s="430"/>
      <c r="AQ49" s="430"/>
      <c r="AR49" s="430"/>
      <c r="AS49" s="430"/>
      <c r="AT49" s="430"/>
      <c r="AU49" s="430"/>
      <c r="AV49" s="430"/>
      <c r="AW49" s="430"/>
      <c r="AX49" s="430"/>
      <c r="AY49" s="430"/>
      <c r="AZ49" s="430"/>
      <c r="BA49" s="430"/>
      <c r="BB49" s="430"/>
      <c r="BC49" s="430"/>
      <c r="BD49" s="430"/>
      <c r="BE49" s="43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2</vt:i4>
      </vt:variant>
    </vt:vector>
  </HeadingPairs>
  <TitlesOfParts>
    <vt:vector size="36" baseType="lpstr">
      <vt:lpstr>registry</vt:lpstr>
      <vt:lpstr>lgh_returns</vt:lpstr>
      <vt:lpstr>lgh_inputs</vt:lpstr>
      <vt:lpstr>lgh_bs</vt:lpstr>
      <vt:lpstr>lgh_bs_errata</vt:lpstr>
      <vt:lpstr>lgh_bs_qr</vt:lpstr>
      <vt:lpstr>lgh_oc</vt:lpstr>
      <vt:lpstr>lgh_ci</vt:lpstr>
      <vt:lpstr>lgh_cuda</vt:lpstr>
      <vt:lpstr>lgh_equity</vt:lpstr>
      <vt:lpstr>lgh_pref_equity</vt:lpstr>
      <vt:lpstr>lgh_debt</vt:lpstr>
      <vt:lpstr>lgh_other_liabs</vt:lpstr>
      <vt:lpstr>lgh_other_assets</vt:lpstr>
      <vt:lpstr>lgh_manco</vt:lpstr>
      <vt:lpstr>pink_cs2</vt:lpstr>
      <vt:lpstr>elbow_cs2</vt:lpstr>
      <vt:lpstr>aus_cs2</vt:lpstr>
      <vt:lpstr>turks_cs2</vt:lpstr>
      <vt:lpstr>frith_cs2</vt:lpstr>
      <vt:lpstr>sat_cs2</vt:lpstr>
      <vt:lpstr>lgh_diags</vt:lpstr>
      <vt:lpstr>c12_inputs</vt:lpstr>
      <vt:lpstr>c12_oc</vt:lpstr>
      <vt:lpstr>c12_bs</vt:lpstr>
      <vt:lpstr>c12_hm</vt:lpstr>
      <vt:lpstr>c12_d&amp;s</vt:lpstr>
      <vt:lpstr>c12_bi&amp;F</vt:lpstr>
      <vt:lpstr>.c12_inputs.hr</vt:lpstr>
      <vt:lpstr>.c12_oc_hr</vt:lpstr>
      <vt:lpstr>.c12_hm_hr</vt:lpstr>
      <vt:lpstr>.c12_d&amp;s_hr</vt:lpstr>
      <vt:lpstr>.c12_bi&amp;f_hr</vt:lpstr>
      <vt:lpstr>.c12_alloc</vt:lpstr>
      <vt:lpstr>DepartmentNum</vt:lpstr>
      <vt:lpstr>registry!Print_Area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Wilt</dc:creator>
  <cp:lastModifiedBy>King, Stephen: C12 (NYK)</cp:lastModifiedBy>
  <cp:lastPrinted>2024-10-18T14:43:51Z</cp:lastPrinted>
  <dcterms:created xsi:type="dcterms:W3CDTF">2024-06-11T16:45:59Z</dcterms:created>
  <dcterms:modified xsi:type="dcterms:W3CDTF">2026-05-27T18:53:45Z</dcterms:modified>
</cp:coreProperties>
</file>
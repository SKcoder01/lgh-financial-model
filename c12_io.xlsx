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8_{C5CED9C3-87D5-4E6C-85F3-FAE6F6BC10C9}" xr6:coauthVersionLast="47" xr6:coauthVersionMax="47" xr10:uidLastSave="{00000000-0000-0000-0000-000000000000}"/>
  <bookViews>
    <workbookView xWindow="-110" yWindow="-110" windowWidth="25820" windowHeight="15500" tabRatio="953" activeTab="14" xr2:uid="{00000000-000D-0000-FFFF-FFFF00000000}"/>
  </bookViews>
  <sheets>
    <sheet name="registry" sheetId="1" r:id="rId1"/>
    <sheet name="c12_inputs" sheetId="2" r:id="rId2"/>
    <sheet name="c12_oc" sheetId="3" r:id="rId3"/>
    <sheet name="c12_sk" sheetId="4" r:id="rId4"/>
    <sheet name="c12_bs" sheetId="5" r:id="rId5"/>
    <sheet name="c12_hm" sheetId="6" r:id="rId6"/>
    <sheet name="c12_d&amp;s" sheetId="7" r:id="rId7"/>
    <sheet name="c12_bi&amp;F" sheetId="8" r:id="rId8"/>
    <sheet name=".c12_inputs.hr" sheetId="9" r:id="rId9"/>
    <sheet name=".c12_oc_hr" sheetId="10" r:id="rId10"/>
    <sheet name=".c12_hm_hr" sheetId="11" r:id="rId11"/>
    <sheet name=".c12_d&amp;s_hr" sheetId="12" r:id="rId12"/>
    <sheet name=".c12_bi&amp;f_hr" sheetId="13" r:id="rId13"/>
    <sheet name=".c12_alloc" sheetId="14" r:id="rId14"/>
    <sheet name="c12_diags" sheetId="15" r:id="rId15"/>
  </sheets>
  <definedNames>
    <definedName name="DepartmentNum">'.c12_inputs.hr'!$E$4</definedName>
    <definedName name="_xlnm.Print_Area" localSheetId="0">registry!$N$39:$O$77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" l="1"/>
  <c r="M62" i="6"/>
  <c r="L62" i="6"/>
  <c r="O34" i="15"/>
  <c r="N34" i="15"/>
  <c r="M34" i="15"/>
  <c r="O33" i="15"/>
  <c r="N33" i="15"/>
  <c r="M33" i="15"/>
  <c r="O32" i="15"/>
  <c r="N32" i="15"/>
  <c r="M32" i="15"/>
  <c r="O31" i="15"/>
  <c r="N31" i="15"/>
  <c r="M31" i="15"/>
  <c r="O30" i="15"/>
  <c r="N30" i="15"/>
  <c r="M30" i="15"/>
  <c r="O29" i="15"/>
  <c r="N29" i="15"/>
  <c r="M29" i="15"/>
  <c r="O28" i="15"/>
  <c r="N28" i="15"/>
  <c r="M28" i="15"/>
  <c r="O27" i="15"/>
  <c r="N27" i="15"/>
  <c r="M27" i="15"/>
  <c r="O26" i="15"/>
  <c r="N26" i="15"/>
  <c r="M26" i="15"/>
  <c r="O25" i="15"/>
  <c r="N25" i="15"/>
  <c r="M25" i="15"/>
  <c r="O24" i="15"/>
  <c r="N24" i="15"/>
  <c r="M24" i="15"/>
  <c r="O23" i="15"/>
  <c r="N23" i="15"/>
  <c r="M23" i="15"/>
  <c r="O22" i="15"/>
  <c r="N22" i="15"/>
  <c r="M22" i="15"/>
  <c r="O21" i="15"/>
  <c r="N21" i="15"/>
  <c r="M21" i="15"/>
  <c r="O20" i="15"/>
  <c r="N20" i="15"/>
  <c r="M20" i="15"/>
  <c r="O19" i="15"/>
  <c r="N19" i="15"/>
  <c r="M19" i="15"/>
  <c r="O18" i="15"/>
  <c r="N18" i="15"/>
  <c r="M18" i="15"/>
  <c r="O17" i="15"/>
  <c r="N17" i="15"/>
  <c r="M17" i="15"/>
  <c r="O16" i="15"/>
  <c r="N16" i="15"/>
  <c r="M16" i="15"/>
  <c r="O15" i="15"/>
  <c r="N15" i="15"/>
  <c r="M15" i="15"/>
  <c r="O14" i="15"/>
  <c r="N14" i="15"/>
  <c r="M14" i="15"/>
  <c r="O13" i="15"/>
  <c r="N13" i="15"/>
  <c r="M13" i="15"/>
  <c r="O12" i="15"/>
  <c r="N12" i="15"/>
  <c r="M12" i="15"/>
  <c r="O11" i="15"/>
  <c r="N11" i="15"/>
  <c r="M11" i="15"/>
  <c r="O10" i="15"/>
  <c r="N10" i="15"/>
  <c r="M10" i="15"/>
  <c r="O9" i="15"/>
  <c r="N9" i="15"/>
  <c r="M9" i="15"/>
  <c r="O8" i="15"/>
  <c r="N8" i="15"/>
  <c r="M8" i="15"/>
  <c r="O7" i="15"/>
  <c r="N7" i="15"/>
  <c r="M7" i="15"/>
  <c r="O6" i="15"/>
  <c r="N6" i="15"/>
  <c r="M6" i="15"/>
  <c r="O5" i="15"/>
  <c r="N5" i="15"/>
  <c r="M5" i="15"/>
  <c r="H49" i="14"/>
  <c r="G49" i="14"/>
  <c r="F49" i="14"/>
  <c r="E49" i="14"/>
  <c r="H48" i="14"/>
  <c r="G48" i="14"/>
  <c r="F48" i="14"/>
  <c r="E48" i="14"/>
  <c r="H47" i="14"/>
  <c r="G47" i="14"/>
  <c r="F47" i="14"/>
  <c r="E47" i="14"/>
  <c r="H46" i="14"/>
  <c r="G46" i="14"/>
  <c r="F46" i="14"/>
  <c r="E46" i="14"/>
  <c r="H45" i="14"/>
  <c r="G45" i="14"/>
  <c r="F45" i="14"/>
  <c r="E45" i="14"/>
  <c r="H44" i="14"/>
  <c r="G44" i="14"/>
  <c r="F44" i="14"/>
  <c r="E44" i="14"/>
  <c r="H43" i="14"/>
  <c r="G43" i="14"/>
  <c r="F43" i="14"/>
  <c r="E43" i="14"/>
  <c r="H42" i="14"/>
  <c r="G42" i="14"/>
  <c r="F42" i="14"/>
  <c r="E42" i="14"/>
  <c r="H41" i="14"/>
  <c r="G41" i="14"/>
  <c r="F41" i="14"/>
  <c r="E41" i="14"/>
  <c r="H40" i="14"/>
  <c r="G40" i="14"/>
  <c r="F40" i="14"/>
  <c r="E40" i="14"/>
  <c r="H39" i="14"/>
  <c r="G39" i="14"/>
  <c r="F39" i="14"/>
  <c r="E39" i="14"/>
  <c r="H38" i="14"/>
  <c r="G38" i="14"/>
  <c r="F38" i="14"/>
  <c r="E38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6" i="14"/>
  <c r="G16" i="14"/>
  <c r="F16" i="14"/>
  <c r="E16" i="14"/>
  <c r="H15" i="14"/>
  <c r="G15" i="14"/>
  <c r="F15" i="14"/>
  <c r="E15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Q48" i="12"/>
  <c r="P48" i="12"/>
  <c r="O48" i="12"/>
  <c r="N48" i="12"/>
  <c r="M48" i="12"/>
  <c r="L48" i="12"/>
  <c r="K48" i="12"/>
  <c r="J48" i="12"/>
  <c r="Q47" i="12"/>
  <c r="P47" i="12"/>
  <c r="O47" i="12"/>
  <c r="N47" i="12"/>
  <c r="M47" i="12"/>
  <c r="L47" i="12"/>
  <c r="K47" i="12"/>
  <c r="K79" i="7" s="1"/>
  <c r="J47" i="12"/>
  <c r="J79" i="7" s="1"/>
  <c r="Q46" i="12"/>
  <c r="Q78" i="7" s="1"/>
  <c r="Q27" i="3" s="1"/>
  <c r="P46" i="12"/>
  <c r="P78" i="7" s="1"/>
  <c r="P27" i="3" s="1"/>
  <c r="O46" i="12"/>
  <c r="O78" i="7" s="1"/>
  <c r="O27" i="3" s="1"/>
  <c r="N46" i="12"/>
  <c r="N78" i="7" s="1"/>
  <c r="N27" i="3" s="1"/>
  <c r="M46" i="12"/>
  <c r="M78" i="7" s="1"/>
  <c r="M27" i="3" s="1"/>
  <c r="L46" i="12"/>
  <c r="L78" i="7" s="1"/>
  <c r="K46" i="12"/>
  <c r="K78" i="7" s="1"/>
  <c r="J46" i="12"/>
  <c r="J78" i="7" s="1"/>
  <c r="J27" i="3" s="1"/>
  <c r="Q45" i="12"/>
  <c r="Q77" i="7" s="1"/>
  <c r="P45" i="12"/>
  <c r="P77" i="7" s="1"/>
  <c r="O45" i="12"/>
  <c r="O77" i="7" s="1"/>
  <c r="Q44" i="12"/>
  <c r="P44" i="12"/>
  <c r="O44" i="12"/>
  <c r="N44" i="12"/>
  <c r="M44" i="12"/>
  <c r="L44" i="12"/>
  <c r="K44" i="12"/>
  <c r="J44" i="12"/>
  <c r="A44" i="12"/>
  <c r="Q43" i="12"/>
  <c r="P43" i="12"/>
  <c r="O43" i="12"/>
  <c r="N43" i="12"/>
  <c r="M43" i="12"/>
  <c r="L43" i="12"/>
  <c r="K43" i="12"/>
  <c r="J43" i="12"/>
  <c r="A43" i="12"/>
  <c r="Q42" i="12"/>
  <c r="P42" i="12"/>
  <c r="O42" i="12"/>
  <c r="N42" i="12"/>
  <c r="M42" i="12"/>
  <c r="L42" i="12"/>
  <c r="K42" i="12"/>
  <c r="J42" i="12"/>
  <c r="A42" i="12"/>
  <c r="Q41" i="12"/>
  <c r="P41" i="12"/>
  <c r="O41" i="12"/>
  <c r="N41" i="12"/>
  <c r="M41" i="12"/>
  <c r="L41" i="12"/>
  <c r="K41" i="12"/>
  <c r="J41" i="12"/>
  <c r="A41" i="12"/>
  <c r="Q40" i="12"/>
  <c r="P40" i="12"/>
  <c r="O40" i="12"/>
  <c r="N40" i="12"/>
  <c r="M40" i="12"/>
  <c r="L40" i="12"/>
  <c r="K40" i="12"/>
  <c r="J40" i="12"/>
  <c r="A40" i="12"/>
  <c r="Q39" i="12"/>
  <c r="P39" i="12"/>
  <c r="O39" i="12"/>
  <c r="N39" i="12"/>
  <c r="M39" i="12"/>
  <c r="L39" i="12"/>
  <c r="K39" i="12"/>
  <c r="J39" i="12"/>
  <c r="A39" i="12"/>
  <c r="Q38" i="12"/>
  <c r="P38" i="12"/>
  <c r="O38" i="12"/>
  <c r="N38" i="12"/>
  <c r="M38" i="12"/>
  <c r="L38" i="12"/>
  <c r="K38" i="12"/>
  <c r="J38" i="12"/>
  <c r="A38" i="12"/>
  <c r="Q37" i="12"/>
  <c r="P37" i="12"/>
  <c r="O37" i="12"/>
  <c r="N37" i="12"/>
  <c r="M37" i="12"/>
  <c r="L37" i="12"/>
  <c r="K37" i="12"/>
  <c r="J37" i="12"/>
  <c r="A37" i="12"/>
  <c r="Q36" i="12"/>
  <c r="P36" i="12"/>
  <c r="O36" i="12"/>
  <c r="N36" i="12"/>
  <c r="M36" i="12"/>
  <c r="L36" i="12"/>
  <c r="K36" i="12"/>
  <c r="J36" i="12"/>
  <c r="A36" i="12"/>
  <c r="Q35" i="12"/>
  <c r="P35" i="12"/>
  <c r="O35" i="12"/>
  <c r="N35" i="12"/>
  <c r="M35" i="12"/>
  <c r="L35" i="12"/>
  <c r="K35" i="12"/>
  <c r="J35" i="12"/>
  <c r="A35" i="12"/>
  <c r="Q34" i="12"/>
  <c r="P34" i="12"/>
  <c r="O34" i="12"/>
  <c r="N34" i="12"/>
  <c r="N45" i="12" s="1"/>
  <c r="N77" i="7" s="1"/>
  <c r="M34" i="12"/>
  <c r="M45" i="12" s="1"/>
  <c r="M77" i="7" s="1"/>
  <c r="L34" i="12"/>
  <c r="L45" i="12" s="1"/>
  <c r="L77" i="7" s="1"/>
  <c r="K34" i="12"/>
  <c r="K45" i="12" s="1"/>
  <c r="K77" i="7" s="1"/>
  <c r="J34" i="12"/>
  <c r="J45" i="12" s="1"/>
  <c r="J77" i="7" s="1"/>
  <c r="A34" i="12"/>
  <c r="A30" i="12"/>
  <c r="A29" i="12"/>
  <c r="A28" i="12"/>
  <c r="A27" i="12"/>
  <c r="A26" i="12"/>
  <c r="A25" i="12"/>
  <c r="A24" i="12"/>
  <c r="A23" i="12"/>
  <c r="A22" i="12"/>
  <c r="A21" i="12"/>
  <c r="A20" i="12"/>
  <c r="Q17" i="12"/>
  <c r="P17" i="12"/>
  <c r="O17" i="12"/>
  <c r="N17" i="12"/>
  <c r="M17" i="12"/>
  <c r="L17" i="12"/>
  <c r="K17" i="12"/>
  <c r="J17" i="12"/>
  <c r="Q29" i="11"/>
  <c r="P29" i="11"/>
  <c r="O29" i="11"/>
  <c r="N29" i="11"/>
  <c r="M29" i="11"/>
  <c r="L29" i="11"/>
  <c r="K29" i="11"/>
  <c r="J29" i="11"/>
  <c r="Q28" i="11"/>
  <c r="P28" i="11"/>
  <c r="O28" i="11"/>
  <c r="N28" i="11"/>
  <c r="M28" i="11"/>
  <c r="L28" i="11"/>
  <c r="K28" i="11"/>
  <c r="J28" i="11"/>
  <c r="Q27" i="11"/>
  <c r="P27" i="11"/>
  <c r="O27" i="11"/>
  <c r="N27" i="11"/>
  <c r="M27" i="11"/>
  <c r="L27" i="11"/>
  <c r="K27" i="11"/>
  <c r="J27" i="11"/>
  <c r="Q26" i="11"/>
  <c r="P26" i="11"/>
  <c r="O26" i="11"/>
  <c r="N26" i="11"/>
  <c r="M26" i="11"/>
  <c r="L26" i="11"/>
  <c r="K26" i="11"/>
  <c r="J26" i="11"/>
  <c r="Q25" i="11"/>
  <c r="P25" i="11"/>
  <c r="O25" i="11"/>
  <c r="N25" i="11"/>
  <c r="M25" i="11"/>
  <c r="L25" i="11"/>
  <c r="K25" i="11"/>
  <c r="J25" i="11"/>
  <c r="Q24" i="11"/>
  <c r="Q31" i="11" s="1"/>
  <c r="Q77" i="6" s="1"/>
  <c r="P24" i="11"/>
  <c r="P31" i="11" s="1"/>
  <c r="P77" i="6" s="1"/>
  <c r="O24" i="11"/>
  <c r="O31" i="11" s="1"/>
  <c r="O77" i="6" s="1"/>
  <c r="N24" i="11"/>
  <c r="N31" i="11" s="1"/>
  <c r="N77" i="6" s="1"/>
  <c r="M24" i="11"/>
  <c r="M31" i="11" s="1"/>
  <c r="M77" i="6" s="1"/>
  <c r="L24" i="11"/>
  <c r="L31" i="11" s="1"/>
  <c r="L77" i="6" s="1"/>
  <c r="K24" i="11"/>
  <c r="K31" i="11" s="1"/>
  <c r="K77" i="6" s="1"/>
  <c r="J24" i="11"/>
  <c r="J31" i="11" s="1"/>
  <c r="J77" i="6" s="1"/>
  <c r="Q21" i="11"/>
  <c r="P21" i="11"/>
  <c r="O21" i="11"/>
  <c r="N21" i="11"/>
  <c r="M21" i="11"/>
  <c r="L21" i="11"/>
  <c r="K21" i="11"/>
  <c r="J21" i="11"/>
  <c r="A20" i="11"/>
  <c r="A29" i="11" s="1"/>
  <c r="A19" i="11"/>
  <c r="A28" i="11" s="1"/>
  <c r="A18" i="11"/>
  <c r="A27" i="11" s="1"/>
  <c r="A17" i="11"/>
  <c r="A26" i="11" s="1"/>
  <c r="A16" i="11"/>
  <c r="A25" i="11" s="1"/>
  <c r="A15" i="11"/>
  <c r="A24" i="11" s="1"/>
  <c r="Q12" i="11"/>
  <c r="P12" i="11"/>
  <c r="O12" i="11"/>
  <c r="N12" i="11"/>
  <c r="M12" i="11"/>
  <c r="L12" i="11"/>
  <c r="K12" i="11"/>
  <c r="J12" i="11"/>
  <c r="Q28" i="10"/>
  <c r="P28" i="10"/>
  <c r="O28" i="10"/>
  <c r="N28" i="10"/>
  <c r="M28" i="10"/>
  <c r="L28" i="10"/>
  <c r="K28" i="10"/>
  <c r="J28" i="10"/>
  <c r="A28" i="10"/>
  <c r="Q27" i="10"/>
  <c r="P27" i="10"/>
  <c r="O27" i="10"/>
  <c r="N27" i="10"/>
  <c r="M27" i="10"/>
  <c r="L27" i="10"/>
  <c r="K27" i="10"/>
  <c r="J27" i="10"/>
  <c r="A27" i="10"/>
  <c r="Q26" i="10"/>
  <c r="P26" i="10"/>
  <c r="O26" i="10"/>
  <c r="N26" i="10"/>
  <c r="M26" i="10"/>
  <c r="L26" i="10"/>
  <c r="K26" i="10"/>
  <c r="J26" i="10"/>
  <c r="A26" i="10"/>
  <c r="Q25" i="10"/>
  <c r="P25" i="10"/>
  <c r="O25" i="10"/>
  <c r="N25" i="10"/>
  <c r="M25" i="10"/>
  <c r="L25" i="10"/>
  <c r="K25" i="10"/>
  <c r="J25" i="10"/>
  <c r="A25" i="10"/>
  <c r="Q24" i="10"/>
  <c r="P24" i="10"/>
  <c r="O24" i="10"/>
  <c r="N24" i="10"/>
  <c r="M24" i="10"/>
  <c r="L24" i="10"/>
  <c r="K24" i="10"/>
  <c r="J24" i="10"/>
  <c r="A24" i="10"/>
  <c r="Q23" i="10"/>
  <c r="Q30" i="10" s="1"/>
  <c r="Q78" i="3" s="1"/>
  <c r="P23" i="10"/>
  <c r="P30" i="10" s="1"/>
  <c r="P78" i="3" s="1"/>
  <c r="O23" i="10"/>
  <c r="O30" i="10" s="1"/>
  <c r="O78" i="3" s="1"/>
  <c r="N23" i="10"/>
  <c r="N30" i="10" s="1"/>
  <c r="N78" i="3" s="1"/>
  <c r="M23" i="10"/>
  <c r="M30" i="10" s="1"/>
  <c r="M78" i="3" s="1"/>
  <c r="L23" i="10"/>
  <c r="L30" i="10" s="1"/>
  <c r="L78" i="3" s="1"/>
  <c r="K23" i="10"/>
  <c r="K30" i="10" s="1"/>
  <c r="K78" i="3" s="1"/>
  <c r="J23" i="10"/>
  <c r="J30" i="10" s="1"/>
  <c r="J78" i="3" s="1"/>
  <c r="A23" i="10"/>
  <c r="Q20" i="10"/>
  <c r="P20" i="10"/>
  <c r="O20" i="10"/>
  <c r="N20" i="10"/>
  <c r="M20" i="10"/>
  <c r="L20" i="10"/>
  <c r="K20" i="10"/>
  <c r="J20" i="10"/>
  <c r="A19" i="10"/>
  <c r="A18" i="10"/>
  <c r="A17" i="10"/>
  <c r="A16" i="10"/>
  <c r="A15" i="10"/>
  <c r="A14" i="10"/>
  <c r="Q12" i="10"/>
  <c r="P12" i="10"/>
  <c r="O12" i="10"/>
  <c r="N12" i="10"/>
  <c r="M12" i="10"/>
  <c r="L12" i="10"/>
  <c r="K12" i="10"/>
  <c r="J12" i="10"/>
  <c r="Q67" i="8"/>
  <c r="P67" i="8"/>
  <c r="O67" i="8"/>
  <c r="N67" i="8"/>
  <c r="M67" i="8"/>
  <c r="L67" i="8"/>
  <c r="K67" i="8"/>
  <c r="J67" i="8"/>
  <c r="Q64" i="8"/>
  <c r="P64" i="8"/>
  <c r="O64" i="8"/>
  <c r="N64" i="8"/>
  <c r="M64" i="8"/>
  <c r="L64" i="8"/>
  <c r="K64" i="8"/>
  <c r="J64" i="8"/>
  <c r="J57" i="8"/>
  <c r="Q56" i="8"/>
  <c r="P56" i="8"/>
  <c r="O56" i="8"/>
  <c r="N56" i="8"/>
  <c r="M56" i="8"/>
  <c r="L56" i="8"/>
  <c r="K56" i="8"/>
  <c r="J56" i="8"/>
  <c r="J50" i="8"/>
  <c r="Q46" i="8"/>
  <c r="Q52" i="8" s="1"/>
  <c r="Q53" i="8" s="1"/>
  <c r="P46" i="8"/>
  <c r="P52" i="8" s="1"/>
  <c r="P53" i="8" s="1"/>
  <c r="O46" i="8"/>
  <c r="O52" i="8" s="1"/>
  <c r="O53" i="8" s="1"/>
  <c r="N46" i="8"/>
  <c r="N52" i="8" s="1"/>
  <c r="N53" i="8" s="1"/>
  <c r="K39" i="8"/>
  <c r="L39" i="8" s="1"/>
  <c r="M39" i="8" s="1"/>
  <c r="M36" i="8"/>
  <c r="M46" i="8" s="1"/>
  <c r="M52" i="8" s="1"/>
  <c r="M53" i="8" s="1"/>
  <c r="L36" i="8"/>
  <c r="L46" i="8" s="1"/>
  <c r="L52" i="8" s="1"/>
  <c r="L53" i="8" s="1"/>
  <c r="K36" i="8"/>
  <c r="K46" i="8" s="1"/>
  <c r="K52" i="8" s="1"/>
  <c r="K53" i="8" s="1"/>
  <c r="J36" i="8"/>
  <c r="J46" i="8" s="1"/>
  <c r="J52" i="8" s="1"/>
  <c r="J53" i="8" s="1"/>
  <c r="M35" i="8"/>
  <c r="L35" i="8"/>
  <c r="K35" i="8"/>
  <c r="J35" i="8"/>
  <c r="J29" i="8"/>
  <c r="K29" i="8" s="1"/>
  <c r="Q25" i="8"/>
  <c r="Q31" i="8" s="1"/>
  <c r="Q32" i="8" s="1"/>
  <c r="P25" i="8"/>
  <c r="P31" i="8" s="1"/>
  <c r="P32" i="8" s="1"/>
  <c r="O25" i="8"/>
  <c r="O31" i="8" s="1"/>
  <c r="O32" i="8" s="1"/>
  <c r="N25" i="8"/>
  <c r="N31" i="8" s="1"/>
  <c r="N32" i="8" s="1"/>
  <c r="M25" i="8"/>
  <c r="M31" i="8" s="1"/>
  <c r="M32" i="8" s="1"/>
  <c r="L25" i="8"/>
  <c r="L31" i="8" s="1"/>
  <c r="L32" i="8" s="1"/>
  <c r="K25" i="8"/>
  <c r="K31" i="8" s="1"/>
  <c r="K32" i="8" s="1"/>
  <c r="J25" i="8"/>
  <c r="J31" i="8" s="1"/>
  <c r="J32" i="8" s="1"/>
  <c r="Q80" i="7"/>
  <c r="P80" i="7"/>
  <c r="O80" i="7"/>
  <c r="N80" i="7"/>
  <c r="M80" i="7"/>
  <c r="L80" i="7"/>
  <c r="K80" i="7"/>
  <c r="J80" i="7"/>
  <c r="Q79" i="7"/>
  <c r="P79" i="7"/>
  <c r="O79" i="7"/>
  <c r="N79" i="7"/>
  <c r="M79" i="7"/>
  <c r="L79" i="7"/>
  <c r="Q67" i="7"/>
  <c r="P67" i="7"/>
  <c r="O67" i="7"/>
  <c r="N67" i="7"/>
  <c r="M67" i="7"/>
  <c r="L67" i="7"/>
  <c r="K67" i="7"/>
  <c r="J67" i="7"/>
  <c r="Q64" i="7"/>
  <c r="P64" i="7"/>
  <c r="O64" i="7"/>
  <c r="N64" i="7"/>
  <c r="M64" i="7"/>
  <c r="L64" i="7"/>
  <c r="K64" i="7"/>
  <c r="J64" i="7"/>
  <c r="J57" i="7"/>
  <c r="Q56" i="7"/>
  <c r="P56" i="7"/>
  <c r="O56" i="7"/>
  <c r="N56" i="7"/>
  <c r="M56" i="7"/>
  <c r="L56" i="7"/>
  <c r="K56" i="7"/>
  <c r="J56" i="7"/>
  <c r="J50" i="7"/>
  <c r="K50" i="7" s="1"/>
  <c r="L50" i="7" s="1"/>
  <c r="M50" i="7" s="1"/>
  <c r="N50" i="7" s="1"/>
  <c r="O50" i="7" s="1"/>
  <c r="P50" i="7" s="1"/>
  <c r="Q50" i="7" s="1"/>
  <c r="Q46" i="7"/>
  <c r="Q52" i="7" s="1"/>
  <c r="Q53" i="7" s="1"/>
  <c r="P46" i="7"/>
  <c r="P52" i="7" s="1"/>
  <c r="P53" i="7" s="1"/>
  <c r="O46" i="7"/>
  <c r="O52" i="7" s="1"/>
  <c r="O53" i="7" s="1"/>
  <c r="N46" i="7"/>
  <c r="N52" i="7" s="1"/>
  <c r="N53" i="7" s="1"/>
  <c r="J40" i="7"/>
  <c r="K40" i="7" s="1"/>
  <c r="L40" i="7" s="1"/>
  <c r="M40" i="7" s="1"/>
  <c r="L38" i="7"/>
  <c r="M38" i="7" s="1"/>
  <c r="K38" i="7"/>
  <c r="M37" i="7"/>
  <c r="L37" i="7"/>
  <c r="K37" i="7"/>
  <c r="J37" i="7"/>
  <c r="M36" i="7"/>
  <c r="L36" i="7"/>
  <c r="K36" i="7"/>
  <c r="J36" i="7"/>
  <c r="M35" i="7"/>
  <c r="L35" i="7"/>
  <c r="L46" i="7" s="1"/>
  <c r="L52" i="7" s="1"/>
  <c r="L53" i="7" s="1"/>
  <c r="K35" i="7"/>
  <c r="K46" i="7" s="1"/>
  <c r="K52" i="7" s="1"/>
  <c r="K53" i="7" s="1"/>
  <c r="J35" i="7"/>
  <c r="J46" i="7" s="1"/>
  <c r="J52" i="7" s="1"/>
  <c r="J53" i="7" s="1"/>
  <c r="J29" i="7"/>
  <c r="J62" i="7" s="1"/>
  <c r="J67" i="3" s="1"/>
  <c r="K27" i="7"/>
  <c r="K29" i="7" s="1"/>
  <c r="Q25" i="7"/>
  <c r="Q31" i="7" s="1"/>
  <c r="Q32" i="7" s="1"/>
  <c r="P25" i="7"/>
  <c r="P31" i="7" s="1"/>
  <c r="P32" i="7" s="1"/>
  <c r="O25" i="7"/>
  <c r="O31" i="7" s="1"/>
  <c r="O32" i="7" s="1"/>
  <c r="N25" i="7"/>
  <c r="N31" i="7" s="1"/>
  <c r="N32" i="7" s="1"/>
  <c r="L25" i="7"/>
  <c r="L31" i="7" s="1"/>
  <c r="L32" i="7" s="1"/>
  <c r="K25" i="7"/>
  <c r="K31" i="7" s="1"/>
  <c r="K32" i="7" s="1"/>
  <c r="J25" i="7"/>
  <c r="J31" i="7" s="1"/>
  <c r="J32" i="7" s="1"/>
  <c r="M23" i="7"/>
  <c r="M25" i="7" s="1"/>
  <c r="M31" i="7" s="1"/>
  <c r="M32" i="7" s="1"/>
  <c r="M15" i="7"/>
  <c r="L15" i="7"/>
  <c r="K15" i="7"/>
  <c r="J15" i="7"/>
  <c r="M14" i="7"/>
  <c r="L14" i="7"/>
  <c r="K14" i="7"/>
  <c r="J14" i="7"/>
  <c r="M12" i="7"/>
  <c r="L12" i="7"/>
  <c r="K12" i="7"/>
  <c r="J12" i="7"/>
  <c r="Q67" i="6"/>
  <c r="P67" i="6"/>
  <c r="O67" i="6"/>
  <c r="N67" i="6"/>
  <c r="M67" i="6"/>
  <c r="L67" i="6"/>
  <c r="K67" i="6"/>
  <c r="J67" i="6"/>
  <c r="Q64" i="6"/>
  <c r="P64" i="6"/>
  <c r="O64" i="6"/>
  <c r="N64" i="6"/>
  <c r="M64" i="6"/>
  <c r="L64" i="6"/>
  <c r="K64" i="6"/>
  <c r="J64" i="6"/>
  <c r="J57" i="6"/>
  <c r="Q56" i="6"/>
  <c r="P56" i="6"/>
  <c r="O56" i="6"/>
  <c r="N56" i="6"/>
  <c r="M56" i="6"/>
  <c r="L56" i="6"/>
  <c r="K56" i="6"/>
  <c r="J56" i="6"/>
  <c r="J50" i="6"/>
  <c r="M48" i="6"/>
  <c r="L48" i="6"/>
  <c r="K48" i="6"/>
  <c r="K50" i="6" s="1"/>
  <c r="Q46" i="6"/>
  <c r="Q52" i="6" s="1"/>
  <c r="Q53" i="6" s="1"/>
  <c r="P46" i="6"/>
  <c r="P52" i="6" s="1"/>
  <c r="P53" i="6" s="1"/>
  <c r="O46" i="6"/>
  <c r="O52" i="6" s="1"/>
  <c r="O53" i="6" s="1"/>
  <c r="N46" i="6"/>
  <c r="N52" i="6" s="1"/>
  <c r="N53" i="6" s="1"/>
  <c r="M46" i="6"/>
  <c r="M52" i="6" s="1"/>
  <c r="M53" i="6" s="1"/>
  <c r="L46" i="6"/>
  <c r="L52" i="6" s="1"/>
  <c r="L53" i="6" s="1"/>
  <c r="K46" i="6"/>
  <c r="K52" i="6" s="1"/>
  <c r="K53" i="6" s="1"/>
  <c r="J46" i="6"/>
  <c r="J52" i="6" s="1"/>
  <c r="J53" i="6" s="1"/>
  <c r="Q25" i="6"/>
  <c r="Q31" i="6" s="1"/>
  <c r="Q32" i="6" s="1"/>
  <c r="P25" i="6"/>
  <c r="P31" i="6" s="1"/>
  <c r="P32" i="6" s="1"/>
  <c r="O25" i="6"/>
  <c r="O31" i="6" s="1"/>
  <c r="O32" i="6" s="1"/>
  <c r="N25" i="6"/>
  <c r="N31" i="6" s="1"/>
  <c r="N32" i="6" s="1"/>
  <c r="J9" i="6"/>
  <c r="K9" i="6" s="1"/>
  <c r="L9" i="6" s="1"/>
  <c r="M9" i="6" s="1"/>
  <c r="M8" i="6"/>
  <c r="L8" i="6"/>
  <c r="K8" i="6"/>
  <c r="J8" i="6"/>
  <c r="J7" i="6"/>
  <c r="K7" i="6" s="1"/>
  <c r="M6" i="6"/>
  <c r="L6" i="6"/>
  <c r="K6" i="6"/>
  <c r="K25" i="6" s="1"/>
  <c r="J6" i="6"/>
  <c r="J25" i="6" s="1"/>
  <c r="I16" i="5"/>
  <c r="I12" i="5"/>
  <c r="I9" i="5"/>
  <c r="I8" i="5"/>
  <c r="I7" i="5"/>
  <c r="I11" i="5" s="1"/>
  <c r="A81" i="3"/>
  <c r="A80" i="3"/>
  <c r="A79" i="3"/>
  <c r="A78" i="3"/>
  <c r="Q58" i="3"/>
  <c r="P58" i="3"/>
  <c r="O58" i="3"/>
  <c r="N58" i="3"/>
  <c r="M58" i="3"/>
  <c r="L58" i="3"/>
  <c r="K58" i="3"/>
  <c r="J58" i="3"/>
  <c r="Q56" i="3"/>
  <c r="P56" i="3"/>
  <c r="O56" i="3"/>
  <c r="N56" i="3"/>
  <c r="M56" i="3"/>
  <c r="L56" i="3"/>
  <c r="K56" i="3"/>
  <c r="J56" i="3"/>
  <c r="Q55" i="3"/>
  <c r="P55" i="3"/>
  <c r="O55" i="3"/>
  <c r="N55" i="3"/>
  <c r="M55" i="3"/>
  <c r="L55" i="3"/>
  <c r="K55" i="3"/>
  <c r="J55" i="3"/>
  <c r="Q54" i="3"/>
  <c r="P54" i="3"/>
  <c r="O54" i="3"/>
  <c r="N54" i="3"/>
  <c r="M54" i="3"/>
  <c r="L54" i="3"/>
  <c r="K54" i="3"/>
  <c r="J54" i="3"/>
  <c r="Q53" i="3"/>
  <c r="P53" i="3"/>
  <c r="O53" i="3"/>
  <c r="N53" i="3"/>
  <c r="N59" i="3" s="1"/>
  <c r="N9" i="5" s="1"/>
  <c r="M53" i="3"/>
  <c r="M59" i="3" s="1"/>
  <c r="M9" i="5" s="1"/>
  <c r="L53" i="3"/>
  <c r="L59" i="3" s="1"/>
  <c r="L9" i="5" s="1"/>
  <c r="K53" i="3"/>
  <c r="K59" i="3" s="1"/>
  <c r="K9" i="5" s="1"/>
  <c r="J53" i="3"/>
  <c r="J59" i="3" s="1"/>
  <c r="J9" i="5" s="1"/>
  <c r="Q52" i="3"/>
  <c r="Q59" i="3" s="1"/>
  <c r="Q9" i="5" s="1"/>
  <c r="P52" i="3"/>
  <c r="P59" i="3" s="1"/>
  <c r="P9" i="5" s="1"/>
  <c r="O52" i="3"/>
  <c r="O59" i="3" s="1"/>
  <c r="O9" i="5" s="1"/>
  <c r="N52" i="3"/>
  <c r="M52" i="3"/>
  <c r="L52" i="3"/>
  <c r="K52" i="3"/>
  <c r="J52" i="3"/>
  <c r="L38" i="3"/>
  <c r="K38" i="3"/>
  <c r="J38" i="3"/>
  <c r="M38" i="3" s="1"/>
  <c r="J37" i="3"/>
  <c r="Q31" i="3"/>
  <c r="P31" i="3"/>
  <c r="O31" i="3"/>
  <c r="N31" i="3"/>
  <c r="M31" i="3"/>
  <c r="L31" i="3"/>
  <c r="K31" i="3"/>
  <c r="J31" i="3"/>
  <c r="M30" i="3"/>
  <c r="L30" i="3"/>
  <c r="K30" i="3"/>
  <c r="J30" i="3"/>
  <c r="Q18" i="3"/>
  <c r="P18" i="3"/>
  <c r="O18" i="3"/>
  <c r="N18" i="3"/>
  <c r="M18" i="3"/>
  <c r="M33" i="3" s="1"/>
  <c r="L18" i="3"/>
  <c r="L33" i="3" s="1"/>
  <c r="K18" i="3"/>
  <c r="K33" i="3" s="1"/>
  <c r="J18" i="3"/>
  <c r="J33" i="3" s="1"/>
  <c r="I107" i="1"/>
  <c r="H107" i="1"/>
  <c r="G107" i="1"/>
  <c r="F107" i="1"/>
  <c r="E107" i="1"/>
  <c r="I106" i="1"/>
  <c r="H106" i="1"/>
  <c r="G106" i="1"/>
  <c r="F106" i="1"/>
  <c r="E106" i="1"/>
  <c r="I105" i="1"/>
  <c r="H105" i="1"/>
  <c r="G105" i="1"/>
  <c r="F105" i="1"/>
  <c r="E105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I96" i="1"/>
  <c r="H96" i="1"/>
  <c r="G96" i="1"/>
  <c r="F96" i="1"/>
  <c r="E96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I60" i="1"/>
  <c r="H60" i="1"/>
  <c r="G60" i="1"/>
  <c r="F60" i="1"/>
  <c r="E60" i="1"/>
  <c r="I59" i="1"/>
  <c r="H59" i="1"/>
  <c r="G59" i="1"/>
  <c r="F59" i="1"/>
  <c r="E59" i="1"/>
  <c r="I57" i="1"/>
  <c r="H57" i="1"/>
  <c r="G57" i="1"/>
  <c r="F57" i="1"/>
  <c r="E57" i="1"/>
  <c r="I56" i="1"/>
  <c r="H56" i="1"/>
  <c r="G56" i="1"/>
  <c r="F56" i="1"/>
  <c r="E56" i="1"/>
  <c r="I48" i="1"/>
  <c r="H48" i="1"/>
  <c r="G48" i="1"/>
  <c r="F48" i="1"/>
  <c r="E48" i="1"/>
  <c r="I47" i="1"/>
  <c r="H47" i="1"/>
  <c r="G47" i="1"/>
  <c r="F47" i="1"/>
  <c r="E47" i="1"/>
  <c r="Q47" i="13"/>
  <c r="P47" i="13"/>
  <c r="O47" i="13"/>
  <c r="N47" i="13"/>
  <c r="M47" i="13"/>
  <c r="L47" i="13"/>
  <c r="K47" i="13"/>
  <c r="J47" i="13"/>
  <c r="A47" i="13"/>
  <c r="Q46" i="13"/>
  <c r="P46" i="13"/>
  <c r="O46" i="13"/>
  <c r="N46" i="13"/>
  <c r="M46" i="13"/>
  <c r="L46" i="13"/>
  <c r="K46" i="13"/>
  <c r="J46" i="13"/>
  <c r="A46" i="13"/>
  <c r="Q45" i="13"/>
  <c r="P45" i="13"/>
  <c r="O45" i="13"/>
  <c r="N45" i="13"/>
  <c r="M45" i="13"/>
  <c r="L45" i="13"/>
  <c r="K45" i="13"/>
  <c r="J45" i="13"/>
  <c r="A45" i="13"/>
  <c r="Q44" i="13"/>
  <c r="P44" i="13"/>
  <c r="O44" i="13"/>
  <c r="N44" i="13"/>
  <c r="M44" i="13"/>
  <c r="L44" i="13"/>
  <c r="K44" i="13"/>
  <c r="J44" i="13"/>
  <c r="A44" i="13"/>
  <c r="Q43" i="13"/>
  <c r="P43" i="13"/>
  <c r="O43" i="13"/>
  <c r="N43" i="13"/>
  <c r="M43" i="13"/>
  <c r="L43" i="13"/>
  <c r="K43" i="13"/>
  <c r="J43" i="13"/>
  <c r="A43" i="13"/>
  <c r="Q42" i="13"/>
  <c r="P42" i="13"/>
  <c r="O42" i="13"/>
  <c r="N42" i="13"/>
  <c r="M42" i="13"/>
  <c r="L42" i="13"/>
  <c r="K42" i="13"/>
  <c r="J42" i="13"/>
  <c r="A42" i="13"/>
  <c r="Q41" i="13"/>
  <c r="P41" i="13"/>
  <c r="O41" i="13"/>
  <c r="N41" i="13"/>
  <c r="M41" i="13"/>
  <c r="L41" i="13"/>
  <c r="K41" i="13"/>
  <c r="J41" i="13"/>
  <c r="A41" i="13"/>
  <c r="Q40" i="13"/>
  <c r="P40" i="13"/>
  <c r="O40" i="13"/>
  <c r="N40" i="13"/>
  <c r="M40" i="13"/>
  <c r="L40" i="13"/>
  <c r="K40" i="13"/>
  <c r="J40" i="13"/>
  <c r="A40" i="13"/>
  <c r="Q39" i="13"/>
  <c r="P39" i="13"/>
  <c r="O39" i="13"/>
  <c r="N39" i="13"/>
  <c r="M39" i="13"/>
  <c r="L39" i="13"/>
  <c r="K39" i="13"/>
  <c r="J39" i="13"/>
  <c r="A39" i="13"/>
  <c r="Q38" i="13"/>
  <c r="P38" i="13"/>
  <c r="O38" i="13"/>
  <c r="N38" i="13"/>
  <c r="M38" i="13"/>
  <c r="L38" i="13"/>
  <c r="K38" i="13"/>
  <c r="J38" i="13"/>
  <c r="A38" i="13"/>
  <c r="Q37" i="13"/>
  <c r="P37" i="13"/>
  <c r="O37" i="13"/>
  <c r="N37" i="13"/>
  <c r="M37" i="13"/>
  <c r="L37" i="13"/>
  <c r="K37" i="13"/>
  <c r="J37" i="13"/>
  <c r="A37" i="13"/>
  <c r="Q36" i="13"/>
  <c r="P36" i="13"/>
  <c r="O36" i="13"/>
  <c r="N36" i="13"/>
  <c r="M36" i="13"/>
  <c r="L36" i="13"/>
  <c r="K36" i="13"/>
  <c r="J36" i="13"/>
  <c r="A36" i="13"/>
  <c r="Q33" i="13"/>
  <c r="P33" i="13"/>
  <c r="O33" i="13"/>
  <c r="N33" i="13"/>
  <c r="M33" i="13"/>
  <c r="L33" i="13"/>
  <c r="K33" i="13"/>
  <c r="J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Q18" i="13"/>
  <c r="P18" i="13"/>
  <c r="O18" i="13"/>
  <c r="N18" i="13"/>
  <c r="M18" i="13"/>
  <c r="L18" i="13"/>
  <c r="K18" i="13"/>
  <c r="J18" i="13"/>
  <c r="L32" i="11" l="1"/>
  <c r="L78" i="6" s="1"/>
  <c r="Q32" i="11"/>
  <c r="Q78" i="6" s="1"/>
  <c r="P32" i="11"/>
  <c r="P78" i="6" s="1"/>
  <c r="O32" i="11"/>
  <c r="O78" i="6" s="1"/>
  <c r="N32" i="11"/>
  <c r="N78" i="6" s="1"/>
  <c r="M32" i="11"/>
  <c r="M78" i="6" s="1"/>
  <c r="K32" i="11"/>
  <c r="K78" i="6" s="1"/>
  <c r="J32" i="11"/>
  <c r="J78" i="6" s="1"/>
  <c r="Q33" i="11"/>
  <c r="Q79" i="6" s="1"/>
  <c r="P33" i="11"/>
  <c r="P79" i="6" s="1"/>
  <c r="O33" i="11"/>
  <c r="O79" i="6" s="1"/>
  <c r="N33" i="11"/>
  <c r="N79" i="6" s="1"/>
  <c r="M33" i="11"/>
  <c r="M79" i="6" s="1"/>
  <c r="L33" i="11"/>
  <c r="L79" i="6" s="1"/>
  <c r="K33" i="11"/>
  <c r="K79" i="6" s="1"/>
  <c r="J33" i="11"/>
  <c r="J79" i="6" s="1"/>
  <c r="Q34" i="11"/>
  <c r="Q80" i="6" s="1"/>
  <c r="P34" i="11"/>
  <c r="P80" i="6" s="1"/>
  <c r="O34" i="11"/>
  <c r="O80" i="6" s="1"/>
  <c r="N34" i="11"/>
  <c r="N80" i="6" s="1"/>
  <c r="M34" i="11"/>
  <c r="M80" i="6" s="1"/>
  <c r="L34" i="11"/>
  <c r="L80" i="6" s="1"/>
  <c r="K34" i="11"/>
  <c r="K80" i="6" s="1"/>
  <c r="J34" i="11"/>
  <c r="J80" i="6" s="1"/>
  <c r="M31" i="10"/>
  <c r="M79" i="3" s="1"/>
  <c r="O31" i="10"/>
  <c r="O79" i="3" s="1"/>
  <c r="P31" i="10"/>
  <c r="P79" i="3" s="1"/>
  <c r="Q31" i="10"/>
  <c r="Q79" i="3" s="1"/>
  <c r="J31" i="10"/>
  <c r="J79" i="3" s="1"/>
  <c r="K31" i="10"/>
  <c r="K79" i="3" s="1"/>
  <c r="L31" i="10"/>
  <c r="L79" i="3" s="1"/>
  <c r="N31" i="10"/>
  <c r="N79" i="3" s="1"/>
  <c r="K32" i="10"/>
  <c r="K80" i="3" s="1"/>
  <c r="J32" i="10"/>
  <c r="J80" i="3" s="1"/>
  <c r="Q32" i="10"/>
  <c r="Q80" i="3" s="1"/>
  <c r="P32" i="10"/>
  <c r="P80" i="3" s="1"/>
  <c r="O32" i="10"/>
  <c r="O80" i="3" s="1"/>
  <c r="N32" i="10"/>
  <c r="N80" i="3" s="1"/>
  <c r="M32" i="10"/>
  <c r="M80" i="3" s="1"/>
  <c r="L32" i="10"/>
  <c r="L80" i="3" s="1"/>
  <c r="L33" i="10"/>
  <c r="L81" i="3" s="1"/>
  <c r="K33" i="10"/>
  <c r="K81" i="3" s="1"/>
  <c r="O33" i="10"/>
  <c r="O81" i="3" s="1"/>
  <c r="J33" i="10"/>
  <c r="J81" i="3" s="1"/>
  <c r="Q33" i="10"/>
  <c r="Q81" i="3" s="1"/>
  <c r="N33" i="10"/>
  <c r="N81" i="3" s="1"/>
  <c r="P33" i="10"/>
  <c r="P81" i="3" s="1"/>
  <c r="M33" i="10"/>
  <c r="M81" i="3" s="1"/>
  <c r="L27" i="3"/>
  <c r="L57" i="7"/>
  <c r="K27" i="3"/>
  <c r="K57" i="7"/>
  <c r="Q73" i="8"/>
  <c r="Q72" i="8"/>
  <c r="P72" i="8"/>
  <c r="P73" i="8"/>
  <c r="O73" i="8"/>
  <c r="O72" i="8"/>
  <c r="N73" i="8"/>
  <c r="N72" i="8"/>
  <c r="M72" i="8"/>
  <c r="M73" i="8"/>
  <c r="L68" i="8"/>
  <c r="L73" i="8"/>
  <c r="L72" i="8"/>
  <c r="K73" i="8"/>
  <c r="K72" i="8"/>
  <c r="K68" i="8"/>
  <c r="J68" i="8"/>
  <c r="J72" i="8"/>
  <c r="J73" i="8"/>
  <c r="J58" i="8"/>
  <c r="J69" i="8" s="1"/>
  <c r="J70" i="8" s="1"/>
  <c r="J7" i="3" s="1"/>
  <c r="J62" i="8"/>
  <c r="J66" i="3" s="1"/>
  <c r="K50" i="8"/>
  <c r="L50" i="8" s="1"/>
  <c r="M50" i="8" s="1"/>
  <c r="N50" i="8" s="1"/>
  <c r="O50" i="8" s="1"/>
  <c r="P50" i="8" s="1"/>
  <c r="Q50" i="8" s="1"/>
  <c r="L29" i="8"/>
  <c r="K62" i="8"/>
  <c r="K66" i="3" s="1"/>
  <c r="Q72" i="7"/>
  <c r="Q73" i="7"/>
  <c r="Q68" i="7"/>
  <c r="P68" i="7"/>
  <c r="P73" i="7"/>
  <c r="P72" i="7"/>
  <c r="O73" i="7"/>
  <c r="O72" i="7"/>
  <c r="O68" i="7"/>
  <c r="N73" i="7"/>
  <c r="N72" i="7"/>
  <c r="N68" i="7"/>
  <c r="M72" i="7"/>
  <c r="M73" i="7"/>
  <c r="L73" i="7"/>
  <c r="L72" i="7"/>
  <c r="L68" i="7"/>
  <c r="K72" i="7"/>
  <c r="K73" i="7"/>
  <c r="K68" i="7"/>
  <c r="J72" i="7"/>
  <c r="J73" i="7"/>
  <c r="J68" i="7"/>
  <c r="J58" i="7"/>
  <c r="M57" i="7"/>
  <c r="L29" i="7"/>
  <c r="K62" i="7"/>
  <c r="K67" i="3" s="1"/>
  <c r="Q73" i="6"/>
  <c r="Q72" i="6"/>
  <c r="Q68" i="6"/>
  <c r="P73" i="6"/>
  <c r="P68" i="6"/>
  <c r="P72" i="6"/>
  <c r="O73" i="6"/>
  <c r="O72" i="6"/>
  <c r="O68" i="6"/>
  <c r="N73" i="6"/>
  <c r="N72" i="6"/>
  <c r="N68" i="6"/>
  <c r="M73" i="6"/>
  <c r="L73" i="6"/>
  <c r="K73" i="6"/>
  <c r="J73" i="6"/>
  <c r="J58" i="6"/>
  <c r="J69" i="6" s="1"/>
  <c r="M57" i="6"/>
  <c r="L7" i="6"/>
  <c r="K27" i="6"/>
  <c r="K72" i="6" s="1"/>
  <c r="J27" i="6"/>
  <c r="I13" i="5"/>
  <c r="I18" i="5" s="1"/>
  <c r="J6" i="5"/>
  <c r="Q51" i="13"/>
  <c r="Q80" i="8" s="1"/>
  <c r="Q50" i="13"/>
  <c r="Q79" i="8" s="1"/>
  <c r="Q49" i="13"/>
  <c r="Q78" i="8" s="1"/>
  <c r="Q48" i="13"/>
  <c r="Q77" i="8" s="1"/>
  <c r="P50" i="13"/>
  <c r="P79" i="8" s="1"/>
  <c r="P51" i="13"/>
  <c r="P80" i="8" s="1"/>
  <c r="P49" i="13"/>
  <c r="P78" i="8" s="1"/>
  <c r="P26" i="3" s="1"/>
  <c r="P48" i="13"/>
  <c r="P77" i="8" s="1"/>
  <c r="O51" i="13"/>
  <c r="O80" i="8" s="1"/>
  <c r="O50" i="13"/>
  <c r="O79" i="8" s="1"/>
  <c r="O49" i="13"/>
  <c r="O78" i="8" s="1"/>
  <c r="O26" i="3" s="1"/>
  <c r="O48" i="13"/>
  <c r="O77" i="8" s="1"/>
  <c r="N50" i="13"/>
  <c r="N79" i="8" s="1"/>
  <c r="N49" i="13"/>
  <c r="N78" i="8" s="1"/>
  <c r="N26" i="3" s="1"/>
  <c r="N51" i="13"/>
  <c r="N80" i="8" s="1"/>
  <c r="N48" i="13"/>
  <c r="N77" i="8" s="1"/>
  <c r="M51" i="13"/>
  <c r="M80" i="8" s="1"/>
  <c r="M50" i="13"/>
  <c r="M79" i="8" s="1"/>
  <c r="M49" i="13"/>
  <c r="M78" i="8" s="1"/>
  <c r="M57" i="8" s="1"/>
  <c r="M48" i="13"/>
  <c r="M77" i="8" s="1"/>
  <c r="L50" i="13"/>
  <c r="L79" i="8" s="1"/>
  <c r="L51" i="13"/>
  <c r="L80" i="8" s="1"/>
  <c r="L49" i="13"/>
  <c r="L78" i="8" s="1"/>
  <c r="L48" i="13"/>
  <c r="L77" i="8" s="1"/>
  <c r="K50" i="13"/>
  <c r="K79" i="8" s="1"/>
  <c r="K51" i="13"/>
  <c r="K80" i="8" s="1"/>
  <c r="K49" i="13"/>
  <c r="K78" i="8" s="1"/>
  <c r="K48" i="13"/>
  <c r="K77" i="8" s="1"/>
  <c r="J50" i="13"/>
  <c r="J79" i="8" s="1"/>
  <c r="J49" i="13"/>
  <c r="J78" i="8" s="1"/>
  <c r="J26" i="3" s="1"/>
  <c r="J51" i="13"/>
  <c r="J80" i="8" s="1"/>
  <c r="J48" i="13"/>
  <c r="J77" i="8" s="1"/>
  <c r="M46" i="7"/>
  <c r="M52" i="7" s="1"/>
  <c r="J60" i="8"/>
  <c r="J86" i="3" s="1"/>
  <c r="L50" i="6"/>
  <c r="M50" i="6" s="1"/>
  <c r="N50" i="6" s="1"/>
  <c r="O50" i="6" s="1"/>
  <c r="P50" i="6" s="1"/>
  <c r="Q50" i="6" s="1"/>
  <c r="L25" i="3" l="1"/>
  <c r="L57" i="6"/>
  <c r="K25" i="3"/>
  <c r="K57" i="6"/>
  <c r="L28" i="3"/>
  <c r="L41" i="3"/>
  <c r="L43" i="3" s="1"/>
  <c r="K28" i="3"/>
  <c r="K41" i="3"/>
  <c r="K43" i="3" s="1"/>
  <c r="O28" i="3"/>
  <c r="O41" i="3"/>
  <c r="O43" i="3" s="1"/>
  <c r="J28" i="3"/>
  <c r="J41" i="3"/>
  <c r="J43" i="3" s="1"/>
  <c r="Q28" i="3"/>
  <c r="Q41" i="3"/>
  <c r="Q43" i="3" s="1"/>
  <c r="N28" i="3"/>
  <c r="N41" i="3"/>
  <c r="N43" i="3" s="1"/>
  <c r="P28" i="3"/>
  <c r="P41" i="3"/>
  <c r="P43" i="3" s="1"/>
  <c r="M28" i="3"/>
  <c r="M41" i="3"/>
  <c r="M43" i="3" s="1"/>
  <c r="O57" i="7"/>
  <c r="O58" i="7" s="1"/>
  <c r="L58" i="7"/>
  <c r="N57" i="7"/>
  <c r="K58" i="7"/>
  <c r="M58" i="8"/>
  <c r="P57" i="8"/>
  <c r="P58" i="8" s="1"/>
  <c r="M29" i="8"/>
  <c r="L62" i="8"/>
  <c r="L66" i="3" s="1"/>
  <c r="J60" i="7"/>
  <c r="J69" i="7"/>
  <c r="J70" i="7" s="1"/>
  <c r="P57" i="7"/>
  <c r="P58" i="7" s="1"/>
  <c r="M58" i="7"/>
  <c r="M29" i="7"/>
  <c r="L62" i="7"/>
  <c r="L67" i="3" s="1"/>
  <c r="P57" i="6"/>
  <c r="P58" i="6" s="1"/>
  <c r="M58" i="6"/>
  <c r="M69" i="6" s="1"/>
  <c r="L25" i="6"/>
  <c r="L31" i="6" s="1"/>
  <c r="M7" i="6"/>
  <c r="L27" i="6"/>
  <c r="K31" i="6"/>
  <c r="K29" i="6"/>
  <c r="K62" i="6" s="1"/>
  <c r="K65" i="3" s="1"/>
  <c r="K68" i="3" s="1"/>
  <c r="K106" i="1" s="1"/>
  <c r="L57" i="8"/>
  <c r="L26" i="3"/>
  <c r="K26" i="3"/>
  <c r="K57" i="8"/>
  <c r="Q25" i="3"/>
  <c r="Q36" i="3" s="1"/>
  <c r="P25" i="3"/>
  <c r="P36" i="3" s="1"/>
  <c r="O25" i="3"/>
  <c r="O36" i="3" s="1"/>
  <c r="N25" i="3"/>
  <c r="N36" i="3" s="1"/>
  <c r="M25" i="3"/>
  <c r="J25" i="3"/>
  <c r="J36" i="3" s="1"/>
  <c r="J39" i="3" s="1"/>
  <c r="J74" i="8"/>
  <c r="J74" i="7"/>
  <c r="Q26" i="3"/>
  <c r="M26" i="3"/>
  <c r="J29" i="6"/>
  <c r="J62" i="6" s="1"/>
  <c r="J65" i="3" s="1"/>
  <c r="J68" i="3" s="1"/>
  <c r="J106" i="1" s="1"/>
  <c r="J72" i="6"/>
  <c r="J74" i="6" s="1"/>
  <c r="J31" i="6"/>
  <c r="M53" i="7"/>
  <c r="M68" i="7"/>
  <c r="L36" i="3" l="1"/>
  <c r="L37" i="3"/>
  <c r="O37" i="3" s="1"/>
  <c r="O39" i="3" s="1"/>
  <c r="O57" i="6"/>
  <c r="O58" i="6" s="1"/>
  <c r="L58" i="6"/>
  <c r="L69" i="6" s="1"/>
  <c r="L70" i="6" s="1"/>
  <c r="K36" i="3"/>
  <c r="K37" i="3"/>
  <c r="N37" i="3" s="1"/>
  <c r="N57" i="6"/>
  <c r="K58" i="6"/>
  <c r="K69" i="6" s="1"/>
  <c r="K70" i="6" s="1"/>
  <c r="O60" i="7"/>
  <c r="O69" i="7"/>
  <c r="O70" i="7" s="1"/>
  <c r="L69" i="7"/>
  <c r="L70" i="7" s="1"/>
  <c r="L60" i="7"/>
  <c r="Q57" i="7"/>
  <c r="Q58" i="7" s="1"/>
  <c r="N58" i="7"/>
  <c r="K60" i="7"/>
  <c r="K69" i="7"/>
  <c r="K70" i="7" s="1"/>
  <c r="M60" i="8"/>
  <c r="M86" i="3" s="1"/>
  <c r="M69" i="8"/>
  <c r="P60" i="8"/>
  <c r="P86" i="3" s="1"/>
  <c r="P69" i="8"/>
  <c r="M68" i="8"/>
  <c r="N29" i="8"/>
  <c r="M62" i="8"/>
  <c r="M66" i="3" s="1"/>
  <c r="J85" i="3"/>
  <c r="J56" i="1"/>
  <c r="J8" i="3"/>
  <c r="J57" i="1"/>
  <c r="P60" i="7"/>
  <c r="P69" i="7"/>
  <c r="P70" i="7" s="1"/>
  <c r="M60" i="7"/>
  <c r="M69" i="7"/>
  <c r="M70" i="7" s="1"/>
  <c r="N29" i="7"/>
  <c r="M62" i="7"/>
  <c r="M67" i="3" s="1"/>
  <c r="P60" i="6"/>
  <c r="P69" i="6"/>
  <c r="P70" i="6" s="1"/>
  <c r="L68" i="6"/>
  <c r="L32" i="6"/>
  <c r="L60" i="6" s="1"/>
  <c r="M25" i="6"/>
  <c r="M31" i="6" s="1"/>
  <c r="M27" i="6"/>
  <c r="L72" i="6"/>
  <c r="L29" i="6"/>
  <c r="L65" i="3" s="1"/>
  <c r="L68" i="3" s="1"/>
  <c r="L106" i="1" s="1"/>
  <c r="K68" i="6"/>
  <c r="K32" i="6"/>
  <c r="L58" i="8"/>
  <c r="O57" i="8"/>
  <c r="O58" i="8" s="1"/>
  <c r="N57" i="8"/>
  <c r="K58" i="8"/>
  <c r="O96" i="1"/>
  <c r="M36" i="3"/>
  <c r="M37" i="3"/>
  <c r="P37" i="3" s="1"/>
  <c r="P39" i="3" s="1"/>
  <c r="J96" i="1"/>
  <c r="J20" i="3"/>
  <c r="J72" i="3"/>
  <c r="K74" i="8"/>
  <c r="J73" i="3"/>
  <c r="K74" i="7"/>
  <c r="J71" i="3"/>
  <c r="J74" i="3" s="1"/>
  <c r="K74" i="6"/>
  <c r="J68" i="6"/>
  <c r="J70" i="6" s="1"/>
  <c r="J32" i="6"/>
  <c r="J60" i="6" s="1"/>
  <c r="J45" i="3"/>
  <c r="O60" i="6" l="1"/>
  <c r="O69" i="6"/>
  <c r="O70" i="6" s="1"/>
  <c r="L6" i="3"/>
  <c r="L48" i="1"/>
  <c r="N39" i="3"/>
  <c r="Q37" i="3"/>
  <c r="Q39" i="3" s="1"/>
  <c r="Q57" i="6"/>
  <c r="Q58" i="6" s="1"/>
  <c r="N58" i="6"/>
  <c r="K6" i="3"/>
  <c r="K10" i="3" s="1"/>
  <c r="K59" i="1" s="1"/>
  <c r="K48" i="1"/>
  <c r="O85" i="3"/>
  <c r="O56" i="1"/>
  <c r="O8" i="3"/>
  <c r="O57" i="1"/>
  <c r="L8" i="3"/>
  <c r="L57" i="1"/>
  <c r="L85" i="3"/>
  <c r="L56" i="1"/>
  <c r="Q60" i="7"/>
  <c r="Q69" i="7"/>
  <c r="Q70" i="7" s="1"/>
  <c r="N60" i="7"/>
  <c r="N69" i="7"/>
  <c r="N70" i="7" s="1"/>
  <c r="K85" i="3"/>
  <c r="K56" i="1"/>
  <c r="K8" i="3"/>
  <c r="K57" i="1"/>
  <c r="N68" i="8"/>
  <c r="O29" i="8"/>
  <c r="N62" i="8"/>
  <c r="N66" i="3" s="1"/>
  <c r="P85" i="3"/>
  <c r="P56" i="1"/>
  <c r="P8" i="3"/>
  <c r="P57" i="1"/>
  <c r="M56" i="1"/>
  <c r="M85" i="3"/>
  <c r="M8" i="3"/>
  <c r="M57" i="1"/>
  <c r="N62" i="7"/>
  <c r="N67" i="3" s="1"/>
  <c r="O29" i="7"/>
  <c r="P47" i="1"/>
  <c r="P84" i="3"/>
  <c r="P87" i="3" s="1"/>
  <c r="P60" i="1" s="1"/>
  <c r="P6" i="3"/>
  <c r="P48" i="1"/>
  <c r="L84" i="3"/>
  <c r="L47" i="1"/>
  <c r="M68" i="6"/>
  <c r="M70" i="6" s="1"/>
  <c r="M32" i="6"/>
  <c r="M60" i="6" s="1"/>
  <c r="M72" i="6"/>
  <c r="M29" i="6"/>
  <c r="L60" i="8"/>
  <c r="L86" i="3" s="1"/>
  <c r="L69" i="8"/>
  <c r="L70" i="8" s="1"/>
  <c r="L7" i="3" s="1"/>
  <c r="O60" i="8"/>
  <c r="O86" i="3" s="1"/>
  <c r="O69" i="8"/>
  <c r="N58" i="8"/>
  <c r="Q57" i="8"/>
  <c r="Q58" i="8" s="1"/>
  <c r="K60" i="8"/>
  <c r="K86" i="3" s="1"/>
  <c r="K69" i="8"/>
  <c r="K70" i="8" s="1"/>
  <c r="K7" i="3" s="1"/>
  <c r="P96" i="1"/>
  <c r="P20" i="3"/>
  <c r="P45" i="3"/>
  <c r="L74" i="8"/>
  <c r="K72" i="3"/>
  <c r="L74" i="7"/>
  <c r="K73" i="3"/>
  <c r="J12" i="5"/>
  <c r="J107" i="1"/>
  <c r="L74" i="6"/>
  <c r="K71" i="3"/>
  <c r="K74" i="3" s="1"/>
  <c r="J48" i="1"/>
  <c r="J6" i="3"/>
  <c r="J10" i="3" s="1"/>
  <c r="J47" i="1"/>
  <c r="J84" i="3"/>
  <c r="J87" i="3" s="1"/>
  <c r="J60" i="1" s="1"/>
  <c r="M70" i="8"/>
  <c r="M7" i="3" s="1"/>
  <c r="K60" i="6"/>
  <c r="M39" i="3"/>
  <c r="L39" i="3"/>
  <c r="K39" i="3"/>
  <c r="O45" i="3"/>
  <c r="O20" i="3"/>
  <c r="O47" i="1" l="1"/>
  <c r="O84" i="3"/>
  <c r="O87" i="3" s="1"/>
  <c r="O60" i="1" s="1"/>
  <c r="O6" i="3"/>
  <c r="O48" i="1"/>
  <c r="N45" i="3"/>
  <c r="N96" i="1"/>
  <c r="N20" i="3"/>
  <c r="Q96" i="1"/>
  <c r="Q20" i="3"/>
  <c r="Q45" i="3"/>
  <c r="Q60" i="6"/>
  <c r="Q69" i="6"/>
  <c r="Q70" i="6" s="1"/>
  <c r="N60" i="6"/>
  <c r="N69" i="6"/>
  <c r="N70" i="6" s="1"/>
  <c r="Q56" i="1"/>
  <c r="Q85" i="3"/>
  <c r="Q8" i="3"/>
  <c r="Q57" i="1"/>
  <c r="N85" i="3"/>
  <c r="N56" i="1"/>
  <c r="N8" i="3"/>
  <c r="N57" i="1"/>
  <c r="O68" i="8"/>
  <c r="O70" i="8" s="1"/>
  <c r="O7" i="3" s="1"/>
  <c r="P29" i="8"/>
  <c r="O62" i="8"/>
  <c r="O66" i="3" s="1"/>
  <c r="P29" i="7"/>
  <c r="O62" i="7"/>
  <c r="O67" i="3" s="1"/>
  <c r="M48" i="1"/>
  <c r="M6" i="3"/>
  <c r="M10" i="3" s="1"/>
  <c r="M59" i="1" s="1"/>
  <c r="M84" i="3"/>
  <c r="M87" i="3" s="1"/>
  <c r="M60" i="1" s="1"/>
  <c r="M47" i="1"/>
  <c r="N29" i="6"/>
  <c r="M65" i="3"/>
  <c r="M68" i="3" s="1"/>
  <c r="M106" i="1" s="1"/>
  <c r="N60" i="8"/>
  <c r="N86" i="3" s="1"/>
  <c r="N69" i="8"/>
  <c r="N70" i="8" s="1"/>
  <c r="N7" i="3" s="1"/>
  <c r="Q60" i="8"/>
  <c r="Q86" i="3" s="1"/>
  <c r="Q69" i="8"/>
  <c r="M74" i="8"/>
  <c r="L72" i="3"/>
  <c r="M74" i="7"/>
  <c r="L73" i="3"/>
  <c r="M74" i="6"/>
  <c r="L71" i="3"/>
  <c r="L74" i="3" s="1"/>
  <c r="K12" i="5"/>
  <c r="K107" i="1"/>
  <c r="J22" i="3"/>
  <c r="J47" i="3" s="1"/>
  <c r="J59" i="1"/>
  <c r="K47" i="1"/>
  <c r="K84" i="3"/>
  <c r="K87" i="3" s="1"/>
  <c r="K60" i="1" s="1"/>
  <c r="M96" i="1"/>
  <c r="M20" i="3"/>
  <c r="M22" i="3" s="1"/>
  <c r="M45" i="3"/>
  <c r="L20" i="3"/>
  <c r="L96" i="1"/>
  <c r="L45" i="3"/>
  <c r="K20" i="3"/>
  <c r="K22" i="3" s="1"/>
  <c r="K96" i="1"/>
  <c r="K45" i="3"/>
  <c r="L10" i="3"/>
  <c r="L59" i="1" s="1"/>
  <c r="L87" i="3"/>
  <c r="L60" i="1" s="1"/>
  <c r="Q47" i="1" l="1"/>
  <c r="Q84" i="3"/>
  <c r="Q87" i="3" s="1"/>
  <c r="Q60" i="1" s="1"/>
  <c r="Q6" i="3"/>
  <c r="Q48" i="1"/>
  <c r="N47" i="1"/>
  <c r="N84" i="3"/>
  <c r="N87" i="3" s="1"/>
  <c r="N60" i="1" s="1"/>
  <c r="N6" i="3"/>
  <c r="N10" i="3" s="1"/>
  <c r="N48" i="1"/>
  <c r="P68" i="8"/>
  <c r="P70" i="8" s="1"/>
  <c r="P7" i="3" s="1"/>
  <c r="P10" i="3" s="1"/>
  <c r="Q29" i="8"/>
  <c r="P62" i="8"/>
  <c r="P66" i="3" s="1"/>
  <c r="P62" i="7"/>
  <c r="P67" i="3" s="1"/>
  <c r="Q29" i="7"/>
  <c r="Q62" i="7" s="1"/>
  <c r="Q67" i="3" s="1"/>
  <c r="O29" i="6"/>
  <c r="N62" i="6"/>
  <c r="N65" i="3" s="1"/>
  <c r="N68" i="3" s="1"/>
  <c r="N106" i="1" s="1"/>
  <c r="N74" i="8"/>
  <c r="M72" i="3"/>
  <c r="N74" i="7"/>
  <c r="M73" i="3"/>
  <c r="N74" i="6"/>
  <c r="M71" i="3"/>
  <c r="L12" i="5"/>
  <c r="L107" i="1"/>
  <c r="J7" i="5"/>
  <c r="J60" i="3"/>
  <c r="J48" i="3"/>
  <c r="O10" i="3"/>
  <c r="L22" i="3"/>
  <c r="L47" i="3" s="1"/>
  <c r="M47" i="3"/>
  <c r="K47" i="3"/>
  <c r="N22" i="3" l="1"/>
  <c r="N47" i="3" s="1"/>
  <c r="N59" i="1"/>
  <c r="P22" i="3"/>
  <c r="P47" i="3" s="1"/>
  <c r="P59" i="1"/>
  <c r="Q68" i="8"/>
  <c r="Q70" i="8" s="1"/>
  <c r="Q7" i="3" s="1"/>
  <c r="Q10" i="3" s="1"/>
  <c r="Q62" i="8"/>
  <c r="Q66" i="3" s="1"/>
  <c r="P29" i="6"/>
  <c r="O62" i="6"/>
  <c r="O65" i="3" s="1"/>
  <c r="O68" i="3" s="1"/>
  <c r="O106" i="1" s="1"/>
  <c r="O74" i="8"/>
  <c r="N72" i="3"/>
  <c r="O74" i="7"/>
  <c r="N73" i="3"/>
  <c r="O74" i="6"/>
  <c r="N71" i="3"/>
  <c r="N74" i="3" s="1"/>
  <c r="J62" i="3"/>
  <c r="J8" i="5"/>
  <c r="O59" i="1"/>
  <c r="O22" i="3"/>
  <c r="O47" i="3" s="1"/>
  <c r="L7" i="5"/>
  <c r="L60" i="3"/>
  <c r="L48" i="3"/>
  <c r="M7" i="5"/>
  <c r="M60" i="3"/>
  <c r="M48" i="3"/>
  <c r="K7" i="5"/>
  <c r="K60" i="3"/>
  <c r="K48" i="3"/>
  <c r="M74" i="3"/>
  <c r="N48" i="3" l="1"/>
  <c r="N60" i="3"/>
  <c r="N7" i="5"/>
  <c r="P48" i="3"/>
  <c r="P60" i="3"/>
  <c r="P7" i="5"/>
  <c r="Q59" i="1"/>
  <c r="Q22" i="3"/>
  <c r="Q47" i="3" s="1"/>
  <c r="Q29" i="6"/>
  <c r="Q62" i="6" s="1"/>
  <c r="Q65" i="3" s="1"/>
  <c r="Q68" i="3" s="1"/>
  <c r="Q106" i="1" s="1"/>
  <c r="P62" i="6"/>
  <c r="P65" i="3" s="1"/>
  <c r="P68" i="3" s="1"/>
  <c r="P106" i="1" s="1"/>
  <c r="P74" i="8"/>
  <c r="O72" i="3"/>
  <c r="P74" i="7"/>
  <c r="O73" i="3"/>
  <c r="P74" i="6"/>
  <c r="O71" i="3"/>
  <c r="O74" i="3" s="1"/>
  <c r="N12" i="5"/>
  <c r="N107" i="1"/>
  <c r="J16" i="5"/>
  <c r="J105" i="1"/>
  <c r="J13" i="5"/>
  <c r="J18" i="5" s="1"/>
  <c r="K6" i="5"/>
  <c r="O7" i="5"/>
  <c r="O60" i="3"/>
  <c r="O48" i="3"/>
  <c r="L8" i="5"/>
  <c r="M8" i="5"/>
  <c r="K62" i="3"/>
  <c r="L62" i="3" s="1"/>
  <c r="M62" i="3" s="1"/>
  <c r="K8" i="5"/>
  <c r="M107" i="1"/>
  <c r="M12" i="5"/>
  <c r="N62" i="3" l="1"/>
  <c r="O62" i="3" s="1"/>
  <c r="P62" i="3" s="1"/>
  <c r="N8" i="5"/>
  <c r="P8" i="5"/>
  <c r="Q48" i="3"/>
  <c r="Q60" i="3"/>
  <c r="Q7" i="5"/>
  <c r="Q74" i="8"/>
  <c r="Q72" i="3" s="1"/>
  <c r="P72" i="3"/>
  <c r="Q74" i="7"/>
  <c r="Q73" i="3" s="1"/>
  <c r="P73" i="3"/>
  <c r="Q74" i="6"/>
  <c r="Q71" i="3" s="1"/>
  <c r="P71" i="3"/>
  <c r="O12" i="5"/>
  <c r="O107" i="1"/>
  <c r="O8" i="5"/>
  <c r="L16" i="5"/>
  <c r="L105" i="1"/>
  <c r="M16" i="5"/>
  <c r="M105" i="1"/>
  <c r="K16" i="5"/>
  <c r="K105" i="1"/>
  <c r="K11" i="5"/>
  <c r="N16" i="5" l="1"/>
  <c r="N105" i="1"/>
  <c r="P16" i="5"/>
  <c r="P105" i="1"/>
  <c r="Q62" i="3"/>
  <c r="Q8" i="5"/>
  <c r="O16" i="5"/>
  <c r="O105" i="1"/>
  <c r="L6" i="5"/>
  <c r="L11" i="5" s="1"/>
  <c r="K13" i="5"/>
  <c r="K18" i="5" s="1"/>
  <c r="Q74" i="3"/>
  <c r="P74" i="3"/>
  <c r="Q16" i="5" l="1"/>
  <c r="Q105" i="1"/>
  <c r="L13" i="5"/>
  <c r="L18" i="5" s="1"/>
  <c r="M6" i="5"/>
  <c r="M11" i="5" s="1"/>
  <c r="Q107" i="1"/>
  <c r="Q12" i="5"/>
  <c r="P107" i="1"/>
  <c r="P12" i="5"/>
  <c r="M13" i="5" l="1"/>
  <c r="M18" i="5" s="1"/>
  <c r="N6" i="5"/>
  <c r="N11" i="5" s="1"/>
  <c r="N13" i="5" l="1"/>
  <c r="N18" i="5" s="1"/>
  <c r="O6" i="5"/>
  <c r="O11" i="5" s="1"/>
  <c r="O13" i="5" l="1"/>
  <c r="O18" i="5" s="1"/>
  <c r="P6" i="5"/>
  <c r="P11" i="5" s="1"/>
  <c r="P13" i="5" l="1"/>
  <c r="P18" i="5" s="1"/>
  <c r="Q6" i="5"/>
  <c r="Q11" i="5" s="1"/>
  <c r="Q13" i="5" s="1"/>
  <c r="Q1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P6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E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6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E9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20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<sst xmlns="http://schemas.openxmlformats.org/spreadsheetml/2006/main" count="1620" uniqueCount="440">
  <si>
    <t>Year</t>
  </si>
  <si>
    <t>actual</t>
  </si>
  <si>
    <t>i/o</t>
  </si>
  <si>
    <t>field_name</t>
  </si>
  <si>
    <t>index</t>
  </si>
  <si>
    <t>base</t>
  </si>
  <si>
    <t>HOBI (CW)</t>
  </si>
  <si>
    <t>i</t>
  </si>
  <si>
    <t>base_salary</t>
  </si>
  <si>
    <t>cw</t>
  </si>
  <si>
    <t xml:space="preserve">CFO (ZS) </t>
  </si>
  <si>
    <t>zs</t>
  </si>
  <si>
    <t xml:space="preserve">Financial Analyst (NR) </t>
  </si>
  <si>
    <t>nr</t>
  </si>
  <si>
    <t>Fin Controls (TB) - 100%</t>
  </si>
  <si>
    <t>tb</t>
  </si>
  <si>
    <t>Administrative Assistant (AM)</t>
  </si>
  <si>
    <t>am</t>
  </si>
  <si>
    <t>Administrative Assistant (PT)</t>
  </si>
  <si>
    <t>pt</t>
  </si>
  <si>
    <t>Financial Director (DV) - 100%</t>
  </si>
  <si>
    <t>dv</t>
  </si>
  <si>
    <t>IM (TW)</t>
  </si>
  <si>
    <t>tw</t>
  </si>
  <si>
    <t>HR (100%)</t>
  </si>
  <si>
    <t>hr</t>
  </si>
  <si>
    <t>Legal (100%)</t>
  </si>
  <si>
    <t>legal</t>
  </si>
  <si>
    <t>Tech1</t>
  </si>
  <si>
    <t>tech1</t>
  </si>
  <si>
    <t>Tech2</t>
  </si>
  <si>
    <t>tech2</t>
  </si>
  <si>
    <t>Total</t>
  </si>
  <si>
    <t>Bonus</t>
  </si>
  <si>
    <t>bonus</t>
  </si>
  <si>
    <t>Total Salaries</t>
  </si>
  <si>
    <t>c</t>
  </si>
  <si>
    <t>total_salary</t>
  </si>
  <si>
    <t>Grand Total</t>
  </si>
  <si>
    <t>o</t>
  </si>
  <si>
    <t>hr_grand_total</t>
  </si>
  <si>
    <t>reimbersable to hotel</t>
  </si>
  <si>
    <t>hr_reimbursable</t>
  </si>
  <si>
    <t>not reimbersable by hotel, but paid by lgh</t>
  </si>
  <si>
    <t>hr_not_reimbursable</t>
  </si>
  <si>
    <t>only paid by c12</t>
  </si>
  <si>
    <t>hr_only_c12</t>
  </si>
  <si>
    <t>src_page</t>
  </si>
  <si>
    <t>[not sourced from c12]</t>
  </si>
  <si>
    <t>Division Expenses</t>
  </si>
  <si>
    <t>Total LGH HM Fees</t>
  </si>
  <si>
    <t>c12_hm</t>
  </si>
  <si>
    <t>c12 Participation</t>
  </si>
  <si>
    <t>Total LGH D&amp;s Fees</t>
  </si>
  <si>
    <t>c12_d&amp;s</t>
  </si>
  <si>
    <t>c12 D&amp;s Participation</t>
  </si>
  <si>
    <t>total c12 participation</t>
  </si>
  <si>
    <t>c12_oc</t>
  </si>
  <si>
    <t>total lgh revenue</t>
  </si>
  <si>
    <t>art leases</t>
  </si>
  <si>
    <t>c12_sk</t>
  </si>
  <si>
    <t>guarantee payments</t>
  </si>
  <si>
    <t>Total c12 Operating Expenses</t>
  </si>
  <si>
    <t>lgh cuda buy back</t>
  </si>
  <si>
    <t>c12 loc balance</t>
  </si>
  <si>
    <t>LGH Fee AR/AP</t>
  </si>
  <si>
    <t>C12 Fee Particpiation AR/AP</t>
  </si>
  <si>
    <t>Period</t>
  </si>
  <si>
    <t xml:space="preserve">cost inflation </t>
  </si>
  <si>
    <t>cost_inflation_rate_actual</t>
  </si>
  <si>
    <t>Charge Back Percentage</t>
  </si>
  <si>
    <t>chargeback_pct_actual</t>
  </si>
  <si>
    <t>participation%</t>
  </si>
  <si>
    <t>participation_pct_actual</t>
  </si>
  <si>
    <t>actual thru</t>
  </si>
  <si>
    <t>actuals_thru</t>
  </si>
  <si>
    <t>projections from</t>
  </si>
  <si>
    <t>projections_from</t>
  </si>
  <si>
    <t>projections to</t>
  </si>
  <si>
    <t>projections_to</t>
  </si>
  <si>
    <t>C12 Participation Revenue (not c/b reimb)</t>
  </si>
  <si>
    <t>HM Fees</t>
  </si>
  <si>
    <t>BI&amp;F Fees</t>
  </si>
  <si>
    <t>DS Fees</t>
  </si>
  <si>
    <t>total participation revenue</t>
  </si>
  <si>
    <t>total_participation_revenue_actual</t>
  </si>
  <si>
    <t>Infrastructure</t>
  </si>
  <si>
    <t>nonrecur_exp</t>
  </si>
  <si>
    <t>infrastructure</t>
  </si>
  <si>
    <t>Professional services</t>
  </si>
  <si>
    <t>professional_services</t>
  </si>
  <si>
    <t>Hiring Costs</t>
  </si>
  <si>
    <t>hiring_costs</t>
  </si>
  <si>
    <t>signing bonuses</t>
  </si>
  <si>
    <t>signing_bonus</t>
  </si>
  <si>
    <t>Restructuring</t>
  </si>
  <si>
    <t>restructuring</t>
  </si>
  <si>
    <t>housing</t>
  </si>
  <si>
    <t>total_nonrecur_exp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</si>
  <si>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</si>
  <si>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</si>
  <si>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</si>
  <si>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</si>
  <si>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</si>
  <si>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</si>
  <si>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</si>
  <si>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Head office expenses</t>
  </si>
  <si>
    <t>office costs (rent &amp; reoccuring)</t>
  </si>
  <si>
    <t>ho_exp</t>
  </si>
  <si>
    <t>office_costs</t>
  </si>
  <si>
    <t>Departmental OOP paid via sk</t>
  </si>
  <si>
    <t>Departmental OOP not paid via sk</t>
  </si>
  <si>
    <t>oop_notsk</t>
  </si>
  <si>
    <t>Non-recurring Items paid by LGH</t>
  </si>
  <si>
    <t>nonrecur_lgh</t>
  </si>
  <si>
    <t>C12 Accounts Payable</t>
  </si>
  <si>
    <t>accounts_payable</t>
  </si>
  <si>
    <t>inflation multiplier</t>
  </si>
  <si>
    <t>inflation_multiplier</t>
  </si>
  <si>
    <t>Inflation</t>
  </si>
  <si>
    <t>inflation</t>
  </si>
  <si>
    <t>Compensation - total</t>
  </si>
  <si>
    <t>compensation_total</t>
  </si>
  <si>
    <t>Direct compensation not via trinet</t>
  </si>
  <si>
    <t>compensation_direct</t>
  </si>
  <si>
    <t>Total c12 Expenses paid by LGH</t>
  </si>
  <si>
    <t>total_c12_exp_lgh_actual</t>
  </si>
  <si>
    <t>C12 H/O compensation not paid by lgh</t>
  </si>
  <si>
    <t>Roots donation by c12</t>
  </si>
  <si>
    <t>roots_donation</t>
  </si>
  <si>
    <t>Total c12 Expenses Not paid by lgh</t>
  </si>
  <si>
    <t>total_c12_exp_not_lgh</t>
  </si>
  <si>
    <t>total costs</t>
  </si>
  <si>
    <t>total_c12_costs</t>
  </si>
  <si>
    <t>Total C12 Profit</t>
  </si>
  <si>
    <t>total_c12_profit_actual</t>
  </si>
  <si>
    <t>c12 profit margin</t>
  </si>
  <si>
    <t>c12_profit_margin</t>
  </si>
  <si>
    <t>Bank transfers (actual or danielle)</t>
  </si>
  <si>
    <t>Bank transfers</t>
  </si>
  <si>
    <t>oop</t>
  </si>
  <si>
    <t>art</t>
  </si>
  <si>
    <t>pay</t>
  </si>
  <si>
    <t>guarantess</t>
  </si>
  <si>
    <t>cuda buy back</t>
  </si>
  <si>
    <t>Distributions</t>
  </si>
  <si>
    <t>distribution_required</t>
  </si>
  <si>
    <t>Distribution after c12 profit</t>
  </si>
  <si>
    <t>loc_draw</t>
  </si>
  <si>
    <t>2024LOC writeoff</t>
  </si>
  <si>
    <t>loc_writeoff</t>
  </si>
  <si>
    <t>Balance of  c12 LOC</t>
  </si>
  <si>
    <t>loc_balance</t>
  </si>
  <si>
    <t>LGH Accounts Receivable</t>
  </si>
  <si>
    <t>Development &amp; Structuring</t>
  </si>
  <si>
    <t>total_lgh_acc_rec</t>
  </si>
  <si>
    <t>C12 Accounts Receivable</t>
  </si>
  <si>
    <t>BI&amp;f</t>
  </si>
  <si>
    <t>total_c12_acc_rec</t>
  </si>
  <si>
    <t>C12 oc compensation expense (not divisons)</t>
  </si>
  <si>
    <t>lgh revenue</t>
  </si>
  <si>
    <t>hm</t>
  </si>
  <si>
    <t>d&amp;s</t>
  </si>
  <si>
    <t>bif</t>
  </si>
  <si>
    <t>total rev attributable to lgh</t>
  </si>
  <si>
    <t>total_lgh_revenue</t>
  </si>
  <si>
    <t>bank_transfers</t>
  </si>
  <si>
    <t>sk</t>
  </si>
  <si>
    <t>oop_sk</t>
  </si>
  <si>
    <t>art lease payments to sk</t>
  </si>
  <si>
    <t>lease_payments</t>
  </si>
  <si>
    <t>guarantee fees to sk</t>
  </si>
  <si>
    <t>guarantee_fees</t>
  </si>
  <si>
    <t>cuda_buyback</t>
  </si>
  <si>
    <t>c12 to sk (jp dist)</t>
  </si>
  <si>
    <t>jp_payment</t>
  </si>
  <si>
    <t>assets</t>
  </si>
  <si>
    <t>cash open</t>
  </si>
  <si>
    <t>c12 profit</t>
  </si>
  <si>
    <t>borrow from c12 loc</t>
  </si>
  <si>
    <t>LGH to sk (from danielle)</t>
  </si>
  <si>
    <t>cash close</t>
  </si>
  <si>
    <t>participation accrual</t>
  </si>
  <si>
    <t>total assets</t>
  </si>
  <si>
    <t>liabilities</t>
  </si>
  <si>
    <t>c12loc</t>
  </si>
  <si>
    <t>NAV</t>
  </si>
  <si>
    <t>LGH Fee Revenue</t>
  </si>
  <si>
    <t>lgh_fee_revenue_section</t>
  </si>
  <si>
    <t>Bermuda PB Mgt</t>
  </si>
  <si>
    <t>mgmt_fee</t>
  </si>
  <si>
    <t>pb</t>
  </si>
  <si>
    <t>Bermuda PB Inc</t>
  </si>
  <si>
    <t>incentive_fee</t>
  </si>
  <si>
    <t>Austin Mgt</t>
  </si>
  <si>
    <t>austin</t>
  </si>
  <si>
    <t>Austin Inc</t>
  </si>
  <si>
    <t>Turks Mgt</t>
  </si>
  <si>
    <t>turks</t>
  </si>
  <si>
    <t>Turks Inc</t>
  </si>
  <si>
    <t>Frithholme</t>
  </si>
  <si>
    <t>fritholme</t>
  </si>
  <si>
    <t>Elbow</t>
  </si>
  <si>
    <t>elbow</t>
  </si>
  <si>
    <t>[LSAT]</t>
  </si>
  <si>
    <t>lsat</t>
  </si>
  <si>
    <t>[blank]</t>
  </si>
  <si>
    <t>[L4]</t>
  </si>
  <si>
    <t>l4</t>
  </si>
  <si>
    <t>Total LGH Fees Earned</t>
  </si>
  <si>
    <t>total_fees_earned</t>
  </si>
  <si>
    <t>Deferred Period Fee</t>
  </si>
  <si>
    <t>deferred_fee</t>
  </si>
  <si>
    <t>Paid Fee Accruals</t>
  </si>
  <si>
    <t>paid_fee_accruals</t>
  </si>
  <si>
    <t>Cumm. Balance Accrued Fee</t>
  </si>
  <si>
    <t>cumm_accrued_fee</t>
  </si>
  <si>
    <t>Paid Current Fees</t>
  </si>
  <si>
    <t>paid_current_fees</t>
  </si>
  <si>
    <t>Total Fees Paid</t>
  </si>
  <si>
    <t>total_fees_paid</t>
  </si>
  <si>
    <t>LGH Service Revenue</t>
  </si>
  <si>
    <t>Bermuda PB</t>
  </si>
  <si>
    <t>hm_service_fee</t>
  </si>
  <si>
    <t>Austin</t>
  </si>
  <si>
    <t>Turks</t>
  </si>
  <si>
    <t>Frith</t>
  </si>
  <si>
    <t>service_fee</t>
  </si>
  <si>
    <t>Total LGH HM Service Revenue</t>
  </si>
  <si>
    <t>total_service_revenue</t>
  </si>
  <si>
    <t>deferred_service_fee</t>
  </si>
  <si>
    <t>Paid Service Accruals</t>
  </si>
  <si>
    <t>paid_service_accruals</t>
  </si>
  <si>
    <t>Cumm. Balance Accrued Service Fee</t>
  </si>
  <si>
    <t>cumm_accrued_service_fee</t>
  </si>
  <si>
    <t>Paid Current Service Fees</t>
  </si>
  <si>
    <t>paid_current_service_fees</t>
  </si>
  <si>
    <t>Total Service Revenue Paid</t>
  </si>
  <si>
    <t>total_service_revenue_paid</t>
  </si>
  <si>
    <t>LGH Chargebacks</t>
  </si>
  <si>
    <t>chargeback fee</t>
  </si>
  <si>
    <t>chargeback_multiplier</t>
  </si>
  <si>
    <t>reimbursable by hotels to LGH</t>
  </si>
  <si>
    <t>reimbursable_by_hotels</t>
  </si>
  <si>
    <t>Total LGH HM Charge Back</t>
  </si>
  <si>
    <t>total_chargeback</t>
  </si>
  <si>
    <t>total LGH HM revenue</t>
  </si>
  <si>
    <t>total_lgh_hm_revenue</t>
  </si>
  <si>
    <t>LGH Accounts Receivable Cumm.</t>
  </si>
  <si>
    <t>lgh_ar_cumm</t>
  </si>
  <si>
    <t>C12 Participation %</t>
  </si>
  <si>
    <t>c12_participation_pct</t>
  </si>
  <si>
    <t>pre-modification extra</t>
  </si>
  <si>
    <t>pre_mod_extra_pct</t>
  </si>
  <si>
    <t>catchup extra%</t>
  </si>
  <si>
    <t>catchup_extra_pct</t>
  </si>
  <si>
    <t>charge back percentrage</t>
  </si>
  <si>
    <t>chargeback_pct</t>
  </si>
  <si>
    <t>C12 Participation $</t>
  </si>
  <si>
    <t>c12_participation_amt</t>
  </si>
  <si>
    <t>chargebacks fees</t>
  </si>
  <si>
    <t>chargeback_fees</t>
  </si>
  <si>
    <t>Total C12 HM revenue</t>
  </si>
  <si>
    <t>total_c12_hm_revenue</t>
  </si>
  <si>
    <t>increase in accrued participation</t>
  </si>
  <si>
    <t>increase_accrued_participation</t>
  </si>
  <si>
    <t>decrease in accrued partipation</t>
  </si>
  <si>
    <t>decrease_accrued_participation</t>
  </si>
  <si>
    <t>Cumm. Total Accrued Participation</t>
  </si>
  <si>
    <t>cumm_accrued_participation</t>
  </si>
  <si>
    <t>from HR sheet</t>
  </si>
  <si>
    <t xml:space="preserve"> </t>
  </si>
  <si>
    <t>Pink Beach Design Fee</t>
  </si>
  <si>
    <t>design_fee</t>
  </si>
  <si>
    <t>Pink Beach Development Fee</t>
  </si>
  <si>
    <t>development_fee</t>
  </si>
  <si>
    <t>Pink Beach Structuring Fee</t>
  </si>
  <si>
    <t>structuring_fee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</si>
  <si>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</si>
  <si>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</si>
  <si>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</si>
  <si>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</si>
  <si>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</si>
  <si>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</si>
  <si>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</si>
  <si>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</si>
  <si>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</si>
  <si>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construction_fee</t>
  </si>
  <si>
    <t>Elbow Acquisition Fee</t>
  </si>
  <si>
    <t>acquisition_fee</t>
  </si>
  <si>
    <t>Frith Acq Fee</t>
  </si>
  <si>
    <t>Frith Disposition fee</t>
  </si>
  <si>
    <t>disposition_fee</t>
  </si>
  <si>
    <t>SAT</t>
  </si>
  <si>
    <t>PB Design Services</t>
  </si>
  <si>
    <t>design_service_fee</t>
  </si>
  <si>
    <t>Austin Design Services</t>
  </si>
  <si>
    <t>Turks Design Services</t>
  </si>
  <si>
    <t>Elbow Design Services</t>
  </si>
  <si>
    <t>Elbow AM</t>
  </si>
  <si>
    <t>am_fee</t>
  </si>
  <si>
    <t>Frith Design Services</t>
  </si>
  <si>
    <t>Frith AM</t>
  </si>
  <si>
    <t>Bermuda PB AM</t>
  </si>
  <si>
    <t>AustinAM</t>
  </si>
  <si>
    <t>sat</t>
  </si>
  <si>
    <t>Paid Accruals</t>
  </si>
  <si>
    <t>Total LGH D&amp;S Charge Back chk</t>
  </si>
  <si>
    <t>total LGH D&amp;S revenue</t>
  </si>
  <si>
    <t>total_lgh_ds_revenue</t>
  </si>
  <si>
    <t>Total C12 D&amp;S revenue</t>
  </si>
  <si>
    <t>total_c12_ds_revenue</t>
  </si>
  <si>
    <t>lgh_service_revenue_section</t>
  </si>
  <si>
    <t>accting_fee</t>
  </si>
  <si>
    <t>7f</t>
  </si>
  <si>
    <t>Total LGH Bi&amp;F Service Revenue</t>
  </si>
  <si>
    <t>Total LGH Bi&amp;F Charge Back chk</t>
  </si>
  <si>
    <t>total LGH Bi&amp;F revenue</t>
  </si>
  <si>
    <t>total_lgh_bif_revenue</t>
  </si>
  <si>
    <t>chargebacks</t>
  </si>
  <si>
    <t>Total C12 Bi&amp;f revenue</t>
  </si>
  <si>
    <t>total_c12_bif_revenue</t>
  </si>
  <si>
    <t>ocBenefits</t>
  </si>
  <si>
    <t>benefits_rate</t>
  </si>
  <si>
    <t>oc</t>
  </si>
  <si>
    <t>adjusted down to assume sk doesn’t pay</t>
  </si>
  <si>
    <t>ocBonus Tax</t>
  </si>
  <si>
    <t>bonus_tax_rate_actual</t>
  </si>
  <si>
    <t>hmBenefits</t>
  </si>
  <si>
    <t>benefits_rate_actual</t>
  </si>
  <si>
    <t>hmBonus Tax</t>
  </si>
  <si>
    <t>bfBenefits</t>
  </si>
  <si>
    <t>bfBonus Tax</t>
  </si>
  <si>
    <t>dsBenefits</t>
  </si>
  <si>
    <t>ds</t>
  </si>
  <si>
    <t>dsBonus Tax</t>
  </si>
  <si>
    <t>Base</t>
  </si>
  <si>
    <t>Managing Member (SK)</t>
  </si>
  <si>
    <t>Philanropy senior exec (LM) (100%roots)</t>
  </si>
  <si>
    <t>lm</t>
  </si>
  <si>
    <t>Bookkeeper (DD)</t>
  </si>
  <si>
    <t>dd</t>
  </si>
  <si>
    <t>Personal Assistant (CD)</t>
  </si>
  <si>
    <t>cd</t>
  </si>
  <si>
    <t>philanthropy assist (100%roots)</t>
  </si>
  <si>
    <t>philanthropy</t>
  </si>
  <si>
    <t>TM (gone)</t>
  </si>
  <si>
    <t>tm</t>
  </si>
  <si>
    <t>ACEO Loren Hotels (CE)</t>
  </si>
  <si>
    <t>ce</t>
  </si>
  <si>
    <t>VP Operations (WS)</t>
  </si>
  <si>
    <t>ws</t>
  </si>
  <si>
    <t>seniorS&amp;Mexe (CL)</t>
  </si>
  <si>
    <t>cl</t>
  </si>
  <si>
    <t>Senior Associate (RF)</t>
  </si>
  <si>
    <t>rf</t>
  </si>
  <si>
    <t>associate (MT)</t>
  </si>
  <si>
    <t>mt</t>
  </si>
  <si>
    <t>project manager</t>
  </si>
  <si>
    <t>project</t>
  </si>
  <si>
    <t>HODS  (RB)</t>
  </si>
  <si>
    <t>rb</t>
  </si>
  <si>
    <t>Project Executive  (LS) (100%)</t>
  </si>
  <si>
    <t>ls</t>
  </si>
  <si>
    <t>Project Manager (BD) (100%)</t>
  </si>
  <si>
    <t>bd</t>
  </si>
  <si>
    <t>Counsel (KT)</t>
  </si>
  <si>
    <t>kt</t>
  </si>
  <si>
    <t>Development Manager??? (alexi?)</t>
  </si>
  <si>
    <t>development</t>
  </si>
  <si>
    <t>Banker (tBD)</t>
  </si>
  <si>
    <t>banker</t>
  </si>
  <si>
    <t>Senior Design Manager (AM)</t>
  </si>
  <si>
    <t>Design Manager (AL) (gone)</t>
  </si>
  <si>
    <t>al</t>
  </si>
  <si>
    <t>new design manager (TBD)</t>
  </si>
  <si>
    <t>tbd</t>
  </si>
  <si>
    <t>FF&amp;E (SB)</t>
  </si>
  <si>
    <t>sb</t>
  </si>
  <si>
    <t>Senior Financial Analyst (KS)</t>
  </si>
  <si>
    <t>ks</t>
  </si>
  <si>
    <t>CY Project Time Allocation</t>
  </si>
  <si>
    <t>HO</t>
  </si>
  <si>
    <t>unalloc</t>
  </si>
  <si>
    <t>alloc</t>
  </si>
  <si>
    <t>lgh</t>
  </si>
  <si>
    <t>reimb</t>
  </si>
  <si>
    <t>BDA</t>
  </si>
  <si>
    <t>Aus</t>
  </si>
  <si>
    <t>ELBOW</t>
  </si>
  <si>
    <t>ROOTS</t>
  </si>
  <si>
    <t>FO</t>
  </si>
  <si>
    <t>time_alloc</t>
  </si>
  <si>
    <t>hm_sk</t>
  </si>
  <si>
    <t>hm_lm</t>
  </si>
  <si>
    <t>hm_dd</t>
  </si>
  <si>
    <t>hm_cd</t>
  </si>
  <si>
    <t>hm_philanthropy</t>
  </si>
  <si>
    <t>hm_tm</t>
  </si>
  <si>
    <t>hm_ce</t>
  </si>
  <si>
    <t>hm_ws</t>
  </si>
  <si>
    <t>hm_cl</t>
  </si>
  <si>
    <t>hm_rf</t>
  </si>
  <si>
    <t>hm_mt</t>
  </si>
  <si>
    <t>hm_project</t>
  </si>
  <si>
    <t>D&amp;S</t>
  </si>
  <si>
    <t>ds_rb</t>
  </si>
  <si>
    <t>ds_ls</t>
  </si>
  <si>
    <t>ds_bd</t>
  </si>
  <si>
    <t>ds_kt</t>
  </si>
  <si>
    <t>ds_development</t>
  </si>
  <si>
    <t>ds_banker</t>
  </si>
  <si>
    <t>ds_am</t>
  </si>
  <si>
    <t>ds_al</t>
  </si>
  <si>
    <t>ds_tbd</t>
  </si>
  <si>
    <t>ds_sb</t>
  </si>
  <si>
    <t>ds_ks</t>
  </si>
  <si>
    <t>Bi&amp;F</t>
  </si>
  <si>
    <t>bif_cw</t>
  </si>
  <si>
    <t>bif_zs</t>
  </si>
  <si>
    <t>bif_nr</t>
  </si>
  <si>
    <t>bif_tb</t>
  </si>
  <si>
    <t>bif_am</t>
  </si>
  <si>
    <t>bif_pt</t>
  </si>
  <si>
    <t>bif_dv</t>
  </si>
  <si>
    <t>bif_tw</t>
  </si>
  <si>
    <t>bif_hr</t>
  </si>
  <si>
    <t>bif_legal</t>
  </si>
  <si>
    <t>bif_tech1</t>
  </si>
  <si>
    <t>bif_tech2</t>
  </si>
  <si>
    <t>LIVE (Python)</t>
  </si>
  <si>
    <t>BASELINE (frozen)</t>
  </si>
  <si>
    <t>ERROR = live - baseline</t>
  </si>
  <si>
    <t>Q2_2026</t>
  </si>
  <si>
    <t>Q3_2026</t>
  </si>
  <si>
    <t>Q4_2026</t>
  </si>
  <si>
    <t>sheet</t>
  </si>
  <si>
    <t>label</t>
  </si>
  <si>
    <t>Cumm. Accrued Participation</t>
  </si>
  <si>
    <t>c12_bi&amp;F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</si>
</sst>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  <numFmt numFmtId="167" formatCode="yyyy"/>
    <numFmt numFmtId="168" formatCode="0.0%"/>
    <numFmt numFmtId="170" formatCode="[$-409]d\-mmm\-yy;@"/>
    <numFmt numFmtId="171" formatCode="yyyy\-mm\-dd"/>
    <numFmt numFmtId="172" formatCode="#,##0;\(#,##0\);\-"/>
    <numFmt numFmtId="173" formatCode="_-* #,##0.00_-;\-* #,##0.00_-;_-* &quot;-&quot;??_-;_-@_-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sz val="14"/>
      <color rgb="FF000000"/>
      <name val="Calibri Light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</font>
    <font>
      <sz val="14"/>
      <color rgb="FF000000"/>
      <name val="Calibri"/>
    </font>
    <font>
      <sz val="11"/>
      <color rgb="FF000000"/>
      <name val="Calibri Light"/>
    </font>
    <font>
      <sz val="11"/>
      <color rgb="FF000000"/>
      <name val="Aptos Narrow"/>
    </font>
    <font>
      <b/>
      <sz val="11"/>
      <color rgb="FFFFFFFF"/>
      <name val="Calibri"/>
    </font>
    <font>
      <b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D3D3D3"/>
      </patternFill>
    </fill>
    <fill>
      <patternFill patternType="solid">
        <fgColor rgb="FF00B0F0"/>
        <bgColor indexed="64"/>
      </patternFill>
    </fill>
    <fill>
      <patternFill patternType="solid">
        <fgColor rgb="FFCC9966"/>
      </patternFill>
    </fill>
    <fill>
      <patternFill patternType="solid">
        <fgColor rgb="FF00B050"/>
        <bgColor indexed="64"/>
      </patternFill>
    </fill>
    <fill>
      <patternFill patternType="solid">
        <fgColor rgb="FF2F5597"/>
      </patternFill>
    </fill>
    <fill>
      <patternFill patternType="solid">
        <fgColor rgb="FF548235"/>
      </patternFill>
    </fill>
    <fill>
      <patternFill patternType="solid">
        <fgColor rgb="FFC00000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</borders>
  <cellStyleXfs count="19">
    <xf numFmtId="0" fontId="0" fillId="0" borderId="10"/>
    <xf numFmtId="43" fontId="1" fillId="0" borderId="10"/>
    <xf numFmtId="44" fontId="1" fillId="0" borderId="10"/>
    <xf numFmtId="9" fontId="1" fillId="0" borderId="10"/>
    <xf numFmtId="0" fontId="1" fillId="0" borderId="10"/>
    <xf numFmtId="173" fontId="1" fillId="0" borderId="10"/>
    <xf numFmtId="43" fontId="4" fillId="0" borderId="10"/>
    <xf numFmtId="43" fontId="1" fillId="0" borderId="10"/>
    <xf numFmtId="0" fontId="4" fillId="0" borderId="10"/>
    <xf numFmtId="37" fontId="6" fillId="0" borderId="10"/>
    <xf numFmtId="43" fontId="7" fillId="0" borderId="10"/>
    <xf numFmtId="9" fontId="7" fillId="0" borderId="10"/>
    <xf numFmtId="44" fontId="7" fillId="0" borderId="10"/>
    <xf numFmtId="0" fontId="5" fillId="0" borderId="10"/>
    <xf numFmtId="43" fontId="5" fillId="0" borderId="10"/>
    <xf numFmtId="0" fontId="4" fillId="0" borderId="10"/>
    <xf numFmtId="0" fontId="1" fillId="0" borderId="10"/>
    <xf numFmtId="0" fontId="10" fillId="0" borderId="10"/>
    <xf numFmtId="44" fontId="3" fillId="0" borderId="10"/>
  </cellStyleXfs>
  <cellXfs count="397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8" fillId="0" borderId="0" xfId="0" applyFont="1" applyBorder="1"/>
    <xf numFmtId="0" fontId="9" fillId="0" borderId="0" xfId="0" applyFont="1" applyBorder="1"/>
    <xf numFmtId="164" fontId="1" fillId="0" borderId="0" xfId="1" applyNumberFormat="1" applyBorder="1"/>
    <xf numFmtId="164" fontId="11" fillId="0" borderId="0" xfId="0" applyNumberFormat="1" applyFont="1" applyBorder="1"/>
    <xf numFmtId="0" fontId="10" fillId="0" borderId="0" xfId="0" applyFont="1" applyBorder="1"/>
    <xf numFmtId="0" fontId="0" fillId="2" borderId="0" xfId="0" applyFill="1" applyBorder="1"/>
    <xf numFmtId="0" fontId="0" fillId="4" borderId="0" xfId="0" applyFill="1" applyBorder="1"/>
    <xf numFmtId="0" fontId="10" fillId="4" borderId="0" xfId="0" applyFont="1" applyFill="1" applyBorder="1"/>
    <xf numFmtId="0" fontId="0" fillId="5" borderId="0" xfId="0" applyFill="1" applyBorder="1"/>
    <xf numFmtId="164" fontId="1" fillId="5" borderId="0" xfId="1" applyNumberFormat="1" applyFill="1" applyBorder="1"/>
    <xf numFmtId="0" fontId="10" fillId="5" borderId="0" xfId="0" applyFont="1" applyFill="1" applyBorder="1"/>
    <xf numFmtId="0" fontId="9" fillId="5" borderId="0" xfId="0" applyFont="1" applyFill="1" applyBorder="1"/>
    <xf numFmtId="0" fontId="13" fillId="8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14" fillId="0" borderId="0" xfId="0" applyFont="1" applyBorder="1"/>
    <xf numFmtId="0" fontId="14" fillId="5" borderId="0" xfId="0" applyFont="1" applyFill="1" applyBorder="1"/>
    <xf numFmtId="0" fontId="9" fillId="0" borderId="1" xfId="0" applyFont="1" applyBorder="1"/>
    <xf numFmtId="0" fontId="0" fillId="0" borderId="1" xfId="0" applyBorder="1"/>
    <xf numFmtId="0" fontId="15" fillId="6" borderId="2" xfId="0" applyFont="1" applyFill="1" applyBorder="1"/>
    <xf numFmtId="0" fontId="15" fillId="8" borderId="2" xfId="13" applyFont="1" applyFill="1" applyBorder="1" applyAlignment="1">
      <alignment vertical="center"/>
    </xf>
    <xf numFmtId="0" fontId="15" fillId="8" borderId="2" xfId="0" applyFont="1" applyFill="1" applyBorder="1"/>
    <xf numFmtId="0" fontId="15" fillId="6" borderId="2" xfId="13" applyFont="1" applyFill="1" applyBorder="1" applyAlignment="1">
      <alignment vertical="center"/>
    </xf>
    <xf numFmtId="164" fontId="15" fillId="6" borderId="2" xfId="1" applyNumberFormat="1" applyFont="1" applyFill="1" applyBorder="1"/>
    <xf numFmtId="164" fontId="15" fillId="6" borderId="2" xfId="1" applyNumberFormat="1" applyFont="1" applyFill="1" applyBorder="1" applyAlignment="1">
      <alignment horizontal="center"/>
    </xf>
    <xf numFmtId="10" fontId="15" fillId="6" borderId="2" xfId="3" applyNumberFormat="1" applyFont="1" applyFill="1" applyBorder="1" applyAlignment="1">
      <alignment horizontal="center"/>
    </xf>
    <xf numFmtId="10" fontId="15" fillId="6" borderId="2" xfId="3" applyNumberFormat="1" applyFont="1" applyFill="1" applyBorder="1"/>
    <xf numFmtId="9" fontId="15" fillId="6" borderId="2" xfId="3" applyFont="1" applyFill="1" applyBorder="1"/>
    <xf numFmtId="164" fontId="15" fillId="6" borderId="2" xfId="0" applyNumberFormat="1" applyFont="1" applyFill="1" applyBorder="1"/>
    <xf numFmtId="0" fontId="16" fillId="8" borderId="2" xfId="0" applyFont="1" applyFill="1" applyBorder="1"/>
    <xf numFmtId="0" fontId="15" fillId="6" borderId="2" xfId="0" quotePrefix="1" applyFont="1" applyFill="1" applyBorder="1" applyAlignment="1">
      <alignment horizontal="right"/>
    </xf>
    <xf numFmtId="3" fontId="15" fillId="6" borderId="2" xfId="0" applyNumberFormat="1" applyFont="1" applyFill="1" applyBorder="1"/>
    <xf numFmtId="9" fontId="15" fillId="8" borderId="2" xfId="3" applyFont="1" applyFill="1" applyBorder="1"/>
    <xf numFmtId="165" fontId="15" fillId="6" borderId="2" xfId="2" applyNumberFormat="1" applyFont="1" applyFill="1" applyBorder="1"/>
    <xf numFmtId="0" fontId="15" fillId="6" borderId="2" xfId="0" applyFont="1" applyFill="1" applyBorder="1" applyAlignment="1">
      <alignment horizontal="center"/>
    </xf>
    <xf numFmtId="0" fontId="15" fillId="8" borderId="2" xfId="13" applyFont="1" applyFill="1" applyBorder="1" applyAlignment="1">
      <alignment horizontal="left" indent="1"/>
    </xf>
    <xf numFmtId="166" fontId="15" fillId="6" borderId="2" xfId="13" applyNumberFormat="1" applyFont="1" applyFill="1" applyBorder="1" applyAlignment="1">
      <alignment vertical="center"/>
    </xf>
    <xf numFmtId="43" fontId="15" fillId="6" borderId="2" xfId="1" applyFont="1" applyFill="1" applyBorder="1"/>
    <xf numFmtId="164" fontId="15" fillId="8" borderId="2" xfId="1" applyNumberFormat="1" applyFont="1" applyFill="1" applyBorder="1"/>
    <xf numFmtId="9" fontId="15" fillId="6" borderId="2" xfId="0" applyNumberFormat="1" applyFont="1" applyFill="1" applyBorder="1" applyAlignment="1">
      <alignment horizontal="center"/>
    </xf>
    <xf numFmtId="10" fontId="15" fillId="6" borderId="2" xfId="0" applyNumberFormat="1" applyFont="1" applyFill="1" applyBorder="1" applyAlignment="1">
      <alignment horizontal="center"/>
    </xf>
    <xf numFmtId="44" fontId="15" fillId="6" borderId="2" xfId="0" applyNumberFormat="1" applyFont="1" applyFill="1" applyBorder="1"/>
    <xf numFmtId="3" fontId="17" fillId="3" borderId="3" xfId="0" applyNumberFormat="1" applyFont="1" applyFill="1" applyBorder="1"/>
    <xf numFmtId="3" fontId="17" fillId="6" borderId="3" xfId="0" applyNumberFormat="1" applyFont="1" applyFill="1" applyBorder="1"/>
    <xf numFmtId="0" fontId="17" fillId="6" borderId="3" xfId="0" applyFont="1" applyFill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164" fontId="17" fillId="3" borderId="2" xfId="1" applyNumberFormat="1" applyFont="1" applyFill="1" applyBorder="1" applyAlignment="1">
      <alignment vertical="center"/>
    </xf>
    <xf numFmtId="0" fontId="0" fillId="5" borderId="2" xfId="0" applyFill="1" applyBorder="1"/>
    <xf numFmtId="0" fontId="9" fillId="10" borderId="0" xfId="0" applyFont="1" applyFill="1" applyBorder="1"/>
    <xf numFmtId="0" fontId="9" fillId="0" borderId="2" xfId="0" applyFont="1" applyBorder="1" applyAlignment="1">
      <alignment horizontal="left"/>
    </xf>
    <xf numFmtId="164" fontId="1" fillId="0" borderId="4" xfId="1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1" fillId="6" borderId="8" xfId="0" applyFont="1" applyFill="1" applyBorder="1"/>
    <xf numFmtId="0" fontId="19" fillId="6" borderId="8" xfId="0" applyFont="1" applyFill="1" applyBorder="1" applyAlignment="1">
      <alignment horizontal="left"/>
    </xf>
    <xf numFmtId="0" fontId="19" fillId="6" borderId="8" xfId="0" applyFont="1" applyFill="1" applyBorder="1"/>
    <xf numFmtId="0" fontId="21" fillId="11" borderId="8" xfId="13" applyFont="1" applyFill="1" applyBorder="1" applyAlignment="1">
      <alignment vertical="center"/>
    </xf>
    <xf numFmtId="0" fontId="21" fillId="11" borderId="8" xfId="13" applyFont="1" applyFill="1" applyBorder="1" applyAlignment="1">
      <alignment horizontal="left" vertical="center"/>
    </xf>
    <xf numFmtId="167" fontId="21" fillId="11" borderId="8" xfId="13" applyNumberFormat="1" applyFont="1" applyFill="1" applyBorder="1" applyAlignment="1">
      <alignment horizontal="right" vertical="center"/>
    </xf>
    <xf numFmtId="167" fontId="21" fillId="11" borderId="8" xfId="13" applyNumberFormat="1" applyFont="1" applyFill="1" applyBorder="1" applyAlignment="1">
      <alignment horizontal="center" vertical="center"/>
    </xf>
    <xf numFmtId="0" fontId="21" fillId="11" borderId="8" xfId="0" applyFont="1" applyFill="1" applyBorder="1"/>
    <xf numFmtId="0" fontId="21" fillId="11" borderId="8" xfId="13" applyFont="1" applyFill="1" applyBorder="1" applyAlignment="1">
      <alignment horizontal="right" vertical="center"/>
    </xf>
    <xf numFmtId="0" fontId="21" fillId="11" borderId="8" xfId="13" applyFont="1" applyFill="1" applyBorder="1" applyAlignment="1">
      <alignment horizontal="center" vertical="center"/>
    </xf>
    <xf numFmtId="168" fontId="22" fillId="8" borderId="8" xfId="3" applyNumberFormat="1" applyFont="1" applyFill="1" applyBorder="1" applyAlignment="1">
      <alignment horizontal="left" vertical="center"/>
    </xf>
    <xf numFmtId="168" fontId="22" fillId="8" borderId="8" xfId="3" applyNumberFormat="1" applyFont="1" applyFill="1" applyBorder="1" applyAlignment="1">
      <alignment vertical="center"/>
    </xf>
    <xf numFmtId="0" fontId="21" fillId="8" borderId="8" xfId="0" applyFont="1" applyFill="1" applyBorder="1"/>
    <xf numFmtId="0" fontId="21" fillId="8" borderId="8" xfId="13" applyFont="1" applyFill="1" applyBorder="1" applyAlignment="1">
      <alignment horizontal="left" vertical="center"/>
    </xf>
    <xf numFmtId="0" fontId="21" fillId="8" borderId="8" xfId="13" applyFont="1" applyFill="1" applyBorder="1" applyAlignment="1">
      <alignment vertical="center"/>
    </xf>
    <xf numFmtId="0" fontId="21" fillId="6" borderId="8" xfId="13" applyFont="1" applyFill="1" applyBorder="1" applyAlignment="1">
      <alignment horizontal="left" vertical="center"/>
    </xf>
    <xf numFmtId="9" fontId="21" fillId="3" borderId="8" xfId="3" applyFont="1" applyFill="1" applyBorder="1"/>
    <xf numFmtId="0" fontId="21" fillId="6" borderId="8" xfId="13" applyFont="1" applyFill="1" applyBorder="1" applyAlignment="1">
      <alignment vertical="center"/>
    </xf>
    <xf numFmtId="0" fontId="21" fillId="6" borderId="8" xfId="13" applyFont="1" applyFill="1" applyBorder="1" applyAlignment="1">
      <alignment horizontal="left" vertical="center" indent="1"/>
    </xf>
    <xf numFmtId="168" fontId="21" fillId="3" borderId="8" xfId="0" applyNumberFormat="1" applyFont="1" applyFill="1" applyBorder="1"/>
    <xf numFmtId="9" fontId="21" fillId="3" borderId="8" xfId="0" applyNumberFormat="1" applyFont="1" applyFill="1" applyBorder="1"/>
    <xf numFmtId="0" fontId="21" fillId="6" borderId="8" xfId="0" applyFont="1" applyFill="1" applyBorder="1" applyAlignment="1">
      <alignment horizontal="left"/>
    </xf>
    <xf numFmtId="168" fontId="22" fillId="6" borderId="8" xfId="3" applyNumberFormat="1" applyFont="1" applyFill="1" applyBorder="1" applyAlignment="1">
      <alignment horizontal="left" vertical="center"/>
    </xf>
    <xf numFmtId="168" fontId="22" fillId="6" borderId="8" xfId="3" applyNumberFormat="1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/>
    </xf>
    <xf numFmtId="0" fontId="21" fillId="6" borderId="8" xfId="13" applyFont="1" applyFill="1" applyBorder="1" applyAlignment="1">
      <alignment horizontal="center" vertical="center"/>
    </xf>
    <xf numFmtId="0" fontId="21" fillId="6" borderId="8" xfId="13" applyFont="1" applyFill="1" applyBorder="1" applyAlignment="1">
      <alignment horizontal="right" vertical="center"/>
    </xf>
    <xf numFmtId="0" fontId="21" fillId="8" borderId="8" xfId="13" applyFont="1" applyFill="1" applyBorder="1" applyAlignment="1">
      <alignment horizontal="left" vertical="center" indent="1"/>
    </xf>
    <xf numFmtId="164" fontId="21" fillId="6" borderId="8" xfId="1" applyNumberFormat="1" applyFont="1" applyFill="1" applyBorder="1" applyAlignment="1">
      <alignment vertical="center"/>
    </xf>
    <xf numFmtId="0" fontId="21" fillId="8" borderId="8" xfId="13" applyFont="1" applyFill="1" applyBorder="1" applyAlignment="1">
      <alignment horizontal="right" vertical="center"/>
    </xf>
    <xf numFmtId="164" fontId="21" fillId="7" borderId="9" xfId="1" applyNumberFormat="1" applyFont="1" applyFill="1" applyBorder="1" applyAlignment="1">
      <alignment vertical="center"/>
    </xf>
    <xf numFmtId="3" fontId="21" fillId="6" borderId="8" xfId="0" applyNumberFormat="1" applyFont="1" applyFill="1" applyBorder="1"/>
    <xf numFmtId="164" fontId="21" fillId="9" borderId="9" xfId="1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horizontal="left"/>
    </xf>
    <xf numFmtId="164" fontId="21" fillId="6" borderId="8" xfId="1" applyNumberFormat="1" applyFont="1" applyFill="1" applyBorder="1" applyAlignment="1">
      <alignment horizontal="center"/>
    </xf>
    <xf numFmtId="44" fontId="21" fillId="6" borderId="8" xfId="2" applyFont="1" applyFill="1" applyBorder="1" applyAlignment="1">
      <alignment horizontal="right" vertical="top" wrapText="1"/>
    </xf>
    <xf numFmtId="0" fontId="21" fillId="3" borderId="8" xfId="0" applyFont="1" applyFill="1" applyBorder="1" applyAlignment="1">
      <alignment horizontal="center"/>
    </xf>
    <xf numFmtId="164" fontId="21" fillId="3" borderId="8" xfId="1" applyNumberFormat="1" applyFont="1" applyFill="1" applyBorder="1" applyAlignment="1">
      <alignment horizontal="center"/>
    </xf>
    <xf numFmtId="11" fontId="21" fillId="3" borderId="8" xfId="0" applyNumberFormat="1" applyFont="1" applyFill="1" applyBorder="1" applyAlignment="1">
      <alignment horizontal="center"/>
    </xf>
    <xf numFmtId="1" fontId="21" fillId="6" borderId="8" xfId="0" applyNumberFormat="1" applyFont="1" applyFill="1" applyBorder="1"/>
    <xf numFmtId="0" fontId="21" fillId="8" borderId="8" xfId="0" applyFont="1" applyFill="1" applyBorder="1" applyAlignment="1">
      <alignment horizontal="right"/>
    </xf>
    <xf numFmtId="0" fontId="21" fillId="6" borderId="8" xfId="13" applyFont="1" applyFill="1" applyBorder="1" applyAlignment="1">
      <alignment horizontal="right" indent="1"/>
    </xf>
    <xf numFmtId="0" fontId="21" fillId="6" borderId="8" xfId="13" applyFont="1" applyFill="1" applyBorder="1" applyAlignment="1">
      <alignment horizontal="left"/>
    </xf>
    <xf numFmtId="0" fontId="21" fillId="6" borderId="8" xfId="13" applyFont="1" applyFill="1" applyBorder="1" applyAlignment="1">
      <alignment horizontal="left" indent="1"/>
    </xf>
    <xf numFmtId="4" fontId="21" fillId="6" borderId="8" xfId="0" applyNumberFormat="1" applyFont="1" applyFill="1" applyBorder="1"/>
    <xf numFmtId="0" fontId="21" fillId="8" borderId="8" xfId="13" applyFont="1" applyFill="1" applyBorder="1" applyAlignment="1">
      <alignment horizontal="left" indent="1"/>
    </xf>
    <xf numFmtId="0" fontId="21" fillId="8" borderId="8" xfId="13" applyFont="1" applyFill="1" applyBorder="1" applyAlignment="1">
      <alignment horizontal="left"/>
    </xf>
    <xf numFmtId="164" fontId="21" fillId="3" borderId="8" xfId="1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horizontal="left" indent="1"/>
    </xf>
    <xf numFmtId="164" fontId="21" fillId="3" borderId="8" xfId="0" applyNumberFormat="1" applyFont="1" applyFill="1" applyBorder="1"/>
    <xf numFmtId="164" fontId="21" fillId="6" borderId="8" xfId="0" applyNumberFormat="1" applyFont="1" applyFill="1" applyBorder="1"/>
    <xf numFmtId="43" fontId="21" fillId="8" borderId="8" xfId="1" applyFont="1" applyFill="1" applyBorder="1"/>
    <xf numFmtId="43" fontId="21" fillId="8" borderId="8" xfId="1" applyFont="1" applyFill="1" applyBorder="1" applyAlignment="1">
      <alignment horizontal="left"/>
    </xf>
    <xf numFmtId="43" fontId="21" fillId="6" borderId="8" xfId="1" applyFont="1" applyFill="1" applyBorder="1" applyAlignment="1">
      <alignment horizontal="left"/>
    </xf>
    <xf numFmtId="43" fontId="21" fillId="6" borderId="8" xfId="1" applyFont="1" applyFill="1" applyBorder="1"/>
    <xf numFmtId="43" fontId="21" fillId="3" borderId="8" xfId="1" applyFont="1" applyFill="1" applyBorder="1"/>
    <xf numFmtId="3" fontId="19" fillId="6" borderId="8" xfId="0" applyNumberFormat="1" applyFont="1" applyFill="1" applyBorder="1"/>
    <xf numFmtId="164" fontId="21" fillId="7" borderId="8" xfId="1" applyNumberFormat="1" applyFont="1" applyFill="1" applyBorder="1" applyAlignment="1">
      <alignment vertical="center"/>
    </xf>
    <xf numFmtId="164" fontId="21" fillId="6" borderId="8" xfId="1" applyNumberFormat="1" applyFont="1" applyFill="1" applyBorder="1"/>
    <xf numFmtId="164" fontId="21" fillId="7" borderId="8" xfId="1" applyNumberFormat="1" applyFont="1" applyFill="1" applyBorder="1" applyAlignment="1">
      <alignment horizontal="right" vertical="center"/>
    </xf>
    <xf numFmtId="164" fontId="21" fillId="9" borderId="8" xfId="1" applyNumberFormat="1" applyFont="1" applyFill="1" applyBorder="1" applyAlignment="1">
      <alignment horizontal="right" vertical="center"/>
    </xf>
    <xf numFmtId="4" fontId="21" fillId="6" borderId="8" xfId="1" applyNumberFormat="1" applyFont="1" applyFill="1" applyBorder="1" applyAlignment="1">
      <alignment horizontal="center"/>
    </xf>
    <xf numFmtId="9" fontId="21" fillId="6" borderId="8" xfId="3" applyFont="1" applyFill="1" applyBorder="1" applyAlignment="1">
      <alignment horizontal="center"/>
    </xf>
    <xf numFmtId="0" fontId="23" fillId="8" borderId="8" xfId="0" applyFont="1" applyFill="1" applyBorder="1"/>
    <xf numFmtId="0" fontId="23" fillId="8" borderId="8" xfId="0" applyFont="1" applyFill="1" applyBorder="1" applyAlignment="1">
      <alignment horizontal="left"/>
    </xf>
    <xf numFmtId="0" fontId="23" fillId="6" borderId="8" xfId="0" applyFont="1" applyFill="1" applyBorder="1" applyAlignment="1">
      <alignment horizontal="left"/>
    </xf>
    <xf numFmtId="164" fontId="19" fillId="6" borderId="8" xfId="1" applyNumberFormat="1" applyFont="1" applyFill="1" applyBorder="1" applyAlignment="1">
      <alignment vertical="center"/>
    </xf>
    <xf numFmtId="9" fontId="23" fillId="6" borderId="8" xfId="3" applyFont="1" applyFill="1" applyBorder="1"/>
    <xf numFmtId="9" fontId="23" fillId="6" borderId="8" xfId="3" applyFont="1" applyFill="1" applyBorder="1" applyAlignment="1">
      <alignment horizontal="center"/>
    </xf>
    <xf numFmtId="9" fontId="23" fillId="6" borderId="8" xfId="0" applyNumberFormat="1" applyFont="1" applyFill="1" applyBorder="1" applyAlignment="1">
      <alignment horizontal="center"/>
    </xf>
    <xf numFmtId="9" fontId="23" fillId="6" borderId="8" xfId="0" applyNumberFormat="1" applyFont="1" applyFill="1" applyBorder="1"/>
    <xf numFmtId="0" fontId="23" fillId="6" borderId="8" xfId="0" applyFont="1" applyFill="1" applyBorder="1"/>
    <xf numFmtId="10" fontId="23" fillId="6" borderId="8" xfId="1" applyNumberFormat="1" applyFont="1" applyFill="1" applyBorder="1"/>
    <xf numFmtId="164" fontId="21" fillId="8" borderId="8" xfId="1" applyNumberFormat="1" applyFont="1" applyFill="1" applyBorder="1" applyAlignment="1">
      <alignment horizontal="right"/>
    </xf>
    <xf numFmtId="164" fontId="21" fillId="8" borderId="8" xfId="1" applyNumberFormat="1" applyFont="1" applyFill="1" applyBorder="1"/>
    <xf numFmtId="164" fontId="21" fillId="3" borderId="8" xfId="1" applyNumberFormat="1" applyFont="1" applyFill="1" applyBorder="1"/>
    <xf numFmtId="0" fontId="23" fillId="6" borderId="8" xfId="0" applyFont="1" applyFill="1" applyBorder="1" applyAlignment="1">
      <alignment horizontal="right"/>
    </xf>
    <xf numFmtId="164" fontId="23" fillId="6" borderId="8" xfId="3" applyNumberFormat="1" applyFont="1" applyFill="1" applyBorder="1"/>
    <xf numFmtId="3" fontId="23" fillId="6" borderId="8" xfId="3" applyNumberFormat="1" applyFont="1" applyFill="1" applyBorder="1"/>
    <xf numFmtId="0" fontId="23" fillId="8" borderId="8" xfId="0" applyFont="1" applyFill="1" applyBorder="1" applyAlignment="1">
      <alignment horizontal="right"/>
    </xf>
    <xf numFmtId="164" fontId="23" fillId="7" borderId="8" xfId="1" applyNumberFormat="1" applyFont="1" applyFill="1" applyBorder="1"/>
    <xf numFmtId="164" fontId="23" fillId="9" borderId="8" xfId="1" applyNumberFormat="1" applyFont="1" applyFill="1" applyBorder="1"/>
    <xf numFmtId="164" fontId="23" fillId="6" borderId="8" xfId="1" applyNumberFormat="1" applyFont="1" applyFill="1" applyBorder="1"/>
    <xf numFmtId="164" fontId="23" fillId="3" borderId="8" xfId="1" applyNumberFormat="1" applyFont="1" applyFill="1" applyBorder="1"/>
    <xf numFmtId="164" fontId="23" fillId="7" borderId="9" xfId="3" applyNumberFormat="1" applyFont="1" applyFill="1" applyBorder="1"/>
    <xf numFmtId="164" fontId="23" fillId="9" borderId="9" xfId="3" applyNumberFormat="1" applyFont="1" applyFill="1" applyBorder="1"/>
    <xf numFmtId="9" fontId="21" fillId="6" borderId="8" xfId="3" applyFont="1" applyFill="1" applyBorder="1"/>
    <xf numFmtId="9" fontId="21" fillId="6" borderId="8" xfId="0" applyNumberFormat="1" applyFont="1" applyFill="1" applyBorder="1" applyAlignment="1">
      <alignment horizontal="center"/>
    </xf>
    <xf numFmtId="9" fontId="21" fillId="6" borderId="8" xfId="0" applyNumberFormat="1" applyFont="1" applyFill="1" applyBorder="1"/>
    <xf numFmtId="164" fontId="21" fillId="6" borderId="9" xfId="1" applyNumberFormat="1" applyFont="1" applyFill="1" applyBorder="1"/>
    <xf numFmtId="164" fontId="21" fillId="9" borderId="9" xfId="1" applyNumberFormat="1" applyFont="1" applyFill="1" applyBorder="1"/>
    <xf numFmtId="0" fontId="21" fillId="6" borderId="8" xfId="0" applyFont="1" applyFill="1" applyBorder="1" applyAlignment="1">
      <alignment horizontal="right"/>
    </xf>
    <xf numFmtId="164" fontId="21" fillId="6" borderId="9" xfId="0" applyNumberFormat="1" applyFont="1" applyFill="1" applyBorder="1"/>
    <xf numFmtId="164" fontId="21" fillId="9" borderId="9" xfId="0" applyNumberFormat="1" applyFont="1" applyFill="1" applyBorder="1"/>
    <xf numFmtId="164" fontId="21" fillId="6" borderId="8" xfId="1" applyNumberFormat="1" applyFont="1" applyFill="1" applyBorder="1" applyAlignment="1">
      <alignment horizontal="left"/>
    </xf>
    <xf numFmtId="0" fontId="19" fillId="8" borderId="8" xfId="0" applyFont="1" applyFill="1" applyBorder="1"/>
    <xf numFmtId="164" fontId="21" fillId="7" borderId="8" xfId="1" applyNumberFormat="1" applyFont="1" applyFill="1" applyBorder="1"/>
    <xf numFmtId="0" fontId="19" fillId="8" borderId="8" xfId="0" applyFont="1" applyFill="1" applyBorder="1" applyAlignment="1">
      <alignment horizontal="left"/>
    </xf>
    <xf numFmtId="164" fontId="19" fillId="6" borderId="9" xfId="0" applyNumberFormat="1" applyFont="1" applyFill="1" applyBorder="1"/>
    <xf numFmtId="164" fontId="19" fillId="9" borderId="9" xfId="0" applyNumberFormat="1" applyFont="1" applyFill="1" applyBorder="1"/>
    <xf numFmtId="164" fontId="21" fillId="8" borderId="8" xfId="1" applyNumberFormat="1" applyFont="1" applyFill="1" applyBorder="1" applyAlignment="1">
      <alignment horizontal="left" indent="2"/>
    </xf>
    <xf numFmtId="0" fontId="21" fillId="3" borderId="8" xfId="0" applyFont="1" applyFill="1" applyBorder="1"/>
    <xf numFmtId="0" fontId="19" fillId="6" borderId="8" xfId="13" applyFont="1" applyFill="1" applyBorder="1" applyAlignment="1">
      <alignment vertical="center"/>
    </xf>
    <xf numFmtId="168" fontId="20" fillId="6" borderId="8" xfId="3" applyNumberFormat="1" applyFont="1" applyFill="1" applyBorder="1" applyAlignment="1">
      <alignment horizontal="center" vertical="center"/>
    </xf>
    <xf numFmtId="0" fontId="19" fillId="6" borderId="8" xfId="13" applyFont="1" applyFill="1" applyBorder="1" applyAlignment="1">
      <alignment horizontal="center" vertical="center"/>
    </xf>
    <xf numFmtId="0" fontId="19" fillId="8" borderId="8" xfId="13" applyFont="1" applyFill="1" applyBorder="1" applyAlignment="1">
      <alignment vertical="center"/>
    </xf>
    <xf numFmtId="164" fontId="19" fillId="6" borderId="8" xfId="13" applyNumberFormat="1" applyFont="1" applyFill="1" applyBorder="1" applyAlignment="1">
      <alignment vertical="center"/>
    </xf>
    <xf numFmtId="164" fontId="19" fillId="7" borderId="8" xfId="1" applyNumberFormat="1" applyFont="1" applyFill="1" applyBorder="1" applyAlignment="1">
      <alignment vertical="center"/>
    </xf>
    <xf numFmtId="164" fontId="19" fillId="3" borderId="8" xfId="1" applyNumberFormat="1" applyFont="1" applyFill="1" applyBorder="1" applyAlignment="1">
      <alignment vertical="center"/>
    </xf>
    <xf numFmtId="0" fontId="19" fillId="8" borderId="8" xfId="13" applyFont="1" applyFill="1" applyBorder="1" applyAlignment="1">
      <alignment horizontal="right" vertical="center"/>
    </xf>
    <xf numFmtId="164" fontId="19" fillId="3" borderId="8" xfId="1" applyNumberFormat="1" applyFont="1" applyFill="1" applyBorder="1"/>
    <xf numFmtId="164" fontId="19" fillId="6" borderId="8" xfId="1" applyNumberFormat="1" applyFont="1" applyFill="1" applyBorder="1"/>
    <xf numFmtId="9" fontId="19" fillId="6" borderId="8" xfId="1" applyNumberFormat="1" applyFont="1" applyFill="1" applyBorder="1" applyAlignment="1">
      <alignment vertical="center"/>
    </xf>
    <xf numFmtId="0" fontId="21" fillId="6" borderId="8" xfId="0" applyFont="1" applyFill="1" applyBorder="1" applyAlignment="1">
      <alignment horizontal="centerContinuous"/>
    </xf>
    <xf numFmtId="164" fontId="19" fillId="6" borderId="8" xfId="0" applyNumberFormat="1" applyFont="1" applyFill="1" applyBorder="1"/>
    <xf numFmtId="43" fontId="19" fillId="6" borderId="8" xfId="0" applyNumberFormat="1" applyFont="1" applyFill="1" applyBorder="1"/>
    <xf numFmtId="164" fontId="19" fillId="6" borderId="9" xfId="1" applyNumberFormat="1" applyFont="1" applyFill="1" applyBorder="1" applyAlignment="1">
      <alignment vertical="center"/>
    </xf>
    <xf numFmtId="164" fontId="19" fillId="9" borderId="9" xfId="1" applyNumberFormat="1" applyFont="1" applyFill="1" applyBorder="1" applyAlignment="1">
      <alignment vertical="center"/>
    </xf>
    <xf numFmtId="0" fontId="19" fillId="6" borderId="8" xfId="13" applyFont="1" applyFill="1" applyBorder="1" applyAlignment="1">
      <alignment horizontal="right" vertical="center"/>
    </xf>
    <xf numFmtId="164" fontId="19" fillId="9" borderId="8" xfId="1" applyNumberFormat="1" applyFont="1" applyFill="1" applyBorder="1" applyAlignment="1">
      <alignment vertical="center"/>
    </xf>
    <xf numFmtId="168" fontId="19" fillId="6" borderId="8" xfId="1" applyNumberFormat="1" applyFont="1" applyFill="1" applyBorder="1" applyAlignment="1">
      <alignment vertical="center"/>
    </xf>
    <xf numFmtId="164" fontId="21" fillId="9" borderId="8" xfId="1" applyNumberFormat="1" applyFont="1" applyFill="1" applyBorder="1"/>
    <xf numFmtId="0" fontId="19" fillId="8" borderId="8" xfId="13" applyFont="1" applyFill="1" applyBorder="1" applyAlignment="1">
      <alignment horizontal="left" vertical="center" indent="1"/>
    </xf>
    <xf numFmtId="0" fontId="19" fillId="8" borderId="8" xfId="13" applyFont="1" applyFill="1" applyBorder="1" applyAlignment="1">
      <alignment horizontal="left" vertical="center"/>
    </xf>
    <xf numFmtId="4" fontId="21" fillId="6" borderId="8" xfId="1" applyNumberFormat="1" applyFont="1" applyFill="1" applyBorder="1" applyAlignment="1">
      <alignment horizontal="centerContinuous"/>
    </xf>
    <xf numFmtId="4" fontId="21" fillId="6" borderId="8" xfId="1" applyNumberFormat="1" applyFont="1" applyFill="1" applyBorder="1"/>
    <xf numFmtId="10" fontId="21" fillId="6" borderId="8" xfId="0" applyNumberFormat="1" applyFont="1" applyFill="1" applyBorder="1"/>
    <xf numFmtId="168" fontId="21" fillId="6" borderId="8" xfId="0" applyNumberFormat="1" applyFont="1" applyFill="1" applyBorder="1"/>
    <xf numFmtId="0" fontId="21" fillId="11" borderId="8" xfId="0" applyFont="1" applyFill="1" applyBorder="1" applyAlignment="1">
      <alignment horizontal="center"/>
    </xf>
    <xf numFmtId="4" fontId="21" fillId="11" borderId="8" xfId="0" applyNumberFormat="1" applyFont="1" applyFill="1" applyBorder="1"/>
    <xf numFmtId="168" fontId="22" fillId="11" borderId="8" xfId="3" applyNumberFormat="1" applyFont="1" applyFill="1" applyBorder="1" applyAlignment="1">
      <alignment horizontal="left" vertical="center"/>
    </xf>
    <xf numFmtId="168" fontId="22" fillId="11" borderId="8" xfId="3" applyNumberFormat="1" applyFont="1" applyFill="1" applyBorder="1" applyAlignment="1">
      <alignment vertical="center"/>
    </xf>
    <xf numFmtId="0" fontId="19" fillId="11" borderId="8" xfId="0" applyFont="1" applyFill="1" applyBorder="1" applyAlignment="1">
      <alignment horizontal="left"/>
    </xf>
    <xf numFmtId="0" fontId="19" fillId="11" borderId="8" xfId="0" applyFont="1" applyFill="1" applyBorder="1"/>
    <xf numFmtId="4" fontId="21" fillId="11" borderId="8" xfId="0" applyNumberFormat="1" applyFont="1" applyFill="1" applyBorder="1" applyAlignment="1">
      <alignment horizontal="centerContinuous"/>
    </xf>
    <xf numFmtId="0" fontId="21" fillId="11" borderId="8" xfId="0" applyFont="1" applyFill="1" applyBorder="1" applyAlignment="1">
      <alignment horizontal="centerContinuous"/>
    </xf>
    <xf numFmtId="4" fontId="21" fillId="11" borderId="8" xfId="1" applyNumberFormat="1" applyFont="1" applyFill="1" applyBorder="1" applyAlignment="1">
      <alignment horizontal="center"/>
    </xf>
    <xf numFmtId="9" fontId="21" fillId="11" borderId="8" xfId="3" applyFont="1" applyFill="1" applyBorder="1" applyAlignment="1">
      <alignment horizontal="center"/>
    </xf>
    <xf numFmtId="9" fontId="21" fillId="3" borderId="8" xfId="1" applyNumberFormat="1" applyFont="1" applyFill="1" applyBorder="1" applyAlignment="1">
      <alignment horizontal="center"/>
    </xf>
    <xf numFmtId="9" fontId="21" fillId="3" borderId="8" xfId="0" applyNumberFormat="1" applyFont="1" applyFill="1" applyBorder="1" applyAlignment="1">
      <alignment horizontal="center"/>
    </xf>
    <xf numFmtId="4" fontId="21" fillId="8" borderId="8" xfId="1" applyNumberFormat="1" applyFont="1" applyFill="1" applyBorder="1" applyAlignment="1">
      <alignment horizontal="center"/>
    </xf>
    <xf numFmtId="9" fontId="21" fillId="8" borderId="8" xfId="3" applyFont="1" applyFill="1" applyBorder="1" applyAlignment="1">
      <alignment horizontal="center"/>
    </xf>
    <xf numFmtId="168" fontId="18" fillId="6" borderId="8" xfId="3" applyNumberFormat="1" applyFont="1" applyFill="1" applyBorder="1" applyAlignment="1">
      <alignment horizontal="left" vertical="center"/>
    </xf>
    <xf numFmtId="0" fontId="12" fillId="6" borderId="8" xfId="13" applyFont="1" applyFill="1" applyBorder="1" applyAlignment="1">
      <alignment horizontal="left" vertical="center" indent="1"/>
    </xf>
    <xf numFmtId="0" fontId="12" fillId="8" borderId="8" xfId="13" applyFont="1" applyFill="1" applyBorder="1" applyAlignment="1">
      <alignment horizontal="left" indent="1"/>
    </xf>
    <xf numFmtId="0" fontId="12" fillId="6" borderId="8" xfId="13" applyFont="1" applyFill="1" applyBorder="1" applyAlignment="1">
      <alignment horizontal="left" vertical="center"/>
    </xf>
    <xf numFmtId="0" fontId="0" fillId="0" borderId="8" xfId="0" applyBorder="1"/>
    <xf numFmtId="164" fontId="21" fillId="5" borderId="8" xfId="1" applyNumberFormat="1" applyFont="1" applyFill="1" applyBorder="1" applyAlignment="1">
      <alignment vertical="center"/>
    </xf>
    <xf numFmtId="0" fontId="12" fillId="8" borderId="8" xfId="13" applyFont="1" applyFill="1" applyBorder="1" applyAlignment="1">
      <alignment horizontal="left"/>
    </xf>
    <xf numFmtId="0" fontId="12" fillId="8" borderId="8" xfId="0" applyFont="1" applyFill="1" applyBorder="1"/>
    <xf numFmtId="164" fontId="12" fillId="8" borderId="8" xfId="1" applyNumberFormat="1" applyFont="1" applyFill="1" applyBorder="1"/>
    <xf numFmtId="164" fontId="17" fillId="10" borderId="2" xfId="1" applyNumberFormat="1" applyFont="1" applyFill="1" applyBorder="1" applyAlignment="1">
      <alignment vertical="center"/>
    </xf>
    <xf numFmtId="14" fontId="21" fillId="11" borderId="8" xfId="13" applyNumberFormat="1" applyFont="1" applyFill="1" applyBorder="1" applyAlignment="1">
      <alignment horizontal="left" vertical="center"/>
    </xf>
    <xf numFmtId="14" fontId="21" fillId="11" borderId="8" xfId="13" applyNumberFormat="1" applyFont="1" applyFill="1" applyBorder="1" applyAlignment="1">
      <alignment horizontal="right" vertical="center"/>
    </xf>
    <xf numFmtId="170" fontId="21" fillId="11" borderId="8" xfId="13" applyNumberFormat="1" applyFont="1" applyFill="1" applyBorder="1" applyAlignment="1">
      <alignment horizontal="right" vertical="center"/>
    </xf>
    <xf numFmtId="14" fontId="21" fillId="11" borderId="8" xfId="0" applyNumberFormat="1" applyFont="1" applyFill="1" applyBorder="1" applyAlignment="1">
      <alignment horizontal="right"/>
    </xf>
    <xf numFmtId="14" fontId="0" fillId="0" borderId="0" xfId="0" applyNumberFormat="1" applyBorder="1" applyAlignment="1">
      <alignment horizontal="right"/>
    </xf>
    <xf numFmtId="0" fontId="21" fillId="11" borderId="8" xfId="0" applyFont="1" applyFill="1" applyBorder="1" applyAlignment="1">
      <alignment horizontal="right"/>
    </xf>
    <xf numFmtId="0" fontId="12" fillId="11" borderId="8" xfId="13" applyFont="1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24" fillId="6" borderId="10" xfId="0" applyFont="1" applyFill="1"/>
    <xf numFmtId="0" fontId="24" fillId="6" borderId="10" xfId="0" applyFont="1" applyFill="1" applyAlignment="1">
      <alignment horizontal="center"/>
    </xf>
    <xf numFmtId="4" fontId="24" fillId="6" borderId="10" xfId="0" applyNumberFormat="1" applyFont="1" applyFill="1"/>
    <xf numFmtId="14" fontId="24" fillId="11" borderId="10" xfId="13" applyNumberFormat="1" applyFont="1" applyFill="1" applyAlignment="1">
      <alignment horizontal="left" vertical="center"/>
    </xf>
    <xf numFmtId="14" fontId="24" fillId="11" borderId="10" xfId="13" applyNumberFormat="1" applyFont="1" applyFill="1" applyAlignment="1">
      <alignment horizontal="right" vertical="center"/>
    </xf>
    <xf numFmtId="170" fontId="24" fillId="11" borderId="10" xfId="13" applyNumberFormat="1" applyFont="1" applyFill="1" applyAlignment="1">
      <alignment horizontal="right" vertical="center"/>
    </xf>
    <xf numFmtId="14" fontId="24" fillId="11" borderId="10" xfId="0" applyNumberFormat="1" applyFont="1" applyFill="1" applyAlignment="1">
      <alignment horizontal="right"/>
    </xf>
    <xf numFmtId="168" fontId="25" fillId="8" borderId="10" xfId="3" applyNumberFormat="1" applyFont="1" applyFill="1" applyAlignment="1">
      <alignment horizontal="left" vertical="center"/>
    </xf>
    <xf numFmtId="168" fontId="25" fillId="8" borderId="10" xfId="3" applyNumberFormat="1" applyFont="1" applyFill="1" applyAlignment="1">
      <alignment vertical="center"/>
    </xf>
    <xf numFmtId="0" fontId="24" fillId="6" borderId="10" xfId="13" applyFont="1" applyFill="1" applyAlignment="1">
      <alignment horizontal="center" vertical="center"/>
    </xf>
    <xf numFmtId="4" fontId="24" fillId="8" borderId="10" xfId="0" applyNumberFormat="1" applyFont="1" applyFill="1"/>
    <xf numFmtId="0" fontId="24" fillId="6" borderId="10" xfId="13" applyFont="1" applyFill="1" applyAlignment="1">
      <alignment horizontal="left" vertical="center"/>
    </xf>
    <xf numFmtId="0" fontId="24" fillId="6" borderId="10" xfId="13" applyFont="1" applyFill="1" applyAlignment="1">
      <alignment vertical="center"/>
    </xf>
    <xf numFmtId="0" fontId="24" fillId="8" borderId="10" xfId="0" applyFont="1" applyFill="1" applyAlignment="1">
      <alignment vertical="top" wrapText="1"/>
    </xf>
    <xf numFmtId="0" fontId="24" fillId="8" borderId="10" xfId="13" applyFont="1" applyFill="1" applyAlignment="1">
      <alignment horizontal="left" vertical="center"/>
    </xf>
    <xf numFmtId="0" fontId="24" fillId="8" borderId="10" xfId="13" applyFont="1" applyFill="1" applyAlignment="1">
      <alignment vertical="center"/>
    </xf>
    <xf numFmtId="0" fontId="24" fillId="8" borderId="10" xfId="13" applyFont="1" applyFill="1" applyAlignment="1">
      <alignment horizontal="left" vertical="center" indent="1"/>
    </xf>
    <xf numFmtId="164" fontId="24" fillId="6" borderId="10" xfId="1" applyNumberFormat="1" applyFont="1" applyFill="1"/>
    <xf numFmtId="3" fontId="24" fillId="7" borderId="10" xfId="0" applyNumberFormat="1" applyFont="1" applyFill="1"/>
    <xf numFmtId="3" fontId="24" fillId="3" borderId="10" xfId="0" applyNumberFormat="1" applyFont="1" applyFill="1"/>
    <xf numFmtId="44" fontId="24" fillId="3" borderId="10" xfId="2" applyFont="1" applyFill="1" applyAlignment="1">
      <alignment horizontal="right" vertical="top" wrapText="1"/>
    </xf>
    <xf numFmtId="164" fontId="24" fillId="3" borderId="10" xfId="1" applyNumberFormat="1" applyFont="1" applyFill="1"/>
    <xf numFmtId="3" fontId="24" fillId="6" borderId="10" xfId="0" applyNumberFormat="1" applyFont="1" applyFill="1"/>
    <xf numFmtId="164" fontId="24" fillId="3" borderId="10" xfId="1" applyNumberFormat="1" applyFont="1" applyFill="1" applyAlignment="1">
      <alignment horizontal="right" vertical="top" wrapText="1"/>
    </xf>
    <xf numFmtId="0" fontId="24" fillId="8" borderId="10" xfId="0" applyFont="1" applyFill="1"/>
    <xf numFmtId="0" fontId="24" fillId="8" borderId="10" xfId="0" applyFont="1" applyFill="1" applyAlignment="1">
      <alignment horizontal="right"/>
    </xf>
    <xf numFmtId="44" fontId="24" fillId="6" borderId="10" xfId="2" applyFont="1" applyFill="1" applyAlignment="1">
      <alignment horizontal="right" vertical="top" wrapText="1"/>
    </xf>
    <xf numFmtId="164" fontId="24" fillId="7" borderId="10" xfId="1" applyNumberFormat="1" applyFont="1" applyFill="1"/>
    <xf numFmtId="1" fontId="24" fillId="6" borderId="10" xfId="0" applyNumberFormat="1" applyFont="1" applyFill="1"/>
    <xf numFmtId="0" fontId="24" fillId="6" borderId="10" xfId="0" applyFont="1" applyFill="1" applyAlignment="1">
      <alignment horizontal="right"/>
    </xf>
    <xf numFmtId="164" fontId="26" fillId="6" borderId="10" xfId="1" applyNumberFormat="1" applyFont="1" applyFill="1" applyAlignment="1">
      <alignment vertical="center"/>
    </xf>
    <xf numFmtId="3" fontId="24" fillId="9" borderId="10" xfId="0" applyNumberFormat="1" applyFont="1" applyFill="1"/>
    <xf numFmtId="164" fontId="26" fillId="7" borderId="10" xfId="1" applyNumberFormat="1" applyFont="1" applyFill="1" applyAlignment="1">
      <alignment vertical="center"/>
    </xf>
    <xf numFmtId="164" fontId="26" fillId="9" borderId="10" xfId="1" applyNumberFormat="1" applyFont="1" applyFill="1" applyAlignment="1">
      <alignment vertical="center"/>
    </xf>
    <xf numFmtId="164" fontId="24" fillId="6" borderId="10" xfId="0" applyNumberFormat="1" applyFont="1" applyFill="1"/>
    <xf numFmtId="3" fontId="26" fillId="6" borderId="10" xfId="0" applyNumberFormat="1" applyFont="1" applyFill="1"/>
    <xf numFmtId="0" fontId="26" fillId="6" borderId="10" xfId="0" applyFont="1" applyFill="1"/>
    <xf numFmtId="0" fontId="24" fillId="6" borderId="10" xfId="0" applyFont="1" applyFill="1" applyAlignment="1">
      <alignment horizontal="left"/>
    </xf>
    <xf numFmtId="168" fontId="26" fillId="8" borderId="10" xfId="0" applyNumberFormat="1" applyFont="1" applyFill="1"/>
    <xf numFmtId="0" fontId="27" fillId="6" borderId="10" xfId="0" applyFont="1" applyFill="1" applyAlignment="1">
      <alignment horizontal="center"/>
    </xf>
    <xf numFmtId="165" fontId="24" fillId="7" borderId="10" xfId="2" applyNumberFormat="1" applyFont="1" applyFill="1" applyAlignment="1">
      <alignment horizontal="right" vertical="top" wrapText="1"/>
    </xf>
    <xf numFmtId="165" fontId="24" fillId="3" borderId="10" xfId="2" applyNumberFormat="1" applyFont="1" applyFill="1" applyAlignment="1">
      <alignment horizontal="right" vertical="top" wrapText="1"/>
    </xf>
    <xf numFmtId="0" fontId="26" fillId="8" borderId="10" xfId="0" applyFont="1" applyFill="1" applyAlignment="1">
      <alignment horizontal="left"/>
    </xf>
    <xf numFmtId="0" fontId="26" fillId="8" borderId="10" xfId="0" applyFont="1" applyFill="1"/>
    <xf numFmtId="0" fontId="26" fillId="8" borderId="10" xfId="0" applyFont="1" applyFill="1" applyAlignment="1">
      <alignment horizontal="right"/>
    </xf>
    <xf numFmtId="0" fontId="26" fillId="6" borderId="10" xfId="0" applyFont="1" applyFill="1" applyAlignment="1">
      <alignment horizontal="right"/>
    </xf>
    <xf numFmtId="0" fontId="24" fillId="6" borderId="10" xfId="0" applyFont="1" applyFill="1" applyAlignment="1">
      <alignment horizontal="centerContinuous"/>
    </xf>
    <xf numFmtId="3" fontId="26" fillId="7" borderId="10" xfId="0" applyNumberFormat="1" applyFont="1" applyFill="1"/>
    <xf numFmtId="3" fontId="26" fillId="9" borderId="10" xfId="0" applyNumberFormat="1" applyFont="1" applyFill="1"/>
    <xf numFmtId="3" fontId="24" fillId="3" borderId="10" xfId="1" applyNumberFormat="1" applyFont="1" applyFill="1"/>
    <xf numFmtId="44" fontId="24" fillId="7" borderId="10" xfId="2" applyFont="1" applyFill="1" applyAlignment="1">
      <alignment horizontal="right" vertical="top" wrapText="1"/>
    </xf>
    <xf numFmtId="0" fontId="26" fillId="6" borderId="10" xfId="0" applyFont="1" applyFill="1" applyAlignment="1">
      <alignment horizontal="centerContinuous"/>
    </xf>
    <xf numFmtId="0" fontId="26" fillId="6" borderId="10" xfId="13" applyFont="1" applyFill="1" applyAlignment="1">
      <alignment horizontal="left" vertical="center" indent="1"/>
    </xf>
    <xf numFmtId="3" fontId="24" fillId="6" borderId="10" xfId="0" applyNumberFormat="1" applyFont="1" applyFill="1" applyAlignment="1">
      <alignment horizontal="center"/>
    </xf>
    <xf numFmtId="164" fontId="24" fillId="6" borderId="10" xfId="0" applyNumberFormat="1" applyFont="1" applyFill="1" applyAlignment="1">
      <alignment horizontal="center"/>
    </xf>
    <xf numFmtId="0" fontId="26" fillId="6" borderId="10" xfId="13" applyFont="1" applyFill="1" applyAlignment="1">
      <alignment horizontal="right" vertical="center" indent="1"/>
    </xf>
    <xf numFmtId="170" fontId="21" fillId="12" borderId="8" xfId="13" applyNumberFormat="1" applyFont="1" applyFill="1" applyBorder="1" applyAlignment="1">
      <alignment horizontal="right" vertical="center"/>
    </xf>
    <xf numFmtId="0" fontId="12" fillId="2" borderId="8" xfId="0" applyFont="1" applyFill="1" applyBorder="1"/>
    <xf numFmtId="0" fontId="21" fillId="2" borderId="8" xfId="0" applyFont="1" applyFill="1" applyBorder="1"/>
    <xf numFmtId="0" fontId="12" fillId="8" borderId="8" xfId="0" applyFont="1" applyFill="1" applyBorder="1" applyAlignment="1">
      <alignment horizontal="left"/>
    </xf>
    <xf numFmtId="0" fontId="13" fillId="8" borderId="8" xfId="13" applyFont="1" applyFill="1" applyBorder="1" applyAlignment="1">
      <alignment horizontal="left" vertical="center" indent="1"/>
    </xf>
    <xf numFmtId="0" fontId="13" fillId="8" borderId="8" xfId="0" applyFont="1" applyFill="1" applyBorder="1" applyAlignment="1">
      <alignment horizontal="left"/>
    </xf>
    <xf numFmtId="0" fontId="12" fillId="8" borderId="8" xfId="13" applyFont="1" applyFill="1" applyBorder="1" applyAlignment="1">
      <alignment vertical="center"/>
    </xf>
    <xf numFmtId="0" fontId="12" fillId="8" borderId="8" xfId="13" applyFont="1" applyFill="1" applyBorder="1" applyAlignment="1">
      <alignment horizontal="left" vertical="center" indent="1"/>
    </xf>
    <xf numFmtId="164" fontId="21" fillId="0" borderId="8" xfId="0" applyNumberFormat="1" applyFont="1" applyBorder="1"/>
    <xf numFmtId="164" fontId="21" fillId="0" borderId="8" xfId="1" applyNumberFormat="1" applyFont="1" applyBorder="1"/>
    <xf numFmtId="0" fontId="12" fillId="6" borderId="8" xfId="13" applyFont="1" applyFill="1" applyBorder="1" applyAlignment="1">
      <alignment vertical="center"/>
    </xf>
    <xf numFmtId="14" fontId="21" fillId="11" borderId="8" xfId="13" applyNumberFormat="1" applyFont="1" applyFill="1" applyBorder="1" applyAlignment="1">
      <alignment vertical="center"/>
    </xf>
    <xf numFmtId="0" fontId="12" fillId="6" borderId="8" xfId="0" applyFont="1" applyFill="1" applyBorder="1"/>
    <xf numFmtId="0" fontId="16" fillId="8" borderId="8" xfId="0" applyFont="1" applyFill="1" applyBorder="1" applyAlignment="1">
      <alignment horizontal="left"/>
    </xf>
    <xf numFmtId="0" fontId="12" fillId="8" borderId="2" xfId="0" applyFont="1" applyFill="1" applyBorder="1"/>
    <xf numFmtId="0" fontId="28" fillId="13" borderId="0" xfId="0" applyFont="1" applyFill="1" applyBorder="1"/>
    <xf numFmtId="0" fontId="28" fillId="14" borderId="0" xfId="0" applyFont="1" applyFill="1" applyBorder="1"/>
    <xf numFmtId="0" fontId="28" fillId="15" borderId="0" xfId="0" applyFont="1" applyFill="1" applyBorder="1"/>
    <xf numFmtId="171" fontId="0" fillId="0" borderId="0" xfId="0" applyNumberFormat="1" applyBorder="1"/>
    <xf numFmtId="0" fontId="29" fillId="0" borderId="0" xfId="0" applyFont="1" applyBorder="1"/>
    <xf numFmtId="172" fontId="0" fillId="0" borderId="0" xfId="0" applyNumberFormat="1" applyBorder="1"/>
    <xf numFmtId="0" fontId="19" fillId="6" borderId="8" xfId="13" applyFont="1" applyFill="1" applyBorder="1" applyAlignment="1">
      <alignment horizontal="left" vertical="center"/>
    </xf>
    <xf numFmtId="0" fontId="21" fillId="6" borderId="10" xfId="0" applyFont="1" applyFill="1" applyAlignment="1">
      <alignment horizontal="center"/>
    </xf>
    <xf numFmtId="0" fontId="15" fillId="6" borderId="10" xfId="0" applyFont="1" applyFill="1"/>
    <xf numFmtId="164" fontId="1" fillId="0" borderId="10" xfId="1" applyNumberFormat="1"/>
    <xf numFmtId="0" fontId="15" fillId="8" borderId="10" xfId="13" applyFont="1" applyFill="1" applyAlignment="1">
      <alignment vertical="center"/>
    </xf>
    <xf numFmtId="0" fontId="15" fillId="6" borderId="10" xfId="13" applyFont="1" applyFill="1" applyAlignment="1">
      <alignment vertical="center"/>
    </xf>
    <xf numFmtId="0" fontId="15" fillId="8" borderId="10" xfId="0" applyFont="1" applyFill="1"/>
    <xf numFmtId="0" fontId="16" fillId="8" borderId="10" xfId="0" applyFont="1" applyFill="1"/>
    <xf numFmtId="9" fontId="15" fillId="8" borderId="10" xfId="3" applyFont="1" applyFill="1"/>
    <xf numFmtId="0" fontId="15" fillId="8" borderId="10" xfId="13" applyFont="1" applyFill="1" applyAlignment="1">
      <alignment horizontal="left" indent="1"/>
    </xf>
    <xf numFmtId="164" fontId="15" fillId="8" borderId="10" xfId="1" applyNumberFormat="1" applyFont="1" applyFill="1"/>
    <xf numFmtId="0" fontId="12" fillId="8" borderId="10" xfId="0" applyFont="1" applyFill="1"/>
    <xf numFmtId="0" fontId="0" fillId="0" borderId="10" xfId="0"/>
    <xf numFmtId="164" fontId="21" fillId="16" borderId="8" xfId="1" applyNumberFormat="1" applyFont="1" applyFill="1" applyBorder="1"/>
    <xf numFmtId="0" fontId="13" fillId="6" borderId="8" xfId="0" applyFont="1" applyFill="1" applyBorder="1"/>
    <xf numFmtId="0" fontId="13" fillId="6" borderId="8" xfId="0" applyFont="1" applyFill="1" applyBorder="1" applyAlignment="1">
      <alignment horizontal="left"/>
    </xf>
    <xf numFmtId="164" fontId="23" fillId="16" borderId="8" xfId="1" applyNumberFormat="1" applyFont="1" applyFill="1" applyBorder="1"/>
    <xf numFmtId="0" fontId="16" fillId="16" borderId="8" xfId="0" applyFont="1" applyFill="1" applyBorder="1" applyAlignment="1">
      <alignment horizontal="left"/>
    </xf>
    <xf numFmtId="164" fontId="1" fillId="0" borderId="10" xfId="0" applyNumberFormat="1" applyFont="1"/>
    <xf numFmtId="170" fontId="21" fillId="11" borderId="10" xfId="13" applyNumberFormat="1" applyFont="1" applyFill="1" applyAlignment="1">
      <alignment horizontal="right" vertical="center"/>
    </xf>
    <xf numFmtId="170" fontId="21" fillId="11" borderId="10" xfId="0" applyNumberFormat="1" applyFont="1" applyFill="1" applyAlignment="1">
      <alignment horizontal="right" vertical="center"/>
    </xf>
    <xf numFmtId="0" fontId="21" fillId="11" borderId="10" xfId="13" applyFont="1" applyFill="1" applyAlignment="1">
      <alignment horizontal="right" vertical="center"/>
    </xf>
    <xf numFmtId="164" fontId="21" fillId="6" borderId="10" xfId="0" applyNumberFormat="1" applyFont="1" applyFill="1"/>
    <xf numFmtId="9" fontId="21" fillId="6" borderId="10" xfId="0" applyNumberFormat="1" applyFont="1" applyFill="1"/>
    <xf numFmtId="0" fontId="21" fillId="6" borderId="10" xfId="0" applyFont="1" applyFill="1"/>
    <xf numFmtId="3" fontId="21" fillId="6" borderId="10" xfId="0" applyNumberFormat="1" applyFont="1" applyFill="1"/>
    <xf numFmtId="165" fontId="21" fillId="6" borderId="10" xfId="0" applyNumberFormat="1" applyFont="1" applyFill="1"/>
    <xf numFmtId="166" fontId="21" fillId="6" borderId="10" xfId="0" applyNumberFormat="1" applyFont="1" applyFill="1" applyAlignment="1">
      <alignment vertical="center"/>
    </xf>
    <xf numFmtId="43" fontId="21" fillId="6" borderId="10" xfId="0" applyNumberFormat="1" applyFont="1" applyFill="1"/>
    <xf numFmtId="164" fontId="21" fillId="6" borderId="10" xfId="1" applyNumberFormat="1" applyFont="1" applyFill="1"/>
    <xf numFmtId="10" fontId="21" fillId="6" borderId="10" xfId="0" applyNumberFormat="1" applyFont="1" applyFill="1" applyAlignment="1">
      <alignment horizontal="center"/>
    </xf>
    <xf numFmtId="44" fontId="21" fillId="6" borderId="10" xfId="0" applyNumberFormat="1" applyFont="1" applyFill="1"/>
    <xf numFmtId="9" fontId="21" fillId="6" borderId="10" xfId="0" applyNumberFormat="1" applyFont="1" applyFill="1" applyAlignment="1">
      <alignment horizontal="center"/>
    </xf>
    <xf numFmtId="168" fontId="22" fillId="6" borderId="10" xfId="0" applyNumberFormat="1" applyFont="1" applyFill="1" applyAlignment="1">
      <alignment horizontal="center" vertical="center"/>
    </xf>
    <xf numFmtId="0" fontId="21" fillId="6" borderId="10" xfId="0" applyFont="1" applyFill="1" applyAlignment="1">
      <alignment horizontal="center" vertical="center"/>
    </xf>
    <xf numFmtId="0" fontId="21" fillId="6" borderId="10" xfId="0" applyFont="1" applyFill="1" applyAlignment="1">
      <alignment horizontal="right" vertical="center"/>
    </xf>
    <xf numFmtId="164" fontId="21" fillId="6" borderId="10" xfId="0" applyNumberFormat="1" applyFont="1" applyFill="1" applyAlignment="1">
      <alignment vertical="center"/>
    </xf>
    <xf numFmtId="164" fontId="21" fillId="9" borderId="9" xfId="0" applyNumberFormat="1" applyFont="1" applyFill="1" applyBorder="1" applyAlignment="1">
      <alignment vertical="center"/>
    </xf>
    <xf numFmtId="164" fontId="21" fillId="3" borderId="10" xfId="0" applyNumberFormat="1" applyFont="1" applyFill="1" applyAlignment="1">
      <alignment horizontal="center"/>
    </xf>
    <xf numFmtId="0" fontId="21" fillId="3" borderId="10" xfId="0" applyFont="1" applyFill="1" applyAlignment="1">
      <alignment horizontal="center"/>
    </xf>
    <xf numFmtId="164" fontId="21" fillId="6" borderId="10" xfId="0" applyNumberFormat="1" applyFont="1" applyFill="1" applyAlignment="1">
      <alignment horizontal="center"/>
    </xf>
    <xf numFmtId="164" fontId="21" fillId="3" borderId="10" xfId="0" applyNumberFormat="1" applyFont="1" applyFill="1" applyAlignment="1">
      <alignment vertical="center"/>
    </xf>
    <xf numFmtId="164" fontId="21" fillId="0" borderId="10" xfId="0" applyNumberFormat="1" applyFont="1"/>
    <xf numFmtId="164" fontId="21" fillId="3" borderId="10" xfId="0" applyNumberFormat="1" applyFont="1" applyFill="1"/>
    <xf numFmtId="43" fontId="21" fillId="3" borderId="10" xfId="0" applyNumberFormat="1" applyFont="1" applyFill="1"/>
    <xf numFmtId="164" fontId="21" fillId="5" borderId="10" xfId="0" applyNumberFormat="1" applyFont="1" applyFill="1" applyAlignment="1">
      <alignment vertical="center"/>
    </xf>
    <xf numFmtId="164" fontId="21" fillId="9" borderId="10" xfId="0" applyNumberFormat="1" applyFont="1" applyFill="1" applyAlignment="1">
      <alignment horizontal="right" vertical="center"/>
    </xf>
    <xf numFmtId="9" fontId="23" fillId="6" borderId="10" xfId="0" applyNumberFormat="1" applyFont="1" applyFill="1"/>
    <xf numFmtId="3" fontId="23" fillId="6" borderId="10" xfId="0" applyNumberFormat="1" applyFont="1" applyFill="1"/>
    <xf numFmtId="164" fontId="23" fillId="6" borderId="10" xfId="0" applyNumberFormat="1" applyFont="1" applyFill="1"/>
    <xf numFmtId="164" fontId="23" fillId="9" borderId="10" xfId="0" applyNumberFormat="1" applyFont="1" applyFill="1"/>
    <xf numFmtId="164" fontId="23" fillId="16" borderId="10" xfId="0" applyNumberFormat="1" applyFont="1" applyFill="1"/>
    <xf numFmtId="164" fontId="23" fillId="3" borderId="10" xfId="0" applyNumberFormat="1" applyFont="1" applyFill="1"/>
    <xf numFmtId="164" fontId="23" fillId="9" borderId="9" xfId="0" applyNumberFormat="1" applyFont="1" applyFill="1" applyBorder="1"/>
    <xf numFmtId="0" fontId="19" fillId="6" borderId="10" xfId="0" applyFont="1" applyFill="1"/>
    <xf numFmtId="164" fontId="17" fillId="3" borderId="10" xfId="0" applyNumberFormat="1" applyFont="1" applyFill="1" applyAlignment="1">
      <alignment vertical="center"/>
    </xf>
    <xf numFmtId="3" fontId="17" fillId="6" borderId="9" xfId="0" applyNumberFormat="1" applyFont="1" applyFill="1" applyBorder="1"/>
    <xf numFmtId="0" fontId="21" fillId="3" borderId="10" xfId="0" applyFont="1" applyFill="1"/>
    <xf numFmtId="164" fontId="21" fillId="16" borderId="10" xfId="0" applyNumberFormat="1" applyFont="1" applyFill="1"/>
    <xf numFmtId="0" fontId="1" fillId="0" borderId="10" xfId="0" applyFont="1"/>
    <xf numFmtId="168" fontId="20" fillId="6" borderId="10" xfId="3" applyNumberFormat="1" applyFont="1" applyFill="1" applyAlignment="1">
      <alignment horizontal="center" vertical="center"/>
    </xf>
    <xf numFmtId="168" fontId="20" fillId="6" borderId="10" xfId="0" applyNumberFormat="1" applyFont="1" applyFill="1" applyAlignment="1">
      <alignment horizontal="center" vertical="center"/>
    </xf>
    <xf numFmtId="0" fontId="19" fillId="6" borderId="10" xfId="13" applyFont="1" applyFill="1" applyAlignment="1">
      <alignment horizontal="center" vertical="center"/>
    </xf>
    <xf numFmtId="0" fontId="19" fillId="6" borderId="10" xfId="0" applyFont="1" applyFill="1" applyAlignment="1">
      <alignment horizontal="center" vertical="center"/>
    </xf>
    <xf numFmtId="0" fontId="19" fillId="6" borderId="10" xfId="13" applyFont="1" applyFill="1" applyAlignment="1">
      <alignment vertical="center"/>
    </xf>
    <xf numFmtId="0" fontId="19" fillId="6" borderId="10" xfId="0" applyFont="1" applyFill="1" applyAlignment="1">
      <alignment vertical="center"/>
    </xf>
    <xf numFmtId="164" fontId="21" fillId="3" borderId="10" xfId="1" applyNumberFormat="1" applyFont="1" applyFill="1"/>
    <xf numFmtId="164" fontId="19" fillId="3" borderId="10" xfId="1" applyNumberFormat="1" applyFont="1" applyFill="1" applyAlignment="1">
      <alignment vertical="center"/>
    </xf>
    <xf numFmtId="164" fontId="19" fillId="3" borderId="10" xfId="0" applyNumberFormat="1" applyFont="1" applyFill="1" applyAlignment="1">
      <alignment vertical="center"/>
    </xf>
    <xf numFmtId="164" fontId="19" fillId="6" borderId="10" xfId="1" applyNumberFormat="1" applyFont="1" applyFill="1" applyAlignment="1">
      <alignment vertical="center"/>
    </xf>
    <xf numFmtId="164" fontId="19" fillId="6" borderId="10" xfId="0" applyNumberFormat="1" applyFont="1" applyFill="1" applyAlignment="1">
      <alignment vertical="center"/>
    </xf>
    <xf numFmtId="164" fontId="19" fillId="3" borderId="10" xfId="0" applyNumberFormat="1" applyFont="1" applyFill="1"/>
    <xf numFmtId="164" fontId="19" fillId="6" borderId="10" xfId="0" applyNumberFormat="1" applyFont="1" applyFill="1"/>
    <xf numFmtId="9" fontId="19" fillId="6" borderId="10" xfId="1" applyNumberFormat="1" applyFont="1" applyFill="1" applyAlignment="1">
      <alignment vertical="center"/>
    </xf>
    <xf numFmtId="9" fontId="19" fillId="6" borderId="10" xfId="0" applyNumberFormat="1" applyFont="1" applyFill="1" applyAlignment="1">
      <alignment vertical="center"/>
    </xf>
    <xf numFmtId="164" fontId="19" fillId="3" borderId="10" xfId="1" applyNumberFormat="1" applyFont="1" applyFill="1"/>
    <xf numFmtId="164" fontId="19" fillId="6" borderId="10" xfId="1" applyNumberFormat="1" applyFont="1" applyFill="1"/>
    <xf numFmtId="43" fontId="19" fillId="6" borderId="10" xfId="1" applyFont="1" applyFill="1"/>
    <xf numFmtId="43" fontId="19" fillId="6" borderId="10" xfId="0" applyNumberFormat="1" applyFont="1" applyFill="1"/>
    <xf numFmtId="164" fontId="21" fillId="5" borderId="10" xfId="1" applyNumberFormat="1" applyFont="1" applyFill="1" applyAlignment="1">
      <alignment vertical="center"/>
    </xf>
    <xf numFmtId="164" fontId="19" fillId="9" borderId="9" xfId="0" applyNumberFormat="1" applyFont="1" applyFill="1" applyBorder="1" applyAlignment="1">
      <alignment vertical="center"/>
    </xf>
    <xf numFmtId="164" fontId="19" fillId="9" borderId="10" xfId="1" applyNumberFormat="1" applyFont="1" applyFill="1" applyAlignment="1">
      <alignment vertical="center"/>
    </xf>
    <xf numFmtId="164" fontId="19" fillId="9" borderId="10" xfId="0" applyNumberFormat="1" applyFont="1" applyFill="1" applyAlignment="1">
      <alignment vertical="center"/>
    </xf>
    <xf numFmtId="9" fontId="21" fillId="6" borderId="10" xfId="1" applyNumberFormat="1" applyFont="1" applyFill="1"/>
    <xf numFmtId="9" fontId="21" fillId="3" borderId="10" xfId="1" applyNumberFormat="1" applyFont="1" applyFill="1"/>
    <xf numFmtId="9" fontId="21" fillId="3" borderId="10" xfId="0" applyNumberFormat="1" applyFont="1" applyFill="1"/>
    <xf numFmtId="168" fontId="19" fillId="6" borderId="10" xfId="0" applyNumberFormat="1" applyFont="1" applyFill="1" applyAlignment="1">
      <alignment vertical="center"/>
    </xf>
    <xf numFmtId="164" fontId="19" fillId="6" borderId="10" xfId="3" applyNumberFormat="1" applyFont="1" applyFill="1" applyAlignment="1">
      <alignment vertical="center"/>
    </xf>
    <xf numFmtId="164" fontId="19" fillId="9" borderId="9" xfId="3" applyNumberFormat="1" applyFont="1" applyFill="1" applyBorder="1" applyAlignment="1">
      <alignment vertical="center"/>
    </xf>
    <xf numFmtId="164" fontId="21" fillId="9" borderId="10" xfId="0" applyNumberFormat="1" applyFont="1" applyFill="1"/>
    <xf numFmtId="164" fontId="19" fillId="9" borderId="10" xfId="3" applyNumberFormat="1" applyFont="1" applyFill="1" applyAlignment="1">
      <alignment vertical="center"/>
    </xf>
    <xf numFmtId="170" fontId="24" fillId="11" borderId="10" xfId="0" applyNumberFormat="1" applyFont="1" applyFill="1" applyAlignment="1">
      <alignment horizontal="right" vertical="center"/>
    </xf>
    <xf numFmtId="0" fontId="21" fillId="11" borderId="10" xfId="0" applyFont="1" applyFill="1" applyAlignment="1">
      <alignment horizontal="right" vertical="center"/>
    </xf>
    <xf numFmtId="0" fontId="24" fillId="6" borderId="10" xfId="0" applyFont="1" applyFill="1" applyAlignment="1">
      <alignment horizontal="center" vertical="center"/>
    </xf>
    <xf numFmtId="164" fontId="24" fillId="3" borderId="10" xfId="0" applyNumberFormat="1" applyFont="1" applyFill="1"/>
    <xf numFmtId="164" fontId="26" fillId="9" borderId="10" xfId="0" applyNumberFormat="1" applyFont="1" applyFill="1" applyAlignment="1">
      <alignment vertical="center"/>
    </xf>
    <xf numFmtId="3" fontId="24" fillId="6" borderId="10" xfId="1" applyNumberFormat="1" applyFont="1" applyFill="1"/>
    <xf numFmtId="164" fontId="26" fillId="6" borderId="10" xfId="0" applyNumberFormat="1" applyFont="1" applyFill="1" applyAlignment="1">
      <alignment vertical="center"/>
    </xf>
    <xf numFmtId="0" fontId="0" fillId="0" borderId="10" xfId="0"/>
    <xf numFmtId="0" fontId="0" fillId="0" borderId="0" xfId="0" applyBorder="1"/>
  </cellXfs>
  <cellStyles count="19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BE196"/>
  <sheetViews>
    <sheetView showGridLines="0" zoomScale="87" zoomScaleNormal="85" workbookViewId="0">
      <pane xSplit="1" ySplit="3" topLeftCell="B4" activePane="bottomRight" state="frozen"/>
      <selection pane="topRight" activeCell="B1" sqref="B1"/>
      <selection pane="bottomLeft" activeCell="A3" sqref="A3"/>
      <selection pane="bottomRight" sqref="A1:XFD1"/>
    </sheetView>
  </sheetViews>
  <sheetFormatPr defaultColWidth="12.6328125" defaultRowHeight="14.5"/>
  <cols>
    <col min="1" max="1" width="33.6328125" customWidth="1"/>
    <col min="2" max="4" width="33.6328125" style="309" customWidth="1"/>
    <col min="5" max="5" width="18.54296875" style="5" bestFit="1" customWidth="1"/>
    <col min="6" max="7" width="11.54296875" bestFit="1" customWidth="1"/>
    <col min="8" max="8" width="10.7265625" style="206" customWidth="1"/>
    <col min="9" max="10" width="18.54296875" style="5" bestFit="1" customWidth="1"/>
    <col min="11" max="13" width="19.26953125" style="5" bestFit="1" customWidth="1"/>
    <col min="14" max="17" width="18.54296875" bestFit="1" customWidth="1"/>
    <col min="27" max="27" width="6.453125" bestFit="1" customWidth="1"/>
    <col min="28" max="28" width="5.6328125" bestFit="1" customWidth="1"/>
  </cols>
  <sheetData>
    <row r="1" spans="1:57" s="309" customFormat="1">
      <c r="E1" s="300"/>
      <c r="I1" s="300"/>
      <c r="J1" s="300"/>
      <c r="K1" s="300"/>
      <c r="L1" s="300"/>
      <c r="M1" s="300"/>
      <c r="N1" s="315"/>
      <c r="O1" s="315"/>
      <c r="P1" s="315"/>
      <c r="Q1" s="315"/>
    </row>
    <row r="2" spans="1:57" s="216" customFormat="1">
      <c r="A2" s="212" t="s">
        <v>0</v>
      </c>
      <c r="B2" s="213"/>
      <c r="C2" s="213"/>
      <c r="D2" s="213"/>
      <c r="E2" s="214">
        <v>45657</v>
      </c>
      <c r="F2" s="214">
        <v>46022</v>
      </c>
      <c r="G2" s="214">
        <v>46112</v>
      </c>
      <c r="H2" s="214">
        <v>46203</v>
      </c>
      <c r="I2" s="214">
        <v>46022</v>
      </c>
      <c r="J2" s="214">
        <v>46112</v>
      </c>
      <c r="K2" s="214">
        <v>46203</v>
      </c>
      <c r="L2" s="214">
        <v>46295</v>
      </c>
      <c r="M2" s="214">
        <v>46387</v>
      </c>
      <c r="N2" s="316">
        <v>46477</v>
      </c>
      <c r="O2" s="316">
        <v>46568</v>
      </c>
      <c r="P2" s="316">
        <v>46660</v>
      </c>
      <c r="Q2" s="317">
        <v>46752</v>
      </c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</row>
    <row r="3" spans="1:57" s="219" customFormat="1">
      <c r="A3" s="68"/>
      <c r="B3" s="217"/>
      <c r="C3" s="217"/>
      <c r="D3" s="217"/>
      <c r="E3" s="218" t="s">
        <v>1</v>
      </c>
      <c r="F3" s="68"/>
      <c r="G3" s="68"/>
      <c r="H3" s="218"/>
      <c r="I3" s="218" t="s">
        <v>2</v>
      </c>
      <c r="J3" s="68"/>
      <c r="K3" s="68"/>
      <c r="L3" s="68"/>
      <c r="M3" s="68"/>
      <c r="N3" s="318"/>
      <c r="O3" s="318"/>
      <c r="P3" s="318"/>
      <c r="Q3" s="318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</row>
    <row r="4" spans="1:57" s="2" customFormat="1">
      <c r="A4" s="25"/>
      <c r="B4" s="302"/>
      <c r="C4" s="302"/>
      <c r="D4" s="302"/>
      <c r="E4" s="26"/>
      <c r="F4" s="68"/>
      <c r="G4" s="68"/>
      <c r="H4" s="218"/>
      <c r="I4" s="28"/>
      <c r="J4" s="29"/>
      <c r="K4" s="29"/>
      <c r="L4" s="29"/>
      <c r="M4" s="26"/>
      <c r="N4" s="319"/>
      <c r="O4" s="319"/>
      <c r="P4" s="319"/>
      <c r="Q4" s="319"/>
      <c r="R4" s="22" t="s">
        <v>47</v>
      </c>
      <c r="S4" s="22"/>
      <c r="T4" s="22"/>
      <c r="U4" s="22"/>
      <c r="V4" s="22"/>
      <c r="W4" s="22"/>
      <c r="X4" s="22"/>
    </row>
    <row r="5" spans="1:57">
      <c r="A5" s="22"/>
      <c r="B5" s="299"/>
      <c r="C5" s="299"/>
      <c r="D5" s="299"/>
      <c r="E5" s="30"/>
      <c r="F5" s="229"/>
      <c r="G5" s="229"/>
      <c r="H5" s="220"/>
      <c r="I5" s="30"/>
      <c r="J5" s="30"/>
      <c r="K5" s="30"/>
      <c r="L5" s="30"/>
      <c r="M5" s="30"/>
      <c r="N5" s="320"/>
      <c r="O5" s="320"/>
      <c r="P5" s="320"/>
      <c r="Q5" s="320"/>
      <c r="R5" s="22"/>
      <c r="S5" s="22"/>
      <c r="T5" s="22"/>
      <c r="U5" s="22"/>
      <c r="V5" s="22"/>
      <c r="W5" s="22"/>
      <c r="X5" s="22"/>
    </row>
    <row r="6" spans="1:57">
      <c r="A6" s="24" t="s">
        <v>48</v>
      </c>
      <c r="B6" s="303"/>
      <c r="C6" s="303"/>
      <c r="D6" s="303"/>
      <c r="E6" s="26"/>
      <c r="F6" s="229"/>
      <c r="G6" s="229"/>
      <c r="H6" s="220"/>
      <c r="I6" s="26"/>
      <c r="J6" s="26"/>
      <c r="K6" s="26"/>
      <c r="L6" s="26"/>
      <c r="M6" s="26"/>
      <c r="N6" s="319"/>
      <c r="O6" s="319"/>
      <c r="P6" s="319"/>
      <c r="Q6" s="319"/>
      <c r="R6" s="22"/>
      <c r="S6" s="22"/>
      <c r="T6" s="22"/>
      <c r="U6" s="22"/>
      <c r="V6" s="22"/>
      <c r="W6" s="22"/>
      <c r="X6" s="26"/>
    </row>
    <row r="7" spans="1:57">
      <c r="A7" s="24" t="s">
        <v>48</v>
      </c>
      <c r="B7" s="303"/>
      <c r="C7" s="303"/>
      <c r="D7" s="303"/>
      <c r="E7" s="26"/>
      <c r="F7" s="238"/>
      <c r="G7" s="238"/>
      <c r="H7" s="220"/>
      <c r="I7" s="26"/>
      <c r="J7" s="26"/>
      <c r="K7" s="26"/>
      <c r="L7" s="26"/>
      <c r="M7" s="26"/>
      <c r="N7" s="319"/>
      <c r="O7" s="319"/>
      <c r="P7" s="319"/>
      <c r="Q7" s="319"/>
      <c r="R7" s="22"/>
      <c r="S7" s="22"/>
      <c r="T7" s="22"/>
      <c r="U7" s="22"/>
      <c r="V7" s="22"/>
      <c r="W7" s="22"/>
      <c r="X7" s="26"/>
    </row>
    <row r="8" spans="1:57">
      <c r="A8" s="24" t="s">
        <v>48</v>
      </c>
      <c r="B8" s="303"/>
      <c r="C8" s="303"/>
      <c r="D8" s="303"/>
      <c r="E8" s="26"/>
      <c r="F8" s="238"/>
      <c r="G8" s="238"/>
      <c r="H8" s="220"/>
      <c r="I8" s="26"/>
      <c r="J8" s="26"/>
      <c r="K8" s="26"/>
      <c r="L8" s="26"/>
      <c r="M8" s="26"/>
      <c r="N8" s="319"/>
      <c r="O8" s="319"/>
      <c r="P8" s="319"/>
      <c r="Q8" s="319"/>
      <c r="R8" s="22"/>
      <c r="S8" s="22"/>
      <c r="T8" s="22"/>
      <c r="U8" s="22"/>
      <c r="V8" s="22"/>
      <c r="W8" s="22"/>
      <c r="X8" s="22"/>
    </row>
    <row r="9" spans="1:57">
      <c r="A9" s="22"/>
      <c r="B9" s="299"/>
      <c r="C9" s="299"/>
      <c r="D9" s="299"/>
      <c r="E9" s="22"/>
      <c r="F9" s="238"/>
      <c r="G9" s="238"/>
      <c r="H9" s="220"/>
      <c r="I9" s="22"/>
      <c r="J9" s="22"/>
      <c r="K9" s="22"/>
      <c r="L9" s="22"/>
      <c r="M9" s="22"/>
      <c r="N9" s="321"/>
      <c r="O9" s="321"/>
      <c r="P9" s="321"/>
      <c r="Q9" s="321"/>
      <c r="R9" s="22"/>
      <c r="S9" s="22"/>
      <c r="T9" s="22"/>
      <c r="U9" s="22"/>
      <c r="V9" s="22"/>
      <c r="W9" s="22"/>
      <c r="X9" s="31"/>
    </row>
    <row r="10" spans="1:57">
      <c r="A10" s="22"/>
      <c r="B10" s="299"/>
      <c r="C10" s="299"/>
      <c r="D10" s="299"/>
      <c r="E10" s="30"/>
      <c r="F10" s="238"/>
      <c r="G10" s="238"/>
      <c r="H10" s="220"/>
      <c r="I10" s="30"/>
      <c r="J10" s="30"/>
      <c r="K10" s="30"/>
      <c r="L10" s="30"/>
      <c r="M10" s="30"/>
      <c r="N10" s="320"/>
      <c r="O10" s="320"/>
      <c r="P10" s="320"/>
      <c r="Q10" s="320"/>
      <c r="R10" s="22"/>
      <c r="S10" s="22"/>
      <c r="T10" s="22"/>
      <c r="U10" s="22"/>
      <c r="V10" s="22"/>
      <c r="W10" s="22"/>
      <c r="X10" s="22"/>
    </row>
    <row r="11" spans="1:57">
      <c r="A11" s="24" t="s">
        <v>48</v>
      </c>
      <c r="B11" s="303"/>
      <c r="C11" s="303"/>
      <c r="D11" s="303"/>
      <c r="E11" s="26"/>
      <c r="F11" s="238"/>
      <c r="G11" s="238"/>
      <c r="H11" s="242"/>
      <c r="I11" s="26"/>
      <c r="J11" s="26"/>
      <c r="K11" s="26"/>
      <c r="L11" s="26"/>
      <c r="M11" s="26"/>
      <c r="N11" s="319"/>
      <c r="O11" s="319"/>
      <c r="P11" s="319"/>
      <c r="Q11" s="319"/>
      <c r="R11" s="22"/>
      <c r="S11" s="22"/>
      <c r="T11" s="22"/>
      <c r="U11" s="22"/>
      <c r="V11" s="22"/>
      <c r="W11" s="22"/>
      <c r="X11" s="22"/>
    </row>
    <row r="12" spans="1:57">
      <c r="A12" s="24" t="s">
        <v>48</v>
      </c>
      <c r="B12" s="303"/>
      <c r="C12" s="303"/>
      <c r="D12" s="303"/>
      <c r="E12" s="26"/>
      <c r="F12" s="238"/>
      <c r="G12" s="238"/>
      <c r="H12" s="220"/>
      <c r="I12" s="26"/>
      <c r="J12" s="26"/>
      <c r="K12" s="26"/>
      <c r="L12" s="26"/>
      <c r="M12" s="26"/>
      <c r="N12" s="319"/>
      <c r="O12" s="319"/>
      <c r="P12" s="319"/>
      <c r="Q12" s="319"/>
      <c r="R12" s="22"/>
      <c r="S12" s="22"/>
      <c r="T12" s="22"/>
      <c r="U12" s="22"/>
      <c r="V12" s="22"/>
      <c r="W12" s="22"/>
      <c r="X12" s="31"/>
    </row>
    <row r="13" spans="1:57">
      <c r="A13" s="24" t="s">
        <v>48</v>
      </c>
      <c r="B13" s="303"/>
      <c r="C13" s="303"/>
      <c r="D13" s="303"/>
      <c r="E13" s="26"/>
      <c r="F13" s="238"/>
      <c r="G13" s="238"/>
      <c r="H13" s="246"/>
      <c r="I13" s="26"/>
      <c r="J13" s="26"/>
      <c r="K13" s="26"/>
      <c r="L13" s="26"/>
      <c r="M13" s="26"/>
      <c r="N13" s="319"/>
      <c r="O13" s="319"/>
      <c r="P13" s="319"/>
      <c r="Q13" s="319"/>
      <c r="R13" s="22"/>
      <c r="S13" s="22"/>
      <c r="T13" s="22"/>
      <c r="U13" s="22"/>
      <c r="V13" s="22"/>
      <c r="W13" s="22"/>
      <c r="X13" s="22"/>
    </row>
    <row r="14" spans="1:57">
      <c r="A14" s="24" t="s">
        <v>48</v>
      </c>
      <c r="B14" s="303"/>
      <c r="C14" s="303"/>
      <c r="D14" s="303"/>
      <c r="E14" s="26"/>
      <c r="F14" s="220"/>
      <c r="G14" s="220"/>
      <c r="H14" s="246"/>
      <c r="I14" s="26"/>
      <c r="J14" s="26"/>
      <c r="K14" s="26"/>
      <c r="L14" s="26"/>
      <c r="M14" s="26"/>
      <c r="N14" s="319"/>
      <c r="O14" s="319"/>
      <c r="P14" s="319"/>
      <c r="Q14" s="319"/>
      <c r="R14" s="22"/>
      <c r="S14" s="22"/>
      <c r="T14" s="22"/>
      <c r="U14" s="22"/>
      <c r="V14" s="22"/>
      <c r="W14" s="22"/>
      <c r="X14" s="22"/>
    </row>
    <row r="15" spans="1:57">
      <c r="A15" s="24" t="s">
        <v>48</v>
      </c>
      <c r="B15" s="303"/>
      <c r="C15" s="303"/>
      <c r="D15" s="303"/>
      <c r="E15" s="26"/>
      <c r="F15" s="247"/>
      <c r="G15" s="247"/>
      <c r="H15" s="220"/>
      <c r="I15" s="26"/>
      <c r="J15" s="26"/>
      <c r="K15" s="26"/>
      <c r="L15" s="26"/>
      <c r="M15" s="26"/>
      <c r="N15" s="319"/>
      <c r="O15" s="319"/>
      <c r="P15" s="319"/>
      <c r="Q15" s="319"/>
      <c r="R15" s="22"/>
      <c r="S15" s="22"/>
      <c r="T15" s="22"/>
      <c r="U15" s="22"/>
      <c r="V15" s="22"/>
      <c r="W15" s="22"/>
      <c r="X15" s="22"/>
    </row>
    <row r="16" spans="1:57">
      <c r="A16" s="24" t="s">
        <v>48</v>
      </c>
      <c r="B16" s="303"/>
      <c r="C16" s="303"/>
      <c r="D16" s="303"/>
      <c r="E16" s="26"/>
      <c r="F16" s="247"/>
      <c r="G16" s="247"/>
      <c r="H16" s="220"/>
      <c r="I16" s="26"/>
      <c r="J16" s="26"/>
      <c r="K16" s="26"/>
      <c r="L16" s="26"/>
      <c r="M16" s="26"/>
      <c r="N16" s="319"/>
      <c r="O16" s="319"/>
      <c r="P16" s="319"/>
      <c r="Q16" s="319"/>
      <c r="R16" s="22"/>
      <c r="S16" s="22"/>
      <c r="T16" s="22"/>
      <c r="U16" s="22"/>
      <c r="V16" s="22"/>
      <c r="W16" s="22"/>
      <c r="X16" s="22"/>
    </row>
    <row r="17" spans="1:24">
      <c r="A17" s="32" t="s">
        <v>48</v>
      </c>
      <c r="B17" s="304"/>
      <c r="C17" s="304"/>
      <c r="D17" s="304"/>
      <c r="E17" s="26"/>
      <c r="F17" s="247"/>
      <c r="G17" s="247"/>
      <c r="H17" s="220"/>
      <c r="I17" s="26"/>
      <c r="J17" s="26"/>
      <c r="K17" s="26"/>
      <c r="L17" s="26"/>
      <c r="M17" s="26"/>
      <c r="N17" s="319"/>
      <c r="O17" s="319"/>
      <c r="P17" s="319"/>
      <c r="Q17" s="319"/>
      <c r="R17" s="22"/>
      <c r="S17" s="22"/>
      <c r="T17" s="22"/>
      <c r="U17" s="22"/>
      <c r="V17" s="22"/>
      <c r="W17" s="22"/>
      <c r="X17" s="33"/>
    </row>
    <row r="18" spans="1:24">
      <c r="A18" s="32" t="s">
        <v>48</v>
      </c>
      <c r="B18" s="304"/>
      <c r="C18" s="304"/>
      <c r="D18" s="304"/>
      <c r="E18" s="26"/>
      <c r="F18" s="247"/>
      <c r="G18" s="247"/>
      <c r="H18" s="248"/>
      <c r="I18" s="26"/>
      <c r="J18" s="26"/>
      <c r="K18" s="26"/>
      <c r="L18" s="26"/>
      <c r="M18" s="26"/>
      <c r="N18" s="319"/>
      <c r="O18" s="319"/>
      <c r="P18" s="319"/>
      <c r="Q18" s="319"/>
      <c r="R18" s="22"/>
      <c r="S18" s="22"/>
      <c r="T18" s="22"/>
      <c r="U18" s="22"/>
      <c r="V18" s="22"/>
      <c r="W18" s="22"/>
      <c r="X18" s="33"/>
    </row>
    <row r="19" spans="1:24" s="9" customFormat="1">
      <c r="A19" s="22" t="s">
        <v>48</v>
      </c>
      <c r="B19" s="299"/>
      <c r="C19" s="299"/>
      <c r="D19" s="299"/>
      <c r="E19" s="34"/>
      <c r="F19" s="247"/>
      <c r="G19" s="247"/>
      <c r="H19" s="248"/>
      <c r="I19" s="34"/>
      <c r="J19" s="34"/>
      <c r="K19" s="34"/>
      <c r="L19" s="34"/>
      <c r="M19" s="34"/>
      <c r="N19" s="322"/>
      <c r="O19" s="322"/>
      <c r="P19" s="322"/>
      <c r="Q19" s="322"/>
      <c r="R19" s="22"/>
      <c r="S19" s="22"/>
      <c r="T19" s="22"/>
      <c r="U19" s="22"/>
      <c r="V19" s="22"/>
      <c r="W19" s="22"/>
      <c r="X19" s="22"/>
    </row>
    <row r="20" spans="1:24">
      <c r="A20" s="22"/>
      <c r="B20" s="299"/>
      <c r="C20" s="299"/>
      <c r="D20" s="299"/>
      <c r="E20" s="22"/>
      <c r="F20" s="247"/>
      <c r="G20" s="247"/>
      <c r="H20" s="242"/>
      <c r="I20" s="22"/>
      <c r="J20" s="22"/>
      <c r="K20" s="22"/>
      <c r="L20" s="22"/>
      <c r="M20" s="22"/>
      <c r="N20" s="321"/>
      <c r="O20" s="321"/>
      <c r="P20" s="321"/>
      <c r="Q20" s="321"/>
      <c r="R20" s="22"/>
      <c r="S20" s="22"/>
      <c r="T20" s="22"/>
      <c r="U20" s="22"/>
      <c r="V20" s="22"/>
      <c r="W20" s="22"/>
      <c r="X20" s="22"/>
    </row>
    <row r="21" spans="1:24">
      <c r="A21" s="22"/>
      <c r="B21" s="299"/>
      <c r="C21" s="299"/>
      <c r="D21" s="299"/>
      <c r="E21" s="30"/>
      <c r="F21" s="238"/>
      <c r="G21" s="238"/>
      <c r="H21" s="220"/>
      <c r="I21" s="30"/>
      <c r="J21" s="30"/>
      <c r="K21" s="30"/>
      <c r="L21" s="30"/>
      <c r="M21" s="30"/>
      <c r="N21" s="320"/>
      <c r="O21" s="320"/>
      <c r="P21" s="320"/>
      <c r="Q21" s="320"/>
      <c r="R21" s="22"/>
      <c r="S21" s="22"/>
      <c r="T21" s="22"/>
      <c r="U21" s="22"/>
      <c r="V21" s="22"/>
      <c r="W21" s="22"/>
      <c r="X21" s="22"/>
    </row>
    <row r="22" spans="1:24">
      <c r="A22" s="24" t="s">
        <v>48</v>
      </c>
      <c r="B22" s="303"/>
      <c r="C22" s="303"/>
      <c r="D22" s="303"/>
      <c r="E22" s="26"/>
      <c r="F22" s="242"/>
      <c r="G22" s="242"/>
      <c r="H22" s="222"/>
      <c r="I22" s="26"/>
      <c r="J22" s="26"/>
      <c r="K22" s="26"/>
      <c r="L22" s="26"/>
      <c r="M22" s="26"/>
      <c r="N22" s="319"/>
      <c r="O22" s="319"/>
      <c r="P22" s="319"/>
      <c r="Q22" s="319"/>
      <c r="R22" s="22"/>
      <c r="S22" s="22"/>
      <c r="T22" s="22"/>
      <c r="U22" s="22"/>
      <c r="V22" s="22"/>
      <c r="W22" s="22"/>
      <c r="X22" s="22"/>
    </row>
    <row r="23" spans="1:24">
      <c r="A23" s="24" t="s">
        <v>48</v>
      </c>
      <c r="B23" s="303"/>
      <c r="C23" s="303"/>
      <c r="D23" s="303"/>
      <c r="E23" s="26"/>
      <c r="F23" s="220"/>
      <c r="G23" s="220"/>
      <c r="H23" s="242"/>
      <c r="I23" s="26"/>
      <c r="J23" s="26"/>
      <c r="K23" s="26"/>
      <c r="L23" s="26"/>
      <c r="M23" s="26"/>
      <c r="N23" s="319"/>
      <c r="O23" s="319"/>
      <c r="P23" s="319"/>
      <c r="Q23" s="319"/>
      <c r="R23" s="22"/>
      <c r="S23" s="22"/>
      <c r="T23" s="22"/>
      <c r="U23" s="22"/>
      <c r="V23" s="22"/>
      <c r="W23" s="22"/>
      <c r="X23" s="22"/>
    </row>
    <row r="24" spans="1:24">
      <c r="A24" s="24" t="s">
        <v>48</v>
      </c>
      <c r="B24" s="303"/>
      <c r="C24" s="303"/>
      <c r="D24" s="303"/>
      <c r="E24" s="26"/>
      <c r="F24" s="238"/>
      <c r="G24" s="238"/>
      <c r="H24" s="242"/>
      <c r="I24" s="26"/>
      <c r="J24" s="26"/>
      <c r="K24" s="26"/>
      <c r="L24" s="26"/>
      <c r="M24" s="26"/>
      <c r="N24" s="319"/>
      <c r="O24" s="319"/>
      <c r="P24" s="319"/>
      <c r="Q24" s="319"/>
      <c r="R24" s="22"/>
      <c r="S24" s="22"/>
      <c r="T24" s="22"/>
      <c r="U24" s="22"/>
      <c r="V24" s="22"/>
      <c r="W24" s="22"/>
      <c r="X24" s="22"/>
    </row>
    <row r="25" spans="1:24">
      <c r="A25" s="22"/>
      <c r="B25" s="299"/>
      <c r="C25" s="299"/>
      <c r="D25" s="299"/>
      <c r="E25" s="22"/>
      <c r="F25" s="238"/>
      <c r="G25" s="238"/>
      <c r="H25" s="242"/>
      <c r="I25" s="22"/>
      <c r="J25" s="22"/>
      <c r="K25" s="22"/>
      <c r="L25" s="22"/>
      <c r="M25" s="22"/>
      <c r="N25" s="321"/>
      <c r="O25" s="321"/>
      <c r="P25" s="321"/>
      <c r="Q25" s="321"/>
      <c r="R25" s="22"/>
      <c r="S25" s="22"/>
      <c r="T25" s="22"/>
      <c r="U25" s="22"/>
      <c r="V25" s="22"/>
      <c r="W25" s="22"/>
      <c r="X25" s="22"/>
    </row>
    <row r="26" spans="1:24">
      <c r="A26" s="22"/>
      <c r="B26" s="299"/>
      <c r="C26" s="299"/>
      <c r="D26" s="299"/>
      <c r="E26" s="30"/>
      <c r="F26" s="238"/>
      <c r="G26" s="238"/>
      <c r="H26" s="242"/>
      <c r="I26" s="30"/>
      <c r="J26" s="30"/>
      <c r="K26" s="30"/>
      <c r="L26" s="30"/>
      <c r="M26" s="30"/>
      <c r="N26" s="320"/>
      <c r="O26" s="320"/>
      <c r="P26" s="320"/>
      <c r="Q26" s="320"/>
      <c r="R26" s="22"/>
      <c r="S26" s="22"/>
      <c r="T26" s="22"/>
      <c r="U26" s="22"/>
      <c r="V26" s="22"/>
      <c r="W26" s="22"/>
      <c r="X26" s="22"/>
    </row>
    <row r="27" spans="1:24">
      <c r="A27" s="24" t="s">
        <v>48</v>
      </c>
      <c r="B27" s="303"/>
      <c r="C27" s="303"/>
      <c r="D27" s="303"/>
      <c r="E27" s="26"/>
      <c r="F27" s="238"/>
      <c r="G27" s="238"/>
      <c r="H27" s="242"/>
      <c r="I27" s="26"/>
      <c r="J27" s="26"/>
      <c r="K27" s="26"/>
      <c r="L27" s="26"/>
      <c r="M27" s="26"/>
      <c r="N27" s="319"/>
      <c r="O27" s="319"/>
      <c r="P27" s="319"/>
      <c r="Q27" s="319"/>
      <c r="R27" s="22"/>
      <c r="S27" s="22"/>
      <c r="T27" s="22"/>
      <c r="U27" s="22"/>
      <c r="V27" s="22"/>
      <c r="W27" s="22"/>
      <c r="X27" s="22"/>
    </row>
    <row r="28" spans="1:24">
      <c r="A28" s="35" t="s">
        <v>48</v>
      </c>
      <c r="B28" s="305"/>
      <c r="C28" s="305"/>
      <c r="D28" s="305"/>
      <c r="E28" s="26"/>
      <c r="F28" s="238"/>
      <c r="G28" s="238"/>
      <c r="H28" s="242"/>
      <c r="I28" s="26"/>
      <c r="J28" s="26"/>
      <c r="K28" s="26"/>
      <c r="L28" s="26"/>
      <c r="M28" s="26"/>
      <c r="N28" s="319"/>
      <c r="O28" s="319"/>
      <c r="P28" s="319"/>
      <c r="Q28" s="319"/>
      <c r="R28" s="22"/>
      <c r="S28" s="22"/>
      <c r="T28" s="22"/>
      <c r="U28" s="22"/>
      <c r="V28" s="22"/>
      <c r="W28" s="22"/>
      <c r="X28" s="22"/>
    </row>
    <row r="29" spans="1:24">
      <c r="A29" s="24" t="s">
        <v>48</v>
      </c>
      <c r="B29" s="303"/>
      <c r="C29" s="303"/>
      <c r="D29" s="303"/>
      <c r="E29" s="26"/>
      <c r="F29" s="238"/>
      <c r="G29" s="238"/>
      <c r="H29" s="242"/>
      <c r="I29" s="26"/>
      <c r="J29" s="26"/>
      <c r="K29" s="26"/>
      <c r="L29" s="26"/>
      <c r="M29" s="26"/>
      <c r="N29" s="319"/>
      <c r="O29" s="319"/>
      <c r="P29" s="319"/>
      <c r="Q29" s="319"/>
      <c r="R29" s="22"/>
      <c r="S29" s="22"/>
      <c r="T29" s="22"/>
      <c r="U29" s="22"/>
      <c r="V29" s="22"/>
      <c r="W29" s="22"/>
      <c r="X29" s="22"/>
    </row>
    <row r="30" spans="1:24">
      <c r="A30" s="22"/>
      <c r="B30" s="299"/>
      <c r="C30" s="299"/>
      <c r="D30" s="299"/>
      <c r="E30" s="36"/>
      <c r="F30" s="242"/>
      <c r="G30" s="242"/>
      <c r="H30" s="242"/>
      <c r="I30" s="36"/>
      <c r="J30" s="36"/>
      <c r="K30" s="36"/>
      <c r="L30" s="36"/>
      <c r="M30" s="36"/>
      <c r="N30" s="323"/>
      <c r="O30" s="323"/>
      <c r="P30" s="323"/>
      <c r="Q30" s="323"/>
      <c r="R30" s="22"/>
      <c r="S30" s="22"/>
      <c r="T30" s="22"/>
      <c r="U30" s="22"/>
      <c r="V30" s="22"/>
      <c r="W30" s="22"/>
      <c r="X30" s="22"/>
    </row>
    <row r="31" spans="1:24">
      <c r="A31" s="22"/>
      <c r="B31" s="299"/>
      <c r="C31" s="299"/>
      <c r="D31" s="299"/>
      <c r="E31" s="30"/>
      <c r="F31" s="238"/>
      <c r="G31" s="238"/>
      <c r="H31" s="242"/>
      <c r="I31" s="30"/>
      <c r="J31" s="30"/>
      <c r="K31" s="30"/>
      <c r="L31" s="30"/>
      <c r="M31" s="30"/>
      <c r="N31" s="320"/>
      <c r="O31" s="320"/>
      <c r="P31" s="320"/>
      <c r="Q31" s="320"/>
      <c r="R31" s="22"/>
      <c r="S31" s="22"/>
      <c r="T31" s="22"/>
      <c r="U31" s="22"/>
      <c r="V31" s="22"/>
      <c r="W31" s="22"/>
      <c r="X31" s="22"/>
    </row>
    <row r="32" spans="1:24">
      <c r="A32" s="24" t="s">
        <v>48</v>
      </c>
      <c r="B32" s="303"/>
      <c r="C32" s="303"/>
      <c r="D32" s="303"/>
      <c r="E32" s="26"/>
      <c r="F32" s="252"/>
      <c r="G32" s="252"/>
      <c r="H32" s="242"/>
      <c r="I32" s="26"/>
      <c r="J32" s="26"/>
      <c r="K32" s="26"/>
      <c r="L32" s="26"/>
      <c r="M32" s="26"/>
      <c r="N32" s="319"/>
      <c r="O32" s="319"/>
      <c r="P32" s="319"/>
      <c r="Q32" s="319"/>
      <c r="R32" s="22"/>
      <c r="S32" s="22"/>
      <c r="T32" s="22"/>
      <c r="U32" s="22"/>
      <c r="V32" s="22"/>
      <c r="W32" s="22"/>
      <c r="X32" s="22"/>
    </row>
    <row r="33" spans="1:24">
      <c r="A33" s="24" t="s">
        <v>48</v>
      </c>
      <c r="B33" s="303"/>
      <c r="C33" s="303"/>
      <c r="D33" s="303"/>
      <c r="E33" s="26"/>
      <c r="F33" s="252"/>
      <c r="G33" s="252"/>
      <c r="H33" s="242"/>
      <c r="I33" s="26"/>
      <c r="J33" s="26"/>
      <c r="K33" s="26"/>
      <c r="L33" s="26"/>
      <c r="M33" s="26"/>
      <c r="N33" s="319"/>
      <c r="O33" s="319"/>
      <c r="P33" s="319"/>
      <c r="Q33" s="319"/>
      <c r="R33" s="22"/>
      <c r="S33" s="22"/>
      <c r="T33" s="22"/>
      <c r="U33" s="22"/>
      <c r="V33" s="22"/>
      <c r="W33" s="22"/>
      <c r="X33" s="22"/>
    </row>
    <row r="34" spans="1:24">
      <c r="A34" s="24" t="s">
        <v>48</v>
      </c>
      <c r="B34" s="303"/>
      <c r="C34" s="303"/>
      <c r="D34" s="303"/>
      <c r="E34" s="26"/>
      <c r="F34" s="252"/>
      <c r="G34" s="252"/>
      <c r="H34" s="248"/>
      <c r="I34" s="26"/>
      <c r="J34" s="26"/>
      <c r="K34" s="26"/>
      <c r="L34" s="26"/>
      <c r="M34" s="26"/>
      <c r="N34" s="319"/>
      <c r="O34" s="319"/>
      <c r="P34" s="319"/>
      <c r="Q34" s="319"/>
      <c r="R34" s="22"/>
      <c r="S34" s="22"/>
      <c r="T34" s="22"/>
      <c r="U34" s="22"/>
      <c r="V34" s="22"/>
      <c r="W34" s="22"/>
      <c r="X34" s="22"/>
    </row>
    <row r="35" spans="1:24">
      <c r="A35" s="22"/>
      <c r="B35" s="299"/>
      <c r="C35" s="299"/>
      <c r="D35" s="299"/>
      <c r="E35" s="26"/>
      <c r="F35" s="220"/>
      <c r="G35" s="220"/>
      <c r="H35" s="242"/>
      <c r="I35" s="22"/>
      <c r="J35" s="22"/>
      <c r="K35" s="22"/>
      <c r="L35" s="22"/>
      <c r="M35" s="22"/>
      <c r="N35" s="321"/>
      <c r="O35" s="321"/>
      <c r="P35" s="321"/>
      <c r="Q35" s="321"/>
      <c r="R35" s="22"/>
      <c r="S35" s="22"/>
      <c r="T35" s="22"/>
      <c r="U35" s="22"/>
      <c r="V35" s="22"/>
      <c r="W35" s="22"/>
      <c r="X35" s="22"/>
    </row>
    <row r="36" spans="1:24">
      <c r="A36" s="22"/>
      <c r="B36" s="299"/>
      <c r="C36" s="299"/>
      <c r="D36" s="299"/>
      <c r="E36" s="26"/>
      <c r="F36" s="220"/>
      <c r="G36" s="220"/>
      <c r="H36" s="220"/>
      <c r="I36" s="22"/>
      <c r="J36" s="22"/>
      <c r="K36" s="22"/>
      <c r="L36" s="22"/>
      <c r="M36" s="22"/>
      <c r="N36" s="321"/>
      <c r="O36" s="321"/>
      <c r="P36" s="321"/>
      <c r="Q36" s="321"/>
      <c r="R36" s="22"/>
      <c r="S36" s="22"/>
      <c r="T36" s="22"/>
      <c r="U36" s="22"/>
      <c r="V36" s="22"/>
      <c r="W36" s="22"/>
      <c r="X36" s="22"/>
    </row>
    <row r="37" spans="1:24" s="9" customFormat="1">
      <c r="A37" s="22" t="s">
        <v>48</v>
      </c>
      <c r="B37" s="299"/>
      <c r="C37" s="299"/>
      <c r="D37" s="299"/>
      <c r="E37" s="26"/>
      <c r="F37" s="220"/>
      <c r="G37" s="220"/>
      <c r="H37" s="255"/>
      <c r="I37" s="26"/>
      <c r="J37" s="26"/>
      <c r="K37" s="26"/>
      <c r="L37" s="26"/>
      <c r="M37" s="26"/>
      <c r="N37" s="319"/>
      <c r="O37" s="319"/>
      <c r="P37" s="319"/>
      <c r="Q37" s="319"/>
      <c r="R37" s="22"/>
      <c r="S37" s="22"/>
      <c r="T37" s="22"/>
      <c r="U37" s="22"/>
      <c r="V37" s="22"/>
      <c r="W37" s="22"/>
      <c r="X37" s="22"/>
    </row>
    <row r="38" spans="1:24" s="9" customFormat="1">
      <c r="A38" s="22" t="s">
        <v>48</v>
      </c>
      <c r="B38" s="299"/>
      <c r="C38" s="299"/>
      <c r="D38" s="299"/>
      <c r="E38" s="26"/>
      <c r="F38" s="220"/>
      <c r="G38" s="220"/>
      <c r="H38" s="255"/>
      <c r="I38" s="26"/>
      <c r="J38" s="26"/>
      <c r="K38" s="26"/>
      <c r="L38" s="26"/>
      <c r="M38" s="26"/>
      <c r="N38" s="319"/>
      <c r="O38" s="319"/>
      <c r="P38" s="319"/>
      <c r="Q38" s="319"/>
      <c r="R38" s="22"/>
      <c r="S38" s="22"/>
      <c r="T38" s="22"/>
      <c r="U38" s="22"/>
      <c r="V38" s="22"/>
      <c r="W38" s="22"/>
      <c r="X38" s="22"/>
    </row>
    <row r="39" spans="1:24">
      <c r="A39" s="22"/>
      <c r="B39" s="299"/>
      <c r="C39" s="299"/>
      <c r="D39" s="299"/>
      <c r="E39" s="22"/>
      <c r="F39" s="220"/>
      <c r="G39" s="220"/>
      <c r="H39" s="255"/>
      <c r="I39" s="22"/>
      <c r="J39" s="22"/>
      <c r="K39" s="22"/>
      <c r="L39" s="22"/>
      <c r="M39" s="37"/>
      <c r="N39" s="298"/>
      <c r="O39" s="298"/>
      <c r="P39" s="298"/>
      <c r="Q39" s="298"/>
      <c r="R39" s="22"/>
      <c r="S39" s="22"/>
      <c r="T39" s="22"/>
      <c r="U39" s="22"/>
      <c r="V39" s="22"/>
      <c r="W39" s="22"/>
      <c r="X39" s="22"/>
    </row>
    <row r="40" spans="1:24">
      <c r="A40" s="22"/>
      <c r="B40" s="299"/>
      <c r="C40" s="299"/>
      <c r="D40" s="299"/>
      <c r="E40" s="30"/>
      <c r="F40" s="220"/>
      <c r="G40" s="220"/>
      <c r="H40" s="255"/>
      <c r="I40" s="30"/>
      <c r="J40" s="30"/>
      <c r="K40" s="30"/>
      <c r="L40" s="30"/>
      <c r="M40" s="30"/>
      <c r="N40" s="320"/>
      <c r="O40" s="320"/>
      <c r="P40" s="320"/>
      <c r="Q40" s="320"/>
      <c r="R40" s="22"/>
      <c r="S40" s="22"/>
      <c r="T40" s="22"/>
      <c r="U40" s="22"/>
      <c r="V40" s="22"/>
      <c r="W40" s="22"/>
      <c r="X40" s="22"/>
    </row>
    <row r="41" spans="1:24">
      <c r="A41" s="22"/>
      <c r="B41" s="299"/>
      <c r="C41" s="299"/>
      <c r="D41" s="299"/>
      <c r="E41" s="22"/>
      <c r="F41" s="220"/>
      <c r="G41" s="220"/>
      <c r="H41" s="242"/>
      <c r="I41" s="22"/>
      <c r="J41" s="22"/>
      <c r="K41" s="22"/>
      <c r="L41" s="22"/>
      <c r="M41" s="37"/>
      <c r="N41" s="298"/>
      <c r="O41" s="298"/>
      <c r="P41" s="298"/>
      <c r="Q41" s="298"/>
      <c r="R41" s="22"/>
      <c r="S41" s="22"/>
      <c r="T41" s="22"/>
      <c r="U41" s="22"/>
      <c r="V41" s="22"/>
      <c r="W41" s="22"/>
      <c r="X41" s="22"/>
    </row>
    <row r="42" spans="1:24">
      <c r="A42" s="22"/>
      <c r="B42" s="299"/>
      <c r="C42" s="299"/>
      <c r="D42" s="299"/>
      <c r="E42" s="30"/>
      <c r="F42" s="220"/>
      <c r="G42" s="220"/>
      <c r="H42" s="255"/>
      <c r="I42" s="30"/>
      <c r="J42" s="30"/>
      <c r="K42" s="30"/>
      <c r="L42" s="30"/>
      <c r="M42" s="30"/>
      <c r="N42" s="320"/>
      <c r="O42" s="320"/>
      <c r="P42" s="320"/>
      <c r="Q42" s="320"/>
      <c r="R42" s="22"/>
      <c r="S42" s="22"/>
      <c r="T42" s="22"/>
      <c r="U42" s="22"/>
      <c r="V42" s="22"/>
      <c r="W42" s="22"/>
      <c r="X42" s="22"/>
    </row>
    <row r="43" spans="1:24">
      <c r="A43" s="23" t="s">
        <v>49</v>
      </c>
      <c r="B43" s="301"/>
      <c r="C43" s="301"/>
      <c r="D43" s="301"/>
      <c r="E43" s="22"/>
      <c r="F43" s="220"/>
      <c r="G43" s="220"/>
      <c r="H43" s="255"/>
      <c r="I43" s="22"/>
      <c r="J43" s="22"/>
      <c r="K43" s="22"/>
      <c r="L43" s="22"/>
      <c r="M43" s="22"/>
      <c r="N43" s="321"/>
      <c r="O43" s="321"/>
      <c r="P43" s="321"/>
      <c r="Q43" s="321"/>
      <c r="R43" s="22"/>
      <c r="S43" s="22"/>
      <c r="T43" s="22"/>
      <c r="U43" s="22"/>
      <c r="V43" s="22"/>
      <c r="W43" s="22"/>
      <c r="X43" s="22"/>
    </row>
    <row r="44" spans="1:24">
      <c r="A44" s="38" t="s">
        <v>48</v>
      </c>
      <c r="B44" s="306"/>
      <c r="C44" s="306"/>
      <c r="D44" s="306"/>
      <c r="E44" s="26"/>
      <c r="F44" s="220"/>
      <c r="G44" s="220"/>
      <c r="H44" s="255"/>
      <c r="I44" s="26"/>
      <c r="J44" s="26"/>
      <c r="K44" s="26"/>
      <c r="L44" s="26"/>
      <c r="M44" s="26"/>
      <c r="N44" s="319"/>
      <c r="O44" s="319"/>
      <c r="P44" s="319"/>
      <c r="Q44" s="319"/>
      <c r="R44" s="22"/>
      <c r="S44" s="22"/>
      <c r="T44" s="22"/>
      <c r="U44" s="22"/>
      <c r="V44" s="22"/>
      <c r="W44" s="22"/>
      <c r="X44" s="22"/>
    </row>
    <row r="45" spans="1:24">
      <c r="A45" s="22"/>
      <c r="B45" s="299"/>
      <c r="C45" s="299"/>
      <c r="D45" s="299"/>
      <c r="E45" s="22"/>
      <c r="F45" s="220"/>
      <c r="G45" s="220"/>
      <c r="H45" s="255"/>
      <c r="I45" s="22"/>
      <c r="J45" s="22"/>
      <c r="K45" s="22"/>
      <c r="L45" s="22"/>
      <c r="M45" s="22"/>
      <c r="N45" s="321"/>
      <c r="O45" s="321"/>
      <c r="P45" s="321"/>
      <c r="Q45" s="321"/>
      <c r="R45" s="22"/>
      <c r="S45" s="22"/>
      <c r="T45" s="22"/>
      <c r="U45" s="22"/>
      <c r="V45" s="22"/>
      <c r="W45" s="22"/>
      <c r="X45" s="22"/>
    </row>
    <row r="46" spans="1:24">
      <c r="A46" s="22"/>
      <c r="B46" s="299"/>
      <c r="C46" s="299"/>
      <c r="D46" s="299"/>
      <c r="E46" s="30"/>
      <c r="F46" s="220"/>
      <c r="G46" s="220"/>
      <c r="H46" s="255"/>
      <c r="I46" s="30"/>
      <c r="J46" s="30"/>
      <c r="K46" s="30"/>
      <c r="L46" s="30"/>
      <c r="M46" s="30"/>
      <c r="N46" s="320"/>
      <c r="O46" s="320"/>
      <c r="P46" s="320"/>
      <c r="Q46" s="320"/>
      <c r="R46" s="22"/>
      <c r="S46" s="22"/>
      <c r="T46" s="22"/>
      <c r="U46" s="22"/>
      <c r="V46" s="22"/>
      <c r="W46" s="22"/>
      <c r="X46" s="22"/>
    </row>
    <row r="47" spans="1:24">
      <c r="A47" s="23" t="s">
        <v>50</v>
      </c>
      <c r="B47" s="301"/>
      <c r="C47" s="301"/>
      <c r="D47" s="301"/>
      <c r="E47" s="26">
        <f>+'c12_hm'!E60</f>
        <v>0</v>
      </c>
      <c r="F47" s="26">
        <f>+'c12_hm'!F60</f>
        <v>447597</v>
      </c>
      <c r="G47" s="26">
        <f>+'c12_hm'!G60</f>
        <v>310715.78947368421</v>
      </c>
      <c r="H47" s="26">
        <f>+'c12_hm'!H60</f>
        <v>0</v>
      </c>
      <c r="I47" s="27">
        <f>+'c12_hm'!I60</f>
        <v>447597</v>
      </c>
      <c r="J47" s="26">
        <f>+'c12_hm'!J60</f>
        <v>310715.78947368416</v>
      </c>
      <c r="K47" s="26">
        <f>+'c12_hm'!K60</f>
        <v>902637.28947368416</v>
      </c>
      <c r="L47" s="26">
        <f>+'c12_hm'!L60</f>
        <v>948110.97368421056</v>
      </c>
      <c r="M47" s="26">
        <f>+'c12_hm'!M60</f>
        <v>2385063.6052631577</v>
      </c>
      <c r="N47" s="319">
        <f>+'c12_hm'!N60</f>
        <v>1223469.697763158</v>
      </c>
      <c r="O47" s="319">
        <f>+'c12_hm'!O60</f>
        <v>1223469.697763158</v>
      </c>
      <c r="P47" s="319">
        <f>+'c12_hm'!P60</f>
        <v>1223469.697763158</v>
      </c>
      <c r="Q47" s="319">
        <f>+'c12_hm'!Q60</f>
        <v>1223469.697763158</v>
      </c>
      <c r="R47" s="22" t="s">
        <v>51</v>
      </c>
      <c r="S47" s="22"/>
      <c r="T47" s="22"/>
      <c r="U47" s="22"/>
      <c r="V47" s="22"/>
      <c r="W47" s="22"/>
      <c r="X47" s="22"/>
    </row>
    <row r="48" spans="1:24">
      <c r="A48" s="23" t="s">
        <v>52</v>
      </c>
      <c r="B48" s="301"/>
      <c r="C48" s="301"/>
      <c r="D48" s="301"/>
      <c r="E48" s="26">
        <f>+'c12_hm'!E70</f>
        <v>0</v>
      </c>
      <c r="F48" s="26">
        <f>+'c12_hm'!F70</f>
        <v>447597</v>
      </c>
      <c r="G48" s="26">
        <f>+'c12_hm'!G70</f>
        <v>63035.789473684214</v>
      </c>
      <c r="H48" s="26">
        <f>+'c12_hm'!H70</f>
        <v>0</v>
      </c>
      <c r="I48" s="27">
        <f>+'c12_hm'!I70</f>
        <v>447597</v>
      </c>
      <c r="J48" s="26">
        <f>+'c12_hm'!J70</f>
        <v>63035.789473684214</v>
      </c>
      <c r="K48" s="26">
        <f>+'c12_hm'!K70</f>
        <v>398173.6519736842</v>
      </c>
      <c r="L48" s="26">
        <f>+'c12_hm'!L70</f>
        <v>400447.33618421049</v>
      </c>
      <c r="M48" s="26">
        <f>+'c12_hm'!M70</f>
        <v>662529.63026315777</v>
      </c>
      <c r="N48" s="319">
        <f>+'c12_hm'!N70</f>
        <v>255971.7626381579</v>
      </c>
      <c r="O48" s="319">
        <f>+'c12_hm'!O70</f>
        <v>255971.7626381579</v>
      </c>
      <c r="P48" s="319">
        <f>+'c12_hm'!P70</f>
        <v>255971.7626381579</v>
      </c>
      <c r="Q48" s="319">
        <f>+'c12_hm'!Q70</f>
        <v>255971.7626381579</v>
      </c>
      <c r="R48" s="22" t="s">
        <v>51</v>
      </c>
      <c r="S48" s="22"/>
      <c r="T48" s="22"/>
      <c r="U48" s="22"/>
      <c r="V48" s="22"/>
      <c r="W48" s="22"/>
      <c r="X48" s="22"/>
    </row>
    <row r="49" spans="1:24">
      <c r="A49" s="25"/>
      <c r="B49" s="302"/>
      <c r="C49" s="302"/>
      <c r="D49" s="302"/>
      <c r="E49" s="22"/>
      <c r="F49" s="220"/>
      <c r="G49" s="220"/>
      <c r="H49" s="250"/>
      <c r="I49" s="27"/>
      <c r="J49" s="22"/>
      <c r="K49" s="22"/>
      <c r="L49" s="22"/>
      <c r="M49" s="22"/>
      <c r="N49" s="321"/>
      <c r="O49" s="321"/>
      <c r="P49" s="321"/>
      <c r="Q49" s="321"/>
      <c r="R49" s="22"/>
      <c r="S49" s="22"/>
      <c r="T49" s="22"/>
      <c r="U49" s="22"/>
      <c r="V49" s="22"/>
      <c r="W49" s="22"/>
      <c r="X49" s="22"/>
    </row>
    <row r="50" spans="1:24">
      <c r="A50" s="24" t="s">
        <v>48</v>
      </c>
      <c r="B50" s="303"/>
      <c r="C50" s="303"/>
      <c r="D50" s="303"/>
      <c r="E50" s="26"/>
      <c r="F50" s="220"/>
      <c r="G50" s="220"/>
      <c r="H50" s="250"/>
      <c r="I50" s="26"/>
      <c r="J50" s="26"/>
      <c r="K50" s="26"/>
      <c r="L50" s="26"/>
      <c r="M50" s="26"/>
      <c r="N50" s="319"/>
      <c r="O50" s="319"/>
      <c r="P50" s="319"/>
      <c r="Q50" s="319"/>
      <c r="R50" s="22"/>
      <c r="S50" s="22"/>
      <c r="T50" s="22"/>
      <c r="U50" s="22"/>
      <c r="V50" s="22"/>
      <c r="W50" s="22"/>
      <c r="X50" s="22"/>
    </row>
    <row r="51" spans="1:24">
      <c r="A51" s="24" t="s">
        <v>48</v>
      </c>
      <c r="B51" s="303"/>
      <c r="C51" s="303"/>
      <c r="D51" s="303"/>
      <c r="E51" s="26"/>
      <c r="F51" s="220"/>
      <c r="G51" s="220"/>
      <c r="H51" s="250"/>
      <c r="I51" s="26"/>
      <c r="J51" s="26"/>
      <c r="K51" s="26"/>
      <c r="L51" s="26"/>
      <c r="M51" s="26"/>
      <c r="N51" s="319"/>
      <c r="O51" s="319"/>
      <c r="P51" s="319"/>
      <c r="Q51" s="319"/>
      <c r="R51" s="22"/>
      <c r="S51" s="22"/>
      <c r="T51" s="22"/>
      <c r="U51" s="22"/>
      <c r="V51" s="22"/>
      <c r="W51" s="22"/>
      <c r="X51" s="22"/>
    </row>
    <row r="52" spans="1:24">
      <c r="A52" s="23" t="s">
        <v>48</v>
      </c>
      <c r="B52" s="301"/>
      <c r="C52" s="301"/>
      <c r="D52" s="301"/>
      <c r="E52" s="26"/>
      <c r="F52" s="220"/>
      <c r="G52" s="220"/>
      <c r="H52" s="250"/>
      <c r="I52" s="26"/>
      <c r="J52" s="26"/>
      <c r="K52" s="26"/>
      <c r="L52" s="26"/>
      <c r="M52" s="26"/>
      <c r="N52" s="319"/>
      <c r="O52" s="319"/>
      <c r="P52" s="319"/>
      <c r="Q52" s="319"/>
      <c r="R52" s="22"/>
      <c r="S52" s="22"/>
      <c r="T52" s="22"/>
      <c r="U52" s="22"/>
      <c r="V52" s="22"/>
      <c r="W52" s="22"/>
      <c r="X52" s="22"/>
    </row>
    <row r="53" spans="1:24">
      <c r="A53" s="22"/>
      <c r="B53" s="299"/>
      <c r="C53" s="299"/>
      <c r="D53" s="299"/>
      <c r="E53" s="22"/>
      <c r="F53" s="220"/>
      <c r="G53" s="220"/>
      <c r="H53" s="250"/>
      <c r="I53" s="22"/>
      <c r="J53" s="22"/>
      <c r="K53" s="22"/>
      <c r="L53" s="22"/>
      <c r="M53" s="22"/>
      <c r="N53" s="321"/>
      <c r="O53" s="321"/>
      <c r="P53" s="321"/>
      <c r="Q53" s="321"/>
      <c r="R53" s="22"/>
      <c r="S53" s="22"/>
      <c r="T53" s="22"/>
      <c r="U53" s="22"/>
      <c r="V53" s="22"/>
      <c r="W53" s="22"/>
      <c r="X53" s="22"/>
    </row>
    <row r="54" spans="1:24">
      <c r="A54" s="22"/>
      <c r="B54" s="299"/>
      <c r="C54" s="299"/>
      <c r="D54" s="299"/>
      <c r="E54" s="22"/>
      <c r="F54" s="220"/>
      <c r="G54" s="220"/>
      <c r="H54" s="220"/>
      <c r="I54" s="22"/>
      <c r="J54" s="22"/>
      <c r="K54" s="22"/>
      <c r="L54" s="22"/>
      <c r="M54" s="22"/>
      <c r="N54" s="321"/>
      <c r="O54" s="321"/>
      <c r="P54" s="321"/>
      <c r="Q54" s="321"/>
      <c r="R54" s="22"/>
      <c r="S54" s="22"/>
      <c r="T54" s="22"/>
      <c r="U54" s="22"/>
      <c r="V54" s="22"/>
      <c r="W54" s="22"/>
      <c r="X54" s="22"/>
    </row>
    <row r="55" spans="1:24">
      <c r="A55" s="22"/>
      <c r="B55" s="299"/>
      <c r="C55" s="299"/>
      <c r="D55" s="299"/>
      <c r="E55" s="30"/>
      <c r="F55" s="220"/>
      <c r="G55" s="220"/>
      <c r="H55" s="220"/>
      <c r="I55" s="30"/>
      <c r="J55" s="30"/>
      <c r="K55" s="30"/>
      <c r="L55" s="30"/>
      <c r="M55" s="30"/>
      <c r="N55" s="320"/>
      <c r="O55" s="320"/>
      <c r="P55" s="320"/>
      <c r="Q55" s="320"/>
      <c r="R55" s="22"/>
      <c r="S55" s="22"/>
      <c r="T55" s="22"/>
      <c r="U55" s="22"/>
      <c r="V55" s="22"/>
      <c r="W55" s="22"/>
      <c r="X55" s="22"/>
    </row>
    <row r="56" spans="1:24">
      <c r="A56" s="23" t="s">
        <v>53</v>
      </c>
      <c r="B56" s="301"/>
      <c r="C56" s="301"/>
      <c r="D56" s="301"/>
      <c r="E56" s="26">
        <f>'c12_d&amp;s'!E60</f>
        <v>0</v>
      </c>
      <c r="F56" s="26">
        <f>'c12_d&amp;s'!F60</f>
        <v>911235.5</v>
      </c>
      <c r="G56" s="26">
        <f>'c12_d&amp;s'!G60</f>
        <v>1735259.1270175439</v>
      </c>
      <c r="H56" s="26">
        <f>'c12_d&amp;s'!H60</f>
        <v>0</v>
      </c>
      <c r="I56" s="26">
        <f>'c12_d&amp;s'!I60</f>
        <v>911235.5</v>
      </c>
      <c r="J56" s="26">
        <f>'c12_d&amp;s'!J60</f>
        <v>1829009.1270175439</v>
      </c>
      <c r="K56" s="26">
        <f>'c12_d&amp;s'!K60</f>
        <v>2567569.8070175434</v>
      </c>
      <c r="L56" s="26">
        <f>'c12_d&amp;s'!L60</f>
        <v>2299388.8070175434</v>
      </c>
      <c r="M56" s="26">
        <f>'c12_d&amp;s'!M60</f>
        <v>5922380.333333333</v>
      </c>
      <c r="N56" s="319">
        <f>'c12_d&amp;s'!N60</f>
        <v>4550380.333333333</v>
      </c>
      <c r="O56" s="319">
        <f>'c12_d&amp;s'!O60</f>
        <v>4550380.333333333</v>
      </c>
      <c r="P56" s="319">
        <f>'c12_d&amp;s'!P60</f>
        <v>4550380.333333333</v>
      </c>
      <c r="Q56" s="319">
        <f>'c12_d&amp;s'!Q60</f>
        <v>4550380.333333333</v>
      </c>
      <c r="R56" s="22" t="s">
        <v>54</v>
      </c>
      <c r="S56" s="22"/>
      <c r="T56" s="22"/>
      <c r="U56" s="22"/>
      <c r="V56" s="22"/>
      <c r="W56" s="22"/>
      <c r="X56" s="22"/>
    </row>
    <row r="57" spans="1:24">
      <c r="A57" s="23" t="s">
        <v>55</v>
      </c>
      <c r="B57" s="301"/>
      <c r="C57" s="301"/>
      <c r="D57" s="301"/>
      <c r="E57" s="26">
        <f>'c12_d&amp;s'!E70</f>
        <v>0</v>
      </c>
      <c r="F57" s="26">
        <f>'c12_d&amp;s'!F70</f>
        <v>455617.75</v>
      </c>
      <c r="G57" s="26">
        <f>'c12_d&amp;s'!G70</f>
        <v>806580.95035087725</v>
      </c>
      <c r="H57" s="26">
        <f>'c12_d&amp;s'!H70</f>
        <v>0</v>
      </c>
      <c r="I57" s="26">
        <f>'c12_d&amp;s'!I70</f>
        <v>455617.75</v>
      </c>
      <c r="J57" s="26">
        <f>'c12_d&amp;s'!J70</f>
        <v>839393.45035087725</v>
      </c>
      <c r="K57" s="26">
        <f>'c12_d&amp;s'!K70</f>
        <v>1048217.5903508773</v>
      </c>
      <c r="L57" s="26">
        <f>'c12_d&amp;s'!L70</f>
        <v>968127.09035087726</v>
      </c>
      <c r="M57" s="26">
        <f>'c12_d&amp;s'!M70</f>
        <v>2241733.1166666662</v>
      </c>
      <c r="N57" s="319">
        <f>'c12_d&amp;s'!N70</f>
        <v>1555733.1166666665</v>
      </c>
      <c r="O57" s="319">
        <f>'c12_d&amp;s'!O70</f>
        <v>1555733.1166666665</v>
      </c>
      <c r="P57" s="319">
        <f>'c12_d&amp;s'!P70</f>
        <v>1555733.1166666665</v>
      </c>
      <c r="Q57" s="319">
        <f>'c12_d&amp;s'!Q70</f>
        <v>1555733.1166666665</v>
      </c>
      <c r="R57" s="22" t="s">
        <v>54</v>
      </c>
      <c r="S57" s="22"/>
      <c r="T57" s="22"/>
      <c r="U57" s="22"/>
      <c r="V57" s="22"/>
      <c r="W57" s="22"/>
      <c r="X57" s="22"/>
    </row>
    <row r="58" spans="1:24">
      <c r="A58" s="25"/>
      <c r="B58" s="302"/>
      <c r="C58" s="302"/>
      <c r="D58" s="302"/>
      <c r="E58" s="26"/>
      <c r="F58" s="220"/>
      <c r="G58" s="220"/>
      <c r="H58" s="220"/>
      <c r="I58" s="26"/>
      <c r="J58" s="26"/>
      <c r="K58" s="26"/>
      <c r="L58" s="26"/>
      <c r="M58" s="26"/>
      <c r="N58" s="319"/>
      <c r="O58" s="319"/>
      <c r="P58" s="319"/>
      <c r="Q58" s="319"/>
      <c r="R58" s="22"/>
      <c r="S58" s="22"/>
      <c r="T58" s="22"/>
      <c r="U58" s="22"/>
      <c r="V58" s="22"/>
      <c r="W58" s="22"/>
      <c r="X58" s="22"/>
    </row>
    <row r="59" spans="1:24">
      <c r="A59" s="23" t="s">
        <v>56</v>
      </c>
      <c r="B59" s="301"/>
      <c r="C59" s="301"/>
      <c r="D59" s="301"/>
      <c r="E59" s="26">
        <f>'c12_oc'!E10</f>
        <v>2452451</v>
      </c>
      <c r="F59" s="26">
        <f>'c12_oc'!F10</f>
        <v>903214.75</v>
      </c>
      <c r="G59" s="26">
        <f>'c12_oc'!G10</f>
        <v>886331.47666666668</v>
      </c>
      <c r="H59" s="26">
        <f>'c12_oc'!H10</f>
        <v>0</v>
      </c>
      <c r="I59" s="26">
        <f>'c12_oc'!I10</f>
        <v>903214.75</v>
      </c>
      <c r="J59" s="26">
        <f>'c12_oc'!J10</f>
        <v>919143.97666666668</v>
      </c>
      <c r="K59" s="26">
        <f>'c12_oc'!K10</f>
        <v>1463105.9791666667</v>
      </c>
      <c r="L59" s="26">
        <f>'c12_oc'!L10</f>
        <v>1390973.3739035088</v>
      </c>
      <c r="M59" s="26">
        <f>'c12_oc'!M10</f>
        <v>2931309.8521929821</v>
      </c>
      <c r="N59" s="319">
        <f>'c12_oc'!N10</f>
        <v>1838751.9845679821</v>
      </c>
      <c r="O59" s="319">
        <f>'c12_oc'!O10</f>
        <v>1838751.9845679821</v>
      </c>
      <c r="P59" s="319">
        <f>'c12_oc'!P10</f>
        <v>1838751.9845679821</v>
      </c>
      <c r="Q59" s="319">
        <f>'c12_oc'!Q10</f>
        <v>1838751.9845679821</v>
      </c>
      <c r="R59" s="22" t="s">
        <v>57</v>
      </c>
      <c r="S59" s="22"/>
      <c r="T59" s="22"/>
      <c r="U59" s="22"/>
      <c r="V59" s="22"/>
      <c r="W59" s="22"/>
      <c r="X59" s="22"/>
    </row>
    <row r="60" spans="1:24" s="11" customFormat="1">
      <c r="A60" s="24" t="s">
        <v>58</v>
      </c>
      <c r="B60" s="303"/>
      <c r="C60" s="303"/>
      <c r="D60" s="303"/>
      <c r="E60" s="39">
        <f>'c12_oc'!E87</f>
        <v>0</v>
      </c>
      <c r="F60" s="39">
        <f>'c12_oc'!F87</f>
        <v>1358832.5</v>
      </c>
      <c r="G60" s="39">
        <f>'c12_oc'!G87</f>
        <v>2200269.6533333329</v>
      </c>
      <c r="H60" s="39">
        <f>'c12_oc'!H87</f>
        <v>0</v>
      </c>
      <c r="I60" s="39">
        <f>'c12_oc'!I87</f>
        <v>1358832.5</v>
      </c>
      <c r="J60" s="39">
        <f>'c12_oc'!J87</f>
        <v>2294019.6533333333</v>
      </c>
      <c r="K60" s="39">
        <f>'c12_oc'!K87</f>
        <v>3624501.8333333326</v>
      </c>
      <c r="L60" s="39">
        <f>'c12_oc'!L87</f>
        <v>3515478.7280701748</v>
      </c>
      <c r="M60" s="39">
        <f>'c12_oc'!M87</f>
        <v>8668386.0438596494</v>
      </c>
      <c r="N60" s="324">
        <f>'c12_oc'!N87</f>
        <v>6134792.1363596488</v>
      </c>
      <c r="O60" s="324">
        <f>'c12_oc'!O87</f>
        <v>6134792.1363596488</v>
      </c>
      <c r="P60" s="324">
        <f>'c12_oc'!P87</f>
        <v>6134792.1363596488</v>
      </c>
      <c r="Q60" s="324">
        <f>'c12_oc'!Q87</f>
        <v>6134792.1363596488</v>
      </c>
      <c r="R60" s="22" t="s">
        <v>57</v>
      </c>
      <c r="S60" s="22"/>
      <c r="T60" s="22"/>
      <c r="U60" s="22"/>
      <c r="V60" s="22"/>
      <c r="W60" s="22"/>
      <c r="X60" s="22"/>
    </row>
    <row r="61" spans="1:24" s="11" customFormat="1">
      <c r="A61" s="24" t="s">
        <v>59</v>
      </c>
      <c r="B61" s="303"/>
      <c r="C61" s="303"/>
      <c r="D61" s="303"/>
      <c r="E61" s="39">
        <f>'c12_sk'!E7</f>
        <v>0</v>
      </c>
      <c r="F61" s="39">
        <f>'c12_sk'!F7</f>
        <v>0</v>
      </c>
      <c r="G61" s="39">
        <f>'c12_sk'!G7</f>
        <v>0</v>
      </c>
      <c r="H61" s="39">
        <f>'c12_sk'!H7</f>
        <v>0</v>
      </c>
      <c r="I61" s="39">
        <f>'c12_sk'!I7</f>
        <v>0</v>
      </c>
      <c r="J61" s="39">
        <f>'c12_sk'!J7</f>
        <v>50000</v>
      </c>
      <c r="K61" s="39">
        <f>'c12_sk'!K7</f>
        <v>50000</v>
      </c>
      <c r="L61" s="39">
        <f>'c12_sk'!L7</f>
        <v>50000</v>
      </c>
      <c r="M61" s="39">
        <f>'c12_sk'!M7</f>
        <v>50000</v>
      </c>
      <c r="N61" s="324">
        <f>'c12_sk'!N7</f>
        <v>50000</v>
      </c>
      <c r="O61" s="324">
        <f>'c12_sk'!O7</f>
        <v>50000</v>
      </c>
      <c r="P61" s="324">
        <f>'c12_sk'!P7</f>
        <v>50000</v>
      </c>
      <c r="Q61" s="324">
        <f>'c12_sk'!Q7</f>
        <v>50000</v>
      </c>
      <c r="R61" s="22" t="s">
        <v>60</v>
      </c>
      <c r="S61" s="22"/>
      <c r="T61" s="22"/>
      <c r="U61" s="22"/>
      <c r="V61" s="22"/>
      <c r="W61" s="22"/>
      <c r="X61" s="22"/>
    </row>
    <row r="62" spans="1:24">
      <c r="A62" s="25"/>
      <c r="B62" s="302"/>
      <c r="C62" s="302"/>
      <c r="D62" s="302"/>
      <c r="E62" s="22"/>
      <c r="F62" s="220"/>
      <c r="G62" s="220"/>
      <c r="H62" s="220"/>
      <c r="I62" s="22"/>
      <c r="J62" s="22"/>
      <c r="K62" s="22"/>
      <c r="L62" s="22"/>
      <c r="M62" s="22"/>
      <c r="N62" s="321"/>
      <c r="O62" s="321"/>
      <c r="P62" s="321"/>
      <c r="Q62" s="321"/>
      <c r="R62" s="22"/>
      <c r="S62" s="22"/>
      <c r="T62" s="22"/>
      <c r="U62" s="22"/>
      <c r="V62" s="22"/>
      <c r="W62" s="22"/>
      <c r="X62" s="22"/>
    </row>
    <row r="63" spans="1:24">
      <c r="A63" s="23" t="s">
        <v>48</v>
      </c>
      <c r="B63" s="301"/>
      <c r="C63" s="301"/>
      <c r="D63" s="301"/>
      <c r="E63" s="26"/>
      <c r="F63" s="220"/>
      <c r="G63" s="220"/>
      <c r="H63" s="220"/>
      <c r="I63" s="26"/>
      <c r="J63" s="26"/>
      <c r="K63" s="26"/>
      <c r="L63" s="26"/>
      <c r="M63" s="26"/>
      <c r="N63" s="319"/>
      <c r="O63" s="319"/>
      <c r="P63" s="319"/>
      <c r="Q63" s="319"/>
      <c r="R63" s="22"/>
      <c r="S63" s="22"/>
      <c r="T63" s="22"/>
      <c r="U63" s="22"/>
      <c r="V63" s="22"/>
      <c r="W63" s="22"/>
      <c r="X63" s="22"/>
    </row>
    <row r="64" spans="1:24">
      <c r="A64" s="24" t="s">
        <v>48</v>
      </c>
      <c r="B64" s="303"/>
      <c r="C64" s="303"/>
      <c r="D64" s="303"/>
      <c r="E64" s="40"/>
      <c r="F64" s="220"/>
      <c r="G64" s="220"/>
      <c r="H64" s="220"/>
      <c r="I64" s="40"/>
      <c r="J64" s="40"/>
      <c r="K64" s="40"/>
      <c r="L64" s="40"/>
      <c r="M64" s="40"/>
      <c r="N64" s="325"/>
      <c r="O64" s="325"/>
      <c r="P64" s="325"/>
      <c r="Q64" s="325"/>
      <c r="R64" s="22"/>
      <c r="S64" s="22"/>
      <c r="T64" s="22"/>
      <c r="U64" s="22"/>
      <c r="V64" s="22"/>
      <c r="W64" s="22"/>
      <c r="X64" s="22"/>
    </row>
    <row r="65" spans="1:24">
      <c r="A65" s="22"/>
      <c r="B65" s="299"/>
      <c r="C65" s="299"/>
      <c r="D65" s="299"/>
      <c r="E65" s="22"/>
      <c r="F65" s="220"/>
      <c r="G65" s="220"/>
      <c r="H65" s="220"/>
      <c r="I65" s="22"/>
      <c r="J65" s="22"/>
      <c r="K65" s="22"/>
      <c r="L65" s="22"/>
      <c r="M65" s="22"/>
      <c r="N65" s="321"/>
      <c r="O65" s="321"/>
      <c r="P65" s="321"/>
      <c r="Q65" s="321"/>
      <c r="R65" s="22"/>
      <c r="S65" s="22"/>
      <c r="T65" s="22"/>
      <c r="U65" s="22"/>
      <c r="V65" s="22"/>
      <c r="W65" s="22"/>
      <c r="X65" s="22"/>
    </row>
    <row r="66" spans="1:24">
      <c r="A66" s="22"/>
      <c r="B66" s="299"/>
      <c r="C66" s="299"/>
      <c r="D66" s="299"/>
      <c r="E66" s="22"/>
      <c r="F66" s="220"/>
      <c r="G66" s="220"/>
      <c r="H66" s="220"/>
      <c r="I66" s="22"/>
      <c r="J66" s="22"/>
      <c r="K66" s="22"/>
      <c r="L66" s="22"/>
      <c r="M66" s="22"/>
      <c r="N66" s="321"/>
      <c r="O66" s="321"/>
      <c r="P66" s="321"/>
      <c r="Q66" s="321"/>
      <c r="R66" s="22"/>
      <c r="S66" s="22"/>
      <c r="T66" s="22"/>
      <c r="U66" s="22"/>
      <c r="V66" s="22"/>
      <c r="W66" s="22"/>
      <c r="X66" s="22"/>
    </row>
    <row r="67" spans="1:24">
      <c r="A67" s="24" t="s">
        <v>48</v>
      </c>
      <c r="B67" s="303"/>
      <c r="C67" s="303"/>
      <c r="D67" s="303"/>
      <c r="E67" s="26"/>
      <c r="F67" s="220"/>
      <c r="G67" s="220"/>
      <c r="H67" s="220"/>
      <c r="I67" s="26"/>
      <c r="J67" s="26"/>
      <c r="K67" s="26"/>
      <c r="L67" s="26"/>
      <c r="M67" s="26"/>
      <c r="N67" s="319"/>
      <c r="O67" s="319"/>
      <c r="P67" s="319"/>
      <c r="Q67" s="319"/>
      <c r="R67" s="22"/>
      <c r="S67" s="22"/>
      <c r="T67" s="22"/>
      <c r="U67" s="22"/>
      <c r="V67" s="22"/>
      <c r="W67" s="22"/>
      <c r="X67" s="22"/>
    </row>
    <row r="68" spans="1:24">
      <c r="A68" s="24" t="s">
        <v>48</v>
      </c>
      <c r="B68" s="303"/>
      <c r="C68" s="303"/>
      <c r="D68" s="303"/>
      <c r="E68" s="26"/>
      <c r="F68" s="220"/>
      <c r="G68" s="220"/>
      <c r="H68" s="220"/>
      <c r="I68" s="26"/>
      <c r="J68" s="26"/>
      <c r="K68" s="26"/>
      <c r="L68" s="26"/>
      <c r="M68" s="26"/>
      <c r="N68" s="319"/>
      <c r="O68" s="319"/>
      <c r="P68" s="319"/>
      <c r="Q68" s="319"/>
      <c r="R68" s="22"/>
      <c r="S68" s="22"/>
      <c r="T68" s="22"/>
      <c r="U68" s="22"/>
      <c r="V68" s="22"/>
      <c r="W68" s="22"/>
      <c r="X68" s="22"/>
    </row>
    <row r="69" spans="1:24">
      <c r="A69" s="24" t="s">
        <v>48</v>
      </c>
      <c r="B69" s="303"/>
      <c r="C69" s="303"/>
      <c r="D69" s="303"/>
      <c r="E69" s="26"/>
      <c r="F69" s="220"/>
      <c r="G69" s="220"/>
      <c r="H69" s="220"/>
      <c r="I69" s="26"/>
      <c r="J69" s="26"/>
      <c r="K69" s="26"/>
      <c r="L69" s="26"/>
      <c r="M69" s="26"/>
      <c r="N69" s="319"/>
      <c r="O69" s="319"/>
      <c r="P69" s="319"/>
      <c r="Q69" s="319"/>
      <c r="R69" s="22"/>
      <c r="S69" s="22"/>
      <c r="T69" s="22"/>
      <c r="U69" s="22"/>
      <c r="V69" s="22"/>
      <c r="W69" s="22"/>
      <c r="X69" s="22"/>
    </row>
    <row r="70" spans="1:24">
      <c r="A70" s="22"/>
      <c r="B70" s="299"/>
      <c r="C70" s="299"/>
      <c r="D70" s="299"/>
      <c r="E70" s="22"/>
      <c r="F70" s="220"/>
      <c r="G70" s="220"/>
      <c r="H70" s="220"/>
      <c r="I70" s="22"/>
      <c r="J70" s="22"/>
      <c r="K70" s="22"/>
      <c r="L70" s="22"/>
      <c r="M70" s="22"/>
      <c r="N70" s="321"/>
      <c r="O70" s="321"/>
      <c r="P70" s="321"/>
      <c r="Q70" s="321"/>
      <c r="R70" s="22"/>
      <c r="S70" s="22"/>
      <c r="T70" s="22"/>
      <c r="U70" s="22"/>
      <c r="V70" s="22"/>
      <c r="W70" s="22"/>
      <c r="X70" s="22"/>
    </row>
    <row r="71" spans="1:24">
      <c r="A71" s="22"/>
      <c r="B71" s="299"/>
      <c r="C71" s="299"/>
      <c r="D71" s="299"/>
      <c r="E71" s="22"/>
      <c r="F71" s="220"/>
      <c r="G71" s="220"/>
      <c r="H71" s="220"/>
      <c r="I71" s="22"/>
      <c r="J71" s="22"/>
      <c r="K71" s="22"/>
      <c r="L71" s="22"/>
      <c r="M71" s="22"/>
      <c r="N71" s="321"/>
      <c r="O71" s="321"/>
      <c r="P71" s="321"/>
      <c r="Q71" s="321"/>
      <c r="R71" s="22"/>
      <c r="S71" s="22"/>
      <c r="T71" s="22"/>
      <c r="U71" s="22"/>
      <c r="V71" s="22"/>
      <c r="W71" s="22"/>
      <c r="X71" s="22"/>
    </row>
    <row r="72" spans="1:24">
      <c r="A72" s="24" t="s">
        <v>48</v>
      </c>
      <c r="B72" s="303"/>
      <c r="C72" s="303"/>
      <c r="D72" s="303"/>
      <c r="E72" s="26"/>
      <c r="F72" s="220"/>
      <c r="G72" s="220"/>
      <c r="H72" s="220"/>
      <c r="I72" s="26"/>
      <c r="J72" s="26"/>
      <c r="K72" s="26"/>
      <c r="L72" s="26"/>
      <c r="M72" s="26"/>
      <c r="N72" s="319"/>
      <c r="O72" s="319"/>
      <c r="P72" s="319"/>
      <c r="Q72" s="319"/>
      <c r="R72" s="22"/>
      <c r="S72" s="22"/>
      <c r="T72" s="22"/>
      <c r="U72" s="22"/>
      <c r="V72" s="22"/>
      <c r="W72" s="22"/>
      <c r="X72" s="22"/>
    </row>
    <row r="73" spans="1:24">
      <c r="A73" s="24" t="s">
        <v>48</v>
      </c>
      <c r="B73" s="303"/>
      <c r="C73" s="303"/>
      <c r="D73" s="303"/>
      <c r="E73" s="26"/>
      <c r="F73" s="220"/>
      <c r="G73" s="220"/>
      <c r="H73" s="220"/>
      <c r="I73" s="26"/>
      <c r="J73" s="26"/>
      <c r="K73" s="26"/>
      <c r="L73" s="26"/>
      <c r="M73" s="26"/>
      <c r="N73" s="319"/>
      <c r="O73" s="319"/>
      <c r="P73" s="319"/>
      <c r="Q73" s="319"/>
      <c r="R73" s="22"/>
      <c r="S73" s="22"/>
      <c r="T73" s="22"/>
      <c r="U73" s="22"/>
      <c r="V73" s="22"/>
      <c r="W73" s="22"/>
      <c r="X73" s="22"/>
    </row>
    <row r="74" spans="1:24">
      <c r="A74" s="24" t="s">
        <v>48</v>
      </c>
      <c r="B74" s="303"/>
      <c r="C74" s="303"/>
      <c r="D74" s="303"/>
      <c r="E74" s="26"/>
      <c r="F74" s="220"/>
      <c r="G74" s="220"/>
      <c r="H74" s="220"/>
      <c r="I74" s="26"/>
      <c r="J74" s="26"/>
      <c r="K74" s="26"/>
      <c r="L74" s="26"/>
      <c r="M74" s="26"/>
      <c r="N74" s="319"/>
      <c r="O74" s="319"/>
      <c r="P74" s="319"/>
      <c r="Q74" s="319"/>
      <c r="R74" s="22"/>
      <c r="S74" s="22"/>
      <c r="T74" s="22"/>
      <c r="U74" s="22"/>
      <c r="V74" s="22"/>
      <c r="W74" s="22"/>
      <c r="X74" s="22"/>
    </row>
    <row r="75" spans="1:24">
      <c r="A75" s="22"/>
      <c r="B75" s="299"/>
      <c r="C75" s="299"/>
      <c r="D75" s="299"/>
      <c r="E75" s="22"/>
      <c r="F75" s="220"/>
      <c r="G75" s="220"/>
      <c r="H75" s="220"/>
      <c r="I75" s="22"/>
      <c r="J75" s="22"/>
      <c r="K75" s="22"/>
      <c r="L75" s="22"/>
      <c r="M75" s="22"/>
      <c r="N75" s="321"/>
      <c r="O75" s="321"/>
      <c r="P75" s="321"/>
      <c r="Q75" s="321"/>
      <c r="R75" s="22"/>
      <c r="S75" s="22"/>
      <c r="T75" s="22"/>
      <c r="U75" s="22"/>
      <c r="V75" s="22"/>
      <c r="W75" s="22"/>
      <c r="X75" s="22"/>
    </row>
    <row r="76" spans="1:24">
      <c r="A76" s="22"/>
      <c r="B76" s="299"/>
      <c r="C76" s="299"/>
      <c r="D76" s="299"/>
      <c r="E76" s="22"/>
      <c r="F76" s="220"/>
      <c r="G76" s="220"/>
      <c r="H76" s="220"/>
      <c r="I76" s="22"/>
      <c r="J76" s="22"/>
      <c r="K76" s="22"/>
      <c r="L76" s="22"/>
      <c r="M76" s="22"/>
      <c r="N76" s="321"/>
      <c r="O76" s="321"/>
      <c r="P76" s="321"/>
      <c r="Q76" s="321"/>
      <c r="R76" s="22"/>
      <c r="S76" s="22"/>
      <c r="T76" s="22"/>
      <c r="U76" s="22"/>
      <c r="V76" s="22"/>
      <c r="W76" s="22"/>
      <c r="X76" s="22"/>
    </row>
    <row r="77" spans="1:24">
      <c r="A77" s="22"/>
      <c r="B77" s="299"/>
      <c r="C77" s="299"/>
      <c r="D77" s="299"/>
      <c r="E77" s="22"/>
      <c r="F77" s="220"/>
      <c r="G77" s="220"/>
      <c r="H77" s="220"/>
      <c r="I77" s="22"/>
      <c r="J77" s="22"/>
      <c r="K77" s="22"/>
      <c r="L77" s="22"/>
      <c r="M77" s="22"/>
      <c r="N77" s="321"/>
      <c r="O77" s="321"/>
      <c r="P77" s="321"/>
      <c r="Q77" s="321"/>
      <c r="R77" s="22"/>
      <c r="S77" s="22"/>
      <c r="T77" s="22"/>
      <c r="U77" s="22"/>
      <c r="V77" s="22"/>
      <c r="W77" s="22"/>
      <c r="X77" s="22"/>
    </row>
    <row r="78" spans="1:24">
      <c r="A78" s="24" t="s">
        <v>48</v>
      </c>
      <c r="B78" s="303"/>
      <c r="C78" s="303"/>
      <c r="D78" s="303"/>
      <c r="E78" s="26"/>
      <c r="F78" s="220"/>
      <c r="G78" s="220"/>
      <c r="H78" s="220"/>
      <c r="I78" s="26"/>
      <c r="J78" s="26"/>
      <c r="K78" s="26"/>
      <c r="L78" s="26"/>
      <c r="M78" s="26"/>
      <c r="N78" s="319"/>
      <c r="O78" s="319"/>
      <c r="P78" s="319"/>
      <c r="Q78" s="319"/>
      <c r="R78" s="22"/>
      <c r="S78" s="22"/>
      <c r="T78" s="22"/>
      <c r="U78" s="22"/>
      <c r="V78" s="22"/>
      <c r="W78" s="22"/>
      <c r="X78" s="22"/>
    </row>
    <row r="79" spans="1:24">
      <c r="A79" s="24" t="s">
        <v>48</v>
      </c>
      <c r="B79" s="303"/>
      <c r="C79" s="303"/>
      <c r="D79" s="303"/>
      <c r="E79" s="26"/>
      <c r="F79" s="220"/>
      <c r="G79" s="220"/>
      <c r="H79" s="220"/>
      <c r="I79" s="26"/>
      <c r="J79" s="26"/>
      <c r="K79" s="26"/>
      <c r="L79" s="26"/>
      <c r="M79" s="26"/>
      <c r="N79" s="319"/>
      <c r="O79" s="319"/>
      <c r="P79" s="319"/>
      <c r="Q79" s="319"/>
      <c r="R79" s="22"/>
      <c r="S79" s="22"/>
      <c r="T79" s="22"/>
      <c r="U79" s="22"/>
      <c r="V79" s="22"/>
      <c r="W79" s="22"/>
      <c r="X79" s="22"/>
    </row>
    <row r="80" spans="1:24">
      <c r="A80" s="24" t="s">
        <v>48</v>
      </c>
      <c r="B80" s="303"/>
      <c r="C80" s="303"/>
      <c r="D80" s="303"/>
      <c r="E80" s="26"/>
      <c r="F80" s="220"/>
      <c r="G80" s="220"/>
      <c r="H80" s="220"/>
      <c r="I80" s="26"/>
      <c r="J80" s="26"/>
      <c r="K80" s="26"/>
      <c r="L80" s="26"/>
      <c r="M80" s="26"/>
      <c r="N80" s="319"/>
      <c r="O80" s="319"/>
      <c r="P80" s="319"/>
      <c r="Q80" s="319"/>
      <c r="R80" s="22"/>
      <c r="S80" s="22"/>
      <c r="T80" s="22"/>
      <c r="U80" s="22"/>
      <c r="V80" s="22"/>
      <c r="W80" s="22"/>
      <c r="X80" s="22"/>
    </row>
    <row r="81" spans="1:24">
      <c r="A81" s="22"/>
      <c r="B81" s="299"/>
      <c r="C81" s="299"/>
      <c r="D81" s="299"/>
      <c r="E81" s="22"/>
      <c r="F81" s="220"/>
      <c r="G81" s="220"/>
      <c r="H81" s="220"/>
      <c r="I81" s="22"/>
      <c r="J81" s="22"/>
      <c r="K81" s="22"/>
      <c r="L81" s="22"/>
      <c r="M81" s="22"/>
      <c r="N81" s="321"/>
      <c r="O81" s="321"/>
      <c r="P81" s="321"/>
      <c r="Q81" s="321"/>
      <c r="R81" s="22"/>
      <c r="S81" s="22"/>
      <c r="T81" s="22"/>
      <c r="U81" s="22"/>
      <c r="V81" s="22"/>
      <c r="W81" s="22"/>
      <c r="X81" s="22"/>
    </row>
    <row r="82" spans="1:24">
      <c r="A82" s="22"/>
      <c r="B82" s="299"/>
      <c r="C82" s="299"/>
      <c r="D82" s="299"/>
      <c r="E82" s="22"/>
      <c r="F82" s="220"/>
      <c r="G82" s="220"/>
      <c r="H82" s="220"/>
      <c r="I82" s="22"/>
      <c r="J82" s="22"/>
      <c r="K82" s="22"/>
      <c r="L82" s="22"/>
      <c r="M82" s="22"/>
      <c r="N82" s="321"/>
      <c r="O82" s="321"/>
      <c r="P82" s="321"/>
      <c r="Q82" s="321"/>
      <c r="R82" s="22"/>
      <c r="S82" s="22"/>
      <c r="T82" s="22"/>
      <c r="U82" s="22"/>
      <c r="V82" s="22"/>
      <c r="W82" s="22"/>
      <c r="X82" s="22"/>
    </row>
    <row r="83" spans="1:24">
      <c r="A83" s="24" t="s">
        <v>48</v>
      </c>
      <c r="B83" s="303"/>
      <c r="C83" s="303"/>
      <c r="D83" s="303"/>
      <c r="E83" s="26"/>
      <c r="F83" s="220"/>
      <c r="G83" s="220"/>
      <c r="H83" s="220"/>
      <c r="I83" s="26"/>
      <c r="J83" s="26"/>
      <c r="K83" s="26"/>
      <c r="L83" s="26"/>
      <c r="M83" s="26"/>
      <c r="N83" s="319"/>
      <c r="O83" s="319"/>
      <c r="P83" s="319"/>
      <c r="Q83" s="319"/>
      <c r="R83" s="22"/>
      <c r="S83" s="22"/>
      <c r="T83" s="22"/>
      <c r="U83" s="22"/>
      <c r="V83" s="22"/>
      <c r="W83" s="22"/>
      <c r="X83" s="22"/>
    </row>
    <row r="84" spans="1:24" s="9" customFormat="1">
      <c r="A84" s="24" t="s">
        <v>61</v>
      </c>
      <c r="B84" s="303"/>
      <c r="C84" s="303"/>
      <c r="D84" s="303"/>
      <c r="E84" s="26">
        <f>'c12_sk'!E8</f>
        <v>0</v>
      </c>
      <c r="F84" s="26">
        <f>'c12_sk'!F8</f>
        <v>-250000</v>
      </c>
      <c r="G84" s="26">
        <f>'c12_sk'!G8</f>
        <v>-250000</v>
      </c>
      <c r="H84" s="26">
        <f>'c12_sk'!H8</f>
        <v>0</v>
      </c>
      <c r="I84" s="26">
        <f>'c12_sk'!I8</f>
        <v>-250000</v>
      </c>
      <c r="J84" s="26">
        <f>'c12_sk'!J8</f>
        <v>-250000</v>
      </c>
      <c r="K84" s="26">
        <f>'c12_sk'!K8</f>
        <v>-250000</v>
      </c>
      <c r="L84" s="26">
        <f>'c12_sk'!L8</f>
        <v>-250000</v>
      </c>
      <c r="M84" s="26">
        <f>'c12_sk'!M8</f>
        <v>-250000</v>
      </c>
      <c r="N84" s="319">
        <f>'c12_sk'!N8</f>
        <v>-250000</v>
      </c>
      <c r="O84" s="319">
        <f>'c12_sk'!O8</f>
        <v>-250000</v>
      </c>
      <c r="P84" s="319">
        <f>'c12_sk'!P8</f>
        <v>-250000</v>
      </c>
      <c r="Q84" s="319">
        <f>'c12_sk'!Q8</f>
        <v>-250000</v>
      </c>
      <c r="R84" s="22" t="s">
        <v>60</v>
      </c>
      <c r="S84" s="22"/>
      <c r="T84" s="22"/>
      <c r="U84" s="22"/>
      <c r="V84" s="22"/>
      <c r="W84" s="22"/>
      <c r="X84" s="22"/>
    </row>
    <row r="85" spans="1:24">
      <c r="A85" s="22"/>
      <c r="B85" s="299"/>
      <c r="C85" s="299"/>
      <c r="D85" s="299"/>
      <c r="E85" s="22"/>
      <c r="F85" s="220"/>
      <c r="G85" s="220"/>
      <c r="H85" s="220"/>
      <c r="I85" s="22"/>
      <c r="J85" s="22"/>
      <c r="K85" s="22"/>
      <c r="L85" s="22"/>
      <c r="M85" s="22"/>
      <c r="N85" s="321"/>
      <c r="O85" s="321"/>
      <c r="P85" s="321"/>
      <c r="Q85" s="321"/>
      <c r="R85" s="22"/>
      <c r="S85" s="22"/>
      <c r="T85" s="22"/>
      <c r="U85" s="22"/>
      <c r="V85" s="22"/>
      <c r="W85" s="22"/>
      <c r="X85" s="22"/>
    </row>
    <row r="86" spans="1:24">
      <c r="A86" s="22"/>
      <c r="B86" s="299"/>
      <c r="C86" s="299"/>
      <c r="D86" s="299"/>
      <c r="E86" s="22"/>
      <c r="F86" s="220"/>
      <c r="G86" s="220"/>
      <c r="H86" s="220"/>
      <c r="I86" s="22"/>
      <c r="J86" s="22"/>
      <c r="K86" s="22"/>
      <c r="L86" s="22"/>
      <c r="M86" s="37"/>
      <c r="N86" s="298"/>
      <c r="O86" s="298"/>
      <c r="P86" s="298"/>
      <c r="Q86" s="298"/>
      <c r="R86" s="22"/>
      <c r="S86" s="22"/>
      <c r="T86" s="22"/>
      <c r="U86" s="22"/>
      <c r="V86" s="22"/>
      <c r="W86" s="22"/>
      <c r="X86" s="22"/>
    </row>
    <row r="87" spans="1:24">
      <c r="A87" s="24" t="s">
        <v>48</v>
      </c>
      <c r="B87" s="303"/>
      <c r="C87" s="303"/>
      <c r="D87" s="303"/>
      <c r="E87" s="26"/>
      <c r="F87" s="220"/>
      <c r="G87" s="220"/>
      <c r="H87" s="220"/>
      <c r="I87" s="26"/>
      <c r="J87" s="26"/>
      <c r="K87" s="26"/>
      <c r="L87" s="26"/>
      <c r="M87" s="26"/>
      <c r="N87" s="319"/>
      <c r="O87" s="319"/>
      <c r="P87" s="319"/>
      <c r="Q87" s="319"/>
      <c r="R87" s="22"/>
      <c r="S87" s="22"/>
      <c r="T87" s="22"/>
      <c r="U87" s="22"/>
      <c r="V87" s="22"/>
      <c r="W87" s="22"/>
      <c r="X87" s="22"/>
    </row>
    <row r="88" spans="1:24">
      <c r="A88" s="24" t="s">
        <v>48</v>
      </c>
      <c r="B88" s="303"/>
      <c r="C88" s="303"/>
      <c r="D88" s="303"/>
      <c r="E88" s="26"/>
      <c r="F88" s="220"/>
      <c r="G88" s="220"/>
      <c r="H88" s="220"/>
      <c r="I88" s="26"/>
      <c r="J88" s="26"/>
      <c r="K88" s="26"/>
      <c r="L88" s="26"/>
      <c r="M88" s="26"/>
      <c r="N88" s="326"/>
      <c r="O88" s="319"/>
      <c r="P88" s="319"/>
      <c r="Q88" s="319"/>
      <c r="R88" s="22"/>
      <c r="S88" s="22"/>
      <c r="T88" s="22"/>
      <c r="U88" s="22"/>
      <c r="V88" s="22"/>
      <c r="W88" s="22"/>
      <c r="X88" s="22"/>
    </row>
    <row r="89" spans="1:24">
      <c r="A89" s="22"/>
      <c r="B89" s="299"/>
      <c r="C89" s="299"/>
      <c r="D89" s="299"/>
      <c r="E89" s="22"/>
      <c r="F89" s="220"/>
      <c r="G89" s="220"/>
      <c r="H89" s="220"/>
      <c r="I89" s="22"/>
      <c r="J89" s="22"/>
      <c r="K89" s="22"/>
      <c r="L89" s="22"/>
      <c r="M89" s="37"/>
      <c r="N89" s="298"/>
      <c r="O89" s="298"/>
      <c r="P89" s="298"/>
      <c r="Q89" s="298"/>
      <c r="R89" s="22"/>
      <c r="S89" s="22"/>
      <c r="T89" s="22"/>
      <c r="U89" s="22"/>
      <c r="V89" s="22"/>
      <c r="W89" s="22"/>
      <c r="X89" s="22"/>
    </row>
    <row r="90" spans="1:24">
      <c r="A90" s="22"/>
      <c r="B90" s="299"/>
      <c r="C90" s="299"/>
      <c r="D90" s="299"/>
      <c r="E90" s="22"/>
      <c r="F90" s="220"/>
      <c r="G90" s="220"/>
      <c r="H90" s="220"/>
      <c r="I90" s="22"/>
      <c r="J90" s="22"/>
      <c r="K90" s="22"/>
      <c r="L90" s="22"/>
      <c r="M90" s="37"/>
      <c r="N90" s="298"/>
      <c r="O90" s="298"/>
      <c r="P90" s="298"/>
      <c r="Q90" s="298"/>
      <c r="R90" s="22"/>
      <c r="S90" s="22"/>
      <c r="T90" s="22"/>
      <c r="U90" s="22"/>
      <c r="V90" s="22"/>
      <c r="W90" s="22"/>
      <c r="X90" s="22"/>
    </row>
    <row r="91" spans="1:24">
      <c r="A91" s="22"/>
      <c r="B91" s="299"/>
      <c r="C91" s="299"/>
      <c r="D91" s="299"/>
      <c r="E91" s="22"/>
      <c r="F91" s="220"/>
      <c r="G91" s="220"/>
      <c r="H91" s="220"/>
      <c r="I91" s="22"/>
      <c r="J91" s="22"/>
      <c r="K91" s="22"/>
      <c r="L91" s="22"/>
      <c r="M91" s="37"/>
      <c r="N91" s="298"/>
      <c r="O91" s="298"/>
      <c r="P91" s="298"/>
      <c r="Q91" s="298"/>
      <c r="R91" s="22"/>
      <c r="S91" s="22"/>
      <c r="T91" s="22"/>
      <c r="U91" s="22"/>
      <c r="V91" s="22"/>
      <c r="W91" s="22"/>
      <c r="X91" s="22"/>
    </row>
    <row r="92" spans="1:24">
      <c r="A92" s="24" t="s">
        <v>48</v>
      </c>
      <c r="B92" s="303"/>
      <c r="C92" s="303"/>
      <c r="D92" s="303"/>
      <c r="E92" s="26"/>
      <c r="F92" s="220"/>
      <c r="G92" s="220"/>
      <c r="H92" s="220"/>
      <c r="I92" s="26"/>
      <c r="J92" s="26"/>
      <c r="K92" s="26"/>
      <c r="L92" s="26"/>
      <c r="M92" s="37"/>
      <c r="N92" s="298"/>
      <c r="O92" s="298"/>
      <c r="P92" s="298"/>
      <c r="Q92" s="298"/>
      <c r="R92" s="22"/>
      <c r="S92" s="22"/>
      <c r="T92" s="22"/>
      <c r="U92" s="22"/>
      <c r="V92" s="22"/>
      <c r="W92" s="22"/>
      <c r="X92" s="22"/>
    </row>
    <row r="93" spans="1:24">
      <c r="A93" s="22"/>
      <c r="B93" s="299"/>
      <c r="C93" s="299"/>
      <c r="D93" s="299"/>
      <c r="E93" s="22"/>
      <c r="F93" s="220"/>
      <c r="G93" s="220"/>
      <c r="H93" s="220"/>
      <c r="I93" s="22"/>
      <c r="J93" s="22"/>
      <c r="K93" s="22"/>
      <c r="L93" s="22"/>
      <c r="M93" s="37"/>
      <c r="N93" s="298"/>
      <c r="O93" s="298"/>
      <c r="P93" s="298"/>
      <c r="Q93" s="298"/>
      <c r="R93" s="22"/>
      <c r="S93" s="22"/>
      <c r="T93" s="22"/>
      <c r="U93" s="22"/>
      <c r="V93" s="22"/>
      <c r="W93" s="22"/>
      <c r="X93" s="22"/>
    </row>
    <row r="94" spans="1:24">
      <c r="A94" s="22" t="s">
        <v>48</v>
      </c>
      <c r="B94" s="299"/>
      <c r="C94" s="299"/>
      <c r="D94" s="299"/>
      <c r="E94" s="22"/>
      <c r="F94" s="220"/>
      <c r="G94" s="220"/>
      <c r="H94" s="220"/>
      <c r="I94" s="22"/>
      <c r="J94" s="22"/>
      <c r="K94" s="22"/>
      <c r="L94" s="22"/>
      <c r="M94" s="22"/>
      <c r="N94" s="321"/>
      <c r="O94" s="321"/>
      <c r="P94" s="321"/>
      <c r="Q94" s="321"/>
      <c r="R94" s="22"/>
      <c r="S94" s="22"/>
      <c r="T94" s="22"/>
      <c r="U94" s="22"/>
      <c r="V94" s="22"/>
      <c r="W94" s="22"/>
      <c r="X94" s="22"/>
    </row>
    <row r="95" spans="1:24">
      <c r="A95" s="24" t="s">
        <v>48</v>
      </c>
      <c r="B95" s="303"/>
      <c r="C95" s="303"/>
      <c r="D95" s="303"/>
      <c r="E95" s="26"/>
      <c r="F95" s="220"/>
      <c r="G95" s="220"/>
      <c r="H95" s="220"/>
      <c r="I95" s="26"/>
      <c r="J95" s="26"/>
      <c r="K95" s="26"/>
      <c r="L95" s="26"/>
      <c r="M95" s="37"/>
      <c r="N95" s="298"/>
      <c r="O95" s="298"/>
      <c r="P95" s="298"/>
      <c r="Q95" s="298"/>
      <c r="R95" s="22"/>
      <c r="S95" s="22"/>
      <c r="T95" s="22"/>
      <c r="U95" s="22"/>
      <c r="V95" s="22"/>
      <c r="W95" s="22"/>
      <c r="X95" s="22"/>
    </row>
    <row r="96" spans="1:24" s="17" customFormat="1">
      <c r="A96" s="41" t="s">
        <v>62</v>
      </c>
      <c r="B96" s="307"/>
      <c r="C96" s="307"/>
      <c r="D96" s="307"/>
      <c r="E96" s="26">
        <f>+'c12_oc'!E39</f>
        <v>-5450569</v>
      </c>
      <c r="F96" s="26">
        <f>+'c12_oc'!F39</f>
        <v>-2917273</v>
      </c>
      <c r="G96" s="26">
        <f>+'c12_oc'!G39</f>
        <v>-4057849.8571428568</v>
      </c>
      <c r="H96" s="26">
        <f>+'c12_oc'!H39</f>
        <v>0</v>
      </c>
      <c r="I96" s="26">
        <f>+'c12_oc'!I39</f>
        <v>-2917273</v>
      </c>
      <c r="J96" s="26">
        <f>+'c12_oc'!J39</f>
        <v>-4057849.8571428573</v>
      </c>
      <c r="K96" s="26">
        <f>+'c12_oc'!K39</f>
        <v>-4457407</v>
      </c>
      <c r="L96" s="26">
        <f>+'c12_oc'!L39</f>
        <v>-2834607</v>
      </c>
      <c r="M96" s="26">
        <f>+'c12_oc'!M39</f>
        <v>-4930793.25</v>
      </c>
      <c r="N96" s="319">
        <f>+'c12_oc'!N39</f>
        <v>-4930793.25</v>
      </c>
      <c r="O96" s="319">
        <f>+'c12_oc'!O39</f>
        <v>-4930793.25</v>
      </c>
      <c r="P96" s="319">
        <f>+'c12_oc'!P39</f>
        <v>-4930793.25</v>
      </c>
      <c r="Q96" s="319">
        <f>+'c12_oc'!Q39</f>
        <v>-4930793.25</v>
      </c>
      <c r="R96" s="22" t="s">
        <v>57</v>
      </c>
      <c r="S96" s="22"/>
      <c r="T96" s="22"/>
      <c r="U96" s="22"/>
      <c r="V96" s="22"/>
      <c r="W96" s="22"/>
      <c r="X96" s="22"/>
    </row>
    <row r="97" spans="1:24" s="17" customFormat="1">
      <c r="A97" s="41" t="s">
        <v>48</v>
      </c>
      <c r="B97" s="307"/>
      <c r="C97" s="307"/>
      <c r="D97" s="307"/>
      <c r="E97" s="26"/>
      <c r="F97" s="220"/>
      <c r="G97" s="220"/>
      <c r="H97" s="220"/>
      <c r="I97" s="26"/>
      <c r="J97" s="26"/>
      <c r="K97" s="26"/>
      <c r="L97" s="26"/>
      <c r="M97" s="26"/>
      <c r="N97" s="319"/>
      <c r="O97" s="319"/>
      <c r="P97" s="319"/>
      <c r="Q97" s="319"/>
      <c r="R97" s="22"/>
      <c r="S97" s="22"/>
      <c r="T97" s="22"/>
      <c r="U97" s="22"/>
      <c r="V97" s="22"/>
      <c r="W97" s="22"/>
      <c r="X97" s="22"/>
    </row>
    <row r="98" spans="1:24">
      <c r="A98" s="24" t="s">
        <v>48</v>
      </c>
      <c r="B98" s="303"/>
      <c r="C98" s="303"/>
      <c r="D98" s="303"/>
      <c r="E98" s="26"/>
      <c r="F98" s="220"/>
      <c r="G98" s="220"/>
      <c r="H98" s="220"/>
      <c r="I98" s="26"/>
      <c r="J98" s="26"/>
      <c r="K98" s="26"/>
      <c r="L98" s="26"/>
      <c r="M98" s="37"/>
      <c r="N98" s="298"/>
      <c r="O98" s="298"/>
      <c r="P98" s="298"/>
      <c r="Q98" s="298"/>
      <c r="R98" s="22"/>
      <c r="S98" s="22"/>
      <c r="T98" s="22"/>
      <c r="U98" s="22"/>
      <c r="V98" s="22"/>
      <c r="W98" s="22"/>
      <c r="X98" s="22"/>
    </row>
    <row r="99" spans="1:24">
      <c r="A99" s="24" t="s">
        <v>48</v>
      </c>
      <c r="B99" s="303"/>
      <c r="C99" s="303"/>
      <c r="D99" s="303"/>
      <c r="E99" s="26"/>
      <c r="F99" s="220"/>
      <c r="G99" s="220"/>
      <c r="H99" s="220"/>
      <c r="I99" s="26"/>
      <c r="J99" s="26"/>
      <c r="K99" s="26"/>
      <c r="L99" s="26"/>
      <c r="M99" s="37"/>
      <c r="N99" s="298"/>
      <c r="O99" s="298"/>
      <c r="P99" s="298"/>
      <c r="Q99" s="298"/>
      <c r="R99" s="22"/>
      <c r="S99" s="22"/>
      <c r="T99" s="22"/>
      <c r="U99" s="22"/>
      <c r="V99" s="22"/>
      <c r="W99" s="22"/>
      <c r="X99" s="22"/>
    </row>
    <row r="100" spans="1:24">
      <c r="A100" s="24" t="s">
        <v>48</v>
      </c>
      <c r="B100" s="303"/>
      <c r="C100" s="303"/>
      <c r="D100" s="303"/>
      <c r="E100" s="26"/>
      <c r="F100" s="220"/>
      <c r="G100" s="220"/>
      <c r="H100" s="220"/>
      <c r="I100" s="26"/>
      <c r="J100" s="26"/>
      <c r="K100" s="26"/>
      <c r="L100" s="26"/>
      <c r="M100" s="37"/>
      <c r="N100" s="298"/>
      <c r="O100" s="298"/>
      <c r="P100" s="298"/>
      <c r="Q100" s="298"/>
      <c r="R100" s="22"/>
      <c r="S100" s="22"/>
      <c r="T100" s="22"/>
      <c r="U100" s="22"/>
      <c r="V100" s="22"/>
      <c r="W100" s="22"/>
      <c r="X100" s="22"/>
    </row>
    <row r="101" spans="1:24">
      <c r="A101" s="24" t="s">
        <v>48</v>
      </c>
      <c r="B101" s="303"/>
      <c r="C101" s="303"/>
      <c r="D101" s="303"/>
      <c r="E101" s="26"/>
      <c r="F101" s="220"/>
      <c r="G101" s="220"/>
      <c r="H101" s="220"/>
      <c r="I101" s="26"/>
      <c r="J101" s="26"/>
      <c r="K101" s="26"/>
      <c r="L101" s="26"/>
      <c r="M101" s="26"/>
      <c r="N101" s="319"/>
      <c r="O101" s="319"/>
      <c r="P101" s="319"/>
      <c r="Q101" s="319"/>
      <c r="R101" s="22"/>
      <c r="S101" s="22"/>
      <c r="T101" s="22"/>
      <c r="U101" s="22"/>
      <c r="V101" s="22"/>
      <c r="W101" s="22"/>
      <c r="X101" s="22"/>
    </row>
    <row r="102" spans="1:24">
      <c r="A102" s="24" t="s">
        <v>48</v>
      </c>
      <c r="B102" s="303"/>
      <c r="C102" s="303"/>
      <c r="D102" s="303"/>
      <c r="E102" s="26"/>
      <c r="F102" s="220"/>
      <c r="G102" s="220"/>
      <c r="H102" s="220"/>
      <c r="I102" s="26"/>
      <c r="J102" s="26"/>
      <c r="K102" s="26"/>
      <c r="L102" s="26"/>
      <c r="M102" s="37"/>
      <c r="N102" s="298"/>
      <c r="O102" s="298"/>
      <c r="P102" s="298"/>
      <c r="Q102" s="298"/>
      <c r="R102" s="22"/>
      <c r="S102" s="22"/>
      <c r="T102" s="22"/>
      <c r="U102" s="22"/>
      <c r="V102" s="22"/>
      <c r="W102" s="22"/>
      <c r="X102" s="22"/>
    </row>
    <row r="103" spans="1:24">
      <c r="A103" s="24" t="s">
        <v>63</v>
      </c>
      <c r="B103" s="303"/>
      <c r="C103" s="303"/>
      <c r="D103" s="303"/>
      <c r="E103" s="26">
        <f>'c12_sk'!E9</f>
        <v>0</v>
      </c>
      <c r="F103" s="26">
        <f>'c12_sk'!F9</f>
        <v>0</v>
      </c>
      <c r="G103" s="26">
        <f>'c12_sk'!G9</f>
        <v>-1200000</v>
      </c>
      <c r="H103" s="26">
        <f>'c12_sk'!H9</f>
        <v>0</v>
      </c>
      <c r="I103" s="26">
        <f>'c12_sk'!I9</f>
        <v>0</v>
      </c>
      <c r="J103" s="26">
        <f>'c12_sk'!J9</f>
        <v>0</v>
      </c>
      <c r="K103" s="26">
        <f>'c12_sk'!K9</f>
        <v>0</v>
      </c>
      <c r="L103" s="26">
        <f>'c12_sk'!L9</f>
        <v>0</v>
      </c>
      <c r="M103" s="26">
        <f>'c12_sk'!M9</f>
        <v>0</v>
      </c>
      <c r="N103" s="319">
        <f>'c12_sk'!N9</f>
        <v>0</v>
      </c>
      <c r="O103" s="319">
        <f>'c12_sk'!O9</f>
        <v>0</v>
      </c>
      <c r="P103" s="319">
        <f>'c12_sk'!P9</f>
        <v>0</v>
      </c>
      <c r="Q103" s="319">
        <f>'c12_sk'!Q9</f>
        <v>0</v>
      </c>
      <c r="R103" s="22" t="s">
        <v>60</v>
      </c>
      <c r="S103" s="22"/>
      <c r="T103" s="22"/>
      <c r="U103" s="22"/>
      <c r="V103" s="22"/>
      <c r="W103" s="22"/>
      <c r="X103" s="22"/>
    </row>
    <row r="104" spans="1:24">
      <c r="A104" s="22"/>
      <c r="B104" s="299"/>
      <c r="C104" s="299"/>
      <c r="D104" s="299"/>
      <c r="E104" s="22"/>
      <c r="F104" s="220"/>
      <c r="G104" s="220"/>
      <c r="H104" s="220"/>
      <c r="I104" s="22"/>
      <c r="J104" s="22"/>
      <c r="K104" s="22"/>
      <c r="L104" s="22"/>
      <c r="M104" s="37"/>
      <c r="N104" s="298"/>
      <c r="O104" s="298"/>
      <c r="P104" s="298"/>
      <c r="Q104" s="298"/>
      <c r="R104" s="22"/>
      <c r="S104" s="22"/>
      <c r="T104" s="22"/>
      <c r="U104" s="22"/>
      <c r="V104" s="22"/>
      <c r="W104" s="22"/>
      <c r="X104" s="22"/>
    </row>
    <row r="105" spans="1:24">
      <c r="A105" s="290" t="s">
        <v>64</v>
      </c>
      <c r="B105" s="308"/>
      <c r="C105" s="308"/>
      <c r="D105" s="308"/>
      <c r="E105" s="34">
        <f>-'c12_oc'!E62</f>
        <v>1540999</v>
      </c>
      <c r="F105" s="34">
        <f>-'c12_oc'!F62</f>
        <v>1924884.2757142859</v>
      </c>
      <c r="G105" s="34">
        <f>-'c12_oc'!G62</f>
        <v>0</v>
      </c>
      <c r="H105" s="34">
        <f>-'c12_oc'!H62</f>
        <v>0</v>
      </c>
      <c r="I105" s="34">
        <f>-'c12_oc'!I62</f>
        <v>1924884.2757142859</v>
      </c>
      <c r="J105" s="34">
        <f>-'c12_oc'!J62</f>
        <v>48632.013333333423</v>
      </c>
      <c r="K105" s="34">
        <f>-'c12_oc'!K62</f>
        <v>0</v>
      </c>
      <c r="L105" s="34">
        <f>-'c12_oc'!L62</f>
        <v>0</v>
      </c>
      <c r="M105" s="34">
        <f>-'c12_oc'!M62</f>
        <v>0</v>
      </c>
      <c r="N105" s="322">
        <f>-'c12_oc'!N62</f>
        <v>0</v>
      </c>
      <c r="O105" s="322">
        <f>-'c12_oc'!O62</f>
        <v>0</v>
      </c>
      <c r="P105" s="322">
        <f>-'c12_oc'!P62</f>
        <v>0</v>
      </c>
      <c r="Q105" s="322">
        <f>-'c12_oc'!Q62</f>
        <v>0</v>
      </c>
      <c r="R105" s="22" t="s">
        <v>57</v>
      </c>
      <c r="S105" s="22"/>
      <c r="T105" s="22"/>
      <c r="U105" s="22"/>
      <c r="V105" s="22"/>
      <c r="W105" s="22"/>
      <c r="X105" s="22"/>
    </row>
    <row r="106" spans="1:24">
      <c r="A106" s="24" t="s">
        <v>65</v>
      </c>
      <c r="B106" s="303"/>
      <c r="C106" s="303"/>
      <c r="D106" s="303"/>
      <c r="E106" s="26">
        <f>+'c12_oc'!E68</f>
        <v>0</v>
      </c>
      <c r="F106" s="26">
        <f>+'c12_oc'!F68</f>
        <v>5365480</v>
      </c>
      <c r="G106" s="26">
        <f>+'c12_oc'!G68</f>
        <v>6120868.2725</v>
      </c>
      <c r="H106" s="26">
        <f>+'c12_oc'!H68</f>
        <v>0</v>
      </c>
      <c r="I106" s="26">
        <f>+'c12_oc'!I68</f>
        <v>5365480</v>
      </c>
      <c r="J106" s="26">
        <f>+'c12_oc'!J68</f>
        <v>6120868.2725</v>
      </c>
      <c r="K106" s="26">
        <f>+'c12_oc'!K68</f>
        <v>5640774.3650000002</v>
      </c>
      <c r="L106" s="26">
        <f>+'c12_oc'!L68</f>
        <v>5378861.4574999996</v>
      </c>
      <c r="M106" s="26">
        <f>+'c12_oc'!M68</f>
        <v>4945267.55</v>
      </c>
      <c r="N106" s="319">
        <f>+'c12_oc'!N68</f>
        <v>7045267.5499999998</v>
      </c>
      <c r="O106" s="319">
        <f>+'c12_oc'!O68</f>
        <v>9145267.5500000007</v>
      </c>
      <c r="P106" s="319">
        <f>+'c12_oc'!P68</f>
        <v>11245267.550000001</v>
      </c>
      <c r="Q106" s="319">
        <f>+'c12_oc'!Q68</f>
        <v>13345267.550000001</v>
      </c>
      <c r="R106" s="22" t="s">
        <v>57</v>
      </c>
      <c r="S106" s="22"/>
      <c r="T106" s="22"/>
      <c r="U106" s="22"/>
      <c r="V106" s="22"/>
      <c r="W106" s="22"/>
      <c r="X106" s="22"/>
    </row>
    <row r="107" spans="1:24">
      <c r="A107" s="24" t="s">
        <v>66</v>
      </c>
      <c r="B107" s="303"/>
      <c r="C107" s="303"/>
      <c r="D107" s="303"/>
      <c r="E107" s="26">
        <f>-'c12_oc'!E74</f>
        <v>0</v>
      </c>
      <c r="F107" s="26">
        <f>-'c12_oc'!F74</f>
        <v>-2964570.5</v>
      </c>
      <c r="G107" s="26">
        <f>-'c12_oc'!G74</f>
        <v>-2970159.2973750001</v>
      </c>
      <c r="H107" s="26">
        <f>-'c12_oc'!H74</f>
        <v>0</v>
      </c>
      <c r="I107" s="26">
        <f>-'c12_oc'!I74</f>
        <v>-2964570.5</v>
      </c>
      <c r="J107" s="26">
        <f>-'c12_oc'!J74</f>
        <v>-2970159.2973749996</v>
      </c>
      <c r="K107" s="26">
        <f>-'c12_oc'!K74</f>
        <v>-2465036.0922499998</v>
      </c>
      <c r="L107" s="26">
        <f>-'c12_oc'!L74</f>
        <v>-2022503.3871249997</v>
      </c>
      <c r="M107" s="26">
        <f>-'c12_oc'!M74</f>
        <v>-1664945.5194999997</v>
      </c>
      <c r="N107" s="319">
        <f>-'c12_oc'!N74</f>
        <v>-2399945.5194999995</v>
      </c>
      <c r="O107" s="319">
        <f>-'c12_oc'!O74</f>
        <v>-3134945.5194999995</v>
      </c>
      <c r="P107" s="319">
        <f>-'c12_oc'!P74</f>
        <v>-3869945.5194999995</v>
      </c>
      <c r="Q107" s="319">
        <f>-'c12_oc'!Q74</f>
        <v>-4604945.5194999995</v>
      </c>
      <c r="R107" s="22" t="s">
        <v>57</v>
      </c>
      <c r="S107" s="22"/>
      <c r="T107" s="22"/>
      <c r="U107" s="22"/>
      <c r="V107" s="22"/>
      <c r="W107" s="22"/>
      <c r="X107" s="22"/>
    </row>
    <row r="108" spans="1:24">
      <c r="A108" s="22"/>
      <c r="B108" s="299"/>
      <c r="C108" s="299"/>
      <c r="D108" s="299"/>
      <c r="E108" s="22"/>
      <c r="F108" s="220"/>
      <c r="G108" s="220"/>
      <c r="H108" s="220"/>
      <c r="I108" s="22"/>
      <c r="J108" s="22"/>
      <c r="K108" s="22"/>
      <c r="L108" s="22"/>
      <c r="M108" s="37"/>
      <c r="N108" s="298"/>
      <c r="O108" s="298"/>
      <c r="P108" s="298"/>
      <c r="Q108" s="298"/>
      <c r="R108" s="22"/>
      <c r="S108" s="22"/>
      <c r="T108" s="22"/>
      <c r="U108" s="22"/>
      <c r="V108" s="22"/>
      <c r="W108" s="22"/>
      <c r="X108" s="22"/>
    </row>
    <row r="109" spans="1:24">
      <c r="A109" s="22"/>
      <c r="B109" s="299"/>
      <c r="C109" s="299"/>
      <c r="D109" s="299"/>
      <c r="E109" s="22"/>
      <c r="F109" s="220"/>
      <c r="G109" s="220"/>
      <c r="H109" s="220"/>
      <c r="I109" s="22"/>
      <c r="J109" s="22"/>
      <c r="K109" s="22"/>
      <c r="L109" s="22"/>
      <c r="M109" s="43"/>
      <c r="N109" s="327"/>
      <c r="O109" s="327"/>
      <c r="P109" s="327"/>
      <c r="Q109" s="327"/>
      <c r="R109" s="22"/>
      <c r="S109" s="22"/>
      <c r="T109" s="22"/>
      <c r="U109" s="22"/>
      <c r="V109" s="22"/>
      <c r="W109" s="22"/>
      <c r="X109" s="22"/>
    </row>
    <row r="110" spans="1:24">
      <c r="A110" s="22"/>
      <c r="B110" s="299"/>
      <c r="C110" s="299"/>
      <c r="D110" s="299"/>
      <c r="E110" s="22"/>
      <c r="F110" s="220"/>
      <c r="G110" s="220"/>
      <c r="H110" s="220"/>
      <c r="I110" s="22"/>
      <c r="J110" s="22"/>
      <c r="K110" s="22"/>
      <c r="L110" s="22"/>
      <c r="M110" s="37"/>
      <c r="N110" s="298"/>
      <c r="O110" s="298"/>
      <c r="P110" s="298"/>
      <c r="Q110" s="298"/>
      <c r="R110" s="22"/>
      <c r="S110" s="22"/>
      <c r="T110" s="22"/>
      <c r="U110" s="22"/>
      <c r="V110" s="22"/>
      <c r="W110" s="22"/>
      <c r="X110" s="22"/>
    </row>
    <row r="111" spans="1:24">
      <c r="A111" s="22"/>
      <c r="B111" s="299"/>
      <c r="C111" s="299"/>
      <c r="D111" s="299"/>
      <c r="E111" s="22"/>
      <c r="F111" s="220"/>
      <c r="G111" s="220"/>
      <c r="H111" s="220"/>
      <c r="I111" s="22"/>
      <c r="J111" s="22"/>
      <c r="K111" s="22"/>
      <c r="L111" s="22"/>
      <c r="M111" s="37"/>
      <c r="N111" s="298"/>
      <c r="O111" s="298"/>
      <c r="P111" s="298"/>
      <c r="Q111" s="298"/>
      <c r="R111" s="22"/>
      <c r="S111" s="22"/>
      <c r="T111" s="22"/>
      <c r="U111" s="22"/>
      <c r="V111" s="22"/>
      <c r="W111" s="22"/>
      <c r="X111" s="22"/>
    </row>
    <row r="112" spans="1:24">
      <c r="A112" s="22"/>
      <c r="B112" s="299"/>
      <c r="C112" s="299"/>
      <c r="D112" s="299"/>
      <c r="E112" s="22"/>
      <c r="F112" s="220"/>
      <c r="G112" s="220"/>
      <c r="H112" s="220"/>
      <c r="I112" s="22"/>
      <c r="J112" s="22"/>
      <c r="K112" s="22"/>
      <c r="L112" s="22"/>
      <c r="M112" s="43"/>
      <c r="N112" s="327"/>
      <c r="O112" s="327"/>
      <c r="P112" s="327"/>
      <c r="Q112" s="327"/>
      <c r="R112" s="22"/>
      <c r="S112" s="22"/>
      <c r="T112" s="22"/>
      <c r="U112" s="22"/>
      <c r="V112" s="22"/>
      <c r="W112" s="22"/>
      <c r="X112" s="22"/>
    </row>
    <row r="113" spans="1:24">
      <c r="A113" s="22"/>
      <c r="B113" s="299"/>
      <c r="C113" s="299"/>
      <c r="D113" s="299"/>
      <c r="E113" s="22"/>
      <c r="F113" s="220"/>
      <c r="G113" s="220"/>
      <c r="H113" s="220"/>
      <c r="I113" s="22"/>
      <c r="J113" s="22"/>
      <c r="K113" s="22"/>
      <c r="L113" s="22"/>
      <c r="M113" s="37"/>
      <c r="N113" s="298"/>
      <c r="O113" s="298"/>
      <c r="P113" s="298"/>
      <c r="Q113" s="298"/>
      <c r="R113" s="22"/>
      <c r="S113" s="22"/>
      <c r="T113" s="22"/>
      <c r="U113" s="22"/>
      <c r="V113" s="22"/>
      <c r="W113" s="22"/>
      <c r="X113" s="22"/>
    </row>
    <row r="114" spans="1:24">
      <c r="A114" s="22"/>
      <c r="B114" s="299"/>
      <c r="C114" s="299"/>
      <c r="D114" s="299"/>
      <c r="E114" s="22"/>
      <c r="F114" s="220"/>
      <c r="G114" s="220"/>
      <c r="H114" s="220"/>
      <c r="I114" s="22"/>
      <c r="J114" s="22"/>
      <c r="K114" s="22"/>
      <c r="L114" s="22"/>
      <c r="M114" s="37"/>
      <c r="N114" s="298"/>
      <c r="O114" s="298"/>
      <c r="P114" s="298"/>
      <c r="Q114" s="298"/>
      <c r="R114" s="22"/>
      <c r="S114" s="22"/>
      <c r="T114" s="22"/>
      <c r="U114" s="22"/>
      <c r="V114" s="22"/>
      <c r="W114" s="22"/>
      <c r="X114" s="22"/>
    </row>
    <row r="115" spans="1:24">
      <c r="A115" s="22"/>
      <c r="B115" s="299"/>
      <c r="C115" s="299"/>
      <c r="D115" s="299"/>
      <c r="E115" s="22"/>
      <c r="F115" s="220"/>
      <c r="G115" s="220"/>
      <c r="H115" s="220"/>
      <c r="I115" s="22"/>
      <c r="J115" s="22"/>
      <c r="K115" s="22"/>
      <c r="L115" s="22"/>
      <c r="M115" s="37"/>
      <c r="N115" s="298"/>
      <c r="O115" s="298"/>
      <c r="P115" s="298"/>
      <c r="Q115" s="298"/>
      <c r="R115" s="22"/>
      <c r="S115" s="22"/>
      <c r="T115" s="22"/>
      <c r="U115" s="22"/>
      <c r="V115" s="22"/>
      <c r="W115" s="22"/>
      <c r="X115" s="22"/>
    </row>
    <row r="116" spans="1:24">
      <c r="A116" s="22"/>
      <c r="B116" s="299"/>
      <c r="C116" s="299"/>
      <c r="D116" s="299"/>
      <c r="E116" s="22"/>
      <c r="F116" s="220"/>
      <c r="G116" s="220"/>
      <c r="H116" s="220"/>
      <c r="I116" s="22"/>
      <c r="J116" s="22"/>
      <c r="K116" s="22"/>
      <c r="L116" s="22"/>
      <c r="M116" s="22"/>
      <c r="N116" s="321"/>
      <c r="O116" s="321"/>
      <c r="P116" s="321"/>
      <c r="Q116" s="321"/>
      <c r="R116" s="22"/>
      <c r="S116" s="22"/>
      <c r="T116" s="22"/>
      <c r="U116" s="22"/>
      <c r="V116" s="22"/>
      <c r="W116" s="22"/>
      <c r="X116" s="22"/>
    </row>
    <row r="117" spans="1:24">
      <c r="A117" s="22"/>
      <c r="B117" s="299"/>
      <c r="C117" s="299"/>
      <c r="D117" s="299"/>
      <c r="E117" s="22"/>
      <c r="F117" s="220"/>
      <c r="G117" s="220"/>
      <c r="H117" s="220"/>
      <c r="I117" s="22"/>
      <c r="J117" s="22"/>
      <c r="K117" s="22"/>
      <c r="L117" s="22"/>
      <c r="M117" s="22"/>
      <c r="N117" s="321"/>
      <c r="O117" s="321"/>
      <c r="P117" s="321"/>
      <c r="Q117" s="321"/>
      <c r="R117" s="22"/>
      <c r="S117" s="22"/>
      <c r="T117" s="22"/>
      <c r="U117" s="22"/>
      <c r="V117" s="22"/>
      <c r="W117" s="22"/>
      <c r="X117" s="22"/>
    </row>
    <row r="118" spans="1:24">
      <c r="A118" s="22"/>
      <c r="B118" s="299"/>
      <c r="C118" s="299"/>
      <c r="D118" s="299"/>
      <c r="E118" s="22"/>
      <c r="F118" s="220"/>
      <c r="G118" s="220"/>
      <c r="H118" s="220"/>
      <c r="I118" s="22"/>
      <c r="J118" s="22"/>
      <c r="K118" s="22"/>
      <c r="L118" s="22"/>
      <c r="M118" s="22"/>
      <c r="N118" s="321"/>
      <c r="O118" s="321"/>
      <c r="P118" s="321"/>
      <c r="Q118" s="321"/>
      <c r="R118" s="22"/>
      <c r="S118" s="22"/>
      <c r="T118" s="22"/>
      <c r="U118" s="22"/>
      <c r="V118" s="22"/>
      <c r="W118" s="22"/>
      <c r="X118" s="22"/>
    </row>
    <row r="119" spans="1:24">
      <c r="A119" s="22"/>
      <c r="B119" s="299"/>
      <c r="C119" s="299"/>
      <c r="D119" s="299"/>
      <c r="E119" s="22"/>
      <c r="F119" s="220"/>
      <c r="G119" s="220"/>
      <c r="H119" s="220"/>
      <c r="I119" s="22"/>
      <c r="J119" s="22"/>
      <c r="K119" s="22"/>
      <c r="L119" s="22"/>
      <c r="M119" s="22"/>
      <c r="N119" s="321"/>
      <c r="O119" s="321"/>
      <c r="P119" s="321"/>
      <c r="Q119" s="321"/>
      <c r="R119" s="22"/>
      <c r="S119" s="22"/>
      <c r="T119" s="22"/>
      <c r="U119" s="22"/>
      <c r="V119" s="22"/>
      <c r="W119" s="22"/>
      <c r="X119" s="22"/>
    </row>
    <row r="120" spans="1:24">
      <c r="A120" s="22"/>
      <c r="B120" s="299"/>
      <c r="C120" s="299"/>
      <c r="D120" s="299"/>
      <c r="E120" s="22"/>
      <c r="F120" s="220"/>
      <c r="G120" s="220"/>
      <c r="H120" s="220"/>
      <c r="I120" s="22"/>
      <c r="J120" s="22"/>
      <c r="K120" s="22"/>
      <c r="L120" s="22"/>
      <c r="M120" s="22"/>
      <c r="N120" s="321"/>
      <c r="O120" s="321"/>
      <c r="P120" s="321"/>
      <c r="Q120" s="321"/>
      <c r="R120" s="22"/>
      <c r="S120" s="22"/>
      <c r="T120" s="22"/>
      <c r="U120" s="22"/>
      <c r="V120" s="22"/>
      <c r="W120" s="22"/>
      <c r="X120" s="22"/>
    </row>
    <row r="121" spans="1:24">
      <c r="A121" s="22"/>
      <c r="B121" s="299"/>
      <c r="C121" s="299"/>
      <c r="D121" s="299"/>
      <c r="E121" s="22"/>
      <c r="F121" s="220"/>
      <c r="G121" s="220"/>
      <c r="H121" s="220"/>
      <c r="I121" s="22"/>
      <c r="J121" s="22"/>
      <c r="K121" s="22"/>
      <c r="L121" s="22"/>
      <c r="M121" s="22"/>
      <c r="N121" s="321"/>
      <c r="O121" s="321"/>
      <c r="P121" s="321"/>
      <c r="Q121" s="321"/>
      <c r="R121" s="22"/>
      <c r="S121" s="22"/>
      <c r="T121" s="22"/>
      <c r="U121" s="22"/>
      <c r="V121" s="22"/>
      <c r="W121" s="22"/>
      <c r="X121" s="22"/>
    </row>
    <row r="122" spans="1:24">
      <c r="A122" s="22"/>
      <c r="B122" s="299"/>
      <c r="C122" s="299"/>
      <c r="D122" s="299"/>
      <c r="E122" s="22"/>
      <c r="F122" s="220"/>
      <c r="G122" s="220"/>
      <c r="H122" s="220"/>
      <c r="I122" s="22"/>
      <c r="J122" s="22"/>
      <c r="K122" s="22"/>
      <c r="L122" s="22"/>
      <c r="M122" s="22"/>
      <c r="N122" s="321"/>
      <c r="O122" s="321"/>
      <c r="P122" s="321"/>
      <c r="Q122" s="321"/>
      <c r="R122" s="22"/>
      <c r="S122" s="22"/>
      <c r="T122" s="22"/>
      <c r="U122" s="22"/>
      <c r="V122" s="22"/>
      <c r="W122" s="22"/>
      <c r="X122" s="22"/>
    </row>
    <row r="123" spans="1:24">
      <c r="A123" s="22"/>
      <c r="B123" s="299"/>
      <c r="C123" s="299"/>
      <c r="D123" s="299"/>
      <c r="E123" s="22"/>
      <c r="F123" s="220"/>
      <c r="G123" s="220"/>
      <c r="H123" s="220"/>
      <c r="I123" s="22"/>
      <c r="J123" s="22"/>
      <c r="K123" s="22"/>
      <c r="L123" s="22"/>
      <c r="M123" s="22"/>
      <c r="N123" s="321"/>
      <c r="O123" s="321"/>
      <c r="P123" s="321"/>
      <c r="Q123" s="321"/>
      <c r="R123" s="22"/>
      <c r="S123" s="22"/>
      <c r="T123" s="22"/>
      <c r="U123" s="22"/>
      <c r="V123" s="22"/>
      <c r="W123" s="22"/>
      <c r="X123" s="22"/>
    </row>
    <row r="124" spans="1:24">
      <c r="A124" s="22"/>
      <c r="B124" s="299"/>
      <c r="C124" s="299"/>
      <c r="D124" s="299"/>
      <c r="E124" s="22"/>
      <c r="F124" s="220"/>
      <c r="G124" s="220"/>
      <c r="H124" s="220"/>
      <c r="I124" s="22"/>
      <c r="J124" s="22"/>
      <c r="K124" s="22"/>
      <c r="L124" s="22"/>
      <c r="M124" s="44"/>
      <c r="N124" s="328"/>
      <c r="O124" s="328"/>
      <c r="P124" s="328"/>
      <c r="Q124" s="328"/>
      <c r="R124" s="22"/>
      <c r="S124" s="22"/>
      <c r="T124" s="22"/>
      <c r="U124" s="22"/>
      <c r="V124" s="22"/>
      <c r="W124" s="22"/>
      <c r="X124" s="22"/>
    </row>
    <row r="125" spans="1:24">
      <c r="A125" s="22"/>
      <c r="B125" s="299"/>
      <c r="C125" s="299"/>
      <c r="D125" s="299"/>
      <c r="E125" s="22"/>
      <c r="F125" s="220"/>
      <c r="G125" s="220"/>
      <c r="H125" s="220"/>
      <c r="I125" s="22"/>
      <c r="J125" s="22"/>
      <c r="K125" s="22"/>
      <c r="L125" s="22"/>
      <c r="M125" s="22"/>
      <c r="N125" s="321"/>
      <c r="O125" s="321"/>
      <c r="P125" s="321"/>
      <c r="Q125" s="321"/>
      <c r="R125" s="22"/>
      <c r="S125" s="22"/>
      <c r="T125" s="22"/>
      <c r="U125" s="22"/>
      <c r="V125" s="22"/>
      <c r="W125" s="22"/>
      <c r="X125" s="22"/>
    </row>
    <row r="126" spans="1:24">
      <c r="A126" s="22"/>
      <c r="B126" s="299"/>
      <c r="C126" s="299"/>
      <c r="D126" s="299"/>
      <c r="E126" s="22"/>
      <c r="F126" s="220"/>
      <c r="G126" s="220"/>
      <c r="H126" s="220"/>
      <c r="I126" s="22"/>
      <c r="J126" s="22"/>
      <c r="K126" s="22"/>
      <c r="L126" s="22"/>
      <c r="M126" s="22"/>
      <c r="N126" s="321"/>
      <c r="O126" s="321"/>
      <c r="P126" s="321"/>
      <c r="Q126" s="321"/>
      <c r="R126" s="22"/>
      <c r="S126" s="22"/>
      <c r="T126" s="22"/>
      <c r="U126" s="22"/>
      <c r="V126" s="22"/>
      <c r="W126" s="22"/>
      <c r="X126" s="22"/>
    </row>
    <row r="127" spans="1:24">
      <c r="A127" s="22"/>
      <c r="B127" s="299"/>
      <c r="C127" s="299"/>
      <c r="D127" s="299"/>
      <c r="E127" s="22"/>
      <c r="F127" s="220"/>
      <c r="G127" s="220"/>
      <c r="H127" s="220"/>
      <c r="I127" s="22"/>
      <c r="J127" s="22"/>
      <c r="K127" s="22"/>
      <c r="L127" s="22"/>
      <c r="M127" s="22"/>
      <c r="N127" s="321"/>
      <c r="O127" s="321"/>
      <c r="P127" s="321"/>
      <c r="Q127" s="321"/>
      <c r="R127" s="22"/>
      <c r="S127" s="22"/>
      <c r="T127" s="22"/>
      <c r="U127" s="22"/>
      <c r="V127" s="22"/>
      <c r="W127" s="22"/>
      <c r="X127" s="22"/>
    </row>
    <row r="128" spans="1:24">
      <c r="A128" s="22"/>
      <c r="B128" s="299"/>
      <c r="C128" s="299"/>
      <c r="D128" s="299"/>
      <c r="E128" s="22"/>
      <c r="F128" s="220"/>
      <c r="G128" s="220"/>
      <c r="H128" s="220"/>
      <c r="I128" s="22"/>
      <c r="J128" s="22"/>
      <c r="K128" s="22"/>
      <c r="L128" s="22"/>
      <c r="M128" s="22"/>
      <c r="N128" s="321"/>
      <c r="O128" s="321"/>
      <c r="P128" s="321"/>
      <c r="Q128" s="321"/>
      <c r="R128" s="22"/>
      <c r="S128" s="22"/>
      <c r="T128" s="22"/>
      <c r="U128" s="22"/>
      <c r="V128" s="22"/>
      <c r="W128" s="22"/>
      <c r="X128" s="22"/>
    </row>
    <row r="129" spans="1:24">
      <c r="A129" s="22"/>
      <c r="B129" s="299"/>
      <c r="C129" s="299"/>
      <c r="D129" s="299"/>
      <c r="E129" s="22"/>
      <c r="F129" s="220"/>
      <c r="G129" s="220"/>
      <c r="H129" s="220"/>
      <c r="I129" s="22"/>
      <c r="J129" s="22"/>
      <c r="K129" s="22"/>
      <c r="L129" s="22"/>
      <c r="M129" s="22"/>
      <c r="N129" s="321"/>
      <c r="O129" s="321"/>
      <c r="P129" s="321"/>
      <c r="Q129" s="321"/>
      <c r="R129" s="22"/>
      <c r="S129" s="22"/>
      <c r="T129" s="22"/>
      <c r="U129" s="22"/>
      <c r="V129" s="22"/>
      <c r="W129" s="22"/>
      <c r="X129" s="22"/>
    </row>
    <row r="130" spans="1:24">
      <c r="A130" s="22"/>
      <c r="B130" s="299"/>
      <c r="C130" s="299"/>
      <c r="D130" s="299"/>
      <c r="E130" s="22"/>
      <c r="F130" s="220"/>
      <c r="G130" s="220"/>
      <c r="H130" s="220"/>
      <c r="I130" s="22"/>
      <c r="J130" s="22"/>
      <c r="K130" s="22"/>
      <c r="L130" s="22"/>
      <c r="M130" s="22"/>
      <c r="N130" s="321"/>
      <c r="O130" s="321"/>
      <c r="P130" s="321"/>
      <c r="Q130" s="321"/>
      <c r="R130" s="22"/>
      <c r="S130" s="22"/>
      <c r="T130" s="22"/>
      <c r="U130" s="22"/>
      <c r="V130" s="22"/>
      <c r="W130" s="22"/>
      <c r="X130" s="22"/>
    </row>
    <row r="131" spans="1:24">
      <c r="A131" s="22"/>
      <c r="B131" s="299"/>
      <c r="C131" s="299"/>
      <c r="D131" s="299"/>
      <c r="E131" s="22"/>
      <c r="F131" s="220"/>
      <c r="G131" s="220"/>
      <c r="H131" s="220"/>
      <c r="I131" s="22"/>
      <c r="J131" s="22"/>
      <c r="K131" s="22"/>
      <c r="L131" s="22"/>
      <c r="M131" s="22"/>
      <c r="N131" s="321"/>
      <c r="O131" s="321"/>
      <c r="P131" s="321"/>
      <c r="Q131" s="321"/>
      <c r="R131" s="22"/>
      <c r="S131" s="22"/>
      <c r="T131" s="22"/>
      <c r="U131" s="22"/>
      <c r="V131" s="22"/>
      <c r="W131" s="22"/>
      <c r="X131" s="22"/>
    </row>
    <row r="132" spans="1:24">
      <c r="A132" s="22"/>
      <c r="B132" s="299"/>
      <c r="C132" s="299"/>
      <c r="D132" s="299"/>
      <c r="E132" s="22"/>
      <c r="F132" s="220"/>
      <c r="G132" s="220"/>
      <c r="H132" s="220"/>
      <c r="I132" s="22"/>
      <c r="J132" s="22"/>
      <c r="K132" s="22"/>
      <c r="L132" s="22"/>
      <c r="M132" s="22"/>
      <c r="N132" s="321"/>
      <c r="O132" s="321"/>
      <c r="P132" s="321"/>
      <c r="Q132" s="321"/>
      <c r="R132" s="22"/>
      <c r="S132" s="22"/>
      <c r="T132" s="22"/>
      <c r="U132" s="22"/>
      <c r="V132" s="22"/>
      <c r="W132" s="22"/>
      <c r="X132" s="22"/>
    </row>
    <row r="133" spans="1:24">
      <c r="A133" s="22"/>
      <c r="B133" s="299"/>
      <c r="C133" s="299"/>
      <c r="D133" s="299"/>
      <c r="E133" s="22"/>
      <c r="F133" s="220"/>
      <c r="G133" s="220"/>
      <c r="H133" s="220"/>
      <c r="I133" s="22"/>
      <c r="J133" s="22"/>
      <c r="K133" s="22"/>
      <c r="L133" s="22"/>
      <c r="M133" s="22"/>
      <c r="N133" s="321"/>
      <c r="O133" s="321"/>
      <c r="P133" s="321"/>
      <c r="Q133" s="321"/>
      <c r="R133" s="22"/>
      <c r="S133" s="22"/>
      <c r="T133" s="22"/>
      <c r="U133" s="22"/>
      <c r="V133" s="22"/>
      <c r="W133" s="22"/>
      <c r="X133" s="22"/>
    </row>
    <row r="134" spans="1:24">
      <c r="A134" s="22"/>
      <c r="B134" s="299"/>
      <c r="C134" s="299"/>
      <c r="D134" s="299"/>
      <c r="E134" s="22"/>
      <c r="F134" s="220"/>
      <c r="G134" s="220"/>
      <c r="H134" s="220"/>
      <c r="I134" s="22"/>
      <c r="J134" s="22"/>
      <c r="K134" s="22"/>
      <c r="L134" s="22"/>
      <c r="M134" s="42"/>
      <c r="N134" s="329"/>
      <c r="O134" s="329"/>
      <c r="P134" s="329"/>
      <c r="Q134" s="329"/>
      <c r="R134" s="22"/>
      <c r="S134" s="22"/>
      <c r="T134" s="22"/>
      <c r="U134" s="22"/>
      <c r="V134" s="22"/>
      <c r="W134" s="22"/>
      <c r="X134" s="22"/>
    </row>
    <row r="135" spans="1:24">
      <c r="A135" s="22"/>
      <c r="B135" s="299"/>
      <c r="C135" s="299"/>
      <c r="D135" s="299"/>
      <c r="E135" s="22"/>
      <c r="F135" s="220"/>
      <c r="G135" s="220"/>
      <c r="H135" s="220"/>
      <c r="I135" s="22"/>
      <c r="J135" s="22"/>
      <c r="K135" s="22"/>
      <c r="L135" s="22"/>
      <c r="M135" s="22"/>
      <c r="N135" s="321"/>
      <c r="O135" s="321"/>
      <c r="P135" s="321"/>
      <c r="Q135" s="321"/>
      <c r="R135" s="22"/>
      <c r="S135" s="22"/>
      <c r="T135" s="22"/>
      <c r="U135" s="22"/>
      <c r="V135" s="22"/>
      <c r="W135" s="22"/>
      <c r="X135" s="22"/>
    </row>
    <row r="136" spans="1:24">
      <c r="A136" s="22"/>
      <c r="B136" s="299"/>
      <c r="C136" s="299"/>
      <c r="D136" s="299"/>
      <c r="E136" s="22"/>
      <c r="F136" s="220"/>
      <c r="G136" s="220"/>
      <c r="H136" s="220"/>
      <c r="I136" s="22"/>
      <c r="J136" s="22"/>
      <c r="K136" s="22"/>
      <c r="L136" s="22"/>
      <c r="M136" s="22"/>
      <c r="N136" s="321"/>
      <c r="O136" s="321"/>
      <c r="P136" s="321"/>
      <c r="Q136" s="321"/>
      <c r="R136" s="22"/>
      <c r="S136" s="22"/>
      <c r="T136" s="22"/>
      <c r="U136" s="22"/>
      <c r="V136" s="22"/>
      <c r="W136" s="22"/>
      <c r="X136" s="22"/>
    </row>
    <row r="137" spans="1:24">
      <c r="A137" s="22"/>
      <c r="B137" s="299"/>
      <c r="C137" s="299"/>
      <c r="D137" s="299"/>
      <c r="E137" s="22"/>
      <c r="F137" s="220"/>
      <c r="G137" s="220"/>
      <c r="H137" s="220"/>
      <c r="I137" s="22"/>
      <c r="J137" s="22"/>
      <c r="K137" s="22"/>
      <c r="L137" s="22"/>
      <c r="M137" s="22"/>
      <c r="N137" s="321"/>
      <c r="O137" s="321"/>
      <c r="P137" s="321"/>
      <c r="Q137" s="321"/>
      <c r="R137" s="22"/>
      <c r="S137" s="22"/>
      <c r="T137" s="22"/>
      <c r="U137" s="22"/>
      <c r="V137" s="22"/>
      <c r="W137" s="22"/>
      <c r="X137" s="22"/>
    </row>
    <row r="138" spans="1:24">
      <c r="A138" s="22"/>
      <c r="B138" s="299"/>
      <c r="C138" s="299"/>
      <c r="D138" s="299"/>
      <c r="E138" s="22"/>
      <c r="F138" s="220"/>
      <c r="G138" s="220"/>
      <c r="H138" s="220"/>
      <c r="I138" s="22"/>
      <c r="J138" s="22"/>
      <c r="K138" s="22"/>
      <c r="L138" s="22"/>
      <c r="M138" s="22"/>
      <c r="N138" s="321"/>
      <c r="O138" s="321"/>
      <c r="P138" s="321"/>
      <c r="Q138" s="321"/>
      <c r="R138" s="22"/>
      <c r="S138" s="22"/>
      <c r="T138" s="22"/>
      <c r="U138" s="22"/>
      <c r="V138" s="22"/>
      <c r="W138" s="22"/>
      <c r="X138" s="22"/>
    </row>
    <row r="139" spans="1:24">
      <c r="A139" s="22"/>
      <c r="B139" s="299"/>
      <c r="C139" s="299"/>
      <c r="D139" s="299"/>
      <c r="E139" s="22"/>
      <c r="F139" s="220"/>
      <c r="G139" s="220"/>
      <c r="H139" s="220"/>
      <c r="I139" s="22"/>
      <c r="J139" s="22"/>
      <c r="K139" s="22"/>
      <c r="L139" s="22"/>
      <c r="M139" s="22"/>
      <c r="N139" s="321"/>
      <c r="O139" s="321"/>
      <c r="P139" s="321"/>
      <c r="Q139" s="321"/>
      <c r="R139" s="22"/>
      <c r="S139" s="22"/>
      <c r="T139" s="22"/>
      <c r="U139" s="22"/>
      <c r="V139" s="22"/>
      <c r="W139" s="22"/>
      <c r="X139" s="22"/>
    </row>
    <row r="140" spans="1:24">
      <c r="A140" s="22"/>
      <c r="B140" s="299"/>
      <c r="C140" s="299"/>
      <c r="D140" s="299"/>
      <c r="E140" s="22"/>
      <c r="F140" s="220"/>
      <c r="G140" s="220"/>
      <c r="H140" s="220"/>
      <c r="I140" s="22"/>
      <c r="J140" s="22"/>
      <c r="K140" s="22"/>
      <c r="L140" s="22"/>
      <c r="M140" s="22"/>
      <c r="N140" s="321"/>
      <c r="O140" s="321"/>
      <c r="P140" s="321"/>
      <c r="Q140" s="321"/>
      <c r="R140" s="22"/>
      <c r="S140" s="22"/>
      <c r="T140" s="22"/>
      <c r="U140" s="22"/>
      <c r="V140" s="22"/>
      <c r="W140" s="22"/>
      <c r="X140" s="22"/>
    </row>
    <row r="141" spans="1:24">
      <c r="A141" s="22"/>
      <c r="B141" s="299"/>
      <c r="C141" s="299"/>
      <c r="D141" s="299"/>
      <c r="E141" s="22"/>
      <c r="F141" s="220"/>
      <c r="G141" s="220"/>
      <c r="H141" s="220"/>
      <c r="I141" s="22"/>
      <c r="J141" s="22"/>
      <c r="K141" s="22"/>
      <c r="L141" s="22"/>
      <c r="M141" s="22"/>
      <c r="N141" s="321"/>
      <c r="O141" s="321"/>
      <c r="P141" s="321"/>
      <c r="Q141" s="321"/>
      <c r="R141" s="22"/>
      <c r="S141" s="22"/>
      <c r="T141" s="22"/>
      <c r="U141" s="22"/>
      <c r="V141" s="22"/>
      <c r="W141" s="22"/>
      <c r="X141" s="22"/>
    </row>
    <row r="142" spans="1:24">
      <c r="A142" s="22"/>
      <c r="B142" s="299"/>
      <c r="C142" s="299"/>
      <c r="D142" s="299"/>
      <c r="E142" s="22"/>
      <c r="F142" s="220"/>
      <c r="G142" s="220"/>
      <c r="H142" s="220"/>
      <c r="I142" s="22"/>
      <c r="J142" s="22"/>
      <c r="K142" s="22"/>
      <c r="L142" s="22"/>
      <c r="M142" s="22"/>
      <c r="N142" s="321"/>
      <c r="O142" s="321"/>
      <c r="P142" s="321"/>
      <c r="Q142" s="321"/>
      <c r="R142" s="22"/>
      <c r="S142" s="22"/>
      <c r="T142" s="22"/>
      <c r="U142" s="22"/>
      <c r="V142" s="22"/>
      <c r="W142" s="22"/>
      <c r="X142" s="22"/>
    </row>
    <row r="143" spans="1:24">
      <c r="A143" s="22"/>
      <c r="B143" s="299"/>
      <c r="C143" s="299"/>
      <c r="D143" s="299"/>
      <c r="E143" s="22"/>
      <c r="F143" s="220"/>
      <c r="G143" s="220"/>
      <c r="H143" s="220"/>
      <c r="I143" s="22"/>
      <c r="J143" s="22"/>
      <c r="K143" s="22"/>
      <c r="L143" s="22"/>
      <c r="M143" s="22"/>
      <c r="N143" s="321"/>
      <c r="O143" s="321"/>
      <c r="P143" s="321"/>
      <c r="Q143" s="321"/>
      <c r="R143" s="22"/>
      <c r="S143" s="22"/>
      <c r="T143" s="22"/>
      <c r="U143" s="22"/>
      <c r="V143" s="22"/>
      <c r="W143" s="22"/>
      <c r="X143" s="22"/>
    </row>
    <row r="144" spans="1:24">
      <c r="A144" s="22"/>
      <c r="B144" s="299"/>
      <c r="C144" s="299"/>
      <c r="D144" s="299"/>
      <c r="E144" s="22"/>
      <c r="F144" s="220"/>
      <c r="G144" s="220"/>
      <c r="H144" s="220"/>
      <c r="I144" s="22"/>
      <c r="J144" s="22"/>
      <c r="K144" s="22"/>
      <c r="L144" s="22"/>
      <c r="M144" s="22"/>
      <c r="N144" s="321"/>
      <c r="O144" s="321"/>
      <c r="P144" s="321"/>
      <c r="Q144" s="321"/>
      <c r="R144" s="22"/>
      <c r="S144" s="22"/>
      <c r="T144" s="22"/>
      <c r="U144" s="22"/>
      <c r="V144" s="22"/>
      <c r="W144" s="22"/>
      <c r="X144" s="22"/>
    </row>
    <row r="145" spans="1:24">
      <c r="A145" s="22"/>
      <c r="B145" s="299"/>
      <c r="C145" s="299"/>
      <c r="D145" s="299"/>
      <c r="E145" s="22"/>
      <c r="F145" s="220"/>
      <c r="G145" s="220"/>
      <c r="H145" s="220"/>
      <c r="I145" s="22"/>
      <c r="J145" s="22"/>
      <c r="K145" s="22"/>
      <c r="L145" s="22"/>
      <c r="M145" s="22"/>
      <c r="N145" s="321"/>
      <c r="O145" s="321"/>
      <c r="P145" s="321"/>
      <c r="Q145" s="321"/>
      <c r="R145" s="22"/>
      <c r="S145" s="22"/>
      <c r="T145" s="22"/>
      <c r="U145" s="22"/>
      <c r="V145" s="22"/>
      <c r="W145" s="22"/>
      <c r="X145" s="22"/>
    </row>
    <row r="146" spans="1:24">
      <c r="A146" s="22"/>
      <c r="B146" s="299"/>
      <c r="C146" s="299"/>
      <c r="D146" s="299"/>
      <c r="E146" s="22"/>
      <c r="F146" s="220"/>
      <c r="G146" s="220"/>
      <c r="H146" s="220"/>
      <c r="I146" s="22"/>
      <c r="J146" s="22"/>
      <c r="K146" s="22"/>
      <c r="L146" s="22"/>
      <c r="M146" s="22"/>
      <c r="N146" s="321"/>
      <c r="O146" s="321"/>
      <c r="P146" s="321"/>
      <c r="Q146" s="321"/>
      <c r="R146" s="22"/>
      <c r="S146" s="22"/>
      <c r="T146" s="22"/>
      <c r="U146" s="22"/>
      <c r="V146" s="22"/>
      <c r="W146" s="22"/>
      <c r="X146" s="22"/>
    </row>
    <row r="147" spans="1:24">
      <c r="A147" s="22"/>
      <c r="B147" s="299"/>
      <c r="C147" s="299"/>
      <c r="D147" s="299"/>
      <c r="E147" s="22"/>
      <c r="F147" s="220"/>
      <c r="G147" s="220"/>
      <c r="H147" s="220"/>
      <c r="I147" s="22"/>
      <c r="J147" s="22"/>
      <c r="K147" s="22"/>
      <c r="L147" s="22"/>
      <c r="M147" s="22"/>
      <c r="N147" s="321"/>
      <c r="O147" s="321"/>
      <c r="P147" s="321"/>
      <c r="Q147" s="321"/>
      <c r="R147" s="22"/>
      <c r="S147" s="22"/>
      <c r="T147" s="22"/>
      <c r="U147" s="22"/>
      <c r="V147" s="22"/>
      <c r="W147" s="22"/>
      <c r="X147" s="22"/>
    </row>
    <row r="148" spans="1:24">
      <c r="A148" s="22"/>
      <c r="B148" s="299"/>
      <c r="C148" s="299"/>
      <c r="D148" s="299"/>
      <c r="E148" s="22"/>
      <c r="F148" s="220"/>
      <c r="G148" s="220"/>
      <c r="H148" s="220"/>
      <c r="I148" s="22"/>
      <c r="J148" s="22"/>
      <c r="K148" s="22"/>
      <c r="L148" s="22"/>
      <c r="M148" s="22"/>
      <c r="N148" s="321"/>
      <c r="O148" s="321"/>
      <c r="P148" s="321"/>
      <c r="Q148" s="321"/>
      <c r="R148" s="22"/>
      <c r="S148" s="22"/>
      <c r="T148" s="22"/>
      <c r="U148" s="22"/>
      <c r="V148" s="22"/>
      <c r="W148" s="22"/>
      <c r="X148" s="22"/>
    </row>
    <row r="149" spans="1:24">
      <c r="A149" s="22"/>
      <c r="B149" s="299"/>
      <c r="C149" s="299"/>
      <c r="D149" s="299"/>
      <c r="E149" s="22"/>
      <c r="F149" s="220"/>
      <c r="G149" s="220"/>
      <c r="H149" s="220"/>
      <c r="I149" s="22"/>
      <c r="J149" s="22"/>
      <c r="K149" s="22"/>
      <c r="L149" s="22"/>
      <c r="M149" s="22"/>
      <c r="N149" s="321"/>
      <c r="O149" s="321"/>
      <c r="P149" s="321"/>
      <c r="Q149" s="321"/>
      <c r="R149" s="22"/>
      <c r="S149" s="22"/>
      <c r="T149" s="22"/>
      <c r="U149" s="22"/>
      <c r="V149" s="22"/>
      <c r="W149" s="22"/>
      <c r="X149" s="22"/>
    </row>
    <row r="150" spans="1:24">
      <c r="A150" s="22"/>
      <c r="B150" s="299"/>
      <c r="C150" s="299"/>
      <c r="D150" s="299"/>
      <c r="E150" s="22"/>
      <c r="F150" s="220"/>
      <c r="G150" s="220"/>
      <c r="H150" s="220"/>
      <c r="I150" s="22"/>
      <c r="J150" s="22"/>
      <c r="K150" s="22"/>
      <c r="L150" s="22"/>
      <c r="M150" s="22"/>
      <c r="N150" s="321"/>
      <c r="O150" s="321"/>
      <c r="P150" s="321"/>
      <c r="Q150" s="321"/>
      <c r="R150" s="22"/>
      <c r="S150" s="22"/>
      <c r="T150" s="22"/>
      <c r="U150" s="22"/>
      <c r="V150" s="22"/>
      <c r="W150" s="22"/>
      <c r="X150" s="22"/>
    </row>
    <row r="151" spans="1:24">
      <c r="A151" s="22"/>
      <c r="B151" s="299"/>
      <c r="C151" s="299"/>
      <c r="D151" s="299"/>
      <c r="E151" s="22"/>
      <c r="I151" s="22"/>
      <c r="J151" s="22"/>
      <c r="K151" s="22"/>
      <c r="L151" s="22"/>
      <c r="M151" s="43"/>
      <c r="N151" s="327"/>
      <c r="O151" s="327"/>
      <c r="P151" s="327"/>
      <c r="Q151" s="327"/>
      <c r="R151" s="22"/>
      <c r="S151" s="22"/>
      <c r="T151" s="22"/>
      <c r="U151" s="22"/>
      <c r="V151" s="22"/>
      <c r="W151" s="22"/>
      <c r="X151" s="22"/>
    </row>
    <row r="152" spans="1:24">
      <c r="A152" s="22"/>
      <c r="B152" s="299"/>
      <c r="C152" s="299"/>
      <c r="D152" s="299"/>
      <c r="E152" s="22"/>
      <c r="I152" s="22"/>
      <c r="J152" s="22"/>
      <c r="K152" s="22"/>
      <c r="L152" s="22"/>
      <c r="M152" s="22"/>
      <c r="N152" s="321"/>
      <c r="O152" s="321"/>
      <c r="P152" s="321"/>
      <c r="Q152" s="321"/>
      <c r="R152" s="22"/>
      <c r="S152" s="22"/>
      <c r="T152" s="22"/>
      <c r="U152" s="22"/>
      <c r="V152" s="22"/>
      <c r="W152" s="22"/>
      <c r="X152" s="22"/>
    </row>
    <row r="153" spans="1:24">
      <c r="A153" s="22"/>
      <c r="B153" s="299"/>
      <c r="C153" s="299"/>
      <c r="D153" s="299"/>
      <c r="E153" s="22"/>
      <c r="I153" s="22"/>
      <c r="J153" s="22"/>
      <c r="K153" s="22"/>
      <c r="L153" s="22"/>
      <c r="M153" s="43"/>
      <c r="N153" s="327"/>
      <c r="O153" s="327"/>
      <c r="P153" s="327"/>
      <c r="Q153" s="327"/>
      <c r="R153" s="22"/>
      <c r="S153" s="22"/>
      <c r="T153" s="22"/>
      <c r="U153" s="22"/>
      <c r="V153" s="22"/>
      <c r="W153" s="22"/>
      <c r="X153" s="22"/>
    </row>
    <row r="154" spans="1:24">
      <c r="A154" s="22"/>
      <c r="B154" s="299"/>
      <c r="C154" s="299"/>
      <c r="D154" s="299"/>
      <c r="E154" s="22"/>
      <c r="I154" s="22"/>
      <c r="J154" s="22"/>
      <c r="K154" s="22"/>
      <c r="L154" s="22"/>
      <c r="M154" s="22"/>
      <c r="N154" s="321"/>
      <c r="O154" s="321"/>
      <c r="P154" s="321"/>
      <c r="Q154" s="321"/>
      <c r="R154" s="22"/>
      <c r="S154" s="22"/>
      <c r="T154" s="22"/>
      <c r="U154" s="22"/>
      <c r="V154" s="22"/>
      <c r="W154" s="22"/>
      <c r="X154" s="22"/>
    </row>
    <row r="155" spans="1:24">
      <c r="A155" s="22"/>
      <c r="B155" s="299"/>
      <c r="C155" s="299"/>
      <c r="D155" s="299"/>
      <c r="E155" s="22"/>
      <c r="I155" s="22"/>
      <c r="J155" s="22"/>
      <c r="K155" s="22"/>
      <c r="L155" s="22"/>
      <c r="M155" s="22"/>
      <c r="N155" s="321"/>
      <c r="O155" s="321"/>
      <c r="P155" s="321"/>
      <c r="Q155" s="321"/>
      <c r="R155" s="22"/>
      <c r="S155" s="22"/>
      <c r="T155" s="22"/>
      <c r="U155" s="22"/>
      <c r="V155" s="22"/>
      <c r="W155" s="22"/>
      <c r="X155" s="22"/>
    </row>
    <row r="156" spans="1:24">
      <c r="A156" s="22"/>
      <c r="B156" s="299"/>
      <c r="C156" s="299"/>
      <c r="D156" s="299"/>
      <c r="E156" s="22"/>
      <c r="I156" s="22"/>
      <c r="J156" s="22"/>
      <c r="K156" s="22"/>
      <c r="L156" s="22"/>
      <c r="M156" s="22"/>
      <c r="N156" s="321"/>
      <c r="O156" s="321"/>
      <c r="P156" s="321"/>
      <c r="Q156" s="321"/>
      <c r="R156" s="22"/>
      <c r="S156" s="22"/>
      <c r="T156" s="22"/>
      <c r="U156" s="22"/>
      <c r="V156" s="22"/>
      <c r="W156" s="22"/>
      <c r="X156" s="22"/>
    </row>
    <row r="157" spans="1:24">
      <c r="A157" s="22"/>
      <c r="B157" s="299"/>
      <c r="C157" s="299"/>
      <c r="D157" s="299"/>
      <c r="E157" s="22"/>
      <c r="I157" s="22"/>
      <c r="J157" s="22"/>
      <c r="K157" s="22"/>
      <c r="L157" s="22"/>
      <c r="M157" s="22"/>
      <c r="N157" s="321"/>
      <c r="O157" s="321"/>
      <c r="P157" s="321"/>
      <c r="Q157" s="321"/>
      <c r="R157" s="22"/>
      <c r="S157" s="22"/>
      <c r="T157" s="22"/>
      <c r="U157" s="22"/>
      <c r="V157" s="22"/>
      <c r="W157" s="22"/>
      <c r="X157" s="22"/>
    </row>
    <row r="158" spans="1:24">
      <c r="A158" s="22"/>
      <c r="B158" s="299"/>
      <c r="C158" s="299"/>
      <c r="D158" s="299"/>
      <c r="E158" s="22"/>
      <c r="I158" s="22"/>
      <c r="J158" s="22"/>
      <c r="K158" s="22"/>
      <c r="L158" s="22"/>
      <c r="M158" s="22"/>
      <c r="N158" s="321"/>
      <c r="O158" s="321"/>
      <c r="P158" s="321"/>
      <c r="Q158" s="321"/>
      <c r="R158" s="22"/>
      <c r="S158" s="22"/>
      <c r="T158" s="22"/>
      <c r="U158" s="22"/>
      <c r="V158" s="22"/>
      <c r="W158" s="22"/>
      <c r="X158" s="22"/>
    </row>
    <row r="159" spans="1:24">
      <c r="A159" s="22"/>
      <c r="B159" s="299"/>
      <c r="C159" s="299"/>
      <c r="D159" s="299"/>
      <c r="E159" s="22"/>
      <c r="I159" s="22"/>
      <c r="J159" s="22"/>
      <c r="K159" s="22"/>
      <c r="L159" s="22"/>
      <c r="M159" s="22"/>
      <c r="N159" s="321"/>
      <c r="O159" s="321"/>
      <c r="P159" s="321"/>
      <c r="Q159" s="321"/>
      <c r="R159" s="22"/>
      <c r="S159" s="22"/>
      <c r="T159" s="22"/>
      <c r="U159" s="22"/>
      <c r="V159" s="22"/>
      <c r="W159" s="22"/>
      <c r="X159" s="22"/>
    </row>
    <row r="160" spans="1:24">
      <c r="A160" s="22"/>
      <c r="B160" s="299"/>
      <c r="C160" s="299"/>
      <c r="D160" s="299"/>
      <c r="E160" s="22"/>
      <c r="I160" s="22"/>
      <c r="J160" s="22"/>
      <c r="K160" s="22"/>
      <c r="L160" s="22"/>
      <c r="M160" s="22"/>
      <c r="N160" s="321"/>
      <c r="O160" s="321"/>
      <c r="P160" s="321"/>
      <c r="Q160" s="321"/>
      <c r="R160" s="22"/>
      <c r="S160" s="22"/>
      <c r="T160" s="22"/>
      <c r="U160" s="22"/>
      <c r="V160" s="22"/>
      <c r="W160" s="22"/>
      <c r="X160" s="22"/>
    </row>
    <row r="161" spans="1:24">
      <c r="A161" s="22"/>
      <c r="B161" s="299"/>
      <c r="C161" s="299"/>
      <c r="D161" s="299"/>
      <c r="E161" s="22"/>
      <c r="I161" s="22"/>
      <c r="J161" s="22"/>
      <c r="K161" s="22"/>
      <c r="L161" s="22"/>
      <c r="M161" s="22"/>
      <c r="N161" s="321"/>
      <c r="O161" s="321"/>
      <c r="P161" s="321"/>
      <c r="Q161" s="321"/>
      <c r="R161" s="22"/>
      <c r="S161" s="22"/>
      <c r="T161" s="22"/>
      <c r="U161" s="22"/>
      <c r="V161" s="22"/>
      <c r="W161" s="22"/>
      <c r="X161" s="22"/>
    </row>
    <row r="162" spans="1:24">
      <c r="A162" s="22"/>
      <c r="B162" s="299"/>
      <c r="C162" s="299"/>
      <c r="D162" s="299"/>
      <c r="E162" s="22"/>
      <c r="I162" s="22"/>
      <c r="J162" s="22"/>
      <c r="K162" s="22"/>
      <c r="L162" s="22"/>
      <c r="M162" s="22"/>
      <c r="N162" s="321"/>
      <c r="O162" s="321"/>
      <c r="P162" s="321"/>
      <c r="Q162" s="321"/>
      <c r="R162" s="22"/>
      <c r="S162" s="22"/>
      <c r="T162" s="22"/>
      <c r="U162" s="22"/>
      <c r="V162" s="22"/>
      <c r="W162" s="22"/>
      <c r="X162" s="22"/>
    </row>
    <row r="163" spans="1:24">
      <c r="A163" s="22"/>
      <c r="B163" s="299"/>
      <c r="C163" s="299"/>
      <c r="D163" s="299"/>
      <c r="E163" s="22"/>
      <c r="I163" s="22"/>
      <c r="J163" s="22"/>
      <c r="K163" s="22"/>
      <c r="L163" s="22"/>
      <c r="M163" s="44"/>
      <c r="N163" s="328"/>
      <c r="O163" s="328"/>
      <c r="P163" s="328"/>
      <c r="Q163" s="328"/>
      <c r="R163" s="22"/>
      <c r="S163" s="22"/>
      <c r="T163" s="22"/>
      <c r="U163" s="22"/>
      <c r="V163" s="22"/>
      <c r="W163" s="22"/>
      <c r="X163" s="22"/>
    </row>
    <row r="164" spans="1:24">
      <c r="A164" s="22"/>
      <c r="B164" s="299"/>
      <c r="C164" s="299"/>
      <c r="D164" s="299"/>
      <c r="E164" s="22"/>
      <c r="I164" s="22"/>
      <c r="J164" s="22"/>
      <c r="K164" s="22"/>
      <c r="L164" s="22"/>
      <c r="M164" s="22"/>
      <c r="N164" s="321"/>
      <c r="O164" s="321"/>
      <c r="P164" s="321"/>
      <c r="Q164" s="321"/>
      <c r="R164" s="22"/>
      <c r="S164" s="22"/>
      <c r="T164" s="22"/>
      <c r="U164" s="22"/>
      <c r="V164" s="22"/>
      <c r="W164" s="22"/>
      <c r="X164" s="22"/>
    </row>
    <row r="165" spans="1:24">
      <c r="A165" s="22"/>
      <c r="B165" s="299"/>
      <c r="C165" s="299"/>
      <c r="D165" s="299"/>
      <c r="E165" s="22"/>
      <c r="I165" s="22"/>
      <c r="J165" s="22"/>
      <c r="K165" s="22"/>
      <c r="L165" s="22"/>
      <c r="M165" s="22"/>
      <c r="N165" s="321"/>
      <c r="O165" s="321"/>
      <c r="P165" s="321"/>
      <c r="Q165" s="321"/>
      <c r="R165" s="22"/>
      <c r="S165" s="22"/>
      <c r="T165" s="22"/>
      <c r="U165" s="22"/>
      <c r="V165" s="22"/>
      <c r="W165" s="22"/>
      <c r="X165" s="22"/>
    </row>
    <row r="166" spans="1:24">
      <c r="A166" s="22"/>
      <c r="B166" s="299"/>
      <c r="C166" s="299"/>
      <c r="D166" s="299"/>
      <c r="E166" s="22"/>
      <c r="I166" s="22"/>
      <c r="J166" s="22"/>
      <c r="K166" s="22"/>
      <c r="L166" s="22"/>
      <c r="M166" s="22"/>
      <c r="N166" s="321"/>
      <c r="O166" s="321"/>
      <c r="P166" s="321"/>
      <c r="Q166" s="321"/>
      <c r="R166" s="22"/>
      <c r="S166" s="22"/>
      <c r="T166" s="22"/>
      <c r="U166" s="22"/>
      <c r="V166" s="22"/>
      <c r="W166" s="22"/>
      <c r="X166" s="22"/>
    </row>
    <row r="167" spans="1:24">
      <c r="A167" s="22"/>
      <c r="B167" s="299"/>
      <c r="C167" s="299"/>
      <c r="D167" s="299"/>
      <c r="E167" s="22"/>
      <c r="I167" s="22"/>
      <c r="J167" s="22"/>
      <c r="K167" s="22"/>
      <c r="L167" s="22"/>
      <c r="M167" s="22"/>
      <c r="N167" s="321"/>
      <c r="O167" s="321"/>
      <c r="P167" s="321"/>
      <c r="Q167" s="321"/>
      <c r="R167" s="22"/>
      <c r="S167" s="22"/>
      <c r="T167" s="22"/>
      <c r="U167" s="22"/>
      <c r="V167" s="22"/>
      <c r="W167" s="22"/>
      <c r="X167" s="22"/>
    </row>
    <row r="168" spans="1:24">
      <c r="A168" s="22"/>
      <c r="B168" s="299"/>
      <c r="C168" s="299"/>
      <c r="D168" s="299"/>
      <c r="E168" s="22"/>
      <c r="I168" s="22"/>
      <c r="J168" s="22"/>
      <c r="K168" s="22"/>
      <c r="L168" s="22"/>
      <c r="M168" s="22"/>
      <c r="N168" s="321"/>
      <c r="O168" s="321"/>
      <c r="P168" s="321"/>
      <c r="Q168" s="321"/>
      <c r="R168" s="22"/>
      <c r="S168" s="22"/>
      <c r="T168" s="22"/>
      <c r="U168" s="22"/>
      <c r="V168" s="22"/>
      <c r="W168" s="22"/>
      <c r="X168" s="22"/>
    </row>
    <row r="169" spans="1:24">
      <c r="A169" s="22"/>
      <c r="B169" s="299"/>
      <c r="C169" s="299"/>
      <c r="D169" s="299"/>
      <c r="E169" s="22"/>
      <c r="I169" s="22"/>
      <c r="J169" s="22"/>
      <c r="K169" s="22"/>
      <c r="L169" s="22"/>
      <c r="M169" s="22"/>
      <c r="N169" s="321"/>
      <c r="O169" s="321"/>
      <c r="P169" s="321"/>
      <c r="Q169" s="321"/>
      <c r="R169" s="22"/>
      <c r="S169" s="22"/>
      <c r="T169" s="22"/>
      <c r="U169" s="22"/>
      <c r="V169" s="22"/>
      <c r="W169" s="22"/>
      <c r="X169" s="22"/>
    </row>
    <row r="170" spans="1:24">
      <c r="A170" s="22"/>
      <c r="B170" s="299"/>
      <c r="C170" s="299"/>
      <c r="D170" s="299"/>
      <c r="E170" s="22"/>
      <c r="I170" s="22"/>
      <c r="J170" s="22"/>
      <c r="K170" s="22"/>
      <c r="L170" s="22"/>
      <c r="M170" s="22"/>
      <c r="N170" s="321"/>
      <c r="O170" s="321"/>
      <c r="P170" s="321"/>
      <c r="Q170" s="321"/>
      <c r="R170" s="22"/>
      <c r="S170" s="22"/>
      <c r="T170" s="22"/>
      <c r="U170" s="22"/>
      <c r="V170" s="22"/>
      <c r="W170" s="22"/>
      <c r="X170" s="22"/>
    </row>
    <row r="171" spans="1:24">
      <c r="A171" s="22"/>
      <c r="B171" s="299"/>
      <c r="C171" s="299"/>
      <c r="D171" s="299"/>
      <c r="E171" s="22"/>
      <c r="I171" s="22"/>
      <c r="J171" s="22"/>
      <c r="K171" s="22"/>
      <c r="L171" s="22"/>
      <c r="M171" s="22"/>
      <c r="N171" s="321"/>
      <c r="O171" s="321"/>
      <c r="P171" s="321"/>
      <c r="Q171" s="321"/>
      <c r="R171" s="22"/>
      <c r="S171" s="22"/>
      <c r="T171" s="22"/>
      <c r="U171" s="22"/>
      <c r="V171" s="22"/>
      <c r="W171" s="22"/>
      <c r="X171" s="22"/>
    </row>
    <row r="172" spans="1:24">
      <c r="A172" s="22"/>
      <c r="B172" s="299"/>
      <c r="C172" s="299"/>
      <c r="D172" s="299"/>
      <c r="E172" s="22"/>
      <c r="I172" s="22"/>
      <c r="J172" s="22"/>
      <c r="K172" s="22"/>
      <c r="L172" s="22"/>
      <c r="M172" s="22"/>
      <c r="N172" s="321"/>
      <c r="O172" s="321"/>
      <c r="P172" s="321"/>
      <c r="Q172" s="321"/>
      <c r="R172" s="22"/>
      <c r="S172" s="22"/>
      <c r="T172" s="22"/>
      <c r="U172" s="22"/>
      <c r="V172" s="22"/>
      <c r="W172" s="22"/>
      <c r="X172" s="22"/>
    </row>
    <row r="173" spans="1:24">
      <c r="A173" s="22"/>
      <c r="B173" s="299"/>
      <c r="C173" s="299"/>
      <c r="D173" s="299"/>
      <c r="E173" s="22"/>
      <c r="I173" s="22"/>
      <c r="J173" s="22"/>
      <c r="K173" s="22"/>
      <c r="L173" s="22"/>
      <c r="M173" s="22"/>
      <c r="N173" s="321"/>
      <c r="O173" s="321"/>
      <c r="P173" s="321"/>
      <c r="Q173" s="321"/>
      <c r="R173" s="22"/>
      <c r="S173" s="22"/>
      <c r="T173" s="22"/>
      <c r="U173" s="22"/>
      <c r="V173" s="22"/>
      <c r="W173" s="22"/>
      <c r="X173" s="22"/>
    </row>
    <row r="174" spans="1:24">
      <c r="A174" s="22"/>
      <c r="B174" s="299"/>
      <c r="C174" s="299"/>
      <c r="D174" s="299"/>
      <c r="E174" s="22"/>
      <c r="I174" s="22"/>
      <c r="J174" s="22"/>
      <c r="K174" s="22"/>
      <c r="L174" s="22"/>
      <c r="M174" s="22"/>
      <c r="N174" s="321"/>
      <c r="O174" s="321"/>
      <c r="P174" s="321"/>
      <c r="Q174" s="321"/>
      <c r="R174" s="22"/>
      <c r="S174" s="22"/>
      <c r="T174" s="22"/>
      <c r="U174" s="22"/>
      <c r="V174" s="22"/>
      <c r="W174" s="22"/>
      <c r="X174" s="22"/>
    </row>
    <row r="175" spans="1:24">
      <c r="A175" s="22"/>
      <c r="B175" s="299"/>
      <c r="C175" s="299"/>
      <c r="D175" s="299"/>
      <c r="E175" s="22"/>
      <c r="I175" s="22"/>
      <c r="J175" s="22"/>
      <c r="K175" s="22"/>
      <c r="L175" s="22"/>
      <c r="M175" s="42"/>
      <c r="N175" s="329"/>
      <c r="O175" s="329"/>
      <c r="P175" s="329"/>
      <c r="Q175" s="329"/>
      <c r="R175" s="22"/>
      <c r="S175" s="22"/>
      <c r="T175" s="22"/>
      <c r="U175" s="22"/>
      <c r="V175" s="22"/>
      <c r="W175" s="22"/>
      <c r="X175" s="22"/>
    </row>
    <row r="176" spans="1:24">
      <c r="A176" s="22"/>
      <c r="B176" s="299"/>
      <c r="C176" s="299"/>
      <c r="D176" s="299"/>
      <c r="E176" s="22"/>
      <c r="I176" s="22"/>
      <c r="J176" s="22"/>
      <c r="K176" s="22"/>
      <c r="L176" s="22"/>
      <c r="M176" s="22"/>
      <c r="N176" s="321"/>
      <c r="O176" s="321"/>
      <c r="P176" s="321"/>
      <c r="Q176" s="321"/>
      <c r="R176" s="22"/>
      <c r="S176" s="22"/>
      <c r="T176" s="22"/>
      <c r="U176" s="22"/>
      <c r="V176" s="22"/>
      <c r="W176" s="22"/>
      <c r="X176" s="22"/>
    </row>
    <row r="177" spans="1:24">
      <c r="A177" s="22"/>
      <c r="B177" s="299"/>
      <c r="C177" s="299"/>
      <c r="D177" s="299"/>
      <c r="E177" s="22"/>
      <c r="I177" s="22"/>
      <c r="J177" s="22"/>
      <c r="K177" s="22"/>
      <c r="L177" s="22"/>
      <c r="M177" s="22"/>
      <c r="N177" s="321"/>
      <c r="O177" s="321"/>
      <c r="P177" s="321"/>
      <c r="Q177" s="321"/>
      <c r="R177" s="22"/>
      <c r="S177" s="22"/>
      <c r="T177" s="22"/>
      <c r="U177" s="22"/>
      <c r="V177" s="22"/>
      <c r="W177" s="22"/>
      <c r="X177" s="22"/>
    </row>
    <row r="178" spans="1:24">
      <c r="A178" s="22"/>
      <c r="B178" s="299"/>
      <c r="C178" s="299"/>
      <c r="D178" s="299"/>
      <c r="E178" s="22"/>
      <c r="I178" s="22"/>
      <c r="J178" s="22"/>
      <c r="K178" s="22"/>
      <c r="L178" s="22"/>
      <c r="M178" s="22"/>
      <c r="N178" s="321"/>
      <c r="O178" s="321"/>
      <c r="P178" s="321"/>
      <c r="Q178" s="321"/>
      <c r="R178" s="22"/>
      <c r="S178" s="22"/>
      <c r="T178" s="22"/>
      <c r="U178" s="22"/>
      <c r="V178" s="22"/>
      <c r="W178" s="22"/>
      <c r="X178" s="22"/>
    </row>
    <row r="179" spans="1:24">
      <c r="A179" s="22"/>
      <c r="B179" s="299"/>
      <c r="C179" s="299"/>
      <c r="D179" s="299"/>
      <c r="E179" s="22"/>
      <c r="I179" s="22"/>
      <c r="J179" s="22"/>
      <c r="K179" s="22"/>
      <c r="L179" s="22"/>
      <c r="M179" s="22"/>
      <c r="N179" s="321"/>
      <c r="O179" s="321"/>
      <c r="P179" s="321"/>
      <c r="Q179" s="321"/>
      <c r="R179" s="22"/>
      <c r="S179" s="22"/>
      <c r="T179" s="22"/>
      <c r="U179" s="22"/>
      <c r="V179" s="22"/>
      <c r="W179" s="22"/>
      <c r="X179" s="22"/>
    </row>
    <row r="180" spans="1:24">
      <c r="A180" s="22"/>
      <c r="B180" s="299"/>
      <c r="C180" s="299"/>
      <c r="D180" s="299"/>
      <c r="E180" s="22"/>
      <c r="I180" s="22"/>
      <c r="J180" s="22"/>
      <c r="K180" s="22"/>
      <c r="L180" s="22"/>
      <c r="M180" s="22"/>
      <c r="N180" s="321"/>
      <c r="O180" s="321"/>
      <c r="P180" s="321"/>
      <c r="Q180" s="321"/>
      <c r="R180" s="22"/>
      <c r="S180" s="22"/>
      <c r="T180" s="22"/>
      <c r="U180" s="22"/>
      <c r="V180" s="22"/>
      <c r="W180" s="22"/>
      <c r="X180" s="22"/>
    </row>
    <row r="181" spans="1:24">
      <c r="A181" s="22"/>
      <c r="B181" s="299"/>
      <c r="C181" s="299"/>
      <c r="D181" s="299"/>
      <c r="E181" s="22"/>
      <c r="I181" s="22"/>
      <c r="J181" s="22"/>
      <c r="K181" s="22"/>
      <c r="L181" s="22"/>
      <c r="M181" s="22"/>
      <c r="N181" s="321"/>
      <c r="O181" s="321"/>
      <c r="P181" s="321"/>
      <c r="Q181" s="321"/>
      <c r="R181" s="22"/>
      <c r="S181" s="22"/>
      <c r="T181" s="22"/>
      <c r="U181" s="22"/>
      <c r="V181" s="22"/>
      <c r="W181" s="22"/>
      <c r="X181" s="22"/>
    </row>
    <row r="182" spans="1:24">
      <c r="A182" s="22"/>
      <c r="B182" s="299"/>
      <c r="C182" s="299"/>
      <c r="D182" s="299"/>
      <c r="E182" s="22"/>
      <c r="I182" s="22"/>
      <c r="J182" s="22"/>
      <c r="K182" s="22"/>
      <c r="L182" s="22"/>
      <c r="M182" s="22"/>
      <c r="N182" s="321"/>
      <c r="O182" s="321"/>
      <c r="P182" s="321"/>
      <c r="Q182" s="321"/>
      <c r="R182" s="22"/>
      <c r="S182" s="22"/>
      <c r="T182" s="22"/>
      <c r="U182" s="22"/>
      <c r="V182" s="22"/>
      <c r="W182" s="22"/>
      <c r="X182" s="22"/>
    </row>
    <row r="183" spans="1:24">
      <c r="A183" s="22"/>
      <c r="B183" s="299"/>
      <c r="C183" s="299"/>
      <c r="D183" s="299"/>
      <c r="E183" s="22"/>
      <c r="I183" s="22"/>
      <c r="J183" s="22"/>
      <c r="K183" s="22"/>
      <c r="L183" s="22"/>
      <c r="M183" s="22"/>
      <c r="N183" s="321"/>
      <c r="O183" s="321"/>
      <c r="P183" s="321"/>
      <c r="Q183" s="321"/>
      <c r="R183" s="22"/>
      <c r="S183" s="22"/>
      <c r="T183" s="22"/>
      <c r="U183" s="22"/>
      <c r="V183" s="22"/>
      <c r="W183" s="22"/>
      <c r="X183" s="22"/>
    </row>
    <row r="184" spans="1:24">
      <c r="A184" s="22"/>
      <c r="B184" s="299"/>
      <c r="C184" s="299"/>
      <c r="D184" s="299"/>
      <c r="E184" s="22"/>
      <c r="I184" s="22"/>
      <c r="J184" s="22"/>
      <c r="K184" s="22"/>
      <c r="L184" s="22"/>
      <c r="M184" s="22"/>
      <c r="N184" s="321"/>
      <c r="O184" s="321"/>
      <c r="P184" s="321"/>
      <c r="Q184" s="321"/>
      <c r="R184" s="22"/>
      <c r="S184" s="22"/>
      <c r="T184" s="22"/>
      <c r="U184" s="22"/>
      <c r="V184" s="22"/>
      <c r="W184" s="22"/>
      <c r="X184" s="22"/>
    </row>
    <row r="185" spans="1:24">
      <c r="A185" s="22"/>
      <c r="B185" s="299"/>
      <c r="C185" s="299"/>
      <c r="D185" s="299"/>
      <c r="E185" s="22"/>
      <c r="I185" s="22"/>
      <c r="J185" s="22"/>
      <c r="K185" s="22"/>
      <c r="L185" s="22"/>
      <c r="M185" s="22"/>
      <c r="N185" s="321"/>
      <c r="O185" s="321"/>
      <c r="P185" s="321"/>
      <c r="Q185" s="321"/>
      <c r="R185" s="22"/>
      <c r="S185" s="22"/>
      <c r="T185" s="22"/>
      <c r="U185" s="22"/>
      <c r="V185" s="22"/>
      <c r="W185" s="22"/>
      <c r="X185" s="22"/>
    </row>
    <row r="186" spans="1:24">
      <c r="A186" s="22"/>
      <c r="B186" s="299"/>
      <c r="C186" s="299"/>
      <c r="D186" s="299"/>
      <c r="E186" s="22"/>
      <c r="I186" s="22"/>
      <c r="J186" s="22"/>
      <c r="K186" s="22"/>
      <c r="L186" s="22"/>
      <c r="M186" s="22"/>
      <c r="N186" s="321"/>
      <c r="O186" s="321"/>
      <c r="P186" s="321"/>
      <c r="Q186" s="321"/>
      <c r="R186" s="22"/>
      <c r="S186" s="22"/>
      <c r="T186" s="22"/>
      <c r="U186" s="22"/>
      <c r="V186" s="22"/>
      <c r="W186" s="22"/>
      <c r="X186" s="22"/>
    </row>
    <row r="187" spans="1:24">
      <c r="A187" s="22"/>
      <c r="B187" s="299"/>
      <c r="C187" s="299"/>
      <c r="D187" s="299"/>
      <c r="E187" s="22"/>
      <c r="I187" s="22"/>
      <c r="J187" s="22"/>
      <c r="K187" s="22"/>
      <c r="L187" s="22"/>
      <c r="M187" s="22"/>
      <c r="N187" s="321"/>
      <c r="O187" s="321"/>
      <c r="P187" s="321"/>
      <c r="Q187" s="321"/>
      <c r="R187" s="22"/>
      <c r="S187" s="22"/>
      <c r="T187" s="22"/>
      <c r="U187" s="22"/>
      <c r="V187" s="22"/>
      <c r="W187" s="22"/>
      <c r="X187" s="22"/>
    </row>
    <row r="188" spans="1:24">
      <c r="A188" s="22"/>
      <c r="B188" s="299"/>
      <c r="C188" s="299"/>
      <c r="D188" s="299"/>
      <c r="E188" s="22"/>
      <c r="I188" s="22"/>
      <c r="J188" s="22"/>
      <c r="K188" s="22"/>
      <c r="L188" s="22"/>
      <c r="M188" s="22"/>
      <c r="N188" s="321"/>
      <c r="O188" s="321"/>
      <c r="P188" s="321"/>
      <c r="Q188" s="321"/>
      <c r="R188" s="22"/>
      <c r="S188" s="22"/>
      <c r="T188" s="22"/>
      <c r="U188" s="22"/>
      <c r="V188" s="22"/>
      <c r="W188" s="22"/>
      <c r="X188" s="22"/>
    </row>
    <row r="189" spans="1:24">
      <c r="A189" s="22"/>
      <c r="B189" s="299"/>
      <c r="C189" s="299"/>
      <c r="D189" s="299"/>
      <c r="E189" s="22"/>
      <c r="I189" s="22"/>
      <c r="J189" s="22"/>
      <c r="K189" s="22"/>
      <c r="L189" s="22"/>
      <c r="M189" s="22"/>
      <c r="N189" s="321"/>
      <c r="O189" s="321"/>
      <c r="P189" s="321"/>
      <c r="Q189" s="321"/>
      <c r="R189" s="22"/>
      <c r="S189" s="22"/>
      <c r="T189" s="22"/>
      <c r="U189" s="22"/>
      <c r="V189" s="22"/>
      <c r="W189" s="22"/>
      <c r="X189" s="22"/>
    </row>
    <row r="190" spans="1:24">
      <c r="A190" s="22"/>
      <c r="B190" s="299"/>
      <c r="C190" s="299"/>
      <c r="D190" s="299"/>
      <c r="E190" s="22"/>
      <c r="I190" s="22"/>
      <c r="J190" s="22"/>
      <c r="K190" s="22"/>
      <c r="L190" s="22"/>
      <c r="M190" s="22"/>
      <c r="N190" s="321"/>
      <c r="O190" s="321"/>
      <c r="P190" s="321"/>
      <c r="Q190" s="321"/>
      <c r="R190" s="22"/>
      <c r="S190" s="22"/>
      <c r="T190" s="22"/>
      <c r="U190" s="22"/>
      <c r="V190" s="22"/>
      <c r="W190" s="22"/>
      <c r="X190" s="22"/>
    </row>
    <row r="191" spans="1:24">
      <c r="A191" s="22"/>
      <c r="B191" s="299"/>
      <c r="C191" s="299"/>
      <c r="D191" s="299"/>
      <c r="E191" s="22"/>
      <c r="I191" s="22"/>
      <c r="J191" s="22"/>
      <c r="K191" s="22"/>
      <c r="L191" s="22"/>
      <c r="M191" s="22"/>
      <c r="N191" s="321"/>
      <c r="O191" s="321"/>
      <c r="P191" s="321"/>
      <c r="Q191" s="321"/>
      <c r="R191" s="22"/>
      <c r="S191" s="22"/>
      <c r="T191" s="22"/>
      <c r="U191" s="22"/>
      <c r="V191" s="22"/>
      <c r="W191" s="22"/>
      <c r="X191" s="22"/>
    </row>
    <row r="192" spans="1:24">
      <c r="A192" s="22"/>
      <c r="B192" s="299"/>
      <c r="C192" s="299"/>
      <c r="D192" s="299"/>
      <c r="E192" s="22"/>
      <c r="I192" s="22"/>
      <c r="J192" s="22"/>
      <c r="K192" s="22"/>
      <c r="L192" s="22"/>
      <c r="M192" s="43"/>
      <c r="N192" s="327"/>
      <c r="O192" s="327"/>
      <c r="P192" s="327"/>
      <c r="Q192" s="327"/>
      <c r="R192" s="22"/>
      <c r="S192" s="22"/>
      <c r="T192" s="22"/>
      <c r="U192" s="22"/>
      <c r="V192" s="22"/>
      <c r="W192" s="22"/>
      <c r="X192" s="22"/>
    </row>
    <row r="193" spans="1:24">
      <c r="A193" s="22"/>
      <c r="B193" s="299"/>
      <c r="C193" s="299"/>
      <c r="D193" s="299"/>
      <c r="E193" s="22"/>
      <c r="I193" s="22"/>
      <c r="J193" s="22"/>
      <c r="K193" s="22"/>
      <c r="L193" s="22"/>
      <c r="M193" s="22"/>
      <c r="N193" s="321"/>
      <c r="O193" s="321"/>
      <c r="P193" s="321"/>
      <c r="Q193" s="321"/>
      <c r="R193" s="22"/>
      <c r="S193" s="22"/>
      <c r="T193" s="22"/>
      <c r="U193" s="22"/>
      <c r="V193" s="22"/>
      <c r="W193" s="22"/>
      <c r="X193" s="22"/>
    </row>
    <row r="194" spans="1:24">
      <c r="A194" s="22"/>
      <c r="B194" s="299"/>
      <c r="C194" s="299"/>
      <c r="D194" s="299"/>
      <c r="E194" s="22"/>
      <c r="I194" s="22"/>
      <c r="J194" s="22"/>
      <c r="K194" s="22"/>
      <c r="L194" s="22"/>
      <c r="M194" s="43"/>
      <c r="N194" s="327"/>
      <c r="O194" s="327"/>
      <c r="P194" s="327"/>
      <c r="Q194" s="327"/>
      <c r="R194" s="22"/>
      <c r="S194" s="22"/>
      <c r="T194" s="22"/>
      <c r="U194" s="22"/>
      <c r="V194" s="22"/>
      <c r="W194" s="22"/>
      <c r="X194" s="22"/>
    </row>
    <row r="195" spans="1:24" hidden="1"/>
    <row r="196" spans="1:24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B084"/>
  </sheetPr>
  <dimension ref="A1:BE150"/>
  <sheetViews>
    <sheetView zoomScale="153" workbookViewId="0">
      <pane xSplit="4" ySplit="3" topLeftCell="E4" activePane="bottomRight" state="frozen"/>
      <selection pane="topRight"/>
      <selection pane="bottomLeft"/>
      <selection pane="bottomRight" activeCell="A14" sqref="A14"/>
    </sheetView>
  </sheetViews>
  <sheetFormatPr defaultRowHeight="14.5"/>
  <cols>
    <col min="1" max="1" width="23.6328125" customWidth="1"/>
    <col min="2" max="2" width="4.453125" style="54" customWidth="1"/>
    <col min="3" max="3" width="19.90625" style="49" customWidth="1"/>
    <col min="4" max="4" width="7.6328125" style="54" customWidth="1"/>
    <col min="5" max="5" width="10.26953125" customWidth="1"/>
  </cols>
  <sheetData>
    <row r="1" spans="1:57" s="56" customFormat="1">
      <c r="A1" s="60"/>
      <c r="B1" s="61"/>
      <c r="C1" s="62"/>
      <c r="D1" s="61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</row>
    <row r="2" spans="1:57">
      <c r="A2" s="63" t="s">
        <v>0</v>
      </c>
      <c r="B2" s="64"/>
      <c r="C2" s="64"/>
      <c r="D2" s="64"/>
      <c r="E2" s="65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</row>
    <row r="3" spans="1:57">
      <c r="A3" s="63" t="s">
        <v>67</v>
      </c>
      <c r="B3" s="64"/>
      <c r="C3" s="64"/>
      <c r="D3" s="64"/>
      <c r="E3" s="68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</row>
    <row r="4" spans="1:57" ht="18.5" customHeight="1">
      <c r="A4" s="60"/>
      <c r="B4" s="70" t="s">
        <v>2</v>
      </c>
      <c r="C4" s="71" t="s">
        <v>3</v>
      </c>
      <c r="D4" s="70" t="s">
        <v>4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</row>
    <row r="5" spans="1:57">
      <c r="A5" s="72" t="s">
        <v>68</v>
      </c>
      <c r="B5" s="73" t="s">
        <v>7</v>
      </c>
      <c r="C5" s="74" t="s">
        <v>69</v>
      </c>
      <c r="D5" s="75"/>
      <c r="E5" s="76">
        <v>0.03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</row>
    <row r="6" spans="1:57">
      <c r="A6" s="60"/>
      <c r="B6" s="75"/>
      <c r="C6" s="77"/>
      <c r="D6" s="78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</row>
    <row r="7" spans="1:57">
      <c r="A7" s="72" t="s">
        <v>70</v>
      </c>
      <c r="B7" s="73" t="s">
        <v>7</v>
      </c>
      <c r="C7" s="74" t="s">
        <v>71</v>
      </c>
      <c r="D7" s="78"/>
      <c r="E7" s="79">
        <v>0.05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</row>
    <row r="8" spans="1:57">
      <c r="A8" s="72" t="s">
        <v>72</v>
      </c>
      <c r="B8" s="73" t="s">
        <v>7</v>
      </c>
      <c r="C8" s="74" t="s">
        <v>73</v>
      </c>
      <c r="D8" s="78"/>
      <c r="E8" s="80">
        <v>0.35</v>
      </c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</row>
    <row r="9" spans="1:57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</row>
    <row r="10" spans="1:57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</row>
    <row r="11" spans="1:57">
      <c r="A11" s="277" t="s">
        <v>74</v>
      </c>
      <c r="B11" s="277" t="s">
        <v>7</v>
      </c>
      <c r="C11" s="277" t="s">
        <v>75</v>
      </c>
      <c r="D11" s="60"/>
      <c r="E11" s="276">
        <v>46112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</row>
    <row r="12" spans="1:57">
      <c r="A12" s="277" t="s">
        <v>76</v>
      </c>
      <c r="B12" s="277" t="s">
        <v>7</v>
      </c>
      <c r="C12" s="277" t="s">
        <v>77</v>
      </c>
      <c r="D12" s="60"/>
      <c r="E12" s="276">
        <v>46203</v>
      </c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</row>
    <row r="13" spans="1:57">
      <c r="A13" s="277" t="s">
        <v>78</v>
      </c>
      <c r="B13" s="278" t="s">
        <v>7</v>
      </c>
      <c r="C13" s="278" t="s">
        <v>79</v>
      </c>
      <c r="D13" s="60"/>
      <c r="E13" s="276">
        <v>46752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</row>
    <row r="14" spans="1:57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</row>
    <row r="15" spans="1:57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</row>
    <row r="16" spans="1:57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</row>
    <row r="17" spans="1:5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</row>
    <row r="18" spans="1:57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</row>
    <row r="19" spans="1:57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</row>
    <row r="20" spans="1:57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</row>
    <row r="21" spans="1:57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</row>
    <row r="22" spans="1:57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</row>
    <row r="23" spans="1:57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</row>
    <row r="24" spans="1:57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</row>
    <row r="25" spans="1:57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</row>
    <row r="26" spans="1:57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</row>
    <row r="27" spans="1:5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</row>
    <row r="28" spans="1:57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</row>
    <row r="29" spans="1:57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</row>
    <row r="30" spans="1:57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</row>
    <row r="31" spans="1:57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</row>
    <row r="32" spans="1:57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</row>
    <row r="33" spans="1:57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</row>
    <row r="34" spans="1:57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</row>
    <row r="35" spans="1:57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</row>
    <row r="36" spans="1:57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</row>
    <row r="37" spans="1:5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</row>
    <row r="38" spans="1:57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</row>
    <row r="39" spans="1:57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</row>
    <row r="40" spans="1:57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</row>
    <row r="41" spans="1:57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</row>
    <row r="42" spans="1:57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</row>
    <row r="43" spans="1:57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</row>
    <row r="44" spans="1:57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</row>
    <row r="45" spans="1:57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</row>
    <row r="46" spans="1:57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</row>
    <row r="47" spans="1:5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</row>
    <row r="48" spans="1:57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</row>
    <row r="49" spans="1:57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</row>
    <row r="50" spans="1:57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</row>
    <row r="51" spans="1:57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</row>
    <row r="52" spans="1:57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</row>
    <row r="53" spans="1:57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</row>
    <row r="54" spans="1:57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</row>
    <row r="55" spans="1:57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</row>
    <row r="56" spans="1:57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</row>
    <row r="57" spans="1: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</row>
    <row r="58" spans="1:57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</row>
    <row r="59" spans="1:57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</row>
    <row r="60" spans="1:57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</row>
    <row r="61" spans="1:57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</row>
    <row r="62" spans="1:57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</row>
    <row r="63" spans="1:57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</row>
    <row r="64" spans="1:57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</row>
    <row r="65" spans="1:57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</row>
    <row r="66" spans="1:57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</row>
    <row r="67" spans="1:5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</row>
    <row r="68" spans="1:57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</row>
    <row r="69" spans="1:57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</row>
    <row r="70" spans="1:57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</row>
    <row r="71" spans="1:57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</row>
    <row r="72" spans="1:57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</row>
    <row r="73" spans="1:57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</row>
    <row r="74" spans="1:57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</row>
    <row r="75" spans="1:57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</row>
    <row r="76" spans="1:57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</row>
    <row r="77" spans="1:5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</row>
    <row r="78" spans="1:57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</row>
    <row r="79" spans="1:57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</row>
    <row r="80" spans="1:57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</row>
    <row r="81" spans="1:57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</row>
    <row r="82" spans="1:57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</row>
    <row r="83" spans="1:57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</row>
    <row r="84" spans="1:57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</row>
    <row r="85" spans="1:57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</row>
    <row r="86" spans="1:57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</row>
    <row r="87" spans="1:5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</row>
    <row r="88" spans="1:57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</row>
    <row r="89" spans="1:57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</row>
    <row r="90" spans="1:57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</row>
    <row r="91" spans="1:57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</row>
    <row r="92" spans="1:57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</row>
    <row r="93" spans="1:57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</row>
    <row r="94" spans="1:57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</row>
    <row r="95" spans="1:57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</row>
    <row r="96" spans="1:57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</row>
    <row r="97" spans="1:5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</row>
    <row r="98" spans="1:57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</row>
    <row r="99" spans="1:57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</row>
    <row r="100" spans="1:57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</row>
    <row r="101" spans="1:57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</row>
    <row r="102" spans="1:57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</row>
    <row r="103" spans="1:57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</row>
    <row r="104" spans="1:57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</row>
    <row r="105" spans="1:57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</row>
    <row r="106" spans="1:57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</row>
    <row r="107" spans="1:5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</row>
    <row r="108" spans="1:57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</row>
    <row r="109" spans="1:57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</row>
    <row r="110" spans="1:57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</row>
    <row r="111" spans="1:57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</row>
    <row r="112" spans="1:57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</row>
    <row r="113" spans="1:57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</row>
    <row r="114" spans="1:57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</row>
    <row r="115" spans="1:57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</row>
    <row r="116" spans="1:57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</row>
    <row r="117" spans="1:57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</row>
    <row r="118" spans="1:57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</row>
    <row r="119" spans="1:57">
      <c r="A119" s="60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</row>
    <row r="120" spans="1:57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</row>
    <row r="121" spans="1:57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</row>
    <row r="122" spans="1:57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</row>
    <row r="123" spans="1:57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</row>
    <row r="124" spans="1:57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</row>
    <row r="125" spans="1:57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</row>
    <row r="126" spans="1:57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</row>
    <row r="127" spans="1:57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</row>
    <row r="128" spans="1:57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</row>
    <row r="129" spans="1:57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</row>
    <row r="130" spans="1:57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</row>
    <row r="131" spans="1:57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</row>
    <row r="132" spans="1:57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</row>
    <row r="133" spans="1:57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</row>
    <row r="134" spans="1:57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</row>
    <row r="135" spans="1:57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</row>
    <row r="136" spans="1:57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</row>
    <row r="137" spans="1:57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</row>
    <row r="138" spans="1:57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</row>
    <row r="139" spans="1:57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</row>
    <row r="140" spans="1:57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</row>
    <row r="141" spans="1:57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</row>
    <row r="142" spans="1:57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</row>
    <row r="143" spans="1:57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</row>
    <row r="144" spans="1:57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</row>
    <row r="145" spans="1:57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</row>
    <row r="146" spans="1:57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</row>
    <row r="147" spans="1:57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</row>
    <row r="148" spans="1:57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</row>
    <row r="149" spans="1:57">
      <c r="A149" s="60"/>
      <c r="B149" s="81"/>
      <c r="C149" s="60"/>
      <c r="D149" s="81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</row>
    <row r="150" spans="1:57">
      <c r="A150" s="60"/>
      <c r="B150" s="81"/>
      <c r="C150" s="60"/>
      <c r="D150" s="81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F4B084"/>
    <pageSetUpPr autoPageBreaks="0"/>
  </sheetPr>
  <dimension ref="A1:BE148"/>
  <sheetViews>
    <sheetView showGridLines="0" zoomScale="99" zoomScaleNormal="85" workbookViewId="0">
      <pane xSplit="4" ySplit="3" topLeftCell="L47" activePane="bottomRight" state="frozen"/>
      <selection pane="topRight"/>
      <selection pane="bottomLeft" activeCell="E16" sqref="E16"/>
      <selection pane="bottomRight" activeCell="M81" sqref="M81"/>
    </sheetView>
  </sheetViews>
  <sheetFormatPr defaultRowHeight="14.5"/>
  <cols>
    <col min="1" max="1" width="43.26953125" style="4" bestFit="1" customWidth="1"/>
    <col min="2" max="2" width="4.453125" style="54" customWidth="1"/>
    <col min="3" max="3" width="19.90625" style="54" customWidth="1"/>
    <col min="4" max="4" width="21.54296875" style="54" customWidth="1"/>
    <col min="5" max="5" width="14.26953125" style="53" customWidth="1"/>
    <col min="6" max="6" width="10.7265625" style="59" customWidth="1"/>
    <col min="7" max="8" width="10.7265625" style="206" customWidth="1"/>
    <col min="9" max="9" width="28.08984375" style="4" bestFit="1" customWidth="1"/>
    <col min="10" max="10" width="21.81640625" style="4" bestFit="1" customWidth="1"/>
    <col min="11" max="11" width="20.1796875" style="4" bestFit="1" customWidth="1"/>
    <col min="12" max="12" width="28.6328125" style="4" bestFit="1" customWidth="1"/>
    <col min="13" max="13" width="26" style="4" bestFit="1" customWidth="1"/>
    <col min="14" max="14" width="23.26953125" style="4" bestFit="1" customWidth="1"/>
    <col min="15" max="15" width="24.26953125" style="4" bestFit="1" customWidth="1"/>
    <col min="16" max="17" width="25.08984375" style="4" bestFit="1" customWidth="1"/>
    <col min="18" max="21" width="17.453125" bestFit="1" customWidth="1"/>
    <col min="22" max="22" width="18.6328125" bestFit="1" customWidth="1"/>
    <col min="23" max="23" width="24.26953125" bestFit="1" customWidth="1"/>
    <col min="24" max="24" width="18.6328125" bestFit="1" customWidth="1"/>
    <col min="25" max="25" width="28" bestFit="1" customWidth="1"/>
    <col min="26" max="26" width="9.6328125" bestFit="1" customWidth="1"/>
    <col min="27" max="27" width="14.453125" bestFit="1" customWidth="1"/>
    <col min="28" max="28" width="13.453125" bestFit="1" customWidth="1"/>
    <col min="29" max="29" width="14.453125" bestFit="1" customWidth="1"/>
    <col min="30" max="31" width="8.453125" bestFit="1" customWidth="1"/>
    <col min="32" max="32" width="5.26953125" bestFit="1" customWidth="1"/>
    <col min="33" max="33" width="7" bestFit="1" customWidth="1"/>
    <col min="34" max="34" width="5.54296875" bestFit="1" customWidth="1"/>
    <col min="35" max="35" width="6.26953125" bestFit="1" customWidth="1"/>
    <col min="36" max="36" width="7.453125" bestFit="1" customWidth="1"/>
    <col min="37" max="37" width="7" bestFit="1" customWidth="1"/>
    <col min="38" max="38" width="5.54296875" bestFit="1" customWidth="1"/>
    <col min="39" max="39" width="10.453125" bestFit="1" customWidth="1"/>
    <col min="40" max="40" width="5.453125" bestFit="1" customWidth="1"/>
    <col min="41" max="41" width="12.26953125" bestFit="1" customWidth="1"/>
    <col min="42" max="43" width="5.45312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5.453125" bestFit="1" customWidth="1"/>
    <col min="48" max="48" width="6.26953125" bestFit="1" customWidth="1"/>
    <col min="49" max="51" width="5.453125" bestFit="1" customWidth="1"/>
    <col min="52" max="52" width="5.54296875" bestFit="1" customWidth="1"/>
    <col min="53" max="53" width="7.453125" bestFit="1" customWidth="1"/>
    <col min="54" max="54" width="7" bestFit="1" customWidth="1"/>
    <col min="55" max="55" width="5.26953125" bestFit="1" customWidth="1"/>
    <col min="56" max="56" width="22.6328125" bestFit="1" customWidth="1"/>
  </cols>
  <sheetData>
    <row r="1" spans="1:57" ht="18.399999999999999" customHeight="1">
      <c r="A1" s="82"/>
      <c r="B1" s="82"/>
      <c r="C1" s="82"/>
      <c r="D1" s="82"/>
      <c r="E1" s="202"/>
      <c r="F1" s="60"/>
      <c r="G1" s="60"/>
      <c r="H1" s="60"/>
      <c r="I1" s="83"/>
      <c r="J1" s="83"/>
      <c r="K1" s="83"/>
      <c r="L1" s="83"/>
      <c r="M1" s="83"/>
      <c r="N1" s="330"/>
      <c r="O1" s="330"/>
      <c r="P1" s="330"/>
      <c r="Q1" s="33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</row>
    <row r="2" spans="1:57" s="216" customFormat="1">
      <c r="A2" s="212" t="s">
        <v>0</v>
      </c>
      <c r="B2" s="213"/>
      <c r="C2" s="213"/>
      <c r="D2" s="213"/>
      <c r="E2" s="214">
        <v>45657</v>
      </c>
      <c r="F2" s="214">
        <v>46022</v>
      </c>
      <c r="G2" s="214">
        <v>46112</v>
      </c>
      <c r="H2" s="214">
        <v>46203</v>
      </c>
      <c r="I2" s="214">
        <v>46022</v>
      </c>
      <c r="J2" s="214">
        <v>46112</v>
      </c>
      <c r="K2" s="214">
        <v>46203</v>
      </c>
      <c r="L2" s="214">
        <v>46295</v>
      </c>
      <c r="M2" s="214">
        <v>46387</v>
      </c>
      <c r="N2" s="316">
        <v>46477</v>
      </c>
      <c r="O2" s="316">
        <v>46568</v>
      </c>
      <c r="P2" s="316">
        <v>46660</v>
      </c>
      <c r="Q2" s="317">
        <v>46752</v>
      </c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</row>
    <row r="3" spans="1:57" s="219" customFormat="1">
      <c r="A3" s="68"/>
      <c r="B3" s="217"/>
      <c r="C3" s="217"/>
      <c r="D3" s="217"/>
      <c r="E3" s="218" t="s">
        <v>1</v>
      </c>
      <c r="F3" s="68"/>
      <c r="G3" s="68"/>
      <c r="H3" s="218"/>
      <c r="I3" s="218" t="s">
        <v>2</v>
      </c>
      <c r="J3" s="68"/>
      <c r="K3" s="68"/>
      <c r="L3" s="68"/>
      <c r="M3" s="68"/>
      <c r="N3" s="318"/>
      <c r="O3" s="318"/>
      <c r="P3" s="318"/>
      <c r="Q3" s="318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</row>
    <row r="4" spans="1:57" s="56" customFormat="1" ht="18.5" customHeight="1">
      <c r="A4" s="77"/>
      <c r="B4" s="70" t="s">
        <v>2</v>
      </c>
      <c r="C4" s="70" t="s">
        <v>3</v>
      </c>
      <c r="D4" s="70" t="s">
        <v>4</v>
      </c>
      <c r="E4" s="85"/>
      <c r="F4" s="85"/>
      <c r="G4" s="85"/>
      <c r="H4" s="60"/>
      <c r="I4" s="85"/>
      <c r="J4" s="85"/>
      <c r="K4" s="85"/>
      <c r="L4" s="85"/>
      <c r="M4" s="85"/>
      <c r="N4" s="331"/>
      <c r="O4" s="331"/>
      <c r="P4" s="331"/>
      <c r="Q4" s="331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</row>
    <row r="5" spans="1:57">
      <c r="A5" s="74" t="s">
        <v>80</v>
      </c>
      <c r="B5" s="75"/>
      <c r="C5" s="75"/>
      <c r="D5" s="75"/>
      <c r="E5" s="77"/>
      <c r="F5" s="85"/>
      <c r="G5" s="86"/>
      <c r="H5" s="60"/>
      <c r="I5" s="85"/>
      <c r="J5" s="86"/>
      <c r="K5" s="86"/>
      <c r="L5" s="86"/>
      <c r="M5" s="86"/>
      <c r="N5" s="332"/>
      <c r="O5" s="332"/>
      <c r="P5" s="332"/>
      <c r="Q5" s="332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</row>
    <row r="6" spans="1:57">
      <c r="A6" s="87" t="s">
        <v>81</v>
      </c>
      <c r="B6" s="75"/>
      <c r="C6" s="78"/>
      <c r="D6" s="78"/>
      <c r="E6" s="88"/>
      <c r="F6" s="88">
        <v>447597</v>
      </c>
      <c r="G6" s="88">
        <v>63035.789473684214</v>
      </c>
      <c r="H6" s="60"/>
      <c r="I6" s="88">
        <v>447597</v>
      </c>
      <c r="J6" s="88">
        <f>'c12_hm'!J70</f>
        <v>63035.789473684214</v>
      </c>
      <c r="K6" s="88">
        <f>'c12_hm'!K70</f>
        <v>398173.6519736842</v>
      </c>
      <c r="L6" s="88">
        <f>'c12_hm'!L70</f>
        <v>400447.33618421049</v>
      </c>
      <c r="M6" s="88">
        <f>'c12_hm'!M70</f>
        <v>662529.63026315777</v>
      </c>
      <c r="N6" s="333">
        <f>'c12_hm'!N70</f>
        <v>255971.7626381579</v>
      </c>
      <c r="O6" s="333">
        <f>'c12_hm'!O70</f>
        <v>255971.7626381579</v>
      </c>
      <c r="P6" s="333">
        <f>'c12_hm'!P70</f>
        <v>255971.7626381579</v>
      </c>
      <c r="Q6" s="333">
        <f>'c12_hm'!Q70</f>
        <v>255971.7626381579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</row>
    <row r="7" spans="1:57">
      <c r="A7" s="87" t="s">
        <v>82</v>
      </c>
      <c r="B7" s="75"/>
      <c r="C7" s="78"/>
      <c r="D7" s="78"/>
      <c r="E7" s="88"/>
      <c r="F7" s="88">
        <v>0</v>
      </c>
      <c r="G7" s="88">
        <v>16714.73684210526</v>
      </c>
      <c r="H7" s="60"/>
      <c r="I7" s="88">
        <v>0</v>
      </c>
      <c r="J7" s="88">
        <f>'c12_bi&amp;F'!J70</f>
        <v>16714.736842105263</v>
      </c>
      <c r="K7" s="88">
        <f>'c12_bi&amp;F'!K70</f>
        <v>16714.736842105263</v>
      </c>
      <c r="L7" s="88">
        <f>'c12_bi&amp;F'!L70</f>
        <v>22398.947368421053</v>
      </c>
      <c r="M7" s="88">
        <f>'c12_bi&amp;F'!M70</f>
        <v>27047.105263157893</v>
      </c>
      <c r="N7" s="333">
        <f>'c12_bi&amp;F'!N70</f>
        <v>27047.105263157893</v>
      </c>
      <c r="O7" s="333">
        <f>'c12_bi&amp;F'!O70</f>
        <v>27047.105263157893</v>
      </c>
      <c r="P7" s="333">
        <f>'c12_bi&amp;F'!P70</f>
        <v>27047.105263157893</v>
      </c>
      <c r="Q7" s="333">
        <f>'c12_bi&amp;F'!Q70</f>
        <v>27047.105263157893</v>
      </c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</row>
    <row r="8" spans="1:57">
      <c r="A8" s="87" t="s">
        <v>83</v>
      </c>
      <c r="B8" s="75"/>
      <c r="C8" s="78"/>
      <c r="D8" s="78"/>
      <c r="E8" s="88"/>
      <c r="F8" s="88">
        <v>455617.75</v>
      </c>
      <c r="G8" s="88">
        <v>806580.95035087725</v>
      </c>
      <c r="H8" s="60"/>
      <c r="I8" s="88">
        <v>455617.75</v>
      </c>
      <c r="J8" s="88">
        <f>'c12_d&amp;s'!J70</f>
        <v>839393.45035087725</v>
      </c>
      <c r="K8" s="88">
        <f>'c12_d&amp;s'!K70</f>
        <v>1048217.5903508773</v>
      </c>
      <c r="L8" s="88">
        <f>'c12_d&amp;s'!L70</f>
        <v>968127.09035087726</v>
      </c>
      <c r="M8" s="88">
        <f>'c12_d&amp;s'!M70</f>
        <v>2241733.1166666662</v>
      </c>
      <c r="N8" s="333">
        <f>'c12_d&amp;s'!N70</f>
        <v>1555733.1166666665</v>
      </c>
      <c r="O8" s="333">
        <f>'c12_d&amp;s'!O70</f>
        <v>1555733.1166666665</v>
      </c>
      <c r="P8" s="333">
        <f>'c12_d&amp;s'!P70</f>
        <v>1555733.1166666665</v>
      </c>
      <c r="Q8" s="333">
        <f>'c12_d&amp;s'!Q70</f>
        <v>1555733.1166666665</v>
      </c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</row>
    <row r="9" spans="1:57" ht="15" customHeight="1" thickBot="1">
      <c r="A9" s="78"/>
      <c r="B9" s="75"/>
      <c r="C9" s="78"/>
      <c r="D9" s="78"/>
      <c r="E9" s="88"/>
      <c r="F9" s="88"/>
      <c r="G9" s="88"/>
      <c r="H9" s="60"/>
      <c r="I9" s="88"/>
      <c r="J9" s="88"/>
      <c r="K9" s="88"/>
      <c r="L9" s="88"/>
      <c r="M9" s="88"/>
      <c r="N9" s="333"/>
      <c r="O9" s="333"/>
      <c r="P9" s="333"/>
      <c r="Q9" s="333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</row>
    <row r="10" spans="1:57" s="48" customFormat="1" ht="14.65" customHeight="1" thickTop="1" thickBot="1">
      <c r="A10" s="89" t="s">
        <v>84</v>
      </c>
      <c r="B10" s="73" t="s">
        <v>39</v>
      </c>
      <c r="C10" s="73" t="s">
        <v>85</v>
      </c>
      <c r="D10" s="75"/>
      <c r="E10" s="90">
        <v>2452451</v>
      </c>
      <c r="F10" s="92">
        <v>903214.75</v>
      </c>
      <c r="G10" s="92">
        <v>886331.47666666668</v>
      </c>
      <c r="H10" s="91"/>
      <c r="I10" s="92">
        <v>903214.75</v>
      </c>
      <c r="J10" s="92">
        <f t="shared" ref="J10:Q10" si="0">SUM(J6:J9)</f>
        <v>919143.97666666668</v>
      </c>
      <c r="K10" s="92">
        <f t="shared" si="0"/>
        <v>1463105.9791666667</v>
      </c>
      <c r="L10" s="92">
        <f t="shared" si="0"/>
        <v>1390973.3739035088</v>
      </c>
      <c r="M10" s="92">
        <f t="shared" si="0"/>
        <v>2931309.8521929821</v>
      </c>
      <c r="N10" s="334">
        <f t="shared" si="0"/>
        <v>1838751.9845679821</v>
      </c>
      <c r="O10" s="334">
        <f t="shared" si="0"/>
        <v>1838751.9845679821</v>
      </c>
      <c r="P10" s="334">
        <f t="shared" si="0"/>
        <v>1838751.9845679821</v>
      </c>
      <c r="Q10" s="334">
        <f t="shared" si="0"/>
        <v>1838751.9845679821</v>
      </c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</row>
    <row r="11" spans="1:57" s="9" customFormat="1" ht="15" customHeight="1" thickTop="1">
      <c r="A11" s="86"/>
      <c r="B11" s="75"/>
      <c r="C11" s="75"/>
      <c r="D11" s="75"/>
      <c r="E11" s="77"/>
      <c r="F11" s="88"/>
      <c r="G11" s="88"/>
      <c r="H11" s="60"/>
      <c r="I11" s="88"/>
      <c r="J11" s="88"/>
      <c r="K11" s="88"/>
      <c r="L11" s="88"/>
      <c r="M11" s="88"/>
      <c r="N11" s="333"/>
      <c r="O11" s="333"/>
      <c r="P11" s="333"/>
      <c r="Q11" s="333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</row>
    <row r="12" spans="1:57" s="11" customFormat="1" ht="15" customHeight="1">
      <c r="A12" s="72" t="s">
        <v>86</v>
      </c>
      <c r="B12" s="93" t="s">
        <v>7</v>
      </c>
      <c r="C12" s="93" t="s">
        <v>87</v>
      </c>
      <c r="D12" s="93" t="s">
        <v>88</v>
      </c>
      <c r="E12" s="94"/>
      <c r="F12" s="96"/>
      <c r="G12" s="97"/>
      <c r="H12" s="95"/>
      <c r="I12" s="96"/>
      <c r="J12" s="97"/>
      <c r="K12" s="98"/>
      <c r="L12" s="97"/>
      <c r="M12" s="97"/>
      <c r="N12" s="335"/>
      <c r="O12" s="335"/>
      <c r="P12" s="335"/>
      <c r="Q12" s="335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</row>
    <row r="13" spans="1:57" s="11" customFormat="1" ht="15" customHeight="1">
      <c r="A13" s="72" t="s">
        <v>89</v>
      </c>
      <c r="B13" s="93" t="s">
        <v>7</v>
      </c>
      <c r="C13" s="93" t="s">
        <v>87</v>
      </c>
      <c r="D13" s="93" t="s">
        <v>90</v>
      </c>
      <c r="E13" s="94"/>
      <c r="F13" s="97"/>
      <c r="G13" s="96"/>
      <c r="H13" s="95"/>
      <c r="I13" s="97"/>
      <c r="J13" s="96"/>
      <c r="K13" s="97">
        <v>100000</v>
      </c>
      <c r="L13" s="97">
        <v>100000</v>
      </c>
      <c r="M13" s="97"/>
      <c r="N13" s="335"/>
      <c r="O13" s="335"/>
      <c r="P13" s="335"/>
      <c r="Q13" s="335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</row>
    <row r="14" spans="1:57" s="11" customFormat="1">
      <c r="A14" s="72" t="s">
        <v>91</v>
      </c>
      <c r="B14" s="93" t="s">
        <v>7</v>
      </c>
      <c r="C14" s="93" t="s">
        <v>87</v>
      </c>
      <c r="D14" s="93" t="s">
        <v>92</v>
      </c>
      <c r="E14" s="94"/>
      <c r="F14" s="97"/>
      <c r="G14" s="97"/>
      <c r="H14" s="60"/>
      <c r="I14" s="97"/>
      <c r="J14" s="97"/>
      <c r="K14" s="97">
        <v>100000</v>
      </c>
      <c r="L14" s="96"/>
      <c r="M14" s="96"/>
      <c r="N14" s="336"/>
      <c r="O14" s="336"/>
      <c r="P14" s="336"/>
      <c r="Q14" s="336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</row>
    <row r="15" spans="1:57" s="11" customFormat="1">
      <c r="A15" s="72" t="s">
        <v>93</v>
      </c>
      <c r="B15" s="93" t="s">
        <v>7</v>
      </c>
      <c r="C15" s="93" t="s">
        <v>87</v>
      </c>
      <c r="D15" s="93" t="s">
        <v>94</v>
      </c>
      <c r="E15" s="94"/>
      <c r="F15" s="96"/>
      <c r="G15" s="96"/>
      <c r="H15" s="60"/>
      <c r="I15" s="96"/>
      <c r="J15" s="96"/>
      <c r="K15" s="96"/>
      <c r="L15" s="96"/>
      <c r="M15" s="96"/>
      <c r="N15" s="336"/>
      <c r="O15" s="336"/>
      <c r="P15" s="336"/>
      <c r="Q15" s="336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</row>
    <row r="16" spans="1:57" s="11" customFormat="1">
      <c r="A16" s="72" t="s">
        <v>95</v>
      </c>
      <c r="B16" s="93" t="s">
        <v>7</v>
      </c>
      <c r="C16" s="93" t="s">
        <v>87</v>
      </c>
      <c r="D16" s="93" t="s">
        <v>96</v>
      </c>
      <c r="E16" s="94"/>
      <c r="F16" s="96"/>
      <c r="G16" s="97">
        <v>0</v>
      </c>
      <c r="H16" s="60"/>
      <c r="I16" s="96"/>
      <c r="J16" s="97">
        <v>0</v>
      </c>
      <c r="K16" s="97">
        <v>0</v>
      </c>
      <c r="L16" s="96">
        <v>0</v>
      </c>
      <c r="M16" s="97">
        <v>0</v>
      </c>
      <c r="N16" s="335">
        <v>0</v>
      </c>
      <c r="O16" s="335">
        <v>0</v>
      </c>
      <c r="P16" s="335">
        <v>0</v>
      </c>
      <c r="Q16" s="335">
        <v>0</v>
      </c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</row>
    <row r="17" spans="1:53" s="11" customFormat="1" ht="15" customHeight="1">
      <c r="A17" s="72" t="s">
        <v>97</v>
      </c>
      <c r="B17" s="93" t="s">
        <v>7</v>
      </c>
      <c r="C17" s="93" t="s">
        <v>87</v>
      </c>
      <c r="D17" s="93" t="s">
        <v>97</v>
      </c>
      <c r="E17" s="94"/>
      <c r="F17" s="96"/>
      <c r="G17" s="97">
        <v>0</v>
      </c>
      <c r="H17" s="99"/>
      <c r="I17" s="96"/>
      <c r="J17" s="97">
        <v>0</v>
      </c>
      <c r="K17" s="97">
        <v>0</v>
      </c>
      <c r="L17" s="97">
        <v>0</v>
      </c>
      <c r="M17" s="97">
        <v>0</v>
      </c>
      <c r="N17" s="335">
        <v>0</v>
      </c>
      <c r="O17" s="335">
        <v>0</v>
      </c>
      <c r="P17" s="335">
        <v>0</v>
      </c>
      <c r="Q17" s="335">
        <v>0</v>
      </c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</row>
    <row r="18" spans="1:53" s="11" customFormat="1" ht="14.65" customHeight="1">
      <c r="A18" s="100" t="s">
        <v>32</v>
      </c>
      <c r="B18" s="93" t="s">
        <v>36</v>
      </c>
      <c r="C18" s="93" t="s">
        <v>98</v>
      </c>
      <c r="D18" s="81"/>
      <c r="E18" s="94"/>
      <c r="F18" s="94">
        <v>0</v>
      </c>
      <c r="G18" s="94">
        <v>0</v>
      </c>
      <c r="H18" s="99"/>
      <c r="I18" s="94">
        <v>0</v>
      </c>
      <c r="J18" s="94">
        <f t="shared" ref="J18:Q18" si="1">SUM(J12:J17)</f>
        <v>0</v>
      </c>
      <c r="K18" s="94">
        <f t="shared" si="1"/>
        <v>200000</v>
      </c>
      <c r="L18" s="94">
        <f t="shared" si="1"/>
        <v>100000</v>
      </c>
      <c r="M18" s="94">
        <f t="shared" si="1"/>
        <v>0</v>
      </c>
      <c r="N18" s="337">
        <f t="shared" si="1"/>
        <v>0</v>
      </c>
      <c r="O18" s="337">
        <f t="shared" si="1"/>
        <v>0</v>
      </c>
      <c r="P18" s="337">
        <f t="shared" si="1"/>
        <v>0</v>
      </c>
      <c r="Q18" s="337">
        <f t="shared" si="1"/>
        <v>0</v>
      </c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</row>
    <row r="19" spans="1:53" s="6" customFormat="1">
      <c r="A19" s="101"/>
      <c r="B19" s="102"/>
      <c r="C19" s="103"/>
      <c r="D19" s="103"/>
      <c r="E19" s="88"/>
      <c r="F19" s="88"/>
      <c r="G19" s="88"/>
      <c r="H19" s="91"/>
      <c r="I19" s="88"/>
      <c r="J19" s="88"/>
      <c r="K19" s="88"/>
      <c r="L19" s="88"/>
      <c r="M19" s="88"/>
      <c r="N19" s="333"/>
      <c r="O19" s="333"/>
      <c r="P19" s="333"/>
      <c r="Q19" s="333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</row>
    <row r="20" spans="1:53">
      <c r="A20" s="74" t="s">
        <v>99</v>
      </c>
      <c r="B20" s="75"/>
      <c r="C20" s="75"/>
      <c r="D20" s="75"/>
      <c r="E20" s="88"/>
      <c r="F20" s="88">
        <v>2917273</v>
      </c>
      <c r="G20" s="88">
        <v>4057849.8571428568</v>
      </c>
      <c r="H20" s="60"/>
      <c r="I20" s="88">
        <v>2917273</v>
      </c>
      <c r="J20" s="88">
        <f t="shared" ref="J20:Q20" si="2">-J39</f>
        <v>4057849.8571428573</v>
      </c>
      <c r="K20" s="88">
        <f t="shared" si="2"/>
        <v>4457407</v>
      </c>
      <c r="L20" s="88">
        <f t="shared" si="2"/>
        <v>2834607</v>
      </c>
      <c r="M20" s="88">
        <f t="shared" si="2"/>
        <v>4930793.25</v>
      </c>
      <c r="N20" s="333">
        <f t="shared" si="2"/>
        <v>4930793.25</v>
      </c>
      <c r="O20" s="333">
        <f t="shared" si="2"/>
        <v>4930793.25</v>
      </c>
      <c r="P20" s="333">
        <f t="shared" si="2"/>
        <v>4930793.25</v>
      </c>
      <c r="Q20" s="333">
        <f t="shared" si="2"/>
        <v>4930793.25</v>
      </c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</row>
    <row r="21" spans="1:53">
      <c r="A21" s="77"/>
      <c r="B21" s="75"/>
      <c r="C21" s="75"/>
      <c r="D21" s="75"/>
      <c r="E21" s="88"/>
      <c r="F21" s="88"/>
      <c r="G21" s="88"/>
      <c r="H21" s="104"/>
      <c r="I21" s="88"/>
      <c r="J21" s="88"/>
      <c r="K21" s="88"/>
      <c r="L21" s="88"/>
      <c r="M21" s="88"/>
      <c r="N21" s="333"/>
      <c r="O21" s="333"/>
      <c r="P21" s="333"/>
      <c r="Q21" s="333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</row>
    <row r="22" spans="1:53">
      <c r="A22" s="74" t="s">
        <v>100</v>
      </c>
      <c r="B22" s="75"/>
      <c r="C22" s="75"/>
      <c r="D22" s="75"/>
      <c r="E22" s="88"/>
      <c r="F22" s="88">
        <v>3820487.75</v>
      </c>
      <c r="G22" s="88">
        <v>4944181.3338095238</v>
      </c>
      <c r="H22" s="91"/>
      <c r="I22" s="88">
        <v>3820487.75</v>
      </c>
      <c r="J22" s="88">
        <f t="shared" ref="J22:Q22" si="3">J20+J10</f>
        <v>4976993.8338095238</v>
      </c>
      <c r="K22" s="88">
        <f t="shared" si="3"/>
        <v>5920512.979166667</v>
      </c>
      <c r="L22" s="88">
        <f t="shared" si="3"/>
        <v>4225580.3739035092</v>
      </c>
      <c r="M22" s="88">
        <f t="shared" si="3"/>
        <v>7862103.1021929821</v>
      </c>
      <c r="N22" s="333">
        <f t="shared" si="3"/>
        <v>6769545.2345679821</v>
      </c>
      <c r="O22" s="333">
        <f t="shared" si="3"/>
        <v>6769545.2345679821</v>
      </c>
      <c r="P22" s="333">
        <f t="shared" si="3"/>
        <v>6769545.2345679821</v>
      </c>
      <c r="Q22" s="333">
        <f t="shared" si="3"/>
        <v>6769545.2345679821</v>
      </c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</row>
    <row r="23" spans="1:53">
      <c r="A23" s="77"/>
      <c r="B23" s="75"/>
      <c r="C23" s="75"/>
      <c r="D23" s="75"/>
      <c r="E23" s="88"/>
      <c r="F23" s="88"/>
      <c r="G23" s="88"/>
      <c r="H23" s="91"/>
      <c r="I23" s="88"/>
      <c r="J23" s="88"/>
      <c r="K23" s="88"/>
      <c r="L23" s="88"/>
      <c r="M23" s="88"/>
      <c r="N23" s="333"/>
      <c r="O23" s="333"/>
      <c r="P23" s="333"/>
      <c r="Q23" s="333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</row>
    <row r="24" spans="1:53">
      <c r="A24" s="74" t="s">
        <v>101</v>
      </c>
      <c r="B24" s="75"/>
      <c r="C24" s="75"/>
      <c r="D24" s="75"/>
      <c r="E24" s="88"/>
      <c r="F24" s="88"/>
      <c r="G24" s="88"/>
      <c r="H24" s="91"/>
      <c r="I24" s="88"/>
      <c r="J24" s="88"/>
      <c r="K24" s="88"/>
      <c r="L24" s="88"/>
      <c r="M24" s="88"/>
      <c r="N24" s="333"/>
      <c r="O24" s="333"/>
      <c r="P24" s="333"/>
      <c r="Q24" s="333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</row>
    <row r="25" spans="1:53">
      <c r="A25" s="87" t="s">
        <v>102</v>
      </c>
      <c r="B25" s="75"/>
      <c r="C25" s="78"/>
      <c r="D25" s="78"/>
      <c r="E25" s="88"/>
      <c r="F25" s="88">
        <v>-770825</v>
      </c>
      <c r="G25" s="88">
        <v>-391680</v>
      </c>
      <c r="H25" s="91"/>
      <c r="I25" s="88">
        <v>-770825</v>
      </c>
      <c r="J25" s="88">
        <f>-('c12_hm'!J78+'c12_hm'!J79)</f>
        <v>-391680</v>
      </c>
      <c r="K25" s="88">
        <f>-('c12_hm'!K78+'c12_hm'!K79)</f>
        <v>-391680</v>
      </c>
      <c r="L25" s="88">
        <f>-('c12_hm'!L78+'c12_hm'!L79)</f>
        <v>-434880</v>
      </c>
      <c r="M25" s="88">
        <f>-('c12_hm'!M78+'c12_hm'!M79)</f>
        <v>-949185</v>
      </c>
      <c r="N25" s="333">
        <f>-('c12_hm'!N78+'c12_hm'!N79)</f>
        <v>-949185</v>
      </c>
      <c r="O25" s="333">
        <f>-('c12_hm'!O78+'c12_hm'!O79)</f>
        <v>-949185</v>
      </c>
      <c r="P25" s="333">
        <f>-('c12_hm'!P78+'c12_hm'!P79)</f>
        <v>-949185</v>
      </c>
      <c r="Q25" s="333">
        <f>-('c12_hm'!Q78+'c12_hm'!Q79)</f>
        <v>-949185</v>
      </c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</row>
    <row r="26" spans="1:53">
      <c r="A26" s="87" t="s">
        <v>103</v>
      </c>
      <c r="B26" s="75"/>
      <c r="C26" s="78"/>
      <c r="D26" s="78"/>
      <c r="E26" s="88"/>
      <c r="F26" s="88">
        <v>-602497.5</v>
      </c>
      <c r="G26" s="88">
        <v>-296639.99999999988</v>
      </c>
      <c r="H26" s="91"/>
      <c r="I26" s="88">
        <v>-602497.5</v>
      </c>
      <c r="J26" s="88">
        <f>-('c12_bi&amp;F'!J78+'c12_bi&amp;F'!J79)</f>
        <v>-296639.99999999994</v>
      </c>
      <c r="K26" s="88">
        <f>-('c12_bi&amp;F'!K78+'c12_bi&amp;F'!K79)</f>
        <v>-477677.14285714284</v>
      </c>
      <c r="L26" s="88">
        <f>-('c12_bi&amp;F'!L78+'c12_bi&amp;F'!L79)</f>
        <v>-672077.14285714284</v>
      </c>
      <c r="M26" s="88">
        <f>-('c12_bi&amp;F'!M78+'c12_bi&amp;F'!M79)</f>
        <v>-1173394.6428571427</v>
      </c>
      <c r="N26" s="333">
        <f>-('c12_bi&amp;F'!N78+'c12_bi&amp;F'!N79)</f>
        <v>-1173394.6428571427</v>
      </c>
      <c r="O26" s="333">
        <f>-('c12_bi&amp;F'!O78+'c12_bi&amp;F'!O79)</f>
        <v>-1173394.6428571427</v>
      </c>
      <c r="P26" s="333">
        <f>-('c12_bi&amp;F'!P78+'c12_bi&amp;F'!P79)</f>
        <v>-1173394.6428571427</v>
      </c>
      <c r="Q26" s="333">
        <f>-('c12_bi&amp;F'!Q78+'c12_bi&amp;F'!Q79)</f>
        <v>-1173394.6428571427</v>
      </c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</row>
    <row r="27" spans="1:53">
      <c r="A27" s="87" t="s">
        <v>104</v>
      </c>
      <c r="B27" s="75"/>
      <c r="C27" s="78"/>
      <c r="D27" s="78"/>
      <c r="E27" s="88"/>
      <c r="F27" s="88">
        <v>-1652177.5</v>
      </c>
      <c r="G27" s="88">
        <v>-560160</v>
      </c>
      <c r="H27" s="91"/>
      <c r="I27" s="88">
        <v>-1652177.5</v>
      </c>
      <c r="J27" s="88">
        <f>-('c12_d&amp;s'!J78+'c12_d&amp;s'!J79)</f>
        <v>-560160</v>
      </c>
      <c r="K27" s="88">
        <f>-('c12_d&amp;s'!K78+'c12_d&amp;s'!K79)</f>
        <v>-520560</v>
      </c>
      <c r="L27" s="88">
        <f>-('c12_d&amp;s'!L78+'c12_d&amp;s'!L79)</f>
        <v>-560160</v>
      </c>
      <c r="M27" s="88">
        <f>-('c12_d&amp;s'!M78+'c12_d&amp;s'!M79)</f>
        <v>-1221223.75</v>
      </c>
      <c r="N27" s="333">
        <f>-('c12_d&amp;s'!N78+'c12_d&amp;s'!N79)</f>
        <v>-1221223.75</v>
      </c>
      <c r="O27" s="333">
        <f>-('c12_d&amp;s'!O78+'c12_d&amp;s'!O79)</f>
        <v>-1221223.75</v>
      </c>
      <c r="P27" s="333">
        <f>-('c12_d&amp;s'!P78+'c12_d&amp;s'!P79)</f>
        <v>-1221223.75</v>
      </c>
      <c r="Q27" s="333">
        <f>-('c12_d&amp;s'!Q78+'c12_d&amp;s'!Q79)</f>
        <v>-1221223.75</v>
      </c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</row>
    <row r="28" spans="1:53" s="6" customFormat="1">
      <c r="A28" s="105" t="s">
        <v>105</v>
      </c>
      <c r="B28" s="102"/>
      <c r="C28" s="103"/>
      <c r="D28" s="103"/>
      <c r="E28" s="88"/>
      <c r="F28" s="88">
        <v>-472542.85714285722</v>
      </c>
      <c r="G28" s="88">
        <v>-805022.85714285704</v>
      </c>
      <c r="H28" s="91"/>
      <c r="I28" s="88">
        <v>-472542.85714285722</v>
      </c>
      <c r="J28" s="88">
        <f t="shared" ref="J28:Q28" si="4">-(J78-J81)</f>
        <v>-805022.85714285704</v>
      </c>
      <c r="K28" s="88">
        <f t="shared" si="4"/>
        <v>-383142.85714285716</v>
      </c>
      <c r="L28" s="88">
        <f t="shared" si="4"/>
        <v>-383142.85714285716</v>
      </c>
      <c r="M28" s="88">
        <f t="shared" si="4"/>
        <v>-902642.85714285704</v>
      </c>
      <c r="N28" s="333">
        <f t="shared" si="4"/>
        <v>-902642.85714285704</v>
      </c>
      <c r="O28" s="333">
        <f t="shared" si="4"/>
        <v>-902642.85714285704</v>
      </c>
      <c r="P28" s="333">
        <f t="shared" si="4"/>
        <v>-902642.85714285704</v>
      </c>
      <c r="Q28" s="333">
        <f t="shared" si="4"/>
        <v>-902642.85714285704</v>
      </c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</row>
    <row r="29" spans="1:53">
      <c r="A29" s="73" t="s">
        <v>106</v>
      </c>
      <c r="B29" s="75"/>
      <c r="C29" s="75"/>
      <c r="D29" s="75"/>
      <c r="E29" s="88"/>
      <c r="F29" s="88"/>
      <c r="G29" s="88"/>
      <c r="H29" s="91"/>
      <c r="I29" s="88"/>
      <c r="J29" s="88"/>
      <c r="K29" s="88"/>
      <c r="L29" s="88"/>
      <c r="M29" s="88"/>
      <c r="N29" s="333"/>
      <c r="O29" s="333"/>
      <c r="P29" s="333"/>
      <c r="Q29" s="333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</row>
    <row r="30" spans="1:53">
      <c r="A30" s="105" t="s">
        <v>107</v>
      </c>
      <c r="B30" s="106" t="s">
        <v>7</v>
      </c>
      <c r="C30" s="105" t="s">
        <v>108</v>
      </c>
      <c r="D30" s="105" t="s">
        <v>109</v>
      </c>
      <c r="E30" s="88"/>
      <c r="F30" s="107">
        <v>-47485</v>
      </c>
      <c r="G30" s="107">
        <v>-135000</v>
      </c>
      <c r="H30" s="91"/>
      <c r="I30" s="107">
        <v>-47485</v>
      </c>
      <c r="J30" s="107">
        <f>-540000/4</f>
        <v>-135000</v>
      </c>
      <c r="K30" s="107">
        <f>-540000/4</f>
        <v>-135000</v>
      </c>
      <c r="L30" s="107">
        <f>-540000/4</f>
        <v>-135000</v>
      </c>
      <c r="M30" s="107">
        <f>-540000/4</f>
        <v>-135000</v>
      </c>
      <c r="N30" s="338">
        <v>-135000</v>
      </c>
      <c r="O30" s="338">
        <v>-135000</v>
      </c>
      <c r="P30" s="338">
        <v>-135000</v>
      </c>
      <c r="Q30" s="338">
        <v>-135000</v>
      </c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</row>
    <row r="31" spans="1:53" s="8" customFormat="1">
      <c r="A31" s="108" t="s">
        <v>110</v>
      </c>
      <c r="B31" s="93"/>
      <c r="C31" s="108"/>
      <c r="D31" s="105"/>
      <c r="E31" s="88"/>
      <c r="F31" s="284">
        <v>-249431</v>
      </c>
      <c r="G31" s="284">
        <v>-174347</v>
      </c>
      <c r="H31" s="91"/>
      <c r="I31" s="284">
        <v>-249431</v>
      </c>
      <c r="J31" s="284">
        <f>'c12_sk'!J6</f>
        <v>-174347</v>
      </c>
      <c r="K31" s="284">
        <f>'c12_sk'!K6</f>
        <v>-174347</v>
      </c>
      <c r="L31" s="284">
        <f>'c12_sk'!L6</f>
        <v>-174347</v>
      </c>
      <c r="M31" s="284">
        <f>'c12_sk'!M6</f>
        <v>-174347</v>
      </c>
      <c r="N31" s="339">
        <f>'c12_sk'!N6</f>
        <v>-174347</v>
      </c>
      <c r="O31" s="339">
        <f>'c12_sk'!O6</f>
        <v>-174347</v>
      </c>
      <c r="P31" s="339">
        <f>'c12_sk'!P6</f>
        <v>-174347</v>
      </c>
      <c r="Q31" s="339">
        <f>'c12_sk'!Q6</f>
        <v>-174347</v>
      </c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</row>
    <row r="32" spans="1:53" s="8" customFormat="1">
      <c r="A32" s="108" t="s">
        <v>111</v>
      </c>
      <c r="B32" s="72" t="s">
        <v>7</v>
      </c>
      <c r="C32" s="204" t="s">
        <v>108</v>
      </c>
      <c r="D32" s="204" t="s">
        <v>112</v>
      </c>
      <c r="E32" s="88"/>
      <c r="F32" s="109"/>
      <c r="G32" s="107">
        <v>-75000</v>
      </c>
      <c r="H32" s="91"/>
      <c r="I32" s="109"/>
      <c r="J32" s="107">
        <v>-75000</v>
      </c>
      <c r="K32" s="107">
        <v>-75000</v>
      </c>
      <c r="L32" s="107">
        <v>-75000</v>
      </c>
      <c r="M32" s="107">
        <v>-75000</v>
      </c>
      <c r="N32" s="338">
        <v>-75000</v>
      </c>
      <c r="O32" s="338">
        <v>-75000</v>
      </c>
      <c r="P32" s="338">
        <v>-75000</v>
      </c>
      <c r="Q32" s="338">
        <v>-75000</v>
      </c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</row>
    <row r="33" spans="1:53" s="11" customFormat="1">
      <c r="A33" s="105" t="s">
        <v>113</v>
      </c>
      <c r="B33" s="106" t="s">
        <v>7</v>
      </c>
      <c r="C33" s="105" t="s">
        <v>108</v>
      </c>
      <c r="D33" s="204" t="s">
        <v>114</v>
      </c>
      <c r="E33" s="110"/>
      <c r="F33" s="109">
        <v>0</v>
      </c>
      <c r="G33" s="109">
        <v>0</v>
      </c>
      <c r="H33" s="99"/>
      <c r="I33" s="109">
        <v>0</v>
      </c>
      <c r="J33" s="109">
        <f>-J18</f>
        <v>0</v>
      </c>
      <c r="K33" s="109">
        <f>-K18</f>
        <v>-200000</v>
      </c>
      <c r="L33" s="109">
        <f>-L18</f>
        <v>-100000</v>
      </c>
      <c r="M33" s="109">
        <f>-M18</f>
        <v>0</v>
      </c>
      <c r="N33" s="340">
        <v>0</v>
      </c>
      <c r="O33" s="340">
        <v>0</v>
      </c>
      <c r="P33" s="340">
        <v>0</v>
      </c>
      <c r="Q33" s="340">
        <v>0</v>
      </c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</row>
    <row r="34" spans="1:53">
      <c r="A34" s="105" t="s">
        <v>115</v>
      </c>
      <c r="B34" s="106" t="s">
        <v>7</v>
      </c>
      <c r="C34" s="105" t="s">
        <v>108</v>
      </c>
      <c r="D34" s="105" t="s">
        <v>116</v>
      </c>
      <c r="E34" s="88"/>
      <c r="F34" s="107">
        <v>-599728</v>
      </c>
      <c r="G34" s="107">
        <v>-1620000</v>
      </c>
      <c r="H34" s="91"/>
      <c r="I34" s="107">
        <v>-599728</v>
      </c>
      <c r="J34" s="107">
        <v>-1620000</v>
      </c>
      <c r="K34" s="107">
        <v>-2100000</v>
      </c>
      <c r="L34" s="107">
        <v>-300000</v>
      </c>
      <c r="M34" s="107">
        <v>-300000</v>
      </c>
      <c r="N34" s="338">
        <v>-300000</v>
      </c>
      <c r="O34" s="338">
        <v>-300000</v>
      </c>
      <c r="P34" s="338">
        <v>-300000</v>
      </c>
      <c r="Q34" s="338">
        <v>-300000</v>
      </c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</row>
    <row r="35" spans="1:53" s="16" customFormat="1">
      <c r="A35" s="111" t="s">
        <v>117</v>
      </c>
      <c r="B35" s="106" t="s">
        <v>7</v>
      </c>
      <c r="C35" s="112" t="s">
        <v>118</v>
      </c>
      <c r="D35" s="113"/>
      <c r="E35" s="114"/>
      <c r="F35" s="115">
        <v>1</v>
      </c>
      <c r="G35" s="115">
        <v>1</v>
      </c>
      <c r="H35" s="60"/>
      <c r="I35" s="115">
        <v>1</v>
      </c>
      <c r="J35" s="115">
        <v>1</v>
      </c>
      <c r="K35" s="115">
        <v>1</v>
      </c>
      <c r="L35" s="115">
        <v>1</v>
      </c>
      <c r="M35" s="115">
        <v>1</v>
      </c>
      <c r="N35" s="341">
        <v>1</v>
      </c>
      <c r="O35" s="341">
        <v>1</v>
      </c>
      <c r="P35" s="341">
        <v>1</v>
      </c>
      <c r="Q35" s="341">
        <v>1</v>
      </c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</row>
    <row r="36" spans="1:53" s="11" customFormat="1">
      <c r="A36" s="105" t="s">
        <v>119</v>
      </c>
      <c r="B36" s="106" t="s">
        <v>36</v>
      </c>
      <c r="C36" s="105" t="s">
        <v>120</v>
      </c>
      <c r="D36" s="103"/>
      <c r="E36" s="88"/>
      <c r="F36" s="88">
        <v>0</v>
      </c>
      <c r="G36" s="88">
        <v>0</v>
      </c>
      <c r="H36" s="116"/>
      <c r="I36" s="88">
        <v>0</v>
      </c>
      <c r="J36" s="88">
        <f t="shared" ref="J36:Q36" si="5">(J35-1)*SUM(J25:J34)</f>
        <v>0</v>
      </c>
      <c r="K36" s="88">
        <f t="shared" si="5"/>
        <v>0</v>
      </c>
      <c r="L36" s="88">
        <f t="shared" si="5"/>
        <v>0</v>
      </c>
      <c r="M36" s="88">
        <f t="shared" si="5"/>
        <v>0</v>
      </c>
      <c r="N36" s="333">
        <f t="shared" si="5"/>
        <v>0</v>
      </c>
      <c r="O36" s="333">
        <f t="shared" si="5"/>
        <v>0</v>
      </c>
      <c r="P36" s="333">
        <f t="shared" si="5"/>
        <v>0</v>
      </c>
      <c r="Q36" s="333">
        <f t="shared" si="5"/>
        <v>0</v>
      </c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</row>
    <row r="37" spans="1:53">
      <c r="A37" s="204" t="s">
        <v>121</v>
      </c>
      <c r="B37" s="208" t="s">
        <v>39</v>
      </c>
      <c r="C37" s="204" t="s">
        <v>122</v>
      </c>
      <c r="D37" s="103"/>
      <c r="E37" s="117">
        <v>-3970569</v>
      </c>
      <c r="F37" s="107">
        <v>-1645629</v>
      </c>
      <c r="G37" s="107">
        <v>-2053502.857142857</v>
      </c>
      <c r="H37" s="107"/>
      <c r="I37" s="207">
        <v>-1645629</v>
      </c>
      <c r="J37" s="207">
        <f t="shared" ref="J37:Q37" si="6">IF(AND((G37&lt;&gt;""),(J$2&lt;46204)),(G37),SUM(J25:J28))</f>
        <v>-2053502.857142857</v>
      </c>
      <c r="K37" s="207">
        <f t="shared" si="6"/>
        <v>-1773060</v>
      </c>
      <c r="L37" s="207">
        <f t="shared" si="6"/>
        <v>-2050260</v>
      </c>
      <c r="M37" s="207">
        <f t="shared" si="6"/>
        <v>-4246446.25</v>
      </c>
      <c r="N37" s="342">
        <f t="shared" si="6"/>
        <v>-4246446.25</v>
      </c>
      <c r="O37" s="342">
        <f t="shared" si="6"/>
        <v>-4246446.25</v>
      </c>
      <c r="P37" s="342">
        <f t="shared" si="6"/>
        <v>-4246446.25</v>
      </c>
      <c r="Q37" s="342">
        <f t="shared" si="6"/>
        <v>-4246446.25</v>
      </c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</row>
    <row r="38" spans="1:53" ht="15" customHeight="1" thickBot="1">
      <c r="A38" s="203" t="s">
        <v>123</v>
      </c>
      <c r="B38" s="205" t="s">
        <v>7</v>
      </c>
      <c r="C38" s="203" t="s">
        <v>124</v>
      </c>
      <c r="D38" s="78"/>
      <c r="E38" s="88"/>
      <c r="F38" s="107">
        <v>-375000</v>
      </c>
      <c r="G38" s="107">
        <v>0</v>
      </c>
      <c r="H38" s="107"/>
      <c r="I38" s="207">
        <v>-375000</v>
      </c>
      <c r="J38" s="207">
        <f>IF(AND((G38&lt;&gt;""),(J$2&lt;46204)),(G38),0)</f>
        <v>0</v>
      </c>
      <c r="K38" s="207">
        <f>IF(AND((H38&lt;&gt;""),(K$2&lt;46204)),(H38),0)</f>
        <v>0</v>
      </c>
      <c r="L38" s="207">
        <f>IF(AND((I38&lt;&gt;""),(L$2&lt;46204)),(I38),0)</f>
        <v>0</v>
      </c>
      <c r="M38" s="207">
        <f>IF(AND((J38&lt;&gt;""),(M$2&lt;46204)),(J38),0)</f>
        <v>0</v>
      </c>
      <c r="N38" s="342">
        <v>0</v>
      </c>
      <c r="O38" s="342">
        <v>0</v>
      </c>
      <c r="P38" s="342">
        <v>0</v>
      </c>
      <c r="Q38" s="342">
        <v>0</v>
      </c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118"/>
      <c r="AW38" s="60"/>
      <c r="AX38" s="60"/>
      <c r="AY38" s="60"/>
      <c r="AZ38" s="60"/>
      <c r="BA38" s="60"/>
    </row>
    <row r="39" spans="1:53" s="21" customFormat="1" ht="15.5" customHeight="1" thickTop="1" thickBot="1">
      <c r="A39" s="74" t="s">
        <v>125</v>
      </c>
      <c r="B39" s="73" t="s">
        <v>39</v>
      </c>
      <c r="C39" s="73" t="s">
        <v>126</v>
      </c>
      <c r="D39" s="75"/>
      <c r="E39" s="90">
        <v>-5450569</v>
      </c>
      <c r="F39" s="92">
        <v>-2917273</v>
      </c>
      <c r="G39" s="92">
        <v>-4057849.8571428568</v>
      </c>
      <c r="H39" s="116"/>
      <c r="I39" s="92">
        <v>-2917273</v>
      </c>
      <c r="J39" s="92">
        <f t="shared" ref="J39:Q39" si="7">SUM(J30:J34,J36,J37:J38)</f>
        <v>-4057849.8571428573</v>
      </c>
      <c r="K39" s="92">
        <f t="shared" si="7"/>
        <v>-4457407</v>
      </c>
      <c r="L39" s="92">
        <f t="shared" si="7"/>
        <v>-2834607</v>
      </c>
      <c r="M39" s="92">
        <f t="shared" si="7"/>
        <v>-4930793.25</v>
      </c>
      <c r="N39" s="334">
        <f t="shared" si="7"/>
        <v>-4930793.25</v>
      </c>
      <c r="O39" s="334">
        <f t="shared" si="7"/>
        <v>-4930793.25</v>
      </c>
      <c r="P39" s="334">
        <f t="shared" si="7"/>
        <v>-4930793.25</v>
      </c>
      <c r="Q39" s="334">
        <f t="shared" si="7"/>
        <v>-4930793.25</v>
      </c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</row>
    <row r="40" spans="1:53" s="21" customFormat="1" ht="15" customHeight="1" thickTop="1">
      <c r="A40" s="77"/>
      <c r="B40" s="75"/>
      <c r="C40" s="75"/>
      <c r="D40" s="75"/>
      <c r="E40" s="88"/>
      <c r="F40" s="88"/>
      <c r="G40" s="88"/>
      <c r="H40" s="91"/>
      <c r="I40" s="88"/>
      <c r="J40" s="88"/>
      <c r="K40" s="88"/>
      <c r="L40" s="88"/>
      <c r="M40" s="88"/>
      <c r="N40" s="333"/>
      <c r="O40" s="333"/>
      <c r="P40" s="333"/>
      <c r="Q40" s="333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</row>
    <row r="41" spans="1:53">
      <c r="A41" s="106" t="s">
        <v>127</v>
      </c>
      <c r="B41" s="102"/>
      <c r="C41" s="102"/>
      <c r="D41" s="102"/>
      <c r="E41" s="118"/>
      <c r="F41" s="118">
        <v>-42318.571428571428</v>
      </c>
      <c r="G41" s="118">
        <v>-58237.71428571429</v>
      </c>
      <c r="H41" s="116"/>
      <c r="I41" s="118">
        <v>-42318.571428571428</v>
      </c>
      <c r="J41" s="118">
        <f t="shared" ref="J41:Q41" si="8">-J81</f>
        <v>-58237.71428571429</v>
      </c>
      <c r="K41" s="118">
        <f t="shared" si="8"/>
        <v>-58237.71428571429</v>
      </c>
      <c r="L41" s="118">
        <f t="shared" si="8"/>
        <v>-58237.71428571429</v>
      </c>
      <c r="M41" s="118">
        <f t="shared" si="8"/>
        <v>-79017.71428571429</v>
      </c>
      <c r="N41" s="319">
        <f t="shared" si="8"/>
        <v>-79017.71428571429</v>
      </c>
      <c r="O41" s="319">
        <f t="shared" si="8"/>
        <v>-79017.71428571429</v>
      </c>
      <c r="P41" s="319">
        <f t="shared" si="8"/>
        <v>-79017.71428571429</v>
      </c>
      <c r="Q41" s="319">
        <f t="shared" si="8"/>
        <v>-79017.71428571429</v>
      </c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</row>
    <row r="42" spans="1:53" s="6" customFormat="1">
      <c r="A42" s="106" t="s">
        <v>128</v>
      </c>
      <c r="B42" s="106" t="s">
        <v>7</v>
      </c>
      <c r="C42" s="106" t="s">
        <v>129</v>
      </c>
      <c r="D42" s="102"/>
      <c r="E42" s="94"/>
      <c r="F42" s="107"/>
      <c r="G42" s="107"/>
      <c r="H42" s="116"/>
      <c r="I42" s="107"/>
      <c r="J42" s="107"/>
      <c r="K42" s="107"/>
      <c r="L42" s="107"/>
      <c r="M42" s="107">
        <v>-200000</v>
      </c>
      <c r="N42" s="338">
        <v>-200000</v>
      </c>
      <c r="O42" s="338">
        <v>-200000</v>
      </c>
      <c r="P42" s="338">
        <v>-200000</v>
      </c>
      <c r="Q42" s="338">
        <v>-200000</v>
      </c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</row>
    <row r="43" spans="1:53">
      <c r="A43" s="74" t="s">
        <v>130</v>
      </c>
      <c r="B43" s="73" t="s">
        <v>36</v>
      </c>
      <c r="C43" s="73" t="s">
        <v>131</v>
      </c>
      <c r="D43" s="75"/>
      <c r="E43" s="88"/>
      <c r="F43" s="88">
        <v>-42318.571428571428</v>
      </c>
      <c r="G43" s="88">
        <v>-58237.71428571429</v>
      </c>
      <c r="H43" s="116"/>
      <c r="I43" s="88">
        <v>-42318.571428571428</v>
      </c>
      <c r="J43" s="88">
        <f t="shared" ref="J43:Q43" si="9">SUM(J41:J42)</f>
        <v>-58237.71428571429</v>
      </c>
      <c r="K43" s="88">
        <f t="shared" si="9"/>
        <v>-58237.71428571429</v>
      </c>
      <c r="L43" s="88">
        <f t="shared" si="9"/>
        <v>-58237.71428571429</v>
      </c>
      <c r="M43" s="88">
        <f t="shared" si="9"/>
        <v>-279017.71428571432</v>
      </c>
      <c r="N43" s="333">
        <f t="shared" si="9"/>
        <v>-279017.71428571432</v>
      </c>
      <c r="O43" s="333">
        <f t="shared" si="9"/>
        <v>-279017.71428571432</v>
      </c>
      <c r="P43" s="333">
        <f t="shared" si="9"/>
        <v>-279017.71428571432</v>
      </c>
      <c r="Q43" s="333">
        <f t="shared" si="9"/>
        <v>-279017.71428571432</v>
      </c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</row>
    <row r="44" spans="1:53">
      <c r="A44" s="77"/>
      <c r="B44" s="75"/>
      <c r="C44" s="75"/>
      <c r="D44" s="75"/>
      <c r="E44" s="88"/>
      <c r="F44" s="88"/>
      <c r="G44" s="88"/>
      <c r="H44" s="116"/>
      <c r="I44" s="88"/>
      <c r="J44" s="88"/>
      <c r="K44" s="88"/>
      <c r="L44" s="88"/>
      <c r="M44" s="88"/>
      <c r="N44" s="333"/>
      <c r="O44" s="333"/>
      <c r="P44" s="333"/>
      <c r="Q44" s="333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</row>
    <row r="45" spans="1:53">
      <c r="A45" s="74" t="s">
        <v>132</v>
      </c>
      <c r="B45" s="73" t="s">
        <v>36</v>
      </c>
      <c r="C45" s="73" t="s">
        <v>133</v>
      </c>
      <c r="D45" s="75"/>
      <c r="E45" s="88"/>
      <c r="F45" s="88">
        <v>-2959591.5714285709</v>
      </c>
      <c r="G45" s="88">
        <v>-4116087.5714285709</v>
      </c>
      <c r="H45" s="116"/>
      <c r="I45" s="88">
        <v>-2959591.5714285709</v>
      </c>
      <c r="J45" s="88">
        <f t="shared" ref="J45:Q45" si="10">J43+J39</f>
        <v>-4116087.5714285714</v>
      </c>
      <c r="K45" s="88">
        <f t="shared" si="10"/>
        <v>-4515644.7142857146</v>
      </c>
      <c r="L45" s="88">
        <f t="shared" si="10"/>
        <v>-2892844.7142857141</v>
      </c>
      <c r="M45" s="88">
        <f t="shared" si="10"/>
        <v>-5209810.9642857146</v>
      </c>
      <c r="N45" s="333">
        <f t="shared" si="10"/>
        <v>-5209810.9642857146</v>
      </c>
      <c r="O45" s="333">
        <f t="shared" si="10"/>
        <v>-5209810.9642857146</v>
      </c>
      <c r="P45" s="333">
        <f t="shared" si="10"/>
        <v>-5209810.9642857146</v>
      </c>
      <c r="Q45" s="333">
        <f t="shared" si="10"/>
        <v>-5209810.9642857146</v>
      </c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</row>
    <row r="46" spans="1:53">
      <c r="A46" s="77"/>
      <c r="B46" s="75"/>
      <c r="C46" s="75"/>
      <c r="D46" s="75"/>
      <c r="E46" s="88"/>
      <c r="F46" s="88"/>
      <c r="G46" s="88"/>
      <c r="H46" s="116"/>
      <c r="I46" s="88"/>
      <c r="J46" s="88"/>
      <c r="K46" s="88"/>
      <c r="L46" s="88"/>
      <c r="M46" s="88"/>
      <c r="N46" s="333"/>
      <c r="O46" s="333"/>
      <c r="P46" s="333"/>
      <c r="Q46" s="333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</row>
    <row r="47" spans="1:53" ht="14.65" customHeight="1">
      <c r="A47" s="74" t="s">
        <v>134</v>
      </c>
      <c r="B47" s="73" t="s">
        <v>39</v>
      </c>
      <c r="C47" s="73" t="s">
        <v>135</v>
      </c>
      <c r="D47" s="75"/>
      <c r="E47" s="119">
        <v>3119951</v>
      </c>
      <c r="F47" s="120">
        <v>860896.17857142864</v>
      </c>
      <c r="G47" s="120">
        <v>828093.76238095248</v>
      </c>
      <c r="H47" s="116"/>
      <c r="I47" s="120">
        <v>860896.17857142864</v>
      </c>
      <c r="J47" s="120">
        <f t="shared" ref="J47:Q47" si="11">J22+J45</f>
        <v>860906.26238095248</v>
      </c>
      <c r="K47" s="120">
        <f t="shared" si="11"/>
        <v>1404868.2648809524</v>
      </c>
      <c r="L47" s="120">
        <f t="shared" si="11"/>
        <v>1332735.6596177951</v>
      </c>
      <c r="M47" s="120">
        <f t="shared" si="11"/>
        <v>2652292.1379072675</v>
      </c>
      <c r="N47" s="343">
        <f t="shared" si="11"/>
        <v>1559734.2702822676</v>
      </c>
      <c r="O47" s="343">
        <f t="shared" si="11"/>
        <v>1559734.2702822676</v>
      </c>
      <c r="P47" s="343">
        <f t="shared" si="11"/>
        <v>1559734.2702822676</v>
      </c>
      <c r="Q47" s="343">
        <f t="shared" si="11"/>
        <v>1559734.2702822676</v>
      </c>
      <c r="R47" s="60"/>
      <c r="S47" s="60"/>
      <c r="T47" s="60"/>
      <c r="U47" s="60"/>
      <c r="V47" s="60"/>
      <c r="W47" s="121"/>
      <c r="X47" s="121"/>
      <c r="Y47" s="122"/>
      <c r="Z47" s="122"/>
      <c r="AA47" s="122"/>
      <c r="AB47" s="122"/>
      <c r="AC47" s="122"/>
      <c r="AD47" s="122"/>
      <c r="AE47" s="122"/>
      <c r="AF47" s="122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</row>
    <row r="48" spans="1:53" s="19" customFormat="1">
      <c r="A48" s="123" t="s">
        <v>136</v>
      </c>
      <c r="B48" s="124" t="s">
        <v>36</v>
      </c>
      <c r="C48" s="124" t="s">
        <v>137</v>
      </c>
      <c r="D48" s="125"/>
      <c r="E48" s="94"/>
      <c r="F48" s="127">
        <v>0.22533672004874999</v>
      </c>
      <c r="G48" s="127">
        <v>0.1674885499684739</v>
      </c>
      <c r="H48" s="126"/>
      <c r="I48" s="127">
        <v>0.22533672004874999</v>
      </c>
      <c r="J48" s="127">
        <f t="shared" ref="J48:Q48" si="12">J47/J22</f>
        <v>0.17297716073760772</v>
      </c>
      <c r="K48" s="127">
        <f t="shared" si="12"/>
        <v>0.23728826705126024</v>
      </c>
      <c r="L48" s="127">
        <f t="shared" si="12"/>
        <v>0.31539706778471233</v>
      </c>
      <c r="M48" s="127">
        <f t="shared" si="12"/>
        <v>0.33735148260361297</v>
      </c>
      <c r="N48" s="344">
        <f t="shared" si="12"/>
        <v>0.23040458645842943</v>
      </c>
      <c r="O48" s="344">
        <f t="shared" si="12"/>
        <v>0.23040458645842943</v>
      </c>
      <c r="P48" s="344">
        <f t="shared" si="12"/>
        <v>0.23040458645842943</v>
      </c>
      <c r="Q48" s="344">
        <f t="shared" si="12"/>
        <v>0.23040458645842943</v>
      </c>
      <c r="R48" s="60"/>
      <c r="S48" s="60"/>
      <c r="T48" s="60"/>
      <c r="U48" s="60"/>
      <c r="V48" s="60"/>
      <c r="W48" s="128"/>
      <c r="X48" s="128"/>
      <c r="Y48" s="129"/>
      <c r="Z48" s="129"/>
      <c r="AA48" s="129"/>
      <c r="AB48" s="129"/>
      <c r="AC48" s="130"/>
      <c r="AD48" s="127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</row>
    <row r="49" spans="1:53" s="18" customFormat="1">
      <c r="A49" s="131"/>
      <c r="B49" s="125"/>
      <c r="C49" s="125"/>
      <c r="D49" s="125"/>
      <c r="E49" s="132"/>
      <c r="F49" s="127"/>
      <c r="G49" s="127"/>
      <c r="H49" s="126"/>
      <c r="I49" s="127"/>
      <c r="J49" s="127"/>
      <c r="K49" s="127"/>
      <c r="L49" s="127"/>
      <c r="M49" s="127"/>
      <c r="N49" s="344"/>
      <c r="O49" s="344"/>
      <c r="P49" s="344"/>
      <c r="Q49" s="344"/>
      <c r="R49" s="60"/>
      <c r="S49" s="60"/>
      <c r="T49" s="60"/>
      <c r="U49" s="60"/>
      <c r="V49" s="60"/>
      <c r="W49" s="128"/>
      <c r="X49" s="128"/>
      <c r="Y49" s="129"/>
      <c r="Z49" s="129"/>
      <c r="AA49" s="129"/>
      <c r="AB49" s="129"/>
      <c r="AC49" s="130"/>
      <c r="AD49" s="127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</row>
    <row r="50" spans="1:53" s="18" customFormat="1">
      <c r="A50" s="131"/>
      <c r="B50" s="125"/>
      <c r="C50" s="125"/>
      <c r="D50" s="125"/>
      <c r="E50" s="132"/>
      <c r="F50" s="127"/>
      <c r="G50" s="127"/>
      <c r="H50" s="126"/>
      <c r="I50" s="127"/>
      <c r="J50" s="127"/>
      <c r="K50" s="127"/>
      <c r="L50" s="127"/>
      <c r="M50" s="127"/>
      <c r="N50" s="344"/>
      <c r="O50" s="344"/>
      <c r="P50" s="344"/>
      <c r="Q50" s="344"/>
      <c r="R50" s="60"/>
      <c r="S50" s="60"/>
      <c r="T50" s="60"/>
      <c r="U50" s="60"/>
      <c r="V50" s="60"/>
      <c r="W50" s="128"/>
      <c r="X50" s="128"/>
      <c r="Y50" s="129"/>
      <c r="Z50" s="129"/>
      <c r="AA50" s="129"/>
      <c r="AB50" s="129"/>
      <c r="AC50" s="130"/>
      <c r="AD50" s="127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</row>
    <row r="51" spans="1:53" s="7" customFormat="1">
      <c r="A51" s="123" t="s">
        <v>138</v>
      </c>
      <c r="B51" s="125"/>
      <c r="C51" s="125"/>
      <c r="D51" s="125"/>
      <c r="E51" s="132"/>
      <c r="F51" s="60"/>
      <c r="G51" s="60"/>
      <c r="H51" s="126"/>
      <c r="I51" s="60"/>
      <c r="J51" s="60"/>
      <c r="K51" s="60"/>
      <c r="L51" s="60"/>
      <c r="M51" s="60"/>
      <c r="N51" s="321"/>
      <c r="O51" s="321"/>
      <c r="P51" s="321"/>
      <c r="Q51" s="321"/>
      <c r="R51" s="60"/>
      <c r="S51" s="60"/>
      <c r="T51" s="60"/>
      <c r="U51" s="60"/>
      <c r="V51" s="60"/>
      <c r="W51" s="128"/>
      <c r="X51" s="128"/>
      <c r="Y51" s="129"/>
      <c r="Z51" s="129"/>
      <c r="AA51" s="129"/>
      <c r="AB51" s="129"/>
      <c r="AC51" s="130"/>
      <c r="AD51" s="127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</row>
    <row r="52" spans="1:53" s="55" customFormat="1">
      <c r="A52" s="133" t="s">
        <v>139</v>
      </c>
      <c r="B52" s="134"/>
      <c r="C52" s="134"/>
      <c r="D52" s="60"/>
      <c r="E52" s="60"/>
      <c r="F52" s="285">
        <v>-1925381.9975000001</v>
      </c>
      <c r="G52" s="285">
        <v>0</v>
      </c>
      <c r="H52" s="126"/>
      <c r="I52" s="285">
        <v>-1925381.9975000001</v>
      </c>
      <c r="J52" s="285">
        <f>'c12_sk'!J5</f>
        <v>-1375000</v>
      </c>
      <c r="K52" s="285">
        <f>'c12_sk'!K5</f>
        <v>-1375000</v>
      </c>
      <c r="L52" s="285">
        <f>'c12_sk'!L5</f>
        <v>-1375000</v>
      </c>
      <c r="M52" s="285">
        <f>'c12_sk'!M5</f>
        <v>-1375000</v>
      </c>
      <c r="N52" s="339">
        <f>'c12_sk'!N5</f>
        <v>-1375000</v>
      </c>
      <c r="O52" s="339">
        <f>'c12_sk'!O5</f>
        <v>-1375000</v>
      </c>
      <c r="P52" s="339">
        <f>'c12_sk'!P5</f>
        <v>-1375000</v>
      </c>
      <c r="Q52" s="339">
        <f>'c12_sk'!Q5</f>
        <v>-1375000</v>
      </c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</row>
    <row r="53" spans="1:53" s="55" customFormat="1">
      <c r="A53" s="133" t="s">
        <v>140</v>
      </c>
      <c r="B53" s="60"/>
      <c r="C53" s="60"/>
      <c r="D53" s="60"/>
      <c r="E53" s="60"/>
      <c r="F53" s="118">
        <v>249431</v>
      </c>
      <c r="G53" s="118">
        <v>174347</v>
      </c>
      <c r="H53" s="60"/>
      <c r="I53" s="118">
        <v>249431</v>
      </c>
      <c r="J53" s="118">
        <f t="shared" ref="J53:Q53" si="13">-J31</f>
        <v>174347</v>
      </c>
      <c r="K53" s="118">
        <f t="shared" si="13"/>
        <v>174347</v>
      </c>
      <c r="L53" s="118">
        <f t="shared" si="13"/>
        <v>174347</v>
      </c>
      <c r="M53" s="118">
        <f t="shared" si="13"/>
        <v>174347</v>
      </c>
      <c r="N53" s="319">
        <f t="shared" si="13"/>
        <v>174347</v>
      </c>
      <c r="O53" s="319">
        <f t="shared" si="13"/>
        <v>174347</v>
      </c>
      <c r="P53" s="319">
        <f t="shared" si="13"/>
        <v>174347</v>
      </c>
      <c r="Q53" s="319">
        <f t="shared" si="13"/>
        <v>174347</v>
      </c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</row>
    <row r="54" spans="1:53" s="55" customFormat="1">
      <c r="A54" s="133" t="s">
        <v>141</v>
      </c>
      <c r="B54" s="60"/>
      <c r="C54" s="60"/>
      <c r="D54" s="60"/>
      <c r="E54" s="60"/>
      <c r="F54" s="118">
        <v>0</v>
      </c>
      <c r="G54" s="118">
        <v>50000</v>
      </c>
      <c r="H54" s="60"/>
      <c r="I54" s="118">
        <v>0</v>
      </c>
      <c r="J54" s="118">
        <f>'c12_sk'!J7</f>
        <v>50000</v>
      </c>
      <c r="K54" s="118">
        <f>'c12_sk'!K7</f>
        <v>50000</v>
      </c>
      <c r="L54" s="118">
        <f>'c12_sk'!L7</f>
        <v>50000</v>
      </c>
      <c r="M54" s="118">
        <f>'c12_sk'!M7</f>
        <v>50000</v>
      </c>
      <c r="N54" s="319">
        <f>'c12_sk'!N7</f>
        <v>50000</v>
      </c>
      <c r="O54" s="319">
        <f>'c12_sk'!O7</f>
        <v>50000</v>
      </c>
      <c r="P54" s="319">
        <f>'c12_sk'!P7</f>
        <v>50000</v>
      </c>
      <c r="Q54" s="319">
        <f>'c12_sk'!Q7</f>
        <v>50000</v>
      </c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</row>
    <row r="55" spans="1:53" s="55" customFormat="1">
      <c r="A55" s="133" t="s">
        <v>142</v>
      </c>
      <c r="B55" s="60"/>
      <c r="C55" s="60"/>
      <c r="D55" s="60"/>
      <c r="E55" s="60"/>
      <c r="F55" s="118">
        <v>375000</v>
      </c>
      <c r="G55" s="118">
        <v>375000</v>
      </c>
      <c r="H55" s="60"/>
      <c r="I55" s="118">
        <v>375000</v>
      </c>
      <c r="J55" s="118">
        <f>'.c12_oc_hr'!J6</f>
        <v>375000</v>
      </c>
      <c r="K55" s="118">
        <f>'.c12_oc_hr'!K6</f>
        <v>375000</v>
      </c>
      <c r="L55" s="118">
        <f>'.c12_oc_hr'!L6</f>
        <v>375000</v>
      </c>
      <c r="M55" s="118">
        <f>'.c12_oc_hr'!M6</f>
        <v>375000</v>
      </c>
      <c r="N55" s="319">
        <f>'.c12_oc_hr'!N6</f>
        <v>375000</v>
      </c>
      <c r="O55" s="319">
        <f>'.c12_oc_hr'!O6</f>
        <v>375000</v>
      </c>
      <c r="P55" s="319">
        <f>'.c12_oc_hr'!P6</f>
        <v>375000</v>
      </c>
      <c r="Q55" s="319">
        <f>'.c12_oc_hr'!Q6</f>
        <v>375000</v>
      </c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</row>
    <row r="56" spans="1:53" s="55" customFormat="1">
      <c r="A56" s="133" t="s">
        <v>143</v>
      </c>
      <c r="B56" s="60"/>
      <c r="C56" s="60"/>
      <c r="D56" s="60"/>
      <c r="E56" s="60"/>
      <c r="F56" s="118">
        <v>250000</v>
      </c>
      <c r="G56" s="118">
        <v>250000</v>
      </c>
      <c r="H56" s="60"/>
      <c r="I56" s="118">
        <v>250000</v>
      </c>
      <c r="J56" s="118">
        <f>-'c12_sk'!J8</f>
        <v>250000</v>
      </c>
      <c r="K56" s="118">
        <f>-'c12_sk'!K8</f>
        <v>250000</v>
      </c>
      <c r="L56" s="118">
        <f>-'c12_sk'!L8</f>
        <v>250000</v>
      </c>
      <c r="M56" s="118">
        <f>-'c12_sk'!M8</f>
        <v>250000</v>
      </c>
      <c r="N56" s="319">
        <f>-'c12_sk'!N8</f>
        <v>250000</v>
      </c>
      <c r="O56" s="319">
        <f>-'c12_sk'!O8</f>
        <v>250000</v>
      </c>
      <c r="P56" s="319">
        <f>-'c12_sk'!P8</f>
        <v>250000</v>
      </c>
      <c r="Q56" s="319">
        <f>-'c12_sk'!Q8</f>
        <v>250000</v>
      </c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</row>
    <row r="57" spans="1:53" s="10" customFormat="1">
      <c r="A57" s="136"/>
      <c r="B57" s="125"/>
      <c r="C57" s="125"/>
      <c r="D57" s="125"/>
      <c r="E57" s="127"/>
      <c r="F57" s="137"/>
      <c r="G57" s="138"/>
      <c r="H57" s="60"/>
      <c r="I57" s="137"/>
      <c r="J57" s="138"/>
      <c r="K57" s="138"/>
      <c r="L57" s="138"/>
      <c r="M57" s="138"/>
      <c r="N57" s="345"/>
      <c r="O57" s="345"/>
      <c r="P57" s="345"/>
      <c r="Q57" s="345"/>
      <c r="R57" s="60"/>
      <c r="S57" s="60"/>
      <c r="T57" s="60"/>
      <c r="U57" s="60"/>
      <c r="V57" s="60"/>
      <c r="W57" s="128"/>
      <c r="X57" s="128"/>
      <c r="Y57" s="129"/>
      <c r="Z57" s="129"/>
      <c r="AA57" s="129"/>
      <c r="AB57" s="129"/>
      <c r="AC57" s="130"/>
      <c r="AD57" s="127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</row>
    <row r="58" spans="1:53" s="10" customFormat="1">
      <c r="A58" s="139" t="s">
        <v>144</v>
      </c>
      <c r="B58" s="125"/>
      <c r="C58" s="125"/>
      <c r="D58" s="125"/>
      <c r="E58" s="127"/>
      <c r="F58" s="137">
        <v>0</v>
      </c>
      <c r="G58" s="137">
        <v>0</v>
      </c>
      <c r="H58" s="60"/>
      <c r="I58" s="137">
        <v>0</v>
      </c>
      <c r="J58" s="137">
        <f>-'c12_sk'!J9</f>
        <v>0</v>
      </c>
      <c r="K58" s="137">
        <f>-'c12_sk'!K9</f>
        <v>0</v>
      </c>
      <c r="L58" s="137">
        <f>-'c12_sk'!L9</f>
        <v>0</v>
      </c>
      <c r="M58" s="137">
        <f>-'c12_sk'!M9</f>
        <v>0</v>
      </c>
      <c r="N58" s="346">
        <f>-'c12_sk'!N9</f>
        <v>0</v>
      </c>
      <c r="O58" s="346">
        <f>-'c12_sk'!O9</f>
        <v>0</v>
      </c>
      <c r="P58" s="346">
        <f>-'c12_sk'!P9</f>
        <v>0</v>
      </c>
      <c r="Q58" s="346">
        <f>-'c12_sk'!Q9</f>
        <v>0</v>
      </c>
      <c r="R58" s="60"/>
      <c r="S58" s="60"/>
      <c r="T58" s="60"/>
      <c r="U58" s="60"/>
      <c r="V58" s="60"/>
      <c r="W58" s="128"/>
      <c r="X58" s="128"/>
      <c r="Y58" s="129"/>
      <c r="Z58" s="129"/>
      <c r="AA58" s="129"/>
      <c r="AB58" s="129"/>
      <c r="AC58" s="130"/>
      <c r="AD58" s="127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</row>
    <row r="59" spans="1:53" s="7" customFormat="1">
      <c r="A59" s="123" t="s">
        <v>145</v>
      </c>
      <c r="B59" s="124" t="s">
        <v>39</v>
      </c>
      <c r="C59" s="289" t="s">
        <v>146</v>
      </c>
      <c r="D59" s="125"/>
      <c r="E59" s="140">
        <v>-4651000</v>
      </c>
      <c r="F59" s="141">
        <v>-1050950.9975000001</v>
      </c>
      <c r="G59" s="141">
        <v>849347</v>
      </c>
      <c r="H59" s="60"/>
      <c r="I59" s="141">
        <v>-1050950.9975000001</v>
      </c>
      <c r="J59" s="141">
        <f t="shared" ref="J59:Q59" si="14">SUM(J52:J58)</f>
        <v>-525653</v>
      </c>
      <c r="K59" s="141">
        <f t="shared" si="14"/>
        <v>-525653</v>
      </c>
      <c r="L59" s="141">
        <f t="shared" si="14"/>
        <v>-525653</v>
      </c>
      <c r="M59" s="141">
        <f t="shared" si="14"/>
        <v>-525653</v>
      </c>
      <c r="N59" s="347">
        <f t="shared" si="14"/>
        <v>-525653</v>
      </c>
      <c r="O59" s="347">
        <f t="shared" si="14"/>
        <v>-525653</v>
      </c>
      <c r="P59" s="347">
        <f t="shared" si="14"/>
        <v>-525653</v>
      </c>
      <c r="Q59" s="347">
        <f t="shared" si="14"/>
        <v>-525653</v>
      </c>
      <c r="R59" s="60"/>
      <c r="S59" s="60"/>
      <c r="T59" s="60"/>
      <c r="U59" s="60"/>
      <c r="V59" s="60"/>
      <c r="W59" s="128"/>
      <c r="X59" s="128"/>
      <c r="Y59" s="129"/>
      <c r="Z59" s="129"/>
      <c r="AA59" s="129"/>
      <c r="AB59" s="129"/>
      <c r="AC59" s="130"/>
      <c r="AD59" s="127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</row>
    <row r="60" spans="1:53" s="7" customFormat="1">
      <c r="A60" s="123" t="s">
        <v>147</v>
      </c>
      <c r="B60" s="124" t="s">
        <v>36</v>
      </c>
      <c r="C60" s="314" t="s">
        <v>148</v>
      </c>
      <c r="D60" s="125"/>
      <c r="E60" s="140">
        <v>-1531049</v>
      </c>
      <c r="F60" s="142">
        <v>-190054.81892857139</v>
      </c>
      <c r="G60" s="142">
        <v>1677440.762380952</v>
      </c>
      <c r="H60" s="60"/>
      <c r="I60" s="313">
        <v>-190054.81892857139</v>
      </c>
      <c r="J60" s="313">
        <f t="shared" ref="J60:Q60" si="15">+(J47+J59)</f>
        <v>335253.26238095248</v>
      </c>
      <c r="K60" s="313">
        <f t="shared" si="15"/>
        <v>879215.26488095243</v>
      </c>
      <c r="L60" s="313">
        <f t="shared" si="15"/>
        <v>807082.65961779514</v>
      </c>
      <c r="M60" s="313">
        <f t="shared" si="15"/>
        <v>2126639.1379072675</v>
      </c>
      <c r="N60" s="348">
        <f t="shared" si="15"/>
        <v>1034081.2702822676</v>
      </c>
      <c r="O60" s="348">
        <f t="shared" si="15"/>
        <v>1034081.2702822676</v>
      </c>
      <c r="P60" s="348">
        <f t="shared" si="15"/>
        <v>1034081.2702822676</v>
      </c>
      <c r="Q60" s="348">
        <f t="shared" si="15"/>
        <v>1034081.2702822676</v>
      </c>
      <c r="R60" s="60"/>
      <c r="S60" s="60"/>
      <c r="T60" s="60"/>
      <c r="U60" s="60"/>
      <c r="V60" s="60"/>
      <c r="W60" s="128"/>
      <c r="X60" s="128"/>
      <c r="Y60" s="129"/>
      <c r="Z60" s="129"/>
      <c r="AA60" s="129"/>
      <c r="AB60" s="129"/>
      <c r="AC60" s="130"/>
      <c r="AD60" s="127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</row>
    <row r="61" spans="1:53" s="13" customFormat="1" ht="15" customHeight="1" thickBot="1">
      <c r="A61" s="123" t="s">
        <v>149</v>
      </c>
      <c r="B61" s="124" t="s">
        <v>7</v>
      </c>
      <c r="C61" s="124" t="s">
        <v>150</v>
      </c>
      <c r="D61" s="125"/>
      <c r="E61" s="142"/>
      <c r="F61" s="143"/>
      <c r="G61" s="143">
        <v>1540999</v>
      </c>
      <c r="H61" s="60"/>
      <c r="I61" s="143"/>
      <c r="J61" s="143">
        <v>1540999</v>
      </c>
      <c r="K61" s="143"/>
      <c r="L61" s="143"/>
      <c r="M61" s="143"/>
      <c r="N61" s="349"/>
      <c r="O61" s="349"/>
      <c r="P61" s="349"/>
      <c r="Q61" s="349"/>
      <c r="R61" s="60"/>
      <c r="S61" s="60"/>
      <c r="T61" s="60"/>
      <c r="U61" s="60"/>
      <c r="V61" s="60"/>
      <c r="W61" s="128"/>
      <c r="X61" s="128"/>
      <c r="Y61" s="129"/>
      <c r="Z61" s="129"/>
      <c r="AA61" s="129"/>
      <c r="AB61" s="129"/>
      <c r="AC61" s="130"/>
      <c r="AD61" s="127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</row>
    <row r="62" spans="1:53" s="50" customFormat="1" ht="15.5" customHeight="1" thickTop="1" thickBot="1">
      <c r="A62" s="123" t="s">
        <v>151</v>
      </c>
      <c r="B62" s="124" t="s">
        <v>39</v>
      </c>
      <c r="C62" s="124" t="s">
        <v>152</v>
      </c>
      <c r="D62" s="125"/>
      <c r="E62" s="144">
        <v>-1540999</v>
      </c>
      <c r="F62" s="145">
        <v>-1924884.2757142859</v>
      </c>
      <c r="G62" s="145">
        <v>0</v>
      </c>
      <c r="H62" s="60"/>
      <c r="I62" s="145">
        <v>-1924884.2757142859</v>
      </c>
      <c r="J62" s="145">
        <f t="shared" ref="J62:Q62" si="16">MIN(J60+I62+J61,0)</f>
        <v>-48632.013333333423</v>
      </c>
      <c r="K62" s="145">
        <f t="shared" si="16"/>
        <v>0</v>
      </c>
      <c r="L62" s="145">
        <f t="shared" si="16"/>
        <v>0</v>
      </c>
      <c r="M62" s="145">
        <f t="shared" si="16"/>
        <v>0</v>
      </c>
      <c r="N62" s="350">
        <f t="shared" si="16"/>
        <v>0</v>
      </c>
      <c r="O62" s="350">
        <f t="shared" si="16"/>
        <v>0</v>
      </c>
      <c r="P62" s="350">
        <f t="shared" si="16"/>
        <v>0</v>
      </c>
      <c r="Q62" s="350">
        <f t="shared" si="16"/>
        <v>0</v>
      </c>
      <c r="R62" s="60"/>
      <c r="S62" s="60"/>
      <c r="T62" s="60"/>
      <c r="U62" s="60"/>
      <c r="V62" s="60"/>
      <c r="W62" s="128"/>
      <c r="X62" s="128"/>
      <c r="Y62" s="129"/>
      <c r="Z62" s="129"/>
      <c r="AA62" s="129"/>
      <c r="AB62" s="129"/>
      <c r="AC62" s="130"/>
      <c r="AD62" s="127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</row>
    <row r="63" spans="1:53" ht="15" customHeight="1" thickTop="1">
      <c r="A63" s="60"/>
      <c r="B63" s="81"/>
      <c r="C63" s="81"/>
      <c r="D63" s="81"/>
      <c r="E63" s="146"/>
      <c r="F63" s="146"/>
      <c r="G63" s="146"/>
      <c r="H63" s="60"/>
      <c r="I63" s="146"/>
      <c r="J63" s="146"/>
      <c r="K63" s="146"/>
      <c r="L63" s="146"/>
      <c r="M63" s="146"/>
      <c r="N63" s="320"/>
      <c r="O63" s="320"/>
      <c r="P63" s="320"/>
      <c r="Q63" s="320"/>
      <c r="R63" s="60"/>
      <c r="S63" s="60"/>
      <c r="T63" s="60"/>
      <c r="U63" s="60"/>
      <c r="V63" s="60"/>
      <c r="W63" s="122"/>
      <c r="X63" s="122"/>
      <c r="Y63" s="147"/>
      <c r="Z63" s="147"/>
      <c r="AA63" s="147"/>
      <c r="AB63" s="147"/>
      <c r="AC63" s="148"/>
      <c r="AD63" s="146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</row>
    <row r="64" spans="1:53">
      <c r="A64" s="72" t="s">
        <v>153</v>
      </c>
      <c r="B64" s="81"/>
      <c r="C64" s="81"/>
      <c r="D64" s="81"/>
      <c r="E64" s="118"/>
      <c r="F64" s="118"/>
      <c r="G64" s="118"/>
      <c r="H64" s="60"/>
      <c r="I64" s="118"/>
      <c r="J64" s="118"/>
      <c r="K64" s="118"/>
      <c r="L64" s="118"/>
      <c r="M64" s="118"/>
      <c r="N64" s="319"/>
      <c r="O64" s="319"/>
      <c r="P64" s="319"/>
      <c r="Q64" s="319"/>
      <c r="R64" s="60"/>
      <c r="S64" s="60"/>
      <c r="T64" s="60"/>
      <c r="U64" s="60"/>
      <c r="V64" s="60"/>
      <c r="W64" s="122"/>
      <c r="X64" s="122"/>
      <c r="Y64" s="147"/>
      <c r="Z64" s="147"/>
      <c r="AA64" s="147"/>
      <c r="AB64" s="147"/>
      <c r="AC64" s="148"/>
      <c r="AD64" s="146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</row>
    <row r="65" spans="1:53">
      <c r="A65" s="72" t="s">
        <v>102</v>
      </c>
      <c r="B65" s="81"/>
      <c r="C65" s="81"/>
      <c r="D65" s="81"/>
      <c r="E65" s="118"/>
      <c r="F65" s="118">
        <v>563661</v>
      </c>
      <c r="G65" s="118">
        <v>1162988.5925</v>
      </c>
      <c r="H65" s="60"/>
      <c r="I65" s="118">
        <v>563661</v>
      </c>
      <c r="J65" s="118">
        <f>-'c12_hm'!J62</f>
        <v>1162988.5925</v>
      </c>
      <c r="K65" s="118">
        <f>-'c12_hm'!K62</f>
        <v>1170394.6850000001</v>
      </c>
      <c r="L65" s="118">
        <f>-'c12_hm'!L62</f>
        <v>1177800.7775000001</v>
      </c>
      <c r="M65" s="118">
        <f>-'c12_hm'!M62</f>
        <v>16206.870000000112</v>
      </c>
      <c r="N65" s="319">
        <f>-'c12_hm'!N62</f>
        <v>16206.870000000112</v>
      </c>
      <c r="O65" s="319">
        <f>-'c12_hm'!O62</f>
        <v>16206.870000000112</v>
      </c>
      <c r="P65" s="319">
        <f>-'c12_hm'!P62</f>
        <v>16206.870000000112</v>
      </c>
      <c r="Q65" s="319">
        <f>-'c12_hm'!Q62</f>
        <v>16206.870000000112</v>
      </c>
      <c r="R65" s="60"/>
      <c r="S65" s="60"/>
      <c r="T65" s="60"/>
      <c r="U65" s="60"/>
      <c r="V65" s="60"/>
      <c r="W65" s="122"/>
      <c r="X65" s="122"/>
      <c r="Y65" s="147"/>
      <c r="Z65" s="147"/>
      <c r="AA65" s="147"/>
      <c r="AB65" s="147"/>
      <c r="AC65" s="148"/>
      <c r="AD65" s="146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</row>
    <row r="66" spans="1:53">
      <c r="A66" s="72" t="s">
        <v>103</v>
      </c>
      <c r="B66" s="81"/>
      <c r="C66" s="81"/>
      <c r="D66" s="81"/>
      <c r="E66" s="118"/>
      <c r="F66" s="118">
        <v>0</v>
      </c>
      <c r="G66" s="118">
        <v>0</v>
      </c>
      <c r="H66" s="60"/>
      <c r="I66" s="118">
        <v>0</v>
      </c>
      <c r="J66" s="118">
        <f>'c12_bi&amp;F'!J62</f>
        <v>0</v>
      </c>
      <c r="K66" s="118">
        <f>'c12_bi&amp;F'!K62</f>
        <v>0</v>
      </c>
      <c r="L66" s="118">
        <f>'c12_bi&amp;F'!L62</f>
        <v>0</v>
      </c>
      <c r="M66" s="118">
        <f>'c12_bi&amp;F'!M62</f>
        <v>0</v>
      </c>
      <c r="N66" s="319">
        <f>'c12_bi&amp;F'!N62</f>
        <v>0</v>
      </c>
      <c r="O66" s="319">
        <f>'c12_bi&amp;F'!O62</f>
        <v>0</v>
      </c>
      <c r="P66" s="319">
        <f>'c12_bi&amp;F'!P62</f>
        <v>0</v>
      </c>
      <c r="Q66" s="319">
        <f>'c12_bi&amp;F'!Q62</f>
        <v>0</v>
      </c>
      <c r="R66" s="60"/>
      <c r="S66" s="60"/>
      <c r="T66" s="60"/>
      <c r="U66" s="60"/>
      <c r="V66" s="60"/>
      <c r="W66" s="122"/>
      <c r="X66" s="122"/>
      <c r="Y66" s="147"/>
      <c r="Z66" s="147"/>
      <c r="AA66" s="147"/>
      <c r="AB66" s="147"/>
      <c r="AC66" s="148"/>
      <c r="AD66" s="146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</row>
    <row r="67" spans="1:53" ht="15" customHeight="1" thickBot="1">
      <c r="A67" s="72" t="s">
        <v>154</v>
      </c>
      <c r="B67" s="81"/>
      <c r="C67" s="81"/>
      <c r="D67" s="81"/>
      <c r="E67" s="118"/>
      <c r="F67" s="118">
        <v>4801819</v>
      </c>
      <c r="G67" s="118">
        <v>4957879.68</v>
      </c>
      <c r="H67" s="60"/>
      <c r="I67" s="118">
        <v>4801819</v>
      </c>
      <c r="J67" s="118">
        <f>-'c12_d&amp;s'!J62</f>
        <v>4957879.68</v>
      </c>
      <c r="K67" s="118">
        <f>-'c12_d&amp;s'!K62</f>
        <v>4470379.68</v>
      </c>
      <c r="L67" s="118">
        <f>-'c12_d&amp;s'!L62</f>
        <v>4201060.68</v>
      </c>
      <c r="M67" s="118">
        <f>-'c12_d&amp;s'!M62</f>
        <v>4929060.68</v>
      </c>
      <c r="N67" s="319">
        <f>-'c12_d&amp;s'!N62</f>
        <v>7029060.6799999997</v>
      </c>
      <c r="O67" s="319">
        <f>-'c12_d&amp;s'!O62</f>
        <v>9129060.6799999997</v>
      </c>
      <c r="P67" s="319">
        <f>-'c12_d&amp;s'!P62</f>
        <v>11229060.68</v>
      </c>
      <c r="Q67" s="319">
        <f>-'c12_d&amp;s'!Q62</f>
        <v>13329060.68</v>
      </c>
      <c r="R67" s="60"/>
      <c r="S67" s="60"/>
      <c r="T67" s="60"/>
      <c r="U67" s="60"/>
      <c r="V67" s="60"/>
      <c r="W67" s="122"/>
      <c r="X67" s="122"/>
      <c r="Y67" s="147"/>
      <c r="Z67" s="147"/>
      <c r="AA67" s="147"/>
      <c r="AB67" s="147"/>
      <c r="AC67" s="148"/>
      <c r="AD67" s="146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</row>
    <row r="68" spans="1:53" s="48" customFormat="1" ht="15.5" customHeight="1" thickTop="1" thickBot="1">
      <c r="A68" s="100" t="s">
        <v>32</v>
      </c>
      <c r="B68" s="93" t="s">
        <v>39</v>
      </c>
      <c r="C68" s="93" t="s">
        <v>155</v>
      </c>
      <c r="D68" s="81"/>
      <c r="E68" s="149"/>
      <c r="F68" s="150">
        <v>5365480</v>
      </c>
      <c r="G68" s="150">
        <v>6120868.2725</v>
      </c>
      <c r="H68" s="60"/>
      <c r="I68" s="150">
        <v>5365480</v>
      </c>
      <c r="J68" s="150">
        <f t="shared" ref="J68:Q68" si="17">SUM(J65:J67)</f>
        <v>6120868.2725</v>
      </c>
      <c r="K68" s="150">
        <f t="shared" si="17"/>
        <v>5640774.3650000002</v>
      </c>
      <c r="L68" s="150">
        <f t="shared" si="17"/>
        <v>5378861.4574999996</v>
      </c>
      <c r="M68" s="150">
        <f t="shared" si="17"/>
        <v>4945267.55</v>
      </c>
      <c r="N68" s="153">
        <f t="shared" si="17"/>
        <v>7045267.5499999998</v>
      </c>
      <c r="O68" s="153">
        <f t="shared" si="17"/>
        <v>9145267.5500000007</v>
      </c>
      <c r="P68" s="153">
        <f t="shared" si="17"/>
        <v>11245267.550000001</v>
      </c>
      <c r="Q68" s="153">
        <f t="shared" si="17"/>
        <v>13345267.550000001</v>
      </c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</row>
    <row r="69" spans="1:53" ht="15" customHeight="1" thickTop="1">
      <c r="A69" s="151"/>
      <c r="B69" s="81"/>
      <c r="C69" s="81"/>
      <c r="D69" s="81"/>
      <c r="E69" s="118"/>
      <c r="F69" s="118"/>
      <c r="G69" s="118"/>
      <c r="H69" s="60"/>
      <c r="I69" s="118"/>
      <c r="J69" s="118"/>
      <c r="K69" s="118"/>
      <c r="L69" s="118"/>
      <c r="M69" s="118"/>
      <c r="N69" s="319"/>
      <c r="O69" s="319"/>
      <c r="P69" s="319"/>
      <c r="Q69" s="319"/>
      <c r="R69" s="60"/>
      <c r="S69" s="60"/>
      <c r="T69" s="60"/>
      <c r="U69" s="60"/>
      <c r="V69" s="60"/>
      <c r="W69" s="122"/>
      <c r="X69" s="122"/>
      <c r="Y69" s="147"/>
      <c r="Z69" s="147"/>
      <c r="AA69" s="147"/>
      <c r="AB69" s="147"/>
      <c r="AC69" s="147"/>
      <c r="AD69" s="148"/>
      <c r="AE69" s="146"/>
      <c r="AF69" s="91"/>
      <c r="AG69" s="91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</row>
    <row r="70" spans="1:53">
      <c r="A70" s="93" t="s">
        <v>156</v>
      </c>
      <c r="B70" s="81"/>
      <c r="C70" s="81"/>
      <c r="D70" s="81"/>
      <c r="E70" s="118"/>
      <c r="F70" s="118"/>
      <c r="G70" s="118"/>
      <c r="H70" s="60"/>
      <c r="I70" s="118"/>
      <c r="J70" s="118"/>
      <c r="K70" s="118"/>
      <c r="L70" s="118"/>
      <c r="M70" s="118"/>
      <c r="N70" s="319"/>
      <c r="O70" s="319"/>
      <c r="P70" s="319"/>
      <c r="Q70" s="319"/>
      <c r="R70" s="60"/>
      <c r="S70" s="60"/>
      <c r="T70" s="60"/>
      <c r="U70" s="60"/>
      <c r="V70" s="60"/>
      <c r="W70" s="122"/>
      <c r="X70" s="122"/>
      <c r="Y70" s="147"/>
      <c r="Z70" s="147"/>
      <c r="AA70" s="147"/>
      <c r="AB70" s="147"/>
      <c r="AC70" s="147"/>
      <c r="AD70" s="148"/>
      <c r="AE70" s="146"/>
      <c r="AF70" s="91"/>
      <c r="AG70" s="91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</row>
    <row r="71" spans="1:53">
      <c r="A71" s="72" t="s">
        <v>102</v>
      </c>
      <c r="B71" s="81"/>
      <c r="C71" s="81"/>
      <c r="D71" s="81"/>
      <c r="E71" s="118"/>
      <c r="F71" s="118">
        <v>563661</v>
      </c>
      <c r="G71" s="118">
        <v>740925.65737499995</v>
      </c>
      <c r="H71" s="60"/>
      <c r="I71" s="118">
        <v>563661</v>
      </c>
      <c r="J71" s="118">
        <f>+'c12_hm'!J74</f>
        <v>740925.65737499995</v>
      </c>
      <c r="K71" s="118">
        <f>+'c12_hm'!K74</f>
        <v>583052.45224999997</v>
      </c>
      <c r="L71" s="118">
        <f>+'c12_hm'!L74</f>
        <v>425179.24712499999</v>
      </c>
      <c r="M71" s="118">
        <f>+'c12_hm'!M74</f>
        <v>18621.379500000039</v>
      </c>
      <c r="N71" s="319">
        <f>+'c12_hm'!N74</f>
        <v>18621.379500000039</v>
      </c>
      <c r="O71" s="319">
        <f>+'c12_hm'!O74</f>
        <v>18621.379500000039</v>
      </c>
      <c r="P71" s="319">
        <f>+'c12_hm'!P74</f>
        <v>18621.379500000039</v>
      </c>
      <c r="Q71" s="319">
        <f>+'c12_hm'!Q74</f>
        <v>18621.379500000039</v>
      </c>
      <c r="R71" s="60"/>
      <c r="S71" s="60"/>
      <c r="T71" s="60"/>
      <c r="U71" s="60"/>
      <c r="V71" s="60"/>
      <c r="W71" s="122"/>
      <c r="X71" s="122"/>
      <c r="Y71" s="147"/>
      <c r="Z71" s="147"/>
      <c r="AA71" s="147"/>
      <c r="AB71" s="147"/>
      <c r="AC71" s="147"/>
      <c r="AD71" s="148"/>
      <c r="AE71" s="146"/>
      <c r="AF71" s="91"/>
      <c r="AG71" s="91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</row>
    <row r="72" spans="1:53">
      <c r="A72" s="72" t="s">
        <v>157</v>
      </c>
      <c r="B72" s="81"/>
      <c r="C72" s="81"/>
      <c r="D72" s="81"/>
      <c r="E72" s="118"/>
      <c r="F72" s="118">
        <v>0</v>
      </c>
      <c r="G72" s="118">
        <v>0</v>
      </c>
      <c r="H72" s="60"/>
      <c r="I72" s="118">
        <v>0</v>
      </c>
      <c r="J72" s="118">
        <f>'c12_bi&amp;F'!J74</f>
        <v>0</v>
      </c>
      <c r="K72" s="118">
        <f>'c12_bi&amp;F'!K74</f>
        <v>0</v>
      </c>
      <c r="L72" s="118">
        <f>'c12_bi&amp;F'!L74</f>
        <v>0</v>
      </c>
      <c r="M72" s="118">
        <f>'c12_bi&amp;F'!M74</f>
        <v>0</v>
      </c>
      <c r="N72" s="319">
        <f>'c12_bi&amp;F'!N74</f>
        <v>0</v>
      </c>
      <c r="O72" s="319">
        <f>'c12_bi&amp;F'!O74</f>
        <v>0</v>
      </c>
      <c r="P72" s="319">
        <f>'c12_bi&amp;F'!P74</f>
        <v>0</v>
      </c>
      <c r="Q72" s="319">
        <f>'c12_bi&amp;F'!Q74</f>
        <v>0</v>
      </c>
      <c r="R72" s="60"/>
      <c r="S72" s="60"/>
      <c r="T72" s="60"/>
      <c r="U72" s="60"/>
      <c r="V72" s="60"/>
      <c r="W72" s="122"/>
      <c r="X72" s="122"/>
      <c r="Y72" s="147"/>
      <c r="Z72" s="147"/>
      <c r="AA72" s="147"/>
      <c r="AB72" s="147"/>
      <c r="AC72" s="147"/>
      <c r="AD72" s="148"/>
      <c r="AE72" s="146"/>
      <c r="AF72" s="91"/>
      <c r="AG72" s="91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</row>
    <row r="73" spans="1:53" ht="15" customHeight="1" thickBot="1">
      <c r="A73" s="72" t="s">
        <v>154</v>
      </c>
      <c r="B73" s="81"/>
      <c r="C73" s="81"/>
      <c r="D73" s="81"/>
      <c r="E73" s="110"/>
      <c r="F73" s="110">
        <v>2400909.5</v>
      </c>
      <c r="G73" s="110">
        <v>2229233.64</v>
      </c>
      <c r="H73" s="60"/>
      <c r="I73" s="110">
        <v>2400909.5</v>
      </c>
      <c r="J73" s="110">
        <f>'c12_d&amp;s'!J74</f>
        <v>2229233.6399999997</v>
      </c>
      <c r="K73" s="110">
        <f>'c12_d&amp;s'!K74</f>
        <v>1881983.6399999997</v>
      </c>
      <c r="L73" s="110">
        <f>'c12_d&amp;s'!L74</f>
        <v>1597324.1399999997</v>
      </c>
      <c r="M73" s="110">
        <f>'c12_d&amp;s'!M74</f>
        <v>1646324.1399999997</v>
      </c>
      <c r="N73" s="319">
        <f>'c12_d&amp;s'!N74</f>
        <v>2381324.1399999997</v>
      </c>
      <c r="O73" s="319">
        <f>'c12_d&amp;s'!O74</f>
        <v>3116324.1399999997</v>
      </c>
      <c r="P73" s="319">
        <f>'c12_d&amp;s'!P74</f>
        <v>3851324.1399999997</v>
      </c>
      <c r="Q73" s="319">
        <f>'c12_d&amp;s'!Q74</f>
        <v>4586324.1399999997</v>
      </c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118"/>
      <c r="AF73" s="118"/>
      <c r="AG73" s="118"/>
      <c r="AH73" s="118"/>
      <c r="AI73" s="118"/>
      <c r="AJ73" s="118"/>
      <c r="AK73" s="118"/>
      <c r="AL73" s="118"/>
      <c r="AM73" s="118"/>
      <c r="AN73" s="60"/>
      <c r="AO73" s="118"/>
      <c r="AP73" s="118"/>
      <c r="AQ73" s="118"/>
      <c r="AR73" s="118"/>
      <c r="AS73" s="118"/>
      <c r="AT73" s="118"/>
      <c r="AU73" s="118"/>
      <c r="AV73" s="60"/>
      <c r="AW73" s="60"/>
      <c r="AX73" s="60"/>
      <c r="AY73" s="60"/>
      <c r="AZ73" s="60"/>
      <c r="BA73" s="60"/>
    </row>
    <row r="74" spans="1:53" s="48" customFormat="1" ht="15.5" customHeight="1" thickTop="1" thickBot="1">
      <c r="A74" s="100" t="s">
        <v>32</v>
      </c>
      <c r="B74" s="93" t="s">
        <v>39</v>
      </c>
      <c r="C74" s="93" t="s">
        <v>158</v>
      </c>
      <c r="D74" s="81"/>
      <c r="E74" s="152"/>
      <c r="F74" s="153">
        <v>2964570.5</v>
      </c>
      <c r="G74" s="153">
        <v>2970159.2973750001</v>
      </c>
      <c r="H74" s="60"/>
      <c r="I74" s="153">
        <v>2964570.5</v>
      </c>
      <c r="J74" s="153">
        <f t="shared" ref="J74:Q74" si="18">SUM(J71:J73)</f>
        <v>2970159.2973749996</v>
      </c>
      <c r="K74" s="153">
        <f t="shared" si="18"/>
        <v>2465036.0922499998</v>
      </c>
      <c r="L74" s="153">
        <f t="shared" si="18"/>
        <v>2022503.3871249997</v>
      </c>
      <c r="M74" s="153">
        <f t="shared" si="18"/>
        <v>1664945.5194999997</v>
      </c>
      <c r="N74" s="153">
        <f t="shared" si="18"/>
        <v>2399945.5194999995</v>
      </c>
      <c r="O74" s="153">
        <f t="shared" si="18"/>
        <v>3134945.5194999995</v>
      </c>
      <c r="P74" s="153">
        <f t="shared" si="18"/>
        <v>3869945.5194999995</v>
      </c>
      <c r="Q74" s="153">
        <f t="shared" si="18"/>
        <v>4604945.5194999995</v>
      </c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118"/>
      <c r="AH74" s="118"/>
      <c r="AI74" s="118"/>
      <c r="AJ74" s="118"/>
      <c r="AK74" s="118"/>
      <c r="AL74" s="118"/>
      <c r="AM74" s="118"/>
      <c r="AN74" s="60"/>
      <c r="AO74" s="118"/>
      <c r="AP74" s="118"/>
      <c r="AQ74" s="118"/>
      <c r="AR74" s="118"/>
      <c r="AS74" s="118"/>
      <c r="AT74" s="118"/>
      <c r="AU74" s="118"/>
      <c r="AV74" s="60"/>
      <c r="AW74" s="60"/>
      <c r="AX74" s="60"/>
      <c r="AY74" s="60"/>
      <c r="AZ74" s="60"/>
      <c r="BA74" s="60"/>
    </row>
    <row r="75" spans="1:53" ht="15" customHeight="1" thickTop="1">
      <c r="A75" s="151"/>
      <c r="B75" s="81"/>
      <c r="C75" s="81"/>
      <c r="D75" s="81"/>
      <c r="E75" s="110"/>
      <c r="F75" s="110"/>
      <c r="G75" s="110"/>
      <c r="H75" s="60"/>
      <c r="I75" s="110"/>
      <c r="J75" s="110"/>
      <c r="K75" s="110"/>
      <c r="L75" s="110"/>
      <c r="M75" s="110"/>
      <c r="N75" s="319"/>
      <c r="O75" s="319"/>
      <c r="P75" s="319"/>
      <c r="Q75" s="319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118"/>
      <c r="AH75" s="118"/>
      <c r="AI75" s="118"/>
      <c r="AJ75" s="118"/>
      <c r="AK75" s="118"/>
      <c r="AL75" s="118"/>
      <c r="AM75" s="118"/>
      <c r="AN75" s="60"/>
      <c r="AO75" s="118"/>
      <c r="AP75" s="118"/>
      <c r="AQ75" s="118"/>
      <c r="AR75" s="118"/>
      <c r="AS75" s="118"/>
      <c r="AT75" s="118"/>
      <c r="AU75" s="118"/>
      <c r="AV75" s="60"/>
      <c r="AW75" s="60"/>
      <c r="AX75" s="60"/>
      <c r="AY75" s="60"/>
      <c r="AZ75" s="60"/>
      <c r="BA75" s="60"/>
    </row>
    <row r="76" spans="1:53">
      <c r="A76" s="151"/>
      <c r="B76" s="81"/>
      <c r="C76" s="81"/>
      <c r="D76" s="81"/>
      <c r="E76" s="60"/>
      <c r="F76" s="110"/>
      <c r="G76" s="110"/>
      <c r="H76" s="60"/>
      <c r="I76" s="110"/>
      <c r="J76" s="110"/>
      <c r="K76" s="110"/>
      <c r="L76" s="110"/>
      <c r="M76" s="110"/>
      <c r="N76" s="319"/>
      <c r="O76" s="319"/>
      <c r="P76" s="319"/>
      <c r="Q76" s="319"/>
      <c r="R76" s="60"/>
      <c r="S76" s="84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118"/>
      <c r="AL76" s="118"/>
      <c r="AM76" s="118"/>
      <c r="AN76" s="118"/>
      <c r="AO76" s="118"/>
      <c r="AP76" s="118"/>
      <c r="AQ76" s="118"/>
      <c r="AR76" s="60"/>
      <c r="AS76" s="118"/>
      <c r="AT76" s="118"/>
      <c r="AU76" s="118"/>
      <c r="AV76" s="118"/>
      <c r="AW76" s="118"/>
      <c r="AX76" s="118"/>
      <c r="AY76" s="118"/>
      <c r="AZ76" s="60"/>
      <c r="BA76" s="60"/>
    </row>
    <row r="77" spans="1:53">
      <c r="A77" s="93" t="s">
        <v>159</v>
      </c>
      <c r="B77" s="81"/>
      <c r="C77" s="81"/>
      <c r="D77" s="81"/>
      <c r="E77" s="60"/>
      <c r="F77" s="110"/>
      <c r="G77" s="110"/>
      <c r="H77" s="60"/>
      <c r="I77" s="110"/>
      <c r="J77" s="110"/>
      <c r="K77" s="110"/>
      <c r="L77" s="110"/>
      <c r="M77" s="110"/>
      <c r="N77" s="319"/>
      <c r="O77" s="319"/>
      <c r="P77" s="319"/>
      <c r="Q77" s="319"/>
      <c r="R77" s="60"/>
      <c r="S77" s="84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118"/>
      <c r="AL77" s="118"/>
      <c r="AM77" s="118"/>
      <c r="AN77" s="118"/>
      <c r="AO77" s="118"/>
      <c r="AP77" s="118"/>
      <c r="AQ77" s="118"/>
      <c r="AR77" s="60"/>
      <c r="AS77" s="118"/>
      <c r="AT77" s="118"/>
      <c r="AU77" s="118"/>
      <c r="AV77" s="118"/>
      <c r="AW77" s="118"/>
      <c r="AX77" s="118"/>
      <c r="AY77" s="118"/>
      <c r="AZ77" s="60"/>
      <c r="BA77" s="60"/>
    </row>
    <row r="78" spans="1:53" s="11" customFormat="1" ht="14.65" customHeight="1">
      <c r="A78" s="118" t="str">
        <f>'.c12_oc_hr'!A30</f>
        <v>Grand Total</v>
      </c>
      <c r="B78" s="154"/>
      <c r="C78" s="154"/>
      <c r="D78" s="154"/>
      <c r="E78" s="118"/>
      <c r="F78" s="118">
        <v>514861.42857142858</v>
      </c>
      <c r="G78" s="118">
        <v>863260.57142857136</v>
      </c>
      <c r="H78" s="60"/>
      <c r="I78" s="118">
        <v>514861.42857142858</v>
      </c>
      <c r="J78" s="118">
        <f>'.c12_oc_hr'!J30</f>
        <v>863260.57142857136</v>
      </c>
      <c r="K78" s="118">
        <f>'.c12_oc_hr'!K30</f>
        <v>441380.57142857142</v>
      </c>
      <c r="L78" s="118">
        <f>'.c12_oc_hr'!L30</f>
        <v>441380.57142857142</v>
      </c>
      <c r="M78" s="118">
        <f>'.c12_oc_hr'!M30</f>
        <v>981660.57142857136</v>
      </c>
      <c r="N78" s="319">
        <f>'.c12_oc_hr'!N30</f>
        <v>981660.57142857136</v>
      </c>
      <c r="O78" s="319">
        <f>'.c12_oc_hr'!O30</f>
        <v>981660.57142857136</v>
      </c>
      <c r="P78" s="319">
        <f>'.c12_oc_hr'!P30</f>
        <v>981660.57142857136</v>
      </c>
      <c r="Q78" s="319">
        <f>'.c12_oc_hr'!Q30</f>
        <v>981660.57142857136</v>
      </c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</row>
    <row r="79" spans="1:53" s="11" customFormat="1" ht="14.65" customHeight="1">
      <c r="A79" s="118" t="str">
        <f>'.c12_oc_hr'!A31</f>
        <v>reimbersable to hotel</v>
      </c>
      <c r="B79" s="154"/>
      <c r="C79" s="154"/>
      <c r="D79" s="154"/>
      <c r="E79" s="118"/>
      <c r="F79" s="118">
        <v>0</v>
      </c>
      <c r="G79" s="118">
        <v>0</v>
      </c>
      <c r="H79" s="60"/>
      <c r="I79" s="118">
        <v>0</v>
      </c>
      <c r="J79" s="118">
        <f>'.c12_oc_hr'!J31</f>
        <v>0</v>
      </c>
      <c r="K79" s="118">
        <f>'.c12_oc_hr'!K31</f>
        <v>0</v>
      </c>
      <c r="L79" s="118">
        <f>'.c12_oc_hr'!L31</f>
        <v>0</v>
      </c>
      <c r="M79" s="118">
        <f>'.c12_oc_hr'!M31</f>
        <v>0</v>
      </c>
      <c r="N79" s="319">
        <f>'.c12_oc_hr'!N31</f>
        <v>0</v>
      </c>
      <c r="O79" s="319">
        <f>'.c12_oc_hr'!O31</f>
        <v>0</v>
      </c>
      <c r="P79" s="319">
        <f>'.c12_oc_hr'!P31</f>
        <v>0</v>
      </c>
      <c r="Q79" s="319">
        <f>'.c12_oc_hr'!Q31</f>
        <v>0</v>
      </c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</row>
    <row r="80" spans="1:53" s="11" customFormat="1">
      <c r="A80" s="118" t="str">
        <f>'.c12_oc_hr'!A32</f>
        <v>not reimbersable by hotel, but paid by lgh</v>
      </c>
      <c r="B80" s="154"/>
      <c r="C80" s="154"/>
      <c r="D80" s="154"/>
      <c r="E80" s="118"/>
      <c r="F80" s="118">
        <v>472542.85714285722</v>
      </c>
      <c r="G80" s="118">
        <v>805022.85714285716</v>
      </c>
      <c r="H80" s="60"/>
      <c r="I80" s="118">
        <v>472542.85714285722</v>
      </c>
      <c r="J80" s="118">
        <f>'.c12_oc_hr'!J32</f>
        <v>805022.85714285716</v>
      </c>
      <c r="K80" s="118">
        <f>'.c12_oc_hr'!K32</f>
        <v>383142.85714285716</v>
      </c>
      <c r="L80" s="118">
        <f>'.c12_oc_hr'!L32</f>
        <v>383142.85714285716</v>
      </c>
      <c r="M80" s="118">
        <f>'.c12_oc_hr'!M32</f>
        <v>902642.85714285704</v>
      </c>
      <c r="N80" s="319">
        <f>'.c12_oc_hr'!N32</f>
        <v>902642.85714285704</v>
      </c>
      <c r="O80" s="319">
        <f>'.c12_oc_hr'!O32</f>
        <v>902642.85714285704</v>
      </c>
      <c r="P80" s="319">
        <f>'.c12_oc_hr'!P32</f>
        <v>902642.85714285704</v>
      </c>
      <c r="Q80" s="319">
        <f>'.c12_oc_hr'!Q32</f>
        <v>902642.85714285704</v>
      </c>
      <c r="R80" s="60"/>
      <c r="S80" s="60"/>
      <c r="T80" s="60"/>
      <c r="U80" s="60"/>
      <c r="V80" s="60"/>
      <c r="W80" s="60"/>
      <c r="X80" s="60"/>
      <c r="Y80" s="104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</row>
    <row r="81" spans="1:53" s="11" customFormat="1">
      <c r="A81" s="118" t="str">
        <f>'.c12_oc_hr'!A33</f>
        <v>only paid by c12</v>
      </c>
      <c r="B81" s="154"/>
      <c r="C81" s="154"/>
      <c r="D81" s="154"/>
      <c r="E81" s="118"/>
      <c r="F81" s="118">
        <v>42318.571428571428</v>
      </c>
      <c r="G81" s="118">
        <v>58237.71428571429</v>
      </c>
      <c r="H81" s="60"/>
      <c r="I81" s="118">
        <v>42318.571428571428</v>
      </c>
      <c r="J81" s="118">
        <f>'.c12_oc_hr'!J33</f>
        <v>58237.71428571429</v>
      </c>
      <c r="K81" s="118">
        <f>'.c12_oc_hr'!K33</f>
        <v>58237.71428571429</v>
      </c>
      <c r="L81" s="118">
        <f>'.c12_oc_hr'!L33</f>
        <v>58237.71428571429</v>
      </c>
      <c r="M81" s="118">
        <f>'.c12_oc_hr'!M33</f>
        <v>79017.71428571429</v>
      </c>
      <c r="N81" s="319">
        <f>'.c12_oc_hr'!N33</f>
        <v>79017.71428571429</v>
      </c>
      <c r="O81" s="319">
        <f>'.c12_oc_hr'!O33</f>
        <v>79017.71428571429</v>
      </c>
      <c r="P81" s="319">
        <f>'.c12_oc_hr'!P33</f>
        <v>79017.71428571429</v>
      </c>
      <c r="Q81" s="319">
        <f>'.c12_oc_hr'!Q33</f>
        <v>79017.71428571429</v>
      </c>
      <c r="R81" s="60"/>
      <c r="S81" s="60"/>
      <c r="T81" s="60"/>
      <c r="U81" s="60"/>
      <c r="V81" s="60"/>
      <c r="W81" s="60"/>
      <c r="X81" s="60"/>
      <c r="Y81" s="104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</row>
    <row r="82" spans="1:53">
      <c r="A82" s="60"/>
      <c r="B82" s="81"/>
      <c r="C82" s="81"/>
      <c r="D82" s="81"/>
      <c r="E82" s="60"/>
      <c r="F82" s="60"/>
      <c r="G82" s="60"/>
      <c r="H82" s="60"/>
      <c r="I82" s="60"/>
      <c r="J82" s="60"/>
      <c r="K82" s="60"/>
      <c r="L82" s="60"/>
      <c r="M82" s="60"/>
      <c r="N82" s="321"/>
      <c r="O82" s="321"/>
      <c r="P82" s="321"/>
      <c r="Q82" s="321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</row>
    <row r="83" spans="1:53" s="11" customFormat="1">
      <c r="A83" s="155" t="s">
        <v>160</v>
      </c>
      <c r="B83" s="61"/>
      <c r="C83" s="61"/>
      <c r="D83" s="61"/>
      <c r="E83" s="62"/>
      <c r="F83" s="62"/>
      <c r="G83" s="62"/>
      <c r="H83" s="60"/>
      <c r="I83" s="62"/>
      <c r="J83" s="62"/>
      <c r="K83" s="62"/>
      <c r="L83" s="62"/>
      <c r="M83" s="62"/>
      <c r="N83" s="351"/>
      <c r="O83" s="351"/>
      <c r="P83" s="351"/>
      <c r="Q83" s="351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</row>
    <row r="84" spans="1:53" s="11" customFormat="1">
      <c r="A84" s="155" t="s">
        <v>161</v>
      </c>
      <c r="B84" s="61"/>
      <c r="C84" s="61"/>
      <c r="D84" s="61"/>
      <c r="E84" s="156">
        <v>1639651</v>
      </c>
      <c r="F84" s="118">
        <v>447597</v>
      </c>
      <c r="G84" s="118">
        <v>310715.78947368421</v>
      </c>
      <c r="H84" s="60"/>
      <c r="I84" s="118">
        <v>447597</v>
      </c>
      <c r="J84" s="118">
        <f>'c12_hm'!J60</f>
        <v>310715.78947368416</v>
      </c>
      <c r="K84" s="118">
        <f>'c12_hm'!K60</f>
        <v>902637.28947368416</v>
      </c>
      <c r="L84" s="118">
        <f>'c12_hm'!L60</f>
        <v>948110.97368421056</v>
      </c>
      <c r="M84" s="118">
        <f>'c12_hm'!M60</f>
        <v>2385063.6052631577</v>
      </c>
      <c r="N84" s="319">
        <f>'c12_hm'!N60</f>
        <v>1223469.697763158</v>
      </c>
      <c r="O84" s="319">
        <f>'c12_hm'!O60</f>
        <v>1223469.697763158</v>
      </c>
      <c r="P84" s="319">
        <f>'c12_hm'!P60</f>
        <v>1223469.697763158</v>
      </c>
      <c r="Q84" s="319">
        <f>'c12_hm'!Q60</f>
        <v>1223469.697763158</v>
      </c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</row>
    <row r="85" spans="1:53" s="11" customFormat="1">
      <c r="A85" s="155" t="s">
        <v>162</v>
      </c>
      <c r="B85" s="61"/>
      <c r="C85" s="61"/>
      <c r="D85" s="61"/>
      <c r="E85" s="156">
        <v>1480300</v>
      </c>
      <c r="F85" s="118">
        <v>911235.5</v>
      </c>
      <c r="G85" s="118">
        <v>1735259.1270175439</v>
      </c>
      <c r="H85" s="60"/>
      <c r="I85" s="118">
        <v>911235.5</v>
      </c>
      <c r="J85" s="118">
        <f>'c12_d&amp;s'!J60</f>
        <v>1829009.1270175439</v>
      </c>
      <c r="K85" s="118">
        <f>'c12_d&amp;s'!K60</f>
        <v>2567569.8070175434</v>
      </c>
      <c r="L85" s="118">
        <f>'c12_d&amp;s'!L60</f>
        <v>2299388.8070175434</v>
      </c>
      <c r="M85" s="118">
        <f>'c12_d&amp;s'!M60</f>
        <v>5922380.333333333</v>
      </c>
      <c r="N85" s="319">
        <f>'c12_d&amp;s'!N60</f>
        <v>4550380.333333333</v>
      </c>
      <c r="O85" s="319">
        <f>'c12_d&amp;s'!O60</f>
        <v>4550380.333333333</v>
      </c>
      <c r="P85" s="319">
        <f>'c12_d&amp;s'!P60</f>
        <v>4550380.333333333</v>
      </c>
      <c r="Q85" s="319">
        <f>'c12_d&amp;s'!Q60</f>
        <v>4550380.333333333</v>
      </c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</row>
    <row r="86" spans="1:53" s="11" customFormat="1" ht="15" customHeight="1" thickBot="1">
      <c r="A86" s="155" t="s">
        <v>163</v>
      </c>
      <c r="B86" s="61"/>
      <c r="C86" s="61"/>
      <c r="D86" s="61"/>
      <c r="E86" s="118"/>
      <c r="F86" s="118">
        <v>0</v>
      </c>
      <c r="G86" s="118">
        <v>154294.73684210531</v>
      </c>
      <c r="H86" s="60"/>
      <c r="I86" s="118">
        <v>0</v>
      </c>
      <c r="J86" s="118">
        <f>'c12_bi&amp;F'!J60</f>
        <v>154294.73684210525</v>
      </c>
      <c r="K86" s="118">
        <f>'c12_bi&amp;F'!K60</f>
        <v>154294.73684210522</v>
      </c>
      <c r="L86" s="118">
        <f>'c12_bi&amp;F'!L60</f>
        <v>267978.94736842101</v>
      </c>
      <c r="M86" s="118">
        <f>'c12_bi&amp;F'!M60</f>
        <v>360942.10526315786</v>
      </c>
      <c r="N86" s="319">
        <f>'c12_bi&amp;F'!N60</f>
        <v>360942.10526315786</v>
      </c>
      <c r="O86" s="319">
        <f>'c12_bi&amp;F'!O60</f>
        <v>360942.10526315786</v>
      </c>
      <c r="P86" s="319">
        <f>'c12_bi&amp;F'!P60</f>
        <v>360942.10526315786</v>
      </c>
      <c r="Q86" s="319">
        <f>'c12_bi&amp;F'!Q60</f>
        <v>360942.10526315786</v>
      </c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</row>
    <row r="87" spans="1:53" s="11" customFormat="1" ht="15.5" customHeight="1" thickTop="1" thickBot="1">
      <c r="A87" s="155" t="s">
        <v>164</v>
      </c>
      <c r="B87" s="157" t="s">
        <v>39</v>
      </c>
      <c r="C87" s="157" t="s">
        <v>165</v>
      </c>
      <c r="D87" s="61"/>
      <c r="E87" s="158"/>
      <c r="F87" s="159">
        <v>1358832.5</v>
      </c>
      <c r="G87" s="159">
        <v>2200269.6533333329</v>
      </c>
      <c r="H87" s="60"/>
      <c r="I87" s="159">
        <v>1358832.5</v>
      </c>
      <c r="J87" s="159">
        <f t="shared" ref="J87:Q87" si="19">SUM(J84:J86)</f>
        <v>2294019.6533333333</v>
      </c>
      <c r="K87" s="159">
        <f t="shared" si="19"/>
        <v>3624501.8333333326</v>
      </c>
      <c r="L87" s="159">
        <f t="shared" si="19"/>
        <v>3515478.7280701748</v>
      </c>
      <c r="M87" s="159">
        <f t="shared" si="19"/>
        <v>8668386.0438596494</v>
      </c>
      <c r="N87" s="159">
        <f t="shared" si="19"/>
        <v>6134792.1363596488</v>
      </c>
      <c r="O87" s="159">
        <f t="shared" si="19"/>
        <v>6134792.1363596488</v>
      </c>
      <c r="P87" s="159">
        <f t="shared" si="19"/>
        <v>6134792.1363596488</v>
      </c>
      <c r="Q87" s="159">
        <f t="shared" si="19"/>
        <v>6134792.1363596488</v>
      </c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</row>
    <row r="88" spans="1:53" ht="15" customHeight="1" thickTop="1">
      <c r="A88" s="60"/>
      <c r="B88" s="81"/>
      <c r="C88" s="81"/>
      <c r="D88" s="81"/>
      <c r="E88" s="60"/>
      <c r="F88" s="60"/>
      <c r="G88" s="60"/>
      <c r="H88" s="60"/>
      <c r="I88" s="60"/>
      <c r="J88" s="60"/>
      <c r="K88" s="60"/>
      <c r="L88" s="60"/>
      <c r="M88" s="60"/>
      <c r="N88" s="321"/>
      <c r="O88" s="321"/>
      <c r="P88" s="321"/>
      <c r="Q88" s="321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</row>
    <row r="89" spans="1:53">
      <c r="A89" s="60"/>
      <c r="B89" s="81"/>
      <c r="C89" s="81"/>
      <c r="D89" s="81"/>
      <c r="E89" s="60"/>
      <c r="F89" s="60"/>
      <c r="G89" s="60"/>
      <c r="H89" s="60"/>
      <c r="I89" s="60"/>
      <c r="J89" s="60"/>
      <c r="K89" s="60"/>
      <c r="L89" s="60"/>
      <c r="M89" s="60"/>
      <c r="N89" s="321"/>
      <c r="O89" s="321"/>
      <c r="P89" s="321"/>
      <c r="Q89" s="321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</row>
    <row r="90" spans="1:53">
      <c r="A90" s="60"/>
      <c r="B90" s="81"/>
      <c r="C90" s="81"/>
      <c r="D90" s="81"/>
      <c r="E90" s="60"/>
      <c r="F90" s="60"/>
      <c r="G90" s="60"/>
      <c r="H90" s="60"/>
      <c r="I90" s="60"/>
      <c r="J90" s="60"/>
      <c r="K90" s="60"/>
      <c r="L90" s="60"/>
      <c r="M90" s="60"/>
      <c r="N90" s="321"/>
      <c r="O90" s="321"/>
      <c r="P90" s="321"/>
      <c r="Q90" s="321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</row>
    <row r="91" spans="1:53">
      <c r="A91" s="60"/>
      <c r="B91" s="81"/>
      <c r="C91" s="81"/>
      <c r="D91" s="81"/>
      <c r="E91" s="60"/>
      <c r="F91" s="60"/>
      <c r="G91" s="60"/>
      <c r="H91" s="60"/>
      <c r="I91" s="60"/>
      <c r="J91" s="60"/>
      <c r="K91" s="60"/>
      <c r="L91" s="60"/>
      <c r="M91" s="60"/>
      <c r="N91" s="321"/>
      <c r="O91" s="321"/>
      <c r="P91" s="321"/>
      <c r="Q91" s="321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</row>
    <row r="92" spans="1:53">
      <c r="A92" s="60"/>
      <c r="B92" s="81"/>
      <c r="C92" s="81"/>
      <c r="D92" s="81"/>
      <c r="E92" s="60"/>
      <c r="F92" s="60"/>
      <c r="G92" s="60"/>
      <c r="H92" s="60"/>
      <c r="I92" s="60"/>
      <c r="J92" s="60"/>
      <c r="K92" s="60"/>
      <c r="L92" s="60"/>
      <c r="M92" s="60"/>
      <c r="N92" s="321"/>
      <c r="O92" s="321"/>
      <c r="P92" s="321"/>
      <c r="Q92" s="321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</row>
    <row r="93" spans="1:53">
      <c r="A93" s="60"/>
      <c r="B93" s="81"/>
      <c r="C93" s="81"/>
      <c r="D93" s="81"/>
      <c r="E93" s="60"/>
      <c r="F93" s="60"/>
      <c r="G93" s="60"/>
      <c r="H93" s="60"/>
      <c r="I93" s="60"/>
      <c r="J93" s="60"/>
      <c r="K93" s="60"/>
      <c r="L93" s="60"/>
      <c r="M93" s="60"/>
      <c r="N93" s="321"/>
      <c r="O93" s="321"/>
      <c r="P93" s="321"/>
      <c r="Q93" s="321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</row>
    <row r="94" spans="1:53">
      <c r="A94" s="60"/>
      <c r="B94" s="81"/>
      <c r="C94" s="81"/>
      <c r="D94" s="81"/>
      <c r="E94" s="60"/>
      <c r="F94" s="60"/>
      <c r="G94" s="60"/>
      <c r="H94" s="60"/>
      <c r="I94" s="60"/>
      <c r="J94" s="60"/>
      <c r="K94" s="60"/>
      <c r="L94" s="60"/>
      <c r="M94" s="60"/>
      <c r="N94" s="321"/>
      <c r="O94" s="321"/>
      <c r="P94" s="321"/>
      <c r="Q94" s="321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</row>
    <row r="95" spans="1:53">
      <c r="A95" s="60"/>
      <c r="B95" s="81"/>
      <c r="C95" s="81"/>
      <c r="D95" s="81"/>
      <c r="E95" s="60"/>
      <c r="F95" s="60"/>
      <c r="G95" s="60"/>
      <c r="H95" s="60"/>
      <c r="I95" s="60"/>
      <c r="J95" s="60"/>
      <c r="K95" s="60"/>
      <c r="L95" s="60"/>
      <c r="M95" s="60"/>
      <c r="N95" s="321"/>
      <c r="O95" s="321"/>
      <c r="P95" s="321"/>
      <c r="Q95" s="321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</row>
    <row r="96" spans="1:53">
      <c r="A96" s="60"/>
      <c r="B96" s="81"/>
      <c r="C96" s="81"/>
      <c r="D96" s="81"/>
      <c r="E96" s="60"/>
      <c r="F96" s="60"/>
      <c r="G96" s="60"/>
      <c r="H96" s="60"/>
      <c r="I96" s="60"/>
      <c r="J96" s="60"/>
      <c r="K96" s="60"/>
      <c r="L96" s="60"/>
      <c r="M96" s="60"/>
      <c r="N96" s="321"/>
      <c r="O96" s="321"/>
      <c r="P96" s="321"/>
      <c r="Q96" s="321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</row>
    <row r="97" spans="1:53">
      <c r="A97" s="60"/>
      <c r="B97" s="81"/>
      <c r="C97" s="81"/>
      <c r="D97" s="81"/>
      <c r="E97" s="60"/>
      <c r="F97" s="60"/>
      <c r="G97" s="60"/>
      <c r="H97" s="60"/>
      <c r="I97" s="60"/>
      <c r="J97" s="60"/>
      <c r="K97" s="60"/>
      <c r="L97" s="60"/>
      <c r="M97" s="60"/>
      <c r="N97" s="321"/>
      <c r="O97" s="321"/>
      <c r="P97" s="321"/>
      <c r="Q97" s="321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</row>
    <row r="98" spans="1:53">
      <c r="A98" s="60"/>
      <c r="B98" s="81"/>
      <c r="C98" s="81"/>
      <c r="D98" s="81"/>
      <c r="E98" s="60"/>
      <c r="F98" s="60"/>
      <c r="G98" s="60"/>
      <c r="H98" s="60"/>
      <c r="I98" s="60"/>
      <c r="J98" s="60"/>
      <c r="K98" s="60"/>
      <c r="L98" s="60"/>
      <c r="M98" s="60"/>
      <c r="N98" s="321"/>
      <c r="O98" s="321"/>
      <c r="P98" s="321"/>
      <c r="Q98" s="321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</row>
    <row r="99" spans="1:53">
      <c r="A99" s="60"/>
      <c r="B99" s="81"/>
      <c r="C99" s="81"/>
      <c r="D99" s="81"/>
      <c r="E99" s="60"/>
      <c r="F99" s="60"/>
      <c r="G99" s="60"/>
      <c r="H99" s="60"/>
      <c r="I99" s="60"/>
      <c r="J99" s="60"/>
      <c r="K99" s="60"/>
      <c r="L99" s="60"/>
      <c r="M99" s="60"/>
      <c r="N99" s="321"/>
      <c r="O99" s="321"/>
      <c r="P99" s="321"/>
      <c r="Q99" s="321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</row>
    <row r="100" spans="1:53">
      <c r="A100" s="60"/>
      <c r="B100" s="81"/>
      <c r="C100" s="81"/>
      <c r="D100" s="81"/>
      <c r="E100" s="60"/>
      <c r="F100" s="60"/>
      <c r="G100" s="60"/>
      <c r="H100" s="60"/>
      <c r="I100" s="60"/>
      <c r="J100" s="60"/>
      <c r="K100" s="60"/>
      <c r="L100" s="60"/>
      <c r="M100" s="60"/>
      <c r="N100" s="321"/>
      <c r="O100" s="321"/>
      <c r="P100" s="321"/>
      <c r="Q100" s="321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</row>
    <row r="101" spans="1:53">
      <c r="A101" s="60"/>
      <c r="B101" s="81"/>
      <c r="C101" s="81"/>
      <c r="D101" s="81"/>
      <c r="E101" s="60"/>
      <c r="F101" s="60"/>
      <c r="G101" s="60"/>
      <c r="H101" s="60"/>
      <c r="I101" s="60"/>
      <c r="J101" s="60"/>
      <c r="K101" s="60"/>
      <c r="L101" s="60"/>
      <c r="M101" s="60"/>
      <c r="N101" s="321"/>
      <c r="O101" s="321"/>
      <c r="P101" s="321"/>
      <c r="Q101" s="321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</row>
    <row r="102" spans="1:53">
      <c r="A102" s="60"/>
      <c r="B102" s="81"/>
      <c r="C102" s="81"/>
      <c r="D102" s="81"/>
      <c r="E102" s="60"/>
      <c r="F102" s="60"/>
      <c r="G102" s="60"/>
      <c r="H102" s="60"/>
      <c r="I102" s="60"/>
      <c r="J102" s="60"/>
      <c r="K102" s="60"/>
      <c r="L102" s="60"/>
      <c r="M102" s="60"/>
      <c r="N102" s="321"/>
      <c r="O102" s="321"/>
      <c r="P102" s="321"/>
      <c r="Q102" s="321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</row>
    <row r="103" spans="1:53">
      <c r="A103" s="60"/>
      <c r="B103" s="81"/>
      <c r="C103" s="81"/>
      <c r="D103" s="81"/>
      <c r="E103" s="60"/>
      <c r="F103" s="60"/>
      <c r="G103" s="60"/>
      <c r="H103" s="60"/>
      <c r="I103" s="60"/>
      <c r="J103" s="60"/>
      <c r="K103" s="60"/>
      <c r="L103" s="60"/>
      <c r="M103" s="60"/>
      <c r="N103" s="321"/>
      <c r="O103" s="321"/>
      <c r="P103" s="321"/>
      <c r="Q103" s="321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</row>
    <row r="104" spans="1:53">
      <c r="A104" s="60"/>
      <c r="B104" s="81"/>
      <c r="C104" s="81"/>
      <c r="D104" s="81"/>
      <c r="E104" s="60"/>
      <c r="F104" s="60"/>
      <c r="G104" s="60"/>
      <c r="H104" s="60"/>
      <c r="I104" s="60"/>
      <c r="J104" s="60"/>
      <c r="K104" s="60"/>
      <c r="L104" s="60"/>
      <c r="M104" s="60"/>
      <c r="N104" s="321"/>
      <c r="O104" s="321"/>
      <c r="P104" s="321"/>
      <c r="Q104" s="321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</row>
    <row r="105" spans="1:53">
      <c r="A105" s="60"/>
      <c r="B105" s="81"/>
      <c r="C105" s="81"/>
      <c r="D105" s="81"/>
      <c r="E105" s="60"/>
      <c r="F105" s="60"/>
      <c r="G105" s="60"/>
      <c r="H105" s="60"/>
      <c r="I105" s="60"/>
      <c r="J105" s="60"/>
      <c r="K105" s="60"/>
      <c r="L105" s="60"/>
      <c r="M105" s="60"/>
      <c r="N105" s="321"/>
      <c r="O105" s="321"/>
      <c r="P105" s="321"/>
      <c r="Q105" s="321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</row>
    <row r="106" spans="1:53">
      <c r="A106" s="60"/>
      <c r="B106" s="81"/>
      <c r="C106" s="81"/>
      <c r="D106" s="81"/>
      <c r="E106" s="60"/>
      <c r="F106" s="60"/>
      <c r="G106" s="60"/>
      <c r="H106" s="60"/>
      <c r="I106" s="60"/>
      <c r="J106" s="60"/>
      <c r="K106" s="60"/>
      <c r="L106" s="60"/>
      <c r="M106" s="60"/>
      <c r="N106" s="321"/>
      <c r="O106" s="321"/>
      <c r="P106" s="321"/>
      <c r="Q106" s="321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</row>
    <row r="107" spans="1:53">
      <c r="A107" s="60"/>
      <c r="B107" s="81"/>
      <c r="C107" s="81"/>
      <c r="D107" s="81"/>
      <c r="E107" s="60"/>
      <c r="F107" s="60"/>
      <c r="G107" s="60"/>
      <c r="H107" s="60"/>
      <c r="I107" s="60"/>
      <c r="J107" s="60"/>
      <c r="K107" s="60"/>
      <c r="L107" s="60"/>
      <c r="M107" s="60"/>
      <c r="N107" s="321"/>
      <c r="O107" s="321"/>
      <c r="P107" s="321"/>
      <c r="Q107" s="321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</row>
    <row r="108" spans="1:53">
      <c r="A108" s="60"/>
      <c r="B108" s="81"/>
      <c r="C108" s="81"/>
      <c r="D108" s="81"/>
      <c r="E108" s="60"/>
      <c r="F108" s="60"/>
      <c r="G108" s="60"/>
      <c r="H108" s="60"/>
      <c r="I108" s="60"/>
      <c r="J108" s="60"/>
      <c r="K108" s="60"/>
      <c r="L108" s="60"/>
      <c r="M108" s="60"/>
      <c r="N108" s="321"/>
      <c r="O108" s="321"/>
      <c r="P108" s="321"/>
      <c r="Q108" s="321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</row>
    <row r="109" spans="1:53">
      <c r="A109" s="60"/>
      <c r="B109" s="81"/>
      <c r="C109" s="81"/>
      <c r="D109" s="81"/>
      <c r="E109" s="60"/>
      <c r="F109" s="60"/>
      <c r="G109" s="60"/>
      <c r="H109" s="60"/>
      <c r="I109" s="60"/>
      <c r="J109" s="60"/>
      <c r="K109" s="60"/>
      <c r="L109" s="60"/>
      <c r="M109" s="60"/>
      <c r="N109" s="321"/>
      <c r="O109" s="321"/>
      <c r="P109" s="321"/>
      <c r="Q109" s="321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</row>
    <row r="110" spans="1:53">
      <c r="A110" s="60"/>
      <c r="B110" s="81"/>
      <c r="C110" s="81"/>
      <c r="D110" s="81"/>
      <c r="E110" s="60"/>
      <c r="F110" s="60"/>
      <c r="G110" s="60"/>
      <c r="H110" s="60"/>
      <c r="I110" s="60"/>
      <c r="J110" s="60"/>
      <c r="K110" s="60"/>
      <c r="L110" s="60"/>
      <c r="M110" s="60"/>
      <c r="N110" s="321"/>
      <c r="O110" s="321"/>
      <c r="P110" s="321"/>
      <c r="Q110" s="321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</row>
    <row r="111" spans="1:53">
      <c r="A111" s="60"/>
      <c r="B111" s="81"/>
      <c r="C111" s="81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321"/>
      <c r="O111" s="321"/>
      <c r="P111" s="321"/>
      <c r="Q111" s="321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</row>
    <row r="112" spans="1:53">
      <c r="A112" s="60"/>
      <c r="B112" s="81"/>
      <c r="C112" s="81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321"/>
      <c r="O112" s="321"/>
      <c r="P112" s="321"/>
      <c r="Q112" s="321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</row>
    <row r="113" spans="1:53">
      <c r="A113" s="60"/>
      <c r="B113" s="81"/>
      <c r="C113" s="81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321"/>
      <c r="O113" s="321"/>
      <c r="P113" s="321"/>
      <c r="Q113" s="321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</row>
    <row r="114" spans="1:53">
      <c r="A114" s="60"/>
      <c r="B114" s="81"/>
      <c r="C114" s="81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321"/>
      <c r="O114" s="321"/>
      <c r="P114" s="321"/>
      <c r="Q114" s="321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</row>
    <row r="115" spans="1:53">
      <c r="A115" s="60"/>
      <c r="B115" s="81"/>
      <c r="C115" s="81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321"/>
      <c r="O115" s="321"/>
      <c r="P115" s="321"/>
      <c r="Q115" s="321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</row>
    <row r="116" spans="1:53">
      <c r="A116" s="60"/>
      <c r="B116" s="81"/>
      <c r="C116" s="81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321"/>
      <c r="O116" s="321"/>
      <c r="P116" s="321"/>
      <c r="Q116" s="321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</row>
    <row r="117" spans="1:53">
      <c r="A117" s="60"/>
      <c r="B117" s="81"/>
      <c r="C117" s="81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321"/>
      <c r="O117" s="321"/>
      <c r="P117" s="321"/>
      <c r="Q117" s="321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</row>
    <row r="118" spans="1:53">
      <c r="A118" s="60"/>
      <c r="B118" s="81"/>
      <c r="C118" s="81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321"/>
      <c r="O118" s="321"/>
      <c r="P118" s="321"/>
      <c r="Q118" s="321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</row>
    <row r="119" spans="1:53">
      <c r="A119" s="60"/>
      <c r="B119" s="81"/>
      <c r="C119" s="81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321"/>
      <c r="O119" s="321"/>
      <c r="P119" s="321"/>
      <c r="Q119" s="321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</row>
    <row r="120" spans="1:53">
      <c r="A120" s="60"/>
      <c r="B120" s="81"/>
      <c r="C120" s="81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321"/>
      <c r="O120" s="321"/>
      <c r="P120" s="321"/>
      <c r="Q120" s="321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</row>
    <row r="121" spans="1:53">
      <c r="A121" s="60"/>
      <c r="B121" s="81"/>
      <c r="C121" s="81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321"/>
      <c r="O121" s="321"/>
      <c r="P121" s="321"/>
      <c r="Q121" s="321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</row>
    <row r="122" spans="1:53">
      <c r="A122" s="60"/>
      <c r="B122" s="81"/>
      <c r="C122" s="81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321"/>
      <c r="O122" s="321"/>
      <c r="P122" s="321"/>
      <c r="Q122" s="321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</row>
    <row r="123" spans="1:53">
      <c r="A123" s="60"/>
      <c r="B123" s="81"/>
      <c r="C123" s="81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321"/>
      <c r="O123" s="321"/>
      <c r="P123" s="321"/>
      <c r="Q123" s="321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</row>
    <row r="124" spans="1:53">
      <c r="A124" s="60"/>
      <c r="B124" s="81"/>
      <c r="C124" s="81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321"/>
      <c r="O124" s="321"/>
      <c r="P124" s="321"/>
      <c r="Q124" s="321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</row>
    <row r="125" spans="1:53">
      <c r="A125" s="60"/>
      <c r="B125" s="81"/>
      <c r="C125" s="81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321"/>
      <c r="O125" s="321"/>
      <c r="P125" s="321"/>
      <c r="Q125" s="321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</row>
    <row r="126" spans="1:53">
      <c r="A126" s="60"/>
      <c r="B126" s="81"/>
      <c r="C126" s="81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321"/>
      <c r="O126" s="321"/>
      <c r="P126" s="321"/>
      <c r="Q126" s="321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</row>
    <row r="127" spans="1:53">
      <c r="A127" s="60"/>
      <c r="B127" s="81"/>
      <c r="C127" s="81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321"/>
      <c r="O127" s="321"/>
      <c r="P127" s="321"/>
      <c r="Q127" s="321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</row>
    <row r="128" spans="1:53">
      <c r="A128" s="60"/>
      <c r="B128" s="81"/>
      <c r="C128" s="81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321"/>
      <c r="O128" s="321"/>
      <c r="P128" s="321"/>
      <c r="Q128" s="321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</row>
    <row r="129" spans="1:53">
      <c r="A129" s="60"/>
      <c r="B129" s="81"/>
      <c r="C129" s="81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321"/>
      <c r="O129" s="321"/>
      <c r="P129" s="321"/>
      <c r="Q129" s="321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</row>
    <row r="130" spans="1:53">
      <c r="A130" s="60"/>
      <c r="B130" s="81"/>
      <c r="C130" s="81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321"/>
      <c r="O130" s="321"/>
      <c r="P130" s="321"/>
      <c r="Q130" s="321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</row>
    <row r="131" spans="1:53">
      <c r="A131" s="60"/>
      <c r="B131" s="81"/>
      <c r="C131" s="81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321"/>
      <c r="O131" s="321"/>
      <c r="P131" s="321"/>
      <c r="Q131" s="321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</row>
    <row r="132" spans="1:53">
      <c r="A132" s="60"/>
      <c r="B132" s="81"/>
      <c r="C132" s="81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321"/>
      <c r="O132" s="321"/>
      <c r="P132" s="321"/>
      <c r="Q132" s="321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</row>
    <row r="133" spans="1:53">
      <c r="A133" s="60"/>
      <c r="B133" s="81"/>
      <c r="C133" s="81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321"/>
      <c r="O133" s="321"/>
      <c r="P133" s="321"/>
      <c r="Q133" s="321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</row>
    <row r="134" spans="1:53">
      <c r="A134" s="60"/>
      <c r="B134" s="81"/>
      <c r="C134" s="81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321"/>
      <c r="O134" s="321"/>
      <c r="P134" s="321"/>
      <c r="Q134" s="321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</row>
    <row r="135" spans="1:53">
      <c r="A135" s="60"/>
      <c r="B135" s="81"/>
      <c r="C135" s="81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321"/>
      <c r="O135" s="321"/>
      <c r="P135" s="321"/>
      <c r="Q135" s="321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</row>
    <row r="136" spans="1:53">
      <c r="A136" s="60"/>
      <c r="B136" s="81"/>
      <c r="C136" s="81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321"/>
      <c r="O136" s="321"/>
      <c r="P136" s="321"/>
      <c r="Q136" s="321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</row>
    <row r="137" spans="1:53">
      <c r="A137" s="60"/>
      <c r="B137" s="81"/>
      <c r="C137" s="81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321"/>
      <c r="O137" s="321"/>
      <c r="P137" s="321"/>
      <c r="Q137" s="321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</row>
    <row r="138" spans="1:53">
      <c r="A138" s="60"/>
      <c r="B138" s="81"/>
      <c r="C138" s="81"/>
      <c r="D138" s="81"/>
      <c r="E138" s="60"/>
      <c r="F138" s="60"/>
      <c r="G138" s="60"/>
      <c r="H138" s="60"/>
      <c r="I138" s="60"/>
      <c r="J138" s="60"/>
      <c r="K138" s="60"/>
      <c r="L138" s="60"/>
      <c r="M138" s="60"/>
      <c r="N138" s="321"/>
      <c r="O138" s="321"/>
      <c r="P138" s="321"/>
      <c r="Q138" s="321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</row>
    <row r="139" spans="1:53">
      <c r="A139" s="60"/>
      <c r="B139" s="81"/>
      <c r="C139" s="81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321"/>
      <c r="O139" s="321"/>
      <c r="P139" s="321"/>
      <c r="Q139" s="321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</row>
    <row r="140" spans="1:53">
      <c r="A140" s="60"/>
      <c r="B140" s="81"/>
      <c r="C140" s="81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321"/>
      <c r="O140" s="321"/>
      <c r="P140" s="321"/>
      <c r="Q140" s="321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</row>
    <row r="141" spans="1:53">
      <c r="A141" s="60"/>
      <c r="B141" s="81"/>
      <c r="C141" s="81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321"/>
      <c r="O141" s="321"/>
      <c r="P141" s="321"/>
      <c r="Q141" s="321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</row>
    <row r="142" spans="1:53">
      <c r="A142" s="60"/>
      <c r="B142" s="81"/>
      <c r="C142" s="81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321"/>
      <c r="O142" s="321"/>
      <c r="P142" s="321"/>
      <c r="Q142" s="321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</row>
    <row r="143" spans="1:53">
      <c r="A143" s="60"/>
      <c r="B143" s="81"/>
      <c r="C143" s="81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321"/>
      <c r="O143" s="321"/>
      <c r="P143" s="321"/>
      <c r="Q143" s="321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</row>
    <row r="144" spans="1:53">
      <c r="A144" s="60"/>
      <c r="B144" s="81"/>
      <c r="C144" s="81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321"/>
      <c r="O144" s="321"/>
      <c r="P144" s="321"/>
      <c r="Q144" s="321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</row>
    <row r="145" spans="1:53" ht="14.65" customHeight="1">
      <c r="A145" s="60"/>
      <c r="B145" s="81"/>
      <c r="C145" s="81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321"/>
      <c r="O145" s="321"/>
      <c r="P145" s="321"/>
      <c r="Q145" s="321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</row>
    <row r="146" spans="1:53" ht="14.65" customHeight="1">
      <c r="A146" s="60"/>
      <c r="B146" s="81"/>
      <c r="C146" s="81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321"/>
      <c r="O146" s="321"/>
      <c r="P146" s="321"/>
      <c r="Q146" s="321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</row>
    <row r="147" spans="1:53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321"/>
      <c r="O147" s="321"/>
      <c r="P147" s="321"/>
      <c r="Q147" s="321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</row>
    <row r="148" spans="1:53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321"/>
      <c r="O148" s="321"/>
      <c r="P148" s="321"/>
      <c r="Q148" s="321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084"/>
  </sheetPr>
  <dimension ref="A1:BE149"/>
  <sheetViews>
    <sheetView topLeftCell="B1" workbookViewId="0">
      <selection activeCell="A3" sqref="A3:XFD3"/>
    </sheetView>
  </sheetViews>
  <sheetFormatPr defaultColWidth="12.54296875" defaultRowHeight="14.5"/>
  <cols>
    <col min="1" max="1" width="26" customWidth="1"/>
    <col min="2" max="2" width="4.453125" style="54" customWidth="1"/>
    <col min="3" max="3" width="19.90625" style="49" customWidth="1"/>
    <col min="4" max="4" width="24.90625" style="49" customWidth="1"/>
    <col min="5" max="5" width="13.26953125" bestFit="1" customWidth="1"/>
    <col min="8" max="8" width="10.7265625" style="206" customWidth="1"/>
  </cols>
  <sheetData>
    <row r="1" spans="1:57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321"/>
      <c r="O1" s="321"/>
      <c r="P1" s="321"/>
      <c r="Q1" s="321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</row>
    <row r="2" spans="1:57" s="216" customFormat="1">
      <c r="A2" s="287" t="s">
        <v>0</v>
      </c>
      <c r="B2" s="287"/>
      <c r="C2" s="287"/>
      <c r="D2" s="287"/>
      <c r="E2" s="214">
        <v>45657</v>
      </c>
      <c r="F2" s="214">
        <v>46022</v>
      </c>
      <c r="G2" s="214">
        <v>46112</v>
      </c>
      <c r="H2" s="214">
        <v>46203</v>
      </c>
      <c r="I2" s="214">
        <v>46022</v>
      </c>
      <c r="J2" s="214">
        <v>46112</v>
      </c>
      <c r="K2" s="214">
        <v>46203</v>
      </c>
      <c r="L2" s="214">
        <v>46295</v>
      </c>
      <c r="M2" s="214">
        <v>46387</v>
      </c>
      <c r="N2" s="316">
        <v>46477</v>
      </c>
      <c r="O2" s="316">
        <v>46568</v>
      </c>
      <c r="P2" s="316">
        <v>46660</v>
      </c>
      <c r="Q2" s="317">
        <v>46752</v>
      </c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</row>
    <row r="3" spans="1:57" s="219" customFormat="1">
      <c r="A3" s="68"/>
      <c r="B3" s="217"/>
      <c r="C3" s="217"/>
      <c r="D3" s="217"/>
      <c r="E3" s="218" t="s">
        <v>1</v>
      </c>
      <c r="F3" s="68"/>
      <c r="G3" s="68"/>
      <c r="H3" s="218"/>
      <c r="I3" s="218" t="s">
        <v>2</v>
      </c>
      <c r="J3" s="68"/>
      <c r="K3" s="68"/>
      <c r="L3" s="68"/>
      <c r="M3" s="68"/>
      <c r="N3" s="318"/>
      <c r="O3" s="318"/>
      <c r="P3" s="318"/>
      <c r="Q3" s="318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</row>
    <row r="4" spans="1:57" ht="18.5" customHeight="1">
      <c r="A4" s="60"/>
      <c r="B4" s="71" t="s">
        <v>2</v>
      </c>
      <c r="C4" s="71" t="s">
        <v>3</v>
      </c>
      <c r="D4" s="71" t="s">
        <v>4</v>
      </c>
      <c r="E4" s="60"/>
      <c r="F4" s="60"/>
      <c r="G4" s="60"/>
      <c r="H4" s="60"/>
      <c r="I4" s="60"/>
      <c r="J4" s="60"/>
      <c r="K4" s="60"/>
      <c r="L4" s="60"/>
      <c r="M4" s="60"/>
      <c r="N4" s="321"/>
      <c r="O4" s="321"/>
      <c r="P4" s="321"/>
      <c r="Q4" s="321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</row>
    <row r="5" spans="1:57" s="55" customFormat="1">
      <c r="A5" s="134" t="s">
        <v>139</v>
      </c>
      <c r="B5" s="134" t="s">
        <v>7</v>
      </c>
      <c r="C5" s="210" t="s">
        <v>166</v>
      </c>
      <c r="D5" s="288" t="s">
        <v>167</v>
      </c>
      <c r="E5" s="60"/>
      <c r="F5" s="135">
        <v>-1925381.9975000001</v>
      </c>
      <c r="G5" s="135">
        <v>-1925381.9975000001</v>
      </c>
      <c r="H5" s="126"/>
      <c r="I5" s="135">
        <v>-1925381.9975000001</v>
      </c>
      <c r="J5" s="135">
        <v>-1375000</v>
      </c>
      <c r="K5" s="135">
        <v>-1375000</v>
      </c>
      <c r="L5" s="135">
        <v>-1375000</v>
      </c>
      <c r="M5" s="135">
        <v>-1375000</v>
      </c>
      <c r="N5" s="340">
        <v>-1375000</v>
      </c>
      <c r="O5" s="340">
        <v>-1375000</v>
      </c>
      <c r="P5" s="340">
        <v>-1375000</v>
      </c>
      <c r="Q5" s="340">
        <v>-1375000</v>
      </c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</row>
    <row r="6" spans="1:57" s="8" customFormat="1">
      <c r="A6" s="72" t="s">
        <v>110</v>
      </c>
      <c r="B6" s="72" t="s">
        <v>7</v>
      </c>
      <c r="C6" s="204" t="s">
        <v>108</v>
      </c>
      <c r="D6" s="204" t="s">
        <v>168</v>
      </c>
      <c r="E6" s="88"/>
      <c r="F6" s="109">
        <v>-112553</v>
      </c>
      <c r="G6" s="109">
        <v>-186705</v>
      </c>
      <c r="H6" s="91"/>
      <c r="I6" s="109">
        <v>-249431</v>
      </c>
      <c r="J6" s="107">
        <v>-174347</v>
      </c>
      <c r="K6" s="109">
        <v>-174347</v>
      </c>
      <c r="L6" s="109">
        <v>-174347</v>
      </c>
      <c r="M6" s="109">
        <v>-174347</v>
      </c>
      <c r="N6" s="340">
        <v>-174347</v>
      </c>
      <c r="O6" s="340">
        <v>-174347</v>
      </c>
      <c r="P6" s="340">
        <v>-174347</v>
      </c>
      <c r="Q6" s="340">
        <v>-174347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</row>
    <row r="7" spans="1:57" s="12" customFormat="1">
      <c r="A7" s="210" t="s">
        <v>169</v>
      </c>
      <c r="B7" s="286" t="s">
        <v>7</v>
      </c>
      <c r="C7" s="286" t="s">
        <v>170</v>
      </c>
      <c r="D7" s="286" t="s">
        <v>167</v>
      </c>
      <c r="E7" s="51">
        <v>0</v>
      </c>
      <c r="F7" s="51">
        <v>0</v>
      </c>
      <c r="G7" s="51">
        <v>0</v>
      </c>
      <c r="H7" s="60"/>
      <c r="I7" s="51">
        <v>0</v>
      </c>
      <c r="J7" s="211">
        <v>50000</v>
      </c>
      <c r="K7" s="51">
        <v>50000</v>
      </c>
      <c r="L7" s="51">
        <v>50000</v>
      </c>
      <c r="M7" s="51">
        <v>50000</v>
      </c>
      <c r="N7" s="352">
        <v>50000</v>
      </c>
      <c r="O7" s="352">
        <v>50000</v>
      </c>
      <c r="P7" s="352">
        <v>50000</v>
      </c>
      <c r="Q7" s="352">
        <v>50000</v>
      </c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</row>
    <row r="8" spans="1:57" s="12" customFormat="1" ht="15" customHeight="1" thickBot="1">
      <c r="A8" s="210" t="s">
        <v>171</v>
      </c>
      <c r="B8" s="286" t="s">
        <v>7</v>
      </c>
      <c r="C8" s="286" t="s">
        <v>172</v>
      </c>
      <c r="D8" s="286" t="s">
        <v>167</v>
      </c>
      <c r="E8" s="51">
        <v>0</v>
      </c>
      <c r="F8" s="51">
        <v>-250000</v>
      </c>
      <c r="G8" s="51">
        <v>-250000</v>
      </c>
      <c r="H8" s="60"/>
      <c r="I8" s="51">
        <v>-250000</v>
      </c>
      <c r="J8" s="211">
        <v>-250000</v>
      </c>
      <c r="K8" s="51">
        <v>-250000</v>
      </c>
      <c r="L8" s="51">
        <v>-250000</v>
      </c>
      <c r="M8" s="51">
        <v>-250000</v>
      </c>
      <c r="N8" s="352">
        <v>-250000</v>
      </c>
      <c r="O8" s="352">
        <v>-250000</v>
      </c>
      <c r="P8" s="352">
        <v>-250000</v>
      </c>
      <c r="Q8" s="352">
        <v>-250000</v>
      </c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</row>
    <row r="9" spans="1:57" s="12" customFormat="1" ht="15.5" customHeight="1" thickTop="1" thickBot="1">
      <c r="A9" s="210" t="s">
        <v>144</v>
      </c>
      <c r="B9" s="286" t="s">
        <v>7</v>
      </c>
      <c r="C9" s="286" t="s">
        <v>173</v>
      </c>
      <c r="D9" s="286" t="s">
        <v>167</v>
      </c>
      <c r="E9" s="46"/>
      <c r="F9" s="47"/>
      <c r="G9" s="45">
        <v>-1200000</v>
      </c>
      <c r="H9" s="60"/>
      <c r="I9" s="46"/>
      <c r="J9" s="46"/>
      <c r="K9" s="46"/>
      <c r="L9" s="46"/>
      <c r="M9" s="46"/>
      <c r="N9" s="353"/>
      <c r="O9" s="353"/>
      <c r="P9" s="353"/>
      <c r="Q9" s="353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</row>
    <row r="10" spans="1:57" s="12" customFormat="1" ht="15" customHeight="1" thickTop="1">
      <c r="A10" s="160" t="s">
        <v>174</v>
      </c>
      <c r="B10" s="281" t="s">
        <v>7</v>
      </c>
      <c r="C10" s="311" t="s">
        <v>175</v>
      </c>
      <c r="D10" s="312" t="s">
        <v>167</v>
      </c>
      <c r="E10" s="60"/>
      <c r="F10" s="161"/>
      <c r="G10" s="161"/>
      <c r="H10" s="91"/>
      <c r="I10" s="161"/>
      <c r="J10" s="161"/>
      <c r="K10" s="161"/>
      <c r="L10" s="161"/>
      <c r="M10" s="161"/>
      <c r="N10" s="354"/>
      <c r="O10" s="354"/>
      <c r="P10" s="354"/>
      <c r="Q10" s="354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</row>
    <row r="11" spans="1:57" s="12" customFormat="1">
      <c r="A11" s="134"/>
      <c r="B11" s="62"/>
      <c r="C11" s="62"/>
      <c r="D11" s="62"/>
      <c r="E11" s="118"/>
      <c r="F11" s="118"/>
      <c r="G11" s="118"/>
      <c r="H11" s="60"/>
      <c r="I11" s="118"/>
      <c r="J11" s="118"/>
      <c r="K11" s="118"/>
      <c r="L11" s="118"/>
      <c r="M11" s="118"/>
      <c r="N11" s="319"/>
      <c r="O11" s="319"/>
      <c r="P11" s="319"/>
      <c r="Q11" s="319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</row>
    <row r="12" spans="1:57" s="12" customFormat="1">
      <c r="A12" s="134"/>
      <c r="B12" s="62"/>
      <c r="C12" s="62"/>
      <c r="D12" s="62"/>
      <c r="E12" s="118"/>
      <c r="F12" s="118"/>
      <c r="G12" s="118"/>
      <c r="H12" s="95"/>
      <c r="I12" s="118"/>
      <c r="J12" s="118"/>
      <c r="K12" s="118"/>
      <c r="L12" s="118"/>
      <c r="M12" s="118"/>
      <c r="N12" s="319"/>
      <c r="O12" s="319"/>
      <c r="P12" s="319"/>
      <c r="Q12" s="319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</row>
    <row r="13" spans="1:57" s="12" customFormat="1">
      <c r="A13" s="134"/>
      <c r="B13" s="62"/>
      <c r="C13" s="62"/>
      <c r="D13" s="62"/>
      <c r="E13" s="118"/>
      <c r="F13" s="118"/>
      <c r="G13" s="118"/>
      <c r="H13" s="95"/>
      <c r="I13" s="118"/>
      <c r="J13" s="118"/>
      <c r="K13" s="118"/>
      <c r="L13" s="118"/>
      <c r="M13" s="118"/>
      <c r="N13" s="319"/>
      <c r="O13" s="319"/>
      <c r="P13" s="319"/>
      <c r="Q13" s="319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</row>
    <row r="14" spans="1:57" s="5" customFormat="1">
      <c r="A14" s="60"/>
      <c r="B14" s="62"/>
      <c r="C14" s="62"/>
      <c r="D14" s="62"/>
      <c r="E14" s="60"/>
      <c r="F14" s="60"/>
      <c r="G14" s="60"/>
      <c r="H14" s="60"/>
      <c r="I14" s="60"/>
      <c r="J14" s="60"/>
      <c r="K14" s="60"/>
      <c r="L14" s="60"/>
      <c r="M14" s="60"/>
      <c r="N14" s="321"/>
      <c r="O14" s="321"/>
      <c r="P14" s="321"/>
      <c r="Q14" s="321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</row>
    <row r="15" spans="1:57" s="12" customFormat="1">
      <c r="A15" s="134"/>
      <c r="B15" s="62"/>
      <c r="C15" s="62"/>
      <c r="D15" s="62"/>
      <c r="E15" s="60"/>
      <c r="F15" s="60"/>
      <c r="G15" s="60"/>
      <c r="H15" s="60"/>
      <c r="I15" s="60"/>
      <c r="J15" s="60"/>
      <c r="K15" s="60"/>
      <c r="L15" s="60"/>
      <c r="M15" s="60"/>
      <c r="N15" s="321"/>
      <c r="O15" s="321"/>
      <c r="P15" s="321"/>
      <c r="Q15" s="321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</row>
    <row r="16" spans="1:57" s="12" customFormat="1">
      <c r="A16" s="134"/>
      <c r="B16" s="62"/>
      <c r="C16" s="62"/>
      <c r="D16" s="62"/>
      <c r="E16" s="118"/>
      <c r="F16" s="118"/>
      <c r="G16" s="118"/>
      <c r="H16" s="60"/>
      <c r="I16" s="118"/>
      <c r="J16" s="118"/>
      <c r="K16" s="118"/>
      <c r="L16" s="118"/>
      <c r="M16" s="118"/>
      <c r="N16" s="319"/>
      <c r="O16" s="319"/>
      <c r="P16" s="319"/>
      <c r="Q16" s="319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</row>
    <row r="17" spans="1:53" s="5" customFormat="1">
      <c r="A17" s="60"/>
      <c r="B17" s="61"/>
      <c r="C17" s="62"/>
      <c r="D17" s="62"/>
      <c r="E17" s="60"/>
      <c r="F17" s="60"/>
      <c r="G17" s="60"/>
      <c r="H17" s="99"/>
      <c r="I17" s="60"/>
      <c r="J17" s="60"/>
      <c r="K17" s="60"/>
      <c r="L17" s="60"/>
      <c r="M17" s="60"/>
      <c r="N17" s="321"/>
      <c r="O17" s="321"/>
      <c r="P17" s="321"/>
      <c r="Q17" s="321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</row>
    <row r="18" spans="1:53" s="12" customFormat="1">
      <c r="A18" s="134"/>
      <c r="B18" s="61"/>
      <c r="C18" s="62"/>
      <c r="D18" s="62"/>
      <c r="E18" s="118"/>
      <c r="F18" s="118"/>
      <c r="G18" s="118"/>
      <c r="H18" s="99"/>
      <c r="I18" s="118"/>
      <c r="J18" s="118"/>
      <c r="K18" s="118"/>
      <c r="L18" s="118"/>
      <c r="M18" s="118"/>
      <c r="N18" s="319"/>
      <c r="O18" s="319"/>
      <c r="P18" s="319"/>
      <c r="Q18" s="319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</row>
    <row r="19" spans="1:53" s="5" customFormat="1">
      <c r="A19" s="60"/>
      <c r="B19" s="61"/>
      <c r="C19" s="62"/>
      <c r="D19" s="62"/>
      <c r="E19" s="60"/>
      <c r="F19" s="60"/>
      <c r="G19" s="60"/>
      <c r="H19" s="91"/>
      <c r="I19" s="60"/>
      <c r="J19" s="60"/>
      <c r="K19" s="60"/>
      <c r="L19" s="60"/>
      <c r="M19" s="60"/>
      <c r="N19" s="321"/>
      <c r="O19" s="321"/>
      <c r="P19" s="321"/>
      <c r="Q19" s="321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</row>
    <row r="20" spans="1:53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321"/>
      <c r="O20" s="321"/>
      <c r="P20" s="321"/>
      <c r="Q20" s="321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</row>
    <row r="21" spans="1:53">
      <c r="A21" s="60"/>
      <c r="B21" s="60"/>
      <c r="C21" s="60"/>
      <c r="D21" s="60"/>
      <c r="E21" s="60"/>
      <c r="F21" s="60"/>
      <c r="G21" s="60"/>
      <c r="H21" s="104"/>
      <c r="I21" s="60"/>
      <c r="J21" s="60"/>
      <c r="K21" s="60"/>
      <c r="L21" s="60"/>
      <c r="M21" s="60"/>
      <c r="N21" s="321"/>
      <c r="O21" s="321"/>
      <c r="P21" s="321"/>
      <c r="Q21" s="321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</row>
    <row r="22" spans="1:53">
      <c r="A22" s="60"/>
      <c r="B22" s="60"/>
      <c r="C22" s="60"/>
      <c r="D22" s="60"/>
      <c r="E22" s="60"/>
      <c r="F22" s="60"/>
      <c r="G22" s="60"/>
      <c r="H22" s="91"/>
      <c r="I22" s="60"/>
      <c r="J22" s="60"/>
      <c r="K22" s="60"/>
      <c r="L22" s="60"/>
      <c r="M22" s="60"/>
      <c r="N22" s="321"/>
      <c r="O22" s="321"/>
      <c r="P22" s="321"/>
      <c r="Q22" s="321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</row>
    <row r="23" spans="1:53">
      <c r="A23" s="60"/>
      <c r="B23" s="60"/>
      <c r="C23" s="60"/>
      <c r="D23" s="60"/>
      <c r="E23" s="60"/>
      <c r="F23" s="60"/>
      <c r="G23" s="60"/>
      <c r="H23" s="91"/>
      <c r="I23" s="60"/>
      <c r="J23" s="60"/>
      <c r="K23" s="60"/>
      <c r="L23" s="60"/>
      <c r="M23" s="60"/>
      <c r="N23" s="321"/>
      <c r="O23" s="321"/>
      <c r="P23" s="321"/>
      <c r="Q23" s="321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</row>
    <row r="24" spans="1:53">
      <c r="A24" s="60"/>
      <c r="B24" s="60"/>
      <c r="C24" s="60"/>
      <c r="D24" s="60"/>
      <c r="E24" s="60"/>
      <c r="F24" s="60"/>
      <c r="G24" s="60"/>
      <c r="H24" s="91"/>
      <c r="I24" s="60"/>
      <c r="J24" s="60"/>
      <c r="K24" s="60"/>
      <c r="L24" s="60"/>
      <c r="M24" s="60"/>
      <c r="N24" s="321"/>
      <c r="O24" s="321"/>
      <c r="P24" s="321"/>
      <c r="Q24" s="321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</row>
    <row r="25" spans="1:53">
      <c r="A25" s="60"/>
      <c r="B25" s="60"/>
      <c r="C25" s="60"/>
      <c r="D25" s="60"/>
      <c r="E25" s="60"/>
      <c r="F25" s="60"/>
      <c r="G25" s="60"/>
      <c r="H25" s="91"/>
      <c r="I25" s="60"/>
      <c r="J25" s="60"/>
      <c r="K25" s="60"/>
      <c r="L25" s="60"/>
      <c r="M25" s="60"/>
      <c r="N25" s="321"/>
      <c r="O25" s="321"/>
      <c r="P25" s="321"/>
      <c r="Q25" s="321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</row>
    <row r="26" spans="1:53">
      <c r="A26" s="60"/>
      <c r="B26" s="60"/>
      <c r="C26" s="60"/>
      <c r="D26" s="60"/>
      <c r="E26" s="60"/>
      <c r="F26" s="60"/>
      <c r="G26" s="60"/>
      <c r="H26" s="91"/>
      <c r="I26" s="60"/>
      <c r="J26" s="60"/>
      <c r="K26" s="60"/>
      <c r="L26" s="60"/>
      <c r="M26" s="60"/>
      <c r="N26" s="321"/>
      <c r="O26" s="321"/>
      <c r="P26" s="321"/>
      <c r="Q26" s="321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</row>
    <row r="27" spans="1:53">
      <c r="A27" s="60"/>
      <c r="B27" s="60"/>
      <c r="C27" s="60"/>
      <c r="D27" s="60"/>
      <c r="E27" s="60"/>
      <c r="F27" s="60"/>
      <c r="G27" s="60"/>
      <c r="H27" s="91"/>
      <c r="I27" s="60"/>
      <c r="J27" s="60"/>
      <c r="K27" s="60"/>
      <c r="L27" s="60"/>
      <c r="M27" s="60"/>
      <c r="N27" s="321"/>
      <c r="O27" s="321"/>
      <c r="P27" s="321"/>
      <c r="Q27" s="321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</row>
    <row r="28" spans="1:53">
      <c r="A28" s="60"/>
      <c r="B28" s="60"/>
      <c r="C28" s="60"/>
      <c r="D28" s="60"/>
      <c r="E28" s="60"/>
      <c r="F28" s="60"/>
      <c r="G28" s="60"/>
      <c r="H28" s="91"/>
      <c r="I28" s="60"/>
      <c r="J28" s="60"/>
      <c r="K28" s="60"/>
      <c r="L28" s="60"/>
      <c r="M28" s="60"/>
      <c r="N28" s="321"/>
      <c r="O28" s="321"/>
      <c r="P28" s="321"/>
      <c r="Q28" s="321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</row>
    <row r="29" spans="1:53">
      <c r="A29" s="60"/>
      <c r="B29" s="60"/>
      <c r="C29" s="60"/>
      <c r="D29" s="60"/>
      <c r="E29" s="60"/>
      <c r="F29" s="60"/>
      <c r="G29" s="60"/>
      <c r="H29" s="91"/>
      <c r="I29" s="60"/>
      <c r="J29" s="60"/>
      <c r="K29" s="60"/>
      <c r="L29" s="60"/>
      <c r="M29" s="60"/>
      <c r="N29" s="321"/>
      <c r="O29" s="321"/>
      <c r="P29" s="321"/>
      <c r="Q29" s="321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</row>
    <row r="30" spans="1:53">
      <c r="A30" s="60"/>
      <c r="B30" s="60"/>
      <c r="C30" s="60"/>
      <c r="D30" s="60"/>
      <c r="E30" s="60"/>
      <c r="F30" s="60"/>
      <c r="G30" s="60"/>
      <c r="H30" s="91"/>
      <c r="I30" s="60"/>
      <c r="J30" s="60"/>
      <c r="K30" s="60"/>
      <c r="L30" s="60"/>
      <c r="M30" s="60"/>
      <c r="N30" s="321"/>
      <c r="O30" s="321"/>
      <c r="P30" s="321"/>
      <c r="Q30" s="321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</row>
    <row r="31" spans="1:53">
      <c r="A31" s="60"/>
      <c r="B31" s="60"/>
      <c r="C31" s="60"/>
      <c r="D31" s="60"/>
      <c r="E31" s="60"/>
      <c r="F31" s="60"/>
      <c r="G31" s="60"/>
      <c r="H31" s="91"/>
      <c r="I31" s="60"/>
      <c r="J31" s="60"/>
      <c r="K31" s="60"/>
      <c r="L31" s="60"/>
      <c r="M31" s="60"/>
      <c r="N31" s="321"/>
      <c r="O31" s="321"/>
      <c r="P31" s="321"/>
      <c r="Q31" s="321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</row>
    <row r="32" spans="1:53">
      <c r="A32" s="60"/>
      <c r="B32" s="60"/>
      <c r="C32" s="60"/>
      <c r="D32" s="60"/>
      <c r="E32" s="60"/>
      <c r="F32" s="60"/>
      <c r="G32" s="60"/>
      <c r="H32" s="91"/>
      <c r="I32" s="60"/>
      <c r="J32" s="60"/>
      <c r="K32" s="60"/>
      <c r="L32" s="60"/>
      <c r="M32" s="60"/>
      <c r="N32" s="321"/>
      <c r="O32" s="321"/>
      <c r="P32" s="321"/>
      <c r="Q32" s="321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</row>
    <row r="33" spans="1:53">
      <c r="A33" s="60"/>
      <c r="B33" s="60"/>
      <c r="C33" s="60"/>
      <c r="D33" s="60"/>
      <c r="E33" s="60"/>
      <c r="F33" s="60"/>
      <c r="G33" s="60"/>
      <c r="H33" s="99"/>
      <c r="I33" s="60"/>
      <c r="J33" s="60"/>
      <c r="K33" s="60"/>
      <c r="L33" s="60"/>
      <c r="M33" s="60"/>
      <c r="N33" s="321"/>
      <c r="O33" s="321"/>
      <c r="P33" s="321"/>
      <c r="Q33" s="321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</row>
    <row r="34" spans="1:53">
      <c r="A34" s="60"/>
      <c r="B34" s="60"/>
      <c r="C34" s="60"/>
      <c r="D34" s="60"/>
      <c r="E34" s="60"/>
      <c r="F34" s="60"/>
      <c r="G34" s="60"/>
      <c r="H34" s="91"/>
      <c r="I34" s="60"/>
      <c r="J34" s="60"/>
      <c r="K34" s="60"/>
      <c r="L34" s="60"/>
      <c r="M34" s="60"/>
      <c r="N34" s="321"/>
      <c r="O34" s="321"/>
      <c r="P34" s="321"/>
      <c r="Q34" s="321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</row>
    <row r="35" spans="1:53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321"/>
      <c r="O35" s="321"/>
      <c r="P35" s="321"/>
      <c r="Q35" s="321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</row>
    <row r="36" spans="1:53">
      <c r="A36" s="60"/>
      <c r="B36" s="60"/>
      <c r="C36" s="60"/>
      <c r="D36" s="60"/>
      <c r="E36" s="60"/>
      <c r="F36" s="60"/>
      <c r="G36" s="60"/>
      <c r="H36" s="116"/>
      <c r="I36" s="60"/>
      <c r="J36" s="60"/>
      <c r="K36" s="60"/>
      <c r="L36" s="60"/>
      <c r="M36" s="60"/>
      <c r="N36" s="321"/>
      <c r="O36" s="321"/>
      <c r="P36" s="321"/>
      <c r="Q36" s="321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</row>
    <row r="37" spans="1:53">
      <c r="A37" s="60"/>
      <c r="B37" s="60"/>
      <c r="C37" s="60"/>
      <c r="D37" s="60"/>
      <c r="E37" s="60"/>
      <c r="F37" s="60"/>
      <c r="G37" s="60"/>
      <c r="H37" s="116"/>
      <c r="I37" s="60"/>
      <c r="J37" s="60"/>
      <c r="K37" s="60"/>
      <c r="L37" s="60"/>
      <c r="M37" s="60"/>
      <c r="N37" s="321"/>
      <c r="O37" s="321"/>
      <c r="P37" s="321"/>
      <c r="Q37" s="321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</row>
    <row r="38" spans="1:53">
      <c r="A38" s="60"/>
      <c r="B38" s="60"/>
      <c r="C38" s="60"/>
      <c r="D38" s="60"/>
      <c r="E38" s="60"/>
      <c r="F38" s="60"/>
      <c r="G38" s="60"/>
      <c r="H38" s="116"/>
      <c r="I38" s="60"/>
      <c r="J38" s="60"/>
      <c r="K38" s="60"/>
      <c r="L38" s="60"/>
      <c r="M38" s="60"/>
      <c r="N38" s="321"/>
      <c r="O38" s="321"/>
      <c r="P38" s="321"/>
      <c r="Q38" s="321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</row>
    <row r="39" spans="1:53">
      <c r="A39" s="60"/>
      <c r="B39" s="60"/>
      <c r="C39" s="60"/>
      <c r="D39" s="60"/>
      <c r="E39" s="60"/>
      <c r="F39" s="60"/>
      <c r="G39" s="60"/>
      <c r="H39" s="116"/>
      <c r="I39" s="60"/>
      <c r="J39" s="60"/>
      <c r="K39" s="60"/>
      <c r="L39" s="60"/>
      <c r="M39" s="60"/>
      <c r="N39" s="321"/>
      <c r="O39" s="321"/>
      <c r="P39" s="321"/>
      <c r="Q39" s="321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</row>
    <row r="40" spans="1:53">
      <c r="A40" s="60"/>
      <c r="B40" s="60"/>
      <c r="C40" s="60"/>
      <c r="D40" s="60"/>
      <c r="E40" s="60"/>
      <c r="F40" s="60"/>
      <c r="G40" s="60"/>
      <c r="H40" s="91"/>
      <c r="I40" s="60"/>
      <c r="J40" s="60"/>
      <c r="K40" s="60"/>
      <c r="L40" s="60"/>
      <c r="M40" s="60"/>
      <c r="N40" s="321"/>
      <c r="O40" s="321"/>
      <c r="P40" s="321"/>
      <c r="Q40" s="321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</row>
    <row r="41" spans="1:53">
      <c r="A41" s="60"/>
      <c r="B41" s="60"/>
      <c r="C41" s="60"/>
      <c r="D41" s="60"/>
      <c r="E41" s="60"/>
      <c r="F41" s="60"/>
      <c r="G41" s="60"/>
      <c r="H41" s="116"/>
      <c r="I41" s="60"/>
      <c r="J41" s="60"/>
      <c r="K41" s="60"/>
      <c r="L41" s="60"/>
      <c r="M41" s="60"/>
      <c r="N41" s="321"/>
      <c r="O41" s="321"/>
      <c r="P41" s="321"/>
      <c r="Q41" s="321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</row>
    <row r="42" spans="1:53">
      <c r="A42" s="60"/>
      <c r="B42" s="60"/>
      <c r="C42" s="60"/>
      <c r="D42" s="60"/>
      <c r="E42" s="60"/>
      <c r="F42" s="60"/>
      <c r="G42" s="60"/>
      <c r="H42" s="116"/>
      <c r="I42" s="60"/>
      <c r="J42" s="60"/>
      <c r="K42" s="60"/>
      <c r="L42" s="60"/>
      <c r="M42" s="60"/>
      <c r="N42" s="321"/>
      <c r="O42" s="321"/>
      <c r="P42" s="321"/>
      <c r="Q42" s="321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</row>
    <row r="43" spans="1:53">
      <c r="A43" s="60"/>
      <c r="B43" s="60"/>
      <c r="C43" s="60"/>
      <c r="D43" s="60"/>
      <c r="E43" s="60"/>
      <c r="F43" s="60"/>
      <c r="G43" s="60"/>
      <c r="H43" s="116"/>
      <c r="I43" s="60"/>
      <c r="J43" s="60"/>
      <c r="K43" s="60"/>
      <c r="L43" s="60"/>
      <c r="M43" s="60"/>
      <c r="N43" s="321"/>
      <c r="O43" s="321"/>
      <c r="P43" s="321"/>
      <c r="Q43" s="321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</row>
    <row r="44" spans="1:53">
      <c r="A44" s="60"/>
      <c r="B44" s="60"/>
      <c r="C44" s="60"/>
      <c r="D44" s="60"/>
      <c r="E44" s="60"/>
      <c r="F44" s="60"/>
      <c r="G44" s="60"/>
      <c r="H44" s="116"/>
      <c r="I44" s="60"/>
      <c r="J44" s="60"/>
      <c r="K44" s="60"/>
      <c r="L44" s="60"/>
      <c r="M44" s="60"/>
      <c r="N44" s="321"/>
      <c r="O44" s="321"/>
      <c r="P44" s="321"/>
      <c r="Q44" s="321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</row>
    <row r="45" spans="1:53">
      <c r="A45" s="60"/>
      <c r="B45" s="60"/>
      <c r="C45" s="60"/>
      <c r="D45" s="60"/>
      <c r="E45" s="60"/>
      <c r="F45" s="60"/>
      <c r="G45" s="60"/>
      <c r="H45" s="116"/>
      <c r="I45" s="60"/>
      <c r="J45" s="60"/>
      <c r="K45" s="60"/>
      <c r="L45" s="60"/>
      <c r="M45" s="60"/>
      <c r="N45" s="321"/>
      <c r="O45" s="321"/>
      <c r="P45" s="321"/>
      <c r="Q45" s="321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</row>
    <row r="46" spans="1:53">
      <c r="A46" s="60"/>
      <c r="B46" s="60"/>
      <c r="C46" s="60"/>
      <c r="D46" s="60"/>
      <c r="E46" s="60"/>
      <c r="F46" s="60"/>
      <c r="G46" s="60"/>
      <c r="H46" s="116"/>
      <c r="I46" s="60"/>
      <c r="J46" s="60"/>
      <c r="K46" s="60"/>
      <c r="L46" s="60"/>
      <c r="M46" s="60"/>
      <c r="N46" s="321"/>
      <c r="O46" s="321"/>
      <c r="P46" s="321"/>
      <c r="Q46" s="321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</row>
    <row r="47" spans="1:53">
      <c r="A47" s="60"/>
      <c r="B47" s="60"/>
      <c r="C47" s="60"/>
      <c r="D47" s="60"/>
      <c r="E47" s="60"/>
      <c r="F47" s="60"/>
      <c r="G47" s="60"/>
      <c r="H47" s="116"/>
      <c r="I47" s="60"/>
      <c r="J47" s="60"/>
      <c r="K47" s="60"/>
      <c r="L47" s="60"/>
      <c r="M47" s="60"/>
      <c r="N47" s="321"/>
      <c r="O47" s="321"/>
      <c r="P47" s="321"/>
      <c r="Q47" s="321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</row>
    <row r="48" spans="1:53">
      <c r="A48" s="60"/>
      <c r="B48" s="60"/>
      <c r="C48" s="60"/>
      <c r="D48" s="60"/>
      <c r="E48" s="60"/>
      <c r="F48" s="60"/>
      <c r="G48" s="60"/>
      <c r="H48" s="126"/>
      <c r="I48" s="60"/>
      <c r="J48" s="60"/>
      <c r="K48" s="60"/>
      <c r="L48" s="60"/>
      <c r="M48" s="60"/>
      <c r="N48" s="321"/>
      <c r="O48" s="321"/>
      <c r="P48" s="321"/>
      <c r="Q48" s="321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</row>
    <row r="49" spans="1:53">
      <c r="A49" s="60"/>
      <c r="B49" s="60"/>
      <c r="C49" s="60"/>
      <c r="D49" s="60"/>
      <c r="E49" s="60"/>
      <c r="F49" s="60"/>
      <c r="G49" s="60"/>
      <c r="H49" s="126"/>
      <c r="I49" s="60"/>
      <c r="J49" s="60"/>
      <c r="K49" s="60"/>
      <c r="L49" s="60"/>
      <c r="M49" s="60"/>
      <c r="N49" s="321"/>
      <c r="O49" s="321"/>
      <c r="P49" s="321"/>
      <c r="Q49" s="321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</row>
    <row r="50" spans="1:53">
      <c r="A50" s="60"/>
      <c r="B50" s="60"/>
      <c r="C50" s="60"/>
      <c r="D50" s="60"/>
      <c r="E50" s="60"/>
      <c r="F50" s="60"/>
      <c r="G50" s="60"/>
      <c r="H50" s="126"/>
      <c r="I50" s="60"/>
      <c r="J50" s="60"/>
      <c r="K50" s="60"/>
      <c r="L50" s="60"/>
      <c r="M50" s="60"/>
      <c r="N50" s="321"/>
      <c r="O50" s="321"/>
      <c r="P50" s="321"/>
      <c r="Q50" s="321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</row>
    <row r="51" spans="1:53">
      <c r="A51" s="60"/>
      <c r="B51" s="60"/>
      <c r="C51" s="60"/>
      <c r="D51" s="60"/>
      <c r="E51" s="60"/>
      <c r="F51" s="60"/>
      <c r="G51" s="60"/>
      <c r="H51" s="126"/>
      <c r="I51" s="60"/>
      <c r="J51" s="60"/>
      <c r="K51" s="60"/>
      <c r="L51" s="60"/>
      <c r="M51" s="60"/>
      <c r="N51" s="321"/>
      <c r="O51" s="321"/>
      <c r="P51" s="321"/>
      <c r="Q51" s="321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</row>
    <row r="52" spans="1:53">
      <c r="A52" s="60"/>
      <c r="B52" s="60"/>
      <c r="C52" s="60"/>
      <c r="D52" s="60"/>
      <c r="E52" s="60"/>
      <c r="F52" s="60"/>
      <c r="G52" s="60"/>
      <c r="H52" s="126"/>
      <c r="I52" s="60"/>
      <c r="J52" s="60"/>
      <c r="K52" s="60"/>
      <c r="L52" s="60"/>
      <c r="M52" s="60"/>
      <c r="N52" s="321"/>
      <c r="O52" s="321"/>
      <c r="P52" s="321"/>
      <c r="Q52" s="321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</row>
    <row r="53" spans="1: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321"/>
      <c r="O53" s="321"/>
      <c r="P53" s="321"/>
      <c r="Q53" s="321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</row>
    <row r="54" spans="1:53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321"/>
      <c r="O54" s="321"/>
      <c r="P54" s="321"/>
      <c r="Q54" s="321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</row>
    <row r="55" spans="1:53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321"/>
      <c r="O55" s="321"/>
      <c r="P55" s="321"/>
      <c r="Q55" s="321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</row>
    <row r="56" spans="1:53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321"/>
      <c r="O56" s="321"/>
      <c r="P56" s="321"/>
      <c r="Q56" s="321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</row>
    <row r="57" spans="1:5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321"/>
      <c r="O57" s="321"/>
      <c r="P57" s="321"/>
      <c r="Q57" s="321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</row>
    <row r="58" spans="1:53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321"/>
      <c r="O58" s="321"/>
      <c r="P58" s="321"/>
      <c r="Q58" s="321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</row>
    <row r="59" spans="1:53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321"/>
      <c r="O59" s="321"/>
      <c r="P59" s="321"/>
      <c r="Q59" s="321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</row>
    <row r="60" spans="1:53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321"/>
      <c r="O60" s="321"/>
      <c r="P60" s="321"/>
      <c r="Q60" s="321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</row>
    <row r="61" spans="1:53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321"/>
      <c r="O61" s="321"/>
      <c r="P61" s="321"/>
      <c r="Q61" s="321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</row>
    <row r="62" spans="1:53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321"/>
      <c r="O62" s="321"/>
      <c r="P62" s="321"/>
      <c r="Q62" s="321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</row>
    <row r="63" spans="1:5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321"/>
      <c r="O63" s="321"/>
      <c r="P63" s="321"/>
      <c r="Q63" s="321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</row>
    <row r="64" spans="1:53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321"/>
      <c r="O64" s="321"/>
      <c r="P64" s="321"/>
      <c r="Q64" s="321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</row>
    <row r="65" spans="1:53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21"/>
      <c r="O65" s="321"/>
      <c r="P65" s="321"/>
      <c r="Q65" s="321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</row>
    <row r="66" spans="1:53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321"/>
      <c r="O66" s="321"/>
      <c r="P66" s="321"/>
      <c r="Q66" s="321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</row>
    <row r="67" spans="1:53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321"/>
      <c r="O67" s="321"/>
      <c r="P67" s="321"/>
      <c r="Q67" s="321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</row>
    <row r="68" spans="1:53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321"/>
      <c r="O68" s="321"/>
      <c r="P68" s="321"/>
      <c r="Q68" s="321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</row>
    <row r="69" spans="1:53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321"/>
      <c r="O69" s="321"/>
      <c r="P69" s="321"/>
      <c r="Q69" s="321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</row>
    <row r="70" spans="1:53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321"/>
      <c r="O70" s="321"/>
      <c r="P70" s="321"/>
      <c r="Q70" s="321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</row>
    <row r="71" spans="1:53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321"/>
      <c r="O71" s="321"/>
      <c r="P71" s="321"/>
      <c r="Q71" s="321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</row>
    <row r="72" spans="1:53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321"/>
      <c r="O72" s="321"/>
      <c r="P72" s="321"/>
      <c r="Q72" s="321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</row>
    <row r="73" spans="1:5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321"/>
      <c r="O73" s="321"/>
      <c r="P73" s="321"/>
      <c r="Q73" s="321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</row>
    <row r="74" spans="1:53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321"/>
      <c r="O74" s="321"/>
      <c r="P74" s="321"/>
      <c r="Q74" s="321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</row>
    <row r="75" spans="1:53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321"/>
      <c r="O75" s="321"/>
      <c r="P75" s="321"/>
      <c r="Q75" s="321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</row>
    <row r="76" spans="1:53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321"/>
      <c r="O76" s="321"/>
      <c r="P76" s="321"/>
      <c r="Q76" s="321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</row>
    <row r="77" spans="1:53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321"/>
      <c r="O77" s="321"/>
      <c r="P77" s="321"/>
      <c r="Q77" s="321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</row>
    <row r="78" spans="1:53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321"/>
      <c r="O78" s="321"/>
      <c r="P78" s="321"/>
      <c r="Q78" s="321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</row>
    <row r="79" spans="1:53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321"/>
      <c r="O79" s="321"/>
      <c r="P79" s="321"/>
      <c r="Q79" s="321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</row>
    <row r="80" spans="1:53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321"/>
      <c r="O80" s="321"/>
      <c r="P80" s="321"/>
      <c r="Q80" s="321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</row>
    <row r="81" spans="1:53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321"/>
      <c r="O81" s="321"/>
      <c r="P81" s="321"/>
      <c r="Q81" s="321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</row>
    <row r="82" spans="1:53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321"/>
      <c r="O82" s="321"/>
      <c r="P82" s="321"/>
      <c r="Q82" s="321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</row>
    <row r="83" spans="1:5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321"/>
      <c r="O83" s="321"/>
      <c r="P83" s="321"/>
      <c r="Q83" s="321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</row>
    <row r="84" spans="1:53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321"/>
      <c r="O84" s="321"/>
      <c r="P84" s="321"/>
      <c r="Q84" s="321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</row>
    <row r="85" spans="1:53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321"/>
      <c r="O85" s="321"/>
      <c r="P85" s="321"/>
      <c r="Q85" s="321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</row>
    <row r="86" spans="1:53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321"/>
      <c r="O86" s="321"/>
      <c r="P86" s="321"/>
      <c r="Q86" s="321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</row>
    <row r="87" spans="1:53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321"/>
      <c r="O87" s="321"/>
      <c r="P87" s="321"/>
      <c r="Q87" s="321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</row>
    <row r="88" spans="1:53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321"/>
      <c r="O88" s="321"/>
      <c r="P88" s="321"/>
      <c r="Q88" s="321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</row>
    <row r="89" spans="1:53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321"/>
      <c r="O89" s="321"/>
      <c r="P89" s="321"/>
      <c r="Q89" s="321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</row>
    <row r="90" spans="1:53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321"/>
      <c r="O90" s="321"/>
      <c r="P90" s="321"/>
      <c r="Q90" s="321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</row>
    <row r="91" spans="1:53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321"/>
      <c r="O91" s="321"/>
      <c r="P91" s="321"/>
      <c r="Q91" s="321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</row>
    <row r="92" spans="1:53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321"/>
      <c r="O92" s="321"/>
      <c r="P92" s="321"/>
      <c r="Q92" s="321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</row>
    <row r="93" spans="1:5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321"/>
      <c r="O93" s="321"/>
      <c r="P93" s="321"/>
      <c r="Q93" s="321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</row>
    <row r="94" spans="1:53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321"/>
      <c r="O94" s="321"/>
      <c r="P94" s="321"/>
      <c r="Q94" s="321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</row>
    <row r="95" spans="1:53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321"/>
      <c r="O95" s="321"/>
      <c r="P95" s="321"/>
      <c r="Q95" s="321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</row>
    <row r="96" spans="1:53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321"/>
      <c r="O96" s="321"/>
      <c r="P96" s="321"/>
      <c r="Q96" s="321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</row>
    <row r="97" spans="1:5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321"/>
      <c r="O97" s="321"/>
      <c r="P97" s="321"/>
      <c r="Q97" s="321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</row>
    <row r="98" spans="1:53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321"/>
      <c r="O98" s="321"/>
      <c r="P98" s="321"/>
      <c r="Q98" s="321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</row>
    <row r="99" spans="1:53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321"/>
      <c r="O99" s="321"/>
      <c r="P99" s="321"/>
      <c r="Q99" s="321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</row>
    <row r="100" spans="1:53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321"/>
      <c r="O100" s="321"/>
      <c r="P100" s="321"/>
      <c r="Q100" s="321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</row>
    <row r="101" spans="1:53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321"/>
      <c r="O101" s="321"/>
      <c r="P101" s="321"/>
      <c r="Q101" s="321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</row>
    <row r="102" spans="1:53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321"/>
      <c r="O102" s="321"/>
      <c r="P102" s="321"/>
      <c r="Q102" s="321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</row>
    <row r="103" spans="1:5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321"/>
      <c r="O103" s="321"/>
      <c r="P103" s="321"/>
      <c r="Q103" s="321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</row>
    <row r="104" spans="1:53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321"/>
      <c r="O104" s="321"/>
      <c r="P104" s="321"/>
      <c r="Q104" s="321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</row>
    <row r="105" spans="1:53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321"/>
      <c r="O105" s="321"/>
      <c r="P105" s="321"/>
      <c r="Q105" s="321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</row>
    <row r="106" spans="1:53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321"/>
      <c r="O106" s="321"/>
      <c r="P106" s="321"/>
      <c r="Q106" s="321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</row>
    <row r="107" spans="1:53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321"/>
      <c r="O107" s="321"/>
      <c r="P107" s="321"/>
      <c r="Q107" s="321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</row>
    <row r="108" spans="1:53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321"/>
      <c r="O108" s="321"/>
      <c r="P108" s="321"/>
      <c r="Q108" s="321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</row>
    <row r="109" spans="1:53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321"/>
      <c r="O109" s="321"/>
      <c r="P109" s="321"/>
      <c r="Q109" s="321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</row>
    <row r="110" spans="1:53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321"/>
      <c r="O110" s="321"/>
      <c r="P110" s="321"/>
      <c r="Q110" s="321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</row>
    <row r="111" spans="1:53">
      <c r="A111" s="60"/>
      <c r="B111" s="81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321"/>
      <c r="O111" s="321"/>
      <c r="P111" s="321"/>
      <c r="Q111" s="321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</row>
    <row r="112" spans="1:53">
      <c r="A112" s="60"/>
      <c r="B112" s="8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321"/>
      <c r="O112" s="321"/>
      <c r="P112" s="321"/>
      <c r="Q112" s="321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</row>
    <row r="113" spans="1:53">
      <c r="A113" s="60"/>
      <c r="B113" s="81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321"/>
      <c r="O113" s="321"/>
      <c r="P113" s="321"/>
      <c r="Q113" s="321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</row>
    <row r="114" spans="1:53">
      <c r="A114" s="60"/>
      <c r="B114" s="81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321"/>
      <c r="O114" s="321"/>
      <c r="P114" s="321"/>
      <c r="Q114" s="321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</row>
    <row r="115" spans="1:53">
      <c r="A115" s="60"/>
      <c r="B115" s="81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321"/>
      <c r="O115" s="321"/>
      <c r="P115" s="321"/>
      <c r="Q115" s="321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</row>
    <row r="116" spans="1:53">
      <c r="A116" s="60"/>
      <c r="B116" s="81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321"/>
      <c r="O116" s="321"/>
      <c r="P116" s="321"/>
      <c r="Q116" s="321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</row>
    <row r="117" spans="1:53">
      <c r="A117" s="60"/>
      <c r="B117" s="81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321"/>
      <c r="O117" s="321"/>
      <c r="P117" s="321"/>
      <c r="Q117" s="321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</row>
    <row r="118" spans="1:53">
      <c r="A118" s="60"/>
      <c r="B118" s="81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321"/>
      <c r="O118" s="321"/>
      <c r="P118" s="321"/>
      <c r="Q118" s="321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</row>
    <row r="119" spans="1:53">
      <c r="A119" s="60"/>
      <c r="B119" s="81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321"/>
      <c r="O119" s="321"/>
      <c r="P119" s="321"/>
      <c r="Q119" s="321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</row>
    <row r="120" spans="1:53">
      <c r="A120" s="60"/>
      <c r="B120" s="81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321"/>
      <c r="O120" s="321"/>
      <c r="P120" s="321"/>
      <c r="Q120" s="321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</row>
    <row r="121" spans="1:53">
      <c r="A121" s="60"/>
      <c r="B121" s="81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321"/>
      <c r="O121" s="321"/>
      <c r="P121" s="321"/>
      <c r="Q121" s="321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</row>
    <row r="122" spans="1:53">
      <c r="A122" s="60"/>
      <c r="B122" s="81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321"/>
      <c r="O122" s="321"/>
      <c r="P122" s="321"/>
      <c r="Q122" s="321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</row>
    <row r="123" spans="1:53">
      <c r="A123" s="60"/>
      <c r="B123" s="81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321"/>
      <c r="O123" s="321"/>
      <c r="P123" s="321"/>
      <c r="Q123" s="321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</row>
    <row r="124" spans="1:53">
      <c r="A124" s="60"/>
      <c r="B124" s="81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321"/>
      <c r="O124" s="321"/>
      <c r="P124" s="321"/>
      <c r="Q124" s="321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</row>
    <row r="125" spans="1:53">
      <c r="A125" s="60"/>
      <c r="B125" s="81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321"/>
      <c r="O125" s="321"/>
      <c r="P125" s="321"/>
      <c r="Q125" s="321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</row>
    <row r="126" spans="1:53">
      <c r="A126" s="60"/>
      <c r="B126" s="81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321"/>
      <c r="O126" s="321"/>
      <c r="P126" s="321"/>
      <c r="Q126" s="321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</row>
    <row r="127" spans="1:53">
      <c r="A127" s="60"/>
      <c r="B127" s="81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321"/>
      <c r="O127" s="321"/>
      <c r="P127" s="321"/>
      <c r="Q127" s="321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</row>
    <row r="128" spans="1:53">
      <c r="A128" s="60"/>
      <c r="B128" s="81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321"/>
      <c r="O128" s="321"/>
      <c r="P128" s="321"/>
      <c r="Q128" s="321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</row>
    <row r="129" spans="1:53">
      <c r="A129" s="60"/>
      <c r="B129" s="8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321"/>
      <c r="O129" s="321"/>
      <c r="P129" s="321"/>
      <c r="Q129" s="321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</row>
    <row r="130" spans="1:53">
      <c r="A130" s="60"/>
      <c r="B130" s="81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321"/>
      <c r="O130" s="321"/>
      <c r="P130" s="321"/>
      <c r="Q130" s="321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</row>
    <row r="131" spans="1:53">
      <c r="A131" s="60"/>
      <c r="B131" s="81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321"/>
      <c r="O131" s="321"/>
      <c r="P131" s="321"/>
      <c r="Q131" s="321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</row>
    <row r="132" spans="1:53">
      <c r="A132" s="60"/>
      <c r="B132" s="8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321"/>
      <c r="O132" s="321"/>
      <c r="P132" s="321"/>
      <c r="Q132" s="321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</row>
    <row r="133" spans="1:53">
      <c r="A133" s="60"/>
      <c r="B133" s="81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321"/>
      <c r="O133" s="321"/>
      <c r="P133" s="321"/>
      <c r="Q133" s="321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</row>
    <row r="134" spans="1:53">
      <c r="A134" s="60"/>
      <c r="B134" s="81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321"/>
      <c r="O134" s="321"/>
      <c r="P134" s="321"/>
      <c r="Q134" s="321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</row>
    <row r="135" spans="1:53">
      <c r="A135" s="60"/>
      <c r="B135" s="8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321"/>
      <c r="O135" s="321"/>
      <c r="P135" s="321"/>
      <c r="Q135" s="321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</row>
    <row r="136" spans="1:53">
      <c r="A136" s="60"/>
      <c r="B136" s="81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321"/>
      <c r="O136" s="321"/>
      <c r="P136" s="321"/>
      <c r="Q136" s="321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</row>
    <row r="137" spans="1:53">
      <c r="A137" s="60"/>
      <c r="B137" s="81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321"/>
      <c r="O137" s="321"/>
      <c r="P137" s="321"/>
      <c r="Q137" s="321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</row>
    <row r="138" spans="1:53">
      <c r="A138" s="60"/>
      <c r="B138" s="81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321"/>
      <c r="O138" s="321"/>
      <c r="P138" s="321"/>
      <c r="Q138" s="321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</row>
    <row r="139" spans="1:53">
      <c r="A139" s="60"/>
      <c r="B139" s="81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321"/>
      <c r="O139" s="321"/>
      <c r="P139" s="321"/>
      <c r="Q139" s="321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</row>
    <row r="140" spans="1:53">
      <c r="A140" s="60"/>
      <c r="B140" s="81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321"/>
      <c r="O140" s="321"/>
      <c r="P140" s="321"/>
      <c r="Q140" s="321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</row>
    <row r="141" spans="1:53">
      <c r="A141" s="60"/>
      <c r="B141" s="81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321"/>
      <c r="O141" s="321"/>
      <c r="P141" s="321"/>
      <c r="Q141" s="321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</row>
    <row r="142" spans="1:53">
      <c r="A142" s="60"/>
      <c r="B142" s="81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321"/>
      <c r="O142" s="321"/>
      <c r="P142" s="321"/>
      <c r="Q142" s="321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</row>
    <row r="143" spans="1:53">
      <c r="A143" s="60"/>
      <c r="B143" s="81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321"/>
      <c r="O143" s="321"/>
      <c r="P143" s="321"/>
      <c r="Q143" s="321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</row>
    <row r="144" spans="1:53">
      <c r="A144" s="60"/>
      <c r="B144" s="81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321"/>
      <c r="O144" s="321"/>
      <c r="P144" s="321"/>
      <c r="Q144" s="321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</row>
    <row r="145" spans="1:53">
      <c r="A145" s="60"/>
      <c r="B145" s="81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321"/>
      <c r="O145" s="321"/>
      <c r="P145" s="321"/>
      <c r="Q145" s="321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</row>
    <row r="146" spans="1:53">
      <c r="A146" s="60"/>
      <c r="B146" s="81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321"/>
      <c r="O146" s="321"/>
      <c r="P146" s="321"/>
      <c r="Q146" s="321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</row>
    <row r="147" spans="1:53">
      <c r="A147" s="60"/>
      <c r="B147" s="81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321"/>
      <c r="O147" s="321"/>
      <c r="P147" s="321"/>
      <c r="Q147" s="321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</row>
    <row r="148" spans="1:53">
      <c r="A148" s="60"/>
      <c r="B148" s="81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321"/>
      <c r="O148" s="321"/>
      <c r="P148" s="321"/>
      <c r="Q148" s="321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</row>
    <row r="149" spans="1:53">
      <c r="A149" s="60"/>
      <c r="B149" s="81"/>
      <c r="C149" s="60"/>
      <c r="D149" s="60"/>
      <c r="E149" s="60"/>
      <c r="F149" s="60"/>
      <c r="G149" s="60"/>
      <c r="I149" s="60"/>
      <c r="J149" s="60"/>
      <c r="K149" s="60"/>
      <c r="L149" s="60"/>
      <c r="M149" s="60"/>
      <c r="N149" s="321"/>
      <c r="O149" s="321"/>
      <c r="P149" s="321"/>
      <c r="Q149" s="321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084"/>
  </sheetPr>
  <dimension ref="A1:BE149"/>
  <sheetViews>
    <sheetView zoomScale="81" workbookViewId="0">
      <selection activeCell="N12" sqref="N12"/>
    </sheetView>
  </sheetViews>
  <sheetFormatPr defaultColWidth="12.54296875" defaultRowHeight="14.5"/>
  <cols>
    <col min="1" max="1" width="26" customWidth="1"/>
    <col min="2" max="2" width="4.453125" style="54" customWidth="1"/>
    <col min="3" max="3" width="19.90625" style="49" customWidth="1"/>
    <col min="4" max="4" width="7.6328125" style="54" customWidth="1"/>
    <col min="5" max="5" width="13.26953125" bestFit="1" customWidth="1"/>
    <col min="8" max="8" width="10.7265625" style="206" customWidth="1"/>
  </cols>
  <sheetData>
    <row r="1" spans="1:57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321"/>
      <c r="O1" s="321"/>
      <c r="P1" s="321"/>
      <c r="Q1" s="321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</row>
    <row r="2" spans="1:57" s="216" customFormat="1">
      <c r="A2" s="212" t="s">
        <v>0</v>
      </c>
      <c r="B2" s="213"/>
      <c r="C2" s="213"/>
      <c r="D2" s="213"/>
      <c r="E2" s="214">
        <v>45657</v>
      </c>
      <c r="F2" s="214">
        <v>46022</v>
      </c>
      <c r="G2" s="214">
        <v>46112</v>
      </c>
      <c r="H2" s="214">
        <v>46203</v>
      </c>
      <c r="I2" s="214">
        <v>46022</v>
      </c>
      <c r="J2" s="214">
        <v>46112</v>
      </c>
      <c r="K2" s="214">
        <v>46203</v>
      </c>
      <c r="L2" s="214">
        <v>46295</v>
      </c>
      <c r="M2" s="214">
        <v>46387</v>
      </c>
      <c r="N2" s="316">
        <v>46477</v>
      </c>
      <c r="O2" s="316">
        <v>46568</v>
      </c>
      <c r="P2" s="316">
        <v>46660</v>
      </c>
      <c r="Q2" s="317">
        <v>46752</v>
      </c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</row>
    <row r="3" spans="1:57" s="219" customFormat="1">
      <c r="A3" s="68"/>
      <c r="B3" s="217"/>
      <c r="C3" s="217"/>
      <c r="D3" s="217"/>
      <c r="E3" s="218" t="s">
        <v>1</v>
      </c>
      <c r="F3" s="68"/>
      <c r="G3" s="68"/>
      <c r="H3" s="218"/>
      <c r="I3" s="218" t="s">
        <v>2</v>
      </c>
      <c r="J3" s="68"/>
      <c r="K3" s="68"/>
      <c r="L3" s="68"/>
      <c r="M3" s="68"/>
      <c r="N3" s="318"/>
      <c r="O3" s="318"/>
      <c r="P3" s="318"/>
      <c r="Q3" s="318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</row>
    <row r="4" spans="1:57" ht="18.5" customHeight="1">
      <c r="A4" s="60"/>
      <c r="B4" s="70" t="s">
        <v>2</v>
      </c>
      <c r="C4" s="71" t="s">
        <v>3</v>
      </c>
      <c r="D4" s="70" t="s">
        <v>4</v>
      </c>
      <c r="E4" s="60"/>
      <c r="F4" s="60"/>
      <c r="G4" s="60"/>
      <c r="H4" s="60"/>
      <c r="I4" s="60"/>
      <c r="J4" s="60"/>
      <c r="K4" s="60"/>
      <c r="L4" s="60"/>
      <c r="M4" s="60"/>
      <c r="N4" s="321"/>
      <c r="O4" s="321"/>
      <c r="P4" s="321"/>
      <c r="Q4" s="321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</row>
    <row r="5" spans="1:57" s="12" customFormat="1">
      <c r="A5" s="134" t="s">
        <v>176</v>
      </c>
      <c r="B5" s="75"/>
      <c r="C5" s="77"/>
      <c r="D5" s="75"/>
      <c r="E5" s="60"/>
      <c r="F5" s="60"/>
      <c r="G5" s="60"/>
      <c r="H5" s="60"/>
      <c r="I5" s="60"/>
      <c r="J5" s="60"/>
      <c r="K5" s="60"/>
      <c r="L5" s="60"/>
      <c r="M5" s="60"/>
      <c r="N5" s="321"/>
      <c r="O5" s="321"/>
      <c r="P5" s="321"/>
      <c r="Q5" s="321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</row>
    <row r="6" spans="1:57" s="12" customFormat="1">
      <c r="A6" s="160" t="s">
        <v>177</v>
      </c>
      <c r="B6" s="75"/>
      <c r="C6" s="77"/>
      <c r="D6" s="78"/>
      <c r="E6" s="118"/>
      <c r="F6" s="118"/>
      <c r="G6" s="118"/>
      <c r="H6" s="60"/>
      <c r="I6" s="118">
        <v>9950</v>
      </c>
      <c r="J6" s="118">
        <f t="shared" ref="J6:Q6" si="0">I11</f>
        <v>9950</v>
      </c>
      <c r="K6" s="118">
        <f t="shared" si="0"/>
        <v>9950</v>
      </c>
      <c r="L6" s="118">
        <f t="shared" si="0"/>
        <v>9950</v>
      </c>
      <c r="M6" s="118">
        <f t="shared" si="0"/>
        <v>9950</v>
      </c>
      <c r="N6" s="319">
        <f t="shared" si="0"/>
        <v>9950</v>
      </c>
      <c r="O6" s="319">
        <f t="shared" si="0"/>
        <v>9950</v>
      </c>
      <c r="P6" s="319">
        <f t="shared" si="0"/>
        <v>9950</v>
      </c>
      <c r="Q6" s="319">
        <f t="shared" si="0"/>
        <v>9950</v>
      </c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</row>
    <row r="7" spans="1:57" s="12" customFormat="1">
      <c r="A7" s="160" t="s">
        <v>178</v>
      </c>
      <c r="B7" s="75"/>
      <c r="C7" s="77"/>
      <c r="D7" s="78"/>
      <c r="E7" s="118"/>
      <c r="F7" s="118"/>
      <c r="G7" s="118"/>
      <c r="H7" s="60"/>
      <c r="I7" s="118">
        <f>'c12_oc'!I47</f>
        <v>860896.17857142864</v>
      </c>
      <c r="J7" s="118">
        <f>'c12_oc'!J47</f>
        <v>860906.26238095248</v>
      </c>
      <c r="K7" s="118">
        <f>'c12_oc'!K47</f>
        <v>1404868.2648809524</v>
      </c>
      <c r="L7" s="118">
        <f>'c12_oc'!L47</f>
        <v>1332735.6596177951</v>
      </c>
      <c r="M7" s="118">
        <f>'c12_oc'!M47</f>
        <v>2652292.1379072675</v>
      </c>
      <c r="N7" s="319">
        <f>'c12_oc'!N47</f>
        <v>1559734.2702822676</v>
      </c>
      <c r="O7" s="319">
        <f>'c12_oc'!O47</f>
        <v>1559734.2702822676</v>
      </c>
      <c r="P7" s="319">
        <f>'c12_oc'!P47</f>
        <v>1559734.2702822676</v>
      </c>
      <c r="Q7" s="319">
        <f>'c12_oc'!Q47</f>
        <v>1559734.2702822676</v>
      </c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</row>
    <row r="8" spans="1:57" s="12" customFormat="1">
      <c r="A8" s="160" t="s">
        <v>179</v>
      </c>
      <c r="B8" s="75"/>
      <c r="C8" s="77"/>
      <c r="D8" s="78"/>
      <c r="E8" s="118"/>
      <c r="F8" s="118"/>
      <c r="G8" s="118"/>
      <c r="H8" s="60"/>
      <c r="I8" s="310">
        <f>-'c12_oc'!I60</f>
        <v>190054.81892857139</v>
      </c>
      <c r="J8" s="310">
        <f>-'c12_oc'!J60</f>
        <v>-335253.26238095248</v>
      </c>
      <c r="K8" s="310">
        <f>-'c12_oc'!K60</f>
        <v>-879215.26488095243</v>
      </c>
      <c r="L8" s="310">
        <f>-'c12_oc'!L60</f>
        <v>-807082.65961779514</v>
      </c>
      <c r="M8" s="310">
        <f>-'c12_oc'!M60</f>
        <v>-2126639.1379072675</v>
      </c>
      <c r="N8" s="355">
        <f>-'c12_oc'!N60</f>
        <v>-1034081.2702822676</v>
      </c>
      <c r="O8" s="355">
        <f>-'c12_oc'!O60</f>
        <v>-1034081.2702822676</v>
      </c>
      <c r="P8" s="355">
        <f>-'c12_oc'!P60</f>
        <v>-1034081.2702822676</v>
      </c>
      <c r="Q8" s="355">
        <f>-'c12_oc'!Q60</f>
        <v>-1034081.2702822676</v>
      </c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</row>
    <row r="9" spans="1:57" s="12" customFormat="1">
      <c r="A9" s="160" t="s">
        <v>180</v>
      </c>
      <c r="B9" s="61"/>
      <c r="C9" s="62"/>
      <c r="D9" s="61"/>
      <c r="E9" s="118"/>
      <c r="F9" s="118"/>
      <c r="G9" s="118"/>
      <c r="H9" s="60"/>
      <c r="I9" s="118">
        <f>'c12_oc'!I59</f>
        <v>-1050950.9975000001</v>
      </c>
      <c r="J9" s="118">
        <f>'c12_oc'!J59</f>
        <v>-525653</v>
      </c>
      <c r="K9" s="118">
        <f>'c12_oc'!K59</f>
        <v>-525653</v>
      </c>
      <c r="L9" s="118">
        <f>'c12_oc'!L59</f>
        <v>-525653</v>
      </c>
      <c r="M9" s="118">
        <f>'c12_oc'!M59</f>
        <v>-525653</v>
      </c>
      <c r="N9" s="319">
        <f>'c12_oc'!N59</f>
        <v>-525653</v>
      </c>
      <c r="O9" s="319">
        <f>'c12_oc'!O59</f>
        <v>-525653</v>
      </c>
      <c r="P9" s="319">
        <f>'c12_oc'!P59</f>
        <v>-525653</v>
      </c>
      <c r="Q9" s="319">
        <f>'c12_oc'!Q59</f>
        <v>-525653</v>
      </c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</row>
    <row r="10" spans="1:57">
      <c r="N10" s="356"/>
      <c r="O10" s="356"/>
      <c r="P10" s="356"/>
      <c r="Q10" s="356"/>
    </row>
    <row r="11" spans="1:57" s="12" customFormat="1">
      <c r="A11" s="134" t="s">
        <v>181</v>
      </c>
      <c r="B11" s="61"/>
      <c r="C11" s="62"/>
      <c r="D11" s="61"/>
      <c r="E11" s="118"/>
      <c r="F11" s="118"/>
      <c r="G11" s="118"/>
      <c r="H11" s="60"/>
      <c r="I11" s="118">
        <f t="shared" ref="I11:Q11" si="1">SUM(I6:I9)</f>
        <v>9950</v>
      </c>
      <c r="J11" s="118">
        <f>SUM(J6:J9)</f>
        <v>9950</v>
      </c>
      <c r="K11" s="118">
        <f t="shared" si="1"/>
        <v>9950</v>
      </c>
      <c r="L11" s="118">
        <f t="shared" si="1"/>
        <v>9950</v>
      </c>
      <c r="M11" s="118">
        <f t="shared" si="1"/>
        <v>9950</v>
      </c>
      <c r="N11" s="319">
        <f t="shared" si="1"/>
        <v>9950</v>
      </c>
      <c r="O11" s="319">
        <f t="shared" si="1"/>
        <v>9950</v>
      </c>
      <c r="P11" s="319">
        <f t="shared" si="1"/>
        <v>9950</v>
      </c>
      <c r="Q11" s="319">
        <f t="shared" si="1"/>
        <v>9950</v>
      </c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</row>
    <row r="12" spans="1:57" s="12" customFormat="1">
      <c r="A12" s="134" t="s">
        <v>182</v>
      </c>
      <c r="B12" s="61"/>
      <c r="C12" s="62"/>
      <c r="D12" s="61"/>
      <c r="E12" s="118"/>
      <c r="F12" s="118"/>
      <c r="G12" s="118"/>
      <c r="H12" s="95"/>
      <c r="I12" s="118">
        <f>-'c12_oc'!I74</f>
        <v>-2964570.5</v>
      </c>
      <c r="J12" s="118">
        <f>-'c12_oc'!J74</f>
        <v>-2970159.2973749996</v>
      </c>
      <c r="K12" s="118">
        <f>-'c12_oc'!K74</f>
        <v>-2465036.0922499998</v>
      </c>
      <c r="L12" s="118">
        <f>-'c12_oc'!L74</f>
        <v>-2022503.3871249997</v>
      </c>
      <c r="M12" s="118">
        <f>-'c12_oc'!M74</f>
        <v>-1664945.5194999997</v>
      </c>
      <c r="N12" s="319">
        <f>-'c12_oc'!N74</f>
        <v>-2399945.5194999995</v>
      </c>
      <c r="O12" s="319">
        <f>-'c12_oc'!O74</f>
        <v>-3134945.5194999995</v>
      </c>
      <c r="P12" s="319">
        <f>-'c12_oc'!P74</f>
        <v>-3869945.5194999995</v>
      </c>
      <c r="Q12" s="319">
        <f>-'c12_oc'!Q74</f>
        <v>-4604945.5194999995</v>
      </c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</row>
    <row r="13" spans="1:57" s="12" customFormat="1">
      <c r="A13" s="134" t="s">
        <v>183</v>
      </c>
      <c r="B13" s="61"/>
      <c r="C13" s="62"/>
      <c r="D13" s="61"/>
      <c r="E13" s="118"/>
      <c r="F13" s="118"/>
      <c r="G13" s="118"/>
      <c r="H13" s="95"/>
      <c r="I13" s="118">
        <f t="shared" ref="I13:Q13" si="2">SUM(I11:I12)</f>
        <v>-2954620.5</v>
      </c>
      <c r="J13" s="118">
        <f t="shared" si="2"/>
        <v>-2960209.2973749996</v>
      </c>
      <c r="K13" s="118">
        <f t="shared" si="2"/>
        <v>-2455086.0922499998</v>
      </c>
      <c r="L13" s="118">
        <f t="shared" si="2"/>
        <v>-2012553.3871249997</v>
      </c>
      <c r="M13" s="118">
        <f t="shared" si="2"/>
        <v>-1654995.5194999997</v>
      </c>
      <c r="N13" s="319">
        <f t="shared" si="2"/>
        <v>-2389995.5194999995</v>
      </c>
      <c r="O13" s="319">
        <f t="shared" si="2"/>
        <v>-3124995.5194999995</v>
      </c>
      <c r="P13" s="319">
        <f t="shared" si="2"/>
        <v>-3859995.5194999995</v>
      </c>
      <c r="Q13" s="319">
        <f t="shared" si="2"/>
        <v>-4594995.5194999995</v>
      </c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</row>
    <row r="14" spans="1:57" s="5" customFormat="1">
      <c r="A14" s="60"/>
      <c r="B14" s="61"/>
      <c r="C14" s="62"/>
      <c r="D14" s="61"/>
      <c r="E14" s="60"/>
      <c r="F14" s="60"/>
      <c r="G14" s="60"/>
      <c r="H14" s="60"/>
      <c r="I14" s="60"/>
      <c r="J14" s="60"/>
      <c r="K14" s="60"/>
      <c r="L14" s="60"/>
      <c r="M14" s="60"/>
      <c r="N14" s="321"/>
      <c r="O14" s="321"/>
      <c r="P14" s="321"/>
      <c r="Q14" s="321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</row>
    <row r="15" spans="1:57" s="12" customFormat="1">
      <c r="A15" s="134" t="s">
        <v>184</v>
      </c>
      <c r="B15" s="61"/>
      <c r="C15" s="62"/>
      <c r="D15" s="61"/>
      <c r="E15" s="60"/>
      <c r="F15" s="60"/>
      <c r="G15" s="60"/>
      <c r="H15" s="60"/>
      <c r="I15" s="60"/>
      <c r="J15" s="60"/>
      <c r="K15" s="60"/>
      <c r="L15" s="60"/>
      <c r="M15" s="60"/>
      <c r="N15" s="321"/>
      <c r="O15" s="321"/>
      <c r="P15" s="321"/>
      <c r="Q15" s="321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</row>
    <row r="16" spans="1:57" s="12" customFormat="1">
      <c r="A16" s="134" t="s">
        <v>185</v>
      </c>
      <c r="B16" s="61"/>
      <c r="C16" s="62"/>
      <c r="D16" s="61"/>
      <c r="E16" s="118"/>
      <c r="F16" s="118"/>
      <c r="G16" s="118"/>
      <c r="H16" s="60"/>
      <c r="I16" s="118">
        <f>'c12_oc'!I62</f>
        <v>-1924884.2757142859</v>
      </c>
      <c r="J16" s="118">
        <f>'c12_oc'!J62</f>
        <v>-48632.013333333423</v>
      </c>
      <c r="K16" s="118">
        <f>'c12_oc'!K62</f>
        <v>0</v>
      </c>
      <c r="L16" s="118">
        <f>'c12_oc'!L62</f>
        <v>0</v>
      </c>
      <c r="M16" s="118">
        <f>'c12_oc'!M62</f>
        <v>0</v>
      </c>
      <c r="N16" s="319">
        <f>'c12_oc'!N62</f>
        <v>0</v>
      </c>
      <c r="O16" s="319">
        <f>'c12_oc'!O62</f>
        <v>0</v>
      </c>
      <c r="P16" s="319">
        <f>'c12_oc'!P62</f>
        <v>0</v>
      </c>
      <c r="Q16" s="319">
        <f>'c12_oc'!Q62</f>
        <v>0</v>
      </c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</row>
    <row r="17" spans="1:53" s="5" customFormat="1">
      <c r="A17" s="60"/>
      <c r="B17" s="61"/>
      <c r="C17" s="62"/>
      <c r="D17" s="61"/>
      <c r="E17" s="60"/>
      <c r="F17" s="60"/>
      <c r="G17" s="60"/>
      <c r="H17" s="99"/>
      <c r="I17" s="60"/>
      <c r="J17" s="60"/>
      <c r="K17" s="60"/>
      <c r="L17" s="60"/>
      <c r="M17" s="60"/>
      <c r="N17" s="321"/>
      <c r="O17" s="321"/>
      <c r="P17" s="321"/>
      <c r="Q17" s="321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</row>
    <row r="18" spans="1:53" s="12" customFormat="1">
      <c r="A18" s="134" t="s">
        <v>186</v>
      </c>
      <c r="B18" s="61"/>
      <c r="C18" s="62"/>
      <c r="D18" s="61"/>
      <c r="E18" s="118"/>
      <c r="F18" s="118"/>
      <c r="G18" s="118"/>
      <c r="H18" s="99"/>
      <c r="I18" s="118">
        <f t="shared" ref="I18:Q18" si="3">I16+I13</f>
        <v>-4879504.7757142857</v>
      </c>
      <c r="J18" s="118">
        <f>J16+J13</f>
        <v>-3008841.3107083328</v>
      </c>
      <c r="K18" s="118">
        <f>K16+K13</f>
        <v>-2455086.0922499998</v>
      </c>
      <c r="L18" s="118">
        <f t="shared" si="3"/>
        <v>-2012553.3871249997</v>
      </c>
      <c r="M18" s="118">
        <f t="shared" si="3"/>
        <v>-1654995.5194999997</v>
      </c>
      <c r="N18" s="319">
        <f t="shared" si="3"/>
        <v>-2389995.5194999995</v>
      </c>
      <c r="O18" s="319">
        <f t="shared" si="3"/>
        <v>-3124995.5194999995</v>
      </c>
      <c r="P18" s="319">
        <f t="shared" si="3"/>
        <v>-3859995.5194999995</v>
      </c>
      <c r="Q18" s="319">
        <f t="shared" si="3"/>
        <v>-4594995.5194999995</v>
      </c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</row>
    <row r="19" spans="1:53" s="5" customFormat="1">
      <c r="A19" s="60"/>
      <c r="B19" s="61"/>
      <c r="C19" s="62"/>
      <c r="D19" s="61"/>
      <c r="E19" s="60"/>
      <c r="F19" s="60"/>
      <c r="G19" s="60"/>
      <c r="H19" s="91"/>
      <c r="I19" s="60"/>
      <c r="J19" s="60"/>
      <c r="K19" s="60"/>
      <c r="L19" s="60"/>
      <c r="M19" s="60"/>
      <c r="N19" s="321"/>
      <c r="O19" s="321"/>
      <c r="P19" s="321"/>
      <c r="Q19" s="321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</row>
    <row r="20" spans="1:53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321"/>
      <c r="O20" s="321"/>
      <c r="P20" s="321"/>
      <c r="Q20" s="321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</row>
    <row r="21" spans="1:53">
      <c r="A21" s="60"/>
      <c r="B21" s="60"/>
      <c r="C21" s="60"/>
      <c r="D21" s="60"/>
      <c r="E21" s="60"/>
      <c r="F21" s="60"/>
      <c r="G21" s="60"/>
      <c r="H21" s="104"/>
      <c r="I21" s="60"/>
      <c r="J21" s="60"/>
      <c r="K21" s="60"/>
      <c r="L21" s="60"/>
      <c r="M21" s="60"/>
      <c r="N21" s="321"/>
      <c r="O21" s="321"/>
      <c r="P21" s="321"/>
      <c r="Q21" s="321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</row>
    <row r="22" spans="1:53">
      <c r="A22" s="60"/>
      <c r="B22" s="60"/>
      <c r="C22" s="60"/>
      <c r="D22" s="60"/>
      <c r="E22" s="60"/>
      <c r="F22" s="60"/>
      <c r="G22" s="60"/>
      <c r="H22" s="91"/>
      <c r="I22" s="60"/>
      <c r="J22" s="60"/>
      <c r="K22" s="60"/>
      <c r="L22" s="60"/>
      <c r="M22" s="60"/>
      <c r="N22" s="321"/>
      <c r="O22" s="321"/>
      <c r="P22" s="321"/>
      <c r="Q22" s="321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</row>
    <row r="23" spans="1:53">
      <c r="A23" s="60"/>
      <c r="B23" s="60"/>
      <c r="C23" s="60"/>
      <c r="D23" s="60"/>
      <c r="E23" s="60"/>
      <c r="F23" s="60"/>
      <c r="G23" s="60"/>
      <c r="H23" s="91"/>
      <c r="I23" s="60"/>
      <c r="J23" s="60"/>
      <c r="K23" s="60"/>
      <c r="L23" s="60"/>
      <c r="M23" s="60"/>
      <c r="N23" s="321"/>
      <c r="O23" s="321"/>
      <c r="P23" s="321"/>
      <c r="Q23" s="321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</row>
    <row r="24" spans="1:53">
      <c r="A24" s="60"/>
      <c r="B24" s="60"/>
      <c r="C24" s="60"/>
      <c r="D24" s="60"/>
      <c r="E24" s="60"/>
      <c r="F24" s="60"/>
      <c r="G24" s="60"/>
      <c r="H24" s="91"/>
      <c r="I24" s="60"/>
      <c r="J24" s="60"/>
      <c r="K24" s="60"/>
      <c r="L24" s="60"/>
      <c r="M24" s="60"/>
      <c r="N24" s="321"/>
      <c r="O24" s="321"/>
      <c r="P24" s="321"/>
      <c r="Q24" s="321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</row>
    <row r="25" spans="1:53">
      <c r="A25" s="60"/>
      <c r="B25" s="60"/>
      <c r="C25" s="60"/>
      <c r="D25" s="60"/>
      <c r="E25" s="60"/>
      <c r="F25" s="60"/>
      <c r="G25" s="60"/>
      <c r="H25" s="91"/>
      <c r="I25" s="60"/>
      <c r="J25" s="60"/>
      <c r="K25" s="60"/>
      <c r="L25" s="60"/>
      <c r="M25" s="60"/>
      <c r="N25" s="321"/>
      <c r="O25" s="321"/>
      <c r="P25" s="321"/>
      <c r="Q25" s="321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</row>
    <row r="26" spans="1:53">
      <c r="A26" s="60"/>
      <c r="B26" s="60"/>
      <c r="C26" s="60"/>
      <c r="D26" s="60"/>
      <c r="E26" s="60"/>
      <c r="F26" s="60"/>
      <c r="G26" s="60"/>
      <c r="H26" s="91"/>
      <c r="I26" s="60"/>
      <c r="J26" s="60"/>
      <c r="K26" s="60"/>
      <c r="L26" s="60"/>
      <c r="M26" s="60"/>
      <c r="N26" s="321"/>
      <c r="O26" s="321"/>
      <c r="P26" s="321"/>
      <c r="Q26" s="321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</row>
    <row r="27" spans="1:53">
      <c r="A27" s="60"/>
      <c r="B27" s="60"/>
      <c r="C27" s="60"/>
      <c r="D27" s="60"/>
      <c r="E27" s="60"/>
      <c r="F27" s="60"/>
      <c r="G27" s="60"/>
      <c r="H27" s="91"/>
      <c r="I27" s="60"/>
      <c r="J27" s="60"/>
      <c r="K27" s="60"/>
      <c r="L27" s="60"/>
      <c r="M27" s="60"/>
      <c r="N27" s="321"/>
      <c r="O27" s="321"/>
      <c r="P27" s="321"/>
      <c r="Q27" s="321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</row>
    <row r="28" spans="1:53">
      <c r="A28" s="60"/>
      <c r="B28" s="60"/>
      <c r="C28" s="60"/>
      <c r="D28" s="60"/>
      <c r="E28" s="60"/>
      <c r="F28" s="60"/>
      <c r="G28" s="60"/>
      <c r="H28" s="91"/>
      <c r="I28" s="60"/>
      <c r="J28" s="60"/>
      <c r="K28" s="60"/>
      <c r="L28" s="60"/>
      <c r="M28" s="60"/>
      <c r="N28" s="321"/>
      <c r="O28" s="321"/>
      <c r="P28" s="321"/>
      <c r="Q28" s="321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</row>
    <row r="29" spans="1:53">
      <c r="A29" s="60"/>
      <c r="B29" s="60"/>
      <c r="C29" s="60"/>
      <c r="D29" s="60"/>
      <c r="E29" s="60"/>
      <c r="F29" s="60"/>
      <c r="G29" s="60"/>
      <c r="H29" s="91"/>
      <c r="I29" s="60"/>
      <c r="J29" s="60"/>
      <c r="K29" s="60"/>
      <c r="L29" s="60"/>
      <c r="M29" s="60"/>
      <c r="N29" s="321"/>
      <c r="O29" s="321"/>
      <c r="P29" s="321"/>
      <c r="Q29" s="321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</row>
    <row r="30" spans="1:53">
      <c r="A30" s="60"/>
      <c r="B30" s="60"/>
      <c r="C30" s="60"/>
      <c r="D30" s="60"/>
      <c r="E30" s="60"/>
      <c r="F30" s="60"/>
      <c r="G30" s="60"/>
      <c r="H30" s="91"/>
      <c r="I30" s="60"/>
      <c r="J30" s="60"/>
      <c r="K30" s="60"/>
      <c r="L30" s="60"/>
      <c r="M30" s="60"/>
      <c r="N30" s="321"/>
      <c r="O30" s="321"/>
      <c r="P30" s="321"/>
      <c r="Q30" s="321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</row>
    <row r="31" spans="1:53">
      <c r="A31" s="60"/>
      <c r="B31" s="60"/>
      <c r="C31" s="60"/>
      <c r="D31" s="60"/>
      <c r="E31" s="60"/>
      <c r="F31" s="60"/>
      <c r="G31" s="60"/>
      <c r="H31" s="91"/>
      <c r="I31" s="60"/>
      <c r="J31" s="60"/>
      <c r="K31" s="60"/>
      <c r="L31" s="60"/>
      <c r="M31" s="60"/>
      <c r="N31" s="321"/>
      <c r="O31" s="321"/>
      <c r="P31" s="321"/>
      <c r="Q31" s="321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</row>
    <row r="32" spans="1:53">
      <c r="A32" s="60"/>
      <c r="B32" s="60"/>
      <c r="C32" s="60"/>
      <c r="D32" s="60"/>
      <c r="E32" s="60"/>
      <c r="F32" s="60"/>
      <c r="G32" s="60"/>
      <c r="H32" s="91"/>
      <c r="I32" s="60"/>
      <c r="J32" s="60"/>
      <c r="K32" s="60"/>
      <c r="L32" s="60"/>
      <c r="M32" s="60"/>
      <c r="N32" s="321"/>
      <c r="O32" s="321"/>
      <c r="P32" s="321"/>
      <c r="Q32" s="321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</row>
    <row r="33" spans="1:53">
      <c r="A33" s="60"/>
      <c r="B33" s="60"/>
      <c r="C33" s="60"/>
      <c r="D33" s="60"/>
      <c r="E33" s="60"/>
      <c r="F33" s="60"/>
      <c r="G33" s="60"/>
      <c r="H33" s="99"/>
      <c r="I33" s="60"/>
      <c r="J33" s="60"/>
      <c r="K33" s="60"/>
      <c r="L33" s="60"/>
      <c r="M33" s="60"/>
      <c r="N33" s="321"/>
      <c r="O33" s="321"/>
      <c r="P33" s="321"/>
      <c r="Q33" s="321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</row>
    <row r="34" spans="1:53">
      <c r="A34" s="60"/>
      <c r="B34" s="60"/>
      <c r="C34" s="60"/>
      <c r="D34" s="60"/>
      <c r="E34" s="60"/>
      <c r="F34" s="60"/>
      <c r="G34" s="60"/>
      <c r="H34" s="91"/>
      <c r="I34" s="60"/>
      <c r="J34" s="60"/>
      <c r="K34" s="60"/>
      <c r="L34" s="60"/>
      <c r="M34" s="60"/>
      <c r="N34" s="321"/>
      <c r="O34" s="321"/>
      <c r="P34" s="321"/>
      <c r="Q34" s="321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</row>
    <row r="35" spans="1:53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321"/>
      <c r="O35" s="321"/>
      <c r="P35" s="321"/>
      <c r="Q35" s="321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</row>
    <row r="36" spans="1:53">
      <c r="A36" s="60"/>
      <c r="B36" s="60"/>
      <c r="C36" s="60"/>
      <c r="D36" s="60"/>
      <c r="E36" s="60"/>
      <c r="F36" s="60"/>
      <c r="G36" s="60"/>
      <c r="H36" s="116"/>
      <c r="I36" s="60"/>
      <c r="J36" s="60"/>
      <c r="K36" s="60"/>
      <c r="L36" s="60"/>
      <c r="M36" s="60"/>
      <c r="N36" s="321"/>
      <c r="O36" s="321"/>
      <c r="P36" s="321"/>
      <c r="Q36" s="321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</row>
    <row r="37" spans="1:53">
      <c r="A37" s="60"/>
      <c r="B37" s="60"/>
      <c r="C37" s="60"/>
      <c r="D37" s="60"/>
      <c r="E37" s="60"/>
      <c r="F37" s="60"/>
      <c r="G37" s="60"/>
      <c r="H37" s="116"/>
      <c r="I37" s="60"/>
      <c r="J37" s="60"/>
      <c r="K37" s="60"/>
      <c r="L37" s="60"/>
      <c r="M37" s="60"/>
      <c r="N37" s="321"/>
      <c r="O37" s="321"/>
      <c r="P37" s="321"/>
      <c r="Q37" s="321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</row>
    <row r="38" spans="1:53">
      <c r="A38" s="60"/>
      <c r="B38" s="60"/>
      <c r="C38" s="60"/>
      <c r="D38" s="60"/>
      <c r="E38" s="60"/>
      <c r="F38" s="60"/>
      <c r="G38" s="60"/>
      <c r="H38" s="116"/>
      <c r="I38" s="60"/>
      <c r="J38" s="60"/>
      <c r="K38" s="60"/>
      <c r="L38" s="60"/>
      <c r="M38" s="60"/>
      <c r="N38" s="321"/>
      <c r="O38" s="321"/>
      <c r="P38" s="321"/>
      <c r="Q38" s="321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</row>
    <row r="39" spans="1:53">
      <c r="A39" s="60"/>
      <c r="B39" s="60"/>
      <c r="C39" s="60"/>
      <c r="D39" s="60"/>
      <c r="E39" s="60"/>
      <c r="F39" s="60"/>
      <c r="G39" s="60"/>
      <c r="H39" s="116"/>
      <c r="I39" s="60"/>
      <c r="J39" s="60"/>
      <c r="K39" s="60"/>
      <c r="L39" s="60"/>
      <c r="M39" s="60"/>
      <c r="N39" s="321"/>
      <c r="O39" s="321"/>
      <c r="P39" s="321"/>
      <c r="Q39" s="321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</row>
    <row r="40" spans="1:53">
      <c r="A40" s="60"/>
      <c r="B40" s="60"/>
      <c r="C40" s="60"/>
      <c r="D40" s="60"/>
      <c r="E40" s="60"/>
      <c r="F40" s="60"/>
      <c r="G40" s="60"/>
      <c r="H40" s="91"/>
      <c r="I40" s="60"/>
      <c r="J40" s="60"/>
      <c r="K40" s="60"/>
      <c r="L40" s="60"/>
      <c r="M40" s="60"/>
      <c r="N40" s="321"/>
      <c r="O40" s="321"/>
      <c r="P40" s="321"/>
      <c r="Q40" s="321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</row>
    <row r="41" spans="1:53">
      <c r="A41" s="60"/>
      <c r="B41" s="60"/>
      <c r="C41" s="60"/>
      <c r="D41" s="60"/>
      <c r="E41" s="60"/>
      <c r="F41" s="60"/>
      <c r="G41" s="60"/>
      <c r="H41" s="116"/>
      <c r="I41" s="60"/>
      <c r="J41" s="60"/>
      <c r="K41" s="60"/>
      <c r="L41" s="60"/>
      <c r="M41" s="60"/>
      <c r="N41" s="321"/>
      <c r="O41" s="321"/>
      <c r="P41" s="321"/>
      <c r="Q41" s="321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</row>
    <row r="42" spans="1:53">
      <c r="A42" s="60"/>
      <c r="B42" s="60"/>
      <c r="C42" s="60"/>
      <c r="D42" s="60"/>
      <c r="E42" s="60"/>
      <c r="F42" s="60"/>
      <c r="G42" s="60"/>
      <c r="H42" s="116"/>
      <c r="I42" s="60"/>
      <c r="J42" s="60"/>
      <c r="K42" s="60"/>
      <c r="L42" s="60"/>
      <c r="M42" s="60"/>
      <c r="N42" s="321"/>
      <c r="O42" s="321"/>
      <c r="P42" s="321"/>
      <c r="Q42" s="321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</row>
    <row r="43" spans="1:53">
      <c r="A43" s="60"/>
      <c r="B43" s="60"/>
      <c r="C43" s="60"/>
      <c r="D43" s="60"/>
      <c r="E43" s="60"/>
      <c r="F43" s="60"/>
      <c r="G43" s="60"/>
      <c r="H43" s="116"/>
      <c r="I43" s="60"/>
      <c r="J43" s="60"/>
      <c r="K43" s="60"/>
      <c r="L43" s="60"/>
      <c r="M43" s="60"/>
      <c r="N43" s="321"/>
      <c r="O43" s="321"/>
      <c r="P43" s="321"/>
      <c r="Q43" s="321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</row>
    <row r="44" spans="1:53">
      <c r="A44" s="60"/>
      <c r="B44" s="60"/>
      <c r="C44" s="60"/>
      <c r="D44" s="60"/>
      <c r="E44" s="60"/>
      <c r="F44" s="60"/>
      <c r="G44" s="60"/>
      <c r="H44" s="116"/>
      <c r="I44" s="60"/>
      <c r="J44" s="60"/>
      <c r="K44" s="60"/>
      <c r="L44" s="60"/>
      <c r="M44" s="60"/>
      <c r="N44" s="321"/>
      <c r="O44" s="321"/>
      <c r="P44" s="321"/>
      <c r="Q44" s="321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</row>
    <row r="45" spans="1:53">
      <c r="A45" s="60"/>
      <c r="B45" s="60"/>
      <c r="C45" s="60"/>
      <c r="D45" s="60"/>
      <c r="E45" s="60"/>
      <c r="F45" s="60"/>
      <c r="G45" s="60"/>
      <c r="H45" s="116"/>
      <c r="I45" s="60"/>
      <c r="J45" s="60"/>
      <c r="K45" s="60"/>
      <c r="L45" s="60"/>
      <c r="M45" s="60"/>
      <c r="N45" s="321"/>
      <c r="O45" s="321"/>
      <c r="P45" s="321"/>
      <c r="Q45" s="321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</row>
    <row r="46" spans="1:53">
      <c r="A46" s="60"/>
      <c r="B46" s="60"/>
      <c r="C46" s="60"/>
      <c r="D46" s="60"/>
      <c r="E46" s="60"/>
      <c r="F46" s="60"/>
      <c r="G46" s="60"/>
      <c r="H46" s="116"/>
      <c r="I46" s="60"/>
      <c r="J46" s="60"/>
      <c r="K46" s="60"/>
      <c r="L46" s="60"/>
      <c r="M46" s="60"/>
      <c r="N46" s="321"/>
      <c r="O46" s="321"/>
      <c r="P46" s="321"/>
      <c r="Q46" s="321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</row>
    <row r="47" spans="1:53">
      <c r="A47" s="60"/>
      <c r="B47" s="60"/>
      <c r="C47" s="60"/>
      <c r="D47" s="60"/>
      <c r="E47" s="60"/>
      <c r="F47" s="60"/>
      <c r="G47" s="60"/>
      <c r="H47" s="116"/>
      <c r="I47" s="60"/>
      <c r="J47" s="60"/>
      <c r="K47" s="60"/>
      <c r="L47" s="60"/>
      <c r="M47" s="60"/>
      <c r="N47" s="321"/>
      <c r="O47" s="321"/>
      <c r="P47" s="321"/>
      <c r="Q47" s="321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</row>
    <row r="48" spans="1:53">
      <c r="A48" s="60"/>
      <c r="B48" s="60"/>
      <c r="C48" s="60"/>
      <c r="D48" s="60"/>
      <c r="E48" s="60"/>
      <c r="F48" s="60"/>
      <c r="G48" s="60"/>
      <c r="H48" s="126"/>
      <c r="I48" s="60"/>
      <c r="J48" s="60"/>
      <c r="K48" s="60"/>
      <c r="L48" s="60"/>
      <c r="M48" s="60"/>
      <c r="N48" s="321"/>
      <c r="O48" s="321"/>
      <c r="P48" s="321"/>
      <c r="Q48" s="321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</row>
    <row r="49" spans="1:53">
      <c r="A49" s="60"/>
      <c r="B49" s="60"/>
      <c r="C49" s="60"/>
      <c r="D49" s="60"/>
      <c r="E49" s="60"/>
      <c r="F49" s="60"/>
      <c r="G49" s="60"/>
      <c r="H49" s="126"/>
      <c r="I49" s="60"/>
      <c r="J49" s="60"/>
      <c r="K49" s="60"/>
      <c r="L49" s="60"/>
      <c r="M49" s="60"/>
      <c r="N49" s="321"/>
      <c r="O49" s="321"/>
      <c r="P49" s="321"/>
      <c r="Q49" s="321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</row>
    <row r="50" spans="1:53">
      <c r="A50" s="60"/>
      <c r="B50" s="60"/>
      <c r="C50" s="60"/>
      <c r="D50" s="60"/>
      <c r="E50" s="60"/>
      <c r="F50" s="60"/>
      <c r="G50" s="60"/>
      <c r="H50" s="126"/>
      <c r="I50" s="60"/>
      <c r="J50" s="60"/>
      <c r="K50" s="60"/>
      <c r="L50" s="60"/>
      <c r="M50" s="60"/>
      <c r="N50" s="321"/>
      <c r="O50" s="321"/>
      <c r="P50" s="321"/>
      <c r="Q50" s="321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</row>
    <row r="51" spans="1:53">
      <c r="A51" s="60"/>
      <c r="B51" s="60"/>
      <c r="C51" s="60"/>
      <c r="D51" s="60"/>
      <c r="E51" s="60"/>
      <c r="F51" s="60"/>
      <c r="G51" s="60"/>
      <c r="H51" s="126"/>
      <c r="I51" s="60"/>
      <c r="J51" s="60"/>
      <c r="K51" s="60"/>
      <c r="L51" s="60"/>
      <c r="M51" s="60"/>
      <c r="N51" s="321"/>
      <c r="O51" s="321"/>
      <c r="P51" s="321"/>
      <c r="Q51" s="321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</row>
    <row r="52" spans="1:53">
      <c r="A52" s="60"/>
      <c r="B52" s="60"/>
      <c r="C52" s="60"/>
      <c r="D52" s="60"/>
      <c r="E52" s="60"/>
      <c r="F52" s="60"/>
      <c r="G52" s="60"/>
      <c r="H52" s="126"/>
      <c r="I52" s="60"/>
      <c r="J52" s="60"/>
      <c r="K52" s="60"/>
      <c r="L52" s="60"/>
      <c r="M52" s="60"/>
      <c r="N52" s="321"/>
      <c r="O52" s="321"/>
      <c r="P52" s="321"/>
      <c r="Q52" s="321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</row>
    <row r="53" spans="1: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321"/>
      <c r="O53" s="321"/>
      <c r="P53" s="321"/>
      <c r="Q53" s="321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</row>
    <row r="54" spans="1:53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321"/>
      <c r="O54" s="321"/>
      <c r="P54" s="321"/>
      <c r="Q54" s="321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</row>
    <row r="55" spans="1:53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321"/>
      <c r="O55" s="321"/>
      <c r="P55" s="321"/>
      <c r="Q55" s="321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</row>
    <row r="56" spans="1:53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321"/>
      <c r="O56" s="321"/>
      <c r="P56" s="321"/>
      <c r="Q56" s="321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</row>
    <row r="57" spans="1:53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321"/>
      <c r="O57" s="321"/>
      <c r="P57" s="321"/>
      <c r="Q57" s="321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</row>
    <row r="58" spans="1:53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321"/>
      <c r="O58" s="321"/>
      <c r="P58" s="321"/>
      <c r="Q58" s="321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</row>
    <row r="59" spans="1:53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321"/>
      <c r="O59" s="321"/>
      <c r="P59" s="321"/>
      <c r="Q59" s="321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</row>
    <row r="60" spans="1:53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321"/>
      <c r="O60" s="321"/>
      <c r="P60" s="321"/>
      <c r="Q60" s="321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</row>
    <row r="61" spans="1:53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321"/>
      <c r="O61" s="321"/>
      <c r="P61" s="321"/>
      <c r="Q61" s="321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</row>
    <row r="62" spans="1:53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321"/>
      <c r="O62" s="321"/>
      <c r="P62" s="321"/>
      <c r="Q62" s="321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</row>
    <row r="63" spans="1:5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321"/>
      <c r="O63" s="321"/>
      <c r="P63" s="321"/>
      <c r="Q63" s="321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</row>
    <row r="64" spans="1:53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321"/>
      <c r="O64" s="321"/>
      <c r="P64" s="321"/>
      <c r="Q64" s="321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</row>
    <row r="65" spans="1:53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321"/>
      <c r="O65" s="321"/>
      <c r="P65" s="321"/>
      <c r="Q65" s="321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</row>
    <row r="66" spans="1:53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321"/>
      <c r="O66" s="321"/>
      <c r="P66" s="321"/>
      <c r="Q66" s="321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</row>
    <row r="67" spans="1:53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321"/>
      <c r="O67" s="321"/>
      <c r="P67" s="321"/>
      <c r="Q67" s="321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</row>
    <row r="68" spans="1:53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321"/>
      <c r="O68" s="321"/>
      <c r="P68" s="321"/>
      <c r="Q68" s="321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</row>
    <row r="69" spans="1:53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321"/>
      <c r="O69" s="321"/>
      <c r="P69" s="321"/>
      <c r="Q69" s="321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</row>
    <row r="70" spans="1:53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321"/>
      <c r="O70" s="321"/>
      <c r="P70" s="321"/>
      <c r="Q70" s="321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</row>
    <row r="71" spans="1:53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321"/>
      <c r="O71" s="321"/>
      <c r="P71" s="321"/>
      <c r="Q71" s="321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</row>
    <row r="72" spans="1:53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321"/>
      <c r="O72" s="321"/>
      <c r="P72" s="321"/>
      <c r="Q72" s="321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</row>
    <row r="73" spans="1:5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321"/>
      <c r="O73" s="321"/>
      <c r="P73" s="321"/>
      <c r="Q73" s="321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</row>
    <row r="74" spans="1:53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321"/>
      <c r="O74" s="321"/>
      <c r="P74" s="321"/>
      <c r="Q74" s="321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</row>
    <row r="75" spans="1:53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321"/>
      <c r="O75" s="321"/>
      <c r="P75" s="321"/>
      <c r="Q75" s="321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</row>
    <row r="76" spans="1:53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321"/>
      <c r="O76" s="321"/>
      <c r="P76" s="321"/>
      <c r="Q76" s="321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</row>
    <row r="77" spans="1:53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321"/>
      <c r="O77" s="321"/>
      <c r="P77" s="321"/>
      <c r="Q77" s="321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</row>
    <row r="78" spans="1:53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321"/>
      <c r="O78" s="321"/>
      <c r="P78" s="321"/>
      <c r="Q78" s="321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</row>
    <row r="79" spans="1:53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321"/>
      <c r="O79" s="321"/>
      <c r="P79" s="321"/>
      <c r="Q79" s="321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</row>
    <row r="80" spans="1:53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321"/>
      <c r="O80" s="321"/>
      <c r="P80" s="321"/>
      <c r="Q80" s="321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</row>
    <row r="81" spans="1:53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321"/>
      <c r="O81" s="321"/>
      <c r="P81" s="321"/>
      <c r="Q81" s="321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</row>
    <row r="82" spans="1:53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321"/>
      <c r="O82" s="321"/>
      <c r="P82" s="321"/>
      <c r="Q82" s="321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</row>
    <row r="83" spans="1:5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321"/>
      <c r="O83" s="321"/>
      <c r="P83" s="321"/>
      <c r="Q83" s="321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</row>
    <row r="84" spans="1:53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321"/>
      <c r="O84" s="321"/>
      <c r="P84" s="321"/>
      <c r="Q84" s="321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</row>
    <row r="85" spans="1:53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321"/>
      <c r="O85" s="321"/>
      <c r="P85" s="321"/>
      <c r="Q85" s="321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</row>
    <row r="86" spans="1:53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321"/>
      <c r="O86" s="321"/>
      <c r="P86" s="321"/>
      <c r="Q86" s="321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</row>
    <row r="87" spans="1:53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321"/>
      <c r="O87" s="321"/>
      <c r="P87" s="321"/>
      <c r="Q87" s="321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</row>
    <row r="88" spans="1:53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321"/>
      <c r="O88" s="321"/>
      <c r="P88" s="321"/>
      <c r="Q88" s="321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</row>
    <row r="89" spans="1:53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321"/>
      <c r="O89" s="321"/>
      <c r="P89" s="321"/>
      <c r="Q89" s="321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</row>
    <row r="90" spans="1:53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321"/>
      <c r="O90" s="321"/>
      <c r="P90" s="321"/>
      <c r="Q90" s="321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</row>
    <row r="91" spans="1:53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321"/>
      <c r="O91" s="321"/>
      <c r="P91" s="321"/>
      <c r="Q91" s="321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</row>
    <row r="92" spans="1:53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321"/>
      <c r="O92" s="321"/>
      <c r="P92" s="321"/>
      <c r="Q92" s="321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</row>
    <row r="93" spans="1:5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321"/>
      <c r="O93" s="321"/>
      <c r="P93" s="321"/>
      <c r="Q93" s="321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</row>
    <row r="94" spans="1:53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321"/>
      <c r="O94" s="321"/>
      <c r="P94" s="321"/>
      <c r="Q94" s="321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</row>
    <row r="95" spans="1:53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321"/>
      <c r="O95" s="321"/>
      <c r="P95" s="321"/>
      <c r="Q95" s="321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</row>
    <row r="96" spans="1:53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321"/>
      <c r="O96" s="321"/>
      <c r="P96" s="321"/>
      <c r="Q96" s="321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</row>
    <row r="97" spans="1:53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321"/>
      <c r="O97" s="321"/>
      <c r="P97" s="321"/>
      <c r="Q97" s="321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</row>
    <row r="98" spans="1:53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321"/>
      <c r="O98" s="321"/>
      <c r="P98" s="321"/>
      <c r="Q98" s="321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</row>
    <row r="99" spans="1:53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321"/>
      <c r="O99" s="321"/>
      <c r="P99" s="321"/>
      <c r="Q99" s="321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</row>
    <row r="100" spans="1:53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321"/>
      <c r="O100" s="321"/>
      <c r="P100" s="321"/>
      <c r="Q100" s="321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</row>
    <row r="101" spans="1:53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321"/>
      <c r="O101" s="321"/>
      <c r="P101" s="321"/>
      <c r="Q101" s="321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</row>
    <row r="102" spans="1:53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321"/>
      <c r="O102" s="321"/>
      <c r="P102" s="321"/>
      <c r="Q102" s="321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</row>
    <row r="103" spans="1:5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321"/>
      <c r="O103" s="321"/>
      <c r="P103" s="321"/>
      <c r="Q103" s="321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</row>
    <row r="104" spans="1:53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321"/>
      <c r="O104" s="321"/>
      <c r="P104" s="321"/>
      <c r="Q104" s="321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</row>
    <row r="105" spans="1:53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321"/>
      <c r="O105" s="321"/>
      <c r="P105" s="321"/>
      <c r="Q105" s="321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</row>
    <row r="106" spans="1:53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321"/>
      <c r="O106" s="321"/>
      <c r="P106" s="321"/>
      <c r="Q106" s="321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</row>
    <row r="107" spans="1:53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321"/>
      <c r="O107" s="321"/>
      <c r="P107" s="321"/>
      <c r="Q107" s="321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</row>
    <row r="108" spans="1:53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321"/>
      <c r="O108" s="321"/>
      <c r="P108" s="321"/>
      <c r="Q108" s="321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</row>
    <row r="109" spans="1:53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321"/>
      <c r="O109" s="321"/>
      <c r="P109" s="321"/>
      <c r="Q109" s="321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</row>
    <row r="110" spans="1:53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321"/>
      <c r="O110" s="321"/>
      <c r="P110" s="321"/>
      <c r="Q110" s="321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</row>
    <row r="111" spans="1:53">
      <c r="A111" s="60"/>
      <c r="B111" s="81"/>
      <c r="C111" s="60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321"/>
      <c r="O111" s="321"/>
      <c r="P111" s="321"/>
      <c r="Q111" s="321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</row>
    <row r="112" spans="1:53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321"/>
      <c r="O112" s="321"/>
      <c r="P112" s="321"/>
      <c r="Q112" s="321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</row>
    <row r="113" spans="1:53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321"/>
      <c r="O113" s="321"/>
      <c r="P113" s="321"/>
      <c r="Q113" s="321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</row>
    <row r="114" spans="1:53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321"/>
      <c r="O114" s="321"/>
      <c r="P114" s="321"/>
      <c r="Q114" s="321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</row>
    <row r="115" spans="1:53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321"/>
      <c r="O115" s="321"/>
      <c r="P115" s="321"/>
      <c r="Q115" s="321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</row>
    <row r="116" spans="1:53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321"/>
      <c r="O116" s="321"/>
      <c r="P116" s="321"/>
      <c r="Q116" s="321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</row>
    <row r="117" spans="1:53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321"/>
      <c r="O117" s="321"/>
      <c r="P117" s="321"/>
      <c r="Q117" s="321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</row>
    <row r="118" spans="1:53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321"/>
      <c r="O118" s="321"/>
      <c r="P118" s="321"/>
      <c r="Q118" s="321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</row>
    <row r="119" spans="1:53">
      <c r="A119" s="60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321"/>
      <c r="O119" s="321"/>
      <c r="P119" s="321"/>
      <c r="Q119" s="321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</row>
    <row r="120" spans="1:53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321"/>
      <c r="O120" s="321"/>
      <c r="P120" s="321"/>
      <c r="Q120" s="321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</row>
    <row r="121" spans="1:53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321"/>
      <c r="O121" s="321"/>
      <c r="P121" s="321"/>
      <c r="Q121" s="321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</row>
    <row r="122" spans="1:53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321"/>
      <c r="O122" s="321"/>
      <c r="P122" s="321"/>
      <c r="Q122" s="321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</row>
    <row r="123" spans="1:53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321"/>
      <c r="O123" s="321"/>
      <c r="P123" s="321"/>
      <c r="Q123" s="321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</row>
    <row r="124" spans="1:53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321"/>
      <c r="O124" s="321"/>
      <c r="P124" s="321"/>
      <c r="Q124" s="321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</row>
    <row r="125" spans="1:53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321"/>
      <c r="O125" s="321"/>
      <c r="P125" s="321"/>
      <c r="Q125" s="321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</row>
    <row r="126" spans="1:53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321"/>
      <c r="O126" s="321"/>
      <c r="P126" s="321"/>
      <c r="Q126" s="321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</row>
    <row r="127" spans="1:53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321"/>
      <c r="O127" s="321"/>
      <c r="P127" s="321"/>
      <c r="Q127" s="321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</row>
    <row r="128" spans="1:53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321"/>
      <c r="O128" s="321"/>
      <c r="P128" s="321"/>
      <c r="Q128" s="321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</row>
    <row r="129" spans="1:53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321"/>
      <c r="O129" s="321"/>
      <c r="P129" s="321"/>
      <c r="Q129" s="321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</row>
    <row r="130" spans="1:53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321"/>
      <c r="O130" s="321"/>
      <c r="P130" s="321"/>
      <c r="Q130" s="321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</row>
    <row r="131" spans="1:53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321"/>
      <c r="O131" s="321"/>
      <c r="P131" s="321"/>
      <c r="Q131" s="321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</row>
    <row r="132" spans="1:53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321"/>
      <c r="O132" s="321"/>
      <c r="P132" s="321"/>
      <c r="Q132" s="321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</row>
    <row r="133" spans="1:53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321"/>
      <c r="O133" s="321"/>
      <c r="P133" s="321"/>
      <c r="Q133" s="321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</row>
    <row r="134" spans="1:53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321"/>
      <c r="O134" s="321"/>
      <c r="P134" s="321"/>
      <c r="Q134" s="321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</row>
    <row r="135" spans="1:53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321"/>
      <c r="O135" s="321"/>
      <c r="P135" s="321"/>
      <c r="Q135" s="321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</row>
    <row r="136" spans="1:53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321"/>
      <c r="O136" s="321"/>
      <c r="P136" s="321"/>
      <c r="Q136" s="321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</row>
    <row r="137" spans="1:53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321"/>
      <c r="O137" s="321"/>
      <c r="P137" s="321"/>
      <c r="Q137" s="321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</row>
    <row r="138" spans="1:53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60"/>
      <c r="M138" s="60"/>
      <c r="N138" s="321"/>
      <c r="O138" s="321"/>
      <c r="P138" s="321"/>
      <c r="Q138" s="321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</row>
    <row r="139" spans="1:53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321"/>
      <c r="O139" s="321"/>
      <c r="P139" s="321"/>
      <c r="Q139" s="321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</row>
    <row r="140" spans="1:53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321"/>
      <c r="O140" s="321"/>
      <c r="P140" s="321"/>
      <c r="Q140" s="321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</row>
    <row r="141" spans="1:53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321"/>
      <c r="O141" s="321"/>
      <c r="P141" s="321"/>
      <c r="Q141" s="321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</row>
    <row r="142" spans="1:53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321"/>
      <c r="O142" s="321"/>
      <c r="P142" s="321"/>
      <c r="Q142" s="321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</row>
    <row r="143" spans="1:53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321"/>
      <c r="O143" s="321"/>
      <c r="P143" s="321"/>
      <c r="Q143" s="321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</row>
    <row r="144" spans="1:53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321"/>
      <c r="O144" s="321"/>
      <c r="P144" s="321"/>
      <c r="Q144" s="321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</row>
    <row r="145" spans="1:53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321"/>
      <c r="O145" s="321"/>
      <c r="P145" s="321"/>
      <c r="Q145" s="321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</row>
    <row r="146" spans="1:53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321"/>
      <c r="O146" s="321"/>
      <c r="P146" s="321"/>
      <c r="Q146" s="321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</row>
    <row r="147" spans="1:53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321"/>
      <c r="O147" s="321"/>
      <c r="P147" s="321"/>
      <c r="Q147" s="321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</row>
    <row r="148" spans="1:53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321"/>
      <c r="O148" s="321"/>
      <c r="P148" s="321"/>
      <c r="Q148" s="321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</row>
    <row r="149" spans="1:53">
      <c r="A149" s="60"/>
      <c r="B149" s="81"/>
      <c r="C149" s="60"/>
      <c r="D149" s="81"/>
      <c r="E149" s="60"/>
      <c r="F149" s="60"/>
      <c r="G149" s="60"/>
      <c r="I149" s="60"/>
      <c r="J149" s="60"/>
      <c r="K149" s="60"/>
      <c r="L149" s="60"/>
      <c r="M149" s="60"/>
      <c r="N149" s="321"/>
      <c r="O149" s="321"/>
      <c r="P149" s="321"/>
      <c r="Q149" s="321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4B084"/>
    <pageSetUpPr autoPageBreaks="0"/>
  </sheetPr>
  <dimension ref="A1:BE149"/>
  <sheetViews>
    <sheetView showGridLines="0" zoomScale="99" zoomScaleNormal="85" workbookViewId="0">
      <pane xSplit="4" ySplit="3" topLeftCell="I64" activePane="bottomRight" state="frozen"/>
      <selection pane="topRight"/>
      <selection pane="bottomLeft" activeCell="E16" sqref="E16"/>
      <selection pane="bottomRight" activeCell="N28" sqref="N28:Q28"/>
    </sheetView>
  </sheetViews>
  <sheetFormatPr defaultRowHeight="14.5"/>
  <cols>
    <col min="1" max="1" width="40" style="15" bestFit="1" customWidth="1"/>
    <col min="2" max="2" width="4.453125" style="54" customWidth="1"/>
    <col min="3" max="3" width="27" style="49" bestFit="1" customWidth="1"/>
    <col min="4" max="4" width="11.81640625" style="49" bestFit="1" customWidth="1"/>
    <col min="5" max="5" width="15.6328125" style="4" bestFit="1" customWidth="1"/>
    <col min="6" max="7" width="14.26953125" style="4" bestFit="1" customWidth="1"/>
    <col min="8" max="8" width="10.7265625" style="206" customWidth="1"/>
    <col min="9" max="9" width="14.26953125" style="4" bestFit="1" customWidth="1"/>
    <col min="10" max="10" width="17.6328125" style="4" bestFit="1" customWidth="1"/>
    <col min="11" max="13" width="15.26953125" style="4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57" s="3" customFormat="1" ht="18.399999999999999" customHeight="1">
      <c r="A1" s="162"/>
      <c r="B1" s="61"/>
      <c r="C1" s="62"/>
      <c r="D1" s="62"/>
      <c r="E1" s="163"/>
      <c r="F1" s="163"/>
      <c r="G1" s="163"/>
      <c r="H1" s="60"/>
      <c r="I1" s="163"/>
      <c r="J1" s="163"/>
      <c r="K1" s="163"/>
      <c r="L1" s="163"/>
      <c r="M1" s="163"/>
      <c r="N1" s="357"/>
      <c r="O1" s="358"/>
      <c r="P1" s="358"/>
      <c r="Q1" s="358"/>
      <c r="R1" s="60"/>
      <c r="S1" s="60"/>
      <c r="T1" s="60"/>
      <c r="U1" s="60"/>
      <c r="V1" s="60"/>
      <c r="W1" s="60"/>
      <c r="X1" s="60"/>
      <c r="Y1" s="104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</row>
    <row r="2" spans="1:57" s="216" customFormat="1">
      <c r="A2" s="212" t="s">
        <v>0</v>
      </c>
      <c r="B2" s="213"/>
      <c r="C2" s="213"/>
      <c r="D2" s="213"/>
      <c r="E2" s="214">
        <v>45657</v>
      </c>
      <c r="F2" s="214">
        <v>46022</v>
      </c>
      <c r="G2" s="214">
        <v>46112</v>
      </c>
      <c r="H2" s="214">
        <v>46203</v>
      </c>
      <c r="I2" s="214">
        <v>46022</v>
      </c>
      <c r="J2" s="214">
        <v>46112</v>
      </c>
      <c r="K2" s="214">
        <v>46203</v>
      </c>
      <c r="L2" s="214">
        <v>46295</v>
      </c>
      <c r="M2" s="214">
        <v>46387</v>
      </c>
      <c r="N2" s="316">
        <v>46477</v>
      </c>
      <c r="O2" s="316">
        <v>46568</v>
      </c>
      <c r="P2" s="316">
        <v>46660</v>
      </c>
      <c r="Q2" s="317">
        <v>46752</v>
      </c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</row>
    <row r="3" spans="1:57" s="219" customFormat="1">
      <c r="A3" s="68"/>
      <c r="B3" s="217"/>
      <c r="C3" s="217"/>
      <c r="D3" s="217"/>
      <c r="E3" s="218" t="s">
        <v>1</v>
      </c>
      <c r="F3" s="68"/>
      <c r="G3" s="68"/>
      <c r="H3" s="218"/>
      <c r="I3" s="218" t="s">
        <v>2</v>
      </c>
      <c r="J3" s="68"/>
      <c r="K3" s="68"/>
      <c r="L3" s="68"/>
      <c r="M3" s="68"/>
      <c r="N3" s="318"/>
      <c r="O3" s="318"/>
      <c r="P3" s="318"/>
      <c r="Q3" s="318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</row>
    <row r="4" spans="1:57" ht="14.65" customHeight="1">
      <c r="A4" s="60"/>
      <c r="B4" s="70" t="s">
        <v>2</v>
      </c>
      <c r="C4" s="71" t="s">
        <v>3</v>
      </c>
      <c r="D4" s="71" t="s">
        <v>4</v>
      </c>
      <c r="E4" s="164"/>
      <c r="F4" s="164"/>
      <c r="G4" s="164"/>
      <c r="H4" s="60"/>
      <c r="I4" s="164"/>
      <c r="J4" s="164"/>
      <c r="K4" s="164"/>
      <c r="L4" s="164"/>
      <c r="M4" s="164"/>
      <c r="N4" s="359"/>
      <c r="O4" s="360"/>
      <c r="P4" s="360"/>
      <c r="Q4" s="3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</row>
    <row r="5" spans="1:57" ht="15" customHeight="1">
      <c r="A5" s="165" t="s">
        <v>187</v>
      </c>
      <c r="B5" s="75"/>
      <c r="C5" s="74" t="s">
        <v>188</v>
      </c>
      <c r="D5" s="77"/>
      <c r="E5" s="162"/>
      <c r="F5" s="166"/>
      <c r="G5" s="166"/>
      <c r="H5" s="60"/>
      <c r="I5" s="166"/>
      <c r="J5" s="162"/>
      <c r="K5" s="162"/>
      <c r="L5" s="162"/>
      <c r="M5" s="162"/>
      <c r="N5" s="361"/>
      <c r="O5" s="362"/>
      <c r="P5" s="362"/>
      <c r="Q5" s="362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</row>
    <row r="6" spans="1:57">
      <c r="A6" s="165" t="s">
        <v>189</v>
      </c>
      <c r="B6" s="73" t="s">
        <v>7</v>
      </c>
      <c r="C6" s="209" t="s">
        <v>190</v>
      </c>
      <c r="D6" s="282" t="s">
        <v>191</v>
      </c>
      <c r="E6" s="167">
        <v>535096.5</v>
      </c>
      <c r="F6" s="135">
        <v>174125</v>
      </c>
      <c r="G6" s="135">
        <v>186369</v>
      </c>
      <c r="H6" s="60"/>
      <c r="I6" s="135">
        <v>174125</v>
      </c>
      <c r="J6" s="135">
        <f>745476/4</f>
        <v>186369</v>
      </c>
      <c r="K6" s="135">
        <f>745476/4</f>
        <v>186369</v>
      </c>
      <c r="L6" s="135">
        <f>745476/4</f>
        <v>186369</v>
      </c>
      <c r="M6" s="135">
        <f>745476/4</f>
        <v>186369</v>
      </c>
      <c r="N6" s="363">
        <v>186369</v>
      </c>
      <c r="O6" s="340">
        <v>186369</v>
      </c>
      <c r="P6" s="340">
        <v>186369</v>
      </c>
      <c r="Q6" s="340">
        <v>186369</v>
      </c>
      <c r="R6" s="60"/>
      <c r="S6" s="60"/>
      <c r="T6" s="60"/>
      <c r="U6" s="118"/>
      <c r="V6" s="118"/>
      <c r="W6" s="118"/>
      <c r="X6" s="118"/>
      <c r="Y6" s="126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</row>
    <row r="7" spans="1:57">
      <c r="A7" s="165" t="s">
        <v>192</v>
      </c>
      <c r="B7" s="73" t="s">
        <v>7</v>
      </c>
      <c r="C7" s="72" t="s">
        <v>193</v>
      </c>
      <c r="D7" s="282" t="s">
        <v>191</v>
      </c>
      <c r="E7" s="167">
        <v>535096.5</v>
      </c>
      <c r="F7" s="168">
        <v>176042</v>
      </c>
      <c r="G7" s="168">
        <v>181323.26</v>
      </c>
      <c r="H7" s="60"/>
      <c r="I7" s="168">
        <v>176042</v>
      </c>
      <c r="J7" s="168">
        <f>+I7*1.03</f>
        <v>181323.26</v>
      </c>
      <c r="K7" s="168">
        <f>+J7</f>
        <v>181323.26</v>
      </c>
      <c r="L7" s="168">
        <f>+K7</f>
        <v>181323.26</v>
      </c>
      <c r="M7" s="168">
        <f>+L7</f>
        <v>181323.26</v>
      </c>
      <c r="N7" s="364">
        <v>181323.26</v>
      </c>
      <c r="O7" s="365">
        <v>181323.26</v>
      </c>
      <c r="P7" s="365">
        <v>181323.26</v>
      </c>
      <c r="Q7" s="365">
        <v>181323.26</v>
      </c>
      <c r="R7" s="60"/>
      <c r="S7" s="126"/>
      <c r="T7" s="126"/>
      <c r="U7" s="126"/>
      <c r="V7" s="126"/>
      <c r="W7" s="126"/>
      <c r="X7" s="126"/>
      <c r="Y7" s="126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</row>
    <row r="8" spans="1:57">
      <c r="A8" s="165" t="s">
        <v>194</v>
      </c>
      <c r="B8" s="73" t="s">
        <v>7</v>
      </c>
      <c r="C8" s="72" t="s">
        <v>190</v>
      </c>
      <c r="D8" s="74" t="s">
        <v>195</v>
      </c>
      <c r="E8" s="167">
        <v>569458</v>
      </c>
      <c r="F8" s="135">
        <v>161030</v>
      </c>
      <c r="G8" s="135">
        <v>208682.75</v>
      </c>
      <c r="H8" s="60"/>
      <c r="I8" s="135">
        <v>161030</v>
      </c>
      <c r="J8" s="135">
        <f>834731/4</f>
        <v>208682.75</v>
      </c>
      <c r="K8" s="135">
        <f>834731/4</f>
        <v>208682.75</v>
      </c>
      <c r="L8" s="135">
        <f>834731/4</f>
        <v>208682.75</v>
      </c>
      <c r="M8" s="135">
        <f>834731/4</f>
        <v>208682.75</v>
      </c>
      <c r="N8" s="363">
        <v>208682.75</v>
      </c>
      <c r="O8" s="340">
        <v>208682.75</v>
      </c>
      <c r="P8" s="340">
        <v>208682.75</v>
      </c>
      <c r="Q8" s="340">
        <v>208682.75</v>
      </c>
      <c r="R8" s="60"/>
      <c r="S8" s="126"/>
      <c r="T8" s="118"/>
      <c r="U8" s="118"/>
      <c r="V8" s="118"/>
      <c r="W8" s="118"/>
      <c r="X8" s="118"/>
      <c r="Y8" s="126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</row>
    <row r="9" spans="1:57">
      <c r="A9" s="165" t="s">
        <v>196</v>
      </c>
      <c r="B9" s="72" t="s">
        <v>7</v>
      </c>
      <c r="C9" s="72" t="s">
        <v>193</v>
      </c>
      <c r="D9" s="72" t="s">
        <v>195</v>
      </c>
      <c r="E9" s="126"/>
      <c r="F9" s="168">
        <v>70827.75</v>
      </c>
      <c r="G9" s="168">
        <v>72952.582500000004</v>
      </c>
      <c r="H9" s="60"/>
      <c r="I9" s="168">
        <v>70827.75</v>
      </c>
      <c r="J9" s="168">
        <f>+I9*1.03</f>
        <v>72952.582500000004</v>
      </c>
      <c r="K9" s="168">
        <f>+J9</f>
        <v>72952.582500000004</v>
      </c>
      <c r="L9" s="168">
        <f>+K9</f>
        <v>72952.582500000004</v>
      </c>
      <c r="M9" s="168">
        <f>+L9</f>
        <v>72952.582500000004</v>
      </c>
      <c r="N9" s="364">
        <v>72952.582500000004</v>
      </c>
      <c r="O9" s="365">
        <v>72952.582500000004</v>
      </c>
      <c r="P9" s="365">
        <v>72952.582500000004</v>
      </c>
      <c r="Q9" s="365">
        <v>72952.582500000004</v>
      </c>
      <c r="R9" s="60"/>
      <c r="S9" s="126"/>
      <c r="T9" s="126"/>
      <c r="U9" s="126"/>
      <c r="V9" s="126"/>
      <c r="W9" s="126"/>
      <c r="X9" s="126"/>
      <c r="Y9" s="126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</row>
    <row r="10" spans="1:57">
      <c r="A10" s="165" t="s">
        <v>197</v>
      </c>
      <c r="B10" s="72" t="s">
        <v>7</v>
      </c>
      <c r="C10" s="72" t="s">
        <v>190</v>
      </c>
      <c r="D10" s="72" t="s">
        <v>198</v>
      </c>
      <c r="E10" s="126"/>
      <c r="F10" s="168">
        <v>0</v>
      </c>
      <c r="G10" s="168">
        <v>0</v>
      </c>
      <c r="H10" s="91"/>
      <c r="I10" s="168">
        <v>0</v>
      </c>
      <c r="J10" s="168">
        <v>0</v>
      </c>
      <c r="K10" s="135">
        <v>0</v>
      </c>
      <c r="L10" s="135">
        <v>0</v>
      </c>
      <c r="M10" s="135">
        <v>0</v>
      </c>
      <c r="N10" s="363">
        <v>0</v>
      </c>
      <c r="O10" s="340">
        <v>0</v>
      </c>
      <c r="P10" s="363">
        <v>0</v>
      </c>
      <c r="Q10" s="340">
        <v>0</v>
      </c>
      <c r="R10" s="60"/>
      <c r="S10" s="126"/>
      <c r="T10" s="126"/>
      <c r="U10" s="126"/>
      <c r="V10" s="118"/>
      <c r="W10" s="118"/>
      <c r="X10" s="118"/>
      <c r="Y10" s="126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</row>
    <row r="11" spans="1:57">
      <c r="A11" s="165" t="s">
        <v>199</v>
      </c>
      <c r="B11" s="72" t="s">
        <v>7</v>
      </c>
      <c r="C11" s="72" t="s">
        <v>193</v>
      </c>
      <c r="D11" s="72" t="s">
        <v>198</v>
      </c>
      <c r="E11" s="126"/>
      <c r="F11" s="168"/>
      <c r="G11" s="168"/>
      <c r="H11" s="60"/>
      <c r="I11" s="168"/>
      <c r="J11" s="168"/>
      <c r="K11" s="135"/>
      <c r="L11" s="135"/>
      <c r="M11" s="135"/>
      <c r="N11" s="363"/>
      <c r="O11" s="340"/>
      <c r="P11" s="363"/>
      <c r="Q11" s="340"/>
      <c r="R11" s="60"/>
      <c r="S11" s="126"/>
      <c r="T11" s="126"/>
      <c r="U11" s="126"/>
      <c r="V11" s="118"/>
      <c r="W11" s="118"/>
      <c r="X11" s="118"/>
      <c r="Y11" s="126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</row>
    <row r="12" spans="1:57">
      <c r="A12" s="165" t="s">
        <v>200</v>
      </c>
      <c r="B12" s="72" t="s">
        <v>7</v>
      </c>
      <c r="C12" s="72" t="s">
        <v>190</v>
      </c>
      <c r="D12" s="72" t="s">
        <v>201</v>
      </c>
      <c r="E12" s="126"/>
      <c r="F12" s="168">
        <v>0</v>
      </c>
      <c r="G12" s="168">
        <v>0</v>
      </c>
      <c r="H12" s="95"/>
      <c r="I12" s="168">
        <v>0</v>
      </c>
      <c r="J12" s="168">
        <v>0</v>
      </c>
      <c r="K12" s="168">
        <v>0</v>
      </c>
      <c r="L12" s="168">
        <v>0</v>
      </c>
      <c r="M12" s="168">
        <v>0</v>
      </c>
      <c r="N12" s="364">
        <v>0</v>
      </c>
      <c r="O12" s="365">
        <v>0</v>
      </c>
      <c r="P12" s="365">
        <v>0</v>
      </c>
      <c r="Q12" s="365">
        <v>0</v>
      </c>
      <c r="R12" s="60"/>
      <c r="S12" s="126"/>
      <c r="T12" s="126"/>
      <c r="U12" s="126"/>
      <c r="V12" s="126"/>
      <c r="W12" s="126"/>
      <c r="X12" s="126"/>
      <c r="Y12" s="126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</row>
    <row r="13" spans="1:57">
      <c r="A13" s="165" t="s">
        <v>202</v>
      </c>
      <c r="B13" s="72" t="s">
        <v>7</v>
      </c>
      <c r="C13" s="72" t="s">
        <v>190</v>
      </c>
      <c r="D13" s="72" t="s">
        <v>203</v>
      </c>
      <c r="E13" s="126"/>
      <c r="F13" s="168">
        <v>0</v>
      </c>
      <c r="G13" s="168">
        <v>0</v>
      </c>
      <c r="H13" s="95"/>
      <c r="I13" s="168">
        <v>0</v>
      </c>
      <c r="J13" s="168">
        <v>0</v>
      </c>
      <c r="K13" s="168"/>
      <c r="L13" s="168"/>
      <c r="M13" s="168"/>
      <c r="N13" s="364"/>
      <c r="O13" s="365"/>
      <c r="P13" s="365"/>
      <c r="Q13" s="365"/>
      <c r="R13" s="110"/>
      <c r="S13" s="110"/>
      <c r="T13" s="110"/>
      <c r="U13" s="110"/>
      <c r="V13" s="110"/>
      <c r="W13" s="110"/>
      <c r="X13" s="110"/>
      <c r="Y13" s="11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</row>
    <row r="14" spans="1:57">
      <c r="A14" s="165" t="s">
        <v>204</v>
      </c>
      <c r="B14" s="72" t="s">
        <v>7</v>
      </c>
      <c r="C14" s="72" t="s">
        <v>190</v>
      </c>
      <c r="D14" s="72" t="s">
        <v>205</v>
      </c>
      <c r="E14" s="126"/>
      <c r="F14" s="168"/>
      <c r="G14" s="168"/>
      <c r="H14" s="60"/>
      <c r="I14" s="168"/>
      <c r="J14" s="168"/>
      <c r="K14" s="168"/>
      <c r="L14" s="168"/>
      <c r="M14" s="168">
        <v>0</v>
      </c>
      <c r="N14" s="364">
        <v>0</v>
      </c>
      <c r="O14" s="365">
        <v>0</v>
      </c>
      <c r="P14" s="365">
        <v>0</v>
      </c>
      <c r="Q14" s="365">
        <v>0</v>
      </c>
      <c r="R14" s="110"/>
      <c r="S14" s="110"/>
      <c r="T14" s="110"/>
      <c r="U14" s="110"/>
      <c r="V14" s="110"/>
      <c r="W14" s="110"/>
      <c r="X14" s="110"/>
      <c r="Y14" s="11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</row>
    <row r="15" spans="1:57" s="48" customFormat="1">
      <c r="A15" s="165" t="s">
        <v>206</v>
      </c>
      <c r="B15" s="61"/>
      <c r="C15" s="62"/>
      <c r="D15" s="62"/>
      <c r="E15" s="126"/>
      <c r="F15" s="126"/>
      <c r="G15" s="126"/>
      <c r="H15" s="60"/>
      <c r="I15" s="126"/>
      <c r="J15" s="126"/>
      <c r="K15" s="126"/>
      <c r="L15" s="126"/>
      <c r="M15" s="126"/>
      <c r="N15" s="366"/>
      <c r="O15" s="367"/>
      <c r="P15" s="367"/>
      <c r="Q15" s="367"/>
      <c r="R15" s="110"/>
      <c r="S15" s="110"/>
      <c r="T15" s="110"/>
      <c r="U15" s="110"/>
      <c r="V15" s="110"/>
      <c r="W15" s="110"/>
      <c r="X15" s="110"/>
      <c r="Y15" s="11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</row>
    <row r="16" spans="1:57" s="48" customFormat="1">
      <c r="A16" s="165" t="s">
        <v>206</v>
      </c>
      <c r="B16" s="61"/>
      <c r="C16" s="62"/>
      <c r="D16" s="62"/>
      <c r="E16" s="126"/>
      <c r="F16" s="126"/>
      <c r="G16" s="126"/>
      <c r="H16" s="60"/>
      <c r="I16" s="126"/>
      <c r="J16" s="126"/>
      <c r="K16" s="126"/>
      <c r="L16" s="126"/>
      <c r="M16" s="126"/>
      <c r="N16" s="366"/>
      <c r="O16" s="367"/>
      <c r="P16" s="367"/>
      <c r="Q16" s="367"/>
      <c r="R16" s="110"/>
      <c r="S16" s="110"/>
      <c r="T16" s="110"/>
      <c r="U16" s="110"/>
      <c r="V16" s="110"/>
      <c r="W16" s="110"/>
      <c r="X16" s="110"/>
      <c r="Y16" s="11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</row>
    <row r="17" spans="1:40" s="48" customFormat="1">
      <c r="A17" s="165" t="s">
        <v>206</v>
      </c>
      <c r="B17" s="61"/>
      <c r="C17" s="62"/>
      <c r="D17" s="62"/>
      <c r="E17" s="126"/>
      <c r="F17" s="126"/>
      <c r="G17" s="126"/>
      <c r="H17" s="99"/>
      <c r="I17" s="126"/>
      <c r="J17" s="126"/>
      <c r="K17" s="126"/>
      <c r="L17" s="126"/>
      <c r="M17" s="126"/>
      <c r="N17" s="366"/>
      <c r="O17" s="367"/>
      <c r="P17" s="367"/>
      <c r="Q17" s="367"/>
      <c r="R17" s="110"/>
      <c r="S17" s="110"/>
      <c r="T17" s="110"/>
      <c r="U17" s="110"/>
      <c r="V17" s="110"/>
      <c r="W17" s="110"/>
      <c r="X17" s="110"/>
      <c r="Y17" s="11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</row>
    <row r="18" spans="1:40" s="48" customFormat="1">
      <c r="A18" s="165" t="s">
        <v>206</v>
      </c>
      <c r="B18" s="61"/>
      <c r="C18" s="62"/>
      <c r="D18" s="62"/>
      <c r="E18" s="126"/>
      <c r="F18" s="126"/>
      <c r="G18" s="126"/>
      <c r="H18" s="99"/>
      <c r="I18" s="126"/>
      <c r="J18" s="126"/>
      <c r="K18" s="126"/>
      <c r="L18" s="126"/>
      <c r="M18" s="126"/>
      <c r="N18" s="366"/>
      <c r="O18" s="367"/>
      <c r="P18" s="367"/>
      <c r="Q18" s="367"/>
      <c r="R18" s="110"/>
      <c r="S18" s="110"/>
      <c r="T18" s="110"/>
      <c r="U18" s="110"/>
      <c r="V18" s="110"/>
      <c r="W18" s="110"/>
      <c r="X18" s="110"/>
      <c r="Y18" s="11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</row>
    <row r="19" spans="1:40" s="48" customFormat="1">
      <c r="A19" s="165" t="s">
        <v>206</v>
      </c>
      <c r="B19" s="61"/>
      <c r="C19" s="62"/>
      <c r="D19" s="62"/>
      <c r="E19" s="126"/>
      <c r="F19" s="126"/>
      <c r="G19" s="126"/>
      <c r="H19" s="91"/>
      <c r="I19" s="126"/>
      <c r="J19" s="126"/>
      <c r="K19" s="126"/>
      <c r="L19" s="126"/>
      <c r="M19" s="126"/>
      <c r="N19" s="366"/>
      <c r="O19" s="367"/>
      <c r="P19" s="367"/>
      <c r="Q19" s="367"/>
      <c r="R19" s="110"/>
      <c r="S19" s="110"/>
      <c r="T19" s="110"/>
      <c r="U19" s="110"/>
      <c r="V19" s="110"/>
      <c r="W19" s="110"/>
      <c r="X19" s="110"/>
      <c r="Y19" s="11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</row>
    <row r="20" spans="1:40" s="48" customFormat="1">
      <c r="A20" s="165" t="s">
        <v>206</v>
      </c>
      <c r="B20" s="61"/>
      <c r="C20" s="62"/>
      <c r="D20" s="62"/>
      <c r="E20" s="126"/>
      <c r="F20" s="126"/>
      <c r="G20" s="126"/>
      <c r="H20" s="60"/>
      <c r="I20" s="126"/>
      <c r="J20" s="126"/>
      <c r="K20" s="126"/>
      <c r="L20" s="126"/>
      <c r="M20" s="126"/>
      <c r="N20" s="366"/>
      <c r="O20" s="367"/>
      <c r="P20" s="367"/>
      <c r="Q20" s="367"/>
      <c r="R20" s="110"/>
      <c r="S20" s="110"/>
      <c r="T20" s="110"/>
      <c r="U20" s="110"/>
      <c r="V20" s="110"/>
      <c r="W20" s="110"/>
      <c r="X20" s="110"/>
      <c r="Y20" s="11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</row>
    <row r="21" spans="1:40" s="48" customFormat="1">
      <c r="A21" s="165" t="s">
        <v>206</v>
      </c>
      <c r="B21" s="61"/>
      <c r="C21" s="62"/>
      <c r="D21" s="62"/>
      <c r="E21" s="126"/>
      <c r="F21" s="126"/>
      <c r="G21" s="126"/>
      <c r="H21" s="104"/>
      <c r="I21" s="126"/>
      <c r="J21" s="126"/>
      <c r="K21" s="126"/>
      <c r="L21" s="126"/>
      <c r="M21" s="126"/>
      <c r="N21" s="366"/>
      <c r="O21" s="367"/>
      <c r="P21" s="367"/>
      <c r="Q21" s="367"/>
      <c r="R21" s="110"/>
      <c r="S21" s="110"/>
      <c r="T21" s="110"/>
      <c r="U21" s="110"/>
      <c r="V21" s="110"/>
      <c r="W21" s="110"/>
      <c r="X21" s="110"/>
      <c r="Y21" s="11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</row>
    <row r="22" spans="1:40" s="48" customFormat="1">
      <c r="A22" s="165" t="s">
        <v>206</v>
      </c>
      <c r="B22" s="61"/>
      <c r="C22" s="62"/>
      <c r="D22" s="62"/>
      <c r="E22" s="126"/>
      <c r="F22" s="126"/>
      <c r="G22" s="126"/>
      <c r="H22" s="91"/>
      <c r="I22" s="126"/>
      <c r="J22" s="126"/>
      <c r="K22" s="126"/>
      <c r="L22" s="126"/>
      <c r="M22" s="126"/>
      <c r="N22" s="366"/>
      <c r="O22" s="367"/>
      <c r="P22" s="367"/>
      <c r="Q22" s="367"/>
      <c r="R22" s="110"/>
      <c r="S22" s="110"/>
      <c r="T22" s="110"/>
      <c r="U22" s="110"/>
      <c r="V22" s="110"/>
      <c r="W22" s="110"/>
      <c r="X22" s="110"/>
      <c r="Y22" s="11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</row>
    <row r="23" spans="1:40" s="48" customFormat="1">
      <c r="A23" s="165" t="s">
        <v>206</v>
      </c>
      <c r="B23" s="61"/>
      <c r="C23" s="62"/>
      <c r="D23" s="62"/>
      <c r="E23" s="126"/>
      <c r="F23" s="126"/>
      <c r="G23" s="126"/>
      <c r="H23" s="91"/>
      <c r="I23" s="126"/>
      <c r="J23" s="126"/>
      <c r="K23" s="126"/>
      <c r="L23" s="126"/>
      <c r="M23" s="126"/>
      <c r="N23" s="366"/>
      <c r="O23" s="367"/>
      <c r="P23" s="367"/>
      <c r="Q23" s="367"/>
      <c r="R23" s="110"/>
      <c r="S23" s="110"/>
      <c r="T23" s="110"/>
      <c r="U23" s="110"/>
      <c r="V23" s="110"/>
      <c r="W23" s="110"/>
      <c r="X23" s="110"/>
      <c r="Y23" s="11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</row>
    <row r="24" spans="1:40" ht="15" customHeight="1">
      <c r="A24" s="165" t="s">
        <v>207</v>
      </c>
      <c r="B24" s="72" t="s">
        <v>7</v>
      </c>
      <c r="C24" s="72" t="s">
        <v>190</v>
      </c>
      <c r="D24" s="72" t="s">
        <v>208</v>
      </c>
      <c r="E24" s="126"/>
      <c r="F24" s="168"/>
      <c r="G24" s="168"/>
      <c r="H24" s="91"/>
      <c r="I24" s="168"/>
      <c r="J24" s="168"/>
      <c r="K24" s="168"/>
      <c r="L24" s="168"/>
      <c r="M24" s="168"/>
      <c r="N24" s="364"/>
      <c r="O24" s="365"/>
      <c r="P24" s="365"/>
      <c r="Q24" s="365"/>
      <c r="R24" s="60"/>
      <c r="S24" s="60"/>
      <c r="T24" s="110"/>
      <c r="U24" s="110"/>
      <c r="V24" s="110"/>
      <c r="W24" s="110"/>
      <c r="X24" s="110"/>
      <c r="Y24" s="11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</row>
    <row r="25" spans="1:40">
      <c r="A25" s="169" t="s">
        <v>209</v>
      </c>
      <c r="B25" s="72" t="s">
        <v>36</v>
      </c>
      <c r="C25" s="72" t="s">
        <v>210</v>
      </c>
      <c r="D25" s="60"/>
      <c r="E25" s="126"/>
      <c r="F25" s="126">
        <v>582024.75</v>
      </c>
      <c r="G25" s="126">
        <v>649327.59250000003</v>
      </c>
      <c r="H25" s="91"/>
      <c r="I25" s="126">
        <v>582024.75</v>
      </c>
      <c r="J25" s="126">
        <f t="shared" ref="J25:Q25" si="0">SUM(J6:J24)</f>
        <v>649327.59250000003</v>
      </c>
      <c r="K25" s="126">
        <f t="shared" si="0"/>
        <v>649327.59250000003</v>
      </c>
      <c r="L25" s="126">
        <f t="shared" si="0"/>
        <v>649327.59250000003</v>
      </c>
      <c r="M25" s="126">
        <f t="shared" si="0"/>
        <v>649327.59250000003</v>
      </c>
      <c r="N25" s="366">
        <f t="shared" si="0"/>
        <v>649327.59250000003</v>
      </c>
      <c r="O25" s="367">
        <f t="shared" si="0"/>
        <v>649327.59250000003</v>
      </c>
      <c r="P25" s="367">
        <f t="shared" si="0"/>
        <v>649327.59250000003</v>
      </c>
      <c r="Q25" s="367">
        <f t="shared" si="0"/>
        <v>649327.59250000003</v>
      </c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</row>
    <row r="26" spans="1:40" ht="15" customHeight="1">
      <c r="A26" s="60"/>
      <c r="B26" s="60"/>
      <c r="C26" s="60"/>
      <c r="D26" s="60"/>
      <c r="E26" s="126"/>
      <c r="F26" s="126"/>
      <c r="G26" s="126"/>
      <c r="H26" s="91"/>
      <c r="I26" s="126"/>
      <c r="J26" s="126"/>
      <c r="K26" s="126"/>
      <c r="L26" s="126"/>
      <c r="M26" s="126"/>
      <c r="N26" s="366"/>
      <c r="O26" s="367"/>
      <c r="P26" s="367"/>
      <c r="Q26" s="367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</row>
    <row r="27" spans="1:40">
      <c r="A27" s="165" t="s">
        <v>211</v>
      </c>
      <c r="B27" s="72" t="s">
        <v>7</v>
      </c>
      <c r="C27" s="72" t="s">
        <v>212</v>
      </c>
      <c r="D27" s="60"/>
      <c r="E27" s="126"/>
      <c r="F27" s="168">
        <v>-182177.75</v>
      </c>
      <c r="G27" s="168">
        <v>-649327.59250000003</v>
      </c>
      <c r="H27" s="91"/>
      <c r="I27" s="168">
        <v>-182177.75</v>
      </c>
      <c r="J27" s="168">
        <f>-J25</f>
        <v>-649327.59250000003</v>
      </c>
      <c r="K27" s="168">
        <f>-K7-K9</f>
        <v>-254275.84250000003</v>
      </c>
      <c r="L27" s="168">
        <f>-L7-L9</f>
        <v>-254275.84250000003</v>
      </c>
      <c r="M27" s="168">
        <f>-M7-M9-M14</f>
        <v>-254275.84250000003</v>
      </c>
      <c r="N27" s="364"/>
      <c r="O27" s="365"/>
      <c r="P27" s="365"/>
      <c r="Q27" s="365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</row>
    <row r="28" spans="1:40" ht="15" customHeight="1">
      <c r="A28" s="165" t="s">
        <v>213</v>
      </c>
      <c r="B28" s="72" t="s">
        <v>7</v>
      </c>
      <c r="C28" s="72" t="s">
        <v>214</v>
      </c>
      <c r="D28" s="60"/>
      <c r="E28" s="62"/>
      <c r="F28" s="170"/>
      <c r="G28" s="170">
        <v>50000</v>
      </c>
      <c r="H28" s="91"/>
      <c r="I28" s="170"/>
      <c r="J28" s="170">
        <v>50000</v>
      </c>
      <c r="K28" s="170">
        <v>246869.75</v>
      </c>
      <c r="L28" s="170">
        <v>246869.75</v>
      </c>
      <c r="M28" s="170">
        <v>1246869.75</v>
      </c>
      <c r="N28" s="368"/>
      <c r="O28" s="368"/>
      <c r="P28" s="368"/>
      <c r="Q28" s="368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</row>
    <row r="29" spans="1:40" s="4" customFormat="1">
      <c r="A29" s="165" t="s">
        <v>215</v>
      </c>
      <c r="B29" s="157" t="s">
        <v>36</v>
      </c>
      <c r="C29" s="155" t="s">
        <v>216</v>
      </c>
      <c r="D29" s="62"/>
      <c r="E29" s="126"/>
      <c r="F29" s="126">
        <v>-394661</v>
      </c>
      <c r="G29" s="126">
        <v>-993988.59250000003</v>
      </c>
      <c r="H29" s="91"/>
      <c r="I29" s="126">
        <v>-394661</v>
      </c>
      <c r="J29" s="126">
        <f t="shared" ref="J29:Q29" si="1">+J27+I29+J28</f>
        <v>-993988.59250000003</v>
      </c>
      <c r="K29" s="126">
        <f t="shared" si="1"/>
        <v>-1001394.6850000001</v>
      </c>
      <c r="L29" s="126">
        <f t="shared" si="1"/>
        <v>-1008800.7775000001</v>
      </c>
      <c r="M29" s="126">
        <f t="shared" si="1"/>
        <v>-16206.870000000112</v>
      </c>
      <c r="N29" s="367">
        <f t="shared" si="1"/>
        <v>-16206.870000000112</v>
      </c>
      <c r="O29" s="367">
        <f t="shared" si="1"/>
        <v>-16206.870000000112</v>
      </c>
      <c r="P29" s="367">
        <f t="shared" si="1"/>
        <v>-16206.870000000112</v>
      </c>
      <c r="Q29" s="367">
        <f t="shared" si="1"/>
        <v>-16206.870000000112</v>
      </c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</row>
    <row r="30" spans="1:40">
      <c r="A30" s="60"/>
      <c r="B30" s="60"/>
      <c r="C30" s="60"/>
      <c r="D30" s="60"/>
      <c r="E30" s="60"/>
      <c r="F30" s="60"/>
      <c r="G30" s="60"/>
      <c r="H30" s="91"/>
      <c r="I30" s="60"/>
      <c r="J30" s="60"/>
      <c r="K30" s="60"/>
      <c r="L30" s="60"/>
      <c r="M30" s="60"/>
      <c r="N30" s="321"/>
      <c r="O30" s="321"/>
      <c r="P30" s="321"/>
      <c r="Q30" s="321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</row>
    <row r="31" spans="1:40">
      <c r="A31" s="165" t="s">
        <v>217</v>
      </c>
      <c r="B31" s="72" t="s">
        <v>36</v>
      </c>
      <c r="C31" s="72" t="s">
        <v>218</v>
      </c>
      <c r="D31" s="60"/>
      <c r="E31" s="171"/>
      <c r="F31" s="171">
        <v>399847</v>
      </c>
      <c r="G31" s="171">
        <v>0</v>
      </c>
      <c r="H31" s="91"/>
      <c r="I31" s="171">
        <v>399847</v>
      </c>
      <c r="J31" s="171">
        <f t="shared" ref="J31:Q31" si="2">+J25+J27</f>
        <v>0</v>
      </c>
      <c r="K31" s="171">
        <f t="shared" si="2"/>
        <v>395051.75</v>
      </c>
      <c r="L31" s="171">
        <f t="shared" si="2"/>
        <v>395051.75</v>
      </c>
      <c r="M31" s="171">
        <f t="shared" si="2"/>
        <v>395051.75</v>
      </c>
      <c r="N31" s="369">
        <f t="shared" si="2"/>
        <v>649327.59250000003</v>
      </c>
      <c r="O31" s="369">
        <f t="shared" si="2"/>
        <v>649327.59250000003</v>
      </c>
      <c r="P31" s="369">
        <f t="shared" si="2"/>
        <v>649327.59250000003</v>
      </c>
      <c r="Q31" s="369">
        <f t="shared" si="2"/>
        <v>649327.59250000003</v>
      </c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</row>
    <row r="32" spans="1:40">
      <c r="A32" s="165" t="s">
        <v>219</v>
      </c>
      <c r="B32" s="72" t="s">
        <v>36</v>
      </c>
      <c r="C32" s="72" t="s">
        <v>220</v>
      </c>
      <c r="D32" s="60"/>
      <c r="E32" s="171"/>
      <c r="F32" s="171">
        <v>399847</v>
      </c>
      <c r="G32" s="171">
        <v>50000</v>
      </c>
      <c r="H32" s="91"/>
      <c r="I32" s="171">
        <v>399847</v>
      </c>
      <c r="J32" s="171">
        <f t="shared" ref="J32:Q32" si="3">+J28+J31</f>
        <v>50000</v>
      </c>
      <c r="K32" s="171">
        <f t="shared" si="3"/>
        <v>641921.5</v>
      </c>
      <c r="L32" s="171">
        <f t="shared" si="3"/>
        <v>641921.5</v>
      </c>
      <c r="M32" s="171">
        <f t="shared" si="3"/>
        <v>1641921.5</v>
      </c>
      <c r="N32" s="369">
        <f t="shared" si="3"/>
        <v>649327.59250000003</v>
      </c>
      <c r="O32" s="369">
        <f t="shared" si="3"/>
        <v>649327.59250000003</v>
      </c>
      <c r="P32" s="369">
        <f t="shared" si="3"/>
        <v>649327.59250000003</v>
      </c>
      <c r="Q32" s="369">
        <f t="shared" si="3"/>
        <v>649327.59250000003</v>
      </c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</row>
    <row r="33" spans="1:40">
      <c r="A33" s="60"/>
      <c r="B33" s="60"/>
      <c r="C33" s="60"/>
      <c r="D33" s="60"/>
      <c r="E33" s="126"/>
      <c r="F33" s="126"/>
      <c r="G33" s="126"/>
      <c r="H33" s="99"/>
      <c r="I33" s="126"/>
      <c r="J33" s="126"/>
      <c r="K33" s="126"/>
      <c r="L33" s="126"/>
      <c r="M33" s="126"/>
      <c r="N33" s="366"/>
      <c r="O33" s="367"/>
      <c r="P33" s="367"/>
      <c r="Q33" s="367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</row>
    <row r="34" spans="1:40" ht="15" customHeight="1">
      <c r="A34" s="165" t="s">
        <v>221</v>
      </c>
      <c r="B34" s="60"/>
      <c r="C34" s="72"/>
      <c r="D34" s="60"/>
      <c r="E34" s="126"/>
      <c r="F34" s="60"/>
      <c r="G34" s="60"/>
      <c r="H34" s="91"/>
      <c r="I34" s="60"/>
      <c r="J34" s="126"/>
      <c r="K34" s="172"/>
      <c r="L34" s="172"/>
      <c r="M34" s="172"/>
      <c r="N34" s="370"/>
      <c r="O34" s="371"/>
      <c r="P34" s="371"/>
      <c r="Q34" s="371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</row>
    <row r="35" spans="1:40">
      <c r="A35" s="165" t="s">
        <v>222</v>
      </c>
      <c r="B35" s="72" t="s">
        <v>7</v>
      </c>
      <c r="C35" s="209" t="s">
        <v>223</v>
      </c>
      <c r="D35" s="209" t="s">
        <v>191</v>
      </c>
      <c r="E35" s="126"/>
      <c r="F35" s="168">
        <v>47750</v>
      </c>
      <c r="G35" s="168">
        <v>0</v>
      </c>
      <c r="H35" s="60"/>
      <c r="I35" s="168">
        <v>47750</v>
      </c>
      <c r="J35" s="168">
        <v>0</v>
      </c>
      <c r="K35" s="168">
        <v>0</v>
      </c>
      <c r="L35" s="168">
        <v>0</v>
      </c>
      <c r="M35" s="168">
        <v>0</v>
      </c>
      <c r="N35" s="364">
        <v>0</v>
      </c>
      <c r="O35" s="365">
        <v>0</v>
      </c>
      <c r="P35" s="365">
        <v>0</v>
      </c>
      <c r="Q35" s="365">
        <v>0</v>
      </c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</row>
    <row r="36" spans="1:40">
      <c r="A36" s="165" t="s">
        <v>224</v>
      </c>
      <c r="B36" s="72" t="s">
        <v>7</v>
      </c>
      <c r="C36" s="209" t="s">
        <v>223</v>
      </c>
      <c r="D36" s="72" t="s">
        <v>195</v>
      </c>
      <c r="E36" s="126"/>
      <c r="F36" s="168">
        <v>42250</v>
      </c>
      <c r="G36" s="168">
        <v>0</v>
      </c>
      <c r="H36" s="116"/>
      <c r="I36" s="168">
        <v>42250</v>
      </c>
      <c r="J36" s="168">
        <v>0</v>
      </c>
      <c r="K36" s="168">
        <v>0</v>
      </c>
      <c r="L36" s="168">
        <v>0</v>
      </c>
      <c r="M36" s="168">
        <v>0</v>
      </c>
      <c r="N36" s="364">
        <v>0</v>
      </c>
      <c r="O36" s="365">
        <v>0</v>
      </c>
      <c r="P36" s="365">
        <v>0</v>
      </c>
      <c r="Q36" s="365">
        <v>0</v>
      </c>
      <c r="R36" s="60"/>
      <c r="S36" s="60"/>
      <c r="T36" s="60"/>
      <c r="U36" s="60"/>
      <c r="V36" s="60"/>
      <c r="W36" s="60"/>
      <c r="X36" s="60"/>
      <c r="Y36" s="60"/>
      <c r="Z36" s="173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</row>
    <row r="37" spans="1:40">
      <c r="A37" s="165" t="s">
        <v>225</v>
      </c>
      <c r="B37" s="72" t="s">
        <v>7</v>
      </c>
      <c r="C37" s="209" t="s">
        <v>223</v>
      </c>
      <c r="D37" s="72" t="s">
        <v>198</v>
      </c>
      <c r="E37" s="126"/>
      <c r="F37" s="168">
        <v>0</v>
      </c>
      <c r="G37" s="168">
        <v>0</v>
      </c>
      <c r="H37" s="116"/>
      <c r="I37" s="168">
        <v>0</v>
      </c>
      <c r="J37" s="168">
        <v>0</v>
      </c>
      <c r="K37" s="168">
        <v>0</v>
      </c>
      <c r="L37" s="168">
        <v>0</v>
      </c>
      <c r="M37" s="168">
        <v>0</v>
      </c>
      <c r="N37" s="364">
        <v>0</v>
      </c>
      <c r="O37" s="365">
        <v>0</v>
      </c>
      <c r="P37" s="365">
        <v>0</v>
      </c>
      <c r="Q37" s="365">
        <v>0</v>
      </c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</row>
    <row r="38" spans="1:40">
      <c r="A38" s="165" t="s">
        <v>202</v>
      </c>
      <c r="B38" s="72" t="s">
        <v>7</v>
      </c>
      <c r="C38" s="209" t="s">
        <v>223</v>
      </c>
      <c r="D38" s="72" t="s">
        <v>203</v>
      </c>
      <c r="E38" s="126"/>
      <c r="F38" s="168">
        <v>0</v>
      </c>
      <c r="G38" s="168">
        <v>0</v>
      </c>
      <c r="H38" s="116"/>
      <c r="I38" s="168">
        <v>0</v>
      </c>
      <c r="J38" s="168">
        <v>0</v>
      </c>
      <c r="K38" s="168">
        <v>0</v>
      </c>
      <c r="L38" s="168">
        <v>0</v>
      </c>
      <c r="M38" s="168">
        <v>0</v>
      </c>
      <c r="N38" s="364">
        <v>0</v>
      </c>
      <c r="O38" s="365">
        <v>0</v>
      </c>
      <c r="P38" s="365">
        <v>0</v>
      </c>
      <c r="Q38" s="365">
        <v>0</v>
      </c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</row>
    <row r="39" spans="1:40" s="48" customFormat="1">
      <c r="A39" s="165" t="s">
        <v>206</v>
      </c>
      <c r="B39" s="61"/>
      <c r="C39" s="62"/>
      <c r="D39" s="62"/>
      <c r="E39" s="126"/>
      <c r="F39" s="126"/>
      <c r="G39" s="126"/>
      <c r="H39" s="116"/>
      <c r="I39" s="126"/>
      <c r="J39" s="126"/>
      <c r="K39" s="126"/>
      <c r="L39" s="126"/>
      <c r="M39" s="126"/>
      <c r="N39" s="366"/>
      <c r="O39" s="367"/>
      <c r="P39" s="367"/>
      <c r="Q39" s="367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</row>
    <row r="40" spans="1:40" s="48" customFormat="1">
      <c r="A40" s="165" t="s">
        <v>206</v>
      </c>
      <c r="B40" s="61"/>
      <c r="C40" s="62"/>
      <c r="D40" s="62"/>
      <c r="E40" s="126"/>
      <c r="F40" s="126"/>
      <c r="G40" s="126"/>
      <c r="H40" s="91"/>
      <c r="I40" s="126"/>
      <c r="J40" s="126"/>
      <c r="K40" s="126"/>
      <c r="L40" s="126"/>
      <c r="M40" s="126"/>
      <c r="N40" s="366"/>
      <c r="O40" s="367"/>
      <c r="P40" s="367"/>
      <c r="Q40" s="367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1:40" s="48" customFormat="1">
      <c r="A41" s="165" t="s">
        <v>206</v>
      </c>
      <c r="B41" s="61"/>
      <c r="C41" s="62"/>
      <c r="D41" s="62"/>
      <c r="E41" s="126"/>
      <c r="F41" s="126"/>
      <c r="G41" s="126"/>
      <c r="H41" s="116"/>
      <c r="I41" s="126"/>
      <c r="J41" s="126"/>
      <c r="K41" s="126"/>
      <c r="L41" s="126"/>
      <c r="M41" s="126"/>
      <c r="N41" s="366"/>
      <c r="O41" s="367"/>
      <c r="P41" s="367"/>
      <c r="Q41" s="367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1:40" s="48" customFormat="1">
      <c r="A42" s="165" t="s">
        <v>206</v>
      </c>
      <c r="B42" s="61"/>
      <c r="C42" s="62"/>
      <c r="D42" s="62"/>
      <c r="E42" s="126"/>
      <c r="F42" s="126"/>
      <c r="G42" s="126"/>
      <c r="H42" s="116"/>
      <c r="I42" s="126"/>
      <c r="J42" s="126"/>
      <c r="K42" s="126"/>
      <c r="L42" s="126"/>
      <c r="M42" s="126"/>
      <c r="N42" s="366"/>
      <c r="O42" s="367"/>
      <c r="P42" s="367"/>
      <c r="Q42" s="367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</row>
    <row r="43" spans="1:40" s="48" customFormat="1">
      <c r="A43" s="165" t="s">
        <v>206</v>
      </c>
      <c r="B43" s="61"/>
      <c r="C43" s="62"/>
      <c r="D43" s="62"/>
      <c r="E43" s="126"/>
      <c r="F43" s="126"/>
      <c r="G43" s="126"/>
      <c r="H43" s="116"/>
      <c r="I43" s="126"/>
      <c r="J43" s="126"/>
      <c r="K43" s="126"/>
      <c r="L43" s="126"/>
      <c r="M43" s="126"/>
      <c r="N43" s="366"/>
      <c r="O43" s="367"/>
      <c r="P43" s="367"/>
      <c r="Q43" s="367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</row>
    <row r="44" spans="1:40" s="48" customFormat="1">
      <c r="A44" s="165" t="s">
        <v>206</v>
      </c>
      <c r="B44" s="61"/>
      <c r="C44" s="62"/>
      <c r="D44" s="62"/>
      <c r="E44" s="126"/>
      <c r="F44" s="126"/>
      <c r="G44" s="126"/>
      <c r="H44" s="116"/>
      <c r="I44" s="126"/>
      <c r="J44" s="126"/>
      <c r="K44" s="126"/>
      <c r="L44" s="126"/>
      <c r="M44" s="126"/>
      <c r="N44" s="366"/>
      <c r="O44" s="367"/>
      <c r="P44" s="367"/>
      <c r="Q44" s="367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</row>
    <row r="45" spans="1:40" ht="15" customHeight="1">
      <c r="A45" s="165" t="s">
        <v>226</v>
      </c>
      <c r="B45" s="72" t="s">
        <v>7</v>
      </c>
      <c r="C45" s="72" t="s">
        <v>227</v>
      </c>
      <c r="D45" s="72" t="s">
        <v>201</v>
      </c>
      <c r="E45" s="126"/>
      <c r="F45" s="168">
        <v>0</v>
      </c>
      <c r="G45" s="168">
        <v>0</v>
      </c>
      <c r="H45" s="116"/>
      <c r="I45" s="168">
        <v>0</v>
      </c>
      <c r="J45" s="168">
        <v>0</v>
      </c>
      <c r="K45" s="168">
        <v>0</v>
      </c>
      <c r="L45" s="168">
        <v>0</v>
      </c>
      <c r="M45" s="168">
        <v>0</v>
      </c>
      <c r="N45" s="364">
        <v>0</v>
      </c>
      <c r="O45" s="365">
        <v>0</v>
      </c>
      <c r="P45" s="365">
        <v>0</v>
      </c>
      <c r="Q45" s="365">
        <v>0</v>
      </c>
      <c r="R45" s="60"/>
      <c r="S45" s="126"/>
      <c r="T45" s="126"/>
      <c r="U45" s="126"/>
      <c r="V45" s="126"/>
      <c r="W45" s="126"/>
      <c r="X45" s="126"/>
      <c r="Y45" s="126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</row>
    <row r="46" spans="1:40">
      <c r="A46" s="169" t="s">
        <v>228</v>
      </c>
      <c r="B46" s="72" t="s">
        <v>36</v>
      </c>
      <c r="C46" s="72" t="s">
        <v>229</v>
      </c>
      <c r="D46" s="60"/>
      <c r="E46" s="126"/>
      <c r="F46" s="126">
        <v>90000</v>
      </c>
      <c r="G46" s="126">
        <v>0</v>
      </c>
      <c r="H46" s="116"/>
      <c r="I46" s="126">
        <v>90000</v>
      </c>
      <c r="J46" s="126">
        <f t="shared" ref="J46:Q46" si="4">SUM(J35:J45)</f>
        <v>0</v>
      </c>
      <c r="K46" s="126">
        <f t="shared" si="4"/>
        <v>0</v>
      </c>
      <c r="L46" s="126">
        <f t="shared" si="4"/>
        <v>0</v>
      </c>
      <c r="M46" s="126">
        <f t="shared" si="4"/>
        <v>0</v>
      </c>
      <c r="N46" s="366">
        <f t="shared" si="4"/>
        <v>0</v>
      </c>
      <c r="O46" s="367">
        <f t="shared" si="4"/>
        <v>0</v>
      </c>
      <c r="P46" s="367">
        <f t="shared" si="4"/>
        <v>0</v>
      </c>
      <c r="Q46" s="367">
        <f t="shared" si="4"/>
        <v>0</v>
      </c>
      <c r="R46" s="60"/>
      <c r="S46" s="126"/>
      <c r="T46" s="126"/>
      <c r="U46" s="126"/>
      <c r="V46" s="126"/>
      <c r="W46" s="126"/>
      <c r="X46" s="126"/>
      <c r="Y46" s="126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</row>
    <row r="47" spans="1:40" ht="15" customHeight="1">
      <c r="A47" s="60"/>
      <c r="B47" s="60"/>
      <c r="C47" s="60"/>
      <c r="D47" s="60"/>
      <c r="E47" s="126"/>
      <c r="F47" s="126"/>
      <c r="G47" s="126"/>
      <c r="H47" s="116"/>
      <c r="I47" s="126"/>
      <c r="J47" s="126"/>
      <c r="K47" s="126"/>
      <c r="L47" s="126"/>
      <c r="M47" s="126"/>
      <c r="N47" s="366"/>
      <c r="O47" s="367"/>
      <c r="P47" s="367"/>
      <c r="Q47" s="367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</row>
    <row r="48" spans="1:40">
      <c r="A48" s="165" t="s">
        <v>211</v>
      </c>
      <c r="B48" s="72" t="s">
        <v>7</v>
      </c>
      <c r="C48" s="72" t="s">
        <v>230</v>
      </c>
      <c r="D48" s="60"/>
      <c r="E48" s="126"/>
      <c r="F48" s="168">
        <v>-42250</v>
      </c>
      <c r="G48" s="168">
        <v>0</v>
      </c>
      <c r="H48" s="126"/>
      <c r="I48" s="168">
        <v>-42250</v>
      </c>
      <c r="J48" s="168">
        <v>0</v>
      </c>
      <c r="K48" s="168">
        <f>-SUM(K35:K45)</f>
        <v>0</v>
      </c>
      <c r="L48" s="168">
        <f>-SUM(L35:L45)</f>
        <v>0</v>
      </c>
      <c r="M48" s="168">
        <f>-SUM(M35:M45)</f>
        <v>0</v>
      </c>
      <c r="N48" s="364">
        <v>0</v>
      </c>
      <c r="O48" s="365">
        <v>0</v>
      </c>
      <c r="P48" s="365">
        <v>0</v>
      </c>
      <c r="Q48" s="365">
        <v>0</v>
      </c>
      <c r="R48" s="60"/>
      <c r="S48" s="126"/>
      <c r="T48" s="126"/>
      <c r="U48" s="126"/>
      <c r="V48" s="126"/>
      <c r="W48" s="126"/>
      <c r="X48" s="126"/>
      <c r="Y48" s="126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</row>
    <row r="49" spans="1:40" ht="15" customHeight="1">
      <c r="A49" s="165" t="s">
        <v>231</v>
      </c>
      <c r="B49" s="72" t="s">
        <v>7</v>
      </c>
      <c r="C49" s="72" t="s">
        <v>232</v>
      </c>
      <c r="D49" s="60"/>
      <c r="E49" s="62"/>
      <c r="F49" s="170"/>
      <c r="G49" s="170"/>
      <c r="H49" s="126"/>
      <c r="I49" s="170"/>
      <c r="J49" s="170"/>
      <c r="K49" s="170"/>
      <c r="L49" s="170"/>
      <c r="M49" s="170">
        <v>169000</v>
      </c>
      <c r="N49" s="372"/>
      <c r="O49" s="368"/>
      <c r="P49" s="368"/>
      <c r="Q49" s="368"/>
      <c r="R49" s="110"/>
      <c r="S49" s="110"/>
      <c r="T49" s="110"/>
      <c r="U49" s="110"/>
      <c r="V49" s="110"/>
      <c r="W49" s="110"/>
      <c r="X49" s="110"/>
      <c r="Y49" s="11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</row>
    <row r="50" spans="1:40">
      <c r="A50" s="165" t="s">
        <v>233</v>
      </c>
      <c r="B50" s="72" t="s">
        <v>36</v>
      </c>
      <c r="C50" s="72" t="s">
        <v>234</v>
      </c>
      <c r="D50" s="60"/>
      <c r="E50" s="126"/>
      <c r="F50" s="126">
        <v>-169000</v>
      </c>
      <c r="G50" s="126">
        <v>-169000</v>
      </c>
      <c r="H50" s="126"/>
      <c r="I50" s="126">
        <v>-169000</v>
      </c>
      <c r="J50" s="126">
        <f t="shared" ref="J50:Q50" si="5">+J48+I50+J49</f>
        <v>-169000</v>
      </c>
      <c r="K50" s="126">
        <f t="shared" si="5"/>
        <v>-169000</v>
      </c>
      <c r="L50" s="126">
        <f t="shared" si="5"/>
        <v>-169000</v>
      </c>
      <c r="M50" s="126">
        <f t="shared" si="5"/>
        <v>0</v>
      </c>
      <c r="N50" s="366">
        <f t="shared" si="5"/>
        <v>0</v>
      </c>
      <c r="O50" s="367">
        <f t="shared" si="5"/>
        <v>0</v>
      </c>
      <c r="P50" s="367">
        <f t="shared" si="5"/>
        <v>0</v>
      </c>
      <c r="Q50" s="367">
        <f t="shared" si="5"/>
        <v>0</v>
      </c>
      <c r="R50" s="104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</row>
    <row r="51" spans="1:40">
      <c r="A51" s="162"/>
      <c r="B51" s="60"/>
      <c r="C51" s="60"/>
      <c r="D51" s="60"/>
      <c r="E51" s="126"/>
      <c r="F51" s="126"/>
      <c r="G51" s="126"/>
      <c r="H51" s="126"/>
      <c r="I51" s="126"/>
      <c r="J51" s="126"/>
      <c r="K51" s="126"/>
      <c r="L51" s="126"/>
      <c r="M51" s="126"/>
      <c r="N51" s="366"/>
      <c r="O51" s="367"/>
      <c r="P51" s="367"/>
      <c r="Q51" s="367"/>
      <c r="R51" s="104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</row>
    <row r="52" spans="1:40">
      <c r="A52" s="165" t="s">
        <v>235</v>
      </c>
      <c r="B52" s="72" t="s">
        <v>36</v>
      </c>
      <c r="C52" s="72" t="s">
        <v>236</v>
      </c>
      <c r="D52" s="60"/>
      <c r="E52" s="62"/>
      <c r="F52" s="171">
        <v>47750</v>
      </c>
      <c r="G52" s="171">
        <v>0</v>
      </c>
      <c r="H52" s="126"/>
      <c r="I52" s="171">
        <v>47750</v>
      </c>
      <c r="J52" s="171">
        <f t="shared" ref="J52:Q52" si="6">+J46+J48</f>
        <v>0</v>
      </c>
      <c r="K52" s="171">
        <f t="shared" si="6"/>
        <v>0</v>
      </c>
      <c r="L52" s="171">
        <f t="shared" si="6"/>
        <v>0</v>
      </c>
      <c r="M52" s="171">
        <f t="shared" si="6"/>
        <v>0</v>
      </c>
      <c r="N52" s="373">
        <f t="shared" si="6"/>
        <v>0</v>
      </c>
      <c r="O52" s="369">
        <f t="shared" si="6"/>
        <v>0</v>
      </c>
      <c r="P52" s="369">
        <f t="shared" si="6"/>
        <v>0</v>
      </c>
      <c r="Q52" s="369">
        <f t="shared" si="6"/>
        <v>0</v>
      </c>
      <c r="R52" s="110"/>
      <c r="S52" s="110"/>
      <c r="T52" s="110"/>
      <c r="U52" s="110"/>
      <c r="V52" s="110"/>
      <c r="W52" s="110"/>
      <c r="X52" s="110"/>
      <c r="Y52" s="11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</row>
    <row r="53" spans="1:40">
      <c r="A53" s="165" t="s">
        <v>237</v>
      </c>
      <c r="B53" s="72" t="s">
        <v>36</v>
      </c>
      <c r="C53" s="72" t="s">
        <v>238</v>
      </c>
      <c r="D53" s="60"/>
      <c r="E53" s="171"/>
      <c r="F53" s="171">
        <v>47750</v>
      </c>
      <c r="G53" s="171">
        <v>0</v>
      </c>
      <c r="H53" s="60"/>
      <c r="I53" s="171">
        <v>47750</v>
      </c>
      <c r="J53" s="171">
        <f t="shared" ref="J53:Q53" si="7">+J49+J52</f>
        <v>0</v>
      </c>
      <c r="K53" s="171">
        <f t="shared" si="7"/>
        <v>0</v>
      </c>
      <c r="L53" s="171">
        <f t="shared" si="7"/>
        <v>0</v>
      </c>
      <c r="M53" s="171">
        <f t="shared" si="7"/>
        <v>169000</v>
      </c>
      <c r="N53" s="373">
        <f t="shared" si="7"/>
        <v>0</v>
      </c>
      <c r="O53" s="369">
        <f t="shared" si="7"/>
        <v>0</v>
      </c>
      <c r="P53" s="369">
        <f t="shared" si="7"/>
        <v>0</v>
      </c>
      <c r="Q53" s="369">
        <f t="shared" si="7"/>
        <v>0</v>
      </c>
      <c r="R53" s="110"/>
      <c r="S53" s="110"/>
      <c r="T53" s="110"/>
      <c r="U53" s="110"/>
      <c r="V53" s="110"/>
      <c r="W53" s="110"/>
      <c r="X53" s="110"/>
      <c r="Y53" s="11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</row>
    <row r="54" spans="1:40">
      <c r="A54" s="60"/>
      <c r="B54" s="60"/>
      <c r="C54" s="60"/>
      <c r="D54" s="60"/>
      <c r="E54" s="126"/>
      <c r="F54" s="126"/>
      <c r="G54" s="126"/>
      <c r="H54" s="60"/>
      <c r="I54" s="126"/>
      <c r="J54" s="126"/>
      <c r="K54" s="126"/>
      <c r="L54" s="126"/>
      <c r="M54" s="126"/>
      <c r="N54" s="367"/>
      <c r="O54" s="367"/>
      <c r="P54" s="367"/>
      <c r="Q54" s="367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</row>
    <row r="55" spans="1:40">
      <c r="A55" s="165" t="s">
        <v>239</v>
      </c>
      <c r="B55" s="60"/>
      <c r="C55" s="72"/>
      <c r="D55" s="60"/>
      <c r="E55" s="126"/>
      <c r="F55" s="126"/>
      <c r="G55" s="126"/>
      <c r="H55" s="60"/>
      <c r="I55" s="126"/>
      <c r="J55" s="126"/>
      <c r="K55" s="126"/>
      <c r="L55" s="126"/>
      <c r="M55" s="126"/>
      <c r="N55" s="367"/>
      <c r="O55" s="367"/>
      <c r="P55" s="367"/>
      <c r="Q55" s="367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</row>
    <row r="56" spans="1:40">
      <c r="A56" s="165" t="s">
        <v>240</v>
      </c>
      <c r="B56" s="72" t="s">
        <v>36</v>
      </c>
      <c r="C56" s="72" t="s">
        <v>241</v>
      </c>
      <c r="D56" s="60"/>
      <c r="E56" s="175"/>
      <c r="F56" s="175">
        <v>1.0526315789473679</v>
      </c>
      <c r="G56" s="175">
        <v>1.0526315789473679</v>
      </c>
      <c r="H56" s="60"/>
      <c r="I56" s="175">
        <v>1.0526315789473679</v>
      </c>
      <c r="J56" s="175">
        <f>1/(1-'c12_inputs'!$E$7)</f>
        <v>1.0526315789473684</v>
      </c>
      <c r="K56" s="175">
        <f>1/(1-'c12_inputs'!$E$7)</f>
        <v>1.0526315789473684</v>
      </c>
      <c r="L56" s="175">
        <f>1/(1-'c12_inputs'!$E$7)</f>
        <v>1.0526315789473684</v>
      </c>
      <c r="M56" s="175">
        <f>1/(1-'c12_inputs'!$E$7)</f>
        <v>1.0526315789473684</v>
      </c>
      <c r="N56" s="374">
        <f>1/(1-'c12_inputs'!$E$7)</f>
        <v>1.0526315789473684</v>
      </c>
      <c r="O56" s="375">
        <f>1/(1-'c12_inputs'!$E$7)</f>
        <v>1.0526315789473684</v>
      </c>
      <c r="P56" s="375">
        <f>1/(1-'c12_inputs'!$E$7)</f>
        <v>1.0526315789473684</v>
      </c>
      <c r="Q56" s="375">
        <f>1/(1-'c12_inputs'!$E$7)</f>
        <v>1.0526315789473684</v>
      </c>
      <c r="R56" s="60"/>
      <c r="S56" s="60"/>
      <c r="T56" s="110"/>
      <c r="U56" s="110"/>
      <c r="V56" s="110"/>
      <c r="W56" s="110"/>
      <c r="X56" s="110"/>
      <c r="Y56" s="11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</row>
    <row r="57" spans="1:40">
      <c r="A57" s="165" t="s">
        <v>242</v>
      </c>
      <c r="B57" s="209" t="s">
        <v>39</v>
      </c>
      <c r="C57" s="72" t="s">
        <v>243</v>
      </c>
      <c r="D57" s="60"/>
      <c r="E57" s="118"/>
      <c r="F57" s="207">
        <v>0</v>
      </c>
      <c r="G57" s="207">
        <v>247680</v>
      </c>
      <c r="H57" s="60"/>
      <c r="I57" s="207">
        <v>0</v>
      </c>
      <c r="J57" s="207">
        <f t="shared" ref="J57:Q57" si="8">IF(AND((G57&lt;&gt;""),(J$2&lt;46204)),(G57),J78)</f>
        <v>247680</v>
      </c>
      <c r="K57" s="207">
        <f t="shared" si="8"/>
        <v>247680</v>
      </c>
      <c r="L57" s="207">
        <f t="shared" si="8"/>
        <v>290880</v>
      </c>
      <c r="M57" s="207">
        <f t="shared" si="8"/>
        <v>545435</v>
      </c>
      <c r="N57" s="376">
        <f t="shared" si="8"/>
        <v>545435</v>
      </c>
      <c r="O57" s="342">
        <f t="shared" si="8"/>
        <v>545435</v>
      </c>
      <c r="P57" s="342">
        <f t="shared" si="8"/>
        <v>545435</v>
      </c>
      <c r="Q57" s="342">
        <f t="shared" si="8"/>
        <v>545435</v>
      </c>
      <c r="R57" s="60"/>
      <c r="S57" s="60"/>
      <c r="T57" s="110"/>
      <c r="U57" s="110"/>
      <c r="V57" s="110"/>
      <c r="W57" s="110"/>
      <c r="X57" s="110"/>
      <c r="Y57" s="11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</row>
    <row r="58" spans="1:40">
      <c r="A58" s="169" t="s">
        <v>244</v>
      </c>
      <c r="B58" s="72" t="s">
        <v>36</v>
      </c>
      <c r="C58" s="72" t="s">
        <v>245</v>
      </c>
      <c r="D58" s="60"/>
      <c r="E58" s="126"/>
      <c r="F58" s="126">
        <v>0</v>
      </c>
      <c r="G58" s="126">
        <v>260715.78947368421</v>
      </c>
      <c r="H58" s="60"/>
      <c r="I58" s="126">
        <v>0</v>
      </c>
      <c r="J58" s="126">
        <f t="shared" ref="J58:Q58" si="9">J57*J56</f>
        <v>260715.78947368418</v>
      </c>
      <c r="K58" s="126">
        <f t="shared" si="9"/>
        <v>260715.78947368418</v>
      </c>
      <c r="L58" s="126">
        <f t="shared" si="9"/>
        <v>306189.4736842105</v>
      </c>
      <c r="M58" s="126">
        <f t="shared" si="9"/>
        <v>574142.10526315786</v>
      </c>
      <c r="N58" s="366">
        <f t="shared" si="9"/>
        <v>574142.10526315786</v>
      </c>
      <c r="O58" s="367">
        <f t="shared" si="9"/>
        <v>574142.10526315786</v>
      </c>
      <c r="P58" s="367">
        <f t="shared" si="9"/>
        <v>574142.10526315786</v>
      </c>
      <c r="Q58" s="367">
        <f t="shared" si="9"/>
        <v>574142.10526315786</v>
      </c>
      <c r="R58" s="60"/>
      <c r="S58" s="60"/>
      <c r="T58" s="110"/>
      <c r="U58" s="110"/>
      <c r="V58" s="110"/>
      <c r="W58" s="110"/>
      <c r="X58" s="110"/>
      <c r="Y58" s="11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</row>
    <row r="59" spans="1:40" ht="15" customHeight="1" thickBot="1">
      <c r="A59" s="60"/>
      <c r="B59" s="60"/>
      <c r="C59" s="60"/>
      <c r="D59" s="60"/>
      <c r="E59" s="126"/>
      <c r="F59" s="126"/>
      <c r="G59" s="126"/>
      <c r="H59" s="60"/>
      <c r="I59" s="126"/>
      <c r="J59" s="126"/>
      <c r="K59" s="126"/>
      <c r="L59" s="126"/>
      <c r="M59" s="126"/>
      <c r="N59" s="366"/>
      <c r="O59" s="367"/>
      <c r="P59" s="367"/>
      <c r="Q59" s="367"/>
      <c r="R59" s="110"/>
      <c r="S59" s="110"/>
      <c r="T59" s="110"/>
      <c r="U59" s="110"/>
      <c r="V59" s="110"/>
      <c r="W59" s="110"/>
      <c r="X59" s="110"/>
      <c r="Y59" s="11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</row>
    <row r="60" spans="1:40" s="49" customFormat="1" ht="15.5" customHeight="1" thickTop="1" thickBot="1">
      <c r="A60" s="169" t="s">
        <v>246</v>
      </c>
      <c r="B60" s="157" t="s">
        <v>39</v>
      </c>
      <c r="C60" s="72" t="s">
        <v>247</v>
      </c>
      <c r="D60" s="62"/>
      <c r="E60" s="176"/>
      <c r="F60" s="177">
        <v>447597</v>
      </c>
      <c r="G60" s="177">
        <v>310715.78947368421</v>
      </c>
      <c r="H60" s="60"/>
      <c r="I60" s="177">
        <v>447597</v>
      </c>
      <c r="J60" s="177">
        <f t="shared" ref="J60:Q60" si="10">+J53+J32+J58</f>
        <v>310715.78947368416</v>
      </c>
      <c r="K60" s="177">
        <f t="shared" si="10"/>
        <v>902637.28947368416</v>
      </c>
      <c r="L60" s="177">
        <f t="shared" si="10"/>
        <v>948110.97368421056</v>
      </c>
      <c r="M60" s="177">
        <f t="shared" si="10"/>
        <v>2385063.6052631577</v>
      </c>
      <c r="N60" s="377">
        <f t="shared" si="10"/>
        <v>1223469.697763158</v>
      </c>
      <c r="O60" s="377">
        <f t="shared" si="10"/>
        <v>1223469.697763158</v>
      </c>
      <c r="P60" s="377">
        <f t="shared" si="10"/>
        <v>1223469.697763158</v>
      </c>
      <c r="Q60" s="377">
        <f t="shared" si="10"/>
        <v>1223469.697763158</v>
      </c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</row>
    <row r="61" spans="1:40" s="20" customFormat="1" ht="15" customHeight="1" thickTop="1">
      <c r="A61" s="178"/>
      <c r="B61" s="61"/>
      <c r="C61" s="62"/>
      <c r="D61" s="62"/>
      <c r="E61" s="126"/>
      <c r="F61" s="126"/>
      <c r="G61" s="126"/>
      <c r="H61" s="60"/>
      <c r="I61" s="126"/>
      <c r="J61" s="126"/>
      <c r="K61" s="126"/>
      <c r="L61" s="126"/>
      <c r="M61" s="126"/>
      <c r="N61" s="367"/>
      <c r="O61" s="367"/>
      <c r="P61" s="367"/>
      <c r="Q61" s="367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</row>
    <row r="62" spans="1:40">
      <c r="A62" s="169" t="s">
        <v>248</v>
      </c>
      <c r="B62" s="72" t="s">
        <v>39</v>
      </c>
      <c r="C62" s="72" t="s">
        <v>249</v>
      </c>
      <c r="D62" s="60"/>
      <c r="E62" s="126"/>
      <c r="F62" s="179">
        <v>-563661</v>
      </c>
      <c r="G62" s="179">
        <v>-1162988.5925</v>
      </c>
      <c r="H62" s="60"/>
      <c r="I62" s="179">
        <v>-563661</v>
      </c>
      <c r="J62" s="179">
        <f t="shared" ref="J62:Q62" si="11">+J29+J50</f>
        <v>-1162988.5925</v>
      </c>
      <c r="K62" s="179">
        <f t="shared" si="11"/>
        <v>-1170394.6850000001</v>
      </c>
      <c r="L62" s="179">
        <f>+L29+L50</f>
        <v>-1177800.7775000001</v>
      </c>
      <c r="M62" s="179">
        <f>+M29+M50</f>
        <v>-16206.870000000112</v>
      </c>
      <c r="N62" s="378">
        <f t="shared" si="11"/>
        <v>-16206.870000000112</v>
      </c>
      <c r="O62" s="379">
        <f t="shared" si="11"/>
        <v>-16206.870000000112</v>
      </c>
      <c r="P62" s="379">
        <f t="shared" si="11"/>
        <v>-16206.870000000112</v>
      </c>
      <c r="Q62" s="379">
        <f t="shared" si="11"/>
        <v>-16206.870000000112</v>
      </c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</row>
    <row r="63" spans="1:40" ht="15" customHeight="1">
      <c r="A63" s="60"/>
      <c r="B63" s="60"/>
      <c r="C63" s="60"/>
      <c r="D63" s="60"/>
      <c r="E63" s="126"/>
      <c r="F63" s="126"/>
      <c r="G63" s="126"/>
      <c r="H63" s="60"/>
      <c r="I63" s="126"/>
      <c r="J63" s="126"/>
      <c r="K63" s="126"/>
      <c r="L63" s="126"/>
      <c r="M63" s="126"/>
      <c r="N63" s="366"/>
      <c r="O63" s="367"/>
      <c r="P63" s="367"/>
      <c r="Q63" s="367"/>
      <c r="R63" s="60"/>
      <c r="S63" s="60"/>
      <c r="T63" s="110"/>
      <c r="U63" s="110"/>
      <c r="V63" s="110"/>
      <c r="W63" s="110"/>
      <c r="X63" s="110"/>
      <c r="Y63" s="11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</row>
    <row r="64" spans="1:40" ht="15" customHeight="1">
      <c r="A64" s="165" t="s">
        <v>250</v>
      </c>
      <c r="B64" s="72" t="s">
        <v>36</v>
      </c>
      <c r="C64" s="72" t="s">
        <v>251</v>
      </c>
      <c r="D64" s="60"/>
      <c r="E64" s="146"/>
      <c r="F64" s="146">
        <v>0.35</v>
      </c>
      <c r="G64" s="146">
        <v>0.35</v>
      </c>
      <c r="H64" s="60"/>
      <c r="I64" s="146">
        <v>0.35</v>
      </c>
      <c r="J64" s="146">
        <f>'c12_inputs'!$E$8</f>
        <v>0.35</v>
      </c>
      <c r="K64" s="146">
        <f>'c12_inputs'!$E$8</f>
        <v>0.35</v>
      </c>
      <c r="L64" s="146">
        <f>'c12_inputs'!$E$8</f>
        <v>0.35</v>
      </c>
      <c r="M64" s="146">
        <f>'c12_inputs'!$E$8</f>
        <v>0.35</v>
      </c>
      <c r="N64" s="380">
        <f>'c12_inputs'!$E$8</f>
        <v>0.35</v>
      </c>
      <c r="O64" s="320">
        <f>'c12_inputs'!$E$8</f>
        <v>0.35</v>
      </c>
      <c r="P64" s="320">
        <f>'c12_inputs'!$E$8</f>
        <v>0.35</v>
      </c>
      <c r="Q64" s="320">
        <f>'c12_inputs'!$E$8</f>
        <v>0.35</v>
      </c>
      <c r="R64" s="60"/>
      <c r="S64" s="60"/>
      <c r="T64" s="110"/>
      <c r="U64" s="110"/>
      <c r="V64" s="110"/>
      <c r="W64" s="110"/>
      <c r="X64" s="110"/>
      <c r="Y64" s="11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</row>
    <row r="65" spans="1:40" s="48" customFormat="1" ht="15" customHeight="1">
      <c r="A65" s="165" t="s">
        <v>252</v>
      </c>
      <c r="B65" s="157" t="s">
        <v>7</v>
      </c>
      <c r="C65" s="155" t="s">
        <v>253</v>
      </c>
      <c r="D65" s="62"/>
      <c r="E65" s="146"/>
      <c r="F65" s="76">
        <v>0.65</v>
      </c>
      <c r="G65" s="76">
        <v>0</v>
      </c>
      <c r="H65" s="60"/>
      <c r="I65" s="76">
        <v>0.65</v>
      </c>
      <c r="J65" s="76">
        <v>0</v>
      </c>
      <c r="K65" s="76">
        <v>0</v>
      </c>
      <c r="L65" s="76">
        <v>0</v>
      </c>
      <c r="M65" s="76">
        <v>0</v>
      </c>
      <c r="N65" s="381">
        <v>0</v>
      </c>
      <c r="O65" s="382">
        <v>0</v>
      </c>
      <c r="P65" s="382">
        <v>0</v>
      </c>
      <c r="Q65" s="382">
        <v>0</v>
      </c>
      <c r="R65" s="60"/>
      <c r="S65" s="60"/>
      <c r="T65" s="110"/>
      <c r="U65" s="110"/>
      <c r="V65" s="110"/>
      <c r="W65" s="110"/>
      <c r="X65" s="110"/>
      <c r="Y65" s="11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</row>
    <row r="66" spans="1:40" s="48" customFormat="1" ht="15" customHeight="1">
      <c r="A66" s="165" t="s">
        <v>254</v>
      </c>
      <c r="B66" s="157" t="s">
        <v>7</v>
      </c>
      <c r="C66" s="155" t="s">
        <v>255</v>
      </c>
      <c r="D66" s="62"/>
      <c r="E66" s="146"/>
      <c r="F66" s="76">
        <v>0.65</v>
      </c>
      <c r="G66" s="76">
        <v>0.65</v>
      </c>
      <c r="H66" s="60"/>
      <c r="I66" s="76">
        <v>0.65</v>
      </c>
      <c r="J66" s="76">
        <v>0.65</v>
      </c>
      <c r="K66" s="76">
        <v>0.65</v>
      </c>
      <c r="L66" s="76">
        <v>0.65</v>
      </c>
      <c r="M66" s="76">
        <v>0</v>
      </c>
      <c r="N66" s="381">
        <v>0</v>
      </c>
      <c r="O66" s="382">
        <v>0</v>
      </c>
      <c r="P66" s="382">
        <v>0</v>
      </c>
      <c r="Q66" s="382">
        <v>0</v>
      </c>
      <c r="R66" s="60"/>
      <c r="S66" s="60"/>
      <c r="T66" s="110"/>
      <c r="U66" s="110"/>
      <c r="V66" s="110"/>
      <c r="W66" s="110"/>
      <c r="X66" s="110"/>
      <c r="Y66" s="11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</row>
    <row r="67" spans="1:40" s="11" customFormat="1">
      <c r="A67" s="165" t="s">
        <v>256</v>
      </c>
      <c r="B67" s="157" t="s">
        <v>36</v>
      </c>
      <c r="C67" s="155" t="s">
        <v>257</v>
      </c>
      <c r="D67" s="62"/>
      <c r="E67" s="180"/>
      <c r="F67" s="180">
        <v>0.05</v>
      </c>
      <c r="G67" s="180">
        <v>0.05</v>
      </c>
      <c r="H67" s="60"/>
      <c r="I67" s="180">
        <v>0.05</v>
      </c>
      <c r="J67" s="180">
        <f>'c12_inputs'!$E$7</f>
        <v>0.05</v>
      </c>
      <c r="K67" s="180">
        <f>'c12_inputs'!$E$7</f>
        <v>0.05</v>
      </c>
      <c r="L67" s="180">
        <f>'c12_inputs'!$E$7</f>
        <v>0.05</v>
      </c>
      <c r="M67" s="180">
        <f>'c12_inputs'!$E$7</f>
        <v>0.05</v>
      </c>
      <c r="N67" s="383">
        <f>'c12_inputs'!$E$7</f>
        <v>0.05</v>
      </c>
      <c r="O67" s="383">
        <f>'c12_inputs'!$E$7</f>
        <v>0.05</v>
      </c>
      <c r="P67" s="383">
        <f>'c12_inputs'!$E$7</f>
        <v>0.05</v>
      </c>
      <c r="Q67" s="383">
        <f>'c12_inputs'!$E$7</f>
        <v>0.05</v>
      </c>
      <c r="R67" s="60"/>
      <c r="S67" s="60"/>
      <c r="T67" s="60"/>
      <c r="U67" s="60"/>
      <c r="V67" s="118"/>
      <c r="W67" s="118"/>
      <c r="X67" s="118"/>
      <c r="Y67" s="118"/>
      <c r="Z67" s="118"/>
      <c r="AA67" s="118"/>
      <c r="AB67" s="118"/>
      <c r="AC67" s="60"/>
      <c r="AD67" s="118"/>
      <c r="AE67" s="118"/>
      <c r="AF67" s="118"/>
      <c r="AG67" s="118"/>
      <c r="AH67" s="118"/>
      <c r="AI67" s="118"/>
      <c r="AJ67" s="118"/>
      <c r="AK67" s="60"/>
      <c r="AL67" s="60"/>
      <c r="AM67" s="60"/>
      <c r="AN67" s="60"/>
    </row>
    <row r="68" spans="1:40">
      <c r="A68" s="165" t="s">
        <v>258</v>
      </c>
      <c r="B68" s="72" t="s">
        <v>36</v>
      </c>
      <c r="C68" s="72" t="s">
        <v>259</v>
      </c>
      <c r="D68" s="60"/>
      <c r="E68" s="126"/>
      <c r="F68" s="126">
        <v>447597</v>
      </c>
      <c r="G68" s="126">
        <v>50000</v>
      </c>
      <c r="H68" s="60"/>
      <c r="I68" s="126">
        <v>447597</v>
      </c>
      <c r="J68" s="126">
        <f t="shared" ref="J68:Q68" si="12">(J64+J65)*(J31+J52)+(J64+J66)*(J49+J28)</f>
        <v>50000</v>
      </c>
      <c r="K68" s="126">
        <f t="shared" si="12"/>
        <v>385137.86249999999</v>
      </c>
      <c r="L68" s="126">
        <f t="shared" si="12"/>
        <v>385137.86249999999</v>
      </c>
      <c r="M68" s="126">
        <f t="shared" si="12"/>
        <v>633822.52499999991</v>
      </c>
      <c r="N68" s="384">
        <f t="shared" si="12"/>
        <v>227264.65737500001</v>
      </c>
      <c r="O68" s="367">
        <f t="shared" si="12"/>
        <v>227264.65737500001</v>
      </c>
      <c r="P68" s="367">
        <f t="shared" si="12"/>
        <v>227264.65737500001</v>
      </c>
      <c r="Q68" s="367">
        <f t="shared" si="12"/>
        <v>227264.65737500001</v>
      </c>
      <c r="R68" s="60"/>
      <c r="S68" s="60"/>
      <c r="T68" s="110"/>
      <c r="U68" s="110"/>
      <c r="V68" s="110"/>
      <c r="W68" s="110"/>
      <c r="X68" s="110"/>
      <c r="Y68" s="11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</row>
    <row r="69" spans="1:40" ht="15" customHeight="1" thickBot="1">
      <c r="A69" s="165" t="s">
        <v>260</v>
      </c>
      <c r="B69" s="72" t="s">
        <v>36</v>
      </c>
      <c r="C69" s="72" t="s">
        <v>261</v>
      </c>
      <c r="D69" s="60"/>
      <c r="E69" s="126"/>
      <c r="F69" s="126">
        <v>0</v>
      </c>
      <c r="G69" s="126">
        <v>13035.78947368421</v>
      </c>
      <c r="H69" s="60"/>
      <c r="I69" s="126">
        <v>0</v>
      </c>
      <c r="J69" s="126">
        <f t="shared" ref="J69:Q69" si="13">J67*J58</f>
        <v>13035.78947368421</v>
      </c>
      <c r="K69" s="126">
        <f t="shared" si="13"/>
        <v>13035.78947368421</v>
      </c>
      <c r="L69" s="126">
        <f t="shared" si="13"/>
        <v>15309.473684210527</v>
      </c>
      <c r="M69" s="126">
        <f t="shared" si="13"/>
        <v>28707.105263157893</v>
      </c>
      <c r="N69" s="366">
        <f t="shared" si="13"/>
        <v>28707.105263157893</v>
      </c>
      <c r="O69" s="367">
        <f t="shared" si="13"/>
        <v>28707.105263157893</v>
      </c>
      <c r="P69" s="367">
        <f t="shared" si="13"/>
        <v>28707.105263157893</v>
      </c>
      <c r="Q69" s="367">
        <f t="shared" si="13"/>
        <v>28707.105263157893</v>
      </c>
      <c r="R69" s="60"/>
      <c r="S69" s="60"/>
      <c r="T69" s="110"/>
      <c r="U69" s="110"/>
      <c r="V69" s="110"/>
      <c r="W69" s="110"/>
      <c r="X69" s="110"/>
      <c r="Y69" s="11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</row>
    <row r="70" spans="1:40" s="48" customFormat="1" ht="15.5" customHeight="1" thickTop="1" thickBot="1">
      <c r="A70" s="169" t="s">
        <v>262</v>
      </c>
      <c r="B70" s="157" t="s">
        <v>39</v>
      </c>
      <c r="C70" s="155" t="s">
        <v>263</v>
      </c>
      <c r="D70" s="62"/>
      <c r="E70" s="176"/>
      <c r="F70" s="177">
        <v>447597</v>
      </c>
      <c r="G70" s="177">
        <v>63035.789473684214</v>
      </c>
      <c r="H70" s="60"/>
      <c r="I70" s="177">
        <v>447597</v>
      </c>
      <c r="J70" s="177">
        <f t="shared" ref="J70:Q70" si="14">J69+J68</f>
        <v>63035.789473684214</v>
      </c>
      <c r="K70" s="177">
        <f t="shared" si="14"/>
        <v>398173.6519736842</v>
      </c>
      <c r="L70" s="177">
        <f t="shared" si="14"/>
        <v>400447.33618421049</v>
      </c>
      <c r="M70" s="177">
        <f t="shared" si="14"/>
        <v>662529.63026315777</v>
      </c>
      <c r="N70" s="385">
        <f t="shared" si="14"/>
        <v>255971.7626381579</v>
      </c>
      <c r="O70" s="377">
        <f t="shared" si="14"/>
        <v>255971.7626381579</v>
      </c>
      <c r="P70" s="377">
        <f t="shared" si="14"/>
        <v>255971.7626381579</v>
      </c>
      <c r="Q70" s="377">
        <f t="shared" si="14"/>
        <v>255971.7626381579</v>
      </c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</row>
    <row r="71" spans="1:40" ht="15" customHeight="1" thickTop="1">
      <c r="A71" s="162"/>
      <c r="B71" s="60"/>
      <c r="C71" s="60"/>
      <c r="D71" s="60"/>
      <c r="E71" s="126"/>
      <c r="F71" s="126"/>
      <c r="G71" s="126"/>
      <c r="H71" s="60"/>
      <c r="I71" s="126"/>
      <c r="J71" s="126"/>
      <c r="K71" s="126"/>
      <c r="L71" s="126"/>
      <c r="M71" s="126"/>
      <c r="N71" s="366"/>
      <c r="O71" s="367"/>
      <c r="P71" s="367"/>
      <c r="Q71" s="367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</row>
    <row r="72" spans="1:40" s="11" customFormat="1">
      <c r="A72" s="165" t="s">
        <v>264</v>
      </c>
      <c r="B72" s="157" t="s">
        <v>36</v>
      </c>
      <c r="C72" s="155" t="s">
        <v>265</v>
      </c>
      <c r="D72" s="62"/>
      <c r="E72" s="126"/>
      <c r="F72" s="126">
        <v>224427.75</v>
      </c>
      <c r="G72" s="126">
        <v>227264.65737500001</v>
      </c>
      <c r="H72" s="60"/>
      <c r="I72" s="126">
        <v>224427.75</v>
      </c>
      <c r="J72" s="126">
        <f t="shared" ref="J72:Q72" si="15">-(J64+J65)*(J27+J48)</f>
        <v>227264.65737500001</v>
      </c>
      <c r="K72" s="126">
        <f t="shared" si="15"/>
        <v>88996.544875000007</v>
      </c>
      <c r="L72" s="126">
        <f t="shared" si="15"/>
        <v>88996.544875000007</v>
      </c>
      <c r="M72" s="126">
        <f t="shared" si="15"/>
        <v>88996.544875000007</v>
      </c>
      <c r="N72" s="367">
        <f t="shared" si="15"/>
        <v>0</v>
      </c>
      <c r="O72" s="367">
        <f t="shared" si="15"/>
        <v>0</v>
      </c>
      <c r="P72" s="367">
        <f t="shared" si="15"/>
        <v>0</v>
      </c>
      <c r="Q72" s="367">
        <f t="shared" si="15"/>
        <v>0</v>
      </c>
      <c r="R72" s="60"/>
      <c r="S72" s="60"/>
      <c r="T72" s="60"/>
      <c r="U72" s="60"/>
      <c r="V72" s="118"/>
      <c r="W72" s="118"/>
      <c r="X72" s="118"/>
      <c r="Y72" s="118"/>
      <c r="Z72" s="118"/>
      <c r="AA72" s="118"/>
      <c r="AB72" s="118"/>
      <c r="AC72" s="60"/>
      <c r="AD72" s="118"/>
      <c r="AE72" s="118"/>
      <c r="AF72" s="118"/>
      <c r="AG72" s="118"/>
      <c r="AH72" s="118"/>
      <c r="AI72" s="118"/>
      <c r="AJ72" s="118"/>
      <c r="AK72" s="60"/>
      <c r="AL72" s="60"/>
      <c r="AM72" s="60"/>
      <c r="AN72" s="60"/>
    </row>
    <row r="73" spans="1:40" s="11" customFormat="1">
      <c r="A73" s="165" t="s">
        <v>266</v>
      </c>
      <c r="B73" s="157" t="s">
        <v>36</v>
      </c>
      <c r="C73" s="155" t="s">
        <v>267</v>
      </c>
      <c r="D73" s="62"/>
      <c r="E73" s="126"/>
      <c r="F73" s="126">
        <v>0</v>
      </c>
      <c r="G73" s="126">
        <v>-50000</v>
      </c>
      <c r="H73" s="60"/>
      <c r="I73" s="126">
        <v>0</v>
      </c>
      <c r="J73" s="126">
        <f t="shared" ref="J73:Q73" si="16">-(J64+J66)*(J28+J49)</f>
        <v>-50000</v>
      </c>
      <c r="K73" s="126">
        <f t="shared" si="16"/>
        <v>-246869.75</v>
      </c>
      <c r="L73" s="126">
        <f t="shared" si="16"/>
        <v>-246869.75</v>
      </c>
      <c r="M73" s="126">
        <f t="shared" si="16"/>
        <v>-495554.41249999998</v>
      </c>
      <c r="N73" s="367">
        <f t="shared" si="16"/>
        <v>0</v>
      </c>
      <c r="O73" s="367">
        <f t="shared" si="16"/>
        <v>0</v>
      </c>
      <c r="P73" s="367">
        <f t="shared" si="16"/>
        <v>0</v>
      </c>
      <c r="Q73" s="367">
        <f t="shared" si="16"/>
        <v>0</v>
      </c>
      <c r="R73" s="60"/>
      <c r="S73" s="60"/>
      <c r="T73" s="60"/>
      <c r="U73" s="60"/>
      <c r="V73" s="118"/>
      <c r="W73" s="118"/>
      <c r="X73" s="118"/>
      <c r="Y73" s="118"/>
      <c r="Z73" s="118"/>
      <c r="AA73" s="118"/>
      <c r="AB73" s="118"/>
      <c r="AC73" s="60"/>
      <c r="AD73" s="118"/>
      <c r="AE73" s="118"/>
      <c r="AF73" s="118"/>
      <c r="AG73" s="118"/>
      <c r="AH73" s="118"/>
      <c r="AI73" s="118"/>
      <c r="AJ73" s="118"/>
      <c r="AK73" s="60"/>
      <c r="AL73" s="60"/>
      <c r="AM73" s="60"/>
      <c r="AN73" s="60"/>
    </row>
    <row r="74" spans="1:40">
      <c r="A74" s="165" t="s">
        <v>268</v>
      </c>
      <c r="B74" s="209" t="s">
        <v>39</v>
      </c>
      <c r="C74" s="72" t="s">
        <v>269</v>
      </c>
      <c r="D74" s="60"/>
      <c r="E74" s="126"/>
      <c r="F74" s="168">
        <v>563661</v>
      </c>
      <c r="G74" s="168">
        <v>740925.65737499995</v>
      </c>
      <c r="H74" s="60"/>
      <c r="I74" s="168">
        <v>563661</v>
      </c>
      <c r="J74" s="168">
        <f t="shared" ref="J74:Q74" si="17">SUM(J72:J73)+I74</f>
        <v>740925.65737499995</v>
      </c>
      <c r="K74" s="168">
        <f t="shared" si="17"/>
        <v>583052.45224999997</v>
      </c>
      <c r="L74" s="168">
        <f t="shared" si="17"/>
        <v>425179.24712499999</v>
      </c>
      <c r="M74" s="168">
        <f t="shared" si="17"/>
        <v>18621.379500000039</v>
      </c>
      <c r="N74" s="364">
        <f t="shared" si="17"/>
        <v>18621.379500000039</v>
      </c>
      <c r="O74" s="365">
        <f t="shared" si="17"/>
        <v>18621.379500000039</v>
      </c>
      <c r="P74" s="365">
        <f t="shared" si="17"/>
        <v>18621.379500000039</v>
      </c>
      <c r="Q74" s="365">
        <f t="shared" si="17"/>
        <v>18621.379500000039</v>
      </c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</row>
    <row r="75" spans="1:40">
      <c r="A75" s="60"/>
      <c r="B75" s="60"/>
      <c r="C75" s="60"/>
      <c r="D75" s="60"/>
      <c r="E75" s="126"/>
      <c r="F75" s="126"/>
      <c r="G75" s="126"/>
      <c r="H75" s="60"/>
      <c r="I75" s="126"/>
      <c r="J75" s="126"/>
      <c r="K75" s="126"/>
      <c r="L75" s="126"/>
      <c r="M75" s="126"/>
      <c r="N75" s="366"/>
      <c r="O75" s="367"/>
      <c r="P75" s="367"/>
      <c r="Q75" s="367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</row>
    <row r="76" spans="1:40" ht="20" customHeight="1">
      <c r="A76" s="165" t="s">
        <v>270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321"/>
      <c r="O76" s="321"/>
      <c r="P76" s="321"/>
      <c r="Q76" s="321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</row>
    <row r="77" spans="1:40" s="11" customFormat="1" ht="14.65" customHeight="1">
      <c r="A77" s="165" t="s">
        <v>38</v>
      </c>
      <c r="B77" s="157" t="s">
        <v>36</v>
      </c>
      <c r="C77" s="155" t="s">
        <v>40</v>
      </c>
      <c r="D77" s="62"/>
      <c r="E77" s="118"/>
      <c r="F77" s="118">
        <v>770825</v>
      </c>
      <c r="G77" s="118">
        <v>391680</v>
      </c>
      <c r="H77" s="60"/>
      <c r="I77" s="118">
        <v>770825</v>
      </c>
      <c r="J77" s="118">
        <f>'.c12_hm_hr'!J31</f>
        <v>391680</v>
      </c>
      <c r="K77" s="118">
        <f>'.c12_hm_hr'!K31</f>
        <v>391680</v>
      </c>
      <c r="L77" s="118">
        <f>'.c12_hm_hr'!L31</f>
        <v>434880</v>
      </c>
      <c r="M77" s="118">
        <f>'.c12_hm_hr'!M31</f>
        <v>949185</v>
      </c>
      <c r="N77" s="319">
        <f>'.c12_hm_hr'!N31</f>
        <v>949185</v>
      </c>
      <c r="O77" s="319">
        <f>'.c12_hm_hr'!O31</f>
        <v>949185</v>
      </c>
      <c r="P77" s="319">
        <f>'.c12_hm_hr'!P31</f>
        <v>949185</v>
      </c>
      <c r="Q77" s="319">
        <f>'.c12_hm_hr'!Q31</f>
        <v>949185</v>
      </c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</row>
    <row r="78" spans="1:40" s="11" customFormat="1">
      <c r="A78" s="165" t="s">
        <v>41</v>
      </c>
      <c r="B78" s="157" t="s">
        <v>39</v>
      </c>
      <c r="C78" s="155" t="s">
        <v>42</v>
      </c>
      <c r="D78" s="62"/>
      <c r="E78" s="118"/>
      <c r="F78" s="181">
        <v>367075</v>
      </c>
      <c r="G78" s="181">
        <v>247680</v>
      </c>
      <c r="H78" s="60"/>
      <c r="I78" s="181">
        <v>367075</v>
      </c>
      <c r="J78" s="181">
        <f>'.c12_hm_hr'!J32</f>
        <v>247680</v>
      </c>
      <c r="K78" s="181">
        <f>'.c12_hm_hr'!K32</f>
        <v>247680</v>
      </c>
      <c r="L78" s="181">
        <f>'.c12_hm_hr'!L32</f>
        <v>290880</v>
      </c>
      <c r="M78" s="181">
        <f>'.c12_hm_hr'!M32</f>
        <v>545435</v>
      </c>
      <c r="N78" s="386">
        <f>'.c12_hm_hr'!N32</f>
        <v>545435</v>
      </c>
      <c r="O78" s="386">
        <f>'.c12_hm_hr'!O32</f>
        <v>545435</v>
      </c>
      <c r="P78" s="386">
        <f>'.c12_hm_hr'!P32</f>
        <v>545435</v>
      </c>
      <c r="Q78" s="386">
        <f>'.c12_hm_hr'!Q32</f>
        <v>545435</v>
      </c>
      <c r="R78" s="60"/>
      <c r="S78" s="60"/>
      <c r="T78" s="60"/>
      <c r="U78" s="60"/>
      <c r="V78" s="60"/>
      <c r="W78" s="60"/>
      <c r="X78" s="60"/>
      <c r="Y78" s="104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</row>
    <row r="79" spans="1:40" s="11" customFormat="1">
      <c r="A79" s="165" t="s">
        <v>43</v>
      </c>
      <c r="B79" s="157" t="s">
        <v>39</v>
      </c>
      <c r="C79" s="155" t="s">
        <v>44</v>
      </c>
      <c r="D79" s="62"/>
      <c r="E79" s="118"/>
      <c r="F79" s="181">
        <v>403750</v>
      </c>
      <c r="G79" s="181">
        <v>144000</v>
      </c>
      <c r="H79" s="60"/>
      <c r="I79" s="181">
        <v>403750</v>
      </c>
      <c r="J79" s="181">
        <f>'.c12_hm_hr'!J33</f>
        <v>144000</v>
      </c>
      <c r="K79" s="181">
        <f>'.c12_hm_hr'!K33</f>
        <v>144000</v>
      </c>
      <c r="L79" s="181">
        <f>'.c12_hm_hr'!L33</f>
        <v>144000</v>
      </c>
      <c r="M79" s="181">
        <f>'.c12_hm_hr'!M33</f>
        <v>403750</v>
      </c>
      <c r="N79" s="386">
        <f>'.c12_hm_hr'!N33</f>
        <v>403750</v>
      </c>
      <c r="O79" s="386">
        <f>'.c12_hm_hr'!O33</f>
        <v>403750</v>
      </c>
      <c r="P79" s="386">
        <f>'.c12_hm_hr'!P33</f>
        <v>403750</v>
      </c>
      <c r="Q79" s="386">
        <f>'.c12_hm_hr'!Q33</f>
        <v>403750</v>
      </c>
      <c r="R79" s="60"/>
      <c r="S79" s="60"/>
      <c r="T79" s="60"/>
      <c r="U79" s="60"/>
      <c r="V79" s="60"/>
      <c r="W79" s="60"/>
      <c r="X79" s="60"/>
      <c r="Y79" s="104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</row>
    <row r="80" spans="1:40" s="11" customFormat="1">
      <c r="A80" s="165" t="s">
        <v>45</v>
      </c>
      <c r="B80" s="157" t="s">
        <v>36</v>
      </c>
      <c r="C80" s="155" t="s">
        <v>46</v>
      </c>
      <c r="D80" s="62"/>
      <c r="E80" s="118"/>
      <c r="F80" s="118">
        <v>0</v>
      </c>
      <c r="G80" s="118">
        <v>0</v>
      </c>
      <c r="H80" s="60"/>
      <c r="I80" s="118">
        <v>0</v>
      </c>
      <c r="J80" s="118">
        <f>'.c12_hm_hr'!J34</f>
        <v>0</v>
      </c>
      <c r="K80" s="118">
        <f>'.c12_hm_hr'!K34</f>
        <v>0</v>
      </c>
      <c r="L80" s="118">
        <f>'.c12_hm_hr'!L34</f>
        <v>0</v>
      </c>
      <c r="M80" s="118">
        <f>'.c12_hm_hr'!M34</f>
        <v>0</v>
      </c>
      <c r="N80" s="319">
        <f>'.c12_hm_hr'!N34</f>
        <v>0</v>
      </c>
      <c r="O80" s="319">
        <f>'.c12_hm_hr'!O34</f>
        <v>0</v>
      </c>
      <c r="P80" s="319">
        <f>'.c12_hm_hr'!P34</f>
        <v>0</v>
      </c>
      <c r="Q80" s="319">
        <f>'.c12_hm_hr'!Q34</f>
        <v>0</v>
      </c>
      <c r="R80" s="60"/>
      <c r="S80" s="60"/>
      <c r="T80" s="60"/>
      <c r="U80" s="60"/>
      <c r="V80" s="60"/>
      <c r="W80" s="60"/>
      <c r="X80" s="60"/>
      <c r="Y80" s="104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</row>
    <row r="81" spans="1:40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321"/>
      <c r="O81" s="321"/>
      <c r="P81" s="321"/>
      <c r="Q81" s="321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</row>
    <row r="82" spans="1:40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321"/>
      <c r="O82" s="321"/>
      <c r="P82" s="321"/>
      <c r="Q82" s="321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</row>
    <row r="83" spans="1:40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321"/>
      <c r="O83" s="321"/>
      <c r="P83" s="321"/>
      <c r="Q83" s="321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</row>
    <row r="84" spans="1:40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321"/>
      <c r="O84" s="321"/>
      <c r="P84" s="321"/>
      <c r="Q84" s="321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</row>
    <row r="85" spans="1:40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321"/>
      <c r="O85" s="321"/>
      <c r="P85" s="321"/>
      <c r="Q85" s="321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</row>
    <row r="86" spans="1:40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321"/>
      <c r="O86" s="321"/>
      <c r="P86" s="321"/>
      <c r="Q86" s="321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</row>
    <row r="87" spans="1:40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321"/>
      <c r="O87" s="321"/>
      <c r="P87" s="321"/>
      <c r="Q87" s="321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</row>
    <row r="88" spans="1:40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321"/>
      <c r="O88" s="321"/>
      <c r="P88" s="321"/>
      <c r="Q88" s="321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</row>
    <row r="89" spans="1:40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321"/>
      <c r="O89" s="321"/>
      <c r="P89" s="321"/>
      <c r="Q89" s="321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</row>
    <row r="90" spans="1:4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321"/>
      <c r="O90" s="321"/>
      <c r="P90" s="321"/>
      <c r="Q90" s="321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</row>
    <row r="91" spans="1:40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321"/>
      <c r="O91" s="321"/>
      <c r="P91" s="321"/>
      <c r="Q91" s="321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</row>
    <row r="92" spans="1:40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321"/>
      <c r="O92" s="321"/>
      <c r="P92" s="321"/>
      <c r="Q92" s="321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</row>
    <row r="93" spans="1:40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321"/>
      <c r="O93" s="321"/>
      <c r="P93" s="321"/>
      <c r="Q93" s="321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</row>
    <row r="94" spans="1:40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321"/>
      <c r="O94" s="321"/>
      <c r="P94" s="321"/>
      <c r="Q94" s="321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</row>
    <row r="95" spans="1:40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321"/>
      <c r="O95" s="321"/>
      <c r="P95" s="321"/>
      <c r="Q95" s="321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</row>
    <row r="96" spans="1:40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321"/>
      <c r="O96" s="321"/>
      <c r="P96" s="321"/>
      <c r="Q96" s="321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</row>
    <row r="97" spans="1:40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321"/>
      <c r="O97" s="321"/>
      <c r="P97" s="321"/>
      <c r="Q97" s="321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</row>
    <row r="98" spans="1:40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321"/>
      <c r="O98" s="321"/>
      <c r="P98" s="321"/>
      <c r="Q98" s="321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</row>
    <row r="99" spans="1:40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321"/>
      <c r="O99" s="321"/>
      <c r="P99" s="321"/>
      <c r="Q99" s="321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</row>
    <row r="100" spans="1:4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321"/>
      <c r="O100" s="321"/>
      <c r="P100" s="321"/>
      <c r="Q100" s="321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</row>
    <row r="101" spans="1:40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321"/>
      <c r="O101" s="321"/>
      <c r="P101" s="321"/>
      <c r="Q101" s="321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</row>
    <row r="102" spans="1:40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321"/>
      <c r="O102" s="321"/>
      <c r="P102" s="321"/>
      <c r="Q102" s="321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</row>
    <row r="103" spans="1:40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321"/>
      <c r="O103" s="321"/>
      <c r="P103" s="321"/>
      <c r="Q103" s="321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</row>
    <row r="104" spans="1:40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321"/>
      <c r="O104" s="321"/>
      <c r="P104" s="321"/>
      <c r="Q104" s="321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</row>
    <row r="105" spans="1:40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321"/>
      <c r="O105" s="321"/>
      <c r="P105" s="321"/>
      <c r="Q105" s="321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</row>
    <row r="106" spans="1:40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321"/>
      <c r="O106" s="321"/>
      <c r="P106" s="321"/>
      <c r="Q106" s="321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</row>
    <row r="107" spans="1:40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321"/>
      <c r="O107" s="321"/>
      <c r="P107" s="321"/>
      <c r="Q107" s="321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</row>
    <row r="108" spans="1:40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321"/>
      <c r="O108" s="321"/>
      <c r="P108" s="321"/>
      <c r="Q108" s="321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</row>
    <row r="109" spans="1:40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321"/>
      <c r="O109" s="321"/>
      <c r="P109" s="321"/>
      <c r="Q109" s="321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</row>
    <row r="110" spans="1:4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321"/>
      <c r="O110" s="321"/>
      <c r="P110" s="321"/>
      <c r="Q110" s="321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</row>
    <row r="111" spans="1:40">
      <c r="A111" s="60"/>
      <c r="B111" s="81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321"/>
      <c r="O111" s="321"/>
      <c r="P111" s="321"/>
      <c r="Q111" s="321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</row>
    <row r="112" spans="1:40">
      <c r="A112" s="60"/>
      <c r="B112" s="8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321"/>
      <c r="O112" s="321"/>
      <c r="P112" s="321"/>
      <c r="Q112" s="321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</row>
    <row r="113" spans="1:40">
      <c r="A113" s="60"/>
      <c r="B113" s="81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321"/>
      <c r="O113" s="321"/>
      <c r="P113" s="321"/>
      <c r="Q113" s="321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</row>
    <row r="114" spans="1:40">
      <c r="A114" s="60"/>
      <c r="B114" s="81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321"/>
      <c r="O114" s="321"/>
      <c r="P114" s="321"/>
      <c r="Q114" s="321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</row>
    <row r="115" spans="1:40">
      <c r="A115" s="60"/>
      <c r="B115" s="81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321"/>
      <c r="O115" s="321"/>
      <c r="P115" s="321"/>
      <c r="Q115" s="321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</row>
    <row r="116" spans="1:40">
      <c r="A116" s="60"/>
      <c r="B116" s="81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321"/>
      <c r="O116" s="321"/>
      <c r="P116" s="321"/>
      <c r="Q116" s="321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</row>
    <row r="117" spans="1:40">
      <c r="A117" s="60"/>
      <c r="B117" s="81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321"/>
      <c r="O117" s="321"/>
      <c r="P117" s="321"/>
      <c r="Q117" s="321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</row>
    <row r="118" spans="1:40">
      <c r="A118" s="60"/>
      <c r="B118" s="81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321"/>
      <c r="O118" s="321"/>
      <c r="P118" s="321"/>
      <c r="Q118" s="321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</row>
    <row r="119" spans="1:40">
      <c r="A119" s="60"/>
      <c r="B119" s="81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321"/>
      <c r="O119" s="321"/>
      <c r="P119" s="321"/>
      <c r="Q119" s="321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</row>
    <row r="120" spans="1:40">
      <c r="A120" s="60"/>
      <c r="B120" s="81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321"/>
      <c r="O120" s="321"/>
      <c r="P120" s="321"/>
      <c r="Q120" s="321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</row>
    <row r="121" spans="1:40">
      <c r="A121" s="60"/>
      <c r="B121" s="81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321"/>
      <c r="O121" s="321"/>
      <c r="P121" s="321"/>
      <c r="Q121" s="321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</row>
    <row r="122" spans="1:40">
      <c r="A122" s="60"/>
      <c r="B122" s="81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321"/>
      <c r="O122" s="321"/>
      <c r="P122" s="321"/>
      <c r="Q122" s="321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</row>
    <row r="123" spans="1:40">
      <c r="A123" s="60"/>
      <c r="B123" s="81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321"/>
      <c r="O123" s="321"/>
      <c r="P123" s="321"/>
      <c r="Q123" s="321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</row>
    <row r="124" spans="1:40">
      <c r="A124" s="60"/>
      <c r="B124" s="81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321"/>
      <c r="O124" s="321"/>
      <c r="P124" s="321"/>
      <c r="Q124" s="321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</row>
    <row r="125" spans="1:40">
      <c r="A125" s="60"/>
      <c r="B125" s="81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321"/>
      <c r="O125" s="321"/>
      <c r="P125" s="321"/>
      <c r="Q125" s="321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</row>
    <row r="126" spans="1:40">
      <c r="A126" s="60"/>
      <c r="B126" s="81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321"/>
      <c r="O126" s="321"/>
      <c r="P126" s="321"/>
      <c r="Q126" s="321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</row>
    <row r="127" spans="1:40">
      <c r="A127" s="60"/>
      <c r="B127" s="81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321"/>
      <c r="O127" s="321"/>
      <c r="P127" s="321"/>
      <c r="Q127" s="321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</row>
    <row r="128" spans="1:40">
      <c r="A128" s="60"/>
      <c r="B128" s="81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321"/>
      <c r="O128" s="321"/>
      <c r="P128" s="321"/>
      <c r="Q128" s="321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</row>
    <row r="129" spans="1:40">
      <c r="A129" s="60"/>
      <c r="B129" s="8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321"/>
      <c r="O129" s="321"/>
      <c r="P129" s="321"/>
      <c r="Q129" s="321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</row>
    <row r="130" spans="1:40">
      <c r="A130" s="60"/>
      <c r="B130" s="81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321"/>
      <c r="O130" s="321"/>
      <c r="P130" s="321"/>
      <c r="Q130" s="321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</row>
    <row r="131" spans="1:40">
      <c r="A131" s="60"/>
      <c r="B131" s="81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321"/>
      <c r="O131" s="321"/>
      <c r="P131" s="321"/>
      <c r="Q131" s="321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</row>
    <row r="132" spans="1:40">
      <c r="A132" s="60"/>
      <c r="B132" s="8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321"/>
      <c r="O132" s="321"/>
      <c r="P132" s="321"/>
      <c r="Q132" s="321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</row>
    <row r="133" spans="1:40">
      <c r="A133" s="60"/>
      <c r="B133" s="81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321"/>
      <c r="O133" s="321"/>
      <c r="P133" s="321"/>
      <c r="Q133" s="321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</row>
    <row r="134" spans="1:40">
      <c r="A134" s="60"/>
      <c r="B134" s="81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321"/>
      <c r="O134" s="321"/>
      <c r="P134" s="321"/>
      <c r="Q134" s="321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</row>
    <row r="135" spans="1:40">
      <c r="A135" s="60"/>
      <c r="B135" s="8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321"/>
      <c r="O135" s="321"/>
      <c r="P135" s="321"/>
      <c r="Q135" s="321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</row>
    <row r="136" spans="1:40">
      <c r="A136" s="60"/>
      <c r="B136" s="81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321"/>
      <c r="O136" s="321"/>
      <c r="P136" s="321"/>
      <c r="Q136" s="321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</row>
    <row r="137" spans="1:40">
      <c r="A137" s="60"/>
      <c r="B137" s="81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321"/>
      <c r="O137" s="321"/>
      <c r="P137" s="321"/>
      <c r="Q137" s="321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</row>
    <row r="138" spans="1:40">
      <c r="A138" s="60"/>
      <c r="B138" s="81"/>
      <c r="C138" s="60"/>
      <c r="D138" s="60"/>
      <c r="E138" s="60"/>
      <c r="F138" s="60"/>
      <c r="G138" s="60"/>
      <c r="H138" s="60"/>
      <c r="I138" s="60"/>
      <c r="J138" s="60"/>
      <c r="K138" s="60"/>
      <c r="L138" s="155" t="s">
        <v>271</v>
      </c>
      <c r="M138" s="60"/>
      <c r="N138" s="321"/>
      <c r="O138" s="321"/>
      <c r="P138" s="321"/>
      <c r="Q138" s="321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</row>
    <row r="139" spans="1:40">
      <c r="A139" s="60"/>
      <c r="B139" s="81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321"/>
      <c r="O139" s="321"/>
      <c r="P139" s="321"/>
      <c r="Q139" s="321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</row>
    <row r="140" spans="1:40">
      <c r="A140" s="60"/>
      <c r="B140" s="81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321"/>
      <c r="O140" s="321"/>
      <c r="P140" s="321"/>
      <c r="Q140" s="321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</row>
    <row r="141" spans="1:40">
      <c r="A141" s="60"/>
      <c r="B141" s="81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321"/>
      <c r="O141" s="321"/>
      <c r="P141" s="321"/>
      <c r="Q141" s="321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</row>
    <row r="142" spans="1:40">
      <c r="A142" s="60"/>
      <c r="B142" s="81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321"/>
      <c r="O142" s="321"/>
      <c r="P142" s="321"/>
      <c r="Q142" s="321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</row>
    <row r="143" spans="1:40">
      <c r="A143" s="60"/>
      <c r="B143" s="81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321"/>
      <c r="O143" s="321"/>
      <c r="P143" s="321"/>
      <c r="Q143" s="321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</row>
    <row r="144" spans="1:40">
      <c r="A144" s="60"/>
      <c r="B144" s="81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321"/>
      <c r="O144" s="321"/>
      <c r="P144" s="321"/>
      <c r="Q144" s="321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</row>
    <row r="145" spans="1:40">
      <c r="A145" s="60"/>
      <c r="B145" s="81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321"/>
      <c r="O145" s="321"/>
      <c r="P145" s="321"/>
      <c r="Q145" s="321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</row>
    <row r="146" spans="1:40">
      <c r="A146" s="60"/>
      <c r="B146" s="81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321"/>
      <c r="O146" s="321"/>
      <c r="P146" s="321"/>
      <c r="Q146" s="321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</row>
    <row r="147" spans="1:40">
      <c r="A147" s="60"/>
      <c r="B147" s="81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321"/>
      <c r="O147" s="321"/>
      <c r="P147" s="321"/>
      <c r="Q147" s="321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</row>
    <row r="148" spans="1:40">
      <c r="A148" s="60"/>
      <c r="B148" s="81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321"/>
      <c r="O148" s="321"/>
      <c r="P148" s="321"/>
      <c r="Q148" s="321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</row>
    <row r="149" spans="1:40">
      <c r="A149" s="60"/>
      <c r="B149" s="81"/>
      <c r="C149" s="60"/>
      <c r="D149" s="60"/>
      <c r="E149" s="60"/>
      <c r="F149" s="60"/>
      <c r="G149" s="60"/>
      <c r="I149" s="60"/>
      <c r="J149" s="60"/>
      <c r="K149" s="60"/>
      <c r="L149" s="60"/>
      <c r="M149" s="60"/>
      <c r="N149" s="321"/>
      <c r="O149" s="321"/>
      <c r="P149" s="321"/>
      <c r="Q149" s="321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</row>
  </sheetData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4B084"/>
    <pageSetUpPr autoPageBreaks="0"/>
  </sheetPr>
  <dimension ref="A1:BE149"/>
  <sheetViews>
    <sheetView showGridLines="0" zoomScale="99" zoomScaleNormal="85" workbookViewId="0">
      <pane xSplit="4" ySplit="3" topLeftCell="J11" activePane="bottomRight" state="frozen"/>
      <selection pane="topRight"/>
      <selection pane="bottomLeft" activeCell="E16" sqref="E16"/>
      <selection pane="bottomRight" activeCell="M27" sqref="M27:Q27"/>
    </sheetView>
  </sheetViews>
  <sheetFormatPr defaultRowHeight="14.5"/>
  <cols>
    <col min="1" max="1" width="40" style="15" bestFit="1" customWidth="1"/>
    <col min="2" max="2" width="4.453125" style="54" customWidth="1"/>
    <col min="3" max="3" width="27.6328125" style="49" customWidth="1"/>
    <col min="4" max="4" width="14" style="54" bestFit="1" customWidth="1"/>
    <col min="5" max="5" width="15.6328125" style="4" bestFit="1" customWidth="1"/>
    <col min="6" max="6" width="13.6328125" style="4" bestFit="1" customWidth="1"/>
    <col min="7" max="7" width="13.6328125" style="4" customWidth="1"/>
    <col min="8" max="8" width="10.7265625" style="206" customWidth="1"/>
    <col min="9" max="9" width="14.26953125" style="4" bestFit="1" customWidth="1"/>
    <col min="10" max="10" width="17.6328125" style="4" bestFit="1" customWidth="1"/>
    <col min="11" max="13" width="15.26953125" style="4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57" s="3" customFormat="1" ht="18.399999999999999" customHeight="1">
      <c r="A1" s="162"/>
      <c r="B1" s="61"/>
      <c r="C1" s="62"/>
      <c r="D1" s="61"/>
      <c r="E1" s="163"/>
      <c r="F1" s="163"/>
      <c r="G1" s="163"/>
      <c r="H1" s="60"/>
      <c r="I1" s="163"/>
      <c r="J1" s="163"/>
      <c r="K1" s="163"/>
      <c r="L1" s="163"/>
      <c r="M1" s="163"/>
      <c r="N1" s="357"/>
      <c r="O1" s="358"/>
      <c r="P1" s="358"/>
      <c r="Q1" s="358"/>
      <c r="R1" s="60"/>
      <c r="S1" s="60"/>
      <c r="T1" s="60"/>
      <c r="U1" s="60"/>
      <c r="V1" s="60"/>
      <c r="W1" s="60"/>
      <c r="X1" s="60"/>
      <c r="Y1" s="104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</row>
    <row r="2" spans="1:57" s="216" customFormat="1">
      <c r="A2" s="212" t="s">
        <v>0</v>
      </c>
      <c r="B2" s="213"/>
      <c r="C2" s="213"/>
      <c r="D2" s="213"/>
      <c r="E2" s="214">
        <v>45657</v>
      </c>
      <c r="F2" s="214">
        <v>46022</v>
      </c>
      <c r="G2" s="214">
        <v>46112</v>
      </c>
      <c r="H2" s="214">
        <v>46203</v>
      </c>
      <c r="I2" s="214">
        <v>46022</v>
      </c>
      <c r="J2" s="214">
        <v>46112</v>
      </c>
      <c r="K2" s="214">
        <v>46203</v>
      </c>
      <c r="L2" s="214">
        <v>46295</v>
      </c>
      <c r="M2" s="214">
        <v>46387</v>
      </c>
      <c r="N2" s="316">
        <v>46477</v>
      </c>
      <c r="O2" s="316">
        <v>46568</v>
      </c>
      <c r="P2" s="316">
        <v>46660</v>
      </c>
      <c r="Q2" s="317">
        <v>46752</v>
      </c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</row>
    <row r="3" spans="1:57" s="219" customFormat="1">
      <c r="A3" s="68"/>
      <c r="B3" s="217"/>
      <c r="C3" s="217"/>
      <c r="D3" s="217"/>
      <c r="E3" s="218" t="s">
        <v>1</v>
      </c>
      <c r="F3" s="68"/>
      <c r="G3" s="68"/>
      <c r="H3" s="218"/>
      <c r="I3" s="218" t="s">
        <v>2</v>
      </c>
      <c r="J3" s="68"/>
      <c r="K3" s="68"/>
      <c r="L3" s="68"/>
      <c r="M3" s="68"/>
      <c r="N3" s="318"/>
      <c r="O3" s="318"/>
      <c r="P3" s="318"/>
      <c r="Q3" s="318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</row>
    <row r="4" spans="1:57" ht="14.65" customHeight="1">
      <c r="A4" s="60"/>
      <c r="B4" s="70" t="s">
        <v>2</v>
      </c>
      <c r="C4" s="71" t="s">
        <v>3</v>
      </c>
      <c r="D4" s="70" t="s">
        <v>4</v>
      </c>
      <c r="E4" s="164"/>
      <c r="F4" s="164"/>
      <c r="G4" s="164"/>
      <c r="H4" s="60"/>
      <c r="I4" s="164"/>
      <c r="J4" s="164"/>
      <c r="K4" s="164"/>
      <c r="L4" s="164"/>
      <c r="M4" s="164"/>
      <c r="N4" s="359"/>
      <c r="O4" s="360"/>
      <c r="P4" s="360"/>
      <c r="Q4" s="3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</row>
    <row r="5" spans="1:57" ht="15" customHeight="1">
      <c r="A5" s="165" t="s">
        <v>187</v>
      </c>
      <c r="B5" s="75"/>
      <c r="C5" s="77"/>
      <c r="D5" s="75"/>
      <c r="E5" s="162"/>
      <c r="F5" s="162"/>
      <c r="G5" s="162"/>
      <c r="H5" s="60"/>
      <c r="I5" s="166"/>
      <c r="J5" s="162"/>
      <c r="K5" s="162"/>
      <c r="L5" s="162"/>
      <c r="M5" s="162"/>
      <c r="N5" s="361"/>
      <c r="O5" s="362"/>
      <c r="P5" s="362"/>
      <c r="Q5" s="362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</row>
    <row r="6" spans="1:57">
      <c r="A6" s="93" t="s">
        <v>272</v>
      </c>
      <c r="B6" s="73" t="s">
        <v>7</v>
      </c>
      <c r="C6" s="74" t="s">
        <v>273</v>
      </c>
      <c r="D6" s="283" t="s">
        <v>191</v>
      </c>
      <c r="E6" s="126"/>
      <c r="F6" s="168">
        <v>0</v>
      </c>
      <c r="G6" s="168">
        <v>0</v>
      </c>
      <c r="H6" s="60"/>
      <c r="I6" s="168">
        <v>0</v>
      </c>
      <c r="J6" s="168">
        <v>0</v>
      </c>
      <c r="K6" s="168">
        <v>0</v>
      </c>
      <c r="L6" s="168">
        <v>0</v>
      </c>
      <c r="M6" s="168">
        <v>0</v>
      </c>
      <c r="N6" s="365">
        <v>0</v>
      </c>
      <c r="O6" s="365">
        <v>0</v>
      </c>
      <c r="P6" s="365">
        <v>0</v>
      </c>
      <c r="Q6" s="365">
        <v>0</v>
      </c>
      <c r="R6" s="60"/>
      <c r="S6" s="126"/>
      <c r="T6" s="126"/>
      <c r="U6" s="126"/>
      <c r="V6" s="126"/>
      <c r="W6" s="126"/>
      <c r="X6" s="126"/>
      <c r="Y6" s="126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</row>
    <row r="7" spans="1:57">
      <c r="A7" s="93" t="s">
        <v>274</v>
      </c>
      <c r="B7" s="73" t="s">
        <v>7</v>
      </c>
      <c r="C7" s="74" t="s">
        <v>275</v>
      </c>
      <c r="D7" s="283" t="s">
        <v>191</v>
      </c>
      <c r="E7" s="126"/>
      <c r="F7" s="168">
        <v>0</v>
      </c>
      <c r="G7" s="168">
        <v>0</v>
      </c>
      <c r="H7" s="60"/>
      <c r="I7" s="168">
        <v>0</v>
      </c>
      <c r="J7" s="168">
        <v>0</v>
      </c>
      <c r="K7" s="168">
        <v>0</v>
      </c>
      <c r="L7" s="168">
        <v>0</v>
      </c>
      <c r="M7" s="168">
        <v>0</v>
      </c>
      <c r="N7" s="365">
        <v>0</v>
      </c>
      <c r="O7" s="365">
        <v>0</v>
      </c>
      <c r="P7" s="365">
        <v>0</v>
      </c>
      <c r="Q7" s="365">
        <v>0</v>
      </c>
      <c r="R7" s="60"/>
      <c r="S7" s="126"/>
      <c r="T7" s="118"/>
      <c r="U7" s="118"/>
      <c r="V7" s="118"/>
      <c r="W7" s="118"/>
      <c r="X7" s="118"/>
      <c r="Y7" s="126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</row>
    <row r="8" spans="1:57">
      <c r="A8" s="93" t="s">
        <v>276</v>
      </c>
      <c r="B8" s="73" t="s">
        <v>7</v>
      </c>
      <c r="C8" s="74" t="s">
        <v>277</v>
      </c>
      <c r="D8" s="283" t="s">
        <v>191</v>
      </c>
      <c r="E8" s="126"/>
      <c r="F8" s="168"/>
      <c r="G8" s="168"/>
      <c r="H8" s="60"/>
      <c r="I8" s="168"/>
      <c r="J8" s="168"/>
      <c r="K8" s="168">
        <v>0</v>
      </c>
      <c r="L8" s="168"/>
      <c r="M8" s="168">
        <v>0</v>
      </c>
      <c r="N8" s="365">
        <v>0</v>
      </c>
      <c r="O8" s="365">
        <v>0</v>
      </c>
      <c r="P8" s="365">
        <v>0</v>
      </c>
      <c r="Q8" s="365">
        <v>0</v>
      </c>
      <c r="R8" s="60"/>
      <c r="S8" s="126"/>
      <c r="T8" s="126"/>
      <c r="U8" s="126"/>
      <c r="V8" s="126"/>
      <c r="W8" s="126"/>
      <c r="X8" s="126"/>
      <c r="Y8" s="126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</row>
    <row r="9" spans="1:57">
      <c r="A9" s="93" t="s">
        <v>278</v>
      </c>
      <c r="B9" s="72" t="s">
        <v>7</v>
      </c>
      <c r="C9" s="72" t="s">
        <v>273</v>
      </c>
      <c r="D9" s="72" t="s">
        <v>195</v>
      </c>
      <c r="E9" s="126"/>
      <c r="F9" s="168">
        <v>0</v>
      </c>
      <c r="G9" s="168">
        <v>0</v>
      </c>
      <c r="H9" s="60"/>
      <c r="I9" s="168">
        <v>0</v>
      </c>
      <c r="J9" s="168">
        <v>0</v>
      </c>
      <c r="K9" s="168">
        <v>0</v>
      </c>
      <c r="L9" s="168">
        <v>0</v>
      </c>
      <c r="M9" s="168">
        <v>0</v>
      </c>
      <c r="N9" s="365">
        <v>0</v>
      </c>
      <c r="O9" s="365">
        <v>0</v>
      </c>
      <c r="P9" s="364">
        <v>0</v>
      </c>
      <c r="Q9" s="365">
        <v>0</v>
      </c>
      <c r="R9" s="60"/>
      <c r="S9" s="126"/>
      <c r="T9" s="126"/>
      <c r="U9" s="126"/>
      <c r="V9" s="118"/>
      <c r="W9" s="118"/>
      <c r="X9" s="118"/>
      <c r="Y9" s="126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</row>
    <row r="10" spans="1:57">
      <c r="A10" s="93" t="s">
        <v>279</v>
      </c>
      <c r="B10" s="72" t="s">
        <v>7</v>
      </c>
      <c r="C10" s="72" t="s">
        <v>275</v>
      </c>
      <c r="D10" s="72" t="s">
        <v>195</v>
      </c>
      <c r="E10" s="126"/>
      <c r="F10" s="168">
        <v>0</v>
      </c>
      <c r="G10" s="168">
        <v>0</v>
      </c>
      <c r="H10" s="91"/>
      <c r="I10" s="168">
        <v>0</v>
      </c>
      <c r="J10" s="168">
        <v>0</v>
      </c>
      <c r="K10" s="168">
        <v>0</v>
      </c>
      <c r="L10" s="168">
        <v>0</v>
      </c>
      <c r="M10" s="168">
        <v>0</v>
      </c>
      <c r="N10" s="365">
        <v>0</v>
      </c>
      <c r="O10" s="365">
        <v>0</v>
      </c>
      <c r="P10" s="364">
        <v>0</v>
      </c>
      <c r="Q10" s="365">
        <v>0</v>
      </c>
      <c r="R10" s="60"/>
      <c r="S10" s="126"/>
      <c r="T10" s="126"/>
      <c r="U10" s="126"/>
      <c r="V10" s="118"/>
      <c r="W10" s="118"/>
      <c r="X10" s="118"/>
      <c r="Y10" s="126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</row>
    <row r="11" spans="1:57">
      <c r="A11" s="93" t="s">
        <v>280</v>
      </c>
      <c r="B11" s="72" t="s">
        <v>7</v>
      </c>
      <c r="C11" s="72" t="s">
        <v>273</v>
      </c>
      <c r="D11" s="72" t="s">
        <v>198</v>
      </c>
      <c r="E11" s="126"/>
      <c r="F11" s="168">
        <v>50000</v>
      </c>
      <c r="G11" s="168">
        <v>0</v>
      </c>
      <c r="H11" s="60"/>
      <c r="I11" s="168">
        <v>50000</v>
      </c>
      <c r="J11" s="168">
        <v>0</v>
      </c>
      <c r="K11" s="168">
        <v>0</v>
      </c>
      <c r="L11" s="168">
        <v>0</v>
      </c>
      <c r="M11" s="168">
        <v>0</v>
      </c>
      <c r="N11" s="365">
        <v>0</v>
      </c>
      <c r="O11" s="365">
        <v>0</v>
      </c>
      <c r="P11" s="365">
        <v>0</v>
      </c>
      <c r="Q11" s="365">
        <v>0</v>
      </c>
      <c r="R11" s="60"/>
      <c r="S11" s="126"/>
      <c r="T11" s="126"/>
      <c r="U11" s="126"/>
      <c r="V11" s="126"/>
      <c r="W11" s="126"/>
      <c r="X11" s="126"/>
      <c r="Y11" s="126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</row>
    <row r="12" spans="1:57">
      <c r="A12" s="93" t="s">
        <v>281</v>
      </c>
      <c r="B12" s="72" t="s">
        <v>7</v>
      </c>
      <c r="C12" s="72" t="s">
        <v>275</v>
      </c>
      <c r="D12" s="72" t="s">
        <v>198</v>
      </c>
      <c r="E12" s="167">
        <v>812800</v>
      </c>
      <c r="F12" s="168">
        <v>340000</v>
      </c>
      <c r="G12" s="168">
        <v>549375</v>
      </c>
      <c r="H12" s="95"/>
      <c r="I12" s="168">
        <v>340000</v>
      </c>
      <c r="J12" s="168">
        <f>2930000/16*3</f>
        <v>549375</v>
      </c>
      <c r="K12" s="168">
        <f>2930000/16*3</f>
        <v>549375</v>
      </c>
      <c r="L12" s="168">
        <f>2930000/16*3</f>
        <v>549375</v>
      </c>
      <c r="M12" s="168">
        <f>2930000/16*3</f>
        <v>549375</v>
      </c>
      <c r="N12" s="365">
        <v>549375</v>
      </c>
      <c r="O12" s="365">
        <v>549375</v>
      </c>
      <c r="P12" s="365">
        <v>549375</v>
      </c>
      <c r="Q12" s="365">
        <v>549375</v>
      </c>
      <c r="R12" s="110"/>
      <c r="S12" s="110"/>
      <c r="T12" s="110"/>
      <c r="U12" s="110"/>
      <c r="V12" s="110"/>
      <c r="W12" s="110"/>
      <c r="X12" s="110"/>
      <c r="Y12" s="11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</row>
    <row r="13" spans="1:57">
      <c r="A13" s="93" t="s">
        <v>282</v>
      </c>
      <c r="B13" s="72" t="s">
        <v>7</v>
      </c>
      <c r="C13" s="72" t="s">
        <v>277</v>
      </c>
      <c r="D13" s="72" t="s">
        <v>198</v>
      </c>
      <c r="E13" s="126"/>
      <c r="F13" s="168">
        <v>250000</v>
      </c>
      <c r="G13" s="168">
        <v>0</v>
      </c>
      <c r="H13" s="95"/>
      <c r="I13" s="168">
        <v>250000</v>
      </c>
      <c r="J13" s="168">
        <v>0</v>
      </c>
      <c r="K13" s="168">
        <v>0</v>
      </c>
      <c r="L13" s="168">
        <v>0</v>
      </c>
      <c r="M13" s="168">
        <v>0</v>
      </c>
      <c r="N13" s="364">
        <v>0</v>
      </c>
      <c r="O13" s="365">
        <v>0</v>
      </c>
      <c r="P13" s="365">
        <v>0</v>
      </c>
      <c r="Q13" s="365">
        <v>0</v>
      </c>
      <c r="R13" s="110"/>
      <c r="S13" s="110"/>
      <c r="T13" s="110"/>
      <c r="U13" s="110"/>
      <c r="V13" s="110"/>
      <c r="W13" s="110"/>
      <c r="X13" s="110"/>
      <c r="Y13" s="11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</row>
    <row r="14" spans="1:57">
      <c r="A14" s="93" t="s">
        <v>283</v>
      </c>
      <c r="B14" s="72" t="s">
        <v>7</v>
      </c>
      <c r="C14" s="72" t="s">
        <v>273</v>
      </c>
      <c r="D14" s="72" t="s">
        <v>203</v>
      </c>
      <c r="E14" s="118"/>
      <c r="F14" s="168">
        <v>375000</v>
      </c>
      <c r="G14" s="168">
        <v>487500</v>
      </c>
      <c r="H14" s="60"/>
      <c r="I14" s="135">
        <v>375000</v>
      </c>
      <c r="J14" s="135">
        <f>(4500000*0.6-SUM($I$14:$I$14))/4</f>
        <v>581250</v>
      </c>
      <c r="K14" s="135">
        <f>(4500000*0.6-SUM($I$14:$I$14))/4</f>
        <v>581250</v>
      </c>
      <c r="L14" s="135">
        <f>(4500000*0.6-SUM($I$14:$I$14))/4</f>
        <v>581250</v>
      </c>
      <c r="M14" s="135">
        <f>(4500000*0.6-SUM($I$14:$I$14))/4</f>
        <v>581250</v>
      </c>
      <c r="N14" s="340">
        <v>581250</v>
      </c>
      <c r="O14" s="340">
        <v>581250</v>
      </c>
      <c r="P14" s="340">
        <v>581250</v>
      </c>
      <c r="Q14" s="340">
        <v>581250</v>
      </c>
      <c r="R14" s="60"/>
      <c r="S14" s="60"/>
      <c r="T14" s="110"/>
      <c r="U14" s="110"/>
      <c r="V14" s="110"/>
      <c r="W14" s="110"/>
      <c r="X14" s="110"/>
      <c r="Y14" s="11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</row>
    <row r="15" spans="1:57">
      <c r="A15" s="93" t="s">
        <v>284</v>
      </c>
      <c r="B15" s="72" t="s">
        <v>7</v>
      </c>
      <c r="C15" s="72" t="s">
        <v>275</v>
      </c>
      <c r="D15" s="72" t="s">
        <v>203</v>
      </c>
      <c r="E15" s="118"/>
      <c r="F15" s="168">
        <v>500000</v>
      </c>
      <c r="G15" s="168">
        <v>433333.33333333331</v>
      </c>
      <c r="H15" s="60"/>
      <c r="I15" s="135">
        <v>500000</v>
      </c>
      <c r="J15" s="135">
        <f>5200000/3/4</f>
        <v>433333.33333333331</v>
      </c>
      <c r="K15" s="135">
        <f>5200000/3/4</f>
        <v>433333.33333333331</v>
      </c>
      <c r="L15" s="135">
        <f>5200000/3/4</f>
        <v>433333.33333333331</v>
      </c>
      <c r="M15" s="135">
        <f>5200000/3/4</f>
        <v>433333.33333333331</v>
      </c>
      <c r="N15" s="363">
        <v>433333.33333333331</v>
      </c>
      <c r="O15" s="340">
        <v>433333.33333333331</v>
      </c>
      <c r="P15" s="340">
        <v>433333.33333333331</v>
      </c>
      <c r="Q15" s="340">
        <v>433333.33333333331</v>
      </c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</row>
    <row r="16" spans="1:57">
      <c r="A16" s="93" t="s">
        <v>285</v>
      </c>
      <c r="B16" s="72" t="s">
        <v>7</v>
      </c>
      <c r="C16" s="72" t="s">
        <v>277</v>
      </c>
      <c r="D16" s="72" t="s">
        <v>203</v>
      </c>
      <c r="E16" s="118"/>
      <c r="F16" s="168">
        <v>0</v>
      </c>
      <c r="G16" s="168">
        <v>0</v>
      </c>
      <c r="H16" s="60"/>
      <c r="I16" s="135">
        <v>0</v>
      </c>
      <c r="J16" s="135">
        <v>0</v>
      </c>
      <c r="K16" s="135">
        <v>0</v>
      </c>
      <c r="L16" s="135">
        <v>0</v>
      </c>
      <c r="M16" s="135">
        <v>0</v>
      </c>
      <c r="N16" s="340">
        <v>0</v>
      </c>
      <c r="O16" s="340">
        <v>0</v>
      </c>
      <c r="P16" s="340">
        <v>0</v>
      </c>
      <c r="Q16" s="340">
        <v>0</v>
      </c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</row>
    <row r="17" spans="1:44">
      <c r="A17" s="93" t="s">
        <v>286</v>
      </c>
      <c r="B17" s="72" t="s">
        <v>7</v>
      </c>
      <c r="C17" s="72" t="s">
        <v>287</v>
      </c>
      <c r="D17" s="72" t="s">
        <v>203</v>
      </c>
      <c r="E17" s="126"/>
      <c r="F17" s="168"/>
      <c r="G17" s="168">
        <v>0</v>
      </c>
      <c r="H17" s="99"/>
      <c r="I17" s="135"/>
      <c r="J17" s="135">
        <v>0</v>
      </c>
      <c r="K17" s="135">
        <v>0</v>
      </c>
      <c r="L17" s="135">
        <v>0</v>
      </c>
      <c r="M17" s="135">
        <v>0</v>
      </c>
      <c r="N17" s="340">
        <v>0</v>
      </c>
      <c r="O17" s="340">
        <v>0</v>
      </c>
      <c r="P17" s="340">
        <v>0</v>
      </c>
      <c r="Q17" s="340">
        <v>0</v>
      </c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</row>
    <row r="18" spans="1:44">
      <c r="A18" s="93" t="s">
        <v>288</v>
      </c>
      <c r="B18" s="72" t="s">
        <v>7</v>
      </c>
      <c r="C18" s="72" t="s">
        <v>289</v>
      </c>
      <c r="D18" s="72" t="s">
        <v>203</v>
      </c>
      <c r="E18" s="126"/>
      <c r="F18" s="168"/>
      <c r="G18" s="168"/>
      <c r="H18" s="99"/>
      <c r="I18" s="135"/>
      <c r="J18" s="135"/>
      <c r="K18" s="135"/>
      <c r="L18" s="135"/>
      <c r="M18" s="135"/>
      <c r="N18" s="340"/>
      <c r="O18" s="340"/>
      <c r="P18" s="340"/>
      <c r="Q18" s="34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</row>
    <row r="19" spans="1:44" s="4" customFormat="1">
      <c r="A19" s="279" t="s">
        <v>206</v>
      </c>
      <c r="B19" s="157"/>
      <c r="C19" s="155"/>
      <c r="D19" s="157"/>
      <c r="E19" s="126"/>
      <c r="F19" s="168">
        <v>0</v>
      </c>
      <c r="G19" s="168">
        <v>0</v>
      </c>
      <c r="H19" s="91"/>
      <c r="I19" s="135">
        <v>0</v>
      </c>
      <c r="J19" s="135">
        <v>0</v>
      </c>
      <c r="K19" s="135">
        <v>0</v>
      </c>
      <c r="L19" s="135">
        <v>0</v>
      </c>
      <c r="M19" s="135">
        <v>0</v>
      </c>
      <c r="N19" s="340">
        <v>0</v>
      </c>
      <c r="O19" s="340">
        <v>0</v>
      </c>
      <c r="P19" s="340">
        <v>0</v>
      </c>
      <c r="Q19" s="340">
        <v>0</v>
      </c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</row>
    <row r="20" spans="1:44">
      <c r="A20" s="93" t="s">
        <v>290</v>
      </c>
      <c r="B20" s="72" t="s">
        <v>7</v>
      </c>
      <c r="C20" s="72" t="s">
        <v>289</v>
      </c>
      <c r="D20" s="72" t="s">
        <v>201</v>
      </c>
      <c r="E20" s="126"/>
      <c r="F20" s="168">
        <v>0</v>
      </c>
      <c r="G20" s="168">
        <v>0</v>
      </c>
      <c r="H20" s="60"/>
      <c r="I20" s="135">
        <v>0</v>
      </c>
      <c r="J20" s="135">
        <v>0</v>
      </c>
      <c r="K20" s="135">
        <v>0</v>
      </c>
      <c r="L20" s="135">
        <v>0</v>
      </c>
      <c r="M20" s="135">
        <v>0</v>
      </c>
      <c r="N20" s="340">
        <v>0</v>
      </c>
      <c r="O20" s="340">
        <v>0</v>
      </c>
      <c r="P20" s="340">
        <v>0</v>
      </c>
      <c r="Q20" s="340">
        <v>0</v>
      </c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</row>
    <row r="21" spans="1:44">
      <c r="A21" s="279" t="s">
        <v>206</v>
      </c>
      <c r="B21" s="72"/>
      <c r="C21" s="72"/>
      <c r="D21" s="72"/>
      <c r="E21" s="126"/>
      <c r="F21" s="168">
        <v>0</v>
      </c>
      <c r="G21" s="168">
        <v>0</v>
      </c>
      <c r="H21" s="104"/>
      <c r="I21" s="168">
        <v>0</v>
      </c>
      <c r="J21" s="168">
        <v>0</v>
      </c>
      <c r="K21" s="168">
        <v>0</v>
      </c>
      <c r="L21" s="168">
        <v>0</v>
      </c>
      <c r="M21" s="168">
        <v>0</v>
      </c>
      <c r="N21" s="365">
        <v>0</v>
      </c>
      <c r="O21" s="365">
        <v>0</v>
      </c>
      <c r="P21" s="365">
        <v>0</v>
      </c>
      <c r="Q21" s="365">
        <v>0</v>
      </c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</row>
    <row r="22" spans="1:44">
      <c r="A22" s="93" t="s">
        <v>291</v>
      </c>
      <c r="B22" s="72" t="s">
        <v>7</v>
      </c>
      <c r="C22" s="72" t="s">
        <v>292</v>
      </c>
      <c r="D22" s="72" t="s">
        <v>201</v>
      </c>
      <c r="E22" s="126"/>
      <c r="F22" s="168">
        <v>0</v>
      </c>
      <c r="G22" s="168">
        <v>0</v>
      </c>
      <c r="H22" s="91"/>
      <c r="I22" s="168">
        <v>0</v>
      </c>
      <c r="J22" s="168">
        <v>0</v>
      </c>
      <c r="K22" s="168">
        <v>0</v>
      </c>
      <c r="L22" s="168">
        <v>0</v>
      </c>
      <c r="M22" s="168">
        <v>2500000</v>
      </c>
      <c r="N22" s="365">
        <v>2500000</v>
      </c>
      <c r="O22" s="365">
        <v>2500000</v>
      </c>
      <c r="P22" s="365">
        <v>2500000</v>
      </c>
      <c r="Q22" s="365">
        <v>2500000</v>
      </c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</row>
    <row r="23" spans="1:44">
      <c r="A23" s="279" t="s">
        <v>293</v>
      </c>
      <c r="B23" s="72" t="s">
        <v>7</v>
      </c>
      <c r="C23" s="72" t="s">
        <v>275</v>
      </c>
      <c r="D23" s="72" t="s">
        <v>205</v>
      </c>
      <c r="E23" s="126"/>
      <c r="F23" s="168"/>
      <c r="G23" s="168"/>
      <c r="H23" s="91"/>
      <c r="I23" s="168"/>
      <c r="J23" s="168"/>
      <c r="K23" s="168"/>
      <c r="L23" s="168"/>
      <c r="M23" s="168">
        <f>500000+1600000</f>
        <v>2100000</v>
      </c>
      <c r="N23" s="365">
        <v>2100000</v>
      </c>
      <c r="O23" s="365">
        <v>2100000</v>
      </c>
      <c r="P23" s="365">
        <v>2100000</v>
      </c>
      <c r="Q23" s="365">
        <v>2100000</v>
      </c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</row>
    <row r="24" spans="1:44" ht="15" customHeight="1">
      <c r="A24" s="93" t="s">
        <v>207</v>
      </c>
      <c r="B24" s="72" t="s">
        <v>7</v>
      </c>
      <c r="C24" s="72" t="s">
        <v>275</v>
      </c>
      <c r="D24" s="72" t="s">
        <v>208</v>
      </c>
      <c r="E24" s="126"/>
      <c r="F24" s="168"/>
      <c r="G24" s="168"/>
      <c r="H24" s="91"/>
      <c r="I24" s="168"/>
      <c r="J24" s="168"/>
      <c r="K24" s="168"/>
      <c r="L24" s="168">
        <v>0</v>
      </c>
      <c r="M24" s="168">
        <v>0</v>
      </c>
      <c r="N24" s="365">
        <v>0</v>
      </c>
      <c r="O24" s="365">
        <v>0</v>
      </c>
      <c r="P24" s="365">
        <v>0</v>
      </c>
      <c r="Q24" s="365">
        <v>0</v>
      </c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</row>
    <row r="25" spans="1:44">
      <c r="A25" s="169" t="s">
        <v>209</v>
      </c>
      <c r="B25" s="72" t="s">
        <v>36</v>
      </c>
      <c r="C25" s="72" t="s">
        <v>210</v>
      </c>
      <c r="D25" s="60"/>
      <c r="E25" s="126"/>
      <c r="F25" s="126">
        <v>1515000</v>
      </c>
      <c r="G25" s="126">
        <v>1470208.333333333</v>
      </c>
      <c r="H25" s="91"/>
      <c r="I25" s="126">
        <v>1515000</v>
      </c>
      <c r="J25" s="126">
        <f t="shared" ref="J25:Q25" si="0">SUM(J6:J24)</f>
        <v>1563958.3333333333</v>
      </c>
      <c r="K25" s="126">
        <f t="shared" si="0"/>
        <v>1563958.3333333333</v>
      </c>
      <c r="L25" s="126">
        <f t="shared" si="0"/>
        <v>1563958.3333333333</v>
      </c>
      <c r="M25" s="126">
        <f t="shared" si="0"/>
        <v>6163958.333333333</v>
      </c>
      <c r="N25" s="366">
        <f t="shared" si="0"/>
        <v>6163958.333333333</v>
      </c>
      <c r="O25" s="367">
        <f t="shared" si="0"/>
        <v>6163958.333333333</v>
      </c>
      <c r="P25" s="367">
        <f t="shared" si="0"/>
        <v>6163958.333333333</v>
      </c>
      <c r="Q25" s="367">
        <f t="shared" si="0"/>
        <v>6163958.333333333</v>
      </c>
      <c r="R25" s="104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</row>
    <row r="26" spans="1:44" ht="15" customHeight="1">
      <c r="A26" s="162"/>
      <c r="B26" s="60"/>
      <c r="C26" s="60"/>
      <c r="D26" s="60"/>
      <c r="E26" s="126"/>
      <c r="F26" s="126"/>
      <c r="G26" s="126"/>
      <c r="H26" s="91"/>
      <c r="I26" s="126"/>
      <c r="J26" s="126"/>
      <c r="K26" s="126"/>
      <c r="L26" s="126"/>
      <c r="M26" s="126"/>
      <c r="N26" s="366"/>
      <c r="O26" s="367"/>
      <c r="P26" s="367"/>
      <c r="Q26" s="367"/>
      <c r="R26" s="104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</row>
    <row r="27" spans="1:44">
      <c r="A27" s="165" t="s">
        <v>211</v>
      </c>
      <c r="B27" s="72" t="s">
        <v>7</v>
      </c>
      <c r="C27" s="72" t="s">
        <v>212</v>
      </c>
      <c r="D27" s="60"/>
      <c r="E27" s="126"/>
      <c r="F27" s="168">
        <v>-745000</v>
      </c>
      <c r="G27" s="168">
        <v>-1470208</v>
      </c>
      <c r="H27" s="91"/>
      <c r="I27" s="168">
        <v>-745000</v>
      </c>
      <c r="J27" s="168">
        <v>-1470208</v>
      </c>
      <c r="K27" s="168">
        <f>-1000000+310000</f>
        <v>-690000</v>
      </c>
      <c r="L27" s="168">
        <v>-1000000</v>
      </c>
      <c r="M27" s="168">
        <v>-2100000</v>
      </c>
      <c r="N27" s="168">
        <v>-2100000</v>
      </c>
      <c r="O27" s="168">
        <v>-2100000</v>
      </c>
      <c r="P27" s="168">
        <v>-2100000</v>
      </c>
      <c r="Q27" s="168">
        <v>-2100000</v>
      </c>
      <c r="R27" s="110"/>
      <c r="S27" s="110"/>
      <c r="T27" s="110"/>
      <c r="U27" s="110"/>
      <c r="V27" s="110"/>
      <c r="W27" s="110"/>
      <c r="X27" s="110"/>
      <c r="Y27" s="11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</row>
    <row r="28" spans="1:44" ht="15" customHeight="1">
      <c r="A28" s="100" t="s">
        <v>213</v>
      </c>
      <c r="B28" s="72" t="s">
        <v>7</v>
      </c>
      <c r="C28" s="72" t="s">
        <v>214</v>
      </c>
      <c r="D28" s="60"/>
      <c r="E28" s="126"/>
      <c r="F28" s="168"/>
      <c r="G28" s="168">
        <v>1508647.32</v>
      </c>
      <c r="H28" s="91"/>
      <c r="I28" s="168"/>
      <c r="J28" s="168">
        <v>1508647.32</v>
      </c>
      <c r="K28" s="168">
        <v>1177500</v>
      </c>
      <c r="L28" s="168">
        <v>1177500</v>
      </c>
      <c r="M28" s="168">
        <v>1177500</v>
      </c>
      <c r="N28" s="365"/>
      <c r="O28" s="365"/>
      <c r="P28" s="365"/>
      <c r="Q28" s="365"/>
      <c r="R28" s="110"/>
      <c r="S28" s="110"/>
      <c r="T28" s="110"/>
      <c r="U28" s="110"/>
      <c r="V28" s="110"/>
      <c r="W28" s="110"/>
      <c r="X28" s="110"/>
      <c r="Y28" s="11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</row>
    <row r="29" spans="1:44">
      <c r="A29" s="165" t="s">
        <v>215</v>
      </c>
      <c r="B29" s="72" t="s">
        <v>36</v>
      </c>
      <c r="C29" s="72" t="s">
        <v>216</v>
      </c>
      <c r="D29" s="60"/>
      <c r="E29" s="126"/>
      <c r="F29" s="126">
        <v>-4710000</v>
      </c>
      <c r="G29" s="126">
        <v>-4671560.68</v>
      </c>
      <c r="H29" s="91"/>
      <c r="I29" s="126">
        <v>-4710000</v>
      </c>
      <c r="J29" s="126">
        <f t="shared" ref="J29:Q29" si="1">+J27+I29+J28</f>
        <v>-4671560.68</v>
      </c>
      <c r="K29" s="126">
        <f t="shared" si="1"/>
        <v>-4184060.6799999997</v>
      </c>
      <c r="L29" s="126">
        <f t="shared" si="1"/>
        <v>-4006560.6799999997</v>
      </c>
      <c r="M29" s="126">
        <f t="shared" si="1"/>
        <v>-4929060.68</v>
      </c>
      <c r="N29" s="367">
        <f t="shared" si="1"/>
        <v>-7029060.6799999997</v>
      </c>
      <c r="O29" s="367">
        <f t="shared" si="1"/>
        <v>-9129060.6799999997</v>
      </c>
      <c r="P29" s="367">
        <f t="shared" si="1"/>
        <v>-11229060.68</v>
      </c>
      <c r="Q29" s="367">
        <f t="shared" si="1"/>
        <v>-13329060.68</v>
      </c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</row>
    <row r="30" spans="1:44">
      <c r="A30" s="60"/>
      <c r="B30" s="60"/>
      <c r="C30" s="60"/>
      <c r="D30" s="60"/>
      <c r="E30" s="60"/>
      <c r="F30" s="60"/>
      <c r="G30" s="60"/>
      <c r="H30" s="91"/>
      <c r="I30" s="60"/>
      <c r="J30" s="60"/>
      <c r="K30" s="60"/>
      <c r="L30" s="60"/>
      <c r="M30" s="60"/>
      <c r="N30" s="321"/>
      <c r="O30" s="321"/>
      <c r="P30" s="321"/>
      <c r="Q30" s="321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</row>
    <row r="31" spans="1:44">
      <c r="A31" s="165" t="s">
        <v>217</v>
      </c>
      <c r="B31" s="72" t="s">
        <v>36</v>
      </c>
      <c r="C31" s="72" t="s">
        <v>218</v>
      </c>
      <c r="D31" s="60"/>
      <c r="E31" s="171"/>
      <c r="F31" s="171">
        <v>770000</v>
      </c>
      <c r="G31" s="171">
        <v>0.33333333325572312</v>
      </c>
      <c r="H31" s="91"/>
      <c r="I31" s="171">
        <v>770000</v>
      </c>
      <c r="J31" s="171">
        <f t="shared" ref="J31:Q31" si="2">+J25+J27</f>
        <v>93750.333333333256</v>
      </c>
      <c r="K31" s="171">
        <f t="shared" si="2"/>
        <v>873958.33333333326</v>
      </c>
      <c r="L31" s="171">
        <f t="shared" si="2"/>
        <v>563958.33333333326</v>
      </c>
      <c r="M31" s="171">
        <f t="shared" si="2"/>
        <v>4063958.333333333</v>
      </c>
      <c r="N31" s="369">
        <f t="shared" si="2"/>
        <v>4063958.333333333</v>
      </c>
      <c r="O31" s="369">
        <f t="shared" si="2"/>
        <v>4063958.333333333</v>
      </c>
      <c r="P31" s="369">
        <f t="shared" si="2"/>
        <v>4063958.333333333</v>
      </c>
      <c r="Q31" s="369">
        <f t="shared" si="2"/>
        <v>4063958.333333333</v>
      </c>
      <c r="R31" s="60"/>
      <c r="S31" s="60"/>
      <c r="T31" s="110"/>
      <c r="U31" s="110"/>
      <c r="V31" s="110"/>
      <c r="W31" s="110"/>
      <c r="X31" s="110"/>
      <c r="Y31" s="11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</row>
    <row r="32" spans="1:44">
      <c r="A32" s="165" t="s">
        <v>219</v>
      </c>
      <c r="B32" s="72" t="s">
        <v>36</v>
      </c>
      <c r="C32" s="72" t="s">
        <v>220</v>
      </c>
      <c r="D32" s="60"/>
      <c r="E32" s="171"/>
      <c r="F32" s="171">
        <v>770000</v>
      </c>
      <c r="G32" s="171">
        <v>1508647.6533333331</v>
      </c>
      <c r="H32" s="91"/>
      <c r="I32" s="171">
        <v>770000</v>
      </c>
      <c r="J32" s="171">
        <f t="shared" ref="J32:Q32" si="3">+J28+J31</f>
        <v>1602397.6533333333</v>
      </c>
      <c r="K32" s="171">
        <f t="shared" si="3"/>
        <v>2051458.3333333333</v>
      </c>
      <c r="L32" s="171">
        <f t="shared" si="3"/>
        <v>1741458.3333333333</v>
      </c>
      <c r="M32" s="171">
        <f t="shared" si="3"/>
        <v>5241458.333333333</v>
      </c>
      <c r="N32" s="369">
        <f t="shared" si="3"/>
        <v>4063958.333333333</v>
      </c>
      <c r="O32" s="369">
        <f t="shared" si="3"/>
        <v>4063958.333333333</v>
      </c>
      <c r="P32" s="369">
        <f t="shared" si="3"/>
        <v>4063958.333333333</v>
      </c>
      <c r="Q32" s="369">
        <f t="shared" si="3"/>
        <v>4063958.333333333</v>
      </c>
      <c r="R32" s="60"/>
      <c r="S32" s="60"/>
      <c r="T32" s="110"/>
      <c r="U32" s="110"/>
      <c r="V32" s="110"/>
      <c r="W32" s="110"/>
      <c r="X32" s="110"/>
      <c r="Y32" s="11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</row>
    <row r="33" spans="1:48">
      <c r="A33" s="60"/>
      <c r="B33" s="60"/>
      <c r="C33" s="60"/>
      <c r="D33" s="60"/>
      <c r="E33" s="126"/>
      <c r="F33" s="126"/>
      <c r="G33" s="126"/>
      <c r="H33" s="99"/>
      <c r="I33" s="126"/>
      <c r="J33" s="126"/>
      <c r="K33" s="126"/>
      <c r="L33" s="126"/>
      <c r="M33" s="126"/>
      <c r="N33" s="366"/>
      <c r="O33" s="367"/>
      <c r="P33" s="367"/>
      <c r="Q33" s="367"/>
      <c r="R33" s="60"/>
      <c r="S33" s="60"/>
      <c r="T33" s="110"/>
      <c r="U33" s="110"/>
      <c r="V33" s="110"/>
      <c r="W33" s="110"/>
      <c r="X33" s="110"/>
      <c r="Y33" s="11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</row>
    <row r="34" spans="1:48" ht="15" customHeight="1">
      <c r="A34" s="165" t="s">
        <v>221</v>
      </c>
      <c r="B34" s="60"/>
      <c r="C34" s="60"/>
      <c r="D34" s="60"/>
      <c r="E34" s="126"/>
      <c r="F34" s="126"/>
      <c r="G34" s="126"/>
      <c r="H34" s="91"/>
      <c r="I34" s="60"/>
      <c r="J34" s="126"/>
      <c r="K34" s="172"/>
      <c r="L34" s="172"/>
      <c r="M34" s="172"/>
      <c r="N34" s="370"/>
      <c r="O34" s="371"/>
      <c r="P34" s="371"/>
      <c r="Q34" s="371"/>
      <c r="R34" s="110"/>
      <c r="S34" s="110"/>
      <c r="T34" s="110"/>
      <c r="U34" s="110"/>
      <c r="V34" s="110"/>
      <c r="W34" s="110"/>
      <c r="X34" s="110"/>
      <c r="Y34" s="11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</row>
    <row r="35" spans="1:48">
      <c r="A35" s="280" t="s">
        <v>294</v>
      </c>
      <c r="B35" s="72" t="s">
        <v>7</v>
      </c>
      <c r="C35" s="72" t="s">
        <v>295</v>
      </c>
      <c r="D35" s="209" t="s">
        <v>191</v>
      </c>
      <c r="E35" s="118"/>
      <c r="F35" s="135">
        <v>22110.5</v>
      </c>
      <c r="G35" s="135">
        <v>45000</v>
      </c>
      <c r="H35" s="60"/>
      <c r="I35" s="135">
        <v>22110.5</v>
      </c>
      <c r="J35" s="135">
        <f>180000/4</f>
        <v>45000</v>
      </c>
      <c r="K35" s="135">
        <f>180000/4</f>
        <v>45000</v>
      </c>
      <c r="L35" s="135">
        <f>180000/4</f>
        <v>45000</v>
      </c>
      <c r="M35" s="135">
        <f>180000/4</f>
        <v>45000</v>
      </c>
      <c r="N35" s="363">
        <v>45000</v>
      </c>
      <c r="O35" s="363">
        <v>45000</v>
      </c>
      <c r="P35" s="340">
        <v>45000</v>
      </c>
      <c r="Q35" s="340">
        <v>45000</v>
      </c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</row>
    <row r="36" spans="1:48">
      <c r="A36" s="182" t="s">
        <v>296</v>
      </c>
      <c r="B36" s="72" t="s">
        <v>7</v>
      </c>
      <c r="C36" s="209" t="s">
        <v>295</v>
      </c>
      <c r="D36" s="72" t="s">
        <v>195</v>
      </c>
      <c r="E36" s="156">
        <v>667500</v>
      </c>
      <c r="F36" s="135">
        <v>22954.75</v>
      </c>
      <c r="G36" s="135">
        <v>60000</v>
      </c>
      <c r="H36" s="116"/>
      <c r="I36" s="135">
        <v>22954.75</v>
      </c>
      <c r="J36" s="135">
        <f>240000/4</f>
        <v>60000</v>
      </c>
      <c r="K36" s="135">
        <f>240000/4</f>
        <v>60000</v>
      </c>
      <c r="L36" s="135">
        <f>240000/4</f>
        <v>60000</v>
      </c>
      <c r="M36" s="135">
        <f>240000/4</f>
        <v>60000</v>
      </c>
      <c r="N36" s="363">
        <v>60000</v>
      </c>
      <c r="O36" s="363">
        <v>60000</v>
      </c>
      <c r="P36" s="340">
        <v>60000</v>
      </c>
      <c r="Q36" s="340">
        <v>60000</v>
      </c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</row>
    <row r="37" spans="1:48">
      <c r="A37" s="182" t="s">
        <v>297</v>
      </c>
      <c r="B37" s="72" t="s">
        <v>7</v>
      </c>
      <c r="C37" s="72" t="s">
        <v>295</v>
      </c>
      <c r="D37" s="72" t="s">
        <v>198</v>
      </c>
      <c r="E37" s="118"/>
      <c r="F37" s="135">
        <v>0</v>
      </c>
      <c r="G37" s="135">
        <v>50000</v>
      </c>
      <c r="H37" s="116"/>
      <c r="I37" s="135">
        <v>0</v>
      </c>
      <c r="J37" s="135">
        <f>200000/4</f>
        <v>50000</v>
      </c>
      <c r="K37" s="135">
        <f>400000/4</f>
        <v>100000</v>
      </c>
      <c r="L37" s="135">
        <f>200000/4</f>
        <v>50000</v>
      </c>
      <c r="M37" s="135">
        <f>200000/4</f>
        <v>50000</v>
      </c>
      <c r="N37" s="363">
        <v>50000</v>
      </c>
      <c r="O37" s="363">
        <v>50000</v>
      </c>
      <c r="P37" s="340">
        <v>50000</v>
      </c>
      <c r="Q37" s="340">
        <v>50000</v>
      </c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</row>
    <row r="38" spans="1:48">
      <c r="A38" s="182" t="s">
        <v>298</v>
      </c>
      <c r="B38" s="72" t="s">
        <v>7</v>
      </c>
      <c r="C38" s="72" t="s">
        <v>295</v>
      </c>
      <c r="D38" s="72" t="s">
        <v>203</v>
      </c>
      <c r="E38" s="118"/>
      <c r="F38" s="135">
        <v>0</v>
      </c>
      <c r="G38" s="135">
        <v>0</v>
      </c>
      <c r="H38" s="116"/>
      <c r="I38" s="135">
        <v>0</v>
      </c>
      <c r="J38" s="135">
        <v>0</v>
      </c>
      <c r="K38" s="135">
        <f>180000/4</f>
        <v>45000</v>
      </c>
      <c r="L38" s="135">
        <f>180000/4</f>
        <v>45000</v>
      </c>
      <c r="M38" s="135">
        <f>+L38</f>
        <v>45000</v>
      </c>
      <c r="N38" s="363">
        <v>45000</v>
      </c>
      <c r="O38" s="363">
        <v>45000</v>
      </c>
      <c r="P38" s="340">
        <v>45000</v>
      </c>
      <c r="Q38" s="340">
        <v>45000</v>
      </c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</row>
    <row r="39" spans="1:48">
      <c r="A39" s="182" t="s">
        <v>299</v>
      </c>
      <c r="B39" s="72" t="s">
        <v>7</v>
      </c>
      <c r="C39" s="72" t="s">
        <v>300</v>
      </c>
      <c r="D39" s="72" t="s">
        <v>203</v>
      </c>
      <c r="E39" s="118"/>
      <c r="F39" s="135">
        <v>0</v>
      </c>
      <c r="G39" s="135">
        <v>0</v>
      </c>
      <c r="H39" s="116"/>
      <c r="I39" s="135">
        <v>0</v>
      </c>
      <c r="J39" s="135">
        <v>0</v>
      </c>
      <c r="K39" s="135">
        <v>0</v>
      </c>
      <c r="L39" s="135">
        <v>0</v>
      </c>
      <c r="M39" s="135">
        <v>0</v>
      </c>
      <c r="N39" s="363">
        <v>0</v>
      </c>
      <c r="O39" s="363">
        <v>0</v>
      </c>
      <c r="P39" s="340">
        <v>0</v>
      </c>
      <c r="Q39" s="340">
        <v>0</v>
      </c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</row>
    <row r="40" spans="1:48">
      <c r="A40" s="182" t="s">
        <v>301</v>
      </c>
      <c r="B40" s="72" t="s">
        <v>7</v>
      </c>
      <c r="C40" s="72" t="s">
        <v>295</v>
      </c>
      <c r="D40" s="72" t="s">
        <v>201</v>
      </c>
      <c r="E40" s="118"/>
      <c r="F40" s="135">
        <v>0</v>
      </c>
      <c r="G40" s="135">
        <v>27000</v>
      </c>
      <c r="H40" s="91"/>
      <c r="I40" s="135">
        <v>0</v>
      </c>
      <c r="J40" s="135">
        <f>108000/4</f>
        <v>27000</v>
      </c>
      <c r="K40" s="135">
        <f>+J40</f>
        <v>27000</v>
      </c>
      <c r="L40" s="135">
        <f>+K40</f>
        <v>27000</v>
      </c>
      <c r="M40" s="135">
        <f>+L40</f>
        <v>27000</v>
      </c>
      <c r="N40" s="363">
        <v>27000</v>
      </c>
      <c r="O40" s="363">
        <v>27000</v>
      </c>
      <c r="P40" s="340">
        <v>27000</v>
      </c>
      <c r="Q40" s="340">
        <v>27000</v>
      </c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</row>
    <row r="41" spans="1:48" s="48" customFormat="1">
      <c r="A41" s="182" t="s">
        <v>302</v>
      </c>
      <c r="B41" s="157" t="s">
        <v>7</v>
      </c>
      <c r="C41" s="155" t="s">
        <v>300</v>
      </c>
      <c r="D41" s="157" t="s">
        <v>201</v>
      </c>
      <c r="E41" s="118"/>
      <c r="F41" s="135">
        <v>12500</v>
      </c>
      <c r="G41" s="135">
        <v>12500</v>
      </c>
      <c r="H41" s="116"/>
      <c r="I41" s="135">
        <v>12500</v>
      </c>
      <c r="J41" s="135">
        <v>12500</v>
      </c>
      <c r="K41" s="135">
        <v>12500</v>
      </c>
      <c r="L41" s="135">
        <v>12500</v>
      </c>
      <c r="M41" s="135"/>
      <c r="N41" s="363"/>
      <c r="O41" s="363"/>
      <c r="P41" s="340"/>
      <c r="Q41" s="34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</row>
    <row r="42" spans="1:48" s="48" customFormat="1">
      <c r="A42" s="182" t="s">
        <v>303</v>
      </c>
      <c r="B42" s="157" t="s">
        <v>7</v>
      </c>
      <c r="C42" s="155" t="s">
        <v>300</v>
      </c>
      <c r="D42" s="281" t="s">
        <v>191</v>
      </c>
      <c r="E42" s="118"/>
      <c r="F42" s="135">
        <v>57077.25</v>
      </c>
      <c r="G42" s="135">
        <v>72879</v>
      </c>
      <c r="H42" s="116"/>
      <c r="I42" s="135">
        <v>57077.25</v>
      </c>
      <c r="J42" s="135">
        <v>72879</v>
      </c>
      <c r="K42" s="135">
        <v>72879</v>
      </c>
      <c r="L42" s="135">
        <v>72879</v>
      </c>
      <c r="M42" s="135">
        <v>72879</v>
      </c>
      <c r="N42" s="363">
        <v>72879</v>
      </c>
      <c r="O42" s="363">
        <v>72879</v>
      </c>
      <c r="P42" s="340">
        <v>72879</v>
      </c>
      <c r="Q42" s="340">
        <v>72879</v>
      </c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</row>
    <row r="43" spans="1:48" s="48" customFormat="1">
      <c r="A43" s="182" t="s">
        <v>304</v>
      </c>
      <c r="B43" s="157" t="s">
        <v>7</v>
      </c>
      <c r="C43" s="155" t="s">
        <v>300</v>
      </c>
      <c r="D43" s="157" t="s">
        <v>195</v>
      </c>
      <c r="E43" s="118"/>
      <c r="F43" s="135">
        <v>49547.75</v>
      </c>
      <c r="G43" s="135">
        <v>63543</v>
      </c>
      <c r="H43" s="116"/>
      <c r="I43" s="135">
        <v>49547.75</v>
      </c>
      <c r="J43" s="135">
        <v>63543</v>
      </c>
      <c r="K43" s="135">
        <v>63543</v>
      </c>
      <c r="L43" s="135">
        <v>63543</v>
      </c>
      <c r="M43" s="135">
        <v>63543</v>
      </c>
      <c r="N43" s="363">
        <v>63543</v>
      </c>
      <c r="O43" s="363">
        <v>63543</v>
      </c>
      <c r="P43" s="340">
        <v>63543</v>
      </c>
      <c r="Q43" s="340">
        <v>63543</v>
      </c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</row>
    <row r="44" spans="1:48" s="11" customFormat="1">
      <c r="A44" s="182" t="s">
        <v>206</v>
      </c>
      <c r="B44" s="61"/>
      <c r="C44" s="62"/>
      <c r="D44" s="61"/>
      <c r="E44" s="118"/>
      <c r="F44" s="118"/>
      <c r="G44" s="118"/>
      <c r="H44" s="116"/>
      <c r="I44" s="118"/>
      <c r="J44" s="118"/>
      <c r="K44" s="118"/>
      <c r="L44" s="118"/>
      <c r="M44" s="118"/>
      <c r="N44" s="326"/>
      <c r="O44" s="326"/>
      <c r="P44" s="319"/>
      <c r="Q44" s="319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</row>
    <row r="45" spans="1:48">
      <c r="A45" s="280" t="s">
        <v>293</v>
      </c>
      <c r="B45" s="157" t="s">
        <v>7</v>
      </c>
      <c r="C45" s="72" t="s">
        <v>295</v>
      </c>
      <c r="D45" s="281" t="s">
        <v>305</v>
      </c>
      <c r="E45" s="118"/>
      <c r="F45" s="135"/>
      <c r="G45" s="135"/>
      <c r="H45" s="116"/>
      <c r="I45" s="135"/>
      <c r="J45" s="135"/>
      <c r="K45" s="135"/>
      <c r="L45" s="135"/>
      <c r="M45" s="135"/>
      <c r="N45" s="363"/>
      <c r="O45" s="363"/>
      <c r="P45" s="340"/>
      <c r="Q45" s="34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</row>
    <row r="46" spans="1:48" s="11" customFormat="1">
      <c r="A46" s="169" t="s">
        <v>228</v>
      </c>
      <c r="B46" s="157" t="s">
        <v>36</v>
      </c>
      <c r="C46" s="155" t="s">
        <v>229</v>
      </c>
      <c r="D46" s="61"/>
      <c r="E46" s="126"/>
      <c r="F46" s="126">
        <v>164190.25</v>
      </c>
      <c r="G46" s="126">
        <v>330922</v>
      </c>
      <c r="H46" s="116"/>
      <c r="I46" s="126">
        <v>164190.25</v>
      </c>
      <c r="J46" s="126">
        <f t="shared" ref="J46:Q46" si="4">SUM(J35:J45)</f>
        <v>330922</v>
      </c>
      <c r="K46" s="126">
        <f t="shared" si="4"/>
        <v>425922</v>
      </c>
      <c r="L46" s="126">
        <f t="shared" si="4"/>
        <v>375922</v>
      </c>
      <c r="M46" s="126">
        <f t="shared" si="4"/>
        <v>363422</v>
      </c>
      <c r="N46" s="366">
        <f t="shared" si="4"/>
        <v>363422</v>
      </c>
      <c r="O46" s="367">
        <f t="shared" si="4"/>
        <v>363422</v>
      </c>
      <c r="P46" s="367">
        <f t="shared" si="4"/>
        <v>363422</v>
      </c>
      <c r="Q46" s="367">
        <f t="shared" si="4"/>
        <v>363422</v>
      </c>
      <c r="R46" s="60"/>
      <c r="S46" s="60"/>
      <c r="T46" s="60"/>
      <c r="U46" s="60"/>
      <c r="V46" s="118"/>
      <c r="W46" s="118"/>
      <c r="X46" s="118"/>
      <c r="Y46" s="118"/>
      <c r="Z46" s="118"/>
      <c r="AA46" s="118"/>
      <c r="AB46" s="118"/>
      <c r="AC46" s="60"/>
      <c r="AD46" s="118"/>
      <c r="AE46" s="118"/>
      <c r="AF46" s="118"/>
      <c r="AG46" s="118"/>
      <c r="AH46" s="118"/>
      <c r="AI46" s="118"/>
      <c r="AJ46" s="118"/>
      <c r="AK46" s="60"/>
      <c r="AL46" s="60"/>
      <c r="AM46" s="60"/>
      <c r="AN46" s="60"/>
      <c r="AO46" s="60"/>
      <c r="AP46" s="60"/>
      <c r="AQ46" s="60"/>
      <c r="AR46" s="60"/>
    </row>
    <row r="47" spans="1:48" ht="15" customHeight="1">
      <c r="A47" s="60"/>
      <c r="B47" s="60"/>
      <c r="C47" s="60"/>
      <c r="D47" s="60"/>
      <c r="E47" s="126"/>
      <c r="F47" s="126"/>
      <c r="G47" s="126"/>
      <c r="H47" s="116"/>
      <c r="I47" s="126"/>
      <c r="J47" s="126"/>
      <c r="K47" s="126"/>
      <c r="L47" s="126"/>
      <c r="M47" s="126"/>
      <c r="N47" s="366"/>
      <c r="O47" s="367"/>
      <c r="P47" s="367"/>
      <c r="Q47" s="367"/>
      <c r="R47" s="60"/>
      <c r="S47" s="60"/>
      <c r="T47" s="110"/>
      <c r="U47" s="110"/>
      <c r="V47" s="110"/>
      <c r="W47" s="110"/>
      <c r="X47" s="110"/>
      <c r="Y47" s="11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</row>
    <row r="48" spans="1:48">
      <c r="A48" s="183" t="s">
        <v>211</v>
      </c>
      <c r="B48" s="72" t="s">
        <v>7</v>
      </c>
      <c r="C48" s="72" t="s">
        <v>230</v>
      </c>
      <c r="D48" s="60"/>
      <c r="E48" s="126"/>
      <c r="F48" s="168">
        <v>-22954.75</v>
      </c>
      <c r="G48" s="168">
        <v>-194500</v>
      </c>
      <c r="H48" s="126"/>
      <c r="I48" s="168">
        <v>-22954.75</v>
      </c>
      <c r="J48" s="168">
        <v>-194500</v>
      </c>
      <c r="K48" s="168"/>
      <c r="L48" s="168"/>
      <c r="M48" s="168"/>
      <c r="N48" s="365"/>
      <c r="O48" s="365"/>
      <c r="P48" s="365"/>
      <c r="Q48" s="365"/>
      <c r="R48" s="60"/>
      <c r="S48" s="60"/>
      <c r="T48" s="60"/>
      <c r="U48" s="60"/>
      <c r="V48" s="60"/>
      <c r="W48" s="60"/>
      <c r="X48" s="60"/>
      <c r="Y48" s="60"/>
      <c r="Z48" s="184"/>
      <c r="AA48" s="184"/>
      <c r="AB48" s="184"/>
      <c r="AC48" s="184"/>
      <c r="AD48" s="185"/>
      <c r="AE48" s="298"/>
      <c r="AI48" s="395"/>
      <c r="AJ48" s="396"/>
      <c r="AK48" s="396"/>
      <c r="AL48" s="396"/>
      <c r="AM48" s="396"/>
      <c r="AN48" s="396"/>
      <c r="AP48" s="395"/>
      <c r="AQ48" s="396"/>
      <c r="AR48" s="396"/>
      <c r="AS48" s="396"/>
      <c r="AT48" s="396"/>
      <c r="AU48" s="396"/>
      <c r="AV48" s="396"/>
    </row>
    <row r="49" spans="1:44" ht="15" customHeight="1">
      <c r="A49" s="183" t="s">
        <v>306</v>
      </c>
      <c r="B49" s="72" t="s">
        <v>7</v>
      </c>
      <c r="C49" s="72" t="s">
        <v>232</v>
      </c>
      <c r="D49" s="60"/>
      <c r="E49" s="126"/>
      <c r="F49" s="168"/>
      <c r="G49" s="168"/>
      <c r="H49" s="126"/>
      <c r="I49" s="168"/>
      <c r="J49" s="168"/>
      <c r="K49" s="168"/>
      <c r="L49" s="168">
        <v>91819</v>
      </c>
      <c r="M49" s="168">
        <v>194500</v>
      </c>
      <c r="N49" s="365"/>
      <c r="O49" s="365"/>
      <c r="P49" s="365"/>
      <c r="Q49" s="365"/>
      <c r="R49" s="60"/>
      <c r="S49" s="60"/>
      <c r="T49" s="60"/>
      <c r="U49" s="60"/>
      <c r="V49" s="60"/>
      <c r="W49" s="60"/>
      <c r="X49" s="60"/>
      <c r="Y49" s="60"/>
      <c r="Z49" s="184"/>
      <c r="AA49" s="184"/>
      <c r="AB49" s="184"/>
      <c r="AC49" s="184"/>
      <c r="AD49" s="185"/>
      <c r="AE49" s="84"/>
      <c r="AF49" s="84"/>
      <c r="AG49" s="84"/>
      <c r="AH49" s="84"/>
      <c r="AI49" s="84"/>
      <c r="AJ49" s="84"/>
      <c r="AK49" s="60"/>
      <c r="AL49" s="84"/>
      <c r="AM49" s="84"/>
      <c r="AN49" s="84"/>
      <c r="AO49" s="84"/>
      <c r="AP49" s="84"/>
      <c r="AQ49" s="84"/>
      <c r="AR49" s="84"/>
    </row>
    <row r="50" spans="1:44">
      <c r="A50" s="165" t="s">
        <v>233</v>
      </c>
      <c r="B50" s="72" t="s">
        <v>36</v>
      </c>
      <c r="C50" s="72" t="s">
        <v>234</v>
      </c>
      <c r="D50" s="60"/>
      <c r="E50" s="126"/>
      <c r="F50" s="126">
        <v>-91819</v>
      </c>
      <c r="G50" s="126">
        <v>-286319</v>
      </c>
      <c r="H50" s="126"/>
      <c r="I50" s="126">
        <v>-91819</v>
      </c>
      <c r="J50" s="126">
        <f t="shared" ref="J50:Q50" si="5">+J48+I50+J49</f>
        <v>-286319</v>
      </c>
      <c r="K50" s="126">
        <f t="shared" si="5"/>
        <v>-286319</v>
      </c>
      <c r="L50" s="126">
        <f t="shared" si="5"/>
        <v>-194500</v>
      </c>
      <c r="M50" s="126">
        <f t="shared" si="5"/>
        <v>0</v>
      </c>
      <c r="N50" s="366">
        <f t="shared" si="5"/>
        <v>0</v>
      </c>
      <c r="O50" s="367">
        <f t="shared" si="5"/>
        <v>0</v>
      </c>
      <c r="P50" s="367">
        <f t="shared" si="5"/>
        <v>0</v>
      </c>
      <c r="Q50" s="367">
        <f t="shared" si="5"/>
        <v>0</v>
      </c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</row>
    <row r="51" spans="1:44">
      <c r="A51" s="60"/>
      <c r="B51" s="60"/>
      <c r="C51" s="60"/>
      <c r="D51" s="60"/>
      <c r="E51" s="126"/>
      <c r="F51" s="126"/>
      <c r="G51" s="126"/>
      <c r="H51" s="126"/>
      <c r="I51" s="126"/>
      <c r="J51" s="126"/>
      <c r="K51" s="126"/>
      <c r="L51" s="126"/>
      <c r="M51" s="126"/>
      <c r="N51" s="366"/>
      <c r="O51" s="367"/>
      <c r="P51" s="367"/>
      <c r="Q51" s="367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</row>
    <row r="52" spans="1:44" s="11" customFormat="1">
      <c r="A52" s="165" t="s">
        <v>235</v>
      </c>
      <c r="B52" s="157" t="s">
        <v>36</v>
      </c>
      <c r="C52" s="155" t="s">
        <v>236</v>
      </c>
      <c r="D52" s="61"/>
      <c r="E52" s="174"/>
      <c r="F52" s="174">
        <v>141235.5</v>
      </c>
      <c r="G52" s="174">
        <v>136422</v>
      </c>
      <c r="H52" s="126"/>
      <c r="I52" s="171">
        <v>141235.5</v>
      </c>
      <c r="J52" s="171">
        <f t="shared" ref="J52:Q52" si="6">+J46+J48</f>
        <v>136422</v>
      </c>
      <c r="K52" s="171">
        <f t="shared" si="6"/>
        <v>425922</v>
      </c>
      <c r="L52" s="171">
        <f t="shared" si="6"/>
        <v>375922</v>
      </c>
      <c r="M52" s="171">
        <f t="shared" si="6"/>
        <v>363422</v>
      </c>
      <c r="N52" s="373">
        <f t="shared" si="6"/>
        <v>363422</v>
      </c>
      <c r="O52" s="369">
        <f t="shared" si="6"/>
        <v>363422</v>
      </c>
      <c r="P52" s="369">
        <f t="shared" si="6"/>
        <v>363422</v>
      </c>
      <c r="Q52" s="369">
        <f t="shared" si="6"/>
        <v>363422</v>
      </c>
      <c r="R52" s="60"/>
      <c r="S52" s="60"/>
      <c r="T52" s="60"/>
      <c r="U52" s="60"/>
      <c r="V52" s="118"/>
      <c r="W52" s="118"/>
      <c r="X52" s="118"/>
      <c r="Y52" s="118"/>
      <c r="Z52" s="118"/>
      <c r="AA52" s="118"/>
      <c r="AB52" s="118"/>
      <c r="AC52" s="60"/>
      <c r="AD52" s="118"/>
      <c r="AE52" s="118"/>
      <c r="AF52" s="118"/>
      <c r="AG52" s="118"/>
      <c r="AH52" s="118"/>
      <c r="AI52" s="118"/>
      <c r="AJ52" s="118"/>
      <c r="AK52" s="60"/>
      <c r="AL52" s="60"/>
      <c r="AM52" s="60"/>
      <c r="AN52" s="60"/>
      <c r="AO52" s="60"/>
      <c r="AP52" s="60"/>
      <c r="AQ52" s="60"/>
      <c r="AR52" s="60"/>
    </row>
    <row r="53" spans="1:44" s="11" customFormat="1">
      <c r="A53" s="165" t="s">
        <v>237</v>
      </c>
      <c r="B53" s="157" t="s">
        <v>36</v>
      </c>
      <c r="C53" s="155" t="s">
        <v>238</v>
      </c>
      <c r="D53" s="61"/>
      <c r="E53" s="171"/>
      <c r="F53" s="171">
        <v>141235.5</v>
      </c>
      <c r="G53" s="171">
        <v>136422</v>
      </c>
      <c r="H53" s="60"/>
      <c r="I53" s="171">
        <v>141235.5</v>
      </c>
      <c r="J53" s="171">
        <f t="shared" ref="J53:Q53" si="7">+J49+J52</f>
        <v>136422</v>
      </c>
      <c r="K53" s="171">
        <f t="shared" si="7"/>
        <v>425922</v>
      </c>
      <c r="L53" s="171">
        <f t="shared" si="7"/>
        <v>467741</v>
      </c>
      <c r="M53" s="171">
        <f t="shared" si="7"/>
        <v>557922</v>
      </c>
      <c r="N53" s="373">
        <f t="shared" si="7"/>
        <v>363422</v>
      </c>
      <c r="O53" s="369">
        <f t="shared" si="7"/>
        <v>363422</v>
      </c>
      <c r="P53" s="369">
        <f t="shared" si="7"/>
        <v>363422</v>
      </c>
      <c r="Q53" s="369">
        <f t="shared" si="7"/>
        <v>363422</v>
      </c>
      <c r="R53" s="60"/>
      <c r="S53" s="60"/>
      <c r="T53" s="60"/>
      <c r="U53" s="60"/>
      <c r="V53" s="118"/>
      <c r="W53" s="118"/>
      <c r="X53" s="118"/>
      <c r="Y53" s="118"/>
      <c r="Z53" s="118"/>
      <c r="AA53" s="118"/>
      <c r="AB53" s="118"/>
      <c r="AC53" s="60"/>
      <c r="AD53" s="118"/>
      <c r="AE53" s="118"/>
      <c r="AF53" s="118"/>
      <c r="AG53" s="118"/>
      <c r="AH53" s="118"/>
      <c r="AI53" s="118"/>
      <c r="AJ53" s="118"/>
      <c r="AK53" s="60"/>
      <c r="AL53" s="60"/>
      <c r="AM53" s="60"/>
      <c r="AN53" s="60"/>
      <c r="AO53" s="60"/>
      <c r="AP53" s="60"/>
      <c r="AQ53" s="60"/>
      <c r="AR53" s="60"/>
    </row>
    <row r="54" spans="1:44">
      <c r="A54" s="60"/>
      <c r="B54" s="60"/>
      <c r="C54" s="60"/>
      <c r="D54" s="60"/>
      <c r="E54" s="126"/>
      <c r="F54" s="126"/>
      <c r="G54" s="126"/>
      <c r="H54" s="60"/>
      <c r="I54" s="126"/>
      <c r="J54" s="126"/>
      <c r="K54" s="126"/>
      <c r="L54" s="126"/>
      <c r="M54" s="126"/>
      <c r="N54" s="367"/>
      <c r="O54" s="367"/>
      <c r="P54" s="367"/>
      <c r="Q54" s="367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</row>
    <row r="55" spans="1:44">
      <c r="A55" s="165" t="s">
        <v>239</v>
      </c>
      <c r="B55" s="60"/>
      <c r="C55" s="60"/>
      <c r="D55" s="60"/>
      <c r="E55" s="126"/>
      <c r="F55" s="126"/>
      <c r="G55" s="126"/>
      <c r="H55" s="60"/>
      <c r="I55" s="126"/>
      <c r="J55" s="126"/>
      <c r="K55" s="126"/>
      <c r="L55" s="126"/>
      <c r="M55" s="126"/>
      <c r="N55" s="367"/>
      <c r="O55" s="367"/>
      <c r="P55" s="367"/>
      <c r="Q55" s="367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</row>
    <row r="56" spans="1:44">
      <c r="A56" s="165" t="s">
        <v>240</v>
      </c>
      <c r="B56" s="72" t="s">
        <v>36</v>
      </c>
      <c r="C56" s="72" t="s">
        <v>241</v>
      </c>
      <c r="D56" s="60"/>
      <c r="E56" s="175"/>
      <c r="F56" s="175">
        <v>1.0526315789473679</v>
      </c>
      <c r="G56" s="175">
        <v>1.0526315789473679</v>
      </c>
      <c r="H56" s="60"/>
      <c r="I56" s="175">
        <v>1.0526315789473679</v>
      </c>
      <c r="J56" s="175">
        <f>1/(1-'c12_inputs'!$E$7)</f>
        <v>1.0526315789473684</v>
      </c>
      <c r="K56" s="175">
        <f>1/(1-'c12_inputs'!$E$7)</f>
        <v>1.0526315789473684</v>
      </c>
      <c r="L56" s="175">
        <f>1/(1-'c12_inputs'!$E$7)</f>
        <v>1.0526315789473684</v>
      </c>
      <c r="M56" s="175">
        <f>1/(1-'c12_inputs'!$E$7)</f>
        <v>1.0526315789473684</v>
      </c>
      <c r="N56" s="374">
        <f>1/(1-'c12_inputs'!$E$7)</f>
        <v>1.0526315789473684</v>
      </c>
      <c r="O56" s="375">
        <f>1/(1-'c12_inputs'!$E$7)</f>
        <v>1.0526315789473684</v>
      </c>
      <c r="P56" s="375">
        <f>1/(1-'c12_inputs'!$E$7)</f>
        <v>1.0526315789473684</v>
      </c>
      <c r="Q56" s="375">
        <f>1/(1-'c12_inputs'!$E$7)</f>
        <v>1.0526315789473684</v>
      </c>
      <c r="R56" s="60"/>
      <c r="S56" s="60"/>
      <c r="T56" s="110"/>
      <c r="U56" s="110"/>
      <c r="V56" s="110"/>
      <c r="W56" s="110"/>
      <c r="X56" s="110"/>
      <c r="Y56" s="11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</row>
    <row r="57" spans="1:44">
      <c r="A57" s="165" t="s">
        <v>242</v>
      </c>
      <c r="B57" s="209" t="s">
        <v>39</v>
      </c>
      <c r="C57" s="72" t="s">
        <v>243</v>
      </c>
      <c r="D57" s="60"/>
      <c r="E57" s="118"/>
      <c r="F57" s="207">
        <v>0</v>
      </c>
      <c r="G57" s="207">
        <v>85679.999999999985</v>
      </c>
      <c r="H57" s="60"/>
      <c r="I57" s="207">
        <v>0</v>
      </c>
      <c r="J57" s="207">
        <f t="shared" ref="J57:Q57" si="8">IF(AND((G57&lt;&gt;""),(J$2&lt;46204)),(G57),J78)</f>
        <v>85679.999999999985</v>
      </c>
      <c r="K57" s="207">
        <f t="shared" si="8"/>
        <v>85679.999999999985</v>
      </c>
      <c r="L57" s="207">
        <f t="shared" si="8"/>
        <v>85679.999999999985</v>
      </c>
      <c r="M57" s="207">
        <f t="shared" si="8"/>
        <v>116849.99999999997</v>
      </c>
      <c r="N57" s="376">
        <f t="shared" si="8"/>
        <v>116849.99999999997</v>
      </c>
      <c r="O57" s="342">
        <f t="shared" si="8"/>
        <v>116849.99999999997</v>
      </c>
      <c r="P57" s="342">
        <f t="shared" si="8"/>
        <v>116849.99999999997</v>
      </c>
      <c r="Q57" s="342">
        <f t="shared" si="8"/>
        <v>116849.99999999997</v>
      </c>
      <c r="R57" s="60"/>
      <c r="S57" s="60"/>
      <c r="T57" s="110"/>
      <c r="U57" s="110"/>
      <c r="V57" s="110"/>
      <c r="W57" s="110"/>
      <c r="X57" s="110"/>
      <c r="Y57" s="11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</row>
    <row r="58" spans="1:44" s="11" customFormat="1">
      <c r="A58" s="169" t="s">
        <v>307</v>
      </c>
      <c r="B58" s="157" t="s">
        <v>36</v>
      </c>
      <c r="C58" s="155" t="s">
        <v>245</v>
      </c>
      <c r="D58" s="61"/>
      <c r="E58" s="126"/>
      <c r="F58" s="126">
        <v>0</v>
      </c>
      <c r="G58" s="126">
        <v>90189.473684210505</v>
      </c>
      <c r="H58" s="60"/>
      <c r="I58" s="126">
        <v>0</v>
      </c>
      <c r="J58" s="126">
        <f t="shared" ref="J58:Q58" si="9">J57*J56</f>
        <v>90189.473684210505</v>
      </c>
      <c r="K58" s="126">
        <f t="shared" si="9"/>
        <v>90189.473684210505</v>
      </c>
      <c r="L58" s="126">
        <f t="shared" si="9"/>
        <v>90189.473684210505</v>
      </c>
      <c r="M58" s="126">
        <f t="shared" si="9"/>
        <v>122999.99999999996</v>
      </c>
      <c r="N58" s="366">
        <f t="shared" si="9"/>
        <v>122999.99999999996</v>
      </c>
      <c r="O58" s="367">
        <f t="shared" si="9"/>
        <v>122999.99999999996</v>
      </c>
      <c r="P58" s="367">
        <f t="shared" si="9"/>
        <v>122999.99999999996</v>
      </c>
      <c r="Q58" s="367">
        <f t="shared" si="9"/>
        <v>122999.99999999996</v>
      </c>
      <c r="R58" s="60"/>
      <c r="S58" s="60"/>
      <c r="T58" s="60"/>
      <c r="U58" s="60"/>
      <c r="V58" s="60"/>
      <c r="W58" s="60"/>
      <c r="X58" s="60"/>
      <c r="Y58" s="104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</row>
    <row r="59" spans="1:44" s="11" customFormat="1" ht="15" customHeight="1" thickBot="1">
      <c r="A59" s="162"/>
      <c r="B59" s="61"/>
      <c r="C59" s="62"/>
      <c r="D59" s="61"/>
      <c r="E59" s="126"/>
      <c r="F59" s="126"/>
      <c r="G59" s="126"/>
      <c r="H59" s="60"/>
      <c r="I59" s="126"/>
      <c r="J59" s="126"/>
      <c r="K59" s="126"/>
      <c r="L59" s="126"/>
      <c r="M59" s="126"/>
      <c r="N59" s="366"/>
      <c r="O59" s="367"/>
      <c r="P59" s="367"/>
      <c r="Q59" s="367"/>
      <c r="R59" s="60"/>
      <c r="S59" s="60"/>
      <c r="T59" s="60"/>
      <c r="U59" s="60"/>
      <c r="V59" s="60"/>
      <c r="W59" s="60"/>
      <c r="X59" s="60"/>
      <c r="Y59" s="104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</row>
    <row r="60" spans="1:44" s="52" customFormat="1" ht="15.5" customHeight="1" thickTop="1" thickBot="1">
      <c r="A60" s="183" t="s">
        <v>308</v>
      </c>
      <c r="B60" s="157" t="s">
        <v>39</v>
      </c>
      <c r="C60" s="155" t="s">
        <v>309</v>
      </c>
      <c r="D60" s="61"/>
      <c r="E60" s="176"/>
      <c r="F60" s="177">
        <v>911235.5</v>
      </c>
      <c r="G60" s="177">
        <v>1735259.1270175439</v>
      </c>
      <c r="H60" s="60"/>
      <c r="I60" s="177">
        <v>911235.5</v>
      </c>
      <c r="J60" s="177">
        <f t="shared" ref="J60:Q60" si="10">+J53+J32+J58</f>
        <v>1829009.1270175439</v>
      </c>
      <c r="K60" s="177">
        <f t="shared" si="10"/>
        <v>2567569.8070175434</v>
      </c>
      <c r="L60" s="177">
        <f t="shared" si="10"/>
        <v>2299388.8070175434</v>
      </c>
      <c r="M60" s="177">
        <f t="shared" si="10"/>
        <v>5922380.333333333</v>
      </c>
      <c r="N60" s="377">
        <f t="shared" si="10"/>
        <v>4550380.333333333</v>
      </c>
      <c r="O60" s="377">
        <f t="shared" si="10"/>
        <v>4550380.333333333</v>
      </c>
      <c r="P60" s="377">
        <f t="shared" si="10"/>
        <v>4550380.333333333</v>
      </c>
      <c r="Q60" s="377">
        <f t="shared" si="10"/>
        <v>4550380.333333333</v>
      </c>
      <c r="R60" s="60"/>
      <c r="S60" s="60"/>
      <c r="T60" s="60"/>
      <c r="U60" s="60"/>
      <c r="V60" s="60"/>
      <c r="W60" s="60"/>
      <c r="X60" s="60"/>
      <c r="Y60" s="104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</row>
    <row r="61" spans="1:44" ht="15" customHeight="1" thickTop="1">
      <c r="A61" s="297"/>
      <c r="B61" s="60"/>
      <c r="C61" s="60"/>
      <c r="D61" s="60"/>
      <c r="E61" s="126"/>
      <c r="F61" s="126"/>
      <c r="G61" s="126"/>
      <c r="H61" s="60"/>
      <c r="I61" s="126"/>
      <c r="J61" s="126"/>
      <c r="K61" s="126"/>
      <c r="L61" s="126"/>
      <c r="M61" s="126"/>
      <c r="N61" s="367"/>
      <c r="O61" s="367"/>
      <c r="P61" s="367"/>
      <c r="Q61" s="367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</row>
    <row r="62" spans="1:44">
      <c r="A62" s="183" t="s">
        <v>248</v>
      </c>
      <c r="B62" s="72" t="s">
        <v>39</v>
      </c>
      <c r="C62" s="72" t="s">
        <v>249</v>
      </c>
      <c r="D62" s="60"/>
      <c r="E62" s="126"/>
      <c r="F62" s="179">
        <v>-4801819</v>
      </c>
      <c r="G62" s="179">
        <v>-4957879.68</v>
      </c>
      <c r="H62" s="60"/>
      <c r="I62" s="179">
        <v>-4801819</v>
      </c>
      <c r="J62" s="179">
        <f t="shared" ref="J62:Q62" si="11">+J29+J50</f>
        <v>-4957879.68</v>
      </c>
      <c r="K62" s="179">
        <f t="shared" si="11"/>
        <v>-4470379.68</v>
      </c>
      <c r="L62" s="179">
        <f t="shared" si="11"/>
        <v>-4201060.68</v>
      </c>
      <c r="M62" s="179">
        <f t="shared" si="11"/>
        <v>-4929060.68</v>
      </c>
      <c r="N62" s="378">
        <f t="shared" si="11"/>
        <v>-7029060.6799999997</v>
      </c>
      <c r="O62" s="379">
        <f t="shared" si="11"/>
        <v>-9129060.6799999997</v>
      </c>
      <c r="P62" s="379">
        <f t="shared" si="11"/>
        <v>-11229060.68</v>
      </c>
      <c r="Q62" s="379">
        <f t="shared" si="11"/>
        <v>-13329060.68</v>
      </c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</row>
    <row r="63" spans="1:44" ht="15" customHeight="1">
      <c r="A63" s="60"/>
      <c r="B63" s="60"/>
      <c r="C63" s="60"/>
      <c r="D63" s="60"/>
      <c r="E63" s="126"/>
      <c r="F63" s="126"/>
      <c r="G63" s="126"/>
      <c r="H63" s="60"/>
      <c r="I63" s="126"/>
      <c r="J63" s="126"/>
      <c r="K63" s="126"/>
      <c r="L63" s="126"/>
      <c r="M63" s="126"/>
      <c r="N63" s="366"/>
      <c r="O63" s="367"/>
      <c r="P63" s="367"/>
      <c r="Q63" s="367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</row>
    <row r="64" spans="1:44" ht="15" customHeight="1">
      <c r="A64" s="165" t="s">
        <v>250</v>
      </c>
      <c r="B64" s="72" t="s">
        <v>36</v>
      </c>
      <c r="C64" s="72" t="s">
        <v>251</v>
      </c>
      <c r="D64" s="60"/>
      <c r="E64" s="146"/>
      <c r="F64" s="146">
        <v>0.35</v>
      </c>
      <c r="G64" s="146">
        <v>0.35</v>
      </c>
      <c r="H64" s="60"/>
      <c r="I64" s="146">
        <v>0.35</v>
      </c>
      <c r="J64" s="146">
        <f>'c12_inputs'!$E$8</f>
        <v>0.35</v>
      </c>
      <c r="K64" s="146">
        <f>'c12_inputs'!$E$8</f>
        <v>0.35</v>
      </c>
      <c r="L64" s="146">
        <f>'c12_inputs'!$E$8</f>
        <v>0.35</v>
      </c>
      <c r="M64" s="146">
        <f>'c12_inputs'!$E$8</f>
        <v>0.35</v>
      </c>
      <c r="N64" s="380">
        <f>'c12_inputs'!$E$8</f>
        <v>0.35</v>
      </c>
      <c r="O64" s="320">
        <f>'c12_inputs'!$E$8</f>
        <v>0.35</v>
      </c>
      <c r="P64" s="320">
        <f>'c12_inputs'!$E$8</f>
        <v>0.35</v>
      </c>
      <c r="Q64" s="320">
        <f>'c12_inputs'!$E$8</f>
        <v>0.35</v>
      </c>
      <c r="R64" s="60"/>
      <c r="S64" s="60"/>
      <c r="T64" s="110"/>
      <c r="U64" s="110"/>
      <c r="V64" s="110"/>
      <c r="W64" s="110"/>
      <c r="X64" s="110"/>
      <c r="Y64" s="11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</row>
    <row r="65" spans="1:44" s="48" customFormat="1" ht="15" customHeight="1">
      <c r="A65" s="165" t="s">
        <v>252</v>
      </c>
      <c r="B65" s="157" t="s">
        <v>7</v>
      </c>
      <c r="C65" s="155" t="s">
        <v>253</v>
      </c>
      <c r="D65" s="61"/>
      <c r="E65" s="146"/>
      <c r="F65" s="76">
        <v>0.15</v>
      </c>
      <c r="G65" s="76">
        <v>0</v>
      </c>
      <c r="H65" s="60"/>
      <c r="I65" s="76">
        <v>0.15</v>
      </c>
      <c r="J65" s="76">
        <v>0</v>
      </c>
      <c r="K65" s="76">
        <v>0</v>
      </c>
      <c r="L65" s="76">
        <v>0</v>
      </c>
      <c r="M65" s="76">
        <v>0</v>
      </c>
      <c r="N65" s="381">
        <v>0</v>
      </c>
      <c r="O65" s="382">
        <v>0</v>
      </c>
      <c r="P65" s="382">
        <v>0</v>
      </c>
      <c r="Q65" s="382">
        <v>0</v>
      </c>
      <c r="R65" s="60"/>
      <c r="S65" s="60"/>
      <c r="T65" s="110"/>
      <c r="U65" s="110"/>
      <c r="V65" s="110"/>
      <c r="W65" s="110"/>
      <c r="X65" s="110"/>
      <c r="Y65" s="11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</row>
    <row r="66" spans="1:44" s="48" customFormat="1" ht="15" customHeight="1">
      <c r="A66" s="165" t="s">
        <v>254</v>
      </c>
      <c r="B66" s="157" t="s">
        <v>7</v>
      </c>
      <c r="C66" s="155" t="s">
        <v>255</v>
      </c>
      <c r="D66" s="61"/>
      <c r="E66" s="146"/>
      <c r="F66" s="76">
        <v>0.15</v>
      </c>
      <c r="G66" s="76">
        <v>0.15</v>
      </c>
      <c r="H66" s="60"/>
      <c r="I66" s="76">
        <v>0.15</v>
      </c>
      <c r="J66" s="76">
        <v>0.15</v>
      </c>
      <c r="K66" s="76">
        <v>0.15</v>
      </c>
      <c r="L66" s="76">
        <v>0.15</v>
      </c>
      <c r="M66" s="76">
        <v>0.15</v>
      </c>
      <c r="N66" s="381">
        <v>0.15</v>
      </c>
      <c r="O66" s="382">
        <v>0.15</v>
      </c>
      <c r="P66" s="382">
        <v>0.15</v>
      </c>
      <c r="Q66" s="382">
        <v>0.15</v>
      </c>
      <c r="R66" s="60"/>
      <c r="S66" s="60"/>
      <c r="T66" s="110"/>
      <c r="U66" s="110"/>
      <c r="V66" s="110"/>
      <c r="W66" s="110"/>
      <c r="X66" s="110"/>
      <c r="Y66" s="11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</row>
    <row r="67" spans="1:44" s="11" customFormat="1">
      <c r="A67" s="165" t="s">
        <v>256</v>
      </c>
      <c r="B67" s="157" t="s">
        <v>36</v>
      </c>
      <c r="C67" s="155" t="s">
        <v>257</v>
      </c>
      <c r="D67" s="61"/>
      <c r="E67" s="180"/>
      <c r="F67" s="180">
        <v>0.05</v>
      </c>
      <c r="G67" s="180">
        <v>0.05</v>
      </c>
      <c r="H67" s="60"/>
      <c r="I67" s="180">
        <v>0.05</v>
      </c>
      <c r="J67" s="180">
        <f>'c12_inputs'!$E$7</f>
        <v>0.05</v>
      </c>
      <c r="K67" s="180">
        <f>'c12_inputs'!$E$7</f>
        <v>0.05</v>
      </c>
      <c r="L67" s="180">
        <f>'c12_inputs'!$E$7</f>
        <v>0.05</v>
      </c>
      <c r="M67" s="180">
        <f>'c12_inputs'!$E$7</f>
        <v>0.05</v>
      </c>
      <c r="N67" s="383">
        <f>'c12_inputs'!$E$7</f>
        <v>0.05</v>
      </c>
      <c r="O67" s="383">
        <f>'c12_inputs'!$E$7</f>
        <v>0.05</v>
      </c>
      <c r="P67" s="383">
        <f>'c12_inputs'!$E$7</f>
        <v>0.05</v>
      </c>
      <c r="Q67" s="383">
        <f>'c12_inputs'!$E$7</f>
        <v>0.05</v>
      </c>
      <c r="R67" s="60"/>
      <c r="S67" s="60"/>
      <c r="T67" s="60"/>
      <c r="U67" s="60"/>
      <c r="V67" s="118"/>
      <c r="W67" s="118"/>
      <c r="X67" s="118"/>
      <c r="Y67" s="118"/>
      <c r="Z67" s="118"/>
      <c r="AA67" s="118"/>
      <c r="AB67" s="118"/>
      <c r="AC67" s="60"/>
      <c r="AD67" s="118"/>
      <c r="AE67" s="118"/>
      <c r="AF67" s="118"/>
      <c r="AG67" s="118"/>
      <c r="AH67" s="118"/>
      <c r="AI67" s="118"/>
      <c r="AJ67" s="118"/>
      <c r="AK67" s="60"/>
      <c r="AL67" s="60"/>
      <c r="AM67" s="60"/>
      <c r="AN67" s="60"/>
      <c r="AO67" s="60"/>
      <c r="AP67" s="60"/>
      <c r="AQ67" s="60"/>
      <c r="AR67" s="60"/>
    </row>
    <row r="68" spans="1:44">
      <c r="A68" s="165" t="s">
        <v>258</v>
      </c>
      <c r="B68" s="72" t="s">
        <v>36</v>
      </c>
      <c r="C68" s="72" t="s">
        <v>259</v>
      </c>
      <c r="D68" s="60"/>
      <c r="E68" s="126"/>
      <c r="F68" s="126">
        <v>455617.75</v>
      </c>
      <c r="G68" s="126">
        <v>802071.47666666668</v>
      </c>
      <c r="H68" s="60"/>
      <c r="I68" s="126">
        <v>455617.75</v>
      </c>
      <c r="J68" s="126">
        <f t="shared" ref="J68:Q68" si="12">(J64+J65)*(J31+J52)+(J64+J66)*(J49+J28)</f>
        <v>834883.97666666668</v>
      </c>
      <c r="K68" s="126">
        <f t="shared" si="12"/>
        <v>1043708.1166666667</v>
      </c>
      <c r="L68" s="126">
        <f t="shared" si="12"/>
        <v>963617.6166666667</v>
      </c>
      <c r="M68" s="126">
        <f t="shared" si="12"/>
        <v>2235583.1166666662</v>
      </c>
      <c r="N68" s="384">
        <f t="shared" si="12"/>
        <v>1549583.1166666665</v>
      </c>
      <c r="O68" s="367">
        <f t="shared" si="12"/>
        <v>1549583.1166666665</v>
      </c>
      <c r="P68" s="367">
        <f t="shared" si="12"/>
        <v>1549583.1166666665</v>
      </c>
      <c r="Q68" s="367">
        <f t="shared" si="12"/>
        <v>1549583.1166666665</v>
      </c>
      <c r="R68" s="60"/>
      <c r="S68" s="60"/>
      <c r="T68" s="110"/>
      <c r="U68" s="110"/>
      <c r="V68" s="110"/>
      <c r="W68" s="110"/>
      <c r="X68" s="110"/>
      <c r="Y68" s="11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</row>
    <row r="69" spans="1:44" ht="15" customHeight="1" thickBot="1">
      <c r="A69" s="165" t="s">
        <v>260</v>
      </c>
      <c r="B69" s="72" t="s">
        <v>36</v>
      </c>
      <c r="C69" s="72" t="s">
        <v>261</v>
      </c>
      <c r="D69" s="60"/>
      <c r="E69" s="126"/>
      <c r="F69" s="126">
        <v>0</v>
      </c>
      <c r="G69" s="126">
        <v>4509.4736842105258</v>
      </c>
      <c r="H69" s="60"/>
      <c r="I69" s="126">
        <v>0</v>
      </c>
      <c r="J69" s="126">
        <f t="shared" ref="J69:Q69" si="13">J67*J58</f>
        <v>4509.4736842105258</v>
      </c>
      <c r="K69" s="126">
        <f t="shared" si="13"/>
        <v>4509.4736842105258</v>
      </c>
      <c r="L69" s="126">
        <f t="shared" si="13"/>
        <v>4509.4736842105258</v>
      </c>
      <c r="M69" s="126">
        <f t="shared" si="13"/>
        <v>6149.9999999999982</v>
      </c>
      <c r="N69" s="366">
        <f t="shared" si="13"/>
        <v>6149.9999999999982</v>
      </c>
      <c r="O69" s="367">
        <f t="shared" si="13"/>
        <v>6149.9999999999982</v>
      </c>
      <c r="P69" s="367">
        <f t="shared" si="13"/>
        <v>6149.9999999999982</v>
      </c>
      <c r="Q69" s="367">
        <f t="shared" si="13"/>
        <v>6149.9999999999982</v>
      </c>
      <c r="R69" s="60"/>
      <c r="S69" s="60"/>
      <c r="T69" s="110"/>
      <c r="U69" s="110"/>
      <c r="V69" s="110"/>
      <c r="W69" s="110"/>
      <c r="X69" s="110"/>
      <c r="Y69" s="11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</row>
    <row r="70" spans="1:44" s="48" customFormat="1" ht="15.5" customHeight="1" thickTop="1" thickBot="1">
      <c r="A70" s="169" t="s">
        <v>310</v>
      </c>
      <c r="B70" s="157" t="s">
        <v>39</v>
      </c>
      <c r="C70" s="155" t="s">
        <v>311</v>
      </c>
      <c r="D70" s="61"/>
      <c r="E70" s="176"/>
      <c r="F70" s="177">
        <v>455617.75</v>
      </c>
      <c r="G70" s="177">
        <v>806580.95035087725</v>
      </c>
      <c r="H70" s="60"/>
      <c r="I70" s="177">
        <v>455617.75</v>
      </c>
      <c r="J70" s="177">
        <f t="shared" ref="J70:Q70" si="14">J69+J68</f>
        <v>839393.45035087725</v>
      </c>
      <c r="K70" s="177">
        <f t="shared" si="14"/>
        <v>1048217.5903508773</v>
      </c>
      <c r="L70" s="177">
        <f t="shared" si="14"/>
        <v>968127.09035087726</v>
      </c>
      <c r="M70" s="177">
        <f t="shared" si="14"/>
        <v>2241733.1166666662</v>
      </c>
      <c r="N70" s="385">
        <f t="shared" si="14"/>
        <v>1555733.1166666665</v>
      </c>
      <c r="O70" s="377">
        <f t="shared" si="14"/>
        <v>1555733.1166666665</v>
      </c>
      <c r="P70" s="377">
        <f t="shared" si="14"/>
        <v>1555733.1166666665</v>
      </c>
      <c r="Q70" s="377">
        <f t="shared" si="14"/>
        <v>1555733.1166666665</v>
      </c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</row>
    <row r="71" spans="1:44" ht="15" customHeight="1" thickTop="1">
      <c r="A71" s="162"/>
      <c r="B71" s="60"/>
      <c r="C71" s="60"/>
      <c r="D71" s="60"/>
      <c r="E71" s="126"/>
      <c r="F71" s="126"/>
      <c r="G71" s="126"/>
      <c r="H71" s="60"/>
      <c r="I71" s="126"/>
      <c r="J71" s="126"/>
      <c r="K71" s="126"/>
      <c r="L71" s="126"/>
      <c r="M71" s="126"/>
      <c r="N71" s="366"/>
      <c r="O71" s="367"/>
      <c r="P71" s="367"/>
      <c r="Q71" s="367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</row>
    <row r="72" spans="1:44" s="11" customFormat="1">
      <c r="A72" s="165" t="s">
        <v>264</v>
      </c>
      <c r="B72" s="157" t="s">
        <v>36</v>
      </c>
      <c r="C72" s="155" t="s">
        <v>265</v>
      </c>
      <c r="D72" s="61"/>
      <c r="E72" s="126"/>
      <c r="F72" s="126">
        <v>383977.375</v>
      </c>
      <c r="G72" s="126">
        <v>582647.79999999993</v>
      </c>
      <c r="H72" s="60"/>
      <c r="I72" s="126">
        <v>383977.375</v>
      </c>
      <c r="J72" s="126">
        <f t="shared" ref="J72:Q72" si="15">-(J64+J65)*(J27+J48)</f>
        <v>582647.79999999993</v>
      </c>
      <c r="K72" s="126">
        <f t="shared" si="15"/>
        <v>241499.99999999997</v>
      </c>
      <c r="L72" s="126">
        <f t="shared" si="15"/>
        <v>350000</v>
      </c>
      <c r="M72" s="126">
        <f t="shared" si="15"/>
        <v>735000</v>
      </c>
      <c r="N72" s="367">
        <f t="shared" si="15"/>
        <v>735000</v>
      </c>
      <c r="O72" s="367">
        <f t="shared" si="15"/>
        <v>735000</v>
      </c>
      <c r="P72" s="367">
        <f t="shared" si="15"/>
        <v>735000</v>
      </c>
      <c r="Q72" s="367">
        <f t="shared" si="15"/>
        <v>735000</v>
      </c>
      <c r="R72" s="60"/>
      <c r="S72" s="60"/>
      <c r="T72" s="60"/>
      <c r="U72" s="60"/>
      <c r="V72" s="118"/>
      <c r="W72" s="118"/>
      <c r="X72" s="118"/>
      <c r="Y72" s="118"/>
      <c r="Z72" s="118"/>
      <c r="AA72" s="118"/>
      <c r="AB72" s="118"/>
      <c r="AC72" s="60"/>
      <c r="AD72" s="118"/>
      <c r="AE72" s="118"/>
      <c r="AF72" s="118"/>
      <c r="AG72" s="118"/>
      <c r="AH72" s="118"/>
      <c r="AI72" s="118"/>
      <c r="AJ72" s="118"/>
      <c r="AK72" s="60"/>
      <c r="AL72" s="60"/>
      <c r="AM72" s="60"/>
      <c r="AN72" s="60"/>
      <c r="AO72" s="60"/>
      <c r="AP72" s="60"/>
      <c r="AQ72" s="60"/>
      <c r="AR72" s="60"/>
    </row>
    <row r="73" spans="1:44" s="11" customFormat="1">
      <c r="A73" s="165" t="s">
        <v>266</v>
      </c>
      <c r="B73" s="157" t="s">
        <v>36</v>
      </c>
      <c r="C73" s="155" t="s">
        <v>267</v>
      </c>
      <c r="D73" s="61"/>
      <c r="E73" s="126"/>
      <c r="F73" s="126">
        <v>0</v>
      </c>
      <c r="G73" s="126">
        <v>-754323.66</v>
      </c>
      <c r="H73" s="60"/>
      <c r="I73" s="126">
        <v>0</v>
      </c>
      <c r="J73" s="126">
        <f t="shared" ref="J73:Q73" si="16">-(J64+J66)*(J28+J49)</f>
        <v>-754323.66</v>
      </c>
      <c r="K73" s="126">
        <f t="shared" si="16"/>
        <v>-588750</v>
      </c>
      <c r="L73" s="126">
        <f t="shared" si="16"/>
        <v>-634659.5</v>
      </c>
      <c r="M73" s="126">
        <f t="shared" si="16"/>
        <v>-686000</v>
      </c>
      <c r="N73" s="367">
        <f t="shared" si="16"/>
        <v>0</v>
      </c>
      <c r="O73" s="367">
        <f t="shared" si="16"/>
        <v>0</v>
      </c>
      <c r="P73" s="367">
        <f t="shared" si="16"/>
        <v>0</v>
      </c>
      <c r="Q73" s="367">
        <f t="shared" si="16"/>
        <v>0</v>
      </c>
      <c r="R73" s="60"/>
      <c r="S73" s="60"/>
      <c r="T73" s="60"/>
      <c r="U73" s="60"/>
      <c r="V73" s="118"/>
      <c r="W73" s="118"/>
      <c r="X73" s="118"/>
      <c r="Y73" s="118"/>
      <c r="Z73" s="118"/>
      <c r="AA73" s="118"/>
      <c r="AB73" s="118"/>
      <c r="AC73" s="60"/>
      <c r="AD73" s="118"/>
      <c r="AE73" s="118"/>
      <c r="AF73" s="118"/>
      <c r="AG73" s="118"/>
      <c r="AH73" s="118"/>
      <c r="AI73" s="118"/>
      <c r="AJ73" s="118"/>
      <c r="AK73" s="60"/>
      <c r="AL73" s="60"/>
      <c r="AM73" s="60"/>
      <c r="AN73" s="60"/>
      <c r="AO73" s="60"/>
      <c r="AP73" s="60"/>
      <c r="AQ73" s="60"/>
      <c r="AR73" s="60"/>
    </row>
    <row r="74" spans="1:44">
      <c r="A74" s="165" t="s">
        <v>268</v>
      </c>
      <c r="B74" s="209" t="s">
        <v>39</v>
      </c>
      <c r="C74" s="72" t="s">
        <v>269</v>
      </c>
      <c r="D74" s="60"/>
      <c r="E74" s="126"/>
      <c r="F74" s="168">
        <v>2400909.5</v>
      </c>
      <c r="G74" s="168">
        <v>2229233.64</v>
      </c>
      <c r="H74" s="60"/>
      <c r="I74" s="168">
        <v>2400909.5</v>
      </c>
      <c r="J74" s="168">
        <f t="shared" ref="J74:Q74" si="17">SUM(J72:J73)+I74</f>
        <v>2229233.6399999997</v>
      </c>
      <c r="K74" s="168">
        <f t="shared" si="17"/>
        <v>1881983.6399999997</v>
      </c>
      <c r="L74" s="168">
        <f t="shared" si="17"/>
        <v>1597324.1399999997</v>
      </c>
      <c r="M74" s="168">
        <f t="shared" si="17"/>
        <v>1646324.1399999997</v>
      </c>
      <c r="N74" s="364">
        <f t="shared" si="17"/>
        <v>2381324.1399999997</v>
      </c>
      <c r="O74" s="365">
        <f t="shared" si="17"/>
        <v>3116324.1399999997</v>
      </c>
      <c r="P74" s="365">
        <f t="shared" si="17"/>
        <v>3851324.1399999997</v>
      </c>
      <c r="Q74" s="365">
        <f t="shared" si="17"/>
        <v>4586324.1399999997</v>
      </c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</row>
    <row r="75" spans="1:44">
      <c r="A75" s="60"/>
      <c r="B75" s="60"/>
      <c r="C75" s="60"/>
      <c r="D75" s="60"/>
      <c r="E75" s="126"/>
      <c r="F75" s="126"/>
      <c r="G75" s="126"/>
      <c r="H75" s="60"/>
      <c r="I75" s="126"/>
      <c r="J75" s="126"/>
      <c r="K75" s="126"/>
      <c r="L75" s="126"/>
      <c r="M75" s="126"/>
      <c r="N75" s="366"/>
      <c r="O75" s="367"/>
      <c r="P75" s="367"/>
      <c r="Q75" s="367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</row>
    <row r="76" spans="1:44">
      <c r="A76" s="165" t="s">
        <v>270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321"/>
      <c r="O76" s="321"/>
      <c r="P76" s="321"/>
      <c r="Q76" s="321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</row>
    <row r="77" spans="1:44" s="11" customFormat="1" ht="14.65" customHeight="1">
      <c r="A77" s="134" t="s">
        <v>38</v>
      </c>
      <c r="B77" s="157" t="s">
        <v>36</v>
      </c>
      <c r="C77" s="155" t="s">
        <v>40</v>
      </c>
      <c r="D77" s="61"/>
      <c r="E77" s="118"/>
      <c r="F77" s="118">
        <v>1652177.5</v>
      </c>
      <c r="G77" s="118">
        <v>560159.99999999988</v>
      </c>
      <c r="H77" s="60"/>
      <c r="I77" s="118">
        <v>1652177.5</v>
      </c>
      <c r="J77" s="118">
        <f>'.c12_d&amp;s_hr'!J45</f>
        <v>560159.99999999988</v>
      </c>
      <c r="K77" s="118">
        <f>'.c12_d&amp;s_hr'!K45</f>
        <v>520559.99999999994</v>
      </c>
      <c r="L77" s="118">
        <f>'.c12_d&amp;s_hr'!L45</f>
        <v>560159.99999999988</v>
      </c>
      <c r="M77" s="118">
        <f>'.c12_d&amp;s_hr'!M45</f>
        <v>1221223.75</v>
      </c>
      <c r="N77" s="319">
        <f>'.c12_d&amp;s_hr'!N45</f>
        <v>1221223.75</v>
      </c>
      <c r="O77" s="319">
        <f>'.c12_d&amp;s_hr'!O45</f>
        <v>1221223.75</v>
      </c>
      <c r="P77" s="319">
        <f>'.c12_d&amp;s_hr'!P45</f>
        <v>1221223.75</v>
      </c>
      <c r="Q77" s="319">
        <f>'.c12_d&amp;s_hr'!Q45</f>
        <v>1221223.75</v>
      </c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</row>
    <row r="78" spans="1:44" s="11" customFormat="1">
      <c r="A78" s="134" t="s">
        <v>41</v>
      </c>
      <c r="B78" s="157" t="s">
        <v>39</v>
      </c>
      <c r="C78" s="155" t="s">
        <v>42</v>
      </c>
      <c r="D78" s="61"/>
      <c r="E78" s="118"/>
      <c r="F78" s="181">
        <v>123922.5</v>
      </c>
      <c r="G78" s="181">
        <v>85679.999999999985</v>
      </c>
      <c r="H78" s="60"/>
      <c r="I78" s="181">
        <v>123922.5</v>
      </c>
      <c r="J78" s="181">
        <f>'.c12_d&amp;s_hr'!J46</f>
        <v>85679.999999999985</v>
      </c>
      <c r="K78" s="181">
        <f>'.c12_d&amp;s_hr'!K46</f>
        <v>85679.999999999985</v>
      </c>
      <c r="L78" s="181">
        <f>'.c12_d&amp;s_hr'!L46</f>
        <v>85679.999999999985</v>
      </c>
      <c r="M78" s="181">
        <f>'.c12_d&amp;s_hr'!M46</f>
        <v>116849.99999999997</v>
      </c>
      <c r="N78" s="386">
        <f>'.c12_d&amp;s_hr'!N46</f>
        <v>116849.99999999997</v>
      </c>
      <c r="O78" s="386">
        <f>'.c12_d&amp;s_hr'!O46</f>
        <v>116849.99999999997</v>
      </c>
      <c r="P78" s="386">
        <f>'.c12_d&amp;s_hr'!P46</f>
        <v>116849.99999999997</v>
      </c>
      <c r="Q78" s="386">
        <f>'.c12_d&amp;s_hr'!Q46</f>
        <v>116849.99999999997</v>
      </c>
      <c r="R78" s="60"/>
      <c r="S78" s="60"/>
      <c r="T78" s="60"/>
      <c r="U78" s="60"/>
      <c r="V78" s="60"/>
      <c r="W78" s="60"/>
      <c r="X78" s="60"/>
      <c r="Y78" s="104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</row>
    <row r="79" spans="1:44" s="11" customFormat="1">
      <c r="A79" s="134" t="s">
        <v>43</v>
      </c>
      <c r="B79" s="157" t="s">
        <v>39</v>
      </c>
      <c r="C79" s="155" t="s">
        <v>44</v>
      </c>
      <c r="D79" s="61"/>
      <c r="E79" s="118"/>
      <c r="F79" s="181">
        <v>1528255</v>
      </c>
      <c r="G79" s="181">
        <v>474480</v>
      </c>
      <c r="H79" s="60"/>
      <c r="I79" s="181">
        <v>1528255</v>
      </c>
      <c r="J79" s="181">
        <f>'.c12_d&amp;s_hr'!J47</f>
        <v>474480</v>
      </c>
      <c r="K79" s="181">
        <f>'.c12_d&amp;s_hr'!K47</f>
        <v>434880</v>
      </c>
      <c r="L79" s="181">
        <f>'.c12_d&amp;s_hr'!L47</f>
        <v>474480</v>
      </c>
      <c r="M79" s="181">
        <f>'.c12_d&amp;s_hr'!M47</f>
        <v>1104373.75</v>
      </c>
      <c r="N79" s="386">
        <f>'.c12_d&amp;s_hr'!N47</f>
        <v>1104373.75</v>
      </c>
      <c r="O79" s="386">
        <f>'.c12_d&amp;s_hr'!O47</f>
        <v>1104373.75</v>
      </c>
      <c r="P79" s="386">
        <f>'.c12_d&amp;s_hr'!P47</f>
        <v>1104373.75</v>
      </c>
      <c r="Q79" s="386">
        <f>'.c12_d&amp;s_hr'!Q47</f>
        <v>1104373.75</v>
      </c>
      <c r="R79" s="60"/>
      <c r="S79" s="60"/>
      <c r="T79" s="60"/>
      <c r="U79" s="60"/>
      <c r="V79" s="60"/>
      <c r="W79" s="60"/>
      <c r="X79" s="60"/>
      <c r="Y79" s="104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</row>
    <row r="80" spans="1:44" s="11" customFormat="1">
      <c r="A80" s="134" t="s">
        <v>45</v>
      </c>
      <c r="B80" s="157" t="s">
        <v>36</v>
      </c>
      <c r="C80" s="155" t="s">
        <v>46</v>
      </c>
      <c r="D80" s="61"/>
      <c r="E80" s="118"/>
      <c r="F80" s="118">
        <v>0</v>
      </c>
      <c r="G80" s="118">
        <v>0</v>
      </c>
      <c r="H80" s="60"/>
      <c r="I80" s="118">
        <v>0</v>
      </c>
      <c r="J80" s="118">
        <f>'.c12_d&amp;s_hr'!J48</f>
        <v>0</v>
      </c>
      <c r="K80" s="118">
        <f>'.c12_d&amp;s_hr'!K48</f>
        <v>0</v>
      </c>
      <c r="L80" s="118">
        <f>'.c12_d&amp;s_hr'!L48</f>
        <v>0</v>
      </c>
      <c r="M80" s="118">
        <f>'.c12_d&amp;s_hr'!M48</f>
        <v>0</v>
      </c>
      <c r="N80" s="319">
        <f>'.c12_d&amp;s_hr'!N48</f>
        <v>0</v>
      </c>
      <c r="O80" s="319">
        <f>'.c12_d&amp;s_hr'!O48</f>
        <v>0</v>
      </c>
      <c r="P80" s="319">
        <f>'.c12_d&amp;s_hr'!P48</f>
        <v>0</v>
      </c>
      <c r="Q80" s="319">
        <f>'.c12_d&amp;s_hr'!Q48</f>
        <v>0</v>
      </c>
      <c r="R80" s="60"/>
      <c r="S80" s="60"/>
      <c r="T80" s="60"/>
      <c r="U80" s="60"/>
      <c r="V80" s="60"/>
      <c r="W80" s="60"/>
      <c r="X80" s="60"/>
      <c r="Y80" s="104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</row>
    <row r="81" spans="1:44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321"/>
      <c r="O81" s="321"/>
      <c r="P81" s="321"/>
      <c r="Q81" s="321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</row>
    <row r="82" spans="1:44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321"/>
      <c r="O82" s="321"/>
      <c r="P82" s="321"/>
      <c r="Q82" s="321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</row>
    <row r="83" spans="1:44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321"/>
      <c r="O83" s="321"/>
      <c r="P83" s="321"/>
      <c r="Q83" s="321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</row>
    <row r="84" spans="1:4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321"/>
      <c r="O84" s="321"/>
      <c r="P84" s="321"/>
      <c r="Q84" s="321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</row>
    <row r="85" spans="1:44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321"/>
      <c r="O85" s="321"/>
      <c r="P85" s="321"/>
      <c r="Q85" s="321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</row>
    <row r="86" spans="1:44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321"/>
      <c r="O86" s="321"/>
      <c r="P86" s="321"/>
      <c r="Q86" s="321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</row>
    <row r="87" spans="1:44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321"/>
      <c r="O87" s="321"/>
      <c r="P87" s="321"/>
      <c r="Q87" s="321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</row>
    <row r="88" spans="1:44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321"/>
      <c r="O88" s="321"/>
      <c r="P88" s="321"/>
      <c r="Q88" s="321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</row>
    <row r="89" spans="1:44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321"/>
      <c r="O89" s="321"/>
      <c r="P89" s="321"/>
      <c r="Q89" s="321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</row>
    <row r="90" spans="1:44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321"/>
      <c r="O90" s="321"/>
      <c r="P90" s="321"/>
      <c r="Q90" s="321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</row>
    <row r="91" spans="1:44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321"/>
      <c r="O91" s="321"/>
      <c r="P91" s="321"/>
      <c r="Q91" s="321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</row>
    <row r="92" spans="1:44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321"/>
      <c r="O92" s="321"/>
      <c r="P92" s="321"/>
      <c r="Q92" s="321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</row>
    <row r="93" spans="1:44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321"/>
      <c r="O93" s="321"/>
      <c r="P93" s="321"/>
      <c r="Q93" s="321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</row>
    <row r="94" spans="1:4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321"/>
      <c r="O94" s="321"/>
      <c r="P94" s="321"/>
      <c r="Q94" s="321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</row>
    <row r="95" spans="1:44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321"/>
      <c r="O95" s="321"/>
      <c r="P95" s="321"/>
      <c r="Q95" s="321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</row>
    <row r="96" spans="1:44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321"/>
      <c r="O96" s="321"/>
      <c r="P96" s="321"/>
      <c r="Q96" s="321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</row>
    <row r="97" spans="1:44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321"/>
      <c r="O97" s="321"/>
      <c r="P97" s="321"/>
      <c r="Q97" s="321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</row>
    <row r="98" spans="1:44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321"/>
      <c r="O98" s="321"/>
      <c r="P98" s="321"/>
      <c r="Q98" s="321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</row>
    <row r="99" spans="1:44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321"/>
      <c r="O99" s="321"/>
      <c r="P99" s="321"/>
      <c r="Q99" s="321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</row>
    <row r="100" spans="1:44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321"/>
      <c r="O100" s="321"/>
      <c r="P100" s="321"/>
      <c r="Q100" s="321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</row>
    <row r="101" spans="1:44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321"/>
      <c r="O101" s="321"/>
      <c r="P101" s="321"/>
      <c r="Q101" s="321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</row>
    <row r="102" spans="1:44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321"/>
      <c r="O102" s="321"/>
      <c r="P102" s="321"/>
      <c r="Q102" s="321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</row>
    <row r="103" spans="1:44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321"/>
      <c r="O103" s="321"/>
      <c r="P103" s="321"/>
      <c r="Q103" s="321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</row>
    <row r="104" spans="1:4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321"/>
      <c r="O104" s="321"/>
      <c r="P104" s="321"/>
      <c r="Q104" s="321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</row>
    <row r="105" spans="1:44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321"/>
      <c r="O105" s="321"/>
      <c r="P105" s="321"/>
      <c r="Q105" s="321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</row>
    <row r="106" spans="1:44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321"/>
      <c r="O106" s="321"/>
      <c r="P106" s="321"/>
      <c r="Q106" s="321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</row>
    <row r="107" spans="1:44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321"/>
      <c r="O107" s="321"/>
      <c r="P107" s="321"/>
      <c r="Q107" s="321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</row>
    <row r="108" spans="1:44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321"/>
      <c r="O108" s="321"/>
      <c r="P108" s="321"/>
      <c r="Q108" s="321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</row>
    <row r="109" spans="1:44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321"/>
      <c r="O109" s="321"/>
      <c r="P109" s="321"/>
      <c r="Q109" s="321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</row>
    <row r="110" spans="1:44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321"/>
      <c r="O110" s="321"/>
      <c r="P110" s="321"/>
      <c r="Q110" s="321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</row>
    <row r="111" spans="1:44">
      <c r="A111" s="60"/>
      <c r="B111" s="81"/>
      <c r="C111" s="60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321"/>
      <c r="O111" s="321"/>
      <c r="P111" s="321"/>
      <c r="Q111" s="321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</row>
    <row r="112" spans="1:44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321"/>
      <c r="O112" s="321"/>
      <c r="P112" s="321"/>
      <c r="Q112" s="321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</row>
    <row r="113" spans="1:44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321"/>
      <c r="O113" s="321"/>
      <c r="P113" s="321"/>
      <c r="Q113" s="321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</row>
    <row r="114" spans="1:44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321"/>
      <c r="O114" s="321"/>
      <c r="P114" s="321"/>
      <c r="Q114" s="321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</row>
    <row r="115" spans="1:44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321"/>
      <c r="O115" s="321"/>
      <c r="P115" s="321"/>
      <c r="Q115" s="321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</row>
    <row r="116" spans="1:44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321"/>
      <c r="O116" s="321"/>
      <c r="P116" s="321"/>
      <c r="Q116" s="321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</row>
    <row r="117" spans="1:44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321"/>
      <c r="O117" s="321"/>
      <c r="P117" s="321"/>
      <c r="Q117" s="321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</row>
    <row r="118" spans="1:44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321"/>
      <c r="O118" s="321"/>
      <c r="P118" s="321"/>
      <c r="Q118" s="321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</row>
    <row r="119" spans="1:44" s="4" customFormat="1">
      <c r="A119" s="162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321"/>
      <c r="O119" s="321"/>
      <c r="P119" s="321"/>
      <c r="Q119" s="321"/>
      <c r="R119" s="60"/>
      <c r="S119" s="60"/>
      <c r="T119" s="60"/>
      <c r="U119" s="60"/>
      <c r="V119" s="60"/>
      <c r="W119" s="60"/>
      <c r="X119" s="60"/>
      <c r="Y119" s="104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</row>
    <row r="120" spans="1:44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321"/>
      <c r="O120" s="321"/>
      <c r="P120" s="321"/>
      <c r="Q120" s="321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</row>
    <row r="121" spans="1:44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321"/>
      <c r="O121" s="321"/>
      <c r="P121" s="321"/>
      <c r="Q121" s="321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</row>
    <row r="122" spans="1:44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321"/>
      <c r="O122" s="321"/>
      <c r="P122" s="321"/>
      <c r="Q122" s="321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</row>
    <row r="123" spans="1:44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321"/>
      <c r="O123" s="321"/>
      <c r="P123" s="321"/>
      <c r="Q123" s="321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</row>
    <row r="124" spans="1:44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321"/>
      <c r="O124" s="321"/>
      <c r="P124" s="321"/>
      <c r="Q124" s="321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</row>
    <row r="125" spans="1:44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321"/>
      <c r="O125" s="321"/>
      <c r="P125" s="321"/>
      <c r="Q125" s="321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</row>
    <row r="126" spans="1:44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321"/>
      <c r="O126" s="321"/>
      <c r="P126" s="321"/>
      <c r="Q126" s="321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</row>
    <row r="127" spans="1:44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321"/>
      <c r="O127" s="321"/>
      <c r="P127" s="321"/>
      <c r="Q127" s="321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</row>
    <row r="128" spans="1:44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321"/>
      <c r="O128" s="321"/>
      <c r="P128" s="321"/>
      <c r="Q128" s="321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</row>
    <row r="129" spans="1:44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321"/>
      <c r="O129" s="321"/>
      <c r="P129" s="321"/>
      <c r="Q129" s="321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</row>
    <row r="130" spans="1:44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321"/>
      <c r="O130" s="321"/>
      <c r="P130" s="321"/>
      <c r="Q130" s="321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</row>
    <row r="131" spans="1:44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321"/>
      <c r="O131" s="321"/>
      <c r="P131" s="321"/>
      <c r="Q131" s="321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</row>
    <row r="132" spans="1:44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321"/>
      <c r="O132" s="321"/>
      <c r="P132" s="321"/>
      <c r="Q132" s="321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</row>
    <row r="133" spans="1:44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321"/>
      <c r="O133" s="321"/>
      <c r="P133" s="321"/>
      <c r="Q133" s="321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</row>
    <row r="134" spans="1:44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321"/>
      <c r="O134" s="321"/>
      <c r="P134" s="321"/>
      <c r="Q134" s="321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</row>
    <row r="135" spans="1:44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321"/>
      <c r="O135" s="321"/>
      <c r="P135" s="321"/>
      <c r="Q135" s="321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</row>
    <row r="136" spans="1:44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321"/>
      <c r="O136" s="321"/>
      <c r="P136" s="321"/>
      <c r="Q136" s="321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</row>
    <row r="137" spans="1:44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321"/>
      <c r="O137" s="321"/>
      <c r="P137" s="321"/>
      <c r="Q137" s="321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</row>
    <row r="138" spans="1:44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155" t="s">
        <v>271</v>
      </c>
      <c r="M138" s="60"/>
      <c r="N138" s="321"/>
      <c r="O138" s="321"/>
      <c r="P138" s="321"/>
      <c r="Q138" s="321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</row>
    <row r="139" spans="1:44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321"/>
      <c r="O139" s="321"/>
      <c r="P139" s="321"/>
      <c r="Q139" s="321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</row>
    <row r="140" spans="1:44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321"/>
      <c r="O140" s="321"/>
      <c r="P140" s="321"/>
      <c r="Q140" s="321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</row>
    <row r="141" spans="1:44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321"/>
      <c r="O141" s="321"/>
      <c r="P141" s="321"/>
      <c r="Q141" s="321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</row>
    <row r="142" spans="1:44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321"/>
      <c r="O142" s="321"/>
      <c r="P142" s="321"/>
      <c r="Q142" s="321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</row>
    <row r="143" spans="1:44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321"/>
      <c r="O143" s="321"/>
      <c r="P143" s="321"/>
      <c r="Q143" s="321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</row>
    <row r="144" spans="1:44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321"/>
      <c r="O144" s="321"/>
      <c r="P144" s="321"/>
      <c r="Q144" s="321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</row>
    <row r="145" spans="1:44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321"/>
      <c r="O145" s="321"/>
      <c r="P145" s="321"/>
      <c r="Q145" s="321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</row>
    <row r="146" spans="1:44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321"/>
      <c r="O146" s="321"/>
      <c r="P146" s="321"/>
      <c r="Q146" s="321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</row>
    <row r="147" spans="1:44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321"/>
      <c r="O147" s="321"/>
      <c r="P147" s="321"/>
      <c r="Q147" s="321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</row>
    <row r="148" spans="1:44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321"/>
      <c r="O148" s="321"/>
      <c r="P148" s="321"/>
      <c r="Q148" s="321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</row>
    <row r="149" spans="1:44">
      <c r="A149" s="60"/>
      <c r="B149" s="81"/>
      <c r="C149" s="60"/>
      <c r="D149" s="81"/>
      <c r="E149" s="60"/>
      <c r="F149" s="60"/>
      <c r="G149" s="60"/>
      <c r="I149" s="60"/>
      <c r="J149" s="60"/>
      <c r="K149" s="60"/>
      <c r="L149" s="60"/>
      <c r="M149" s="60"/>
      <c r="N149" s="321"/>
      <c r="O149" s="321"/>
      <c r="P149" s="321"/>
      <c r="Q149" s="321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B084"/>
    <pageSetUpPr autoPageBreaks="0"/>
  </sheetPr>
  <dimension ref="A1:BE149"/>
  <sheetViews>
    <sheetView showGridLines="0" zoomScale="99" zoomScaleNormal="85" workbookViewId="0">
      <pane xSplit="4" ySplit="3" topLeftCell="J39" activePane="bottomRight" state="frozen"/>
      <selection pane="topRight"/>
      <selection pane="bottomLeft" activeCell="E16" sqref="E16"/>
      <selection pane="bottomRight" activeCell="A3" sqref="A3:XFD3"/>
    </sheetView>
  </sheetViews>
  <sheetFormatPr defaultRowHeight="14.5"/>
  <cols>
    <col min="1" max="1" width="40" style="15" bestFit="1" customWidth="1"/>
    <col min="2" max="2" width="4.453125" style="54" customWidth="1"/>
    <col min="3" max="3" width="27.6328125" style="49" bestFit="1" customWidth="1"/>
    <col min="4" max="4" width="11.81640625" style="54" bestFit="1" customWidth="1"/>
    <col min="5" max="5" width="15.6328125" style="4" bestFit="1" customWidth="1"/>
    <col min="6" max="7" width="13.6328125" style="4" bestFit="1" customWidth="1"/>
    <col min="8" max="8" width="10.7265625" style="206" customWidth="1"/>
    <col min="9" max="9" width="14.26953125" style="4" bestFit="1" customWidth="1"/>
    <col min="10" max="10" width="17.6328125" style="4" bestFit="1" customWidth="1"/>
    <col min="11" max="13" width="15.26953125" style="4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57" s="3" customFormat="1" ht="18.399999999999999" customHeight="1">
      <c r="A1" s="162"/>
      <c r="B1" s="61"/>
      <c r="C1" s="62"/>
      <c r="D1" s="61"/>
      <c r="E1" s="163"/>
      <c r="F1" s="163"/>
      <c r="G1" s="163"/>
      <c r="H1" s="60"/>
      <c r="I1" s="163"/>
      <c r="J1" s="163"/>
      <c r="K1" s="163"/>
      <c r="L1" s="163"/>
      <c r="M1" s="163"/>
      <c r="N1" s="357"/>
      <c r="O1" s="358"/>
      <c r="P1" s="358"/>
      <c r="Q1" s="358"/>
      <c r="R1" s="60"/>
      <c r="S1" s="60"/>
      <c r="T1" s="60"/>
      <c r="U1" s="60"/>
      <c r="V1" s="60"/>
      <c r="W1" s="60"/>
      <c r="X1" s="60"/>
      <c r="Y1" s="104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</row>
    <row r="2" spans="1:57" s="216" customFormat="1">
      <c r="A2" s="212" t="s">
        <v>0</v>
      </c>
      <c r="B2" s="213"/>
      <c r="C2" s="213"/>
      <c r="D2" s="213"/>
      <c r="E2" s="214">
        <v>45657</v>
      </c>
      <c r="F2" s="214">
        <v>46022</v>
      </c>
      <c r="G2" s="214">
        <v>46112</v>
      </c>
      <c r="H2" s="214">
        <v>46203</v>
      </c>
      <c r="I2" s="214">
        <v>46022</v>
      </c>
      <c r="J2" s="214">
        <v>46112</v>
      </c>
      <c r="K2" s="214">
        <v>46203</v>
      </c>
      <c r="L2" s="214">
        <v>46295</v>
      </c>
      <c r="M2" s="214">
        <v>46387</v>
      </c>
      <c r="N2" s="316">
        <v>46477</v>
      </c>
      <c r="O2" s="316">
        <v>46568</v>
      </c>
      <c r="P2" s="316">
        <v>46660</v>
      </c>
      <c r="Q2" s="317">
        <v>46752</v>
      </c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</row>
    <row r="3" spans="1:57" s="219" customFormat="1">
      <c r="A3" s="68"/>
      <c r="B3" s="217"/>
      <c r="C3" s="217"/>
      <c r="D3" s="217"/>
      <c r="E3" s="218" t="s">
        <v>1</v>
      </c>
      <c r="F3" s="68"/>
      <c r="G3" s="68"/>
      <c r="H3" s="218"/>
      <c r="I3" s="218" t="s">
        <v>2</v>
      </c>
      <c r="J3" s="68"/>
      <c r="K3" s="68"/>
      <c r="L3" s="68"/>
      <c r="M3" s="68"/>
      <c r="N3" s="318"/>
      <c r="O3" s="318"/>
      <c r="P3" s="318"/>
      <c r="Q3" s="318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</row>
    <row r="4" spans="1:57" ht="14.65" customHeight="1">
      <c r="A4" s="60"/>
      <c r="B4" s="70" t="s">
        <v>2</v>
      </c>
      <c r="C4" s="71" t="s">
        <v>3</v>
      </c>
      <c r="D4" s="70" t="s">
        <v>4</v>
      </c>
      <c r="E4" s="164"/>
      <c r="F4" s="164"/>
      <c r="G4" s="164"/>
      <c r="H4" s="60"/>
      <c r="I4" s="164"/>
      <c r="J4" s="164"/>
      <c r="K4" s="164"/>
      <c r="L4" s="164"/>
      <c r="M4" s="164"/>
      <c r="N4" s="359"/>
      <c r="O4" s="360"/>
      <c r="P4" s="360"/>
      <c r="Q4" s="3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</row>
    <row r="5" spans="1:57" ht="15" customHeight="1">
      <c r="A5" s="165" t="s">
        <v>187</v>
      </c>
      <c r="B5" s="75"/>
      <c r="C5" s="74" t="s">
        <v>188</v>
      </c>
      <c r="D5" s="75"/>
      <c r="E5" s="162"/>
      <c r="F5" s="162"/>
      <c r="G5" s="162"/>
      <c r="H5" s="60"/>
      <c r="I5" s="166"/>
      <c r="J5" s="162"/>
      <c r="K5" s="162"/>
      <c r="L5" s="162"/>
      <c r="M5" s="162"/>
      <c r="N5" s="361"/>
      <c r="O5" s="362"/>
      <c r="P5" s="362"/>
      <c r="Q5" s="362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</row>
    <row r="6" spans="1:57" s="48" customFormat="1" ht="15" customHeight="1">
      <c r="A6" s="165" t="s">
        <v>206</v>
      </c>
      <c r="B6" s="75"/>
      <c r="C6" s="77"/>
      <c r="D6" s="78"/>
      <c r="E6" s="162"/>
      <c r="F6" s="162"/>
      <c r="G6" s="162"/>
      <c r="H6" s="60"/>
      <c r="I6" s="166"/>
      <c r="J6" s="162"/>
      <c r="K6" s="162"/>
      <c r="L6" s="162"/>
      <c r="M6" s="162"/>
      <c r="N6" s="361"/>
      <c r="O6" s="362"/>
      <c r="P6" s="362"/>
      <c r="Q6" s="362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</row>
    <row r="7" spans="1:57" s="48" customFormat="1" ht="15" customHeight="1">
      <c r="A7" s="165" t="s">
        <v>206</v>
      </c>
      <c r="B7" s="75"/>
      <c r="C7" s="77"/>
      <c r="D7" s="78"/>
      <c r="E7" s="162"/>
      <c r="F7" s="162"/>
      <c r="G7" s="162"/>
      <c r="H7" s="60"/>
      <c r="I7" s="166"/>
      <c r="J7" s="162"/>
      <c r="K7" s="162"/>
      <c r="L7" s="162"/>
      <c r="M7" s="162"/>
      <c r="N7" s="361"/>
      <c r="O7" s="362"/>
      <c r="P7" s="362"/>
      <c r="Q7" s="362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</row>
    <row r="8" spans="1:57" s="48" customFormat="1" ht="15" customHeight="1">
      <c r="A8" s="165" t="s">
        <v>206</v>
      </c>
      <c r="B8" s="75"/>
      <c r="C8" s="77"/>
      <c r="D8" s="78"/>
      <c r="E8" s="162"/>
      <c r="F8" s="162"/>
      <c r="G8" s="162"/>
      <c r="H8" s="60"/>
      <c r="I8" s="166"/>
      <c r="J8" s="162"/>
      <c r="K8" s="162"/>
      <c r="L8" s="162"/>
      <c r="M8" s="162"/>
      <c r="N8" s="361"/>
      <c r="O8" s="362"/>
      <c r="P8" s="362"/>
      <c r="Q8" s="362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</row>
    <row r="9" spans="1:57" s="48" customFormat="1" ht="15" customHeight="1">
      <c r="A9" s="165" t="s">
        <v>206</v>
      </c>
      <c r="B9" s="61"/>
      <c r="C9" s="62"/>
      <c r="D9" s="61"/>
      <c r="E9" s="162"/>
      <c r="F9" s="162"/>
      <c r="G9" s="162"/>
      <c r="H9" s="60"/>
      <c r="I9" s="166"/>
      <c r="J9" s="162"/>
      <c r="K9" s="162"/>
      <c r="L9" s="162"/>
      <c r="M9" s="162"/>
      <c r="N9" s="361"/>
      <c r="O9" s="362"/>
      <c r="P9" s="362"/>
      <c r="Q9" s="362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</row>
    <row r="10" spans="1:57" s="48" customFormat="1" ht="15" customHeight="1">
      <c r="A10" s="165" t="s">
        <v>206</v>
      </c>
      <c r="B10" s="61"/>
      <c r="C10" s="62"/>
      <c r="D10" s="61"/>
      <c r="E10" s="162"/>
      <c r="F10" s="162"/>
      <c r="G10" s="162"/>
      <c r="H10" s="91"/>
      <c r="I10" s="166"/>
      <c r="J10" s="162"/>
      <c r="K10" s="162"/>
      <c r="L10" s="162"/>
      <c r="M10" s="162"/>
      <c r="N10" s="361"/>
      <c r="O10" s="362"/>
      <c r="P10" s="362"/>
      <c r="Q10" s="362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</row>
    <row r="11" spans="1:57" s="48" customFormat="1" ht="15" customHeight="1">
      <c r="A11" s="165" t="s">
        <v>206</v>
      </c>
      <c r="B11" s="61"/>
      <c r="C11" s="62"/>
      <c r="D11" s="61"/>
      <c r="E11" s="162"/>
      <c r="F11" s="162"/>
      <c r="G11" s="162"/>
      <c r="H11" s="60"/>
      <c r="I11" s="166"/>
      <c r="J11" s="162"/>
      <c r="K11" s="162"/>
      <c r="L11" s="162"/>
      <c r="M11" s="162"/>
      <c r="N11" s="361"/>
      <c r="O11" s="362"/>
      <c r="P11" s="362"/>
      <c r="Q11" s="362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</row>
    <row r="12" spans="1:57" s="48" customFormat="1" ht="15" customHeight="1">
      <c r="A12" s="165" t="s">
        <v>206</v>
      </c>
      <c r="B12" s="61"/>
      <c r="C12" s="62"/>
      <c r="D12" s="61"/>
      <c r="E12" s="162"/>
      <c r="F12" s="162"/>
      <c r="G12" s="162"/>
      <c r="H12" s="95"/>
      <c r="I12" s="166"/>
      <c r="J12" s="162"/>
      <c r="K12" s="162"/>
      <c r="L12" s="162"/>
      <c r="M12" s="162"/>
      <c r="N12" s="361"/>
      <c r="O12" s="362"/>
      <c r="P12" s="362"/>
      <c r="Q12" s="362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</row>
    <row r="13" spans="1:57" s="48" customFormat="1" ht="15" customHeight="1">
      <c r="A13" s="165" t="s">
        <v>206</v>
      </c>
      <c r="B13" s="61"/>
      <c r="C13" s="62"/>
      <c r="D13" s="61"/>
      <c r="E13" s="162"/>
      <c r="F13" s="162"/>
      <c r="G13" s="162"/>
      <c r="H13" s="95"/>
      <c r="I13" s="166"/>
      <c r="J13" s="162"/>
      <c r="K13" s="162"/>
      <c r="L13" s="162"/>
      <c r="M13" s="162"/>
      <c r="N13" s="361"/>
      <c r="O13" s="362"/>
      <c r="P13" s="362"/>
      <c r="Q13" s="362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</row>
    <row r="14" spans="1:57" s="48" customFormat="1" ht="15" customHeight="1">
      <c r="A14" s="165" t="s">
        <v>206</v>
      </c>
      <c r="B14" s="61"/>
      <c r="C14" s="62"/>
      <c r="D14" s="61"/>
      <c r="E14" s="162"/>
      <c r="F14" s="162"/>
      <c r="G14" s="162"/>
      <c r="H14" s="60"/>
      <c r="I14" s="166"/>
      <c r="J14" s="162"/>
      <c r="K14" s="162"/>
      <c r="L14" s="162"/>
      <c r="M14" s="162"/>
      <c r="N14" s="361"/>
      <c r="O14" s="362"/>
      <c r="P14" s="362"/>
      <c r="Q14" s="362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</row>
    <row r="15" spans="1:57" s="48" customFormat="1" ht="15" customHeight="1">
      <c r="A15" s="165" t="s">
        <v>206</v>
      </c>
      <c r="B15" s="61"/>
      <c r="C15" s="62"/>
      <c r="D15" s="61"/>
      <c r="E15" s="162"/>
      <c r="F15" s="162"/>
      <c r="G15" s="162"/>
      <c r="H15" s="60"/>
      <c r="I15" s="166"/>
      <c r="J15" s="162"/>
      <c r="K15" s="162"/>
      <c r="L15" s="162"/>
      <c r="M15" s="162"/>
      <c r="N15" s="361"/>
      <c r="O15" s="362"/>
      <c r="P15" s="362"/>
      <c r="Q15" s="362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</row>
    <row r="16" spans="1:57" s="48" customFormat="1" ht="15" customHeight="1">
      <c r="A16" s="165" t="s">
        <v>206</v>
      </c>
      <c r="B16" s="61"/>
      <c r="C16" s="62"/>
      <c r="D16" s="61"/>
      <c r="E16" s="162"/>
      <c r="F16" s="162"/>
      <c r="G16" s="162"/>
      <c r="H16" s="60"/>
      <c r="I16" s="166"/>
      <c r="J16" s="162"/>
      <c r="K16" s="162"/>
      <c r="L16" s="162"/>
      <c r="M16" s="162"/>
      <c r="N16" s="361"/>
      <c r="O16" s="362"/>
      <c r="P16" s="362"/>
      <c r="Q16" s="362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</row>
    <row r="17" spans="1:44" s="48" customFormat="1" ht="15" customHeight="1">
      <c r="A17" s="165" t="s">
        <v>206</v>
      </c>
      <c r="B17" s="61"/>
      <c r="C17" s="62"/>
      <c r="D17" s="61"/>
      <c r="E17" s="162"/>
      <c r="F17" s="162"/>
      <c r="G17" s="162"/>
      <c r="H17" s="99"/>
      <c r="I17" s="166"/>
      <c r="J17" s="162"/>
      <c r="K17" s="162"/>
      <c r="L17" s="162"/>
      <c r="M17" s="162"/>
      <c r="N17" s="361"/>
      <c r="O17" s="362"/>
      <c r="P17" s="362"/>
      <c r="Q17" s="362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</row>
    <row r="18" spans="1:44" s="48" customFormat="1" ht="15" customHeight="1">
      <c r="A18" s="165" t="s">
        <v>206</v>
      </c>
      <c r="B18" s="61"/>
      <c r="C18" s="62"/>
      <c r="D18" s="61"/>
      <c r="E18" s="162"/>
      <c r="F18" s="162"/>
      <c r="G18" s="162"/>
      <c r="H18" s="99"/>
      <c r="I18" s="166"/>
      <c r="J18" s="162"/>
      <c r="K18" s="162"/>
      <c r="L18" s="162"/>
      <c r="M18" s="162"/>
      <c r="N18" s="361"/>
      <c r="O18" s="362"/>
      <c r="P18" s="362"/>
      <c r="Q18" s="362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</row>
    <row r="19" spans="1:44" s="48" customFormat="1" ht="15" customHeight="1">
      <c r="A19" s="165" t="s">
        <v>206</v>
      </c>
      <c r="B19" s="61"/>
      <c r="C19" s="62"/>
      <c r="D19" s="61"/>
      <c r="E19" s="162"/>
      <c r="F19" s="162"/>
      <c r="G19" s="162"/>
      <c r="H19" s="91"/>
      <c r="I19" s="166"/>
      <c r="J19" s="162"/>
      <c r="K19" s="162"/>
      <c r="L19" s="162"/>
      <c r="M19" s="162"/>
      <c r="N19" s="361"/>
      <c r="O19" s="362"/>
      <c r="P19" s="362"/>
      <c r="Q19" s="362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</row>
    <row r="20" spans="1:44" s="48" customFormat="1" ht="15" customHeight="1">
      <c r="A20" s="165" t="s">
        <v>206</v>
      </c>
      <c r="B20" s="61"/>
      <c r="C20" s="62"/>
      <c r="D20" s="61"/>
      <c r="E20" s="162"/>
      <c r="F20" s="162"/>
      <c r="G20" s="162"/>
      <c r="H20" s="60"/>
      <c r="I20" s="166"/>
      <c r="J20" s="162"/>
      <c r="K20" s="162"/>
      <c r="L20" s="162"/>
      <c r="M20" s="162"/>
      <c r="N20" s="361"/>
      <c r="O20" s="362"/>
      <c r="P20" s="362"/>
      <c r="Q20" s="362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</row>
    <row r="21" spans="1:44" s="48" customFormat="1" ht="15" customHeight="1">
      <c r="A21" s="165" t="s">
        <v>206</v>
      </c>
      <c r="B21" s="61"/>
      <c r="C21" s="62"/>
      <c r="D21" s="61"/>
      <c r="E21" s="162"/>
      <c r="F21" s="162"/>
      <c r="G21" s="162"/>
      <c r="H21" s="104"/>
      <c r="I21" s="166"/>
      <c r="J21" s="162"/>
      <c r="K21" s="162"/>
      <c r="L21" s="162"/>
      <c r="M21" s="162"/>
      <c r="N21" s="361"/>
      <c r="O21" s="362"/>
      <c r="P21" s="362"/>
      <c r="Q21" s="362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</row>
    <row r="22" spans="1:44">
      <c r="A22" s="165" t="s">
        <v>206</v>
      </c>
      <c r="B22" s="60"/>
      <c r="C22" s="60"/>
      <c r="D22" s="60"/>
      <c r="E22" s="126"/>
      <c r="F22" s="126">
        <v>0</v>
      </c>
      <c r="G22" s="126">
        <v>0</v>
      </c>
      <c r="H22" s="91"/>
      <c r="I22" s="126">
        <v>0</v>
      </c>
      <c r="J22" s="126">
        <v>0</v>
      </c>
      <c r="K22" s="126">
        <v>0</v>
      </c>
      <c r="L22" s="126">
        <v>0</v>
      </c>
      <c r="M22" s="126">
        <v>0</v>
      </c>
      <c r="N22" s="366">
        <v>0</v>
      </c>
      <c r="O22" s="367">
        <v>0</v>
      </c>
      <c r="P22" s="367">
        <v>0</v>
      </c>
      <c r="Q22" s="367">
        <v>0</v>
      </c>
      <c r="R22" s="60"/>
      <c r="S22" s="126"/>
      <c r="T22" s="126"/>
      <c r="U22" s="126"/>
      <c r="V22" s="126"/>
      <c r="W22" s="126"/>
      <c r="X22" s="126"/>
      <c r="Y22" s="126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</row>
    <row r="23" spans="1:44">
      <c r="A23" s="165" t="s">
        <v>206</v>
      </c>
      <c r="B23" s="60"/>
      <c r="C23" s="60"/>
      <c r="D23" s="60"/>
      <c r="E23" s="126"/>
      <c r="F23" s="126">
        <v>0</v>
      </c>
      <c r="G23" s="126">
        <v>0</v>
      </c>
      <c r="H23" s="91"/>
      <c r="I23" s="126">
        <v>0</v>
      </c>
      <c r="J23" s="126">
        <v>0</v>
      </c>
      <c r="K23" s="126">
        <v>0</v>
      </c>
      <c r="L23" s="126">
        <v>0</v>
      </c>
      <c r="M23" s="126">
        <v>0</v>
      </c>
      <c r="N23" s="367">
        <v>0</v>
      </c>
      <c r="O23" s="367">
        <v>0</v>
      </c>
      <c r="P23" s="367">
        <v>0</v>
      </c>
      <c r="Q23" s="367">
        <v>0</v>
      </c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</row>
    <row r="24" spans="1:44" ht="15" customHeight="1">
      <c r="A24" s="165" t="s">
        <v>206</v>
      </c>
      <c r="B24" s="60"/>
      <c r="C24" s="60"/>
      <c r="D24" s="60"/>
      <c r="E24" s="126"/>
      <c r="F24" s="126">
        <v>0</v>
      </c>
      <c r="G24" s="126">
        <v>0</v>
      </c>
      <c r="H24" s="91"/>
      <c r="I24" s="126">
        <v>0</v>
      </c>
      <c r="J24" s="126">
        <v>0</v>
      </c>
      <c r="K24" s="126">
        <v>0</v>
      </c>
      <c r="L24" s="126">
        <v>0</v>
      </c>
      <c r="M24" s="126">
        <v>0</v>
      </c>
      <c r="N24" s="367">
        <v>0</v>
      </c>
      <c r="O24" s="367">
        <v>0</v>
      </c>
      <c r="P24" s="367">
        <v>0</v>
      </c>
      <c r="Q24" s="367">
        <v>0</v>
      </c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</row>
    <row r="25" spans="1:44">
      <c r="A25" s="169" t="s">
        <v>209</v>
      </c>
      <c r="B25" s="72" t="s">
        <v>36</v>
      </c>
      <c r="C25" s="72" t="s">
        <v>210</v>
      </c>
      <c r="D25" s="60"/>
      <c r="E25" s="126"/>
      <c r="F25" s="126">
        <v>0</v>
      </c>
      <c r="G25" s="126">
        <v>0</v>
      </c>
      <c r="H25" s="91"/>
      <c r="I25" s="126">
        <v>0</v>
      </c>
      <c r="J25" s="126">
        <f t="shared" ref="J25:Q25" si="0">SUM(J22:J24)</f>
        <v>0</v>
      </c>
      <c r="K25" s="126">
        <f t="shared" si="0"/>
        <v>0</v>
      </c>
      <c r="L25" s="126">
        <f t="shared" si="0"/>
        <v>0</v>
      </c>
      <c r="M25" s="126">
        <f t="shared" si="0"/>
        <v>0</v>
      </c>
      <c r="N25" s="366">
        <f t="shared" si="0"/>
        <v>0</v>
      </c>
      <c r="O25" s="367">
        <f t="shared" si="0"/>
        <v>0</v>
      </c>
      <c r="P25" s="367">
        <f t="shared" si="0"/>
        <v>0</v>
      </c>
      <c r="Q25" s="367">
        <f t="shared" si="0"/>
        <v>0</v>
      </c>
      <c r="R25" s="104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</row>
    <row r="26" spans="1:44" ht="15" customHeight="1">
      <c r="A26" s="162"/>
      <c r="B26" s="60"/>
      <c r="C26" s="60"/>
      <c r="D26" s="60"/>
      <c r="E26" s="126"/>
      <c r="F26" s="126"/>
      <c r="G26" s="126"/>
      <c r="H26" s="91"/>
      <c r="I26" s="126"/>
      <c r="J26" s="126"/>
      <c r="K26" s="126"/>
      <c r="L26" s="126"/>
      <c r="M26" s="126"/>
      <c r="N26" s="366"/>
      <c r="O26" s="367"/>
      <c r="P26" s="367"/>
      <c r="Q26" s="367"/>
      <c r="R26" s="104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</row>
    <row r="27" spans="1:44">
      <c r="A27" s="165" t="s">
        <v>211</v>
      </c>
      <c r="B27" s="72" t="s">
        <v>7</v>
      </c>
      <c r="C27" s="72" t="s">
        <v>212</v>
      </c>
      <c r="D27" s="60"/>
      <c r="E27" s="126"/>
      <c r="F27" s="168">
        <v>0</v>
      </c>
      <c r="G27" s="168">
        <v>0</v>
      </c>
      <c r="H27" s="91"/>
      <c r="I27" s="168">
        <v>0</v>
      </c>
      <c r="J27" s="168">
        <v>0</v>
      </c>
      <c r="K27" s="168">
        <v>0</v>
      </c>
      <c r="L27" s="168">
        <v>0</v>
      </c>
      <c r="M27" s="168">
        <v>0</v>
      </c>
      <c r="N27" s="364">
        <v>0</v>
      </c>
      <c r="O27" s="365">
        <v>0</v>
      </c>
      <c r="P27" s="365">
        <v>0</v>
      </c>
      <c r="Q27" s="365">
        <v>0</v>
      </c>
      <c r="R27" s="110"/>
      <c r="S27" s="110"/>
      <c r="T27" s="110"/>
      <c r="U27" s="110"/>
      <c r="V27" s="110"/>
      <c r="W27" s="110"/>
      <c r="X27" s="110"/>
      <c r="Y27" s="11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</row>
    <row r="28" spans="1:44" ht="15" customHeight="1">
      <c r="A28" s="100" t="s">
        <v>213</v>
      </c>
      <c r="B28" s="72" t="s">
        <v>7</v>
      </c>
      <c r="C28" s="72" t="s">
        <v>214</v>
      </c>
      <c r="D28" s="60"/>
      <c r="E28" s="126"/>
      <c r="F28" s="168">
        <v>0</v>
      </c>
      <c r="G28" s="168">
        <v>0</v>
      </c>
      <c r="H28" s="91"/>
      <c r="I28" s="168">
        <v>0</v>
      </c>
      <c r="J28" s="168">
        <v>0</v>
      </c>
      <c r="K28" s="168">
        <v>0</v>
      </c>
      <c r="L28" s="168">
        <v>0</v>
      </c>
      <c r="M28" s="168">
        <v>0</v>
      </c>
      <c r="N28" s="365">
        <v>0</v>
      </c>
      <c r="O28" s="365">
        <v>0</v>
      </c>
      <c r="P28" s="365">
        <v>0</v>
      </c>
      <c r="Q28" s="365">
        <v>0</v>
      </c>
      <c r="R28" s="110"/>
      <c r="S28" s="110"/>
      <c r="T28" s="110"/>
      <c r="U28" s="110"/>
      <c r="V28" s="110"/>
      <c r="W28" s="110"/>
      <c r="X28" s="110"/>
      <c r="Y28" s="11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</row>
    <row r="29" spans="1:44">
      <c r="A29" s="165" t="s">
        <v>215</v>
      </c>
      <c r="B29" s="72" t="s">
        <v>36</v>
      </c>
      <c r="C29" s="72" t="s">
        <v>216</v>
      </c>
      <c r="D29" s="60"/>
      <c r="E29" s="126"/>
      <c r="F29" s="126">
        <v>0</v>
      </c>
      <c r="G29" s="126">
        <v>0</v>
      </c>
      <c r="H29" s="91"/>
      <c r="I29" s="126">
        <v>0</v>
      </c>
      <c r="J29" s="126">
        <f t="shared" ref="J29:Q29" si="1">+J27+I29+J28</f>
        <v>0</v>
      </c>
      <c r="K29" s="126">
        <f t="shared" si="1"/>
        <v>0</v>
      </c>
      <c r="L29" s="126">
        <f t="shared" si="1"/>
        <v>0</v>
      </c>
      <c r="M29" s="126">
        <f t="shared" si="1"/>
        <v>0</v>
      </c>
      <c r="N29" s="367">
        <f t="shared" si="1"/>
        <v>0</v>
      </c>
      <c r="O29" s="367">
        <f t="shared" si="1"/>
        <v>0</v>
      </c>
      <c r="P29" s="367">
        <f t="shared" si="1"/>
        <v>0</v>
      </c>
      <c r="Q29" s="367">
        <f t="shared" si="1"/>
        <v>0</v>
      </c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</row>
    <row r="30" spans="1:44">
      <c r="A30" s="60"/>
      <c r="B30" s="60"/>
      <c r="C30" s="60"/>
      <c r="D30" s="60"/>
      <c r="E30" s="60"/>
      <c r="F30" s="60"/>
      <c r="G30" s="60"/>
      <c r="H30" s="91"/>
      <c r="I30" s="60"/>
      <c r="J30" s="60"/>
      <c r="K30" s="60"/>
      <c r="L30" s="60"/>
      <c r="M30" s="60"/>
      <c r="N30" s="321"/>
      <c r="O30" s="321"/>
      <c r="P30" s="321"/>
      <c r="Q30" s="321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</row>
    <row r="31" spans="1:44">
      <c r="A31" s="165" t="s">
        <v>217</v>
      </c>
      <c r="B31" s="72" t="s">
        <v>36</v>
      </c>
      <c r="C31" s="72" t="s">
        <v>218</v>
      </c>
      <c r="D31" s="60"/>
      <c r="E31" s="171"/>
      <c r="F31" s="171">
        <v>0</v>
      </c>
      <c r="G31" s="171">
        <v>0</v>
      </c>
      <c r="H31" s="91"/>
      <c r="I31" s="171">
        <v>0</v>
      </c>
      <c r="J31" s="171">
        <f t="shared" ref="J31:Q31" si="2">+J25+J27</f>
        <v>0</v>
      </c>
      <c r="K31" s="171">
        <f t="shared" si="2"/>
        <v>0</v>
      </c>
      <c r="L31" s="171">
        <f t="shared" si="2"/>
        <v>0</v>
      </c>
      <c r="M31" s="171">
        <f t="shared" si="2"/>
        <v>0</v>
      </c>
      <c r="N31" s="369">
        <f t="shared" si="2"/>
        <v>0</v>
      </c>
      <c r="O31" s="369">
        <f t="shared" si="2"/>
        <v>0</v>
      </c>
      <c r="P31" s="369">
        <f t="shared" si="2"/>
        <v>0</v>
      </c>
      <c r="Q31" s="369">
        <f t="shared" si="2"/>
        <v>0</v>
      </c>
      <c r="R31" s="60"/>
      <c r="S31" s="60"/>
      <c r="T31" s="110"/>
      <c r="U31" s="110"/>
      <c r="V31" s="110"/>
      <c r="W31" s="110"/>
      <c r="X31" s="110"/>
      <c r="Y31" s="11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</row>
    <row r="32" spans="1:44">
      <c r="A32" s="165" t="s">
        <v>219</v>
      </c>
      <c r="B32" s="72" t="s">
        <v>36</v>
      </c>
      <c r="C32" s="72" t="s">
        <v>220</v>
      </c>
      <c r="D32" s="60"/>
      <c r="E32" s="171"/>
      <c r="F32" s="171">
        <v>0</v>
      </c>
      <c r="G32" s="171">
        <v>0</v>
      </c>
      <c r="H32" s="91"/>
      <c r="I32" s="171">
        <v>0</v>
      </c>
      <c r="J32" s="171">
        <f t="shared" ref="J32:Q32" si="3">+J28+J31</f>
        <v>0</v>
      </c>
      <c r="K32" s="171">
        <f t="shared" si="3"/>
        <v>0</v>
      </c>
      <c r="L32" s="171">
        <f t="shared" si="3"/>
        <v>0</v>
      </c>
      <c r="M32" s="171">
        <f t="shared" si="3"/>
        <v>0</v>
      </c>
      <c r="N32" s="369">
        <f t="shared" si="3"/>
        <v>0</v>
      </c>
      <c r="O32" s="369">
        <f t="shared" si="3"/>
        <v>0</v>
      </c>
      <c r="P32" s="369">
        <f t="shared" si="3"/>
        <v>0</v>
      </c>
      <c r="Q32" s="369">
        <f t="shared" si="3"/>
        <v>0</v>
      </c>
      <c r="R32" s="60"/>
      <c r="S32" s="60"/>
      <c r="T32" s="110"/>
      <c r="U32" s="110"/>
      <c r="V32" s="110"/>
      <c r="W32" s="110"/>
      <c r="X32" s="110"/>
      <c r="Y32" s="11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</row>
    <row r="33" spans="1:48">
      <c r="A33" s="60"/>
      <c r="B33" s="60"/>
      <c r="C33" s="60"/>
      <c r="D33" s="60"/>
      <c r="E33" s="126"/>
      <c r="F33" s="126"/>
      <c r="G33" s="126"/>
      <c r="H33" s="99"/>
      <c r="I33" s="126"/>
      <c r="J33" s="126"/>
      <c r="K33" s="126"/>
      <c r="L33" s="126"/>
      <c r="M33" s="126"/>
      <c r="N33" s="366"/>
      <c r="O33" s="367"/>
      <c r="P33" s="367"/>
      <c r="Q33" s="367"/>
      <c r="R33" s="60"/>
      <c r="S33" s="60"/>
      <c r="T33" s="110"/>
      <c r="U33" s="110"/>
      <c r="V33" s="110"/>
      <c r="W33" s="110"/>
      <c r="X33" s="110"/>
      <c r="Y33" s="11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</row>
    <row r="34" spans="1:48" ht="15" customHeight="1">
      <c r="A34" s="165" t="s">
        <v>221</v>
      </c>
      <c r="B34" s="60"/>
      <c r="C34" s="72" t="s">
        <v>312</v>
      </c>
      <c r="D34" s="60"/>
      <c r="E34" s="126"/>
      <c r="F34" s="126"/>
      <c r="G34" s="126"/>
      <c r="H34" s="91"/>
      <c r="I34" s="60"/>
      <c r="J34" s="126"/>
      <c r="K34" s="172"/>
      <c r="L34" s="172"/>
      <c r="M34" s="172"/>
      <c r="N34" s="370"/>
      <c r="O34" s="371"/>
      <c r="P34" s="371"/>
      <c r="Q34" s="371"/>
      <c r="R34" s="110"/>
      <c r="S34" s="110"/>
      <c r="T34" s="110"/>
      <c r="U34" s="110"/>
      <c r="V34" s="110"/>
      <c r="W34" s="110"/>
      <c r="X34" s="110"/>
      <c r="Y34" s="11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</row>
    <row r="35" spans="1:48">
      <c r="A35" s="182" t="s">
        <v>222</v>
      </c>
      <c r="B35" s="72" t="s">
        <v>7</v>
      </c>
      <c r="C35" s="209" t="s">
        <v>313</v>
      </c>
      <c r="D35" s="209" t="s">
        <v>191</v>
      </c>
      <c r="E35" s="126"/>
      <c r="F35" s="168">
        <v>0</v>
      </c>
      <c r="G35" s="168">
        <v>15000</v>
      </c>
      <c r="H35" s="60"/>
      <c r="I35" s="168">
        <v>0</v>
      </c>
      <c r="J35" s="168">
        <f t="shared" ref="J35:M36" si="4">60000/4</f>
        <v>15000</v>
      </c>
      <c r="K35" s="168">
        <f t="shared" si="4"/>
        <v>15000</v>
      </c>
      <c r="L35" s="168">
        <f t="shared" si="4"/>
        <v>15000</v>
      </c>
      <c r="M35" s="168">
        <f t="shared" si="4"/>
        <v>15000</v>
      </c>
      <c r="N35" s="365">
        <v>15000</v>
      </c>
      <c r="O35" s="365">
        <v>15000</v>
      </c>
      <c r="P35" s="365">
        <v>15000</v>
      </c>
      <c r="Q35" s="365">
        <v>15000</v>
      </c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</row>
    <row r="36" spans="1:48">
      <c r="A36" s="182" t="s">
        <v>314</v>
      </c>
      <c r="B36" s="72" t="s">
        <v>7</v>
      </c>
      <c r="C36" s="209" t="s">
        <v>313</v>
      </c>
      <c r="D36" s="72" t="s">
        <v>195</v>
      </c>
      <c r="E36" s="126"/>
      <c r="F36" s="168">
        <v>0</v>
      </c>
      <c r="G36" s="168">
        <v>15000</v>
      </c>
      <c r="H36" s="116"/>
      <c r="I36" s="168">
        <v>0</v>
      </c>
      <c r="J36" s="168">
        <f t="shared" si="4"/>
        <v>15000</v>
      </c>
      <c r="K36" s="168">
        <f t="shared" si="4"/>
        <v>15000</v>
      </c>
      <c r="L36" s="168">
        <f t="shared" si="4"/>
        <v>15000</v>
      </c>
      <c r="M36" s="168">
        <f t="shared" si="4"/>
        <v>15000</v>
      </c>
      <c r="N36" s="365">
        <v>15000</v>
      </c>
      <c r="O36" s="365">
        <v>15000</v>
      </c>
      <c r="P36" s="365">
        <v>15000</v>
      </c>
      <c r="Q36" s="365">
        <v>15000</v>
      </c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</row>
    <row r="37" spans="1:48">
      <c r="A37" s="182" t="s">
        <v>225</v>
      </c>
      <c r="B37" s="72" t="s">
        <v>7</v>
      </c>
      <c r="C37" s="209" t="s">
        <v>313</v>
      </c>
      <c r="D37" s="72" t="s">
        <v>198</v>
      </c>
      <c r="E37" s="126"/>
      <c r="F37" s="168">
        <v>0</v>
      </c>
      <c r="G37" s="168">
        <v>0</v>
      </c>
      <c r="H37" s="116"/>
      <c r="I37" s="168">
        <v>0</v>
      </c>
      <c r="J37" s="168">
        <v>0</v>
      </c>
      <c r="K37" s="168">
        <v>0</v>
      </c>
      <c r="L37" s="168">
        <v>0</v>
      </c>
      <c r="M37" s="168">
        <v>0</v>
      </c>
      <c r="N37" s="365">
        <v>0</v>
      </c>
      <c r="O37" s="365">
        <v>0</v>
      </c>
      <c r="P37" s="365">
        <v>0</v>
      </c>
      <c r="Q37" s="365">
        <v>0</v>
      </c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</row>
    <row r="38" spans="1:48">
      <c r="A38" s="182" t="s">
        <v>202</v>
      </c>
      <c r="B38" s="72" t="s">
        <v>7</v>
      </c>
      <c r="C38" s="209" t="s">
        <v>313</v>
      </c>
      <c r="D38" s="72" t="s">
        <v>203</v>
      </c>
      <c r="E38" s="126"/>
      <c r="F38" s="168">
        <v>0</v>
      </c>
      <c r="G38" s="168">
        <v>0</v>
      </c>
      <c r="H38" s="116"/>
      <c r="I38" s="168">
        <v>0</v>
      </c>
      <c r="J38" s="168">
        <v>0</v>
      </c>
      <c r="K38" s="168">
        <v>0</v>
      </c>
      <c r="L38" s="168">
        <v>0</v>
      </c>
      <c r="M38" s="168">
        <v>0</v>
      </c>
      <c r="N38" s="365">
        <v>0</v>
      </c>
      <c r="O38" s="365">
        <v>0</v>
      </c>
      <c r="P38" s="365">
        <v>0</v>
      </c>
      <c r="Q38" s="365">
        <v>0</v>
      </c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</row>
    <row r="39" spans="1:48">
      <c r="A39" s="182" t="s">
        <v>226</v>
      </c>
      <c r="B39" s="72" t="s">
        <v>7</v>
      </c>
      <c r="C39" s="209" t="s">
        <v>313</v>
      </c>
      <c r="D39" s="72" t="s">
        <v>201</v>
      </c>
      <c r="E39" s="126"/>
      <c r="F39" s="168">
        <v>0</v>
      </c>
      <c r="G39" s="168">
        <v>0</v>
      </c>
      <c r="H39" s="116"/>
      <c r="I39" s="168">
        <v>0</v>
      </c>
      <c r="J39" s="168">
        <v>0</v>
      </c>
      <c r="K39" s="168">
        <f>+J39</f>
        <v>0</v>
      </c>
      <c r="L39" s="168">
        <f>+K39</f>
        <v>0</v>
      </c>
      <c r="M39" s="168">
        <f>+L39</f>
        <v>0</v>
      </c>
      <c r="N39" s="365">
        <v>0</v>
      </c>
      <c r="O39" s="365">
        <v>0</v>
      </c>
      <c r="P39" s="365">
        <v>0</v>
      </c>
      <c r="Q39" s="365">
        <v>0</v>
      </c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</row>
    <row r="40" spans="1:48" s="48" customFormat="1">
      <c r="A40" s="165" t="s">
        <v>206</v>
      </c>
      <c r="B40" s="61"/>
      <c r="C40" s="62"/>
      <c r="D40" s="61"/>
      <c r="E40" s="126"/>
      <c r="F40" s="126"/>
      <c r="G40" s="126"/>
      <c r="H40" s="91"/>
      <c r="I40" s="126"/>
      <c r="J40" s="126"/>
      <c r="K40" s="126"/>
      <c r="L40" s="126"/>
      <c r="M40" s="126"/>
      <c r="N40" s="367"/>
      <c r="O40" s="367"/>
      <c r="P40" s="367"/>
      <c r="Q40" s="367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</row>
    <row r="41" spans="1:48" s="48" customFormat="1">
      <c r="A41" s="165" t="s">
        <v>206</v>
      </c>
      <c r="B41" s="61"/>
      <c r="C41" s="62"/>
      <c r="D41" s="61"/>
      <c r="E41" s="126"/>
      <c r="F41" s="126"/>
      <c r="G41" s="126"/>
      <c r="H41" s="116"/>
      <c r="I41" s="126"/>
      <c r="J41" s="126"/>
      <c r="K41" s="126"/>
      <c r="L41" s="126"/>
      <c r="M41" s="126"/>
      <c r="N41" s="367"/>
      <c r="O41" s="367"/>
      <c r="P41" s="367"/>
      <c r="Q41" s="367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</row>
    <row r="42" spans="1:48" s="48" customFormat="1">
      <c r="A42" s="165" t="s">
        <v>206</v>
      </c>
      <c r="B42" s="61"/>
      <c r="C42" s="62"/>
      <c r="D42" s="61"/>
      <c r="E42" s="126"/>
      <c r="F42" s="126"/>
      <c r="G42" s="126"/>
      <c r="H42" s="116"/>
      <c r="I42" s="126"/>
      <c r="J42" s="126"/>
      <c r="K42" s="126"/>
      <c r="L42" s="126"/>
      <c r="M42" s="126"/>
      <c r="N42" s="367"/>
      <c r="O42" s="367"/>
      <c r="P42" s="367"/>
      <c r="Q42" s="367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</row>
    <row r="43" spans="1:48" s="48" customFormat="1">
      <c r="A43" s="165" t="s">
        <v>206</v>
      </c>
      <c r="B43" s="61"/>
      <c r="C43" s="62"/>
      <c r="D43" s="61"/>
      <c r="E43" s="126"/>
      <c r="F43" s="126"/>
      <c r="G43" s="126"/>
      <c r="H43" s="116"/>
      <c r="I43" s="126"/>
      <c r="J43" s="126"/>
      <c r="K43" s="126"/>
      <c r="L43" s="126"/>
      <c r="M43" s="126"/>
      <c r="N43" s="367"/>
      <c r="O43" s="367"/>
      <c r="P43" s="367"/>
      <c r="Q43" s="367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</row>
    <row r="44" spans="1:48" s="48" customFormat="1">
      <c r="A44" s="165" t="s">
        <v>206</v>
      </c>
      <c r="B44" s="61"/>
      <c r="C44" s="62"/>
      <c r="D44" s="61"/>
      <c r="E44" s="126"/>
      <c r="F44" s="126"/>
      <c r="G44" s="126"/>
      <c r="H44" s="116"/>
      <c r="I44" s="126"/>
      <c r="J44" s="126"/>
      <c r="K44" s="126"/>
      <c r="L44" s="126"/>
      <c r="M44" s="126"/>
      <c r="N44" s="367"/>
      <c r="O44" s="367"/>
      <c r="P44" s="367"/>
      <c r="Q44" s="367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</row>
    <row r="45" spans="1:48" ht="15" customHeight="1">
      <c r="A45" s="182" t="s">
        <v>204</v>
      </c>
      <c r="B45" s="72" t="s">
        <v>7</v>
      </c>
      <c r="C45" s="209" t="s">
        <v>313</v>
      </c>
      <c r="D45" s="72" t="s">
        <v>205</v>
      </c>
      <c r="E45" s="126"/>
      <c r="F45" s="168"/>
      <c r="G45" s="168"/>
      <c r="H45" s="116"/>
      <c r="I45" s="168"/>
      <c r="J45" s="168"/>
      <c r="K45" s="168"/>
      <c r="L45" s="168"/>
      <c r="M45" s="168"/>
      <c r="N45" s="365"/>
      <c r="O45" s="365"/>
      <c r="P45" s="365"/>
      <c r="Q45" s="365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</row>
    <row r="46" spans="1:48" s="11" customFormat="1">
      <c r="A46" s="169" t="s">
        <v>315</v>
      </c>
      <c r="B46" s="157" t="s">
        <v>36</v>
      </c>
      <c r="C46" s="155" t="s">
        <v>229</v>
      </c>
      <c r="D46" s="61"/>
      <c r="E46" s="126"/>
      <c r="F46" s="126">
        <v>0</v>
      </c>
      <c r="G46" s="126">
        <v>30000</v>
      </c>
      <c r="H46" s="116"/>
      <c r="I46" s="126">
        <v>0</v>
      </c>
      <c r="J46" s="126">
        <f t="shared" ref="J46:Q46" si="5">SUM(J35:J45)</f>
        <v>30000</v>
      </c>
      <c r="K46" s="126">
        <f t="shared" si="5"/>
        <v>30000</v>
      </c>
      <c r="L46" s="126">
        <f t="shared" si="5"/>
        <v>30000</v>
      </c>
      <c r="M46" s="126">
        <f t="shared" si="5"/>
        <v>30000</v>
      </c>
      <c r="N46" s="366">
        <f t="shared" si="5"/>
        <v>30000</v>
      </c>
      <c r="O46" s="367">
        <f t="shared" si="5"/>
        <v>30000</v>
      </c>
      <c r="P46" s="367">
        <f t="shared" si="5"/>
        <v>30000</v>
      </c>
      <c r="Q46" s="367">
        <f t="shared" si="5"/>
        <v>30000</v>
      </c>
      <c r="R46" s="60"/>
      <c r="S46" s="60"/>
      <c r="T46" s="60"/>
      <c r="U46" s="60"/>
      <c r="V46" s="118"/>
      <c r="W46" s="118"/>
      <c r="X46" s="118"/>
      <c r="Y46" s="118"/>
      <c r="Z46" s="118"/>
      <c r="AA46" s="118"/>
      <c r="AB46" s="118"/>
      <c r="AC46" s="60"/>
      <c r="AD46" s="118"/>
      <c r="AE46" s="118"/>
      <c r="AF46" s="118"/>
      <c r="AG46" s="118"/>
      <c r="AH46" s="118"/>
      <c r="AI46" s="118"/>
      <c r="AJ46" s="118"/>
      <c r="AK46" s="60"/>
      <c r="AL46" s="60"/>
      <c r="AM46" s="60"/>
      <c r="AN46" s="60"/>
      <c r="AO46" s="60"/>
      <c r="AP46" s="60"/>
      <c r="AQ46" s="60"/>
      <c r="AR46" s="60"/>
    </row>
    <row r="47" spans="1:48" ht="15" customHeight="1">
      <c r="A47" s="60"/>
      <c r="B47" s="60"/>
      <c r="C47" s="60"/>
      <c r="D47" s="60"/>
      <c r="E47" s="126"/>
      <c r="F47" s="126"/>
      <c r="G47" s="126"/>
      <c r="H47" s="116"/>
      <c r="I47" s="126"/>
      <c r="J47" s="126"/>
      <c r="K47" s="126"/>
      <c r="L47" s="126"/>
      <c r="M47" s="126"/>
      <c r="N47" s="366"/>
      <c r="O47" s="367"/>
      <c r="P47" s="367"/>
      <c r="Q47" s="367"/>
      <c r="R47" s="60"/>
      <c r="S47" s="60"/>
      <c r="T47" s="110"/>
      <c r="U47" s="110"/>
      <c r="V47" s="110"/>
      <c r="W47" s="110"/>
      <c r="X47" s="110"/>
      <c r="Y47" s="11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</row>
    <row r="48" spans="1:48">
      <c r="A48" s="183" t="s">
        <v>211</v>
      </c>
      <c r="B48" s="72" t="s">
        <v>7</v>
      </c>
      <c r="C48" s="72" t="s">
        <v>230</v>
      </c>
      <c r="D48" s="60"/>
      <c r="E48" s="126"/>
      <c r="F48" s="168"/>
      <c r="G48" s="168"/>
      <c r="H48" s="126"/>
      <c r="I48" s="168"/>
      <c r="J48" s="168"/>
      <c r="K48" s="168"/>
      <c r="L48" s="168"/>
      <c r="M48" s="168"/>
      <c r="N48" s="365"/>
      <c r="O48" s="365"/>
      <c r="P48" s="365"/>
      <c r="Q48" s="365"/>
      <c r="R48" s="60"/>
      <c r="S48" s="60"/>
      <c r="T48" s="60"/>
      <c r="U48" s="60"/>
      <c r="V48" s="60"/>
      <c r="W48" s="60"/>
      <c r="X48" s="60"/>
      <c r="Y48" s="60"/>
      <c r="Z48" s="184"/>
      <c r="AA48" s="184"/>
      <c r="AB48" s="184"/>
      <c r="AC48" s="184"/>
      <c r="AD48" s="185"/>
      <c r="AE48" s="298"/>
      <c r="AI48" s="395"/>
      <c r="AJ48" s="396"/>
      <c r="AK48" s="396"/>
      <c r="AL48" s="396"/>
      <c r="AM48" s="396"/>
      <c r="AN48" s="396"/>
      <c r="AP48" s="395"/>
      <c r="AQ48" s="396"/>
      <c r="AR48" s="396"/>
      <c r="AS48" s="396"/>
      <c r="AT48" s="396"/>
      <c r="AU48" s="396"/>
      <c r="AV48" s="396"/>
    </row>
    <row r="49" spans="1:44" ht="15" customHeight="1">
      <c r="A49" s="183" t="s">
        <v>306</v>
      </c>
      <c r="B49" s="72" t="s">
        <v>7</v>
      </c>
      <c r="C49" s="72" t="s">
        <v>232</v>
      </c>
      <c r="D49" s="60"/>
      <c r="E49" s="126"/>
      <c r="F49" s="168"/>
      <c r="G49" s="168"/>
      <c r="H49" s="126"/>
      <c r="I49" s="168"/>
      <c r="J49" s="168"/>
      <c r="K49" s="168"/>
      <c r="L49" s="168"/>
      <c r="M49" s="168"/>
      <c r="N49" s="365"/>
      <c r="O49" s="365"/>
      <c r="P49" s="365"/>
      <c r="Q49" s="365"/>
      <c r="R49" s="60"/>
      <c r="S49" s="60"/>
      <c r="T49" s="60"/>
      <c r="U49" s="60"/>
      <c r="V49" s="60"/>
      <c r="W49" s="60"/>
      <c r="X49" s="60"/>
      <c r="Y49" s="60"/>
      <c r="Z49" s="184"/>
      <c r="AA49" s="184"/>
      <c r="AB49" s="184"/>
      <c r="AC49" s="184"/>
      <c r="AD49" s="185"/>
      <c r="AE49" s="84"/>
      <c r="AF49" s="84"/>
      <c r="AG49" s="84"/>
      <c r="AH49" s="84"/>
      <c r="AI49" s="84"/>
      <c r="AJ49" s="84"/>
      <c r="AK49" s="60"/>
      <c r="AL49" s="84"/>
      <c r="AM49" s="84"/>
      <c r="AN49" s="84"/>
      <c r="AO49" s="84"/>
      <c r="AP49" s="84"/>
      <c r="AQ49" s="84"/>
      <c r="AR49" s="84"/>
    </row>
    <row r="50" spans="1:44">
      <c r="A50" s="165" t="s">
        <v>233</v>
      </c>
      <c r="B50" s="72" t="s">
        <v>36</v>
      </c>
      <c r="C50" s="72" t="s">
        <v>234</v>
      </c>
      <c r="D50" s="60"/>
      <c r="E50" s="126"/>
      <c r="F50" s="126">
        <v>0</v>
      </c>
      <c r="G50" s="126">
        <v>0</v>
      </c>
      <c r="H50" s="126"/>
      <c r="I50" s="126">
        <v>0</v>
      </c>
      <c r="J50" s="126">
        <f t="shared" ref="J50:Q50" si="6">+J48+I50+J49</f>
        <v>0</v>
      </c>
      <c r="K50" s="126">
        <f t="shared" si="6"/>
        <v>0</v>
      </c>
      <c r="L50" s="126">
        <f t="shared" si="6"/>
        <v>0</v>
      </c>
      <c r="M50" s="126">
        <f t="shared" si="6"/>
        <v>0</v>
      </c>
      <c r="N50" s="366">
        <f t="shared" si="6"/>
        <v>0</v>
      </c>
      <c r="O50" s="367">
        <f t="shared" si="6"/>
        <v>0</v>
      </c>
      <c r="P50" s="367">
        <f t="shared" si="6"/>
        <v>0</v>
      </c>
      <c r="Q50" s="367">
        <f t="shared" si="6"/>
        <v>0</v>
      </c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</row>
    <row r="51" spans="1:44">
      <c r="A51" s="60"/>
      <c r="B51" s="60"/>
      <c r="C51" s="60"/>
      <c r="D51" s="60"/>
      <c r="E51" s="126"/>
      <c r="F51" s="126"/>
      <c r="G51" s="126"/>
      <c r="H51" s="126"/>
      <c r="I51" s="126"/>
      <c r="J51" s="126"/>
      <c r="K51" s="126"/>
      <c r="L51" s="126"/>
      <c r="M51" s="126"/>
      <c r="N51" s="366"/>
      <c r="O51" s="367"/>
      <c r="P51" s="367"/>
      <c r="Q51" s="367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</row>
    <row r="52" spans="1:44" s="11" customFormat="1">
      <c r="A52" s="165" t="s">
        <v>235</v>
      </c>
      <c r="B52" s="157" t="s">
        <v>36</v>
      </c>
      <c r="C52" s="155" t="s">
        <v>236</v>
      </c>
      <c r="D52" s="61"/>
      <c r="E52" s="174"/>
      <c r="F52" s="174">
        <v>0</v>
      </c>
      <c r="G52" s="174">
        <v>30000</v>
      </c>
      <c r="H52" s="126"/>
      <c r="I52" s="171">
        <v>0</v>
      </c>
      <c r="J52" s="171">
        <f t="shared" ref="J52:Q52" si="7">+J46+J48</f>
        <v>30000</v>
      </c>
      <c r="K52" s="171">
        <f t="shared" si="7"/>
        <v>30000</v>
      </c>
      <c r="L52" s="171">
        <f t="shared" si="7"/>
        <v>30000</v>
      </c>
      <c r="M52" s="171">
        <f t="shared" si="7"/>
        <v>30000</v>
      </c>
      <c r="N52" s="373">
        <f t="shared" si="7"/>
        <v>30000</v>
      </c>
      <c r="O52" s="369">
        <f t="shared" si="7"/>
        <v>30000</v>
      </c>
      <c r="P52" s="369">
        <f t="shared" si="7"/>
        <v>30000</v>
      </c>
      <c r="Q52" s="369">
        <f t="shared" si="7"/>
        <v>30000</v>
      </c>
      <c r="R52" s="60"/>
      <c r="S52" s="60"/>
      <c r="T52" s="60"/>
      <c r="U52" s="60"/>
      <c r="V52" s="118"/>
      <c r="W52" s="118"/>
      <c r="X52" s="118"/>
      <c r="Y52" s="118"/>
      <c r="Z52" s="118"/>
      <c r="AA52" s="118"/>
      <c r="AB52" s="118"/>
      <c r="AC52" s="60"/>
      <c r="AD52" s="118"/>
      <c r="AE52" s="118"/>
      <c r="AF52" s="118"/>
      <c r="AG52" s="118"/>
      <c r="AH52" s="118"/>
      <c r="AI52" s="118"/>
      <c r="AJ52" s="118"/>
      <c r="AK52" s="60"/>
      <c r="AL52" s="60"/>
      <c r="AM52" s="60"/>
      <c r="AN52" s="60"/>
      <c r="AO52" s="60"/>
      <c r="AP52" s="60"/>
      <c r="AQ52" s="60"/>
      <c r="AR52" s="60"/>
    </row>
    <row r="53" spans="1:44" s="11" customFormat="1">
      <c r="A53" s="165" t="s">
        <v>237</v>
      </c>
      <c r="B53" s="157" t="s">
        <v>36</v>
      </c>
      <c r="C53" s="155" t="s">
        <v>238</v>
      </c>
      <c r="D53" s="61"/>
      <c r="E53" s="171"/>
      <c r="F53" s="171">
        <v>0</v>
      </c>
      <c r="G53" s="171">
        <v>30000</v>
      </c>
      <c r="H53" s="60"/>
      <c r="I53" s="171">
        <v>0</v>
      </c>
      <c r="J53" s="171">
        <f t="shared" ref="J53:Q53" si="8">+J49+J52</f>
        <v>30000</v>
      </c>
      <c r="K53" s="171">
        <f t="shared" si="8"/>
        <v>30000</v>
      </c>
      <c r="L53" s="171">
        <f t="shared" si="8"/>
        <v>30000</v>
      </c>
      <c r="M53" s="171">
        <f t="shared" si="8"/>
        <v>30000</v>
      </c>
      <c r="N53" s="373">
        <f t="shared" si="8"/>
        <v>30000</v>
      </c>
      <c r="O53" s="369">
        <f t="shared" si="8"/>
        <v>30000</v>
      </c>
      <c r="P53" s="369">
        <f t="shared" si="8"/>
        <v>30000</v>
      </c>
      <c r="Q53" s="369">
        <f t="shared" si="8"/>
        <v>30000</v>
      </c>
      <c r="R53" s="60"/>
      <c r="S53" s="60"/>
      <c r="T53" s="60"/>
      <c r="U53" s="60"/>
      <c r="V53" s="118"/>
      <c r="W53" s="118"/>
      <c r="X53" s="118"/>
      <c r="Y53" s="118"/>
      <c r="Z53" s="118"/>
      <c r="AA53" s="118"/>
      <c r="AB53" s="118"/>
      <c r="AC53" s="60"/>
      <c r="AD53" s="118"/>
      <c r="AE53" s="118"/>
      <c r="AF53" s="118"/>
      <c r="AG53" s="118"/>
      <c r="AH53" s="118"/>
      <c r="AI53" s="118"/>
      <c r="AJ53" s="118"/>
      <c r="AK53" s="60"/>
      <c r="AL53" s="60"/>
      <c r="AM53" s="60"/>
      <c r="AN53" s="60"/>
      <c r="AO53" s="60"/>
      <c r="AP53" s="60"/>
      <c r="AQ53" s="60"/>
      <c r="AR53" s="60"/>
    </row>
    <row r="54" spans="1:44">
      <c r="A54" s="60"/>
      <c r="B54" s="60"/>
      <c r="C54" s="60"/>
      <c r="D54" s="60"/>
      <c r="E54" s="126"/>
      <c r="F54" s="126"/>
      <c r="G54" s="126"/>
      <c r="H54" s="60"/>
      <c r="I54" s="126"/>
      <c r="J54" s="126"/>
      <c r="K54" s="126"/>
      <c r="L54" s="126"/>
      <c r="M54" s="126"/>
      <c r="N54" s="367"/>
      <c r="O54" s="367"/>
      <c r="P54" s="367"/>
      <c r="Q54" s="367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</row>
    <row r="55" spans="1:44">
      <c r="A55" s="165" t="s">
        <v>239</v>
      </c>
      <c r="B55" s="60"/>
      <c r="C55" s="60"/>
      <c r="D55" s="60"/>
      <c r="E55" s="126"/>
      <c r="F55" s="126"/>
      <c r="G55" s="126"/>
      <c r="H55" s="60"/>
      <c r="I55" s="126"/>
      <c r="J55" s="126"/>
      <c r="K55" s="126"/>
      <c r="L55" s="126"/>
      <c r="M55" s="126"/>
      <c r="N55" s="367"/>
      <c r="O55" s="367"/>
      <c r="P55" s="367"/>
      <c r="Q55" s="367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</row>
    <row r="56" spans="1:44">
      <c r="A56" s="165" t="s">
        <v>240</v>
      </c>
      <c r="B56" s="72" t="s">
        <v>36</v>
      </c>
      <c r="C56" s="72" t="s">
        <v>241</v>
      </c>
      <c r="D56" s="60"/>
      <c r="E56" s="175"/>
      <c r="F56" s="175">
        <v>1.0526315789473679</v>
      </c>
      <c r="G56" s="175">
        <v>1.0526315789473679</v>
      </c>
      <c r="H56" s="60"/>
      <c r="I56" s="175">
        <v>1.0526315789473679</v>
      </c>
      <c r="J56" s="175">
        <f>1/(1-'c12_inputs'!$E$7)</f>
        <v>1.0526315789473684</v>
      </c>
      <c r="K56" s="175">
        <f>1/(1-'c12_inputs'!$E$7)</f>
        <v>1.0526315789473684</v>
      </c>
      <c r="L56" s="175">
        <f>1/(1-'c12_inputs'!$E$7)</f>
        <v>1.0526315789473684</v>
      </c>
      <c r="M56" s="175">
        <f>1/(1-'c12_inputs'!$E$7)</f>
        <v>1.0526315789473684</v>
      </c>
      <c r="N56" s="374">
        <f>1/(1-'c12_inputs'!$E$7)</f>
        <v>1.0526315789473684</v>
      </c>
      <c r="O56" s="375">
        <f>1/(1-'c12_inputs'!$E$7)</f>
        <v>1.0526315789473684</v>
      </c>
      <c r="P56" s="375">
        <f>1/(1-'c12_inputs'!$E$7)</f>
        <v>1.0526315789473684</v>
      </c>
      <c r="Q56" s="375">
        <f>1/(1-'c12_inputs'!$E$7)</f>
        <v>1.0526315789473684</v>
      </c>
      <c r="R56" s="60"/>
      <c r="S56" s="60"/>
      <c r="T56" s="110"/>
      <c r="U56" s="110"/>
      <c r="V56" s="110"/>
      <c r="W56" s="110"/>
      <c r="X56" s="110"/>
      <c r="Y56" s="11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</row>
    <row r="57" spans="1:44">
      <c r="A57" s="165" t="s">
        <v>242</v>
      </c>
      <c r="B57" s="209" t="s">
        <v>39</v>
      </c>
      <c r="C57" s="72" t="s">
        <v>243</v>
      </c>
      <c r="D57" s="60"/>
      <c r="E57" s="118"/>
      <c r="F57" s="207">
        <v>0</v>
      </c>
      <c r="G57" s="207">
        <v>118080</v>
      </c>
      <c r="H57" s="60"/>
      <c r="I57" s="207">
        <v>0</v>
      </c>
      <c r="J57" s="207">
        <f t="shared" ref="J57:Q57" si="9">IF(AND((G57&lt;&gt;""),(J$2&lt;46204)),(G57),J78)</f>
        <v>118080</v>
      </c>
      <c r="K57" s="207">
        <f t="shared" si="9"/>
        <v>118079.99999999999</v>
      </c>
      <c r="L57" s="207">
        <f t="shared" si="9"/>
        <v>226080</v>
      </c>
      <c r="M57" s="207">
        <f t="shared" si="9"/>
        <v>314395</v>
      </c>
      <c r="N57" s="376">
        <f t="shared" si="9"/>
        <v>314395</v>
      </c>
      <c r="O57" s="342">
        <f t="shared" si="9"/>
        <v>314395</v>
      </c>
      <c r="P57" s="342">
        <f t="shared" si="9"/>
        <v>314395</v>
      </c>
      <c r="Q57" s="342">
        <f t="shared" si="9"/>
        <v>314395</v>
      </c>
      <c r="R57" s="60"/>
      <c r="S57" s="60"/>
      <c r="T57" s="110"/>
      <c r="U57" s="110"/>
      <c r="V57" s="110"/>
      <c r="W57" s="110"/>
      <c r="X57" s="110"/>
      <c r="Y57" s="11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</row>
    <row r="58" spans="1:44" s="11" customFormat="1">
      <c r="A58" s="169" t="s">
        <v>316</v>
      </c>
      <c r="B58" s="157" t="s">
        <v>36</v>
      </c>
      <c r="C58" s="155" t="s">
        <v>245</v>
      </c>
      <c r="D58" s="61"/>
      <c r="E58" s="126"/>
      <c r="F58" s="126">
        <v>0</v>
      </c>
      <c r="G58" s="126">
        <v>124294.73684210519</v>
      </c>
      <c r="H58" s="60"/>
      <c r="I58" s="126">
        <v>0</v>
      </c>
      <c r="J58" s="126">
        <f t="shared" ref="J58:Q58" si="10">J57*J56</f>
        <v>124294.73684210525</v>
      </c>
      <c r="K58" s="126">
        <f t="shared" si="10"/>
        <v>124294.73684210524</v>
      </c>
      <c r="L58" s="126">
        <f t="shared" si="10"/>
        <v>237978.94736842104</v>
      </c>
      <c r="M58" s="126">
        <f t="shared" si="10"/>
        <v>330942.10526315786</v>
      </c>
      <c r="N58" s="366">
        <f t="shared" si="10"/>
        <v>330942.10526315786</v>
      </c>
      <c r="O58" s="367">
        <f t="shared" si="10"/>
        <v>330942.10526315786</v>
      </c>
      <c r="P58" s="367">
        <f t="shared" si="10"/>
        <v>330942.10526315786</v>
      </c>
      <c r="Q58" s="367">
        <f t="shared" si="10"/>
        <v>330942.10526315786</v>
      </c>
      <c r="R58" s="60"/>
      <c r="S58" s="60"/>
      <c r="T58" s="60"/>
      <c r="U58" s="60"/>
      <c r="V58" s="60"/>
      <c r="W58" s="60"/>
      <c r="X58" s="60"/>
      <c r="Y58" s="104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</row>
    <row r="59" spans="1:44" s="11" customFormat="1">
      <c r="A59" s="162"/>
      <c r="B59" s="61"/>
      <c r="C59" s="62"/>
      <c r="D59" s="61"/>
      <c r="E59" s="126"/>
      <c r="F59" s="126"/>
      <c r="G59" s="126"/>
      <c r="H59" s="60"/>
      <c r="I59" s="126"/>
      <c r="J59" s="126"/>
      <c r="K59" s="126"/>
      <c r="L59" s="126"/>
      <c r="M59" s="126"/>
      <c r="N59" s="366"/>
      <c r="O59" s="367"/>
      <c r="P59" s="367"/>
      <c r="Q59" s="367"/>
      <c r="R59" s="60"/>
      <c r="S59" s="60"/>
      <c r="T59" s="60"/>
      <c r="U59" s="60"/>
      <c r="V59" s="60"/>
      <c r="W59" s="60"/>
      <c r="X59" s="60"/>
      <c r="Y59" s="104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</row>
    <row r="60" spans="1:44" s="11" customFormat="1">
      <c r="A60" s="169" t="s">
        <v>317</v>
      </c>
      <c r="B60" s="157" t="s">
        <v>39</v>
      </c>
      <c r="C60" s="155" t="s">
        <v>318</v>
      </c>
      <c r="D60" s="61"/>
      <c r="E60" s="126"/>
      <c r="F60" s="179">
        <v>0</v>
      </c>
      <c r="G60" s="179">
        <v>154294.73684210519</v>
      </c>
      <c r="H60" s="60"/>
      <c r="I60" s="179">
        <v>0</v>
      </c>
      <c r="J60" s="179">
        <f t="shared" ref="J60:Q60" si="11">+J53+J32+J58</f>
        <v>154294.73684210525</v>
      </c>
      <c r="K60" s="179">
        <f t="shared" si="11"/>
        <v>154294.73684210522</v>
      </c>
      <c r="L60" s="179">
        <f t="shared" si="11"/>
        <v>267978.94736842101</v>
      </c>
      <c r="M60" s="179">
        <f t="shared" si="11"/>
        <v>360942.10526315786</v>
      </c>
      <c r="N60" s="379">
        <f t="shared" si="11"/>
        <v>360942.10526315786</v>
      </c>
      <c r="O60" s="379">
        <f t="shared" si="11"/>
        <v>360942.10526315786</v>
      </c>
      <c r="P60" s="379">
        <f t="shared" si="11"/>
        <v>360942.10526315786</v>
      </c>
      <c r="Q60" s="379">
        <f t="shared" si="11"/>
        <v>360942.10526315786</v>
      </c>
      <c r="R60" s="60"/>
      <c r="S60" s="60"/>
      <c r="T60" s="60"/>
      <c r="U60" s="60"/>
      <c r="V60" s="60"/>
      <c r="W60" s="60"/>
      <c r="X60" s="60"/>
      <c r="Y60" s="104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</row>
    <row r="61" spans="1:44">
      <c r="A61" s="178"/>
      <c r="B61" s="60"/>
      <c r="C61" s="60"/>
      <c r="D61" s="60"/>
      <c r="E61" s="126"/>
      <c r="F61" s="126"/>
      <c r="G61" s="126"/>
      <c r="H61" s="60"/>
      <c r="I61" s="126"/>
      <c r="J61" s="126"/>
      <c r="K61" s="126"/>
      <c r="L61" s="126"/>
      <c r="M61" s="126"/>
      <c r="N61" s="367"/>
      <c r="O61" s="367"/>
      <c r="P61" s="367"/>
      <c r="Q61" s="367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</row>
    <row r="62" spans="1:44">
      <c r="A62" s="169" t="s">
        <v>248</v>
      </c>
      <c r="B62" s="72" t="s">
        <v>39</v>
      </c>
      <c r="C62" s="72" t="s">
        <v>249</v>
      </c>
      <c r="D62" s="60"/>
      <c r="E62" s="126"/>
      <c r="F62" s="179">
        <v>0</v>
      </c>
      <c r="G62" s="179">
        <v>0</v>
      </c>
      <c r="H62" s="60"/>
      <c r="I62" s="179">
        <v>0</v>
      </c>
      <c r="J62" s="179">
        <f t="shared" ref="J62:Q62" si="12">+J29+J50</f>
        <v>0</v>
      </c>
      <c r="K62" s="179">
        <f t="shared" si="12"/>
        <v>0</v>
      </c>
      <c r="L62" s="179">
        <f t="shared" si="12"/>
        <v>0</v>
      </c>
      <c r="M62" s="179">
        <f t="shared" si="12"/>
        <v>0</v>
      </c>
      <c r="N62" s="378">
        <f t="shared" si="12"/>
        <v>0</v>
      </c>
      <c r="O62" s="379">
        <f t="shared" si="12"/>
        <v>0</v>
      </c>
      <c r="P62" s="379">
        <f t="shared" si="12"/>
        <v>0</v>
      </c>
      <c r="Q62" s="379">
        <f t="shared" si="12"/>
        <v>0</v>
      </c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</row>
    <row r="63" spans="1:44" ht="15" customHeight="1">
      <c r="A63" s="60"/>
      <c r="B63" s="60"/>
      <c r="C63" s="60"/>
      <c r="D63" s="60"/>
      <c r="E63" s="126"/>
      <c r="F63" s="126"/>
      <c r="G63" s="126"/>
      <c r="H63" s="60"/>
      <c r="I63" s="126"/>
      <c r="J63" s="126"/>
      <c r="K63" s="126"/>
      <c r="L63" s="126"/>
      <c r="M63" s="126"/>
      <c r="N63" s="366"/>
      <c r="O63" s="367"/>
      <c r="P63" s="367"/>
      <c r="Q63" s="367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</row>
    <row r="64" spans="1:44" ht="15" customHeight="1">
      <c r="A64" s="165" t="s">
        <v>250</v>
      </c>
      <c r="B64" s="72" t="s">
        <v>36</v>
      </c>
      <c r="C64" s="72" t="s">
        <v>251</v>
      </c>
      <c r="D64" s="60"/>
      <c r="E64" s="146"/>
      <c r="F64" s="146">
        <v>0.35</v>
      </c>
      <c r="G64" s="146">
        <v>0.35</v>
      </c>
      <c r="H64" s="60"/>
      <c r="I64" s="146">
        <v>0.35</v>
      </c>
      <c r="J64" s="146">
        <f>'c12_inputs'!$E$8</f>
        <v>0.35</v>
      </c>
      <c r="K64" s="146">
        <f>'c12_inputs'!$E$8</f>
        <v>0.35</v>
      </c>
      <c r="L64" s="146">
        <f>'c12_inputs'!$E$8</f>
        <v>0.35</v>
      </c>
      <c r="M64" s="146">
        <f>'c12_inputs'!$E$8</f>
        <v>0.35</v>
      </c>
      <c r="N64" s="380">
        <f>'c12_inputs'!$E$8</f>
        <v>0.35</v>
      </c>
      <c r="O64" s="320">
        <f>'c12_inputs'!$E$8</f>
        <v>0.35</v>
      </c>
      <c r="P64" s="320">
        <f>'c12_inputs'!$E$8</f>
        <v>0.35</v>
      </c>
      <c r="Q64" s="320">
        <f>'c12_inputs'!$E$8</f>
        <v>0.35</v>
      </c>
      <c r="R64" s="60"/>
      <c r="S64" s="60"/>
      <c r="T64" s="110"/>
      <c r="U64" s="110"/>
      <c r="V64" s="110"/>
      <c r="W64" s="110"/>
      <c r="X64" s="110"/>
      <c r="Y64" s="11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</row>
    <row r="65" spans="1:44" s="48" customFormat="1" ht="15" customHeight="1">
      <c r="A65" s="165" t="s">
        <v>252</v>
      </c>
      <c r="B65" s="157" t="s">
        <v>7</v>
      </c>
      <c r="C65" s="155" t="s">
        <v>253</v>
      </c>
      <c r="D65" s="61"/>
      <c r="E65" s="146"/>
      <c r="F65" s="76">
        <v>0.15</v>
      </c>
      <c r="G65" s="76">
        <v>0</v>
      </c>
      <c r="H65" s="60"/>
      <c r="I65" s="76">
        <v>0.15</v>
      </c>
      <c r="J65" s="76">
        <v>0</v>
      </c>
      <c r="K65" s="76">
        <v>0</v>
      </c>
      <c r="L65" s="76">
        <v>0</v>
      </c>
      <c r="M65" s="76">
        <v>0</v>
      </c>
      <c r="N65" s="381">
        <v>0</v>
      </c>
      <c r="O65" s="382">
        <v>0</v>
      </c>
      <c r="P65" s="382">
        <v>0</v>
      </c>
      <c r="Q65" s="382">
        <v>0</v>
      </c>
      <c r="R65" s="60"/>
      <c r="S65" s="60"/>
      <c r="T65" s="110"/>
      <c r="U65" s="110"/>
      <c r="V65" s="110"/>
      <c r="W65" s="110"/>
      <c r="X65" s="110"/>
      <c r="Y65" s="11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</row>
    <row r="66" spans="1:44" s="48" customFormat="1" ht="15" customHeight="1">
      <c r="A66" s="165" t="s">
        <v>254</v>
      </c>
      <c r="B66" s="157" t="s">
        <v>7</v>
      </c>
      <c r="C66" s="155" t="s">
        <v>255</v>
      </c>
      <c r="D66" s="61"/>
      <c r="E66" s="146"/>
      <c r="F66" s="76">
        <v>0.15</v>
      </c>
      <c r="G66" s="76">
        <v>0.15</v>
      </c>
      <c r="H66" s="60"/>
      <c r="I66" s="76">
        <v>0.15</v>
      </c>
      <c r="J66" s="76">
        <v>0.15</v>
      </c>
      <c r="K66" s="76">
        <v>0.15</v>
      </c>
      <c r="L66" s="76">
        <v>0.15</v>
      </c>
      <c r="M66" s="76">
        <v>0.15</v>
      </c>
      <c r="N66" s="381">
        <v>0.15</v>
      </c>
      <c r="O66" s="382">
        <v>0.15</v>
      </c>
      <c r="P66" s="382">
        <v>0.15</v>
      </c>
      <c r="Q66" s="382">
        <v>0.15</v>
      </c>
      <c r="R66" s="60"/>
      <c r="S66" s="60"/>
      <c r="T66" s="110"/>
      <c r="U66" s="110"/>
      <c r="V66" s="110"/>
      <c r="W66" s="110"/>
      <c r="X66" s="110"/>
      <c r="Y66" s="11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</row>
    <row r="67" spans="1:44" s="11" customFormat="1">
      <c r="A67" s="165" t="s">
        <v>256</v>
      </c>
      <c r="B67" s="157" t="s">
        <v>36</v>
      </c>
      <c r="C67" s="155" t="s">
        <v>257</v>
      </c>
      <c r="D67" s="61"/>
      <c r="E67" s="180"/>
      <c r="F67" s="180">
        <v>0.05</v>
      </c>
      <c r="G67" s="180">
        <v>0.05</v>
      </c>
      <c r="H67" s="60"/>
      <c r="I67" s="180">
        <v>0.05</v>
      </c>
      <c r="J67" s="180">
        <f>'c12_inputs'!$E$7</f>
        <v>0.05</v>
      </c>
      <c r="K67" s="180">
        <f>'c12_inputs'!$E$7</f>
        <v>0.05</v>
      </c>
      <c r="L67" s="180">
        <f>'c12_inputs'!$E$7</f>
        <v>0.05</v>
      </c>
      <c r="M67" s="180">
        <f>'c12_inputs'!$E$7</f>
        <v>0.05</v>
      </c>
      <c r="N67" s="383">
        <f>'c12_inputs'!$E$7</f>
        <v>0.05</v>
      </c>
      <c r="O67" s="383">
        <f>'c12_inputs'!$E$7</f>
        <v>0.05</v>
      </c>
      <c r="P67" s="383">
        <f>'c12_inputs'!$E$7</f>
        <v>0.05</v>
      </c>
      <c r="Q67" s="383">
        <f>'c12_inputs'!$E$7</f>
        <v>0.05</v>
      </c>
      <c r="R67" s="60"/>
      <c r="S67" s="60"/>
      <c r="T67" s="60"/>
      <c r="U67" s="60"/>
      <c r="V67" s="118"/>
      <c r="W67" s="118"/>
      <c r="X67" s="118"/>
      <c r="Y67" s="118"/>
      <c r="Z67" s="118"/>
      <c r="AA67" s="118"/>
      <c r="AB67" s="118"/>
      <c r="AC67" s="60"/>
      <c r="AD67" s="118"/>
      <c r="AE67" s="118"/>
      <c r="AF67" s="118"/>
      <c r="AG67" s="118"/>
      <c r="AH67" s="118"/>
      <c r="AI67" s="118"/>
      <c r="AJ67" s="118"/>
      <c r="AK67" s="60"/>
      <c r="AL67" s="60"/>
      <c r="AM67" s="60"/>
      <c r="AN67" s="60"/>
      <c r="AO67" s="60"/>
      <c r="AP67" s="60"/>
      <c r="AQ67" s="60"/>
      <c r="AR67" s="60"/>
    </row>
    <row r="68" spans="1:44">
      <c r="A68" s="165" t="s">
        <v>258</v>
      </c>
      <c r="B68" s="72" t="s">
        <v>36</v>
      </c>
      <c r="C68" s="72" t="s">
        <v>259</v>
      </c>
      <c r="D68" s="60"/>
      <c r="E68" s="126"/>
      <c r="F68" s="126">
        <v>0</v>
      </c>
      <c r="G68" s="126">
        <v>10500</v>
      </c>
      <c r="H68" s="60"/>
      <c r="I68" s="126">
        <v>0</v>
      </c>
      <c r="J68" s="126">
        <f t="shared" ref="J68:Q68" si="13">(J64+J65)*(J32+J52)+(J64+J66)*(J49+J29)</f>
        <v>10500</v>
      </c>
      <c r="K68" s="126">
        <f t="shared" si="13"/>
        <v>10500</v>
      </c>
      <c r="L68" s="126">
        <f t="shared" si="13"/>
        <v>10500</v>
      </c>
      <c r="M68" s="126">
        <f t="shared" si="13"/>
        <v>10500</v>
      </c>
      <c r="N68" s="384">
        <f t="shared" si="13"/>
        <v>10500</v>
      </c>
      <c r="O68" s="367">
        <f t="shared" si="13"/>
        <v>10500</v>
      </c>
      <c r="P68" s="367">
        <f t="shared" si="13"/>
        <v>10500</v>
      </c>
      <c r="Q68" s="367">
        <f t="shared" si="13"/>
        <v>10500</v>
      </c>
      <c r="R68" s="60"/>
      <c r="S68" s="60"/>
      <c r="T68" s="110"/>
      <c r="U68" s="110"/>
      <c r="V68" s="110"/>
      <c r="W68" s="110"/>
      <c r="X68" s="110"/>
      <c r="Y68" s="11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</row>
    <row r="69" spans="1:44">
      <c r="A69" s="165" t="s">
        <v>319</v>
      </c>
      <c r="B69" s="72" t="s">
        <v>36</v>
      </c>
      <c r="C69" s="72" t="s">
        <v>261</v>
      </c>
      <c r="D69" s="60"/>
      <c r="E69" s="126"/>
      <c r="F69" s="126">
        <v>0</v>
      </c>
      <c r="G69" s="126">
        <v>6214.7368421052624</v>
      </c>
      <c r="H69" s="60"/>
      <c r="I69" s="126">
        <v>0</v>
      </c>
      <c r="J69" s="126">
        <f t="shared" ref="J69:Q69" si="14">J58*J67</f>
        <v>6214.7368421052633</v>
      </c>
      <c r="K69" s="126">
        <f t="shared" si="14"/>
        <v>6214.7368421052624</v>
      </c>
      <c r="L69" s="126">
        <f t="shared" si="14"/>
        <v>11898.947368421053</v>
      </c>
      <c r="M69" s="126">
        <f t="shared" si="14"/>
        <v>16547.105263157893</v>
      </c>
      <c r="N69" s="366">
        <f t="shared" si="14"/>
        <v>16547.105263157893</v>
      </c>
      <c r="O69" s="367">
        <f t="shared" si="14"/>
        <v>16547.105263157893</v>
      </c>
      <c r="P69" s="367">
        <f t="shared" si="14"/>
        <v>16547.105263157893</v>
      </c>
      <c r="Q69" s="367">
        <f t="shared" si="14"/>
        <v>16547.105263157893</v>
      </c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</row>
    <row r="70" spans="1:44">
      <c r="A70" s="169" t="s">
        <v>320</v>
      </c>
      <c r="B70" s="72" t="s">
        <v>39</v>
      </c>
      <c r="C70" s="72" t="s">
        <v>321</v>
      </c>
      <c r="D70" s="60"/>
      <c r="E70" s="126"/>
      <c r="F70" s="179">
        <v>0</v>
      </c>
      <c r="G70" s="179">
        <v>16714.73684210526</v>
      </c>
      <c r="H70" s="60"/>
      <c r="I70" s="179">
        <v>0</v>
      </c>
      <c r="J70" s="179">
        <f t="shared" ref="J70:Q70" si="15">J69+J68</f>
        <v>16714.736842105263</v>
      </c>
      <c r="K70" s="179">
        <f t="shared" si="15"/>
        <v>16714.736842105263</v>
      </c>
      <c r="L70" s="179">
        <f t="shared" si="15"/>
        <v>22398.947368421053</v>
      </c>
      <c r="M70" s="179">
        <f t="shared" si="15"/>
        <v>27047.105263157893</v>
      </c>
      <c r="N70" s="387">
        <f t="shared" si="15"/>
        <v>27047.105263157893</v>
      </c>
      <c r="O70" s="379">
        <f t="shared" si="15"/>
        <v>27047.105263157893</v>
      </c>
      <c r="P70" s="379">
        <f t="shared" si="15"/>
        <v>27047.105263157893</v>
      </c>
      <c r="Q70" s="379">
        <f t="shared" si="15"/>
        <v>27047.105263157893</v>
      </c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</row>
    <row r="71" spans="1:44">
      <c r="A71" s="60"/>
      <c r="B71" s="60"/>
      <c r="C71" s="60"/>
      <c r="D71" s="60"/>
      <c r="E71" s="126"/>
      <c r="F71" s="126"/>
      <c r="G71" s="126"/>
      <c r="H71" s="60"/>
      <c r="I71" s="126"/>
      <c r="J71" s="126"/>
      <c r="K71" s="126"/>
      <c r="L71" s="126"/>
      <c r="M71" s="126"/>
      <c r="N71" s="366"/>
      <c r="O71" s="367"/>
      <c r="P71" s="367"/>
      <c r="Q71" s="367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</row>
    <row r="72" spans="1:44" s="11" customFormat="1">
      <c r="A72" s="165" t="s">
        <v>264</v>
      </c>
      <c r="B72" s="157" t="s">
        <v>36</v>
      </c>
      <c r="C72" s="155" t="s">
        <v>265</v>
      </c>
      <c r="D72" s="61"/>
      <c r="E72" s="126"/>
      <c r="F72" s="126">
        <v>0</v>
      </c>
      <c r="G72" s="126">
        <v>0</v>
      </c>
      <c r="H72" s="60"/>
      <c r="I72" s="126">
        <v>0</v>
      </c>
      <c r="J72" s="126">
        <f t="shared" ref="J72:Q72" si="16">-(J64+J65)*(J27+J48)</f>
        <v>0</v>
      </c>
      <c r="K72" s="126">
        <f t="shared" si="16"/>
        <v>0</v>
      </c>
      <c r="L72" s="126">
        <f t="shared" si="16"/>
        <v>0</v>
      </c>
      <c r="M72" s="126">
        <f t="shared" si="16"/>
        <v>0</v>
      </c>
      <c r="N72" s="367">
        <f t="shared" si="16"/>
        <v>0</v>
      </c>
      <c r="O72" s="367">
        <f t="shared" si="16"/>
        <v>0</v>
      </c>
      <c r="P72" s="367">
        <f t="shared" si="16"/>
        <v>0</v>
      </c>
      <c r="Q72" s="367">
        <f t="shared" si="16"/>
        <v>0</v>
      </c>
      <c r="R72" s="60"/>
      <c r="S72" s="60"/>
      <c r="T72" s="60"/>
      <c r="U72" s="60"/>
      <c r="V72" s="118"/>
      <c r="W72" s="118"/>
      <c r="X72" s="118"/>
      <c r="Y72" s="118"/>
      <c r="Z72" s="118"/>
      <c r="AA72" s="118"/>
      <c r="AB72" s="118"/>
      <c r="AC72" s="60"/>
      <c r="AD72" s="118"/>
      <c r="AE72" s="118"/>
      <c r="AF72" s="118"/>
      <c r="AG72" s="118"/>
      <c r="AH72" s="118"/>
      <c r="AI72" s="118"/>
      <c r="AJ72" s="118"/>
      <c r="AK72" s="60"/>
      <c r="AL72" s="60"/>
      <c r="AM72" s="60"/>
      <c r="AN72" s="60"/>
      <c r="AO72" s="60"/>
      <c r="AP72" s="60"/>
      <c r="AQ72" s="60"/>
      <c r="AR72" s="60"/>
    </row>
    <row r="73" spans="1:44" s="11" customFormat="1">
      <c r="A73" s="165" t="s">
        <v>266</v>
      </c>
      <c r="B73" s="157" t="s">
        <v>36</v>
      </c>
      <c r="C73" s="155" t="s">
        <v>267</v>
      </c>
      <c r="D73" s="61"/>
      <c r="E73" s="126"/>
      <c r="F73" s="126">
        <v>0</v>
      </c>
      <c r="G73" s="126">
        <v>0</v>
      </c>
      <c r="H73" s="60"/>
      <c r="I73" s="126">
        <v>0</v>
      </c>
      <c r="J73" s="126">
        <f t="shared" ref="J73:Q73" si="17">-(J64+J66)*(J28+J49)</f>
        <v>0</v>
      </c>
      <c r="K73" s="126">
        <f t="shared" si="17"/>
        <v>0</v>
      </c>
      <c r="L73" s="126">
        <f t="shared" si="17"/>
        <v>0</v>
      </c>
      <c r="M73" s="126">
        <f t="shared" si="17"/>
        <v>0</v>
      </c>
      <c r="N73" s="367">
        <f t="shared" si="17"/>
        <v>0</v>
      </c>
      <c r="O73" s="367">
        <f t="shared" si="17"/>
        <v>0</v>
      </c>
      <c r="P73" s="367">
        <f t="shared" si="17"/>
        <v>0</v>
      </c>
      <c r="Q73" s="367">
        <f t="shared" si="17"/>
        <v>0</v>
      </c>
      <c r="R73" s="60"/>
      <c r="S73" s="60"/>
      <c r="T73" s="60"/>
      <c r="U73" s="60"/>
      <c r="V73" s="118"/>
      <c r="W73" s="118"/>
      <c r="X73" s="118"/>
      <c r="Y73" s="118"/>
      <c r="Z73" s="118"/>
      <c r="AA73" s="118"/>
      <c r="AB73" s="118"/>
      <c r="AC73" s="60"/>
      <c r="AD73" s="118"/>
      <c r="AE73" s="118"/>
      <c r="AF73" s="118"/>
      <c r="AG73" s="118"/>
      <c r="AH73" s="118"/>
      <c r="AI73" s="118"/>
      <c r="AJ73" s="118"/>
      <c r="AK73" s="60"/>
      <c r="AL73" s="60"/>
      <c r="AM73" s="60"/>
      <c r="AN73" s="60"/>
      <c r="AO73" s="60"/>
      <c r="AP73" s="60"/>
      <c r="AQ73" s="60"/>
      <c r="AR73" s="60"/>
    </row>
    <row r="74" spans="1:44">
      <c r="A74" s="165" t="s">
        <v>268</v>
      </c>
      <c r="B74" s="209" t="s">
        <v>39</v>
      </c>
      <c r="C74" s="72" t="s">
        <v>269</v>
      </c>
      <c r="D74" s="60"/>
      <c r="E74" s="126"/>
      <c r="F74" s="168">
        <v>0</v>
      </c>
      <c r="G74" s="168">
        <v>0</v>
      </c>
      <c r="H74" s="60"/>
      <c r="I74" s="168">
        <v>0</v>
      </c>
      <c r="J74" s="168">
        <f t="shared" ref="J74:Q74" si="18">SUM(J72:J73)+I74</f>
        <v>0</v>
      </c>
      <c r="K74" s="168">
        <f t="shared" si="18"/>
        <v>0</v>
      </c>
      <c r="L74" s="168">
        <f t="shared" si="18"/>
        <v>0</v>
      </c>
      <c r="M74" s="168">
        <f t="shared" si="18"/>
        <v>0</v>
      </c>
      <c r="N74" s="364">
        <f t="shared" si="18"/>
        <v>0</v>
      </c>
      <c r="O74" s="365">
        <f t="shared" si="18"/>
        <v>0</v>
      </c>
      <c r="P74" s="365">
        <f t="shared" si="18"/>
        <v>0</v>
      </c>
      <c r="Q74" s="365">
        <f t="shared" si="18"/>
        <v>0</v>
      </c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</row>
    <row r="75" spans="1:44">
      <c r="A75" s="60"/>
      <c r="B75" s="60"/>
      <c r="C75" s="60"/>
      <c r="D75" s="60"/>
      <c r="E75" s="126"/>
      <c r="F75" s="126"/>
      <c r="G75" s="126"/>
      <c r="H75" s="60"/>
      <c r="I75" s="126"/>
      <c r="J75" s="126"/>
      <c r="K75" s="126"/>
      <c r="L75" s="126"/>
      <c r="M75" s="126"/>
      <c r="N75" s="366"/>
      <c r="O75" s="367"/>
      <c r="P75" s="367"/>
      <c r="Q75" s="367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</row>
    <row r="76" spans="1:44">
      <c r="A76" s="165" t="s">
        <v>270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321"/>
      <c r="O76" s="321"/>
      <c r="P76" s="321"/>
      <c r="Q76" s="321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</row>
    <row r="77" spans="1:44" s="11" customFormat="1" ht="14.65" customHeight="1">
      <c r="A77" s="134" t="s">
        <v>38</v>
      </c>
      <c r="B77" s="157" t="s">
        <v>36</v>
      </c>
      <c r="C77" s="155" t="s">
        <v>40</v>
      </c>
      <c r="D77" s="61"/>
      <c r="E77" s="118"/>
      <c r="F77" s="118">
        <v>602497.5</v>
      </c>
      <c r="G77" s="118">
        <v>296640</v>
      </c>
      <c r="H77" s="60"/>
      <c r="I77" s="118">
        <v>602497.5</v>
      </c>
      <c r="J77" s="118">
        <f>'.c12_bi&amp;f_hr'!J48</f>
        <v>296640</v>
      </c>
      <c r="K77" s="118">
        <f>'.c12_bi&amp;f_hr'!K48</f>
        <v>477677.14285714284</v>
      </c>
      <c r="L77" s="118">
        <f>'.c12_bi&amp;f_hr'!L48</f>
        <v>672077.14285714284</v>
      </c>
      <c r="M77" s="118">
        <f>'.c12_bi&amp;f_hr'!M48</f>
        <v>1173394.6428571427</v>
      </c>
      <c r="N77" s="319">
        <f>'.c12_bi&amp;f_hr'!N48</f>
        <v>1173394.6428571427</v>
      </c>
      <c r="O77" s="319">
        <f>'.c12_bi&amp;f_hr'!O48</f>
        <v>1173394.6428571427</v>
      </c>
      <c r="P77" s="319">
        <f>'.c12_bi&amp;f_hr'!P48</f>
        <v>1173394.6428571427</v>
      </c>
      <c r="Q77" s="319">
        <f>'.c12_bi&amp;f_hr'!Q48</f>
        <v>1173394.6428571427</v>
      </c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</row>
    <row r="78" spans="1:44" s="11" customFormat="1">
      <c r="A78" s="134" t="s">
        <v>41</v>
      </c>
      <c r="B78" s="157" t="s">
        <v>39</v>
      </c>
      <c r="C78" s="155" t="s">
        <v>42</v>
      </c>
      <c r="D78" s="61"/>
      <c r="E78" s="118"/>
      <c r="F78" s="181">
        <v>154162.5</v>
      </c>
      <c r="G78" s="181">
        <v>118080</v>
      </c>
      <c r="H78" s="60"/>
      <c r="I78" s="181">
        <v>154162.5</v>
      </c>
      <c r="J78" s="181">
        <f>'.c12_bi&amp;f_hr'!J49</f>
        <v>118079.99999999999</v>
      </c>
      <c r="K78" s="181">
        <f>'.c12_bi&amp;f_hr'!K49</f>
        <v>118079.99999999999</v>
      </c>
      <c r="L78" s="181">
        <f>'.c12_bi&amp;f_hr'!L49</f>
        <v>226080</v>
      </c>
      <c r="M78" s="181">
        <f>'.c12_bi&amp;f_hr'!M49</f>
        <v>314395</v>
      </c>
      <c r="N78" s="386">
        <f>'.c12_bi&amp;f_hr'!N49</f>
        <v>314395</v>
      </c>
      <c r="O78" s="386">
        <f>'.c12_bi&amp;f_hr'!O49</f>
        <v>314395</v>
      </c>
      <c r="P78" s="386">
        <f>'.c12_bi&amp;f_hr'!P49</f>
        <v>314395</v>
      </c>
      <c r="Q78" s="386">
        <f>'.c12_bi&amp;f_hr'!Q49</f>
        <v>314395</v>
      </c>
      <c r="R78" s="60"/>
      <c r="S78" s="60"/>
      <c r="T78" s="60"/>
      <c r="U78" s="60"/>
      <c r="V78" s="60"/>
      <c r="W78" s="60"/>
      <c r="X78" s="60"/>
      <c r="Y78" s="104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</row>
    <row r="79" spans="1:44" s="11" customFormat="1">
      <c r="A79" s="134" t="s">
        <v>43</v>
      </c>
      <c r="B79" s="157" t="s">
        <v>39</v>
      </c>
      <c r="C79" s="155" t="s">
        <v>44</v>
      </c>
      <c r="D79" s="61"/>
      <c r="E79" s="118"/>
      <c r="F79" s="181">
        <v>448334.99999999988</v>
      </c>
      <c r="G79" s="181">
        <v>178560</v>
      </c>
      <c r="H79" s="60"/>
      <c r="I79" s="181">
        <v>448334.99999999988</v>
      </c>
      <c r="J79" s="181">
        <f>'.c12_bi&amp;f_hr'!J50</f>
        <v>178559.99999999997</v>
      </c>
      <c r="K79" s="181">
        <f>'.c12_bi&amp;f_hr'!K50</f>
        <v>359597.14285714284</v>
      </c>
      <c r="L79" s="181">
        <f>'.c12_bi&amp;f_hr'!L50</f>
        <v>445997.14285714284</v>
      </c>
      <c r="M79" s="181">
        <f>'.c12_bi&amp;f_hr'!M50</f>
        <v>858999.64285714284</v>
      </c>
      <c r="N79" s="386">
        <f>'.c12_bi&amp;f_hr'!N50</f>
        <v>858999.64285714284</v>
      </c>
      <c r="O79" s="386">
        <f>'.c12_bi&amp;f_hr'!O50</f>
        <v>858999.64285714284</v>
      </c>
      <c r="P79" s="386">
        <f>'.c12_bi&amp;f_hr'!P50</f>
        <v>858999.64285714284</v>
      </c>
      <c r="Q79" s="386">
        <f>'.c12_bi&amp;f_hr'!Q50</f>
        <v>858999.64285714284</v>
      </c>
      <c r="R79" s="60"/>
      <c r="S79" s="60"/>
      <c r="T79" s="60"/>
      <c r="U79" s="60"/>
      <c r="V79" s="60"/>
      <c r="W79" s="60"/>
      <c r="X79" s="60"/>
      <c r="Y79" s="104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</row>
    <row r="80" spans="1:44" s="11" customFormat="1">
      <c r="A80" s="134" t="s">
        <v>45</v>
      </c>
      <c r="B80" s="157" t="s">
        <v>36</v>
      </c>
      <c r="C80" s="155" t="s">
        <v>46</v>
      </c>
      <c r="D80" s="61"/>
      <c r="E80" s="118"/>
      <c r="F80" s="118">
        <v>0</v>
      </c>
      <c r="G80" s="118">
        <v>0</v>
      </c>
      <c r="H80" s="60"/>
      <c r="I80" s="118">
        <v>0</v>
      </c>
      <c r="J80" s="118">
        <f>'.c12_bi&amp;f_hr'!J51</f>
        <v>0</v>
      </c>
      <c r="K80" s="118">
        <f>'.c12_bi&amp;f_hr'!K51</f>
        <v>0</v>
      </c>
      <c r="L80" s="118">
        <f>'.c12_bi&amp;f_hr'!L51</f>
        <v>0</v>
      </c>
      <c r="M80" s="118">
        <f>'.c12_bi&amp;f_hr'!M51</f>
        <v>0</v>
      </c>
      <c r="N80" s="319">
        <f>'.c12_bi&amp;f_hr'!N51</f>
        <v>0</v>
      </c>
      <c r="O80" s="319">
        <f>'.c12_bi&amp;f_hr'!O51</f>
        <v>0</v>
      </c>
      <c r="P80" s="319">
        <f>'.c12_bi&amp;f_hr'!P51</f>
        <v>0</v>
      </c>
      <c r="Q80" s="319">
        <f>'.c12_bi&amp;f_hr'!Q51</f>
        <v>0</v>
      </c>
      <c r="R80" s="60"/>
      <c r="S80" s="60"/>
      <c r="T80" s="60"/>
      <c r="U80" s="60"/>
      <c r="V80" s="60"/>
      <c r="W80" s="60"/>
      <c r="X80" s="60"/>
      <c r="Y80" s="104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</row>
    <row r="81" spans="1:44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321"/>
      <c r="O81" s="321"/>
      <c r="P81" s="321"/>
      <c r="Q81" s="321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</row>
    <row r="82" spans="1:44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321"/>
      <c r="O82" s="321"/>
      <c r="P82" s="321"/>
      <c r="Q82" s="321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</row>
    <row r="83" spans="1:44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321"/>
      <c r="O83" s="321"/>
      <c r="P83" s="321"/>
      <c r="Q83" s="321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</row>
    <row r="84" spans="1:4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321"/>
      <c r="O84" s="321"/>
      <c r="P84" s="321"/>
      <c r="Q84" s="321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</row>
    <row r="85" spans="1:44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321"/>
      <c r="O85" s="321"/>
      <c r="P85" s="321"/>
      <c r="Q85" s="321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</row>
    <row r="86" spans="1:44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321"/>
      <c r="O86" s="321"/>
      <c r="P86" s="321"/>
      <c r="Q86" s="321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</row>
    <row r="87" spans="1:44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321"/>
      <c r="O87" s="321"/>
      <c r="P87" s="321"/>
      <c r="Q87" s="321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</row>
    <row r="88" spans="1:44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321"/>
      <c r="O88" s="321"/>
      <c r="P88" s="321"/>
      <c r="Q88" s="321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</row>
    <row r="89" spans="1:44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321"/>
      <c r="O89" s="321"/>
      <c r="P89" s="321"/>
      <c r="Q89" s="321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</row>
    <row r="90" spans="1:44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321"/>
      <c r="O90" s="321"/>
      <c r="P90" s="321"/>
      <c r="Q90" s="321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</row>
    <row r="91" spans="1:44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321"/>
      <c r="O91" s="321"/>
      <c r="P91" s="321"/>
      <c r="Q91" s="321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</row>
    <row r="92" spans="1:44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321"/>
      <c r="O92" s="321"/>
      <c r="P92" s="321"/>
      <c r="Q92" s="321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</row>
    <row r="93" spans="1:44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321"/>
      <c r="O93" s="321"/>
      <c r="P93" s="321"/>
      <c r="Q93" s="321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</row>
    <row r="94" spans="1:4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321"/>
      <c r="O94" s="321"/>
      <c r="P94" s="321"/>
      <c r="Q94" s="321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</row>
    <row r="95" spans="1:44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321"/>
      <c r="O95" s="321"/>
      <c r="P95" s="321"/>
      <c r="Q95" s="321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</row>
    <row r="96" spans="1:44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321"/>
      <c r="O96" s="321"/>
      <c r="P96" s="321"/>
      <c r="Q96" s="321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</row>
    <row r="97" spans="1:44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321"/>
      <c r="O97" s="321"/>
      <c r="P97" s="321"/>
      <c r="Q97" s="321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</row>
    <row r="98" spans="1:44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321"/>
      <c r="O98" s="321"/>
      <c r="P98" s="321"/>
      <c r="Q98" s="321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</row>
    <row r="99" spans="1:44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321"/>
      <c r="O99" s="321"/>
      <c r="P99" s="321"/>
      <c r="Q99" s="321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</row>
    <row r="100" spans="1:44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321"/>
      <c r="O100" s="321"/>
      <c r="P100" s="321"/>
      <c r="Q100" s="321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</row>
    <row r="101" spans="1:44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321"/>
      <c r="O101" s="321"/>
      <c r="P101" s="321"/>
      <c r="Q101" s="321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</row>
    <row r="102" spans="1:44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321"/>
      <c r="O102" s="321"/>
      <c r="P102" s="321"/>
      <c r="Q102" s="321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</row>
    <row r="103" spans="1:44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321"/>
      <c r="O103" s="321"/>
      <c r="P103" s="321"/>
      <c r="Q103" s="321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</row>
    <row r="104" spans="1:4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321"/>
      <c r="O104" s="321"/>
      <c r="P104" s="321"/>
      <c r="Q104" s="321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</row>
    <row r="105" spans="1:44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321"/>
      <c r="O105" s="321"/>
      <c r="P105" s="321"/>
      <c r="Q105" s="321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</row>
    <row r="106" spans="1:44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321"/>
      <c r="O106" s="321"/>
      <c r="P106" s="321"/>
      <c r="Q106" s="321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</row>
    <row r="107" spans="1:44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321"/>
      <c r="O107" s="321"/>
      <c r="P107" s="321"/>
      <c r="Q107" s="321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</row>
    <row r="108" spans="1:44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321"/>
      <c r="O108" s="321"/>
      <c r="P108" s="321"/>
      <c r="Q108" s="321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</row>
    <row r="109" spans="1:44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321"/>
      <c r="O109" s="321"/>
      <c r="P109" s="321"/>
      <c r="Q109" s="321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</row>
    <row r="110" spans="1:44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321"/>
      <c r="O110" s="321"/>
      <c r="P110" s="321"/>
      <c r="Q110" s="321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</row>
    <row r="111" spans="1:44">
      <c r="A111" s="60"/>
      <c r="B111" s="81"/>
      <c r="C111" s="60"/>
      <c r="D111" s="81"/>
      <c r="E111" s="60"/>
      <c r="F111" s="60"/>
      <c r="G111" s="60"/>
      <c r="H111" s="60"/>
      <c r="I111" s="60"/>
      <c r="J111" s="60"/>
      <c r="K111" s="60"/>
      <c r="L111" s="60"/>
      <c r="M111" s="60"/>
      <c r="N111" s="321"/>
      <c r="O111" s="321"/>
      <c r="P111" s="321"/>
      <c r="Q111" s="321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</row>
    <row r="112" spans="1:44">
      <c r="A112" s="60"/>
      <c r="B112" s="81"/>
      <c r="C112" s="60"/>
      <c r="D112" s="81"/>
      <c r="E112" s="60"/>
      <c r="F112" s="60"/>
      <c r="G112" s="60"/>
      <c r="H112" s="60"/>
      <c r="I112" s="60"/>
      <c r="J112" s="60"/>
      <c r="K112" s="60"/>
      <c r="L112" s="60"/>
      <c r="M112" s="60"/>
      <c r="N112" s="321"/>
      <c r="O112" s="321"/>
      <c r="P112" s="321"/>
      <c r="Q112" s="321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</row>
    <row r="113" spans="1:44">
      <c r="A113" s="60"/>
      <c r="B113" s="81"/>
      <c r="C113" s="60"/>
      <c r="D113" s="81"/>
      <c r="E113" s="60"/>
      <c r="F113" s="60"/>
      <c r="G113" s="60"/>
      <c r="H113" s="60"/>
      <c r="I113" s="60"/>
      <c r="J113" s="60"/>
      <c r="K113" s="60"/>
      <c r="L113" s="60"/>
      <c r="M113" s="60"/>
      <c r="N113" s="321"/>
      <c r="O113" s="321"/>
      <c r="P113" s="321"/>
      <c r="Q113" s="321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</row>
    <row r="114" spans="1:44">
      <c r="A114" s="60"/>
      <c r="B114" s="81"/>
      <c r="C114" s="60"/>
      <c r="D114" s="81"/>
      <c r="E114" s="60"/>
      <c r="F114" s="60"/>
      <c r="G114" s="60"/>
      <c r="H114" s="60"/>
      <c r="I114" s="60"/>
      <c r="J114" s="60"/>
      <c r="K114" s="60"/>
      <c r="L114" s="60"/>
      <c r="M114" s="60"/>
      <c r="N114" s="321"/>
      <c r="O114" s="321"/>
      <c r="P114" s="321"/>
      <c r="Q114" s="321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</row>
    <row r="115" spans="1:44">
      <c r="A115" s="60"/>
      <c r="B115" s="81"/>
      <c r="C115" s="60"/>
      <c r="D115" s="81"/>
      <c r="E115" s="60"/>
      <c r="F115" s="60"/>
      <c r="G115" s="60"/>
      <c r="H115" s="60"/>
      <c r="I115" s="60"/>
      <c r="J115" s="60"/>
      <c r="K115" s="60"/>
      <c r="L115" s="60"/>
      <c r="M115" s="60"/>
      <c r="N115" s="321"/>
      <c r="O115" s="321"/>
      <c r="P115" s="321"/>
      <c r="Q115" s="321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</row>
    <row r="116" spans="1:44">
      <c r="A116" s="60"/>
      <c r="B116" s="81"/>
      <c r="C116" s="60"/>
      <c r="D116" s="81"/>
      <c r="E116" s="60"/>
      <c r="F116" s="60"/>
      <c r="G116" s="60"/>
      <c r="H116" s="60"/>
      <c r="I116" s="60"/>
      <c r="J116" s="60"/>
      <c r="K116" s="60"/>
      <c r="L116" s="60"/>
      <c r="M116" s="60"/>
      <c r="N116" s="321"/>
      <c r="O116" s="321"/>
      <c r="P116" s="321"/>
      <c r="Q116" s="321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</row>
    <row r="117" spans="1:44">
      <c r="A117" s="60"/>
      <c r="B117" s="81"/>
      <c r="C117" s="60"/>
      <c r="D117" s="81"/>
      <c r="E117" s="60"/>
      <c r="F117" s="60"/>
      <c r="G117" s="60"/>
      <c r="H117" s="60"/>
      <c r="I117" s="60"/>
      <c r="J117" s="60"/>
      <c r="K117" s="60"/>
      <c r="L117" s="60"/>
      <c r="M117" s="60"/>
      <c r="N117" s="321"/>
      <c r="O117" s="321"/>
      <c r="P117" s="321"/>
      <c r="Q117" s="321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</row>
    <row r="118" spans="1:44">
      <c r="A118" s="60"/>
      <c r="B118" s="81"/>
      <c r="C118" s="60"/>
      <c r="D118" s="81"/>
      <c r="E118" s="60"/>
      <c r="F118" s="60"/>
      <c r="G118" s="60"/>
      <c r="H118" s="60"/>
      <c r="I118" s="60"/>
      <c r="J118" s="60"/>
      <c r="K118" s="60"/>
      <c r="L118" s="60"/>
      <c r="M118" s="60"/>
      <c r="N118" s="321"/>
      <c r="O118" s="321"/>
      <c r="P118" s="321"/>
      <c r="Q118" s="321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</row>
    <row r="119" spans="1:44" s="4" customFormat="1">
      <c r="A119" s="162"/>
      <c r="B119" s="81"/>
      <c r="C119" s="60"/>
      <c r="D119" s="81"/>
      <c r="E119" s="60"/>
      <c r="F119" s="60"/>
      <c r="G119" s="60"/>
      <c r="H119" s="60"/>
      <c r="I119" s="60"/>
      <c r="J119" s="60"/>
      <c r="K119" s="60"/>
      <c r="L119" s="60"/>
      <c r="M119" s="60"/>
      <c r="N119" s="321"/>
      <c r="O119" s="321"/>
      <c r="P119" s="321"/>
      <c r="Q119" s="321"/>
      <c r="R119" s="60"/>
      <c r="S119" s="60"/>
      <c r="T119" s="60"/>
      <c r="U119" s="60"/>
      <c r="V119" s="60"/>
      <c r="W119" s="60"/>
      <c r="X119" s="60"/>
      <c r="Y119" s="104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</row>
    <row r="120" spans="1:44">
      <c r="A120" s="60"/>
      <c r="B120" s="81"/>
      <c r="C120" s="60"/>
      <c r="D120" s="81"/>
      <c r="E120" s="60"/>
      <c r="F120" s="60"/>
      <c r="G120" s="60"/>
      <c r="H120" s="60"/>
      <c r="I120" s="60"/>
      <c r="J120" s="60"/>
      <c r="K120" s="60"/>
      <c r="L120" s="60"/>
      <c r="M120" s="60"/>
      <c r="N120" s="321"/>
      <c r="O120" s="321"/>
      <c r="P120" s="321"/>
      <c r="Q120" s="321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</row>
    <row r="121" spans="1:44">
      <c r="A121" s="60"/>
      <c r="B121" s="81"/>
      <c r="C121" s="60"/>
      <c r="D121" s="81"/>
      <c r="E121" s="60"/>
      <c r="F121" s="60"/>
      <c r="G121" s="60"/>
      <c r="H121" s="60"/>
      <c r="I121" s="60"/>
      <c r="J121" s="60"/>
      <c r="K121" s="60"/>
      <c r="L121" s="60"/>
      <c r="M121" s="60"/>
      <c r="N121" s="321"/>
      <c r="O121" s="321"/>
      <c r="P121" s="321"/>
      <c r="Q121" s="321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</row>
    <row r="122" spans="1:44">
      <c r="A122" s="60"/>
      <c r="B122" s="81"/>
      <c r="C122" s="60"/>
      <c r="D122" s="81"/>
      <c r="E122" s="60"/>
      <c r="F122" s="60"/>
      <c r="G122" s="60"/>
      <c r="H122" s="60"/>
      <c r="I122" s="60"/>
      <c r="J122" s="60"/>
      <c r="K122" s="60"/>
      <c r="L122" s="60"/>
      <c r="M122" s="60"/>
      <c r="N122" s="321"/>
      <c r="O122" s="321"/>
      <c r="P122" s="321"/>
      <c r="Q122" s="321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</row>
    <row r="123" spans="1:44">
      <c r="A123" s="60"/>
      <c r="B123" s="81"/>
      <c r="C123" s="60"/>
      <c r="D123" s="81"/>
      <c r="E123" s="60"/>
      <c r="F123" s="60"/>
      <c r="G123" s="60"/>
      <c r="H123" s="60"/>
      <c r="I123" s="60"/>
      <c r="J123" s="60"/>
      <c r="K123" s="60"/>
      <c r="L123" s="60"/>
      <c r="M123" s="60"/>
      <c r="N123" s="321"/>
      <c r="O123" s="321"/>
      <c r="P123" s="321"/>
      <c r="Q123" s="321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</row>
    <row r="124" spans="1:44">
      <c r="A124" s="60"/>
      <c r="B124" s="81"/>
      <c r="C124" s="60"/>
      <c r="D124" s="81"/>
      <c r="E124" s="60"/>
      <c r="F124" s="60"/>
      <c r="G124" s="60"/>
      <c r="H124" s="60"/>
      <c r="I124" s="60"/>
      <c r="J124" s="60"/>
      <c r="K124" s="60"/>
      <c r="L124" s="60"/>
      <c r="M124" s="60"/>
      <c r="N124" s="321"/>
      <c r="O124" s="321"/>
      <c r="P124" s="321"/>
      <c r="Q124" s="321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</row>
    <row r="125" spans="1:44">
      <c r="A125" s="60"/>
      <c r="B125" s="81"/>
      <c r="C125" s="60"/>
      <c r="D125" s="81"/>
      <c r="E125" s="60"/>
      <c r="F125" s="60"/>
      <c r="G125" s="60"/>
      <c r="H125" s="60"/>
      <c r="I125" s="60"/>
      <c r="J125" s="60"/>
      <c r="K125" s="60"/>
      <c r="L125" s="60"/>
      <c r="M125" s="60"/>
      <c r="N125" s="321"/>
      <c r="O125" s="321"/>
      <c r="P125" s="321"/>
      <c r="Q125" s="321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</row>
    <row r="126" spans="1:44">
      <c r="A126" s="60"/>
      <c r="B126" s="81"/>
      <c r="C126" s="60"/>
      <c r="D126" s="81"/>
      <c r="E126" s="60"/>
      <c r="F126" s="60"/>
      <c r="G126" s="60"/>
      <c r="H126" s="60"/>
      <c r="I126" s="60"/>
      <c r="J126" s="60"/>
      <c r="K126" s="60"/>
      <c r="L126" s="60"/>
      <c r="M126" s="60"/>
      <c r="N126" s="321"/>
      <c r="O126" s="321"/>
      <c r="P126" s="321"/>
      <c r="Q126" s="321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</row>
    <row r="127" spans="1:44">
      <c r="A127" s="60"/>
      <c r="B127" s="81"/>
      <c r="C127" s="60"/>
      <c r="D127" s="81"/>
      <c r="E127" s="60"/>
      <c r="F127" s="60"/>
      <c r="G127" s="60"/>
      <c r="H127" s="60"/>
      <c r="I127" s="60"/>
      <c r="J127" s="60"/>
      <c r="K127" s="60"/>
      <c r="L127" s="60"/>
      <c r="M127" s="60"/>
      <c r="N127" s="321"/>
      <c r="O127" s="321"/>
      <c r="P127" s="321"/>
      <c r="Q127" s="321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</row>
    <row r="128" spans="1:44">
      <c r="A128" s="60"/>
      <c r="B128" s="81"/>
      <c r="C128" s="60"/>
      <c r="D128" s="81"/>
      <c r="E128" s="60"/>
      <c r="F128" s="60"/>
      <c r="G128" s="60"/>
      <c r="H128" s="60"/>
      <c r="I128" s="60"/>
      <c r="J128" s="60"/>
      <c r="K128" s="60"/>
      <c r="L128" s="60"/>
      <c r="M128" s="60"/>
      <c r="N128" s="321"/>
      <c r="O128" s="321"/>
      <c r="P128" s="321"/>
      <c r="Q128" s="321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</row>
    <row r="129" spans="1:44">
      <c r="A129" s="60"/>
      <c r="B129" s="81"/>
      <c r="C129" s="60"/>
      <c r="D129" s="81"/>
      <c r="E129" s="60"/>
      <c r="F129" s="60"/>
      <c r="G129" s="60"/>
      <c r="H129" s="60"/>
      <c r="I129" s="60"/>
      <c r="J129" s="60"/>
      <c r="K129" s="60"/>
      <c r="L129" s="60"/>
      <c r="M129" s="60"/>
      <c r="N129" s="321"/>
      <c r="O129" s="321"/>
      <c r="P129" s="321"/>
      <c r="Q129" s="321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</row>
    <row r="130" spans="1:44">
      <c r="A130" s="60"/>
      <c r="B130" s="81"/>
      <c r="C130" s="60"/>
      <c r="D130" s="81"/>
      <c r="E130" s="60"/>
      <c r="F130" s="60"/>
      <c r="G130" s="60"/>
      <c r="H130" s="60"/>
      <c r="I130" s="60"/>
      <c r="J130" s="60"/>
      <c r="K130" s="60"/>
      <c r="L130" s="60"/>
      <c r="M130" s="60"/>
      <c r="N130" s="321"/>
      <c r="O130" s="321"/>
      <c r="P130" s="321"/>
      <c r="Q130" s="321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</row>
    <row r="131" spans="1:44">
      <c r="A131" s="60"/>
      <c r="B131" s="81"/>
      <c r="C131" s="60"/>
      <c r="D131" s="81"/>
      <c r="E131" s="60"/>
      <c r="F131" s="60"/>
      <c r="G131" s="60"/>
      <c r="H131" s="60"/>
      <c r="I131" s="60"/>
      <c r="J131" s="60"/>
      <c r="K131" s="60"/>
      <c r="L131" s="60"/>
      <c r="M131" s="60"/>
      <c r="N131" s="321"/>
      <c r="O131" s="321"/>
      <c r="P131" s="321"/>
      <c r="Q131" s="321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</row>
    <row r="132" spans="1:44">
      <c r="A132" s="60"/>
      <c r="B132" s="81"/>
      <c r="C132" s="60"/>
      <c r="D132" s="81"/>
      <c r="E132" s="60"/>
      <c r="F132" s="60"/>
      <c r="G132" s="60"/>
      <c r="H132" s="60"/>
      <c r="I132" s="60"/>
      <c r="J132" s="60"/>
      <c r="K132" s="60"/>
      <c r="L132" s="60"/>
      <c r="M132" s="60"/>
      <c r="N132" s="321"/>
      <c r="O132" s="321"/>
      <c r="P132" s="321"/>
      <c r="Q132" s="321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</row>
    <row r="133" spans="1:44">
      <c r="A133" s="60"/>
      <c r="B133" s="81"/>
      <c r="C133" s="60"/>
      <c r="D133" s="81"/>
      <c r="E133" s="60"/>
      <c r="F133" s="60"/>
      <c r="G133" s="60"/>
      <c r="H133" s="60"/>
      <c r="I133" s="60"/>
      <c r="J133" s="60"/>
      <c r="K133" s="60"/>
      <c r="L133" s="60"/>
      <c r="M133" s="60"/>
      <c r="N133" s="321"/>
      <c r="O133" s="321"/>
      <c r="P133" s="321"/>
      <c r="Q133" s="321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</row>
    <row r="134" spans="1:44">
      <c r="A134" s="60"/>
      <c r="B134" s="81"/>
      <c r="C134" s="60"/>
      <c r="D134" s="81"/>
      <c r="E134" s="60"/>
      <c r="F134" s="60"/>
      <c r="G134" s="60"/>
      <c r="H134" s="60"/>
      <c r="I134" s="60"/>
      <c r="J134" s="60"/>
      <c r="K134" s="60"/>
      <c r="L134" s="60"/>
      <c r="M134" s="60"/>
      <c r="N134" s="321"/>
      <c r="O134" s="321"/>
      <c r="P134" s="321"/>
      <c r="Q134" s="321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</row>
    <row r="135" spans="1:44">
      <c r="A135" s="60"/>
      <c r="B135" s="81"/>
      <c r="C135" s="60"/>
      <c r="D135" s="81"/>
      <c r="E135" s="60"/>
      <c r="F135" s="60"/>
      <c r="G135" s="60"/>
      <c r="H135" s="60"/>
      <c r="I135" s="60"/>
      <c r="J135" s="60"/>
      <c r="K135" s="60"/>
      <c r="L135" s="60"/>
      <c r="M135" s="60"/>
      <c r="N135" s="321"/>
      <c r="O135" s="321"/>
      <c r="P135" s="321"/>
      <c r="Q135" s="321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</row>
    <row r="136" spans="1:44">
      <c r="A136" s="60"/>
      <c r="B136" s="81"/>
      <c r="C136" s="60"/>
      <c r="D136" s="81"/>
      <c r="E136" s="60"/>
      <c r="F136" s="60"/>
      <c r="G136" s="60"/>
      <c r="H136" s="60"/>
      <c r="I136" s="60"/>
      <c r="J136" s="60"/>
      <c r="K136" s="60"/>
      <c r="L136" s="60"/>
      <c r="M136" s="60"/>
      <c r="N136" s="321"/>
      <c r="O136" s="321"/>
      <c r="P136" s="321"/>
      <c r="Q136" s="321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</row>
    <row r="137" spans="1:44">
      <c r="A137" s="60"/>
      <c r="B137" s="81"/>
      <c r="C137" s="60"/>
      <c r="D137" s="81"/>
      <c r="E137" s="60"/>
      <c r="F137" s="60"/>
      <c r="G137" s="60"/>
      <c r="H137" s="60"/>
      <c r="I137" s="60"/>
      <c r="J137" s="60"/>
      <c r="K137" s="60"/>
      <c r="L137" s="60"/>
      <c r="M137" s="60"/>
      <c r="N137" s="321"/>
      <c r="O137" s="321"/>
      <c r="P137" s="321"/>
      <c r="Q137" s="321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</row>
    <row r="138" spans="1:44">
      <c r="A138" s="60"/>
      <c r="B138" s="81"/>
      <c r="C138" s="60"/>
      <c r="D138" s="81"/>
      <c r="E138" s="60"/>
      <c r="F138" s="60"/>
      <c r="G138" s="60"/>
      <c r="H138" s="60"/>
      <c r="I138" s="60"/>
      <c r="J138" s="60"/>
      <c r="K138" s="60"/>
      <c r="L138" s="155" t="s">
        <v>271</v>
      </c>
      <c r="M138" s="60"/>
      <c r="N138" s="321"/>
      <c r="O138" s="321"/>
      <c r="P138" s="321"/>
      <c r="Q138" s="321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</row>
    <row r="139" spans="1:44">
      <c r="A139" s="60"/>
      <c r="B139" s="81"/>
      <c r="C139" s="60"/>
      <c r="D139" s="81"/>
      <c r="E139" s="60"/>
      <c r="F139" s="60"/>
      <c r="G139" s="60"/>
      <c r="H139" s="60"/>
      <c r="I139" s="60"/>
      <c r="J139" s="60"/>
      <c r="K139" s="60"/>
      <c r="L139" s="60"/>
      <c r="M139" s="60"/>
      <c r="N139" s="321"/>
      <c r="O139" s="321"/>
      <c r="P139" s="321"/>
      <c r="Q139" s="321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</row>
    <row r="140" spans="1:44">
      <c r="A140" s="60"/>
      <c r="B140" s="81"/>
      <c r="C140" s="60"/>
      <c r="D140" s="81"/>
      <c r="E140" s="60"/>
      <c r="F140" s="60"/>
      <c r="G140" s="60"/>
      <c r="H140" s="60"/>
      <c r="I140" s="60"/>
      <c r="J140" s="60"/>
      <c r="K140" s="60"/>
      <c r="L140" s="60"/>
      <c r="M140" s="60"/>
      <c r="N140" s="321"/>
      <c r="O140" s="321"/>
      <c r="P140" s="321"/>
      <c r="Q140" s="321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</row>
    <row r="141" spans="1:44">
      <c r="A141" s="60"/>
      <c r="B141" s="81"/>
      <c r="C141" s="60"/>
      <c r="D141" s="81"/>
      <c r="E141" s="60"/>
      <c r="F141" s="60"/>
      <c r="G141" s="60"/>
      <c r="H141" s="60"/>
      <c r="I141" s="60"/>
      <c r="J141" s="60"/>
      <c r="K141" s="60"/>
      <c r="L141" s="60"/>
      <c r="M141" s="60"/>
      <c r="N141" s="321"/>
      <c r="O141" s="321"/>
      <c r="P141" s="321"/>
      <c r="Q141" s="321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</row>
    <row r="142" spans="1:44">
      <c r="A142" s="60"/>
      <c r="B142" s="81"/>
      <c r="C142" s="60"/>
      <c r="D142" s="81"/>
      <c r="E142" s="60"/>
      <c r="F142" s="60"/>
      <c r="G142" s="60"/>
      <c r="H142" s="60"/>
      <c r="I142" s="60"/>
      <c r="J142" s="60"/>
      <c r="K142" s="60"/>
      <c r="L142" s="60"/>
      <c r="M142" s="60"/>
      <c r="N142" s="321"/>
      <c r="O142" s="321"/>
      <c r="P142" s="321"/>
      <c r="Q142" s="321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</row>
    <row r="143" spans="1:44">
      <c r="A143" s="60"/>
      <c r="B143" s="81"/>
      <c r="C143" s="60"/>
      <c r="D143" s="81"/>
      <c r="E143" s="60"/>
      <c r="F143" s="60"/>
      <c r="G143" s="60"/>
      <c r="H143" s="60"/>
      <c r="I143" s="60"/>
      <c r="J143" s="60"/>
      <c r="K143" s="60"/>
      <c r="L143" s="60"/>
      <c r="M143" s="60"/>
      <c r="N143" s="321"/>
      <c r="O143" s="321"/>
      <c r="P143" s="321"/>
      <c r="Q143" s="321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</row>
    <row r="144" spans="1:44">
      <c r="A144" s="60"/>
      <c r="B144" s="81"/>
      <c r="C144" s="60"/>
      <c r="D144" s="81"/>
      <c r="E144" s="60"/>
      <c r="F144" s="60"/>
      <c r="G144" s="60"/>
      <c r="H144" s="60"/>
      <c r="I144" s="60"/>
      <c r="J144" s="60"/>
      <c r="K144" s="60"/>
      <c r="L144" s="60"/>
      <c r="M144" s="60"/>
      <c r="N144" s="321"/>
      <c r="O144" s="321"/>
      <c r="P144" s="321"/>
      <c r="Q144" s="321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</row>
    <row r="145" spans="1:44">
      <c r="A145" s="60"/>
      <c r="B145" s="81"/>
      <c r="C145" s="60"/>
      <c r="D145" s="81"/>
      <c r="E145" s="60"/>
      <c r="F145" s="60"/>
      <c r="G145" s="60"/>
      <c r="H145" s="60"/>
      <c r="I145" s="60"/>
      <c r="J145" s="60"/>
      <c r="K145" s="60"/>
      <c r="L145" s="60"/>
      <c r="M145" s="60"/>
      <c r="N145" s="321"/>
      <c r="O145" s="321"/>
      <c r="P145" s="321"/>
      <c r="Q145" s="321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</row>
    <row r="146" spans="1:44">
      <c r="A146" s="60"/>
      <c r="B146" s="81"/>
      <c r="C146" s="60"/>
      <c r="D146" s="81"/>
      <c r="E146" s="60"/>
      <c r="F146" s="60"/>
      <c r="G146" s="60"/>
      <c r="H146" s="60"/>
      <c r="I146" s="60"/>
      <c r="J146" s="60"/>
      <c r="K146" s="60"/>
      <c r="L146" s="60"/>
      <c r="M146" s="60"/>
      <c r="N146" s="321"/>
      <c r="O146" s="321"/>
      <c r="P146" s="321"/>
      <c r="Q146" s="321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</row>
    <row r="147" spans="1:44">
      <c r="A147" s="60"/>
      <c r="B147" s="81"/>
      <c r="C147" s="60"/>
      <c r="D147" s="81"/>
      <c r="E147" s="60"/>
      <c r="F147" s="60"/>
      <c r="G147" s="60"/>
      <c r="H147" s="60"/>
      <c r="I147" s="60"/>
      <c r="J147" s="60"/>
      <c r="K147" s="60"/>
      <c r="L147" s="60"/>
      <c r="M147" s="60"/>
      <c r="N147" s="321"/>
      <c r="O147" s="321"/>
      <c r="P147" s="321"/>
      <c r="Q147" s="321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</row>
    <row r="148" spans="1:44">
      <c r="A148" s="60"/>
      <c r="B148" s="81"/>
      <c r="C148" s="60"/>
      <c r="D148" s="81"/>
      <c r="E148" s="60"/>
      <c r="F148" s="60"/>
      <c r="G148" s="60"/>
      <c r="H148" s="60"/>
      <c r="I148" s="60"/>
      <c r="J148" s="60"/>
      <c r="K148" s="60"/>
      <c r="L148" s="60"/>
      <c r="M148" s="60"/>
      <c r="N148" s="321"/>
      <c r="O148" s="321"/>
      <c r="P148" s="321"/>
      <c r="Q148" s="321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</row>
    <row r="149" spans="1:44">
      <c r="A149" s="60"/>
      <c r="B149" s="81"/>
      <c r="C149" s="60"/>
      <c r="D149" s="81"/>
      <c r="E149" s="60"/>
      <c r="F149" s="60"/>
      <c r="G149" s="60"/>
      <c r="I149" s="60"/>
      <c r="J149" s="60"/>
      <c r="K149" s="60"/>
      <c r="L149" s="60"/>
      <c r="M149" s="60"/>
      <c r="N149" s="321"/>
      <c r="O149" s="321"/>
      <c r="P149" s="321"/>
      <c r="Q149" s="321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B084"/>
  </sheetPr>
  <dimension ref="A1:G149"/>
  <sheetViews>
    <sheetView workbookViewId="0">
      <pane xSplit="4" ySplit="3" topLeftCell="E4" activePane="bottomRight" state="frozen"/>
      <selection pane="topRight"/>
      <selection pane="bottomLeft"/>
      <selection pane="bottomRight" activeCell="K29" sqref="K29"/>
    </sheetView>
  </sheetViews>
  <sheetFormatPr defaultRowHeight="14.5"/>
  <cols>
    <col min="1" max="1" width="13.54296875" customWidth="1"/>
    <col min="2" max="2" width="4.453125" style="54" customWidth="1"/>
    <col min="3" max="3" width="19.08984375" style="49" customWidth="1"/>
    <col min="4" max="4" width="7.6328125" style="54" customWidth="1"/>
    <col min="14" max="14" width="27.54296875" customWidth="1"/>
  </cols>
  <sheetData>
    <row r="1" spans="1:7">
      <c r="A1" s="60"/>
      <c r="B1" s="60"/>
      <c r="C1" s="60"/>
      <c r="D1" s="60"/>
      <c r="E1" s="60"/>
      <c r="F1" s="60"/>
      <c r="G1" s="60"/>
    </row>
    <row r="2" spans="1:7" ht="15" customHeight="1">
      <c r="A2" s="67"/>
      <c r="B2" s="64"/>
      <c r="C2" s="64"/>
      <c r="D2" s="64"/>
      <c r="E2" s="67"/>
      <c r="F2" s="67"/>
      <c r="G2" s="67"/>
    </row>
    <row r="3" spans="1:7" s="56" customFormat="1" ht="15" customHeight="1">
      <c r="A3" s="67"/>
      <c r="B3" s="64"/>
      <c r="C3" s="64"/>
      <c r="D3" s="64"/>
      <c r="E3" s="67"/>
      <c r="F3" s="67"/>
      <c r="G3" s="67"/>
    </row>
    <row r="4" spans="1:7" ht="18.5" customHeight="1">
      <c r="A4" s="60"/>
      <c r="B4" s="70" t="s">
        <v>2</v>
      </c>
      <c r="C4" s="71" t="s">
        <v>3</v>
      </c>
      <c r="D4" s="70" t="s">
        <v>4</v>
      </c>
      <c r="E4" s="60"/>
      <c r="F4" s="60"/>
      <c r="G4" s="60"/>
    </row>
    <row r="5" spans="1:7">
      <c r="A5" s="100" t="s">
        <v>322</v>
      </c>
      <c r="B5" s="73" t="s">
        <v>7</v>
      </c>
      <c r="C5" s="74" t="s">
        <v>323</v>
      </c>
      <c r="D5" s="73" t="s">
        <v>324</v>
      </c>
      <c r="E5" s="186">
        <v>2.171428571428571E-2</v>
      </c>
      <c r="F5" s="72" t="s">
        <v>325</v>
      </c>
      <c r="G5" s="60"/>
    </row>
    <row r="6" spans="1:7">
      <c r="A6" s="100" t="s">
        <v>326</v>
      </c>
      <c r="B6" s="73" t="s">
        <v>7</v>
      </c>
      <c r="C6" s="74" t="s">
        <v>327</v>
      </c>
      <c r="D6" s="87" t="s">
        <v>324</v>
      </c>
      <c r="E6" s="187">
        <v>3.9E-2</v>
      </c>
      <c r="F6" s="60"/>
      <c r="G6" s="60"/>
    </row>
    <row r="7" spans="1:7">
      <c r="A7" s="60"/>
      <c r="B7" s="75"/>
      <c r="C7" s="77"/>
      <c r="D7" s="78"/>
      <c r="E7" s="60"/>
      <c r="F7" s="60"/>
      <c r="G7" s="60"/>
    </row>
    <row r="8" spans="1:7">
      <c r="A8" s="100" t="s">
        <v>328</v>
      </c>
      <c r="B8" s="73" t="s">
        <v>7</v>
      </c>
      <c r="C8" s="74" t="s">
        <v>329</v>
      </c>
      <c r="D8" s="87" t="s">
        <v>161</v>
      </c>
      <c r="E8" s="186">
        <v>0.152</v>
      </c>
      <c r="F8" s="60"/>
      <c r="G8" s="60"/>
    </row>
    <row r="9" spans="1:7">
      <c r="A9" s="100" t="s">
        <v>330</v>
      </c>
      <c r="B9" s="72" t="s">
        <v>7</v>
      </c>
      <c r="C9" s="72" t="s">
        <v>327</v>
      </c>
      <c r="D9" s="72" t="s">
        <v>161</v>
      </c>
      <c r="E9" s="186">
        <v>3.9E-2</v>
      </c>
      <c r="F9" s="60"/>
      <c r="G9" s="60"/>
    </row>
    <row r="10" spans="1:7">
      <c r="A10" s="60"/>
      <c r="B10" s="60"/>
      <c r="C10" s="60"/>
      <c r="D10" s="60"/>
      <c r="E10" s="60"/>
      <c r="F10" s="60"/>
      <c r="G10" s="60"/>
    </row>
    <row r="11" spans="1:7">
      <c r="A11" s="100" t="s">
        <v>331</v>
      </c>
      <c r="B11" s="72" t="s">
        <v>7</v>
      </c>
      <c r="C11" s="72" t="s">
        <v>329</v>
      </c>
      <c r="D11" s="72" t="s">
        <v>163</v>
      </c>
      <c r="E11" s="186">
        <v>0.152</v>
      </c>
      <c r="F11" s="60"/>
      <c r="G11" s="60"/>
    </row>
    <row r="12" spans="1:7">
      <c r="A12" s="100" t="s">
        <v>332</v>
      </c>
      <c r="B12" s="72" t="s">
        <v>7</v>
      </c>
      <c r="C12" s="72" t="s">
        <v>327</v>
      </c>
      <c r="D12" s="72" t="s">
        <v>163</v>
      </c>
      <c r="E12" s="186">
        <v>3.9E-2</v>
      </c>
      <c r="F12" s="60"/>
      <c r="G12" s="60"/>
    </row>
    <row r="13" spans="1:7">
      <c r="A13" s="60"/>
      <c r="B13" s="60"/>
      <c r="C13" s="60"/>
      <c r="D13" s="60"/>
      <c r="E13" s="60"/>
      <c r="F13" s="60"/>
      <c r="G13" s="60"/>
    </row>
    <row r="14" spans="1:7">
      <c r="A14" s="60"/>
      <c r="B14" s="60"/>
      <c r="C14" s="60"/>
      <c r="D14" s="60"/>
      <c r="E14" s="60"/>
      <c r="F14" s="60"/>
      <c r="G14" s="60"/>
    </row>
    <row r="15" spans="1:7">
      <c r="A15" s="100" t="s">
        <v>333</v>
      </c>
      <c r="B15" s="72" t="s">
        <v>7</v>
      </c>
      <c r="C15" s="72" t="s">
        <v>329</v>
      </c>
      <c r="D15" s="72" t="s">
        <v>334</v>
      </c>
      <c r="E15" s="186">
        <v>0.152</v>
      </c>
      <c r="F15" s="60"/>
      <c r="G15" s="60"/>
    </row>
    <row r="16" spans="1:7">
      <c r="A16" s="100" t="s">
        <v>335</v>
      </c>
      <c r="B16" s="72" t="s">
        <v>7</v>
      </c>
      <c r="C16" s="72" t="s">
        <v>327</v>
      </c>
      <c r="D16" s="72" t="s">
        <v>334</v>
      </c>
      <c r="E16" s="186">
        <v>3.9E-2</v>
      </c>
      <c r="F16" s="60"/>
      <c r="G16" s="60"/>
    </row>
    <row r="17" spans="1:7">
      <c r="A17" s="60"/>
      <c r="B17" s="60"/>
      <c r="C17" s="60"/>
      <c r="D17" s="60"/>
      <c r="E17" s="60"/>
      <c r="F17" s="60"/>
      <c r="G17" s="60"/>
    </row>
    <row r="18" spans="1:7">
      <c r="A18" s="60"/>
      <c r="B18" s="60"/>
      <c r="C18" s="60"/>
      <c r="D18" s="60"/>
      <c r="E18" s="60"/>
      <c r="F18" s="60"/>
      <c r="G18" s="60"/>
    </row>
    <row r="19" spans="1:7">
      <c r="A19" s="60"/>
      <c r="B19" s="60"/>
      <c r="C19" s="60"/>
      <c r="D19" s="60"/>
      <c r="E19" s="60"/>
      <c r="F19" s="60"/>
      <c r="G19" s="60"/>
    </row>
    <row r="20" spans="1:7">
      <c r="A20" s="60"/>
      <c r="B20" s="60"/>
      <c r="C20" s="60"/>
      <c r="D20" s="60"/>
      <c r="E20" s="60"/>
      <c r="F20" s="60"/>
      <c r="G20" s="60"/>
    </row>
    <row r="21" spans="1:7">
      <c r="A21" s="60"/>
      <c r="B21" s="60"/>
      <c r="C21" s="60"/>
      <c r="D21" s="60"/>
      <c r="E21" s="60"/>
      <c r="F21" s="60"/>
      <c r="G21" s="60"/>
    </row>
    <row r="22" spans="1:7">
      <c r="A22" s="60"/>
      <c r="B22" s="60"/>
      <c r="C22" s="60"/>
      <c r="D22" s="60"/>
      <c r="E22" s="60"/>
      <c r="F22" s="60"/>
      <c r="G22" s="60"/>
    </row>
    <row r="23" spans="1:7">
      <c r="A23" s="60"/>
      <c r="B23" s="60"/>
      <c r="C23" s="60"/>
      <c r="D23" s="60"/>
      <c r="E23" s="60"/>
      <c r="F23" s="60"/>
      <c r="G23" s="60"/>
    </row>
    <row r="24" spans="1:7">
      <c r="A24" s="60"/>
      <c r="B24" s="60"/>
      <c r="C24" s="60"/>
      <c r="D24" s="60"/>
      <c r="E24" s="60"/>
      <c r="F24" s="60"/>
      <c r="G24" s="60"/>
    </row>
    <row r="25" spans="1:7">
      <c r="A25" s="60"/>
      <c r="B25" s="60"/>
      <c r="C25" s="60"/>
      <c r="D25" s="60"/>
      <c r="E25" s="60"/>
      <c r="F25" s="60"/>
      <c r="G25" s="60"/>
    </row>
    <row r="26" spans="1:7">
      <c r="A26" s="60"/>
      <c r="B26" s="60"/>
      <c r="C26" s="60"/>
      <c r="D26" s="60"/>
      <c r="E26" s="60"/>
      <c r="F26" s="60"/>
      <c r="G26" s="60"/>
    </row>
    <row r="27" spans="1:7">
      <c r="A27" s="60"/>
      <c r="B27" s="60"/>
      <c r="C27" s="60"/>
      <c r="D27" s="60"/>
      <c r="E27" s="60"/>
      <c r="F27" s="60"/>
      <c r="G27" s="60"/>
    </row>
    <row r="28" spans="1:7">
      <c r="A28" s="60"/>
      <c r="B28" s="60"/>
      <c r="C28" s="60"/>
      <c r="D28" s="60"/>
      <c r="E28" s="60"/>
      <c r="F28" s="60"/>
      <c r="G28" s="60"/>
    </row>
    <row r="29" spans="1:7">
      <c r="A29" s="60"/>
      <c r="B29" s="60"/>
      <c r="C29" s="60"/>
      <c r="D29" s="60"/>
      <c r="E29" s="60"/>
      <c r="F29" s="60"/>
      <c r="G29" s="60"/>
    </row>
    <row r="30" spans="1:7">
      <c r="A30" s="60"/>
      <c r="B30" s="60"/>
      <c r="C30" s="60"/>
      <c r="D30" s="60"/>
      <c r="E30" s="60"/>
      <c r="F30" s="60"/>
      <c r="G30" s="60"/>
    </row>
    <row r="31" spans="1:7">
      <c r="A31" s="60"/>
      <c r="B31" s="60"/>
      <c r="C31" s="60"/>
      <c r="D31" s="60"/>
      <c r="E31" s="60"/>
      <c r="F31" s="60"/>
      <c r="G31" s="60"/>
    </row>
    <row r="32" spans="1:7">
      <c r="A32" s="60"/>
      <c r="B32" s="60"/>
      <c r="C32" s="60"/>
      <c r="D32" s="60"/>
      <c r="E32" s="60"/>
      <c r="F32" s="60"/>
      <c r="G32" s="60"/>
    </row>
    <row r="33" spans="1:7">
      <c r="A33" s="60"/>
      <c r="B33" s="60"/>
      <c r="C33" s="60"/>
      <c r="D33" s="60"/>
      <c r="E33" s="60"/>
      <c r="F33" s="60"/>
      <c r="G33" s="60"/>
    </row>
    <row r="34" spans="1:7">
      <c r="A34" s="60"/>
      <c r="B34" s="60"/>
      <c r="C34" s="60"/>
      <c r="D34" s="60"/>
      <c r="E34" s="60"/>
      <c r="F34" s="60"/>
      <c r="G34" s="60"/>
    </row>
    <row r="35" spans="1:7">
      <c r="A35" s="60"/>
      <c r="B35" s="60"/>
      <c r="C35" s="60"/>
      <c r="D35" s="60"/>
      <c r="E35" s="60"/>
      <c r="F35" s="60"/>
      <c r="G35" s="60"/>
    </row>
    <row r="36" spans="1:7">
      <c r="A36" s="60"/>
      <c r="B36" s="60"/>
      <c r="C36" s="60"/>
      <c r="D36" s="60"/>
      <c r="E36" s="60"/>
      <c r="F36" s="60"/>
      <c r="G36" s="60"/>
    </row>
    <row r="37" spans="1:7">
      <c r="A37" s="60"/>
      <c r="B37" s="60"/>
      <c r="C37" s="60"/>
      <c r="D37" s="60"/>
      <c r="E37" s="60"/>
      <c r="F37" s="60"/>
      <c r="G37" s="60"/>
    </row>
    <row r="38" spans="1:7">
      <c r="A38" s="60"/>
      <c r="B38" s="60"/>
      <c r="C38" s="60"/>
      <c r="D38" s="60"/>
      <c r="E38" s="60"/>
      <c r="F38" s="60"/>
      <c r="G38" s="60"/>
    </row>
    <row r="39" spans="1:7">
      <c r="A39" s="60"/>
      <c r="B39" s="60"/>
      <c r="C39" s="60"/>
      <c r="D39" s="60"/>
      <c r="E39" s="60"/>
      <c r="F39" s="60"/>
      <c r="G39" s="60"/>
    </row>
    <row r="40" spans="1:7">
      <c r="A40" s="60"/>
      <c r="B40" s="60"/>
      <c r="C40" s="60"/>
      <c r="D40" s="60"/>
      <c r="E40" s="60"/>
      <c r="F40" s="60"/>
      <c r="G40" s="60"/>
    </row>
    <row r="41" spans="1:7">
      <c r="A41" s="60"/>
      <c r="B41" s="60"/>
      <c r="C41" s="60"/>
      <c r="D41" s="60"/>
      <c r="E41" s="60"/>
      <c r="F41" s="60"/>
      <c r="G41" s="60"/>
    </row>
    <row r="42" spans="1:7">
      <c r="A42" s="60"/>
      <c r="B42" s="60"/>
      <c r="C42" s="60"/>
      <c r="D42" s="60"/>
      <c r="E42" s="60"/>
      <c r="F42" s="60"/>
      <c r="G42" s="60"/>
    </row>
    <row r="43" spans="1:7">
      <c r="A43" s="60"/>
      <c r="B43" s="60"/>
      <c r="C43" s="60"/>
      <c r="D43" s="60"/>
      <c r="E43" s="60"/>
      <c r="F43" s="60"/>
      <c r="G43" s="60"/>
    </row>
    <row r="44" spans="1:7">
      <c r="A44" s="60"/>
      <c r="B44" s="60"/>
      <c r="C44" s="60"/>
      <c r="D44" s="60"/>
      <c r="E44" s="60"/>
      <c r="F44" s="60"/>
      <c r="G44" s="60"/>
    </row>
    <row r="45" spans="1:7">
      <c r="A45" s="60"/>
      <c r="B45" s="60"/>
      <c r="C45" s="60"/>
      <c r="D45" s="60"/>
      <c r="E45" s="60"/>
      <c r="F45" s="60"/>
      <c r="G45" s="60"/>
    </row>
    <row r="46" spans="1:7">
      <c r="A46" s="60"/>
      <c r="B46" s="60"/>
      <c r="C46" s="60"/>
      <c r="D46" s="60"/>
      <c r="E46" s="60"/>
      <c r="F46" s="60"/>
      <c r="G46" s="60"/>
    </row>
    <row r="47" spans="1:7">
      <c r="A47" s="60"/>
      <c r="B47" s="60"/>
      <c r="C47" s="60"/>
      <c r="D47" s="60"/>
      <c r="E47" s="60"/>
      <c r="F47" s="60"/>
      <c r="G47" s="60"/>
    </row>
    <row r="48" spans="1:7">
      <c r="A48" s="60"/>
      <c r="B48" s="60"/>
      <c r="C48" s="60"/>
      <c r="D48" s="60"/>
      <c r="E48" s="60"/>
      <c r="F48" s="60"/>
      <c r="G48" s="60"/>
    </row>
    <row r="49" spans="1:7">
      <c r="A49" s="60"/>
      <c r="B49" s="60"/>
      <c r="C49" s="60"/>
      <c r="D49" s="60"/>
      <c r="E49" s="60"/>
      <c r="F49" s="60"/>
      <c r="G49" s="60"/>
    </row>
    <row r="50" spans="1:7">
      <c r="A50" s="60"/>
      <c r="B50" s="60"/>
      <c r="C50" s="60"/>
      <c r="D50" s="60"/>
      <c r="E50" s="60"/>
      <c r="F50" s="60"/>
      <c r="G50" s="60"/>
    </row>
    <row r="51" spans="1:7">
      <c r="A51" s="60"/>
      <c r="B51" s="60"/>
      <c r="C51" s="60"/>
      <c r="D51" s="60"/>
      <c r="E51" s="60"/>
      <c r="F51" s="60"/>
      <c r="G51" s="60"/>
    </row>
    <row r="52" spans="1:7">
      <c r="A52" s="60"/>
      <c r="B52" s="60"/>
      <c r="C52" s="60"/>
      <c r="D52" s="60"/>
      <c r="E52" s="60"/>
      <c r="F52" s="60"/>
      <c r="G52" s="60"/>
    </row>
    <row r="53" spans="1:7">
      <c r="A53" s="60"/>
      <c r="B53" s="60"/>
      <c r="C53" s="60"/>
      <c r="D53" s="60"/>
      <c r="E53" s="60"/>
      <c r="F53" s="60"/>
      <c r="G53" s="60"/>
    </row>
    <row r="54" spans="1:7">
      <c r="A54" s="60"/>
      <c r="B54" s="60"/>
      <c r="C54" s="60"/>
      <c r="D54" s="60"/>
      <c r="E54" s="60"/>
      <c r="F54" s="60"/>
      <c r="G54" s="60"/>
    </row>
    <row r="55" spans="1:7">
      <c r="A55" s="60"/>
      <c r="B55" s="60"/>
      <c r="C55" s="60"/>
      <c r="D55" s="60"/>
      <c r="E55" s="60"/>
      <c r="F55" s="60"/>
      <c r="G55" s="60"/>
    </row>
    <row r="56" spans="1:7">
      <c r="A56" s="60"/>
      <c r="B56" s="60"/>
      <c r="C56" s="60"/>
      <c r="D56" s="60"/>
      <c r="E56" s="60"/>
      <c r="F56" s="60"/>
      <c r="G56" s="60"/>
    </row>
    <row r="57" spans="1:7">
      <c r="A57" s="60"/>
      <c r="B57" s="60"/>
      <c r="C57" s="60"/>
      <c r="D57" s="60"/>
      <c r="E57" s="60"/>
      <c r="F57" s="60"/>
      <c r="G57" s="60"/>
    </row>
    <row r="58" spans="1:7">
      <c r="A58" s="60"/>
      <c r="B58" s="60"/>
      <c r="C58" s="60"/>
      <c r="D58" s="60"/>
      <c r="E58" s="60"/>
      <c r="F58" s="60"/>
      <c r="G58" s="60"/>
    </row>
    <row r="59" spans="1:7">
      <c r="A59" s="60"/>
      <c r="B59" s="60"/>
      <c r="C59" s="60"/>
      <c r="D59" s="60"/>
      <c r="E59" s="60"/>
      <c r="F59" s="60"/>
      <c r="G59" s="60"/>
    </row>
    <row r="60" spans="1:7">
      <c r="A60" s="60"/>
      <c r="B60" s="60"/>
      <c r="C60" s="60"/>
      <c r="D60" s="60"/>
      <c r="E60" s="60"/>
      <c r="F60" s="60"/>
      <c r="G60" s="60"/>
    </row>
    <row r="61" spans="1:7">
      <c r="A61" s="60"/>
      <c r="B61" s="60"/>
      <c r="C61" s="60"/>
      <c r="D61" s="60"/>
      <c r="E61" s="60"/>
      <c r="F61" s="60"/>
      <c r="G61" s="60"/>
    </row>
    <row r="62" spans="1:7">
      <c r="A62" s="60"/>
      <c r="B62" s="60"/>
      <c r="C62" s="60"/>
      <c r="D62" s="60"/>
      <c r="E62" s="60"/>
      <c r="F62" s="60"/>
      <c r="G62" s="60"/>
    </row>
    <row r="63" spans="1:7">
      <c r="A63" s="60"/>
      <c r="B63" s="60"/>
      <c r="C63" s="60"/>
      <c r="D63" s="60"/>
      <c r="E63" s="60"/>
      <c r="F63" s="60"/>
      <c r="G63" s="60"/>
    </row>
    <row r="64" spans="1:7">
      <c r="A64" s="60"/>
      <c r="B64" s="60"/>
      <c r="C64" s="60"/>
      <c r="D64" s="60"/>
      <c r="E64" s="60"/>
      <c r="F64" s="60"/>
      <c r="G64" s="60"/>
    </row>
    <row r="65" spans="1:7">
      <c r="A65" s="60"/>
      <c r="B65" s="60"/>
      <c r="C65" s="60"/>
      <c r="D65" s="60"/>
      <c r="E65" s="60"/>
      <c r="F65" s="60"/>
      <c r="G65" s="60"/>
    </row>
    <row r="66" spans="1:7">
      <c r="A66" s="60"/>
      <c r="B66" s="60"/>
      <c r="C66" s="60"/>
      <c r="D66" s="60"/>
      <c r="E66" s="60"/>
      <c r="F66" s="60"/>
      <c r="G66" s="60"/>
    </row>
    <row r="67" spans="1:7">
      <c r="A67" s="60"/>
      <c r="B67" s="60"/>
      <c r="C67" s="60"/>
      <c r="D67" s="60"/>
      <c r="E67" s="60"/>
      <c r="F67" s="60"/>
      <c r="G67" s="60"/>
    </row>
    <row r="68" spans="1:7">
      <c r="A68" s="60"/>
      <c r="B68" s="60"/>
      <c r="C68" s="60"/>
      <c r="D68" s="60"/>
      <c r="E68" s="60"/>
      <c r="F68" s="60"/>
      <c r="G68" s="60"/>
    </row>
    <row r="69" spans="1:7">
      <c r="A69" s="60"/>
      <c r="B69" s="60"/>
      <c r="C69" s="60"/>
      <c r="D69" s="60"/>
      <c r="E69" s="60"/>
      <c r="F69" s="60"/>
      <c r="G69" s="60"/>
    </row>
    <row r="70" spans="1:7">
      <c r="A70" s="60"/>
      <c r="B70" s="60"/>
      <c r="C70" s="60"/>
      <c r="D70" s="60"/>
      <c r="E70" s="60"/>
      <c r="F70" s="60"/>
      <c r="G70" s="60"/>
    </row>
    <row r="71" spans="1:7">
      <c r="A71" s="60"/>
      <c r="B71" s="60"/>
      <c r="C71" s="60"/>
      <c r="D71" s="60"/>
      <c r="E71" s="60"/>
      <c r="F71" s="60"/>
      <c r="G71" s="60"/>
    </row>
    <row r="72" spans="1:7">
      <c r="A72" s="60"/>
      <c r="B72" s="60"/>
      <c r="C72" s="60"/>
      <c r="D72" s="60"/>
      <c r="E72" s="60"/>
      <c r="F72" s="60"/>
      <c r="G72" s="60"/>
    </row>
    <row r="73" spans="1:7">
      <c r="A73" s="60"/>
      <c r="B73" s="60"/>
      <c r="C73" s="60"/>
      <c r="D73" s="60"/>
      <c r="E73" s="60"/>
      <c r="F73" s="60"/>
      <c r="G73" s="60"/>
    </row>
    <row r="74" spans="1:7">
      <c r="A74" s="60"/>
      <c r="B74" s="60"/>
      <c r="C74" s="60"/>
      <c r="D74" s="60"/>
      <c r="E74" s="60"/>
      <c r="F74" s="60"/>
      <c r="G74" s="60"/>
    </row>
    <row r="75" spans="1:7">
      <c r="A75" s="60"/>
      <c r="B75" s="60"/>
      <c r="C75" s="60"/>
      <c r="D75" s="60"/>
      <c r="E75" s="60"/>
      <c r="F75" s="60"/>
      <c r="G75" s="60"/>
    </row>
    <row r="76" spans="1:7">
      <c r="A76" s="60"/>
      <c r="B76" s="60"/>
      <c r="C76" s="60"/>
      <c r="D76" s="60"/>
      <c r="E76" s="60"/>
      <c r="F76" s="60"/>
      <c r="G76" s="60"/>
    </row>
    <row r="77" spans="1:7">
      <c r="A77" s="60"/>
      <c r="B77" s="60"/>
      <c r="C77" s="60"/>
      <c r="D77" s="60"/>
      <c r="E77" s="60"/>
      <c r="F77" s="60"/>
      <c r="G77" s="60"/>
    </row>
    <row r="78" spans="1:7">
      <c r="A78" s="60"/>
      <c r="B78" s="60"/>
      <c r="C78" s="60"/>
      <c r="D78" s="60"/>
      <c r="E78" s="60"/>
      <c r="F78" s="60"/>
      <c r="G78" s="60"/>
    </row>
    <row r="79" spans="1:7">
      <c r="A79" s="60"/>
      <c r="B79" s="60"/>
      <c r="C79" s="60"/>
      <c r="D79" s="60"/>
      <c r="E79" s="60"/>
      <c r="F79" s="60"/>
      <c r="G79" s="60"/>
    </row>
    <row r="80" spans="1:7">
      <c r="A80" s="60"/>
      <c r="B80" s="60"/>
      <c r="C80" s="60"/>
      <c r="D80" s="60"/>
      <c r="E80" s="60"/>
      <c r="F80" s="60"/>
      <c r="G80" s="60"/>
    </row>
    <row r="81" spans="1:7">
      <c r="A81" s="60"/>
      <c r="B81" s="60"/>
      <c r="C81" s="60"/>
      <c r="D81" s="60"/>
      <c r="E81" s="60"/>
      <c r="F81" s="60"/>
      <c r="G81" s="60"/>
    </row>
    <row r="82" spans="1:7">
      <c r="A82" s="60"/>
      <c r="B82" s="60"/>
      <c r="C82" s="60"/>
      <c r="D82" s="60"/>
      <c r="E82" s="60"/>
      <c r="F82" s="60"/>
      <c r="G82" s="60"/>
    </row>
    <row r="83" spans="1:7">
      <c r="A83" s="60"/>
      <c r="B83" s="60"/>
      <c r="C83" s="60"/>
      <c r="D83" s="60"/>
      <c r="E83" s="60"/>
      <c r="F83" s="60"/>
      <c r="G83" s="60"/>
    </row>
    <row r="84" spans="1:7">
      <c r="A84" s="60"/>
      <c r="B84" s="60"/>
      <c r="C84" s="60"/>
      <c r="D84" s="60"/>
      <c r="E84" s="60"/>
      <c r="F84" s="60"/>
      <c r="G84" s="60"/>
    </row>
    <row r="85" spans="1:7">
      <c r="A85" s="60"/>
      <c r="B85" s="60"/>
      <c r="C85" s="60"/>
      <c r="D85" s="60"/>
      <c r="E85" s="60"/>
      <c r="F85" s="60"/>
      <c r="G85" s="60"/>
    </row>
    <row r="86" spans="1:7">
      <c r="A86" s="60"/>
      <c r="B86" s="60"/>
      <c r="C86" s="60"/>
      <c r="D86" s="60"/>
      <c r="E86" s="60"/>
      <c r="F86" s="60"/>
      <c r="G86" s="60"/>
    </row>
    <row r="87" spans="1:7">
      <c r="A87" s="60"/>
      <c r="B87" s="60"/>
      <c r="C87" s="60"/>
      <c r="D87" s="60"/>
      <c r="E87" s="60"/>
      <c r="F87" s="60"/>
      <c r="G87" s="60"/>
    </row>
    <row r="88" spans="1:7">
      <c r="A88" s="60"/>
      <c r="B88" s="60"/>
      <c r="C88" s="60"/>
      <c r="D88" s="60"/>
      <c r="E88" s="60"/>
      <c r="F88" s="60"/>
      <c r="G88" s="60"/>
    </row>
    <row r="89" spans="1:7">
      <c r="A89" s="60"/>
      <c r="B89" s="60"/>
      <c r="C89" s="60"/>
      <c r="D89" s="60"/>
      <c r="E89" s="60"/>
      <c r="F89" s="60"/>
      <c r="G89" s="60"/>
    </row>
    <row r="90" spans="1:7">
      <c r="A90" s="60"/>
      <c r="B90" s="60"/>
      <c r="C90" s="60"/>
      <c r="D90" s="60"/>
      <c r="E90" s="60"/>
      <c r="F90" s="60"/>
      <c r="G90" s="60"/>
    </row>
    <row r="91" spans="1:7">
      <c r="A91" s="60"/>
      <c r="B91" s="60"/>
      <c r="C91" s="60"/>
      <c r="D91" s="60"/>
      <c r="E91" s="60"/>
      <c r="F91" s="60"/>
      <c r="G91" s="60"/>
    </row>
    <row r="92" spans="1:7">
      <c r="A92" s="60"/>
      <c r="B92" s="60"/>
      <c r="C92" s="60"/>
      <c r="D92" s="60"/>
      <c r="E92" s="60"/>
      <c r="F92" s="60"/>
      <c r="G92" s="60"/>
    </row>
    <row r="93" spans="1:7">
      <c r="A93" s="60"/>
      <c r="B93" s="60"/>
      <c r="C93" s="60"/>
      <c r="D93" s="60"/>
      <c r="E93" s="60"/>
      <c r="F93" s="60"/>
      <c r="G93" s="60"/>
    </row>
    <row r="94" spans="1:7">
      <c r="A94" s="60"/>
      <c r="B94" s="60"/>
      <c r="C94" s="60"/>
      <c r="D94" s="60"/>
      <c r="E94" s="60"/>
      <c r="F94" s="60"/>
      <c r="G94" s="60"/>
    </row>
    <row r="95" spans="1:7">
      <c r="A95" s="60"/>
      <c r="B95" s="60"/>
      <c r="C95" s="60"/>
      <c r="D95" s="60"/>
      <c r="E95" s="60"/>
      <c r="F95" s="60"/>
      <c r="G95" s="60"/>
    </row>
    <row r="96" spans="1:7">
      <c r="A96" s="60"/>
      <c r="B96" s="60"/>
      <c r="C96" s="60"/>
      <c r="D96" s="60"/>
      <c r="E96" s="60"/>
      <c r="F96" s="60"/>
      <c r="G96" s="60"/>
    </row>
    <row r="97" spans="1:7">
      <c r="A97" s="60"/>
      <c r="B97" s="60"/>
      <c r="C97" s="60"/>
      <c r="D97" s="60"/>
      <c r="E97" s="60"/>
      <c r="F97" s="60"/>
      <c r="G97" s="60"/>
    </row>
    <row r="98" spans="1:7">
      <c r="A98" s="60"/>
      <c r="B98" s="60"/>
      <c r="C98" s="60"/>
      <c r="D98" s="60"/>
      <c r="E98" s="60"/>
      <c r="F98" s="60"/>
      <c r="G98" s="60"/>
    </row>
    <row r="99" spans="1:7">
      <c r="A99" s="60"/>
      <c r="B99" s="60"/>
      <c r="C99" s="60"/>
      <c r="D99" s="60"/>
      <c r="E99" s="60"/>
      <c r="F99" s="60"/>
      <c r="G99" s="60"/>
    </row>
    <row r="100" spans="1:7">
      <c r="A100" s="60"/>
      <c r="B100" s="60"/>
      <c r="C100" s="60"/>
      <c r="D100" s="60"/>
      <c r="E100" s="60"/>
      <c r="F100" s="60"/>
      <c r="G100" s="60"/>
    </row>
    <row r="101" spans="1:7">
      <c r="A101" s="60"/>
      <c r="B101" s="60"/>
      <c r="C101" s="60"/>
      <c r="D101" s="60"/>
      <c r="E101" s="60"/>
      <c r="F101" s="60"/>
      <c r="G101" s="60"/>
    </row>
    <row r="102" spans="1:7">
      <c r="A102" s="60"/>
      <c r="B102" s="60"/>
      <c r="C102" s="60"/>
      <c r="D102" s="60"/>
      <c r="E102" s="60"/>
      <c r="F102" s="60"/>
      <c r="G102" s="60"/>
    </row>
    <row r="103" spans="1:7">
      <c r="A103" s="60"/>
      <c r="B103" s="60"/>
      <c r="C103" s="60"/>
      <c r="D103" s="60"/>
      <c r="E103" s="60"/>
      <c r="F103" s="60"/>
      <c r="G103" s="60"/>
    </row>
    <row r="104" spans="1:7">
      <c r="A104" s="60"/>
      <c r="B104" s="60"/>
      <c r="C104" s="60"/>
      <c r="D104" s="60"/>
      <c r="E104" s="60"/>
      <c r="F104" s="60"/>
      <c r="G104" s="60"/>
    </row>
    <row r="105" spans="1:7">
      <c r="A105" s="60"/>
      <c r="B105" s="60"/>
      <c r="C105" s="60"/>
      <c r="D105" s="60"/>
      <c r="E105" s="60"/>
      <c r="F105" s="60"/>
      <c r="G105" s="60"/>
    </row>
    <row r="106" spans="1:7">
      <c r="A106" s="60"/>
      <c r="B106" s="60"/>
      <c r="C106" s="60"/>
      <c r="D106" s="60"/>
      <c r="E106" s="60"/>
      <c r="F106" s="60"/>
      <c r="G106" s="60"/>
    </row>
    <row r="107" spans="1:7">
      <c r="A107" s="60"/>
      <c r="B107" s="60"/>
      <c r="C107" s="60"/>
      <c r="D107" s="60"/>
      <c r="E107" s="60"/>
      <c r="F107" s="60"/>
      <c r="G107" s="60"/>
    </row>
    <row r="108" spans="1:7">
      <c r="A108" s="60"/>
      <c r="B108" s="60"/>
      <c r="C108" s="60"/>
      <c r="D108" s="60"/>
      <c r="E108" s="60"/>
      <c r="F108" s="60"/>
      <c r="G108" s="60"/>
    </row>
    <row r="109" spans="1:7">
      <c r="A109" s="60"/>
      <c r="B109" s="60"/>
      <c r="C109" s="60"/>
      <c r="D109" s="60"/>
      <c r="E109" s="60"/>
      <c r="F109" s="60"/>
      <c r="G109" s="60"/>
    </row>
    <row r="110" spans="1:7">
      <c r="A110" s="60"/>
      <c r="B110" s="60"/>
      <c r="C110" s="60"/>
      <c r="D110" s="60"/>
      <c r="E110" s="60"/>
      <c r="F110" s="60"/>
      <c r="G110" s="60"/>
    </row>
    <row r="111" spans="1:7">
      <c r="A111" s="60"/>
      <c r="B111" s="81"/>
      <c r="C111" s="60"/>
      <c r="D111" s="81"/>
      <c r="E111" s="60"/>
      <c r="F111" s="60"/>
      <c r="G111" s="60"/>
    </row>
    <row r="112" spans="1:7">
      <c r="A112" s="60"/>
      <c r="B112" s="81"/>
      <c r="C112" s="60"/>
      <c r="D112" s="81"/>
      <c r="E112" s="60"/>
      <c r="F112" s="60"/>
      <c r="G112" s="60"/>
    </row>
    <row r="113" spans="1:7">
      <c r="A113" s="60"/>
      <c r="B113" s="81"/>
      <c r="C113" s="60"/>
      <c r="D113" s="81"/>
      <c r="E113" s="60"/>
      <c r="F113" s="60"/>
      <c r="G113" s="60"/>
    </row>
    <row r="114" spans="1:7">
      <c r="A114" s="60"/>
      <c r="B114" s="81"/>
      <c r="C114" s="60"/>
      <c r="D114" s="81"/>
      <c r="E114" s="60"/>
      <c r="F114" s="60"/>
      <c r="G114" s="60"/>
    </row>
    <row r="115" spans="1:7">
      <c r="A115" s="60"/>
      <c r="B115" s="81"/>
      <c r="C115" s="60"/>
      <c r="D115" s="81"/>
      <c r="E115" s="60"/>
      <c r="F115" s="60"/>
      <c r="G115" s="60"/>
    </row>
    <row r="116" spans="1:7">
      <c r="A116" s="60"/>
      <c r="B116" s="81"/>
      <c r="C116" s="60"/>
      <c r="D116" s="81"/>
      <c r="E116" s="60"/>
      <c r="F116" s="60"/>
      <c r="G116" s="60"/>
    </row>
    <row r="117" spans="1:7">
      <c r="A117" s="60"/>
      <c r="B117" s="81"/>
      <c r="C117" s="60"/>
      <c r="D117" s="81"/>
      <c r="E117" s="60"/>
      <c r="F117" s="60"/>
      <c r="G117" s="60"/>
    </row>
    <row r="118" spans="1:7">
      <c r="A118" s="60"/>
      <c r="B118" s="81"/>
      <c r="C118" s="60"/>
      <c r="D118" s="81"/>
      <c r="E118" s="60"/>
      <c r="F118" s="60"/>
      <c r="G118" s="60"/>
    </row>
    <row r="119" spans="1:7">
      <c r="A119" s="60"/>
      <c r="B119" s="81"/>
      <c r="C119" s="60"/>
      <c r="D119" s="81"/>
      <c r="E119" s="60"/>
      <c r="F119" s="60"/>
      <c r="G119" s="60"/>
    </row>
    <row r="120" spans="1:7">
      <c r="A120" s="60"/>
      <c r="B120" s="81"/>
      <c r="C120" s="60"/>
      <c r="D120" s="81"/>
      <c r="E120" s="60"/>
      <c r="F120" s="60"/>
      <c r="G120" s="60"/>
    </row>
    <row r="121" spans="1:7">
      <c r="A121" s="60"/>
      <c r="B121" s="81"/>
      <c r="C121" s="60"/>
      <c r="D121" s="81"/>
      <c r="E121" s="60"/>
      <c r="F121" s="60"/>
      <c r="G121" s="60"/>
    </row>
    <row r="122" spans="1:7">
      <c r="A122" s="60"/>
      <c r="B122" s="81"/>
      <c r="C122" s="60"/>
      <c r="D122" s="81"/>
      <c r="E122" s="60"/>
      <c r="F122" s="60"/>
      <c r="G122" s="60"/>
    </row>
    <row r="123" spans="1:7">
      <c r="A123" s="60"/>
      <c r="B123" s="81"/>
      <c r="C123" s="60"/>
      <c r="D123" s="81"/>
      <c r="E123" s="60"/>
      <c r="F123" s="60"/>
      <c r="G123" s="60"/>
    </row>
    <row r="124" spans="1:7">
      <c r="A124" s="60"/>
      <c r="B124" s="81"/>
      <c r="C124" s="60"/>
      <c r="D124" s="81"/>
      <c r="E124" s="60"/>
      <c r="F124" s="60"/>
      <c r="G124" s="60"/>
    </row>
    <row r="125" spans="1:7">
      <c r="A125" s="60"/>
      <c r="B125" s="81"/>
      <c r="C125" s="60"/>
      <c r="D125" s="81"/>
      <c r="E125" s="60"/>
      <c r="F125" s="60"/>
      <c r="G125" s="60"/>
    </row>
    <row r="126" spans="1:7">
      <c r="A126" s="60"/>
      <c r="B126" s="81"/>
      <c r="C126" s="60"/>
      <c r="D126" s="81"/>
      <c r="E126" s="60"/>
      <c r="F126" s="60"/>
      <c r="G126" s="60"/>
    </row>
    <row r="127" spans="1:7">
      <c r="A127" s="60"/>
      <c r="B127" s="81"/>
      <c r="C127" s="60"/>
      <c r="D127" s="81"/>
      <c r="E127" s="60"/>
      <c r="F127" s="60"/>
      <c r="G127" s="60"/>
    </row>
    <row r="128" spans="1:7">
      <c r="A128" s="60"/>
      <c r="B128" s="81"/>
      <c r="C128" s="60"/>
      <c r="D128" s="81"/>
      <c r="E128" s="60"/>
      <c r="F128" s="60"/>
      <c r="G128" s="60"/>
    </row>
    <row r="129" spans="1:7">
      <c r="A129" s="60"/>
      <c r="B129" s="81"/>
      <c r="C129" s="60"/>
      <c r="D129" s="81"/>
      <c r="E129" s="60"/>
      <c r="F129" s="60"/>
      <c r="G129" s="60"/>
    </row>
    <row r="130" spans="1:7">
      <c r="A130" s="60"/>
      <c r="B130" s="81"/>
      <c r="C130" s="60"/>
      <c r="D130" s="81"/>
      <c r="E130" s="60"/>
      <c r="F130" s="60"/>
      <c r="G130" s="60"/>
    </row>
    <row r="131" spans="1:7">
      <c r="A131" s="60"/>
      <c r="B131" s="81"/>
      <c r="C131" s="60"/>
      <c r="D131" s="81"/>
      <c r="E131" s="60"/>
      <c r="F131" s="60"/>
      <c r="G131" s="60"/>
    </row>
    <row r="132" spans="1:7">
      <c r="A132" s="60"/>
      <c r="B132" s="81"/>
      <c r="C132" s="60"/>
      <c r="D132" s="81"/>
      <c r="E132" s="60"/>
      <c r="F132" s="60"/>
      <c r="G132" s="60"/>
    </row>
    <row r="133" spans="1:7">
      <c r="A133" s="60"/>
      <c r="B133" s="81"/>
      <c r="C133" s="60"/>
      <c r="D133" s="81"/>
      <c r="E133" s="60"/>
      <c r="F133" s="60"/>
      <c r="G133" s="60"/>
    </row>
    <row r="134" spans="1:7">
      <c r="A134" s="60"/>
      <c r="B134" s="81"/>
      <c r="C134" s="60"/>
      <c r="D134" s="81"/>
      <c r="E134" s="60"/>
      <c r="F134" s="60"/>
      <c r="G134" s="60"/>
    </row>
    <row r="135" spans="1:7">
      <c r="A135" s="60"/>
      <c r="B135" s="81"/>
      <c r="C135" s="60"/>
      <c r="D135" s="81"/>
      <c r="E135" s="60"/>
      <c r="F135" s="60"/>
      <c r="G135" s="60"/>
    </row>
    <row r="136" spans="1:7">
      <c r="A136" s="60"/>
      <c r="B136" s="81"/>
      <c r="C136" s="60"/>
      <c r="D136" s="81"/>
      <c r="E136" s="60"/>
      <c r="F136" s="60"/>
      <c r="G136" s="60"/>
    </row>
    <row r="137" spans="1:7">
      <c r="A137" s="60"/>
      <c r="B137" s="81"/>
      <c r="C137" s="60"/>
      <c r="D137" s="81"/>
      <c r="E137" s="60"/>
      <c r="F137" s="60"/>
      <c r="G137" s="60"/>
    </row>
    <row r="138" spans="1:7">
      <c r="A138" s="60"/>
      <c r="B138" s="81"/>
      <c r="C138" s="60"/>
      <c r="D138" s="81"/>
      <c r="E138" s="60"/>
      <c r="F138" s="60"/>
      <c r="G138" s="60"/>
    </row>
    <row r="139" spans="1:7">
      <c r="A139" s="60"/>
      <c r="B139" s="81"/>
      <c r="C139" s="60"/>
      <c r="D139" s="81"/>
      <c r="E139" s="60"/>
      <c r="F139" s="60"/>
      <c r="G139" s="60"/>
    </row>
    <row r="140" spans="1:7">
      <c r="A140" s="60"/>
      <c r="B140" s="81"/>
      <c r="C140" s="60"/>
      <c r="D140" s="81"/>
      <c r="E140" s="60"/>
      <c r="F140" s="60"/>
      <c r="G140" s="60"/>
    </row>
    <row r="141" spans="1:7">
      <c r="A141" s="60"/>
      <c r="B141" s="81"/>
      <c r="C141" s="60"/>
      <c r="D141" s="81"/>
      <c r="E141" s="60"/>
      <c r="F141" s="60"/>
      <c r="G141" s="60"/>
    </row>
    <row r="142" spans="1:7">
      <c r="A142" s="60"/>
      <c r="B142" s="81"/>
      <c r="C142" s="60"/>
      <c r="D142" s="81"/>
      <c r="E142" s="60"/>
      <c r="F142" s="60"/>
      <c r="G142" s="60"/>
    </row>
    <row r="143" spans="1:7">
      <c r="A143" s="60"/>
      <c r="B143" s="81"/>
      <c r="C143" s="60"/>
      <c r="D143" s="81"/>
      <c r="E143" s="60"/>
      <c r="F143" s="60"/>
      <c r="G143" s="60"/>
    </row>
    <row r="144" spans="1:7">
      <c r="A144" s="60"/>
      <c r="B144" s="81"/>
      <c r="C144" s="60"/>
      <c r="D144" s="81"/>
      <c r="E144" s="60"/>
      <c r="F144" s="60"/>
      <c r="G144" s="60"/>
    </row>
    <row r="145" spans="1:7">
      <c r="A145" s="60"/>
      <c r="B145" s="81"/>
      <c r="C145" s="60"/>
      <c r="D145" s="81"/>
      <c r="E145" s="60"/>
      <c r="F145" s="60"/>
      <c r="G145" s="60"/>
    </row>
    <row r="146" spans="1:7">
      <c r="A146" s="60"/>
      <c r="B146" s="81"/>
      <c r="C146" s="60"/>
      <c r="D146" s="81"/>
      <c r="E146" s="60"/>
      <c r="F146" s="60"/>
      <c r="G146" s="60"/>
    </row>
    <row r="147" spans="1:7">
      <c r="A147" s="60"/>
      <c r="B147" s="81"/>
      <c r="C147" s="60"/>
      <c r="D147" s="81"/>
      <c r="E147" s="60"/>
      <c r="F147" s="60"/>
      <c r="G147" s="60"/>
    </row>
    <row r="148" spans="1:7">
      <c r="A148" s="60"/>
      <c r="B148" s="81"/>
      <c r="C148" s="60"/>
      <c r="D148" s="81"/>
      <c r="E148" s="60"/>
      <c r="F148" s="60"/>
      <c r="G148" s="60"/>
    </row>
    <row r="149" spans="1:7">
      <c r="A149" s="60"/>
      <c r="B149" s="81"/>
      <c r="C149" s="60"/>
      <c r="D149" s="81"/>
      <c r="E149" s="60"/>
      <c r="F149" s="60"/>
      <c r="G149" s="60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B084"/>
  </sheetPr>
  <dimension ref="A1:BA149"/>
  <sheetViews>
    <sheetView workbookViewId="0">
      <pane xSplit="4" ySplit="3" topLeftCell="E4" activePane="bottomRight" state="frozen"/>
      <selection pane="topRight"/>
      <selection pane="bottomLeft"/>
      <selection pane="bottomRight" activeCell="I3" sqref="I3"/>
    </sheetView>
  </sheetViews>
  <sheetFormatPr defaultRowHeight="14.5"/>
  <cols>
    <col min="1" max="1" width="36" bestFit="1" customWidth="1"/>
    <col min="2" max="2" width="4.453125" style="54" customWidth="1"/>
    <col min="3" max="3" width="19.90625" style="49" customWidth="1"/>
    <col min="4" max="4" width="7.6328125" style="54" customWidth="1"/>
    <col min="5" max="5" width="9.1796875" bestFit="1" customWidth="1"/>
    <col min="6" max="7" width="10.7265625" bestFit="1" customWidth="1"/>
    <col min="8" max="8" width="10.7265625" style="206" customWidth="1"/>
    <col min="9" max="9" width="10.7265625" bestFit="1" customWidth="1"/>
    <col min="10" max="10" width="11.7265625" bestFit="1" customWidth="1"/>
    <col min="11" max="17" width="10.7265625" bestFit="1" customWidth="1"/>
  </cols>
  <sheetData>
    <row r="1" spans="1:53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2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</row>
    <row r="2" spans="1:53" s="216" customFormat="1">
      <c r="A2" s="223" t="s">
        <v>0</v>
      </c>
      <c r="B2" s="224"/>
      <c r="C2" s="224"/>
      <c r="D2" s="224"/>
      <c r="E2" s="225">
        <v>45657</v>
      </c>
      <c r="F2" s="225">
        <v>46022</v>
      </c>
      <c r="G2" s="225">
        <v>46112</v>
      </c>
      <c r="H2" s="225">
        <v>46203</v>
      </c>
      <c r="I2" s="225">
        <v>46022</v>
      </c>
      <c r="J2" s="225">
        <v>46112</v>
      </c>
      <c r="K2" s="225">
        <v>46203</v>
      </c>
      <c r="L2" s="225">
        <v>46295</v>
      </c>
      <c r="M2" s="225">
        <v>46387</v>
      </c>
      <c r="N2" s="225">
        <v>46477</v>
      </c>
      <c r="O2" s="225">
        <v>46568</v>
      </c>
      <c r="P2" s="225">
        <v>46660</v>
      </c>
      <c r="Q2" s="388">
        <v>46752</v>
      </c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</row>
    <row r="3" spans="1:53" s="219" customFormat="1">
      <c r="A3" s="68"/>
      <c r="B3" s="217"/>
      <c r="C3" s="217"/>
      <c r="D3" s="217"/>
      <c r="E3" s="218" t="s">
        <v>1</v>
      </c>
      <c r="F3" s="68"/>
      <c r="G3" s="68"/>
      <c r="H3" s="218"/>
      <c r="I3" s="218" t="s">
        <v>2</v>
      </c>
      <c r="J3" s="68"/>
      <c r="K3" s="68"/>
      <c r="L3" s="68"/>
      <c r="M3" s="68"/>
      <c r="N3" s="389"/>
      <c r="O3" s="389"/>
      <c r="P3" s="389"/>
      <c r="Q3" s="389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</row>
    <row r="4" spans="1:53" s="56" customFormat="1" ht="18.5" customHeight="1">
      <c r="A4" s="220"/>
      <c r="B4" s="227" t="s">
        <v>2</v>
      </c>
      <c r="C4" s="228" t="s">
        <v>3</v>
      </c>
      <c r="D4" s="227" t="s">
        <v>4</v>
      </c>
      <c r="E4" s="229"/>
      <c r="F4" s="229"/>
      <c r="G4" s="229"/>
      <c r="H4" s="220"/>
      <c r="I4" s="229"/>
      <c r="J4" s="229"/>
      <c r="K4" s="229"/>
      <c r="L4" s="229"/>
      <c r="M4" s="229"/>
      <c r="N4" s="229"/>
      <c r="O4" s="390"/>
      <c r="P4" s="390"/>
      <c r="Q4" s="390"/>
      <c r="R4" s="220"/>
      <c r="S4" s="220"/>
      <c r="T4" s="220"/>
      <c r="U4" s="220"/>
      <c r="V4" s="220"/>
      <c r="W4" s="220"/>
      <c r="X4" s="220"/>
      <c r="Y4" s="222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</row>
    <row r="5" spans="1:53" s="48" customFormat="1">
      <c r="A5" s="230" t="s">
        <v>336</v>
      </c>
      <c r="B5" s="231"/>
      <c r="C5" s="232"/>
      <c r="D5" s="231"/>
      <c r="E5" s="229"/>
      <c r="F5" s="229"/>
      <c r="G5" s="229"/>
      <c r="H5" s="220"/>
      <c r="I5" s="229"/>
      <c r="J5" s="229"/>
      <c r="K5" s="229"/>
      <c r="L5" s="229"/>
      <c r="M5" s="229"/>
      <c r="N5" s="229"/>
      <c r="O5" s="390"/>
      <c r="P5" s="390"/>
      <c r="Q5" s="390"/>
      <c r="R5" s="220"/>
      <c r="S5" s="220"/>
      <c r="T5" s="220"/>
      <c r="U5" s="220"/>
      <c r="V5" s="220"/>
      <c r="W5" s="220"/>
      <c r="X5" s="220"/>
      <c r="Y5" s="222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</row>
    <row r="6" spans="1:53">
      <c r="A6" s="233" t="s">
        <v>337</v>
      </c>
      <c r="B6" s="234" t="s">
        <v>7</v>
      </c>
      <c r="C6" s="235" t="s">
        <v>8</v>
      </c>
      <c r="D6" s="236" t="s">
        <v>167</v>
      </c>
      <c r="E6" s="237"/>
      <c r="F6" s="238">
        <v>375000</v>
      </c>
      <c r="G6" s="238">
        <v>375000</v>
      </c>
      <c r="H6" s="220"/>
      <c r="I6" s="239">
        <v>375000</v>
      </c>
      <c r="J6" s="240">
        <v>375000</v>
      </c>
      <c r="K6" s="241">
        <v>375000</v>
      </c>
      <c r="L6" s="241">
        <v>375000</v>
      </c>
      <c r="M6" s="241">
        <v>375000</v>
      </c>
      <c r="N6" s="391">
        <v>375000</v>
      </c>
      <c r="O6" s="391">
        <v>375000</v>
      </c>
      <c r="P6" s="391">
        <v>375000</v>
      </c>
      <c r="Q6" s="391">
        <v>375000</v>
      </c>
      <c r="R6" s="220"/>
      <c r="S6" s="220"/>
      <c r="T6" s="220"/>
      <c r="U6" s="220"/>
      <c r="V6" s="220"/>
      <c r="W6" s="220"/>
      <c r="X6" s="220"/>
      <c r="Y6" s="222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20"/>
      <c r="AY6" s="220"/>
      <c r="AZ6" s="220"/>
      <c r="BA6" s="220"/>
    </row>
    <row r="7" spans="1:53">
      <c r="A7" s="233" t="s">
        <v>338</v>
      </c>
      <c r="B7" s="234" t="s">
        <v>7</v>
      </c>
      <c r="C7" s="235" t="s">
        <v>8</v>
      </c>
      <c r="D7" s="236" t="s">
        <v>339</v>
      </c>
      <c r="E7" s="220"/>
      <c r="F7" s="238">
        <v>0</v>
      </c>
      <c r="G7" s="238">
        <v>0</v>
      </c>
      <c r="H7" s="220"/>
      <c r="I7" s="239">
        <v>0</v>
      </c>
      <c r="J7" s="243">
        <v>0</v>
      </c>
      <c r="K7" s="241">
        <v>0</v>
      </c>
      <c r="L7" s="241">
        <v>0</v>
      </c>
      <c r="M7" s="241">
        <v>0</v>
      </c>
      <c r="N7" s="391">
        <v>0</v>
      </c>
      <c r="O7" s="391">
        <v>0</v>
      </c>
      <c r="P7" s="391">
        <v>0</v>
      </c>
      <c r="Q7" s="391">
        <v>0</v>
      </c>
      <c r="R7" s="220"/>
      <c r="S7" s="220"/>
      <c r="T7" s="220"/>
      <c r="U7" s="220"/>
      <c r="V7" s="220"/>
      <c r="W7" s="220"/>
      <c r="X7" s="220"/>
      <c r="Y7" s="222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20"/>
      <c r="AY7" s="220"/>
      <c r="AZ7" s="220"/>
      <c r="BA7" s="220"/>
    </row>
    <row r="8" spans="1:53">
      <c r="A8" s="233" t="s">
        <v>340</v>
      </c>
      <c r="B8" s="234" t="s">
        <v>7</v>
      </c>
      <c r="C8" s="235" t="s">
        <v>8</v>
      </c>
      <c r="D8" s="236" t="s">
        <v>341</v>
      </c>
      <c r="E8" s="220"/>
      <c r="F8" s="238">
        <v>0</v>
      </c>
      <c r="G8" s="238">
        <v>25750</v>
      </c>
      <c r="H8" s="220"/>
      <c r="I8" s="239">
        <v>0</v>
      </c>
      <c r="J8" s="240">
        <v>25750</v>
      </c>
      <c r="K8" s="241">
        <v>25750</v>
      </c>
      <c r="L8" s="241">
        <v>25750</v>
      </c>
      <c r="M8" s="241">
        <v>25750</v>
      </c>
      <c r="N8" s="391">
        <v>25750</v>
      </c>
      <c r="O8" s="391">
        <v>25750</v>
      </c>
      <c r="P8" s="391">
        <v>25750</v>
      </c>
      <c r="Q8" s="391">
        <v>25750</v>
      </c>
      <c r="R8" s="220"/>
      <c r="S8" s="220"/>
      <c r="T8" s="220"/>
      <c r="U8" s="242"/>
      <c r="V8" s="220"/>
      <c r="W8" s="220"/>
      <c r="X8" s="220"/>
      <c r="Y8" s="222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</row>
    <row r="9" spans="1:53">
      <c r="A9" s="233" t="s">
        <v>342</v>
      </c>
      <c r="B9" s="244" t="s">
        <v>7</v>
      </c>
      <c r="C9" s="244" t="s">
        <v>8</v>
      </c>
      <c r="D9" s="244" t="s">
        <v>343</v>
      </c>
      <c r="E9" s="220"/>
      <c r="F9" s="238">
        <v>31250</v>
      </c>
      <c r="G9" s="238">
        <v>31250</v>
      </c>
      <c r="H9" s="220"/>
      <c r="I9" s="239">
        <v>31250</v>
      </c>
      <c r="J9" s="240">
        <v>31250</v>
      </c>
      <c r="K9" s="241">
        <v>31250</v>
      </c>
      <c r="L9" s="241">
        <v>31250</v>
      </c>
      <c r="M9" s="241">
        <v>31250</v>
      </c>
      <c r="N9" s="391">
        <v>31250</v>
      </c>
      <c r="O9" s="391">
        <v>31250</v>
      </c>
      <c r="P9" s="391">
        <v>31250</v>
      </c>
      <c r="Q9" s="391">
        <v>31250</v>
      </c>
      <c r="R9" s="220"/>
      <c r="S9" s="220"/>
      <c r="T9" s="220"/>
      <c r="U9" s="220"/>
      <c r="V9" s="220"/>
      <c r="W9" s="220"/>
      <c r="X9" s="220"/>
      <c r="Y9" s="222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20"/>
      <c r="AY9" s="220"/>
      <c r="AZ9" s="220"/>
      <c r="BA9" s="220"/>
    </row>
    <row r="10" spans="1:53">
      <c r="A10" s="244" t="s">
        <v>344</v>
      </c>
      <c r="B10" s="244" t="s">
        <v>7</v>
      </c>
      <c r="C10" s="244" t="s">
        <v>8</v>
      </c>
      <c r="D10" s="244" t="s">
        <v>345</v>
      </c>
      <c r="E10" s="220"/>
      <c r="F10" s="238">
        <v>0</v>
      </c>
      <c r="G10" s="238">
        <v>0</v>
      </c>
      <c r="H10" s="242"/>
      <c r="I10" s="239">
        <v>0</v>
      </c>
      <c r="J10" s="239">
        <v>0</v>
      </c>
      <c r="K10" s="239">
        <v>0</v>
      </c>
      <c r="L10" s="239">
        <v>0</v>
      </c>
      <c r="M10" s="239">
        <v>0</v>
      </c>
      <c r="N10" s="239">
        <v>0</v>
      </c>
      <c r="O10" s="239">
        <v>0</v>
      </c>
      <c r="P10" s="239">
        <v>0</v>
      </c>
      <c r="Q10" s="239">
        <v>0</v>
      </c>
      <c r="R10" s="220"/>
      <c r="S10" s="220"/>
      <c r="T10" s="220"/>
      <c r="U10" s="220"/>
      <c r="V10" s="220"/>
      <c r="W10" s="220"/>
      <c r="X10" s="220"/>
      <c r="Y10" s="222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0"/>
      <c r="AX10" s="220"/>
      <c r="AY10" s="220"/>
      <c r="AZ10" s="220"/>
      <c r="BA10" s="220"/>
    </row>
    <row r="11" spans="1:53">
      <c r="A11" s="244" t="s">
        <v>346</v>
      </c>
      <c r="B11" s="244" t="s">
        <v>7</v>
      </c>
      <c r="C11" s="244" t="s">
        <v>8</v>
      </c>
      <c r="D11" s="244" t="s">
        <v>347</v>
      </c>
      <c r="E11" s="242"/>
      <c r="F11" s="238">
        <v>87500</v>
      </c>
      <c r="G11" s="238">
        <v>87500</v>
      </c>
      <c r="H11" s="220"/>
      <c r="I11" s="239">
        <v>87500</v>
      </c>
      <c r="J11" s="239">
        <v>87500</v>
      </c>
      <c r="K11" s="239">
        <v>0</v>
      </c>
      <c r="L11" s="239">
        <v>0</v>
      </c>
      <c r="M11" s="239">
        <v>0</v>
      </c>
      <c r="N11" s="239">
        <v>0</v>
      </c>
      <c r="O11" s="239">
        <v>0</v>
      </c>
      <c r="P11" s="239">
        <v>0</v>
      </c>
      <c r="Q11" s="239">
        <v>0</v>
      </c>
      <c r="R11" s="220"/>
      <c r="S11" s="220"/>
      <c r="T11" s="220"/>
      <c r="U11" s="220"/>
      <c r="V11" s="220"/>
      <c r="W11" s="220"/>
      <c r="X11" s="220"/>
      <c r="Y11" s="222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</row>
    <row r="12" spans="1:53">
      <c r="A12" s="245" t="s">
        <v>32</v>
      </c>
      <c r="B12" s="220"/>
      <c r="C12" s="220"/>
      <c r="D12" s="220"/>
      <c r="E12" s="242"/>
      <c r="F12" s="238">
        <v>493750</v>
      </c>
      <c r="G12" s="238">
        <v>519500</v>
      </c>
      <c r="H12" s="246"/>
      <c r="I12" s="242">
        <v>493750</v>
      </c>
      <c r="J12" s="242">
        <f t="shared" ref="J12:Q12" si="0">SUM(J6:J11)</f>
        <v>519500</v>
      </c>
      <c r="K12" s="242">
        <f t="shared" si="0"/>
        <v>432000</v>
      </c>
      <c r="L12" s="242">
        <f t="shared" si="0"/>
        <v>432000</v>
      </c>
      <c r="M12" s="242">
        <f t="shared" si="0"/>
        <v>432000</v>
      </c>
      <c r="N12" s="242">
        <f t="shared" si="0"/>
        <v>432000</v>
      </c>
      <c r="O12" s="242">
        <f t="shared" si="0"/>
        <v>432000</v>
      </c>
      <c r="P12" s="242">
        <f t="shared" si="0"/>
        <v>432000</v>
      </c>
      <c r="Q12" s="242">
        <f t="shared" si="0"/>
        <v>432000</v>
      </c>
      <c r="R12" s="220"/>
      <c r="S12" s="220"/>
      <c r="T12" s="220"/>
      <c r="U12" s="220"/>
      <c r="V12" s="220"/>
      <c r="W12" s="220"/>
      <c r="X12" s="220"/>
      <c r="Y12" s="222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</row>
    <row r="13" spans="1:53">
      <c r="A13" s="244" t="s">
        <v>33</v>
      </c>
      <c r="B13" s="220"/>
      <c r="C13" s="220"/>
      <c r="D13" s="220"/>
      <c r="E13" s="220"/>
      <c r="F13" s="220"/>
      <c r="G13" s="220"/>
      <c r="H13" s="246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2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</row>
    <row r="14" spans="1:53">
      <c r="A14" s="220" t="str">
        <f t="shared" ref="A14:A19" si="1">+A6</f>
        <v>Managing Member (SK)</v>
      </c>
      <c r="B14" s="244" t="s">
        <v>7</v>
      </c>
      <c r="C14" s="244" t="s">
        <v>34</v>
      </c>
      <c r="D14" s="244" t="s">
        <v>167</v>
      </c>
      <c r="E14" s="222"/>
      <c r="F14" s="247">
        <v>0</v>
      </c>
      <c r="G14" s="247">
        <v>0</v>
      </c>
      <c r="H14" s="220"/>
      <c r="I14" s="241">
        <v>0</v>
      </c>
      <c r="J14" s="241">
        <v>0</v>
      </c>
      <c r="K14" s="241">
        <v>0</v>
      </c>
      <c r="L14" s="241">
        <v>0</v>
      </c>
      <c r="M14" s="241">
        <v>0</v>
      </c>
      <c r="N14" s="391">
        <v>0</v>
      </c>
      <c r="O14" s="391">
        <v>0</v>
      </c>
      <c r="P14" s="391">
        <v>0</v>
      </c>
      <c r="Q14" s="391">
        <v>0</v>
      </c>
      <c r="R14" s="220"/>
      <c r="S14" s="220"/>
      <c r="T14" s="220"/>
      <c r="U14" s="220"/>
      <c r="V14" s="220"/>
      <c r="W14" s="220"/>
      <c r="X14" s="220"/>
      <c r="Y14" s="222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</row>
    <row r="15" spans="1:53">
      <c r="A15" s="220" t="str">
        <f t="shared" si="1"/>
        <v>Philanropy senior exec (LM) (100%roots)</v>
      </c>
      <c r="B15" s="244" t="s">
        <v>7</v>
      </c>
      <c r="C15" s="244" t="s">
        <v>34</v>
      </c>
      <c r="D15" s="244" t="s">
        <v>339</v>
      </c>
      <c r="E15" s="242"/>
      <c r="F15" s="247">
        <v>0</v>
      </c>
      <c r="G15" s="247">
        <v>0</v>
      </c>
      <c r="H15" s="220"/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391">
        <v>0</v>
      </c>
      <c r="O15" s="391">
        <v>0</v>
      </c>
      <c r="P15" s="391">
        <v>0</v>
      </c>
      <c r="Q15" s="391">
        <v>0</v>
      </c>
      <c r="R15" s="220"/>
      <c r="S15" s="220"/>
      <c r="T15" s="220"/>
      <c r="U15" s="220"/>
      <c r="V15" s="220"/>
      <c r="W15" s="220"/>
      <c r="X15" s="220"/>
      <c r="Y15" s="222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</row>
    <row r="16" spans="1:53">
      <c r="A16" s="220" t="str">
        <f t="shared" si="1"/>
        <v>Bookkeeper (DD)</v>
      </c>
      <c r="B16" s="244" t="s">
        <v>7</v>
      </c>
      <c r="C16" s="244" t="s">
        <v>34</v>
      </c>
      <c r="D16" s="244" t="s">
        <v>341</v>
      </c>
      <c r="E16" s="242"/>
      <c r="F16" s="247">
        <v>10000</v>
      </c>
      <c r="G16" s="247">
        <v>0</v>
      </c>
      <c r="H16" s="220"/>
      <c r="I16" s="241">
        <v>10000</v>
      </c>
      <c r="J16" s="241">
        <v>0</v>
      </c>
      <c r="K16" s="241">
        <v>0</v>
      </c>
      <c r="L16" s="241">
        <v>0</v>
      </c>
      <c r="M16" s="241">
        <v>5000</v>
      </c>
      <c r="N16" s="391">
        <v>5000</v>
      </c>
      <c r="O16" s="391">
        <v>5000</v>
      </c>
      <c r="P16" s="391">
        <v>5000</v>
      </c>
      <c r="Q16" s="391">
        <v>5000</v>
      </c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</row>
    <row r="17" spans="1:53">
      <c r="A17" s="220" t="str">
        <f t="shared" si="1"/>
        <v>Personal Assistant (CD)</v>
      </c>
      <c r="B17" s="244" t="s">
        <v>7</v>
      </c>
      <c r="C17" s="244" t="s">
        <v>34</v>
      </c>
      <c r="D17" s="244" t="s">
        <v>343</v>
      </c>
      <c r="E17" s="242"/>
      <c r="F17" s="247">
        <v>0</v>
      </c>
      <c r="G17" s="247">
        <v>0</v>
      </c>
      <c r="H17" s="248"/>
      <c r="I17" s="241">
        <v>0</v>
      </c>
      <c r="J17" s="241">
        <v>0</v>
      </c>
      <c r="K17" s="241">
        <v>0</v>
      </c>
      <c r="L17" s="241">
        <v>0</v>
      </c>
      <c r="M17" s="241">
        <v>15000</v>
      </c>
      <c r="N17" s="391">
        <v>15000</v>
      </c>
      <c r="O17" s="391">
        <v>15000</v>
      </c>
      <c r="P17" s="391">
        <v>15000</v>
      </c>
      <c r="Q17" s="391">
        <v>15000</v>
      </c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</row>
    <row r="18" spans="1:53">
      <c r="A18" s="220" t="str">
        <f t="shared" si="1"/>
        <v>philanthropy assist (100%roots)</v>
      </c>
      <c r="B18" s="244" t="s">
        <v>7</v>
      </c>
      <c r="C18" s="244" t="s">
        <v>34</v>
      </c>
      <c r="D18" s="244" t="s">
        <v>345</v>
      </c>
      <c r="E18" s="242"/>
      <c r="F18" s="247">
        <v>0</v>
      </c>
      <c r="G18" s="247">
        <v>0</v>
      </c>
      <c r="H18" s="248"/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391">
        <v>0</v>
      </c>
      <c r="O18" s="391">
        <v>0</v>
      </c>
      <c r="P18" s="391">
        <v>0</v>
      </c>
      <c r="Q18" s="391">
        <v>0</v>
      </c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</row>
    <row r="19" spans="1:53">
      <c r="A19" s="220" t="str">
        <f t="shared" si="1"/>
        <v>TM (gone)</v>
      </c>
      <c r="B19" s="244" t="s">
        <v>7</v>
      </c>
      <c r="C19" s="244" t="s">
        <v>34</v>
      </c>
      <c r="D19" s="244" t="s">
        <v>347</v>
      </c>
      <c r="E19" s="242"/>
      <c r="F19" s="247">
        <v>0</v>
      </c>
      <c r="G19" s="247">
        <v>320000</v>
      </c>
      <c r="H19" s="242"/>
      <c r="I19" s="241">
        <v>0</v>
      </c>
      <c r="J19" s="241">
        <v>320000</v>
      </c>
      <c r="K19" s="241">
        <v>0</v>
      </c>
      <c r="L19" s="241">
        <v>0</v>
      </c>
      <c r="M19" s="241">
        <v>500000</v>
      </c>
      <c r="N19" s="391">
        <v>500000</v>
      </c>
      <c r="O19" s="391">
        <v>500000</v>
      </c>
      <c r="P19" s="391">
        <v>500000</v>
      </c>
      <c r="Q19" s="391">
        <v>500000</v>
      </c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</row>
    <row r="20" spans="1:53">
      <c r="A20" s="245" t="s">
        <v>32</v>
      </c>
      <c r="B20" s="220"/>
      <c r="C20" s="220"/>
      <c r="D20" s="220"/>
      <c r="E20" s="242"/>
      <c r="F20" s="238">
        <v>10000</v>
      </c>
      <c r="G20" s="238">
        <v>320000</v>
      </c>
      <c r="H20" s="220"/>
      <c r="I20" s="242">
        <v>10000</v>
      </c>
      <c r="J20" s="242">
        <f t="shared" ref="J20:Q20" si="2">SUM(J14:J19)</f>
        <v>320000</v>
      </c>
      <c r="K20" s="242">
        <f t="shared" si="2"/>
        <v>0</v>
      </c>
      <c r="L20" s="242">
        <f t="shared" si="2"/>
        <v>0</v>
      </c>
      <c r="M20" s="242">
        <f t="shared" si="2"/>
        <v>520000</v>
      </c>
      <c r="N20" s="242">
        <f t="shared" si="2"/>
        <v>520000</v>
      </c>
      <c r="O20" s="242">
        <f t="shared" si="2"/>
        <v>520000</v>
      </c>
      <c r="P20" s="242">
        <f t="shared" si="2"/>
        <v>520000</v>
      </c>
      <c r="Q20" s="242">
        <f t="shared" si="2"/>
        <v>520000</v>
      </c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</row>
    <row r="21" spans="1:53">
      <c r="A21" s="249"/>
      <c r="B21" s="220"/>
      <c r="C21" s="220"/>
      <c r="D21" s="220"/>
      <c r="E21" s="242"/>
      <c r="F21" s="242"/>
      <c r="G21" s="242"/>
      <c r="H21" s="222"/>
      <c r="I21" s="242"/>
      <c r="J21" s="242"/>
      <c r="K21" s="242"/>
      <c r="L21" s="242"/>
      <c r="M21" s="242"/>
      <c r="N21" s="242"/>
      <c r="O21" s="242"/>
      <c r="P21" s="242"/>
      <c r="Q21" s="242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</row>
    <row r="22" spans="1:53">
      <c r="A22" s="244" t="s">
        <v>32</v>
      </c>
      <c r="B22" s="220"/>
      <c r="C22" s="220"/>
      <c r="D22" s="220"/>
      <c r="E22" s="220"/>
      <c r="F22" s="220"/>
      <c r="G22" s="220"/>
      <c r="H22" s="242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</row>
    <row r="23" spans="1:53">
      <c r="A23" s="220" t="str">
        <f t="shared" ref="A23:A28" si="3">+A6</f>
        <v>Managing Member (SK)</v>
      </c>
      <c r="B23" s="244" t="s">
        <v>36</v>
      </c>
      <c r="C23" s="244" t="s">
        <v>37</v>
      </c>
      <c r="D23" s="244" t="s">
        <v>167</v>
      </c>
      <c r="E23" s="250"/>
      <c r="F23" s="238">
        <v>383142.85714285722</v>
      </c>
      <c r="G23" s="238">
        <v>383142.85714285722</v>
      </c>
      <c r="H23" s="242"/>
      <c r="I23" s="242">
        <v>383142.85714285722</v>
      </c>
      <c r="J23" s="242">
        <f>J6*(1+'.c12_inputs.hr'!$E$5)+(J14*(1+'.c12_inputs.hr'!$E$6))</f>
        <v>383142.85714285716</v>
      </c>
      <c r="K23" s="242">
        <f>K6*(1+'.c12_inputs.hr'!$E$5)+(K14*(1+'.c12_inputs.hr'!$E$6))</f>
        <v>383142.85714285716</v>
      </c>
      <c r="L23" s="242">
        <f>L6*(1+'.c12_inputs.hr'!$E$5)+(L14*(1+'.c12_inputs.hr'!$E$6))</f>
        <v>383142.85714285716</v>
      </c>
      <c r="M23" s="242">
        <f>M6*(1+'.c12_inputs.hr'!$E$5)+(M14*(1+'.c12_inputs.hr'!$E$6))</f>
        <v>383142.85714285716</v>
      </c>
      <c r="N23" s="242">
        <f>N6*(1+'.c12_inputs.hr'!$E$5)+(N14*(1+'.c12_inputs.hr'!$E$6))</f>
        <v>383142.85714285716</v>
      </c>
      <c r="O23" s="242">
        <f>O6*(1+'.c12_inputs.hr'!$E$5)+(O14*(1+'.c12_inputs.hr'!$E$6))</f>
        <v>383142.85714285716</v>
      </c>
      <c r="P23" s="242">
        <f>P6*(1+'.c12_inputs.hr'!$E$5)+(P14*(1+'.c12_inputs.hr'!$E$6))</f>
        <v>383142.85714285716</v>
      </c>
      <c r="Q23" s="242">
        <f>Q6*(1+'.c12_inputs.hr'!$E$5)+(Q14*(1+'.c12_inputs.hr'!$E$6))</f>
        <v>383142.85714285716</v>
      </c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</row>
    <row r="24" spans="1:53">
      <c r="A24" s="220" t="str">
        <f t="shared" si="3"/>
        <v>Philanropy senior exec (LM) (100%roots)</v>
      </c>
      <c r="B24" s="244" t="s">
        <v>36</v>
      </c>
      <c r="C24" s="244" t="s">
        <v>37</v>
      </c>
      <c r="D24" s="244" t="s">
        <v>339</v>
      </c>
      <c r="E24" s="250"/>
      <c r="F24" s="238">
        <v>0</v>
      </c>
      <c r="G24" s="238">
        <v>0</v>
      </c>
      <c r="H24" s="242"/>
      <c r="I24" s="242">
        <v>0</v>
      </c>
      <c r="J24" s="242">
        <f>J7*(1+'.c12_inputs.hr'!$E$5)+(J15*(1+'.c12_inputs.hr'!$E$6))</f>
        <v>0</v>
      </c>
      <c r="K24" s="242">
        <f>K7*(1+'.c12_inputs.hr'!$E$5)+(K15*(1+'.c12_inputs.hr'!$E$6))</f>
        <v>0</v>
      </c>
      <c r="L24" s="242">
        <f>L7*(1+'.c12_inputs.hr'!$E$5)+(L15*(1+'.c12_inputs.hr'!$E$6))</f>
        <v>0</v>
      </c>
      <c r="M24" s="242">
        <f>M7*(1+'.c12_inputs.hr'!$E$5)+(M15*(1+'.c12_inputs.hr'!$E$6))</f>
        <v>0</v>
      </c>
      <c r="N24" s="242">
        <f>N7*(1+'.c12_inputs.hr'!$E$5)+(N15*(1+'.c12_inputs.hr'!$E$6))</f>
        <v>0</v>
      </c>
      <c r="O24" s="242">
        <f>O7*(1+'.c12_inputs.hr'!$E$5)+(O15*(1+'.c12_inputs.hr'!$E$6))</f>
        <v>0</v>
      </c>
      <c r="P24" s="242">
        <f>P7*(1+'.c12_inputs.hr'!$E$5)+(P15*(1+'.c12_inputs.hr'!$E$6))</f>
        <v>0</v>
      </c>
      <c r="Q24" s="242">
        <f>Q7*(1+'.c12_inputs.hr'!$E$5)+(Q15*(1+'.c12_inputs.hr'!$E$6))</f>
        <v>0</v>
      </c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</row>
    <row r="25" spans="1:53">
      <c r="A25" s="220" t="str">
        <f t="shared" si="3"/>
        <v>Bookkeeper (DD)</v>
      </c>
      <c r="B25" s="244" t="s">
        <v>36</v>
      </c>
      <c r="C25" s="244" t="s">
        <v>37</v>
      </c>
      <c r="D25" s="244" t="s">
        <v>341</v>
      </c>
      <c r="E25" s="250"/>
      <c r="F25" s="238">
        <v>10390</v>
      </c>
      <c r="G25" s="238">
        <v>26309.142857142859</v>
      </c>
      <c r="H25" s="242"/>
      <c r="I25" s="242">
        <v>10390</v>
      </c>
      <c r="J25" s="242">
        <f>J8*(1+'.c12_inputs.hr'!$E$5)+(J16*(1+'.c12_inputs.hr'!$E$6))</f>
        <v>26309.142857142859</v>
      </c>
      <c r="K25" s="242">
        <f>K8*(1+'.c12_inputs.hr'!$E$5)+(K16*(1+'.c12_inputs.hr'!$E$6))</f>
        <v>26309.142857142859</v>
      </c>
      <c r="L25" s="242">
        <f>L8*(1+'.c12_inputs.hr'!$E$5)+(L16*(1+'.c12_inputs.hr'!$E$6))</f>
        <v>26309.142857142859</v>
      </c>
      <c r="M25" s="242">
        <f>M8*(1+'.c12_inputs.hr'!$E$5)+(M16*(1+'.c12_inputs.hr'!$E$6))</f>
        <v>31504.142857142859</v>
      </c>
      <c r="N25" s="242">
        <f>N8*(1+'.c12_inputs.hr'!$E$5)+(N16*(1+'.c12_inputs.hr'!$E$6))</f>
        <v>31504.142857142859</v>
      </c>
      <c r="O25" s="242">
        <f>O8*(1+'.c12_inputs.hr'!$E$5)+(O16*(1+'.c12_inputs.hr'!$E$6))</f>
        <v>31504.142857142859</v>
      </c>
      <c r="P25" s="242">
        <f>P8*(1+'.c12_inputs.hr'!$E$5)+(P16*(1+'.c12_inputs.hr'!$E$6))</f>
        <v>31504.142857142859</v>
      </c>
      <c r="Q25" s="242">
        <f>Q8*(1+'.c12_inputs.hr'!$E$5)+(Q16*(1+'.c12_inputs.hr'!$E$6))</f>
        <v>31504.142857142859</v>
      </c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</row>
    <row r="26" spans="1:53">
      <c r="A26" s="220" t="str">
        <f t="shared" si="3"/>
        <v>Personal Assistant (CD)</v>
      </c>
      <c r="B26" s="244" t="s">
        <v>36</v>
      </c>
      <c r="C26" s="244" t="s">
        <v>37</v>
      </c>
      <c r="D26" s="244" t="s">
        <v>343</v>
      </c>
      <c r="E26" s="250"/>
      <c r="F26" s="238">
        <v>31928.571428571431</v>
      </c>
      <c r="G26" s="238">
        <v>31928.571428571431</v>
      </c>
      <c r="H26" s="242"/>
      <c r="I26" s="242">
        <v>31928.571428571431</v>
      </c>
      <c r="J26" s="242">
        <f>J9*(1+'.c12_inputs.hr'!$E$5)+(J17*(1+'.c12_inputs.hr'!$E$6))</f>
        <v>31928.571428571431</v>
      </c>
      <c r="K26" s="242">
        <f>K9*(1+'.c12_inputs.hr'!$E$5)+(K17*(1+'.c12_inputs.hr'!$E$6))</f>
        <v>31928.571428571431</v>
      </c>
      <c r="L26" s="242">
        <f>L9*(1+'.c12_inputs.hr'!$E$5)+(L17*(1+'.c12_inputs.hr'!$E$6))</f>
        <v>31928.571428571431</v>
      </c>
      <c r="M26" s="242">
        <f>M9*(1+'.c12_inputs.hr'!$E$5)+(M17*(1+'.c12_inputs.hr'!$E$6))</f>
        <v>47513.571428571428</v>
      </c>
      <c r="N26" s="242">
        <f>N9*(1+'.c12_inputs.hr'!$E$5)+(N17*(1+'.c12_inputs.hr'!$E$6))</f>
        <v>47513.571428571428</v>
      </c>
      <c r="O26" s="242">
        <f>O9*(1+'.c12_inputs.hr'!$E$5)+(O17*(1+'.c12_inputs.hr'!$E$6))</f>
        <v>47513.571428571428</v>
      </c>
      <c r="P26" s="242">
        <f>P9*(1+'.c12_inputs.hr'!$E$5)+(P17*(1+'.c12_inputs.hr'!$E$6))</f>
        <v>47513.571428571428</v>
      </c>
      <c r="Q26" s="242">
        <f>Q9*(1+'.c12_inputs.hr'!$E$5)+(Q17*(1+'.c12_inputs.hr'!$E$6))</f>
        <v>47513.571428571428</v>
      </c>
      <c r="R26" s="220"/>
      <c r="S26" s="220"/>
      <c r="T26" s="220"/>
      <c r="U26" s="220"/>
      <c r="V26" s="220"/>
      <c r="W26" s="220"/>
      <c r="X26" s="220"/>
      <c r="Y26" s="222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</row>
    <row r="27" spans="1:53">
      <c r="A27" s="220" t="str">
        <f t="shared" si="3"/>
        <v>philanthropy assist (100%roots)</v>
      </c>
      <c r="B27" s="244" t="s">
        <v>36</v>
      </c>
      <c r="C27" s="244" t="s">
        <v>37</v>
      </c>
      <c r="D27" s="244" t="s">
        <v>345</v>
      </c>
      <c r="E27" s="250"/>
      <c r="F27" s="238">
        <v>0</v>
      </c>
      <c r="G27" s="238">
        <v>0</v>
      </c>
      <c r="H27" s="242"/>
      <c r="I27" s="242">
        <v>0</v>
      </c>
      <c r="J27" s="242">
        <f>J10*(1+'.c12_inputs.hr'!$E$5)+(J18*(1+'.c12_inputs.hr'!$E$6))</f>
        <v>0</v>
      </c>
      <c r="K27" s="242">
        <f>K10*(1+'.c12_inputs.hr'!$E$5)+(K18*(1+'.c12_inputs.hr'!$E$6))</f>
        <v>0</v>
      </c>
      <c r="L27" s="242">
        <f>L10*(1+'.c12_inputs.hr'!$E$5)+(L18*(1+'.c12_inputs.hr'!$E$6))</f>
        <v>0</v>
      </c>
      <c r="M27" s="242">
        <f>M10*(1+'.c12_inputs.hr'!$E$5)+(M18*(1+'.c12_inputs.hr'!$E$6))</f>
        <v>0</v>
      </c>
      <c r="N27" s="242">
        <f>N10*(1+'.c12_inputs.hr'!$E$5)+(N18*(1+'.c12_inputs.hr'!$E$6))</f>
        <v>0</v>
      </c>
      <c r="O27" s="242">
        <f>O10*(1+'.c12_inputs.hr'!$E$5)+(O18*(1+'.c12_inputs.hr'!$E$6))</f>
        <v>0</v>
      </c>
      <c r="P27" s="242">
        <f>P10*(1+'.c12_inputs.hr'!$E$5)+(P18*(1+'.c12_inputs.hr'!$E$6))</f>
        <v>0</v>
      </c>
      <c r="Q27" s="242">
        <f>Q10*(1+'.c12_inputs.hr'!$E$5)+(Q18*(1+'.c12_inputs.hr'!$E$6))</f>
        <v>0</v>
      </c>
      <c r="R27" s="220"/>
      <c r="S27" s="220"/>
      <c r="T27" s="220"/>
      <c r="U27" s="220"/>
      <c r="V27" s="220"/>
      <c r="W27" s="220"/>
      <c r="X27" s="220"/>
      <c r="Y27" s="222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</row>
    <row r="28" spans="1:53">
      <c r="A28" s="220" t="str">
        <f t="shared" si="3"/>
        <v>TM (gone)</v>
      </c>
      <c r="B28" s="244" t="s">
        <v>36</v>
      </c>
      <c r="C28" s="244" t="s">
        <v>37</v>
      </c>
      <c r="D28" s="244" t="s">
        <v>347</v>
      </c>
      <c r="E28" s="250"/>
      <c r="F28" s="238">
        <v>89400</v>
      </c>
      <c r="G28" s="238">
        <v>421880</v>
      </c>
      <c r="H28" s="242"/>
      <c r="I28" s="242">
        <v>89400</v>
      </c>
      <c r="J28" s="242">
        <f>J11*(1+'.c12_inputs.hr'!$E$5)+(J19*(1+'.c12_inputs.hr'!$E$6))</f>
        <v>421880</v>
      </c>
      <c r="K28" s="242">
        <f>K11*(1+'.c12_inputs.hr'!$E$5)+(K19*(1+'.c12_inputs.hr'!$E$6))</f>
        <v>0</v>
      </c>
      <c r="L28" s="242">
        <f>L11*(1+'.c12_inputs.hr'!$E$5)+(L19*(1+'.c12_inputs.hr'!$E$6))</f>
        <v>0</v>
      </c>
      <c r="M28" s="242">
        <f>M11*(1+'.c12_inputs.hr'!$E$5)+(M19*(1+'.c12_inputs.hr'!$E$6))</f>
        <v>519499.99999999994</v>
      </c>
      <c r="N28" s="242">
        <f>N11*(1+'.c12_inputs.hr'!$E$5)+(N19*(1+'.c12_inputs.hr'!$E$6))</f>
        <v>519499.99999999994</v>
      </c>
      <c r="O28" s="242">
        <f>O11*(1+'.c12_inputs.hr'!$E$5)+(O19*(1+'.c12_inputs.hr'!$E$6))</f>
        <v>519499.99999999994</v>
      </c>
      <c r="P28" s="242">
        <f>P11*(1+'.c12_inputs.hr'!$E$5)+(P19*(1+'.c12_inputs.hr'!$E$6))</f>
        <v>519499.99999999994</v>
      </c>
      <c r="Q28" s="242">
        <f>Q11*(1+'.c12_inputs.hr'!$E$5)+(Q19*(1+'.c12_inputs.hr'!$E$6))</f>
        <v>519499.99999999994</v>
      </c>
      <c r="R28" s="220"/>
      <c r="S28" s="220"/>
      <c r="T28" s="220"/>
      <c r="U28" s="220"/>
      <c r="V28" s="220"/>
      <c r="W28" s="220"/>
      <c r="X28" s="220"/>
      <c r="Y28" s="222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</row>
    <row r="29" spans="1:53" s="58" customFormat="1">
      <c r="A29" s="220"/>
      <c r="B29" s="220"/>
      <c r="C29" s="220"/>
      <c r="D29" s="220"/>
      <c r="E29" s="250"/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20"/>
      <c r="S29" s="220"/>
      <c r="T29" s="220"/>
      <c r="U29" s="220"/>
      <c r="V29" s="220"/>
      <c r="W29" s="220"/>
      <c r="X29" s="220"/>
      <c r="Y29" s="222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</row>
    <row r="30" spans="1:53">
      <c r="A30" s="245" t="s">
        <v>38</v>
      </c>
      <c r="B30" s="244" t="s">
        <v>39</v>
      </c>
      <c r="C30" s="244" t="s">
        <v>40</v>
      </c>
      <c r="D30" s="220"/>
      <c r="E30" s="250"/>
      <c r="F30" s="238">
        <v>514861.42857142858</v>
      </c>
      <c r="G30" s="238">
        <v>863260.57142857136</v>
      </c>
      <c r="H30" s="242"/>
      <c r="I30" s="251">
        <v>514861.42857142858</v>
      </c>
      <c r="J30" s="251">
        <f t="shared" ref="J30:Q30" si="4">SUM(J23:J28)</f>
        <v>863260.57142857136</v>
      </c>
      <c r="K30" s="251">
        <f t="shared" si="4"/>
        <v>441380.57142857142</v>
      </c>
      <c r="L30" s="251">
        <f t="shared" si="4"/>
        <v>441380.57142857142</v>
      </c>
      <c r="M30" s="251">
        <f t="shared" si="4"/>
        <v>981660.57142857136</v>
      </c>
      <c r="N30" s="251">
        <f t="shared" si="4"/>
        <v>981660.57142857136</v>
      </c>
      <c r="O30" s="251">
        <f t="shared" si="4"/>
        <v>981660.57142857136</v>
      </c>
      <c r="P30" s="251">
        <f t="shared" si="4"/>
        <v>981660.57142857136</v>
      </c>
      <c r="Q30" s="251">
        <f t="shared" si="4"/>
        <v>981660.57142857136</v>
      </c>
      <c r="R30" s="220"/>
      <c r="S30" s="220"/>
      <c r="T30" s="220"/>
      <c r="U30" s="220"/>
      <c r="V30" s="220"/>
      <c r="W30" s="220"/>
      <c r="X30" s="220"/>
      <c r="Y30" s="222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</row>
    <row r="31" spans="1:53">
      <c r="A31" s="245" t="s">
        <v>41</v>
      </c>
      <c r="B31" s="244" t="s">
        <v>39</v>
      </c>
      <c r="C31" s="244" t="s">
        <v>42</v>
      </c>
      <c r="D31" s="220"/>
      <c r="E31" s="250"/>
      <c r="F31" s="252">
        <v>0</v>
      </c>
      <c r="G31" s="252">
        <v>0</v>
      </c>
      <c r="H31" s="242"/>
      <c r="I31" s="253">
        <v>0</v>
      </c>
      <c r="J31" s="253">
        <f>SUMPRODUCT('.c12_alloc'!$H$6:$H$11,J23:J28)</f>
        <v>0</v>
      </c>
      <c r="K31" s="253">
        <f>SUMPRODUCT('.c12_alloc'!$H$6:$H$11,K23:K28)</f>
        <v>0</v>
      </c>
      <c r="L31" s="253">
        <f>SUMPRODUCT('.c12_alloc'!$H$6:$H$11,L23:L28)</f>
        <v>0</v>
      </c>
      <c r="M31" s="253">
        <f>SUMPRODUCT('.c12_alloc'!$H$6:$H$11,M23:M28)</f>
        <v>0</v>
      </c>
      <c r="N31" s="392">
        <f>SUMPRODUCT('.c12_alloc'!$H$6:$H$11,N23:N28)</f>
        <v>0</v>
      </c>
      <c r="O31" s="392">
        <f>SUMPRODUCT('.c12_alloc'!$H$6:$H$11,O23:O28)</f>
        <v>0</v>
      </c>
      <c r="P31" s="392">
        <f>SUMPRODUCT('.c12_alloc'!$H$6:$H$11,P23:P28)</f>
        <v>0</v>
      </c>
      <c r="Q31" s="392">
        <f>SUMPRODUCT('.c12_alloc'!$H$6:$H$11,Q23:Q28)</f>
        <v>0</v>
      </c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</row>
    <row r="32" spans="1:53">
      <c r="A32" s="245" t="s">
        <v>43</v>
      </c>
      <c r="B32" s="244" t="s">
        <v>39</v>
      </c>
      <c r="C32" s="244" t="s">
        <v>44</v>
      </c>
      <c r="D32" s="220"/>
      <c r="E32" s="250"/>
      <c r="F32" s="252">
        <v>472542.85714285722</v>
      </c>
      <c r="G32" s="252">
        <v>805022.85714285716</v>
      </c>
      <c r="H32" s="242"/>
      <c r="I32" s="253">
        <v>472542.85714285722</v>
      </c>
      <c r="J32" s="253">
        <f>SUMPRODUCT('.c12_alloc'!$G$6:$G$11,J23:J28)</f>
        <v>805022.85714285716</v>
      </c>
      <c r="K32" s="253">
        <f>SUMPRODUCT('.c12_alloc'!$G$6:$G$11,K23:K28)</f>
        <v>383142.85714285716</v>
      </c>
      <c r="L32" s="253">
        <f>SUMPRODUCT('.c12_alloc'!$G$6:$G$11,L23:L28)</f>
        <v>383142.85714285716</v>
      </c>
      <c r="M32" s="253">
        <f>SUMPRODUCT('.c12_alloc'!$G$6:$G$11,M23:M28)</f>
        <v>902642.85714285704</v>
      </c>
      <c r="N32" s="392">
        <f>SUMPRODUCT('.c12_alloc'!$G$6:$G$11,N23:N28)</f>
        <v>902642.85714285704</v>
      </c>
      <c r="O32" s="392">
        <f>SUMPRODUCT('.c12_alloc'!$G$6:$G$11,O23:O28)</f>
        <v>902642.85714285704</v>
      </c>
      <c r="P32" s="392">
        <f>SUMPRODUCT('.c12_alloc'!$G$6:$G$11,P23:P28)</f>
        <v>902642.85714285704</v>
      </c>
      <c r="Q32" s="392">
        <f>SUMPRODUCT('.c12_alloc'!$G$6:$G$11,Q23:Q28)</f>
        <v>902642.85714285704</v>
      </c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</row>
    <row r="33" spans="1:53">
      <c r="A33" s="245" t="s">
        <v>45</v>
      </c>
      <c r="B33" s="244" t="s">
        <v>39</v>
      </c>
      <c r="C33" s="244" t="s">
        <v>46</v>
      </c>
      <c r="D33" s="220"/>
      <c r="E33" s="250"/>
      <c r="F33" s="252">
        <v>42318.571428571428</v>
      </c>
      <c r="G33" s="252">
        <v>58237.71428571429</v>
      </c>
      <c r="H33" s="248"/>
      <c r="I33" s="253">
        <v>42318.571428571428</v>
      </c>
      <c r="J33" s="253">
        <f>SUMPRODUCT('.c12_alloc'!$E$6:$E$11,J23:J28)</f>
        <v>58237.71428571429</v>
      </c>
      <c r="K33" s="253">
        <f>SUMPRODUCT('.c12_alloc'!$E$6:$E$11,K23:K28)</f>
        <v>58237.71428571429</v>
      </c>
      <c r="L33" s="253">
        <f>SUMPRODUCT('.c12_alloc'!$E$6:$E$11,L23:L28)</f>
        <v>58237.71428571429</v>
      </c>
      <c r="M33" s="253">
        <f>SUMPRODUCT('.c12_alloc'!$E$6:$E$11,M23:M28)</f>
        <v>79017.71428571429</v>
      </c>
      <c r="N33" s="392">
        <f>SUMPRODUCT('.c12_alloc'!$E$6:$E$11,N23:N28)</f>
        <v>79017.71428571429</v>
      </c>
      <c r="O33" s="392">
        <f>SUMPRODUCT('.c12_alloc'!$E$6:$E$11,O23:O28)</f>
        <v>79017.71428571429</v>
      </c>
      <c r="P33" s="392">
        <f>SUMPRODUCT('.c12_alloc'!$E$6:$E$11,P23:P28)</f>
        <v>79017.71428571429</v>
      </c>
      <c r="Q33" s="392">
        <f>SUMPRODUCT('.c12_alloc'!$E$6:$E$11,Q23:Q28)</f>
        <v>79017.71428571429</v>
      </c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</row>
    <row r="34" spans="1:53">
      <c r="A34" s="220"/>
      <c r="B34" s="220"/>
      <c r="C34" s="220"/>
      <c r="D34" s="220"/>
      <c r="E34" s="220"/>
      <c r="F34" s="220"/>
      <c r="G34" s="220"/>
      <c r="H34" s="242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54"/>
      <c r="AH34" s="220"/>
      <c r="AI34" s="220"/>
      <c r="AJ34" s="254"/>
      <c r="AK34" s="254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</row>
    <row r="35" spans="1:53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1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</row>
    <row r="36" spans="1:53">
      <c r="A36" s="220"/>
      <c r="B36" s="220"/>
      <c r="C36" s="220"/>
      <c r="D36" s="220"/>
      <c r="E36" s="220"/>
      <c r="F36" s="220"/>
      <c r="G36" s="220"/>
      <c r="H36" s="255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</row>
    <row r="37" spans="1:53">
      <c r="A37" s="220"/>
      <c r="B37" s="220"/>
      <c r="C37" s="220"/>
      <c r="D37" s="220"/>
      <c r="E37" s="220"/>
      <c r="F37" s="220"/>
      <c r="G37" s="220"/>
      <c r="H37" s="255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</row>
    <row r="38" spans="1:53">
      <c r="A38" s="220"/>
      <c r="B38" s="220"/>
      <c r="C38" s="220"/>
      <c r="D38" s="220"/>
      <c r="E38" s="220"/>
      <c r="F38" s="220"/>
      <c r="G38" s="220"/>
      <c r="H38" s="255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</row>
    <row r="39" spans="1:53">
      <c r="A39" s="220"/>
      <c r="B39" s="220"/>
      <c r="C39" s="220"/>
      <c r="D39" s="220"/>
      <c r="E39" s="220"/>
      <c r="F39" s="220"/>
      <c r="G39" s="220"/>
      <c r="H39" s="255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</row>
    <row r="40" spans="1:53">
      <c r="A40" s="220"/>
      <c r="B40" s="220"/>
      <c r="C40" s="220"/>
      <c r="D40" s="220"/>
      <c r="E40" s="220"/>
      <c r="F40" s="220"/>
      <c r="G40" s="220"/>
      <c r="H40" s="242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</row>
    <row r="41" spans="1:53">
      <c r="A41" s="220"/>
      <c r="B41" s="220"/>
      <c r="C41" s="220"/>
      <c r="D41" s="220"/>
      <c r="E41" s="220"/>
      <c r="F41" s="220"/>
      <c r="G41" s="220"/>
      <c r="H41" s="255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</row>
    <row r="42" spans="1:53">
      <c r="A42" s="220"/>
      <c r="B42" s="220"/>
      <c r="C42" s="220"/>
      <c r="D42" s="220"/>
      <c r="E42" s="220"/>
      <c r="F42" s="220"/>
      <c r="G42" s="220"/>
      <c r="H42" s="255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</row>
    <row r="43" spans="1:53">
      <c r="A43" s="220"/>
      <c r="B43" s="220"/>
      <c r="C43" s="220"/>
      <c r="D43" s="220"/>
      <c r="E43" s="220"/>
      <c r="F43" s="220"/>
      <c r="G43" s="220"/>
      <c r="H43" s="255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</row>
    <row r="44" spans="1:53">
      <c r="A44" s="220"/>
      <c r="B44" s="220"/>
      <c r="C44" s="220"/>
      <c r="D44" s="220"/>
      <c r="E44" s="220"/>
      <c r="F44" s="220"/>
      <c r="G44" s="220"/>
      <c r="H44" s="255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</row>
    <row r="45" spans="1:53">
      <c r="A45" s="220"/>
      <c r="B45" s="220"/>
      <c r="C45" s="220"/>
      <c r="D45" s="220"/>
      <c r="E45" s="220"/>
      <c r="F45" s="220"/>
      <c r="G45" s="220"/>
      <c r="H45" s="255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</row>
    <row r="46" spans="1:53">
      <c r="A46" s="220"/>
      <c r="B46" s="220"/>
      <c r="C46" s="220"/>
      <c r="D46" s="220"/>
      <c r="E46" s="220"/>
      <c r="F46" s="220"/>
      <c r="G46" s="220"/>
      <c r="H46" s="255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</row>
    <row r="47" spans="1:53">
      <c r="A47" s="256"/>
      <c r="B47" s="220"/>
      <c r="C47" s="220"/>
      <c r="D47" s="220"/>
      <c r="E47" s="256"/>
      <c r="F47" s="256"/>
      <c r="G47" s="256"/>
      <c r="H47" s="255"/>
      <c r="I47" s="256"/>
      <c r="J47" s="256"/>
      <c r="K47" s="256"/>
      <c r="L47" s="256"/>
      <c r="M47" s="256"/>
      <c r="N47" s="256"/>
      <c r="O47" s="256"/>
      <c r="P47" s="256"/>
      <c r="Q47" s="256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</row>
    <row r="48" spans="1:53">
      <c r="A48" s="220"/>
      <c r="B48" s="220"/>
      <c r="C48" s="220"/>
      <c r="D48" s="220"/>
      <c r="E48" s="220"/>
      <c r="F48" s="220"/>
      <c r="G48" s="220"/>
      <c r="H48" s="25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20"/>
      <c r="AY48" s="220"/>
      <c r="AZ48" s="220"/>
      <c r="BA48" s="220"/>
    </row>
    <row r="49" spans="1:53">
      <c r="A49" s="220"/>
      <c r="B49" s="220"/>
      <c r="C49" s="220"/>
      <c r="D49" s="220"/>
      <c r="E49" s="220"/>
      <c r="F49" s="220"/>
      <c r="G49" s="220"/>
      <c r="H49" s="25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220"/>
      <c r="AW49" s="220"/>
      <c r="AX49" s="220"/>
      <c r="AY49" s="220"/>
      <c r="AZ49" s="220"/>
      <c r="BA49" s="220"/>
    </row>
    <row r="50" spans="1:53">
      <c r="A50" s="220"/>
      <c r="B50" s="220"/>
      <c r="C50" s="220"/>
      <c r="D50" s="220"/>
      <c r="E50" s="220"/>
      <c r="F50" s="220"/>
      <c r="G50" s="220"/>
      <c r="H50" s="25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0"/>
      <c r="AX50" s="220"/>
      <c r="AY50" s="220"/>
      <c r="AZ50" s="220"/>
      <c r="BA50" s="220"/>
    </row>
    <row r="51" spans="1:53">
      <c r="A51" s="220"/>
      <c r="B51" s="220"/>
      <c r="C51" s="220"/>
      <c r="D51" s="220"/>
      <c r="E51" s="220"/>
      <c r="F51" s="220"/>
      <c r="G51" s="220"/>
      <c r="H51" s="25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  <c r="AV51" s="220"/>
      <c r="AW51" s="220"/>
      <c r="AX51" s="220"/>
      <c r="AY51" s="220"/>
      <c r="AZ51" s="220"/>
      <c r="BA51" s="220"/>
    </row>
    <row r="52" spans="1:53">
      <c r="A52" s="220"/>
      <c r="B52" s="220"/>
      <c r="C52" s="220"/>
      <c r="D52" s="220"/>
      <c r="E52" s="220"/>
      <c r="F52" s="220"/>
      <c r="G52" s="220"/>
      <c r="H52" s="25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0"/>
      <c r="AX52" s="220"/>
      <c r="AY52" s="220"/>
      <c r="AZ52" s="220"/>
      <c r="BA52" s="220"/>
    </row>
    <row r="53" spans="1:53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  <c r="AV53" s="220"/>
      <c r="AW53" s="220"/>
      <c r="AX53" s="220"/>
      <c r="AY53" s="220"/>
      <c r="AZ53" s="220"/>
      <c r="BA53" s="220"/>
    </row>
    <row r="54" spans="1:53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0"/>
      <c r="AX54" s="220"/>
      <c r="AY54" s="220"/>
      <c r="AZ54" s="220"/>
      <c r="BA54" s="220"/>
    </row>
    <row r="55" spans="1:53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  <c r="BA55" s="220"/>
    </row>
    <row r="56" spans="1:53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0"/>
      <c r="AT56" s="220"/>
      <c r="AU56" s="220"/>
      <c r="AV56" s="220"/>
      <c r="AW56" s="220"/>
      <c r="AX56" s="220"/>
      <c r="AY56" s="220"/>
      <c r="AZ56" s="220"/>
      <c r="BA56" s="220"/>
    </row>
    <row r="57" spans="1:53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0"/>
      <c r="AR57" s="220"/>
      <c r="AS57" s="220"/>
      <c r="AT57" s="220"/>
      <c r="AU57" s="220"/>
      <c r="AV57" s="220"/>
      <c r="AW57" s="220"/>
      <c r="AX57" s="220"/>
      <c r="AY57" s="220"/>
      <c r="AZ57" s="220"/>
      <c r="BA57" s="220"/>
    </row>
    <row r="58" spans="1:53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  <c r="AV58" s="220"/>
      <c r="AW58" s="220"/>
      <c r="AX58" s="220"/>
      <c r="AY58" s="220"/>
      <c r="AZ58" s="220"/>
      <c r="BA58" s="220"/>
    </row>
    <row r="59" spans="1:53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</row>
    <row r="60" spans="1:53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0"/>
      <c r="AZ60" s="220"/>
      <c r="BA60" s="220"/>
    </row>
    <row r="61" spans="1:53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0"/>
      <c r="AZ61" s="220"/>
      <c r="BA61" s="220"/>
    </row>
    <row r="62" spans="1:53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0"/>
      <c r="AZ62" s="220"/>
      <c r="BA62" s="220"/>
    </row>
    <row r="63" spans="1:53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  <c r="AV63" s="220"/>
      <c r="AW63" s="220"/>
      <c r="AX63" s="220"/>
      <c r="AY63" s="220"/>
      <c r="AZ63" s="220"/>
      <c r="BA63" s="220"/>
    </row>
    <row r="64" spans="1:53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0"/>
      <c r="AZ64" s="220"/>
      <c r="BA64" s="220"/>
    </row>
    <row r="65" spans="1:53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  <c r="AV65" s="220"/>
      <c r="AW65" s="220"/>
      <c r="AX65" s="220"/>
      <c r="AY65" s="220"/>
      <c r="AZ65" s="220"/>
      <c r="BA65" s="220"/>
    </row>
    <row r="66" spans="1:53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0"/>
    </row>
    <row r="67" spans="1:53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  <c r="AV67" s="220"/>
      <c r="AW67" s="220"/>
      <c r="AX67" s="220"/>
      <c r="AY67" s="220"/>
      <c r="AZ67" s="220"/>
      <c r="BA67" s="220"/>
    </row>
    <row r="68" spans="1:53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0"/>
      <c r="AZ68" s="220"/>
      <c r="BA68" s="220"/>
    </row>
    <row r="69" spans="1:53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0"/>
      <c r="AZ69" s="220"/>
      <c r="BA69" s="220"/>
    </row>
    <row r="70" spans="1:53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  <c r="AV70" s="220"/>
      <c r="AW70" s="220"/>
      <c r="AX70" s="220"/>
      <c r="AY70" s="220"/>
      <c r="AZ70" s="220"/>
      <c r="BA70" s="220"/>
    </row>
    <row r="71" spans="1:53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0"/>
      <c r="AZ71" s="220"/>
      <c r="BA71" s="220"/>
    </row>
    <row r="72" spans="1:53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  <c r="AV72" s="220"/>
      <c r="AW72" s="220"/>
      <c r="AX72" s="220"/>
      <c r="AY72" s="220"/>
      <c r="AZ72" s="220"/>
      <c r="BA72" s="220"/>
    </row>
    <row r="73" spans="1:53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  <c r="AV73" s="220"/>
      <c r="AW73" s="220"/>
      <c r="AX73" s="220"/>
      <c r="AY73" s="220"/>
      <c r="AZ73" s="220"/>
      <c r="BA73" s="220"/>
    </row>
    <row r="74" spans="1:53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0"/>
      <c r="AZ74" s="220"/>
      <c r="BA74" s="220"/>
    </row>
    <row r="75" spans="1:53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0"/>
      <c r="AX75" s="220"/>
      <c r="AY75" s="220"/>
      <c r="AZ75" s="220"/>
      <c r="BA75" s="220"/>
    </row>
    <row r="76" spans="1:53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  <c r="AV76" s="220"/>
      <c r="AW76" s="220"/>
      <c r="AX76" s="220"/>
      <c r="AY76" s="220"/>
      <c r="AZ76" s="220"/>
      <c r="BA76" s="220"/>
    </row>
    <row r="77" spans="1:53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0"/>
      <c r="AZ77" s="220"/>
      <c r="BA77" s="220"/>
    </row>
    <row r="78" spans="1:53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  <c r="AV78" s="220"/>
      <c r="AW78" s="220"/>
      <c r="AX78" s="220"/>
      <c r="AY78" s="220"/>
      <c r="AZ78" s="220"/>
      <c r="BA78" s="220"/>
    </row>
    <row r="79" spans="1:53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  <c r="AV79" s="220"/>
      <c r="AW79" s="220"/>
      <c r="AX79" s="220"/>
      <c r="AY79" s="220"/>
      <c r="AZ79" s="220"/>
      <c r="BA79" s="220"/>
    </row>
    <row r="80" spans="1:53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  <c r="AV80" s="220"/>
      <c r="AW80" s="220"/>
      <c r="AX80" s="220"/>
      <c r="AY80" s="220"/>
      <c r="AZ80" s="220"/>
      <c r="BA80" s="220"/>
    </row>
    <row r="81" spans="1:53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  <c r="AV81" s="220"/>
      <c r="AW81" s="220"/>
      <c r="AX81" s="220"/>
      <c r="AY81" s="220"/>
      <c r="AZ81" s="220"/>
      <c r="BA81" s="220"/>
    </row>
    <row r="82" spans="1:53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0"/>
      <c r="AZ82" s="220"/>
      <c r="BA82" s="220"/>
    </row>
    <row r="83" spans="1:53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0"/>
      <c r="AZ83" s="220"/>
      <c r="BA83" s="220"/>
    </row>
    <row r="84" spans="1:53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</row>
    <row r="85" spans="1:53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0"/>
      <c r="AZ85" s="220"/>
      <c r="BA85" s="220"/>
    </row>
    <row r="86" spans="1:53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0"/>
      <c r="AX86" s="220"/>
      <c r="AY86" s="220"/>
      <c r="AZ86" s="220"/>
      <c r="BA86" s="220"/>
    </row>
    <row r="87" spans="1:53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0"/>
      <c r="AZ87" s="220"/>
      <c r="BA87" s="220"/>
    </row>
    <row r="88" spans="1:53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</row>
    <row r="89" spans="1:53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0"/>
      <c r="AZ89" s="220"/>
      <c r="BA89" s="220"/>
    </row>
    <row r="90" spans="1:53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0"/>
      <c r="AU90" s="220"/>
      <c r="AV90" s="220"/>
      <c r="AW90" s="220"/>
      <c r="AX90" s="220"/>
      <c r="AY90" s="220"/>
      <c r="AZ90" s="220"/>
      <c r="BA90" s="220"/>
    </row>
    <row r="91" spans="1:53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0"/>
      <c r="AS91" s="220"/>
      <c r="AT91" s="220"/>
      <c r="AU91" s="220"/>
      <c r="AV91" s="220"/>
      <c r="AW91" s="220"/>
      <c r="AX91" s="220"/>
      <c r="AY91" s="220"/>
      <c r="AZ91" s="220"/>
      <c r="BA91" s="220"/>
    </row>
    <row r="92" spans="1:53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0"/>
      <c r="AU92" s="220"/>
      <c r="AV92" s="220"/>
      <c r="AW92" s="220"/>
      <c r="AX92" s="220"/>
      <c r="AY92" s="220"/>
      <c r="AZ92" s="220"/>
      <c r="BA92" s="220"/>
    </row>
    <row r="93" spans="1:53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  <c r="AV93" s="220"/>
      <c r="AW93" s="220"/>
      <c r="AX93" s="220"/>
      <c r="AY93" s="220"/>
      <c r="AZ93" s="220"/>
      <c r="BA93" s="220"/>
    </row>
    <row r="94" spans="1:53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0"/>
      <c r="AU94" s="220"/>
      <c r="AV94" s="220"/>
      <c r="AW94" s="220"/>
      <c r="AX94" s="220"/>
      <c r="AY94" s="220"/>
      <c r="AZ94" s="220"/>
      <c r="BA94" s="220"/>
    </row>
    <row r="95" spans="1:53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0"/>
      <c r="AR95" s="220"/>
      <c r="AS95" s="220"/>
      <c r="AT95" s="220"/>
      <c r="AU95" s="220"/>
      <c r="AV95" s="220"/>
      <c r="AW95" s="220"/>
      <c r="AX95" s="220"/>
      <c r="AY95" s="220"/>
      <c r="AZ95" s="220"/>
      <c r="BA95" s="220"/>
    </row>
    <row r="96" spans="1:53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0"/>
      <c r="AU96" s="220"/>
      <c r="AV96" s="220"/>
      <c r="AW96" s="220"/>
      <c r="AX96" s="220"/>
      <c r="AY96" s="220"/>
      <c r="AZ96" s="220"/>
      <c r="BA96" s="220"/>
    </row>
    <row r="97" spans="1:53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  <c r="AV97" s="220"/>
      <c r="AW97" s="220"/>
      <c r="AX97" s="220"/>
      <c r="AY97" s="220"/>
      <c r="AZ97" s="220"/>
      <c r="BA97" s="220"/>
    </row>
    <row r="98" spans="1:53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0"/>
      <c r="AR98" s="220"/>
      <c r="AS98" s="220"/>
      <c r="AT98" s="220"/>
      <c r="AU98" s="220"/>
      <c r="AV98" s="220"/>
      <c r="AW98" s="220"/>
      <c r="AX98" s="220"/>
      <c r="AY98" s="220"/>
      <c r="AZ98" s="220"/>
      <c r="BA98" s="220"/>
    </row>
    <row r="99" spans="1:53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220"/>
      <c r="AI99" s="220"/>
      <c r="AJ99" s="220"/>
      <c r="AK99" s="220"/>
      <c r="AL99" s="220"/>
      <c r="AM99" s="220"/>
      <c r="AN99" s="220"/>
      <c r="AO99" s="220"/>
      <c r="AP99" s="220"/>
      <c r="AQ99" s="220"/>
      <c r="AR99" s="220"/>
      <c r="AS99" s="220"/>
      <c r="AT99" s="220"/>
      <c r="AU99" s="220"/>
      <c r="AV99" s="220"/>
      <c r="AW99" s="220"/>
      <c r="AX99" s="220"/>
      <c r="AY99" s="220"/>
      <c r="AZ99" s="220"/>
      <c r="BA99" s="220"/>
    </row>
    <row r="100" spans="1:53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0"/>
      <c r="AR100" s="220"/>
      <c r="AS100" s="220"/>
      <c r="AT100" s="220"/>
      <c r="AU100" s="220"/>
      <c r="AV100" s="220"/>
      <c r="AW100" s="220"/>
      <c r="AX100" s="220"/>
      <c r="AY100" s="220"/>
      <c r="AZ100" s="220"/>
      <c r="BA100" s="220"/>
    </row>
    <row r="101" spans="1:53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220"/>
      <c r="AQ101" s="220"/>
      <c r="AR101" s="220"/>
      <c r="AS101" s="220"/>
      <c r="AT101" s="220"/>
      <c r="AU101" s="220"/>
      <c r="AV101" s="220"/>
      <c r="AW101" s="220"/>
      <c r="AX101" s="220"/>
      <c r="AY101" s="220"/>
      <c r="AZ101" s="220"/>
      <c r="BA101" s="220"/>
    </row>
    <row r="102" spans="1:53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  <c r="AM102" s="220"/>
      <c r="AN102" s="220"/>
      <c r="AO102" s="220"/>
      <c r="AP102" s="220"/>
      <c r="AQ102" s="220"/>
      <c r="AR102" s="220"/>
      <c r="AS102" s="220"/>
      <c r="AT102" s="220"/>
      <c r="AU102" s="220"/>
      <c r="AV102" s="220"/>
      <c r="AW102" s="220"/>
      <c r="AX102" s="220"/>
      <c r="AY102" s="220"/>
      <c r="AZ102" s="220"/>
      <c r="BA102" s="220"/>
    </row>
    <row r="103" spans="1:53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0"/>
      <c r="AR103" s="220"/>
      <c r="AS103" s="220"/>
      <c r="AT103" s="220"/>
      <c r="AU103" s="220"/>
      <c r="AV103" s="220"/>
      <c r="AW103" s="220"/>
      <c r="AX103" s="220"/>
      <c r="AY103" s="220"/>
      <c r="AZ103" s="220"/>
      <c r="BA103" s="220"/>
    </row>
    <row r="104" spans="1:53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  <c r="AM104" s="220"/>
      <c r="AN104" s="220"/>
      <c r="AO104" s="220"/>
      <c r="AP104" s="220"/>
      <c r="AQ104" s="220"/>
      <c r="AR104" s="220"/>
      <c r="AS104" s="220"/>
      <c r="AT104" s="220"/>
      <c r="AU104" s="220"/>
      <c r="AV104" s="220"/>
      <c r="AW104" s="220"/>
      <c r="AX104" s="220"/>
      <c r="AY104" s="220"/>
      <c r="AZ104" s="220"/>
      <c r="BA104" s="220"/>
    </row>
    <row r="105" spans="1:53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  <c r="AH105" s="220"/>
      <c r="AI105" s="220"/>
      <c r="AJ105" s="220"/>
      <c r="AK105" s="220"/>
      <c r="AL105" s="220"/>
      <c r="AM105" s="220"/>
      <c r="AN105" s="220"/>
      <c r="AO105" s="220"/>
      <c r="AP105" s="220"/>
      <c r="AQ105" s="220"/>
      <c r="AR105" s="220"/>
      <c r="AS105" s="220"/>
      <c r="AT105" s="220"/>
      <c r="AU105" s="220"/>
      <c r="AV105" s="220"/>
      <c r="AW105" s="220"/>
      <c r="AX105" s="220"/>
      <c r="AY105" s="220"/>
      <c r="AZ105" s="220"/>
      <c r="BA105" s="220"/>
    </row>
    <row r="106" spans="1:53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0"/>
      <c r="AR106" s="220"/>
      <c r="AS106" s="220"/>
      <c r="AT106" s="220"/>
      <c r="AU106" s="220"/>
      <c r="AV106" s="220"/>
      <c r="AW106" s="220"/>
      <c r="AX106" s="220"/>
      <c r="AY106" s="220"/>
      <c r="AZ106" s="220"/>
      <c r="BA106" s="220"/>
    </row>
    <row r="107" spans="1:53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</row>
    <row r="108" spans="1:53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</row>
    <row r="109" spans="1:53">
      <c r="A109" s="220"/>
      <c r="B109" s="257"/>
      <c r="C109" s="220"/>
      <c r="D109" s="257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</row>
    <row r="110" spans="1:53">
      <c r="A110" s="220"/>
      <c r="B110" s="257"/>
      <c r="C110" s="220"/>
      <c r="D110" s="257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20"/>
      <c r="AI110" s="220"/>
      <c r="AJ110" s="220"/>
      <c r="AK110" s="220"/>
      <c r="AL110" s="220"/>
      <c r="AM110" s="220"/>
      <c r="AN110" s="220"/>
      <c r="AO110" s="220"/>
      <c r="AP110" s="220"/>
      <c r="AQ110" s="220"/>
      <c r="AR110" s="220"/>
      <c r="AS110" s="220"/>
      <c r="AT110" s="220"/>
      <c r="AU110" s="220"/>
      <c r="AV110" s="220"/>
      <c r="AW110" s="220"/>
      <c r="AX110" s="220"/>
      <c r="AY110" s="220"/>
      <c r="AZ110" s="220"/>
      <c r="BA110" s="220"/>
    </row>
    <row r="111" spans="1:53">
      <c r="A111" s="220"/>
      <c r="B111" s="257"/>
      <c r="C111" s="220"/>
      <c r="D111" s="257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0"/>
      <c r="AR111" s="220"/>
      <c r="AS111" s="220"/>
      <c r="AT111" s="220"/>
      <c r="AU111" s="220"/>
      <c r="AV111" s="220"/>
      <c r="AW111" s="220"/>
      <c r="AX111" s="220"/>
      <c r="AY111" s="220"/>
      <c r="AZ111" s="220"/>
      <c r="BA111" s="220"/>
    </row>
    <row r="112" spans="1:53">
      <c r="A112" s="220"/>
      <c r="B112" s="257"/>
      <c r="C112" s="220"/>
      <c r="D112" s="257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  <c r="AM112" s="220"/>
      <c r="AN112" s="220"/>
      <c r="AO112" s="220"/>
      <c r="AP112" s="220"/>
      <c r="AQ112" s="220"/>
      <c r="AR112" s="220"/>
      <c r="AS112" s="220"/>
      <c r="AT112" s="220"/>
      <c r="AU112" s="220"/>
      <c r="AV112" s="220"/>
      <c r="AW112" s="220"/>
      <c r="AX112" s="220"/>
      <c r="AY112" s="220"/>
      <c r="AZ112" s="220"/>
      <c r="BA112" s="220"/>
    </row>
    <row r="113" spans="1:53">
      <c r="A113" s="220"/>
      <c r="B113" s="257"/>
      <c r="C113" s="220"/>
      <c r="D113" s="257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0"/>
      <c r="AI113" s="220"/>
      <c r="AJ113" s="220"/>
      <c r="AK113" s="220"/>
      <c r="AL113" s="220"/>
      <c r="AM113" s="220"/>
      <c r="AN113" s="220"/>
      <c r="AO113" s="220"/>
      <c r="AP113" s="220"/>
      <c r="AQ113" s="220"/>
      <c r="AR113" s="220"/>
      <c r="AS113" s="220"/>
      <c r="AT113" s="220"/>
      <c r="AU113" s="220"/>
      <c r="AV113" s="220"/>
      <c r="AW113" s="220"/>
      <c r="AX113" s="220"/>
      <c r="AY113" s="220"/>
      <c r="AZ113" s="220"/>
      <c r="BA113" s="220"/>
    </row>
    <row r="114" spans="1:53">
      <c r="A114" s="220"/>
      <c r="B114" s="257"/>
      <c r="C114" s="220"/>
      <c r="D114" s="257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  <c r="AM114" s="220"/>
      <c r="AN114" s="220"/>
      <c r="AO114" s="220"/>
      <c r="AP114" s="220"/>
      <c r="AQ114" s="220"/>
      <c r="AR114" s="220"/>
      <c r="AS114" s="220"/>
      <c r="AT114" s="220"/>
      <c r="AU114" s="220"/>
      <c r="AV114" s="220"/>
      <c r="AW114" s="220"/>
      <c r="AX114" s="220"/>
      <c r="AY114" s="220"/>
      <c r="AZ114" s="220"/>
      <c r="BA114" s="220"/>
    </row>
    <row r="115" spans="1:53">
      <c r="A115" s="220"/>
      <c r="B115" s="257"/>
      <c r="C115" s="220"/>
      <c r="D115" s="257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  <c r="AH115" s="220"/>
      <c r="AI115" s="220"/>
      <c r="AJ115" s="220"/>
      <c r="AK115" s="220"/>
      <c r="AL115" s="220"/>
      <c r="AM115" s="220"/>
      <c r="AN115" s="220"/>
      <c r="AO115" s="220"/>
      <c r="AP115" s="220"/>
      <c r="AQ115" s="220"/>
      <c r="AR115" s="220"/>
      <c r="AS115" s="220"/>
      <c r="AT115" s="220"/>
      <c r="AU115" s="220"/>
      <c r="AV115" s="220"/>
      <c r="AW115" s="220"/>
      <c r="AX115" s="220"/>
      <c r="AY115" s="220"/>
      <c r="AZ115" s="220"/>
      <c r="BA115" s="220"/>
    </row>
    <row r="116" spans="1:53">
      <c r="A116" s="220"/>
      <c r="B116" s="257"/>
      <c r="C116" s="220"/>
      <c r="D116" s="257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  <c r="AM116" s="220"/>
      <c r="AN116" s="220"/>
      <c r="AO116" s="220"/>
      <c r="AP116" s="220"/>
      <c r="AQ116" s="220"/>
      <c r="AR116" s="220"/>
      <c r="AS116" s="220"/>
      <c r="AT116" s="220"/>
      <c r="AU116" s="220"/>
      <c r="AV116" s="220"/>
      <c r="AW116" s="220"/>
      <c r="AX116" s="220"/>
      <c r="AY116" s="220"/>
      <c r="AZ116" s="220"/>
      <c r="BA116" s="220"/>
    </row>
    <row r="117" spans="1:53">
      <c r="A117" s="220"/>
      <c r="B117" s="257"/>
      <c r="C117" s="220"/>
      <c r="D117" s="257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  <c r="AV117" s="220"/>
      <c r="AW117" s="220"/>
      <c r="AX117" s="220"/>
      <c r="AY117" s="220"/>
      <c r="AZ117" s="220"/>
      <c r="BA117" s="220"/>
    </row>
    <row r="118" spans="1:53">
      <c r="A118" s="220"/>
      <c r="B118" s="257"/>
      <c r="C118" s="220"/>
      <c r="D118" s="257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220"/>
      <c r="AY118" s="220"/>
      <c r="AZ118" s="220"/>
      <c r="BA118" s="220"/>
    </row>
    <row r="119" spans="1:53">
      <c r="A119" s="220"/>
      <c r="B119" s="257"/>
      <c r="C119" s="220"/>
      <c r="D119" s="257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0"/>
      <c r="AR119" s="220"/>
      <c r="AS119" s="220"/>
      <c r="AT119" s="220"/>
      <c r="AU119" s="220"/>
      <c r="AV119" s="220"/>
      <c r="AW119" s="220"/>
      <c r="AX119" s="220"/>
      <c r="AY119" s="220"/>
      <c r="AZ119" s="220"/>
      <c r="BA119" s="220"/>
    </row>
    <row r="120" spans="1:53">
      <c r="A120" s="220"/>
      <c r="B120" s="257"/>
      <c r="C120" s="220"/>
      <c r="D120" s="257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0"/>
      <c r="AR120" s="220"/>
      <c r="AS120" s="220"/>
      <c r="AT120" s="220"/>
      <c r="AU120" s="220"/>
      <c r="AV120" s="220"/>
      <c r="AW120" s="220"/>
      <c r="AX120" s="220"/>
      <c r="AY120" s="220"/>
      <c r="AZ120" s="220"/>
      <c r="BA120" s="220"/>
    </row>
    <row r="121" spans="1:53">
      <c r="A121" s="220"/>
      <c r="B121" s="257"/>
      <c r="C121" s="220"/>
      <c r="D121" s="257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0"/>
      <c r="AR121" s="220"/>
      <c r="AS121" s="220"/>
      <c r="AT121" s="220"/>
      <c r="AU121" s="220"/>
      <c r="AV121" s="220"/>
      <c r="AW121" s="220"/>
      <c r="AX121" s="220"/>
      <c r="AY121" s="220"/>
      <c r="AZ121" s="220"/>
      <c r="BA121" s="220"/>
    </row>
    <row r="122" spans="1:53">
      <c r="A122" s="220"/>
      <c r="B122" s="257"/>
      <c r="C122" s="220"/>
      <c r="D122" s="257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0"/>
      <c r="AR122" s="220"/>
      <c r="AS122" s="220"/>
      <c r="AT122" s="220"/>
      <c r="AU122" s="220"/>
      <c r="AV122" s="220"/>
      <c r="AW122" s="220"/>
      <c r="AX122" s="220"/>
      <c r="AY122" s="220"/>
      <c r="AZ122" s="220"/>
      <c r="BA122" s="220"/>
    </row>
    <row r="123" spans="1:53">
      <c r="A123" s="220"/>
      <c r="B123" s="257"/>
      <c r="C123" s="220"/>
      <c r="D123" s="257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0"/>
      <c r="AS123" s="220"/>
      <c r="AT123" s="220"/>
      <c r="AU123" s="220"/>
      <c r="AV123" s="220"/>
      <c r="AW123" s="220"/>
      <c r="AX123" s="220"/>
      <c r="AY123" s="220"/>
      <c r="AZ123" s="220"/>
      <c r="BA123" s="220"/>
    </row>
    <row r="124" spans="1:53">
      <c r="A124" s="220"/>
      <c r="B124" s="257"/>
      <c r="C124" s="220"/>
      <c r="D124" s="257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0"/>
      <c r="AR124" s="220"/>
      <c r="AS124" s="220"/>
      <c r="AT124" s="220"/>
      <c r="AU124" s="220"/>
      <c r="AV124" s="220"/>
      <c r="AW124" s="220"/>
      <c r="AX124" s="220"/>
      <c r="AY124" s="220"/>
      <c r="AZ124" s="220"/>
      <c r="BA124" s="220"/>
    </row>
    <row r="125" spans="1:53">
      <c r="A125" s="220"/>
      <c r="B125" s="257"/>
      <c r="C125" s="220"/>
      <c r="D125" s="257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0"/>
      <c r="AR125" s="220"/>
      <c r="AS125" s="220"/>
      <c r="AT125" s="220"/>
      <c r="AU125" s="220"/>
      <c r="AV125" s="220"/>
      <c r="AW125" s="220"/>
      <c r="AX125" s="220"/>
      <c r="AY125" s="220"/>
      <c r="AZ125" s="220"/>
      <c r="BA125" s="220"/>
    </row>
    <row r="126" spans="1:53">
      <c r="A126" s="220"/>
      <c r="B126" s="257"/>
      <c r="C126" s="220"/>
      <c r="D126" s="257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0"/>
      <c r="AR126" s="220"/>
      <c r="AS126" s="220"/>
      <c r="AT126" s="220"/>
      <c r="AU126" s="220"/>
      <c r="AV126" s="220"/>
      <c r="AW126" s="220"/>
      <c r="AX126" s="220"/>
      <c r="AY126" s="220"/>
      <c r="AZ126" s="220"/>
      <c r="BA126" s="220"/>
    </row>
    <row r="127" spans="1:53">
      <c r="A127" s="220"/>
      <c r="B127" s="257"/>
      <c r="C127" s="220"/>
      <c r="D127" s="257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0"/>
      <c r="AR127" s="220"/>
      <c r="AS127" s="220"/>
      <c r="AT127" s="220"/>
      <c r="AU127" s="220"/>
      <c r="AV127" s="220"/>
      <c r="AW127" s="220"/>
      <c r="AX127" s="220"/>
      <c r="AY127" s="220"/>
      <c r="AZ127" s="220"/>
      <c r="BA127" s="220"/>
    </row>
    <row r="128" spans="1:53">
      <c r="A128" s="220"/>
      <c r="B128" s="257"/>
      <c r="C128" s="220"/>
      <c r="D128" s="257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0"/>
      <c r="AR128" s="220"/>
      <c r="AS128" s="220"/>
      <c r="AT128" s="220"/>
      <c r="AU128" s="220"/>
      <c r="AV128" s="220"/>
      <c r="AW128" s="220"/>
      <c r="AX128" s="220"/>
      <c r="AY128" s="220"/>
      <c r="AZ128" s="220"/>
      <c r="BA128" s="220"/>
    </row>
    <row r="129" spans="1:53">
      <c r="A129" s="220"/>
      <c r="B129" s="257"/>
      <c r="C129" s="220"/>
      <c r="D129" s="257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0"/>
      <c r="AR129" s="220"/>
      <c r="AS129" s="220"/>
      <c r="AT129" s="220"/>
      <c r="AU129" s="220"/>
      <c r="AV129" s="220"/>
      <c r="AW129" s="220"/>
      <c r="AX129" s="220"/>
      <c r="AY129" s="220"/>
      <c r="AZ129" s="220"/>
      <c r="BA129" s="220"/>
    </row>
    <row r="130" spans="1:53">
      <c r="A130" s="220"/>
      <c r="B130" s="257"/>
      <c r="C130" s="220"/>
      <c r="D130" s="257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0"/>
      <c r="AR130" s="220"/>
      <c r="AS130" s="220"/>
      <c r="AT130" s="220"/>
      <c r="AU130" s="220"/>
      <c r="AV130" s="220"/>
      <c r="AW130" s="220"/>
      <c r="AX130" s="220"/>
      <c r="AY130" s="220"/>
      <c r="AZ130" s="220"/>
      <c r="BA130" s="220"/>
    </row>
    <row r="131" spans="1:53">
      <c r="A131" s="220"/>
      <c r="B131" s="257"/>
      <c r="C131" s="220"/>
      <c r="D131" s="257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0"/>
      <c r="AR131" s="220"/>
      <c r="AS131" s="220"/>
      <c r="AT131" s="220"/>
      <c r="AU131" s="220"/>
      <c r="AV131" s="220"/>
      <c r="AW131" s="220"/>
      <c r="AX131" s="220"/>
      <c r="AY131" s="220"/>
      <c r="AZ131" s="220"/>
      <c r="BA131" s="220"/>
    </row>
    <row r="132" spans="1:53">
      <c r="A132" s="220"/>
      <c r="B132" s="257"/>
      <c r="C132" s="220"/>
      <c r="D132" s="257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  <c r="AM132" s="220"/>
      <c r="AN132" s="220"/>
      <c r="AO132" s="220"/>
      <c r="AP132" s="220"/>
      <c r="AQ132" s="220"/>
      <c r="AR132" s="220"/>
      <c r="AS132" s="220"/>
      <c r="AT132" s="220"/>
      <c r="AU132" s="220"/>
      <c r="AV132" s="220"/>
      <c r="AW132" s="220"/>
      <c r="AX132" s="220"/>
      <c r="AY132" s="220"/>
      <c r="AZ132" s="220"/>
      <c r="BA132" s="220"/>
    </row>
    <row r="133" spans="1:53">
      <c r="A133" s="220"/>
      <c r="B133" s="257"/>
      <c r="C133" s="220"/>
      <c r="D133" s="257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  <c r="AM133" s="220"/>
      <c r="AN133" s="220"/>
      <c r="AO133" s="220"/>
      <c r="AP133" s="220"/>
      <c r="AQ133" s="220"/>
      <c r="AR133" s="220"/>
      <c r="AS133" s="220"/>
      <c r="AT133" s="220"/>
      <c r="AU133" s="220"/>
      <c r="AV133" s="220"/>
      <c r="AW133" s="220"/>
      <c r="AX133" s="220"/>
      <c r="AY133" s="220"/>
      <c r="AZ133" s="220"/>
      <c r="BA133" s="220"/>
    </row>
    <row r="134" spans="1:53">
      <c r="A134" s="220"/>
      <c r="B134" s="257"/>
      <c r="C134" s="220"/>
      <c r="D134" s="257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  <c r="AH134" s="220"/>
      <c r="AI134" s="220"/>
      <c r="AJ134" s="220"/>
      <c r="AK134" s="220"/>
      <c r="AL134" s="220"/>
      <c r="AM134" s="220"/>
      <c r="AN134" s="220"/>
      <c r="AO134" s="220"/>
      <c r="AP134" s="220"/>
      <c r="AQ134" s="220"/>
      <c r="AR134" s="220"/>
      <c r="AS134" s="220"/>
      <c r="AT134" s="220"/>
      <c r="AU134" s="220"/>
      <c r="AV134" s="220"/>
      <c r="AW134" s="220"/>
      <c r="AX134" s="220"/>
      <c r="AY134" s="220"/>
      <c r="AZ134" s="220"/>
      <c r="BA134" s="220"/>
    </row>
    <row r="135" spans="1:53">
      <c r="A135" s="220"/>
      <c r="B135" s="257"/>
      <c r="C135" s="220"/>
      <c r="D135" s="257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  <c r="AM135" s="220"/>
      <c r="AN135" s="220"/>
      <c r="AO135" s="220"/>
      <c r="AP135" s="220"/>
      <c r="AQ135" s="220"/>
      <c r="AR135" s="220"/>
      <c r="AS135" s="220"/>
      <c r="AT135" s="220"/>
      <c r="AU135" s="220"/>
      <c r="AV135" s="220"/>
      <c r="AW135" s="220"/>
      <c r="AX135" s="220"/>
      <c r="AY135" s="220"/>
      <c r="AZ135" s="220"/>
      <c r="BA135" s="220"/>
    </row>
    <row r="136" spans="1:53">
      <c r="A136" s="220"/>
      <c r="B136" s="257"/>
      <c r="C136" s="220"/>
      <c r="D136" s="257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  <c r="AM136" s="220"/>
      <c r="AN136" s="220"/>
      <c r="AO136" s="220"/>
      <c r="AP136" s="220"/>
      <c r="AQ136" s="220"/>
      <c r="AR136" s="220"/>
      <c r="AS136" s="220"/>
      <c r="AT136" s="220"/>
      <c r="AU136" s="220"/>
      <c r="AV136" s="220"/>
      <c r="AW136" s="220"/>
      <c r="AX136" s="220"/>
      <c r="AY136" s="220"/>
      <c r="AZ136" s="220"/>
      <c r="BA136" s="220"/>
    </row>
    <row r="137" spans="1:53">
      <c r="A137" s="220"/>
      <c r="B137" s="257"/>
      <c r="C137" s="220"/>
      <c r="D137" s="257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  <c r="AM137" s="220"/>
      <c r="AN137" s="220"/>
      <c r="AO137" s="220"/>
      <c r="AP137" s="220"/>
      <c r="AQ137" s="220"/>
      <c r="AR137" s="220"/>
      <c r="AS137" s="220"/>
      <c r="AT137" s="220"/>
      <c r="AU137" s="220"/>
      <c r="AV137" s="220"/>
      <c r="AW137" s="220"/>
      <c r="AX137" s="220"/>
      <c r="AY137" s="220"/>
      <c r="AZ137" s="220"/>
      <c r="BA137" s="220"/>
    </row>
    <row r="138" spans="1:53">
      <c r="A138" s="220"/>
      <c r="B138" s="257"/>
      <c r="C138" s="220"/>
      <c r="D138" s="257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  <c r="AH138" s="220"/>
      <c r="AI138" s="220"/>
      <c r="AJ138" s="220"/>
      <c r="AK138" s="220"/>
      <c r="AL138" s="220"/>
      <c r="AM138" s="220"/>
      <c r="AN138" s="220"/>
      <c r="AO138" s="220"/>
      <c r="AP138" s="220"/>
      <c r="AQ138" s="220"/>
      <c r="AR138" s="220"/>
      <c r="AS138" s="220"/>
      <c r="AT138" s="220"/>
      <c r="AU138" s="220"/>
      <c r="AV138" s="220"/>
      <c r="AW138" s="220"/>
      <c r="AX138" s="220"/>
      <c r="AY138" s="220"/>
      <c r="AZ138" s="220"/>
      <c r="BA138" s="220"/>
    </row>
    <row r="139" spans="1:53">
      <c r="A139" s="220"/>
      <c r="B139" s="257"/>
      <c r="C139" s="220"/>
      <c r="D139" s="257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0"/>
      <c r="AR139" s="220"/>
      <c r="AS139" s="220"/>
      <c r="AT139" s="220"/>
      <c r="AU139" s="220"/>
      <c r="AV139" s="220"/>
      <c r="AW139" s="220"/>
      <c r="AX139" s="220"/>
      <c r="AY139" s="220"/>
      <c r="AZ139" s="220"/>
      <c r="BA139" s="220"/>
    </row>
    <row r="140" spans="1:53">
      <c r="A140" s="220"/>
      <c r="B140" s="257"/>
      <c r="C140" s="220"/>
      <c r="D140" s="257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0"/>
      <c r="AR140" s="220"/>
      <c r="AS140" s="220"/>
      <c r="AT140" s="220"/>
      <c r="AU140" s="220"/>
      <c r="AV140" s="220"/>
      <c r="AW140" s="220"/>
      <c r="AX140" s="220"/>
      <c r="AY140" s="220"/>
      <c r="AZ140" s="220"/>
      <c r="BA140" s="220"/>
    </row>
    <row r="141" spans="1:53">
      <c r="A141" s="220"/>
      <c r="B141" s="257"/>
      <c r="C141" s="220"/>
      <c r="D141" s="257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0"/>
      <c r="AR141" s="220"/>
      <c r="AS141" s="220"/>
      <c r="AT141" s="220"/>
      <c r="AU141" s="220"/>
      <c r="AV141" s="220"/>
      <c r="AW141" s="220"/>
      <c r="AX141" s="220"/>
      <c r="AY141" s="220"/>
      <c r="AZ141" s="220"/>
      <c r="BA141" s="220"/>
    </row>
    <row r="142" spans="1:53">
      <c r="A142" s="220"/>
      <c r="B142" s="257"/>
      <c r="C142" s="220"/>
      <c r="D142" s="257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0"/>
      <c r="AR142" s="220"/>
      <c r="AS142" s="220"/>
      <c r="AT142" s="220"/>
      <c r="AU142" s="220"/>
      <c r="AV142" s="220"/>
      <c r="AW142" s="220"/>
      <c r="AX142" s="220"/>
      <c r="AY142" s="220"/>
      <c r="AZ142" s="220"/>
      <c r="BA142" s="220"/>
    </row>
    <row r="143" spans="1:53">
      <c r="A143" s="220"/>
      <c r="B143" s="257"/>
      <c r="C143" s="220"/>
      <c r="D143" s="257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  <c r="AM143" s="220"/>
      <c r="AN143" s="220"/>
      <c r="AO143" s="220"/>
      <c r="AP143" s="220"/>
      <c r="AQ143" s="220"/>
      <c r="AR143" s="220"/>
      <c r="AS143" s="220"/>
      <c r="AT143" s="220"/>
      <c r="AU143" s="220"/>
      <c r="AV143" s="220"/>
      <c r="AW143" s="220"/>
      <c r="AX143" s="220"/>
      <c r="AY143" s="220"/>
      <c r="AZ143" s="220"/>
      <c r="BA143" s="220"/>
    </row>
    <row r="144" spans="1:53">
      <c r="A144" s="220"/>
      <c r="B144" s="257"/>
      <c r="C144" s="220"/>
      <c r="D144" s="257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0"/>
      <c r="AR144" s="220"/>
      <c r="AS144" s="220"/>
      <c r="AT144" s="220"/>
      <c r="AU144" s="220"/>
      <c r="AV144" s="220"/>
      <c r="AW144" s="220"/>
      <c r="AX144" s="220"/>
      <c r="AY144" s="220"/>
      <c r="AZ144" s="220"/>
      <c r="BA144" s="220"/>
    </row>
    <row r="145" spans="1:53">
      <c r="A145" s="220"/>
      <c r="B145" s="257"/>
      <c r="C145" s="220"/>
      <c r="D145" s="257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0"/>
      <c r="AR145" s="220"/>
      <c r="AS145" s="220"/>
      <c r="AT145" s="220"/>
      <c r="AU145" s="220"/>
      <c r="AV145" s="220"/>
      <c r="AW145" s="220"/>
      <c r="AX145" s="220"/>
      <c r="AY145" s="220"/>
      <c r="AZ145" s="220"/>
      <c r="BA145" s="220"/>
    </row>
    <row r="146" spans="1:53">
      <c r="A146" s="220"/>
      <c r="B146" s="257"/>
      <c r="C146" s="220"/>
      <c r="D146" s="257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0"/>
      <c r="AR146" s="220"/>
      <c r="AS146" s="220"/>
      <c r="AT146" s="220"/>
      <c r="AU146" s="220"/>
      <c r="AV146" s="220"/>
      <c r="AW146" s="220"/>
      <c r="AX146" s="220"/>
      <c r="AY146" s="220"/>
      <c r="AZ146" s="220"/>
      <c r="BA146" s="220"/>
    </row>
    <row r="147" spans="1:53">
      <c r="A147" s="220"/>
      <c r="B147" s="257"/>
      <c r="C147" s="220"/>
      <c r="D147" s="257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  <c r="AV147" s="220"/>
      <c r="AW147" s="220"/>
      <c r="AX147" s="220"/>
      <c r="AY147" s="220"/>
      <c r="AZ147" s="220"/>
      <c r="BA147" s="220"/>
    </row>
    <row r="148" spans="1:53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0"/>
      <c r="AR148" s="220"/>
      <c r="AS148" s="220"/>
      <c r="AT148" s="220"/>
      <c r="AU148" s="220"/>
      <c r="AV148" s="220"/>
      <c r="AW148" s="220"/>
      <c r="AX148" s="220"/>
      <c r="AY148" s="220"/>
      <c r="AZ148" s="220"/>
      <c r="BA148" s="220"/>
    </row>
    <row r="149" spans="1:53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  <c r="AV149" s="220"/>
      <c r="AW149" s="220"/>
      <c r="AX149" s="220"/>
      <c r="AY149" s="220"/>
      <c r="AZ149" s="220"/>
      <c r="BA149" s="2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4B084"/>
  </sheetPr>
  <dimension ref="A1:BA149"/>
  <sheetViews>
    <sheetView zoomScale="98" workbookViewId="0">
      <pane xSplit="4" ySplit="3" topLeftCell="E4" activePane="bottomRight" state="frozen"/>
      <selection pane="topRight"/>
      <selection pane="bottomLeft"/>
      <selection pane="bottomRight" activeCell="A26" sqref="A26"/>
    </sheetView>
  </sheetViews>
  <sheetFormatPr defaultRowHeight="14.5"/>
  <cols>
    <col min="1" max="1" width="36.7265625" bestFit="1" customWidth="1"/>
    <col min="2" max="2" width="4.453125" style="54" customWidth="1"/>
    <col min="3" max="3" width="19.90625" style="49" customWidth="1"/>
    <col min="4" max="4" width="7.6328125" style="54" customWidth="1"/>
    <col min="5" max="7" width="11.7265625" customWidth="1"/>
    <col min="8" max="8" width="10.7265625" style="206" customWidth="1"/>
    <col min="9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3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</row>
    <row r="2" spans="1:53" s="216" customFormat="1">
      <c r="A2" s="223" t="s">
        <v>0</v>
      </c>
      <c r="B2" s="224"/>
      <c r="C2" s="224"/>
      <c r="D2" s="224"/>
      <c r="E2" s="225">
        <v>45657</v>
      </c>
      <c r="F2" s="225">
        <v>46022</v>
      </c>
      <c r="G2" s="225">
        <v>46112</v>
      </c>
      <c r="H2" s="225">
        <v>46203</v>
      </c>
      <c r="I2" s="225">
        <v>46022</v>
      </c>
      <c r="J2" s="225">
        <v>46112</v>
      </c>
      <c r="K2" s="225">
        <v>46203</v>
      </c>
      <c r="L2" s="225">
        <v>46295</v>
      </c>
      <c r="M2" s="225">
        <v>46387</v>
      </c>
      <c r="N2" s="225">
        <v>46477</v>
      </c>
      <c r="O2" s="225">
        <v>46568</v>
      </c>
      <c r="P2" s="225">
        <v>46660</v>
      </c>
      <c r="Q2" s="388">
        <v>46752</v>
      </c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</row>
    <row r="3" spans="1:53" s="219" customFormat="1">
      <c r="A3" s="68"/>
      <c r="B3" s="217"/>
      <c r="C3" s="217"/>
      <c r="D3" s="217"/>
      <c r="E3" s="218" t="s">
        <v>1</v>
      </c>
      <c r="F3" s="68"/>
      <c r="G3" s="68"/>
      <c r="H3" s="218"/>
      <c r="I3" s="218" t="s">
        <v>2</v>
      </c>
      <c r="J3" s="68"/>
      <c r="K3" s="68"/>
      <c r="L3" s="68"/>
      <c r="M3" s="68"/>
      <c r="N3" s="389"/>
      <c r="O3" s="389"/>
      <c r="P3" s="389"/>
      <c r="Q3" s="389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</row>
    <row r="4" spans="1:53" ht="18.5" customHeight="1">
      <c r="A4" s="220"/>
      <c r="B4" s="227" t="s">
        <v>2</v>
      </c>
      <c r="C4" s="228" t="s">
        <v>3</v>
      </c>
      <c r="D4" s="227" t="s">
        <v>4</v>
      </c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</row>
    <row r="5" spans="1:53">
      <c r="A5" s="258" t="s">
        <v>5</v>
      </c>
      <c r="B5" s="231"/>
      <c r="C5" s="232"/>
      <c r="D5" s="231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</row>
    <row r="6" spans="1:53">
      <c r="A6" s="233" t="s">
        <v>348</v>
      </c>
      <c r="B6" s="234" t="s">
        <v>7</v>
      </c>
      <c r="C6" s="235" t="s">
        <v>8</v>
      </c>
      <c r="D6" s="236" t="s">
        <v>349</v>
      </c>
      <c r="E6" s="220"/>
      <c r="F6" s="247">
        <v>125000</v>
      </c>
      <c r="G6" s="260">
        <v>125000</v>
      </c>
      <c r="H6" s="220"/>
      <c r="I6" s="241">
        <v>125000</v>
      </c>
      <c r="J6" s="261">
        <v>125000</v>
      </c>
      <c r="K6" s="241">
        <v>125000</v>
      </c>
      <c r="L6" s="241">
        <v>125000</v>
      </c>
      <c r="M6" s="241">
        <v>125000</v>
      </c>
      <c r="N6" s="391">
        <v>125000</v>
      </c>
      <c r="O6" s="391">
        <v>125000</v>
      </c>
      <c r="P6" s="391">
        <v>125000</v>
      </c>
      <c r="Q6" s="391">
        <v>125000</v>
      </c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20"/>
      <c r="AY6" s="220"/>
      <c r="AZ6" s="220"/>
      <c r="BA6" s="220"/>
    </row>
    <row r="7" spans="1:53">
      <c r="A7" s="233" t="s">
        <v>350</v>
      </c>
      <c r="B7" s="234" t="s">
        <v>7</v>
      </c>
      <c r="C7" s="235" t="s">
        <v>8</v>
      </c>
      <c r="D7" s="236" t="s">
        <v>351</v>
      </c>
      <c r="E7" s="220"/>
      <c r="F7" s="247">
        <v>68750</v>
      </c>
      <c r="G7" s="260">
        <v>72500</v>
      </c>
      <c r="H7" s="220"/>
      <c r="I7" s="241">
        <v>68750</v>
      </c>
      <c r="J7" s="261">
        <v>72500</v>
      </c>
      <c r="K7" s="241">
        <v>72500</v>
      </c>
      <c r="L7" s="241">
        <v>72500</v>
      </c>
      <c r="M7" s="241">
        <v>72500</v>
      </c>
      <c r="N7" s="391">
        <v>72500</v>
      </c>
      <c r="O7" s="391">
        <v>72500</v>
      </c>
      <c r="P7" s="391">
        <v>72500</v>
      </c>
      <c r="Q7" s="391">
        <v>72500</v>
      </c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20"/>
      <c r="AY7" s="220"/>
      <c r="AZ7" s="220"/>
      <c r="BA7" s="220"/>
    </row>
    <row r="8" spans="1:53">
      <c r="A8" s="233" t="s">
        <v>352</v>
      </c>
      <c r="B8" s="234" t="s">
        <v>7</v>
      </c>
      <c r="C8" s="235" t="s">
        <v>8</v>
      </c>
      <c r="D8" s="236" t="s">
        <v>353</v>
      </c>
      <c r="E8" s="220"/>
      <c r="F8" s="247">
        <v>0</v>
      </c>
      <c r="G8" s="260">
        <v>75000</v>
      </c>
      <c r="H8" s="220"/>
      <c r="I8" s="241">
        <v>0</v>
      </c>
      <c r="J8" s="261">
        <v>75000</v>
      </c>
      <c r="K8" s="241">
        <v>75000</v>
      </c>
      <c r="L8" s="241">
        <v>75000</v>
      </c>
      <c r="M8" s="241">
        <v>75000</v>
      </c>
      <c r="N8" s="391">
        <v>75000</v>
      </c>
      <c r="O8" s="391">
        <v>75000</v>
      </c>
      <c r="P8" s="391">
        <v>75000</v>
      </c>
      <c r="Q8" s="391">
        <v>75000</v>
      </c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</row>
    <row r="9" spans="1:53">
      <c r="A9" s="233" t="s">
        <v>354</v>
      </c>
      <c r="B9" s="244" t="s">
        <v>7</v>
      </c>
      <c r="C9" s="244" t="s">
        <v>8</v>
      </c>
      <c r="D9" s="244" t="s">
        <v>355</v>
      </c>
      <c r="E9" s="220"/>
      <c r="F9" s="247">
        <v>37500</v>
      </c>
      <c r="G9" s="260">
        <v>40000</v>
      </c>
      <c r="H9" s="220"/>
      <c r="I9" s="241">
        <v>37500</v>
      </c>
      <c r="J9" s="261">
        <v>40000</v>
      </c>
      <c r="K9" s="241">
        <v>40000</v>
      </c>
      <c r="L9" s="241">
        <v>40000</v>
      </c>
      <c r="M9" s="241">
        <v>40000</v>
      </c>
      <c r="N9" s="391">
        <v>40000</v>
      </c>
      <c r="O9" s="391">
        <v>40000</v>
      </c>
      <c r="P9" s="391">
        <v>40000</v>
      </c>
      <c r="Q9" s="391">
        <v>40000</v>
      </c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20"/>
      <c r="AY9" s="220"/>
      <c r="AZ9" s="220"/>
      <c r="BA9" s="220"/>
    </row>
    <row r="10" spans="1:53">
      <c r="A10" s="233" t="s">
        <v>356</v>
      </c>
      <c r="B10" s="244" t="s">
        <v>7</v>
      </c>
      <c r="C10" s="244" t="s">
        <v>8</v>
      </c>
      <c r="D10" s="244" t="s">
        <v>357</v>
      </c>
      <c r="E10" s="220"/>
      <c r="F10" s="247">
        <v>27500</v>
      </c>
      <c r="G10" s="260">
        <v>27500</v>
      </c>
      <c r="H10" s="242"/>
      <c r="I10" s="241">
        <v>27500</v>
      </c>
      <c r="J10" s="261">
        <v>27500</v>
      </c>
      <c r="K10" s="241">
        <v>27500</v>
      </c>
      <c r="L10" s="241">
        <v>27500</v>
      </c>
      <c r="M10" s="241">
        <v>27500</v>
      </c>
      <c r="N10" s="391">
        <v>27500</v>
      </c>
      <c r="O10" s="391">
        <v>27500</v>
      </c>
      <c r="P10" s="391">
        <v>27500</v>
      </c>
      <c r="Q10" s="391">
        <v>27500</v>
      </c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0"/>
      <c r="AX10" s="220"/>
      <c r="AY10" s="220"/>
      <c r="AZ10" s="220"/>
      <c r="BA10" s="220"/>
    </row>
    <row r="11" spans="1:53" s="11" customFormat="1">
      <c r="A11" s="244" t="s">
        <v>358</v>
      </c>
      <c r="B11" s="262" t="s">
        <v>7</v>
      </c>
      <c r="C11" s="263" t="s">
        <v>8</v>
      </c>
      <c r="D11" s="262" t="s">
        <v>359</v>
      </c>
      <c r="E11" s="248"/>
      <c r="F11" s="247">
        <v>0</v>
      </c>
      <c r="G11" s="247">
        <v>0</v>
      </c>
      <c r="H11" s="220"/>
      <c r="I11" s="241">
        <v>0</v>
      </c>
      <c r="J11" s="241">
        <v>0</v>
      </c>
      <c r="K11" s="241">
        <v>0</v>
      </c>
      <c r="L11" s="241">
        <v>37500</v>
      </c>
      <c r="M11" s="241">
        <v>37500</v>
      </c>
      <c r="N11" s="391">
        <v>37500</v>
      </c>
      <c r="O11" s="391">
        <v>37500</v>
      </c>
      <c r="P11" s="391">
        <v>37500</v>
      </c>
      <c r="Q11" s="391">
        <v>37500</v>
      </c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</row>
    <row r="12" spans="1:53" ht="14.65" customHeight="1">
      <c r="A12" s="264" t="s">
        <v>32</v>
      </c>
      <c r="B12" s="220"/>
      <c r="C12" s="220"/>
      <c r="D12" s="220"/>
      <c r="E12" s="248"/>
      <c r="F12" s="238">
        <v>258750</v>
      </c>
      <c r="G12" s="238">
        <v>340000</v>
      </c>
      <c r="H12" s="246"/>
      <c r="I12" s="242">
        <v>258750</v>
      </c>
      <c r="J12" s="242">
        <f t="shared" ref="J12:Q12" si="0">SUM(J6:J11)</f>
        <v>340000</v>
      </c>
      <c r="K12" s="242">
        <f t="shared" si="0"/>
        <v>340000</v>
      </c>
      <c r="L12" s="242">
        <f t="shared" si="0"/>
        <v>377500</v>
      </c>
      <c r="M12" s="242">
        <f t="shared" si="0"/>
        <v>377500</v>
      </c>
      <c r="N12" s="242">
        <f t="shared" si="0"/>
        <v>377500</v>
      </c>
      <c r="O12" s="242">
        <f t="shared" si="0"/>
        <v>377500</v>
      </c>
      <c r="P12" s="242">
        <f t="shared" si="0"/>
        <v>377500</v>
      </c>
      <c r="Q12" s="242">
        <f t="shared" si="0"/>
        <v>377500</v>
      </c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</row>
    <row r="13" spans="1:53">
      <c r="A13" s="265"/>
      <c r="B13" s="220"/>
      <c r="C13" s="220"/>
      <c r="D13" s="220"/>
      <c r="E13" s="242"/>
      <c r="F13" s="242"/>
      <c r="G13" s="242"/>
      <c r="H13" s="246"/>
      <c r="I13" s="242"/>
      <c r="J13" s="242"/>
      <c r="K13" s="242"/>
      <c r="L13" s="242"/>
      <c r="M13" s="242"/>
      <c r="N13" s="242"/>
      <c r="O13" s="242"/>
      <c r="P13" s="242"/>
      <c r="Q13" s="242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</row>
    <row r="14" spans="1:53" ht="14.65" customHeight="1">
      <c r="A14" s="263" t="s">
        <v>33</v>
      </c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</row>
    <row r="15" spans="1:53">
      <c r="A15" s="220" t="str">
        <f t="shared" ref="A15:A20" si="1">A6</f>
        <v>ACEO Loren Hotels (CE)</v>
      </c>
      <c r="B15" s="244" t="s">
        <v>7</v>
      </c>
      <c r="C15" s="244" t="s">
        <v>34</v>
      </c>
      <c r="D15" s="244" t="s">
        <v>349</v>
      </c>
      <c r="E15" s="222"/>
      <c r="F15" s="247">
        <v>250000</v>
      </c>
      <c r="G15" s="247">
        <v>0</v>
      </c>
      <c r="H15" s="220"/>
      <c r="I15" s="241">
        <v>250000</v>
      </c>
      <c r="J15" s="241">
        <v>0</v>
      </c>
      <c r="K15" s="241">
        <v>0</v>
      </c>
      <c r="L15" s="241">
        <v>0</v>
      </c>
      <c r="M15" s="241">
        <v>250000</v>
      </c>
      <c r="N15" s="391">
        <v>250000</v>
      </c>
      <c r="O15" s="391">
        <v>250000</v>
      </c>
      <c r="P15" s="391">
        <v>250000</v>
      </c>
      <c r="Q15" s="391">
        <v>250000</v>
      </c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</row>
    <row r="16" spans="1:53">
      <c r="A16" s="220" t="str">
        <f t="shared" si="1"/>
        <v>VP Operations (WS)</v>
      </c>
      <c r="B16" s="244" t="s">
        <v>7</v>
      </c>
      <c r="C16" s="244" t="s">
        <v>34</v>
      </c>
      <c r="D16" s="244" t="s">
        <v>351</v>
      </c>
      <c r="E16" s="242"/>
      <c r="F16" s="247">
        <v>115000</v>
      </c>
      <c r="G16" s="247">
        <v>0</v>
      </c>
      <c r="H16" s="220"/>
      <c r="I16" s="241">
        <v>115000</v>
      </c>
      <c r="J16" s="241">
        <v>0</v>
      </c>
      <c r="K16" s="241">
        <v>0</v>
      </c>
      <c r="L16" s="241">
        <v>0</v>
      </c>
      <c r="M16" s="241">
        <v>75000</v>
      </c>
      <c r="N16" s="391">
        <v>75000</v>
      </c>
      <c r="O16" s="391">
        <v>75000</v>
      </c>
      <c r="P16" s="391">
        <v>75000</v>
      </c>
      <c r="Q16" s="391">
        <v>75000</v>
      </c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</row>
    <row r="17" spans="1:53">
      <c r="A17" s="220" t="str">
        <f t="shared" si="1"/>
        <v>seniorS&amp;Mexe (CL)</v>
      </c>
      <c r="B17" s="244" t="s">
        <v>7</v>
      </c>
      <c r="C17" s="244" t="s">
        <v>34</v>
      </c>
      <c r="D17" s="244" t="s">
        <v>353</v>
      </c>
      <c r="E17" s="242"/>
      <c r="F17" s="247">
        <v>20000</v>
      </c>
      <c r="G17" s="247">
        <v>0</v>
      </c>
      <c r="H17" s="248"/>
      <c r="I17" s="241">
        <v>20000</v>
      </c>
      <c r="J17" s="241">
        <v>0</v>
      </c>
      <c r="K17" s="241">
        <v>0</v>
      </c>
      <c r="L17" s="241">
        <v>0</v>
      </c>
      <c r="M17" s="241">
        <v>75000</v>
      </c>
      <c r="N17" s="391">
        <v>75000</v>
      </c>
      <c r="O17" s="391">
        <v>75000</v>
      </c>
      <c r="P17" s="391">
        <v>75000</v>
      </c>
      <c r="Q17" s="391">
        <v>75000</v>
      </c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</row>
    <row r="18" spans="1:53">
      <c r="A18" s="220" t="str">
        <f t="shared" si="1"/>
        <v>Senior Associate (RF)</v>
      </c>
      <c r="B18" s="244" t="s">
        <v>7</v>
      </c>
      <c r="C18" s="244" t="s">
        <v>34</v>
      </c>
      <c r="D18" s="244" t="s">
        <v>355</v>
      </c>
      <c r="E18" s="242"/>
      <c r="F18" s="247">
        <v>50000</v>
      </c>
      <c r="G18" s="247">
        <v>0</v>
      </c>
      <c r="H18" s="248"/>
      <c r="I18" s="241">
        <v>50000</v>
      </c>
      <c r="J18" s="241">
        <v>0</v>
      </c>
      <c r="K18" s="241">
        <v>0</v>
      </c>
      <c r="L18" s="241">
        <v>0</v>
      </c>
      <c r="M18" s="241">
        <v>50000</v>
      </c>
      <c r="N18" s="391">
        <v>50000</v>
      </c>
      <c r="O18" s="391">
        <v>50000</v>
      </c>
      <c r="P18" s="391">
        <v>50000</v>
      </c>
      <c r="Q18" s="391">
        <v>50000</v>
      </c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</row>
    <row r="19" spans="1:53">
      <c r="A19" s="220" t="str">
        <f t="shared" si="1"/>
        <v>associate (MT)</v>
      </c>
      <c r="B19" s="244" t="s">
        <v>7</v>
      </c>
      <c r="C19" s="244" t="s">
        <v>34</v>
      </c>
      <c r="D19" s="244" t="s">
        <v>357</v>
      </c>
      <c r="E19" s="242"/>
      <c r="F19" s="247">
        <v>20000</v>
      </c>
      <c r="G19" s="247">
        <v>0</v>
      </c>
      <c r="H19" s="242"/>
      <c r="I19" s="241">
        <v>20000</v>
      </c>
      <c r="J19" s="241">
        <v>0</v>
      </c>
      <c r="K19" s="241">
        <v>0</v>
      </c>
      <c r="L19" s="241">
        <v>0</v>
      </c>
      <c r="M19" s="241">
        <v>40000</v>
      </c>
      <c r="N19" s="391">
        <v>40000</v>
      </c>
      <c r="O19" s="391">
        <v>40000</v>
      </c>
      <c r="P19" s="391">
        <v>40000</v>
      </c>
      <c r="Q19" s="391">
        <v>40000</v>
      </c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</row>
    <row r="20" spans="1:53" ht="14.65" customHeight="1">
      <c r="A20" s="220" t="str">
        <f t="shared" si="1"/>
        <v>project manager</v>
      </c>
      <c r="B20" s="244" t="s">
        <v>7</v>
      </c>
      <c r="C20" s="244" t="s">
        <v>34</v>
      </c>
      <c r="D20" s="244" t="s">
        <v>359</v>
      </c>
      <c r="E20" s="242"/>
      <c r="F20" s="247">
        <v>0</v>
      </c>
      <c r="G20" s="247">
        <v>0</v>
      </c>
      <c r="H20" s="220"/>
      <c r="I20" s="241">
        <v>0</v>
      </c>
      <c r="J20" s="241">
        <v>0</v>
      </c>
      <c r="K20" s="241">
        <v>0</v>
      </c>
      <c r="L20" s="241">
        <v>0</v>
      </c>
      <c r="M20" s="241">
        <v>5000</v>
      </c>
      <c r="N20" s="391">
        <v>5000</v>
      </c>
      <c r="O20" s="391">
        <v>5000</v>
      </c>
      <c r="P20" s="391">
        <v>5000</v>
      </c>
      <c r="Q20" s="391">
        <v>5000</v>
      </c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</row>
    <row r="21" spans="1:53" ht="14.65" customHeight="1">
      <c r="A21" s="264" t="s">
        <v>32</v>
      </c>
      <c r="B21" s="220"/>
      <c r="C21" s="220"/>
      <c r="D21" s="220"/>
      <c r="E21" s="248"/>
      <c r="F21" s="247">
        <v>455000</v>
      </c>
      <c r="G21" s="247">
        <v>0</v>
      </c>
      <c r="H21" s="222"/>
      <c r="I21" s="237">
        <v>455000</v>
      </c>
      <c r="J21" s="237">
        <f t="shared" ref="J21:Q21" si="2">SUM(J15:J20)</f>
        <v>0</v>
      </c>
      <c r="K21" s="237">
        <f t="shared" si="2"/>
        <v>0</v>
      </c>
      <c r="L21" s="237">
        <f t="shared" si="2"/>
        <v>0</v>
      </c>
      <c r="M21" s="237">
        <f t="shared" si="2"/>
        <v>495000</v>
      </c>
      <c r="N21" s="254">
        <f t="shared" si="2"/>
        <v>495000</v>
      </c>
      <c r="O21" s="254">
        <f t="shared" si="2"/>
        <v>495000</v>
      </c>
      <c r="P21" s="254">
        <f t="shared" si="2"/>
        <v>495000</v>
      </c>
      <c r="Q21" s="254">
        <f t="shared" si="2"/>
        <v>495000</v>
      </c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</row>
    <row r="22" spans="1:53">
      <c r="A22" s="265"/>
      <c r="B22" s="220"/>
      <c r="C22" s="220"/>
      <c r="D22" s="220"/>
      <c r="E22" s="242"/>
      <c r="F22" s="242"/>
      <c r="G22" s="242"/>
      <c r="H22" s="242"/>
      <c r="I22" s="242"/>
      <c r="J22" s="242"/>
      <c r="K22" s="242"/>
      <c r="L22" s="242"/>
      <c r="M22" s="242"/>
      <c r="N22" s="393"/>
      <c r="O22" s="242"/>
      <c r="P22" s="242"/>
      <c r="Q22" s="242"/>
      <c r="R22" s="220"/>
      <c r="S22" s="220"/>
      <c r="T22" s="220"/>
      <c r="U22" s="220"/>
      <c r="V22" s="220"/>
      <c r="W22" s="220"/>
      <c r="X22" s="220"/>
      <c r="Y22" s="220"/>
      <c r="Z22" s="266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</row>
    <row r="23" spans="1:53" ht="14.65" customHeight="1">
      <c r="A23" s="263" t="s">
        <v>35</v>
      </c>
      <c r="B23" s="220"/>
      <c r="C23" s="220"/>
      <c r="D23" s="220"/>
      <c r="E23" s="220"/>
      <c r="F23" s="220"/>
      <c r="G23" s="220"/>
      <c r="H23" s="242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</row>
    <row r="24" spans="1:53">
      <c r="A24" s="220" t="str">
        <f t="shared" ref="A24:A29" si="3">A15</f>
        <v>ACEO Loren Hotels (CE)</v>
      </c>
      <c r="B24" s="244" t="s">
        <v>36</v>
      </c>
      <c r="C24" s="244" t="s">
        <v>37</v>
      </c>
      <c r="D24" s="244" t="s">
        <v>349</v>
      </c>
      <c r="E24" s="256"/>
      <c r="F24" s="267">
        <v>403750</v>
      </c>
      <c r="G24" s="267">
        <v>144000</v>
      </c>
      <c r="H24" s="242"/>
      <c r="I24" s="255">
        <v>403750</v>
      </c>
      <c r="J24" s="255">
        <f>J6*(1+'.c12_inputs.hr'!$E$8)+(J15*(1+'.c12_inputs.hr'!$E$9))</f>
        <v>144000</v>
      </c>
      <c r="K24" s="255">
        <f>K6*(1+'.c12_inputs.hr'!$E$8)+(K15*(1+'.c12_inputs.hr'!$E$9))</f>
        <v>144000</v>
      </c>
      <c r="L24" s="255">
        <f>L6*(1+'.c12_inputs.hr'!$E$8)+(L15*(1+'.c12_inputs.hr'!$E$9))</f>
        <v>144000</v>
      </c>
      <c r="M24" s="255">
        <f>M6*(1+'.c12_inputs.hr'!$E$8)+(M15*(1+'.c12_inputs.hr'!$E$9))</f>
        <v>403750</v>
      </c>
      <c r="N24" s="255">
        <f>N6*(1+'.c12_inputs.hr'!$E$8)+(N15*(1+'.c12_inputs.hr'!$E$9))</f>
        <v>403750</v>
      </c>
      <c r="O24" s="255">
        <f>O6*(1+'.c12_inputs.hr'!$E$8)+(O15*(1+'.c12_inputs.hr'!$E$9))</f>
        <v>403750</v>
      </c>
      <c r="P24" s="255">
        <f>P6*(1+'.c12_inputs.hr'!$E$8)+(P15*(1+'.c12_inputs.hr'!$E$9))</f>
        <v>403750</v>
      </c>
      <c r="Q24" s="255">
        <f>Q6*(1+'.c12_inputs.hr'!$E$8)+(Q15*(1+'.c12_inputs.hr'!$E$9))</f>
        <v>403750</v>
      </c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</row>
    <row r="25" spans="1:53">
      <c r="A25" s="220" t="str">
        <f t="shared" si="3"/>
        <v>VP Operations (WS)</v>
      </c>
      <c r="B25" s="244" t="s">
        <v>36</v>
      </c>
      <c r="C25" s="244" t="s">
        <v>37</v>
      </c>
      <c r="D25" s="244" t="s">
        <v>351</v>
      </c>
      <c r="E25" s="256"/>
      <c r="F25" s="267">
        <v>198685</v>
      </c>
      <c r="G25" s="267">
        <v>83520</v>
      </c>
      <c r="H25" s="242"/>
      <c r="I25" s="255">
        <v>198685</v>
      </c>
      <c r="J25" s="255">
        <f>J7*(1+'.c12_inputs.hr'!$E$8)+(J16*(1+'.c12_inputs.hr'!$E$9))</f>
        <v>83520</v>
      </c>
      <c r="K25" s="255">
        <f>K7*(1+'.c12_inputs.hr'!$E$8)+(K16*(1+'.c12_inputs.hr'!$E$9))</f>
        <v>83520</v>
      </c>
      <c r="L25" s="255">
        <f>L7*(1+'.c12_inputs.hr'!$E$8)+(L16*(1+'.c12_inputs.hr'!$E$9))</f>
        <v>83520</v>
      </c>
      <c r="M25" s="255">
        <f>M7*(1+'.c12_inputs.hr'!$E$8)+(M16*(1+'.c12_inputs.hr'!$E$9))</f>
        <v>161445</v>
      </c>
      <c r="N25" s="255">
        <f>N7*(1+'.c12_inputs.hr'!$E$8)+(N16*(1+'.c12_inputs.hr'!$E$9))</f>
        <v>161445</v>
      </c>
      <c r="O25" s="255">
        <f>O7*(1+'.c12_inputs.hr'!$E$8)+(O16*(1+'.c12_inputs.hr'!$E$9))</f>
        <v>161445</v>
      </c>
      <c r="P25" s="255">
        <f>P7*(1+'.c12_inputs.hr'!$E$8)+(P16*(1+'.c12_inputs.hr'!$E$9))</f>
        <v>161445</v>
      </c>
      <c r="Q25" s="255">
        <f>Q7*(1+'.c12_inputs.hr'!$E$8)+(Q16*(1+'.c12_inputs.hr'!$E$9))</f>
        <v>161445</v>
      </c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</row>
    <row r="26" spans="1:53">
      <c r="A26" s="220" t="str">
        <f t="shared" si="3"/>
        <v>seniorS&amp;Mexe (CL)</v>
      </c>
      <c r="B26" s="244" t="s">
        <v>36</v>
      </c>
      <c r="C26" s="244" t="s">
        <v>37</v>
      </c>
      <c r="D26" s="244" t="s">
        <v>353</v>
      </c>
      <c r="E26" s="256"/>
      <c r="F26" s="267">
        <v>20780</v>
      </c>
      <c r="G26" s="267">
        <v>86400</v>
      </c>
      <c r="H26" s="242"/>
      <c r="I26" s="255">
        <v>20780</v>
      </c>
      <c r="J26" s="255">
        <f>J8*(1+'.c12_inputs.hr'!$E$8)+(J17*(1+'.c12_inputs.hr'!$E$9))</f>
        <v>86400</v>
      </c>
      <c r="K26" s="255">
        <f>K8*(1+'.c12_inputs.hr'!$E$8)+(K17*(1+'.c12_inputs.hr'!$E$9))</f>
        <v>86400</v>
      </c>
      <c r="L26" s="255">
        <f>L8*(1+'.c12_inputs.hr'!$E$8)+(L17*(1+'.c12_inputs.hr'!$E$9))</f>
        <v>86400</v>
      </c>
      <c r="M26" s="255">
        <f>M8*(1+'.c12_inputs.hr'!$E$8)+(M17*(1+'.c12_inputs.hr'!$E$9))</f>
        <v>164325</v>
      </c>
      <c r="N26" s="255">
        <f>N8*(1+'.c12_inputs.hr'!$E$8)+(N17*(1+'.c12_inputs.hr'!$E$9))</f>
        <v>164325</v>
      </c>
      <c r="O26" s="255">
        <f>O8*(1+'.c12_inputs.hr'!$E$8)+(O17*(1+'.c12_inputs.hr'!$E$9))</f>
        <v>164325</v>
      </c>
      <c r="P26" s="255">
        <f>P8*(1+'.c12_inputs.hr'!$E$8)+(P17*(1+'.c12_inputs.hr'!$E$9))</f>
        <v>164325</v>
      </c>
      <c r="Q26" s="255">
        <f>Q8*(1+'.c12_inputs.hr'!$E$8)+(Q17*(1+'.c12_inputs.hr'!$E$9))</f>
        <v>164325</v>
      </c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</row>
    <row r="27" spans="1:53">
      <c r="A27" s="220" t="str">
        <f t="shared" si="3"/>
        <v>Senior Associate (RF)</v>
      </c>
      <c r="B27" s="244" t="s">
        <v>36</v>
      </c>
      <c r="C27" s="244" t="s">
        <v>37</v>
      </c>
      <c r="D27" s="244" t="s">
        <v>355</v>
      </c>
      <c r="E27" s="256"/>
      <c r="F27" s="267">
        <v>95150</v>
      </c>
      <c r="G27" s="267">
        <v>46080</v>
      </c>
      <c r="H27" s="242"/>
      <c r="I27" s="255">
        <v>95150</v>
      </c>
      <c r="J27" s="255">
        <f>J9*(1+'.c12_inputs.hr'!$E$8)+(J18*(1+'.c12_inputs.hr'!$E$9))</f>
        <v>46080</v>
      </c>
      <c r="K27" s="255">
        <f>K9*(1+'.c12_inputs.hr'!$E$8)+(K18*(1+'.c12_inputs.hr'!$E$9))</f>
        <v>46080</v>
      </c>
      <c r="L27" s="255">
        <f>L9*(1+'.c12_inputs.hr'!$E$8)+(L18*(1+'.c12_inputs.hr'!$E$9))</f>
        <v>46080</v>
      </c>
      <c r="M27" s="255">
        <f>M9*(1+'.c12_inputs.hr'!$E$8)+(M18*(1+'.c12_inputs.hr'!$E$9))</f>
        <v>98030</v>
      </c>
      <c r="N27" s="255">
        <f>N9*(1+'.c12_inputs.hr'!$E$8)+(N18*(1+'.c12_inputs.hr'!$E$9))</f>
        <v>98030</v>
      </c>
      <c r="O27" s="255">
        <f>O9*(1+'.c12_inputs.hr'!$E$8)+(O18*(1+'.c12_inputs.hr'!$E$9))</f>
        <v>98030</v>
      </c>
      <c r="P27" s="255">
        <f>P9*(1+'.c12_inputs.hr'!$E$8)+(P18*(1+'.c12_inputs.hr'!$E$9))</f>
        <v>98030</v>
      </c>
      <c r="Q27" s="255">
        <f>Q9*(1+'.c12_inputs.hr'!$E$8)+(Q18*(1+'.c12_inputs.hr'!$E$9))</f>
        <v>98030</v>
      </c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</row>
    <row r="28" spans="1:53">
      <c r="A28" s="220" t="str">
        <f t="shared" si="3"/>
        <v>associate (MT)</v>
      </c>
      <c r="B28" s="244" t="s">
        <v>36</v>
      </c>
      <c r="C28" s="244" t="s">
        <v>37</v>
      </c>
      <c r="D28" s="244" t="s">
        <v>357</v>
      </c>
      <c r="E28" s="256"/>
      <c r="F28" s="267">
        <v>52460</v>
      </c>
      <c r="G28" s="267">
        <v>31680</v>
      </c>
      <c r="H28" s="242"/>
      <c r="I28" s="255">
        <v>52460</v>
      </c>
      <c r="J28" s="255">
        <f>J10*(1+'.c12_inputs.hr'!$E$8)+(J19*(1+'.c12_inputs.hr'!$E$9))</f>
        <v>31679.999999999996</v>
      </c>
      <c r="K28" s="255">
        <f>K10*(1+'.c12_inputs.hr'!$E$8)+(K19*(1+'.c12_inputs.hr'!$E$9))</f>
        <v>31679.999999999996</v>
      </c>
      <c r="L28" s="255">
        <f>L10*(1+'.c12_inputs.hr'!$E$8)+(L19*(1+'.c12_inputs.hr'!$E$9))</f>
        <v>31679.999999999996</v>
      </c>
      <c r="M28" s="255">
        <f>M10*(1+'.c12_inputs.hr'!$E$8)+(M19*(1+'.c12_inputs.hr'!$E$9))</f>
        <v>73240</v>
      </c>
      <c r="N28" s="255">
        <f>N10*(1+'.c12_inputs.hr'!$E$8)+(N19*(1+'.c12_inputs.hr'!$E$9))</f>
        <v>73240</v>
      </c>
      <c r="O28" s="255">
        <f>O10*(1+'.c12_inputs.hr'!$E$8)+(O19*(1+'.c12_inputs.hr'!$E$9))</f>
        <v>73240</v>
      </c>
      <c r="P28" s="255">
        <f>P10*(1+'.c12_inputs.hr'!$E$8)+(P19*(1+'.c12_inputs.hr'!$E$9))</f>
        <v>73240</v>
      </c>
      <c r="Q28" s="255">
        <f>Q10*(1+'.c12_inputs.hr'!$E$8)+(Q19*(1+'.c12_inputs.hr'!$E$9))</f>
        <v>73240</v>
      </c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</row>
    <row r="29" spans="1:53">
      <c r="A29" s="220" t="str">
        <f t="shared" si="3"/>
        <v>project manager</v>
      </c>
      <c r="B29" s="244" t="s">
        <v>36</v>
      </c>
      <c r="C29" s="244" t="s">
        <v>37</v>
      </c>
      <c r="D29" s="244" t="s">
        <v>359</v>
      </c>
      <c r="E29" s="256"/>
      <c r="F29" s="267">
        <v>0</v>
      </c>
      <c r="G29" s="267">
        <v>0</v>
      </c>
      <c r="H29" s="242"/>
      <c r="I29" s="255">
        <v>0</v>
      </c>
      <c r="J29" s="255">
        <f>J11*(1+'.c12_inputs.hr'!$E$8)+(J20*(1+'.c12_inputs.hr'!$E$9))</f>
        <v>0</v>
      </c>
      <c r="K29" s="255">
        <f>K11*(1+'.c12_inputs.hr'!$E$8)+(K20*(1+'.c12_inputs.hr'!$E$9))</f>
        <v>0</v>
      </c>
      <c r="L29" s="255">
        <f>L11*(1+'.c12_inputs.hr'!$E$8)+(L20*(1+'.c12_inputs.hr'!$E$9))</f>
        <v>43200</v>
      </c>
      <c r="M29" s="255">
        <f>M11*(1+'.c12_inputs.hr'!$E$8)+(M20*(1+'.c12_inputs.hr'!$E$9))</f>
        <v>48395</v>
      </c>
      <c r="N29" s="255">
        <f>N11*(1+'.c12_inputs.hr'!$E$8)+(N20*(1+'.c12_inputs.hr'!$E$9))</f>
        <v>48395</v>
      </c>
      <c r="O29" s="255">
        <f>O11*(1+'.c12_inputs.hr'!$E$8)+(O20*(1+'.c12_inputs.hr'!$E$9))</f>
        <v>48395</v>
      </c>
      <c r="P29" s="255">
        <f>P11*(1+'.c12_inputs.hr'!$E$8)+(P20*(1+'.c12_inputs.hr'!$E$9))</f>
        <v>48395</v>
      </c>
      <c r="Q29" s="255">
        <f>Q11*(1+'.c12_inputs.hr'!$E$8)+(Q20*(1+'.c12_inputs.hr'!$E$9))</f>
        <v>48395</v>
      </c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</row>
    <row r="30" spans="1:53" s="58" customFormat="1" ht="14.65" customHeight="1">
      <c r="A30" s="220"/>
      <c r="B30" s="220"/>
      <c r="C30" s="220"/>
      <c r="D30" s="220"/>
      <c r="E30" s="256"/>
      <c r="F30" s="255"/>
      <c r="G30" s="255"/>
      <c r="H30" s="242"/>
      <c r="I30" s="255"/>
      <c r="J30" s="255"/>
      <c r="K30" s="255"/>
      <c r="L30" s="255"/>
      <c r="M30" s="255"/>
      <c r="N30" s="255"/>
      <c r="O30" s="255"/>
      <c r="P30" s="255"/>
      <c r="Q30" s="255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</row>
    <row r="31" spans="1:53" ht="14.65" customHeight="1">
      <c r="A31" s="264" t="s">
        <v>38</v>
      </c>
      <c r="B31" s="244" t="s">
        <v>39</v>
      </c>
      <c r="C31" s="244" t="s">
        <v>40</v>
      </c>
      <c r="D31" s="220"/>
      <c r="E31" s="255"/>
      <c r="F31" s="267">
        <v>770825</v>
      </c>
      <c r="G31" s="267">
        <v>391680</v>
      </c>
      <c r="H31" s="242"/>
      <c r="I31" s="268">
        <v>770825</v>
      </c>
      <c r="J31" s="268">
        <f t="shared" ref="J31:Q31" si="4">SUM(J24:J29)</f>
        <v>391680</v>
      </c>
      <c r="K31" s="268">
        <f t="shared" si="4"/>
        <v>391680</v>
      </c>
      <c r="L31" s="268">
        <f t="shared" si="4"/>
        <v>434880</v>
      </c>
      <c r="M31" s="268">
        <f t="shared" si="4"/>
        <v>949185</v>
      </c>
      <c r="N31" s="268">
        <f t="shared" si="4"/>
        <v>949185</v>
      </c>
      <c r="O31" s="268">
        <f t="shared" si="4"/>
        <v>949185</v>
      </c>
      <c r="P31" s="268">
        <f t="shared" si="4"/>
        <v>949185</v>
      </c>
      <c r="Q31" s="268">
        <f t="shared" si="4"/>
        <v>949185</v>
      </c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</row>
    <row r="32" spans="1:53">
      <c r="A32" s="245" t="s">
        <v>41</v>
      </c>
      <c r="B32" s="244" t="s">
        <v>39</v>
      </c>
      <c r="C32" s="244" t="s">
        <v>42</v>
      </c>
      <c r="D32" s="220"/>
      <c r="E32" s="250"/>
      <c r="F32" s="252">
        <v>367075</v>
      </c>
      <c r="G32" s="252">
        <v>247680</v>
      </c>
      <c r="H32" s="242"/>
      <c r="I32" s="253">
        <v>367075</v>
      </c>
      <c r="J32" s="253">
        <f>SUMPRODUCT('.c12_alloc'!$H$15:$H$20,'.c12_hm_hr'!J$24:J$29)</f>
        <v>247680</v>
      </c>
      <c r="K32" s="253">
        <f>SUMPRODUCT('.c12_alloc'!$H$15:$H$20,'.c12_hm_hr'!K$24:K$29)</f>
        <v>247680</v>
      </c>
      <c r="L32" s="253">
        <f>SUMPRODUCT('.c12_alloc'!$H$15:$H$20,'.c12_hm_hr'!L$24:L$29)</f>
        <v>290880</v>
      </c>
      <c r="M32" s="253">
        <f>SUMPRODUCT('.c12_alloc'!$H$15:$H$20,'.c12_hm_hr'!M$24:M$29)</f>
        <v>545435</v>
      </c>
      <c r="N32" s="392">
        <f>SUMPRODUCT('.c12_alloc'!$H$15:$H$20,'.c12_hm_hr'!N$24:N$29)</f>
        <v>545435</v>
      </c>
      <c r="O32" s="392">
        <f>SUMPRODUCT('.c12_alloc'!$H$15:$H$20,'.c12_hm_hr'!O$24:O$29)</f>
        <v>545435</v>
      </c>
      <c r="P32" s="392">
        <f>SUMPRODUCT('.c12_alloc'!$H$15:$H$20,'.c12_hm_hr'!P$24:P$29)</f>
        <v>545435</v>
      </c>
      <c r="Q32" s="392">
        <f>SUMPRODUCT('.c12_alloc'!$H$15:$H$20,'.c12_hm_hr'!Q$24:Q$29)</f>
        <v>545435</v>
      </c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</row>
    <row r="33" spans="1:53">
      <c r="A33" s="245" t="s">
        <v>43</v>
      </c>
      <c r="B33" s="244" t="s">
        <v>39</v>
      </c>
      <c r="C33" s="244" t="s">
        <v>44</v>
      </c>
      <c r="D33" s="220"/>
      <c r="E33" s="250"/>
      <c r="F33" s="252">
        <v>403750</v>
      </c>
      <c r="G33" s="252">
        <v>144000</v>
      </c>
      <c r="H33" s="248"/>
      <c r="I33" s="253">
        <v>403750</v>
      </c>
      <c r="J33" s="253">
        <f>SUMPRODUCT('.c12_alloc'!$G$15:$G$20,'.c12_hm_hr'!J$24:J$29)</f>
        <v>144000</v>
      </c>
      <c r="K33" s="253">
        <f>SUMPRODUCT('.c12_alloc'!$G$15:$G$20,'.c12_hm_hr'!K$24:K$29)</f>
        <v>144000</v>
      </c>
      <c r="L33" s="253">
        <f>SUMPRODUCT('.c12_alloc'!$G$15:$G$20,'.c12_hm_hr'!L$24:L$29)</f>
        <v>144000</v>
      </c>
      <c r="M33" s="253">
        <f>SUMPRODUCT('.c12_alloc'!$G$15:$G$20,'.c12_hm_hr'!M$24:M$29)</f>
        <v>403750</v>
      </c>
      <c r="N33" s="392">
        <f>SUMPRODUCT('.c12_alloc'!$G$15:$G$20,'.c12_hm_hr'!N$24:N$29)</f>
        <v>403750</v>
      </c>
      <c r="O33" s="392">
        <f>SUMPRODUCT('.c12_alloc'!$G$15:$G$20,'.c12_hm_hr'!O$24:O$29)</f>
        <v>403750</v>
      </c>
      <c r="P33" s="392">
        <f>SUMPRODUCT('.c12_alloc'!$G$15:$G$20,'.c12_hm_hr'!P$24:P$29)</f>
        <v>403750</v>
      </c>
      <c r="Q33" s="392">
        <f>SUMPRODUCT('.c12_alloc'!$G$15:$G$20,'.c12_hm_hr'!Q$24:Q$29)</f>
        <v>403750</v>
      </c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</row>
    <row r="34" spans="1:53">
      <c r="A34" s="245" t="s">
        <v>45</v>
      </c>
      <c r="B34" s="244" t="s">
        <v>39</v>
      </c>
      <c r="C34" s="244" t="s">
        <v>46</v>
      </c>
      <c r="D34" s="220"/>
      <c r="E34" s="250"/>
      <c r="F34" s="252">
        <v>0</v>
      </c>
      <c r="G34" s="252">
        <v>0</v>
      </c>
      <c r="H34" s="242"/>
      <c r="I34" s="253">
        <v>0</v>
      </c>
      <c r="J34" s="253">
        <f>SUMPRODUCT('.c12_alloc'!$E$15:$E$20,'.c12_hm_hr'!J$24:J$29)</f>
        <v>0</v>
      </c>
      <c r="K34" s="253">
        <f>SUMPRODUCT('.c12_alloc'!$E$15:$E$20,'.c12_hm_hr'!K$24:K$29)</f>
        <v>0</v>
      </c>
      <c r="L34" s="253">
        <f>SUMPRODUCT('.c12_alloc'!$E$15:$E$20,'.c12_hm_hr'!L$24:L$29)</f>
        <v>0</v>
      </c>
      <c r="M34" s="253">
        <f>SUMPRODUCT('.c12_alloc'!$E$15:$E$20,'.c12_hm_hr'!M$24:M$29)</f>
        <v>0</v>
      </c>
      <c r="N34" s="392">
        <f>SUMPRODUCT('.c12_alloc'!$E$15:$E$20,'.c12_hm_hr'!N$24:N$29)</f>
        <v>0</v>
      </c>
      <c r="O34" s="392">
        <f>SUMPRODUCT('.c12_alloc'!$E$15:$E$20,'.c12_hm_hr'!O$24:O$29)</f>
        <v>0</v>
      </c>
      <c r="P34" s="392">
        <f>SUMPRODUCT('.c12_alloc'!$E$15:$E$20,'.c12_hm_hr'!P$24:P$29)</f>
        <v>0</v>
      </c>
      <c r="Q34" s="392">
        <f>SUMPRODUCT('.c12_alloc'!$E$15:$E$20,'.c12_hm_hr'!Q$24:Q$29)</f>
        <v>0</v>
      </c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</row>
    <row r="35" spans="1:53">
      <c r="A35" s="220"/>
      <c r="B35" s="220"/>
      <c r="C35" s="220"/>
      <c r="D35" s="220"/>
      <c r="E35" s="250"/>
      <c r="F35" s="250"/>
      <c r="G35" s="250"/>
      <c r="H35" s="220"/>
      <c r="I35" s="250"/>
      <c r="J35" s="250"/>
      <c r="K35" s="250"/>
      <c r="L35" s="250"/>
      <c r="M35" s="250"/>
      <c r="N35" s="394"/>
      <c r="O35" s="394"/>
      <c r="P35" s="394"/>
      <c r="Q35" s="394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</row>
    <row r="36" spans="1:53">
      <c r="A36" s="220"/>
      <c r="B36" s="220"/>
      <c r="C36" s="220"/>
      <c r="D36" s="220"/>
      <c r="E36" s="220"/>
      <c r="F36" s="220"/>
      <c r="G36" s="220"/>
      <c r="H36" s="255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</row>
    <row r="37" spans="1:53">
      <c r="A37" s="220"/>
      <c r="B37" s="220"/>
      <c r="C37" s="220"/>
      <c r="D37" s="220"/>
      <c r="E37" s="220"/>
      <c r="F37" s="220"/>
      <c r="G37" s="220"/>
      <c r="H37" s="255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</row>
    <row r="38" spans="1:53">
      <c r="A38" s="220"/>
      <c r="B38" s="220"/>
      <c r="C38" s="220"/>
      <c r="D38" s="220"/>
      <c r="E38" s="220"/>
      <c r="F38" s="220"/>
      <c r="G38" s="220"/>
      <c r="H38" s="255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</row>
    <row r="39" spans="1:53">
      <c r="A39" s="220"/>
      <c r="B39" s="220"/>
      <c r="C39" s="220"/>
      <c r="D39" s="220"/>
      <c r="E39" s="220"/>
      <c r="F39" s="220"/>
      <c r="G39" s="220"/>
      <c r="H39" s="255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</row>
    <row r="40" spans="1:53">
      <c r="A40" s="220"/>
      <c r="B40" s="220"/>
      <c r="C40" s="220"/>
      <c r="D40" s="220"/>
      <c r="E40" s="220"/>
      <c r="F40" s="220"/>
      <c r="G40" s="220"/>
      <c r="H40" s="242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</row>
    <row r="41" spans="1:53">
      <c r="A41" s="220"/>
      <c r="B41" s="220"/>
      <c r="C41" s="220"/>
      <c r="D41" s="220"/>
      <c r="E41" s="220"/>
      <c r="F41" s="220"/>
      <c r="G41" s="220"/>
      <c r="H41" s="255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</row>
    <row r="42" spans="1:53">
      <c r="A42" s="220"/>
      <c r="B42" s="220"/>
      <c r="C42" s="220"/>
      <c r="D42" s="220"/>
      <c r="E42" s="220"/>
      <c r="F42" s="220"/>
      <c r="G42" s="220"/>
      <c r="H42" s="255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</row>
    <row r="43" spans="1:53">
      <c r="A43" s="220"/>
      <c r="B43" s="220"/>
      <c r="C43" s="220"/>
      <c r="D43" s="220"/>
      <c r="E43" s="220"/>
      <c r="F43" s="220"/>
      <c r="G43" s="220"/>
      <c r="H43" s="255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</row>
    <row r="44" spans="1:53">
      <c r="A44" s="220"/>
      <c r="B44" s="220"/>
      <c r="C44" s="220"/>
      <c r="D44" s="220"/>
      <c r="E44" s="220"/>
      <c r="F44" s="220"/>
      <c r="G44" s="220"/>
      <c r="H44" s="255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</row>
    <row r="45" spans="1:53">
      <c r="A45" s="220"/>
      <c r="B45" s="220"/>
      <c r="C45" s="220"/>
      <c r="D45" s="220"/>
      <c r="E45" s="220"/>
      <c r="F45" s="220"/>
      <c r="G45" s="220"/>
      <c r="H45" s="255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</row>
    <row r="46" spans="1:53">
      <c r="A46" s="220"/>
      <c r="B46" s="220"/>
      <c r="C46" s="220"/>
      <c r="D46" s="220"/>
      <c r="E46" s="220"/>
      <c r="F46" s="220"/>
      <c r="G46" s="220"/>
      <c r="H46" s="255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</row>
    <row r="47" spans="1:53">
      <c r="A47" s="220"/>
      <c r="B47" s="220"/>
      <c r="C47" s="220"/>
      <c r="D47" s="220"/>
      <c r="E47" s="220"/>
      <c r="F47" s="220"/>
      <c r="G47" s="220"/>
      <c r="H47" s="255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</row>
    <row r="48" spans="1:53">
      <c r="A48" s="220"/>
      <c r="B48" s="220"/>
      <c r="C48" s="220"/>
      <c r="D48" s="220"/>
      <c r="E48" s="220"/>
      <c r="F48" s="220"/>
      <c r="G48" s="220"/>
      <c r="H48" s="25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20"/>
      <c r="AY48" s="220"/>
      <c r="AZ48" s="220"/>
      <c r="BA48" s="220"/>
    </row>
    <row r="49" spans="1:53">
      <c r="A49" s="220"/>
      <c r="B49" s="220"/>
      <c r="C49" s="220"/>
      <c r="D49" s="220"/>
      <c r="E49" s="220"/>
      <c r="F49" s="220"/>
      <c r="G49" s="220"/>
      <c r="H49" s="25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220"/>
      <c r="AW49" s="220"/>
      <c r="AX49" s="220"/>
      <c r="AY49" s="220"/>
      <c r="AZ49" s="220"/>
      <c r="BA49" s="220"/>
    </row>
    <row r="50" spans="1:53">
      <c r="A50" s="220"/>
      <c r="B50" s="220"/>
      <c r="C50" s="220"/>
      <c r="D50" s="220"/>
      <c r="E50" s="220"/>
      <c r="F50" s="220"/>
      <c r="G50" s="220"/>
      <c r="H50" s="25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0"/>
      <c r="AX50" s="220"/>
      <c r="AY50" s="220"/>
      <c r="AZ50" s="220"/>
      <c r="BA50" s="220"/>
    </row>
    <row r="51" spans="1:53">
      <c r="A51" s="220"/>
      <c r="B51" s="220"/>
      <c r="C51" s="220"/>
      <c r="D51" s="220"/>
      <c r="E51" s="220"/>
      <c r="F51" s="220"/>
      <c r="G51" s="220"/>
      <c r="H51" s="25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  <c r="AV51" s="220"/>
      <c r="AW51" s="220"/>
      <c r="AX51" s="220"/>
      <c r="AY51" s="220"/>
      <c r="AZ51" s="220"/>
      <c r="BA51" s="220"/>
    </row>
    <row r="52" spans="1:53">
      <c r="A52" s="220"/>
      <c r="B52" s="220"/>
      <c r="C52" s="220"/>
      <c r="D52" s="220"/>
      <c r="E52" s="220"/>
      <c r="F52" s="220"/>
      <c r="G52" s="220"/>
      <c r="H52" s="25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0"/>
      <c r="AX52" s="220"/>
      <c r="AY52" s="220"/>
      <c r="AZ52" s="220"/>
      <c r="BA52" s="220"/>
    </row>
    <row r="53" spans="1:53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  <c r="AV53" s="220"/>
      <c r="AW53" s="220"/>
      <c r="AX53" s="220"/>
      <c r="AY53" s="220"/>
      <c r="AZ53" s="220"/>
      <c r="BA53" s="220"/>
    </row>
    <row r="54" spans="1:53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0"/>
      <c r="AX54" s="220"/>
      <c r="AY54" s="220"/>
      <c r="AZ54" s="220"/>
      <c r="BA54" s="220"/>
    </row>
    <row r="55" spans="1:53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  <c r="BA55" s="220"/>
    </row>
    <row r="56" spans="1:53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0"/>
      <c r="AT56" s="220"/>
      <c r="AU56" s="220"/>
      <c r="AV56" s="220"/>
      <c r="AW56" s="220"/>
      <c r="AX56" s="220"/>
      <c r="AY56" s="220"/>
      <c r="AZ56" s="220"/>
      <c r="BA56" s="220"/>
    </row>
    <row r="57" spans="1:53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0"/>
      <c r="AR57" s="220"/>
      <c r="AS57" s="220"/>
      <c r="AT57" s="220"/>
      <c r="AU57" s="220"/>
      <c r="AV57" s="220"/>
      <c r="AW57" s="220"/>
      <c r="AX57" s="220"/>
      <c r="AY57" s="220"/>
      <c r="AZ57" s="220"/>
      <c r="BA57" s="220"/>
    </row>
    <row r="58" spans="1:53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  <c r="AV58" s="220"/>
      <c r="AW58" s="220"/>
      <c r="AX58" s="220"/>
      <c r="AY58" s="220"/>
      <c r="AZ58" s="220"/>
      <c r="BA58" s="220"/>
    </row>
    <row r="59" spans="1:53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</row>
    <row r="60" spans="1:53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0"/>
      <c r="AZ60" s="220"/>
      <c r="BA60" s="220"/>
    </row>
    <row r="61" spans="1:53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0"/>
      <c r="AZ61" s="220"/>
      <c r="BA61" s="220"/>
    </row>
    <row r="62" spans="1:53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0"/>
      <c r="AZ62" s="220"/>
      <c r="BA62" s="220"/>
    </row>
    <row r="63" spans="1:53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  <c r="AV63" s="220"/>
      <c r="AW63" s="220"/>
      <c r="AX63" s="220"/>
      <c r="AY63" s="220"/>
      <c r="AZ63" s="220"/>
      <c r="BA63" s="220"/>
    </row>
    <row r="64" spans="1:53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0"/>
      <c r="AZ64" s="220"/>
      <c r="BA64" s="220"/>
    </row>
    <row r="65" spans="1:53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  <c r="AV65" s="220"/>
      <c r="AW65" s="220"/>
      <c r="AX65" s="220"/>
      <c r="AY65" s="220"/>
      <c r="AZ65" s="220"/>
      <c r="BA65" s="220"/>
    </row>
    <row r="66" spans="1:53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0"/>
    </row>
    <row r="67" spans="1:53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  <c r="AV67" s="220"/>
      <c r="AW67" s="220"/>
      <c r="AX67" s="220"/>
      <c r="AY67" s="220"/>
      <c r="AZ67" s="220"/>
      <c r="BA67" s="220"/>
    </row>
    <row r="68" spans="1:53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0"/>
      <c r="AZ68" s="220"/>
      <c r="BA68" s="220"/>
    </row>
    <row r="69" spans="1:53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0"/>
      <c r="AZ69" s="220"/>
      <c r="BA69" s="220"/>
    </row>
    <row r="70" spans="1:53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  <c r="AV70" s="220"/>
      <c r="AW70" s="220"/>
      <c r="AX70" s="220"/>
      <c r="AY70" s="220"/>
      <c r="AZ70" s="220"/>
      <c r="BA70" s="220"/>
    </row>
    <row r="71" spans="1:53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0"/>
      <c r="AZ71" s="220"/>
      <c r="BA71" s="220"/>
    </row>
    <row r="72" spans="1:53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  <c r="AV72" s="220"/>
      <c r="AW72" s="220"/>
      <c r="AX72" s="220"/>
      <c r="AY72" s="220"/>
      <c r="AZ72" s="220"/>
      <c r="BA72" s="220"/>
    </row>
    <row r="73" spans="1:53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  <c r="AV73" s="220"/>
      <c r="AW73" s="220"/>
      <c r="AX73" s="220"/>
      <c r="AY73" s="220"/>
      <c r="AZ73" s="220"/>
      <c r="BA73" s="220"/>
    </row>
    <row r="74" spans="1:53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0"/>
      <c r="AZ74" s="220"/>
      <c r="BA74" s="220"/>
    </row>
    <row r="75" spans="1:53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0"/>
      <c r="AX75" s="220"/>
      <c r="AY75" s="220"/>
      <c r="AZ75" s="220"/>
      <c r="BA75" s="220"/>
    </row>
    <row r="76" spans="1:53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  <c r="AV76" s="220"/>
      <c r="AW76" s="220"/>
      <c r="AX76" s="220"/>
      <c r="AY76" s="220"/>
      <c r="AZ76" s="220"/>
      <c r="BA76" s="220"/>
    </row>
    <row r="77" spans="1:53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0"/>
      <c r="AZ77" s="220"/>
      <c r="BA77" s="220"/>
    </row>
    <row r="78" spans="1:53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  <c r="AV78" s="220"/>
      <c r="AW78" s="220"/>
      <c r="AX78" s="220"/>
      <c r="AY78" s="220"/>
      <c r="AZ78" s="220"/>
      <c r="BA78" s="220"/>
    </row>
    <row r="79" spans="1:53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  <c r="AV79" s="220"/>
      <c r="AW79" s="220"/>
      <c r="AX79" s="220"/>
      <c r="AY79" s="220"/>
      <c r="AZ79" s="220"/>
      <c r="BA79" s="220"/>
    </row>
    <row r="80" spans="1:53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  <c r="AV80" s="220"/>
      <c r="AW80" s="220"/>
      <c r="AX80" s="220"/>
      <c r="AY80" s="220"/>
      <c r="AZ80" s="220"/>
      <c r="BA80" s="220"/>
    </row>
    <row r="81" spans="1:53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  <c r="AV81" s="220"/>
      <c r="AW81" s="220"/>
      <c r="AX81" s="220"/>
      <c r="AY81" s="220"/>
      <c r="AZ81" s="220"/>
      <c r="BA81" s="220"/>
    </row>
    <row r="82" spans="1:53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0"/>
      <c r="AZ82" s="220"/>
      <c r="BA82" s="220"/>
    </row>
    <row r="83" spans="1:53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0"/>
      <c r="AZ83" s="220"/>
      <c r="BA83" s="220"/>
    </row>
    <row r="84" spans="1:53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</row>
    <row r="85" spans="1:53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0"/>
      <c r="AZ85" s="220"/>
      <c r="BA85" s="220"/>
    </row>
    <row r="86" spans="1:53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0"/>
      <c r="AX86" s="220"/>
      <c r="AY86" s="220"/>
      <c r="AZ86" s="220"/>
      <c r="BA86" s="220"/>
    </row>
    <row r="87" spans="1:53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0"/>
      <c r="AZ87" s="220"/>
      <c r="BA87" s="220"/>
    </row>
    <row r="88" spans="1:53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</row>
    <row r="89" spans="1:53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0"/>
      <c r="AZ89" s="220"/>
      <c r="BA89" s="220"/>
    </row>
    <row r="90" spans="1:53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0"/>
      <c r="AU90" s="220"/>
      <c r="AV90" s="220"/>
      <c r="AW90" s="220"/>
      <c r="AX90" s="220"/>
      <c r="AY90" s="220"/>
      <c r="AZ90" s="220"/>
      <c r="BA90" s="220"/>
    </row>
    <row r="91" spans="1:53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0"/>
      <c r="AS91" s="220"/>
      <c r="AT91" s="220"/>
      <c r="AU91" s="220"/>
      <c r="AV91" s="220"/>
      <c r="AW91" s="220"/>
      <c r="AX91" s="220"/>
      <c r="AY91" s="220"/>
      <c r="AZ91" s="220"/>
      <c r="BA91" s="220"/>
    </row>
    <row r="92" spans="1:53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0"/>
      <c r="AU92" s="220"/>
      <c r="AV92" s="220"/>
      <c r="AW92" s="220"/>
      <c r="AX92" s="220"/>
      <c r="AY92" s="220"/>
      <c r="AZ92" s="220"/>
      <c r="BA92" s="220"/>
    </row>
    <row r="93" spans="1:53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  <c r="AV93" s="220"/>
      <c r="AW93" s="220"/>
      <c r="AX93" s="220"/>
      <c r="AY93" s="220"/>
      <c r="AZ93" s="220"/>
      <c r="BA93" s="220"/>
    </row>
    <row r="94" spans="1:53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0"/>
      <c r="AU94" s="220"/>
      <c r="AV94" s="220"/>
      <c r="AW94" s="220"/>
      <c r="AX94" s="220"/>
      <c r="AY94" s="220"/>
      <c r="AZ94" s="220"/>
      <c r="BA94" s="220"/>
    </row>
    <row r="95" spans="1:53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0"/>
      <c r="AR95" s="220"/>
      <c r="AS95" s="220"/>
      <c r="AT95" s="220"/>
      <c r="AU95" s="220"/>
      <c r="AV95" s="220"/>
      <c r="AW95" s="220"/>
      <c r="AX95" s="220"/>
      <c r="AY95" s="220"/>
      <c r="AZ95" s="220"/>
      <c r="BA95" s="220"/>
    </row>
    <row r="96" spans="1:53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0"/>
      <c r="AU96" s="220"/>
      <c r="AV96" s="220"/>
      <c r="AW96" s="220"/>
      <c r="AX96" s="220"/>
      <c r="AY96" s="220"/>
      <c r="AZ96" s="220"/>
      <c r="BA96" s="220"/>
    </row>
    <row r="97" spans="1:53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  <c r="AV97" s="220"/>
      <c r="AW97" s="220"/>
      <c r="AX97" s="220"/>
      <c r="AY97" s="220"/>
      <c r="AZ97" s="220"/>
      <c r="BA97" s="220"/>
    </row>
    <row r="98" spans="1:53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0"/>
      <c r="AR98" s="220"/>
      <c r="AS98" s="220"/>
      <c r="AT98" s="220"/>
      <c r="AU98" s="220"/>
      <c r="AV98" s="220"/>
      <c r="AW98" s="220"/>
      <c r="AX98" s="220"/>
      <c r="AY98" s="220"/>
      <c r="AZ98" s="220"/>
      <c r="BA98" s="220"/>
    </row>
    <row r="99" spans="1:53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220"/>
      <c r="AI99" s="220"/>
      <c r="AJ99" s="220"/>
      <c r="AK99" s="220"/>
      <c r="AL99" s="220"/>
      <c r="AM99" s="220"/>
      <c r="AN99" s="220"/>
      <c r="AO99" s="220"/>
      <c r="AP99" s="220"/>
      <c r="AQ99" s="220"/>
      <c r="AR99" s="220"/>
      <c r="AS99" s="220"/>
      <c r="AT99" s="220"/>
      <c r="AU99" s="220"/>
      <c r="AV99" s="220"/>
      <c r="AW99" s="220"/>
      <c r="AX99" s="220"/>
      <c r="AY99" s="220"/>
      <c r="AZ99" s="220"/>
      <c r="BA99" s="220"/>
    </row>
    <row r="100" spans="1:53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0"/>
      <c r="AR100" s="220"/>
      <c r="AS100" s="220"/>
      <c r="AT100" s="220"/>
      <c r="AU100" s="220"/>
      <c r="AV100" s="220"/>
      <c r="AW100" s="220"/>
      <c r="AX100" s="220"/>
      <c r="AY100" s="220"/>
      <c r="AZ100" s="220"/>
      <c r="BA100" s="220"/>
    </row>
    <row r="101" spans="1:53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220"/>
      <c r="AQ101" s="220"/>
      <c r="AR101" s="220"/>
      <c r="AS101" s="220"/>
      <c r="AT101" s="220"/>
      <c r="AU101" s="220"/>
      <c r="AV101" s="220"/>
      <c r="AW101" s="220"/>
      <c r="AX101" s="220"/>
      <c r="AY101" s="220"/>
      <c r="AZ101" s="220"/>
      <c r="BA101" s="220"/>
    </row>
    <row r="102" spans="1:53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  <c r="AM102" s="220"/>
      <c r="AN102" s="220"/>
      <c r="AO102" s="220"/>
      <c r="AP102" s="220"/>
      <c r="AQ102" s="220"/>
      <c r="AR102" s="220"/>
      <c r="AS102" s="220"/>
      <c r="AT102" s="220"/>
      <c r="AU102" s="220"/>
      <c r="AV102" s="220"/>
      <c r="AW102" s="220"/>
      <c r="AX102" s="220"/>
      <c r="AY102" s="220"/>
      <c r="AZ102" s="220"/>
      <c r="BA102" s="220"/>
    </row>
    <row r="103" spans="1:53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0"/>
      <c r="AR103" s="220"/>
      <c r="AS103" s="220"/>
      <c r="AT103" s="220"/>
      <c r="AU103" s="220"/>
      <c r="AV103" s="220"/>
      <c r="AW103" s="220"/>
      <c r="AX103" s="220"/>
      <c r="AY103" s="220"/>
      <c r="AZ103" s="220"/>
      <c r="BA103" s="220"/>
    </row>
    <row r="104" spans="1:53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  <c r="AM104" s="220"/>
      <c r="AN104" s="220"/>
      <c r="AO104" s="220"/>
      <c r="AP104" s="220"/>
      <c r="AQ104" s="220"/>
      <c r="AR104" s="220"/>
      <c r="AS104" s="220"/>
      <c r="AT104" s="220"/>
      <c r="AU104" s="220"/>
      <c r="AV104" s="220"/>
      <c r="AW104" s="220"/>
      <c r="AX104" s="220"/>
      <c r="AY104" s="220"/>
      <c r="AZ104" s="220"/>
      <c r="BA104" s="220"/>
    </row>
    <row r="105" spans="1:53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  <c r="AH105" s="220"/>
      <c r="AI105" s="220"/>
      <c r="AJ105" s="220"/>
      <c r="AK105" s="220"/>
      <c r="AL105" s="220"/>
      <c r="AM105" s="220"/>
      <c r="AN105" s="220"/>
      <c r="AO105" s="220"/>
      <c r="AP105" s="220"/>
      <c r="AQ105" s="220"/>
      <c r="AR105" s="220"/>
      <c r="AS105" s="220"/>
      <c r="AT105" s="220"/>
      <c r="AU105" s="220"/>
      <c r="AV105" s="220"/>
      <c r="AW105" s="220"/>
      <c r="AX105" s="220"/>
      <c r="AY105" s="220"/>
      <c r="AZ105" s="220"/>
      <c r="BA105" s="220"/>
    </row>
    <row r="106" spans="1:53">
      <c r="A106" s="220"/>
      <c r="B106" s="257"/>
      <c r="C106" s="220"/>
      <c r="D106" s="257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0"/>
      <c r="AR106" s="220"/>
      <c r="AS106" s="220"/>
      <c r="AT106" s="220"/>
      <c r="AU106" s="220"/>
      <c r="AV106" s="220"/>
      <c r="AW106" s="220"/>
      <c r="AX106" s="220"/>
      <c r="AY106" s="220"/>
      <c r="AZ106" s="220"/>
      <c r="BA106" s="220"/>
    </row>
    <row r="107" spans="1:53">
      <c r="A107" s="220"/>
      <c r="B107" s="257"/>
      <c r="C107" s="220"/>
      <c r="D107" s="257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</row>
    <row r="108" spans="1:53">
      <c r="A108" s="220"/>
      <c r="B108" s="257"/>
      <c r="C108" s="220"/>
      <c r="D108" s="257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</row>
    <row r="109" spans="1:53">
      <c r="A109" s="220"/>
      <c r="B109" s="257"/>
      <c r="C109" s="220"/>
      <c r="D109" s="257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</row>
    <row r="110" spans="1:53">
      <c r="A110" s="220"/>
      <c r="B110" s="257"/>
      <c r="C110" s="220"/>
      <c r="D110" s="257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20"/>
      <c r="AI110" s="220"/>
      <c r="AJ110" s="220"/>
      <c r="AK110" s="220"/>
      <c r="AL110" s="220"/>
      <c r="AM110" s="220"/>
      <c r="AN110" s="220"/>
      <c r="AO110" s="220"/>
      <c r="AP110" s="220"/>
      <c r="AQ110" s="220"/>
      <c r="AR110" s="220"/>
      <c r="AS110" s="220"/>
      <c r="AT110" s="220"/>
      <c r="AU110" s="220"/>
      <c r="AV110" s="220"/>
      <c r="AW110" s="220"/>
      <c r="AX110" s="220"/>
      <c r="AY110" s="220"/>
      <c r="AZ110" s="220"/>
      <c r="BA110" s="220"/>
    </row>
    <row r="111" spans="1:53">
      <c r="A111" s="220"/>
      <c r="B111" s="257"/>
      <c r="C111" s="220"/>
      <c r="D111" s="257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0"/>
      <c r="AR111" s="220"/>
      <c r="AS111" s="220"/>
      <c r="AT111" s="220"/>
      <c r="AU111" s="220"/>
      <c r="AV111" s="220"/>
      <c r="AW111" s="220"/>
      <c r="AX111" s="220"/>
      <c r="AY111" s="220"/>
      <c r="AZ111" s="220"/>
      <c r="BA111" s="220"/>
    </row>
    <row r="112" spans="1:53">
      <c r="A112" s="220"/>
      <c r="B112" s="257"/>
      <c r="C112" s="220"/>
      <c r="D112" s="257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  <c r="AM112" s="220"/>
      <c r="AN112" s="220"/>
      <c r="AO112" s="220"/>
      <c r="AP112" s="220"/>
      <c r="AQ112" s="220"/>
      <c r="AR112" s="220"/>
      <c r="AS112" s="220"/>
      <c r="AT112" s="220"/>
      <c r="AU112" s="220"/>
      <c r="AV112" s="220"/>
      <c r="AW112" s="220"/>
      <c r="AX112" s="220"/>
      <c r="AY112" s="220"/>
      <c r="AZ112" s="220"/>
      <c r="BA112" s="220"/>
    </row>
    <row r="113" spans="1:53">
      <c r="A113" s="220"/>
      <c r="B113" s="257"/>
      <c r="C113" s="220"/>
      <c r="D113" s="257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0"/>
      <c r="AI113" s="220"/>
      <c r="AJ113" s="220"/>
      <c r="AK113" s="220"/>
      <c r="AL113" s="220"/>
      <c r="AM113" s="220"/>
      <c r="AN113" s="220"/>
      <c r="AO113" s="220"/>
      <c r="AP113" s="220"/>
      <c r="AQ113" s="220"/>
      <c r="AR113" s="220"/>
      <c r="AS113" s="220"/>
      <c r="AT113" s="220"/>
      <c r="AU113" s="220"/>
      <c r="AV113" s="220"/>
      <c r="AW113" s="220"/>
      <c r="AX113" s="220"/>
      <c r="AY113" s="220"/>
      <c r="AZ113" s="220"/>
      <c r="BA113" s="220"/>
    </row>
    <row r="114" spans="1:53">
      <c r="A114" s="220"/>
      <c r="B114" s="257"/>
      <c r="C114" s="220"/>
      <c r="D114" s="257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  <c r="AM114" s="220"/>
      <c r="AN114" s="220"/>
      <c r="AO114" s="220"/>
      <c r="AP114" s="220"/>
      <c r="AQ114" s="220"/>
      <c r="AR114" s="220"/>
      <c r="AS114" s="220"/>
      <c r="AT114" s="220"/>
      <c r="AU114" s="220"/>
      <c r="AV114" s="220"/>
      <c r="AW114" s="220"/>
      <c r="AX114" s="220"/>
      <c r="AY114" s="220"/>
      <c r="AZ114" s="220"/>
      <c r="BA114" s="220"/>
    </row>
    <row r="115" spans="1:53">
      <c r="A115" s="220"/>
      <c r="B115" s="257"/>
      <c r="C115" s="220"/>
      <c r="D115" s="257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  <c r="AH115" s="220"/>
      <c r="AI115" s="220"/>
      <c r="AJ115" s="220"/>
      <c r="AK115" s="220"/>
      <c r="AL115" s="220"/>
      <c r="AM115" s="220"/>
      <c r="AN115" s="220"/>
      <c r="AO115" s="220"/>
      <c r="AP115" s="220"/>
      <c r="AQ115" s="220"/>
      <c r="AR115" s="220"/>
      <c r="AS115" s="220"/>
      <c r="AT115" s="220"/>
      <c r="AU115" s="220"/>
      <c r="AV115" s="220"/>
      <c r="AW115" s="220"/>
      <c r="AX115" s="220"/>
      <c r="AY115" s="220"/>
      <c r="AZ115" s="220"/>
      <c r="BA115" s="220"/>
    </row>
    <row r="116" spans="1:53">
      <c r="A116" s="220"/>
      <c r="B116" s="257"/>
      <c r="C116" s="220"/>
      <c r="D116" s="257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  <c r="AM116" s="220"/>
      <c r="AN116" s="220"/>
      <c r="AO116" s="220"/>
      <c r="AP116" s="220"/>
      <c r="AQ116" s="220"/>
      <c r="AR116" s="220"/>
      <c r="AS116" s="220"/>
      <c r="AT116" s="220"/>
      <c r="AU116" s="220"/>
      <c r="AV116" s="220"/>
      <c r="AW116" s="220"/>
      <c r="AX116" s="220"/>
      <c r="AY116" s="220"/>
      <c r="AZ116" s="220"/>
      <c r="BA116" s="220"/>
    </row>
    <row r="117" spans="1:53">
      <c r="A117" s="220"/>
      <c r="B117" s="257"/>
      <c r="C117" s="220"/>
      <c r="D117" s="257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  <c r="AV117" s="220"/>
      <c r="AW117" s="220"/>
      <c r="AX117" s="220"/>
      <c r="AY117" s="220"/>
      <c r="AZ117" s="220"/>
      <c r="BA117" s="220"/>
    </row>
    <row r="118" spans="1:53">
      <c r="A118" s="220"/>
      <c r="B118" s="257"/>
      <c r="C118" s="220"/>
      <c r="D118" s="257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220"/>
      <c r="AY118" s="220"/>
      <c r="AZ118" s="220"/>
      <c r="BA118" s="220"/>
    </row>
    <row r="119" spans="1:53">
      <c r="A119" s="220"/>
      <c r="B119" s="257"/>
      <c r="C119" s="220"/>
      <c r="D119" s="257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0"/>
      <c r="AR119" s="220"/>
      <c r="AS119" s="220"/>
      <c r="AT119" s="220"/>
      <c r="AU119" s="220"/>
      <c r="AV119" s="220"/>
      <c r="AW119" s="220"/>
      <c r="AX119" s="220"/>
      <c r="AY119" s="220"/>
      <c r="AZ119" s="220"/>
      <c r="BA119" s="220"/>
    </row>
    <row r="120" spans="1:53">
      <c r="A120" s="220"/>
      <c r="B120" s="257"/>
      <c r="C120" s="220"/>
      <c r="D120" s="257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0"/>
      <c r="AR120" s="220"/>
      <c r="AS120" s="220"/>
      <c r="AT120" s="220"/>
      <c r="AU120" s="220"/>
      <c r="AV120" s="220"/>
      <c r="AW120" s="220"/>
      <c r="AX120" s="220"/>
      <c r="AY120" s="220"/>
      <c r="AZ120" s="220"/>
      <c r="BA120" s="220"/>
    </row>
    <row r="121" spans="1:53">
      <c r="A121" s="220"/>
      <c r="B121" s="257"/>
      <c r="C121" s="220"/>
      <c r="D121" s="257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0"/>
      <c r="AR121" s="220"/>
      <c r="AS121" s="220"/>
      <c r="AT121" s="220"/>
      <c r="AU121" s="220"/>
      <c r="AV121" s="220"/>
      <c r="AW121" s="220"/>
      <c r="AX121" s="220"/>
      <c r="AY121" s="220"/>
      <c r="AZ121" s="220"/>
      <c r="BA121" s="220"/>
    </row>
    <row r="122" spans="1:53">
      <c r="A122" s="220"/>
      <c r="B122" s="257"/>
      <c r="C122" s="220"/>
      <c r="D122" s="257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0"/>
      <c r="AR122" s="220"/>
      <c r="AS122" s="220"/>
      <c r="AT122" s="220"/>
      <c r="AU122" s="220"/>
      <c r="AV122" s="220"/>
      <c r="AW122" s="220"/>
      <c r="AX122" s="220"/>
      <c r="AY122" s="220"/>
      <c r="AZ122" s="220"/>
      <c r="BA122" s="220"/>
    </row>
    <row r="123" spans="1:53">
      <c r="A123" s="220"/>
      <c r="B123" s="257"/>
      <c r="C123" s="220"/>
      <c r="D123" s="257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0"/>
      <c r="AS123" s="220"/>
      <c r="AT123" s="220"/>
      <c r="AU123" s="220"/>
      <c r="AV123" s="220"/>
      <c r="AW123" s="220"/>
      <c r="AX123" s="220"/>
      <c r="AY123" s="220"/>
      <c r="AZ123" s="220"/>
      <c r="BA123" s="220"/>
    </row>
    <row r="124" spans="1:53">
      <c r="A124" s="220"/>
      <c r="B124" s="257"/>
      <c r="C124" s="220"/>
      <c r="D124" s="257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0"/>
      <c r="AR124" s="220"/>
      <c r="AS124" s="220"/>
      <c r="AT124" s="220"/>
      <c r="AU124" s="220"/>
      <c r="AV124" s="220"/>
      <c r="AW124" s="220"/>
      <c r="AX124" s="220"/>
      <c r="AY124" s="220"/>
      <c r="AZ124" s="220"/>
      <c r="BA124" s="220"/>
    </row>
    <row r="125" spans="1:53">
      <c r="A125" s="220"/>
      <c r="B125" s="257"/>
      <c r="C125" s="220"/>
      <c r="D125" s="257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0"/>
      <c r="AR125" s="220"/>
      <c r="AS125" s="220"/>
      <c r="AT125" s="220"/>
      <c r="AU125" s="220"/>
      <c r="AV125" s="220"/>
      <c r="AW125" s="220"/>
      <c r="AX125" s="220"/>
      <c r="AY125" s="220"/>
      <c r="AZ125" s="220"/>
      <c r="BA125" s="220"/>
    </row>
    <row r="126" spans="1:53">
      <c r="A126" s="220"/>
      <c r="B126" s="257"/>
      <c r="C126" s="220"/>
      <c r="D126" s="257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0"/>
      <c r="AR126" s="220"/>
      <c r="AS126" s="220"/>
      <c r="AT126" s="220"/>
      <c r="AU126" s="220"/>
      <c r="AV126" s="220"/>
      <c r="AW126" s="220"/>
      <c r="AX126" s="220"/>
      <c r="AY126" s="220"/>
      <c r="AZ126" s="220"/>
      <c r="BA126" s="220"/>
    </row>
    <row r="127" spans="1:53">
      <c r="A127" s="220"/>
      <c r="B127" s="257"/>
      <c r="C127" s="220"/>
      <c r="D127" s="257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0"/>
      <c r="AR127" s="220"/>
      <c r="AS127" s="220"/>
      <c r="AT127" s="220"/>
      <c r="AU127" s="220"/>
      <c r="AV127" s="220"/>
      <c r="AW127" s="220"/>
      <c r="AX127" s="220"/>
      <c r="AY127" s="220"/>
      <c r="AZ127" s="220"/>
      <c r="BA127" s="220"/>
    </row>
    <row r="128" spans="1:53">
      <c r="A128" s="220"/>
      <c r="B128" s="257"/>
      <c r="C128" s="220"/>
      <c r="D128" s="257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0"/>
      <c r="AR128" s="220"/>
      <c r="AS128" s="220"/>
      <c r="AT128" s="220"/>
      <c r="AU128" s="220"/>
      <c r="AV128" s="220"/>
      <c r="AW128" s="220"/>
      <c r="AX128" s="220"/>
      <c r="AY128" s="220"/>
      <c r="AZ128" s="220"/>
      <c r="BA128" s="220"/>
    </row>
    <row r="129" spans="1:53">
      <c r="A129" s="220"/>
      <c r="B129" s="257"/>
      <c r="C129" s="220"/>
      <c r="D129" s="257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0"/>
      <c r="AR129" s="220"/>
      <c r="AS129" s="220"/>
      <c r="AT129" s="220"/>
      <c r="AU129" s="220"/>
      <c r="AV129" s="220"/>
      <c r="AW129" s="220"/>
      <c r="AX129" s="220"/>
      <c r="AY129" s="220"/>
      <c r="AZ129" s="220"/>
      <c r="BA129" s="220"/>
    </row>
    <row r="130" spans="1:53">
      <c r="A130" s="220"/>
      <c r="B130" s="257"/>
      <c r="C130" s="220"/>
      <c r="D130" s="257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0"/>
      <c r="AR130" s="220"/>
      <c r="AS130" s="220"/>
      <c r="AT130" s="220"/>
      <c r="AU130" s="220"/>
      <c r="AV130" s="220"/>
      <c r="AW130" s="220"/>
      <c r="AX130" s="220"/>
      <c r="AY130" s="220"/>
      <c r="AZ130" s="220"/>
      <c r="BA130" s="220"/>
    </row>
    <row r="131" spans="1:53">
      <c r="A131" s="220"/>
      <c r="B131" s="257"/>
      <c r="C131" s="220"/>
      <c r="D131" s="257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0"/>
      <c r="AR131" s="220"/>
      <c r="AS131" s="220"/>
      <c r="AT131" s="220"/>
      <c r="AU131" s="220"/>
      <c r="AV131" s="220"/>
      <c r="AW131" s="220"/>
      <c r="AX131" s="220"/>
      <c r="AY131" s="220"/>
      <c r="AZ131" s="220"/>
      <c r="BA131" s="220"/>
    </row>
    <row r="132" spans="1:53">
      <c r="A132" s="220"/>
      <c r="B132" s="257"/>
      <c r="C132" s="220"/>
      <c r="D132" s="257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  <c r="AM132" s="220"/>
      <c r="AN132" s="220"/>
      <c r="AO132" s="220"/>
      <c r="AP132" s="220"/>
      <c r="AQ132" s="220"/>
      <c r="AR132" s="220"/>
      <c r="AS132" s="220"/>
      <c r="AT132" s="220"/>
      <c r="AU132" s="220"/>
      <c r="AV132" s="220"/>
      <c r="AW132" s="220"/>
      <c r="AX132" s="220"/>
      <c r="AY132" s="220"/>
      <c r="AZ132" s="220"/>
      <c r="BA132" s="220"/>
    </row>
    <row r="133" spans="1:53">
      <c r="A133" s="220"/>
      <c r="B133" s="257"/>
      <c r="C133" s="220"/>
      <c r="D133" s="257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  <c r="AM133" s="220"/>
      <c r="AN133" s="220"/>
      <c r="AO133" s="220"/>
      <c r="AP133" s="220"/>
      <c r="AQ133" s="220"/>
      <c r="AR133" s="220"/>
      <c r="AS133" s="220"/>
      <c r="AT133" s="220"/>
      <c r="AU133" s="220"/>
      <c r="AV133" s="220"/>
      <c r="AW133" s="220"/>
      <c r="AX133" s="220"/>
      <c r="AY133" s="220"/>
      <c r="AZ133" s="220"/>
      <c r="BA133" s="220"/>
    </row>
    <row r="134" spans="1:53">
      <c r="A134" s="220"/>
      <c r="B134" s="257"/>
      <c r="C134" s="220"/>
      <c r="D134" s="257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  <c r="AH134" s="220"/>
      <c r="AI134" s="220"/>
      <c r="AJ134" s="220"/>
      <c r="AK134" s="220"/>
      <c r="AL134" s="220"/>
      <c r="AM134" s="220"/>
      <c r="AN134" s="220"/>
      <c r="AO134" s="220"/>
      <c r="AP134" s="220"/>
      <c r="AQ134" s="220"/>
      <c r="AR134" s="220"/>
      <c r="AS134" s="220"/>
      <c r="AT134" s="220"/>
      <c r="AU134" s="220"/>
      <c r="AV134" s="220"/>
      <c r="AW134" s="220"/>
      <c r="AX134" s="220"/>
      <c r="AY134" s="220"/>
      <c r="AZ134" s="220"/>
      <c r="BA134" s="220"/>
    </row>
    <row r="135" spans="1:53">
      <c r="A135" s="220"/>
      <c r="B135" s="257"/>
      <c r="C135" s="220"/>
      <c r="D135" s="257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  <c r="AM135" s="220"/>
      <c r="AN135" s="220"/>
      <c r="AO135" s="220"/>
      <c r="AP135" s="220"/>
      <c r="AQ135" s="220"/>
      <c r="AR135" s="220"/>
      <c r="AS135" s="220"/>
      <c r="AT135" s="220"/>
      <c r="AU135" s="220"/>
      <c r="AV135" s="220"/>
      <c r="AW135" s="220"/>
      <c r="AX135" s="220"/>
      <c r="AY135" s="220"/>
      <c r="AZ135" s="220"/>
      <c r="BA135" s="220"/>
    </row>
    <row r="136" spans="1:53">
      <c r="A136" s="220"/>
      <c r="B136" s="257"/>
      <c r="C136" s="220"/>
      <c r="D136" s="257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  <c r="AM136" s="220"/>
      <c r="AN136" s="220"/>
      <c r="AO136" s="220"/>
      <c r="AP136" s="220"/>
      <c r="AQ136" s="220"/>
      <c r="AR136" s="220"/>
      <c r="AS136" s="220"/>
      <c r="AT136" s="220"/>
      <c r="AU136" s="220"/>
      <c r="AV136" s="220"/>
      <c r="AW136" s="220"/>
      <c r="AX136" s="220"/>
      <c r="AY136" s="220"/>
      <c r="AZ136" s="220"/>
      <c r="BA136" s="220"/>
    </row>
    <row r="137" spans="1:53">
      <c r="A137" s="220"/>
      <c r="B137" s="257"/>
      <c r="C137" s="220"/>
      <c r="D137" s="257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  <c r="AM137" s="220"/>
      <c r="AN137" s="220"/>
      <c r="AO137" s="220"/>
      <c r="AP137" s="220"/>
      <c r="AQ137" s="220"/>
      <c r="AR137" s="220"/>
      <c r="AS137" s="220"/>
      <c r="AT137" s="220"/>
      <c r="AU137" s="220"/>
      <c r="AV137" s="220"/>
      <c r="AW137" s="220"/>
      <c r="AX137" s="220"/>
      <c r="AY137" s="220"/>
      <c r="AZ137" s="220"/>
      <c r="BA137" s="220"/>
    </row>
    <row r="138" spans="1:53">
      <c r="A138" s="220"/>
      <c r="B138" s="257"/>
      <c r="C138" s="220"/>
      <c r="D138" s="257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  <c r="AH138" s="220"/>
      <c r="AI138" s="220"/>
      <c r="AJ138" s="220"/>
      <c r="AK138" s="220"/>
      <c r="AL138" s="220"/>
      <c r="AM138" s="220"/>
      <c r="AN138" s="220"/>
      <c r="AO138" s="220"/>
      <c r="AP138" s="220"/>
      <c r="AQ138" s="220"/>
      <c r="AR138" s="220"/>
      <c r="AS138" s="220"/>
      <c r="AT138" s="220"/>
      <c r="AU138" s="220"/>
      <c r="AV138" s="220"/>
      <c r="AW138" s="220"/>
      <c r="AX138" s="220"/>
      <c r="AY138" s="220"/>
      <c r="AZ138" s="220"/>
      <c r="BA138" s="220"/>
    </row>
    <row r="139" spans="1:53">
      <c r="A139" s="220"/>
      <c r="B139" s="257"/>
      <c r="C139" s="220"/>
      <c r="D139" s="257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0"/>
      <c r="AR139" s="220"/>
      <c r="AS139" s="220"/>
      <c r="AT139" s="220"/>
      <c r="AU139" s="220"/>
      <c r="AV139" s="220"/>
      <c r="AW139" s="220"/>
      <c r="AX139" s="220"/>
      <c r="AY139" s="220"/>
      <c r="AZ139" s="220"/>
      <c r="BA139" s="220"/>
    </row>
    <row r="140" spans="1:53">
      <c r="A140" s="220"/>
      <c r="B140" s="257"/>
      <c r="C140" s="220"/>
      <c r="D140" s="257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0"/>
      <c r="AR140" s="220"/>
      <c r="AS140" s="220"/>
      <c r="AT140" s="220"/>
      <c r="AU140" s="220"/>
      <c r="AV140" s="220"/>
      <c r="AW140" s="220"/>
      <c r="AX140" s="220"/>
      <c r="AY140" s="220"/>
      <c r="AZ140" s="220"/>
      <c r="BA140" s="220"/>
    </row>
    <row r="141" spans="1:53">
      <c r="A141" s="220"/>
      <c r="B141" s="257"/>
      <c r="C141" s="220"/>
      <c r="D141" s="257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0"/>
      <c r="AR141" s="220"/>
      <c r="AS141" s="220"/>
      <c r="AT141" s="220"/>
      <c r="AU141" s="220"/>
      <c r="AV141" s="220"/>
      <c r="AW141" s="220"/>
      <c r="AX141" s="220"/>
      <c r="AY141" s="220"/>
      <c r="AZ141" s="220"/>
      <c r="BA141" s="220"/>
    </row>
    <row r="142" spans="1:53">
      <c r="A142" s="220"/>
      <c r="B142" s="257"/>
      <c r="C142" s="220"/>
      <c r="D142" s="257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0"/>
      <c r="AR142" s="220"/>
      <c r="AS142" s="220"/>
      <c r="AT142" s="220"/>
      <c r="AU142" s="220"/>
      <c r="AV142" s="220"/>
      <c r="AW142" s="220"/>
      <c r="AX142" s="220"/>
      <c r="AY142" s="220"/>
      <c r="AZ142" s="220"/>
      <c r="BA142" s="220"/>
    </row>
    <row r="143" spans="1:53">
      <c r="A143" s="220"/>
      <c r="B143" s="257"/>
      <c r="C143" s="220"/>
      <c r="D143" s="257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  <c r="AM143" s="220"/>
      <c r="AN143" s="220"/>
      <c r="AO143" s="220"/>
      <c r="AP143" s="220"/>
      <c r="AQ143" s="220"/>
      <c r="AR143" s="220"/>
      <c r="AS143" s="220"/>
      <c r="AT143" s="220"/>
      <c r="AU143" s="220"/>
      <c r="AV143" s="220"/>
      <c r="AW143" s="220"/>
      <c r="AX143" s="220"/>
      <c r="AY143" s="220"/>
      <c r="AZ143" s="220"/>
      <c r="BA143" s="220"/>
    </row>
    <row r="144" spans="1:53">
      <c r="A144" s="220"/>
      <c r="B144" s="257"/>
      <c r="C144" s="220"/>
      <c r="D144" s="257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0"/>
      <c r="AR144" s="220"/>
      <c r="AS144" s="220"/>
      <c r="AT144" s="220"/>
      <c r="AU144" s="220"/>
      <c r="AV144" s="220"/>
      <c r="AW144" s="220"/>
      <c r="AX144" s="220"/>
      <c r="AY144" s="220"/>
      <c r="AZ144" s="220"/>
      <c r="BA144" s="220"/>
    </row>
    <row r="145" spans="1:53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0"/>
      <c r="AR145" s="220"/>
      <c r="AS145" s="220"/>
      <c r="AT145" s="220"/>
      <c r="AU145" s="220"/>
      <c r="AV145" s="220"/>
      <c r="AW145" s="220"/>
      <c r="AX145" s="220"/>
      <c r="AY145" s="220"/>
      <c r="AZ145" s="220"/>
      <c r="BA145" s="220"/>
    </row>
    <row r="146" spans="1:53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0"/>
      <c r="AR146" s="220"/>
      <c r="AS146" s="220"/>
      <c r="AT146" s="220"/>
      <c r="AU146" s="220"/>
      <c r="AV146" s="220"/>
      <c r="AW146" s="220"/>
      <c r="AX146" s="220"/>
      <c r="AY146" s="220"/>
      <c r="AZ146" s="220"/>
      <c r="BA146" s="220"/>
    </row>
    <row r="147" spans="1:53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  <c r="AV147" s="220"/>
      <c r="AW147" s="220"/>
      <c r="AX147" s="220"/>
      <c r="AY147" s="220"/>
      <c r="AZ147" s="220"/>
      <c r="BA147" s="220"/>
    </row>
    <row r="148" spans="1:53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0"/>
      <c r="AR148" s="220"/>
      <c r="AS148" s="220"/>
      <c r="AT148" s="220"/>
      <c r="AU148" s="220"/>
      <c r="AV148" s="220"/>
      <c r="AW148" s="220"/>
      <c r="AX148" s="220"/>
      <c r="AY148" s="220"/>
      <c r="AZ148" s="220"/>
      <c r="BA148" s="220"/>
    </row>
    <row r="149" spans="1:53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  <c r="AV149" s="220"/>
      <c r="AW149" s="220"/>
      <c r="AX149" s="220"/>
      <c r="AY149" s="220"/>
      <c r="AZ149" s="220"/>
      <c r="BA149" s="2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4B084"/>
  </sheetPr>
  <dimension ref="A1:BA149"/>
  <sheetViews>
    <sheetView zoomScale="98" workbookViewId="0">
      <pane xSplit="4" ySplit="3" topLeftCell="E4" activePane="bottomRight" state="frozen"/>
      <selection pane="topRight"/>
      <selection pane="bottomLeft"/>
      <selection pane="bottomRight" activeCell="A3" sqref="A3:XFD3"/>
    </sheetView>
  </sheetViews>
  <sheetFormatPr defaultRowHeight="14.5"/>
  <cols>
    <col min="1" max="1" width="36.1796875" customWidth="1"/>
    <col min="2" max="2" width="4.453125" style="54" customWidth="1"/>
    <col min="3" max="3" width="19.90625" style="49" customWidth="1"/>
    <col min="4" max="4" width="7.6328125" style="54" customWidth="1"/>
    <col min="5" max="6" width="11.7265625" customWidth="1"/>
    <col min="7" max="7" width="12" bestFit="1" customWidth="1"/>
    <col min="8" max="8" width="10.7265625" style="206" customWidth="1"/>
    <col min="9" max="9" width="11.7265625" customWidth="1"/>
    <col min="10" max="10" width="12" bestFit="1" customWidth="1"/>
    <col min="11" max="12" width="11.7265625" customWidth="1"/>
    <col min="13" max="13" width="12" bestFit="1" customWidth="1"/>
    <col min="14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3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</row>
    <row r="2" spans="1:53" s="216" customFormat="1">
      <c r="A2" s="223" t="s">
        <v>0</v>
      </c>
      <c r="B2" s="224"/>
      <c r="C2" s="224"/>
      <c r="D2" s="224"/>
      <c r="E2" s="225">
        <v>45657</v>
      </c>
      <c r="F2" s="225">
        <v>46022</v>
      </c>
      <c r="G2" s="225">
        <v>46112</v>
      </c>
      <c r="H2" s="225">
        <v>46203</v>
      </c>
      <c r="I2" s="225">
        <v>46022</v>
      </c>
      <c r="J2" s="225">
        <v>46112</v>
      </c>
      <c r="K2" s="225">
        <v>46203</v>
      </c>
      <c r="L2" s="225">
        <v>46295</v>
      </c>
      <c r="M2" s="225">
        <v>46387</v>
      </c>
      <c r="N2" s="225">
        <v>46477</v>
      </c>
      <c r="O2" s="225">
        <v>46568</v>
      </c>
      <c r="P2" s="225">
        <v>46660</v>
      </c>
      <c r="Q2" s="388">
        <v>46752</v>
      </c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</row>
    <row r="3" spans="1:53" s="219" customFormat="1">
      <c r="A3" s="68"/>
      <c r="B3" s="217"/>
      <c r="C3" s="217"/>
      <c r="D3" s="217"/>
      <c r="E3" s="218" t="s">
        <v>1</v>
      </c>
      <c r="F3" s="68"/>
      <c r="G3" s="68"/>
      <c r="H3" s="218"/>
      <c r="I3" s="218" t="s">
        <v>2</v>
      </c>
      <c r="J3" s="68"/>
      <c r="K3" s="68"/>
      <c r="L3" s="68"/>
      <c r="M3" s="68"/>
      <c r="N3" s="389"/>
      <c r="O3" s="389"/>
      <c r="P3" s="389"/>
      <c r="Q3" s="389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</row>
    <row r="4" spans="1:53" ht="18.5" customHeight="1">
      <c r="A4" s="220"/>
      <c r="B4" s="227" t="s">
        <v>2</v>
      </c>
      <c r="C4" s="228" t="s">
        <v>3</v>
      </c>
      <c r="D4" s="227" t="s">
        <v>4</v>
      </c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</row>
    <row r="5" spans="1:53">
      <c r="A5" s="258" t="s">
        <v>5</v>
      </c>
      <c r="B5" s="231"/>
      <c r="C5" s="232"/>
      <c r="D5" s="231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</row>
    <row r="6" spans="1:53">
      <c r="A6" s="233" t="s">
        <v>360</v>
      </c>
      <c r="B6" s="234" t="s">
        <v>7</v>
      </c>
      <c r="C6" s="235" t="s">
        <v>8</v>
      </c>
      <c r="D6" s="236" t="s">
        <v>361</v>
      </c>
      <c r="E6" s="242"/>
      <c r="F6" s="238">
        <v>87500</v>
      </c>
      <c r="G6" s="238">
        <v>187500</v>
      </c>
      <c r="H6" s="220"/>
      <c r="I6" s="239">
        <v>87500</v>
      </c>
      <c r="J6" s="239">
        <v>187500</v>
      </c>
      <c r="K6" s="239">
        <v>187500</v>
      </c>
      <c r="L6" s="239">
        <v>187500</v>
      </c>
      <c r="M6" s="239">
        <v>187500</v>
      </c>
      <c r="N6" s="239">
        <v>187500</v>
      </c>
      <c r="O6" s="239">
        <v>187500</v>
      </c>
      <c r="P6" s="239">
        <v>187500</v>
      </c>
      <c r="Q6" s="239">
        <v>187500</v>
      </c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20"/>
      <c r="AY6" s="220"/>
      <c r="AZ6" s="220"/>
      <c r="BA6" s="220"/>
    </row>
    <row r="7" spans="1:53">
      <c r="A7" s="233" t="s">
        <v>362</v>
      </c>
      <c r="B7" s="234" t="s">
        <v>7</v>
      </c>
      <c r="C7" s="235" t="s">
        <v>8</v>
      </c>
      <c r="D7" s="236" t="s">
        <v>363</v>
      </c>
      <c r="E7" s="242"/>
      <c r="F7" s="238">
        <v>46250</v>
      </c>
      <c r="G7" s="238">
        <v>46250</v>
      </c>
      <c r="H7" s="220"/>
      <c r="I7" s="239">
        <v>46250</v>
      </c>
      <c r="J7" s="239">
        <v>46250</v>
      </c>
      <c r="K7" s="239">
        <v>46250</v>
      </c>
      <c r="L7" s="239">
        <v>46250</v>
      </c>
      <c r="M7" s="239">
        <v>46250</v>
      </c>
      <c r="N7" s="239">
        <v>46250</v>
      </c>
      <c r="O7" s="239">
        <v>46250</v>
      </c>
      <c r="P7" s="239">
        <v>46250</v>
      </c>
      <c r="Q7" s="239">
        <v>46250</v>
      </c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20"/>
      <c r="AY7" s="220"/>
      <c r="AZ7" s="220"/>
      <c r="BA7" s="220"/>
    </row>
    <row r="8" spans="1:53">
      <c r="A8" s="233" t="s">
        <v>364</v>
      </c>
      <c r="B8" s="234" t="s">
        <v>7</v>
      </c>
      <c r="C8" s="235" t="s">
        <v>8</v>
      </c>
      <c r="D8" s="236" t="s">
        <v>365</v>
      </c>
      <c r="E8" s="242"/>
      <c r="F8" s="238">
        <v>27500</v>
      </c>
      <c r="G8" s="238">
        <v>28125</v>
      </c>
      <c r="H8" s="220"/>
      <c r="I8" s="239">
        <v>27500</v>
      </c>
      <c r="J8" s="239">
        <v>28125</v>
      </c>
      <c r="K8" s="239">
        <v>28125</v>
      </c>
      <c r="L8" s="239">
        <v>28125</v>
      </c>
      <c r="M8" s="239">
        <v>28125</v>
      </c>
      <c r="N8" s="239">
        <v>28125</v>
      </c>
      <c r="O8" s="239">
        <v>28125</v>
      </c>
      <c r="P8" s="239">
        <v>28125</v>
      </c>
      <c r="Q8" s="239">
        <v>28125</v>
      </c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</row>
    <row r="9" spans="1:53">
      <c r="A9" s="233" t="s">
        <v>366</v>
      </c>
      <c r="B9" s="244" t="s">
        <v>7</v>
      </c>
      <c r="C9" s="244" t="s">
        <v>8</v>
      </c>
      <c r="D9" s="244" t="s">
        <v>367</v>
      </c>
      <c r="E9" s="242"/>
      <c r="F9" s="238">
        <v>62500</v>
      </c>
      <c r="G9" s="238">
        <v>65000</v>
      </c>
      <c r="H9" s="220"/>
      <c r="I9" s="239">
        <v>62500</v>
      </c>
      <c r="J9" s="239">
        <v>65000</v>
      </c>
      <c r="K9" s="239">
        <v>65000</v>
      </c>
      <c r="L9" s="239">
        <v>65000</v>
      </c>
      <c r="M9" s="239">
        <v>65000</v>
      </c>
      <c r="N9" s="239">
        <v>65000</v>
      </c>
      <c r="O9" s="239">
        <v>65000</v>
      </c>
      <c r="P9" s="239">
        <v>65000</v>
      </c>
      <c r="Q9" s="239">
        <v>65000</v>
      </c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20"/>
      <c r="AY9" s="220"/>
      <c r="AZ9" s="220"/>
      <c r="BA9" s="220"/>
    </row>
    <row r="10" spans="1:53">
      <c r="A10" s="233" t="s">
        <v>368</v>
      </c>
      <c r="B10" s="244" t="s">
        <v>7</v>
      </c>
      <c r="C10" s="244" t="s">
        <v>8</v>
      </c>
      <c r="D10" s="244" t="s">
        <v>369</v>
      </c>
      <c r="E10" s="242"/>
      <c r="F10" s="238">
        <v>0</v>
      </c>
      <c r="G10" s="238">
        <v>0</v>
      </c>
      <c r="H10" s="242"/>
      <c r="I10" s="239">
        <v>0</v>
      </c>
      <c r="J10" s="239">
        <v>0</v>
      </c>
      <c r="K10" s="239">
        <v>0</v>
      </c>
      <c r="L10" s="239">
        <v>0</v>
      </c>
      <c r="M10" s="239">
        <v>0</v>
      </c>
      <c r="N10" s="239">
        <v>0</v>
      </c>
      <c r="O10" s="239">
        <v>0</v>
      </c>
      <c r="P10" s="239">
        <v>0</v>
      </c>
      <c r="Q10" s="239">
        <v>0</v>
      </c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0"/>
      <c r="AX10" s="220"/>
      <c r="AY10" s="220"/>
      <c r="AZ10" s="220"/>
      <c r="BA10" s="220"/>
    </row>
    <row r="11" spans="1:53">
      <c r="A11" s="233" t="s">
        <v>370</v>
      </c>
      <c r="B11" s="244" t="s">
        <v>7</v>
      </c>
      <c r="C11" s="244" t="s">
        <v>8</v>
      </c>
      <c r="D11" s="244" t="s">
        <v>371</v>
      </c>
      <c r="E11" s="242"/>
      <c r="F11" s="238">
        <v>75000</v>
      </c>
      <c r="G11" s="238">
        <v>0</v>
      </c>
      <c r="H11" s="220"/>
      <c r="I11" s="239">
        <v>75000</v>
      </c>
      <c r="J11" s="239">
        <v>0</v>
      </c>
      <c r="K11" s="239">
        <v>0</v>
      </c>
      <c r="L11" s="239">
        <v>0</v>
      </c>
      <c r="M11" s="239">
        <v>0</v>
      </c>
      <c r="N11" s="239">
        <v>0</v>
      </c>
      <c r="O11" s="239">
        <v>0</v>
      </c>
      <c r="P11" s="239">
        <v>0</v>
      </c>
      <c r="Q11" s="239">
        <v>0</v>
      </c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</row>
    <row r="12" spans="1:53">
      <c r="A12" s="233" t="s">
        <v>372</v>
      </c>
      <c r="B12" s="244" t="s">
        <v>7</v>
      </c>
      <c r="C12" s="244" t="s">
        <v>8</v>
      </c>
      <c r="D12" s="244" t="s">
        <v>17</v>
      </c>
      <c r="E12" s="242"/>
      <c r="F12" s="238">
        <v>45000</v>
      </c>
      <c r="G12" s="238">
        <v>47500</v>
      </c>
      <c r="H12" s="246"/>
      <c r="I12" s="239">
        <v>45000</v>
      </c>
      <c r="J12" s="239">
        <v>47500</v>
      </c>
      <c r="K12" s="239">
        <v>47500</v>
      </c>
      <c r="L12" s="239">
        <v>47500</v>
      </c>
      <c r="M12" s="239">
        <v>47500</v>
      </c>
      <c r="N12" s="239">
        <v>47500</v>
      </c>
      <c r="O12" s="239">
        <v>47500</v>
      </c>
      <c r="P12" s="239">
        <v>47500</v>
      </c>
      <c r="Q12" s="239">
        <v>47500</v>
      </c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</row>
    <row r="13" spans="1:53">
      <c r="A13" s="233" t="s">
        <v>373</v>
      </c>
      <c r="B13" s="244" t="s">
        <v>7</v>
      </c>
      <c r="C13" s="244" t="s">
        <v>8</v>
      </c>
      <c r="D13" s="244" t="s">
        <v>374</v>
      </c>
      <c r="E13" s="242"/>
      <c r="F13" s="238">
        <v>32500</v>
      </c>
      <c r="G13" s="238">
        <v>34375</v>
      </c>
      <c r="H13" s="246"/>
      <c r="I13" s="239">
        <v>32500</v>
      </c>
      <c r="J13" s="239">
        <v>34375</v>
      </c>
      <c r="K13" s="239">
        <v>0</v>
      </c>
      <c r="L13" s="239">
        <v>0</v>
      </c>
      <c r="M13" s="239">
        <v>0</v>
      </c>
      <c r="N13" s="239">
        <v>0</v>
      </c>
      <c r="O13" s="239">
        <v>0</v>
      </c>
      <c r="P13" s="239">
        <v>0</v>
      </c>
      <c r="Q13" s="239">
        <v>0</v>
      </c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</row>
    <row r="14" spans="1:53">
      <c r="A14" s="233" t="s">
        <v>375</v>
      </c>
      <c r="B14" s="244" t="s">
        <v>7</v>
      </c>
      <c r="C14" s="244" t="s">
        <v>8</v>
      </c>
      <c r="D14" s="244" t="s">
        <v>376</v>
      </c>
      <c r="E14" s="242"/>
      <c r="F14" s="238">
        <v>0</v>
      </c>
      <c r="G14" s="238">
        <v>0</v>
      </c>
      <c r="H14" s="220"/>
      <c r="I14" s="239">
        <v>0</v>
      </c>
      <c r="J14" s="239">
        <v>0</v>
      </c>
      <c r="K14" s="239">
        <v>0</v>
      </c>
      <c r="L14" s="239">
        <v>34375</v>
      </c>
      <c r="M14" s="239">
        <v>34375</v>
      </c>
      <c r="N14" s="239">
        <v>34375</v>
      </c>
      <c r="O14" s="239">
        <v>34375</v>
      </c>
      <c r="P14" s="239">
        <v>34375</v>
      </c>
      <c r="Q14" s="239">
        <v>34375</v>
      </c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</row>
    <row r="15" spans="1:53" s="11" customFormat="1">
      <c r="A15" s="233" t="s">
        <v>377</v>
      </c>
      <c r="B15" s="262" t="s">
        <v>7</v>
      </c>
      <c r="C15" s="263" t="s">
        <v>8</v>
      </c>
      <c r="D15" s="262" t="s">
        <v>378</v>
      </c>
      <c r="E15" s="242"/>
      <c r="F15" s="238">
        <v>27500</v>
      </c>
      <c r="G15" s="238">
        <v>27500</v>
      </c>
      <c r="H15" s="220"/>
      <c r="I15" s="239">
        <v>27500</v>
      </c>
      <c r="J15" s="239">
        <v>27500</v>
      </c>
      <c r="K15" s="269">
        <v>27500</v>
      </c>
      <c r="L15" s="269">
        <v>27500</v>
      </c>
      <c r="M15" s="269">
        <v>27500</v>
      </c>
      <c r="N15" s="239">
        <v>27500</v>
      </c>
      <c r="O15" s="239">
        <v>27500</v>
      </c>
      <c r="P15" s="239">
        <v>27500</v>
      </c>
      <c r="Q15" s="239">
        <v>27500</v>
      </c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</row>
    <row r="16" spans="1:53" ht="14.65" customHeight="1">
      <c r="A16" s="233" t="s">
        <v>379</v>
      </c>
      <c r="B16" s="244" t="s">
        <v>7</v>
      </c>
      <c r="C16" s="244" t="s">
        <v>8</v>
      </c>
      <c r="D16" s="244" t="s">
        <v>380</v>
      </c>
      <c r="E16" s="242"/>
      <c r="F16" s="242"/>
      <c r="G16" s="238">
        <v>50000</v>
      </c>
      <c r="H16" s="220"/>
      <c r="I16" s="239">
        <v>0</v>
      </c>
      <c r="J16" s="239">
        <v>50000</v>
      </c>
      <c r="K16" s="269">
        <v>50000</v>
      </c>
      <c r="L16" s="269">
        <v>50000</v>
      </c>
      <c r="M16" s="269">
        <v>50000</v>
      </c>
      <c r="N16" s="239">
        <v>50000</v>
      </c>
      <c r="O16" s="239">
        <v>50000</v>
      </c>
      <c r="P16" s="239">
        <v>50000</v>
      </c>
      <c r="Q16" s="239">
        <v>50000</v>
      </c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</row>
    <row r="17" spans="1:53" ht="14.65" customHeight="1">
      <c r="A17" s="264" t="s">
        <v>32</v>
      </c>
      <c r="B17" s="220"/>
      <c r="C17" s="220"/>
      <c r="D17" s="220"/>
      <c r="E17" s="242"/>
      <c r="F17" s="238">
        <v>403750</v>
      </c>
      <c r="G17" s="238">
        <v>486250</v>
      </c>
      <c r="H17" s="248"/>
      <c r="I17" s="242">
        <v>403750</v>
      </c>
      <c r="J17" s="242">
        <f t="shared" ref="J17:Q17" si="0">SUM(J6:J16)</f>
        <v>486250</v>
      </c>
      <c r="K17" s="242">
        <f t="shared" si="0"/>
        <v>451875</v>
      </c>
      <c r="L17" s="242">
        <f t="shared" si="0"/>
        <v>486250</v>
      </c>
      <c r="M17" s="242">
        <f t="shared" si="0"/>
        <v>486250</v>
      </c>
      <c r="N17" s="242">
        <f t="shared" si="0"/>
        <v>486250</v>
      </c>
      <c r="O17" s="242">
        <f t="shared" si="0"/>
        <v>486250</v>
      </c>
      <c r="P17" s="242">
        <f t="shared" si="0"/>
        <v>486250</v>
      </c>
      <c r="Q17" s="242">
        <f t="shared" si="0"/>
        <v>486250</v>
      </c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</row>
    <row r="18" spans="1:53">
      <c r="A18" s="265"/>
      <c r="B18" s="220"/>
      <c r="C18" s="220"/>
      <c r="D18" s="220"/>
      <c r="E18" s="242"/>
      <c r="F18" s="242"/>
      <c r="G18" s="242"/>
      <c r="H18" s="248"/>
      <c r="I18" s="242"/>
      <c r="J18" s="242"/>
      <c r="K18" s="242"/>
      <c r="L18" s="242"/>
      <c r="M18" s="242"/>
      <c r="N18" s="242"/>
      <c r="O18" s="242"/>
      <c r="P18" s="242"/>
      <c r="Q18" s="242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</row>
    <row r="19" spans="1:53" ht="14.65" customHeight="1">
      <c r="A19" s="263" t="s">
        <v>33</v>
      </c>
      <c r="B19" s="220"/>
      <c r="C19" s="220"/>
      <c r="D19" s="220"/>
      <c r="E19" s="220"/>
      <c r="F19" s="220"/>
      <c r="G19" s="220"/>
      <c r="H19" s="242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</row>
    <row r="20" spans="1:53">
      <c r="A20" s="220" t="str">
        <f t="shared" ref="A20:A30" si="1">+A6</f>
        <v>HODS  (RB)</v>
      </c>
      <c r="B20" s="244" t="s">
        <v>7</v>
      </c>
      <c r="C20" s="244" t="s">
        <v>34</v>
      </c>
      <c r="D20" s="244" t="s">
        <v>361</v>
      </c>
      <c r="E20" s="222"/>
      <c r="F20" s="247">
        <v>685000</v>
      </c>
      <c r="G20" s="247">
        <v>0</v>
      </c>
      <c r="H20" s="220"/>
      <c r="I20" s="241">
        <v>685000</v>
      </c>
      <c r="J20" s="241">
        <v>0</v>
      </c>
      <c r="K20" s="241">
        <v>0</v>
      </c>
      <c r="L20" s="241">
        <v>0</v>
      </c>
      <c r="M20" s="241">
        <v>250000</v>
      </c>
      <c r="N20" s="391">
        <v>250000</v>
      </c>
      <c r="O20" s="391">
        <v>250000</v>
      </c>
      <c r="P20" s="391">
        <v>250000</v>
      </c>
      <c r="Q20" s="391">
        <v>250000</v>
      </c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</row>
    <row r="21" spans="1:53">
      <c r="A21" s="220" t="str">
        <f t="shared" si="1"/>
        <v>Project Executive  (LS) (100%)</v>
      </c>
      <c r="B21" s="244" t="s">
        <v>7</v>
      </c>
      <c r="C21" s="244" t="s">
        <v>34</v>
      </c>
      <c r="D21" s="244" t="s">
        <v>363</v>
      </c>
      <c r="E21" s="242"/>
      <c r="F21" s="247">
        <v>20000</v>
      </c>
      <c r="G21" s="247">
        <v>0</v>
      </c>
      <c r="H21" s="222"/>
      <c r="I21" s="241">
        <v>20000</v>
      </c>
      <c r="J21" s="241">
        <v>0</v>
      </c>
      <c r="K21" s="241">
        <v>0</v>
      </c>
      <c r="L21" s="241">
        <v>0</v>
      </c>
      <c r="M21" s="241">
        <v>15000</v>
      </c>
      <c r="N21" s="391">
        <v>15000</v>
      </c>
      <c r="O21" s="391">
        <v>15000</v>
      </c>
      <c r="P21" s="391">
        <v>15000</v>
      </c>
      <c r="Q21" s="391">
        <v>15000</v>
      </c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</row>
    <row r="22" spans="1:53">
      <c r="A22" s="220" t="str">
        <f t="shared" si="1"/>
        <v>Project Manager (BD) (100%)</v>
      </c>
      <c r="B22" s="244" t="s">
        <v>7</v>
      </c>
      <c r="C22" s="244" t="s">
        <v>34</v>
      </c>
      <c r="D22" s="244" t="s">
        <v>365</v>
      </c>
      <c r="E22" s="242"/>
      <c r="F22" s="247">
        <v>17500</v>
      </c>
      <c r="G22" s="247">
        <v>0</v>
      </c>
      <c r="H22" s="242"/>
      <c r="I22" s="241">
        <v>17500</v>
      </c>
      <c r="J22" s="241">
        <v>0</v>
      </c>
      <c r="K22" s="241">
        <v>0</v>
      </c>
      <c r="L22" s="241">
        <v>0</v>
      </c>
      <c r="M22" s="241">
        <v>15000</v>
      </c>
      <c r="N22" s="391">
        <v>15000</v>
      </c>
      <c r="O22" s="391">
        <v>15000</v>
      </c>
      <c r="P22" s="391">
        <v>15000</v>
      </c>
      <c r="Q22" s="391">
        <v>15000</v>
      </c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</row>
    <row r="23" spans="1:53">
      <c r="A23" s="220" t="str">
        <f t="shared" si="1"/>
        <v>Counsel (KT)</v>
      </c>
      <c r="B23" s="244" t="s">
        <v>7</v>
      </c>
      <c r="C23" s="244" t="s">
        <v>34</v>
      </c>
      <c r="D23" s="244" t="s">
        <v>367</v>
      </c>
      <c r="E23" s="242"/>
      <c r="F23" s="247">
        <v>230000</v>
      </c>
      <c r="G23" s="247">
        <v>0</v>
      </c>
      <c r="H23" s="242"/>
      <c r="I23" s="241">
        <v>230000</v>
      </c>
      <c r="J23" s="241">
        <v>0</v>
      </c>
      <c r="K23" s="241">
        <v>0</v>
      </c>
      <c r="L23" s="241">
        <v>0</v>
      </c>
      <c r="M23" s="241">
        <v>125000</v>
      </c>
      <c r="N23" s="391">
        <v>125000</v>
      </c>
      <c r="O23" s="391">
        <v>125000</v>
      </c>
      <c r="P23" s="391">
        <v>125000</v>
      </c>
      <c r="Q23" s="391">
        <v>125000</v>
      </c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</row>
    <row r="24" spans="1:53">
      <c r="A24" s="220" t="str">
        <f t="shared" si="1"/>
        <v>Development Manager??? (alexi?)</v>
      </c>
      <c r="B24" s="244" t="s">
        <v>7</v>
      </c>
      <c r="C24" s="244" t="s">
        <v>34</v>
      </c>
      <c r="D24" s="244" t="s">
        <v>369</v>
      </c>
      <c r="E24" s="242"/>
      <c r="F24" s="247">
        <v>0</v>
      </c>
      <c r="G24" s="247">
        <v>0</v>
      </c>
      <c r="H24" s="242"/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391">
        <v>0</v>
      </c>
      <c r="O24" s="391">
        <v>0</v>
      </c>
      <c r="P24" s="391">
        <v>0</v>
      </c>
      <c r="Q24" s="391">
        <v>0</v>
      </c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</row>
    <row r="25" spans="1:53">
      <c r="A25" s="220" t="str">
        <f t="shared" si="1"/>
        <v>Banker (tBD)</v>
      </c>
      <c r="B25" s="244" t="s">
        <v>7</v>
      </c>
      <c r="C25" s="244" t="s">
        <v>34</v>
      </c>
      <c r="D25" s="244" t="s">
        <v>371</v>
      </c>
      <c r="E25" s="242"/>
      <c r="F25" s="247">
        <v>50000</v>
      </c>
      <c r="G25" s="247">
        <v>0</v>
      </c>
      <c r="H25" s="242"/>
      <c r="I25" s="241">
        <v>50000</v>
      </c>
      <c r="J25" s="241">
        <v>0</v>
      </c>
      <c r="K25" s="241">
        <v>0</v>
      </c>
      <c r="L25" s="241">
        <v>0</v>
      </c>
      <c r="M25" s="241">
        <v>100000</v>
      </c>
      <c r="N25" s="391">
        <v>100000</v>
      </c>
      <c r="O25" s="391">
        <v>100000</v>
      </c>
      <c r="P25" s="391">
        <v>100000</v>
      </c>
      <c r="Q25" s="391">
        <v>100000</v>
      </c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</row>
    <row r="26" spans="1:53">
      <c r="A26" s="220" t="str">
        <f t="shared" si="1"/>
        <v>Senior Design Manager (AM)</v>
      </c>
      <c r="B26" s="244" t="s">
        <v>7</v>
      </c>
      <c r="C26" s="244" t="s">
        <v>34</v>
      </c>
      <c r="D26" s="244" t="s">
        <v>17</v>
      </c>
      <c r="E26" s="242"/>
      <c r="F26" s="247">
        <v>65000</v>
      </c>
      <c r="G26" s="247">
        <v>0</v>
      </c>
      <c r="H26" s="242"/>
      <c r="I26" s="241">
        <v>65000</v>
      </c>
      <c r="J26" s="241">
        <v>0</v>
      </c>
      <c r="K26" s="241">
        <v>0</v>
      </c>
      <c r="L26" s="241">
        <v>0</v>
      </c>
      <c r="M26" s="241">
        <v>55000</v>
      </c>
      <c r="N26" s="391">
        <v>55000</v>
      </c>
      <c r="O26" s="391">
        <v>55000</v>
      </c>
      <c r="P26" s="391">
        <v>55000</v>
      </c>
      <c r="Q26" s="391">
        <v>55000</v>
      </c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</row>
    <row r="27" spans="1:53">
      <c r="A27" s="220" t="str">
        <f t="shared" si="1"/>
        <v>Design Manager (AL) (gone)</v>
      </c>
      <c r="B27" s="244" t="s">
        <v>7</v>
      </c>
      <c r="C27" s="244" t="s">
        <v>34</v>
      </c>
      <c r="D27" s="244" t="s">
        <v>374</v>
      </c>
      <c r="E27" s="242"/>
      <c r="F27" s="247">
        <v>25000</v>
      </c>
      <c r="G27" s="247">
        <v>0</v>
      </c>
      <c r="H27" s="242"/>
      <c r="I27" s="241">
        <v>25000</v>
      </c>
      <c r="J27" s="241">
        <v>0</v>
      </c>
      <c r="K27" s="241">
        <v>0</v>
      </c>
      <c r="L27" s="241">
        <v>0</v>
      </c>
      <c r="M27" s="241">
        <v>0</v>
      </c>
      <c r="N27" s="391">
        <v>0</v>
      </c>
      <c r="O27" s="391">
        <v>0</v>
      </c>
      <c r="P27" s="391">
        <v>0</v>
      </c>
      <c r="Q27" s="391">
        <v>0</v>
      </c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</row>
    <row r="28" spans="1:53">
      <c r="A28" s="220" t="str">
        <f t="shared" si="1"/>
        <v>new design manager (TBD)</v>
      </c>
      <c r="B28" s="244" t="s">
        <v>7</v>
      </c>
      <c r="C28" s="244" t="s">
        <v>34</v>
      </c>
      <c r="D28" s="244" t="s">
        <v>376</v>
      </c>
      <c r="E28" s="242"/>
      <c r="F28" s="247">
        <v>0</v>
      </c>
      <c r="G28" s="247">
        <v>0</v>
      </c>
      <c r="H28" s="242"/>
      <c r="I28" s="241">
        <v>0</v>
      </c>
      <c r="J28" s="241">
        <v>0</v>
      </c>
      <c r="K28" s="241">
        <v>0</v>
      </c>
      <c r="L28" s="241">
        <v>0</v>
      </c>
      <c r="M28" s="241">
        <v>11250</v>
      </c>
      <c r="N28" s="391">
        <v>11250</v>
      </c>
      <c r="O28" s="391">
        <v>11250</v>
      </c>
      <c r="P28" s="391">
        <v>11250</v>
      </c>
      <c r="Q28" s="391">
        <v>11250</v>
      </c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</row>
    <row r="29" spans="1:53" ht="14.65" customHeight="1">
      <c r="A29" s="220" t="str">
        <f t="shared" si="1"/>
        <v>FF&amp;E (SB)</v>
      </c>
      <c r="B29" s="244" t="s">
        <v>7</v>
      </c>
      <c r="C29" s="244" t="s">
        <v>34</v>
      </c>
      <c r="D29" s="244" t="s">
        <v>378</v>
      </c>
      <c r="E29" s="242"/>
      <c r="F29" s="247">
        <v>0</v>
      </c>
      <c r="G29" s="247">
        <v>0</v>
      </c>
      <c r="H29" s="242"/>
      <c r="I29" s="241">
        <v>0</v>
      </c>
      <c r="J29" s="241">
        <v>0</v>
      </c>
      <c r="K29" s="241">
        <v>0</v>
      </c>
      <c r="L29" s="241">
        <v>0</v>
      </c>
      <c r="M29" s="241">
        <v>15000</v>
      </c>
      <c r="N29" s="391">
        <v>15000</v>
      </c>
      <c r="O29" s="391">
        <v>15000</v>
      </c>
      <c r="P29" s="391">
        <v>15000</v>
      </c>
      <c r="Q29" s="391">
        <v>15000</v>
      </c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</row>
    <row r="30" spans="1:53" ht="15" customHeight="1">
      <c r="A30" s="220" t="str">
        <f t="shared" si="1"/>
        <v>Senior Financial Analyst (KS)</v>
      </c>
      <c r="B30" s="244" t="s">
        <v>7</v>
      </c>
      <c r="C30" s="244" t="s">
        <v>34</v>
      </c>
      <c r="D30" s="244" t="s">
        <v>380</v>
      </c>
      <c r="E30" s="242"/>
      <c r="F30" s="247">
        <v>50000</v>
      </c>
      <c r="G30" s="237"/>
      <c r="H30" s="242"/>
      <c r="I30" s="241">
        <v>50000</v>
      </c>
      <c r="J30" s="241"/>
      <c r="K30" s="241"/>
      <c r="L30" s="241"/>
      <c r="M30" s="241">
        <v>50000</v>
      </c>
      <c r="N30" s="391">
        <v>50000</v>
      </c>
      <c r="O30" s="391">
        <v>50000</v>
      </c>
      <c r="P30" s="391">
        <v>50000</v>
      </c>
      <c r="Q30" s="391">
        <v>50000</v>
      </c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</row>
    <row r="31" spans="1:53" ht="14.65" customHeight="1">
      <c r="A31" s="264" t="s">
        <v>32</v>
      </c>
      <c r="B31" s="220"/>
      <c r="C31" s="220"/>
      <c r="D31" s="220"/>
      <c r="E31" s="242"/>
      <c r="F31" s="247">
        <v>1142500</v>
      </c>
      <c r="G31" s="247">
        <v>0</v>
      </c>
      <c r="H31" s="242"/>
      <c r="I31" s="237">
        <v>1142500</v>
      </c>
      <c r="J31" s="237">
        <v>0</v>
      </c>
      <c r="K31" s="237">
        <v>0</v>
      </c>
      <c r="L31" s="237">
        <v>0</v>
      </c>
      <c r="M31" s="237">
        <v>897500</v>
      </c>
      <c r="N31" s="254">
        <v>897500</v>
      </c>
      <c r="O31" s="254">
        <v>897500</v>
      </c>
      <c r="P31" s="254">
        <v>897500</v>
      </c>
      <c r="Q31" s="254">
        <v>897500</v>
      </c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</row>
    <row r="32" spans="1:53">
      <c r="A32" s="265"/>
      <c r="B32" s="220"/>
      <c r="C32" s="220"/>
      <c r="D32" s="220"/>
      <c r="E32" s="242"/>
      <c r="F32" s="242"/>
      <c r="G32" s="242"/>
      <c r="H32" s="242"/>
      <c r="I32" s="242"/>
      <c r="J32" s="242"/>
      <c r="K32" s="242"/>
      <c r="L32" s="242"/>
      <c r="M32" s="242"/>
      <c r="N32" s="393"/>
      <c r="O32" s="242"/>
      <c r="P32" s="242"/>
      <c r="Q32" s="242"/>
      <c r="R32" s="220"/>
      <c r="S32" s="220"/>
      <c r="T32" s="220"/>
      <c r="U32" s="220"/>
      <c r="V32" s="220"/>
      <c r="W32" s="220"/>
      <c r="X32" s="220"/>
      <c r="Y32" s="220"/>
      <c r="Z32" s="266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</row>
    <row r="33" spans="1:53" ht="14.65" customHeight="1">
      <c r="A33" s="263" t="s">
        <v>35</v>
      </c>
      <c r="B33" s="220"/>
      <c r="C33" s="220"/>
      <c r="D33" s="220"/>
      <c r="E33" s="220"/>
      <c r="F33" s="220"/>
      <c r="G33" s="220"/>
      <c r="H33" s="248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</row>
    <row r="34" spans="1:53">
      <c r="A34" s="220" t="str">
        <f t="shared" ref="A34:A44" si="2">+A6</f>
        <v>HODS  (RB)</v>
      </c>
      <c r="B34" s="244" t="s">
        <v>36</v>
      </c>
      <c r="C34" s="244" t="s">
        <v>37</v>
      </c>
      <c r="D34" s="244" t="s">
        <v>361</v>
      </c>
      <c r="E34" s="255"/>
      <c r="F34" s="267">
        <v>812515</v>
      </c>
      <c r="G34" s="267">
        <v>216000</v>
      </c>
      <c r="H34" s="242"/>
      <c r="I34" s="255">
        <v>812515</v>
      </c>
      <c r="J34" s="255">
        <f>+J6*(1+'.c12_inputs.hr'!$E$15)+(J20*(1+'.c12_inputs.hr'!$E$16))</f>
        <v>215999.99999999997</v>
      </c>
      <c r="K34" s="255">
        <f>+K6*(1+'.c12_inputs.hr'!$E$15)+(K20*(1+'.c12_inputs.hr'!$E$16))</f>
        <v>215999.99999999997</v>
      </c>
      <c r="L34" s="255">
        <f>+L6*(1+'.c12_inputs.hr'!$E$15)+(L20*(1+'.c12_inputs.hr'!$E$16))</f>
        <v>215999.99999999997</v>
      </c>
      <c r="M34" s="255">
        <f>+M6*(1+'.c12_inputs.hr'!$E$15)+(M20*(1+'.c12_inputs.hr'!$E$16))</f>
        <v>475749.99999999994</v>
      </c>
      <c r="N34" s="255">
        <f>+N6*(1+'.c12_inputs.hr'!$E$15)+(N20*(1+'.c12_inputs.hr'!$E$16))</f>
        <v>475749.99999999994</v>
      </c>
      <c r="O34" s="255">
        <f>+O6*(1+'.c12_inputs.hr'!$E$15)+(O20*(1+'.c12_inputs.hr'!$E$16))</f>
        <v>475749.99999999994</v>
      </c>
      <c r="P34" s="255">
        <f>+P6*(1+'.c12_inputs.hr'!$E$15)+(P20*(1+'.c12_inputs.hr'!$E$16))</f>
        <v>475749.99999999994</v>
      </c>
      <c r="Q34" s="255">
        <f>+Q6*(1+'.c12_inputs.hr'!$E$15)+(Q20*(1+'.c12_inputs.hr'!$E$16))</f>
        <v>475749.99999999994</v>
      </c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</row>
    <row r="35" spans="1:53">
      <c r="A35" s="220" t="str">
        <f t="shared" si="2"/>
        <v>Project Executive  (LS) (100%)</v>
      </c>
      <c r="B35" s="244" t="s">
        <v>36</v>
      </c>
      <c r="C35" s="244" t="s">
        <v>37</v>
      </c>
      <c r="D35" s="244" t="s">
        <v>363</v>
      </c>
      <c r="E35" s="255"/>
      <c r="F35" s="267">
        <v>74060</v>
      </c>
      <c r="G35" s="267">
        <v>53279.999999999993</v>
      </c>
      <c r="H35" s="220"/>
      <c r="I35" s="255">
        <v>74060</v>
      </c>
      <c r="J35" s="255">
        <f>+J7*(1+'.c12_inputs.hr'!$E$15)+(J21*(1+'.c12_inputs.hr'!$E$16))</f>
        <v>53279.999999999993</v>
      </c>
      <c r="K35" s="255">
        <f>+K7*(1+'.c12_inputs.hr'!$E$15)+(K21*(1+'.c12_inputs.hr'!$E$16))</f>
        <v>53279.999999999993</v>
      </c>
      <c r="L35" s="255">
        <f>+L7*(1+'.c12_inputs.hr'!$E$15)+(L21*(1+'.c12_inputs.hr'!$E$16))</f>
        <v>53279.999999999993</v>
      </c>
      <c r="M35" s="255">
        <f>+M7*(1+'.c12_inputs.hr'!$E$15)+(M21*(1+'.c12_inputs.hr'!$E$16))</f>
        <v>68864.999999999985</v>
      </c>
      <c r="N35" s="255">
        <f>+N7*(1+'.c12_inputs.hr'!$E$15)+(N21*(1+'.c12_inputs.hr'!$E$16))</f>
        <v>68864.999999999985</v>
      </c>
      <c r="O35" s="255">
        <f>+O7*(1+'.c12_inputs.hr'!$E$15)+(O21*(1+'.c12_inputs.hr'!$E$16))</f>
        <v>68864.999999999985</v>
      </c>
      <c r="P35" s="255">
        <f>+P7*(1+'.c12_inputs.hr'!$E$15)+(P21*(1+'.c12_inputs.hr'!$E$16))</f>
        <v>68864.999999999985</v>
      </c>
      <c r="Q35" s="255">
        <f>+Q7*(1+'.c12_inputs.hr'!$E$15)+(Q21*(1+'.c12_inputs.hr'!$E$16))</f>
        <v>68864.999999999985</v>
      </c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</row>
    <row r="36" spans="1:53">
      <c r="A36" s="220" t="str">
        <f t="shared" si="2"/>
        <v>Project Manager (BD) (100%)</v>
      </c>
      <c r="B36" s="244" t="s">
        <v>36</v>
      </c>
      <c r="C36" s="244" t="s">
        <v>37</v>
      </c>
      <c r="D36" s="244" t="s">
        <v>365</v>
      </c>
      <c r="E36" s="255"/>
      <c r="F36" s="267">
        <v>49862.5</v>
      </c>
      <c r="G36" s="267">
        <v>32400</v>
      </c>
      <c r="H36" s="255"/>
      <c r="I36" s="255">
        <v>49862.5</v>
      </c>
      <c r="J36" s="255">
        <f>+J8*(1+'.c12_inputs.hr'!$E$15)+(J22*(1+'.c12_inputs.hr'!$E$16))</f>
        <v>32399.999999999996</v>
      </c>
      <c r="K36" s="255">
        <f>+K8*(1+'.c12_inputs.hr'!$E$15)+(K22*(1+'.c12_inputs.hr'!$E$16))</f>
        <v>32399.999999999996</v>
      </c>
      <c r="L36" s="255">
        <f>+L8*(1+'.c12_inputs.hr'!$E$15)+(L22*(1+'.c12_inputs.hr'!$E$16))</f>
        <v>32399.999999999996</v>
      </c>
      <c r="M36" s="255">
        <f>+M8*(1+'.c12_inputs.hr'!$E$15)+(M22*(1+'.c12_inputs.hr'!$E$16))</f>
        <v>47984.999999999993</v>
      </c>
      <c r="N36" s="255">
        <f>+N8*(1+'.c12_inputs.hr'!$E$15)+(N22*(1+'.c12_inputs.hr'!$E$16))</f>
        <v>47984.999999999993</v>
      </c>
      <c r="O36" s="255">
        <f>+O8*(1+'.c12_inputs.hr'!$E$15)+(O22*(1+'.c12_inputs.hr'!$E$16))</f>
        <v>47984.999999999993</v>
      </c>
      <c r="P36" s="255">
        <f>+P8*(1+'.c12_inputs.hr'!$E$15)+(P22*(1+'.c12_inputs.hr'!$E$16))</f>
        <v>47984.999999999993</v>
      </c>
      <c r="Q36" s="255">
        <f>+Q8*(1+'.c12_inputs.hr'!$E$15)+(Q22*(1+'.c12_inputs.hr'!$E$16))</f>
        <v>47984.999999999993</v>
      </c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</row>
    <row r="37" spans="1:53">
      <c r="A37" s="220" t="str">
        <f t="shared" si="2"/>
        <v>Counsel (KT)</v>
      </c>
      <c r="B37" s="244" t="s">
        <v>36</v>
      </c>
      <c r="C37" s="244" t="s">
        <v>37</v>
      </c>
      <c r="D37" s="244" t="s">
        <v>367</v>
      </c>
      <c r="E37" s="255"/>
      <c r="F37" s="267">
        <v>310970</v>
      </c>
      <c r="G37" s="267">
        <v>74880</v>
      </c>
      <c r="H37" s="255"/>
      <c r="I37" s="255">
        <v>310970</v>
      </c>
      <c r="J37" s="255">
        <f>+J9*(1+'.c12_inputs.hr'!$E$15)+(J23*(1+'.c12_inputs.hr'!$E$16))</f>
        <v>74880</v>
      </c>
      <c r="K37" s="255">
        <f>+K9*(1+'.c12_inputs.hr'!$E$15)+(K23*(1+'.c12_inputs.hr'!$E$16))</f>
        <v>74880</v>
      </c>
      <c r="L37" s="255">
        <f>+L9*(1+'.c12_inputs.hr'!$E$15)+(L23*(1+'.c12_inputs.hr'!$E$16))</f>
        <v>74880</v>
      </c>
      <c r="M37" s="255">
        <f>+M9*(1+'.c12_inputs.hr'!$E$15)+(M23*(1+'.c12_inputs.hr'!$E$16))</f>
        <v>204755</v>
      </c>
      <c r="N37" s="255">
        <f>+N9*(1+'.c12_inputs.hr'!$E$15)+(N23*(1+'.c12_inputs.hr'!$E$16))</f>
        <v>204755</v>
      </c>
      <c r="O37" s="255">
        <f>+O9*(1+'.c12_inputs.hr'!$E$15)+(O23*(1+'.c12_inputs.hr'!$E$16))</f>
        <v>204755</v>
      </c>
      <c r="P37" s="255">
        <f>+P9*(1+'.c12_inputs.hr'!$E$15)+(P23*(1+'.c12_inputs.hr'!$E$16))</f>
        <v>204755</v>
      </c>
      <c r="Q37" s="255">
        <f>+Q9*(1+'.c12_inputs.hr'!$E$15)+(Q23*(1+'.c12_inputs.hr'!$E$16))</f>
        <v>204755</v>
      </c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</row>
    <row r="38" spans="1:53">
      <c r="A38" s="220" t="str">
        <f t="shared" si="2"/>
        <v>Development Manager??? (alexi?)</v>
      </c>
      <c r="B38" s="244" t="s">
        <v>36</v>
      </c>
      <c r="C38" s="244" t="s">
        <v>37</v>
      </c>
      <c r="D38" s="244" t="s">
        <v>369</v>
      </c>
      <c r="E38" s="255"/>
      <c r="F38" s="267">
        <v>0</v>
      </c>
      <c r="G38" s="267">
        <v>0</v>
      </c>
      <c r="H38" s="255"/>
      <c r="I38" s="255">
        <v>0</v>
      </c>
      <c r="J38" s="255">
        <f>+J10*(1+'.c12_inputs.hr'!$E$15)+(J24*(1+'.c12_inputs.hr'!$E$16))</f>
        <v>0</v>
      </c>
      <c r="K38" s="255">
        <f>+K10*(1+'.c12_inputs.hr'!$E$15)+(K24*(1+'.c12_inputs.hr'!$E$16))</f>
        <v>0</v>
      </c>
      <c r="L38" s="255">
        <f>+L10*(1+'.c12_inputs.hr'!$E$15)+(L24*(1+'.c12_inputs.hr'!$E$16))</f>
        <v>0</v>
      </c>
      <c r="M38" s="255">
        <f>+M10*(1+'.c12_inputs.hr'!$E$15)+(M24*(1+'.c12_inputs.hr'!$E$16))</f>
        <v>0</v>
      </c>
      <c r="N38" s="255">
        <f>+N10*(1+'.c12_inputs.hr'!$E$15)+(N24*(1+'.c12_inputs.hr'!$E$16))</f>
        <v>0</v>
      </c>
      <c r="O38" s="255">
        <f>+O10*(1+'.c12_inputs.hr'!$E$15)+(O24*(1+'.c12_inputs.hr'!$E$16))</f>
        <v>0</v>
      </c>
      <c r="P38" s="255">
        <f>+P10*(1+'.c12_inputs.hr'!$E$15)+(P24*(1+'.c12_inputs.hr'!$E$16))</f>
        <v>0</v>
      </c>
      <c r="Q38" s="255">
        <f>+Q10*(1+'.c12_inputs.hr'!$E$15)+(Q24*(1+'.c12_inputs.hr'!$E$16))</f>
        <v>0</v>
      </c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</row>
    <row r="39" spans="1:53">
      <c r="A39" s="220" t="str">
        <f t="shared" si="2"/>
        <v>Banker (tBD)</v>
      </c>
      <c r="B39" s="244" t="s">
        <v>36</v>
      </c>
      <c r="C39" s="244" t="s">
        <v>37</v>
      </c>
      <c r="D39" s="244" t="s">
        <v>371</v>
      </c>
      <c r="E39" s="255"/>
      <c r="F39" s="267">
        <v>138350</v>
      </c>
      <c r="G39" s="267">
        <v>0</v>
      </c>
      <c r="H39" s="255"/>
      <c r="I39" s="255">
        <v>138350</v>
      </c>
      <c r="J39" s="255">
        <f>+J11*(1+'.c12_inputs.hr'!$E$15)+(J25*(1+'.c12_inputs.hr'!$E$16))</f>
        <v>0</v>
      </c>
      <c r="K39" s="255">
        <f>+K11*(1+'.c12_inputs.hr'!$E$15)+(K25*(1+'.c12_inputs.hr'!$E$16))</f>
        <v>0</v>
      </c>
      <c r="L39" s="255">
        <f>+L11*(1+'.c12_inputs.hr'!$E$15)+(L25*(1+'.c12_inputs.hr'!$E$16))</f>
        <v>0</v>
      </c>
      <c r="M39" s="255">
        <f>+M11*(1+'.c12_inputs.hr'!$E$15)+(M25*(1+'.c12_inputs.hr'!$E$16))</f>
        <v>103899.99999999999</v>
      </c>
      <c r="N39" s="255">
        <f>+N11*(1+'.c12_inputs.hr'!$E$15)+(N25*(1+'.c12_inputs.hr'!$E$16))</f>
        <v>103899.99999999999</v>
      </c>
      <c r="O39" s="255">
        <f>+O11*(1+'.c12_inputs.hr'!$E$15)+(O25*(1+'.c12_inputs.hr'!$E$16))</f>
        <v>103899.99999999999</v>
      </c>
      <c r="P39" s="255">
        <f>+P11*(1+'.c12_inputs.hr'!$E$15)+(P25*(1+'.c12_inputs.hr'!$E$16))</f>
        <v>103899.99999999999</v>
      </c>
      <c r="Q39" s="255">
        <f>+Q11*(1+'.c12_inputs.hr'!$E$15)+(Q25*(1+'.c12_inputs.hr'!$E$16))</f>
        <v>103899.99999999999</v>
      </c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</row>
    <row r="40" spans="1:53">
      <c r="A40" s="220" t="str">
        <f t="shared" si="2"/>
        <v>Senior Design Manager (AM)</v>
      </c>
      <c r="B40" s="244" t="s">
        <v>36</v>
      </c>
      <c r="C40" s="244" t="s">
        <v>37</v>
      </c>
      <c r="D40" s="244" t="s">
        <v>17</v>
      </c>
      <c r="E40" s="255"/>
      <c r="F40" s="267">
        <v>119375</v>
      </c>
      <c r="G40" s="267">
        <v>54719.999999999993</v>
      </c>
      <c r="H40" s="242"/>
      <c r="I40" s="255">
        <v>119375</v>
      </c>
      <c r="J40" s="255">
        <f>+J12*(1+'.c12_inputs.hr'!$E$15)+(J26*(1+'.c12_inputs.hr'!$E$16))</f>
        <v>54719.999999999993</v>
      </c>
      <c r="K40" s="255">
        <f>+K12*(1+'.c12_inputs.hr'!$E$15)+(K26*(1+'.c12_inputs.hr'!$E$16))</f>
        <v>54719.999999999993</v>
      </c>
      <c r="L40" s="255">
        <f>+L12*(1+'.c12_inputs.hr'!$E$15)+(L26*(1+'.c12_inputs.hr'!$E$16))</f>
        <v>54719.999999999993</v>
      </c>
      <c r="M40" s="255">
        <f>+M12*(1+'.c12_inputs.hr'!$E$15)+(M26*(1+'.c12_inputs.hr'!$E$16))</f>
        <v>111864.99999999999</v>
      </c>
      <c r="N40" s="255">
        <f>+N12*(1+'.c12_inputs.hr'!$E$15)+(N26*(1+'.c12_inputs.hr'!$E$16))</f>
        <v>111864.99999999999</v>
      </c>
      <c r="O40" s="255">
        <f>+O12*(1+'.c12_inputs.hr'!$E$15)+(O26*(1+'.c12_inputs.hr'!$E$16))</f>
        <v>111864.99999999999</v>
      </c>
      <c r="P40" s="255">
        <f>+P12*(1+'.c12_inputs.hr'!$E$15)+(P26*(1+'.c12_inputs.hr'!$E$16))</f>
        <v>111864.99999999999</v>
      </c>
      <c r="Q40" s="255">
        <f>+Q12*(1+'.c12_inputs.hr'!$E$15)+(Q26*(1+'.c12_inputs.hr'!$E$16))</f>
        <v>111864.99999999999</v>
      </c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</row>
    <row r="41" spans="1:53">
      <c r="A41" s="220" t="str">
        <f t="shared" si="2"/>
        <v>Design Manager (AL) (gone)</v>
      </c>
      <c r="B41" s="244" t="s">
        <v>36</v>
      </c>
      <c r="C41" s="244" t="s">
        <v>37</v>
      </c>
      <c r="D41" s="244" t="s">
        <v>374</v>
      </c>
      <c r="E41" s="255"/>
      <c r="F41" s="267">
        <v>63415</v>
      </c>
      <c r="G41" s="267">
        <v>39600</v>
      </c>
      <c r="H41" s="255"/>
      <c r="I41" s="255">
        <v>63415</v>
      </c>
      <c r="J41" s="255">
        <f>+J13*(1+'.c12_inputs.hr'!$E$15)+(J27*(1+'.c12_inputs.hr'!$E$16))</f>
        <v>39600</v>
      </c>
      <c r="K41" s="255">
        <f>+K13*(1+'.c12_inputs.hr'!$E$15)+(K27*(1+'.c12_inputs.hr'!$E$16))</f>
        <v>0</v>
      </c>
      <c r="L41" s="255">
        <f>+L13*(1+'.c12_inputs.hr'!$E$15)+(L27*(1+'.c12_inputs.hr'!$E$16))</f>
        <v>0</v>
      </c>
      <c r="M41" s="255">
        <f>+M13*(1+'.c12_inputs.hr'!$E$15)+(M27*(1+'.c12_inputs.hr'!$E$16))</f>
        <v>0</v>
      </c>
      <c r="N41" s="255">
        <f>+N13*(1+'.c12_inputs.hr'!$E$15)+(N27*(1+'.c12_inputs.hr'!$E$16))</f>
        <v>0</v>
      </c>
      <c r="O41" s="255">
        <f>+O13*(1+'.c12_inputs.hr'!$E$15)+(O27*(1+'.c12_inputs.hr'!$E$16))</f>
        <v>0</v>
      </c>
      <c r="P41" s="255">
        <f>+P13*(1+'.c12_inputs.hr'!$E$15)+(P27*(1+'.c12_inputs.hr'!$E$16))</f>
        <v>0</v>
      </c>
      <c r="Q41" s="255">
        <f>+Q13*(1+'.c12_inputs.hr'!$E$15)+(Q27*(1+'.c12_inputs.hr'!$E$16))</f>
        <v>0</v>
      </c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</row>
    <row r="42" spans="1:53">
      <c r="A42" s="220" t="str">
        <f t="shared" si="2"/>
        <v>new design manager (TBD)</v>
      </c>
      <c r="B42" s="244" t="s">
        <v>36</v>
      </c>
      <c r="C42" s="244" t="s">
        <v>37</v>
      </c>
      <c r="D42" s="244" t="s">
        <v>376</v>
      </c>
      <c r="E42" s="255"/>
      <c r="F42" s="267">
        <v>0</v>
      </c>
      <c r="G42" s="267">
        <v>0</v>
      </c>
      <c r="H42" s="255"/>
      <c r="I42" s="255">
        <v>0</v>
      </c>
      <c r="J42" s="255">
        <f>+J14*(1+'.c12_inputs.hr'!$E$15)+(J28*(1+'.c12_inputs.hr'!$E$16))</f>
        <v>0</v>
      </c>
      <c r="K42" s="255">
        <f>+K14*(1+'.c12_inputs.hr'!$E$15)+(K28*(1+'.c12_inputs.hr'!$E$16))</f>
        <v>0</v>
      </c>
      <c r="L42" s="255">
        <f>+L14*(1+'.c12_inputs.hr'!$E$15)+(L28*(1+'.c12_inputs.hr'!$E$16))</f>
        <v>39600</v>
      </c>
      <c r="M42" s="255">
        <f>+M14*(1+'.c12_inputs.hr'!$E$15)+(M28*(1+'.c12_inputs.hr'!$E$16))</f>
        <v>51288.75</v>
      </c>
      <c r="N42" s="255">
        <f>+N14*(1+'.c12_inputs.hr'!$E$15)+(N28*(1+'.c12_inputs.hr'!$E$16))</f>
        <v>51288.75</v>
      </c>
      <c r="O42" s="255">
        <f>+O14*(1+'.c12_inputs.hr'!$E$15)+(O28*(1+'.c12_inputs.hr'!$E$16))</f>
        <v>51288.75</v>
      </c>
      <c r="P42" s="255">
        <f>+P14*(1+'.c12_inputs.hr'!$E$15)+(P28*(1+'.c12_inputs.hr'!$E$16))</f>
        <v>51288.75</v>
      </c>
      <c r="Q42" s="255">
        <f>+Q14*(1+'.c12_inputs.hr'!$E$15)+(Q28*(1+'.c12_inputs.hr'!$E$16))</f>
        <v>51288.75</v>
      </c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</row>
    <row r="43" spans="1:53">
      <c r="A43" s="220" t="str">
        <f t="shared" si="2"/>
        <v>FF&amp;E (SB)</v>
      </c>
      <c r="B43" s="244" t="s">
        <v>36</v>
      </c>
      <c r="C43" s="244" t="s">
        <v>37</v>
      </c>
      <c r="D43" s="244" t="s">
        <v>378</v>
      </c>
      <c r="E43" s="255"/>
      <c r="F43" s="267">
        <v>31680</v>
      </c>
      <c r="G43" s="267">
        <v>31680</v>
      </c>
      <c r="H43" s="255"/>
      <c r="I43" s="255">
        <v>31680</v>
      </c>
      <c r="J43" s="255">
        <f>+J15*(1+'.c12_inputs.hr'!$E$15)+(J29*(1+'.c12_inputs.hr'!$E$16))</f>
        <v>31679.999999999996</v>
      </c>
      <c r="K43" s="255">
        <f>+K15*(1+'.c12_inputs.hr'!$E$15)+(K29*(1+'.c12_inputs.hr'!$E$16))</f>
        <v>31679.999999999996</v>
      </c>
      <c r="L43" s="255">
        <f>+L15*(1+'.c12_inputs.hr'!$E$15)+(L29*(1+'.c12_inputs.hr'!$E$16))</f>
        <v>31679.999999999996</v>
      </c>
      <c r="M43" s="255">
        <f>+M15*(1+'.c12_inputs.hr'!$E$15)+(M29*(1+'.c12_inputs.hr'!$E$16))</f>
        <v>47264.999999999993</v>
      </c>
      <c r="N43" s="255">
        <f>+N15*(1+'.c12_inputs.hr'!$E$15)+(N29*(1+'.c12_inputs.hr'!$E$16))</f>
        <v>47264.999999999993</v>
      </c>
      <c r="O43" s="255">
        <f>+O15*(1+'.c12_inputs.hr'!$E$15)+(O29*(1+'.c12_inputs.hr'!$E$16))</f>
        <v>47264.999999999993</v>
      </c>
      <c r="P43" s="255">
        <f>+P15*(1+'.c12_inputs.hr'!$E$15)+(P29*(1+'.c12_inputs.hr'!$E$16))</f>
        <v>47264.999999999993</v>
      </c>
      <c r="Q43" s="255">
        <f>+Q15*(1+'.c12_inputs.hr'!$E$15)+(Q29*(1+'.c12_inputs.hr'!$E$16))</f>
        <v>47264.999999999993</v>
      </c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</row>
    <row r="44" spans="1:53" ht="14.65" customHeight="1">
      <c r="A44" s="220" t="str">
        <f t="shared" si="2"/>
        <v>Senior Financial Analyst (KS)</v>
      </c>
      <c r="B44" s="244" t="s">
        <v>36</v>
      </c>
      <c r="C44" s="244" t="s">
        <v>37</v>
      </c>
      <c r="D44" s="244" t="s">
        <v>380</v>
      </c>
      <c r="E44" s="255"/>
      <c r="F44" s="267">
        <v>51949.999999999993</v>
      </c>
      <c r="G44" s="267">
        <v>57599.999999999993</v>
      </c>
      <c r="H44" s="255"/>
      <c r="I44" s="255">
        <v>51949.999999999993</v>
      </c>
      <c r="J44" s="255">
        <f>+J16*(1+'.c12_inputs.hr'!$E$15)+(J30*(1+'.c12_inputs.hr'!$E$16))</f>
        <v>57599.999999999993</v>
      </c>
      <c r="K44" s="255">
        <f>+K16*(1+'.c12_inputs.hr'!$E$15)+(K30*(1+'.c12_inputs.hr'!$E$16))</f>
        <v>57599.999999999993</v>
      </c>
      <c r="L44" s="255">
        <f>+L16*(1+'.c12_inputs.hr'!$E$15)+(L30*(1+'.c12_inputs.hr'!$E$16))</f>
        <v>57599.999999999993</v>
      </c>
      <c r="M44" s="255">
        <f>+M16*(1+'.c12_inputs.hr'!$E$15)+(M30*(1+'.c12_inputs.hr'!$E$16))</f>
        <v>109549.99999999999</v>
      </c>
      <c r="N44" s="255">
        <f>+N16*(1+'.c12_inputs.hr'!$E$15)+(N30*(1+'.c12_inputs.hr'!$E$16))</f>
        <v>109549.99999999999</v>
      </c>
      <c r="O44" s="255">
        <f>+O16*(1+'.c12_inputs.hr'!$E$15)+(O30*(1+'.c12_inputs.hr'!$E$16))</f>
        <v>109549.99999999999</v>
      </c>
      <c r="P44" s="255">
        <f>+P16*(1+'.c12_inputs.hr'!$E$15)+(P30*(1+'.c12_inputs.hr'!$E$16))</f>
        <v>109549.99999999999</v>
      </c>
      <c r="Q44" s="255">
        <f>+Q16*(1+'.c12_inputs.hr'!$E$15)+(Q30*(1+'.c12_inputs.hr'!$E$16))</f>
        <v>109549.99999999999</v>
      </c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</row>
    <row r="45" spans="1:53" ht="14.65" customHeight="1">
      <c r="A45" s="264" t="s">
        <v>38</v>
      </c>
      <c r="B45" s="244" t="s">
        <v>39</v>
      </c>
      <c r="C45" s="244" t="s">
        <v>40</v>
      </c>
      <c r="D45" s="220"/>
      <c r="E45" s="255"/>
      <c r="F45" s="267">
        <v>1652177.5</v>
      </c>
      <c r="G45" s="267">
        <v>560159.99999999988</v>
      </c>
      <c r="H45" s="255"/>
      <c r="I45" s="268">
        <v>1652177.5</v>
      </c>
      <c r="J45" s="268">
        <f t="shared" ref="J45:Q45" si="3">SUM(J34:J44)</f>
        <v>560159.99999999988</v>
      </c>
      <c r="K45" s="268">
        <f t="shared" si="3"/>
        <v>520559.99999999994</v>
      </c>
      <c r="L45" s="268">
        <f t="shared" si="3"/>
        <v>560159.99999999988</v>
      </c>
      <c r="M45" s="268">
        <f t="shared" si="3"/>
        <v>1221223.75</v>
      </c>
      <c r="N45" s="268">
        <f t="shared" si="3"/>
        <v>1221223.75</v>
      </c>
      <c r="O45" s="268">
        <f t="shared" si="3"/>
        <v>1221223.75</v>
      </c>
      <c r="P45" s="268">
        <f t="shared" si="3"/>
        <v>1221223.75</v>
      </c>
      <c r="Q45" s="268">
        <f t="shared" si="3"/>
        <v>1221223.75</v>
      </c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</row>
    <row r="46" spans="1:53">
      <c r="A46" s="245" t="s">
        <v>41</v>
      </c>
      <c r="B46" s="244" t="s">
        <v>39</v>
      </c>
      <c r="C46" s="244" t="s">
        <v>42</v>
      </c>
      <c r="D46" s="220"/>
      <c r="E46" s="250"/>
      <c r="F46" s="252">
        <v>123922.5</v>
      </c>
      <c r="G46" s="252">
        <v>85679.999999999985</v>
      </c>
      <c r="H46" s="255"/>
      <c r="I46" s="253">
        <v>123922.5</v>
      </c>
      <c r="J46" s="253">
        <f>SUMPRODUCT('.c12_alloc'!$H$24:$H$34,'.c12_d&amp;s_hr'!J$34:J$44)</f>
        <v>85679.999999999985</v>
      </c>
      <c r="K46" s="253">
        <f>SUMPRODUCT('.c12_alloc'!$H$24:$H$34,'.c12_d&amp;s_hr'!K$34:K$44)</f>
        <v>85679.999999999985</v>
      </c>
      <c r="L46" s="253">
        <f>SUMPRODUCT('.c12_alloc'!$H$24:$H$34,'.c12_d&amp;s_hr'!L$34:L$44)</f>
        <v>85679.999999999985</v>
      </c>
      <c r="M46" s="253">
        <f>SUMPRODUCT('.c12_alloc'!$H$24:$H$34,'.c12_d&amp;s_hr'!M$34:M$44)</f>
        <v>116849.99999999997</v>
      </c>
      <c r="N46" s="392">
        <f>SUMPRODUCT('.c12_alloc'!$H$24:$H$34,'.c12_d&amp;s_hr'!N$34:N$44)</f>
        <v>116849.99999999997</v>
      </c>
      <c r="O46" s="392">
        <f>SUMPRODUCT('.c12_alloc'!$H$24:$H$34,'.c12_d&amp;s_hr'!O$34:O$44)</f>
        <v>116849.99999999997</v>
      </c>
      <c r="P46" s="392">
        <f>SUMPRODUCT('.c12_alloc'!$H$24:$H$34,'.c12_d&amp;s_hr'!P$34:P$44)</f>
        <v>116849.99999999997</v>
      </c>
      <c r="Q46" s="392">
        <f>SUMPRODUCT('.c12_alloc'!$H$24:$H$34,'.c12_d&amp;s_hr'!Q$34:Q$44)</f>
        <v>116849.99999999997</v>
      </c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</row>
    <row r="47" spans="1:53">
      <c r="A47" s="245" t="s">
        <v>43</v>
      </c>
      <c r="B47" s="244" t="s">
        <v>39</v>
      </c>
      <c r="C47" s="244" t="s">
        <v>44</v>
      </c>
      <c r="D47" s="220"/>
      <c r="E47" s="250"/>
      <c r="F47" s="252">
        <v>1528255</v>
      </c>
      <c r="G47" s="252">
        <v>474480</v>
      </c>
      <c r="H47" s="255"/>
      <c r="I47" s="253">
        <v>1528255</v>
      </c>
      <c r="J47" s="253">
        <f>SUMPRODUCT('.c12_alloc'!$G$24:$G$34,'.c12_d&amp;s_hr'!J$34:J$44)</f>
        <v>474480</v>
      </c>
      <c r="K47" s="253">
        <f>SUMPRODUCT('.c12_alloc'!$G$24:$G$34,'.c12_d&amp;s_hr'!K$34:K$44)</f>
        <v>434880</v>
      </c>
      <c r="L47" s="253">
        <f>SUMPRODUCT('.c12_alloc'!$G$24:$G$34,'.c12_d&amp;s_hr'!L$34:L$44)</f>
        <v>474480</v>
      </c>
      <c r="M47" s="253">
        <f>SUMPRODUCT('.c12_alloc'!$G$24:$G$34,'.c12_d&amp;s_hr'!M$34:M$44)</f>
        <v>1104373.75</v>
      </c>
      <c r="N47" s="392">
        <f>SUMPRODUCT('.c12_alloc'!$G$24:$G$34,'.c12_d&amp;s_hr'!N$34:N$44)</f>
        <v>1104373.75</v>
      </c>
      <c r="O47" s="392">
        <f>SUMPRODUCT('.c12_alloc'!$G$24:$G$34,'.c12_d&amp;s_hr'!O$34:O$44)</f>
        <v>1104373.75</v>
      </c>
      <c r="P47" s="392">
        <f>SUMPRODUCT('.c12_alloc'!$G$24:$G$34,'.c12_d&amp;s_hr'!P$34:P$44)</f>
        <v>1104373.75</v>
      </c>
      <c r="Q47" s="392">
        <f>SUMPRODUCT('.c12_alloc'!$G$24:$G$34,'.c12_d&amp;s_hr'!Q$34:Q$44)</f>
        <v>1104373.75</v>
      </c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</row>
    <row r="48" spans="1:53">
      <c r="A48" s="245" t="s">
        <v>45</v>
      </c>
      <c r="B48" s="244" t="s">
        <v>39</v>
      </c>
      <c r="C48" s="244" t="s">
        <v>46</v>
      </c>
      <c r="D48" s="220"/>
      <c r="E48" s="250"/>
      <c r="F48" s="252">
        <v>0</v>
      </c>
      <c r="G48" s="252">
        <v>0</v>
      </c>
      <c r="H48" s="250"/>
      <c r="I48" s="253">
        <v>0</v>
      </c>
      <c r="J48" s="253">
        <f>SUMPRODUCT('.c12_alloc'!$E$24:$E$34,'.c12_d&amp;s_hr'!J$34:J$44)</f>
        <v>0</v>
      </c>
      <c r="K48" s="253">
        <f>SUMPRODUCT('.c12_alloc'!$E$24:$E$34,'.c12_d&amp;s_hr'!K$34:K$44)</f>
        <v>0</v>
      </c>
      <c r="L48" s="253">
        <f>SUMPRODUCT('.c12_alloc'!$E$24:$E$34,'.c12_d&amp;s_hr'!L$34:L$44)</f>
        <v>0</v>
      </c>
      <c r="M48" s="253">
        <f>SUMPRODUCT('.c12_alloc'!$E$24:$E$34,'.c12_d&amp;s_hr'!M$34:M$44)</f>
        <v>0</v>
      </c>
      <c r="N48" s="392">
        <f>SUMPRODUCT('.c12_alloc'!$E$24:$E$34,'.c12_d&amp;s_hr'!N$34:N$44)</f>
        <v>0</v>
      </c>
      <c r="O48" s="392">
        <f>SUMPRODUCT('.c12_alloc'!$E$24:$E$34,'.c12_d&amp;s_hr'!O$34:O$44)</f>
        <v>0</v>
      </c>
      <c r="P48" s="392">
        <f>SUMPRODUCT('.c12_alloc'!$E$24:$E$34,'.c12_d&amp;s_hr'!P$34:P$44)</f>
        <v>0</v>
      </c>
      <c r="Q48" s="392">
        <f>SUMPRODUCT('.c12_alloc'!$E$24:$E$34,'.c12_d&amp;s_hr'!Q$34:Q$44)</f>
        <v>0</v>
      </c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20"/>
      <c r="AY48" s="220"/>
      <c r="AZ48" s="220"/>
      <c r="BA48" s="220"/>
    </row>
    <row r="49" spans="1:53">
      <c r="A49" s="220"/>
      <c r="B49" s="220"/>
      <c r="C49" s="220"/>
      <c r="D49" s="220"/>
      <c r="E49" s="250"/>
      <c r="F49" s="250"/>
      <c r="G49" s="250"/>
      <c r="H49" s="250"/>
      <c r="I49" s="250"/>
      <c r="J49" s="250"/>
      <c r="K49" s="250"/>
      <c r="L49" s="250"/>
      <c r="M49" s="250"/>
      <c r="N49" s="394"/>
      <c r="O49" s="394"/>
      <c r="P49" s="394"/>
      <c r="Q49" s="394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220"/>
      <c r="AW49" s="220"/>
      <c r="AX49" s="220"/>
      <c r="AY49" s="220"/>
      <c r="AZ49" s="220"/>
      <c r="BA49" s="220"/>
    </row>
    <row r="50" spans="1:53">
      <c r="A50" s="220"/>
      <c r="B50" s="220"/>
      <c r="C50" s="220"/>
      <c r="D50" s="220"/>
      <c r="E50" s="250"/>
      <c r="F50" s="250"/>
      <c r="G50" s="250"/>
      <c r="H50" s="250"/>
      <c r="I50" s="250"/>
      <c r="J50" s="250"/>
      <c r="K50" s="250"/>
      <c r="L50" s="250"/>
      <c r="M50" s="250"/>
      <c r="N50" s="394"/>
      <c r="O50" s="394"/>
      <c r="P50" s="394"/>
      <c r="Q50" s="394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0"/>
      <c r="AX50" s="220"/>
      <c r="AY50" s="220"/>
      <c r="AZ50" s="220"/>
      <c r="BA50" s="220"/>
    </row>
    <row r="51" spans="1:53">
      <c r="A51" s="220"/>
      <c r="B51" s="220"/>
      <c r="C51" s="220"/>
      <c r="D51" s="220"/>
      <c r="E51" s="220"/>
      <c r="F51" s="220"/>
      <c r="G51" s="220"/>
      <c r="H51" s="25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  <c r="AV51" s="220"/>
      <c r="AW51" s="220"/>
      <c r="AX51" s="220"/>
      <c r="AY51" s="220"/>
      <c r="AZ51" s="220"/>
      <c r="BA51" s="220"/>
    </row>
    <row r="52" spans="1:53">
      <c r="A52" s="220"/>
      <c r="B52" s="220"/>
      <c r="C52" s="220"/>
      <c r="D52" s="220"/>
      <c r="E52" s="220"/>
      <c r="F52" s="220"/>
      <c r="G52" s="220"/>
      <c r="H52" s="25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0"/>
      <c r="AX52" s="220"/>
      <c r="AY52" s="220"/>
      <c r="AZ52" s="220"/>
      <c r="BA52" s="220"/>
    </row>
    <row r="53" spans="1:53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  <c r="AV53" s="220"/>
      <c r="AW53" s="220"/>
      <c r="AX53" s="220"/>
      <c r="AY53" s="220"/>
      <c r="AZ53" s="220"/>
      <c r="BA53" s="220"/>
    </row>
    <row r="54" spans="1:53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0"/>
      <c r="AX54" s="220"/>
      <c r="AY54" s="220"/>
      <c r="AZ54" s="220"/>
      <c r="BA54" s="220"/>
    </row>
    <row r="55" spans="1:53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  <c r="BA55" s="220"/>
    </row>
    <row r="56" spans="1:53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0"/>
      <c r="AT56" s="220"/>
      <c r="AU56" s="220"/>
      <c r="AV56" s="220"/>
      <c r="AW56" s="220"/>
      <c r="AX56" s="220"/>
      <c r="AY56" s="220"/>
      <c r="AZ56" s="220"/>
      <c r="BA56" s="220"/>
    </row>
    <row r="57" spans="1:53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0"/>
      <c r="AR57" s="220"/>
      <c r="AS57" s="220"/>
      <c r="AT57" s="220"/>
      <c r="AU57" s="220"/>
      <c r="AV57" s="220"/>
      <c r="AW57" s="220"/>
      <c r="AX57" s="220"/>
      <c r="AY57" s="220"/>
      <c r="AZ57" s="220"/>
      <c r="BA57" s="220"/>
    </row>
    <row r="58" spans="1:53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  <c r="AV58" s="220"/>
      <c r="AW58" s="220"/>
      <c r="AX58" s="220"/>
      <c r="AY58" s="220"/>
      <c r="AZ58" s="220"/>
      <c r="BA58" s="220"/>
    </row>
    <row r="59" spans="1:53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</row>
    <row r="60" spans="1:53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0"/>
      <c r="AZ60" s="220"/>
      <c r="BA60" s="220"/>
    </row>
    <row r="61" spans="1:53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0"/>
      <c r="AZ61" s="220"/>
      <c r="BA61" s="220"/>
    </row>
    <row r="62" spans="1:53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0"/>
      <c r="AZ62" s="220"/>
      <c r="BA62" s="220"/>
    </row>
    <row r="63" spans="1:53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  <c r="AV63" s="220"/>
      <c r="AW63" s="220"/>
      <c r="AX63" s="220"/>
      <c r="AY63" s="220"/>
      <c r="AZ63" s="220"/>
      <c r="BA63" s="220"/>
    </row>
    <row r="64" spans="1:53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0"/>
      <c r="AZ64" s="220"/>
      <c r="BA64" s="220"/>
    </row>
    <row r="65" spans="1:53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  <c r="AV65" s="220"/>
      <c r="AW65" s="220"/>
      <c r="AX65" s="220"/>
      <c r="AY65" s="220"/>
      <c r="AZ65" s="220"/>
      <c r="BA65" s="220"/>
    </row>
    <row r="66" spans="1:53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0"/>
    </row>
    <row r="67" spans="1:53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  <c r="AV67" s="220"/>
      <c r="AW67" s="220"/>
      <c r="AX67" s="220"/>
      <c r="AY67" s="220"/>
      <c r="AZ67" s="220"/>
      <c r="BA67" s="220"/>
    </row>
    <row r="68" spans="1:53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0"/>
      <c r="AZ68" s="220"/>
      <c r="BA68" s="220"/>
    </row>
    <row r="69" spans="1:53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0"/>
      <c r="AZ69" s="220"/>
      <c r="BA69" s="220"/>
    </row>
    <row r="70" spans="1:53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  <c r="AV70" s="220"/>
      <c r="AW70" s="220"/>
      <c r="AX70" s="220"/>
      <c r="AY70" s="220"/>
      <c r="AZ70" s="220"/>
      <c r="BA70" s="220"/>
    </row>
    <row r="71" spans="1:53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0"/>
      <c r="AZ71" s="220"/>
      <c r="BA71" s="220"/>
    </row>
    <row r="72" spans="1:53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  <c r="AV72" s="220"/>
      <c r="AW72" s="220"/>
      <c r="AX72" s="220"/>
      <c r="AY72" s="220"/>
      <c r="AZ72" s="220"/>
      <c r="BA72" s="220"/>
    </row>
    <row r="73" spans="1:53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  <c r="AV73" s="220"/>
      <c r="AW73" s="220"/>
      <c r="AX73" s="220"/>
      <c r="AY73" s="220"/>
      <c r="AZ73" s="220"/>
      <c r="BA73" s="220"/>
    </row>
    <row r="74" spans="1:53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0"/>
      <c r="AZ74" s="220"/>
      <c r="BA74" s="220"/>
    </row>
    <row r="75" spans="1:53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0"/>
      <c r="AX75" s="220"/>
      <c r="AY75" s="220"/>
      <c r="AZ75" s="220"/>
      <c r="BA75" s="220"/>
    </row>
    <row r="76" spans="1:53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  <c r="AV76" s="220"/>
      <c r="AW76" s="220"/>
      <c r="AX76" s="220"/>
      <c r="AY76" s="220"/>
      <c r="AZ76" s="220"/>
      <c r="BA76" s="220"/>
    </row>
    <row r="77" spans="1:53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0"/>
      <c r="AZ77" s="220"/>
      <c r="BA77" s="220"/>
    </row>
    <row r="78" spans="1:53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  <c r="AV78" s="220"/>
      <c r="AW78" s="220"/>
      <c r="AX78" s="220"/>
      <c r="AY78" s="220"/>
      <c r="AZ78" s="220"/>
      <c r="BA78" s="220"/>
    </row>
    <row r="79" spans="1:53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  <c r="AV79" s="220"/>
      <c r="AW79" s="220"/>
      <c r="AX79" s="220"/>
      <c r="AY79" s="220"/>
      <c r="AZ79" s="220"/>
      <c r="BA79" s="220"/>
    </row>
    <row r="80" spans="1:53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  <c r="AV80" s="220"/>
      <c r="AW80" s="220"/>
      <c r="AX80" s="220"/>
      <c r="AY80" s="220"/>
      <c r="AZ80" s="220"/>
      <c r="BA80" s="220"/>
    </row>
    <row r="81" spans="1:53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  <c r="AV81" s="220"/>
      <c r="AW81" s="220"/>
      <c r="AX81" s="220"/>
      <c r="AY81" s="220"/>
      <c r="AZ81" s="220"/>
      <c r="BA81" s="220"/>
    </row>
    <row r="82" spans="1:53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0"/>
      <c r="AZ82" s="220"/>
      <c r="BA82" s="220"/>
    </row>
    <row r="83" spans="1:53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0"/>
      <c r="AZ83" s="220"/>
      <c r="BA83" s="220"/>
    </row>
    <row r="84" spans="1:53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</row>
    <row r="85" spans="1:53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0"/>
      <c r="AZ85" s="220"/>
      <c r="BA85" s="220"/>
    </row>
    <row r="86" spans="1:53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0"/>
      <c r="AX86" s="220"/>
      <c r="AY86" s="220"/>
      <c r="AZ86" s="220"/>
      <c r="BA86" s="220"/>
    </row>
    <row r="87" spans="1:53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0"/>
      <c r="AZ87" s="220"/>
      <c r="BA87" s="220"/>
    </row>
    <row r="88" spans="1:53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</row>
    <row r="89" spans="1:53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0"/>
      <c r="AZ89" s="220"/>
      <c r="BA89" s="220"/>
    </row>
    <row r="90" spans="1:53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0"/>
      <c r="AU90" s="220"/>
      <c r="AV90" s="220"/>
      <c r="AW90" s="220"/>
      <c r="AX90" s="220"/>
      <c r="AY90" s="220"/>
      <c r="AZ90" s="220"/>
      <c r="BA90" s="220"/>
    </row>
    <row r="91" spans="1:53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0"/>
      <c r="AS91" s="220"/>
      <c r="AT91" s="220"/>
      <c r="AU91" s="220"/>
      <c r="AV91" s="220"/>
      <c r="AW91" s="220"/>
      <c r="AX91" s="220"/>
      <c r="AY91" s="220"/>
      <c r="AZ91" s="220"/>
      <c r="BA91" s="220"/>
    </row>
    <row r="92" spans="1:53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0"/>
      <c r="AU92" s="220"/>
      <c r="AV92" s="220"/>
      <c r="AW92" s="220"/>
      <c r="AX92" s="220"/>
      <c r="AY92" s="220"/>
      <c r="AZ92" s="220"/>
      <c r="BA92" s="220"/>
    </row>
    <row r="93" spans="1:53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  <c r="AV93" s="220"/>
      <c r="AW93" s="220"/>
      <c r="AX93" s="220"/>
      <c r="AY93" s="220"/>
      <c r="AZ93" s="220"/>
      <c r="BA93" s="220"/>
    </row>
    <row r="94" spans="1:53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0"/>
      <c r="AU94" s="220"/>
      <c r="AV94" s="220"/>
      <c r="AW94" s="220"/>
      <c r="AX94" s="220"/>
      <c r="AY94" s="220"/>
      <c r="AZ94" s="220"/>
      <c r="BA94" s="220"/>
    </row>
    <row r="95" spans="1:53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0"/>
      <c r="AR95" s="220"/>
      <c r="AS95" s="220"/>
      <c r="AT95" s="220"/>
      <c r="AU95" s="220"/>
      <c r="AV95" s="220"/>
      <c r="AW95" s="220"/>
      <c r="AX95" s="220"/>
      <c r="AY95" s="220"/>
      <c r="AZ95" s="220"/>
      <c r="BA95" s="220"/>
    </row>
    <row r="96" spans="1:53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0"/>
      <c r="AU96" s="220"/>
      <c r="AV96" s="220"/>
      <c r="AW96" s="220"/>
      <c r="AX96" s="220"/>
      <c r="AY96" s="220"/>
      <c r="AZ96" s="220"/>
      <c r="BA96" s="220"/>
    </row>
    <row r="97" spans="1:53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  <c r="AV97" s="220"/>
      <c r="AW97" s="220"/>
      <c r="AX97" s="220"/>
      <c r="AY97" s="220"/>
      <c r="AZ97" s="220"/>
      <c r="BA97" s="220"/>
    </row>
    <row r="98" spans="1:53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0"/>
      <c r="AR98" s="220"/>
      <c r="AS98" s="220"/>
      <c r="AT98" s="220"/>
      <c r="AU98" s="220"/>
      <c r="AV98" s="220"/>
      <c r="AW98" s="220"/>
      <c r="AX98" s="220"/>
      <c r="AY98" s="220"/>
      <c r="AZ98" s="220"/>
      <c r="BA98" s="220"/>
    </row>
    <row r="99" spans="1:53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220"/>
      <c r="AI99" s="220"/>
      <c r="AJ99" s="220"/>
      <c r="AK99" s="220"/>
      <c r="AL99" s="220"/>
      <c r="AM99" s="220"/>
      <c r="AN99" s="220"/>
      <c r="AO99" s="220"/>
      <c r="AP99" s="220"/>
      <c r="AQ99" s="220"/>
      <c r="AR99" s="220"/>
      <c r="AS99" s="220"/>
      <c r="AT99" s="220"/>
      <c r="AU99" s="220"/>
      <c r="AV99" s="220"/>
      <c r="AW99" s="220"/>
      <c r="AX99" s="220"/>
      <c r="AY99" s="220"/>
      <c r="AZ99" s="220"/>
      <c r="BA99" s="220"/>
    </row>
    <row r="100" spans="1:53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0"/>
      <c r="AR100" s="220"/>
      <c r="AS100" s="220"/>
      <c r="AT100" s="220"/>
      <c r="AU100" s="220"/>
      <c r="AV100" s="220"/>
      <c r="AW100" s="220"/>
      <c r="AX100" s="220"/>
      <c r="AY100" s="220"/>
      <c r="AZ100" s="220"/>
      <c r="BA100" s="220"/>
    </row>
    <row r="101" spans="1:53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220"/>
      <c r="AQ101" s="220"/>
      <c r="AR101" s="220"/>
      <c r="AS101" s="220"/>
      <c r="AT101" s="220"/>
      <c r="AU101" s="220"/>
      <c r="AV101" s="220"/>
      <c r="AW101" s="220"/>
      <c r="AX101" s="220"/>
      <c r="AY101" s="220"/>
      <c r="AZ101" s="220"/>
      <c r="BA101" s="220"/>
    </row>
    <row r="102" spans="1:53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  <c r="AM102" s="220"/>
      <c r="AN102" s="220"/>
      <c r="AO102" s="220"/>
      <c r="AP102" s="220"/>
      <c r="AQ102" s="220"/>
      <c r="AR102" s="220"/>
      <c r="AS102" s="220"/>
      <c r="AT102" s="220"/>
      <c r="AU102" s="220"/>
      <c r="AV102" s="220"/>
      <c r="AW102" s="220"/>
      <c r="AX102" s="220"/>
      <c r="AY102" s="220"/>
      <c r="AZ102" s="220"/>
      <c r="BA102" s="220"/>
    </row>
    <row r="103" spans="1:53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0"/>
      <c r="AR103" s="220"/>
      <c r="AS103" s="220"/>
      <c r="AT103" s="220"/>
      <c r="AU103" s="220"/>
      <c r="AV103" s="220"/>
      <c r="AW103" s="220"/>
      <c r="AX103" s="220"/>
      <c r="AY103" s="220"/>
      <c r="AZ103" s="220"/>
      <c r="BA103" s="220"/>
    </row>
    <row r="104" spans="1:53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  <c r="AM104" s="220"/>
      <c r="AN104" s="220"/>
      <c r="AO104" s="220"/>
      <c r="AP104" s="220"/>
      <c r="AQ104" s="220"/>
      <c r="AR104" s="220"/>
      <c r="AS104" s="220"/>
      <c r="AT104" s="220"/>
      <c r="AU104" s="220"/>
      <c r="AV104" s="220"/>
      <c r="AW104" s="220"/>
      <c r="AX104" s="220"/>
      <c r="AY104" s="220"/>
      <c r="AZ104" s="220"/>
      <c r="BA104" s="220"/>
    </row>
    <row r="105" spans="1:53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  <c r="AH105" s="220"/>
      <c r="AI105" s="220"/>
      <c r="AJ105" s="220"/>
      <c r="AK105" s="220"/>
      <c r="AL105" s="220"/>
      <c r="AM105" s="220"/>
      <c r="AN105" s="220"/>
      <c r="AO105" s="220"/>
      <c r="AP105" s="220"/>
      <c r="AQ105" s="220"/>
      <c r="AR105" s="220"/>
      <c r="AS105" s="220"/>
      <c r="AT105" s="220"/>
      <c r="AU105" s="220"/>
      <c r="AV105" s="220"/>
      <c r="AW105" s="220"/>
      <c r="AX105" s="220"/>
      <c r="AY105" s="220"/>
      <c r="AZ105" s="220"/>
      <c r="BA105" s="220"/>
    </row>
    <row r="106" spans="1:53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0"/>
      <c r="AR106" s="220"/>
      <c r="AS106" s="220"/>
      <c r="AT106" s="220"/>
      <c r="AU106" s="220"/>
      <c r="AV106" s="220"/>
      <c r="AW106" s="220"/>
      <c r="AX106" s="220"/>
      <c r="AY106" s="220"/>
      <c r="AZ106" s="220"/>
      <c r="BA106" s="220"/>
    </row>
    <row r="107" spans="1:53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</row>
    <row r="108" spans="1:53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</row>
    <row r="109" spans="1:53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</row>
    <row r="110" spans="1:53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20"/>
      <c r="AI110" s="220"/>
      <c r="AJ110" s="220"/>
      <c r="AK110" s="220"/>
      <c r="AL110" s="220"/>
      <c r="AM110" s="220"/>
      <c r="AN110" s="220"/>
      <c r="AO110" s="220"/>
      <c r="AP110" s="220"/>
      <c r="AQ110" s="220"/>
      <c r="AR110" s="220"/>
      <c r="AS110" s="220"/>
      <c r="AT110" s="220"/>
      <c r="AU110" s="220"/>
      <c r="AV110" s="220"/>
      <c r="AW110" s="220"/>
      <c r="AX110" s="220"/>
      <c r="AY110" s="220"/>
      <c r="AZ110" s="220"/>
      <c r="BA110" s="220"/>
    </row>
    <row r="111" spans="1:53">
      <c r="A111" s="220"/>
      <c r="B111" s="257"/>
      <c r="C111" s="220"/>
      <c r="D111" s="257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0"/>
      <c r="AR111" s="220"/>
      <c r="AS111" s="220"/>
      <c r="AT111" s="220"/>
      <c r="AU111" s="220"/>
      <c r="AV111" s="220"/>
      <c r="AW111" s="220"/>
      <c r="AX111" s="220"/>
      <c r="AY111" s="220"/>
      <c r="AZ111" s="220"/>
      <c r="BA111" s="220"/>
    </row>
    <row r="112" spans="1:53">
      <c r="A112" s="220"/>
      <c r="B112" s="257"/>
      <c r="C112" s="220"/>
      <c r="D112" s="257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  <c r="AM112" s="220"/>
      <c r="AN112" s="220"/>
      <c r="AO112" s="220"/>
      <c r="AP112" s="220"/>
      <c r="AQ112" s="220"/>
      <c r="AR112" s="220"/>
      <c r="AS112" s="220"/>
      <c r="AT112" s="220"/>
      <c r="AU112" s="220"/>
      <c r="AV112" s="220"/>
      <c r="AW112" s="220"/>
      <c r="AX112" s="220"/>
      <c r="AY112" s="220"/>
      <c r="AZ112" s="220"/>
      <c r="BA112" s="220"/>
    </row>
    <row r="113" spans="1:53">
      <c r="A113" s="220"/>
      <c r="B113" s="257"/>
      <c r="C113" s="220"/>
      <c r="D113" s="257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0"/>
      <c r="AI113" s="220"/>
      <c r="AJ113" s="220"/>
      <c r="AK113" s="220"/>
      <c r="AL113" s="220"/>
      <c r="AM113" s="220"/>
      <c r="AN113" s="220"/>
      <c r="AO113" s="220"/>
      <c r="AP113" s="220"/>
      <c r="AQ113" s="220"/>
      <c r="AR113" s="220"/>
      <c r="AS113" s="220"/>
      <c r="AT113" s="220"/>
      <c r="AU113" s="220"/>
      <c r="AV113" s="220"/>
      <c r="AW113" s="220"/>
      <c r="AX113" s="220"/>
      <c r="AY113" s="220"/>
      <c r="AZ113" s="220"/>
      <c r="BA113" s="220"/>
    </row>
    <row r="114" spans="1:53">
      <c r="A114" s="220"/>
      <c r="B114" s="257"/>
      <c r="C114" s="220"/>
      <c r="D114" s="257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  <c r="AM114" s="220"/>
      <c r="AN114" s="220"/>
      <c r="AO114" s="220"/>
      <c r="AP114" s="220"/>
      <c r="AQ114" s="220"/>
      <c r="AR114" s="220"/>
      <c r="AS114" s="220"/>
      <c r="AT114" s="220"/>
      <c r="AU114" s="220"/>
      <c r="AV114" s="220"/>
      <c r="AW114" s="220"/>
      <c r="AX114" s="220"/>
      <c r="AY114" s="220"/>
      <c r="AZ114" s="220"/>
      <c r="BA114" s="220"/>
    </row>
    <row r="115" spans="1:53">
      <c r="A115" s="220"/>
      <c r="B115" s="257"/>
      <c r="C115" s="220"/>
      <c r="D115" s="257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  <c r="AH115" s="220"/>
      <c r="AI115" s="220"/>
      <c r="AJ115" s="220"/>
      <c r="AK115" s="220"/>
      <c r="AL115" s="220"/>
      <c r="AM115" s="220"/>
      <c r="AN115" s="220"/>
      <c r="AO115" s="220"/>
      <c r="AP115" s="220"/>
      <c r="AQ115" s="220"/>
      <c r="AR115" s="220"/>
      <c r="AS115" s="220"/>
      <c r="AT115" s="220"/>
      <c r="AU115" s="220"/>
      <c r="AV115" s="220"/>
      <c r="AW115" s="220"/>
      <c r="AX115" s="220"/>
      <c r="AY115" s="220"/>
      <c r="AZ115" s="220"/>
      <c r="BA115" s="220"/>
    </row>
    <row r="116" spans="1:53">
      <c r="A116" s="220"/>
      <c r="B116" s="257"/>
      <c r="C116" s="220"/>
      <c r="D116" s="257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  <c r="AM116" s="220"/>
      <c r="AN116" s="220"/>
      <c r="AO116" s="220"/>
      <c r="AP116" s="220"/>
      <c r="AQ116" s="220"/>
      <c r="AR116" s="220"/>
      <c r="AS116" s="220"/>
      <c r="AT116" s="220"/>
      <c r="AU116" s="220"/>
      <c r="AV116" s="220"/>
      <c r="AW116" s="220"/>
      <c r="AX116" s="220"/>
      <c r="AY116" s="220"/>
      <c r="AZ116" s="220"/>
      <c r="BA116" s="220"/>
    </row>
    <row r="117" spans="1:53">
      <c r="A117" s="220"/>
      <c r="B117" s="257"/>
      <c r="C117" s="220"/>
      <c r="D117" s="257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  <c r="AV117" s="220"/>
      <c r="AW117" s="220"/>
      <c r="AX117" s="220"/>
      <c r="AY117" s="220"/>
      <c r="AZ117" s="220"/>
      <c r="BA117" s="220"/>
    </row>
    <row r="118" spans="1:53">
      <c r="A118" s="220"/>
      <c r="B118" s="257"/>
      <c r="C118" s="220"/>
      <c r="D118" s="257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220"/>
      <c r="AY118" s="220"/>
      <c r="AZ118" s="220"/>
      <c r="BA118" s="220"/>
    </row>
    <row r="119" spans="1:53">
      <c r="A119" s="220"/>
      <c r="B119" s="257"/>
      <c r="C119" s="220"/>
      <c r="D119" s="257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0"/>
      <c r="AR119" s="220"/>
      <c r="AS119" s="220"/>
      <c r="AT119" s="220"/>
      <c r="AU119" s="220"/>
      <c r="AV119" s="220"/>
      <c r="AW119" s="220"/>
      <c r="AX119" s="220"/>
      <c r="AY119" s="220"/>
      <c r="AZ119" s="220"/>
      <c r="BA119" s="220"/>
    </row>
    <row r="120" spans="1:53">
      <c r="A120" s="220"/>
      <c r="B120" s="257"/>
      <c r="C120" s="220"/>
      <c r="D120" s="257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0"/>
      <c r="AR120" s="220"/>
      <c r="AS120" s="220"/>
      <c r="AT120" s="220"/>
      <c r="AU120" s="220"/>
      <c r="AV120" s="220"/>
      <c r="AW120" s="220"/>
      <c r="AX120" s="220"/>
      <c r="AY120" s="220"/>
      <c r="AZ120" s="220"/>
      <c r="BA120" s="220"/>
    </row>
    <row r="121" spans="1:53">
      <c r="A121" s="220"/>
      <c r="B121" s="257"/>
      <c r="C121" s="220"/>
      <c r="D121" s="257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0"/>
      <c r="AR121" s="220"/>
      <c r="AS121" s="220"/>
      <c r="AT121" s="220"/>
      <c r="AU121" s="220"/>
      <c r="AV121" s="220"/>
      <c r="AW121" s="220"/>
      <c r="AX121" s="220"/>
      <c r="AY121" s="220"/>
      <c r="AZ121" s="220"/>
      <c r="BA121" s="220"/>
    </row>
    <row r="122" spans="1:53">
      <c r="A122" s="220"/>
      <c r="B122" s="257"/>
      <c r="C122" s="220"/>
      <c r="D122" s="257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0"/>
      <c r="AR122" s="220"/>
      <c r="AS122" s="220"/>
      <c r="AT122" s="220"/>
      <c r="AU122" s="220"/>
      <c r="AV122" s="220"/>
      <c r="AW122" s="220"/>
      <c r="AX122" s="220"/>
      <c r="AY122" s="220"/>
      <c r="AZ122" s="220"/>
      <c r="BA122" s="220"/>
    </row>
    <row r="123" spans="1:53">
      <c r="A123" s="220"/>
      <c r="B123" s="257"/>
      <c r="C123" s="220"/>
      <c r="D123" s="257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0"/>
      <c r="AS123" s="220"/>
      <c r="AT123" s="220"/>
      <c r="AU123" s="220"/>
      <c r="AV123" s="220"/>
      <c r="AW123" s="220"/>
      <c r="AX123" s="220"/>
      <c r="AY123" s="220"/>
      <c r="AZ123" s="220"/>
      <c r="BA123" s="220"/>
    </row>
    <row r="124" spans="1:53">
      <c r="A124" s="220"/>
      <c r="B124" s="257"/>
      <c r="C124" s="220"/>
      <c r="D124" s="257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0"/>
      <c r="AR124" s="220"/>
      <c r="AS124" s="220"/>
      <c r="AT124" s="220"/>
      <c r="AU124" s="220"/>
      <c r="AV124" s="220"/>
      <c r="AW124" s="220"/>
      <c r="AX124" s="220"/>
      <c r="AY124" s="220"/>
      <c r="AZ124" s="220"/>
      <c r="BA124" s="220"/>
    </row>
    <row r="125" spans="1:53">
      <c r="A125" s="220"/>
      <c r="B125" s="257"/>
      <c r="C125" s="220"/>
      <c r="D125" s="257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0"/>
      <c r="AR125" s="220"/>
      <c r="AS125" s="220"/>
      <c r="AT125" s="220"/>
      <c r="AU125" s="220"/>
      <c r="AV125" s="220"/>
      <c r="AW125" s="220"/>
      <c r="AX125" s="220"/>
      <c r="AY125" s="220"/>
      <c r="AZ125" s="220"/>
      <c r="BA125" s="220"/>
    </row>
    <row r="126" spans="1:53">
      <c r="A126" s="220"/>
      <c r="B126" s="257"/>
      <c r="C126" s="220"/>
      <c r="D126" s="257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0"/>
      <c r="AR126" s="220"/>
      <c r="AS126" s="220"/>
      <c r="AT126" s="220"/>
      <c r="AU126" s="220"/>
      <c r="AV126" s="220"/>
      <c r="AW126" s="220"/>
      <c r="AX126" s="220"/>
      <c r="AY126" s="220"/>
      <c r="AZ126" s="220"/>
      <c r="BA126" s="220"/>
    </row>
    <row r="127" spans="1:53">
      <c r="A127" s="220"/>
      <c r="B127" s="257"/>
      <c r="C127" s="220"/>
      <c r="D127" s="257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0"/>
      <c r="AR127" s="220"/>
      <c r="AS127" s="220"/>
      <c r="AT127" s="220"/>
      <c r="AU127" s="220"/>
      <c r="AV127" s="220"/>
      <c r="AW127" s="220"/>
      <c r="AX127" s="220"/>
      <c r="AY127" s="220"/>
      <c r="AZ127" s="220"/>
      <c r="BA127" s="220"/>
    </row>
    <row r="128" spans="1:53">
      <c r="A128" s="220"/>
      <c r="B128" s="257"/>
      <c r="C128" s="220"/>
      <c r="D128" s="257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0"/>
      <c r="AR128" s="220"/>
      <c r="AS128" s="220"/>
      <c r="AT128" s="220"/>
      <c r="AU128" s="220"/>
      <c r="AV128" s="220"/>
      <c r="AW128" s="220"/>
      <c r="AX128" s="220"/>
      <c r="AY128" s="220"/>
      <c r="AZ128" s="220"/>
      <c r="BA128" s="220"/>
    </row>
    <row r="129" spans="1:53">
      <c r="A129" s="220"/>
      <c r="B129" s="257"/>
      <c r="C129" s="220"/>
      <c r="D129" s="257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0"/>
      <c r="AR129" s="220"/>
      <c r="AS129" s="220"/>
      <c r="AT129" s="220"/>
      <c r="AU129" s="220"/>
      <c r="AV129" s="220"/>
      <c r="AW129" s="220"/>
      <c r="AX129" s="220"/>
      <c r="AY129" s="220"/>
      <c r="AZ129" s="220"/>
      <c r="BA129" s="220"/>
    </row>
    <row r="130" spans="1:53">
      <c r="A130" s="220"/>
      <c r="B130" s="257"/>
      <c r="C130" s="220"/>
      <c r="D130" s="257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0"/>
      <c r="AR130" s="220"/>
      <c r="AS130" s="220"/>
      <c r="AT130" s="220"/>
      <c r="AU130" s="220"/>
      <c r="AV130" s="220"/>
      <c r="AW130" s="220"/>
      <c r="AX130" s="220"/>
      <c r="AY130" s="220"/>
      <c r="AZ130" s="220"/>
      <c r="BA130" s="220"/>
    </row>
    <row r="131" spans="1:53">
      <c r="A131" s="220"/>
      <c r="B131" s="257"/>
      <c r="C131" s="220"/>
      <c r="D131" s="257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0"/>
      <c r="AR131" s="220"/>
      <c r="AS131" s="220"/>
      <c r="AT131" s="220"/>
      <c r="AU131" s="220"/>
      <c r="AV131" s="220"/>
      <c r="AW131" s="220"/>
      <c r="AX131" s="220"/>
      <c r="AY131" s="220"/>
      <c r="AZ131" s="220"/>
      <c r="BA131" s="220"/>
    </row>
    <row r="132" spans="1:53">
      <c r="A132" s="220"/>
      <c r="B132" s="257"/>
      <c r="C132" s="220"/>
      <c r="D132" s="257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  <c r="AM132" s="220"/>
      <c r="AN132" s="220"/>
      <c r="AO132" s="220"/>
      <c r="AP132" s="220"/>
      <c r="AQ132" s="220"/>
      <c r="AR132" s="220"/>
      <c r="AS132" s="220"/>
      <c r="AT132" s="220"/>
      <c r="AU132" s="220"/>
      <c r="AV132" s="220"/>
      <c r="AW132" s="220"/>
      <c r="AX132" s="220"/>
      <c r="AY132" s="220"/>
      <c r="AZ132" s="220"/>
      <c r="BA132" s="220"/>
    </row>
    <row r="133" spans="1:53">
      <c r="A133" s="220"/>
      <c r="B133" s="257"/>
      <c r="C133" s="220"/>
      <c r="D133" s="257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  <c r="AM133" s="220"/>
      <c r="AN133" s="220"/>
      <c r="AO133" s="220"/>
      <c r="AP133" s="220"/>
      <c r="AQ133" s="220"/>
      <c r="AR133" s="220"/>
      <c r="AS133" s="220"/>
      <c r="AT133" s="220"/>
      <c r="AU133" s="220"/>
      <c r="AV133" s="220"/>
      <c r="AW133" s="220"/>
      <c r="AX133" s="220"/>
      <c r="AY133" s="220"/>
      <c r="AZ133" s="220"/>
      <c r="BA133" s="220"/>
    </row>
    <row r="134" spans="1:53">
      <c r="A134" s="220"/>
      <c r="B134" s="257"/>
      <c r="C134" s="220"/>
      <c r="D134" s="257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  <c r="AH134" s="220"/>
      <c r="AI134" s="220"/>
      <c r="AJ134" s="220"/>
      <c r="AK134" s="220"/>
      <c r="AL134" s="220"/>
      <c r="AM134" s="220"/>
      <c r="AN134" s="220"/>
      <c r="AO134" s="220"/>
      <c r="AP134" s="220"/>
      <c r="AQ134" s="220"/>
      <c r="AR134" s="220"/>
      <c r="AS134" s="220"/>
      <c r="AT134" s="220"/>
      <c r="AU134" s="220"/>
      <c r="AV134" s="220"/>
      <c r="AW134" s="220"/>
      <c r="AX134" s="220"/>
      <c r="AY134" s="220"/>
      <c r="AZ134" s="220"/>
      <c r="BA134" s="220"/>
    </row>
    <row r="135" spans="1:53">
      <c r="A135" s="220"/>
      <c r="B135" s="257"/>
      <c r="C135" s="220"/>
      <c r="D135" s="257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  <c r="AM135" s="220"/>
      <c r="AN135" s="220"/>
      <c r="AO135" s="220"/>
      <c r="AP135" s="220"/>
      <c r="AQ135" s="220"/>
      <c r="AR135" s="220"/>
      <c r="AS135" s="220"/>
      <c r="AT135" s="220"/>
      <c r="AU135" s="220"/>
      <c r="AV135" s="220"/>
      <c r="AW135" s="220"/>
      <c r="AX135" s="220"/>
      <c r="AY135" s="220"/>
      <c r="AZ135" s="220"/>
      <c r="BA135" s="220"/>
    </row>
    <row r="136" spans="1:53">
      <c r="A136" s="220"/>
      <c r="B136" s="257"/>
      <c r="C136" s="220"/>
      <c r="D136" s="257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  <c r="AM136" s="220"/>
      <c r="AN136" s="220"/>
      <c r="AO136" s="220"/>
      <c r="AP136" s="220"/>
      <c r="AQ136" s="220"/>
      <c r="AR136" s="220"/>
      <c r="AS136" s="220"/>
      <c r="AT136" s="220"/>
      <c r="AU136" s="220"/>
      <c r="AV136" s="220"/>
      <c r="AW136" s="220"/>
      <c r="AX136" s="220"/>
      <c r="AY136" s="220"/>
      <c r="AZ136" s="220"/>
      <c r="BA136" s="220"/>
    </row>
    <row r="137" spans="1:53">
      <c r="A137" s="220"/>
      <c r="B137" s="257"/>
      <c r="C137" s="220"/>
      <c r="D137" s="257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  <c r="AM137" s="220"/>
      <c r="AN137" s="220"/>
      <c r="AO137" s="220"/>
      <c r="AP137" s="220"/>
      <c r="AQ137" s="220"/>
      <c r="AR137" s="220"/>
      <c r="AS137" s="220"/>
      <c r="AT137" s="220"/>
      <c r="AU137" s="220"/>
      <c r="AV137" s="220"/>
      <c r="AW137" s="220"/>
      <c r="AX137" s="220"/>
      <c r="AY137" s="220"/>
      <c r="AZ137" s="220"/>
      <c r="BA137" s="220"/>
    </row>
    <row r="138" spans="1:53">
      <c r="A138" s="220"/>
      <c r="B138" s="257"/>
      <c r="C138" s="220"/>
      <c r="D138" s="257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  <c r="AH138" s="220"/>
      <c r="AI138" s="220"/>
      <c r="AJ138" s="220"/>
      <c r="AK138" s="220"/>
      <c r="AL138" s="220"/>
      <c r="AM138" s="220"/>
      <c r="AN138" s="220"/>
      <c r="AO138" s="220"/>
      <c r="AP138" s="220"/>
      <c r="AQ138" s="220"/>
      <c r="AR138" s="220"/>
      <c r="AS138" s="220"/>
      <c r="AT138" s="220"/>
      <c r="AU138" s="220"/>
      <c r="AV138" s="220"/>
      <c r="AW138" s="220"/>
      <c r="AX138" s="220"/>
      <c r="AY138" s="220"/>
      <c r="AZ138" s="220"/>
      <c r="BA138" s="220"/>
    </row>
    <row r="139" spans="1:53">
      <c r="A139" s="220"/>
      <c r="B139" s="257"/>
      <c r="C139" s="220"/>
      <c r="D139" s="257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0"/>
      <c r="AR139" s="220"/>
      <c r="AS139" s="220"/>
      <c r="AT139" s="220"/>
      <c r="AU139" s="220"/>
      <c r="AV139" s="220"/>
      <c r="AW139" s="220"/>
      <c r="AX139" s="220"/>
      <c r="AY139" s="220"/>
      <c r="AZ139" s="220"/>
      <c r="BA139" s="220"/>
    </row>
    <row r="140" spans="1:53">
      <c r="A140" s="220"/>
      <c r="B140" s="257"/>
      <c r="C140" s="220"/>
      <c r="D140" s="257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0"/>
      <c r="AR140" s="220"/>
      <c r="AS140" s="220"/>
      <c r="AT140" s="220"/>
      <c r="AU140" s="220"/>
      <c r="AV140" s="220"/>
      <c r="AW140" s="220"/>
      <c r="AX140" s="220"/>
      <c r="AY140" s="220"/>
      <c r="AZ140" s="220"/>
      <c r="BA140" s="220"/>
    </row>
    <row r="141" spans="1:53">
      <c r="A141" s="220"/>
      <c r="B141" s="257"/>
      <c r="C141" s="220"/>
      <c r="D141" s="257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0"/>
      <c r="AR141" s="220"/>
      <c r="AS141" s="220"/>
      <c r="AT141" s="220"/>
      <c r="AU141" s="220"/>
      <c r="AV141" s="220"/>
      <c r="AW141" s="220"/>
      <c r="AX141" s="220"/>
      <c r="AY141" s="220"/>
      <c r="AZ141" s="220"/>
      <c r="BA141" s="220"/>
    </row>
    <row r="142" spans="1:53">
      <c r="A142" s="220"/>
      <c r="B142" s="257"/>
      <c r="C142" s="220"/>
      <c r="D142" s="257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0"/>
      <c r="AR142" s="220"/>
      <c r="AS142" s="220"/>
      <c r="AT142" s="220"/>
      <c r="AU142" s="220"/>
      <c r="AV142" s="220"/>
      <c r="AW142" s="220"/>
      <c r="AX142" s="220"/>
      <c r="AY142" s="220"/>
      <c r="AZ142" s="220"/>
      <c r="BA142" s="220"/>
    </row>
    <row r="143" spans="1:53">
      <c r="A143" s="220"/>
      <c r="B143" s="257"/>
      <c r="C143" s="220"/>
      <c r="D143" s="257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  <c r="AM143" s="220"/>
      <c r="AN143" s="220"/>
      <c r="AO143" s="220"/>
      <c r="AP143" s="220"/>
      <c r="AQ143" s="220"/>
      <c r="AR143" s="220"/>
      <c r="AS143" s="220"/>
      <c r="AT143" s="220"/>
      <c r="AU143" s="220"/>
      <c r="AV143" s="220"/>
      <c r="AW143" s="220"/>
      <c r="AX143" s="220"/>
      <c r="AY143" s="220"/>
      <c r="AZ143" s="220"/>
      <c r="BA143" s="220"/>
    </row>
    <row r="144" spans="1:53">
      <c r="A144" s="220"/>
      <c r="B144" s="257"/>
      <c r="C144" s="220"/>
      <c r="D144" s="257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0"/>
      <c r="AR144" s="220"/>
      <c r="AS144" s="220"/>
      <c r="AT144" s="220"/>
      <c r="AU144" s="220"/>
      <c r="AV144" s="220"/>
      <c r="AW144" s="220"/>
      <c r="AX144" s="220"/>
      <c r="AY144" s="220"/>
      <c r="AZ144" s="220"/>
      <c r="BA144" s="220"/>
    </row>
    <row r="145" spans="1:53">
      <c r="A145" s="220"/>
      <c r="B145" s="257"/>
      <c r="C145" s="220"/>
      <c r="D145" s="257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0"/>
      <c r="AR145" s="220"/>
      <c r="AS145" s="220"/>
      <c r="AT145" s="220"/>
      <c r="AU145" s="220"/>
      <c r="AV145" s="220"/>
      <c r="AW145" s="220"/>
      <c r="AX145" s="220"/>
      <c r="AY145" s="220"/>
      <c r="AZ145" s="220"/>
      <c r="BA145" s="220"/>
    </row>
    <row r="146" spans="1:53">
      <c r="A146" s="220"/>
      <c r="B146" s="257"/>
      <c r="C146" s="220"/>
      <c r="D146" s="257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0"/>
      <c r="AR146" s="220"/>
      <c r="AS146" s="220"/>
      <c r="AT146" s="220"/>
      <c r="AU146" s="220"/>
      <c r="AV146" s="220"/>
      <c r="AW146" s="220"/>
      <c r="AX146" s="220"/>
      <c r="AY146" s="220"/>
      <c r="AZ146" s="220"/>
      <c r="BA146" s="220"/>
    </row>
    <row r="147" spans="1:53">
      <c r="A147" s="220"/>
      <c r="B147" s="257"/>
      <c r="C147" s="220"/>
      <c r="D147" s="257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  <c r="AV147" s="220"/>
      <c r="AW147" s="220"/>
      <c r="AX147" s="220"/>
      <c r="AY147" s="220"/>
      <c r="AZ147" s="220"/>
      <c r="BA147" s="220"/>
    </row>
    <row r="148" spans="1:53">
      <c r="A148" s="220"/>
      <c r="B148" s="257"/>
      <c r="C148" s="220"/>
      <c r="D148" s="257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0"/>
      <c r="AR148" s="220"/>
      <c r="AS148" s="220"/>
      <c r="AT148" s="220"/>
      <c r="AU148" s="220"/>
      <c r="AV148" s="220"/>
      <c r="AW148" s="220"/>
      <c r="AX148" s="220"/>
      <c r="AY148" s="220"/>
      <c r="AZ148" s="220"/>
      <c r="BA148" s="220"/>
    </row>
    <row r="149" spans="1:53">
      <c r="A149" s="220"/>
      <c r="B149" s="257"/>
      <c r="C149" s="220"/>
      <c r="D149" s="257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  <c r="AV149" s="220"/>
      <c r="AW149" s="220"/>
      <c r="AX149" s="220"/>
      <c r="AY149" s="220"/>
      <c r="AZ149" s="220"/>
      <c r="BA149" s="2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4B084"/>
  </sheetPr>
  <dimension ref="A1:BA149"/>
  <sheetViews>
    <sheetView zoomScale="98" workbookViewId="0">
      <pane xSplit="4" ySplit="3" topLeftCell="I23" activePane="bottomRight" state="frozen"/>
      <selection pane="topRight"/>
      <selection pane="bottomLeft"/>
      <selection pane="bottomRight" activeCell="A3" sqref="A3:XFD3"/>
    </sheetView>
  </sheetViews>
  <sheetFormatPr defaultRowHeight="14.5"/>
  <cols>
    <col min="1" max="1" width="42.08984375" customWidth="1"/>
    <col min="2" max="2" width="4.453125" style="54" customWidth="1"/>
    <col min="3" max="3" width="19.90625" style="49" customWidth="1"/>
    <col min="4" max="4" width="7.6328125" style="54" customWidth="1"/>
    <col min="5" max="6" width="11.7265625" customWidth="1"/>
    <col min="7" max="7" width="12" bestFit="1" customWidth="1"/>
    <col min="8" max="8" width="10.7265625" style="206" customWidth="1"/>
    <col min="9" max="9" width="11.7265625" customWidth="1"/>
    <col min="10" max="10" width="12" bestFit="1" customWidth="1"/>
    <col min="11" max="18" width="11.7265625" customWidth="1"/>
    <col min="19" max="21" width="8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3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</row>
    <row r="2" spans="1:53" s="216" customFormat="1">
      <c r="A2" s="223" t="s">
        <v>0</v>
      </c>
      <c r="B2" s="224"/>
      <c r="C2" s="224"/>
      <c r="D2" s="224"/>
      <c r="E2" s="225">
        <v>45657</v>
      </c>
      <c r="F2" s="225">
        <v>46022</v>
      </c>
      <c r="G2" s="225">
        <v>46112</v>
      </c>
      <c r="H2" s="225">
        <v>46203</v>
      </c>
      <c r="I2" s="225">
        <v>46022</v>
      </c>
      <c r="J2" s="225">
        <v>46112</v>
      </c>
      <c r="K2" s="225">
        <v>46203</v>
      </c>
      <c r="L2" s="225">
        <v>46295</v>
      </c>
      <c r="M2" s="225">
        <v>46387</v>
      </c>
      <c r="N2" s="225">
        <v>46477</v>
      </c>
      <c r="O2" s="225">
        <v>46568</v>
      </c>
      <c r="P2" s="225">
        <v>46660</v>
      </c>
      <c r="Q2" s="388">
        <v>46752</v>
      </c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26"/>
      <c r="AV2" s="226"/>
      <c r="AW2" s="226"/>
      <c r="AX2" s="226"/>
      <c r="AY2" s="226"/>
      <c r="AZ2" s="226"/>
      <c r="BA2" s="226"/>
    </row>
    <row r="3" spans="1:53" s="219" customFormat="1">
      <c r="A3" s="68"/>
      <c r="B3" s="217"/>
      <c r="C3" s="217"/>
      <c r="D3" s="217"/>
      <c r="E3" s="218" t="s">
        <v>1</v>
      </c>
      <c r="F3" s="68"/>
      <c r="G3" s="68"/>
      <c r="H3" s="218"/>
      <c r="I3" s="218" t="s">
        <v>2</v>
      </c>
      <c r="J3" s="68"/>
      <c r="K3" s="68"/>
      <c r="L3" s="68"/>
      <c r="M3" s="68"/>
      <c r="N3" s="389"/>
      <c r="O3" s="389"/>
      <c r="P3" s="389"/>
      <c r="Q3" s="389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</row>
    <row r="4" spans="1:53" ht="18.5" customHeight="1">
      <c r="A4" s="220"/>
      <c r="B4" s="227" t="s">
        <v>2</v>
      </c>
      <c r="C4" s="228" t="s">
        <v>3</v>
      </c>
      <c r="D4" s="227" t="s">
        <v>4</v>
      </c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</row>
    <row r="5" spans="1:53">
      <c r="A5" s="258" t="s">
        <v>5</v>
      </c>
      <c r="B5" s="231"/>
      <c r="C5" s="232"/>
      <c r="D5" s="231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</row>
    <row r="6" spans="1:53" s="4" customFormat="1">
      <c r="A6" s="233" t="s">
        <v>6</v>
      </c>
      <c r="B6" s="234" t="s">
        <v>7</v>
      </c>
      <c r="C6" s="235" t="s">
        <v>8</v>
      </c>
      <c r="D6" s="236" t="s">
        <v>9</v>
      </c>
      <c r="E6" s="220"/>
      <c r="F6" s="238">
        <v>93750</v>
      </c>
      <c r="G6" s="270">
        <v>93750</v>
      </c>
      <c r="H6" s="220"/>
      <c r="I6" s="239">
        <v>93750</v>
      </c>
      <c r="J6" s="240">
        <v>93750</v>
      </c>
      <c r="K6" s="239">
        <v>93750</v>
      </c>
      <c r="L6" s="239">
        <v>93750</v>
      </c>
      <c r="M6" s="239">
        <v>93750</v>
      </c>
      <c r="N6" s="239">
        <v>93750</v>
      </c>
      <c r="O6" s="239">
        <v>93750</v>
      </c>
      <c r="P6" s="239">
        <v>93750</v>
      </c>
      <c r="Q6" s="239">
        <v>93750</v>
      </c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20"/>
      <c r="AY6" s="220"/>
      <c r="AZ6" s="220"/>
      <c r="BA6" s="220"/>
    </row>
    <row r="7" spans="1:53" s="4" customFormat="1">
      <c r="A7" s="233" t="s">
        <v>10</v>
      </c>
      <c r="B7" s="234" t="s">
        <v>7</v>
      </c>
      <c r="C7" s="235" t="s">
        <v>8</v>
      </c>
      <c r="D7" s="236" t="s">
        <v>11</v>
      </c>
      <c r="E7" s="220"/>
      <c r="F7" s="238">
        <v>0</v>
      </c>
      <c r="G7" s="238">
        <v>0</v>
      </c>
      <c r="H7" s="220"/>
      <c r="I7" s="239">
        <v>0</v>
      </c>
      <c r="J7" s="239">
        <v>0</v>
      </c>
      <c r="K7" s="239">
        <v>125000</v>
      </c>
      <c r="L7" s="239">
        <v>125000</v>
      </c>
      <c r="M7" s="239">
        <v>125000</v>
      </c>
      <c r="N7" s="239">
        <v>125000</v>
      </c>
      <c r="O7" s="239">
        <v>125000</v>
      </c>
      <c r="P7" s="239">
        <v>125000</v>
      </c>
      <c r="Q7" s="239">
        <v>125000</v>
      </c>
      <c r="R7" s="266"/>
      <c r="S7" s="271"/>
      <c r="T7" s="266"/>
      <c r="U7" s="266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20"/>
      <c r="AY7" s="220"/>
      <c r="AZ7" s="220"/>
      <c r="BA7" s="220"/>
    </row>
    <row r="8" spans="1:53" s="4" customFormat="1">
      <c r="A8" s="233" t="s">
        <v>12</v>
      </c>
      <c r="B8" s="234" t="s">
        <v>7</v>
      </c>
      <c r="C8" s="235" t="s">
        <v>8</v>
      </c>
      <c r="D8" s="236" t="s">
        <v>13</v>
      </c>
      <c r="E8" s="220"/>
      <c r="F8" s="238">
        <v>21250</v>
      </c>
      <c r="G8" s="270">
        <v>21250</v>
      </c>
      <c r="H8" s="220"/>
      <c r="I8" s="239">
        <v>21250</v>
      </c>
      <c r="J8" s="240">
        <v>21250</v>
      </c>
      <c r="K8" s="269">
        <v>21250</v>
      </c>
      <c r="L8" s="269">
        <v>21250</v>
      </c>
      <c r="M8" s="269">
        <v>21250</v>
      </c>
      <c r="N8" s="239">
        <v>21250</v>
      </c>
      <c r="O8" s="239">
        <v>21250</v>
      </c>
      <c r="P8" s="239">
        <v>21250</v>
      </c>
      <c r="Q8" s="239">
        <v>21250</v>
      </c>
      <c r="R8" s="220"/>
      <c r="S8" s="221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220"/>
      <c r="AW8" s="220"/>
      <c r="AX8" s="220"/>
      <c r="AY8" s="220"/>
      <c r="AZ8" s="220"/>
      <c r="BA8" s="220"/>
    </row>
    <row r="9" spans="1:53" s="4" customFormat="1">
      <c r="A9" s="233" t="s">
        <v>14</v>
      </c>
      <c r="B9" s="262" t="s">
        <v>7</v>
      </c>
      <c r="C9" s="263" t="s">
        <v>8</v>
      </c>
      <c r="D9" s="262" t="s">
        <v>15</v>
      </c>
      <c r="E9" s="220"/>
      <c r="F9" s="238">
        <v>46250</v>
      </c>
      <c r="G9" s="270">
        <v>48750</v>
      </c>
      <c r="H9" s="220"/>
      <c r="I9" s="239">
        <v>46250</v>
      </c>
      <c r="J9" s="240">
        <v>48750</v>
      </c>
      <c r="K9" s="269">
        <v>48750</v>
      </c>
      <c r="L9" s="269">
        <v>48750</v>
      </c>
      <c r="M9" s="269">
        <v>48750</v>
      </c>
      <c r="N9" s="239">
        <v>48750</v>
      </c>
      <c r="O9" s="239">
        <v>48750</v>
      </c>
      <c r="P9" s="239">
        <v>48750</v>
      </c>
      <c r="Q9" s="239">
        <v>48750</v>
      </c>
      <c r="R9" s="272"/>
      <c r="S9" s="273"/>
      <c r="T9" s="274"/>
      <c r="U9" s="237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20"/>
      <c r="AY9" s="220"/>
      <c r="AZ9" s="220"/>
      <c r="BA9" s="220"/>
    </row>
    <row r="10" spans="1:53" s="14" customFormat="1">
      <c r="A10" s="244" t="s">
        <v>16</v>
      </c>
      <c r="B10" s="262" t="s">
        <v>7</v>
      </c>
      <c r="C10" s="263" t="s">
        <v>8</v>
      </c>
      <c r="D10" s="262" t="s">
        <v>17</v>
      </c>
      <c r="E10" s="242"/>
      <c r="F10" s="238">
        <v>31250</v>
      </c>
      <c r="G10" s="238">
        <v>0</v>
      </c>
      <c r="H10" s="242"/>
      <c r="I10" s="239">
        <v>31250</v>
      </c>
      <c r="J10" s="239">
        <v>0</v>
      </c>
      <c r="K10" s="239">
        <v>0</v>
      </c>
      <c r="L10" s="239">
        <v>0</v>
      </c>
      <c r="M10" s="239">
        <v>0</v>
      </c>
      <c r="N10" s="239">
        <v>0</v>
      </c>
      <c r="O10" s="239">
        <v>0</v>
      </c>
      <c r="P10" s="239">
        <v>0</v>
      </c>
      <c r="Q10" s="239">
        <v>0</v>
      </c>
      <c r="R10" s="272"/>
      <c r="S10" s="273"/>
      <c r="T10" s="274"/>
      <c r="U10" s="237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0"/>
      <c r="AX10" s="220"/>
      <c r="AY10" s="220"/>
      <c r="AZ10" s="220"/>
      <c r="BA10" s="220"/>
    </row>
    <row r="11" spans="1:53">
      <c r="A11" s="233" t="s">
        <v>18</v>
      </c>
      <c r="B11" s="244" t="s">
        <v>7</v>
      </c>
      <c r="C11" s="244" t="s">
        <v>8</v>
      </c>
      <c r="D11" s="244" t="s">
        <v>19</v>
      </c>
      <c r="E11" s="220"/>
      <c r="F11" s="238">
        <v>0</v>
      </c>
      <c r="G11" s="238">
        <v>0</v>
      </c>
      <c r="H11" s="220"/>
      <c r="I11" s="239">
        <v>0</v>
      </c>
      <c r="J11" s="239">
        <v>0</v>
      </c>
      <c r="K11" s="241">
        <v>36250</v>
      </c>
      <c r="L11" s="241">
        <v>36250</v>
      </c>
      <c r="M11" s="241">
        <v>36250</v>
      </c>
      <c r="N11" s="391">
        <v>36250</v>
      </c>
      <c r="O11" s="391">
        <v>36250</v>
      </c>
      <c r="P11" s="391">
        <v>36250</v>
      </c>
      <c r="Q11" s="391">
        <v>36250</v>
      </c>
      <c r="R11" s="220"/>
      <c r="S11" s="220"/>
      <c r="T11" s="220"/>
      <c r="U11" s="220"/>
      <c r="V11" s="220"/>
      <c r="W11" s="220"/>
      <c r="X11" s="220"/>
      <c r="Y11" s="222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</row>
    <row r="12" spans="1:53" s="11" customFormat="1">
      <c r="A12" s="233" t="s">
        <v>20</v>
      </c>
      <c r="B12" s="262" t="s">
        <v>7</v>
      </c>
      <c r="C12" s="263" t="s">
        <v>8</v>
      </c>
      <c r="D12" s="262" t="s">
        <v>21</v>
      </c>
      <c r="E12" s="246"/>
      <c r="F12" s="260">
        <v>53750</v>
      </c>
      <c r="G12" s="260">
        <v>53750</v>
      </c>
      <c r="H12" s="246"/>
      <c r="I12" s="261">
        <v>53750</v>
      </c>
      <c r="J12" s="261">
        <v>53750</v>
      </c>
      <c r="K12" s="241">
        <v>53750</v>
      </c>
      <c r="L12" s="241">
        <v>53750</v>
      </c>
      <c r="M12" s="241">
        <v>53750</v>
      </c>
      <c r="N12" s="391">
        <v>53750</v>
      </c>
      <c r="O12" s="391">
        <v>53750</v>
      </c>
      <c r="P12" s="391">
        <v>53750</v>
      </c>
      <c r="Q12" s="391">
        <v>53750</v>
      </c>
      <c r="R12" s="242"/>
      <c r="S12" s="259"/>
      <c r="T12" s="259"/>
      <c r="U12" s="220"/>
      <c r="V12" s="272"/>
      <c r="W12" s="273"/>
      <c r="X12" s="274"/>
      <c r="Y12" s="242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</row>
    <row r="13" spans="1:53" s="11" customFormat="1">
      <c r="A13" s="233" t="s">
        <v>22</v>
      </c>
      <c r="B13" s="262" t="s">
        <v>7</v>
      </c>
      <c r="C13" s="263" t="s">
        <v>8</v>
      </c>
      <c r="D13" s="262" t="s">
        <v>23</v>
      </c>
      <c r="E13" s="246"/>
      <c r="F13" s="247">
        <v>40000</v>
      </c>
      <c r="G13" s="247">
        <v>40000</v>
      </c>
      <c r="H13" s="246"/>
      <c r="I13" s="241">
        <v>40000</v>
      </c>
      <c r="J13" s="241">
        <v>40000</v>
      </c>
      <c r="K13" s="241">
        <v>40000</v>
      </c>
      <c r="L13" s="241">
        <v>40000</v>
      </c>
      <c r="M13" s="241">
        <v>40000</v>
      </c>
      <c r="N13" s="241">
        <v>40000</v>
      </c>
      <c r="O13" s="241">
        <v>40000</v>
      </c>
      <c r="P13" s="241">
        <v>40000</v>
      </c>
      <c r="Q13" s="241">
        <v>40000</v>
      </c>
      <c r="R13" s="242"/>
      <c r="S13" s="259"/>
      <c r="T13" s="259"/>
      <c r="U13" s="220"/>
      <c r="V13" s="272"/>
      <c r="W13" s="273"/>
      <c r="X13" s="274"/>
      <c r="Y13" s="242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</row>
    <row r="14" spans="1:53" s="14" customFormat="1">
      <c r="A14" s="244" t="s">
        <v>24</v>
      </c>
      <c r="B14" s="262" t="s">
        <v>7</v>
      </c>
      <c r="C14" s="263" t="s">
        <v>8</v>
      </c>
      <c r="D14" s="262" t="s">
        <v>25</v>
      </c>
      <c r="E14" s="220"/>
      <c r="F14" s="238">
        <v>0</v>
      </c>
      <c r="G14" s="238">
        <v>0</v>
      </c>
      <c r="H14" s="220"/>
      <c r="I14" s="239">
        <v>0</v>
      </c>
      <c r="J14" s="239">
        <v>0</v>
      </c>
      <c r="K14" s="269">
        <v>0</v>
      </c>
      <c r="L14" s="241">
        <v>37500</v>
      </c>
      <c r="M14" s="241">
        <v>37500</v>
      </c>
      <c r="N14" s="391">
        <v>37500</v>
      </c>
      <c r="O14" s="391">
        <v>37500</v>
      </c>
      <c r="P14" s="391">
        <v>37500</v>
      </c>
      <c r="Q14" s="391">
        <v>37500</v>
      </c>
      <c r="R14" s="272"/>
      <c r="S14" s="273"/>
      <c r="T14" s="274"/>
      <c r="U14" s="237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</row>
    <row r="15" spans="1:53" s="14" customFormat="1">
      <c r="A15" s="244" t="s">
        <v>26</v>
      </c>
      <c r="B15" s="262" t="s">
        <v>7</v>
      </c>
      <c r="C15" s="263" t="s">
        <v>8</v>
      </c>
      <c r="D15" s="262" t="s">
        <v>27</v>
      </c>
      <c r="E15" s="220"/>
      <c r="F15" s="238">
        <v>0</v>
      </c>
      <c r="G15" s="238">
        <v>0</v>
      </c>
      <c r="H15" s="220"/>
      <c r="I15" s="239">
        <v>0</v>
      </c>
      <c r="J15" s="239">
        <v>0</v>
      </c>
      <c r="K15" s="269">
        <v>0</v>
      </c>
      <c r="L15" s="241">
        <v>56250</v>
      </c>
      <c r="M15" s="241">
        <v>56250</v>
      </c>
      <c r="N15" s="391">
        <v>56250</v>
      </c>
      <c r="O15" s="391">
        <v>56250</v>
      </c>
      <c r="P15" s="391">
        <v>56250</v>
      </c>
      <c r="Q15" s="391">
        <v>56250</v>
      </c>
      <c r="R15" s="272"/>
      <c r="S15" s="273"/>
      <c r="T15" s="274"/>
      <c r="U15" s="237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</row>
    <row r="16" spans="1:53" s="14" customFormat="1">
      <c r="A16" s="244" t="s">
        <v>28</v>
      </c>
      <c r="B16" s="262" t="s">
        <v>7</v>
      </c>
      <c r="C16" s="263" t="s">
        <v>8</v>
      </c>
      <c r="D16" s="262" t="s">
        <v>29</v>
      </c>
      <c r="E16" s="220"/>
      <c r="F16" s="238">
        <v>0</v>
      </c>
      <c r="G16" s="238">
        <v>0</v>
      </c>
      <c r="H16" s="220"/>
      <c r="I16" s="239">
        <v>0</v>
      </c>
      <c r="J16" s="239">
        <v>0</v>
      </c>
      <c r="K16" s="269">
        <v>0</v>
      </c>
      <c r="L16" s="241">
        <v>56250</v>
      </c>
      <c r="M16" s="241">
        <v>56250</v>
      </c>
      <c r="N16" s="391">
        <v>56250</v>
      </c>
      <c r="O16" s="391">
        <v>56250</v>
      </c>
      <c r="P16" s="391">
        <v>56250</v>
      </c>
      <c r="Q16" s="391">
        <v>56250</v>
      </c>
      <c r="R16" s="272"/>
      <c r="S16" s="273"/>
      <c r="T16" s="274"/>
      <c r="U16" s="237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</row>
    <row r="17" spans="1:53" s="14" customFormat="1">
      <c r="A17" s="244" t="s">
        <v>30</v>
      </c>
      <c r="B17" s="262" t="s">
        <v>7</v>
      </c>
      <c r="C17" s="263" t="s">
        <v>8</v>
      </c>
      <c r="D17" s="262" t="s">
        <v>31</v>
      </c>
      <c r="E17" s="248"/>
      <c r="F17" s="238">
        <v>0</v>
      </c>
      <c r="G17" s="238">
        <v>0</v>
      </c>
      <c r="H17" s="248"/>
      <c r="I17" s="239">
        <v>0</v>
      </c>
      <c r="J17" s="239">
        <v>0</v>
      </c>
      <c r="K17" s="269">
        <v>0</v>
      </c>
      <c r="L17" s="241">
        <v>18750</v>
      </c>
      <c r="M17" s="241">
        <v>18750</v>
      </c>
      <c r="N17" s="391">
        <v>18750</v>
      </c>
      <c r="O17" s="391">
        <v>18750</v>
      </c>
      <c r="P17" s="391">
        <v>18750</v>
      </c>
      <c r="Q17" s="391">
        <v>18750</v>
      </c>
      <c r="R17" s="272"/>
      <c r="S17" s="273"/>
      <c r="T17" s="274"/>
      <c r="U17" s="237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</row>
    <row r="18" spans="1:53" ht="14.65" customHeight="1">
      <c r="A18" s="264" t="s">
        <v>32</v>
      </c>
      <c r="B18" s="220"/>
      <c r="C18" s="220"/>
      <c r="D18" s="220"/>
      <c r="E18" s="248"/>
      <c r="F18" s="238">
        <v>286250</v>
      </c>
      <c r="G18" s="238">
        <v>257500</v>
      </c>
      <c r="H18" s="248"/>
      <c r="I18" s="242">
        <v>286250</v>
      </c>
      <c r="J18" s="242">
        <f t="shared" ref="J18:Q18" si="0">SUM(J6:J17)</f>
        <v>257500</v>
      </c>
      <c r="K18" s="242">
        <f t="shared" si="0"/>
        <v>418750</v>
      </c>
      <c r="L18" s="242">
        <f t="shared" si="0"/>
        <v>587500</v>
      </c>
      <c r="M18" s="242">
        <f t="shared" si="0"/>
        <v>587500</v>
      </c>
      <c r="N18" s="242">
        <f t="shared" si="0"/>
        <v>587500</v>
      </c>
      <c r="O18" s="242">
        <f t="shared" si="0"/>
        <v>587500</v>
      </c>
      <c r="P18" s="242">
        <f t="shared" si="0"/>
        <v>587500</v>
      </c>
      <c r="Q18" s="242">
        <f t="shared" si="0"/>
        <v>587500</v>
      </c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</row>
    <row r="19" spans="1:53">
      <c r="A19" s="265"/>
      <c r="B19" s="220"/>
      <c r="C19" s="220"/>
      <c r="D19" s="220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2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</row>
    <row r="20" spans="1:53" ht="14.65" customHeight="1">
      <c r="A20" s="263" t="s">
        <v>33</v>
      </c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</row>
    <row r="21" spans="1:53" s="4" customFormat="1">
      <c r="A21" s="220" t="str">
        <f t="shared" ref="A21:A32" si="1">+A6</f>
        <v>HOBI (CW)</v>
      </c>
      <c r="B21" s="262" t="s">
        <v>7</v>
      </c>
      <c r="C21" s="263" t="s">
        <v>34</v>
      </c>
      <c r="D21" s="262" t="s">
        <v>9</v>
      </c>
      <c r="E21" s="222"/>
      <c r="F21" s="247">
        <v>125000</v>
      </c>
      <c r="G21" s="247">
        <v>0</v>
      </c>
      <c r="H21" s="222"/>
      <c r="I21" s="241">
        <v>125000</v>
      </c>
      <c r="J21" s="241">
        <v>0</v>
      </c>
      <c r="K21" s="241">
        <v>0</v>
      </c>
      <c r="L21" s="241">
        <v>0</v>
      </c>
      <c r="M21" s="241">
        <v>225000</v>
      </c>
      <c r="N21" s="391">
        <v>225000</v>
      </c>
      <c r="O21" s="391">
        <v>225000</v>
      </c>
      <c r="P21" s="391">
        <v>225000</v>
      </c>
      <c r="Q21" s="391">
        <v>225000</v>
      </c>
      <c r="R21" s="275"/>
      <c r="S21" s="273"/>
      <c r="T21" s="273"/>
      <c r="U21" s="273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</row>
    <row r="22" spans="1:53" s="4" customFormat="1">
      <c r="A22" s="220" t="str">
        <f t="shared" si="1"/>
        <v xml:space="preserve">CFO (ZS) </v>
      </c>
      <c r="B22" s="262" t="s">
        <v>7</v>
      </c>
      <c r="C22" s="263" t="s">
        <v>34</v>
      </c>
      <c r="D22" s="262" t="s">
        <v>11</v>
      </c>
      <c r="E22" s="242"/>
      <c r="F22" s="247">
        <v>60000</v>
      </c>
      <c r="G22" s="247">
        <v>0</v>
      </c>
      <c r="H22" s="242"/>
      <c r="I22" s="241">
        <v>60000</v>
      </c>
      <c r="J22" s="241">
        <v>0</v>
      </c>
      <c r="K22" s="241">
        <v>0</v>
      </c>
      <c r="L22" s="241">
        <v>0</v>
      </c>
      <c r="M22" s="241">
        <v>100000</v>
      </c>
      <c r="N22" s="391">
        <v>100000</v>
      </c>
      <c r="O22" s="391">
        <v>100000</v>
      </c>
      <c r="P22" s="391">
        <v>100000</v>
      </c>
      <c r="Q22" s="391">
        <v>100000</v>
      </c>
      <c r="R22" s="220"/>
      <c r="S22" s="221"/>
      <c r="T22" s="273"/>
      <c r="U22" s="273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</row>
    <row r="23" spans="1:53" s="4" customFormat="1">
      <c r="A23" s="220" t="str">
        <f t="shared" si="1"/>
        <v xml:space="preserve">Financial Analyst (NR) </v>
      </c>
      <c r="B23" s="262" t="s">
        <v>7</v>
      </c>
      <c r="C23" s="263" t="s">
        <v>34</v>
      </c>
      <c r="D23" s="262" t="s">
        <v>13</v>
      </c>
      <c r="E23" s="242"/>
      <c r="F23" s="247">
        <v>5000</v>
      </c>
      <c r="G23" s="247">
        <v>0</v>
      </c>
      <c r="H23" s="242"/>
      <c r="I23" s="241">
        <v>5000</v>
      </c>
      <c r="J23" s="241">
        <v>0</v>
      </c>
      <c r="K23" s="241">
        <v>0</v>
      </c>
      <c r="L23" s="241">
        <v>0</v>
      </c>
      <c r="M23" s="241">
        <v>7500</v>
      </c>
      <c r="N23" s="391">
        <v>7500</v>
      </c>
      <c r="O23" s="391">
        <v>7500</v>
      </c>
      <c r="P23" s="391">
        <v>7500</v>
      </c>
      <c r="Q23" s="391">
        <v>7500</v>
      </c>
      <c r="R23" s="220"/>
      <c r="S23" s="221"/>
      <c r="T23" s="220"/>
      <c r="U23" s="221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</row>
    <row r="24" spans="1:53" s="4" customFormat="1">
      <c r="A24" s="220" t="str">
        <f t="shared" si="1"/>
        <v>Fin Controls (TB) - 100%</v>
      </c>
      <c r="B24" s="262" t="s">
        <v>7</v>
      </c>
      <c r="C24" s="263" t="s">
        <v>34</v>
      </c>
      <c r="D24" s="262" t="s">
        <v>15</v>
      </c>
      <c r="E24" s="242"/>
      <c r="F24" s="247">
        <v>17500</v>
      </c>
      <c r="G24" s="247">
        <v>0</v>
      </c>
      <c r="H24" s="242"/>
      <c r="I24" s="241">
        <v>17500</v>
      </c>
      <c r="J24" s="241">
        <v>0</v>
      </c>
      <c r="K24" s="241">
        <v>0</v>
      </c>
      <c r="L24" s="241">
        <v>0</v>
      </c>
      <c r="M24" s="241">
        <v>15000</v>
      </c>
      <c r="N24" s="391">
        <v>15000</v>
      </c>
      <c r="O24" s="391">
        <v>15000</v>
      </c>
      <c r="P24" s="391">
        <v>15000</v>
      </c>
      <c r="Q24" s="391">
        <v>15000</v>
      </c>
      <c r="R24" s="220"/>
      <c r="S24" s="273"/>
      <c r="T24" s="220"/>
      <c r="U24" s="221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</row>
    <row r="25" spans="1:53" s="4" customFormat="1">
      <c r="A25" s="220" t="str">
        <f t="shared" si="1"/>
        <v>Administrative Assistant (AM)</v>
      </c>
      <c r="B25" s="262" t="s">
        <v>7</v>
      </c>
      <c r="C25" s="263" t="s">
        <v>34</v>
      </c>
      <c r="D25" s="262" t="s">
        <v>17</v>
      </c>
      <c r="E25" s="242"/>
      <c r="F25" s="247">
        <v>10000</v>
      </c>
      <c r="G25" s="247">
        <v>0</v>
      </c>
      <c r="H25" s="242"/>
      <c r="I25" s="241">
        <v>10000</v>
      </c>
      <c r="J25" s="241">
        <v>0</v>
      </c>
      <c r="K25" s="241">
        <v>0</v>
      </c>
      <c r="L25" s="241">
        <v>0</v>
      </c>
      <c r="M25" s="241">
        <v>0</v>
      </c>
      <c r="N25" s="391">
        <v>0</v>
      </c>
      <c r="O25" s="391">
        <v>0</v>
      </c>
      <c r="P25" s="391">
        <v>0</v>
      </c>
      <c r="Q25" s="391">
        <v>0</v>
      </c>
      <c r="R25" s="220"/>
      <c r="S25" s="220"/>
      <c r="T25" s="220"/>
      <c r="U25" s="274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</row>
    <row r="26" spans="1:53">
      <c r="A26" s="220" t="str">
        <f t="shared" si="1"/>
        <v>Administrative Assistant (PT)</v>
      </c>
      <c r="B26" s="244" t="s">
        <v>7</v>
      </c>
      <c r="C26" s="244" t="s">
        <v>34</v>
      </c>
      <c r="D26" s="244" t="s">
        <v>19</v>
      </c>
      <c r="E26" s="242"/>
      <c r="F26" s="247">
        <v>0</v>
      </c>
      <c r="G26" s="247">
        <v>0</v>
      </c>
      <c r="H26" s="242"/>
      <c r="I26" s="241">
        <v>0</v>
      </c>
      <c r="J26" s="241">
        <v>0</v>
      </c>
      <c r="K26" s="241">
        <v>0</v>
      </c>
      <c r="L26" s="241">
        <v>0</v>
      </c>
      <c r="M26" s="241">
        <v>10000</v>
      </c>
      <c r="N26" s="391">
        <v>10000</v>
      </c>
      <c r="O26" s="391">
        <v>10000</v>
      </c>
      <c r="P26" s="391">
        <v>10000</v>
      </c>
      <c r="Q26" s="391">
        <v>10000</v>
      </c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</row>
    <row r="27" spans="1:53" s="11" customFormat="1">
      <c r="A27" s="220" t="str">
        <f t="shared" si="1"/>
        <v>Financial Director (DV) - 100%</v>
      </c>
      <c r="B27" s="262" t="s">
        <v>7</v>
      </c>
      <c r="C27" s="263" t="s">
        <v>34</v>
      </c>
      <c r="D27" s="262" t="s">
        <v>21</v>
      </c>
      <c r="E27" s="242"/>
      <c r="F27" s="247">
        <v>20000</v>
      </c>
      <c r="G27" s="247">
        <v>0</v>
      </c>
      <c r="H27" s="242"/>
      <c r="I27" s="241">
        <v>20000</v>
      </c>
      <c r="J27" s="241">
        <v>0</v>
      </c>
      <c r="K27" s="241">
        <v>0</v>
      </c>
      <c r="L27" s="241">
        <v>0</v>
      </c>
      <c r="M27" s="241">
        <v>40000</v>
      </c>
      <c r="N27" s="391">
        <v>40000</v>
      </c>
      <c r="O27" s="391">
        <v>40000</v>
      </c>
      <c r="P27" s="391">
        <v>40000</v>
      </c>
      <c r="Q27" s="391">
        <v>40000</v>
      </c>
      <c r="R27" s="220"/>
      <c r="S27" s="221"/>
      <c r="T27" s="220"/>
      <c r="U27" s="273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</row>
    <row r="28" spans="1:53" s="11" customFormat="1">
      <c r="A28" s="220" t="str">
        <f t="shared" si="1"/>
        <v>IM (TW)</v>
      </c>
      <c r="B28" s="262" t="s">
        <v>7</v>
      </c>
      <c r="C28" s="263" t="s">
        <v>34</v>
      </c>
      <c r="D28" s="262" t="s">
        <v>23</v>
      </c>
      <c r="E28" s="242"/>
      <c r="F28" s="247">
        <v>25000</v>
      </c>
      <c r="G28" s="247">
        <v>0</v>
      </c>
      <c r="H28" s="242"/>
      <c r="I28" s="241">
        <v>25000</v>
      </c>
      <c r="J28" s="241">
        <v>0</v>
      </c>
      <c r="K28" s="241">
        <v>0</v>
      </c>
      <c r="L28" s="241">
        <v>0</v>
      </c>
      <c r="M28" s="241">
        <v>25000</v>
      </c>
      <c r="N28" s="391">
        <v>25000</v>
      </c>
      <c r="O28" s="391">
        <v>25000</v>
      </c>
      <c r="P28" s="391">
        <v>25000</v>
      </c>
      <c r="Q28" s="391">
        <v>25000</v>
      </c>
      <c r="R28" s="220"/>
      <c r="S28" s="221"/>
      <c r="T28" s="220"/>
      <c r="U28" s="273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</row>
    <row r="29" spans="1:53" s="4" customFormat="1">
      <c r="A29" s="220" t="str">
        <f t="shared" si="1"/>
        <v>HR (100%)</v>
      </c>
      <c r="B29" s="262" t="s">
        <v>7</v>
      </c>
      <c r="C29" s="263" t="s">
        <v>34</v>
      </c>
      <c r="D29" s="262" t="s">
        <v>25</v>
      </c>
      <c r="E29" s="242"/>
      <c r="F29" s="247">
        <v>0</v>
      </c>
      <c r="G29" s="247">
        <v>0</v>
      </c>
      <c r="H29" s="242"/>
      <c r="I29" s="241">
        <v>0</v>
      </c>
      <c r="J29" s="241">
        <v>0</v>
      </c>
      <c r="K29" s="241">
        <v>0</v>
      </c>
      <c r="L29" s="241">
        <v>0</v>
      </c>
      <c r="M29" s="241">
        <v>15000</v>
      </c>
      <c r="N29" s="391">
        <v>15000</v>
      </c>
      <c r="O29" s="391">
        <v>15000</v>
      </c>
      <c r="P29" s="391">
        <v>15000</v>
      </c>
      <c r="Q29" s="391">
        <v>15000</v>
      </c>
      <c r="R29" s="220"/>
      <c r="S29" s="273"/>
      <c r="T29" s="220"/>
      <c r="U29" s="274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</row>
    <row r="30" spans="1:53" s="4" customFormat="1">
      <c r="A30" s="220" t="str">
        <f t="shared" si="1"/>
        <v>Legal (100%)</v>
      </c>
      <c r="B30" s="262" t="s">
        <v>7</v>
      </c>
      <c r="C30" s="263" t="s">
        <v>34</v>
      </c>
      <c r="D30" s="262" t="s">
        <v>27</v>
      </c>
      <c r="E30" s="242"/>
      <c r="F30" s="247">
        <v>0</v>
      </c>
      <c r="G30" s="247">
        <v>0</v>
      </c>
      <c r="H30" s="242"/>
      <c r="I30" s="241">
        <v>0</v>
      </c>
      <c r="J30" s="241">
        <v>0</v>
      </c>
      <c r="K30" s="241">
        <v>0</v>
      </c>
      <c r="L30" s="241">
        <v>0</v>
      </c>
      <c r="M30" s="241">
        <v>15000</v>
      </c>
      <c r="N30" s="391">
        <v>15000</v>
      </c>
      <c r="O30" s="391">
        <v>15000</v>
      </c>
      <c r="P30" s="391">
        <v>15000</v>
      </c>
      <c r="Q30" s="391">
        <v>15000</v>
      </c>
      <c r="R30" s="220"/>
      <c r="S30" s="273"/>
      <c r="T30" s="220"/>
      <c r="U30" s="274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</row>
    <row r="31" spans="1:53" s="4" customFormat="1">
      <c r="A31" s="220" t="str">
        <f t="shared" si="1"/>
        <v>Tech1</v>
      </c>
      <c r="B31" s="262" t="s">
        <v>7</v>
      </c>
      <c r="C31" s="263" t="s">
        <v>34</v>
      </c>
      <c r="D31" s="262" t="s">
        <v>29</v>
      </c>
      <c r="E31" s="242"/>
      <c r="F31" s="247">
        <v>0</v>
      </c>
      <c r="G31" s="247">
        <v>0</v>
      </c>
      <c r="H31" s="242"/>
      <c r="I31" s="241">
        <v>0</v>
      </c>
      <c r="J31" s="241">
        <v>0</v>
      </c>
      <c r="K31" s="241">
        <v>0</v>
      </c>
      <c r="L31" s="241">
        <v>0</v>
      </c>
      <c r="M31" s="241">
        <v>15000</v>
      </c>
      <c r="N31" s="391">
        <v>15000</v>
      </c>
      <c r="O31" s="391">
        <v>15000</v>
      </c>
      <c r="P31" s="391">
        <v>15000</v>
      </c>
      <c r="Q31" s="391">
        <v>15000</v>
      </c>
      <c r="R31" s="249"/>
      <c r="S31" s="273"/>
      <c r="T31" s="220"/>
      <c r="U31" s="273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</row>
    <row r="32" spans="1:53" s="4" customFormat="1">
      <c r="A32" s="220" t="str">
        <f t="shared" si="1"/>
        <v>Tech2</v>
      </c>
      <c r="B32" s="262" t="s">
        <v>7</v>
      </c>
      <c r="C32" s="263" t="s">
        <v>34</v>
      </c>
      <c r="D32" s="262" t="s">
        <v>31</v>
      </c>
      <c r="E32" s="242"/>
      <c r="F32" s="247">
        <v>0</v>
      </c>
      <c r="G32" s="247">
        <v>0</v>
      </c>
      <c r="H32" s="242"/>
      <c r="I32" s="241">
        <v>0</v>
      </c>
      <c r="J32" s="241">
        <v>0</v>
      </c>
      <c r="K32" s="241">
        <v>0</v>
      </c>
      <c r="L32" s="241">
        <v>0</v>
      </c>
      <c r="M32" s="241">
        <v>15000</v>
      </c>
      <c r="N32" s="391">
        <v>15000</v>
      </c>
      <c r="O32" s="391">
        <v>15000</v>
      </c>
      <c r="P32" s="391">
        <v>15000</v>
      </c>
      <c r="Q32" s="391">
        <v>15000</v>
      </c>
      <c r="R32" s="249"/>
      <c r="S32" s="273"/>
      <c r="T32" s="220"/>
      <c r="U32" s="273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</row>
    <row r="33" spans="1:53" ht="14.65" customHeight="1">
      <c r="A33" s="264" t="s">
        <v>32</v>
      </c>
      <c r="B33" s="220"/>
      <c r="C33" s="220"/>
      <c r="D33" s="220"/>
      <c r="E33" s="248"/>
      <c r="F33" s="238">
        <v>262500</v>
      </c>
      <c r="G33" s="238">
        <v>0</v>
      </c>
      <c r="H33" s="248"/>
      <c r="I33" s="242">
        <v>262500</v>
      </c>
      <c r="J33" s="242">
        <f t="shared" ref="J33:Q33" si="2">SUM(J21:J32)</f>
        <v>0</v>
      </c>
      <c r="K33" s="242">
        <f t="shared" si="2"/>
        <v>0</v>
      </c>
      <c r="L33" s="242">
        <f t="shared" si="2"/>
        <v>0</v>
      </c>
      <c r="M33" s="242">
        <f t="shared" si="2"/>
        <v>482500</v>
      </c>
      <c r="N33" s="242">
        <f t="shared" si="2"/>
        <v>482500</v>
      </c>
      <c r="O33" s="242">
        <f t="shared" si="2"/>
        <v>482500</v>
      </c>
      <c r="P33" s="242">
        <f t="shared" si="2"/>
        <v>482500</v>
      </c>
      <c r="Q33" s="242">
        <f t="shared" si="2"/>
        <v>482500</v>
      </c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</row>
    <row r="34" spans="1:53">
      <c r="A34" s="265"/>
      <c r="B34" s="220"/>
      <c r="C34" s="220"/>
      <c r="D34" s="220"/>
      <c r="E34" s="242"/>
      <c r="F34" s="242"/>
      <c r="G34" s="242"/>
      <c r="H34" s="242"/>
      <c r="I34" s="242"/>
      <c r="J34" s="242"/>
      <c r="K34" s="242"/>
      <c r="L34" s="242"/>
      <c r="M34" s="242"/>
      <c r="N34" s="393"/>
      <c r="O34" s="242"/>
      <c r="P34" s="242"/>
      <c r="Q34" s="242"/>
      <c r="R34" s="220"/>
      <c r="S34" s="220"/>
      <c r="T34" s="220"/>
      <c r="U34" s="220"/>
      <c r="V34" s="220"/>
      <c r="W34" s="220"/>
      <c r="X34" s="220"/>
      <c r="Y34" s="220"/>
      <c r="Z34" s="266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</row>
    <row r="35" spans="1:53" ht="14.65" customHeight="1">
      <c r="A35" s="263" t="s">
        <v>35</v>
      </c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</row>
    <row r="36" spans="1:53">
      <c r="A36" s="220" t="str">
        <f t="shared" ref="A36:A47" si="3">+A6</f>
        <v>HOBI (CW)</v>
      </c>
      <c r="B36" s="244" t="s">
        <v>36</v>
      </c>
      <c r="C36" s="244" t="s">
        <v>37</v>
      </c>
      <c r="D36" s="244" t="s">
        <v>9</v>
      </c>
      <c r="E36" s="255"/>
      <c r="F36" s="267">
        <v>237875</v>
      </c>
      <c r="G36" s="267">
        <v>108000</v>
      </c>
      <c r="H36" s="255"/>
      <c r="I36" s="255">
        <v>237875</v>
      </c>
      <c r="J36" s="255">
        <f>+J6*(1+'.c12_inputs.hr'!$E$15)+(J21*(1+'.c12_inputs.hr'!$E$16))</f>
        <v>107999.99999999999</v>
      </c>
      <c r="K36" s="255">
        <f>+K6*(1+'.c12_inputs.hr'!$E$15)+(K21*(1+'.c12_inputs.hr'!$E$16))</f>
        <v>107999.99999999999</v>
      </c>
      <c r="L36" s="255">
        <f>+L6*(1+'.c12_inputs.hr'!$E$15)+(L21*(1+'.c12_inputs.hr'!$E$16))</f>
        <v>107999.99999999999</v>
      </c>
      <c r="M36" s="255">
        <f>+M6*(1+'.c12_inputs.hr'!$E$15)+(M21*(1+'.c12_inputs.hr'!$E$16))</f>
        <v>341774.99999999994</v>
      </c>
      <c r="N36" s="255">
        <f>+N6*(1+'.c12_inputs.hr'!$E$15)+(N21*(1+'.c12_inputs.hr'!$E$16))</f>
        <v>341774.99999999994</v>
      </c>
      <c r="O36" s="255">
        <f>+O6*(1+'.c12_inputs.hr'!$E$15)+(O21*(1+'.c12_inputs.hr'!$E$16))</f>
        <v>341774.99999999994</v>
      </c>
      <c r="P36" s="255">
        <f>+P6*(1+'.c12_inputs.hr'!$E$15)+(P21*(1+'.c12_inputs.hr'!$E$16))</f>
        <v>341774.99999999994</v>
      </c>
      <c r="Q36" s="255">
        <f>+Q6*(1+'.c12_inputs.hr'!$E$15)+(Q21*(1+'.c12_inputs.hr'!$E$16))</f>
        <v>341774.99999999994</v>
      </c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</row>
    <row r="37" spans="1:53">
      <c r="A37" s="220" t="str">
        <f t="shared" si="3"/>
        <v xml:space="preserve">CFO (ZS) </v>
      </c>
      <c r="B37" s="244" t="s">
        <v>36</v>
      </c>
      <c r="C37" s="244" t="s">
        <v>37</v>
      </c>
      <c r="D37" s="244" t="s">
        <v>11</v>
      </c>
      <c r="E37" s="255"/>
      <c r="F37" s="267">
        <v>62339.999999999993</v>
      </c>
      <c r="G37" s="267">
        <v>0</v>
      </c>
      <c r="H37" s="255"/>
      <c r="I37" s="255">
        <v>62339.999999999993</v>
      </c>
      <c r="J37" s="255">
        <f>+J7*(1+'.c12_inputs.hr'!$E$15)+(J22*(1+'.c12_inputs.hr'!$E$16))</f>
        <v>0</v>
      </c>
      <c r="K37" s="255">
        <f>+K7*(1+'.c12_inputs.hr'!$E$15)+(K22*(1+'.c12_inputs.hr'!$E$16))</f>
        <v>144000</v>
      </c>
      <c r="L37" s="255">
        <f>+L7*(1+'.c12_inputs.hr'!$E$15)+(L22*(1+'.c12_inputs.hr'!$E$16))</f>
        <v>144000</v>
      </c>
      <c r="M37" s="255">
        <f>+M7*(1+'.c12_inputs.hr'!$E$15)+(M22*(1+'.c12_inputs.hr'!$E$16))</f>
        <v>247900</v>
      </c>
      <c r="N37" s="255">
        <f>+N7*(1+'.c12_inputs.hr'!$E$15)+(N22*(1+'.c12_inputs.hr'!$E$16))</f>
        <v>247900</v>
      </c>
      <c r="O37" s="255">
        <f>+O7*(1+'.c12_inputs.hr'!$E$15)+(O22*(1+'.c12_inputs.hr'!$E$16))</f>
        <v>247900</v>
      </c>
      <c r="P37" s="255">
        <f>+P7*(1+'.c12_inputs.hr'!$E$15)+(P22*(1+'.c12_inputs.hr'!$E$16))</f>
        <v>247900</v>
      </c>
      <c r="Q37" s="255">
        <f>+Q7*(1+'.c12_inputs.hr'!$E$15)+(Q22*(1+'.c12_inputs.hr'!$E$16))</f>
        <v>247900</v>
      </c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</row>
    <row r="38" spans="1:53">
      <c r="A38" s="220" t="str">
        <f t="shared" si="3"/>
        <v xml:space="preserve">Financial Analyst (NR) </v>
      </c>
      <c r="B38" s="244" t="s">
        <v>36</v>
      </c>
      <c r="C38" s="244" t="s">
        <v>37</v>
      </c>
      <c r="D38" s="244" t="s">
        <v>13</v>
      </c>
      <c r="E38" s="255"/>
      <c r="F38" s="267">
        <v>29675</v>
      </c>
      <c r="G38" s="267">
        <v>24480</v>
      </c>
      <c r="H38" s="255"/>
      <c r="I38" s="255">
        <v>29675</v>
      </c>
      <c r="J38" s="255">
        <f>+J8*(1+'.c12_inputs.hr'!$E$15)+(J23*(1+'.c12_inputs.hr'!$E$16))</f>
        <v>24479.999999999996</v>
      </c>
      <c r="K38" s="255">
        <f>+K8*(1+'.c12_inputs.hr'!$E$15)+(K23*(1+'.c12_inputs.hr'!$E$16))</f>
        <v>24479.999999999996</v>
      </c>
      <c r="L38" s="255">
        <f>+L8*(1+'.c12_inputs.hr'!$E$15)+(L23*(1+'.c12_inputs.hr'!$E$16))</f>
        <v>24479.999999999996</v>
      </c>
      <c r="M38" s="255">
        <f>+M8*(1+'.c12_inputs.hr'!$E$15)+(M23*(1+'.c12_inputs.hr'!$E$16))</f>
        <v>32272.499999999996</v>
      </c>
      <c r="N38" s="255">
        <f>+N8*(1+'.c12_inputs.hr'!$E$15)+(N23*(1+'.c12_inputs.hr'!$E$16))</f>
        <v>32272.499999999996</v>
      </c>
      <c r="O38" s="255">
        <f>+O8*(1+'.c12_inputs.hr'!$E$15)+(O23*(1+'.c12_inputs.hr'!$E$16))</f>
        <v>32272.499999999996</v>
      </c>
      <c r="P38" s="255">
        <f>+P8*(1+'.c12_inputs.hr'!$E$15)+(P23*(1+'.c12_inputs.hr'!$E$16))</f>
        <v>32272.499999999996</v>
      </c>
      <c r="Q38" s="255">
        <f>+Q8*(1+'.c12_inputs.hr'!$E$15)+(Q23*(1+'.c12_inputs.hr'!$E$16))</f>
        <v>32272.499999999996</v>
      </c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</row>
    <row r="39" spans="1:53">
      <c r="A39" s="220" t="str">
        <f t="shared" si="3"/>
        <v>Fin Controls (TB) - 100%</v>
      </c>
      <c r="B39" s="244" t="s">
        <v>36</v>
      </c>
      <c r="C39" s="244" t="s">
        <v>37</v>
      </c>
      <c r="D39" s="244" t="s">
        <v>15</v>
      </c>
      <c r="E39" s="255"/>
      <c r="F39" s="267">
        <v>71462.5</v>
      </c>
      <c r="G39" s="267">
        <v>56159.999999999993</v>
      </c>
      <c r="H39" s="255"/>
      <c r="I39" s="255">
        <v>71462.5</v>
      </c>
      <c r="J39" s="255">
        <f>+J9*(1+'.c12_inputs.hr'!$E$15)+(J24*(1+'.c12_inputs.hr'!$E$16))</f>
        <v>56159.999999999993</v>
      </c>
      <c r="K39" s="255">
        <f>+K9*(1+'.c12_inputs.hr'!$E$15)+(K24*(1+'.c12_inputs.hr'!$E$16))</f>
        <v>56159.999999999993</v>
      </c>
      <c r="L39" s="255">
        <f>+L9*(1+'.c12_inputs.hr'!$E$15)+(L24*(1+'.c12_inputs.hr'!$E$16))</f>
        <v>56159.999999999993</v>
      </c>
      <c r="M39" s="255">
        <f>+M9*(1+'.c12_inputs.hr'!$E$15)+(M24*(1+'.c12_inputs.hr'!$E$16))</f>
        <v>71744.999999999985</v>
      </c>
      <c r="N39" s="255">
        <f>+N9*(1+'.c12_inputs.hr'!$E$15)+(N24*(1+'.c12_inputs.hr'!$E$16))</f>
        <v>71744.999999999985</v>
      </c>
      <c r="O39" s="255">
        <f>+O9*(1+'.c12_inputs.hr'!$E$15)+(O24*(1+'.c12_inputs.hr'!$E$16))</f>
        <v>71744.999999999985</v>
      </c>
      <c r="P39" s="255">
        <f>+P9*(1+'.c12_inputs.hr'!$E$15)+(P24*(1+'.c12_inputs.hr'!$E$16))</f>
        <v>71744.999999999985</v>
      </c>
      <c r="Q39" s="255">
        <f>+Q9*(1+'.c12_inputs.hr'!$E$15)+(Q24*(1+'.c12_inputs.hr'!$E$16))</f>
        <v>71744.999999999985</v>
      </c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</row>
    <row r="40" spans="1:53">
      <c r="A40" s="220" t="str">
        <f t="shared" si="3"/>
        <v>Administrative Assistant (AM)</v>
      </c>
      <c r="B40" s="244" t="s">
        <v>36</v>
      </c>
      <c r="C40" s="244" t="s">
        <v>37</v>
      </c>
      <c r="D40" s="244" t="s">
        <v>17</v>
      </c>
      <c r="E40" s="255"/>
      <c r="F40" s="267">
        <v>46390</v>
      </c>
      <c r="G40" s="267">
        <v>0</v>
      </c>
      <c r="H40" s="242"/>
      <c r="I40" s="255">
        <v>46390</v>
      </c>
      <c r="J40" s="255">
        <f>+J10*(1+'.c12_inputs.hr'!$E$15)+(J25*(1+'.c12_inputs.hr'!$E$16))</f>
        <v>0</v>
      </c>
      <c r="K40" s="255">
        <f>+K10*(1+'.c12_inputs.hr'!$E$15)+(K25*(1+'.c12_inputs.hr'!$E$16))</f>
        <v>0</v>
      </c>
      <c r="L40" s="255">
        <f>+L10*(1+'.c12_inputs.hr'!$E$15)+(L25*(1+'.c12_inputs.hr'!$E$16))</f>
        <v>0</v>
      </c>
      <c r="M40" s="255">
        <f>+M10*(1+'.c12_inputs.hr'!$E$15)+(M25*(1+'.c12_inputs.hr'!$E$16))</f>
        <v>0</v>
      </c>
      <c r="N40" s="255">
        <f>+N10*(1+'.c12_inputs.hr'!$E$15)+(N25*(1+'.c12_inputs.hr'!$E$16))</f>
        <v>0</v>
      </c>
      <c r="O40" s="255">
        <f>+O10*(1+'.c12_inputs.hr'!$E$15)+(O25*(1+'.c12_inputs.hr'!$E$16))</f>
        <v>0</v>
      </c>
      <c r="P40" s="255">
        <f>+P10*(1+'.c12_inputs.hr'!$E$15)+(P25*(1+'.c12_inputs.hr'!$E$16))</f>
        <v>0</v>
      </c>
      <c r="Q40" s="255">
        <f>+Q10*(1+'.c12_inputs.hr'!$E$15)+(Q25*(1+'.c12_inputs.hr'!$E$16))</f>
        <v>0</v>
      </c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</row>
    <row r="41" spans="1:53">
      <c r="A41" s="220" t="str">
        <f t="shared" si="3"/>
        <v>Administrative Assistant (PT)</v>
      </c>
      <c r="B41" s="244" t="s">
        <v>36</v>
      </c>
      <c r="C41" s="244" t="s">
        <v>37</v>
      </c>
      <c r="D41" s="244" t="s">
        <v>19</v>
      </c>
      <c r="E41" s="242"/>
      <c r="F41" s="238">
        <v>0</v>
      </c>
      <c r="G41" s="238">
        <v>0</v>
      </c>
      <c r="H41" s="255"/>
      <c r="I41" s="242">
        <v>0</v>
      </c>
      <c r="J41" s="242">
        <f>'.c12_bi&amp;f_hr'!J11*(1+'.c12_inputs.hr'!$E$5)+('.c12_bi&amp;f_hr'!J26*(1+'.c12_inputs.hr'!$E$6))</f>
        <v>0</v>
      </c>
      <c r="K41" s="242">
        <f>'.c12_bi&amp;f_hr'!K11*(1+'.c12_inputs.hr'!$E$5)+('.c12_bi&amp;f_hr'!K26*(1+'.c12_inputs.hr'!$E$6))</f>
        <v>37037.142857142862</v>
      </c>
      <c r="L41" s="242">
        <f>'.c12_bi&amp;f_hr'!L11*(1+'.c12_inputs.hr'!$E$5)+('.c12_bi&amp;f_hr'!L26*(1+'.c12_inputs.hr'!$E$6))</f>
        <v>37037.142857142862</v>
      </c>
      <c r="M41" s="242">
        <f>'.c12_bi&amp;f_hr'!M11*(1+'.c12_inputs.hr'!$E$5)+('.c12_bi&amp;f_hr'!M26*(1+'.c12_inputs.hr'!$E$6))</f>
        <v>47427.142857142862</v>
      </c>
      <c r="N41" s="242">
        <f>'.c12_bi&amp;f_hr'!N11*(1+'.c12_inputs.hr'!$E$5)+('.c12_bi&amp;f_hr'!N26*(1+'.c12_inputs.hr'!$E$6))</f>
        <v>47427.142857142862</v>
      </c>
      <c r="O41" s="242">
        <f>'.c12_bi&amp;f_hr'!O11*(1+'.c12_inputs.hr'!$E$5)+('.c12_bi&amp;f_hr'!O26*(1+'.c12_inputs.hr'!$E$6))</f>
        <v>47427.142857142862</v>
      </c>
      <c r="P41" s="242">
        <f>'.c12_bi&amp;f_hr'!P11*(1+'.c12_inputs.hr'!$E$5)+('.c12_bi&amp;f_hr'!P26*(1+'.c12_inputs.hr'!$E$6))</f>
        <v>47427.142857142862</v>
      </c>
      <c r="Q41" s="242">
        <f>'.c12_bi&amp;f_hr'!Q11*(1+'.c12_inputs.hr'!$E$5)+('.c12_bi&amp;f_hr'!Q26*(1+'.c12_inputs.hr'!$E$6))</f>
        <v>47427.142857142862</v>
      </c>
      <c r="R41" s="220"/>
      <c r="S41" s="220"/>
      <c r="T41" s="220"/>
      <c r="U41" s="220"/>
      <c r="V41" s="220"/>
      <c r="W41" s="220"/>
      <c r="X41" s="220"/>
      <c r="Y41" s="222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</row>
    <row r="42" spans="1:53">
      <c r="A42" s="220" t="str">
        <f t="shared" si="3"/>
        <v>Financial Director (DV) - 100%</v>
      </c>
      <c r="B42" s="244" t="s">
        <v>36</v>
      </c>
      <c r="C42" s="244" t="s">
        <v>37</v>
      </c>
      <c r="D42" s="244" t="s">
        <v>21</v>
      </c>
      <c r="E42" s="255"/>
      <c r="F42" s="267">
        <v>82700</v>
      </c>
      <c r="G42" s="267">
        <v>61919.999999999993</v>
      </c>
      <c r="H42" s="255"/>
      <c r="I42" s="255">
        <v>82700</v>
      </c>
      <c r="J42" s="255">
        <f>+J12*(1+'.c12_inputs.hr'!$E$15)+(J27*(1+'.c12_inputs.hr'!$E$16))</f>
        <v>61919.999999999993</v>
      </c>
      <c r="K42" s="255">
        <f>+K12*(1+'.c12_inputs.hr'!$E$15)+(K27*(1+'.c12_inputs.hr'!$E$16))</f>
        <v>61919.999999999993</v>
      </c>
      <c r="L42" s="255">
        <f>+L12*(1+'.c12_inputs.hr'!$E$15)+(L27*(1+'.c12_inputs.hr'!$E$16))</f>
        <v>61919.999999999993</v>
      </c>
      <c r="M42" s="255">
        <f>+M12*(1+'.c12_inputs.hr'!$E$15)+(M27*(1+'.c12_inputs.hr'!$E$16))</f>
        <v>103480</v>
      </c>
      <c r="N42" s="255">
        <f>+N12*(1+'.c12_inputs.hr'!$E$15)+(N27*(1+'.c12_inputs.hr'!$E$16))</f>
        <v>103480</v>
      </c>
      <c r="O42" s="255">
        <f>+O12*(1+'.c12_inputs.hr'!$E$15)+(O27*(1+'.c12_inputs.hr'!$E$16))</f>
        <v>103480</v>
      </c>
      <c r="P42" s="255">
        <f>+P12*(1+'.c12_inputs.hr'!$E$15)+(P27*(1+'.c12_inputs.hr'!$E$16))</f>
        <v>103480</v>
      </c>
      <c r="Q42" s="255">
        <f>+Q12*(1+'.c12_inputs.hr'!$E$15)+(Q27*(1+'.c12_inputs.hr'!$E$16))</f>
        <v>103480</v>
      </c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</row>
    <row r="43" spans="1:53">
      <c r="A43" s="220" t="str">
        <f t="shared" si="3"/>
        <v>IM (TW)</v>
      </c>
      <c r="B43" s="244" t="s">
        <v>36</v>
      </c>
      <c r="C43" s="244" t="s">
        <v>37</v>
      </c>
      <c r="D43" s="244" t="s">
        <v>23</v>
      </c>
      <c r="E43" s="255"/>
      <c r="F43" s="267">
        <v>72055</v>
      </c>
      <c r="G43" s="267">
        <v>46080</v>
      </c>
      <c r="H43" s="255"/>
      <c r="I43" s="255">
        <v>72055</v>
      </c>
      <c r="J43" s="255">
        <f>+J13*(1+'.c12_inputs.hr'!$E$15)+(J28*(1+'.c12_inputs.hr'!$E$16))</f>
        <v>46080</v>
      </c>
      <c r="K43" s="255">
        <f>+K13*(1+'.c12_inputs.hr'!$E$15)+(K28*(1+'.c12_inputs.hr'!$E$16))</f>
        <v>46080</v>
      </c>
      <c r="L43" s="255">
        <f>+L13*(1+'.c12_inputs.hr'!$E$15)+(L28*(1+'.c12_inputs.hr'!$E$16))</f>
        <v>46080</v>
      </c>
      <c r="M43" s="255">
        <f>+M13*(1+'.c12_inputs.hr'!$E$15)+(M28*(1+'.c12_inputs.hr'!$E$16))</f>
        <v>72055</v>
      </c>
      <c r="N43" s="255">
        <f>+N13*(1+'.c12_inputs.hr'!$E$15)+(N28*(1+'.c12_inputs.hr'!$E$16))</f>
        <v>72055</v>
      </c>
      <c r="O43" s="255">
        <f>+O13*(1+'.c12_inputs.hr'!$E$15)+(O28*(1+'.c12_inputs.hr'!$E$16))</f>
        <v>72055</v>
      </c>
      <c r="P43" s="255">
        <f>+P13*(1+'.c12_inputs.hr'!$E$15)+(P28*(1+'.c12_inputs.hr'!$E$16))</f>
        <v>72055</v>
      </c>
      <c r="Q43" s="255">
        <f>+Q13*(1+'.c12_inputs.hr'!$E$15)+(Q28*(1+'.c12_inputs.hr'!$E$16))</f>
        <v>72055</v>
      </c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</row>
    <row r="44" spans="1:53">
      <c r="A44" s="220" t="str">
        <f t="shared" si="3"/>
        <v>HR (100%)</v>
      </c>
      <c r="B44" s="244" t="s">
        <v>36</v>
      </c>
      <c r="C44" s="244" t="s">
        <v>37</v>
      </c>
      <c r="D44" s="244" t="s">
        <v>25</v>
      </c>
      <c r="E44" s="255"/>
      <c r="F44" s="267">
        <v>0</v>
      </c>
      <c r="G44" s="267">
        <v>0</v>
      </c>
      <c r="H44" s="255"/>
      <c r="I44" s="255">
        <v>0</v>
      </c>
      <c r="J44" s="255">
        <f>+J14*(1+'.c12_inputs.hr'!$E$15)+(J29*(1+'.c12_inputs.hr'!$E$16))</f>
        <v>0</v>
      </c>
      <c r="K44" s="255">
        <f>+K14*(1+'.c12_inputs.hr'!$E$15)+(K29*(1+'.c12_inputs.hr'!$E$16))</f>
        <v>0</v>
      </c>
      <c r="L44" s="255">
        <f>+L14*(1+'.c12_inputs.hr'!$E$15)+(L29*(1+'.c12_inputs.hr'!$E$16))</f>
        <v>43200</v>
      </c>
      <c r="M44" s="255">
        <f>+M14*(1+'.c12_inputs.hr'!$E$15)+(M29*(1+'.c12_inputs.hr'!$E$16))</f>
        <v>58785</v>
      </c>
      <c r="N44" s="255">
        <f>+N14*(1+'.c12_inputs.hr'!$E$15)+(N29*(1+'.c12_inputs.hr'!$E$16))</f>
        <v>58785</v>
      </c>
      <c r="O44" s="255">
        <f>+O14*(1+'.c12_inputs.hr'!$E$15)+(O29*(1+'.c12_inputs.hr'!$E$16))</f>
        <v>58785</v>
      </c>
      <c r="P44" s="255">
        <f>+P14*(1+'.c12_inputs.hr'!$E$15)+(P29*(1+'.c12_inputs.hr'!$E$16))</f>
        <v>58785</v>
      </c>
      <c r="Q44" s="255">
        <f>+Q14*(1+'.c12_inputs.hr'!$E$15)+(Q29*(1+'.c12_inputs.hr'!$E$16))</f>
        <v>58785</v>
      </c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</row>
    <row r="45" spans="1:53">
      <c r="A45" s="220" t="str">
        <f t="shared" si="3"/>
        <v>Legal (100%)</v>
      </c>
      <c r="B45" s="244" t="s">
        <v>36</v>
      </c>
      <c r="C45" s="244" t="s">
        <v>37</v>
      </c>
      <c r="D45" s="244" t="s">
        <v>27</v>
      </c>
      <c r="E45" s="255"/>
      <c r="F45" s="267">
        <v>0</v>
      </c>
      <c r="G45" s="267">
        <v>0</v>
      </c>
      <c r="H45" s="255"/>
      <c r="I45" s="255">
        <v>0</v>
      </c>
      <c r="J45" s="255">
        <f>+J15*(1+'.c12_inputs.hr'!$E$15)+(J30*(1+'.c12_inputs.hr'!$E$16))</f>
        <v>0</v>
      </c>
      <c r="K45" s="255">
        <f>+K15*(1+'.c12_inputs.hr'!$E$15)+(K30*(1+'.c12_inputs.hr'!$E$16))</f>
        <v>0</v>
      </c>
      <c r="L45" s="255">
        <f>+L15*(1+'.c12_inputs.hr'!$E$15)+(L30*(1+'.c12_inputs.hr'!$E$16))</f>
        <v>64799.999999999993</v>
      </c>
      <c r="M45" s="255">
        <f>+M15*(1+'.c12_inputs.hr'!$E$15)+(M30*(1+'.c12_inputs.hr'!$E$16))</f>
        <v>80384.999999999985</v>
      </c>
      <c r="N45" s="255">
        <f>+N15*(1+'.c12_inputs.hr'!$E$15)+(N30*(1+'.c12_inputs.hr'!$E$16))</f>
        <v>80384.999999999985</v>
      </c>
      <c r="O45" s="255">
        <f>+O15*(1+'.c12_inputs.hr'!$E$15)+(O30*(1+'.c12_inputs.hr'!$E$16))</f>
        <v>80384.999999999985</v>
      </c>
      <c r="P45" s="255">
        <f>+P15*(1+'.c12_inputs.hr'!$E$15)+(P30*(1+'.c12_inputs.hr'!$E$16))</f>
        <v>80384.999999999985</v>
      </c>
      <c r="Q45" s="255">
        <f>+Q15*(1+'.c12_inputs.hr'!$E$15)+(Q30*(1+'.c12_inputs.hr'!$E$16))</f>
        <v>80384.999999999985</v>
      </c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</row>
    <row r="46" spans="1:53">
      <c r="A46" s="220" t="str">
        <f t="shared" si="3"/>
        <v>Tech1</v>
      </c>
      <c r="B46" s="244" t="s">
        <v>36</v>
      </c>
      <c r="C46" s="244" t="s">
        <v>37</v>
      </c>
      <c r="D46" s="244" t="s">
        <v>29</v>
      </c>
      <c r="E46" s="255"/>
      <c r="F46" s="267">
        <v>0</v>
      </c>
      <c r="G46" s="267">
        <v>0</v>
      </c>
      <c r="H46" s="255"/>
      <c r="I46" s="255">
        <v>0</v>
      </c>
      <c r="J46" s="255">
        <f>+J16*(1+'.c12_inputs.hr'!$E$15)+(J31*(1+'.c12_inputs.hr'!$E$16))</f>
        <v>0</v>
      </c>
      <c r="K46" s="255">
        <f>+K16*(1+'.c12_inputs.hr'!$E$15)+(K31*(1+'.c12_inputs.hr'!$E$16))</f>
        <v>0</v>
      </c>
      <c r="L46" s="255">
        <f>+L16*(1+'.c12_inputs.hr'!$E$15)+(L31*(1+'.c12_inputs.hr'!$E$16))</f>
        <v>64799.999999999993</v>
      </c>
      <c r="M46" s="255">
        <f>+M16*(1+'.c12_inputs.hr'!$E$15)+(M31*(1+'.c12_inputs.hr'!$E$16))</f>
        <v>80384.999999999985</v>
      </c>
      <c r="N46" s="255">
        <f>+N16*(1+'.c12_inputs.hr'!$E$15)+(N31*(1+'.c12_inputs.hr'!$E$16))</f>
        <v>80384.999999999985</v>
      </c>
      <c r="O46" s="255">
        <f>+O16*(1+'.c12_inputs.hr'!$E$15)+(O31*(1+'.c12_inputs.hr'!$E$16))</f>
        <v>80384.999999999985</v>
      </c>
      <c r="P46" s="255">
        <f>+P16*(1+'.c12_inputs.hr'!$E$15)+(P31*(1+'.c12_inputs.hr'!$E$16))</f>
        <v>80384.999999999985</v>
      </c>
      <c r="Q46" s="255">
        <f>+Q16*(1+'.c12_inputs.hr'!$E$15)+(Q31*(1+'.c12_inputs.hr'!$E$16))</f>
        <v>80384.999999999985</v>
      </c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</row>
    <row r="47" spans="1:53" ht="14.65" customHeight="1">
      <c r="A47" s="220" t="str">
        <f t="shared" si="3"/>
        <v>Tech2</v>
      </c>
      <c r="B47" s="244" t="s">
        <v>36</v>
      </c>
      <c r="C47" s="244" t="s">
        <v>37</v>
      </c>
      <c r="D47" s="244" t="s">
        <v>31</v>
      </c>
      <c r="E47" s="255"/>
      <c r="F47" s="267">
        <v>0</v>
      </c>
      <c r="G47" s="267">
        <v>0</v>
      </c>
      <c r="H47" s="255"/>
      <c r="I47" s="255">
        <v>0</v>
      </c>
      <c r="J47" s="255">
        <f>+J17*(1+'.c12_inputs.hr'!$E$15)+(J32*(1+'.c12_inputs.hr'!$E$16))</f>
        <v>0</v>
      </c>
      <c r="K47" s="255">
        <f>+K17*(1+'.c12_inputs.hr'!$E$15)+(K32*(1+'.c12_inputs.hr'!$E$16))</f>
        <v>0</v>
      </c>
      <c r="L47" s="255">
        <f>+L17*(1+'.c12_inputs.hr'!$E$15)+(L32*(1+'.c12_inputs.hr'!$E$16))</f>
        <v>21600</v>
      </c>
      <c r="M47" s="255">
        <f>+M17*(1+'.c12_inputs.hr'!$E$15)+(M32*(1+'.c12_inputs.hr'!$E$16))</f>
        <v>37185</v>
      </c>
      <c r="N47" s="255">
        <f>+N17*(1+'.c12_inputs.hr'!$E$15)+(N32*(1+'.c12_inputs.hr'!$E$16))</f>
        <v>37185</v>
      </c>
      <c r="O47" s="255">
        <f>+O17*(1+'.c12_inputs.hr'!$E$15)+(O32*(1+'.c12_inputs.hr'!$E$16))</f>
        <v>37185</v>
      </c>
      <c r="P47" s="255">
        <f>+P17*(1+'.c12_inputs.hr'!$E$15)+(P32*(1+'.c12_inputs.hr'!$E$16))</f>
        <v>37185</v>
      </c>
      <c r="Q47" s="255">
        <f>+Q17*(1+'.c12_inputs.hr'!$E$15)+(Q32*(1+'.c12_inputs.hr'!$E$16))</f>
        <v>37185</v>
      </c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</row>
    <row r="48" spans="1:53" ht="14.65" customHeight="1">
      <c r="A48" s="264" t="s">
        <v>38</v>
      </c>
      <c r="B48" s="244" t="s">
        <v>39</v>
      </c>
      <c r="C48" s="244" t="s">
        <v>40</v>
      </c>
      <c r="D48" s="220"/>
      <c r="E48" s="255"/>
      <c r="F48" s="267">
        <v>602497.5</v>
      </c>
      <c r="G48" s="267">
        <v>296640</v>
      </c>
      <c r="H48" s="250"/>
      <c r="I48" s="268">
        <v>602497.5</v>
      </c>
      <c r="J48" s="268">
        <f t="shared" ref="J48:Q48" si="4">SUM(J36:J47)</f>
        <v>296640</v>
      </c>
      <c r="K48" s="268">
        <f t="shared" si="4"/>
        <v>477677.14285714284</v>
      </c>
      <c r="L48" s="268">
        <f t="shared" si="4"/>
        <v>672077.14285714284</v>
      </c>
      <c r="M48" s="268">
        <f t="shared" si="4"/>
        <v>1173394.6428571427</v>
      </c>
      <c r="N48" s="268">
        <f t="shared" si="4"/>
        <v>1173394.6428571427</v>
      </c>
      <c r="O48" s="268">
        <f t="shared" si="4"/>
        <v>1173394.6428571427</v>
      </c>
      <c r="P48" s="268">
        <f t="shared" si="4"/>
        <v>1173394.6428571427</v>
      </c>
      <c r="Q48" s="268">
        <f t="shared" si="4"/>
        <v>1173394.6428571427</v>
      </c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20"/>
      <c r="AY48" s="220"/>
      <c r="AZ48" s="220"/>
      <c r="BA48" s="220"/>
    </row>
    <row r="49" spans="1:53">
      <c r="A49" s="245" t="s">
        <v>41</v>
      </c>
      <c r="B49" s="244" t="s">
        <v>39</v>
      </c>
      <c r="C49" s="244" t="s">
        <v>42</v>
      </c>
      <c r="D49" s="220"/>
      <c r="E49" s="250"/>
      <c r="F49" s="252">
        <v>154162.5</v>
      </c>
      <c r="G49" s="252">
        <v>118080</v>
      </c>
      <c r="H49" s="250"/>
      <c r="I49" s="253">
        <v>154162.5</v>
      </c>
      <c r="J49" s="253">
        <f>SUMPRODUCT('.c12_alloc'!$H$38:$H$49,'.c12_bi&amp;f_hr'!J$36:J$47)</f>
        <v>118079.99999999999</v>
      </c>
      <c r="K49" s="253">
        <f>SUMPRODUCT('.c12_alloc'!$H$38:$H$49,'.c12_bi&amp;f_hr'!K$36:K$47)</f>
        <v>118079.99999999999</v>
      </c>
      <c r="L49" s="253">
        <f>SUMPRODUCT('.c12_alloc'!$H$38:$H$49,'.c12_bi&amp;f_hr'!L$36:L$47)</f>
        <v>226080</v>
      </c>
      <c r="M49" s="253">
        <f>SUMPRODUCT('.c12_alloc'!$H$38:$H$49,'.c12_bi&amp;f_hr'!M$36:M$47)</f>
        <v>314395</v>
      </c>
      <c r="N49" s="392">
        <f>SUMPRODUCT('.c12_alloc'!$H$38:$H$49,'.c12_bi&amp;f_hr'!N$36:N$47)</f>
        <v>314395</v>
      </c>
      <c r="O49" s="392">
        <f>SUMPRODUCT('.c12_alloc'!$H$38:$H$49,'.c12_bi&amp;f_hr'!O$36:O$47)</f>
        <v>314395</v>
      </c>
      <c r="P49" s="392">
        <f>SUMPRODUCT('.c12_alloc'!$H$38:$H$49,'.c12_bi&amp;f_hr'!P$36:P$47)</f>
        <v>314395</v>
      </c>
      <c r="Q49" s="392">
        <f>SUMPRODUCT('.c12_alloc'!$H$38:$H$49,'.c12_bi&amp;f_hr'!Q$36:Q$47)</f>
        <v>314395</v>
      </c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220"/>
      <c r="AW49" s="220"/>
      <c r="AX49" s="220"/>
      <c r="AY49" s="220"/>
      <c r="AZ49" s="220"/>
      <c r="BA49" s="220"/>
    </row>
    <row r="50" spans="1:53">
      <c r="A50" s="245" t="s">
        <v>43</v>
      </c>
      <c r="B50" s="244" t="s">
        <v>39</v>
      </c>
      <c r="C50" s="244" t="s">
        <v>44</v>
      </c>
      <c r="D50" s="220"/>
      <c r="E50" s="250"/>
      <c r="F50" s="252">
        <v>448334.99999999988</v>
      </c>
      <c r="G50" s="252">
        <v>178560</v>
      </c>
      <c r="H50" s="250"/>
      <c r="I50" s="253">
        <v>448334.99999999988</v>
      </c>
      <c r="J50" s="253">
        <f>SUMPRODUCT('.c12_alloc'!$G$38:$G$49,'.c12_bi&amp;f_hr'!J$36:J$47)</f>
        <v>178559.99999999997</v>
      </c>
      <c r="K50" s="253">
        <f>SUMPRODUCT('.c12_alloc'!$G$38:$G$49,'.c12_bi&amp;f_hr'!K$36:K$47)</f>
        <v>359597.14285714284</v>
      </c>
      <c r="L50" s="253">
        <f>SUMPRODUCT('.c12_alloc'!$G$38:$G$49,'.c12_bi&amp;f_hr'!L$36:L$47)</f>
        <v>445997.14285714284</v>
      </c>
      <c r="M50" s="253">
        <f>SUMPRODUCT('.c12_alloc'!$G$38:$G$49,'.c12_bi&amp;f_hr'!M$36:M$47)</f>
        <v>858999.64285714284</v>
      </c>
      <c r="N50" s="392">
        <f>SUMPRODUCT('.c12_alloc'!$G$38:$G$49,'.c12_bi&amp;f_hr'!N$36:N$47)</f>
        <v>858999.64285714284</v>
      </c>
      <c r="O50" s="392">
        <f>SUMPRODUCT('.c12_alloc'!$G$38:$G$49,'.c12_bi&amp;f_hr'!O$36:O$47)</f>
        <v>858999.64285714284</v>
      </c>
      <c r="P50" s="392">
        <f>SUMPRODUCT('.c12_alloc'!$G$38:$G$49,'.c12_bi&amp;f_hr'!P$36:P$47)</f>
        <v>858999.64285714284</v>
      </c>
      <c r="Q50" s="392">
        <f>SUMPRODUCT('.c12_alloc'!$G$38:$G$49,'.c12_bi&amp;f_hr'!Q$36:Q$47)</f>
        <v>858999.64285714284</v>
      </c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0"/>
      <c r="AX50" s="220"/>
      <c r="AY50" s="220"/>
      <c r="AZ50" s="220"/>
      <c r="BA50" s="220"/>
    </row>
    <row r="51" spans="1:53">
      <c r="A51" s="245" t="s">
        <v>45</v>
      </c>
      <c r="B51" s="244" t="s">
        <v>39</v>
      </c>
      <c r="C51" s="244" t="s">
        <v>46</v>
      </c>
      <c r="D51" s="220"/>
      <c r="E51" s="250"/>
      <c r="F51" s="252">
        <v>0</v>
      </c>
      <c r="G51" s="252">
        <v>0</v>
      </c>
      <c r="H51" s="250"/>
      <c r="I51" s="253">
        <v>0</v>
      </c>
      <c r="J51" s="253">
        <f>SUMPRODUCT('.c12_alloc'!$E$38:$E$49,'.c12_bi&amp;f_hr'!J$36:J$47)</f>
        <v>0</v>
      </c>
      <c r="K51" s="253">
        <f>SUMPRODUCT('.c12_alloc'!$E$38:$E$49,'.c12_bi&amp;f_hr'!K$36:K$47)</f>
        <v>0</v>
      </c>
      <c r="L51" s="253">
        <f>SUMPRODUCT('.c12_alloc'!$E$38:$E$49,'.c12_bi&amp;f_hr'!L$36:L$47)</f>
        <v>0</v>
      </c>
      <c r="M51" s="253">
        <f>SUMPRODUCT('.c12_alloc'!$E$38:$E$49,'.c12_bi&amp;f_hr'!M$36:M$47)</f>
        <v>0</v>
      </c>
      <c r="N51" s="392">
        <f>SUMPRODUCT('.c12_alloc'!$E$38:$E$49,'.c12_bi&amp;f_hr'!N$36:N$47)</f>
        <v>0</v>
      </c>
      <c r="O51" s="392">
        <f>SUMPRODUCT('.c12_alloc'!$E$38:$E$49,'.c12_bi&amp;f_hr'!O$36:O$47)</f>
        <v>0</v>
      </c>
      <c r="P51" s="392">
        <f>SUMPRODUCT('.c12_alloc'!$E$38:$E$49,'.c12_bi&amp;f_hr'!P$36:P$47)</f>
        <v>0</v>
      </c>
      <c r="Q51" s="392">
        <f>SUMPRODUCT('.c12_alloc'!$E$38:$E$49,'.c12_bi&amp;f_hr'!Q$36:Q$47)</f>
        <v>0</v>
      </c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  <c r="AV51" s="220"/>
      <c r="AW51" s="220"/>
      <c r="AX51" s="220"/>
      <c r="AY51" s="220"/>
      <c r="AZ51" s="220"/>
      <c r="BA51" s="220"/>
    </row>
    <row r="52" spans="1:53">
      <c r="A52" s="220"/>
      <c r="B52" s="220"/>
      <c r="C52" s="220"/>
      <c r="D52" s="220"/>
      <c r="E52" s="250"/>
      <c r="F52" s="250"/>
      <c r="G52" s="250"/>
      <c r="H52" s="250"/>
      <c r="I52" s="250"/>
      <c r="J52" s="250"/>
      <c r="K52" s="250"/>
      <c r="L52" s="250"/>
      <c r="M52" s="250"/>
      <c r="N52" s="394"/>
      <c r="O52" s="394"/>
      <c r="P52" s="394"/>
      <c r="Q52" s="394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0"/>
      <c r="AX52" s="220"/>
      <c r="AY52" s="220"/>
      <c r="AZ52" s="220"/>
      <c r="BA52" s="220"/>
    </row>
    <row r="53" spans="1:53">
      <c r="A53" s="220"/>
      <c r="B53" s="220"/>
      <c r="C53" s="220"/>
      <c r="D53" s="220"/>
      <c r="E53" s="250"/>
      <c r="F53" s="250"/>
      <c r="G53" s="250"/>
      <c r="H53" s="220"/>
      <c r="I53" s="250"/>
      <c r="J53" s="250"/>
      <c r="K53" s="250"/>
      <c r="L53" s="250"/>
      <c r="M53" s="250"/>
      <c r="N53" s="394"/>
      <c r="O53" s="394"/>
      <c r="P53" s="394"/>
      <c r="Q53" s="394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  <c r="AV53" s="220"/>
      <c r="AW53" s="220"/>
      <c r="AX53" s="220"/>
      <c r="AY53" s="220"/>
      <c r="AZ53" s="220"/>
      <c r="BA53" s="220"/>
    </row>
    <row r="54" spans="1:53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0"/>
      <c r="AX54" s="220"/>
      <c r="AY54" s="220"/>
      <c r="AZ54" s="220"/>
      <c r="BA54" s="220"/>
    </row>
    <row r="55" spans="1:53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  <c r="BA55" s="220"/>
    </row>
    <row r="56" spans="1:53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0"/>
      <c r="AT56" s="220"/>
      <c r="AU56" s="220"/>
      <c r="AV56" s="220"/>
      <c r="AW56" s="220"/>
      <c r="AX56" s="220"/>
      <c r="AY56" s="220"/>
      <c r="AZ56" s="220"/>
      <c r="BA56" s="220"/>
    </row>
    <row r="57" spans="1:53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  <c r="AN57" s="220"/>
      <c r="AO57" s="220"/>
      <c r="AP57" s="220"/>
      <c r="AQ57" s="220"/>
      <c r="AR57" s="220"/>
      <c r="AS57" s="220"/>
      <c r="AT57" s="220"/>
      <c r="AU57" s="220"/>
      <c r="AV57" s="220"/>
      <c r="AW57" s="220"/>
      <c r="AX57" s="220"/>
      <c r="AY57" s="220"/>
      <c r="AZ57" s="220"/>
      <c r="BA57" s="220"/>
    </row>
    <row r="58" spans="1:53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  <c r="AS58" s="220"/>
      <c r="AT58" s="220"/>
      <c r="AU58" s="220"/>
      <c r="AV58" s="220"/>
      <c r="AW58" s="220"/>
      <c r="AX58" s="220"/>
      <c r="AY58" s="220"/>
      <c r="AZ58" s="220"/>
      <c r="BA58" s="220"/>
    </row>
    <row r="59" spans="1:53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0"/>
      <c r="AZ59" s="220"/>
      <c r="BA59" s="220"/>
    </row>
    <row r="60" spans="1:53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0"/>
      <c r="AZ60" s="220"/>
      <c r="BA60" s="220"/>
    </row>
    <row r="61" spans="1:53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0"/>
      <c r="AZ61" s="220"/>
      <c r="BA61" s="220"/>
    </row>
    <row r="62" spans="1:53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0"/>
      <c r="AZ62" s="220"/>
      <c r="BA62" s="220"/>
    </row>
    <row r="63" spans="1:53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  <c r="AV63" s="220"/>
      <c r="AW63" s="220"/>
      <c r="AX63" s="220"/>
      <c r="AY63" s="220"/>
      <c r="AZ63" s="220"/>
      <c r="BA63" s="220"/>
    </row>
    <row r="64" spans="1:53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0"/>
      <c r="AZ64" s="220"/>
      <c r="BA64" s="220"/>
    </row>
    <row r="65" spans="1:53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  <c r="AV65" s="220"/>
      <c r="AW65" s="220"/>
      <c r="AX65" s="220"/>
      <c r="AY65" s="220"/>
      <c r="AZ65" s="220"/>
      <c r="BA65" s="220"/>
    </row>
    <row r="66" spans="1:53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0"/>
    </row>
    <row r="67" spans="1:53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  <c r="AV67" s="220"/>
      <c r="AW67" s="220"/>
      <c r="AX67" s="220"/>
      <c r="AY67" s="220"/>
      <c r="AZ67" s="220"/>
      <c r="BA67" s="220"/>
    </row>
    <row r="68" spans="1:53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0"/>
      <c r="AZ68" s="220"/>
      <c r="BA68" s="220"/>
    </row>
    <row r="69" spans="1:53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0"/>
      <c r="AZ69" s="220"/>
      <c r="BA69" s="220"/>
    </row>
    <row r="70" spans="1:53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  <c r="AV70" s="220"/>
      <c r="AW70" s="220"/>
      <c r="AX70" s="220"/>
      <c r="AY70" s="220"/>
      <c r="AZ70" s="220"/>
      <c r="BA70" s="220"/>
    </row>
    <row r="71" spans="1:53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0"/>
      <c r="AZ71" s="220"/>
      <c r="BA71" s="220"/>
    </row>
    <row r="72" spans="1:53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  <c r="AV72" s="220"/>
      <c r="AW72" s="220"/>
      <c r="AX72" s="220"/>
      <c r="AY72" s="220"/>
      <c r="AZ72" s="220"/>
      <c r="BA72" s="220"/>
    </row>
    <row r="73" spans="1:53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  <c r="AV73" s="220"/>
      <c r="AW73" s="220"/>
      <c r="AX73" s="220"/>
      <c r="AY73" s="220"/>
      <c r="AZ73" s="220"/>
      <c r="BA73" s="220"/>
    </row>
    <row r="74" spans="1:53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0"/>
      <c r="AZ74" s="220"/>
      <c r="BA74" s="220"/>
    </row>
    <row r="75" spans="1:53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0"/>
      <c r="AX75" s="220"/>
      <c r="AY75" s="220"/>
      <c r="AZ75" s="220"/>
      <c r="BA75" s="220"/>
    </row>
    <row r="76" spans="1:53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  <c r="AV76" s="220"/>
      <c r="AW76" s="220"/>
      <c r="AX76" s="220"/>
      <c r="AY76" s="220"/>
      <c r="AZ76" s="220"/>
      <c r="BA76" s="220"/>
    </row>
    <row r="77" spans="1:53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0"/>
      <c r="AZ77" s="220"/>
      <c r="BA77" s="220"/>
    </row>
    <row r="78" spans="1:53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  <c r="AV78" s="220"/>
      <c r="AW78" s="220"/>
      <c r="AX78" s="220"/>
      <c r="AY78" s="220"/>
      <c r="AZ78" s="220"/>
      <c r="BA78" s="220"/>
    </row>
    <row r="79" spans="1:53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  <c r="AV79" s="220"/>
      <c r="AW79" s="220"/>
      <c r="AX79" s="220"/>
      <c r="AY79" s="220"/>
      <c r="AZ79" s="220"/>
      <c r="BA79" s="220"/>
    </row>
    <row r="80" spans="1:53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  <c r="AV80" s="220"/>
      <c r="AW80" s="220"/>
      <c r="AX80" s="220"/>
      <c r="AY80" s="220"/>
      <c r="AZ80" s="220"/>
      <c r="BA80" s="220"/>
    </row>
    <row r="81" spans="1:53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  <c r="AV81" s="220"/>
      <c r="AW81" s="220"/>
      <c r="AX81" s="220"/>
      <c r="AY81" s="220"/>
      <c r="AZ81" s="220"/>
      <c r="BA81" s="220"/>
    </row>
    <row r="82" spans="1:53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0"/>
      <c r="AZ82" s="220"/>
      <c r="BA82" s="220"/>
    </row>
    <row r="83" spans="1:53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0"/>
      <c r="AZ83" s="220"/>
      <c r="BA83" s="220"/>
    </row>
    <row r="84" spans="1:53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</row>
    <row r="85" spans="1:53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0"/>
      <c r="AZ85" s="220"/>
      <c r="BA85" s="220"/>
    </row>
    <row r="86" spans="1:53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0"/>
      <c r="AX86" s="220"/>
      <c r="AY86" s="220"/>
      <c r="AZ86" s="220"/>
      <c r="BA86" s="220"/>
    </row>
    <row r="87" spans="1:53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0"/>
      <c r="AZ87" s="220"/>
      <c r="BA87" s="220"/>
    </row>
    <row r="88" spans="1:53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</row>
    <row r="89" spans="1:53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0"/>
      <c r="AZ89" s="220"/>
      <c r="BA89" s="220"/>
    </row>
    <row r="90" spans="1:53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0"/>
      <c r="AU90" s="220"/>
      <c r="AV90" s="220"/>
      <c r="AW90" s="220"/>
      <c r="AX90" s="220"/>
      <c r="AY90" s="220"/>
      <c r="AZ90" s="220"/>
      <c r="BA90" s="220"/>
    </row>
    <row r="91" spans="1:53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0"/>
      <c r="AS91" s="220"/>
      <c r="AT91" s="220"/>
      <c r="AU91" s="220"/>
      <c r="AV91" s="220"/>
      <c r="AW91" s="220"/>
      <c r="AX91" s="220"/>
      <c r="AY91" s="220"/>
      <c r="AZ91" s="220"/>
      <c r="BA91" s="220"/>
    </row>
    <row r="92" spans="1:53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0"/>
      <c r="AU92" s="220"/>
      <c r="AV92" s="220"/>
      <c r="AW92" s="220"/>
      <c r="AX92" s="220"/>
      <c r="AY92" s="220"/>
      <c r="AZ92" s="220"/>
      <c r="BA92" s="220"/>
    </row>
    <row r="93" spans="1:53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  <c r="AV93" s="220"/>
      <c r="AW93" s="220"/>
      <c r="AX93" s="220"/>
      <c r="AY93" s="220"/>
      <c r="AZ93" s="220"/>
      <c r="BA93" s="220"/>
    </row>
    <row r="94" spans="1:53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0"/>
      <c r="AU94" s="220"/>
      <c r="AV94" s="220"/>
      <c r="AW94" s="220"/>
      <c r="AX94" s="220"/>
      <c r="AY94" s="220"/>
      <c r="AZ94" s="220"/>
      <c r="BA94" s="220"/>
    </row>
    <row r="95" spans="1:53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0"/>
      <c r="AR95" s="220"/>
      <c r="AS95" s="220"/>
      <c r="AT95" s="220"/>
      <c r="AU95" s="220"/>
      <c r="AV95" s="220"/>
      <c r="AW95" s="220"/>
      <c r="AX95" s="220"/>
      <c r="AY95" s="220"/>
      <c r="AZ95" s="220"/>
      <c r="BA95" s="220"/>
    </row>
    <row r="96" spans="1:53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0"/>
      <c r="AU96" s="220"/>
      <c r="AV96" s="220"/>
      <c r="AW96" s="220"/>
      <c r="AX96" s="220"/>
      <c r="AY96" s="220"/>
      <c r="AZ96" s="220"/>
      <c r="BA96" s="220"/>
    </row>
    <row r="97" spans="1:53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  <c r="AV97" s="220"/>
      <c r="AW97" s="220"/>
      <c r="AX97" s="220"/>
      <c r="AY97" s="220"/>
      <c r="AZ97" s="220"/>
      <c r="BA97" s="220"/>
    </row>
    <row r="98" spans="1:53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0"/>
      <c r="AR98" s="220"/>
      <c r="AS98" s="220"/>
      <c r="AT98" s="220"/>
      <c r="AU98" s="220"/>
      <c r="AV98" s="220"/>
      <c r="AW98" s="220"/>
      <c r="AX98" s="220"/>
      <c r="AY98" s="220"/>
      <c r="AZ98" s="220"/>
      <c r="BA98" s="220"/>
    </row>
    <row r="99" spans="1:53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220"/>
      <c r="AI99" s="220"/>
      <c r="AJ99" s="220"/>
      <c r="AK99" s="220"/>
      <c r="AL99" s="220"/>
      <c r="AM99" s="220"/>
      <c r="AN99" s="220"/>
      <c r="AO99" s="220"/>
      <c r="AP99" s="220"/>
      <c r="AQ99" s="220"/>
      <c r="AR99" s="220"/>
      <c r="AS99" s="220"/>
      <c r="AT99" s="220"/>
      <c r="AU99" s="220"/>
      <c r="AV99" s="220"/>
      <c r="AW99" s="220"/>
      <c r="AX99" s="220"/>
      <c r="AY99" s="220"/>
      <c r="AZ99" s="220"/>
      <c r="BA99" s="220"/>
    </row>
    <row r="100" spans="1:53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0"/>
      <c r="AR100" s="220"/>
      <c r="AS100" s="220"/>
      <c r="AT100" s="220"/>
      <c r="AU100" s="220"/>
      <c r="AV100" s="220"/>
      <c r="AW100" s="220"/>
      <c r="AX100" s="220"/>
      <c r="AY100" s="220"/>
      <c r="AZ100" s="220"/>
      <c r="BA100" s="220"/>
    </row>
    <row r="101" spans="1:53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220"/>
      <c r="AQ101" s="220"/>
      <c r="AR101" s="220"/>
      <c r="AS101" s="220"/>
      <c r="AT101" s="220"/>
      <c r="AU101" s="220"/>
      <c r="AV101" s="220"/>
      <c r="AW101" s="220"/>
      <c r="AX101" s="220"/>
      <c r="AY101" s="220"/>
      <c r="AZ101" s="220"/>
      <c r="BA101" s="220"/>
    </row>
    <row r="102" spans="1:53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  <c r="AM102" s="220"/>
      <c r="AN102" s="220"/>
      <c r="AO102" s="220"/>
      <c r="AP102" s="220"/>
      <c r="AQ102" s="220"/>
      <c r="AR102" s="220"/>
      <c r="AS102" s="220"/>
      <c r="AT102" s="220"/>
      <c r="AU102" s="220"/>
      <c r="AV102" s="220"/>
      <c r="AW102" s="220"/>
      <c r="AX102" s="220"/>
      <c r="AY102" s="220"/>
      <c r="AZ102" s="220"/>
      <c r="BA102" s="220"/>
    </row>
    <row r="103" spans="1:53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0"/>
      <c r="AR103" s="220"/>
      <c r="AS103" s="220"/>
      <c r="AT103" s="220"/>
      <c r="AU103" s="220"/>
      <c r="AV103" s="220"/>
      <c r="AW103" s="220"/>
      <c r="AX103" s="220"/>
      <c r="AY103" s="220"/>
      <c r="AZ103" s="220"/>
      <c r="BA103" s="220"/>
    </row>
    <row r="104" spans="1:53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  <c r="AM104" s="220"/>
      <c r="AN104" s="220"/>
      <c r="AO104" s="220"/>
      <c r="AP104" s="220"/>
      <c r="AQ104" s="220"/>
      <c r="AR104" s="220"/>
      <c r="AS104" s="220"/>
      <c r="AT104" s="220"/>
      <c r="AU104" s="220"/>
      <c r="AV104" s="220"/>
      <c r="AW104" s="220"/>
      <c r="AX104" s="220"/>
      <c r="AY104" s="220"/>
      <c r="AZ104" s="220"/>
      <c r="BA104" s="220"/>
    </row>
    <row r="105" spans="1:53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  <c r="AH105" s="220"/>
      <c r="AI105" s="220"/>
      <c r="AJ105" s="220"/>
      <c r="AK105" s="220"/>
      <c r="AL105" s="220"/>
      <c r="AM105" s="220"/>
      <c r="AN105" s="220"/>
      <c r="AO105" s="220"/>
      <c r="AP105" s="220"/>
      <c r="AQ105" s="220"/>
      <c r="AR105" s="220"/>
      <c r="AS105" s="220"/>
      <c r="AT105" s="220"/>
      <c r="AU105" s="220"/>
      <c r="AV105" s="220"/>
      <c r="AW105" s="220"/>
      <c r="AX105" s="220"/>
      <c r="AY105" s="220"/>
      <c r="AZ105" s="220"/>
      <c r="BA105" s="220"/>
    </row>
    <row r="106" spans="1:53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  <c r="AM106" s="220"/>
      <c r="AN106" s="220"/>
      <c r="AO106" s="220"/>
      <c r="AP106" s="220"/>
      <c r="AQ106" s="220"/>
      <c r="AR106" s="220"/>
      <c r="AS106" s="220"/>
      <c r="AT106" s="220"/>
      <c r="AU106" s="220"/>
      <c r="AV106" s="220"/>
      <c r="AW106" s="220"/>
      <c r="AX106" s="220"/>
      <c r="AY106" s="220"/>
      <c r="AZ106" s="220"/>
      <c r="BA106" s="220"/>
    </row>
    <row r="107" spans="1:53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  <c r="AM107" s="220"/>
      <c r="AN107" s="220"/>
      <c r="AO107" s="220"/>
      <c r="AP107" s="220"/>
      <c r="AQ107" s="220"/>
      <c r="AR107" s="220"/>
      <c r="AS107" s="220"/>
      <c r="AT107" s="220"/>
      <c r="AU107" s="220"/>
      <c r="AV107" s="220"/>
      <c r="AW107" s="220"/>
      <c r="AX107" s="220"/>
      <c r="AY107" s="220"/>
      <c r="AZ107" s="220"/>
      <c r="BA107" s="220"/>
    </row>
    <row r="108" spans="1:53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  <c r="AM108" s="220"/>
      <c r="AN108" s="220"/>
      <c r="AO108" s="220"/>
      <c r="AP108" s="220"/>
      <c r="AQ108" s="220"/>
      <c r="AR108" s="220"/>
      <c r="AS108" s="220"/>
      <c r="AT108" s="220"/>
      <c r="AU108" s="220"/>
      <c r="AV108" s="220"/>
      <c r="AW108" s="220"/>
      <c r="AX108" s="220"/>
      <c r="AY108" s="220"/>
      <c r="AZ108" s="220"/>
      <c r="BA108" s="220"/>
    </row>
    <row r="109" spans="1:53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  <c r="BA109" s="220"/>
    </row>
    <row r="110" spans="1:53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20"/>
      <c r="AI110" s="220"/>
      <c r="AJ110" s="220"/>
      <c r="AK110" s="220"/>
      <c r="AL110" s="220"/>
      <c r="AM110" s="220"/>
      <c r="AN110" s="220"/>
      <c r="AO110" s="220"/>
      <c r="AP110" s="220"/>
      <c r="AQ110" s="220"/>
      <c r="AR110" s="220"/>
      <c r="AS110" s="220"/>
      <c r="AT110" s="220"/>
      <c r="AU110" s="220"/>
      <c r="AV110" s="220"/>
      <c r="AW110" s="220"/>
      <c r="AX110" s="220"/>
      <c r="AY110" s="220"/>
      <c r="AZ110" s="220"/>
      <c r="BA110" s="220"/>
    </row>
    <row r="111" spans="1:53">
      <c r="A111" s="220"/>
      <c r="B111" s="257"/>
      <c r="C111" s="220"/>
      <c r="D111" s="257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0"/>
      <c r="AR111" s="220"/>
      <c r="AS111" s="220"/>
      <c r="AT111" s="220"/>
      <c r="AU111" s="220"/>
      <c r="AV111" s="220"/>
      <c r="AW111" s="220"/>
      <c r="AX111" s="220"/>
      <c r="AY111" s="220"/>
      <c r="AZ111" s="220"/>
      <c r="BA111" s="220"/>
    </row>
    <row r="112" spans="1:53">
      <c r="A112" s="220"/>
      <c r="B112" s="257"/>
      <c r="C112" s="220"/>
      <c r="D112" s="257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  <c r="AM112" s="220"/>
      <c r="AN112" s="220"/>
      <c r="AO112" s="220"/>
      <c r="AP112" s="220"/>
      <c r="AQ112" s="220"/>
      <c r="AR112" s="220"/>
      <c r="AS112" s="220"/>
      <c r="AT112" s="220"/>
      <c r="AU112" s="220"/>
      <c r="AV112" s="220"/>
      <c r="AW112" s="220"/>
      <c r="AX112" s="220"/>
      <c r="AY112" s="220"/>
      <c r="AZ112" s="220"/>
      <c r="BA112" s="220"/>
    </row>
    <row r="113" spans="1:53">
      <c r="A113" s="220"/>
      <c r="B113" s="257"/>
      <c r="C113" s="220"/>
      <c r="D113" s="257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0"/>
      <c r="AI113" s="220"/>
      <c r="AJ113" s="220"/>
      <c r="AK113" s="220"/>
      <c r="AL113" s="220"/>
      <c r="AM113" s="220"/>
      <c r="AN113" s="220"/>
      <c r="AO113" s="220"/>
      <c r="AP113" s="220"/>
      <c r="AQ113" s="220"/>
      <c r="AR113" s="220"/>
      <c r="AS113" s="220"/>
      <c r="AT113" s="220"/>
      <c r="AU113" s="220"/>
      <c r="AV113" s="220"/>
      <c r="AW113" s="220"/>
      <c r="AX113" s="220"/>
      <c r="AY113" s="220"/>
      <c r="AZ113" s="220"/>
      <c r="BA113" s="220"/>
    </row>
    <row r="114" spans="1:53">
      <c r="A114" s="220"/>
      <c r="B114" s="257"/>
      <c r="C114" s="220"/>
      <c r="D114" s="257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  <c r="AM114" s="220"/>
      <c r="AN114" s="220"/>
      <c r="AO114" s="220"/>
      <c r="AP114" s="220"/>
      <c r="AQ114" s="220"/>
      <c r="AR114" s="220"/>
      <c r="AS114" s="220"/>
      <c r="AT114" s="220"/>
      <c r="AU114" s="220"/>
      <c r="AV114" s="220"/>
      <c r="AW114" s="220"/>
      <c r="AX114" s="220"/>
      <c r="AY114" s="220"/>
      <c r="AZ114" s="220"/>
      <c r="BA114" s="220"/>
    </row>
    <row r="115" spans="1:53">
      <c r="A115" s="220"/>
      <c r="B115" s="257"/>
      <c r="C115" s="220"/>
      <c r="D115" s="257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  <c r="AH115" s="220"/>
      <c r="AI115" s="220"/>
      <c r="AJ115" s="220"/>
      <c r="AK115" s="220"/>
      <c r="AL115" s="220"/>
      <c r="AM115" s="220"/>
      <c r="AN115" s="220"/>
      <c r="AO115" s="220"/>
      <c r="AP115" s="220"/>
      <c r="AQ115" s="220"/>
      <c r="AR115" s="220"/>
      <c r="AS115" s="220"/>
      <c r="AT115" s="220"/>
      <c r="AU115" s="220"/>
      <c r="AV115" s="220"/>
      <c r="AW115" s="220"/>
      <c r="AX115" s="220"/>
      <c r="AY115" s="220"/>
      <c r="AZ115" s="220"/>
      <c r="BA115" s="220"/>
    </row>
    <row r="116" spans="1:53">
      <c r="A116" s="220"/>
      <c r="B116" s="257"/>
      <c r="C116" s="220"/>
      <c r="D116" s="257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  <c r="AM116" s="220"/>
      <c r="AN116" s="220"/>
      <c r="AO116" s="220"/>
      <c r="AP116" s="220"/>
      <c r="AQ116" s="220"/>
      <c r="AR116" s="220"/>
      <c r="AS116" s="220"/>
      <c r="AT116" s="220"/>
      <c r="AU116" s="220"/>
      <c r="AV116" s="220"/>
      <c r="AW116" s="220"/>
      <c r="AX116" s="220"/>
      <c r="AY116" s="220"/>
      <c r="AZ116" s="220"/>
      <c r="BA116" s="220"/>
    </row>
    <row r="117" spans="1:53">
      <c r="A117" s="220"/>
      <c r="B117" s="257"/>
      <c r="C117" s="220"/>
      <c r="D117" s="257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  <c r="AV117" s="220"/>
      <c r="AW117" s="220"/>
      <c r="AX117" s="220"/>
      <c r="AY117" s="220"/>
      <c r="AZ117" s="220"/>
      <c r="BA117" s="220"/>
    </row>
    <row r="118" spans="1:53">
      <c r="A118" s="220"/>
      <c r="B118" s="257"/>
      <c r="C118" s="220"/>
      <c r="D118" s="257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220"/>
      <c r="AY118" s="220"/>
      <c r="AZ118" s="220"/>
      <c r="BA118" s="220"/>
    </row>
    <row r="119" spans="1:53">
      <c r="A119" s="220"/>
      <c r="B119" s="257"/>
      <c r="C119" s="220"/>
      <c r="D119" s="257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  <c r="AM119" s="220"/>
      <c r="AN119" s="220"/>
      <c r="AO119" s="220"/>
      <c r="AP119" s="220"/>
      <c r="AQ119" s="220"/>
      <c r="AR119" s="220"/>
      <c r="AS119" s="220"/>
      <c r="AT119" s="220"/>
      <c r="AU119" s="220"/>
      <c r="AV119" s="220"/>
      <c r="AW119" s="220"/>
      <c r="AX119" s="220"/>
      <c r="AY119" s="220"/>
      <c r="AZ119" s="220"/>
      <c r="BA119" s="220"/>
    </row>
    <row r="120" spans="1:53">
      <c r="A120" s="220"/>
      <c r="B120" s="257"/>
      <c r="C120" s="220"/>
      <c r="D120" s="257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  <c r="AM120" s="220"/>
      <c r="AN120" s="220"/>
      <c r="AO120" s="220"/>
      <c r="AP120" s="220"/>
      <c r="AQ120" s="220"/>
      <c r="AR120" s="220"/>
      <c r="AS120" s="220"/>
      <c r="AT120" s="220"/>
      <c r="AU120" s="220"/>
      <c r="AV120" s="220"/>
      <c r="AW120" s="220"/>
      <c r="AX120" s="220"/>
      <c r="AY120" s="220"/>
      <c r="AZ120" s="220"/>
      <c r="BA120" s="220"/>
    </row>
    <row r="121" spans="1:53">
      <c r="A121" s="220"/>
      <c r="B121" s="257"/>
      <c r="C121" s="220"/>
      <c r="D121" s="257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  <c r="AM121" s="220"/>
      <c r="AN121" s="220"/>
      <c r="AO121" s="220"/>
      <c r="AP121" s="220"/>
      <c r="AQ121" s="220"/>
      <c r="AR121" s="220"/>
      <c r="AS121" s="220"/>
      <c r="AT121" s="220"/>
      <c r="AU121" s="220"/>
      <c r="AV121" s="220"/>
      <c r="AW121" s="220"/>
      <c r="AX121" s="220"/>
      <c r="AY121" s="220"/>
      <c r="AZ121" s="220"/>
      <c r="BA121" s="220"/>
    </row>
    <row r="122" spans="1:53">
      <c r="A122" s="220"/>
      <c r="B122" s="257"/>
      <c r="C122" s="220"/>
      <c r="D122" s="257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0"/>
      <c r="AJ122" s="220"/>
      <c r="AK122" s="220"/>
      <c r="AL122" s="220"/>
      <c r="AM122" s="220"/>
      <c r="AN122" s="220"/>
      <c r="AO122" s="220"/>
      <c r="AP122" s="220"/>
      <c r="AQ122" s="220"/>
      <c r="AR122" s="220"/>
      <c r="AS122" s="220"/>
      <c r="AT122" s="220"/>
      <c r="AU122" s="220"/>
      <c r="AV122" s="220"/>
      <c r="AW122" s="220"/>
      <c r="AX122" s="220"/>
      <c r="AY122" s="220"/>
      <c r="AZ122" s="220"/>
      <c r="BA122" s="220"/>
    </row>
    <row r="123" spans="1:53">
      <c r="A123" s="220"/>
      <c r="B123" s="257"/>
      <c r="C123" s="220"/>
      <c r="D123" s="257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0"/>
      <c r="AS123" s="220"/>
      <c r="AT123" s="220"/>
      <c r="AU123" s="220"/>
      <c r="AV123" s="220"/>
      <c r="AW123" s="220"/>
      <c r="AX123" s="220"/>
      <c r="AY123" s="220"/>
      <c r="AZ123" s="220"/>
      <c r="BA123" s="220"/>
    </row>
    <row r="124" spans="1:53">
      <c r="A124" s="220"/>
      <c r="B124" s="257"/>
      <c r="C124" s="220"/>
      <c r="D124" s="257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  <c r="AM124" s="220"/>
      <c r="AN124" s="220"/>
      <c r="AO124" s="220"/>
      <c r="AP124" s="220"/>
      <c r="AQ124" s="220"/>
      <c r="AR124" s="220"/>
      <c r="AS124" s="220"/>
      <c r="AT124" s="220"/>
      <c r="AU124" s="220"/>
      <c r="AV124" s="220"/>
      <c r="AW124" s="220"/>
      <c r="AX124" s="220"/>
      <c r="AY124" s="220"/>
      <c r="AZ124" s="220"/>
      <c r="BA124" s="220"/>
    </row>
    <row r="125" spans="1:53">
      <c r="A125" s="220"/>
      <c r="B125" s="257"/>
      <c r="C125" s="220"/>
      <c r="D125" s="257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  <c r="AM125" s="220"/>
      <c r="AN125" s="220"/>
      <c r="AO125" s="220"/>
      <c r="AP125" s="220"/>
      <c r="AQ125" s="220"/>
      <c r="AR125" s="220"/>
      <c r="AS125" s="220"/>
      <c r="AT125" s="220"/>
      <c r="AU125" s="220"/>
      <c r="AV125" s="220"/>
      <c r="AW125" s="220"/>
      <c r="AX125" s="220"/>
      <c r="AY125" s="220"/>
      <c r="AZ125" s="220"/>
      <c r="BA125" s="220"/>
    </row>
    <row r="126" spans="1:53">
      <c r="A126" s="220"/>
      <c r="B126" s="257"/>
      <c r="C126" s="220"/>
      <c r="D126" s="257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0"/>
      <c r="AR126" s="220"/>
      <c r="AS126" s="220"/>
      <c r="AT126" s="220"/>
      <c r="AU126" s="220"/>
      <c r="AV126" s="220"/>
      <c r="AW126" s="220"/>
      <c r="AX126" s="220"/>
      <c r="AY126" s="220"/>
      <c r="AZ126" s="220"/>
      <c r="BA126" s="220"/>
    </row>
    <row r="127" spans="1:53">
      <c r="A127" s="220"/>
      <c r="B127" s="257"/>
      <c r="C127" s="220"/>
      <c r="D127" s="257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0"/>
      <c r="AR127" s="220"/>
      <c r="AS127" s="220"/>
      <c r="AT127" s="220"/>
      <c r="AU127" s="220"/>
      <c r="AV127" s="220"/>
      <c r="AW127" s="220"/>
      <c r="AX127" s="220"/>
      <c r="AY127" s="220"/>
      <c r="AZ127" s="220"/>
      <c r="BA127" s="220"/>
    </row>
    <row r="128" spans="1:53">
      <c r="A128" s="220"/>
      <c r="B128" s="257"/>
      <c r="C128" s="220"/>
      <c r="D128" s="257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0"/>
      <c r="AR128" s="220"/>
      <c r="AS128" s="220"/>
      <c r="AT128" s="220"/>
      <c r="AU128" s="220"/>
      <c r="AV128" s="220"/>
      <c r="AW128" s="220"/>
      <c r="AX128" s="220"/>
      <c r="AY128" s="220"/>
      <c r="AZ128" s="220"/>
      <c r="BA128" s="220"/>
    </row>
    <row r="129" spans="1:53">
      <c r="A129" s="220"/>
      <c r="B129" s="257"/>
      <c r="C129" s="220"/>
      <c r="D129" s="257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0"/>
      <c r="AR129" s="220"/>
      <c r="AS129" s="220"/>
      <c r="AT129" s="220"/>
      <c r="AU129" s="220"/>
      <c r="AV129" s="220"/>
      <c r="AW129" s="220"/>
      <c r="AX129" s="220"/>
      <c r="AY129" s="220"/>
      <c r="AZ129" s="220"/>
      <c r="BA129" s="220"/>
    </row>
    <row r="130" spans="1:53">
      <c r="A130" s="220"/>
      <c r="B130" s="257"/>
      <c r="C130" s="220"/>
      <c r="D130" s="257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0"/>
      <c r="AR130" s="220"/>
      <c r="AS130" s="220"/>
      <c r="AT130" s="220"/>
      <c r="AU130" s="220"/>
      <c r="AV130" s="220"/>
      <c r="AW130" s="220"/>
      <c r="AX130" s="220"/>
      <c r="AY130" s="220"/>
      <c r="AZ130" s="220"/>
      <c r="BA130" s="220"/>
    </row>
    <row r="131" spans="1:53">
      <c r="A131" s="220"/>
      <c r="B131" s="257"/>
      <c r="C131" s="220"/>
      <c r="D131" s="257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0"/>
      <c r="AR131" s="220"/>
      <c r="AS131" s="220"/>
      <c r="AT131" s="220"/>
      <c r="AU131" s="220"/>
      <c r="AV131" s="220"/>
      <c r="AW131" s="220"/>
      <c r="AX131" s="220"/>
      <c r="AY131" s="220"/>
      <c r="AZ131" s="220"/>
      <c r="BA131" s="220"/>
    </row>
    <row r="132" spans="1:53">
      <c r="A132" s="220"/>
      <c r="B132" s="257"/>
      <c r="C132" s="220"/>
      <c r="D132" s="257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  <c r="AM132" s="220"/>
      <c r="AN132" s="220"/>
      <c r="AO132" s="220"/>
      <c r="AP132" s="220"/>
      <c r="AQ132" s="220"/>
      <c r="AR132" s="220"/>
      <c r="AS132" s="220"/>
      <c r="AT132" s="220"/>
      <c r="AU132" s="220"/>
      <c r="AV132" s="220"/>
      <c r="AW132" s="220"/>
      <c r="AX132" s="220"/>
      <c r="AY132" s="220"/>
      <c r="AZ132" s="220"/>
      <c r="BA132" s="220"/>
    </row>
    <row r="133" spans="1:53">
      <c r="A133" s="220"/>
      <c r="B133" s="257"/>
      <c r="C133" s="220"/>
      <c r="D133" s="257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  <c r="AM133" s="220"/>
      <c r="AN133" s="220"/>
      <c r="AO133" s="220"/>
      <c r="AP133" s="220"/>
      <c r="AQ133" s="220"/>
      <c r="AR133" s="220"/>
      <c r="AS133" s="220"/>
      <c r="AT133" s="220"/>
      <c r="AU133" s="220"/>
      <c r="AV133" s="220"/>
      <c r="AW133" s="220"/>
      <c r="AX133" s="220"/>
      <c r="AY133" s="220"/>
      <c r="AZ133" s="220"/>
      <c r="BA133" s="220"/>
    </row>
    <row r="134" spans="1:53">
      <c r="A134" s="220"/>
      <c r="B134" s="257"/>
      <c r="C134" s="220"/>
      <c r="D134" s="257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  <c r="AH134" s="220"/>
      <c r="AI134" s="220"/>
      <c r="AJ134" s="220"/>
      <c r="AK134" s="220"/>
      <c r="AL134" s="220"/>
      <c r="AM134" s="220"/>
      <c r="AN134" s="220"/>
      <c r="AO134" s="220"/>
      <c r="AP134" s="220"/>
      <c r="AQ134" s="220"/>
      <c r="AR134" s="220"/>
      <c r="AS134" s="220"/>
      <c r="AT134" s="220"/>
      <c r="AU134" s="220"/>
      <c r="AV134" s="220"/>
      <c r="AW134" s="220"/>
      <c r="AX134" s="220"/>
      <c r="AY134" s="220"/>
      <c r="AZ134" s="220"/>
      <c r="BA134" s="220"/>
    </row>
    <row r="135" spans="1:53">
      <c r="A135" s="220"/>
      <c r="B135" s="257"/>
      <c r="C135" s="220"/>
      <c r="D135" s="257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  <c r="AM135" s="220"/>
      <c r="AN135" s="220"/>
      <c r="AO135" s="220"/>
      <c r="AP135" s="220"/>
      <c r="AQ135" s="220"/>
      <c r="AR135" s="220"/>
      <c r="AS135" s="220"/>
      <c r="AT135" s="220"/>
      <c r="AU135" s="220"/>
      <c r="AV135" s="220"/>
      <c r="AW135" s="220"/>
      <c r="AX135" s="220"/>
      <c r="AY135" s="220"/>
      <c r="AZ135" s="220"/>
      <c r="BA135" s="220"/>
    </row>
    <row r="136" spans="1:53">
      <c r="A136" s="220"/>
      <c r="B136" s="257"/>
      <c r="C136" s="220"/>
      <c r="D136" s="257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  <c r="AM136" s="220"/>
      <c r="AN136" s="220"/>
      <c r="AO136" s="220"/>
      <c r="AP136" s="220"/>
      <c r="AQ136" s="220"/>
      <c r="AR136" s="220"/>
      <c r="AS136" s="220"/>
      <c r="AT136" s="220"/>
      <c r="AU136" s="220"/>
      <c r="AV136" s="220"/>
      <c r="AW136" s="220"/>
      <c r="AX136" s="220"/>
      <c r="AY136" s="220"/>
      <c r="AZ136" s="220"/>
      <c r="BA136" s="220"/>
    </row>
    <row r="137" spans="1:53">
      <c r="A137" s="220"/>
      <c r="B137" s="257"/>
      <c r="C137" s="220"/>
      <c r="D137" s="257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  <c r="AM137" s="220"/>
      <c r="AN137" s="220"/>
      <c r="AO137" s="220"/>
      <c r="AP137" s="220"/>
      <c r="AQ137" s="220"/>
      <c r="AR137" s="220"/>
      <c r="AS137" s="220"/>
      <c r="AT137" s="220"/>
      <c r="AU137" s="220"/>
      <c r="AV137" s="220"/>
      <c r="AW137" s="220"/>
      <c r="AX137" s="220"/>
      <c r="AY137" s="220"/>
      <c r="AZ137" s="220"/>
      <c r="BA137" s="220"/>
    </row>
    <row r="138" spans="1:53">
      <c r="A138" s="220"/>
      <c r="B138" s="257"/>
      <c r="C138" s="220"/>
      <c r="D138" s="257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  <c r="AH138" s="220"/>
      <c r="AI138" s="220"/>
      <c r="AJ138" s="220"/>
      <c r="AK138" s="220"/>
      <c r="AL138" s="220"/>
      <c r="AM138" s="220"/>
      <c r="AN138" s="220"/>
      <c r="AO138" s="220"/>
      <c r="AP138" s="220"/>
      <c r="AQ138" s="220"/>
      <c r="AR138" s="220"/>
      <c r="AS138" s="220"/>
      <c r="AT138" s="220"/>
      <c r="AU138" s="220"/>
      <c r="AV138" s="220"/>
      <c r="AW138" s="220"/>
      <c r="AX138" s="220"/>
      <c r="AY138" s="220"/>
      <c r="AZ138" s="220"/>
      <c r="BA138" s="220"/>
    </row>
    <row r="139" spans="1:53">
      <c r="A139" s="220"/>
      <c r="B139" s="257"/>
      <c r="C139" s="220"/>
      <c r="D139" s="257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0"/>
      <c r="AR139" s="220"/>
      <c r="AS139" s="220"/>
      <c r="AT139" s="220"/>
      <c r="AU139" s="220"/>
      <c r="AV139" s="220"/>
      <c r="AW139" s="220"/>
      <c r="AX139" s="220"/>
      <c r="AY139" s="220"/>
      <c r="AZ139" s="220"/>
      <c r="BA139" s="220"/>
    </row>
    <row r="140" spans="1:53">
      <c r="A140" s="220"/>
      <c r="B140" s="257"/>
      <c r="C140" s="220"/>
      <c r="D140" s="257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0"/>
      <c r="AR140" s="220"/>
      <c r="AS140" s="220"/>
      <c r="AT140" s="220"/>
      <c r="AU140" s="220"/>
      <c r="AV140" s="220"/>
      <c r="AW140" s="220"/>
      <c r="AX140" s="220"/>
      <c r="AY140" s="220"/>
      <c r="AZ140" s="220"/>
      <c r="BA140" s="220"/>
    </row>
    <row r="141" spans="1:53">
      <c r="A141" s="220"/>
      <c r="B141" s="257"/>
      <c r="C141" s="220"/>
      <c r="D141" s="257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0"/>
      <c r="AR141" s="220"/>
      <c r="AS141" s="220"/>
      <c r="AT141" s="220"/>
      <c r="AU141" s="220"/>
      <c r="AV141" s="220"/>
      <c r="AW141" s="220"/>
      <c r="AX141" s="220"/>
      <c r="AY141" s="220"/>
      <c r="AZ141" s="220"/>
      <c r="BA141" s="220"/>
    </row>
    <row r="142" spans="1:53">
      <c r="A142" s="220"/>
      <c r="B142" s="257"/>
      <c r="C142" s="220"/>
      <c r="D142" s="257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0"/>
      <c r="AR142" s="220"/>
      <c r="AS142" s="220"/>
      <c r="AT142" s="220"/>
      <c r="AU142" s="220"/>
      <c r="AV142" s="220"/>
      <c r="AW142" s="220"/>
      <c r="AX142" s="220"/>
      <c r="AY142" s="220"/>
      <c r="AZ142" s="220"/>
      <c r="BA142" s="220"/>
    </row>
    <row r="143" spans="1:53">
      <c r="A143" s="220"/>
      <c r="B143" s="257"/>
      <c r="C143" s="220"/>
      <c r="D143" s="257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  <c r="AM143" s="220"/>
      <c r="AN143" s="220"/>
      <c r="AO143" s="220"/>
      <c r="AP143" s="220"/>
      <c r="AQ143" s="220"/>
      <c r="AR143" s="220"/>
      <c r="AS143" s="220"/>
      <c r="AT143" s="220"/>
      <c r="AU143" s="220"/>
      <c r="AV143" s="220"/>
      <c r="AW143" s="220"/>
      <c r="AX143" s="220"/>
      <c r="AY143" s="220"/>
      <c r="AZ143" s="220"/>
      <c r="BA143" s="220"/>
    </row>
    <row r="144" spans="1:53">
      <c r="A144" s="220"/>
      <c r="B144" s="257"/>
      <c r="C144" s="220"/>
      <c r="D144" s="257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0"/>
      <c r="AR144" s="220"/>
      <c r="AS144" s="220"/>
      <c r="AT144" s="220"/>
      <c r="AU144" s="220"/>
      <c r="AV144" s="220"/>
      <c r="AW144" s="220"/>
      <c r="AX144" s="220"/>
      <c r="AY144" s="220"/>
      <c r="AZ144" s="220"/>
      <c r="BA144" s="220"/>
    </row>
    <row r="145" spans="1:53">
      <c r="A145" s="220"/>
      <c r="B145" s="257"/>
      <c r="C145" s="220"/>
      <c r="D145" s="257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0"/>
      <c r="AR145" s="220"/>
      <c r="AS145" s="220"/>
      <c r="AT145" s="220"/>
      <c r="AU145" s="220"/>
      <c r="AV145" s="220"/>
      <c r="AW145" s="220"/>
      <c r="AX145" s="220"/>
      <c r="AY145" s="220"/>
      <c r="AZ145" s="220"/>
      <c r="BA145" s="220"/>
    </row>
    <row r="146" spans="1:53">
      <c r="A146" s="220"/>
      <c r="B146" s="257"/>
      <c r="C146" s="220"/>
      <c r="D146" s="257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0"/>
      <c r="AR146" s="220"/>
      <c r="AS146" s="220"/>
      <c r="AT146" s="220"/>
      <c r="AU146" s="220"/>
      <c r="AV146" s="220"/>
      <c r="AW146" s="220"/>
      <c r="AX146" s="220"/>
      <c r="AY146" s="220"/>
      <c r="AZ146" s="220"/>
      <c r="BA146" s="220"/>
    </row>
    <row r="147" spans="1:53">
      <c r="A147" s="220"/>
      <c r="B147" s="257"/>
      <c r="C147" s="220"/>
      <c r="D147" s="257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  <c r="AV147" s="220"/>
      <c r="AW147" s="220"/>
      <c r="AX147" s="220"/>
      <c r="AY147" s="220"/>
      <c r="AZ147" s="220"/>
      <c r="BA147" s="220"/>
    </row>
    <row r="148" spans="1:53">
      <c r="A148" s="220"/>
      <c r="B148" s="257"/>
      <c r="C148" s="220"/>
      <c r="D148" s="257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0"/>
      <c r="AR148" s="220"/>
      <c r="AS148" s="220"/>
      <c r="AT148" s="220"/>
      <c r="AU148" s="220"/>
      <c r="AV148" s="220"/>
      <c r="AW148" s="220"/>
      <c r="AX148" s="220"/>
      <c r="AY148" s="220"/>
      <c r="AZ148" s="220"/>
      <c r="BA148" s="220"/>
    </row>
    <row r="149" spans="1:53">
      <c r="A149" s="220"/>
      <c r="B149" s="257"/>
      <c r="C149" s="220"/>
      <c r="D149" s="257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  <c r="AV149" s="220"/>
      <c r="AW149" s="220"/>
      <c r="AX149" s="220"/>
      <c r="AY149" s="220"/>
      <c r="AZ149" s="220"/>
      <c r="BA149" s="2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49"/>
  <sheetViews>
    <sheetView zoomScale="98" workbookViewId="0">
      <pane xSplit="4" ySplit="2" topLeftCell="I22" activePane="bottomRight" state="frozen"/>
      <selection pane="topRight"/>
      <selection pane="bottomLeft"/>
      <selection pane="bottomRight" activeCell="A2" sqref="A2:XFD2"/>
    </sheetView>
  </sheetViews>
  <sheetFormatPr defaultRowHeight="14.5"/>
  <cols>
    <col min="1" max="1" width="35.7265625" bestFit="1" customWidth="1"/>
    <col min="2" max="2" width="4.08984375" bestFit="1" customWidth="1"/>
    <col min="3" max="3" width="12.90625" bestFit="1" customWidth="1"/>
    <col min="4" max="4" width="15.36328125" bestFit="1" customWidth="1"/>
  </cols>
  <sheetData>
    <row r="1" spans="1:57" s="56" customFormat="1">
      <c r="A1" s="60"/>
      <c r="B1" s="61"/>
      <c r="C1" s="62"/>
      <c r="D1" s="61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</row>
    <row r="2" spans="1:57">
      <c r="A2" s="77"/>
      <c r="B2" s="75"/>
      <c r="C2" s="75"/>
      <c r="D2" s="75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5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</row>
    <row r="3" spans="1:57" ht="18.5" customHeight="1">
      <c r="A3" s="67"/>
      <c r="B3" s="190" t="s">
        <v>2</v>
      </c>
      <c r="C3" s="191" t="s">
        <v>3</v>
      </c>
      <c r="D3" s="190" t="s">
        <v>4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</row>
    <row r="4" spans="1:57">
      <c r="A4" s="67" t="s">
        <v>381</v>
      </c>
      <c r="B4" s="192"/>
      <c r="C4" s="193"/>
      <c r="D4" s="192"/>
      <c r="E4" s="189"/>
      <c r="F4" s="189"/>
      <c r="G4" s="194"/>
      <c r="H4" s="195"/>
      <c r="I4" s="195"/>
      <c r="J4" s="195"/>
      <c r="K4" s="195"/>
      <c r="L4" s="195"/>
      <c r="M4" s="67"/>
      <c r="N4" s="67"/>
      <c r="O4" s="67"/>
      <c r="P4" s="67"/>
      <c r="Q4" s="67"/>
      <c r="R4" s="67"/>
      <c r="S4" s="67"/>
      <c r="T4" s="67"/>
      <c r="U4" s="67"/>
      <c r="V4" s="67"/>
      <c r="W4" s="188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</row>
    <row r="5" spans="1:57">
      <c r="A5" s="67" t="s">
        <v>382</v>
      </c>
      <c r="B5" s="192"/>
      <c r="C5" s="193"/>
      <c r="D5" s="192"/>
      <c r="E5" s="196" t="s">
        <v>383</v>
      </c>
      <c r="F5" s="196" t="s">
        <v>384</v>
      </c>
      <c r="G5" s="196" t="s">
        <v>385</v>
      </c>
      <c r="H5" s="196" t="s">
        <v>386</v>
      </c>
      <c r="I5" s="197" t="s">
        <v>387</v>
      </c>
      <c r="J5" s="197" t="s">
        <v>388</v>
      </c>
      <c r="K5" s="197" t="s">
        <v>225</v>
      </c>
      <c r="L5" s="197" t="s">
        <v>389</v>
      </c>
      <c r="M5" s="197" t="s">
        <v>305</v>
      </c>
      <c r="N5" s="197" t="s">
        <v>226</v>
      </c>
      <c r="O5" s="197" t="s">
        <v>390</v>
      </c>
      <c r="P5" s="197" t="s">
        <v>391</v>
      </c>
      <c r="Q5" s="67"/>
      <c r="R5" s="67"/>
      <c r="S5" s="67"/>
      <c r="T5" s="67"/>
      <c r="U5" s="67"/>
      <c r="V5" s="67"/>
      <c r="W5" s="188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</row>
    <row r="6" spans="1:57">
      <c r="A6" s="72" t="s">
        <v>337</v>
      </c>
      <c r="B6" s="157" t="s">
        <v>7</v>
      </c>
      <c r="C6" s="155" t="s">
        <v>392</v>
      </c>
      <c r="D6" s="157" t="s">
        <v>393</v>
      </c>
      <c r="E6" s="122">
        <f t="shared" ref="E6:E11" si="0">1-F6</f>
        <v>0</v>
      </c>
      <c r="F6" s="122">
        <f t="shared" ref="F6:F11" si="1">G6+H6</f>
        <v>1</v>
      </c>
      <c r="G6" s="122">
        <f t="shared" ref="G6:G11" si="2">1-H6-P6</f>
        <v>1</v>
      </c>
      <c r="H6" s="122">
        <f t="shared" ref="H6:H11" si="3">+SUM(I6:O6)</f>
        <v>0</v>
      </c>
      <c r="I6" s="198">
        <v>0</v>
      </c>
      <c r="J6" s="198">
        <v>0</v>
      </c>
      <c r="K6" s="198">
        <v>0</v>
      </c>
      <c r="L6" s="198">
        <v>0</v>
      </c>
      <c r="M6" s="198">
        <v>0</v>
      </c>
      <c r="N6" s="80">
        <v>0</v>
      </c>
      <c r="O6" s="76">
        <v>0</v>
      </c>
      <c r="P6" s="76">
        <v>0</v>
      </c>
      <c r="Q6" s="60"/>
      <c r="R6" s="60"/>
      <c r="S6" s="60"/>
      <c r="T6" s="60"/>
      <c r="U6" s="60"/>
      <c r="V6" s="60"/>
      <c r="W6" s="84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</row>
    <row r="7" spans="1:57">
      <c r="A7" s="72" t="s">
        <v>338</v>
      </c>
      <c r="B7" s="157" t="s">
        <v>7</v>
      </c>
      <c r="C7" s="155" t="s">
        <v>392</v>
      </c>
      <c r="D7" s="157" t="s">
        <v>394</v>
      </c>
      <c r="E7" s="122">
        <f t="shared" si="0"/>
        <v>0</v>
      </c>
      <c r="F7" s="122">
        <f t="shared" si="1"/>
        <v>1</v>
      </c>
      <c r="G7" s="122">
        <f t="shared" si="2"/>
        <v>0</v>
      </c>
      <c r="H7" s="122">
        <f t="shared" si="3"/>
        <v>1</v>
      </c>
      <c r="I7" s="199">
        <v>0</v>
      </c>
      <c r="J7" s="199">
        <v>0</v>
      </c>
      <c r="K7" s="199">
        <v>0</v>
      </c>
      <c r="L7" s="199">
        <v>0</v>
      </c>
      <c r="M7" s="199">
        <v>0</v>
      </c>
      <c r="N7" s="80">
        <v>0</v>
      </c>
      <c r="O7" s="76">
        <v>1</v>
      </c>
      <c r="P7" s="76">
        <v>0</v>
      </c>
      <c r="Q7" s="60"/>
      <c r="R7" s="60"/>
      <c r="S7" s="60"/>
      <c r="T7" s="60"/>
      <c r="U7" s="60"/>
      <c r="V7" s="60"/>
      <c r="W7" s="84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</row>
    <row r="8" spans="1:57">
      <c r="A8" s="72" t="s">
        <v>340</v>
      </c>
      <c r="B8" s="157" t="s">
        <v>7</v>
      </c>
      <c r="C8" s="155" t="s">
        <v>392</v>
      </c>
      <c r="D8" s="157" t="s">
        <v>395</v>
      </c>
      <c r="E8" s="122">
        <f t="shared" si="0"/>
        <v>1</v>
      </c>
      <c r="F8" s="122">
        <f t="shared" si="1"/>
        <v>0</v>
      </c>
      <c r="G8" s="122">
        <f t="shared" si="2"/>
        <v>0</v>
      </c>
      <c r="H8" s="122">
        <f t="shared" si="3"/>
        <v>0</v>
      </c>
      <c r="I8" s="199">
        <v>0</v>
      </c>
      <c r="J8" s="199">
        <v>0</v>
      </c>
      <c r="K8" s="199">
        <v>0</v>
      </c>
      <c r="L8" s="199">
        <v>0</v>
      </c>
      <c r="M8" s="199">
        <v>0</v>
      </c>
      <c r="N8" s="80">
        <v>0</v>
      </c>
      <c r="O8" s="76">
        <v>0</v>
      </c>
      <c r="P8" s="76">
        <v>1</v>
      </c>
      <c r="Q8" s="60"/>
      <c r="R8" s="60"/>
      <c r="S8" s="60"/>
      <c r="T8" s="60"/>
      <c r="U8" s="60"/>
      <c r="V8" s="60"/>
      <c r="W8" s="84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</row>
    <row r="9" spans="1:57">
      <c r="A9" s="72" t="s">
        <v>342</v>
      </c>
      <c r="B9" s="157" t="s">
        <v>7</v>
      </c>
      <c r="C9" s="155" t="s">
        <v>392</v>
      </c>
      <c r="D9" s="157" t="s">
        <v>396</v>
      </c>
      <c r="E9" s="122">
        <f t="shared" si="0"/>
        <v>1</v>
      </c>
      <c r="F9" s="122">
        <f t="shared" si="1"/>
        <v>0</v>
      </c>
      <c r="G9" s="122">
        <f t="shared" si="2"/>
        <v>0</v>
      </c>
      <c r="H9" s="122">
        <f t="shared" si="3"/>
        <v>0</v>
      </c>
      <c r="I9" s="199">
        <v>0</v>
      </c>
      <c r="J9" s="199">
        <v>0</v>
      </c>
      <c r="K9" s="199">
        <v>0</v>
      </c>
      <c r="L9" s="199">
        <v>0</v>
      </c>
      <c r="M9" s="199">
        <v>0</v>
      </c>
      <c r="N9" s="80">
        <v>0</v>
      </c>
      <c r="O9" s="76">
        <v>0</v>
      </c>
      <c r="P9" s="76">
        <v>1</v>
      </c>
      <c r="Q9" s="60"/>
      <c r="R9" s="60"/>
      <c r="S9" s="60"/>
      <c r="T9" s="60"/>
      <c r="U9" s="60"/>
      <c r="V9" s="60"/>
      <c r="W9" s="84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</row>
    <row r="10" spans="1:57">
      <c r="A10" s="72" t="s">
        <v>344</v>
      </c>
      <c r="B10" s="157" t="s">
        <v>7</v>
      </c>
      <c r="C10" s="155" t="s">
        <v>392</v>
      </c>
      <c r="D10" s="157" t="s">
        <v>397</v>
      </c>
      <c r="E10" s="122">
        <f t="shared" si="0"/>
        <v>0</v>
      </c>
      <c r="F10" s="122">
        <f t="shared" si="1"/>
        <v>1</v>
      </c>
      <c r="G10" s="122">
        <f t="shared" si="2"/>
        <v>0</v>
      </c>
      <c r="H10" s="122">
        <f t="shared" si="3"/>
        <v>1</v>
      </c>
      <c r="I10" s="199">
        <v>0</v>
      </c>
      <c r="J10" s="199">
        <v>0</v>
      </c>
      <c r="K10" s="199">
        <v>0</v>
      </c>
      <c r="L10" s="199">
        <v>0</v>
      </c>
      <c r="M10" s="199">
        <v>0</v>
      </c>
      <c r="N10" s="80">
        <v>0</v>
      </c>
      <c r="O10" s="76">
        <v>1</v>
      </c>
      <c r="P10" s="76">
        <v>0</v>
      </c>
      <c r="Q10" s="60"/>
      <c r="R10" s="60"/>
      <c r="S10" s="60"/>
      <c r="T10" s="60"/>
      <c r="U10" s="60"/>
      <c r="V10" s="60"/>
      <c r="W10" s="84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</row>
    <row r="11" spans="1:57">
      <c r="A11" s="72" t="s">
        <v>346</v>
      </c>
      <c r="B11" s="157" t="s">
        <v>7</v>
      </c>
      <c r="C11" s="155" t="s">
        <v>392</v>
      </c>
      <c r="D11" s="157" t="s">
        <v>398</v>
      </c>
      <c r="E11" s="122">
        <f t="shared" si="0"/>
        <v>0</v>
      </c>
      <c r="F11" s="122">
        <f t="shared" si="1"/>
        <v>1</v>
      </c>
      <c r="G11" s="122">
        <f t="shared" si="2"/>
        <v>1</v>
      </c>
      <c r="H11" s="122">
        <f t="shared" si="3"/>
        <v>0</v>
      </c>
      <c r="I11" s="199">
        <v>0</v>
      </c>
      <c r="J11" s="199">
        <v>0</v>
      </c>
      <c r="K11" s="199">
        <v>0</v>
      </c>
      <c r="L11" s="199">
        <v>0</v>
      </c>
      <c r="M11" s="199">
        <v>0</v>
      </c>
      <c r="N11" s="80">
        <v>0</v>
      </c>
      <c r="O11" s="76">
        <v>0</v>
      </c>
      <c r="P11" s="76">
        <v>0</v>
      </c>
      <c r="Q11" s="60"/>
      <c r="R11" s="60"/>
      <c r="S11" s="60"/>
      <c r="T11" s="60"/>
      <c r="U11" s="60"/>
      <c r="V11" s="60"/>
      <c r="W11" s="84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</row>
    <row r="12" spans="1:57" s="58" customFormat="1">
      <c r="A12" s="60"/>
      <c r="B12" s="61"/>
      <c r="C12" s="62"/>
      <c r="D12" s="61"/>
      <c r="E12" s="122"/>
      <c r="F12" s="122"/>
      <c r="G12" s="122"/>
      <c r="H12" s="122"/>
      <c r="I12" s="147"/>
      <c r="J12" s="147"/>
      <c r="K12" s="147"/>
      <c r="L12" s="147"/>
      <c r="M12" s="147"/>
      <c r="N12" s="148"/>
      <c r="O12" s="146"/>
      <c r="P12" s="146"/>
      <c r="Q12" s="60"/>
      <c r="R12" s="60"/>
      <c r="S12" s="60"/>
      <c r="T12" s="60"/>
      <c r="U12" s="60"/>
      <c r="V12" s="60"/>
      <c r="W12" s="84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</row>
    <row r="13" spans="1:57" ht="14.65" customHeight="1">
      <c r="A13" s="67" t="s">
        <v>381</v>
      </c>
      <c r="B13" s="67"/>
      <c r="C13" s="67"/>
      <c r="D13" s="67"/>
      <c r="E13" s="195"/>
      <c r="F13" s="195"/>
      <c r="G13" s="195"/>
      <c r="H13" s="195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</row>
    <row r="14" spans="1:57" ht="14.65" customHeight="1">
      <c r="A14" s="67" t="s">
        <v>102</v>
      </c>
      <c r="B14" s="67"/>
      <c r="C14" s="67"/>
      <c r="D14" s="67"/>
      <c r="E14" s="196" t="s">
        <v>383</v>
      </c>
      <c r="F14" s="196" t="s">
        <v>384</v>
      </c>
      <c r="G14" s="196" t="s">
        <v>385</v>
      </c>
      <c r="H14" s="196" t="s">
        <v>386</v>
      </c>
      <c r="I14" s="197" t="s">
        <v>387</v>
      </c>
      <c r="J14" s="197" t="s">
        <v>388</v>
      </c>
      <c r="K14" s="197" t="s">
        <v>225</v>
      </c>
      <c r="L14" s="197" t="s">
        <v>389</v>
      </c>
      <c r="M14" s="197" t="s">
        <v>305</v>
      </c>
      <c r="N14" s="197" t="s">
        <v>226</v>
      </c>
      <c r="O14" s="197" t="s">
        <v>390</v>
      </c>
      <c r="P14" s="197" t="s">
        <v>391</v>
      </c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</row>
    <row r="15" spans="1:57" ht="14.65" customHeight="1">
      <c r="A15" s="72" t="s">
        <v>348</v>
      </c>
      <c r="B15" s="72" t="s">
        <v>7</v>
      </c>
      <c r="C15" s="72" t="s">
        <v>392</v>
      </c>
      <c r="D15" s="72" t="s">
        <v>399</v>
      </c>
      <c r="E15" s="122">
        <f t="shared" ref="E15:E20" si="4">1-F15</f>
        <v>0</v>
      </c>
      <c r="F15" s="122">
        <f t="shared" ref="F15:F20" si="5">G15+H15</f>
        <v>1</v>
      </c>
      <c r="G15" s="122">
        <f t="shared" ref="G15:G20" si="6">1-H15</f>
        <v>1</v>
      </c>
      <c r="H15" s="122">
        <f t="shared" ref="H15:H20" si="7">+SUM(I15:O15)</f>
        <v>0</v>
      </c>
      <c r="I15" s="198">
        <v>0</v>
      </c>
      <c r="J15" s="198">
        <v>0</v>
      </c>
      <c r="K15" s="198">
        <v>0</v>
      </c>
      <c r="L15" s="198">
        <v>0</v>
      </c>
      <c r="M15" s="198">
        <v>0</v>
      </c>
      <c r="N15" s="80">
        <v>0</v>
      </c>
      <c r="O15" s="76">
        <v>0</v>
      </c>
      <c r="P15" s="76">
        <v>0</v>
      </c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</row>
    <row r="16" spans="1:57">
      <c r="A16" s="72" t="s">
        <v>350</v>
      </c>
      <c r="B16" s="72" t="s">
        <v>7</v>
      </c>
      <c r="C16" s="72" t="s">
        <v>392</v>
      </c>
      <c r="D16" s="72" t="s">
        <v>400</v>
      </c>
      <c r="E16" s="122">
        <f t="shared" si="4"/>
        <v>0</v>
      </c>
      <c r="F16" s="122">
        <f t="shared" si="5"/>
        <v>1</v>
      </c>
      <c r="G16" s="122">
        <f t="shared" si="6"/>
        <v>0</v>
      </c>
      <c r="H16" s="122">
        <f t="shared" si="7"/>
        <v>1</v>
      </c>
      <c r="I16" s="199">
        <v>0.25</v>
      </c>
      <c r="J16" s="199">
        <v>0.25</v>
      </c>
      <c r="K16" s="199">
        <v>0.25</v>
      </c>
      <c r="L16" s="199">
        <v>0</v>
      </c>
      <c r="M16" s="199">
        <v>0.25</v>
      </c>
      <c r="N16" s="80">
        <v>0</v>
      </c>
      <c r="O16" s="76">
        <v>0</v>
      </c>
      <c r="P16" s="76">
        <v>0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</row>
    <row r="17" spans="1:57">
      <c r="A17" s="72" t="s">
        <v>352</v>
      </c>
      <c r="B17" s="72" t="s">
        <v>7</v>
      </c>
      <c r="C17" s="72" t="s">
        <v>392</v>
      </c>
      <c r="D17" s="72" t="s">
        <v>401</v>
      </c>
      <c r="E17" s="122">
        <f t="shared" si="4"/>
        <v>0</v>
      </c>
      <c r="F17" s="122">
        <f t="shared" si="5"/>
        <v>1</v>
      </c>
      <c r="G17" s="122">
        <f t="shared" si="6"/>
        <v>0</v>
      </c>
      <c r="H17" s="122">
        <f t="shared" si="7"/>
        <v>1</v>
      </c>
      <c r="I17" s="199">
        <v>0.25</v>
      </c>
      <c r="J17" s="199">
        <v>0.25</v>
      </c>
      <c r="K17" s="199">
        <v>0.25</v>
      </c>
      <c r="L17" s="199">
        <v>0</v>
      </c>
      <c r="M17" s="199">
        <v>0.25</v>
      </c>
      <c r="N17" s="80">
        <v>0</v>
      </c>
      <c r="O17" s="76">
        <v>0</v>
      </c>
      <c r="P17" s="76">
        <v>0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</row>
    <row r="18" spans="1:57">
      <c r="A18" s="72" t="s">
        <v>354</v>
      </c>
      <c r="B18" s="72" t="s">
        <v>7</v>
      </c>
      <c r="C18" s="72" t="s">
        <v>392</v>
      </c>
      <c r="D18" s="72" t="s">
        <v>402</v>
      </c>
      <c r="E18" s="122">
        <f t="shared" si="4"/>
        <v>0</v>
      </c>
      <c r="F18" s="122">
        <f t="shared" si="5"/>
        <v>1</v>
      </c>
      <c r="G18" s="122">
        <f t="shared" si="6"/>
        <v>0</v>
      </c>
      <c r="H18" s="122">
        <f t="shared" si="7"/>
        <v>1</v>
      </c>
      <c r="I18" s="199">
        <v>0.25</v>
      </c>
      <c r="J18" s="199">
        <v>0.25</v>
      </c>
      <c r="K18" s="199">
        <v>0.25</v>
      </c>
      <c r="L18" s="199">
        <v>0</v>
      </c>
      <c r="M18" s="199">
        <v>0.25</v>
      </c>
      <c r="N18" s="80">
        <v>0</v>
      </c>
      <c r="O18" s="76">
        <v>0</v>
      </c>
      <c r="P18" s="76">
        <v>0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</row>
    <row r="19" spans="1:57">
      <c r="A19" s="72" t="s">
        <v>356</v>
      </c>
      <c r="B19" s="72" t="s">
        <v>7</v>
      </c>
      <c r="C19" s="72" t="s">
        <v>392</v>
      </c>
      <c r="D19" s="72" t="s">
        <v>403</v>
      </c>
      <c r="E19" s="122">
        <f t="shared" si="4"/>
        <v>0</v>
      </c>
      <c r="F19" s="122">
        <f t="shared" si="5"/>
        <v>1</v>
      </c>
      <c r="G19" s="122">
        <f t="shared" si="6"/>
        <v>0</v>
      </c>
      <c r="H19" s="122">
        <f t="shared" si="7"/>
        <v>1</v>
      </c>
      <c r="I19" s="199">
        <v>0.25</v>
      </c>
      <c r="J19" s="199">
        <v>0.25</v>
      </c>
      <c r="K19" s="199">
        <v>0.25</v>
      </c>
      <c r="L19" s="199">
        <v>0</v>
      </c>
      <c r="M19" s="199">
        <v>0.25</v>
      </c>
      <c r="N19" s="80">
        <v>0</v>
      </c>
      <c r="O19" s="76">
        <v>0</v>
      </c>
      <c r="P19" s="76">
        <v>0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</row>
    <row r="20" spans="1:57">
      <c r="A20" s="72" t="s">
        <v>358</v>
      </c>
      <c r="B20" s="72" t="s">
        <v>7</v>
      </c>
      <c r="C20" s="72" t="s">
        <v>392</v>
      </c>
      <c r="D20" s="72" t="s">
        <v>404</v>
      </c>
      <c r="E20" s="122">
        <f t="shared" si="4"/>
        <v>0</v>
      </c>
      <c r="F20" s="122">
        <f t="shared" si="5"/>
        <v>1</v>
      </c>
      <c r="G20" s="122">
        <f t="shared" si="6"/>
        <v>0</v>
      </c>
      <c r="H20" s="122">
        <f t="shared" si="7"/>
        <v>1</v>
      </c>
      <c r="I20" s="199">
        <v>0</v>
      </c>
      <c r="J20" s="199">
        <v>0</v>
      </c>
      <c r="K20" s="199">
        <v>0.5</v>
      </c>
      <c r="L20" s="199">
        <v>0</v>
      </c>
      <c r="M20" s="199">
        <v>0.5</v>
      </c>
      <c r="N20" s="80">
        <v>0</v>
      </c>
      <c r="O20" s="76">
        <v>0</v>
      </c>
      <c r="P20" s="76">
        <v>0</v>
      </c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</row>
    <row r="21" spans="1:57" s="57" customFormat="1">
      <c r="A21" s="60"/>
      <c r="B21" s="61"/>
      <c r="C21" s="62"/>
      <c r="D21" s="61"/>
      <c r="E21" s="122"/>
      <c r="F21" s="122"/>
      <c r="G21" s="122"/>
      <c r="H21" s="122"/>
      <c r="I21" s="147"/>
      <c r="J21" s="147"/>
      <c r="K21" s="147"/>
      <c r="L21" s="147"/>
      <c r="M21" s="147"/>
      <c r="N21" s="148"/>
      <c r="O21" s="146"/>
      <c r="P21" s="146"/>
      <c r="Q21" s="60"/>
      <c r="R21" s="60"/>
      <c r="S21" s="60"/>
      <c r="T21" s="60"/>
      <c r="U21" s="60"/>
      <c r="V21" s="60"/>
      <c r="W21" s="84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</row>
    <row r="22" spans="1:57" ht="14.65" customHeight="1">
      <c r="A22" s="67" t="s">
        <v>381</v>
      </c>
      <c r="B22" s="192"/>
      <c r="C22" s="193"/>
      <c r="D22" s="192"/>
      <c r="E22" s="195"/>
      <c r="F22" s="195"/>
      <c r="G22" s="195"/>
      <c r="H22" s="195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</row>
    <row r="23" spans="1:57" ht="14.65" customHeight="1">
      <c r="A23" s="67" t="s">
        <v>405</v>
      </c>
      <c r="B23" s="192"/>
      <c r="C23" s="193"/>
      <c r="D23" s="192"/>
      <c r="E23" s="196" t="s">
        <v>383</v>
      </c>
      <c r="F23" s="196" t="s">
        <v>384</v>
      </c>
      <c r="G23" s="196" t="s">
        <v>385</v>
      </c>
      <c r="H23" s="196" t="s">
        <v>386</v>
      </c>
      <c r="I23" s="197" t="s">
        <v>387</v>
      </c>
      <c r="J23" s="197" t="s">
        <v>388</v>
      </c>
      <c r="K23" s="197" t="s">
        <v>225</v>
      </c>
      <c r="L23" s="197" t="s">
        <v>389</v>
      </c>
      <c r="M23" s="197" t="s">
        <v>305</v>
      </c>
      <c r="N23" s="197" t="s">
        <v>226</v>
      </c>
      <c r="O23" s="197" t="s">
        <v>390</v>
      </c>
      <c r="P23" s="197" t="s">
        <v>391</v>
      </c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</row>
    <row r="24" spans="1:57" ht="14.65" customHeight="1">
      <c r="A24" s="72" t="s">
        <v>360</v>
      </c>
      <c r="B24" s="157" t="s">
        <v>7</v>
      </c>
      <c r="C24" s="155" t="s">
        <v>392</v>
      </c>
      <c r="D24" s="157" t="s">
        <v>406</v>
      </c>
      <c r="E24" s="122">
        <f t="shared" ref="E24:E34" si="8">1-F24</f>
        <v>0</v>
      </c>
      <c r="F24" s="122">
        <f t="shared" ref="F24:F34" si="9">G24+H24</f>
        <v>1</v>
      </c>
      <c r="G24" s="122">
        <f t="shared" ref="G24:G34" si="10">1-H24</f>
        <v>1</v>
      </c>
      <c r="H24" s="122">
        <f t="shared" ref="H24:H34" si="11">+SUM(I24:O24)</f>
        <v>0</v>
      </c>
      <c r="I24" s="198">
        <v>0</v>
      </c>
      <c r="J24" s="198">
        <v>0</v>
      </c>
      <c r="K24" s="198">
        <v>0</v>
      </c>
      <c r="L24" s="198">
        <v>0</v>
      </c>
      <c r="M24" s="198">
        <v>0</v>
      </c>
      <c r="N24" s="80">
        <v>0</v>
      </c>
      <c r="O24" s="76">
        <v>0</v>
      </c>
      <c r="P24" s="76">
        <v>0</v>
      </c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</row>
    <row r="25" spans="1:57">
      <c r="A25" s="72" t="s">
        <v>362</v>
      </c>
      <c r="B25" s="157" t="s">
        <v>7</v>
      </c>
      <c r="C25" s="155" t="s">
        <v>392</v>
      </c>
      <c r="D25" s="157" t="s">
        <v>407</v>
      </c>
      <c r="E25" s="122">
        <f t="shared" si="8"/>
        <v>0</v>
      </c>
      <c r="F25" s="122">
        <f t="shared" si="9"/>
        <v>1</v>
      </c>
      <c r="G25" s="122">
        <f t="shared" si="10"/>
        <v>0</v>
      </c>
      <c r="H25" s="122">
        <f t="shared" si="11"/>
        <v>1</v>
      </c>
      <c r="I25" s="199">
        <v>0</v>
      </c>
      <c r="J25" s="199">
        <v>0</v>
      </c>
      <c r="K25" s="199">
        <v>0.5</v>
      </c>
      <c r="L25" s="199">
        <v>0.5</v>
      </c>
      <c r="M25" s="199">
        <v>0</v>
      </c>
      <c r="N25" s="80">
        <v>0</v>
      </c>
      <c r="O25" s="76">
        <v>0</v>
      </c>
      <c r="P25" s="76">
        <v>0</v>
      </c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</row>
    <row r="26" spans="1:57">
      <c r="A26" s="72" t="s">
        <v>364</v>
      </c>
      <c r="B26" s="157" t="s">
        <v>7</v>
      </c>
      <c r="C26" s="155" t="s">
        <v>392</v>
      </c>
      <c r="D26" s="157" t="s">
        <v>408</v>
      </c>
      <c r="E26" s="122">
        <f t="shared" si="8"/>
        <v>0</v>
      </c>
      <c r="F26" s="122">
        <f t="shared" si="9"/>
        <v>1</v>
      </c>
      <c r="G26" s="122">
        <f t="shared" si="10"/>
        <v>0</v>
      </c>
      <c r="H26" s="122">
        <f t="shared" si="11"/>
        <v>1</v>
      </c>
      <c r="I26" s="199">
        <v>0</v>
      </c>
      <c r="J26" s="199">
        <v>0</v>
      </c>
      <c r="K26" s="199">
        <v>0.5</v>
      </c>
      <c r="L26" s="199">
        <v>0.5</v>
      </c>
      <c r="M26" s="199">
        <v>0</v>
      </c>
      <c r="N26" s="80">
        <v>0</v>
      </c>
      <c r="O26" s="76">
        <v>0</v>
      </c>
      <c r="P26" s="76">
        <v>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</row>
    <row r="27" spans="1:57">
      <c r="A27" s="72" t="s">
        <v>366</v>
      </c>
      <c r="B27" s="157" t="s">
        <v>7</v>
      </c>
      <c r="C27" s="155" t="s">
        <v>392</v>
      </c>
      <c r="D27" s="157" t="s">
        <v>409</v>
      </c>
      <c r="E27" s="122">
        <f t="shared" si="8"/>
        <v>0</v>
      </c>
      <c r="F27" s="122">
        <f t="shared" si="9"/>
        <v>1</v>
      </c>
      <c r="G27" s="122">
        <f t="shared" si="10"/>
        <v>1</v>
      </c>
      <c r="H27" s="122">
        <f t="shared" si="11"/>
        <v>0</v>
      </c>
      <c r="I27" s="199">
        <v>0</v>
      </c>
      <c r="J27" s="199">
        <v>0</v>
      </c>
      <c r="K27" s="199">
        <v>0</v>
      </c>
      <c r="L27" s="199">
        <v>0</v>
      </c>
      <c r="M27" s="199">
        <v>0</v>
      </c>
      <c r="N27" s="80">
        <v>0</v>
      </c>
      <c r="O27" s="76">
        <v>0</v>
      </c>
      <c r="P27" s="76">
        <v>0</v>
      </c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</row>
    <row r="28" spans="1:57">
      <c r="A28" s="72" t="s">
        <v>368</v>
      </c>
      <c r="B28" s="157" t="s">
        <v>7</v>
      </c>
      <c r="C28" s="155" t="s">
        <v>392</v>
      </c>
      <c r="D28" s="157" t="s">
        <v>410</v>
      </c>
      <c r="E28" s="122">
        <f t="shared" si="8"/>
        <v>0</v>
      </c>
      <c r="F28" s="122">
        <f t="shared" si="9"/>
        <v>1</v>
      </c>
      <c r="G28" s="122">
        <f t="shared" si="10"/>
        <v>1</v>
      </c>
      <c r="H28" s="122">
        <f t="shared" si="11"/>
        <v>0</v>
      </c>
      <c r="I28" s="199">
        <v>0</v>
      </c>
      <c r="J28" s="199">
        <v>0</v>
      </c>
      <c r="K28" s="199">
        <v>0</v>
      </c>
      <c r="L28" s="199">
        <v>0</v>
      </c>
      <c r="M28" s="199">
        <v>0</v>
      </c>
      <c r="N28" s="80">
        <v>0</v>
      </c>
      <c r="O28" s="76">
        <v>0</v>
      </c>
      <c r="P28" s="76">
        <v>0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</row>
    <row r="29" spans="1:57">
      <c r="A29" s="72" t="s">
        <v>370</v>
      </c>
      <c r="B29" s="157" t="s">
        <v>7</v>
      </c>
      <c r="C29" s="155" t="s">
        <v>392</v>
      </c>
      <c r="D29" s="157" t="s">
        <v>411</v>
      </c>
      <c r="E29" s="122">
        <f t="shared" si="8"/>
        <v>0</v>
      </c>
      <c r="F29" s="122">
        <f t="shared" si="9"/>
        <v>1</v>
      </c>
      <c r="G29" s="122">
        <f t="shared" si="10"/>
        <v>1</v>
      </c>
      <c r="H29" s="122">
        <f t="shared" si="11"/>
        <v>0</v>
      </c>
      <c r="I29" s="199">
        <v>0</v>
      </c>
      <c r="J29" s="199">
        <v>0</v>
      </c>
      <c r="K29" s="199">
        <v>0</v>
      </c>
      <c r="L29" s="199">
        <v>0</v>
      </c>
      <c r="M29" s="199">
        <v>0</v>
      </c>
      <c r="N29" s="80">
        <v>0</v>
      </c>
      <c r="O29" s="76">
        <v>0</v>
      </c>
      <c r="P29" s="76">
        <v>0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</row>
    <row r="30" spans="1:57">
      <c r="A30" s="72" t="s">
        <v>372</v>
      </c>
      <c r="B30" s="157" t="s">
        <v>7</v>
      </c>
      <c r="C30" s="155" t="s">
        <v>392</v>
      </c>
      <c r="D30" s="157" t="s">
        <v>412</v>
      </c>
      <c r="E30" s="122">
        <f t="shared" si="8"/>
        <v>0</v>
      </c>
      <c r="F30" s="122">
        <f t="shared" si="9"/>
        <v>1</v>
      </c>
      <c r="G30" s="122">
        <f t="shared" si="10"/>
        <v>1</v>
      </c>
      <c r="H30" s="122">
        <f t="shared" si="11"/>
        <v>0</v>
      </c>
      <c r="I30" s="199">
        <v>0</v>
      </c>
      <c r="J30" s="199">
        <v>0</v>
      </c>
      <c r="K30" s="199">
        <v>0</v>
      </c>
      <c r="L30" s="199">
        <v>0</v>
      </c>
      <c r="M30" s="199">
        <v>0</v>
      </c>
      <c r="N30" s="80">
        <v>0</v>
      </c>
      <c r="O30" s="76">
        <v>0</v>
      </c>
      <c r="P30" s="76">
        <v>0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</row>
    <row r="31" spans="1:57">
      <c r="A31" s="72" t="s">
        <v>373</v>
      </c>
      <c r="B31" s="157" t="s">
        <v>7</v>
      </c>
      <c r="C31" s="155" t="s">
        <v>392</v>
      </c>
      <c r="D31" s="157" t="s">
        <v>413</v>
      </c>
      <c r="E31" s="122">
        <f t="shared" si="8"/>
        <v>0</v>
      </c>
      <c r="F31" s="122">
        <f t="shared" si="9"/>
        <v>1</v>
      </c>
      <c r="G31" s="122">
        <f t="shared" si="10"/>
        <v>1</v>
      </c>
      <c r="H31" s="122">
        <f t="shared" si="11"/>
        <v>0</v>
      </c>
      <c r="I31" s="199">
        <v>0</v>
      </c>
      <c r="J31" s="199">
        <v>0</v>
      </c>
      <c r="K31" s="199">
        <v>0</v>
      </c>
      <c r="L31" s="199">
        <v>0</v>
      </c>
      <c r="M31" s="199">
        <v>0</v>
      </c>
      <c r="N31" s="80">
        <v>0</v>
      </c>
      <c r="O31" s="76">
        <v>0</v>
      </c>
      <c r="P31" s="76">
        <v>0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</row>
    <row r="32" spans="1:57">
      <c r="A32" s="72" t="s">
        <v>375</v>
      </c>
      <c r="B32" s="157" t="s">
        <v>7</v>
      </c>
      <c r="C32" s="155" t="s">
        <v>392</v>
      </c>
      <c r="D32" s="157" t="s">
        <v>414</v>
      </c>
      <c r="E32" s="122">
        <f t="shared" si="8"/>
        <v>0</v>
      </c>
      <c r="F32" s="122">
        <f t="shared" si="9"/>
        <v>1</v>
      </c>
      <c r="G32" s="122">
        <f t="shared" si="10"/>
        <v>1</v>
      </c>
      <c r="H32" s="122">
        <f t="shared" si="11"/>
        <v>0</v>
      </c>
      <c r="I32" s="199">
        <v>0</v>
      </c>
      <c r="J32" s="199">
        <v>0</v>
      </c>
      <c r="K32" s="199">
        <v>0</v>
      </c>
      <c r="L32" s="199">
        <v>0</v>
      </c>
      <c r="M32" s="199">
        <v>0</v>
      </c>
      <c r="N32" s="80">
        <v>0</v>
      </c>
      <c r="O32" s="76">
        <v>0</v>
      </c>
      <c r="P32" s="76">
        <v>0</v>
      </c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</row>
    <row r="33" spans="1:57">
      <c r="A33" s="72" t="s">
        <v>377</v>
      </c>
      <c r="B33" s="157" t="s">
        <v>7</v>
      </c>
      <c r="C33" s="155" t="s">
        <v>392</v>
      </c>
      <c r="D33" s="157" t="s">
        <v>415</v>
      </c>
      <c r="E33" s="122">
        <f t="shared" si="8"/>
        <v>0</v>
      </c>
      <c r="F33" s="122">
        <f t="shared" si="9"/>
        <v>1</v>
      </c>
      <c r="G33" s="122">
        <f t="shared" si="10"/>
        <v>1</v>
      </c>
      <c r="H33" s="122">
        <f t="shared" si="11"/>
        <v>0</v>
      </c>
      <c r="I33" s="199">
        <v>0</v>
      </c>
      <c r="J33" s="199">
        <v>0</v>
      </c>
      <c r="K33" s="199">
        <v>0</v>
      </c>
      <c r="L33" s="199">
        <v>0</v>
      </c>
      <c r="M33" s="199">
        <v>0</v>
      </c>
      <c r="N33" s="80">
        <v>0</v>
      </c>
      <c r="O33" s="76">
        <v>0</v>
      </c>
      <c r="P33" s="76">
        <v>0</v>
      </c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</row>
    <row r="34" spans="1:57">
      <c r="A34" s="72" t="s">
        <v>379</v>
      </c>
      <c r="B34" s="157" t="s">
        <v>7</v>
      </c>
      <c r="C34" s="155" t="s">
        <v>392</v>
      </c>
      <c r="D34" s="157" t="s">
        <v>416</v>
      </c>
      <c r="E34" s="122">
        <f t="shared" si="8"/>
        <v>0</v>
      </c>
      <c r="F34" s="122">
        <f t="shared" si="9"/>
        <v>1</v>
      </c>
      <c r="G34" s="122">
        <f t="shared" si="10"/>
        <v>1</v>
      </c>
      <c r="H34" s="122">
        <f t="shared" si="11"/>
        <v>0</v>
      </c>
      <c r="I34" s="199">
        <v>0</v>
      </c>
      <c r="J34" s="199">
        <v>0</v>
      </c>
      <c r="K34" s="199">
        <v>0</v>
      </c>
      <c r="L34" s="199">
        <v>0</v>
      </c>
      <c r="M34" s="199">
        <v>0</v>
      </c>
      <c r="N34" s="80">
        <v>0</v>
      </c>
      <c r="O34" s="76">
        <v>0</v>
      </c>
      <c r="P34" s="76">
        <v>0</v>
      </c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</row>
    <row r="35" spans="1:57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</row>
    <row r="36" spans="1:57" ht="14.65" customHeight="1">
      <c r="A36" s="72" t="s">
        <v>381</v>
      </c>
      <c r="B36" s="61"/>
      <c r="C36" s="62"/>
      <c r="D36" s="61"/>
      <c r="E36" s="173"/>
      <c r="F36" s="173"/>
      <c r="G36" s="173"/>
      <c r="H36" s="173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</row>
    <row r="37" spans="1:57" ht="14.65" customHeight="1">
      <c r="A37" s="72" t="s">
        <v>417</v>
      </c>
      <c r="B37" s="61"/>
      <c r="C37" s="62"/>
      <c r="D37" s="61"/>
      <c r="E37" s="200" t="s">
        <v>383</v>
      </c>
      <c r="F37" s="200" t="s">
        <v>384</v>
      </c>
      <c r="G37" s="200" t="s">
        <v>385</v>
      </c>
      <c r="H37" s="200" t="s">
        <v>386</v>
      </c>
      <c r="I37" s="201" t="s">
        <v>387</v>
      </c>
      <c r="J37" s="201" t="s">
        <v>388</v>
      </c>
      <c r="K37" s="201" t="s">
        <v>225</v>
      </c>
      <c r="L37" s="201" t="s">
        <v>389</v>
      </c>
      <c r="M37" s="201" t="s">
        <v>305</v>
      </c>
      <c r="N37" s="201" t="s">
        <v>226</v>
      </c>
      <c r="O37" s="201" t="s">
        <v>390</v>
      </c>
      <c r="P37" s="201" t="s">
        <v>391</v>
      </c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</row>
    <row r="38" spans="1:57" ht="14.65" customHeight="1">
      <c r="A38" s="72" t="s">
        <v>6</v>
      </c>
      <c r="B38" s="157" t="s">
        <v>7</v>
      </c>
      <c r="C38" s="155" t="s">
        <v>392</v>
      </c>
      <c r="D38" s="157" t="s">
        <v>418</v>
      </c>
      <c r="E38" s="122">
        <f t="shared" ref="E38:E49" si="12">1-F38</f>
        <v>0</v>
      </c>
      <c r="F38" s="122">
        <f t="shared" ref="F38:F49" si="13">G38+H38</f>
        <v>1</v>
      </c>
      <c r="G38" s="122">
        <f>1-H38</f>
        <v>1</v>
      </c>
      <c r="H38" s="122">
        <f t="shared" ref="H38:H49" si="14">+SUM(I38:O38)</f>
        <v>0</v>
      </c>
      <c r="I38" s="198">
        <v>0</v>
      </c>
      <c r="J38" s="198">
        <v>0</v>
      </c>
      <c r="K38" s="198">
        <v>0</v>
      </c>
      <c r="L38" s="198">
        <v>0</v>
      </c>
      <c r="M38" s="198">
        <v>0</v>
      </c>
      <c r="N38" s="80">
        <v>0</v>
      </c>
      <c r="O38" s="76">
        <v>0</v>
      </c>
      <c r="P38" s="76">
        <v>0</v>
      </c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</row>
    <row r="39" spans="1:57">
      <c r="A39" s="72" t="s">
        <v>10</v>
      </c>
      <c r="B39" s="157" t="s">
        <v>7</v>
      </c>
      <c r="C39" s="155" t="s">
        <v>392</v>
      </c>
      <c r="D39" s="157" t="s">
        <v>419</v>
      </c>
      <c r="E39" s="122">
        <f t="shared" si="12"/>
        <v>0</v>
      </c>
      <c r="F39" s="122">
        <f t="shared" si="13"/>
        <v>1</v>
      </c>
      <c r="G39" s="122">
        <f>1-H39</f>
        <v>1</v>
      </c>
      <c r="H39" s="122">
        <f t="shared" si="14"/>
        <v>0</v>
      </c>
      <c r="I39" s="199">
        <v>0</v>
      </c>
      <c r="J39" s="199">
        <v>0</v>
      </c>
      <c r="K39" s="199">
        <v>0</v>
      </c>
      <c r="L39" s="199">
        <v>0</v>
      </c>
      <c r="M39" s="199">
        <v>0</v>
      </c>
      <c r="N39" s="80">
        <v>0</v>
      </c>
      <c r="O39" s="76">
        <v>0</v>
      </c>
      <c r="P39" s="76">
        <v>0</v>
      </c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</row>
    <row r="40" spans="1:57">
      <c r="A40" s="72" t="s">
        <v>12</v>
      </c>
      <c r="B40" s="157" t="s">
        <v>7</v>
      </c>
      <c r="C40" s="155" t="s">
        <v>392</v>
      </c>
      <c r="D40" s="157" t="s">
        <v>420</v>
      </c>
      <c r="E40" s="122">
        <f t="shared" si="12"/>
        <v>0</v>
      </c>
      <c r="F40" s="122">
        <f t="shared" si="13"/>
        <v>1</v>
      </c>
      <c r="G40" s="122">
        <f>1-H40</f>
        <v>1</v>
      </c>
      <c r="H40" s="122">
        <f t="shared" si="14"/>
        <v>0</v>
      </c>
      <c r="I40" s="199">
        <v>0</v>
      </c>
      <c r="J40" s="199">
        <v>0</v>
      </c>
      <c r="K40" s="199">
        <v>0</v>
      </c>
      <c r="L40" s="199">
        <v>0</v>
      </c>
      <c r="M40" s="199">
        <v>0</v>
      </c>
      <c r="N40" s="80">
        <v>0</v>
      </c>
      <c r="O40" s="76">
        <v>0</v>
      </c>
      <c r="P40" s="76">
        <v>0</v>
      </c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</row>
    <row r="41" spans="1:57">
      <c r="A41" s="72" t="s">
        <v>14</v>
      </c>
      <c r="B41" s="157" t="s">
        <v>7</v>
      </c>
      <c r="C41" s="155" t="s">
        <v>392</v>
      </c>
      <c r="D41" s="157" t="s">
        <v>421</v>
      </c>
      <c r="E41" s="122">
        <f t="shared" si="12"/>
        <v>0</v>
      </c>
      <c r="F41" s="122">
        <f t="shared" si="13"/>
        <v>1</v>
      </c>
      <c r="G41" s="122">
        <f>1-H41</f>
        <v>0</v>
      </c>
      <c r="H41" s="122">
        <f t="shared" si="14"/>
        <v>1</v>
      </c>
      <c r="I41" s="199">
        <v>0.25</v>
      </c>
      <c r="J41" s="199">
        <v>0.25</v>
      </c>
      <c r="K41" s="199">
        <v>0.25</v>
      </c>
      <c r="L41" s="199">
        <v>0</v>
      </c>
      <c r="M41" s="199">
        <v>0.25</v>
      </c>
      <c r="N41" s="80">
        <v>0</v>
      </c>
      <c r="O41" s="76">
        <v>0</v>
      </c>
      <c r="P41" s="76">
        <v>0</v>
      </c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</row>
    <row r="42" spans="1:57">
      <c r="A42" s="72" t="s">
        <v>16</v>
      </c>
      <c r="B42" s="157" t="s">
        <v>7</v>
      </c>
      <c r="C42" s="155" t="s">
        <v>392</v>
      </c>
      <c r="D42" s="157" t="s">
        <v>422</v>
      </c>
      <c r="E42" s="122">
        <f t="shared" si="12"/>
        <v>0</v>
      </c>
      <c r="F42" s="122">
        <f t="shared" si="13"/>
        <v>1</v>
      </c>
      <c r="G42" s="122">
        <f>1-H42</f>
        <v>1</v>
      </c>
      <c r="H42" s="122">
        <f t="shared" si="14"/>
        <v>0</v>
      </c>
      <c r="I42" s="199">
        <v>0</v>
      </c>
      <c r="J42" s="199">
        <v>0</v>
      </c>
      <c r="K42" s="199">
        <v>0</v>
      </c>
      <c r="L42" s="199">
        <v>0</v>
      </c>
      <c r="M42" s="199">
        <v>0</v>
      </c>
      <c r="N42" s="80">
        <v>0</v>
      </c>
      <c r="O42" s="76">
        <v>0</v>
      </c>
      <c r="P42" s="76">
        <v>0</v>
      </c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</row>
    <row r="43" spans="1:57">
      <c r="A43" s="72" t="s">
        <v>18</v>
      </c>
      <c r="B43" s="157" t="s">
        <v>7</v>
      </c>
      <c r="C43" s="155" t="s">
        <v>392</v>
      </c>
      <c r="D43" s="157" t="s">
        <v>423</v>
      </c>
      <c r="E43" s="122">
        <f t="shared" si="12"/>
        <v>0</v>
      </c>
      <c r="F43" s="122">
        <f t="shared" si="13"/>
        <v>1</v>
      </c>
      <c r="G43" s="122">
        <f>1-H43-P43</f>
        <v>1</v>
      </c>
      <c r="H43" s="122">
        <f t="shared" si="14"/>
        <v>0</v>
      </c>
      <c r="I43" s="199">
        <v>0</v>
      </c>
      <c r="J43" s="199">
        <v>0</v>
      </c>
      <c r="K43" s="199">
        <v>0</v>
      </c>
      <c r="L43" s="199">
        <v>0</v>
      </c>
      <c r="M43" s="199">
        <v>0</v>
      </c>
      <c r="N43" s="80">
        <v>0</v>
      </c>
      <c r="O43" s="76">
        <v>0</v>
      </c>
      <c r="P43" s="76">
        <v>0</v>
      </c>
      <c r="Q43" s="60"/>
      <c r="R43" s="60"/>
      <c r="S43" s="60"/>
      <c r="T43" s="60"/>
      <c r="U43" s="60"/>
      <c r="V43" s="60"/>
      <c r="W43" s="84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</row>
    <row r="44" spans="1:57">
      <c r="A44" s="72" t="s">
        <v>20</v>
      </c>
      <c r="B44" s="157" t="s">
        <v>7</v>
      </c>
      <c r="C44" s="155" t="s">
        <v>392</v>
      </c>
      <c r="D44" s="157" t="s">
        <v>424</v>
      </c>
      <c r="E44" s="122">
        <f t="shared" si="12"/>
        <v>0</v>
      </c>
      <c r="F44" s="122">
        <f t="shared" si="13"/>
        <v>1</v>
      </c>
      <c r="G44" s="122">
        <f t="shared" ref="G44:G49" si="15">1-H44</f>
        <v>0</v>
      </c>
      <c r="H44" s="122">
        <f t="shared" si="14"/>
        <v>1</v>
      </c>
      <c r="I44" s="199">
        <v>0.25</v>
      </c>
      <c r="J44" s="199">
        <v>0.25</v>
      </c>
      <c r="K44" s="199">
        <v>0.25</v>
      </c>
      <c r="L44" s="199">
        <v>0</v>
      </c>
      <c r="M44" s="199">
        <v>0.25</v>
      </c>
      <c r="N44" s="80">
        <v>0</v>
      </c>
      <c r="O44" s="76">
        <v>0</v>
      </c>
      <c r="P44" s="76">
        <v>0</v>
      </c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</row>
    <row r="45" spans="1:57">
      <c r="A45" s="72" t="s">
        <v>22</v>
      </c>
      <c r="B45" s="157" t="s">
        <v>7</v>
      </c>
      <c r="C45" s="155" t="s">
        <v>392</v>
      </c>
      <c r="D45" s="157" t="s">
        <v>425</v>
      </c>
      <c r="E45" s="122">
        <f t="shared" si="12"/>
        <v>0</v>
      </c>
      <c r="F45" s="122">
        <f t="shared" si="13"/>
        <v>1</v>
      </c>
      <c r="G45" s="122">
        <f t="shared" si="15"/>
        <v>1</v>
      </c>
      <c r="H45" s="122">
        <f t="shared" si="14"/>
        <v>0</v>
      </c>
      <c r="I45" s="199">
        <v>0</v>
      </c>
      <c r="J45" s="199">
        <v>0</v>
      </c>
      <c r="K45" s="199">
        <v>0</v>
      </c>
      <c r="L45" s="199">
        <v>0</v>
      </c>
      <c r="M45" s="199">
        <v>0</v>
      </c>
      <c r="N45" s="80">
        <v>0</v>
      </c>
      <c r="O45" s="76">
        <v>0</v>
      </c>
      <c r="P45" s="76">
        <v>0</v>
      </c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</row>
    <row r="46" spans="1:57">
      <c r="A46" s="72" t="s">
        <v>24</v>
      </c>
      <c r="B46" s="157" t="s">
        <v>7</v>
      </c>
      <c r="C46" s="155" t="s">
        <v>392</v>
      </c>
      <c r="D46" s="157" t="s">
        <v>426</v>
      </c>
      <c r="E46" s="122">
        <f t="shared" si="12"/>
        <v>0</v>
      </c>
      <c r="F46" s="122">
        <f t="shared" si="13"/>
        <v>1</v>
      </c>
      <c r="G46" s="122">
        <f t="shared" si="15"/>
        <v>0</v>
      </c>
      <c r="H46" s="122">
        <f t="shared" si="14"/>
        <v>1</v>
      </c>
      <c r="I46" s="199">
        <v>0.25</v>
      </c>
      <c r="J46" s="199">
        <v>0.25</v>
      </c>
      <c r="K46" s="199">
        <v>0.25</v>
      </c>
      <c r="L46" s="199">
        <v>0</v>
      </c>
      <c r="M46" s="199">
        <v>0.25</v>
      </c>
      <c r="N46" s="80">
        <v>0</v>
      </c>
      <c r="O46" s="76">
        <v>0</v>
      </c>
      <c r="P46" s="76">
        <v>0</v>
      </c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</row>
    <row r="47" spans="1:57">
      <c r="A47" s="72" t="s">
        <v>26</v>
      </c>
      <c r="B47" s="157" t="s">
        <v>7</v>
      </c>
      <c r="C47" s="155" t="s">
        <v>392</v>
      </c>
      <c r="D47" s="157" t="s">
        <v>427</v>
      </c>
      <c r="E47" s="122">
        <f t="shared" si="12"/>
        <v>0</v>
      </c>
      <c r="F47" s="122">
        <f t="shared" si="13"/>
        <v>1</v>
      </c>
      <c r="G47" s="122">
        <f t="shared" si="15"/>
        <v>0</v>
      </c>
      <c r="H47" s="122">
        <f t="shared" si="14"/>
        <v>1</v>
      </c>
      <c r="I47" s="199">
        <v>0.25</v>
      </c>
      <c r="J47" s="199">
        <v>0.25</v>
      </c>
      <c r="K47" s="199">
        <v>0.25</v>
      </c>
      <c r="L47" s="199">
        <v>0</v>
      </c>
      <c r="M47" s="199">
        <v>0.25</v>
      </c>
      <c r="N47" s="80">
        <v>0</v>
      </c>
      <c r="O47" s="76">
        <v>0</v>
      </c>
      <c r="P47" s="76">
        <v>0</v>
      </c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</row>
    <row r="48" spans="1:57">
      <c r="A48" s="72" t="s">
        <v>28</v>
      </c>
      <c r="B48" s="157" t="s">
        <v>7</v>
      </c>
      <c r="C48" s="155" t="s">
        <v>392</v>
      </c>
      <c r="D48" s="157" t="s">
        <v>428</v>
      </c>
      <c r="E48" s="122">
        <f t="shared" si="12"/>
        <v>0</v>
      </c>
      <c r="F48" s="122">
        <f t="shared" si="13"/>
        <v>1</v>
      </c>
      <c r="G48" s="122">
        <f t="shared" si="15"/>
        <v>1</v>
      </c>
      <c r="H48" s="122">
        <f t="shared" si="14"/>
        <v>0</v>
      </c>
      <c r="I48" s="199">
        <v>0</v>
      </c>
      <c r="J48" s="199">
        <v>0</v>
      </c>
      <c r="K48" s="199">
        <v>0</v>
      </c>
      <c r="L48" s="199">
        <v>0</v>
      </c>
      <c r="M48" s="199">
        <v>0</v>
      </c>
      <c r="N48" s="80">
        <v>0</v>
      </c>
      <c r="O48" s="76">
        <v>0</v>
      </c>
      <c r="P48" s="76">
        <v>0</v>
      </c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</row>
    <row r="49" spans="1:57">
      <c r="A49" s="72" t="s">
        <v>30</v>
      </c>
      <c r="B49" s="157" t="s">
        <v>7</v>
      </c>
      <c r="C49" s="155" t="s">
        <v>392</v>
      </c>
      <c r="D49" s="157" t="s">
        <v>429</v>
      </c>
      <c r="E49" s="122">
        <f t="shared" si="12"/>
        <v>0</v>
      </c>
      <c r="F49" s="122">
        <f t="shared" si="13"/>
        <v>1</v>
      </c>
      <c r="G49" s="122">
        <f t="shared" si="15"/>
        <v>1</v>
      </c>
      <c r="H49" s="122">
        <f t="shared" si="14"/>
        <v>0</v>
      </c>
      <c r="I49" s="199">
        <v>0</v>
      </c>
      <c r="J49" s="199">
        <v>0</v>
      </c>
      <c r="K49" s="199">
        <v>0</v>
      </c>
      <c r="L49" s="199">
        <v>0</v>
      </c>
      <c r="M49" s="199">
        <v>0</v>
      </c>
      <c r="N49" s="80">
        <v>0</v>
      </c>
      <c r="O49" s="76">
        <v>0</v>
      </c>
      <c r="P49" s="76">
        <v>0</v>
      </c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4"/>
  <sheetViews>
    <sheetView tabSelected="1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5"/>
  <cols>
    <col min="1" max="1" width="11" customWidth="1"/>
    <col min="2" max="2" width="30" customWidth="1"/>
    <col min="3" max="3" width="12" customWidth="1"/>
    <col min="4" max="4" width="34" customWidth="1"/>
    <col min="5" max="7" width="12" customWidth="1"/>
    <col min="8" max="8" width="2" customWidth="1"/>
    <col min="9" max="11" width="12" customWidth="1"/>
    <col min="12" max="12" width="2" customWidth="1"/>
    <col min="13" max="15" width="12" customWidth="1"/>
  </cols>
  <sheetData>
    <row r="1" spans="1:15">
      <c r="E1" s="291" t="s">
        <v>430</v>
      </c>
      <c r="I1" s="292" t="s">
        <v>431</v>
      </c>
      <c r="M1" s="293" t="s">
        <v>432</v>
      </c>
    </row>
    <row r="2" spans="1:15">
      <c r="E2" s="294">
        <v>46203</v>
      </c>
      <c r="F2" s="294">
        <v>46295</v>
      </c>
      <c r="G2" s="294">
        <v>46387</v>
      </c>
      <c r="I2" s="294">
        <v>46203</v>
      </c>
      <c r="J2" s="294">
        <v>46295</v>
      </c>
      <c r="K2" s="294">
        <v>46387</v>
      </c>
      <c r="M2" s="294">
        <v>46203</v>
      </c>
      <c r="N2" s="294">
        <v>46295</v>
      </c>
      <c r="O2" s="294">
        <v>46387</v>
      </c>
    </row>
    <row r="3" spans="1:15">
      <c r="A3" s="295"/>
      <c r="B3" s="295"/>
      <c r="C3" s="295"/>
      <c r="D3" s="295"/>
      <c r="E3" s="295" t="s">
        <v>433</v>
      </c>
      <c r="F3" s="295" t="s">
        <v>434</v>
      </c>
      <c r="G3" s="295" t="s">
        <v>435</v>
      </c>
      <c r="H3" s="295"/>
      <c r="I3" s="295" t="s">
        <v>433</v>
      </c>
      <c r="J3" s="295" t="s">
        <v>434</v>
      </c>
      <c r="K3" s="295" t="s">
        <v>435</v>
      </c>
      <c r="L3" s="295"/>
      <c r="M3" s="295" t="s">
        <v>433</v>
      </c>
      <c r="N3" s="295" t="s">
        <v>434</v>
      </c>
      <c r="O3" s="295" t="s">
        <v>435</v>
      </c>
    </row>
    <row r="4" spans="1:15">
      <c r="A4" s="295" t="s">
        <v>436</v>
      </c>
      <c r="B4" s="295" t="s">
        <v>3</v>
      </c>
      <c r="C4" s="295" t="s">
        <v>4</v>
      </c>
      <c r="D4" s="295" t="s">
        <v>437</v>
      </c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</row>
    <row r="5" spans="1:15">
      <c r="A5" t="s">
        <v>51</v>
      </c>
      <c r="B5" t="s">
        <v>243</v>
      </c>
      <c r="D5" t="s">
        <v>242</v>
      </c>
      <c r="E5" s="296">
        <v>247680</v>
      </c>
      <c r="F5" s="296">
        <v>290880</v>
      </c>
      <c r="G5" s="296">
        <v>545435</v>
      </c>
      <c r="I5" s="296">
        <v>247680</v>
      </c>
      <c r="J5" s="296">
        <v>290880</v>
      </c>
      <c r="K5" s="296">
        <v>545435</v>
      </c>
      <c r="M5" s="296">
        <f t="shared" ref="M5:M34" si="0">IF(E5="","",E5-I5)</f>
        <v>0</v>
      </c>
      <c r="N5" s="296">
        <f t="shared" ref="N5:N34" si="1">IF(F5="","",F5-J5)</f>
        <v>0</v>
      </c>
      <c r="O5" s="296">
        <f t="shared" ref="O5:O34" si="2">IF(G5="","",G5-K5)</f>
        <v>0</v>
      </c>
    </row>
    <row r="6" spans="1:15">
      <c r="A6" t="s">
        <v>51</v>
      </c>
      <c r="B6" t="s">
        <v>247</v>
      </c>
      <c r="D6" t="s">
        <v>246</v>
      </c>
      <c r="E6" s="296">
        <v>902637.28947368416</v>
      </c>
      <c r="F6" s="296">
        <v>948110.97368421056</v>
      </c>
      <c r="G6" s="296">
        <v>2385063.6052631582</v>
      </c>
      <c r="I6" s="296">
        <v>902637.28947368416</v>
      </c>
      <c r="J6" s="296">
        <v>948110.97368421056</v>
      </c>
      <c r="K6" s="296">
        <v>2385063.6052631582</v>
      </c>
      <c r="M6" s="296">
        <f t="shared" si="0"/>
        <v>0</v>
      </c>
      <c r="N6" s="296">
        <f t="shared" si="1"/>
        <v>0</v>
      </c>
      <c r="O6" s="296">
        <f t="shared" si="2"/>
        <v>0</v>
      </c>
    </row>
    <row r="7" spans="1:15">
      <c r="A7" t="s">
        <v>51</v>
      </c>
      <c r="B7" t="s">
        <v>249</v>
      </c>
      <c r="D7" t="s">
        <v>248</v>
      </c>
      <c r="E7" s="296">
        <v>-1170394.6850000001</v>
      </c>
      <c r="F7" s="296">
        <v>-1177800.7775000001</v>
      </c>
      <c r="G7" s="296">
        <v>-16206.87000000011</v>
      </c>
      <c r="I7" s="296">
        <v>-1170394.6850000001</v>
      </c>
      <c r="J7" s="296">
        <v>-1177800.7775000001</v>
      </c>
      <c r="K7" s="296">
        <v>-16206.87000000011</v>
      </c>
      <c r="M7" s="296">
        <f t="shared" si="0"/>
        <v>0</v>
      </c>
      <c r="N7" s="296">
        <f t="shared" si="1"/>
        <v>0</v>
      </c>
      <c r="O7" s="296">
        <f t="shared" si="2"/>
        <v>0</v>
      </c>
    </row>
    <row r="8" spans="1:15">
      <c r="A8" t="s">
        <v>51</v>
      </c>
      <c r="B8" t="s">
        <v>263</v>
      </c>
      <c r="D8" t="s">
        <v>262</v>
      </c>
      <c r="E8" s="296">
        <v>398173.6519736842</v>
      </c>
      <c r="F8" s="296">
        <v>400447.33618421049</v>
      </c>
      <c r="G8" s="296">
        <v>662529.63026315777</v>
      </c>
      <c r="I8" s="296">
        <v>398173.6519736842</v>
      </c>
      <c r="J8" s="296">
        <v>400447.33618421049</v>
      </c>
      <c r="K8" s="296">
        <v>662529.63026315777</v>
      </c>
      <c r="M8" s="296">
        <f t="shared" si="0"/>
        <v>0</v>
      </c>
      <c r="N8" s="296">
        <f t="shared" si="1"/>
        <v>0</v>
      </c>
      <c r="O8" s="296">
        <f t="shared" si="2"/>
        <v>0</v>
      </c>
    </row>
    <row r="9" spans="1:15">
      <c r="A9" t="s">
        <v>51</v>
      </c>
      <c r="B9" t="s">
        <v>42</v>
      </c>
      <c r="D9" t="s">
        <v>41</v>
      </c>
      <c r="E9" s="296">
        <v>247680</v>
      </c>
      <c r="F9" s="296">
        <v>290880</v>
      </c>
      <c r="G9" s="296">
        <v>545435</v>
      </c>
      <c r="I9" s="296">
        <v>247680</v>
      </c>
      <c r="J9" s="296">
        <v>290880</v>
      </c>
      <c r="K9" s="296">
        <v>545435</v>
      </c>
      <c r="M9" s="296">
        <f t="shared" si="0"/>
        <v>0</v>
      </c>
      <c r="N9" s="296">
        <f t="shared" si="1"/>
        <v>0</v>
      </c>
      <c r="O9" s="296">
        <f t="shared" si="2"/>
        <v>0</v>
      </c>
    </row>
    <row r="10" spans="1:15">
      <c r="A10" t="s">
        <v>51</v>
      </c>
      <c r="B10" t="s">
        <v>44</v>
      </c>
      <c r="D10" t="s">
        <v>43</v>
      </c>
      <c r="E10" s="296">
        <v>144000</v>
      </c>
      <c r="F10" s="296">
        <v>144000</v>
      </c>
      <c r="G10" s="296">
        <v>403750</v>
      </c>
      <c r="I10" s="296">
        <v>144000</v>
      </c>
      <c r="J10" s="296">
        <v>144000</v>
      </c>
      <c r="K10" s="296">
        <v>403750</v>
      </c>
      <c r="M10" s="296">
        <f t="shared" si="0"/>
        <v>0</v>
      </c>
      <c r="N10" s="296">
        <f t="shared" si="1"/>
        <v>0</v>
      </c>
      <c r="O10" s="296">
        <f t="shared" si="2"/>
        <v>0</v>
      </c>
    </row>
    <row r="11" spans="1:15">
      <c r="A11" t="s">
        <v>51</v>
      </c>
      <c r="B11" t="s">
        <v>269</v>
      </c>
      <c r="D11" t="s">
        <v>438</v>
      </c>
      <c r="E11" s="296">
        <v>583052.45224999997</v>
      </c>
      <c r="F11" s="296">
        <v>425179.24712499999</v>
      </c>
      <c r="G11" s="296">
        <v>18621.379500000039</v>
      </c>
      <c r="I11" s="296">
        <v>583052.45224999997</v>
      </c>
      <c r="J11" s="296">
        <v>425179.24712499999</v>
      </c>
      <c r="K11" s="296">
        <v>18621.379500000039</v>
      </c>
      <c r="M11" s="296">
        <f t="shared" si="0"/>
        <v>0</v>
      </c>
      <c r="N11" s="296">
        <f t="shared" si="1"/>
        <v>0</v>
      </c>
      <c r="O11" s="296">
        <f t="shared" si="2"/>
        <v>0</v>
      </c>
    </row>
    <row r="12" spans="1:15">
      <c r="A12" t="s">
        <v>54</v>
      </c>
      <c r="B12" t="s">
        <v>243</v>
      </c>
      <c r="D12" t="s">
        <v>242</v>
      </c>
      <c r="E12" s="296">
        <v>85679.999999999985</v>
      </c>
      <c r="F12" s="296">
        <v>85679.999999999985</v>
      </c>
      <c r="G12" s="296">
        <v>116850</v>
      </c>
      <c r="I12" s="296">
        <v>85679.999999999985</v>
      </c>
      <c r="J12" s="296">
        <v>85679.999999999985</v>
      </c>
      <c r="K12" s="296">
        <v>116850</v>
      </c>
      <c r="M12" s="296">
        <f t="shared" si="0"/>
        <v>0</v>
      </c>
      <c r="N12" s="296">
        <f t="shared" si="1"/>
        <v>0</v>
      </c>
      <c r="O12" s="296">
        <f t="shared" si="2"/>
        <v>0</v>
      </c>
    </row>
    <row r="13" spans="1:15">
      <c r="A13" t="s">
        <v>54</v>
      </c>
      <c r="B13" t="s">
        <v>309</v>
      </c>
      <c r="D13" t="s">
        <v>308</v>
      </c>
      <c r="E13" s="296">
        <v>2473819.8070175429</v>
      </c>
      <c r="F13" s="296">
        <v>2205638.8070175429</v>
      </c>
      <c r="G13" s="296">
        <v>5828630.333333333</v>
      </c>
      <c r="I13" s="296">
        <v>2473819.8070175429</v>
      </c>
      <c r="J13" s="296">
        <v>2205638.8070175429</v>
      </c>
      <c r="K13" s="296">
        <v>5828630.333333333</v>
      </c>
      <c r="M13" s="296">
        <f t="shared" si="0"/>
        <v>0</v>
      </c>
      <c r="N13" s="296">
        <f t="shared" si="1"/>
        <v>0</v>
      </c>
      <c r="O13" s="296">
        <f t="shared" si="2"/>
        <v>0</v>
      </c>
    </row>
    <row r="14" spans="1:15">
      <c r="A14" t="s">
        <v>54</v>
      </c>
      <c r="B14" t="s">
        <v>249</v>
      </c>
      <c r="D14" t="s">
        <v>248</v>
      </c>
      <c r="E14" s="296">
        <v>-4470379.68</v>
      </c>
      <c r="F14" s="296">
        <v>-4201060.68</v>
      </c>
      <c r="G14" s="296">
        <v>-4929060.68</v>
      </c>
      <c r="I14" s="296">
        <v>-4470379.68</v>
      </c>
      <c r="J14" s="296">
        <v>-4201060.68</v>
      </c>
      <c r="K14" s="296">
        <v>-4929060.68</v>
      </c>
      <c r="M14" s="296">
        <f t="shared" si="0"/>
        <v>0</v>
      </c>
      <c r="N14" s="296">
        <f t="shared" si="1"/>
        <v>0</v>
      </c>
      <c r="O14" s="296">
        <f t="shared" si="2"/>
        <v>0</v>
      </c>
    </row>
    <row r="15" spans="1:15">
      <c r="A15" t="s">
        <v>54</v>
      </c>
      <c r="B15" t="s">
        <v>311</v>
      </c>
      <c r="D15" t="s">
        <v>310</v>
      </c>
      <c r="E15" s="296">
        <v>1015405.090350877</v>
      </c>
      <c r="F15" s="296">
        <v>935314.59035087726</v>
      </c>
      <c r="G15" s="296">
        <v>2208920.6166666662</v>
      </c>
      <c r="I15" s="296">
        <v>1015405.090350877</v>
      </c>
      <c r="J15" s="296">
        <v>935314.59035087726</v>
      </c>
      <c r="K15" s="296">
        <v>2208920.6166666662</v>
      </c>
      <c r="M15" s="296">
        <f t="shared" si="0"/>
        <v>0</v>
      </c>
      <c r="N15" s="296">
        <f t="shared" si="1"/>
        <v>0</v>
      </c>
      <c r="O15" s="296">
        <f t="shared" si="2"/>
        <v>0</v>
      </c>
    </row>
    <row r="16" spans="1:15">
      <c r="A16" t="s">
        <v>54</v>
      </c>
      <c r="B16" t="s">
        <v>42</v>
      </c>
      <c r="D16" t="s">
        <v>41</v>
      </c>
      <c r="E16" s="296">
        <v>85679.999999999985</v>
      </c>
      <c r="F16" s="296">
        <v>85679.999999999985</v>
      </c>
      <c r="G16" s="296">
        <v>116850</v>
      </c>
      <c r="I16" s="296">
        <v>85679.999999999985</v>
      </c>
      <c r="J16" s="296">
        <v>85679.999999999985</v>
      </c>
      <c r="K16" s="296">
        <v>116850</v>
      </c>
      <c r="M16" s="296">
        <f t="shared" si="0"/>
        <v>0</v>
      </c>
      <c r="N16" s="296">
        <f t="shared" si="1"/>
        <v>0</v>
      </c>
      <c r="O16" s="296">
        <f t="shared" si="2"/>
        <v>0</v>
      </c>
    </row>
    <row r="17" spans="1:15">
      <c r="A17" t="s">
        <v>54</v>
      </c>
      <c r="B17" t="s">
        <v>44</v>
      </c>
      <c r="D17" t="s">
        <v>43</v>
      </c>
      <c r="E17" s="296">
        <v>434880</v>
      </c>
      <c r="F17" s="296">
        <v>474480</v>
      </c>
      <c r="G17" s="296">
        <v>1104373.75</v>
      </c>
      <c r="I17" s="296">
        <v>434880</v>
      </c>
      <c r="J17" s="296">
        <v>474480</v>
      </c>
      <c r="K17" s="296">
        <v>1104373.75</v>
      </c>
      <c r="M17" s="296">
        <f t="shared" si="0"/>
        <v>0</v>
      </c>
      <c r="N17" s="296">
        <f t="shared" si="1"/>
        <v>0</v>
      </c>
      <c r="O17" s="296">
        <f t="shared" si="2"/>
        <v>0</v>
      </c>
    </row>
    <row r="18" spans="1:15">
      <c r="A18" t="s">
        <v>54</v>
      </c>
      <c r="B18" t="s">
        <v>269</v>
      </c>
      <c r="D18" t="s">
        <v>438</v>
      </c>
      <c r="E18" s="296">
        <v>1881983.64</v>
      </c>
      <c r="F18" s="296">
        <v>1597324.14</v>
      </c>
      <c r="G18" s="296">
        <v>1646324.14</v>
      </c>
      <c r="I18" s="296">
        <v>1881983.64</v>
      </c>
      <c r="J18" s="296">
        <v>1597324.14</v>
      </c>
      <c r="K18" s="296">
        <v>1646324.14</v>
      </c>
      <c r="M18" s="296">
        <f t="shared" si="0"/>
        <v>0</v>
      </c>
      <c r="N18" s="296">
        <f t="shared" si="1"/>
        <v>0</v>
      </c>
      <c r="O18" s="296">
        <f t="shared" si="2"/>
        <v>0</v>
      </c>
    </row>
    <row r="19" spans="1:15">
      <c r="A19" t="s">
        <v>439</v>
      </c>
      <c r="B19" t="s">
        <v>243</v>
      </c>
      <c r="D19" t="s">
        <v>242</v>
      </c>
      <c r="E19" s="296">
        <v>118080</v>
      </c>
      <c r="F19" s="296">
        <v>226080</v>
      </c>
      <c r="G19" s="296">
        <v>314395</v>
      </c>
      <c r="I19" s="296">
        <v>118080</v>
      </c>
      <c r="J19" s="296">
        <v>226080</v>
      </c>
      <c r="K19" s="296">
        <v>314395</v>
      </c>
      <c r="M19" s="296">
        <f t="shared" si="0"/>
        <v>0</v>
      </c>
      <c r="N19" s="296">
        <f t="shared" si="1"/>
        <v>0</v>
      </c>
      <c r="O19" s="296">
        <f t="shared" si="2"/>
        <v>0</v>
      </c>
    </row>
    <row r="20" spans="1:15">
      <c r="A20" t="s">
        <v>439</v>
      </c>
      <c r="B20" t="s">
        <v>318</v>
      </c>
      <c r="D20" t="s">
        <v>317</v>
      </c>
      <c r="E20" s="296">
        <v>154294.73684210519</v>
      </c>
      <c r="F20" s="296">
        <v>267978.94736842101</v>
      </c>
      <c r="G20" s="296">
        <v>360942.10526315792</v>
      </c>
      <c r="I20" s="296">
        <v>154294.73684210519</v>
      </c>
      <c r="J20" s="296">
        <v>267978.94736842101</v>
      </c>
      <c r="K20" s="296">
        <v>360942.10526315792</v>
      </c>
      <c r="M20" s="296">
        <f t="shared" si="0"/>
        <v>0</v>
      </c>
      <c r="N20" s="296">
        <f t="shared" si="1"/>
        <v>0</v>
      </c>
      <c r="O20" s="296">
        <f t="shared" si="2"/>
        <v>0</v>
      </c>
    </row>
    <row r="21" spans="1:15">
      <c r="A21" t="s">
        <v>439</v>
      </c>
      <c r="B21" t="s">
        <v>249</v>
      </c>
      <c r="D21" t="s">
        <v>248</v>
      </c>
      <c r="E21" s="296">
        <v>0</v>
      </c>
      <c r="F21" s="296">
        <v>0</v>
      </c>
      <c r="G21" s="296">
        <v>0</v>
      </c>
      <c r="I21" s="296">
        <v>0</v>
      </c>
      <c r="J21" s="296">
        <v>0</v>
      </c>
      <c r="K21" s="296">
        <v>0</v>
      </c>
      <c r="M21" s="296">
        <f t="shared" si="0"/>
        <v>0</v>
      </c>
      <c r="N21" s="296">
        <f t="shared" si="1"/>
        <v>0</v>
      </c>
      <c r="O21" s="296">
        <f t="shared" si="2"/>
        <v>0</v>
      </c>
    </row>
    <row r="22" spans="1:15">
      <c r="A22" t="s">
        <v>439</v>
      </c>
      <c r="B22" t="s">
        <v>321</v>
      </c>
      <c r="D22" t="s">
        <v>320</v>
      </c>
      <c r="E22" s="296">
        <v>16714.73684210526</v>
      </c>
      <c r="F22" s="296">
        <v>22398.94736842105</v>
      </c>
      <c r="G22" s="296">
        <v>27047.10526315789</v>
      </c>
      <c r="I22" s="296">
        <v>16714.73684210526</v>
      </c>
      <c r="J22" s="296">
        <v>22398.94736842105</v>
      </c>
      <c r="K22" s="296">
        <v>27047.10526315789</v>
      </c>
      <c r="M22" s="296">
        <f t="shared" si="0"/>
        <v>0</v>
      </c>
      <c r="N22" s="296">
        <f t="shared" si="1"/>
        <v>0</v>
      </c>
      <c r="O22" s="296">
        <f t="shared" si="2"/>
        <v>0</v>
      </c>
    </row>
    <row r="23" spans="1:15">
      <c r="A23" t="s">
        <v>439</v>
      </c>
      <c r="B23" t="s">
        <v>42</v>
      </c>
      <c r="D23" t="s">
        <v>41</v>
      </c>
      <c r="E23" s="296">
        <v>118080</v>
      </c>
      <c r="F23" s="296">
        <v>226080</v>
      </c>
      <c r="G23" s="296">
        <v>314395</v>
      </c>
      <c r="I23" s="296">
        <v>118080</v>
      </c>
      <c r="J23" s="296">
        <v>226080</v>
      </c>
      <c r="K23" s="296">
        <v>314395</v>
      </c>
      <c r="M23" s="296">
        <f t="shared" si="0"/>
        <v>0</v>
      </c>
      <c r="N23" s="296">
        <f t="shared" si="1"/>
        <v>0</v>
      </c>
      <c r="O23" s="296">
        <f t="shared" si="2"/>
        <v>0</v>
      </c>
    </row>
    <row r="24" spans="1:15">
      <c r="A24" t="s">
        <v>439</v>
      </c>
      <c r="B24" t="s">
        <v>44</v>
      </c>
      <c r="D24" t="s">
        <v>43</v>
      </c>
      <c r="E24" s="296">
        <v>359597.14285714278</v>
      </c>
      <c r="F24" s="296">
        <v>445997.14285714278</v>
      </c>
      <c r="G24" s="296">
        <v>858999.64285714284</v>
      </c>
      <c r="I24" s="296">
        <v>359597.14285714278</v>
      </c>
      <c r="J24" s="296">
        <v>445997.14285714278</v>
      </c>
      <c r="K24" s="296">
        <v>858999.64285714284</v>
      </c>
      <c r="M24" s="296">
        <f t="shared" si="0"/>
        <v>0</v>
      </c>
      <c r="N24" s="296">
        <f t="shared" si="1"/>
        <v>0</v>
      </c>
      <c r="O24" s="296">
        <f t="shared" si="2"/>
        <v>0</v>
      </c>
    </row>
    <row r="25" spans="1:15">
      <c r="A25" t="s">
        <v>439</v>
      </c>
      <c r="B25" t="s">
        <v>269</v>
      </c>
      <c r="D25" t="s">
        <v>438</v>
      </c>
      <c r="E25" s="296">
        <v>0</v>
      </c>
      <c r="F25" s="296">
        <v>0</v>
      </c>
      <c r="G25" s="296">
        <v>0</v>
      </c>
      <c r="I25" s="296">
        <v>0</v>
      </c>
      <c r="J25" s="296">
        <v>0</v>
      </c>
      <c r="K25" s="296">
        <v>0</v>
      </c>
      <c r="M25" s="296">
        <f t="shared" si="0"/>
        <v>0</v>
      </c>
      <c r="N25" s="296">
        <f t="shared" si="1"/>
        <v>0</v>
      </c>
      <c r="O25" s="296">
        <f t="shared" si="2"/>
        <v>0</v>
      </c>
    </row>
    <row r="26" spans="1:15">
      <c r="A26" t="s">
        <v>57</v>
      </c>
      <c r="B26" t="s">
        <v>85</v>
      </c>
      <c r="D26" t="s">
        <v>84</v>
      </c>
      <c r="E26" s="296">
        <v>1430293.479166667</v>
      </c>
      <c r="F26" s="296">
        <v>1358160.873903509</v>
      </c>
      <c r="G26" s="296">
        <v>2898497.3521929821</v>
      </c>
      <c r="I26" s="296">
        <v>1430293.479166667</v>
      </c>
      <c r="J26" s="296">
        <v>1358160.873903509</v>
      </c>
      <c r="K26" s="296">
        <v>2898497.3521929821</v>
      </c>
      <c r="M26" s="296">
        <f t="shared" si="0"/>
        <v>0</v>
      </c>
      <c r="N26" s="296">
        <f t="shared" si="1"/>
        <v>0</v>
      </c>
      <c r="O26" s="296">
        <f t="shared" si="2"/>
        <v>0</v>
      </c>
    </row>
    <row r="27" spans="1:15">
      <c r="A27" t="s">
        <v>57</v>
      </c>
      <c r="B27" t="s">
        <v>122</v>
      </c>
      <c r="D27" t="s">
        <v>121</v>
      </c>
      <c r="E27" s="296">
        <v>-1773060</v>
      </c>
      <c r="F27" s="296">
        <v>-2050260</v>
      </c>
      <c r="G27" s="296">
        <v>-4246446.25</v>
      </c>
      <c r="I27" s="296">
        <v>-1773060</v>
      </c>
      <c r="J27" s="296">
        <v>-2050260</v>
      </c>
      <c r="K27" s="296">
        <v>-4246446.25</v>
      </c>
      <c r="M27" s="296">
        <f t="shared" si="0"/>
        <v>0</v>
      </c>
      <c r="N27" s="296">
        <f t="shared" si="1"/>
        <v>0</v>
      </c>
      <c r="O27" s="296">
        <f t="shared" si="2"/>
        <v>0</v>
      </c>
    </row>
    <row r="28" spans="1:15">
      <c r="A28" t="s">
        <v>57</v>
      </c>
      <c r="B28" t="s">
        <v>126</v>
      </c>
      <c r="D28" t="s">
        <v>125</v>
      </c>
      <c r="E28" s="296">
        <v>-4457407</v>
      </c>
      <c r="F28" s="296">
        <v>-2834607</v>
      </c>
      <c r="G28" s="296">
        <v>-4930793.25</v>
      </c>
      <c r="I28" s="296">
        <v>-4457407</v>
      </c>
      <c r="J28" s="296">
        <v>-2834607</v>
      </c>
      <c r="K28" s="296">
        <v>-4930793.25</v>
      </c>
      <c r="M28" s="296">
        <f t="shared" si="0"/>
        <v>0</v>
      </c>
      <c r="N28" s="296">
        <f t="shared" si="1"/>
        <v>0</v>
      </c>
      <c r="O28" s="296">
        <f t="shared" si="2"/>
        <v>0</v>
      </c>
    </row>
    <row r="29" spans="1:15">
      <c r="A29" t="s">
        <v>57</v>
      </c>
      <c r="B29" t="s">
        <v>135</v>
      </c>
      <c r="D29" t="s">
        <v>134</v>
      </c>
      <c r="E29" s="296">
        <v>1372055.764880952</v>
      </c>
      <c r="F29" s="296">
        <v>1299923.1596177949</v>
      </c>
      <c r="G29" s="296">
        <v>2619479.637907268</v>
      </c>
      <c r="I29" s="296">
        <v>1372055.764880952</v>
      </c>
      <c r="J29" s="296">
        <v>1299923.1596177949</v>
      </c>
      <c r="K29" s="296">
        <v>2619479.637907268</v>
      </c>
      <c r="M29" s="296">
        <f t="shared" si="0"/>
        <v>0</v>
      </c>
      <c r="N29" s="296">
        <f t="shared" si="1"/>
        <v>0</v>
      </c>
      <c r="O29" s="296">
        <f t="shared" si="2"/>
        <v>0</v>
      </c>
    </row>
    <row r="30" spans="1:15">
      <c r="A30" t="s">
        <v>57</v>
      </c>
      <c r="B30" t="s">
        <v>146</v>
      </c>
      <c r="D30" t="s">
        <v>145</v>
      </c>
      <c r="E30" s="296">
        <v>849347</v>
      </c>
      <c r="F30" s="296">
        <v>849347</v>
      </c>
      <c r="G30" s="296">
        <v>849347</v>
      </c>
      <c r="I30" s="296">
        <v>849347</v>
      </c>
      <c r="J30" s="296">
        <v>849347</v>
      </c>
      <c r="K30" s="296">
        <v>849347</v>
      </c>
      <c r="M30" s="296">
        <f t="shared" si="0"/>
        <v>0</v>
      </c>
      <c r="N30" s="296">
        <f t="shared" si="1"/>
        <v>0</v>
      </c>
      <c r="O30" s="296">
        <f t="shared" si="2"/>
        <v>0</v>
      </c>
    </row>
    <row r="31" spans="1:15">
      <c r="A31" t="s">
        <v>57</v>
      </c>
      <c r="B31" t="s">
        <v>152</v>
      </c>
      <c r="D31" t="s">
        <v>151</v>
      </c>
      <c r="E31" s="296">
        <v>0</v>
      </c>
      <c r="F31" s="296">
        <v>0</v>
      </c>
      <c r="G31" s="296">
        <v>0</v>
      </c>
      <c r="I31" s="296">
        <v>0</v>
      </c>
      <c r="J31" s="296">
        <v>0</v>
      </c>
      <c r="K31" s="296">
        <v>0</v>
      </c>
      <c r="M31" s="296">
        <f t="shared" si="0"/>
        <v>0</v>
      </c>
      <c r="N31" s="296">
        <f t="shared" si="1"/>
        <v>0</v>
      </c>
      <c r="O31" s="296">
        <f t="shared" si="2"/>
        <v>0</v>
      </c>
    </row>
    <row r="32" spans="1:15">
      <c r="A32" t="s">
        <v>57</v>
      </c>
      <c r="B32" t="s">
        <v>155</v>
      </c>
      <c r="D32" t="s">
        <v>32</v>
      </c>
      <c r="E32" s="296">
        <v>5640774.3650000002</v>
      </c>
      <c r="F32" s="296">
        <v>5378861.4574999996</v>
      </c>
      <c r="G32" s="296">
        <v>4945267.55</v>
      </c>
      <c r="I32" s="296">
        <v>5640774.3650000002</v>
      </c>
      <c r="J32" s="296">
        <v>5378861.4574999996</v>
      </c>
      <c r="K32" s="296">
        <v>4945267.55</v>
      </c>
      <c r="M32" s="296">
        <f t="shared" si="0"/>
        <v>0</v>
      </c>
      <c r="N32" s="296">
        <f t="shared" si="1"/>
        <v>0</v>
      </c>
      <c r="O32" s="296">
        <f t="shared" si="2"/>
        <v>0</v>
      </c>
    </row>
    <row r="33" spans="1:15">
      <c r="A33" t="s">
        <v>57</v>
      </c>
      <c r="B33" t="s">
        <v>158</v>
      </c>
      <c r="D33" t="s">
        <v>32</v>
      </c>
      <c r="E33" s="296">
        <v>2465036.0922500002</v>
      </c>
      <c r="F33" s="296">
        <v>2022503.3871249999</v>
      </c>
      <c r="G33" s="296">
        <v>1664945.5194999999</v>
      </c>
      <c r="I33" s="296">
        <v>2465036.0922500002</v>
      </c>
      <c r="J33" s="296">
        <v>2022503.3871249999</v>
      </c>
      <c r="K33" s="296">
        <v>1664945.5194999999</v>
      </c>
      <c r="M33" s="296">
        <f t="shared" si="0"/>
        <v>0</v>
      </c>
      <c r="N33" s="296">
        <f t="shared" si="1"/>
        <v>0</v>
      </c>
      <c r="O33" s="296">
        <f t="shared" si="2"/>
        <v>0</v>
      </c>
    </row>
    <row r="34" spans="1:15">
      <c r="A34" t="s">
        <v>57</v>
      </c>
      <c r="B34" t="s">
        <v>165</v>
      </c>
      <c r="D34" t="s">
        <v>164</v>
      </c>
      <c r="E34" s="296">
        <v>3530751.833333333</v>
      </c>
      <c r="F34" s="296">
        <v>3421728.7280701748</v>
      </c>
      <c r="G34" s="296">
        <v>8574636.0438596494</v>
      </c>
      <c r="I34" s="296">
        <v>3530751.833333333</v>
      </c>
      <c r="J34" s="296">
        <v>3421728.7280701748</v>
      </c>
      <c r="K34" s="296">
        <v>8574636.0438596494</v>
      </c>
      <c r="M34" s="296">
        <f t="shared" si="0"/>
        <v>0</v>
      </c>
      <c r="N34" s="296">
        <f t="shared" si="1"/>
        <v>0</v>
      </c>
      <c r="O34" s="296">
        <f t="shared" si="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registry</vt:lpstr>
      <vt:lpstr>c12_inputs</vt:lpstr>
      <vt:lpstr>c12_oc</vt:lpstr>
      <vt:lpstr>c12_sk</vt:lpstr>
      <vt:lpstr>c12_bs</vt:lpstr>
      <vt:lpstr>c12_hm</vt:lpstr>
      <vt:lpstr>c12_d&amp;s</vt:lpstr>
      <vt:lpstr>c12_bi&amp;F</vt:lpstr>
      <vt:lpstr>.c12_inputs.hr</vt:lpstr>
      <vt:lpstr>.c12_oc_hr</vt:lpstr>
      <vt:lpstr>.c12_hm_hr</vt:lpstr>
      <vt:lpstr>.c12_d&amp;s_hr</vt:lpstr>
      <vt:lpstr>.c12_bi&amp;f_hr</vt:lpstr>
      <vt:lpstr>.c12_alloc</vt:lpstr>
      <vt:lpstr>c12_diags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2026-06-06T02:43:24Z</dcterms:modified>
</cp:coreProperties>
</file>
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8_{3F477151-7160-4ADA-94A0-CACA16BA7F18}" xr6:coauthVersionLast="47" xr6:coauthVersionMax="47" xr10:uidLastSave="{00000000-0000-0000-0000-000000000000}"/>
  <bookViews>
    <workbookView xWindow="-110" yWindow="-110" windowWidth="25820" windowHeight="15500" tabRatio="953" firstSheet="19" activeTab="34"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c12_inputs" sheetId="22" r:id="rId22"/>
    <sheet name="c12_oc" sheetId="23" r:id="rId23"/>
    <sheet name="c12_sk" sheetId="24" r:id="rId24"/>
    <sheet name="c12_bs" sheetId="25" r:id="rId25"/>
    <sheet name="c12_hm" sheetId="26" r:id="rId26"/>
    <sheet name="c12_d&amp;s" sheetId="27" r:id="rId27"/>
    <sheet name="c12_bi&amp;F" sheetId="28" r:id="rId28"/>
    <sheet name=".c12_inputs.hr" sheetId="29" r:id="rId29"/>
    <sheet name=".c12_oc_hr" sheetId="30" r:id="rId30"/>
    <sheet name=".c12_hm_hr" sheetId="31" r:id="rId31"/>
    <sheet name=".c12_d&amp;s_hr" sheetId="32" r:id="rId32"/>
    <sheet name=".c12_bi&amp;f_hr" sheetId="33" r:id="rId33"/>
    <sheet name=".c12_alloc" sheetId="34" r:id="rId34"/>
    <sheet name="c12_diags" sheetId="35" r:id="rId35"/>
    <sheet name="lgh_diags" sheetId="36" r:id="rId36"/>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36" l="1"/>
  <c r="K34" i="36"/>
  <c r="J34" i="36"/>
  <c r="I34" i="36"/>
  <c r="H34" i="36"/>
  <c r="G34" i="36"/>
  <c r="F34" i="36"/>
  <c r="E34" i="36"/>
  <c r="D34" i="36"/>
  <c r="Z28" i="36"/>
  <c r="L28" i="36"/>
  <c r="K28" i="36"/>
  <c r="J28" i="36"/>
  <c r="I28" i="36"/>
  <c r="H28" i="36"/>
  <c r="G28" i="36"/>
  <c r="F28" i="36"/>
  <c r="E28" i="36"/>
  <c r="AU28" i="36" s="1"/>
  <c r="D28" i="36"/>
  <c r="AS23" i="36"/>
  <c r="X23" i="36"/>
  <c r="C23" i="36"/>
  <c r="AS21" i="36"/>
  <c r="X21" i="36"/>
  <c r="C21" i="36"/>
  <c r="AS19" i="36"/>
  <c r="X19" i="36"/>
  <c r="C19" i="36"/>
  <c r="AS1" i="36" a="1"/>
  <c r="AS1" i="36" s="1"/>
  <c r="X1" i="36" a="1"/>
  <c r="X1" i="36"/>
  <c r="C1" i="36" a="1"/>
  <c r="C1" i="36" s="1"/>
  <c r="O34" i="35"/>
  <c r="N34" i="35"/>
  <c r="M34" i="35"/>
  <c r="O33" i="35"/>
  <c r="N33" i="35"/>
  <c r="M33" i="35"/>
  <c r="O32" i="35"/>
  <c r="N32" i="35"/>
  <c r="M32" i="35"/>
  <c r="O31" i="35"/>
  <c r="N31" i="35"/>
  <c r="M31" i="35"/>
  <c r="O30" i="35"/>
  <c r="N30" i="35"/>
  <c r="M30" i="35"/>
  <c r="O29" i="35"/>
  <c r="N29" i="35"/>
  <c r="M29" i="35"/>
  <c r="O28" i="35"/>
  <c r="N28" i="35"/>
  <c r="M28" i="35"/>
  <c r="O27" i="35"/>
  <c r="N27" i="35"/>
  <c r="M27" i="35"/>
  <c r="O26" i="35"/>
  <c r="N26" i="35"/>
  <c r="M26" i="35"/>
  <c r="O25" i="35"/>
  <c r="N25" i="35"/>
  <c r="M25" i="35"/>
  <c r="O24" i="35"/>
  <c r="N24" i="35"/>
  <c r="M24" i="35"/>
  <c r="O23" i="35"/>
  <c r="N23" i="35"/>
  <c r="M23" i="35"/>
  <c r="O22" i="35"/>
  <c r="N22" i="35"/>
  <c r="M22" i="35"/>
  <c r="O21" i="35"/>
  <c r="N21" i="35"/>
  <c r="M21" i="35"/>
  <c r="O20" i="35"/>
  <c r="N20" i="35"/>
  <c r="M20" i="35"/>
  <c r="O19" i="35"/>
  <c r="N19" i="35"/>
  <c r="M19" i="35"/>
  <c r="O18" i="35"/>
  <c r="N18" i="35"/>
  <c r="M18" i="35"/>
  <c r="O17" i="35"/>
  <c r="N17" i="35"/>
  <c r="M17" i="35"/>
  <c r="O16" i="35"/>
  <c r="N16" i="35"/>
  <c r="M16" i="35"/>
  <c r="O15" i="35"/>
  <c r="N15" i="35"/>
  <c r="M15" i="35"/>
  <c r="O14" i="35"/>
  <c r="N14" i="35"/>
  <c r="M14" i="35"/>
  <c r="O13" i="35"/>
  <c r="N13" i="35"/>
  <c r="M13" i="35"/>
  <c r="O12" i="35"/>
  <c r="N12" i="35"/>
  <c r="M12" i="35"/>
  <c r="O11" i="35"/>
  <c r="N11" i="35"/>
  <c r="M11" i="35"/>
  <c r="O10" i="35"/>
  <c r="N10" i="35"/>
  <c r="M10" i="35"/>
  <c r="O9" i="35"/>
  <c r="N9" i="35"/>
  <c r="M9" i="35"/>
  <c r="O8" i="35"/>
  <c r="N8" i="35"/>
  <c r="M8" i="35"/>
  <c r="O7" i="35"/>
  <c r="N7" i="35"/>
  <c r="M7" i="35"/>
  <c r="O6" i="35"/>
  <c r="N6" i="35"/>
  <c r="M6" i="35"/>
  <c r="O5" i="35"/>
  <c r="N5" i="35"/>
  <c r="M5" i="35"/>
  <c r="H49" i="34"/>
  <c r="G49" i="34" s="1"/>
  <c r="F49" i="34" s="1"/>
  <c r="E49" i="34" s="1"/>
  <c r="H48" i="34"/>
  <c r="G48" i="34" s="1"/>
  <c r="F48" i="34" s="1"/>
  <c r="E48" i="34" s="1"/>
  <c r="H47" i="34"/>
  <c r="G47" i="34"/>
  <c r="F47" i="34" s="1"/>
  <c r="E47" i="34" s="1"/>
  <c r="H46" i="34"/>
  <c r="G46" i="34"/>
  <c r="F46" i="34"/>
  <c r="E46" i="34"/>
  <c r="H45" i="34"/>
  <c r="G45" i="34"/>
  <c r="F45" i="34"/>
  <c r="E45" i="34"/>
  <c r="H44" i="34"/>
  <c r="G44" i="34"/>
  <c r="F44" i="34"/>
  <c r="E44" i="34"/>
  <c r="H43" i="34"/>
  <c r="G43" i="34"/>
  <c r="F43" i="34"/>
  <c r="E43" i="34"/>
  <c r="H42" i="34"/>
  <c r="G42" i="34"/>
  <c r="F42" i="34"/>
  <c r="E42" i="34"/>
  <c r="H41" i="34"/>
  <c r="G41" i="34"/>
  <c r="F41" i="34"/>
  <c r="E41" i="34"/>
  <c r="H40" i="34"/>
  <c r="G40" i="34"/>
  <c r="F40" i="34"/>
  <c r="E40" i="34"/>
  <c r="H39" i="34"/>
  <c r="G39" i="34"/>
  <c r="F39" i="34"/>
  <c r="E39" i="34"/>
  <c r="H38" i="34"/>
  <c r="G38" i="34"/>
  <c r="F38" i="34"/>
  <c r="E38" i="34"/>
  <c r="H34" i="34"/>
  <c r="G34" i="34"/>
  <c r="F34" i="34"/>
  <c r="E34" i="34"/>
  <c r="H33" i="34"/>
  <c r="G33" i="34"/>
  <c r="F33" i="34"/>
  <c r="E33" i="34"/>
  <c r="H32" i="34"/>
  <c r="G32" i="34"/>
  <c r="F32" i="34"/>
  <c r="E32" i="34"/>
  <c r="H31" i="34"/>
  <c r="G31" i="34"/>
  <c r="F31" i="34"/>
  <c r="E31" i="34"/>
  <c r="H30" i="34"/>
  <c r="G30" i="34"/>
  <c r="F30" i="34"/>
  <c r="E30" i="34"/>
  <c r="H29" i="34"/>
  <c r="G29" i="34"/>
  <c r="F29" i="34"/>
  <c r="E29" i="34"/>
  <c r="H28" i="34"/>
  <c r="G28" i="34"/>
  <c r="F28" i="34"/>
  <c r="E28" i="34"/>
  <c r="H27" i="34"/>
  <c r="G27" i="34"/>
  <c r="F27" i="34"/>
  <c r="E27" i="34"/>
  <c r="H26" i="34"/>
  <c r="G26" i="34"/>
  <c r="F26" i="34"/>
  <c r="E26" i="34"/>
  <c r="H25" i="34"/>
  <c r="G25" i="34"/>
  <c r="F25" i="34"/>
  <c r="E25" i="34"/>
  <c r="H24" i="34"/>
  <c r="G24" i="34"/>
  <c r="F24" i="34"/>
  <c r="E24" i="34"/>
  <c r="H20" i="34"/>
  <c r="G20" i="34"/>
  <c r="F20" i="34"/>
  <c r="E20" i="34"/>
  <c r="H19" i="34"/>
  <c r="G19" i="34"/>
  <c r="F19" i="34"/>
  <c r="E19" i="34"/>
  <c r="H18" i="34"/>
  <c r="G18" i="34"/>
  <c r="F18" i="34"/>
  <c r="E18" i="34"/>
  <c r="H17" i="34"/>
  <c r="G17" i="34"/>
  <c r="F17" i="34"/>
  <c r="E17" i="34"/>
  <c r="H16" i="34"/>
  <c r="G16" i="34"/>
  <c r="F16" i="34"/>
  <c r="E16" i="34"/>
  <c r="H15" i="34"/>
  <c r="G15" i="34"/>
  <c r="F15" i="34"/>
  <c r="E15" i="34"/>
  <c r="H11" i="34"/>
  <c r="G11" i="34"/>
  <c r="F11" i="34"/>
  <c r="E11" i="34"/>
  <c r="H10" i="34"/>
  <c r="G10" i="34"/>
  <c r="F10" i="34"/>
  <c r="E10" i="34"/>
  <c r="H9" i="34"/>
  <c r="G9" i="34"/>
  <c r="F9" i="34"/>
  <c r="E9" i="34"/>
  <c r="H8" i="34"/>
  <c r="G8" i="34"/>
  <c r="F8" i="34"/>
  <c r="E8" i="34"/>
  <c r="H7" i="34"/>
  <c r="G7" i="34"/>
  <c r="F7" i="34"/>
  <c r="E7" i="34"/>
  <c r="H6" i="34"/>
  <c r="G6" i="34"/>
  <c r="F6" i="34"/>
  <c r="E6" i="34"/>
  <c r="W47" i="33"/>
  <c r="V47" i="33"/>
  <c r="U47" i="33"/>
  <c r="T47" i="33"/>
  <c r="S47" i="33"/>
  <c r="R47" i="33"/>
  <c r="Q47" i="33"/>
  <c r="P47" i="33"/>
  <c r="O47" i="33"/>
  <c r="N47" i="33"/>
  <c r="M47" i="33"/>
  <c r="L47" i="33"/>
  <c r="A47" i="33"/>
  <c r="W46" i="33"/>
  <c r="V46" i="33"/>
  <c r="U46" i="33"/>
  <c r="T46" i="33"/>
  <c r="S46" i="33"/>
  <c r="R46" i="33"/>
  <c r="Q46" i="33"/>
  <c r="P46" i="33"/>
  <c r="O46" i="33"/>
  <c r="N46" i="33"/>
  <c r="M46" i="33"/>
  <c r="L46" i="33"/>
  <c r="A46" i="33"/>
  <c r="W45" i="33"/>
  <c r="V45" i="33"/>
  <c r="U45" i="33"/>
  <c r="T45" i="33"/>
  <c r="S45" i="33"/>
  <c r="R45" i="33"/>
  <c r="Q45" i="33"/>
  <c r="P45" i="33"/>
  <c r="O45" i="33"/>
  <c r="N45" i="33"/>
  <c r="M45" i="33"/>
  <c r="L45" i="33"/>
  <c r="A45" i="33"/>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3" i="33"/>
  <c r="V33" i="33"/>
  <c r="U33" i="33"/>
  <c r="T33" i="33"/>
  <c r="S33" i="33"/>
  <c r="R33" i="33"/>
  <c r="Q33" i="33"/>
  <c r="P33" i="33"/>
  <c r="O33" i="33"/>
  <c r="N33" i="33"/>
  <c r="M33" i="33"/>
  <c r="L33" i="33"/>
  <c r="A32" i="33"/>
  <c r="A31" i="33"/>
  <c r="A30" i="33"/>
  <c r="A29" i="33"/>
  <c r="A28" i="33"/>
  <c r="A27" i="33"/>
  <c r="A26" i="33"/>
  <c r="A25" i="33"/>
  <c r="A24" i="33"/>
  <c r="A23" i="33"/>
  <c r="A22" i="33"/>
  <c r="A21" i="33"/>
  <c r="W18" i="33"/>
  <c r="V18" i="33"/>
  <c r="U18" i="33"/>
  <c r="T18" i="33"/>
  <c r="S18" i="33"/>
  <c r="R18" i="33"/>
  <c r="Q18" i="33"/>
  <c r="P18" i="33"/>
  <c r="O18" i="33"/>
  <c r="N18" i="33"/>
  <c r="M18" i="33"/>
  <c r="L18" i="33"/>
  <c r="W44" i="32"/>
  <c r="V44" i="32"/>
  <c r="U44" i="32"/>
  <c r="T44" i="32"/>
  <c r="S44" i="32"/>
  <c r="R44" i="32"/>
  <c r="Q44" i="32"/>
  <c r="P44" i="32"/>
  <c r="O44" i="32"/>
  <c r="N44" i="32"/>
  <c r="M44" i="32"/>
  <c r="L44" i="32"/>
  <c r="A44" i="32"/>
  <c r="W43" i="32"/>
  <c r="V43" i="32"/>
  <c r="U43" i="32"/>
  <c r="T43" i="32"/>
  <c r="S43" i="32"/>
  <c r="R43" i="32"/>
  <c r="Q43" i="32"/>
  <c r="P43" i="32"/>
  <c r="O43" i="32"/>
  <c r="N43" i="32"/>
  <c r="M43" i="32"/>
  <c r="L43" i="32"/>
  <c r="A43" i="32"/>
  <c r="W42" i="32"/>
  <c r="V42" i="32"/>
  <c r="U42" i="32"/>
  <c r="T42" i="32"/>
  <c r="S42" i="32"/>
  <c r="R42" i="32"/>
  <c r="Q42" i="32"/>
  <c r="P42" i="32"/>
  <c r="O42" i="32"/>
  <c r="N42" i="32"/>
  <c r="M42" i="32"/>
  <c r="L42" i="32"/>
  <c r="A42" i="32"/>
  <c r="W41" i="32"/>
  <c r="V41" i="32"/>
  <c r="U41" i="32"/>
  <c r="T41" i="32"/>
  <c r="S41" i="32"/>
  <c r="R41" i="32"/>
  <c r="Q41" i="32"/>
  <c r="P41" i="32"/>
  <c r="O41" i="32"/>
  <c r="N41" i="32"/>
  <c r="M41" i="32"/>
  <c r="L41" i="32"/>
  <c r="A41" i="32"/>
  <c r="W40" i="32"/>
  <c r="V40" i="32"/>
  <c r="U40" i="32"/>
  <c r="T40" i="32"/>
  <c r="S40" i="32"/>
  <c r="R40" i="32"/>
  <c r="Q40" i="32"/>
  <c r="P40" i="32"/>
  <c r="O40" i="32"/>
  <c r="N40" i="32"/>
  <c r="M40" i="32"/>
  <c r="L40" i="32"/>
  <c r="A40" i="32"/>
  <c r="W39" i="32"/>
  <c r="V39" i="32"/>
  <c r="U39" i="32"/>
  <c r="T39" i="32"/>
  <c r="S39" i="32"/>
  <c r="R39" i="32"/>
  <c r="Q39" i="32"/>
  <c r="P39" i="32"/>
  <c r="O39" i="32"/>
  <c r="N39" i="32"/>
  <c r="M39" i="32"/>
  <c r="L39" i="32"/>
  <c r="A39" i="32"/>
  <c r="W38" i="32"/>
  <c r="V38" i="32"/>
  <c r="U38" i="32"/>
  <c r="T38" i="32"/>
  <c r="S38" i="32"/>
  <c r="R38" i="32"/>
  <c r="Q38" i="32"/>
  <c r="P38" i="32"/>
  <c r="O38" i="32"/>
  <c r="N38" i="32"/>
  <c r="M38" i="32"/>
  <c r="L38" i="32"/>
  <c r="A38" i="32"/>
  <c r="W37" i="32"/>
  <c r="V37" i="32"/>
  <c r="U37" i="32"/>
  <c r="T37" i="32"/>
  <c r="S37" i="32"/>
  <c r="R37" i="32"/>
  <c r="Q37" i="32"/>
  <c r="P37" i="32"/>
  <c r="O37" i="32"/>
  <c r="N37" i="32"/>
  <c r="M37" i="32"/>
  <c r="L37" i="32"/>
  <c r="A37" i="32"/>
  <c r="W36" i="32"/>
  <c r="V36" i="32"/>
  <c r="U36" i="32"/>
  <c r="T36" i="32"/>
  <c r="S36" i="32"/>
  <c r="R36" i="32"/>
  <c r="Q36" i="32"/>
  <c r="P36" i="32"/>
  <c r="O36" i="32"/>
  <c r="N36" i="32"/>
  <c r="M36" i="32"/>
  <c r="L36" i="32"/>
  <c r="A36" i="32"/>
  <c r="W35" i="32"/>
  <c r="V35" i="32"/>
  <c r="U35" i="32"/>
  <c r="T35" i="32"/>
  <c r="S35" i="32"/>
  <c r="R35" i="32"/>
  <c r="Q35" i="32"/>
  <c r="P35" i="32"/>
  <c r="O35" i="32"/>
  <c r="N35" i="32"/>
  <c r="M35" i="32"/>
  <c r="L35" i="32"/>
  <c r="A35" i="32"/>
  <c r="W34" i="32"/>
  <c r="V34" i="32"/>
  <c r="U34" i="32"/>
  <c r="T34" i="32"/>
  <c r="S34" i="32"/>
  <c r="R34" i="32"/>
  <c r="Q34" i="32"/>
  <c r="P34" i="32"/>
  <c r="O34" i="32"/>
  <c r="N34" i="32"/>
  <c r="M34" i="32"/>
  <c r="L34" i="32"/>
  <c r="A34" i="32"/>
  <c r="A30" i="32"/>
  <c r="A29" i="32"/>
  <c r="A28" i="32"/>
  <c r="A27" i="32"/>
  <c r="A26" i="32"/>
  <c r="A25" i="32"/>
  <c r="A24" i="32"/>
  <c r="A23" i="32"/>
  <c r="A22" i="32"/>
  <c r="A21" i="32"/>
  <c r="A20" i="32"/>
  <c r="W17" i="32"/>
  <c r="V17" i="32"/>
  <c r="U17" i="32"/>
  <c r="T17" i="32"/>
  <c r="S17" i="32"/>
  <c r="R17" i="32"/>
  <c r="Q17" i="32"/>
  <c r="P17" i="32"/>
  <c r="O17" i="32"/>
  <c r="N17" i="32"/>
  <c r="M17" i="32"/>
  <c r="L17" i="32"/>
  <c r="W29" i="31"/>
  <c r="V29" i="31"/>
  <c r="U29" i="31"/>
  <c r="T29" i="31"/>
  <c r="S29" i="31"/>
  <c r="R29" i="31"/>
  <c r="Q29" i="31"/>
  <c r="P29" i="31"/>
  <c r="O29" i="31"/>
  <c r="N29" i="31"/>
  <c r="M29" i="31"/>
  <c r="L29" i="31"/>
  <c r="A29" i="31"/>
  <c r="W28" i="31"/>
  <c r="V28" i="31"/>
  <c r="U28" i="31"/>
  <c r="T28" i="31"/>
  <c r="S28" i="31"/>
  <c r="R28" i="31"/>
  <c r="Q28" i="31"/>
  <c r="P28" i="31"/>
  <c r="O28" i="31"/>
  <c r="N28" i="31"/>
  <c r="M28" i="31"/>
  <c r="L28" i="31"/>
  <c r="A28" i="31"/>
  <c r="W27" i="31"/>
  <c r="V27" i="31"/>
  <c r="U27" i="31"/>
  <c r="T27" i="31"/>
  <c r="S27" i="31"/>
  <c r="R27" i="31"/>
  <c r="Q27" i="31"/>
  <c r="P27" i="31"/>
  <c r="O27" i="31"/>
  <c r="N27" i="31"/>
  <c r="M27" i="31"/>
  <c r="L27" i="31"/>
  <c r="A27" i="31"/>
  <c r="W26" i="31"/>
  <c r="V26" i="31"/>
  <c r="U26" i="31"/>
  <c r="T26" i="31"/>
  <c r="S26" i="31"/>
  <c r="R26" i="31"/>
  <c r="Q26" i="31"/>
  <c r="P26" i="31"/>
  <c r="O26" i="31"/>
  <c r="N26" i="31"/>
  <c r="M26" i="31"/>
  <c r="L26" i="31"/>
  <c r="A26" i="31"/>
  <c r="W25" i="31"/>
  <c r="V25" i="31"/>
  <c r="U25" i="31"/>
  <c r="T25" i="31"/>
  <c r="S25" i="31"/>
  <c r="R25" i="31"/>
  <c r="Q25" i="31"/>
  <c r="P25" i="31"/>
  <c r="O25" i="31"/>
  <c r="N25" i="31"/>
  <c r="M25" i="31"/>
  <c r="L25" i="31"/>
  <c r="W24" i="31"/>
  <c r="V24" i="31"/>
  <c r="U24" i="31"/>
  <c r="T24" i="31"/>
  <c r="S24" i="31"/>
  <c r="R24" i="31"/>
  <c r="Q24" i="31"/>
  <c r="P24" i="31"/>
  <c r="O24" i="31"/>
  <c r="N24" i="31"/>
  <c r="M24" i="31"/>
  <c r="L24" i="31"/>
  <c r="W21" i="31"/>
  <c r="V21" i="31"/>
  <c r="U21" i="31"/>
  <c r="T21" i="31"/>
  <c r="S21" i="31"/>
  <c r="R21" i="31"/>
  <c r="Q21" i="31"/>
  <c r="P21" i="31"/>
  <c r="O21" i="31"/>
  <c r="N21" i="31"/>
  <c r="M21" i="31"/>
  <c r="L21" i="31"/>
  <c r="A20" i="31"/>
  <c r="A19" i="31"/>
  <c r="A18" i="31"/>
  <c r="A17" i="31"/>
  <c r="A16" i="31"/>
  <c r="A25" i="31" s="1"/>
  <c r="A15" i="31"/>
  <c r="A24" i="31" s="1"/>
  <c r="W12" i="31"/>
  <c r="V12" i="31"/>
  <c r="U12" i="31"/>
  <c r="T12" i="31"/>
  <c r="S12" i="31"/>
  <c r="R12" i="31"/>
  <c r="Q12" i="31"/>
  <c r="P12" i="31"/>
  <c r="O12" i="31"/>
  <c r="N12" i="31"/>
  <c r="M12" i="31"/>
  <c r="L12" i="31"/>
  <c r="W28" i="30"/>
  <c r="V28" i="30"/>
  <c r="U28" i="30"/>
  <c r="T28" i="30"/>
  <c r="S28" i="30"/>
  <c r="R28" i="30"/>
  <c r="Q28" i="30"/>
  <c r="P28" i="30"/>
  <c r="O28" i="30"/>
  <c r="N28" i="30"/>
  <c r="M28" i="30"/>
  <c r="L28" i="30"/>
  <c r="A28" i="30"/>
  <c r="W27" i="30"/>
  <c r="V27" i="30"/>
  <c r="U27" i="30"/>
  <c r="T27" i="30"/>
  <c r="S27" i="30"/>
  <c r="R27" i="30"/>
  <c r="Q27" i="30"/>
  <c r="P27" i="30"/>
  <c r="O27" i="30"/>
  <c r="N27" i="30"/>
  <c r="M27" i="30"/>
  <c r="L27" i="30"/>
  <c r="A27" i="30"/>
  <c r="W26" i="30"/>
  <c r="V26" i="30"/>
  <c r="U26" i="30"/>
  <c r="T26" i="30"/>
  <c r="S26" i="30"/>
  <c r="R26" i="30"/>
  <c r="Q26" i="30"/>
  <c r="P26" i="30"/>
  <c r="O26" i="30"/>
  <c r="N26" i="30"/>
  <c r="M26" i="30"/>
  <c r="L26" i="30"/>
  <c r="A26" i="30"/>
  <c r="W25" i="30"/>
  <c r="V25" i="30"/>
  <c r="U25" i="30"/>
  <c r="T25" i="30"/>
  <c r="S25" i="30"/>
  <c r="R25" i="30"/>
  <c r="Q25" i="30"/>
  <c r="P25" i="30"/>
  <c r="O25" i="30"/>
  <c r="N25" i="30"/>
  <c r="M25" i="30"/>
  <c r="L25" i="30"/>
  <c r="A25" i="30"/>
  <c r="W24" i="30"/>
  <c r="V24" i="30"/>
  <c r="U24" i="30"/>
  <c r="T24" i="30"/>
  <c r="S24" i="30"/>
  <c r="R24" i="30"/>
  <c r="Q24" i="30"/>
  <c r="P24" i="30"/>
  <c r="O24" i="30"/>
  <c r="N24" i="30"/>
  <c r="M24" i="30"/>
  <c r="L24" i="30"/>
  <c r="A24" i="30"/>
  <c r="W23" i="30"/>
  <c r="W30" i="30" s="1"/>
  <c r="W78" i="23" s="1"/>
  <c r="V23" i="30"/>
  <c r="V30" i="30" s="1"/>
  <c r="V78" i="23" s="1"/>
  <c r="U23" i="30"/>
  <c r="U30" i="30" s="1"/>
  <c r="U78" i="23" s="1"/>
  <c r="T23" i="30"/>
  <c r="T30" i="30" s="1"/>
  <c r="T78" i="23" s="1"/>
  <c r="S23" i="30"/>
  <c r="S30" i="30" s="1"/>
  <c r="S78" i="23" s="1"/>
  <c r="R23" i="30"/>
  <c r="R30" i="30" s="1"/>
  <c r="R78" i="23" s="1"/>
  <c r="Q23" i="30"/>
  <c r="Q30" i="30" s="1"/>
  <c r="Q78" i="23" s="1"/>
  <c r="P23" i="30"/>
  <c r="P30" i="30" s="1"/>
  <c r="P78" i="23" s="1"/>
  <c r="O23" i="30"/>
  <c r="O30" i="30" s="1"/>
  <c r="O78" i="23" s="1"/>
  <c r="N23" i="30"/>
  <c r="N30" i="30" s="1"/>
  <c r="N78" i="23" s="1"/>
  <c r="M23" i="30"/>
  <c r="M30" i="30" s="1"/>
  <c r="M78" i="23" s="1"/>
  <c r="L23" i="30"/>
  <c r="L30" i="30" s="1"/>
  <c r="L78" i="23" s="1"/>
  <c r="A23" i="30"/>
  <c r="W20" i="30"/>
  <c r="V20" i="30"/>
  <c r="U20" i="30"/>
  <c r="T20" i="30"/>
  <c r="S20" i="30"/>
  <c r="R20" i="30"/>
  <c r="Q20" i="30"/>
  <c r="P20" i="30"/>
  <c r="O20" i="30"/>
  <c r="N20" i="30"/>
  <c r="M20" i="30"/>
  <c r="L20" i="30"/>
  <c r="A19" i="30"/>
  <c r="A18" i="30"/>
  <c r="A17" i="30"/>
  <c r="A16" i="30"/>
  <c r="A15" i="30"/>
  <c r="A14" i="30"/>
  <c r="W12" i="30"/>
  <c r="V12" i="30"/>
  <c r="U12" i="30"/>
  <c r="T12" i="30"/>
  <c r="S12" i="30"/>
  <c r="R12" i="30"/>
  <c r="Q12" i="30"/>
  <c r="P12" i="30"/>
  <c r="O12" i="30"/>
  <c r="N12" i="30"/>
  <c r="M12" i="30"/>
  <c r="L12" i="30"/>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W49" i="27"/>
  <c r="V49" i="27"/>
  <c r="U49" i="27"/>
  <c r="T49" i="27"/>
  <c r="W46" i="27"/>
  <c r="W52" i="27" s="1"/>
  <c r="V46" i="27"/>
  <c r="V52" i="27" s="1"/>
  <c r="U45" i="27"/>
  <c r="U46" i="27" s="1"/>
  <c r="U52" i="27" s="1"/>
  <c r="T45" i="27"/>
  <c r="T46" i="27" s="1"/>
  <c r="T52" i="27" s="1"/>
  <c r="P40" i="27"/>
  <c r="Q40" i="27" s="1"/>
  <c r="R40" i="27" s="1"/>
  <c r="S40" i="27" s="1"/>
  <c r="O40" i="27"/>
  <c r="N40" i="27"/>
  <c r="M40" i="27"/>
  <c r="R38" i="27"/>
  <c r="S38" i="27" s="1"/>
  <c r="Q38" i="27"/>
  <c r="S37" i="27"/>
  <c r="R37" i="27"/>
  <c r="Q37" i="27"/>
  <c r="P37" i="27"/>
  <c r="O37" i="27"/>
  <c r="N37" i="27"/>
  <c r="M37" i="27"/>
  <c r="L37" i="27"/>
  <c r="S36" i="27"/>
  <c r="R36" i="27"/>
  <c r="Q36" i="27"/>
  <c r="P36" i="27"/>
  <c r="O36" i="27"/>
  <c r="O48" i="27" s="1"/>
  <c r="N36" i="27"/>
  <c r="N48" i="27" s="1"/>
  <c r="M36" i="27"/>
  <c r="M48" i="27" s="1"/>
  <c r="L36" i="27"/>
  <c r="L48" i="27" s="1"/>
  <c r="L50" i="27" s="1"/>
  <c r="S35" i="27"/>
  <c r="S46" i="27" s="1"/>
  <c r="S52" i="27" s="1"/>
  <c r="S53" i="27" s="1"/>
  <c r="R35" i="27"/>
  <c r="R46" i="27" s="1"/>
  <c r="R52" i="27" s="1"/>
  <c r="R53" i="27" s="1"/>
  <c r="Q35" i="27"/>
  <c r="Q46" i="27" s="1"/>
  <c r="Q52" i="27" s="1"/>
  <c r="Q53" i="27" s="1"/>
  <c r="P35" i="27"/>
  <c r="P46" i="27" s="1"/>
  <c r="P52" i="27" s="1"/>
  <c r="P53" i="27" s="1"/>
  <c r="O35" i="27"/>
  <c r="O46" i="27" s="1"/>
  <c r="O52" i="27" s="1"/>
  <c r="O53" i="27" s="1"/>
  <c r="N35" i="27"/>
  <c r="N46" i="27" s="1"/>
  <c r="N52" i="27" s="1"/>
  <c r="N53" i="27" s="1"/>
  <c r="M35" i="27"/>
  <c r="M46" i="27" s="1"/>
  <c r="M52" i="27" s="1"/>
  <c r="M53" i="27" s="1"/>
  <c r="L35" i="27"/>
  <c r="L46" i="27" s="1"/>
  <c r="L52" i="27" s="1"/>
  <c r="L53" i="27" s="1"/>
  <c r="U27" i="27"/>
  <c r="T27" i="27"/>
  <c r="Q27" i="27"/>
  <c r="M27" i="27"/>
  <c r="L27" i="27"/>
  <c r="L29" i="27" s="1"/>
  <c r="L62" i="27" s="1"/>
  <c r="L67" i="23" s="1"/>
  <c r="W25" i="27"/>
  <c r="W31" i="27" s="1"/>
  <c r="W32" i="27" s="1"/>
  <c r="M25" i="27"/>
  <c r="M31" i="27" s="1"/>
  <c r="M32" i="27" s="1"/>
  <c r="L25" i="27"/>
  <c r="L31" i="27" s="1"/>
  <c r="L32" i="27" s="1"/>
  <c r="S23" i="27"/>
  <c r="T17" i="27"/>
  <c r="U17" i="27" s="1"/>
  <c r="V17" i="27" s="1"/>
  <c r="V15" i="27"/>
  <c r="V25" i="27" s="1"/>
  <c r="V31" i="27" s="1"/>
  <c r="V32" i="27" s="1"/>
  <c r="U15" i="27"/>
  <c r="U25" i="27" s="1"/>
  <c r="U31" i="27" s="1"/>
  <c r="U32" i="27" s="1"/>
  <c r="T15" i="27"/>
  <c r="S15" i="27"/>
  <c r="R15" i="27"/>
  <c r="Q15" i="27"/>
  <c r="P15" i="27"/>
  <c r="O15" i="27"/>
  <c r="N15" i="27"/>
  <c r="O14" i="27"/>
  <c r="O25" i="27" s="1"/>
  <c r="O31" i="27" s="1"/>
  <c r="O32" i="27" s="1"/>
  <c r="N14" i="27"/>
  <c r="S12" i="27"/>
  <c r="R12" i="27"/>
  <c r="Q12" i="27"/>
  <c r="P12" i="27"/>
  <c r="N8" i="27"/>
  <c r="N25" i="27" s="1"/>
  <c r="N31" i="27" s="1"/>
  <c r="N32" i="27" s="1"/>
  <c r="W67" i="26"/>
  <c r="V67" i="26"/>
  <c r="U67" i="26"/>
  <c r="T67" i="26"/>
  <c r="S67" i="26"/>
  <c r="R67" i="26"/>
  <c r="Q67" i="26"/>
  <c r="P67" i="26"/>
  <c r="O67" i="26"/>
  <c r="N67" i="26"/>
  <c r="M67" i="26"/>
  <c r="L67" i="26"/>
  <c r="W64" i="26"/>
  <c r="V64" i="26"/>
  <c r="U64" i="26"/>
  <c r="T64" i="26"/>
  <c r="S64" i="26"/>
  <c r="R64" i="26"/>
  <c r="Q64" i="26"/>
  <c r="P64" i="26"/>
  <c r="O64" i="26"/>
  <c r="N64" i="26"/>
  <c r="M64" i="26"/>
  <c r="L64" i="26"/>
  <c r="P57" i="26"/>
  <c r="O57" i="26"/>
  <c r="N57" i="26"/>
  <c r="M57" i="26"/>
  <c r="L57" i="26"/>
  <c r="W56" i="26"/>
  <c r="V56" i="26"/>
  <c r="U56" i="26"/>
  <c r="T56" i="26"/>
  <c r="S56" i="26"/>
  <c r="R56" i="26"/>
  <c r="Q56" i="26"/>
  <c r="P56" i="26"/>
  <c r="O56" i="26"/>
  <c r="N56" i="26"/>
  <c r="M56" i="26"/>
  <c r="L56" i="26"/>
  <c r="L50" i="26"/>
  <c r="M50" i="26" s="1"/>
  <c r="N50" i="26" s="1"/>
  <c r="O50" i="26" s="1"/>
  <c r="P50" i="26" s="1"/>
  <c r="W48" i="26"/>
  <c r="V48" i="26"/>
  <c r="U48" i="26"/>
  <c r="T48" i="26"/>
  <c r="S48" i="26"/>
  <c r="R48" i="26"/>
  <c r="Q48" i="26"/>
  <c r="Q50" i="26" s="1"/>
  <c r="W46" i="26"/>
  <c r="W52" i="26" s="1"/>
  <c r="W53" i="26" s="1"/>
  <c r="V46" i="26"/>
  <c r="V52" i="26" s="1"/>
  <c r="V53" i="26" s="1"/>
  <c r="U46" i="26"/>
  <c r="U52" i="26" s="1"/>
  <c r="U53" i="26" s="1"/>
  <c r="T46" i="26"/>
  <c r="T52" i="26" s="1"/>
  <c r="T53" i="26" s="1"/>
  <c r="S46" i="26"/>
  <c r="S52" i="26" s="1"/>
  <c r="S53" i="26" s="1"/>
  <c r="R46" i="26"/>
  <c r="R52" i="26" s="1"/>
  <c r="R53" i="26" s="1"/>
  <c r="Q46" i="26"/>
  <c r="Q52" i="26" s="1"/>
  <c r="Q53" i="26" s="1"/>
  <c r="P46" i="26"/>
  <c r="P52" i="26" s="1"/>
  <c r="P53" i="26" s="1"/>
  <c r="O36" i="26"/>
  <c r="N36" i="26"/>
  <c r="M36" i="26"/>
  <c r="L36" i="26"/>
  <c r="O35" i="26"/>
  <c r="O46" i="26" s="1"/>
  <c r="O52" i="26" s="1"/>
  <c r="O53" i="26" s="1"/>
  <c r="N35" i="26"/>
  <c r="N46" i="26" s="1"/>
  <c r="N52" i="26" s="1"/>
  <c r="N53" i="26" s="1"/>
  <c r="M35" i="26"/>
  <c r="M46" i="26" s="1"/>
  <c r="M52" i="26" s="1"/>
  <c r="M53" i="26" s="1"/>
  <c r="L35" i="26"/>
  <c r="L46" i="26" s="1"/>
  <c r="L52" i="26" s="1"/>
  <c r="L53" i="26" s="1"/>
  <c r="W11" i="26"/>
  <c r="W10" i="26"/>
  <c r="O9" i="26"/>
  <c r="N9" i="26"/>
  <c r="N27" i="26" s="1"/>
  <c r="M9" i="26"/>
  <c r="M27" i="26" s="1"/>
  <c r="L9" i="26"/>
  <c r="L27" i="26" s="1"/>
  <c r="L29" i="26" s="1"/>
  <c r="L62" i="26" s="1"/>
  <c r="L65" i="23" s="1"/>
  <c r="S8" i="26"/>
  <c r="T8" i="26" s="1"/>
  <c r="U8" i="26" s="1"/>
  <c r="V8" i="26" s="1"/>
  <c r="W8" i="26" s="1"/>
  <c r="R8" i="26"/>
  <c r="Q8" i="26"/>
  <c r="P8" i="26"/>
  <c r="O8" i="26"/>
  <c r="N8" i="26"/>
  <c r="M8" i="26"/>
  <c r="L8" i="26"/>
  <c r="O7" i="26"/>
  <c r="P7" i="26" s="1"/>
  <c r="N7" i="26"/>
  <c r="M7" i="26"/>
  <c r="L7" i="26"/>
  <c r="S6" i="26"/>
  <c r="R6" i="26"/>
  <c r="Q6" i="26"/>
  <c r="P6" i="26"/>
  <c r="O6" i="26"/>
  <c r="O25" i="26" s="1"/>
  <c r="N6" i="26"/>
  <c r="N25" i="26" s="1"/>
  <c r="N31" i="26" s="1"/>
  <c r="N32" i="26" s="1"/>
  <c r="M6" i="26"/>
  <c r="M25" i="26" s="1"/>
  <c r="M31" i="26" s="1"/>
  <c r="M32" i="26" s="1"/>
  <c r="L6" i="26"/>
  <c r="L25" i="26" s="1"/>
  <c r="L31" i="26" s="1"/>
  <c r="L32" i="26" s="1"/>
  <c r="E16" i="25"/>
  <c r="E12" i="25"/>
  <c r="E9" i="25"/>
  <c r="E8" i="25"/>
  <c r="E7" i="25"/>
  <c r="E6" i="25"/>
  <c r="E11" i="25" s="1"/>
  <c r="S5" i="24"/>
  <c r="R5" i="24"/>
  <c r="Q5" i="24"/>
  <c r="P5" i="24"/>
  <c r="L5" i="24"/>
  <c r="M5" i="24" s="1"/>
  <c r="A81" i="23"/>
  <c r="A80" i="23"/>
  <c r="A79" i="23"/>
  <c r="A78" i="23"/>
  <c r="W58" i="23"/>
  <c r="V58" i="23"/>
  <c r="U58" i="23"/>
  <c r="T58" i="23"/>
  <c r="S58" i="23"/>
  <c r="R58" i="23"/>
  <c r="Q58" i="23"/>
  <c r="P58" i="23"/>
  <c r="O58" i="23"/>
  <c r="N58" i="23"/>
  <c r="M58" i="23"/>
  <c r="L58" i="23"/>
  <c r="W56" i="23"/>
  <c r="V56" i="23"/>
  <c r="U56" i="23"/>
  <c r="T56" i="23"/>
  <c r="S56" i="23"/>
  <c r="R56" i="23"/>
  <c r="Q56" i="23"/>
  <c r="P56" i="23"/>
  <c r="O56" i="23"/>
  <c r="N56" i="23"/>
  <c r="M56" i="23"/>
  <c r="L56" i="23"/>
  <c r="W55" i="23"/>
  <c r="V55" i="23"/>
  <c r="U55" i="23"/>
  <c r="T55" i="23"/>
  <c r="S55" i="23"/>
  <c r="R55" i="23"/>
  <c r="Q55" i="23"/>
  <c r="P55" i="23"/>
  <c r="O55" i="23"/>
  <c r="N55" i="23"/>
  <c r="M55" i="23"/>
  <c r="L55" i="23"/>
  <c r="W54" i="23"/>
  <c r="V54" i="23"/>
  <c r="U54" i="23"/>
  <c r="T54" i="23"/>
  <c r="S54" i="23"/>
  <c r="R54" i="23"/>
  <c r="Q54" i="23"/>
  <c r="P54" i="23"/>
  <c r="O54" i="23"/>
  <c r="N54" i="23"/>
  <c r="M54" i="23"/>
  <c r="L54" i="23"/>
  <c r="W52" i="23"/>
  <c r="V52" i="23"/>
  <c r="U52" i="23"/>
  <c r="T52" i="23"/>
  <c r="S52" i="23"/>
  <c r="R52" i="23"/>
  <c r="Q52" i="23"/>
  <c r="P52" i="23"/>
  <c r="L52" i="23"/>
  <c r="Q38" i="23"/>
  <c r="W38" i="23" s="1"/>
  <c r="P38" i="23"/>
  <c r="V38" i="23" s="1"/>
  <c r="O38" i="23"/>
  <c r="U38" i="23" s="1"/>
  <c r="N38" i="23"/>
  <c r="T38" i="23" s="1"/>
  <c r="M38" i="23"/>
  <c r="S38" i="23" s="1"/>
  <c r="L38" i="23"/>
  <c r="R38" i="23" s="1"/>
  <c r="O37" i="23"/>
  <c r="N37" i="23"/>
  <c r="M37" i="23"/>
  <c r="L37" i="23"/>
  <c r="T35" i="23"/>
  <c r="W31" i="23"/>
  <c r="W53" i="23" s="1"/>
  <c r="V31" i="23"/>
  <c r="V53" i="23" s="1"/>
  <c r="U31" i="23"/>
  <c r="U53" i="23" s="1"/>
  <c r="T31" i="23"/>
  <c r="T53" i="23" s="1"/>
  <c r="S31" i="23"/>
  <c r="S53" i="23" s="1"/>
  <c r="R31" i="23"/>
  <c r="R53" i="23" s="1"/>
  <c r="Q31" i="23"/>
  <c r="Q53" i="23" s="1"/>
  <c r="P31" i="23"/>
  <c r="P53" i="23" s="1"/>
  <c r="O31" i="23"/>
  <c r="O53" i="23" s="1"/>
  <c r="N31" i="23"/>
  <c r="N53" i="23" s="1"/>
  <c r="M31" i="23"/>
  <c r="M53" i="23" s="1"/>
  <c r="L31" i="23"/>
  <c r="L53" i="23" s="1"/>
  <c r="S30" i="23"/>
  <c r="R30" i="23"/>
  <c r="Q30" i="23"/>
  <c r="P30" i="23"/>
  <c r="O30" i="23"/>
  <c r="N30" i="23"/>
  <c r="M30" i="23"/>
  <c r="L30" i="23"/>
  <c r="W18" i="23"/>
  <c r="W33" i="23" s="1"/>
  <c r="V18" i="23"/>
  <c r="V33" i="23" s="1"/>
  <c r="U18" i="23"/>
  <c r="U33" i="23" s="1"/>
  <c r="T18" i="23"/>
  <c r="T33" i="23" s="1"/>
  <c r="S18" i="23"/>
  <c r="S33" i="23" s="1"/>
  <c r="R18" i="23"/>
  <c r="R33" i="23" s="1"/>
  <c r="Q18" i="23"/>
  <c r="Q33" i="23" s="1"/>
  <c r="P18" i="23"/>
  <c r="P33" i="23" s="1"/>
  <c r="O18" i="23"/>
  <c r="O33" i="23" s="1"/>
  <c r="N18" i="23"/>
  <c r="N33" i="23" s="1"/>
  <c r="M18" i="23"/>
  <c r="M33" i="23" s="1"/>
  <c r="L18" i="23"/>
  <c r="L33" i="23" s="1"/>
  <c r="J54" i="21"/>
  <c r="J58" i="21" s="1"/>
  <c r="I54" i="21"/>
  <c r="I58" i="21" s="1"/>
  <c r="H54" i="21"/>
  <c r="H58" i="21" s="1"/>
  <c r="G54" i="21"/>
  <c r="G58" i="21" s="1"/>
  <c r="F54" i="21"/>
  <c r="F58" i="21" s="1"/>
  <c r="E54" i="21"/>
  <c r="E58" i="21" s="1"/>
  <c r="D54" i="21"/>
  <c r="D58" i="21" s="1"/>
  <c r="C54" i="21"/>
  <c r="C58" i="21" s="1"/>
  <c r="B54" i="21"/>
  <c r="B58" i="21" s="1"/>
  <c r="Q36" i="21"/>
  <c r="C33" i="21"/>
  <c r="C30" i="21"/>
  <c r="D30" i="21" s="1"/>
  <c r="E30" i="21" s="1"/>
  <c r="F30" i="21" s="1"/>
  <c r="G30" i="21" s="1"/>
  <c r="H30" i="21" s="1"/>
  <c r="I30" i="21" s="1"/>
  <c r="J30" i="21" s="1"/>
  <c r="K30" i="21" s="1"/>
  <c r="L30" i="21" s="1"/>
  <c r="M30" i="21" s="1"/>
  <c r="N30" i="21" s="1"/>
  <c r="P28" i="21"/>
  <c r="N24" i="21"/>
  <c r="M24" i="21"/>
  <c r="K24" i="21"/>
  <c r="J24" i="21"/>
  <c r="I24" i="21"/>
  <c r="H24" i="21"/>
  <c r="G24" i="21"/>
  <c r="F24" i="21"/>
  <c r="E24" i="21"/>
  <c r="D24" i="21"/>
  <c r="C24" i="21"/>
  <c r="B24" i="21"/>
  <c r="B36" i="1" s="1"/>
  <c r="B34" i="7" s="1"/>
  <c r="Q18" i="21"/>
  <c r="Q20" i="21" s="1"/>
  <c r="Q28" i="21" s="1"/>
  <c r="N17" i="21"/>
  <c r="N37" i="1" s="1"/>
  <c r="N42" i="7" s="1"/>
  <c r="M17" i="21"/>
  <c r="M37" i="1" s="1"/>
  <c r="M42" i="7" s="1"/>
  <c r="L17" i="21"/>
  <c r="L37" i="1" s="1"/>
  <c r="L42" i="7" s="1"/>
  <c r="J17" i="21"/>
  <c r="J37" i="1" s="1"/>
  <c r="J42" i="7" s="1"/>
  <c r="I17" i="21"/>
  <c r="I37" i="1" s="1"/>
  <c r="I42" i="7" s="1"/>
  <c r="H17" i="21"/>
  <c r="H37" i="1" s="1"/>
  <c r="H42" i="7" s="1"/>
  <c r="G17" i="21"/>
  <c r="G37" i="1" s="1"/>
  <c r="G42" i="7" s="1"/>
  <c r="F17" i="21"/>
  <c r="F37" i="1" s="1"/>
  <c r="F42" i="7" s="1"/>
  <c r="E17" i="21"/>
  <c r="E37" i="1" s="1"/>
  <c r="E42" i="7" s="1"/>
  <c r="D17" i="21"/>
  <c r="D37" i="1" s="1"/>
  <c r="D42" i="7" s="1"/>
  <c r="C17" i="21"/>
  <c r="C37" i="1" s="1"/>
  <c r="C42" i="7" s="1"/>
  <c r="B17" i="21"/>
  <c r="B37" i="1" s="1"/>
  <c r="B42" i="7" s="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J75" i="19"/>
  <c r="I75" i="19"/>
  <c r="H75" i="19"/>
  <c r="G75" i="19"/>
  <c r="F75"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I50" i="19"/>
  <c r="H50" i="19"/>
  <c r="G50" i="19"/>
  <c r="F50" i="19"/>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M27" i="19"/>
  <c r="L27" i="19"/>
  <c r="J27" i="19"/>
  <c r="I27" i="19"/>
  <c r="H27" i="19"/>
  <c r="G27" i="19"/>
  <c r="F27" i="19"/>
  <c r="E27" i="19"/>
  <c r="D27" i="19"/>
  <c r="C27" i="19"/>
  <c r="B27" i="19"/>
  <c r="K16" i="19"/>
  <c r="L15" i="19"/>
  <c r="L20" i="19" s="1"/>
  <c r="K15" i="19"/>
  <c r="K20" i="19" s="1"/>
  <c r="J15" i="19"/>
  <c r="J20" i="19" s="1"/>
  <c r="I15" i="19"/>
  <c r="I20" i="19" s="1"/>
  <c r="H15" i="19"/>
  <c r="H20" i="19" s="1"/>
  <c r="G15" i="19"/>
  <c r="G20" i="19" s="1"/>
  <c r="F15" i="19"/>
  <c r="F20" i="19" s="1"/>
  <c r="E15" i="19"/>
  <c r="E20" i="19" s="1"/>
  <c r="D15" i="19"/>
  <c r="D20" i="19" s="1"/>
  <c r="C15" i="19"/>
  <c r="C20" i="19" s="1"/>
  <c r="B15" i="19"/>
  <c r="B20" i="19" s="1"/>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G112" i="18" s="1"/>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K64" i="18" s="1"/>
  <c r="G64" i="18"/>
  <c r="J63" i="18"/>
  <c r="K63" i="18" s="1"/>
  <c r="L63" i="18" s="1"/>
  <c r="F62" i="18"/>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P28" i="18"/>
  <c r="N28" i="18"/>
  <c r="M28" i="18"/>
  <c r="L28" i="18"/>
  <c r="K28" i="18"/>
  <c r="J28" i="18"/>
  <c r="I28" i="18"/>
  <c r="H28" i="18"/>
  <c r="G28" i="18"/>
  <c r="F28" i="18"/>
  <c r="Q19" i="18"/>
  <c r="Q30" i="18" s="1"/>
  <c r="P19" i="18"/>
  <c r="P30" i="18" s="1"/>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K33" i="17"/>
  <c r="J33" i="17"/>
  <c r="J40" i="17" s="1"/>
  <c r="J45" i="17" s="1"/>
  <c r="J53" i="17" s="1"/>
  <c r="I33" i="17"/>
  <c r="I40" i="17" s="1"/>
  <c r="I45" i="17" s="1"/>
  <c r="I53" i="17" s="1"/>
  <c r="H33" i="17"/>
  <c r="H40" i="17" s="1"/>
  <c r="H45" i="17" s="1"/>
  <c r="H53" i="17" s="1"/>
  <c r="G33" i="17"/>
  <c r="G40" i="17" s="1"/>
  <c r="G45" i="17" s="1"/>
  <c r="G53" i="17" s="1"/>
  <c r="F33" i="17"/>
  <c r="F40" i="17" s="1"/>
  <c r="F45" i="17" s="1"/>
  <c r="F53" i="17" s="1"/>
  <c r="E33" i="17"/>
  <c r="E40" i="17" s="1"/>
  <c r="E45" i="17" s="1"/>
  <c r="E53" i="17" s="1"/>
  <c r="D33" i="17"/>
  <c r="D40" i="17" s="1"/>
  <c r="D45" i="17" s="1"/>
  <c r="D53" i="17" s="1"/>
  <c r="C33" i="17"/>
  <c r="C40" i="17" s="1"/>
  <c r="C45" i="17" s="1"/>
  <c r="C53" i="17" s="1"/>
  <c r="C30" i="17"/>
  <c r="D30" i="17" s="1"/>
  <c r="E30" i="17" s="1"/>
  <c r="F30" i="17" s="1"/>
  <c r="G30" i="17" s="1"/>
  <c r="H30" i="17" s="1"/>
  <c r="I30" i="17" s="1"/>
  <c r="J30" i="17" s="1"/>
  <c r="K30" i="17" s="1"/>
  <c r="L30" i="17" s="1"/>
  <c r="M30" i="17" s="1"/>
  <c r="N30" i="17" s="1"/>
  <c r="N24" i="17"/>
  <c r="N32" i="1" s="1"/>
  <c r="N43" i="7" s="1"/>
  <c r="M24" i="17"/>
  <c r="M32" i="1" s="1"/>
  <c r="M43" i="7" s="1"/>
  <c r="L24" i="17"/>
  <c r="L32" i="1" s="1"/>
  <c r="L43" i="7" s="1"/>
  <c r="K24" i="17"/>
  <c r="K32" i="1" s="1"/>
  <c r="K43" i="7" s="1"/>
  <c r="J24" i="17"/>
  <c r="J32" i="1" s="1"/>
  <c r="J43" i="7" s="1"/>
  <c r="I24" i="17"/>
  <c r="I32" i="1" s="1"/>
  <c r="I43" i="7" s="1"/>
  <c r="G24" i="17"/>
  <c r="G32" i="1" s="1"/>
  <c r="G43" i="7" s="1"/>
  <c r="F24" i="17"/>
  <c r="F32" i="1" s="1"/>
  <c r="F43" i="7" s="1"/>
  <c r="E24" i="17"/>
  <c r="E32" i="1" s="1"/>
  <c r="E43" i="7" s="1"/>
  <c r="D24" i="17"/>
  <c r="D32" i="1" s="1"/>
  <c r="D43" i="7" s="1"/>
  <c r="C24" i="17"/>
  <c r="C32" i="1" s="1"/>
  <c r="C43" i="7" s="1"/>
  <c r="H22" i="17"/>
  <c r="H24" i="17" s="1"/>
  <c r="H32" i="1" s="1"/>
  <c r="H43" i="7" s="1"/>
  <c r="H20" i="17"/>
  <c r="N18" i="17"/>
  <c r="M18" i="17"/>
  <c r="L18" i="17"/>
  <c r="K18" i="17"/>
  <c r="J18" i="17"/>
  <c r="I18" i="17"/>
  <c r="H18" i="17"/>
  <c r="G18" i="17"/>
  <c r="E18" i="17"/>
  <c r="D18" i="17"/>
  <c r="C18" i="17"/>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M25" i="16"/>
  <c r="L25" i="16"/>
  <c r="K25" i="16"/>
  <c r="H25" i="16"/>
  <c r="G25" i="16"/>
  <c r="F25" i="16"/>
  <c r="D25" i="16"/>
  <c r="C25" i="16"/>
  <c r="E20" i="16"/>
  <c r="E25" i="16" s="1"/>
  <c r="E6" i="1" s="1"/>
  <c r="E38"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B50" i="14"/>
  <c r="B45" i="14"/>
  <c r="B48" i="14" s="1"/>
  <c r="B52" i="14" s="1"/>
  <c r="B53" i="14" s="1"/>
  <c r="B43" i="14"/>
  <c r="B54" i="14" s="1"/>
  <c r="B42" i="14"/>
  <c r="C40" i="14"/>
  <c r="D40" i="14" s="1"/>
  <c r="A40" i="14"/>
  <c r="C39" i="14"/>
  <c r="A39" i="14"/>
  <c r="C37" i="14"/>
  <c r="D37" i="14" s="1"/>
  <c r="E37" i="14" s="1"/>
  <c r="K35" i="14"/>
  <c r="K91" i="1" s="1"/>
  <c r="K30" i="4" s="1"/>
  <c r="I30" i="36" s="1"/>
  <c r="J35" i="14"/>
  <c r="J91" i="1" s="1"/>
  <c r="J30" i="4" s="1"/>
  <c r="H30" i="36" s="1"/>
  <c r="I35" i="14"/>
  <c r="I91" i="1" s="1"/>
  <c r="I30" i="4" s="1"/>
  <c r="G30" i="36" s="1"/>
  <c r="H35" i="14"/>
  <c r="H91" i="1" s="1"/>
  <c r="H30" i="4" s="1"/>
  <c r="F30" i="36" s="1"/>
  <c r="G35" i="14"/>
  <c r="G91" i="1" s="1"/>
  <c r="G30" i="4" s="1"/>
  <c r="E30" i="36" s="1"/>
  <c r="F35" i="14"/>
  <c r="F91" i="1" s="1"/>
  <c r="F30" i="4" s="1"/>
  <c r="D30" i="36" s="1"/>
  <c r="E35" i="14"/>
  <c r="E91" i="1" s="1"/>
  <c r="E30" i="4" s="1"/>
  <c r="D35" i="14"/>
  <c r="D91" i="1" s="1"/>
  <c r="D30" i="4" s="1"/>
  <c r="C35" i="14"/>
  <c r="C91" i="1" s="1"/>
  <c r="C30" i="4" s="1"/>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V22" i="13"/>
  <c r="X22" i="13" s="1"/>
  <c r="Z22" i="13" s="1"/>
  <c r="AB22" i="13" s="1"/>
  <c r="AD22" i="13" s="1"/>
  <c r="H22" i="13"/>
  <c r="J22" i="13" s="1"/>
  <c r="L22" i="13" s="1"/>
  <c r="N22" i="13" s="1"/>
  <c r="P22" i="13" s="1"/>
  <c r="R22" i="13" s="1"/>
  <c r="T22" i="13" s="1"/>
  <c r="T21" i="13"/>
  <c r="V21" i="13" s="1"/>
  <c r="X21" i="13" s="1"/>
  <c r="Z21" i="13" s="1"/>
  <c r="AB21" i="13" s="1"/>
  <c r="AD21" i="13" s="1"/>
  <c r="H21" i="13"/>
  <c r="J21" i="13" s="1"/>
  <c r="L21" i="13" s="1"/>
  <c r="N21" i="13" s="1"/>
  <c r="P21" i="13" s="1"/>
  <c r="R21" i="13" s="1"/>
  <c r="R20" i="13"/>
  <c r="T20" i="13" s="1"/>
  <c r="V20" i="13" s="1"/>
  <c r="X20" i="13" s="1"/>
  <c r="Z20" i="13" s="1"/>
  <c r="AB20" i="13" s="1"/>
  <c r="AD20" i="13" s="1"/>
  <c r="H20" i="13"/>
  <c r="J20" i="13" s="1"/>
  <c r="L20" i="13" s="1"/>
  <c r="N20" i="13" s="1"/>
  <c r="P20" i="13" s="1"/>
  <c r="H19" i="13"/>
  <c r="N18" i="13"/>
  <c r="P18" i="13" s="1"/>
  <c r="R18" i="13" s="1"/>
  <c r="T18" i="13" s="1"/>
  <c r="V18" i="13" s="1"/>
  <c r="C7" i="13"/>
  <c r="AD4" i="13"/>
  <c r="AE4" i="13" s="1"/>
  <c r="AB4" i="13"/>
  <c r="AC4" i="13" s="1"/>
  <c r="Z4" i="13"/>
  <c r="AA4" i="13" s="1"/>
  <c r="X4" i="13"/>
  <c r="Y4" i="13" s="1"/>
  <c r="V4" i="13"/>
  <c r="W4" i="13" s="1"/>
  <c r="T4" i="13"/>
  <c r="U4" i="13" s="1"/>
  <c r="R4" i="13"/>
  <c r="S4" i="13" s="1"/>
  <c r="P4" i="13"/>
  <c r="Q4" i="13" s="1"/>
  <c r="N4" i="13"/>
  <c r="O4" i="13" s="1"/>
  <c r="L4" i="13"/>
  <c r="M4" i="13" s="1"/>
  <c r="J4" i="13"/>
  <c r="K4" i="13" s="1"/>
  <c r="H4" i="13"/>
  <c r="I4" i="13" s="1"/>
  <c r="AD3" i="13"/>
  <c r="AB3" i="13"/>
  <c r="Z3" i="13"/>
  <c r="X3" i="13"/>
  <c r="V3" i="13"/>
  <c r="T3" i="13"/>
  <c r="R3" i="13"/>
  <c r="P3" i="13"/>
  <c r="N3" i="13"/>
  <c r="L3" i="13"/>
  <c r="J3" i="13"/>
  <c r="H3" i="13"/>
  <c r="AD43" i="12"/>
  <c r="AB43" i="12"/>
  <c r="T43" i="12"/>
  <c r="N43" i="12"/>
  <c r="L43" i="12"/>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C2" i="12"/>
  <c r="AA2" i="12"/>
  <c r="Y2" i="12"/>
  <c r="W2" i="12"/>
  <c r="U2" i="12"/>
  <c r="S2" i="12"/>
  <c r="Q2" i="12"/>
  <c r="O2" i="12"/>
  <c r="M2" i="12"/>
  <c r="K2" i="12"/>
  <c r="I2" i="12"/>
  <c r="A95" i="11"/>
  <c r="A94" i="11"/>
  <c r="A93" i="11"/>
  <c r="A92" i="11"/>
  <c r="A91"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I42" i="11"/>
  <c r="J42" i="11" s="1"/>
  <c r="K42" i="11" s="1"/>
  <c r="L42" i="11" s="1"/>
  <c r="M42" i="11" s="1"/>
  <c r="N42" i="11" s="1"/>
  <c r="O42" i="11" s="1"/>
  <c r="P42" i="11" s="1"/>
  <c r="Q42" i="11" s="1"/>
  <c r="R42" i="11" s="1"/>
  <c r="S42" i="11" s="1"/>
  <c r="T42" i="11" s="1"/>
  <c r="U42" i="11" s="1"/>
  <c r="V42" i="11" s="1"/>
  <c r="W42" i="11" s="1"/>
  <c r="X42" i="11" s="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R39" i="11"/>
  <c r="S39" i="11" s="1"/>
  <c r="T39" i="11" s="1"/>
  <c r="U39" i="11" s="1"/>
  <c r="V39" i="11" s="1"/>
  <c r="W39" i="11" s="1"/>
  <c r="X39" i="11" s="1"/>
  <c r="I39" i="11"/>
  <c r="J39" i="11" s="1"/>
  <c r="K39" i="11" s="1"/>
  <c r="L39" i="11" s="1"/>
  <c r="M39" i="11" s="1"/>
  <c r="N39" i="11" s="1"/>
  <c r="O39" i="11" s="1"/>
  <c r="P39" i="11" s="1"/>
  <c r="Q39" i="11" s="1"/>
  <c r="G39" i="11"/>
  <c r="Y38" i="11"/>
  <c r="I38" i="11"/>
  <c r="J38" i="11" s="1"/>
  <c r="K38" i="11" s="1"/>
  <c r="L38" i="11" s="1"/>
  <c r="M38" i="11" s="1"/>
  <c r="N38" i="11" s="1"/>
  <c r="O38" i="11" s="1"/>
  <c r="P38" i="11" s="1"/>
  <c r="Q38" i="11" s="1"/>
  <c r="R38" i="11" s="1"/>
  <c r="S38" i="11" s="1"/>
  <c r="T38" i="11" s="1"/>
  <c r="U38" i="11" s="1"/>
  <c r="V38" i="11" s="1"/>
  <c r="W38" i="11" s="1"/>
  <c r="X38" i="11" s="1"/>
  <c r="G38" i="11"/>
  <c r="Y37" i="11"/>
  <c r="C37" i="11"/>
  <c r="Y36" i="11"/>
  <c r="Q36" i="11"/>
  <c r="R36" i="11" s="1"/>
  <c r="S36" i="11" s="1"/>
  <c r="T36" i="11" s="1"/>
  <c r="U36" i="11" s="1"/>
  <c r="V36" i="11" s="1"/>
  <c r="W36" i="11" s="1"/>
  <c r="X36" i="11" s="1"/>
  <c r="I36" i="11"/>
  <c r="J36" i="11" s="1"/>
  <c r="K36" i="11" s="1"/>
  <c r="L36" i="11" s="1"/>
  <c r="M36" i="11" s="1"/>
  <c r="N36" i="11" s="1"/>
  <c r="O36" i="11" s="1"/>
  <c r="P36" i="11" s="1"/>
  <c r="G36" i="11"/>
  <c r="Y35" i="11"/>
  <c r="P35" i="11"/>
  <c r="Q35" i="11" s="1"/>
  <c r="R35" i="11" s="1"/>
  <c r="S35" i="11" s="1"/>
  <c r="T35" i="11" s="1"/>
  <c r="U35" i="11" s="1"/>
  <c r="V35" i="11" s="1"/>
  <c r="W35" i="11" s="1"/>
  <c r="X35" i="11" s="1"/>
  <c r="I35" i="11"/>
  <c r="J35" i="11" s="1"/>
  <c r="K35" i="11" s="1"/>
  <c r="L35" i="11" s="1"/>
  <c r="M35" i="11" s="1"/>
  <c r="N35" i="11" s="1"/>
  <c r="O35" i="11" s="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I33" i="11"/>
  <c r="J33" i="11" s="1"/>
  <c r="K33" i="11" s="1"/>
  <c r="Y32" i="11"/>
  <c r="A88" i="11" s="1"/>
  <c r="N32" i="11"/>
  <c r="O32" i="11" s="1"/>
  <c r="P32" i="11" s="1"/>
  <c r="Q32" i="11" s="1"/>
  <c r="R32" i="11" s="1"/>
  <c r="S32" i="11" s="1"/>
  <c r="T32" i="11" s="1"/>
  <c r="U32" i="11" s="1"/>
  <c r="V32" i="11" s="1"/>
  <c r="W32" i="11" s="1"/>
  <c r="X32" i="11" s="1"/>
  <c r="L32" i="11"/>
  <c r="J32" i="11"/>
  <c r="K32" i="11" s="1"/>
  <c r="I32" i="11"/>
  <c r="Y31" i="11"/>
  <c r="A87" i="11" s="1"/>
  <c r="L31" i="11"/>
  <c r="M31" i="11" s="1"/>
  <c r="N31" i="11" s="1"/>
  <c r="O31" i="11" s="1"/>
  <c r="P31" i="11" s="1"/>
  <c r="Q31" i="11" s="1"/>
  <c r="R31" i="11" s="1"/>
  <c r="S31" i="11" s="1"/>
  <c r="T31" i="11" s="1"/>
  <c r="U31" i="11" s="1"/>
  <c r="V31" i="11" s="1"/>
  <c r="W31" i="11" s="1"/>
  <c r="X31" i="11" s="1"/>
  <c r="J31" i="11"/>
  <c r="K31" i="11" s="1"/>
  <c r="I31" i="11"/>
  <c r="Y30" i="11"/>
  <c r="A86" i="11" s="1"/>
  <c r="L30" i="11"/>
  <c r="M30" i="11" s="1"/>
  <c r="N30" i="11" s="1"/>
  <c r="O30" i="11" s="1"/>
  <c r="P30" i="11" s="1"/>
  <c r="Q30" i="11" s="1"/>
  <c r="R30" i="11" s="1"/>
  <c r="S30" i="11" s="1"/>
  <c r="T30" i="11" s="1"/>
  <c r="U30" i="11" s="1"/>
  <c r="V30" i="11" s="1"/>
  <c r="W30" i="11" s="1"/>
  <c r="X30" i="11" s="1"/>
  <c r="J30" i="11"/>
  <c r="K30" i="11" s="1"/>
  <c r="I30" i="1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J28" i="11"/>
  <c r="K28" i="11" s="1"/>
  <c r="I28" i="1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K25" i="11"/>
  <c r="L25" i="11" s="1"/>
  <c r="M25" i="11" s="1"/>
  <c r="N25" i="11" s="1"/>
  <c r="O25" i="11" s="1"/>
  <c r="P25" i="11" s="1"/>
  <c r="Q25" i="11" s="1"/>
  <c r="R25" i="11" s="1"/>
  <c r="S25" i="11" s="1"/>
  <c r="T25" i="11" s="1"/>
  <c r="U25" i="11" s="1"/>
  <c r="V25" i="11" s="1"/>
  <c r="W25" i="11" s="1"/>
  <c r="X25" i="11" s="1"/>
  <c r="J25" i="11"/>
  <c r="I25" i="11"/>
  <c r="G25" i="11"/>
  <c r="Y24" i="11"/>
  <c r="A80" i="11" s="1"/>
  <c r="J24" i="11"/>
  <c r="K24" i="11" s="1"/>
  <c r="L24" i="11" s="1"/>
  <c r="M24" i="11" s="1"/>
  <c r="N24" i="11" s="1"/>
  <c r="O24" i="11" s="1"/>
  <c r="P24" i="11" s="1"/>
  <c r="Q24" i="11" s="1"/>
  <c r="R24" i="11" s="1"/>
  <c r="S24" i="11" s="1"/>
  <c r="T24" i="11" s="1"/>
  <c r="U24" i="11" s="1"/>
  <c r="V24" i="11" s="1"/>
  <c r="W24" i="11" s="1"/>
  <c r="X24" i="11" s="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K20" i="11"/>
  <c r="L20" i="11" s="1"/>
  <c r="M20" i="11" s="1"/>
  <c r="N20" i="11" s="1"/>
  <c r="O20" i="11" s="1"/>
  <c r="P20" i="11" s="1"/>
  <c r="Q20" i="11" s="1"/>
  <c r="R20" i="11" s="1"/>
  <c r="S20" i="11" s="1"/>
  <c r="T20" i="11" s="1"/>
  <c r="U20" i="11" s="1"/>
  <c r="V20" i="11" s="1"/>
  <c r="W20" i="11" s="1"/>
  <c r="X20" i="11" s="1"/>
  <c r="J20" i="11"/>
  <c r="I20" i="11"/>
  <c r="G20" i="11"/>
  <c r="Y19" i="11"/>
  <c r="A75" i="11" s="1"/>
  <c r="K19" i="11"/>
  <c r="L19" i="11" s="1"/>
  <c r="M19" i="11" s="1"/>
  <c r="N19" i="11" s="1"/>
  <c r="O19" i="11" s="1"/>
  <c r="P19" i="11" s="1"/>
  <c r="Q19" i="11" s="1"/>
  <c r="R19" i="11" s="1"/>
  <c r="S19" i="11" s="1"/>
  <c r="T19" i="11" s="1"/>
  <c r="U19" i="11" s="1"/>
  <c r="V19" i="11" s="1"/>
  <c r="W19" i="11" s="1"/>
  <c r="X19" i="11" s="1"/>
  <c r="J19" i="11"/>
  <c r="I19" i="11"/>
  <c r="G19" i="11"/>
  <c r="Y18" i="11"/>
  <c r="A74" i="11" s="1"/>
  <c r="K18" i="11"/>
  <c r="L18" i="11" s="1"/>
  <c r="M18" i="11" s="1"/>
  <c r="N18" i="11" s="1"/>
  <c r="O18" i="11" s="1"/>
  <c r="P18" i="11" s="1"/>
  <c r="Q18" i="11" s="1"/>
  <c r="R18" i="11" s="1"/>
  <c r="S18" i="11" s="1"/>
  <c r="T18" i="11" s="1"/>
  <c r="U18" i="11" s="1"/>
  <c r="V18" i="11" s="1"/>
  <c r="W18" i="11" s="1"/>
  <c r="X18" i="11" s="1"/>
  <c r="J18" i="11"/>
  <c r="I18" i="11"/>
  <c r="G18" i="11"/>
  <c r="Y17" i="11"/>
  <c r="A73" i="11" s="1"/>
  <c r="L17" i="11"/>
  <c r="M17" i="11" s="1"/>
  <c r="N17" i="11" s="1"/>
  <c r="O17" i="11" s="1"/>
  <c r="P17" i="11" s="1"/>
  <c r="Q17" i="11" s="1"/>
  <c r="R17" i="11" s="1"/>
  <c r="S17" i="11" s="1"/>
  <c r="T17" i="11" s="1"/>
  <c r="U17" i="11" s="1"/>
  <c r="V17" i="11" s="1"/>
  <c r="W17" i="11" s="1"/>
  <c r="X17" i="11" s="1"/>
  <c r="K17" i="11"/>
  <c r="I17" i="11"/>
  <c r="J17" i="11" s="1"/>
  <c r="G17" i="11"/>
  <c r="Y16" i="11"/>
  <c r="A72" i="11" s="1"/>
  <c r="K16" i="11"/>
  <c r="L16" i="11" s="1"/>
  <c r="M16" i="11" s="1"/>
  <c r="N16" i="11" s="1"/>
  <c r="O16" i="11" s="1"/>
  <c r="P16" i="11" s="1"/>
  <c r="Q16" i="11" s="1"/>
  <c r="R16" i="11" s="1"/>
  <c r="S16" i="11" s="1"/>
  <c r="T16" i="11" s="1"/>
  <c r="U16" i="11" s="1"/>
  <c r="V16" i="11" s="1"/>
  <c r="W16" i="11" s="1"/>
  <c r="X16" i="11" s="1"/>
  <c r="J16" i="11"/>
  <c r="I16" i="11"/>
  <c r="G16" i="11"/>
  <c r="Y15" i="11"/>
  <c r="A71" i="11" s="1"/>
  <c r="K15" i="11"/>
  <c r="L15" i="11" s="1"/>
  <c r="M15" i="11" s="1"/>
  <c r="N15" i="11" s="1"/>
  <c r="O15" i="11" s="1"/>
  <c r="P15" i="11" s="1"/>
  <c r="Q15" i="11" s="1"/>
  <c r="R15" i="11" s="1"/>
  <c r="S15" i="11" s="1"/>
  <c r="T15" i="11" s="1"/>
  <c r="U15" i="11" s="1"/>
  <c r="V15" i="11" s="1"/>
  <c r="W15" i="11" s="1"/>
  <c r="X15" i="11" s="1"/>
  <c r="J15" i="1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J13" i="11"/>
  <c r="I13" i="1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K8" i="11"/>
  <c r="L8" i="11" s="1"/>
  <c r="M8" i="11" s="1"/>
  <c r="N8" i="11" s="1"/>
  <c r="O8" i="11" s="1"/>
  <c r="P8" i="11" s="1"/>
  <c r="Q8" i="11" s="1"/>
  <c r="R8" i="11" s="1"/>
  <c r="S8" i="11" s="1"/>
  <c r="T8" i="11" s="1"/>
  <c r="U8" i="11" s="1"/>
  <c r="V8" i="11" s="1"/>
  <c r="W8" i="11" s="1"/>
  <c r="X8" i="11" s="1"/>
  <c r="J8" i="11"/>
  <c r="I8" i="11"/>
  <c r="G8" i="11"/>
  <c r="Y7" i="11"/>
  <c r="A63" i="11" s="1"/>
  <c r="J7" i="11"/>
  <c r="K7" i="11" s="1"/>
  <c r="L7" i="11" s="1"/>
  <c r="M7" i="11" s="1"/>
  <c r="N7" i="11" s="1"/>
  <c r="O7" i="11" s="1"/>
  <c r="P7" i="11" s="1"/>
  <c r="Q7" i="11" s="1"/>
  <c r="R7" i="11" s="1"/>
  <c r="S7" i="11" s="1"/>
  <c r="T7" i="11" s="1"/>
  <c r="U7" i="11" s="1"/>
  <c r="V7" i="11" s="1"/>
  <c r="W7" i="11" s="1"/>
  <c r="X7" i="11" s="1"/>
  <c r="I7" i="11"/>
  <c r="G7" i="11"/>
  <c r="Y6" i="11"/>
  <c r="A62" i="11" s="1"/>
  <c r="J6" i="11"/>
  <c r="K6" i="11" s="1"/>
  <c r="L6" i="11" s="1"/>
  <c r="M6" i="11" s="1"/>
  <c r="N6" i="11" s="1"/>
  <c r="O6" i="11" s="1"/>
  <c r="P6" i="11" s="1"/>
  <c r="Q6" i="11" s="1"/>
  <c r="R6" i="11" s="1"/>
  <c r="S6" i="11" s="1"/>
  <c r="T6" i="11" s="1"/>
  <c r="U6" i="11" s="1"/>
  <c r="V6" i="11" s="1"/>
  <c r="W6" i="11" s="1"/>
  <c r="X6" i="11" s="1"/>
  <c r="I6" i="11"/>
  <c r="G6" i="11"/>
  <c r="Y5" i="11"/>
  <c r="A61" i="11" s="1"/>
  <c r="C5" i="11"/>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N98" i="1" s="1"/>
  <c r="N58" i="7" s="1"/>
  <c r="M18" i="10"/>
  <c r="M98" i="1" s="1"/>
  <c r="M58" i="7" s="1"/>
  <c r="L18" i="10"/>
  <c r="L98" i="1" s="1"/>
  <c r="L58" i="7" s="1"/>
  <c r="K18" i="10"/>
  <c r="K98" i="1" s="1"/>
  <c r="K58" i="7" s="1"/>
  <c r="J18" i="10"/>
  <c r="J98" i="1" s="1"/>
  <c r="J58" i="7" s="1"/>
  <c r="I18" i="10"/>
  <c r="I98" i="1" s="1"/>
  <c r="I58" i="7" s="1"/>
  <c r="H18" i="10"/>
  <c r="H98" i="1" s="1"/>
  <c r="H58" i="7" s="1"/>
  <c r="G18" i="10"/>
  <c r="G98" i="1" s="1"/>
  <c r="G58" i="7" s="1"/>
  <c r="F18" i="10"/>
  <c r="F98" i="1" s="1"/>
  <c r="F58" i="7" s="1"/>
  <c r="E18" i="10"/>
  <c r="E98" i="1" s="1"/>
  <c r="E58" i="7" s="1"/>
  <c r="D18" i="10"/>
  <c r="D98" i="1" s="1"/>
  <c r="D58" i="7" s="1"/>
  <c r="C18" i="10"/>
  <c r="C98" i="1" s="1"/>
  <c r="C58" i="7" s="1"/>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C9" i="9"/>
  <c r="N7" i="9"/>
  <c r="M7" i="9"/>
  <c r="L7" i="9"/>
  <c r="K7" i="9"/>
  <c r="J7" i="9"/>
  <c r="I7" i="9"/>
  <c r="H7" i="9"/>
  <c r="G7" i="9"/>
  <c r="F7" i="9"/>
  <c r="E7" i="9"/>
  <c r="D7" i="9"/>
  <c r="C7" i="9"/>
  <c r="B7" i="9"/>
  <c r="C6" i="9"/>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N59" i="7"/>
  <c r="M59" i="7"/>
  <c r="L59" i="7"/>
  <c r="H59" i="7"/>
  <c r="E59" i="7"/>
  <c r="D59" i="7"/>
  <c r="N55" i="7"/>
  <c r="M55" i="7"/>
  <c r="L55" i="7"/>
  <c r="K55" i="7"/>
  <c r="J55" i="7"/>
  <c r="I55" i="7"/>
  <c r="H55" i="7"/>
  <c r="G55" i="7"/>
  <c r="F55" i="7"/>
  <c r="E55" i="7"/>
  <c r="D55" i="7"/>
  <c r="C55" i="7"/>
  <c r="N53" i="7"/>
  <c r="L53" i="7"/>
  <c r="N41" i="7"/>
  <c r="M41" i="7"/>
  <c r="L41" i="7"/>
  <c r="K41" i="7"/>
  <c r="J41" i="7"/>
  <c r="I41" i="7"/>
  <c r="H41" i="7"/>
  <c r="G41" i="7"/>
  <c r="F41" i="7"/>
  <c r="E41" i="7"/>
  <c r="D41" i="7"/>
  <c r="C41" i="7"/>
  <c r="N40" i="7"/>
  <c r="M40" i="7"/>
  <c r="L40" i="7"/>
  <c r="J40" i="7"/>
  <c r="I40" i="7"/>
  <c r="H40" i="7"/>
  <c r="G40" i="7"/>
  <c r="F40" i="7"/>
  <c r="E40" i="7"/>
  <c r="D40" i="7"/>
  <c r="C40" i="7"/>
  <c r="N39" i="7"/>
  <c r="M39" i="7"/>
  <c r="K39" i="7"/>
  <c r="J39" i="7"/>
  <c r="I39" i="7"/>
  <c r="H39" i="7"/>
  <c r="G39" i="7"/>
  <c r="F39" i="7"/>
  <c r="E39" i="7"/>
  <c r="D39" i="7"/>
  <c r="C39" i="7"/>
  <c r="N38" i="7"/>
  <c r="N44" i="7" s="1"/>
  <c r="M38" i="7"/>
  <c r="M44" i="7" s="1"/>
  <c r="L38" i="7"/>
  <c r="K38" i="7"/>
  <c r="H38" i="7"/>
  <c r="H44" i="7" s="1"/>
  <c r="G38" i="7"/>
  <c r="G44" i="7" s="1"/>
  <c r="F38" i="7"/>
  <c r="F44" i="7" s="1"/>
  <c r="D38" i="7"/>
  <c r="D44" i="7" s="1"/>
  <c r="C38" i="7"/>
  <c r="C44" i="7" s="1"/>
  <c r="N33" i="7"/>
  <c r="M33" i="7"/>
  <c r="L33" i="7"/>
  <c r="K33" i="7"/>
  <c r="I33" i="7"/>
  <c r="H33" i="7"/>
  <c r="G33" i="7"/>
  <c r="F33" i="7"/>
  <c r="E33" i="7"/>
  <c r="D33" i="7"/>
  <c r="C33" i="7"/>
  <c r="N31" i="7"/>
  <c r="M31" i="7"/>
  <c r="L31" i="7"/>
  <c r="N25" i="7"/>
  <c r="M25" i="7"/>
  <c r="L25" i="7"/>
  <c r="K25" i="7"/>
  <c r="J25" i="7"/>
  <c r="I25" i="7"/>
  <c r="H25" i="7"/>
  <c r="G25" i="7"/>
  <c r="F25" i="7"/>
  <c r="E25" i="7"/>
  <c r="D25" i="7"/>
  <c r="C25" i="7"/>
  <c r="B25" i="7"/>
  <c r="B26" i="7" s="1"/>
  <c r="B24" i="7"/>
  <c r="N23" i="7"/>
  <c r="N26" i="7" s="1"/>
  <c r="M23" i="7"/>
  <c r="M26" i="7" s="1"/>
  <c r="L23" i="7"/>
  <c r="L26" i="7" s="1"/>
  <c r="K23" i="7"/>
  <c r="K26" i="7" s="1"/>
  <c r="J23" i="7"/>
  <c r="J26" i="7" s="1"/>
  <c r="I23" i="7"/>
  <c r="I26" i="7" s="1"/>
  <c r="H23" i="7"/>
  <c r="H26" i="7" s="1"/>
  <c r="G23" i="7"/>
  <c r="G26" i="7" s="1"/>
  <c r="F23" i="7"/>
  <c r="F26" i="7" s="1"/>
  <c r="N3" i="7"/>
  <c r="M3" i="7"/>
  <c r="L3" i="7"/>
  <c r="K3" i="7"/>
  <c r="J3" i="7"/>
  <c r="I3" i="7"/>
  <c r="H3" i="7"/>
  <c r="G3" i="7"/>
  <c r="F3" i="7"/>
  <c r="E3" i="7"/>
  <c r="D3" i="7"/>
  <c r="C3" i="7"/>
  <c r="N2" i="7"/>
  <c r="M2" i="7"/>
  <c r="L2" i="7"/>
  <c r="K2" i="7"/>
  <c r="J2" i="7"/>
  <c r="I2" i="7"/>
  <c r="H2" i="7"/>
  <c r="G2" i="7"/>
  <c r="F2" i="7"/>
  <c r="E2" i="7"/>
  <c r="D2" i="7"/>
  <c r="C2" i="7"/>
  <c r="A1" i="7" a="1"/>
  <c r="A1" i="7"/>
  <c r="C23" i="6"/>
  <c r="C21" i="6"/>
  <c r="C19" i="6"/>
  <c r="C1" i="6" a="1"/>
  <c r="C1" i="6"/>
  <c r="E40" i="5"/>
  <c r="E38" i="5"/>
  <c r="A23" i="4"/>
  <c r="A21" i="4"/>
  <c r="A19" i="4"/>
  <c r="A1" i="4" a="1"/>
  <c r="A1" i="4"/>
  <c r="L4" i="2"/>
  <c r="E4" i="2"/>
  <c r="B106" i="1"/>
  <c r="B105" i="1"/>
  <c r="B104" i="1"/>
  <c r="N102" i="1"/>
  <c r="M102" i="1"/>
  <c r="L102" i="1"/>
  <c r="K102" i="1"/>
  <c r="J102" i="1"/>
  <c r="I102" i="1"/>
  <c r="H102" i="1"/>
  <c r="G102" i="1"/>
  <c r="F102" i="1"/>
  <c r="E102" i="1"/>
  <c r="D102" i="1"/>
  <c r="C102" i="1"/>
  <c r="B102" i="1"/>
  <c r="B101" i="1"/>
  <c r="N100" i="1"/>
  <c r="M100" i="1"/>
  <c r="L100" i="1"/>
  <c r="K100" i="1"/>
  <c r="J100" i="1"/>
  <c r="I100" i="1"/>
  <c r="H100" i="1"/>
  <c r="G100" i="1"/>
  <c r="F100" i="1"/>
  <c r="E100" i="1"/>
  <c r="D100" i="1"/>
  <c r="C100" i="1"/>
  <c r="B100" i="1"/>
  <c r="B99" i="1"/>
  <c r="B98" i="1"/>
  <c r="B97" i="1"/>
  <c r="B96" i="1"/>
  <c r="B95" i="1"/>
  <c r="B16" i="7" s="1"/>
  <c r="N94" i="1"/>
  <c r="N37" i="4" s="1"/>
  <c r="M94" i="1"/>
  <c r="M37" i="4" s="1"/>
  <c r="L94" i="1"/>
  <c r="L37" i="4" s="1"/>
  <c r="K94" i="1"/>
  <c r="K37" i="4" s="1"/>
  <c r="J94" i="1"/>
  <c r="J37" i="4" s="1"/>
  <c r="I94" i="1"/>
  <c r="I37" i="4" s="1"/>
  <c r="H94" i="1"/>
  <c r="H37" i="4" s="1"/>
  <c r="G94" i="1"/>
  <c r="G37" i="4" s="1"/>
  <c r="F94" i="1"/>
  <c r="F37" i="4" s="1"/>
  <c r="E94" i="1"/>
  <c r="E37" i="4" s="1"/>
  <c r="E48" i="4" s="1"/>
  <c r="D94" i="1"/>
  <c r="D37" i="4" s="1"/>
  <c r="D48" i="4" s="1"/>
  <c r="B94" i="1"/>
  <c r="B93" i="1"/>
  <c r="B91" i="1"/>
  <c r="B87" i="1"/>
  <c r="B86" i="1"/>
  <c r="N83" i="1"/>
  <c r="M83" i="1"/>
  <c r="L83" i="1"/>
  <c r="K83" i="1"/>
  <c r="J83" i="1"/>
  <c r="I83" i="1"/>
  <c r="H83" i="1"/>
  <c r="G83" i="1"/>
  <c r="F83" i="1"/>
  <c r="E83" i="1"/>
  <c r="D83" i="1"/>
  <c r="C83" i="1"/>
  <c r="B83" i="1"/>
  <c r="B82" i="1"/>
  <c r="N79" i="1"/>
  <c r="N22" i="4" s="1"/>
  <c r="M79" i="1"/>
  <c r="M22" i="4" s="1"/>
  <c r="K79" i="1"/>
  <c r="K22" i="4" s="1"/>
  <c r="J79" i="1"/>
  <c r="J22" i="4" s="1"/>
  <c r="I79" i="1"/>
  <c r="I22" i="4" s="1"/>
  <c r="H79" i="1"/>
  <c r="H22" i="4" s="1"/>
  <c r="G79" i="1"/>
  <c r="G22" i="4" s="1"/>
  <c r="F79" i="1"/>
  <c r="F22" i="4" s="1"/>
  <c r="E79" i="1"/>
  <c r="E22" i="4" s="1"/>
  <c r="E21" i="4" s="1"/>
  <c r="D79" i="1"/>
  <c r="D22" i="4" s="1"/>
  <c r="D21" i="4" s="1"/>
  <c r="C79" i="1"/>
  <c r="C22" i="4" s="1"/>
  <c r="C21" i="4" s="1"/>
  <c r="B79" i="1"/>
  <c r="I78" i="1"/>
  <c r="I20" i="4" s="1"/>
  <c r="H78" i="1"/>
  <c r="H20" i="4" s="1"/>
  <c r="B78" i="1"/>
  <c r="B77" i="1"/>
  <c r="B73" i="1"/>
  <c r="B72" i="1"/>
  <c r="B71" i="1"/>
  <c r="N68" i="1"/>
  <c r="M68" i="1"/>
  <c r="L68" i="1"/>
  <c r="H68" i="1"/>
  <c r="E68" i="1"/>
  <c r="D68" i="1"/>
  <c r="B68" i="1"/>
  <c r="N67" i="1"/>
  <c r="L67" i="1"/>
  <c r="B67" i="1"/>
  <c r="B66" i="1"/>
  <c r="N60" i="1"/>
  <c r="N8" i="7" s="1"/>
  <c r="N9" i="7" s="1"/>
  <c r="M60" i="1"/>
  <c r="M8" i="7" s="1"/>
  <c r="M9" i="7" s="1"/>
  <c r="L60" i="1"/>
  <c r="L8" i="7" s="1"/>
  <c r="L9" i="7" s="1"/>
  <c r="K60" i="1"/>
  <c r="K8" i="7" s="1"/>
  <c r="K9" i="7" s="1"/>
  <c r="J60" i="1"/>
  <c r="J8" i="7" s="1"/>
  <c r="J9" i="7" s="1"/>
  <c r="I60" i="1"/>
  <c r="I8" i="7" s="1"/>
  <c r="I9" i="7" s="1"/>
  <c r="H60" i="1"/>
  <c r="H8" i="7" s="1"/>
  <c r="H9" i="7" s="1"/>
  <c r="G60" i="1"/>
  <c r="G8" i="7" s="1"/>
  <c r="G9" i="7" s="1"/>
  <c r="F60" i="1"/>
  <c r="F8" i="7" s="1"/>
  <c r="F9" i="7" s="1"/>
  <c r="E60" i="1"/>
  <c r="E8" i="7" s="1"/>
  <c r="E9" i="7" s="1"/>
  <c r="D60" i="1"/>
  <c r="D8" i="7" s="1"/>
  <c r="D9" i="7" s="1"/>
  <c r="C60" i="1"/>
  <c r="C8" i="7" s="1"/>
  <c r="C9" i="7" s="1"/>
  <c r="B60" i="1"/>
  <c r="B8" i="7" s="1"/>
  <c r="B9" i="7" s="1"/>
  <c r="B11" i="7" s="1"/>
  <c r="B20" i="7" s="1"/>
  <c r="B59" i="1"/>
  <c r="B5" i="7" s="1"/>
  <c r="B58" i="1"/>
  <c r="B14" i="7" s="1"/>
  <c r="B56" i="1"/>
  <c r="B55" i="1"/>
  <c r="N51" i="1"/>
  <c r="N43" i="4" s="1"/>
  <c r="L43" i="36" s="1"/>
  <c r="M51" i="1"/>
  <c r="M43" i="4" s="1"/>
  <c r="K43" i="36" s="1"/>
  <c r="L51" i="1"/>
  <c r="L43" i="4" s="1"/>
  <c r="J43" i="36" s="1"/>
  <c r="K51" i="1"/>
  <c r="K43" i="4" s="1"/>
  <c r="I43" i="36" s="1"/>
  <c r="J51" i="1"/>
  <c r="J43" i="4" s="1"/>
  <c r="H43" i="36" s="1"/>
  <c r="I51" i="1"/>
  <c r="I43" i="4" s="1"/>
  <c r="G43" i="36" s="1"/>
  <c r="H51" i="1"/>
  <c r="H43" i="4" s="1"/>
  <c r="F43" i="36" s="1"/>
  <c r="G51" i="1"/>
  <c r="G43" i="4" s="1"/>
  <c r="E43" i="36" s="1"/>
  <c r="F51" i="1"/>
  <c r="F43" i="4" s="1"/>
  <c r="D43" i="36" s="1"/>
  <c r="E51" i="1"/>
  <c r="E43" i="4" s="1"/>
  <c r="D51" i="1"/>
  <c r="D43" i="4" s="1"/>
  <c r="C51" i="1"/>
  <c r="C43" i="4" s="1"/>
  <c r="B51" i="1"/>
  <c r="B50" i="1"/>
  <c r="B49" i="1"/>
  <c r="B47" i="1"/>
  <c r="B46" i="1"/>
  <c r="N43" i="1"/>
  <c r="M43" i="1"/>
  <c r="L43" i="1"/>
  <c r="K43" i="1"/>
  <c r="J43" i="1"/>
  <c r="I43" i="1"/>
  <c r="H43" i="1"/>
  <c r="G43" i="1"/>
  <c r="F43" i="1"/>
  <c r="E43" i="1"/>
  <c r="E23" i="7" s="1"/>
  <c r="E26" i="7" s="1"/>
  <c r="D43" i="1"/>
  <c r="D23" i="7" s="1"/>
  <c r="D26" i="7" s="1"/>
  <c r="C43" i="1"/>
  <c r="C23" i="7" s="1"/>
  <c r="C26" i="7" s="1"/>
  <c r="B43" i="1"/>
  <c r="B33" i="1"/>
  <c r="B32" i="1"/>
  <c r="B31" i="1"/>
  <c r="N28" i="1"/>
  <c r="N18" i="4" s="1"/>
  <c r="M28" i="1"/>
  <c r="M18" i="4" s="1"/>
  <c r="L28" i="1"/>
  <c r="L18" i="4" s="1"/>
  <c r="K28" i="1"/>
  <c r="K18" i="4" s="1"/>
  <c r="J28" i="1"/>
  <c r="J18" i="4" s="1"/>
  <c r="B28" i="1"/>
  <c r="N27" i="1"/>
  <c r="M27" i="1"/>
  <c r="L27" i="1"/>
  <c r="K27" i="1"/>
  <c r="J27" i="1"/>
  <c r="I27" i="1"/>
  <c r="H27" i="1"/>
  <c r="G27" i="1"/>
  <c r="F27" i="1"/>
  <c r="E27" i="1"/>
  <c r="D27" i="1"/>
  <c r="C27" i="1"/>
  <c r="B27" i="1"/>
  <c r="N26" i="1"/>
  <c r="M26" i="1"/>
  <c r="L26" i="1"/>
  <c r="K26" i="1"/>
  <c r="I26" i="1"/>
  <c r="H26" i="1"/>
  <c r="G26" i="1"/>
  <c r="F26" i="1"/>
  <c r="E26" i="1"/>
  <c r="D26" i="1"/>
  <c r="C26" i="1"/>
  <c r="B26" i="1"/>
  <c r="N22" i="1"/>
  <c r="M22" i="1"/>
  <c r="L22" i="1"/>
  <c r="J22" i="1"/>
  <c r="I22" i="1"/>
  <c r="H22" i="1"/>
  <c r="G22" i="1"/>
  <c r="F22" i="1"/>
  <c r="E22" i="1"/>
  <c r="D22" i="1"/>
  <c r="C22" i="1"/>
  <c r="B22" i="1"/>
  <c r="N18" i="1"/>
  <c r="N12" i="4" s="1"/>
  <c r="L12" i="36" s="1"/>
  <c r="M18" i="1"/>
  <c r="M12" i="4" s="1"/>
  <c r="K12" i="36" s="1"/>
  <c r="G18" i="1"/>
  <c r="G12" i="4" s="1"/>
  <c r="E12" i="36" s="1"/>
  <c r="F18" i="1"/>
  <c r="F12" i="4" s="1"/>
  <c r="D12" i="36" s="1"/>
  <c r="E18" i="1"/>
  <c r="E12" i="4" s="1"/>
  <c r="D18" i="1"/>
  <c r="D12" i="4" s="1"/>
  <c r="C18" i="1"/>
  <c r="C12" i="4" s="1"/>
  <c r="B18" i="1"/>
  <c r="B12" i="4" s="1"/>
  <c r="B17" i="1"/>
  <c r="B16" i="1"/>
  <c r="B15" i="1"/>
  <c r="B14" i="1"/>
  <c r="B13" i="1"/>
  <c r="B12" i="1"/>
  <c r="N11" i="1"/>
  <c r="M11" i="1"/>
  <c r="K11" i="1"/>
  <c r="J11" i="1"/>
  <c r="I11" i="1"/>
  <c r="H11" i="1"/>
  <c r="G11" i="1"/>
  <c r="F11" i="1"/>
  <c r="E11" i="1"/>
  <c r="D11" i="1"/>
  <c r="C11" i="1"/>
  <c r="B11" i="1"/>
  <c r="N10" i="1"/>
  <c r="M10" i="1"/>
  <c r="L10" i="1"/>
  <c r="B10" i="1"/>
  <c r="B7" i="1"/>
  <c r="N6" i="1"/>
  <c r="M6" i="1"/>
  <c r="L6" i="1"/>
  <c r="K6" i="1"/>
  <c r="H6" i="1"/>
  <c r="G6" i="1"/>
  <c r="F6" i="1"/>
  <c r="D6" i="1"/>
  <c r="C6" i="1"/>
  <c r="B6" i="1"/>
  <c r="B5" i="1"/>
  <c r="N2" i="1"/>
  <c r="M2" i="1"/>
  <c r="L2" i="1"/>
  <c r="K2" i="1"/>
  <c r="J2" i="1"/>
  <c r="I2" i="1"/>
  <c r="H2" i="1"/>
  <c r="G2" i="1"/>
  <c r="F2" i="1"/>
  <c r="E2" i="1"/>
  <c r="D2" i="1"/>
  <c r="C2" i="1"/>
  <c r="B2" i="1"/>
  <c r="N1" i="1"/>
  <c r="M1" i="1"/>
  <c r="L1" i="1"/>
  <c r="K1" i="1"/>
  <c r="J1" i="1"/>
  <c r="I1" i="1"/>
  <c r="H1" i="1"/>
  <c r="G1" i="1"/>
  <c r="F1" i="1"/>
  <c r="E1" i="1"/>
  <c r="D1" i="1"/>
  <c r="C1" i="1"/>
  <c r="B1" i="1"/>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L48" i="28"/>
  <c r="L50" i="28" s="1"/>
  <c r="M50" i="28" s="1"/>
  <c r="N50" i="28" s="1"/>
  <c r="O50" i="28" s="1"/>
  <c r="P50" i="28" s="1"/>
  <c r="Q50" i="28" s="1"/>
  <c r="R50" i="28" s="1"/>
  <c r="S50" i="28" s="1"/>
  <c r="T50" i="28" s="1"/>
  <c r="U50" i="28" s="1"/>
  <c r="V50" i="28" s="1"/>
  <c r="W50" i="28" s="1"/>
  <c r="O46" i="28"/>
  <c r="O52" i="28" s="1"/>
  <c r="O53" i="28" s="1"/>
  <c r="N46" i="28"/>
  <c r="N52" i="28" s="1"/>
  <c r="N53" i="28" s="1"/>
  <c r="M46" i="28"/>
  <c r="M52" i="28" s="1"/>
  <c r="M53" i="28" s="1"/>
  <c r="L46" i="28"/>
  <c r="L52" i="28" s="1"/>
  <c r="L53" i="28" s="1"/>
  <c r="Q39" i="28"/>
  <c r="R39" i="28" s="1"/>
  <c r="S39" i="28" s="1"/>
  <c r="T39" i="28" s="1"/>
  <c r="U39" i="28" s="1"/>
  <c r="T37" i="28"/>
  <c r="T46" i="28" s="1"/>
  <c r="T52" i="28" s="1"/>
  <c r="T53" i="28" s="1"/>
  <c r="S36" i="28"/>
  <c r="R36" i="28"/>
  <c r="Q36" i="28"/>
  <c r="P36" i="28"/>
  <c r="S35" i="28"/>
  <c r="S46" i="28" s="1"/>
  <c r="S52" i="28" s="1"/>
  <c r="S53" i="28" s="1"/>
  <c r="R35" i="28"/>
  <c r="R46" i="28" s="1"/>
  <c r="R52" i="28" s="1"/>
  <c r="R53" i="28" s="1"/>
  <c r="Q35" i="28"/>
  <c r="Q46" i="28" s="1"/>
  <c r="Q52" i="28" s="1"/>
  <c r="Q53" i="28" s="1"/>
  <c r="P35" i="28"/>
  <c r="P46" i="28" s="1"/>
  <c r="P52" i="28" s="1"/>
  <c r="P53" i="28" s="1"/>
  <c r="L29" i="28"/>
  <c r="W25" i="28"/>
  <c r="W31" i="28" s="1"/>
  <c r="W32" i="28" s="1"/>
  <c r="V25" i="28"/>
  <c r="V31" i="28" s="1"/>
  <c r="V32" i="28" s="1"/>
  <c r="U25" i="28"/>
  <c r="U31" i="28" s="1"/>
  <c r="U32" i="28" s="1"/>
  <c r="T25" i="28"/>
  <c r="T31" i="28" s="1"/>
  <c r="T32" i="28" s="1"/>
  <c r="S25" i="28"/>
  <c r="S31" i="28" s="1"/>
  <c r="S32" i="28" s="1"/>
  <c r="R25" i="28"/>
  <c r="R31" i="28" s="1"/>
  <c r="R32" i="28" s="1"/>
  <c r="Q25" i="28"/>
  <c r="Q31" i="28" s="1"/>
  <c r="Q32" i="28" s="1"/>
  <c r="P25" i="28"/>
  <c r="P31" i="28" s="1"/>
  <c r="P32" i="28" s="1"/>
  <c r="O25" i="28"/>
  <c r="O31" i="28" s="1"/>
  <c r="O32" i="28" s="1"/>
  <c r="N25" i="28"/>
  <c r="N31" i="28" s="1"/>
  <c r="N32" i="28" s="1"/>
  <c r="M25" i="28"/>
  <c r="M31" i="28" s="1"/>
  <c r="M32" i="28" s="1"/>
  <c r="L25" i="28"/>
  <c r="L31" i="28" s="1"/>
  <c r="L32" i="28" s="1"/>
  <c r="BB34" i="36" l="1"/>
  <c r="AG34" i="36"/>
  <c r="BA34" i="36"/>
  <c r="AF34" i="36"/>
  <c r="AZ34" i="36"/>
  <c r="AE34" i="36"/>
  <c r="AY34" i="36"/>
  <c r="AD34" i="36"/>
  <c r="AX34" i="36"/>
  <c r="AC34" i="36"/>
  <c r="AW34" i="36"/>
  <c r="AB34" i="36"/>
  <c r="AV34" i="36"/>
  <c r="AA34" i="36"/>
  <c r="AU34" i="36"/>
  <c r="Z34" i="36"/>
  <c r="AT34" i="36"/>
  <c r="Y34" i="36"/>
  <c r="BB28" i="36"/>
  <c r="AG28" i="36"/>
  <c r="BA28" i="36"/>
  <c r="AF28" i="36"/>
  <c r="AZ28" i="36"/>
  <c r="AE28" i="36"/>
  <c r="AY28" i="36"/>
  <c r="AD28" i="36"/>
  <c r="AX28" i="36"/>
  <c r="AC28" i="36"/>
  <c r="AW28" i="36"/>
  <c r="AB28" i="36"/>
  <c r="AV28" i="36"/>
  <c r="AA28" i="36"/>
  <c r="AT28" i="36"/>
  <c r="Y28" i="36"/>
  <c r="W31" i="30"/>
  <c r="W79" i="23" s="1"/>
  <c r="V31" i="30"/>
  <c r="V79" i="23" s="1"/>
  <c r="U31" i="30"/>
  <c r="U79" i="23" s="1"/>
  <c r="T31" i="30"/>
  <c r="T79" i="23" s="1"/>
  <c r="S31" i="30"/>
  <c r="S79" i="23" s="1"/>
  <c r="R31" i="30"/>
  <c r="R79" i="23" s="1"/>
  <c r="Q31" i="30"/>
  <c r="Q79" i="23" s="1"/>
  <c r="P31" i="30"/>
  <c r="P79" i="23" s="1"/>
  <c r="O31" i="30"/>
  <c r="O79" i="23" s="1"/>
  <c r="N31" i="30"/>
  <c r="N79" i="23" s="1"/>
  <c r="M31" i="30"/>
  <c r="M79" i="23" s="1"/>
  <c r="L31" i="30"/>
  <c r="L79" i="23" s="1"/>
  <c r="Q32" i="30"/>
  <c r="Q80" i="23" s="1"/>
  <c r="M32" i="30"/>
  <c r="M80" i="23" s="1"/>
  <c r="R32" i="30"/>
  <c r="R80" i="23" s="1"/>
  <c r="S32" i="30"/>
  <c r="S80" i="23" s="1"/>
  <c r="T32" i="30"/>
  <c r="T80" i="23" s="1"/>
  <c r="U32" i="30"/>
  <c r="U80" i="23" s="1"/>
  <c r="W32" i="30"/>
  <c r="W80" i="23" s="1"/>
  <c r="P32" i="30"/>
  <c r="P80" i="23" s="1"/>
  <c r="O32" i="30"/>
  <c r="O80" i="23" s="1"/>
  <c r="N32" i="30"/>
  <c r="N80" i="23" s="1"/>
  <c r="V32" i="30"/>
  <c r="V80" i="23" s="1"/>
  <c r="L32" i="30"/>
  <c r="L80" i="23" s="1"/>
  <c r="L33" i="30"/>
  <c r="L81" i="23" s="1"/>
  <c r="R33" i="30"/>
  <c r="R81" i="23" s="1"/>
  <c r="Q33" i="30"/>
  <c r="Q81" i="23" s="1"/>
  <c r="P33" i="30"/>
  <c r="P81" i="23" s="1"/>
  <c r="S33" i="30"/>
  <c r="S81" i="23" s="1"/>
  <c r="O33" i="30"/>
  <c r="O81" i="23" s="1"/>
  <c r="N33" i="30"/>
  <c r="N81" i="23" s="1"/>
  <c r="M33" i="30"/>
  <c r="M81" i="23" s="1"/>
  <c r="W33" i="30"/>
  <c r="W81" i="23" s="1"/>
  <c r="V33" i="30"/>
  <c r="V81" i="23" s="1"/>
  <c r="U33" i="30"/>
  <c r="U81" i="23" s="1"/>
  <c r="T33" i="30"/>
  <c r="T81" i="23" s="1"/>
  <c r="W50" i="33"/>
  <c r="W79" i="28" s="1"/>
  <c r="W49" i="33"/>
  <c r="W78" i="28" s="1"/>
  <c r="W26" i="23" s="1"/>
  <c r="W51" i="33"/>
  <c r="W80" i="28" s="1"/>
  <c r="W48" i="33"/>
  <c r="W77" i="28" s="1"/>
  <c r="V50" i="33"/>
  <c r="V79" i="28" s="1"/>
  <c r="V48" i="33"/>
  <c r="V77" i="28" s="1"/>
  <c r="V51" i="33"/>
  <c r="V80" i="28" s="1"/>
  <c r="V49" i="33"/>
  <c r="V78" i="28" s="1"/>
  <c r="U50" i="33"/>
  <c r="U79" i="28" s="1"/>
  <c r="U48" i="33"/>
  <c r="U77" i="28" s="1"/>
  <c r="U51" i="33"/>
  <c r="U80" i="28" s="1"/>
  <c r="U49" i="33"/>
  <c r="U78" i="28" s="1"/>
  <c r="U26" i="23" s="1"/>
  <c r="T50" i="33"/>
  <c r="T79" i="28" s="1"/>
  <c r="T49" i="33"/>
  <c r="T78" i="28" s="1"/>
  <c r="T26" i="23" s="1"/>
  <c r="T48" i="33"/>
  <c r="T77" i="28" s="1"/>
  <c r="T51" i="33"/>
  <c r="T80" i="28" s="1"/>
  <c r="S51" i="33"/>
  <c r="S80" i="28" s="1"/>
  <c r="S48" i="33"/>
  <c r="S77" i="28" s="1"/>
  <c r="S49" i="33"/>
  <c r="S78" i="28" s="1"/>
  <c r="S50" i="33"/>
  <c r="S79" i="28" s="1"/>
  <c r="R50" i="33"/>
  <c r="R79" i="28" s="1"/>
  <c r="R49" i="33"/>
  <c r="R78" i="28" s="1"/>
  <c r="R26" i="23" s="1"/>
  <c r="R48" i="33"/>
  <c r="R77" i="28" s="1"/>
  <c r="R51" i="33"/>
  <c r="R80" i="28" s="1"/>
  <c r="Q50" i="33"/>
  <c r="Q79" i="28" s="1"/>
  <c r="Q51" i="33"/>
  <c r="Q80" i="28" s="1"/>
  <c r="Q49" i="33"/>
  <c r="Q78" i="28" s="1"/>
  <c r="Q48" i="33"/>
  <c r="Q77" i="28" s="1"/>
  <c r="P50" i="33"/>
  <c r="P79" i="28" s="1"/>
  <c r="P49" i="33"/>
  <c r="P78" i="28" s="1"/>
  <c r="P26" i="23" s="1"/>
  <c r="P48" i="33"/>
  <c r="P77" i="28" s="1"/>
  <c r="P51" i="33"/>
  <c r="P80" i="28" s="1"/>
  <c r="O51" i="33"/>
  <c r="O80" i="28" s="1"/>
  <c r="O49" i="33"/>
  <c r="O78" i="28" s="1"/>
  <c r="O48" i="33"/>
  <c r="O77" i="28" s="1"/>
  <c r="O50" i="33"/>
  <c r="O79" i="28" s="1"/>
  <c r="N51" i="33"/>
  <c r="N80" i="28" s="1"/>
  <c r="N49" i="33"/>
  <c r="N78" i="28" s="1"/>
  <c r="N48" i="33"/>
  <c r="N77" i="28" s="1"/>
  <c r="N50" i="33"/>
  <c r="N79" i="28" s="1"/>
  <c r="M50" i="33"/>
  <c r="M79" i="28" s="1"/>
  <c r="M51" i="33"/>
  <c r="M80" i="28" s="1"/>
  <c r="M48" i="33"/>
  <c r="M77" i="28" s="1"/>
  <c r="M49" i="33"/>
  <c r="M78" i="28" s="1"/>
  <c r="M26" i="23" s="1"/>
  <c r="L51" i="33"/>
  <c r="L80" i="28" s="1"/>
  <c r="L49" i="33"/>
  <c r="L78" i="28" s="1"/>
  <c r="L48" i="33"/>
  <c r="L77" i="28" s="1"/>
  <c r="L50" i="33"/>
  <c r="L79" i="28" s="1"/>
  <c r="W48" i="32"/>
  <c r="W80" i="27" s="1"/>
  <c r="W45" i="32"/>
  <c r="W77" i="27" s="1"/>
  <c r="W46" i="32"/>
  <c r="W78" i="27" s="1"/>
  <c r="W47" i="32"/>
  <c r="W79" i="27" s="1"/>
  <c r="V47" i="32"/>
  <c r="V79" i="27" s="1"/>
  <c r="V48" i="32"/>
  <c r="V80" i="27" s="1"/>
  <c r="V46" i="32"/>
  <c r="V78" i="27" s="1"/>
  <c r="V27" i="23" s="1"/>
  <c r="V45" i="32"/>
  <c r="V77" i="27" s="1"/>
  <c r="U47" i="32"/>
  <c r="U79" i="27" s="1"/>
  <c r="U46" i="32"/>
  <c r="U78" i="27" s="1"/>
  <c r="U27" i="23" s="1"/>
  <c r="U48" i="32"/>
  <c r="U80" i="27" s="1"/>
  <c r="U45" i="32"/>
  <c r="U77" i="27" s="1"/>
  <c r="T48" i="32"/>
  <c r="T80" i="27" s="1"/>
  <c r="T45" i="32"/>
  <c r="T77" i="27" s="1"/>
  <c r="T47" i="32"/>
  <c r="T79" i="27" s="1"/>
  <c r="T46" i="32"/>
  <c r="T78" i="27" s="1"/>
  <c r="S45" i="32"/>
  <c r="S77" i="27" s="1"/>
  <c r="S47" i="32"/>
  <c r="S79" i="27" s="1"/>
  <c r="S46" i="32"/>
  <c r="S78" i="27" s="1"/>
  <c r="S27" i="23" s="1"/>
  <c r="S48" i="32"/>
  <c r="S80" i="27" s="1"/>
  <c r="R47" i="32"/>
  <c r="R79" i="27" s="1"/>
  <c r="R46" i="32"/>
  <c r="R78" i="27" s="1"/>
  <c r="R27" i="23" s="1"/>
  <c r="R48" i="32"/>
  <c r="R80" i="27" s="1"/>
  <c r="R45" i="32"/>
  <c r="R77" i="27" s="1"/>
  <c r="Q45" i="32"/>
  <c r="Q77" i="27" s="1"/>
  <c r="Q48" i="32"/>
  <c r="Q80" i="27" s="1"/>
  <c r="Q47" i="32"/>
  <c r="Q79" i="27" s="1"/>
  <c r="Q46" i="32"/>
  <c r="Q78" i="27" s="1"/>
  <c r="P45" i="32"/>
  <c r="P77" i="27" s="1"/>
  <c r="P48" i="32"/>
  <c r="P80" i="27" s="1"/>
  <c r="P47" i="32"/>
  <c r="P79" i="27" s="1"/>
  <c r="P46" i="32"/>
  <c r="P78" i="27" s="1"/>
  <c r="P27" i="23" s="1"/>
  <c r="O45" i="32"/>
  <c r="O77" i="27" s="1"/>
  <c r="O48" i="32"/>
  <c r="O80" i="27" s="1"/>
  <c r="O46" i="32"/>
  <c r="O78" i="27" s="1"/>
  <c r="O47" i="32"/>
  <c r="O79" i="27" s="1"/>
  <c r="N48" i="32"/>
  <c r="N80" i="27" s="1"/>
  <c r="N46" i="32"/>
  <c r="N78" i="27" s="1"/>
  <c r="N27" i="23" s="1"/>
  <c r="N47" i="32"/>
  <c r="N79" i="27" s="1"/>
  <c r="N45" i="32"/>
  <c r="N77" i="27" s="1"/>
  <c r="M46" i="32"/>
  <c r="M78" i="27" s="1"/>
  <c r="M45" i="32"/>
  <c r="M77" i="27" s="1"/>
  <c r="M47" i="32"/>
  <c r="M79" i="27" s="1"/>
  <c r="M48" i="32"/>
  <c r="M80" i="27" s="1"/>
  <c r="L45" i="32"/>
  <c r="L77" i="27" s="1"/>
  <c r="L46" i="32"/>
  <c r="L78" i="27" s="1"/>
  <c r="L27" i="23" s="1"/>
  <c r="L47" i="32"/>
  <c r="L79" i="27" s="1"/>
  <c r="L48" i="32"/>
  <c r="L80" i="27" s="1"/>
  <c r="O34" i="31"/>
  <c r="O80" i="26" s="1"/>
  <c r="O33" i="31"/>
  <c r="O79" i="26" s="1"/>
  <c r="O32" i="31"/>
  <c r="O78" i="26" s="1"/>
  <c r="O25" i="23" s="1"/>
  <c r="O31" i="31"/>
  <c r="O77" i="26" s="1"/>
  <c r="N34" i="31"/>
  <c r="N80" i="26" s="1"/>
  <c r="N32" i="31"/>
  <c r="N78" i="26" s="1"/>
  <c r="N33" i="31"/>
  <c r="N79" i="26" s="1"/>
  <c r="N31" i="31"/>
  <c r="N77" i="26" s="1"/>
  <c r="M33" i="31"/>
  <c r="M79" i="26" s="1"/>
  <c r="M34" i="31"/>
  <c r="M80" i="26" s="1"/>
  <c r="M31" i="31"/>
  <c r="M77" i="26" s="1"/>
  <c r="M32" i="31"/>
  <c r="M78" i="26" s="1"/>
  <c r="M25" i="23" s="1"/>
  <c r="L34" i="31"/>
  <c r="L80" i="26" s="1"/>
  <c r="L32" i="31"/>
  <c r="L78" i="26" s="1"/>
  <c r="L25" i="23" s="1"/>
  <c r="L33" i="31"/>
  <c r="L79" i="26" s="1"/>
  <c r="L31" i="31"/>
  <c r="L77" i="26" s="1"/>
  <c r="W34" i="31"/>
  <c r="W80" i="26" s="1"/>
  <c r="W32" i="31"/>
  <c r="W78" i="26" s="1"/>
  <c r="W31" i="31"/>
  <c r="W77" i="26" s="1"/>
  <c r="W33" i="31"/>
  <c r="W79" i="26" s="1"/>
  <c r="V31" i="31"/>
  <c r="V77" i="26" s="1"/>
  <c r="V34" i="31"/>
  <c r="V80" i="26" s="1"/>
  <c r="V33" i="31"/>
  <c r="V79" i="26" s="1"/>
  <c r="V32" i="31"/>
  <c r="V78" i="26" s="1"/>
  <c r="V25" i="23" s="1"/>
  <c r="U32" i="31"/>
  <c r="U78" i="26" s="1"/>
  <c r="U31" i="31"/>
  <c r="U77" i="26" s="1"/>
  <c r="U34" i="31"/>
  <c r="U80" i="26" s="1"/>
  <c r="U33" i="31"/>
  <c r="U79" i="26" s="1"/>
  <c r="T31" i="31"/>
  <c r="T77" i="26" s="1"/>
  <c r="T34" i="31"/>
  <c r="T80" i="26" s="1"/>
  <c r="T33" i="31"/>
  <c r="T79" i="26" s="1"/>
  <c r="T32" i="31"/>
  <c r="T78" i="26" s="1"/>
  <c r="T25" i="23" s="1"/>
  <c r="S31" i="31"/>
  <c r="S77" i="26" s="1"/>
  <c r="S34" i="31"/>
  <c r="S80" i="26" s="1"/>
  <c r="S33" i="31"/>
  <c r="S79" i="26" s="1"/>
  <c r="S32" i="31"/>
  <c r="S78" i="26" s="1"/>
  <c r="S25" i="23" s="1"/>
  <c r="R32" i="31"/>
  <c r="R78" i="26" s="1"/>
  <c r="R31" i="31"/>
  <c r="R77" i="26" s="1"/>
  <c r="R33" i="31"/>
  <c r="R79" i="26" s="1"/>
  <c r="R34" i="31"/>
  <c r="R80" i="26" s="1"/>
  <c r="Q34" i="31"/>
  <c r="Q80" i="26" s="1"/>
  <c r="Q33" i="31"/>
  <c r="Q79" i="26" s="1"/>
  <c r="Q32" i="31"/>
  <c r="Q78" i="26" s="1"/>
  <c r="Q31" i="31"/>
  <c r="Q77" i="26" s="1"/>
  <c r="P31" i="31"/>
  <c r="P77" i="26" s="1"/>
  <c r="P34" i="31"/>
  <c r="P80" i="26" s="1"/>
  <c r="P33" i="31"/>
  <c r="P79" i="26" s="1"/>
  <c r="P32" i="31"/>
  <c r="P78" i="26" s="1"/>
  <c r="P25" i="23" s="1"/>
  <c r="W72" i="27"/>
  <c r="W73" i="27"/>
  <c r="W68" i="27"/>
  <c r="V72" i="27"/>
  <c r="V68" i="27"/>
  <c r="V73" i="27"/>
  <c r="U72" i="27"/>
  <c r="U73" i="27"/>
  <c r="U68" i="27"/>
  <c r="T72" i="27"/>
  <c r="T73" i="27"/>
  <c r="S72" i="27"/>
  <c r="S73" i="27"/>
  <c r="R73" i="27"/>
  <c r="R72" i="27"/>
  <c r="Q72" i="27"/>
  <c r="Q73" i="27"/>
  <c r="P72" i="27"/>
  <c r="P73" i="27"/>
  <c r="O72" i="27"/>
  <c r="O68" i="27"/>
  <c r="O73" i="27"/>
  <c r="N68" i="27"/>
  <c r="N72" i="27"/>
  <c r="N73" i="27"/>
  <c r="M72" i="27"/>
  <c r="M68" i="27"/>
  <c r="M73" i="27"/>
  <c r="L68" i="27"/>
  <c r="L73" i="27"/>
  <c r="L72" i="27"/>
  <c r="L74" i="27" s="1"/>
  <c r="V57" i="27"/>
  <c r="V58" i="27" s="1"/>
  <c r="V69" i="27" s="1"/>
  <c r="V70" i="27" s="1"/>
  <c r="P58" i="27"/>
  <c r="P69" i="27" s="1"/>
  <c r="U57" i="27"/>
  <c r="U58" i="27" s="1"/>
  <c r="U69" i="27" s="1"/>
  <c r="U70" i="27" s="1"/>
  <c r="O58" i="27"/>
  <c r="N58" i="27"/>
  <c r="T57" i="27"/>
  <c r="T58" i="27" s="1"/>
  <c r="T69" i="27" s="1"/>
  <c r="S57" i="27"/>
  <c r="S58" i="27" s="1"/>
  <c r="S69" i="27" s="1"/>
  <c r="M58" i="27"/>
  <c r="R57" i="27"/>
  <c r="R58" i="27" s="1"/>
  <c r="R69" i="27" s="1"/>
  <c r="L58" i="27"/>
  <c r="R14" i="27"/>
  <c r="R25" i="27" s="1"/>
  <c r="R31" i="27" s="1"/>
  <c r="Q14" i="27"/>
  <c r="Q25" i="27" s="1"/>
  <c r="Q31" i="27" s="1"/>
  <c r="P14" i="27"/>
  <c r="T14" i="27" s="1"/>
  <c r="T25" i="27" s="1"/>
  <c r="T31" i="27" s="1"/>
  <c r="S14" i="27"/>
  <c r="S25" i="27" s="1"/>
  <c r="S31" i="27" s="1"/>
  <c r="P25" i="27"/>
  <c r="P31" i="27" s="1"/>
  <c r="T12" i="27"/>
  <c r="W72" i="26"/>
  <c r="S73" i="26"/>
  <c r="R73" i="26"/>
  <c r="Q73" i="26"/>
  <c r="P73" i="26"/>
  <c r="O73" i="26"/>
  <c r="N73" i="26"/>
  <c r="N68" i="26"/>
  <c r="N72" i="26"/>
  <c r="M73" i="26"/>
  <c r="M72" i="26"/>
  <c r="M68" i="26"/>
  <c r="L72" i="26"/>
  <c r="L74" i="26" s="1"/>
  <c r="L73" i="26"/>
  <c r="L68" i="26"/>
  <c r="V57" i="26"/>
  <c r="V58" i="26" s="1"/>
  <c r="V69" i="26" s="1"/>
  <c r="P58" i="26"/>
  <c r="P69" i="26" s="1"/>
  <c r="O58" i="26"/>
  <c r="O69" i="26" s="1"/>
  <c r="U57" i="26"/>
  <c r="U58" i="26" s="1"/>
  <c r="U69" i="26" s="1"/>
  <c r="N58" i="26"/>
  <c r="T57" i="26"/>
  <c r="T58" i="26" s="1"/>
  <c r="T69" i="26" s="1"/>
  <c r="M58" i="26"/>
  <c r="S57" i="26"/>
  <c r="S58" i="26" s="1"/>
  <c r="S69" i="26" s="1"/>
  <c r="L58" i="26"/>
  <c r="R57" i="26"/>
  <c r="R58" i="26" s="1"/>
  <c r="R69" i="26" s="1"/>
  <c r="O27" i="26"/>
  <c r="O72" i="26" s="1"/>
  <c r="P9" i="26"/>
  <c r="Q7" i="26"/>
  <c r="T6" i="26"/>
  <c r="E13" i="25"/>
  <c r="E18" i="25" s="1"/>
  <c r="L6" i="25"/>
  <c r="M52" i="23"/>
  <c r="M59" i="23" s="1"/>
  <c r="M9" i="25" s="1"/>
  <c r="N5" i="24"/>
  <c r="U35" i="23"/>
  <c r="T30" i="23"/>
  <c r="C78" i="1"/>
  <c r="C20" i="4" s="1"/>
  <c r="C19" i="4" s="1"/>
  <c r="D33" i="21"/>
  <c r="N26" i="21"/>
  <c r="N36" i="1"/>
  <c r="N34" i="7" s="1"/>
  <c r="M36" i="1"/>
  <c r="M34" i="7" s="1"/>
  <c r="M26" i="21"/>
  <c r="K36" i="1"/>
  <c r="K34" i="7" s="1"/>
  <c r="K26" i="21"/>
  <c r="J26" i="21"/>
  <c r="J36" i="1"/>
  <c r="J34" i="7" s="1"/>
  <c r="I36" i="1"/>
  <c r="I34" i="7" s="1"/>
  <c r="I26" i="21"/>
  <c r="H36" i="1"/>
  <c r="H34" i="7" s="1"/>
  <c r="H26" i="21"/>
  <c r="G36" i="1"/>
  <c r="G34" i="7" s="1"/>
  <c r="G26" i="21"/>
  <c r="F36" i="1"/>
  <c r="F34" i="7" s="1"/>
  <c r="F26" i="21"/>
  <c r="E36" i="1"/>
  <c r="E34" i="7" s="1"/>
  <c r="E26" i="21"/>
  <c r="D26" i="21"/>
  <c r="D36" i="1"/>
  <c r="D34" i="7" s="1"/>
  <c r="C36" i="1"/>
  <c r="C34" i="7" s="1"/>
  <c r="C26" i="21"/>
  <c r="R28" i="21"/>
  <c r="S28" i="21" s="1"/>
  <c r="Q29" i="21"/>
  <c r="Q26" i="21"/>
  <c r="Q27" i="21" s="1"/>
  <c r="Q30" i="21" s="1"/>
  <c r="Q31" i="21" s="1"/>
  <c r="G70" i="20"/>
  <c r="G69" i="20" s="1"/>
  <c r="G63" i="20"/>
  <c r="H68" i="20"/>
  <c r="G64" i="20"/>
  <c r="D48" i="20" s="1"/>
  <c r="F65" i="20"/>
  <c r="C60" i="20" s="1"/>
  <c r="C28" i="1" s="1"/>
  <c r="C18" i="4" s="1"/>
  <c r="C17" i="4" s="1"/>
  <c r="H44" i="20"/>
  <c r="F38" i="20"/>
  <c r="F42" i="20" s="1"/>
  <c r="G34" i="20"/>
  <c r="F102" i="19"/>
  <c r="F89" i="19"/>
  <c r="F94" i="19" s="1"/>
  <c r="F42" i="19" s="1"/>
  <c r="F46" i="19" s="1"/>
  <c r="F51" i="19" s="1"/>
  <c r="F58" i="19" s="1"/>
  <c r="F62" i="19" s="1"/>
  <c r="D66" i="19"/>
  <c r="E64" i="19"/>
  <c r="N41" i="19"/>
  <c r="N46" i="19" s="1"/>
  <c r="N51" i="19" s="1"/>
  <c r="N58" i="19" s="1"/>
  <c r="N62" i="19" s="1"/>
  <c r="M46" i="19"/>
  <c r="M51" i="19" s="1"/>
  <c r="M58" i="19" s="1"/>
  <c r="M62" i="19" s="1"/>
  <c r="K46" i="19"/>
  <c r="L3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B29" i="19"/>
  <c r="B21" i="1"/>
  <c r="N9" i="19"/>
  <c r="N15" i="19" s="1"/>
  <c r="N20" i="19" s="1"/>
  <c r="N10" i="19"/>
  <c r="M9" i="19"/>
  <c r="M15" i="19" s="1"/>
  <c r="M20" i="19" s="1"/>
  <c r="M10" i="19"/>
  <c r="K10" i="19"/>
  <c r="K11" i="19" s="1"/>
  <c r="L11" i="19" s="1"/>
  <c r="M11" i="19" s="1"/>
  <c r="N11" i="19" s="1"/>
  <c r="K24" i="19"/>
  <c r="K27" i="19" s="1"/>
  <c r="H124" i="18"/>
  <c r="G123" i="18"/>
  <c r="Q120" i="18"/>
  <c r="Q119" i="18" s="1"/>
  <c r="Q131" i="18"/>
  <c r="Q130" i="18"/>
  <c r="P120" i="18"/>
  <c r="P119" i="18" s="1"/>
  <c r="P130" i="18"/>
  <c r="P131" i="18"/>
  <c r="O120" i="18"/>
  <c r="O119" i="18" s="1"/>
  <c r="O130" i="18"/>
  <c r="O131" i="18"/>
  <c r="N130" i="18"/>
  <c r="N131" i="18"/>
  <c r="N120" i="18"/>
  <c r="N119" i="18" s="1"/>
  <c r="M131" i="18"/>
  <c r="M130" i="18"/>
  <c r="M120" i="18"/>
  <c r="M119" i="18" s="1"/>
  <c r="L130" i="18"/>
  <c r="L131" i="18"/>
  <c r="L120" i="18"/>
  <c r="L119" i="18" s="1"/>
  <c r="K130" i="18"/>
  <c r="K131" i="18"/>
  <c r="K120" i="18"/>
  <c r="K119" i="18" s="1"/>
  <c r="J130" i="18"/>
  <c r="J131" i="18"/>
  <c r="J120" i="18"/>
  <c r="J119" i="18" s="1"/>
  <c r="I130" i="18"/>
  <c r="I131" i="18"/>
  <c r="I120" i="18"/>
  <c r="I119" i="18" s="1"/>
  <c r="H129" i="18"/>
  <c r="H130" i="18"/>
  <c r="H131" i="18"/>
  <c r="H120" i="18"/>
  <c r="H119" i="18" s="1"/>
  <c r="G130" i="18"/>
  <c r="G131" i="18"/>
  <c r="G120" i="18"/>
  <c r="G119" i="18" s="1"/>
  <c r="G129" i="18"/>
  <c r="G128" i="18" s="1"/>
  <c r="G132" i="18" s="1"/>
  <c r="F129" i="18"/>
  <c r="F130" i="18"/>
  <c r="F131" i="18"/>
  <c r="F120" i="18"/>
  <c r="F119" i="18" s="1"/>
  <c r="H112" i="18"/>
  <c r="G62" i="18"/>
  <c r="H113" i="18"/>
  <c r="G109" i="18"/>
  <c r="G113" i="18"/>
  <c r="G61" i="18" s="1"/>
  <c r="G82" i="18" s="1"/>
  <c r="F113" i="18"/>
  <c r="G96" i="18"/>
  <c r="E101" i="18"/>
  <c r="F95" i="18"/>
  <c r="L64" i="18"/>
  <c r="H18" i="1"/>
  <c r="H12" i="4" s="1"/>
  <c r="F12" i="36" s="1"/>
  <c r="N51" i="18"/>
  <c r="M52" i="18"/>
  <c r="K45" i="18"/>
  <c r="J49" i="18"/>
  <c r="J54" i="18" s="1"/>
  <c r="N9" i="18"/>
  <c r="N10" i="18"/>
  <c r="Q40" i="18"/>
  <c r="Q41" i="18" s="1"/>
  <c r="Q44" i="18" s="1"/>
  <c r="Q49" i="18" s="1"/>
  <c r="Q54" i="18" s="1"/>
  <c r="Q37" i="18"/>
  <c r="P40" i="18"/>
  <c r="P41" i="18" s="1"/>
  <c r="P44" i="18" s="1"/>
  <c r="O40" i="18"/>
  <c r="O41" i="18" s="1"/>
  <c r="O44" i="18" s="1"/>
  <c r="O37" i="18" s="1"/>
  <c r="M40" i="18"/>
  <c r="M41" i="18" s="1"/>
  <c r="M8" i="18"/>
  <c r="L40" i="18"/>
  <c r="L41" i="18" s="1"/>
  <c r="L8" i="18"/>
  <c r="K40" i="18"/>
  <c r="K41" i="18" s="1"/>
  <c r="K8" i="18"/>
  <c r="J40" i="18"/>
  <c r="J8" i="18"/>
  <c r="I8" i="18"/>
  <c r="I40" i="18"/>
  <c r="H8" i="18"/>
  <c r="H40" i="18"/>
  <c r="G8" i="18"/>
  <c r="G40" i="18"/>
  <c r="F8" i="18"/>
  <c r="F40" i="18"/>
  <c r="K73" i="17"/>
  <c r="K78" i="17" s="1"/>
  <c r="K37" i="17" s="1"/>
  <c r="K40" i="17" s="1"/>
  <c r="K45" i="17" s="1"/>
  <c r="K53" i="17" s="1"/>
  <c r="L69" i="17"/>
  <c r="N33" i="17"/>
  <c r="N40" i="17" s="1"/>
  <c r="N45" i="17" s="1"/>
  <c r="K56" i="17"/>
  <c r="K61" i="17" s="1"/>
  <c r="K33" i="1"/>
  <c r="K16" i="4" s="1"/>
  <c r="J56" i="17"/>
  <c r="J61" i="17" s="1"/>
  <c r="J33" i="1"/>
  <c r="J16" i="4" s="1"/>
  <c r="I56" i="17"/>
  <c r="I61" i="17" s="1"/>
  <c r="I33" i="1"/>
  <c r="I16" i="4" s="1"/>
  <c r="H56" i="17"/>
  <c r="H61" i="17" s="1"/>
  <c r="H33" i="1"/>
  <c r="H16" i="4" s="1"/>
  <c r="G56" i="17"/>
  <c r="G61" i="17" s="1"/>
  <c r="G33" i="1"/>
  <c r="G16" i="4" s="1"/>
  <c r="F56" i="17"/>
  <c r="F61" i="17" s="1"/>
  <c r="F33" i="1"/>
  <c r="F16" i="4" s="1"/>
  <c r="E56" i="17"/>
  <c r="E61" i="17" s="1"/>
  <c r="E33" i="1"/>
  <c r="E16" i="4" s="1"/>
  <c r="E15" i="4" s="1"/>
  <c r="D56" i="17"/>
  <c r="D61" i="17" s="1"/>
  <c r="D33" i="1"/>
  <c r="D16" i="4" s="1"/>
  <c r="D15" i="4" s="1"/>
  <c r="C56" i="17"/>
  <c r="C61" i="17" s="1"/>
  <c r="C33" i="1"/>
  <c r="C16" i="4" s="1"/>
  <c r="C15" i="4" s="1"/>
  <c r="N31" i="1"/>
  <c r="N35" i="7" s="1"/>
  <c r="N26" i="17"/>
  <c r="M31" i="1"/>
  <c r="M35" i="7" s="1"/>
  <c r="M26" i="17"/>
  <c r="L31" i="1"/>
  <c r="L35" i="7" s="1"/>
  <c r="L26" i="17"/>
  <c r="K26" i="17"/>
  <c r="K31" i="1"/>
  <c r="K35" i="7" s="1"/>
  <c r="J26" i="17"/>
  <c r="J31" i="1"/>
  <c r="J35" i="7" s="1"/>
  <c r="I31" i="1"/>
  <c r="I35" i="7" s="1"/>
  <c r="I26" i="17"/>
  <c r="H31" i="1"/>
  <c r="H35" i="7" s="1"/>
  <c r="H26" i="17"/>
  <c r="G26" i="17"/>
  <c r="G31" i="1"/>
  <c r="G35" i="7" s="1"/>
  <c r="E26" i="17"/>
  <c r="E31" i="1"/>
  <c r="E35" i="7" s="1"/>
  <c r="D26" i="17"/>
  <c r="D31" i="1"/>
  <c r="D35" i="7" s="1"/>
  <c r="C26" i="17"/>
  <c r="C31" i="1"/>
  <c r="C35" i="7" s="1"/>
  <c r="F26" i="17"/>
  <c r="F31" i="1"/>
  <c r="F35" i="7" s="1"/>
  <c r="C73" i="16"/>
  <c r="C74" i="16"/>
  <c r="C78" i="16" s="1"/>
  <c r="H69" i="16"/>
  <c r="H70" i="16"/>
  <c r="E75" i="16"/>
  <c r="D78" i="16"/>
  <c r="D83" i="16" s="1"/>
  <c r="E48" i="16"/>
  <c r="J39" i="16"/>
  <c r="K39" i="16" s="1"/>
  <c r="L39" i="16" s="1"/>
  <c r="M39" i="16" s="1"/>
  <c r="N39" i="16" s="1"/>
  <c r="G39" i="16"/>
  <c r="H39" i="16" s="1"/>
  <c r="I39" i="16" s="1"/>
  <c r="F45" i="16"/>
  <c r="G45" i="16"/>
  <c r="H37" i="16"/>
  <c r="C96" i="1"/>
  <c r="C24" i="7" s="1"/>
  <c r="D32" i="16"/>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K28" i="16" s="1"/>
  <c r="N9" i="16"/>
  <c r="N12" i="16" s="1"/>
  <c r="N17" i="16" s="1"/>
  <c r="N10" i="16"/>
  <c r="K37" i="16"/>
  <c r="J45" i="16"/>
  <c r="J60" i="16" s="1"/>
  <c r="E4" i="15"/>
  <c r="D8" i="15"/>
  <c r="D39" i="14"/>
  <c r="F37" i="14"/>
  <c r="G37" i="14" s="1"/>
  <c r="H37" i="14" s="1"/>
  <c r="I37" i="14" s="1"/>
  <c r="J37" i="14" s="1"/>
  <c r="K37" i="14" s="1"/>
  <c r="L37" i="14" s="1"/>
  <c r="M37" i="14" s="1"/>
  <c r="N37" i="14" s="1"/>
  <c r="C19" i="13"/>
  <c r="AD30" i="36"/>
  <c r="AY30" i="36"/>
  <c r="AC30" i="36"/>
  <c r="AX30" i="36"/>
  <c r="AB30" i="36"/>
  <c r="AW30" i="36"/>
  <c r="AA30" i="36"/>
  <c r="AV30" i="36"/>
  <c r="Z30" i="36"/>
  <c r="AU30" i="36"/>
  <c r="Y30" i="36"/>
  <c r="AT30" i="36"/>
  <c r="L35" i="14"/>
  <c r="L91" i="1" s="1"/>
  <c r="L30" i="4" s="1"/>
  <c r="J30" i="36" s="1"/>
  <c r="M34" i="14"/>
  <c r="L32" i="14"/>
  <c r="L79" i="1"/>
  <c r="L22" i="4" s="1"/>
  <c r="W18" i="13"/>
  <c r="X18" i="13"/>
  <c r="Z18" i="13" s="1"/>
  <c r="AB18" i="13" s="1"/>
  <c r="AD18" i="13" s="1"/>
  <c r="AE3" i="13"/>
  <c r="AC3" i="13"/>
  <c r="AA3" i="13"/>
  <c r="Y3" i="13"/>
  <c r="W3" i="13"/>
  <c r="U3" i="13"/>
  <c r="S3" i="13"/>
  <c r="R17" i="13"/>
  <c r="R12" i="13"/>
  <c r="T12" i="13" s="1"/>
  <c r="V12" i="13" s="1"/>
  <c r="X12" i="13" s="1"/>
  <c r="Z12" i="13" s="1"/>
  <c r="AB12" i="13" s="1"/>
  <c r="AD12" i="13" s="1"/>
  <c r="Q3" i="13"/>
  <c r="P14" i="13"/>
  <c r="R14" i="13" s="1"/>
  <c r="T14" i="13" s="1"/>
  <c r="V14" i="13" s="1"/>
  <c r="P5" i="13"/>
  <c r="R5" i="13" s="1"/>
  <c r="T5" i="13" s="1"/>
  <c r="V5" i="13" s="1"/>
  <c r="X5" i="13" s="1"/>
  <c r="Z5" i="13" s="1"/>
  <c r="AB5" i="13" s="1"/>
  <c r="AD5" i="13" s="1"/>
  <c r="N13" i="13"/>
  <c r="P13" i="13" s="1"/>
  <c r="N11" i="13"/>
  <c r="P11" i="13" s="1"/>
  <c r="R11" i="13" s="1"/>
  <c r="T11" i="13" s="1"/>
  <c r="V11" i="13" s="1"/>
  <c r="O3" i="13"/>
  <c r="M3" i="13"/>
  <c r="K3" i="13"/>
  <c r="I3" i="13"/>
  <c r="H14" i="13"/>
  <c r="J14" i="13" s="1"/>
  <c r="L14" i="13" s="1"/>
  <c r="N14" i="13" s="1"/>
  <c r="H13" i="13"/>
  <c r="J13" i="13" s="1"/>
  <c r="L13" i="13" s="1"/>
  <c r="H5" i="13"/>
  <c r="J5" i="13" s="1"/>
  <c r="L5" i="13" s="1"/>
  <c r="N5" i="13" s="1"/>
  <c r="H11" i="13"/>
  <c r="J11" i="13" s="1"/>
  <c r="L11" i="13" s="1"/>
  <c r="H10" i="13"/>
  <c r="J10" i="13" s="1"/>
  <c r="L10" i="13" s="1"/>
  <c r="N10" i="13" s="1"/>
  <c r="P10" i="13" s="1"/>
  <c r="R10" i="13" s="1"/>
  <c r="T10" i="13" s="1"/>
  <c r="V10" i="13" s="1"/>
  <c r="H15" i="13"/>
  <c r="J15" i="13" s="1"/>
  <c r="L15" i="13" s="1"/>
  <c r="N15" i="13" s="1"/>
  <c r="H8" i="13"/>
  <c r="J8" i="13" s="1"/>
  <c r="L8" i="13" s="1"/>
  <c r="N8" i="13" s="1"/>
  <c r="P8" i="13" s="1"/>
  <c r="R8" i="13" s="1"/>
  <c r="T8" i="13" s="1"/>
  <c r="V8" i="13" s="1"/>
  <c r="X8" i="13" s="1"/>
  <c r="Z8" i="13" s="1"/>
  <c r="AB8" i="13" s="1"/>
  <c r="AD8" i="13" s="1"/>
  <c r="H6" i="13"/>
  <c r="J6" i="13" s="1"/>
  <c r="L6" i="13" s="1"/>
  <c r="N6" i="13" s="1"/>
  <c r="P6" i="13" s="1"/>
  <c r="R6" i="13" s="1"/>
  <c r="T6" i="13" s="1"/>
  <c r="V6" i="13" s="1"/>
  <c r="X6" i="13" s="1"/>
  <c r="Z6" i="13" s="1"/>
  <c r="AB6" i="13" s="1"/>
  <c r="AD6" i="13" s="1"/>
  <c r="H9" i="13"/>
  <c r="J9" i="13" s="1"/>
  <c r="L9" i="13" s="1"/>
  <c r="N9" i="13" s="1"/>
  <c r="P9" i="13" s="1"/>
  <c r="R9" i="13" s="1"/>
  <c r="T9" i="13" s="1"/>
  <c r="V9" i="13" s="1"/>
  <c r="X9" i="13" s="1"/>
  <c r="Z9" i="13" s="1"/>
  <c r="AB9" i="13" s="1"/>
  <c r="AD9" i="13" s="1"/>
  <c r="H18" i="13"/>
  <c r="J18" i="13" s="1"/>
  <c r="L18" i="13" s="1"/>
  <c r="H12" i="13"/>
  <c r="J12" i="13" s="1"/>
  <c r="L12" i="13" s="1"/>
  <c r="N12" i="13" s="1"/>
  <c r="H17" i="13"/>
  <c r="J17" i="13" s="1"/>
  <c r="L17" i="13" s="1"/>
  <c r="N17" i="13" s="1"/>
  <c r="P17" i="13" s="1"/>
  <c r="H16" i="13"/>
  <c r="J16" i="13" s="1"/>
  <c r="L16" i="13" s="1"/>
  <c r="N16" i="13" s="1"/>
  <c r="P16" i="13" s="1"/>
  <c r="R16" i="13" s="1"/>
  <c r="H7" i="13"/>
  <c r="J7" i="13" s="1"/>
  <c r="L7" i="13" s="1"/>
  <c r="N7" i="13" s="1"/>
  <c r="AF2" i="12"/>
  <c r="AE39" i="12" a="1"/>
  <c r="AE39" i="12" s="1"/>
  <c r="AC39" i="12" a="1"/>
  <c r="AC39" i="12" s="1"/>
  <c r="AD2" i="12"/>
  <c r="AA39" i="12" a="1"/>
  <c r="AA39" i="12" s="1"/>
  <c r="M67" i="1" s="1"/>
  <c r="M53" i="7" s="1"/>
  <c r="AB2" i="12"/>
  <c r="Y39" i="12" a="1"/>
  <c r="Y39" i="12" s="1"/>
  <c r="K67" i="1" s="1"/>
  <c r="K53" i="7" s="1"/>
  <c r="Z2" i="12"/>
  <c r="X2" i="12"/>
  <c r="W39" i="12" a="1"/>
  <c r="W39" i="12" s="1"/>
  <c r="J67" i="1" s="1"/>
  <c r="J53" i="7" s="1"/>
  <c r="U39" i="12" a="1"/>
  <c r="U39" i="12" s="1"/>
  <c r="I67" i="1" s="1"/>
  <c r="I53" i="7" s="1"/>
  <c r="V2" i="12"/>
  <c r="S10" i="12"/>
  <c r="U10" i="12" s="1"/>
  <c r="W10" i="12" s="1"/>
  <c r="Y10" i="12" s="1"/>
  <c r="AA10" i="12" s="1"/>
  <c r="AC10" i="12" s="1"/>
  <c r="AE10" i="12" s="1"/>
  <c r="S16" i="12"/>
  <c r="U16" i="12" s="1"/>
  <c r="W16" i="12" s="1"/>
  <c r="Y16" i="12" s="1"/>
  <c r="AA16" i="12" s="1"/>
  <c r="AC16" i="12" s="1"/>
  <c r="AE16" i="12" s="1"/>
  <c r="S21" i="12"/>
  <c r="U21" i="12" s="1"/>
  <c r="W21" i="12" s="1"/>
  <c r="Y21" i="12" s="1"/>
  <c r="S39" i="12" a="1"/>
  <c r="S39" i="12" s="1"/>
  <c r="H67" i="1" s="1"/>
  <c r="H53" i="7" s="1"/>
  <c r="S11" i="12"/>
  <c r="U11" i="12" s="1"/>
  <c r="W11" i="12" s="1"/>
  <c r="Y11" i="12" s="1"/>
  <c r="AA11" i="12" s="1"/>
  <c r="AC11" i="12" s="1"/>
  <c r="AE11" i="12" s="1"/>
  <c r="S15" i="12"/>
  <c r="U15" i="12" s="1"/>
  <c r="W15" i="12" s="1"/>
  <c r="Y15" i="12" s="1"/>
  <c r="AA15" i="12" s="1"/>
  <c r="AC15" i="12" s="1"/>
  <c r="AE15" i="12" s="1"/>
  <c r="T2" i="12"/>
  <c r="Q18" i="12"/>
  <c r="S18" i="12" s="1"/>
  <c r="U18" i="12" s="1"/>
  <c r="Q39" i="12" a="1"/>
  <c r="Q39" i="12" s="1"/>
  <c r="G67" i="1" s="1"/>
  <c r="G53" i="7" s="1"/>
  <c r="R2" i="12"/>
  <c r="O5" i="12"/>
  <c r="Q5" i="12" s="1"/>
  <c r="S5" i="12" s="1"/>
  <c r="U5" i="12" s="1"/>
  <c r="W5" i="12" s="1"/>
  <c r="P2" i="12"/>
  <c r="O8" i="12"/>
  <c r="Q8" i="12" s="1"/>
  <c r="S8" i="12" s="1"/>
  <c r="U8" i="12" s="1"/>
  <c r="W8" i="12" s="1"/>
  <c r="Y8" i="12" s="1"/>
  <c r="AA8" i="12" s="1"/>
  <c r="AC8" i="12" s="1"/>
  <c r="AE8" i="12" s="1"/>
  <c r="O9" i="12"/>
  <c r="Q9" i="12" s="1"/>
  <c r="S9" i="12" s="1"/>
  <c r="U9" i="12" s="1"/>
  <c r="W9" i="12" s="1"/>
  <c r="Y9" i="12" s="1"/>
  <c r="AA9" i="12" s="1"/>
  <c r="AC9" i="12" s="1"/>
  <c r="AE9" i="12" s="1"/>
  <c r="O7" i="12"/>
  <c r="Q7" i="12" s="1"/>
  <c r="S7" i="12" s="1"/>
  <c r="U7" i="12" s="1"/>
  <c r="W7" i="12" s="1"/>
  <c r="Y7" i="12" s="1"/>
  <c r="AA7" i="12" s="1"/>
  <c r="AC7" i="12" s="1"/>
  <c r="AE7" i="12" s="1"/>
  <c r="O17" i="12"/>
  <c r="Q17" i="12" s="1"/>
  <c r="S17" i="12" s="1"/>
  <c r="U17" i="12" s="1"/>
  <c r="O19" i="12"/>
  <c r="Q19" i="12" s="1"/>
  <c r="S19" i="12" s="1"/>
  <c r="U19" i="12" s="1"/>
  <c r="W19" i="12" s="1"/>
  <c r="O39" i="12" a="1"/>
  <c r="O39" i="12" s="1"/>
  <c r="F67" i="1" s="1"/>
  <c r="F53" i="7" s="1"/>
  <c r="N2" i="12"/>
  <c r="M39" i="12" a="1"/>
  <c r="M39" i="12" s="1"/>
  <c r="E67" i="1" s="1"/>
  <c r="E53" i="7" s="1"/>
  <c r="K9" i="12"/>
  <c r="K21" i="12"/>
  <c r="M21" i="12" s="1"/>
  <c r="O21" i="12" s="1"/>
  <c r="Q21" i="12" s="1"/>
  <c r="R21" i="12" s="1"/>
  <c r="K18" i="12"/>
  <c r="M18" i="12" s="1"/>
  <c r="O18" i="12" s="1"/>
  <c r="K24" i="12"/>
  <c r="M24" i="12" s="1"/>
  <c r="O24" i="12" s="1"/>
  <c r="Q24" i="12" s="1"/>
  <c r="L2" i="12"/>
  <c r="K39" i="12" a="1"/>
  <c r="K39" i="12" s="1"/>
  <c r="D67" i="1" s="1"/>
  <c r="D53" i="7" s="1"/>
  <c r="K25" i="12"/>
  <c r="M25" i="12" s="1"/>
  <c r="O25" i="12" s="1"/>
  <c r="Q25" i="12" s="1"/>
  <c r="K16" i="12"/>
  <c r="M16" i="12" s="1"/>
  <c r="O16" i="12" s="1"/>
  <c r="K17" i="12"/>
  <c r="M17" i="12" s="1"/>
  <c r="K26" i="12"/>
  <c r="M26" i="12" s="1"/>
  <c r="O26" i="12" s="1"/>
  <c r="Q26" i="12" s="1"/>
  <c r="S26" i="12" s="1"/>
  <c r="U26" i="12" s="1"/>
  <c r="W26" i="12" s="1"/>
  <c r="Y26" i="12" s="1"/>
  <c r="J2" i="12"/>
  <c r="I7" i="12"/>
  <c r="K7" i="12" s="1"/>
  <c r="I15" i="12"/>
  <c r="K15" i="12" s="1"/>
  <c r="M15" i="12" s="1"/>
  <c r="O15" i="12" s="1"/>
  <c r="I22" i="12"/>
  <c r="K22" i="12" s="1"/>
  <c r="M22" i="12" s="1"/>
  <c r="O22" i="12" s="1"/>
  <c r="Q22" i="12" s="1"/>
  <c r="I29" i="12"/>
  <c r="K29" i="12" s="1"/>
  <c r="M29" i="12" s="1"/>
  <c r="O29" i="12" s="1"/>
  <c r="Q29" i="12" s="1"/>
  <c r="I8" i="12"/>
  <c r="K8" i="12" s="1"/>
  <c r="I6" i="12"/>
  <c r="K6" i="12" s="1"/>
  <c r="M6" i="12" s="1"/>
  <c r="O6" i="12" s="1"/>
  <c r="Q6" i="12" s="1"/>
  <c r="I5" i="12"/>
  <c r="K5" i="12" s="1"/>
  <c r="M5" i="12" s="1"/>
  <c r="I4" i="12"/>
  <c r="K4" i="12" s="1"/>
  <c r="M4" i="12" s="1"/>
  <c r="O4" i="12" s="1"/>
  <c r="I39" i="12" a="1"/>
  <c r="I39" i="12" s="1"/>
  <c r="C67" i="1" s="1"/>
  <c r="C53" i="7" s="1"/>
  <c r="I13" i="12"/>
  <c r="I28" i="12"/>
  <c r="K28" i="12" s="1"/>
  <c r="M28" i="12" s="1"/>
  <c r="O28" i="12" s="1"/>
  <c r="Q28" i="12" s="1"/>
  <c r="S28" i="12" s="1"/>
  <c r="U28" i="12" s="1"/>
  <c r="W28" i="12" s="1"/>
  <c r="Y28" i="12" s="1"/>
  <c r="AA28" i="12" s="1"/>
  <c r="AC28" i="12" s="1"/>
  <c r="AE28" i="12" s="1"/>
  <c r="AF28" i="12" s="1"/>
  <c r="I23" i="12"/>
  <c r="K23" i="12" s="1"/>
  <c r="M23" i="12" s="1"/>
  <c r="O23" i="12" s="1"/>
  <c r="Q23" i="12" s="1"/>
  <c r="I10" i="12"/>
  <c r="K10" i="12" s="1"/>
  <c r="M10" i="12" s="1"/>
  <c r="O10" i="12" s="1"/>
  <c r="I27" i="12"/>
  <c r="K27" i="12" s="1"/>
  <c r="M27" i="12" s="1"/>
  <c r="O27" i="12" s="1"/>
  <c r="Q27" i="12" s="1"/>
  <c r="S27" i="12" s="1"/>
  <c r="U27" i="12" s="1"/>
  <c r="W27" i="12" s="1"/>
  <c r="Y27" i="12" s="1"/>
  <c r="AA27" i="12" s="1"/>
  <c r="AC27" i="12" s="1"/>
  <c r="AE27" i="12" s="1"/>
  <c r="AF27" i="12" s="1"/>
  <c r="I19" i="12"/>
  <c r="K19" i="12" s="1"/>
  <c r="M19" i="12" s="1"/>
  <c r="I11" i="12"/>
  <c r="K11" i="12" s="1"/>
  <c r="M11" i="12" s="1"/>
  <c r="O11" i="12" s="1"/>
  <c r="I14" i="12"/>
  <c r="I20" i="12"/>
  <c r="K20" i="12" s="1"/>
  <c r="M20" i="12" s="1"/>
  <c r="O20" i="12" s="1"/>
  <c r="I12" i="12"/>
  <c r="I17" i="12"/>
  <c r="I26" i="12"/>
  <c r="I24" i="12"/>
  <c r="I16" i="12"/>
  <c r="I18" i="12"/>
  <c r="I25" i="12"/>
  <c r="I9" i="12"/>
  <c r="I21" i="12"/>
  <c r="A136" i="11"/>
  <c r="D95" i="11"/>
  <c r="E95" i="11" a="1"/>
  <c r="E95" i="11" s="1"/>
  <c r="G95" i="11"/>
  <c r="I95" i="11" a="1"/>
  <c r="I95" i="11" s="1"/>
  <c r="I94" i="11" a="1"/>
  <c r="I94" i="11" s="1"/>
  <c r="E94" i="11" a="1"/>
  <c r="E94" i="11" s="1"/>
  <c r="G94" i="11" s="1"/>
  <c r="H94" i="11" s="1"/>
  <c r="A135" i="11"/>
  <c r="D94" i="11"/>
  <c r="D93" i="11"/>
  <c r="A134" i="11"/>
  <c r="I93" i="11" a="1"/>
  <c r="I93" i="11" s="1"/>
  <c r="E93" i="11" a="1"/>
  <c r="E93" i="11" s="1"/>
  <c r="D92" i="11"/>
  <c r="E92" i="11" a="1"/>
  <c r="E92" i="11" s="1"/>
  <c r="A133" i="11"/>
  <c r="I92" i="11" a="1"/>
  <c r="I92" i="11" s="1"/>
  <c r="G92" i="11"/>
  <c r="A132" i="11"/>
  <c r="I91" i="11" a="1"/>
  <c r="I91" i="11" s="1"/>
  <c r="D91" i="11"/>
  <c r="E91" i="11" a="1"/>
  <c r="E91" i="11" s="1"/>
  <c r="G91" i="11"/>
  <c r="G37" i="11"/>
  <c r="I37" i="11"/>
  <c r="J37" i="11" s="1"/>
  <c r="K37" i="11" s="1"/>
  <c r="L37" i="11" s="1"/>
  <c r="D90" i="11"/>
  <c r="E90" i="11" a="1"/>
  <c r="E90" i="11" s="1"/>
  <c r="G90" i="11"/>
  <c r="I90" i="11" a="1"/>
  <c r="I90" i="11" s="1"/>
  <c r="A131" i="11"/>
  <c r="D89" i="11"/>
  <c r="E89" i="11" a="1"/>
  <c r="E89" i="11" s="1"/>
  <c r="G89" i="11"/>
  <c r="I89" i="11" a="1"/>
  <c r="I89" i="11" s="1"/>
  <c r="A130" i="11"/>
  <c r="D88" i="11"/>
  <c r="E88" i="11" a="1"/>
  <c r="E88" i="11" s="1"/>
  <c r="G88" i="11" s="1"/>
  <c r="I88" i="11" a="1"/>
  <c r="I88" i="11" s="1"/>
  <c r="A129" i="11"/>
  <c r="D87" i="11"/>
  <c r="E87" i="11" a="1"/>
  <c r="E87" i="11" s="1"/>
  <c r="G87" i="11"/>
  <c r="I87" i="11" a="1"/>
  <c r="I87" i="11" s="1"/>
  <c r="A128" i="11"/>
  <c r="D86" i="11"/>
  <c r="E86" i="11" a="1"/>
  <c r="E86" i="11" s="1"/>
  <c r="G86" i="11"/>
  <c r="I86" i="11" a="1"/>
  <c r="I86" i="11" s="1"/>
  <c r="A127" i="11"/>
  <c r="D85" i="11"/>
  <c r="E85" i="11" a="1"/>
  <c r="E85" i="11" s="1"/>
  <c r="G85" i="11" s="1"/>
  <c r="H85" i="11" s="1"/>
  <c r="I85" i="11" a="1"/>
  <c r="I85" i="11" s="1"/>
  <c r="A126" i="11"/>
  <c r="D84" i="11"/>
  <c r="E84" i="11" a="1"/>
  <c r="E84" i="11" s="1"/>
  <c r="G84" i="11" s="1"/>
  <c r="H84" i="11" s="1"/>
  <c r="I84" i="11" a="1"/>
  <c r="I84" i="11" s="1"/>
  <c r="A125" i="11"/>
  <c r="D83" i="11"/>
  <c r="E83" i="11" a="1"/>
  <c r="E83" i="11" s="1"/>
  <c r="G83" i="11" s="1"/>
  <c r="H83" i="11" s="1"/>
  <c r="I83" i="11" a="1"/>
  <c r="I83" i="11" s="1"/>
  <c r="A124" i="11"/>
  <c r="D82" i="11"/>
  <c r="E82" i="11" a="1"/>
  <c r="E82" i="11" s="1"/>
  <c r="G82" i="11" s="1"/>
  <c r="H82" i="11" s="1"/>
  <c r="I82" i="11" a="1"/>
  <c r="I82" i="11" s="1"/>
  <c r="A123" i="11"/>
  <c r="D81" i="11"/>
  <c r="E81" i="11" a="1"/>
  <c r="E81" i="11" s="1"/>
  <c r="G81" i="11" s="1"/>
  <c r="I81" i="11" a="1"/>
  <c r="I81" i="11" s="1"/>
  <c r="A122" i="11"/>
  <c r="D80" i="11"/>
  <c r="E80" i="11" a="1"/>
  <c r="E80" i="11" s="1"/>
  <c r="G80" i="11" s="1"/>
  <c r="H80" i="11" s="1"/>
  <c r="I80" i="11" a="1"/>
  <c r="I80" i="11" s="1"/>
  <c r="A121" i="11"/>
  <c r="D79" i="11"/>
  <c r="E79" i="11" a="1"/>
  <c r="E79" i="11" s="1"/>
  <c r="G79" i="11" s="1"/>
  <c r="H79" i="11" s="1"/>
  <c r="I79" i="11" a="1"/>
  <c r="I79" i="11" s="1"/>
  <c r="A120" i="11"/>
  <c r="D78" i="11"/>
  <c r="E78" i="11" a="1"/>
  <c r="E78" i="11" s="1"/>
  <c r="G78" i="11" s="1"/>
  <c r="I78" i="11" a="1"/>
  <c r="I78" i="11" s="1"/>
  <c r="A119" i="11"/>
  <c r="D77" i="11"/>
  <c r="E77" i="11" a="1"/>
  <c r="E77" i="11" s="1"/>
  <c r="G77" i="11" s="1"/>
  <c r="I77" i="11" a="1"/>
  <c r="I77" i="11" s="1"/>
  <c r="A118" i="11"/>
  <c r="D76" i="11"/>
  <c r="E76" i="11" a="1"/>
  <c r="E76" i="11" s="1"/>
  <c r="G76" i="11" s="1"/>
  <c r="I76" i="11" a="1"/>
  <c r="I76" i="11" s="1"/>
  <c r="A117" i="11"/>
  <c r="D75" i="11"/>
  <c r="E75" i="11" a="1"/>
  <c r="E75" i="11" s="1"/>
  <c r="G75" i="11" s="1"/>
  <c r="H75" i="11" s="1"/>
  <c r="I75" i="11" a="1"/>
  <c r="I75" i="11" s="1"/>
  <c r="A116" i="11"/>
  <c r="D74" i="11"/>
  <c r="E74" i="11" a="1"/>
  <c r="E74" i="11" s="1"/>
  <c r="G74" i="11" s="1"/>
  <c r="H74" i="11" s="1"/>
  <c r="I74" i="11" a="1"/>
  <c r="I74" i="11" s="1"/>
  <c r="A115" i="11"/>
  <c r="D73" i="11"/>
  <c r="E73" i="11" a="1"/>
  <c r="E73" i="11" s="1"/>
  <c r="G73" i="11" s="1"/>
  <c r="H73" i="11" s="1"/>
  <c r="I73" i="11" a="1"/>
  <c r="I73" i="11" s="1"/>
  <c r="A114" i="11"/>
  <c r="D72" i="11"/>
  <c r="E72" i="11" a="1"/>
  <c r="E72" i="11" s="1"/>
  <c r="G72" i="11" s="1"/>
  <c r="I72" i="11" a="1"/>
  <c r="I72" i="11" s="1"/>
  <c r="A113" i="11"/>
  <c r="D71" i="11"/>
  <c r="E71" i="11" a="1"/>
  <c r="E71" i="11" s="1"/>
  <c r="G71" i="11" s="1"/>
  <c r="I71" i="11" a="1"/>
  <c r="I71" i="11" s="1"/>
  <c r="A112" i="11"/>
  <c r="D70" i="11"/>
  <c r="E70" i="11" a="1"/>
  <c r="E70" i="11" s="1"/>
  <c r="G70" i="11" s="1"/>
  <c r="H70" i="11" s="1"/>
  <c r="I70" i="11" a="1"/>
  <c r="I70" i="11" s="1"/>
  <c r="A111" i="11"/>
  <c r="D69" i="11"/>
  <c r="E69" i="11" a="1"/>
  <c r="E69" i="11" s="1"/>
  <c r="G69" i="11" s="1"/>
  <c r="H69" i="11" s="1"/>
  <c r="I69" i="11" a="1"/>
  <c r="I69" i="11" s="1"/>
  <c r="A110" i="11"/>
  <c r="D68" i="11"/>
  <c r="E68" i="11" a="1"/>
  <c r="E68" i="11" s="1"/>
  <c r="G68" i="11" s="1"/>
  <c r="I68" i="11" a="1"/>
  <c r="I68" i="11" s="1"/>
  <c r="A109" i="11"/>
  <c r="D67" i="11"/>
  <c r="E67" i="11" a="1"/>
  <c r="E67" i="11" s="1"/>
  <c r="G67" i="11" s="1"/>
  <c r="I67" i="11" a="1"/>
  <c r="I67" i="11" s="1"/>
  <c r="A108" i="11"/>
  <c r="D66" i="11"/>
  <c r="E66" i="11" a="1"/>
  <c r="E66" i="11" s="1"/>
  <c r="G66" i="11" s="1"/>
  <c r="H66" i="11" s="1"/>
  <c r="I66" i="11" a="1"/>
  <c r="I66" i="11" s="1"/>
  <c r="A107" i="11"/>
  <c r="D65" i="11"/>
  <c r="E65" i="11" a="1"/>
  <c r="E65" i="11" s="1"/>
  <c r="G65" i="11" s="1"/>
  <c r="I65" i="11" a="1"/>
  <c r="I65" i="11" s="1"/>
  <c r="A106" i="11"/>
  <c r="D64" i="11"/>
  <c r="E64" i="11" a="1"/>
  <c r="E64" i="11" s="1"/>
  <c r="G64" i="11" s="1"/>
  <c r="H64" i="11" s="1"/>
  <c r="I64" i="11" a="1"/>
  <c r="I64" i="11" s="1"/>
  <c r="A105" i="11"/>
  <c r="D63" i="11"/>
  <c r="E63" i="11" a="1"/>
  <c r="E63" i="11" s="1"/>
  <c r="G63" i="11" s="1"/>
  <c r="H63" i="11" s="1"/>
  <c r="I63" i="11" a="1"/>
  <c r="I63" i="11" s="1"/>
  <c r="A104" i="11"/>
  <c r="D62" i="11"/>
  <c r="E62" i="11" a="1"/>
  <c r="E62" i="11" s="1"/>
  <c r="G62" i="11" s="1"/>
  <c r="I62" i="11" a="1"/>
  <c r="I62" i="11" s="1"/>
  <c r="A103" i="11"/>
  <c r="D61" i="11"/>
  <c r="E61" i="11" a="1"/>
  <c r="E61" i="11" s="1"/>
  <c r="I61" i="11" a="1"/>
  <c r="I61" i="11" s="1"/>
  <c r="A102" i="11"/>
  <c r="C44" i="11"/>
  <c r="C47" i="11"/>
  <c r="C50" i="11"/>
  <c r="I55" i="11" a="1"/>
  <c r="I55" i="11" s="1"/>
  <c r="J55" i="11" a="1"/>
  <c r="J55" i="11" s="1"/>
  <c r="K55" i="11" a="1"/>
  <c r="K55" i="11" s="1"/>
  <c r="L55" i="11" a="1"/>
  <c r="L55" i="11" s="1"/>
  <c r="B63" i="1" s="1"/>
  <c r="M55" i="11" a="1"/>
  <c r="M55" i="11" s="1"/>
  <c r="C63" i="1" s="1"/>
  <c r="C52" i="7" s="1"/>
  <c r="N55" i="11" a="1"/>
  <c r="N55" i="11" s="1"/>
  <c r="D63" i="1" s="1"/>
  <c r="D52" i="7" s="1"/>
  <c r="P55" i="11" a="1"/>
  <c r="P55" i="11" s="1"/>
  <c r="F63" i="1" s="1"/>
  <c r="F52" i="7" s="1"/>
  <c r="Q55" i="11" a="1"/>
  <c r="Q55" i="11" s="1"/>
  <c r="G63" i="1" s="1"/>
  <c r="G52" i="7" s="1"/>
  <c r="R55" i="11" a="1"/>
  <c r="R55" i="11" s="1"/>
  <c r="H63" i="1" s="1"/>
  <c r="H52" i="7" s="1"/>
  <c r="S55" i="11" a="1"/>
  <c r="S55" i="11" s="1"/>
  <c r="I63" i="1" s="1"/>
  <c r="I52" i="7" s="1"/>
  <c r="E97" i="11" a="1"/>
  <c r="E97" i="11" s="1"/>
  <c r="O55" i="11" a="1"/>
  <c r="O55" i="11" s="1"/>
  <c r="E63" i="1" s="1"/>
  <c r="E52" i="7" s="1"/>
  <c r="G5" i="11"/>
  <c r="I5" i="11"/>
  <c r="T55" i="11" a="1"/>
  <c r="T55" i="11" s="1"/>
  <c r="J63" i="1" s="1"/>
  <c r="J52" i="7" s="1"/>
  <c r="U55" i="11" a="1"/>
  <c r="U55" i="11" s="1"/>
  <c r="K63" i="1" s="1"/>
  <c r="K52" i="7" s="1"/>
  <c r="V55" i="11" a="1"/>
  <c r="V55" i="11" s="1"/>
  <c r="L63" i="1" s="1"/>
  <c r="L52" i="7" s="1"/>
  <c r="W55" i="11" a="1"/>
  <c r="W55" i="11" s="1"/>
  <c r="M63" i="1" s="1"/>
  <c r="M52" i="7" s="1"/>
  <c r="X55" i="11" a="1"/>
  <c r="X55" i="11" s="1"/>
  <c r="N63" i="1" s="1"/>
  <c r="N52" i="7" s="1"/>
  <c r="D49" i="10"/>
  <c r="C51" i="10"/>
  <c r="C26" i="10"/>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C140" i="11"/>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25" i="10"/>
  <c r="D25" i="10" s="1"/>
  <c r="E25" i="10" s="1"/>
  <c r="F25" i="10" s="1"/>
  <c r="G25" i="10" s="1"/>
  <c r="H25" i="10" s="1"/>
  <c r="I25" i="10" s="1"/>
  <c r="J25" i="10" s="1"/>
  <c r="K25" i="10" s="1"/>
  <c r="L25" i="10" s="1"/>
  <c r="M25" i="10" s="1"/>
  <c r="N25" i="10" s="1"/>
  <c r="N20" i="10"/>
  <c r="N13" i="10"/>
  <c r="N14" i="10" s="1"/>
  <c r="N97" i="1" s="1"/>
  <c r="N51" i="7" s="1"/>
  <c r="M13" i="10"/>
  <c r="M14" i="10" s="1"/>
  <c r="M97" i="1" s="1"/>
  <c r="M51" i="7" s="1"/>
  <c r="M20" i="10"/>
  <c r="L20" i="10"/>
  <c r="L13" i="10"/>
  <c r="L14" i="10" s="1"/>
  <c r="L97" i="1" s="1"/>
  <c r="L51" i="7" s="1"/>
  <c r="K13" i="10"/>
  <c r="K14" i="10" s="1"/>
  <c r="K97" i="1" s="1"/>
  <c r="K51" i="7" s="1"/>
  <c r="K20" i="10"/>
  <c r="J20" i="10"/>
  <c r="J13" i="10"/>
  <c r="J14" i="10" s="1"/>
  <c r="J97" i="1" s="1"/>
  <c r="J51" i="7" s="1"/>
  <c r="I20" i="10"/>
  <c r="I13" i="10"/>
  <c r="I14" i="10" s="1"/>
  <c r="I97" i="1" s="1"/>
  <c r="I51" i="7" s="1"/>
  <c r="H13" i="10"/>
  <c r="H14" i="10" s="1"/>
  <c r="H97" i="1" s="1"/>
  <c r="H51" i="7" s="1"/>
  <c r="H20" i="10"/>
  <c r="G20" i="10"/>
  <c r="G13" i="10"/>
  <c r="G14" i="10" s="1"/>
  <c r="G97" i="1" s="1"/>
  <c r="G51" i="7" s="1"/>
  <c r="E13" i="10"/>
  <c r="E14" i="10" s="1"/>
  <c r="E97" i="1" s="1"/>
  <c r="E51" i="7" s="1"/>
  <c r="E20" i="10"/>
  <c r="D20" i="10"/>
  <c r="D13" i="10"/>
  <c r="D14" i="10" s="1"/>
  <c r="D97" i="1" s="1"/>
  <c r="D51" i="7" s="1"/>
  <c r="C20" i="10"/>
  <c r="C13" i="10"/>
  <c r="C14" i="10" s="1"/>
  <c r="C97" i="1" s="1"/>
  <c r="C51" i="7" s="1"/>
  <c r="F13" i="10"/>
  <c r="F14" i="10" s="1"/>
  <c r="F97" i="1" s="1"/>
  <c r="F51" i="7" s="1"/>
  <c r="F20" i="10"/>
  <c r="N10" i="9"/>
  <c r="N19" i="9"/>
  <c r="N99" i="1" s="1"/>
  <c r="N61" i="7" s="1"/>
  <c r="N62" i="7" s="1"/>
  <c r="M10" i="9"/>
  <c r="M19" i="9"/>
  <c r="M99" i="1" s="1"/>
  <c r="M61" i="7" s="1"/>
  <c r="M62" i="7" s="1"/>
  <c r="L19" i="9"/>
  <c r="L99" i="1" s="1"/>
  <c r="L61" i="7" s="1"/>
  <c r="L62" i="7" s="1"/>
  <c r="L10" i="9"/>
  <c r="K10" i="9"/>
  <c r="K19" i="9"/>
  <c r="K99" i="1" s="1"/>
  <c r="K61" i="7" s="1"/>
  <c r="J10" i="9"/>
  <c r="J19" i="9"/>
  <c r="J99" i="1" s="1"/>
  <c r="J61" i="7" s="1"/>
  <c r="I10" i="9"/>
  <c r="I19" i="9"/>
  <c r="I99" i="1" s="1"/>
  <c r="I61" i="7" s="1"/>
  <c r="H10" i="9"/>
  <c r="H19" i="9"/>
  <c r="H99" i="1" s="1"/>
  <c r="H61" i="7" s="1"/>
  <c r="G19" i="9"/>
  <c r="G99" i="1" s="1"/>
  <c r="G61" i="7" s="1"/>
  <c r="G10" i="9"/>
  <c r="F19" i="9"/>
  <c r="F99" i="1" s="1"/>
  <c r="F61" i="7" s="1"/>
  <c r="F10" i="9"/>
  <c r="E10" i="9"/>
  <c r="E19" i="9"/>
  <c r="E99" i="1" s="1"/>
  <c r="E61" i="7" s="1"/>
  <c r="E62" i="7" s="1"/>
  <c r="D10" i="9"/>
  <c r="D19" i="9"/>
  <c r="D99" i="1" s="1"/>
  <c r="D61" i="7" s="1"/>
  <c r="D62" i="7" s="1"/>
  <c r="C19" i="9"/>
  <c r="C99" i="1" s="1"/>
  <c r="C61" i="7" s="1"/>
  <c r="C94" i="1"/>
  <c r="C37" i="4" s="1"/>
  <c r="C48" i="4" s="1"/>
  <c r="D11" i="9"/>
  <c r="C93" i="1"/>
  <c r="C50" i="14" s="1"/>
  <c r="N48" i="4"/>
  <c r="L37" i="36"/>
  <c r="M48" i="4"/>
  <c r="K37" i="36"/>
  <c r="L48" i="4"/>
  <c r="J37" i="36"/>
  <c r="K48" i="4"/>
  <c r="I37" i="36"/>
  <c r="J48" i="4"/>
  <c r="H37" i="36"/>
  <c r="I48" i="4"/>
  <c r="G37" i="36"/>
  <c r="H48" i="4"/>
  <c r="F37" i="36"/>
  <c r="G48" i="4"/>
  <c r="E37" i="36"/>
  <c r="F48" i="4"/>
  <c r="D37" i="36"/>
  <c r="L22" i="36"/>
  <c r="N21" i="4"/>
  <c r="L21" i="36" s="1"/>
  <c r="K22" i="36"/>
  <c r="M21" i="4"/>
  <c r="K21" i="36" s="1"/>
  <c r="I22" i="36"/>
  <c r="K21" i="4"/>
  <c r="I21" i="36" s="1"/>
  <c r="H22" i="36"/>
  <c r="J21" i="4"/>
  <c r="H21" i="36" s="1"/>
  <c r="G22" i="36"/>
  <c r="I21" i="4"/>
  <c r="G21" i="36" s="1"/>
  <c r="F22" i="36"/>
  <c r="H21" i="4"/>
  <c r="F21" i="36" s="1"/>
  <c r="E22" i="36"/>
  <c r="G21" i="4"/>
  <c r="E21" i="36" s="1"/>
  <c r="D22" i="36"/>
  <c r="F21" i="4"/>
  <c r="D21" i="36" s="1"/>
  <c r="G20" i="36"/>
  <c r="I19" i="4"/>
  <c r="G19" i="36" s="1"/>
  <c r="F20" i="36"/>
  <c r="H19" i="4"/>
  <c r="F19" i="36" s="1"/>
  <c r="AG43" i="36"/>
  <c r="BB43" i="36"/>
  <c r="AF43" i="36"/>
  <c r="BA43" i="36"/>
  <c r="AE43" i="36"/>
  <c r="AZ43" i="36"/>
  <c r="AD43" i="36"/>
  <c r="AY43" i="36"/>
  <c r="AC43" i="36"/>
  <c r="AX43" i="36"/>
  <c r="AB43" i="36"/>
  <c r="AW43" i="36"/>
  <c r="AA43" i="36"/>
  <c r="AV43" i="36"/>
  <c r="Z43" i="36"/>
  <c r="AU43" i="36"/>
  <c r="Y43" i="36"/>
  <c r="AT43" i="36"/>
  <c r="L18" i="36"/>
  <c r="N17" i="4"/>
  <c r="L17" i="36" s="1"/>
  <c r="K18" i="36"/>
  <c r="M17" i="4"/>
  <c r="K17" i="36" s="1"/>
  <c r="J18" i="36"/>
  <c r="L17" i="4"/>
  <c r="J17" i="36" s="1"/>
  <c r="I18" i="36"/>
  <c r="K17" i="4"/>
  <c r="I17" i="36" s="1"/>
  <c r="H18" i="36"/>
  <c r="J17" i="4"/>
  <c r="H17" i="36" s="1"/>
  <c r="AG12" i="36"/>
  <c r="BB12" i="36"/>
  <c r="AF12" i="36"/>
  <c r="BA12" i="36"/>
  <c r="Z12" i="36"/>
  <c r="AU12" i="36"/>
  <c r="Y12" i="36"/>
  <c r="AT12" i="36"/>
  <c r="W73" i="28"/>
  <c r="W72" i="28"/>
  <c r="V73" i="28"/>
  <c r="V72" i="28"/>
  <c r="U73" i="28"/>
  <c r="U72" i="28"/>
  <c r="T72" i="28"/>
  <c r="T73" i="28"/>
  <c r="S73" i="28"/>
  <c r="S72" i="28"/>
  <c r="R73" i="28"/>
  <c r="R72" i="28"/>
  <c r="Q73" i="28"/>
  <c r="Q72" i="28"/>
  <c r="P73" i="28"/>
  <c r="P72" i="28"/>
  <c r="O73" i="28"/>
  <c r="O72" i="28"/>
  <c r="N73" i="28"/>
  <c r="N72" i="28"/>
  <c r="M73" i="28"/>
  <c r="M72" i="28"/>
  <c r="L68" i="28"/>
  <c r="L73" i="28"/>
  <c r="L72" i="28"/>
  <c r="L74" i="28" s="1"/>
  <c r="V57" i="28"/>
  <c r="V58" i="28" s="1"/>
  <c r="V69" i="28" s="1"/>
  <c r="P58" i="28"/>
  <c r="P69" i="28" s="1"/>
  <c r="U57" i="28"/>
  <c r="U58" i="28" s="1"/>
  <c r="U69" i="28" s="1"/>
  <c r="O58" i="28"/>
  <c r="O69" i="28" s="1"/>
  <c r="N58" i="28"/>
  <c r="N69" i="28" s="1"/>
  <c r="T57" i="28"/>
  <c r="T58" i="28" s="1"/>
  <c r="T69" i="28" s="1"/>
  <c r="S57" i="28"/>
  <c r="S58" i="28" s="1"/>
  <c r="S69" i="28" s="1"/>
  <c r="M58" i="28"/>
  <c r="M69" i="28" s="1"/>
  <c r="L58" i="28"/>
  <c r="L69" i="28" s="1"/>
  <c r="L70" i="28" s="1"/>
  <c r="L7" i="23" s="1"/>
  <c r="R57" i="28"/>
  <c r="R58" i="28" s="1"/>
  <c r="R69" i="28" s="1"/>
  <c r="V39" i="28"/>
  <c r="U46" i="28"/>
  <c r="U52" i="28" s="1"/>
  <c r="L62" i="28"/>
  <c r="L66" i="23" s="1"/>
  <c r="L68" i="23" s="1"/>
  <c r="C105" i="1" s="1"/>
  <c r="C42" i="14" s="1"/>
  <c r="M29" i="28"/>
  <c r="M68" i="28" s="1"/>
  <c r="M70" i="28" s="1"/>
  <c r="M7" i="23" s="1"/>
  <c r="W53" i="27"/>
  <c r="V59" i="23"/>
  <c r="V9" i="25" s="1"/>
  <c r="T59" i="23"/>
  <c r="T9" i="25" s="1"/>
  <c r="L59" i="23"/>
  <c r="L9" i="25" s="1"/>
  <c r="H94" i="19"/>
  <c r="H42" i="19" s="1"/>
  <c r="H46" i="19" s="1"/>
  <c r="H51" i="19" s="1"/>
  <c r="H58" i="19" s="1"/>
  <c r="H62" i="19" s="1"/>
  <c r="B94" i="19"/>
  <c r="B42" i="19" s="1"/>
  <c r="B46" i="19" s="1"/>
  <c r="B51" i="19" s="1"/>
  <c r="B58" i="19" s="1"/>
  <c r="B62" i="19" s="1"/>
  <c r="B70" i="19" s="1"/>
  <c r="B23" i="1" s="1"/>
  <c r="E44" i="7"/>
  <c r="D28" i="16"/>
  <c r="E28" i="16" s="1"/>
  <c r="F28" i="16" s="1"/>
  <c r="G28" i="16" s="1"/>
  <c r="H28" i="16" s="1"/>
  <c r="I28" i="16" s="1"/>
  <c r="J28" i="16" s="1"/>
  <c r="O60" i="28"/>
  <c r="O86" i="23" s="1"/>
  <c r="N60" i="28"/>
  <c r="N86" i="23" s="1"/>
  <c r="M60" i="28"/>
  <c r="M86" i="23" s="1"/>
  <c r="L60" i="28"/>
  <c r="L86" i="23" s="1"/>
  <c r="T60" i="28"/>
  <c r="T86" i="23" s="1"/>
  <c r="S60" i="28"/>
  <c r="S86" i="23" s="1"/>
  <c r="R60" i="28"/>
  <c r="R86" i="23" s="1"/>
  <c r="P60" i="28"/>
  <c r="P86" i="23" s="1"/>
  <c r="U53" i="27"/>
  <c r="M50" i="27"/>
  <c r="N50" i="27" s="1"/>
  <c r="O50" i="27" s="1"/>
  <c r="P50" i="27" s="1"/>
  <c r="Q50" i="27" s="1"/>
  <c r="R50" i="27" s="1"/>
  <c r="S50" i="27" s="1"/>
  <c r="T50" i="27" s="1"/>
  <c r="U50" i="27" s="1"/>
  <c r="V50" i="27" s="1"/>
  <c r="W50" i="27" s="1"/>
  <c r="R50" i="26"/>
  <c r="S50" i="26" s="1"/>
  <c r="M29" i="26"/>
  <c r="W59" i="23"/>
  <c r="W9" i="25" s="1"/>
  <c r="R59" i="23"/>
  <c r="R9" i="25" s="1"/>
  <c r="P59" i="23"/>
  <c r="P9" i="25" s="1"/>
  <c r="I94" i="19"/>
  <c r="I42" i="19" s="1"/>
  <c r="I46" i="19" s="1"/>
  <c r="I51" i="19" s="1"/>
  <c r="I58" i="19" s="1"/>
  <c r="I62" i="19" s="1"/>
  <c r="C94" i="19"/>
  <c r="C42" i="19" s="1"/>
  <c r="C46" i="19" s="1"/>
  <c r="C51" i="19" s="1"/>
  <c r="C58" i="19" s="1"/>
  <c r="C62" i="19" s="1"/>
  <c r="C70" i="19" s="1"/>
  <c r="C23" i="1" s="1"/>
  <c r="C14" i="4" s="1"/>
  <c r="C13" i="4" s="1"/>
  <c r="T53" i="27"/>
  <c r="U59" i="23"/>
  <c r="U9" i="25" s="1"/>
  <c r="S59" i="23"/>
  <c r="S9" i="25" s="1"/>
  <c r="J94" i="19"/>
  <c r="J42" i="19" s="1"/>
  <c r="J46" i="19" s="1"/>
  <c r="J51" i="19" s="1"/>
  <c r="J58" i="19" s="1"/>
  <c r="J62" i="19" s="1"/>
  <c r="G94" i="19"/>
  <c r="G42" i="19" s="1"/>
  <c r="G46" i="19" s="1"/>
  <c r="G51" i="19" s="1"/>
  <c r="G58" i="19" s="1"/>
  <c r="G62" i="19" s="1"/>
  <c r="E94" i="19"/>
  <c r="E42" i="19" s="1"/>
  <c r="E46" i="19" s="1"/>
  <c r="E51" i="19" s="1"/>
  <c r="E58" i="19" s="1"/>
  <c r="E62" i="19" s="1"/>
  <c r="V53" i="27"/>
  <c r="M29" i="27"/>
  <c r="T50" i="26"/>
  <c r="U50" i="26" s="1"/>
  <c r="V50" i="26" s="1"/>
  <c r="W50" i="26" s="1"/>
  <c r="Q59" i="23"/>
  <c r="Q9" i="25" s="1"/>
  <c r="D9" i="20"/>
  <c r="E9" i="20" s="1"/>
  <c r="F9" i="20" s="1"/>
  <c r="G9" i="20" s="1"/>
  <c r="H9" i="20" s="1"/>
  <c r="I9" i="20" s="1"/>
  <c r="J9" i="20" s="1"/>
  <c r="K9" i="20" s="1"/>
  <c r="L9" i="20" s="1"/>
  <c r="M9" i="20" s="1"/>
  <c r="N9" i="20" s="1"/>
  <c r="D94" i="19"/>
  <c r="D42" i="19" s="1"/>
  <c r="D46" i="19" s="1"/>
  <c r="D51" i="19" s="1"/>
  <c r="D58" i="19" s="1"/>
  <c r="D62" i="19" s="1"/>
  <c r="D70" i="19" s="1"/>
  <c r="D23" i="1" s="1"/>
  <c r="D14" i="4" s="1"/>
  <c r="D13" i="4" s="1"/>
  <c r="L28" i="23" l="1"/>
  <c r="L41" i="23"/>
  <c r="L43" i="23" s="1"/>
  <c r="R28" i="23"/>
  <c r="R41" i="23"/>
  <c r="R43" i="23" s="1"/>
  <c r="Q28" i="23"/>
  <c r="Q41" i="23"/>
  <c r="Q43" i="23" s="1"/>
  <c r="P28" i="23"/>
  <c r="P41" i="23"/>
  <c r="P43" i="23" s="1"/>
  <c r="S28" i="23"/>
  <c r="S41" i="23"/>
  <c r="S43" i="23" s="1"/>
  <c r="O28" i="23"/>
  <c r="O41" i="23"/>
  <c r="O43" i="23" s="1"/>
  <c r="N28" i="23"/>
  <c r="N41" i="23"/>
  <c r="N43" i="23" s="1"/>
  <c r="M28" i="23"/>
  <c r="M41" i="23"/>
  <c r="M43" i="23" s="1"/>
  <c r="W28" i="23"/>
  <c r="W41" i="23"/>
  <c r="W43" i="23" s="1"/>
  <c r="V28" i="23"/>
  <c r="V41" i="23"/>
  <c r="V43" i="23" s="1"/>
  <c r="U28" i="23"/>
  <c r="U41" i="23"/>
  <c r="U43" i="23" s="1"/>
  <c r="T28" i="23"/>
  <c r="T41" i="23"/>
  <c r="T43" i="23" s="1"/>
  <c r="Q26" i="23"/>
  <c r="Q57" i="28"/>
  <c r="Q27" i="23"/>
  <c r="Q57" i="27"/>
  <c r="Q25" i="23"/>
  <c r="Q57" i="26"/>
  <c r="P36" i="23"/>
  <c r="P37" i="23"/>
  <c r="M74" i="27"/>
  <c r="L73" i="23"/>
  <c r="M56" i="1"/>
  <c r="V8" i="23"/>
  <c r="L56" i="1"/>
  <c r="U8" i="23"/>
  <c r="M74" i="26"/>
  <c r="L71" i="23"/>
  <c r="O31" i="26"/>
  <c r="P25" i="26"/>
  <c r="Q9" i="26"/>
  <c r="R9" i="26" s="1"/>
  <c r="S9" i="26" s="1"/>
  <c r="T9" i="26" s="1"/>
  <c r="U9" i="26" s="1"/>
  <c r="V9" i="26" s="1"/>
  <c r="W9" i="26" s="1"/>
  <c r="Q25" i="26"/>
  <c r="Q31" i="26" s="1"/>
  <c r="R7" i="26"/>
  <c r="Q27" i="26"/>
  <c r="U6" i="26"/>
  <c r="V13" i="26"/>
  <c r="N52" i="23"/>
  <c r="N59" i="23" s="1"/>
  <c r="N9" i="25" s="1"/>
  <c r="O5" i="24"/>
  <c r="O52" i="23" s="1"/>
  <c r="O59" i="23" s="1"/>
  <c r="O9" i="25" s="1"/>
  <c r="V35" i="23"/>
  <c r="U30" i="23"/>
  <c r="E33" i="21"/>
  <c r="D78" i="1"/>
  <c r="D20" i="4" s="1"/>
  <c r="D19" i="4" s="1"/>
  <c r="J33" i="21"/>
  <c r="G33" i="21"/>
  <c r="G78" i="1" s="1"/>
  <c r="G20" i="4" s="1"/>
  <c r="H64" i="20"/>
  <c r="E48" i="20" s="1"/>
  <c r="G65" i="20"/>
  <c r="D47" i="20"/>
  <c r="D52" i="20" s="1"/>
  <c r="D54" i="20" s="1"/>
  <c r="D58" i="20" s="1"/>
  <c r="D60" i="20" s="1"/>
  <c r="D28" i="1" s="1"/>
  <c r="D18" i="4" s="1"/>
  <c r="D17" i="4" s="1"/>
  <c r="I68" i="20"/>
  <c r="H70" i="20"/>
  <c r="H69" i="20" s="1"/>
  <c r="H63" i="20"/>
  <c r="I44" i="20"/>
  <c r="H34" i="20"/>
  <c r="G38" i="20"/>
  <c r="G42" i="20" s="1"/>
  <c r="F64" i="19"/>
  <c r="E66" i="19"/>
  <c r="E70" i="19" s="1"/>
  <c r="E23" i="1" s="1"/>
  <c r="E14" i="4" s="1"/>
  <c r="E13" i="4" s="1"/>
  <c r="K51" i="19"/>
  <c r="K58" i="19" s="1"/>
  <c r="K62" i="19" s="1"/>
  <c r="K53" i="19"/>
  <c r="L46" i="19"/>
  <c r="L35" i="19"/>
  <c r="N29" i="19"/>
  <c r="N21" i="1"/>
  <c r="N32" i="7" s="1"/>
  <c r="M29" i="19"/>
  <c r="M21" i="1"/>
  <c r="M32" i="7" s="1"/>
  <c r="I124" i="18"/>
  <c r="H123" i="18"/>
  <c r="H109" i="18" s="1"/>
  <c r="I112" i="18"/>
  <c r="H62" i="18"/>
  <c r="H96" i="18"/>
  <c r="I96" i="18" s="1"/>
  <c r="E104" i="18"/>
  <c r="E105" i="18" s="1"/>
  <c r="F59" i="18"/>
  <c r="G95" i="18"/>
  <c r="F101" i="18"/>
  <c r="M64" i="18"/>
  <c r="I18" i="1"/>
  <c r="I12" i="4" s="1"/>
  <c r="G12" i="36" s="1"/>
  <c r="AA12" i="36"/>
  <c r="AV12" i="36"/>
  <c r="O51" i="18"/>
  <c r="N52" i="18"/>
  <c r="K49" i="18"/>
  <c r="K54" i="18" s="1"/>
  <c r="L45" i="18"/>
  <c r="O49" i="18"/>
  <c r="O43" i="18"/>
  <c r="M9" i="18"/>
  <c r="L9" i="18"/>
  <c r="K9" i="18"/>
  <c r="K15" i="18" s="1"/>
  <c r="K10" i="18"/>
  <c r="F41" i="18"/>
  <c r="G41" i="18"/>
  <c r="H41" i="18"/>
  <c r="I41" i="18"/>
  <c r="J41" i="18"/>
  <c r="J9" i="18"/>
  <c r="I9" i="18"/>
  <c r="I10" i="18" s="1"/>
  <c r="H9" i="18"/>
  <c r="G9" i="18"/>
  <c r="F9" i="18"/>
  <c r="M69" i="17"/>
  <c r="M73" i="17" s="1"/>
  <c r="M78" i="17" s="1"/>
  <c r="M37" i="17" s="1"/>
  <c r="L73" i="17"/>
  <c r="L78" i="17" s="1"/>
  <c r="L37" i="17" s="1"/>
  <c r="L40" i="17" s="1"/>
  <c r="L45" i="17" s="1"/>
  <c r="L53" i="17" s="1"/>
  <c r="I16" i="36"/>
  <c r="K15" i="4"/>
  <c r="I15" i="36" s="1"/>
  <c r="H16" i="36"/>
  <c r="J15" i="4"/>
  <c r="H15" i="36" s="1"/>
  <c r="G16" i="36"/>
  <c r="I15" i="4"/>
  <c r="G15" i="36" s="1"/>
  <c r="F16" i="36"/>
  <c r="H15" i="4"/>
  <c r="F15" i="36" s="1"/>
  <c r="J63" i="17"/>
  <c r="K63" i="17"/>
  <c r="E16" i="36"/>
  <c r="G15" i="4"/>
  <c r="E15" i="36" s="1"/>
  <c r="D16" i="36"/>
  <c r="F15" i="4"/>
  <c r="D15" i="36" s="1"/>
  <c r="C79" i="16"/>
  <c r="C83" i="16" s="1"/>
  <c r="H73" i="16"/>
  <c r="C54" i="16" s="1"/>
  <c r="C55" i="16" s="1"/>
  <c r="C60" i="16" s="1"/>
  <c r="C7" i="1" s="1"/>
  <c r="C7" i="4" s="1"/>
  <c r="C6" i="4" s="1"/>
  <c r="H74" i="16"/>
  <c r="D54" i="16" s="1"/>
  <c r="D55" i="16" s="1"/>
  <c r="D60" i="16" s="1"/>
  <c r="D7" i="1" s="1"/>
  <c r="D7" i="4" s="1"/>
  <c r="D6" i="4" s="1"/>
  <c r="J74" i="16"/>
  <c r="J85" i="16" s="1"/>
  <c r="G54" i="16" s="1"/>
  <c r="G55" i="16" s="1"/>
  <c r="G60" i="16" s="1"/>
  <c r="K74" i="16"/>
  <c r="K85" i="16" s="1"/>
  <c r="H54" i="16" s="1"/>
  <c r="H55" i="16" s="1"/>
  <c r="L74" i="16"/>
  <c r="L85" i="16" s="1"/>
  <c r="I54" i="16" s="1"/>
  <c r="M74" i="16"/>
  <c r="M85" i="16" s="1"/>
  <c r="H75" i="16"/>
  <c r="E54" i="16" s="1"/>
  <c r="H76" i="16"/>
  <c r="H85" i="16" s="1"/>
  <c r="F54" i="16" s="1"/>
  <c r="E84" i="16"/>
  <c r="D86" i="16"/>
  <c r="D89" i="16" s="1"/>
  <c r="E90" i="16" s="1"/>
  <c r="F48" i="16"/>
  <c r="F55" i="16" s="1"/>
  <c r="F60" i="16" s="1"/>
  <c r="E55" i="16"/>
  <c r="E60" i="16" s="1"/>
  <c r="E7" i="1" s="1"/>
  <c r="E7" i="4" s="1"/>
  <c r="E6" i="4" s="1"/>
  <c r="L64" i="16"/>
  <c r="F7" i="1"/>
  <c r="F7" i="4" s="1"/>
  <c r="G7" i="1"/>
  <c r="G7" i="4" s="1"/>
  <c r="I37" i="16"/>
  <c r="I45" i="16" s="1"/>
  <c r="H45" i="16"/>
  <c r="H60" i="16" s="1"/>
  <c r="H7" i="1" s="1"/>
  <c r="H7" i="4" s="1"/>
  <c r="E32" i="16"/>
  <c r="D96" i="1"/>
  <c r="D24" i="7" s="1"/>
  <c r="M27" i="16"/>
  <c r="M5" i="1"/>
  <c r="M30" i="7" s="1"/>
  <c r="M36" i="7" s="1"/>
  <c r="M46" i="7" s="1"/>
  <c r="L27" i="16"/>
  <c r="L5" i="1"/>
  <c r="L30" i="7" s="1"/>
  <c r="K27" i="16"/>
  <c r="K5" i="1"/>
  <c r="K30" i="7" s="1"/>
  <c r="N27" i="16"/>
  <c r="N5" i="1"/>
  <c r="N30" i="7" s="1"/>
  <c r="N36" i="7" s="1"/>
  <c r="N46" i="7" s="1"/>
  <c r="L37" i="16"/>
  <c r="K45" i="16"/>
  <c r="K60" i="16" s="1"/>
  <c r="J7" i="1"/>
  <c r="J7" i="4" s="1"/>
  <c r="F4" i="15"/>
  <c r="E8" i="15"/>
  <c r="D10" i="15"/>
  <c r="C50" i="1" s="1"/>
  <c r="C42" i="4" s="1"/>
  <c r="D12" i="15"/>
  <c r="C49" i="1"/>
  <c r="C24" i="4" s="1"/>
  <c r="C23" i="4" s="1"/>
  <c r="N29" i="13" a="1"/>
  <c r="N29" i="13" s="1"/>
  <c r="F72" i="1" s="1"/>
  <c r="F54" i="7" s="1"/>
  <c r="F56" i="7" s="1"/>
  <c r="AB29" i="13" a="1"/>
  <c r="AB29" i="13" s="1"/>
  <c r="M72" i="1" s="1"/>
  <c r="M54" i="7" s="1"/>
  <c r="M56" i="7" s="1"/>
  <c r="M64" i="7" s="1"/>
  <c r="H29" i="13" a="1"/>
  <c r="H29" i="13" s="1"/>
  <c r="C72" i="1" s="1"/>
  <c r="C54" i="7" s="1"/>
  <c r="C56" i="7" s="1"/>
  <c r="C64" i="7" s="1"/>
  <c r="L29" i="13" a="1"/>
  <c r="L29" i="13" s="1"/>
  <c r="E72" i="1" s="1"/>
  <c r="E54" i="7" s="1"/>
  <c r="E56" i="7" s="1"/>
  <c r="E64" i="7" s="1"/>
  <c r="P29" i="13" a="1"/>
  <c r="P29" i="13" s="1"/>
  <c r="G72" i="1" s="1"/>
  <c r="G54" i="7" s="1"/>
  <c r="G56" i="7" s="1"/>
  <c r="T29" i="13" a="1"/>
  <c r="T29" i="13" s="1"/>
  <c r="I72" i="1" s="1"/>
  <c r="I54" i="7" s="1"/>
  <c r="I56" i="7" s="1"/>
  <c r="I64" i="7" s="1"/>
  <c r="AD29" i="13" a="1"/>
  <c r="AD29" i="13" s="1"/>
  <c r="N72" i="1" s="1"/>
  <c r="N54" i="7" s="1"/>
  <c r="N56" i="7" s="1"/>
  <c r="N64" i="7" s="1"/>
  <c r="J19" i="13"/>
  <c r="J29" i="13" a="1"/>
  <c r="J29" i="13" s="1"/>
  <c r="D72" i="1" s="1"/>
  <c r="D54" i="7" s="1"/>
  <c r="D56" i="7" s="1"/>
  <c r="D64" i="7" s="1"/>
  <c r="R29" i="13" a="1"/>
  <c r="R29" i="13" s="1"/>
  <c r="H72" i="1" s="1"/>
  <c r="H54" i="7" s="1"/>
  <c r="H56" i="7" s="1"/>
  <c r="H64" i="7" s="1"/>
  <c r="Z29" i="13" a="1"/>
  <c r="Z29" i="13" s="1"/>
  <c r="L72" i="1" s="1"/>
  <c r="L54" i="7" s="1"/>
  <c r="L56" i="7" s="1"/>
  <c r="L64" i="7" s="1"/>
  <c r="AE30" i="36"/>
  <c r="AZ30" i="36"/>
  <c r="N34" i="14"/>
  <c r="N35" i="14" s="1"/>
  <c r="N91" i="1" s="1"/>
  <c r="N30" i="4" s="1"/>
  <c r="L30" i="36" s="1"/>
  <c r="M35" i="14"/>
  <c r="M91" i="1" s="1"/>
  <c r="M30" i="4" s="1"/>
  <c r="K30" i="36" s="1"/>
  <c r="J22" i="36"/>
  <c r="L21" i="4"/>
  <c r="J21" i="36" s="1"/>
  <c r="P28" i="13"/>
  <c r="H24" i="13"/>
  <c r="H23" i="13"/>
  <c r="C71" i="1" s="1"/>
  <c r="C31" i="4" s="1"/>
  <c r="P4" i="12"/>
  <c r="I33" i="12"/>
  <c r="C66" i="1" s="1"/>
  <c r="C29" i="4" s="1"/>
  <c r="C32" i="4" s="1"/>
  <c r="I34" i="12"/>
  <c r="C136" i="11" a="1"/>
  <c r="C136" i="11" s="1"/>
  <c r="D136" i="11" a="1"/>
  <c r="D136" i="11" s="1"/>
  <c r="E136" i="11" a="1"/>
  <c r="E136" i="11" s="1"/>
  <c r="F136" i="11" a="1"/>
  <c r="F136" i="11" s="1"/>
  <c r="G136" i="11" a="1"/>
  <c r="G136" i="11" s="1"/>
  <c r="H136" i="11" a="1"/>
  <c r="H136" i="11" s="1"/>
  <c r="I136" i="11" a="1"/>
  <c r="I136" i="11" s="1"/>
  <c r="J136" i="11" a="1"/>
  <c r="J136" i="11" s="1"/>
  <c r="K136" i="11" s="1" a="1"/>
  <c r="K136" i="11" s="1"/>
  <c r="A182" i="11"/>
  <c r="J94" i="11"/>
  <c r="C135" i="11" a="1"/>
  <c r="C135" i="11" s="1"/>
  <c r="D135" i="11" s="1" a="1"/>
  <c r="D135" i="11" s="1"/>
  <c r="A181" i="11"/>
  <c r="C134" i="11" a="1"/>
  <c r="C134" i="11" s="1"/>
  <c r="D134" i="11" a="1"/>
  <c r="D134" i="11" s="1"/>
  <c r="E134" i="11" s="1" a="1"/>
  <c r="E134" i="11" s="1"/>
  <c r="A180" i="11"/>
  <c r="J93" i="11"/>
  <c r="C133" i="11" a="1"/>
  <c r="C133" i="11" s="1"/>
  <c r="D133" i="11" s="1" a="1"/>
  <c r="D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s="1" a="1"/>
  <c r="G132" i="11" s="1"/>
  <c r="A178" i="11"/>
  <c r="C131" i="11" a="1"/>
  <c r="C131" i="11" s="1"/>
  <c r="D131" i="11" a="1"/>
  <c r="D131" i="11" s="1"/>
  <c r="E131" i="11" a="1"/>
  <c r="E131" i="11" s="1"/>
  <c r="F131" i="11" a="1"/>
  <c r="F131" i="11" s="1"/>
  <c r="G131" i="11" s="1" a="1"/>
  <c r="G131" i="11" s="1"/>
  <c r="A177" i="11"/>
  <c r="C130" i="11" a="1"/>
  <c r="C130" i="11" s="1"/>
  <c r="D130" i="11" a="1"/>
  <c r="D130" i="11" s="1"/>
  <c r="E130" i="11" s="1" a="1"/>
  <c r="E130" i="11" s="1"/>
  <c r="A176" i="11"/>
  <c r="C129" i="11" a="1"/>
  <c r="C129" i="11" s="1"/>
  <c r="D129" i="11" s="1" a="1"/>
  <c r="D129" i="11" s="1"/>
  <c r="A175" i="11"/>
  <c r="C128" i="11" a="1"/>
  <c r="C128" i="11" s="1"/>
  <c r="D128" i="11" a="1"/>
  <c r="D128" i="11" s="1"/>
  <c r="A174" i="11"/>
  <c r="C127" i="11" a="1"/>
  <c r="C127" i="11" s="1"/>
  <c r="D127" i="11" s="1" a="1"/>
  <c r="D127" i="11" s="1"/>
  <c r="A173" i="11"/>
  <c r="C126" i="11" a="1"/>
  <c r="C126" i="11" s="1"/>
  <c r="D126" i="11" a="1"/>
  <c r="D126" i="11" s="1"/>
  <c r="E126" i="11" s="1" a="1"/>
  <c r="E126" i="11" s="1"/>
  <c r="A172" i="11"/>
  <c r="C125" i="11" a="1"/>
  <c r="C125" i="11" s="1"/>
  <c r="D125" i="11" a="1"/>
  <c r="D125" i="11" s="1"/>
  <c r="E125" i="11" s="1" a="1"/>
  <c r="E125" i="11" s="1"/>
  <c r="A171" i="11"/>
  <c r="C124" i="11" a="1"/>
  <c r="C124" i="11" s="1"/>
  <c r="D124" i="11" a="1"/>
  <c r="D124" i="11" s="1"/>
  <c r="E124" i="11" a="1"/>
  <c r="E124" i="11" s="1"/>
  <c r="F124" i="11" a="1"/>
  <c r="F124" i="11" s="1"/>
  <c r="G124" i="11" a="1"/>
  <c r="G124" i="11" s="1"/>
  <c r="H124" i="11" a="1"/>
  <c r="H124" i="11" s="1"/>
  <c r="I124" i="11" a="1"/>
  <c r="I124" i="11" s="1"/>
  <c r="J124" i="11" a="1"/>
  <c r="J124" i="11" s="1"/>
  <c r="K124" i="11" a="1"/>
  <c r="K124" i="11" s="1"/>
  <c r="L124" i="11" a="1"/>
  <c r="L124" i="11" s="1"/>
  <c r="M124" i="11" a="1"/>
  <c r="M124" i="11" s="1"/>
  <c r="N124" i="11" a="1"/>
  <c r="N124" i="11" s="1"/>
  <c r="A170" i="11"/>
  <c r="C123" i="11" a="1"/>
  <c r="C123" i="11" s="1"/>
  <c r="D123" i="11" a="1"/>
  <c r="D123" i="11" s="1"/>
  <c r="E123" i="11" a="1"/>
  <c r="E123" i="11" s="1"/>
  <c r="F123" i="11" a="1"/>
  <c r="F123" i="11" s="1"/>
  <c r="G123" i="11" a="1"/>
  <c r="G123" i="11" s="1"/>
  <c r="H123" i="11" a="1"/>
  <c r="H123" i="11" s="1"/>
  <c r="I123" i="11" a="1"/>
  <c r="I123" i="11" s="1"/>
  <c r="J123" i="11" a="1"/>
  <c r="J123" i="11" s="1"/>
  <c r="K123" i="11" a="1"/>
  <c r="K123" i="11" s="1"/>
  <c r="L123" i="11" a="1"/>
  <c r="L123" i="11" s="1"/>
  <c r="M123" i="11" a="1"/>
  <c r="M123" i="11" s="1"/>
  <c r="N123" i="11" a="1"/>
  <c r="N123" i="11" s="1"/>
  <c r="A169" i="11"/>
  <c r="C122" i="11" a="1"/>
  <c r="C122" i="11" s="1"/>
  <c r="D122" i="11" a="1"/>
  <c r="D122" i="11" s="1"/>
  <c r="E122" i="11" a="1"/>
  <c r="E122" i="11" s="1"/>
  <c r="F122" i="11" a="1"/>
  <c r="F122" i="11" s="1"/>
  <c r="G122" i="11" a="1"/>
  <c r="G122" i="11" s="1"/>
  <c r="H122" i="11" a="1"/>
  <c r="H122" i="11" s="1"/>
  <c r="I122" i="11" s="1" a="1"/>
  <c r="I122" i="11" s="1"/>
  <c r="A168" i="11"/>
  <c r="C121" i="11" a="1"/>
  <c r="C121" i="11" s="1"/>
  <c r="D121" i="11" s="1" a="1"/>
  <c r="D121" i="11" s="1"/>
  <c r="A167" i="11"/>
  <c r="C120" i="11" a="1"/>
  <c r="C120" i="11" s="1"/>
  <c r="D120" i="11" a="1"/>
  <c r="D120" i="11" s="1"/>
  <c r="E120" i="11" s="1" a="1"/>
  <c r="E120" i="11" s="1"/>
  <c r="A166" i="11"/>
  <c r="C119" i="11" a="1"/>
  <c r="C119" i="11" s="1"/>
  <c r="D119" i="11" a="1"/>
  <c r="D119" i="11" s="1"/>
  <c r="E119" i="11" s="1" a="1"/>
  <c r="E119" i="11" s="1"/>
  <c r="A165" i="11"/>
  <c r="C118" i="11" a="1"/>
  <c r="C118" i="11" s="1"/>
  <c r="D118" i="11" a="1"/>
  <c r="D118" i="11" s="1"/>
  <c r="E118" i="11" a="1"/>
  <c r="E118" i="11" s="1"/>
  <c r="F118" i="11" a="1"/>
  <c r="F118" i="11" s="1"/>
  <c r="G118" i="11" a="1"/>
  <c r="G118" i="11" s="1"/>
  <c r="H118" i="11" s="1" a="1"/>
  <c r="H118" i="11" s="1"/>
  <c r="A164" i="11"/>
  <c r="C117" i="11" a="1"/>
  <c r="C117" i="11" s="1"/>
  <c r="D117" i="11" a="1"/>
  <c r="D117" i="11" s="1"/>
  <c r="E117" i="11" s="1" a="1"/>
  <c r="E117" i="11" s="1"/>
  <c r="A163" i="11"/>
  <c r="C116" i="11" a="1"/>
  <c r="C116" i="11" s="1"/>
  <c r="D116" i="11" s="1" a="1"/>
  <c r="D116" i="11" s="1"/>
  <c r="A162" i="11"/>
  <c r="C115" i="11" a="1"/>
  <c r="C115" i="11" s="1"/>
  <c r="D115" i="11" a="1"/>
  <c r="D115" i="11" s="1"/>
  <c r="E115" i="11" s="1" a="1"/>
  <c r="E115" i="11" s="1"/>
  <c r="A161" i="11"/>
  <c r="C114" i="11" a="1"/>
  <c r="C114" i="11" s="1"/>
  <c r="D114" i="11" s="1" a="1"/>
  <c r="D114" i="11" s="1"/>
  <c r="A160" i="11"/>
  <c r="C113" i="11" a="1"/>
  <c r="C113" i="11" s="1"/>
  <c r="D113" i="11" a="1"/>
  <c r="D113" i="11" s="1"/>
  <c r="E113" i="11" a="1"/>
  <c r="E113" i="11" s="1"/>
  <c r="F113" i="11" s="1" a="1"/>
  <c r="F113" i="11" s="1"/>
  <c r="A159" i="11"/>
  <c r="C112" i="11" a="1"/>
  <c r="C112" i="11" s="1"/>
  <c r="D112" i="11" a="1"/>
  <c r="D112" i="11" s="1"/>
  <c r="E112" i="11" s="1" a="1"/>
  <c r="E112" i="11" s="1"/>
  <c r="A158"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C110" i="11" a="1"/>
  <c r="C110" i="11" s="1"/>
  <c r="D110" i="11" a="1"/>
  <c r="D110" i="11" s="1"/>
  <c r="E110" i="11" a="1"/>
  <c r="E110" i="11" s="1"/>
  <c r="F110" i="11" a="1"/>
  <c r="F110" i="11" s="1"/>
  <c r="G110" i="11" a="1"/>
  <c r="G110" i="11" s="1"/>
  <c r="H110" i="11" a="1"/>
  <c r="H110" i="11" s="1"/>
  <c r="I110" i="11" a="1"/>
  <c r="I110" i="11" s="1"/>
  <c r="J110" i="11" a="1"/>
  <c r="J110" i="11" s="1"/>
  <c r="K110" i="11" a="1"/>
  <c r="K110" i="11" s="1"/>
  <c r="L110" i="11" a="1"/>
  <c r="L110" i="11" s="1"/>
  <c r="M110" i="11" a="1"/>
  <c r="M110" i="11" s="1"/>
  <c r="N110" i="11" a="1"/>
  <c r="N110" i="11" s="1"/>
  <c r="A156" i="11"/>
  <c r="C109" i="11" a="1"/>
  <c r="C109" i="11" s="1"/>
  <c r="D109" i="11" a="1"/>
  <c r="D109" i="11" s="1"/>
  <c r="E109" i="11" a="1"/>
  <c r="E109" i="11" s="1"/>
  <c r="F109" i="11" a="1"/>
  <c r="F109" i="11" s="1"/>
  <c r="G109" i="11" a="1"/>
  <c r="G109" i="11" s="1"/>
  <c r="H109" i="11" a="1"/>
  <c r="H109" i="11" s="1"/>
  <c r="I109" i="11" a="1"/>
  <c r="I109" i="11" s="1"/>
  <c r="J109" i="11" a="1"/>
  <c r="J109" i="11" s="1"/>
  <c r="K109" i="11" a="1"/>
  <c r="K109" i="11" s="1"/>
  <c r="L109" i="11" a="1"/>
  <c r="L109" i="11" s="1"/>
  <c r="M109" i="11" a="1"/>
  <c r="M109" i="11" s="1"/>
  <c r="N109" i="11" a="1"/>
  <c r="N109" i="11" s="1"/>
  <c r="A155" i="11"/>
  <c r="C108" i="11" a="1"/>
  <c r="C108" i="11" s="1"/>
  <c r="D108" i="11" a="1"/>
  <c r="D108" i="11" s="1"/>
  <c r="E108" i="11" a="1"/>
  <c r="E108" i="11" s="1"/>
  <c r="F108" i="11" a="1"/>
  <c r="F108" i="11" s="1"/>
  <c r="G108" i="11" a="1"/>
  <c r="G108" i="11" s="1"/>
  <c r="H108" i="11" a="1"/>
  <c r="H108" i="11" s="1"/>
  <c r="I108" i="11" a="1"/>
  <c r="I108" i="11" s="1"/>
  <c r="J108" i="11" a="1"/>
  <c r="J108" i="11" s="1"/>
  <c r="K108" i="11" a="1"/>
  <c r="K108" i="11" s="1"/>
  <c r="L108" i="11" a="1"/>
  <c r="L108" i="11" s="1"/>
  <c r="M108" i="11" a="1"/>
  <c r="M108" i="11" s="1"/>
  <c r="N108" i="11" a="1"/>
  <c r="N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s="1" a="1"/>
  <c r="M106" i="11" s="1"/>
  <c r="A152" i="11"/>
  <c r="C105" i="11" a="1"/>
  <c r="C105" i="11" s="1"/>
  <c r="D105" i="11" a="1"/>
  <c r="D105" i="11" s="1"/>
  <c r="E105" i="11" s="1" a="1"/>
  <c r="E105" i="11" s="1"/>
  <c r="A151" i="11"/>
  <c r="C104" i="11" a="1"/>
  <c r="C104" i="11" s="1"/>
  <c r="D104" i="11" a="1"/>
  <c r="D104" i="11" s="1"/>
  <c r="E104" i="11" s="1" a="1"/>
  <c r="E104" i="11" s="1"/>
  <c r="A150" i="11"/>
  <c r="C103" i="11" a="1"/>
  <c r="C103" i="11" s="1"/>
  <c r="D103" i="11" a="1"/>
  <c r="D103" i="11" s="1"/>
  <c r="E103" i="11" s="1" a="1"/>
  <c r="E103" i="11" s="1"/>
  <c r="A149" i="11"/>
  <c r="C102" i="11" a="1"/>
  <c r="C102" i="11" s="1"/>
  <c r="D102" i="11" s="1" a="1"/>
  <c r="D102" i="11" s="1"/>
  <c r="A148" i="11"/>
  <c r="G44" i="11"/>
  <c r="F97" i="11" a="1"/>
  <c r="F97" i="11" s="1"/>
  <c r="I47" i="11"/>
  <c r="I48" i="11"/>
  <c r="J5" i="11"/>
  <c r="D26" i="10"/>
  <c r="D93" i="1"/>
  <c r="D50" i="14" s="1"/>
  <c r="E11" i="9"/>
  <c r="L48" i="36"/>
  <c r="AG37" i="36"/>
  <c r="BB37" i="36"/>
  <c r="K48" i="36"/>
  <c r="AF37" i="36"/>
  <c r="BA37" i="36"/>
  <c r="J48" i="36"/>
  <c r="AE37" i="36"/>
  <c r="AZ37" i="36"/>
  <c r="I48" i="36"/>
  <c r="AD37" i="36"/>
  <c r="AY37" i="36"/>
  <c r="H48" i="36"/>
  <c r="AC37" i="36"/>
  <c r="AX37" i="36"/>
  <c r="G48" i="36"/>
  <c r="AB37" i="36"/>
  <c r="AW37" i="36"/>
  <c r="F48" i="36"/>
  <c r="AA37" i="36"/>
  <c r="AV37" i="36"/>
  <c r="E48" i="36"/>
  <c r="Z37" i="36"/>
  <c r="AU37" i="36"/>
  <c r="D48" i="36"/>
  <c r="Y37" i="36"/>
  <c r="AT37" i="36"/>
  <c r="AG22" i="36"/>
  <c r="BB22" i="36"/>
  <c r="AG21" i="36"/>
  <c r="BB21" i="36"/>
  <c r="AF22" i="36"/>
  <c r="BA22" i="36"/>
  <c r="BA21" i="36"/>
  <c r="AF21" i="36"/>
  <c r="AD22" i="36"/>
  <c r="AY22" i="36"/>
  <c r="AY21" i="36"/>
  <c r="AD21" i="36"/>
  <c r="AC22" i="36"/>
  <c r="AX22" i="36"/>
  <c r="AC21" i="36"/>
  <c r="AX21" i="36"/>
  <c r="AW22" i="36"/>
  <c r="AB22" i="36"/>
  <c r="AB21" i="36"/>
  <c r="AW21" i="36"/>
  <c r="AA22" i="36"/>
  <c r="AV22" i="36"/>
  <c r="AA21" i="36"/>
  <c r="AV21" i="36"/>
  <c r="AU22" i="36"/>
  <c r="Z22" i="36"/>
  <c r="AU21" i="36"/>
  <c r="Z21" i="36"/>
  <c r="Y22" i="36"/>
  <c r="AT22" i="36"/>
  <c r="Y21" i="36"/>
  <c r="AT21" i="36"/>
  <c r="AW20" i="36"/>
  <c r="AB20" i="36"/>
  <c r="AB19" i="36"/>
  <c r="AW19" i="36"/>
  <c r="AV20" i="36"/>
  <c r="AA20" i="36"/>
  <c r="AA19" i="36"/>
  <c r="AV19" i="36"/>
  <c r="BB18" i="36"/>
  <c r="AG18" i="36"/>
  <c r="AG17" i="36"/>
  <c r="BB17" i="36"/>
  <c r="BA18" i="36"/>
  <c r="AF18" i="36"/>
  <c r="AF17" i="36"/>
  <c r="BA17" i="36"/>
  <c r="AZ18" i="36"/>
  <c r="AE18" i="36"/>
  <c r="AE17" i="36"/>
  <c r="AZ17" i="36"/>
  <c r="AY18" i="36"/>
  <c r="AD18" i="36"/>
  <c r="AD17" i="36"/>
  <c r="AY17" i="36"/>
  <c r="AX18" i="36"/>
  <c r="AC18" i="36"/>
  <c r="AC17" i="36"/>
  <c r="AX17" i="36"/>
  <c r="M74" i="28"/>
  <c r="L72" i="23"/>
  <c r="W39" i="28"/>
  <c r="W46" i="28" s="1"/>
  <c r="W52" i="28" s="1"/>
  <c r="V46" i="28"/>
  <c r="V52" i="28" s="1"/>
  <c r="N29" i="28"/>
  <c r="M62" i="28"/>
  <c r="M66" i="23" s="1"/>
  <c r="N29" i="26"/>
  <c r="M62" i="26"/>
  <c r="M65" i="23" s="1"/>
  <c r="M62" i="27"/>
  <c r="M67" i="23" s="1"/>
  <c r="N29" i="27"/>
  <c r="R25" i="23"/>
  <c r="H86" i="11"/>
  <c r="H77" i="11"/>
  <c r="H62" i="11"/>
  <c r="H128" i="18"/>
  <c r="F128" i="18"/>
  <c r="K62" i="17"/>
  <c r="J62" i="17"/>
  <c r="L28" i="16"/>
  <c r="M28" i="16" s="1"/>
  <c r="N28" i="16" s="1"/>
  <c r="H76" i="11"/>
  <c r="H71" i="11"/>
  <c r="H68" i="11"/>
  <c r="H95" i="11"/>
  <c r="H92" i="11"/>
  <c r="H91" i="11"/>
  <c r="H90" i="11"/>
  <c r="H89" i="11"/>
  <c r="H88" i="11"/>
  <c r="H87" i="11"/>
  <c r="H67" i="11"/>
  <c r="H65" i="11"/>
  <c r="U60" i="27"/>
  <c r="V60" i="27"/>
  <c r="H78" i="11"/>
  <c r="O26" i="23"/>
  <c r="L26" i="23"/>
  <c r="L36" i="23" s="1"/>
  <c r="L39" i="23" s="1"/>
  <c r="W27" i="23"/>
  <c r="M27" i="23"/>
  <c r="M36" i="23" s="1"/>
  <c r="M39" i="23" s="1"/>
  <c r="U25" i="23"/>
  <c r="T27" i="23"/>
  <c r="O27" i="23"/>
  <c r="N25" i="23"/>
  <c r="H81" i="11"/>
  <c r="H72" i="11"/>
  <c r="V26" i="23"/>
  <c r="S26" i="23"/>
  <c r="N26" i="23"/>
  <c r="W25" i="23"/>
  <c r="O69" i="27"/>
  <c r="O70" i="27" s="1"/>
  <c r="O60" i="27"/>
  <c r="N69" i="27"/>
  <c r="N70" i="27" s="1"/>
  <c r="N60" i="27"/>
  <c r="M69" i="27"/>
  <c r="M70" i="27" s="1"/>
  <c r="M60" i="27"/>
  <c r="L69" i="27"/>
  <c r="L70" i="27" s="1"/>
  <c r="L60" i="27"/>
  <c r="R32" i="27"/>
  <c r="R60" i="27" s="1"/>
  <c r="R68" i="27"/>
  <c r="R70" i="27" s="1"/>
  <c r="Q32" i="27"/>
  <c r="Q68" i="27"/>
  <c r="T68" i="27"/>
  <c r="T70" i="27" s="1"/>
  <c r="T32" i="27"/>
  <c r="T60" i="27" s="1"/>
  <c r="S32" i="27"/>
  <c r="S60" i="27" s="1"/>
  <c r="S68" i="27"/>
  <c r="S70" i="27" s="1"/>
  <c r="P32" i="27"/>
  <c r="P60" i="27" s="1"/>
  <c r="P68" i="27"/>
  <c r="P70" i="27" s="1"/>
  <c r="N69" i="26"/>
  <c r="N70" i="26" s="1"/>
  <c r="N60" i="26"/>
  <c r="M69" i="26"/>
  <c r="M70" i="26" s="1"/>
  <c r="M60" i="26"/>
  <c r="L69" i="26"/>
  <c r="L70" i="26" s="1"/>
  <c r="L60" i="26"/>
  <c r="K22" i="1"/>
  <c r="K40" i="7" s="1"/>
  <c r="K44" i="7" s="1"/>
  <c r="K29" i="19"/>
  <c r="P49" i="18"/>
  <c r="P54" i="18" s="1"/>
  <c r="P37" i="18"/>
  <c r="R28" i="13"/>
  <c r="T17" i="13"/>
  <c r="V17" i="13" s="1"/>
  <c r="X17" i="13" s="1"/>
  <c r="Z17" i="13" s="1"/>
  <c r="AB17" i="13" s="1"/>
  <c r="AD17" i="13" s="1"/>
  <c r="W14" i="13"/>
  <c r="X14" i="13" s="1"/>
  <c r="Z14" i="13" s="1"/>
  <c r="AB14" i="13" s="1"/>
  <c r="AD14" i="13" s="1"/>
  <c r="Q13" i="13"/>
  <c r="W11" i="13"/>
  <c r="X11" i="13" s="1"/>
  <c r="W10" i="13"/>
  <c r="X10" i="13" s="1"/>
  <c r="Z10" i="13" s="1"/>
  <c r="AB10" i="13" s="1"/>
  <c r="AD10" i="13" s="1"/>
  <c r="O15" i="13"/>
  <c r="P15" i="13" s="1"/>
  <c r="R15" i="13" s="1"/>
  <c r="T15" i="13" s="1"/>
  <c r="V15" i="13" s="1"/>
  <c r="X15" i="13" s="1"/>
  <c r="Z15" i="13" s="1"/>
  <c r="AB15" i="13" s="1"/>
  <c r="AD15" i="13" s="1"/>
  <c r="S16" i="13"/>
  <c r="O7" i="13"/>
  <c r="Z21" i="12"/>
  <c r="AA21" i="12" s="1"/>
  <c r="AC21" i="12" s="1"/>
  <c r="AE21" i="12" s="1"/>
  <c r="V18" i="12"/>
  <c r="W18" i="12" s="1"/>
  <c r="X5" i="12"/>
  <c r="Y5" i="12" s="1"/>
  <c r="AA5" i="12" s="1"/>
  <c r="AC5" i="12" s="1"/>
  <c r="AE5" i="12" s="1"/>
  <c r="V17" i="12"/>
  <c r="X19" i="12"/>
  <c r="Y19" i="12" s="1"/>
  <c r="AA19" i="12" s="1"/>
  <c r="AC19" i="12" s="1"/>
  <c r="AE19" i="12" s="1"/>
  <c r="R24" i="12"/>
  <c r="S24" i="12" s="1"/>
  <c r="U24" i="12" s="1"/>
  <c r="W24" i="12" s="1"/>
  <c r="Y24" i="12" s="1"/>
  <c r="AA24" i="12" s="1"/>
  <c r="AC24" i="12" s="1"/>
  <c r="AE24" i="12" s="1"/>
  <c r="R25" i="12"/>
  <c r="S25" i="12" s="1"/>
  <c r="U25" i="12" s="1"/>
  <c r="W25" i="12" s="1"/>
  <c r="Y25" i="12" s="1"/>
  <c r="AA25" i="12" s="1"/>
  <c r="AC25" i="12" s="1"/>
  <c r="AE25" i="12" s="1"/>
  <c r="Z26" i="12"/>
  <c r="AA26" i="12" s="1"/>
  <c r="AC26" i="12" s="1"/>
  <c r="AE26" i="12" s="1"/>
  <c r="R22" i="12"/>
  <c r="S22" i="12" s="1"/>
  <c r="U22" i="12" s="1"/>
  <c r="W22" i="12" s="1"/>
  <c r="Y22" i="12" s="1"/>
  <c r="AA22" i="12" s="1"/>
  <c r="AC22" i="12" s="1"/>
  <c r="AE22" i="12" s="1"/>
  <c r="R29" i="12"/>
  <c r="S29" i="12" s="1"/>
  <c r="U29" i="12" s="1"/>
  <c r="W29" i="12" s="1"/>
  <c r="Y29" i="12" s="1"/>
  <c r="AA29" i="12" s="1"/>
  <c r="AC29" i="12" s="1"/>
  <c r="AE29" i="12" s="1"/>
  <c r="AF29" i="12" s="1"/>
  <c r="AF43" i="12" s="1"/>
  <c r="R6" i="12"/>
  <c r="S6" i="12" s="1"/>
  <c r="U6" i="12" s="1"/>
  <c r="W6" i="12" s="1"/>
  <c r="Y6" i="12" s="1"/>
  <c r="AA6" i="12" s="1"/>
  <c r="AC6" i="12" s="1"/>
  <c r="AE6" i="12" s="1"/>
  <c r="J13" i="12"/>
  <c r="K13" i="12"/>
  <c r="M13" i="12" s="1"/>
  <c r="O13" i="12" s="1"/>
  <c r="Q13" i="12" s="1"/>
  <c r="S13" i="12" s="1"/>
  <c r="U13" i="12" s="1"/>
  <c r="W13" i="12" s="1"/>
  <c r="Y13" i="12" s="1"/>
  <c r="AA13" i="12" s="1"/>
  <c r="AC13" i="12" s="1"/>
  <c r="AE13" i="12" s="1"/>
  <c r="R23" i="12"/>
  <c r="S23" i="12" s="1"/>
  <c r="U23" i="12" s="1"/>
  <c r="W23" i="12" s="1"/>
  <c r="Y23" i="12" s="1"/>
  <c r="AA23" i="12" s="1"/>
  <c r="AC23" i="12" s="1"/>
  <c r="AE23" i="12" s="1"/>
  <c r="J14" i="12"/>
  <c r="K14" i="12"/>
  <c r="M14" i="12" s="1"/>
  <c r="O14" i="12" s="1"/>
  <c r="Q14" i="12" s="1"/>
  <c r="S14" i="12" s="1"/>
  <c r="U14" i="12" s="1"/>
  <c r="W14" i="12" s="1"/>
  <c r="Y14" i="12" s="1"/>
  <c r="AA14" i="12" s="1"/>
  <c r="AC14" i="12" s="1"/>
  <c r="AE14" i="12" s="1"/>
  <c r="P20" i="12"/>
  <c r="Q20" i="12" s="1"/>
  <c r="S20" i="12" s="1"/>
  <c r="U20" i="12" s="1"/>
  <c r="W20" i="12" s="1"/>
  <c r="J12" i="12"/>
  <c r="J43" i="12" s="1"/>
  <c r="C68" i="1" s="1"/>
  <c r="C59" i="7" s="1"/>
  <c r="C62" i="7" s="1"/>
  <c r="K12" i="12"/>
  <c r="M37" i="11"/>
  <c r="N37" i="11" s="1"/>
  <c r="O37" i="11" s="1"/>
  <c r="P37" i="11" s="1"/>
  <c r="Q37" i="11" s="1"/>
  <c r="R37" i="11" s="1"/>
  <c r="S37" i="11" s="1"/>
  <c r="T37" i="11" s="1"/>
  <c r="U37" i="11" s="1"/>
  <c r="V37" i="11" s="1"/>
  <c r="W37" i="11" s="1"/>
  <c r="X37" i="11" s="1"/>
  <c r="G93" i="11"/>
  <c r="H93" i="11" s="1"/>
  <c r="F74" i="11" a="1"/>
  <c r="F74" i="11" s="1"/>
  <c r="F72" i="11" a="1"/>
  <c r="F72" i="11" s="1"/>
  <c r="F68" i="11" a="1"/>
  <c r="F68" i="11" s="1"/>
  <c r="F73" i="11" a="1"/>
  <c r="F73" i="11" s="1"/>
  <c r="F78" i="11" a="1"/>
  <c r="F78" i="11" s="1"/>
  <c r="F86" i="11" a="1"/>
  <c r="F86" i="11" s="1"/>
  <c r="F64" i="11" a="1"/>
  <c r="F64" i="11" s="1"/>
  <c r="F75" i="11" a="1"/>
  <c r="F75" i="11" s="1"/>
  <c r="F79" i="11" a="1"/>
  <c r="F79" i="11" s="1"/>
  <c r="F85" i="11" a="1"/>
  <c r="F85" i="11" s="1"/>
  <c r="F88" i="11" a="1"/>
  <c r="F88" i="11" s="1"/>
  <c r="F67" i="11" a="1"/>
  <c r="F67" i="11" s="1"/>
  <c r="F80" i="11" a="1"/>
  <c r="F80" i="11" s="1"/>
  <c r="F70" i="11" a="1"/>
  <c r="F70" i="11" s="1"/>
  <c r="J70" i="11" s="1"/>
  <c r="F65" i="11" a="1"/>
  <c r="F65" i="11" s="1"/>
  <c r="F63" i="11" a="1"/>
  <c r="F63" i="11" s="1"/>
  <c r="F91" i="11" a="1"/>
  <c r="F91" i="11" s="1"/>
  <c r="F92" i="11" a="1"/>
  <c r="F92" i="11" s="1"/>
  <c r="F61" i="11" a="1"/>
  <c r="F61" i="11" s="1"/>
  <c r="F90" i="11" a="1"/>
  <c r="F90" i="11" s="1"/>
  <c r="F71" i="11" a="1"/>
  <c r="F71" i="11" s="1"/>
  <c r="F77" i="11" a="1"/>
  <c r="F77" i="11" s="1"/>
  <c r="F84" i="11" a="1"/>
  <c r="F84" i="11" s="1"/>
  <c r="F87" i="11" a="1"/>
  <c r="F87" i="11" s="1"/>
  <c r="F93" i="11" a="1"/>
  <c r="F93" i="11" s="1"/>
  <c r="F94" i="11" a="1"/>
  <c r="F94" i="11" s="1"/>
  <c r="F89" i="11" a="1"/>
  <c r="F89" i="11" s="1"/>
  <c r="F83" i="11" a="1"/>
  <c r="F83" i="11" s="1"/>
  <c r="J83" i="11" s="1"/>
  <c r="F82" i="11" a="1"/>
  <c r="F82" i="11" s="1"/>
  <c r="F81" i="11" a="1"/>
  <c r="F81" i="11" s="1"/>
  <c r="F95" i="11" a="1"/>
  <c r="F95" i="11" s="1"/>
  <c r="J95" i="11" s="1"/>
  <c r="F76" i="11" a="1"/>
  <c r="F76" i="11" s="1"/>
  <c r="F69" i="11" a="1"/>
  <c r="F69" i="11" s="1"/>
  <c r="J69" i="11" s="1"/>
  <c r="F66" i="11" a="1"/>
  <c r="F66" i="11" s="1"/>
  <c r="F62" i="11" a="1"/>
  <c r="F62" i="11" s="1"/>
  <c r="U53" i="28"/>
  <c r="U60" i="28" s="1"/>
  <c r="U86" i="23" s="1"/>
  <c r="W57" i="28" l="1"/>
  <c r="W58" i="28" s="1"/>
  <c r="W69" i="28" s="1"/>
  <c r="Q58" i="28"/>
  <c r="W57" i="27"/>
  <c r="W58" i="27" s="1"/>
  <c r="Q58" i="27"/>
  <c r="Q37" i="23"/>
  <c r="W37" i="23" s="1"/>
  <c r="Q36" i="23"/>
  <c r="W57" i="26"/>
  <c r="W58" i="26" s="1"/>
  <c r="W69" i="26" s="1"/>
  <c r="Q58" i="26"/>
  <c r="Q69" i="26" s="1"/>
  <c r="N74" i="27"/>
  <c r="M73" i="23"/>
  <c r="N74" i="26"/>
  <c r="M71" i="23"/>
  <c r="O68" i="26"/>
  <c r="O70" i="26" s="1"/>
  <c r="O32" i="26"/>
  <c r="O60" i="26" s="1"/>
  <c r="P27" i="26"/>
  <c r="P31" i="26" s="1"/>
  <c r="Q68" i="26"/>
  <c r="Q32" i="26"/>
  <c r="Q60" i="26" s="1"/>
  <c r="R25" i="26"/>
  <c r="S7" i="26"/>
  <c r="T28" i="26" s="1"/>
  <c r="R27" i="26"/>
  <c r="Q72" i="26"/>
  <c r="V6" i="26"/>
  <c r="W13" i="26"/>
  <c r="W35" i="23"/>
  <c r="V30" i="23"/>
  <c r="V36" i="23" s="1"/>
  <c r="F33" i="21"/>
  <c r="F78" i="1" s="1"/>
  <c r="F20" i="4" s="1"/>
  <c r="E78" i="1"/>
  <c r="E20" i="4" s="1"/>
  <c r="E19" i="4" s="1"/>
  <c r="J78" i="1"/>
  <c r="J20" i="4" s="1"/>
  <c r="K33" i="21"/>
  <c r="E20" i="36"/>
  <c r="G19" i="4"/>
  <c r="E19" i="36" s="1"/>
  <c r="I63" i="20"/>
  <c r="J68" i="20"/>
  <c r="I70" i="20"/>
  <c r="I69" i="20" s="1"/>
  <c r="E47" i="20"/>
  <c r="E52" i="20" s="1"/>
  <c r="E54" i="20" s="1"/>
  <c r="E58" i="20" s="1"/>
  <c r="E60" i="20" s="1"/>
  <c r="E28" i="1" s="1"/>
  <c r="E18" i="4" s="1"/>
  <c r="E17" i="4" s="1"/>
  <c r="I64" i="20"/>
  <c r="F48" i="20" s="1"/>
  <c r="H65" i="20"/>
  <c r="J44" i="20"/>
  <c r="I34" i="20"/>
  <c r="H38" i="20"/>
  <c r="H42" i="20" s="1"/>
  <c r="G64" i="19"/>
  <c r="F66" i="19"/>
  <c r="F70" i="19" s="1"/>
  <c r="F23" i="1" s="1"/>
  <c r="F14" i="4" s="1"/>
  <c r="F104" i="19"/>
  <c r="F105" i="19" s="1"/>
  <c r="L51" i="19"/>
  <c r="L58" i="19" s="1"/>
  <c r="L62" i="19" s="1"/>
  <c r="L53" i="19"/>
  <c r="I129" i="18"/>
  <c r="I128" i="18" s="1"/>
  <c r="I132" i="18" s="1"/>
  <c r="J124" i="18"/>
  <c r="I123" i="18"/>
  <c r="I113" i="18"/>
  <c r="J112" i="18"/>
  <c r="I62" i="18"/>
  <c r="J96" i="18"/>
  <c r="K96" i="18" s="1"/>
  <c r="L96" i="18" s="1"/>
  <c r="M96" i="18" s="1"/>
  <c r="N96" i="18" s="1"/>
  <c r="F65" i="18"/>
  <c r="F68" i="18" s="1"/>
  <c r="F75" i="18" s="1"/>
  <c r="F71" i="18"/>
  <c r="F80" i="18" s="1"/>
  <c r="H95" i="18"/>
  <c r="G101" i="18"/>
  <c r="F104" i="18"/>
  <c r="F105" i="18" s="1"/>
  <c r="G59" i="18"/>
  <c r="N64" i="18"/>
  <c r="J18" i="1"/>
  <c r="J12" i="4" s="1"/>
  <c r="H12" i="36" s="1"/>
  <c r="AB12" i="36"/>
  <c r="AW12" i="36"/>
  <c r="P51" i="18"/>
  <c r="O52" i="18"/>
  <c r="M45" i="18"/>
  <c r="L49" i="18"/>
  <c r="L54" i="18" s="1"/>
  <c r="O54" i="18"/>
  <c r="O57" i="18"/>
  <c r="M40" i="17"/>
  <c r="M45" i="17" s="1"/>
  <c r="M53" i="17" s="1"/>
  <c r="N48" i="17"/>
  <c r="L33" i="1"/>
  <c r="L16" i="4" s="1"/>
  <c r="L56" i="17"/>
  <c r="L61" i="17" s="1"/>
  <c r="AY16" i="36"/>
  <c r="AD16" i="36"/>
  <c r="AD15" i="36"/>
  <c r="AY15" i="36"/>
  <c r="AC16" i="36"/>
  <c r="AX16" i="36"/>
  <c r="AC15" i="36"/>
  <c r="AX15" i="36"/>
  <c r="AW16" i="36"/>
  <c r="AB16" i="36"/>
  <c r="AB15" i="36"/>
  <c r="AW15" i="36"/>
  <c r="AA16" i="36"/>
  <c r="AV16" i="36"/>
  <c r="AA15" i="36"/>
  <c r="AV15" i="36"/>
  <c r="AU16" i="36"/>
  <c r="Z16" i="36"/>
  <c r="Z15" i="36"/>
  <c r="AU15" i="36"/>
  <c r="Y16" i="36"/>
  <c r="AT16" i="36"/>
  <c r="Y15" i="36"/>
  <c r="AT15" i="36"/>
  <c r="I55" i="16"/>
  <c r="I60" i="16" s="1"/>
  <c r="I7" i="1" s="1"/>
  <c r="I7" i="4" s="1"/>
  <c r="J21" i="16"/>
  <c r="J25" i="16" s="1"/>
  <c r="D7" i="36"/>
  <c r="F6" i="4"/>
  <c r="D6" i="36" s="1"/>
  <c r="E7" i="36"/>
  <c r="G6" i="4"/>
  <c r="E6" i="36" s="1"/>
  <c r="G7" i="36"/>
  <c r="I6" i="4"/>
  <c r="G6" i="36" s="1"/>
  <c r="F7" i="36"/>
  <c r="H6" i="4"/>
  <c r="F6" i="36" s="1"/>
  <c r="F32" i="16"/>
  <c r="E96" i="1"/>
  <c r="E24" i="7" s="1"/>
  <c r="M37" i="16"/>
  <c r="L45" i="16"/>
  <c r="L60" i="16" s="1"/>
  <c r="K61" i="16"/>
  <c r="K7" i="1"/>
  <c r="K7" i="4" s="1"/>
  <c r="H7" i="36"/>
  <c r="J6" i="4"/>
  <c r="H6" i="36" s="1"/>
  <c r="G4" i="15"/>
  <c r="F8" i="15"/>
  <c r="E10" i="15"/>
  <c r="D50" i="1" s="1"/>
  <c r="D42" i="4" s="1"/>
  <c r="E12" i="15"/>
  <c r="D49" i="1"/>
  <c r="D24" i="4" s="1"/>
  <c r="D23" i="4" s="1"/>
  <c r="AG30" i="36"/>
  <c r="BB30" i="36"/>
  <c r="AF30" i="36"/>
  <c r="BA30" i="36"/>
  <c r="AE22" i="36"/>
  <c r="AZ22" i="36"/>
  <c r="AE21" i="36"/>
  <c r="AZ21" i="36"/>
  <c r="Q4" i="12"/>
  <c r="P43" i="12"/>
  <c r="F68" i="1" s="1"/>
  <c r="F59" i="7" s="1"/>
  <c r="F62" i="7" s="1"/>
  <c r="F64" i="7" s="1"/>
  <c r="D138" i="11"/>
  <c r="C139" i="11" a="1"/>
  <c r="C139" i="11" s="1"/>
  <c r="D139" i="11" a="1"/>
  <c r="D139" i="11" s="1"/>
  <c r="J47" i="11"/>
  <c r="J45" i="11" s="1"/>
  <c r="J48" i="11"/>
  <c r="K5" i="11"/>
  <c r="E26" i="10"/>
  <c r="F11" i="9"/>
  <c r="E93" i="1"/>
  <c r="E50" i="14" s="1"/>
  <c r="AG48" i="36"/>
  <c r="BB48" i="36"/>
  <c r="AF48" i="36"/>
  <c r="BA48" i="36"/>
  <c r="AE48" i="36"/>
  <c r="AZ48" i="36"/>
  <c r="AD48" i="36"/>
  <c r="AY48" i="36"/>
  <c r="AC48" i="36"/>
  <c r="AX48" i="36"/>
  <c r="AB48" i="36"/>
  <c r="AW48" i="36"/>
  <c r="AA48" i="36"/>
  <c r="AV48" i="36"/>
  <c r="Z48" i="36"/>
  <c r="AU48" i="36"/>
  <c r="Y48" i="36"/>
  <c r="AT48" i="36"/>
  <c r="N74" i="28"/>
  <c r="M72" i="23"/>
  <c r="W53" i="28"/>
  <c r="W60" i="28" s="1"/>
  <c r="W86" i="23" s="1"/>
  <c r="V53" i="28"/>
  <c r="V60" i="28" s="1"/>
  <c r="V86" i="23" s="1"/>
  <c r="N68" i="28"/>
  <c r="N70" i="28" s="1"/>
  <c r="N7" i="23" s="1"/>
  <c r="O29" i="28"/>
  <c r="N62" i="28"/>
  <c r="N66" i="23" s="1"/>
  <c r="O29" i="27"/>
  <c r="N62" i="27"/>
  <c r="N67" i="23" s="1"/>
  <c r="R36" i="23"/>
  <c r="R37" i="23"/>
  <c r="H61" i="18"/>
  <c r="H132" i="18"/>
  <c r="F61" i="18"/>
  <c r="F109" i="18"/>
  <c r="F132" i="18"/>
  <c r="U85" i="23"/>
  <c r="L55" i="1"/>
  <c r="V85" i="23"/>
  <c r="M55" i="1"/>
  <c r="L20" i="23"/>
  <c r="C95" i="1"/>
  <c r="C16" i="7" s="1"/>
  <c r="D95" i="1"/>
  <c r="D16" i="7" s="1"/>
  <c r="M20" i="23"/>
  <c r="T36" i="23"/>
  <c r="T37" i="23"/>
  <c r="O8" i="23"/>
  <c r="F56" i="1"/>
  <c r="O85" i="23"/>
  <c r="F55" i="1"/>
  <c r="N8" i="23"/>
  <c r="E56" i="1"/>
  <c r="N85" i="23"/>
  <c r="E55" i="1"/>
  <c r="M8" i="23"/>
  <c r="D56" i="1"/>
  <c r="M85" i="23"/>
  <c r="D55" i="1"/>
  <c r="L8" i="23"/>
  <c r="C56" i="1"/>
  <c r="L85" i="23"/>
  <c r="C55" i="1"/>
  <c r="R85" i="23"/>
  <c r="I55" i="1"/>
  <c r="R8" i="23"/>
  <c r="I56" i="1"/>
  <c r="T8" i="23"/>
  <c r="K56" i="1"/>
  <c r="T85" i="23"/>
  <c r="K55" i="1"/>
  <c r="S85" i="23"/>
  <c r="J55" i="1"/>
  <c r="S8" i="23"/>
  <c r="J56" i="1"/>
  <c r="P85" i="23"/>
  <c r="G55" i="1"/>
  <c r="P8" i="23"/>
  <c r="G56" i="1"/>
  <c r="N6" i="23"/>
  <c r="N10" i="23" s="1"/>
  <c r="E58" i="1" s="1"/>
  <c r="E14" i="7" s="1"/>
  <c r="E47" i="1"/>
  <c r="N84" i="23"/>
  <c r="N87" i="23" s="1"/>
  <c r="E59" i="1" s="1"/>
  <c r="E5" i="7" s="1"/>
  <c r="E11" i="7" s="1"/>
  <c r="E46" i="1"/>
  <c r="M6" i="23"/>
  <c r="M10" i="23" s="1"/>
  <c r="D58" i="1" s="1"/>
  <c r="D14" i="7" s="1"/>
  <c r="D18" i="7" s="1"/>
  <c r="D47" i="1"/>
  <c r="M84" i="23"/>
  <c r="M87" i="23" s="1"/>
  <c r="D59" i="1" s="1"/>
  <c r="D5" i="7" s="1"/>
  <c r="D11" i="7" s="1"/>
  <c r="D20" i="7" s="1"/>
  <c r="D46" i="1"/>
  <c r="L6" i="23"/>
  <c r="L10" i="23" s="1"/>
  <c r="C58" i="1" s="1"/>
  <c r="C14" i="7" s="1"/>
  <c r="C18" i="7" s="1"/>
  <c r="C47" i="1"/>
  <c r="L84" i="23"/>
  <c r="L87" i="23" s="1"/>
  <c r="C59" i="1" s="1"/>
  <c r="C5" i="7" s="1"/>
  <c r="C11" i="7" s="1"/>
  <c r="C20" i="7" s="1"/>
  <c r="C46" i="1"/>
  <c r="Y11" i="13"/>
  <c r="Z11" i="13" s="1"/>
  <c r="AB11" i="13" s="1"/>
  <c r="AD11" i="13" s="1"/>
  <c r="X18" i="12"/>
  <c r="Y18" i="12" s="1"/>
  <c r="AA18" i="12" s="1"/>
  <c r="AC18" i="12" s="1"/>
  <c r="AE18" i="12" s="1"/>
  <c r="X20" i="12"/>
  <c r="Y20" i="12" s="1"/>
  <c r="AA20" i="12" s="1"/>
  <c r="AC20" i="12" s="1"/>
  <c r="AE20" i="12" s="1"/>
  <c r="L74" i="23"/>
  <c r="M68" i="23"/>
  <c r="D105" i="1" s="1"/>
  <c r="D42" i="14" s="1"/>
  <c r="O36" i="23"/>
  <c r="O39" i="23" s="1"/>
  <c r="N36" i="23"/>
  <c r="N39" i="23" s="1"/>
  <c r="Z43" i="12"/>
  <c r="K68" i="1" s="1"/>
  <c r="K59" i="7" s="1"/>
  <c r="L45" i="23"/>
  <c r="M45" i="23"/>
  <c r="P39" i="23"/>
  <c r="V37" i="23"/>
  <c r="F60" i="18"/>
  <c r="F79" i="18"/>
  <c r="M15" i="18"/>
  <c r="M10" i="18"/>
  <c r="L15" i="18"/>
  <c r="L10" i="18"/>
  <c r="J15" i="18"/>
  <c r="J10" i="18"/>
  <c r="H15" i="18"/>
  <c r="H19" i="18" s="1"/>
  <c r="H10" i="18"/>
  <c r="G15" i="18"/>
  <c r="G10" i="18"/>
  <c r="F15" i="18"/>
  <c r="F19" i="18" s="1"/>
  <c r="F10" i="18"/>
  <c r="F11" i="18" s="1"/>
  <c r="G11" i="18" s="1"/>
  <c r="H11" i="18" s="1"/>
  <c r="I11" i="18" s="1"/>
  <c r="J11" i="18" s="1"/>
  <c r="K11" i="18" s="1"/>
  <c r="L11" i="18" s="1"/>
  <c r="M11" i="18" s="1"/>
  <c r="N11" i="18" s="1"/>
  <c r="P64" i="16"/>
  <c r="O64" i="16"/>
  <c r="N64" i="16"/>
  <c r="L19" i="13"/>
  <c r="J23" i="13"/>
  <c r="D71" i="1" s="1"/>
  <c r="D31" i="4" s="1"/>
  <c r="J24" i="13"/>
  <c r="L136" i="11" a="1"/>
  <c r="L136" i="11" s="1"/>
  <c r="E135" i="11" a="1"/>
  <c r="E135" i="11" s="1"/>
  <c r="F134" i="11" a="1"/>
  <c r="F134" i="11" s="1"/>
  <c r="E133" i="11" a="1"/>
  <c r="E133" i="11" s="1"/>
  <c r="L133" i="11" a="1"/>
  <c r="L133" i="11" s="1"/>
  <c r="H132" i="11" a="1"/>
  <c r="H132" i="11" s="1"/>
  <c r="H131" i="11" a="1"/>
  <c r="H131" i="11" s="1"/>
  <c r="F130" i="11" a="1"/>
  <c r="F130" i="11" s="1"/>
  <c r="E129" i="11" a="1"/>
  <c r="E129" i="11" s="1"/>
  <c r="E127" i="11" a="1"/>
  <c r="E127" i="11" s="1"/>
  <c r="F126" i="11" a="1"/>
  <c r="F126" i="11" s="1"/>
  <c r="F125" i="11" a="1"/>
  <c r="F125" i="11" s="1"/>
  <c r="J122" i="11" a="1"/>
  <c r="J122" i="11" s="1"/>
  <c r="E121" i="11" a="1"/>
  <c r="E121" i="11" s="1"/>
  <c r="F120" i="11" a="1"/>
  <c r="F120" i="11" s="1"/>
  <c r="F119" i="11" a="1"/>
  <c r="F119" i="11" s="1"/>
  <c r="I118" i="11" a="1"/>
  <c r="I118" i="11" s="1"/>
  <c r="F117" i="11" a="1"/>
  <c r="F117" i="11" s="1"/>
  <c r="E116" i="11" a="1"/>
  <c r="E116" i="11" s="1"/>
  <c r="F115" i="11" a="1"/>
  <c r="F115" i="11" s="1"/>
  <c r="E114" i="11" a="1"/>
  <c r="E114" i="11" s="1"/>
  <c r="G113" i="11" a="1"/>
  <c r="G113" i="11" s="1"/>
  <c r="F112" i="11" a="1"/>
  <c r="F112" i="11" s="1"/>
  <c r="N106" i="11" a="1"/>
  <c r="N106" i="11" s="1"/>
  <c r="F105" i="11" a="1"/>
  <c r="F105" i="11" s="1"/>
  <c r="F104" i="11" a="1"/>
  <c r="F104" i="11" s="1"/>
  <c r="F103" i="11" a="1"/>
  <c r="F103" i="11" s="1"/>
  <c r="E102" i="11" a="1"/>
  <c r="E102" i="11" s="1"/>
  <c r="J73" i="11"/>
  <c r="K73" i="11"/>
  <c r="J64" i="11"/>
  <c r="K64" i="11"/>
  <c r="J62" i="11"/>
  <c r="K83" i="11"/>
  <c r="J82" i="11"/>
  <c r="K82" i="11" s="1"/>
  <c r="K70" i="11"/>
  <c r="K69" i="11"/>
  <c r="J68" i="11"/>
  <c r="K68" i="11" s="1"/>
  <c r="J67" i="11"/>
  <c r="K67" i="11" s="1"/>
  <c r="J66" i="11"/>
  <c r="K66" i="11" s="1"/>
  <c r="J65" i="11"/>
  <c r="K65" i="11" s="1"/>
  <c r="J63" i="11"/>
  <c r="K63" i="11" s="1"/>
  <c r="K62" i="11"/>
  <c r="K94" i="11"/>
  <c r="J86" i="11"/>
  <c r="K86" i="11"/>
  <c r="J72" i="11"/>
  <c r="K72" i="11"/>
  <c r="K95" i="11"/>
  <c r="J89" i="11"/>
  <c r="K89" i="11"/>
  <c r="J88" i="11"/>
  <c r="K88" i="11"/>
  <c r="J87" i="11"/>
  <c r="K87" i="11"/>
  <c r="J77" i="11"/>
  <c r="K77" i="11"/>
  <c r="J75" i="11"/>
  <c r="K75" i="11" s="1"/>
  <c r="J74" i="11"/>
  <c r="K74" i="11"/>
  <c r="J92" i="11"/>
  <c r="K92" i="11" s="1"/>
  <c r="J91" i="11"/>
  <c r="K91" i="11"/>
  <c r="J90" i="11"/>
  <c r="K90" i="11"/>
  <c r="J84" i="11"/>
  <c r="K84" i="11" s="1"/>
  <c r="J80" i="11"/>
  <c r="K80" i="11"/>
  <c r="J79" i="11"/>
  <c r="K79" i="11"/>
  <c r="J76" i="11"/>
  <c r="K76" i="11" s="1"/>
  <c r="J71" i="11"/>
  <c r="K71" i="11" s="1"/>
  <c r="J61" i="11"/>
  <c r="K61" i="11" s="1"/>
  <c r="K97" i="11" s="1" a="1"/>
  <c r="K97" i="11" s="1"/>
  <c r="K93" i="11"/>
  <c r="J81" i="11"/>
  <c r="K81" i="11" s="1"/>
  <c r="J85" i="11"/>
  <c r="K85" i="11" s="1"/>
  <c r="J78" i="11"/>
  <c r="K78" i="11" s="1"/>
  <c r="N62" i="26"/>
  <c r="N65" i="23" s="1"/>
  <c r="O29" i="26"/>
  <c r="O62" i="26" s="1"/>
  <c r="O65" i="23" s="1"/>
  <c r="U37" i="23"/>
  <c r="U36" i="23"/>
  <c r="U39" i="23" s="1"/>
  <c r="S37" i="23"/>
  <c r="S36" i="23"/>
  <c r="S39" i="23" s="1"/>
  <c r="Q33" i="13"/>
  <c r="G73" i="1" s="1"/>
  <c r="G60" i="7" s="1"/>
  <c r="R13" i="13"/>
  <c r="T13" i="13" s="1"/>
  <c r="V13" i="13" s="1"/>
  <c r="X13" i="13" s="1"/>
  <c r="S33" i="13"/>
  <c r="H73" i="1" s="1"/>
  <c r="H60" i="7" s="1"/>
  <c r="H62" i="7" s="1"/>
  <c r="T16" i="13"/>
  <c r="V16" i="13" s="1"/>
  <c r="X16" i="13" s="1"/>
  <c r="O33" i="13"/>
  <c r="F73" i="1" s="1"/>
  <c r="F60" i="7" s="1"/>
  <c r="P7" i="13"/>
  <c r="N23" i="13"/>
  <c r="F71" i="1" s="1"/>
  <c r="F31" i="4" s="1"/>
  <c r="D31" i="36" s="1"/>
  <c r="V43" i="12"/>
  <c r="I68" i="1" s="1"/>
  <c r="I59" i="7" s="1"/>
  <c r="I62" i="7" s="1"/>
  <c r="W17" i="12"/>
  <c r="M12" i="12"/>
  <c r="K34" i="12"/>
  <c r="K33" i="12"/>
  <c r="D66" i="1" s="1"/>
  <c r="D29" i="4" s="1"/>
  <c r="Q60" i="28" l="1"/>
  <c r="Q86" i="23" s="1"/>
  <c r="Q69" i="28"/>
  <c r="W60" i="27"/>
  <c r="W69" i="27"/>
  <c r="W70" i="27" s="1"/>
  <c r="Q60" i="27"/>
  <c r="Q69" i="27"/>
  <c r="Q70" i="27" s="1"/>
  <c r="O74" i="27"/>
  <c r="N73" i="23"/>
  <c r="O74" i="26"/>
  <c r="N71" i="23"/>
  <c r="O6" i="23"/>
  <c r="F47" i="1"/>
  <c r="F46" i="1"/>
  <c r="O84" i="23"/>
  <c r="O87" i="23" s="1"/>
  <c r="F59" i="1" s="1"/>
  <c r="F5" i="7" s="1"/>
  <c r="F11" i="7" s="1"/>
  <c r="P68" i="26"/>
  <c r="P70" i="26" s="1"/>
  <c r="P32" i="26"/>
  <c r="P60" i="26" s="1"/>
  <c r="P72" i="26"/>
  <c r="P29" i="26"/>
  <c r="H46" i="1"/>
  <c r="Q84" i="23"/>
  <c r="T73" i="26"/>
  <c r="S25" i="26"/>
  <c r="T7" i="26"/>
  <c r="S27" i="26"/>
  <c r="R72" i="26"/>
  <c r="W6" i="26"/>
  <c r="U45" i="23"/>
  <c r="L95" i="1"/>
  <c r="L16" i="7" s="1"/>
  <c r="U20" i="23"/>
  <c r="W30" i="23"/>
  <c r="V39" i="23"/>
  <c r="D20" i="36"/>
  <c r="F19" i="4"/>
  <c r="D19" i="36" s="1"/>
  <c r="H20" i="36"/>
  <c r="J19" i="4"/>
  <c r="H19" i="36" s="1"/>
  <c r="L33" i="21"/>
  <c r="K78" i="1"/>
  <c r="K20" i="4" s="1"/>
  <c r="AU20" i="36"/>
  <c r="Z20" i="36"/>
  <c r="Z19" i="36"/>
  <c r="AU19" i="36"/>
  <c r="F47" i="20"/>
  <c r="F52" i="20" s="1"/>
  <c r="F54" i="20" s="1"/>
  <c r="F58" i="20" s="1"/>
  <c r="F60" i="20" s="1"/>
  <c r="F28" i="1" s="1"/>
  <c r="F18" i="4" s="1"/>
  <c r="J64" i="20"/>
  <c r="I65" i="20"/>
  <c r="J70" i="20"/>
  <c r="J69" i="20" s="1"/>
  <c r="J63" i="20"/>
  <c r="K68" i="20"/>
  <c r="I38" i="20"/>
  <c r="I42" i="20" s="1"/>
  <c r="J34" i="20"/>
  <c r="J38" i="20" s="1"/>
  <c r="J42" i="20" s="1"/>
  <c r="H64" i="19"/>
  <c r="G66" i="19"/>
  <c r="G70" i="19" s="1"/>
  <c r="D14" i="36"/>
  <c r="F13" i="4"/>
  <c r="D13" i="36" s="1"/>
  <c r="J129" i="18"/>
  <c r="J128" i="18" s="1"/>
  <c r="J132" i="18" s="1"/>
  <c r="K124" i="18"/>
  <c r="J123" i="18"/>
  <c r="J113" i="18"/>
  <c r="J61" i="18" s="1"/>
  <c r="K112" i="18"/>
  <c r="J62" i="18"/>
  <c r="C12" i="1"/>
  <c r="C9" i="4" s="1"/>
  <c r="F76" i="18"/>
  <c r="C17" i="1" s="1"/>
  <c r="C41" i="4" s="1"/>
  <c r="C13" i="1"/>
  <c r="C11" i="4" s="1"/>
  <c r="F78" i="18"/>
  <c r="I95" i="18"/>
  <c r="H101" i="18"/>
  <c r="C95" i="18"/>
  <c r="C101" i="18" s="1"/>
  <c r="G104" i="18"/>
  <c r="G105" i="18" s="1"/>
  <c r="H59" i="18"/>
  <c r="G65" i="18"/>
  <c r="G68" i="18" s="1"/>
  <c r="G71" i="18"/>
  <c r="O64" i="18"/>
  <c r="L18" i="1" s="1"/>
  <c r="L12" i="4" s="1"/>
  <c r="J12" i="36" s="1"/>
  <c r="K18" i="1"/>
  <c r="K12" i="4" s="1"/>
  <c r="I12" i="36" s="1"/>
  <c r="AC12" i="36"/>
  <c r="AX12" i="36"/>
  <c r="Q51" i="18"/>
  <c r="Q52" i="18" s="1"/>
  <c r="P52" i="18"/>
  <c r="N45" i="18"/>
  <c r="N49" i="18" s="1"/>
  <c r="M49" i="18"/>
  <c r="M54" i="18" s="1"/>
  <c r="P57" i="18"/>
  <c r="Q57" i="18"/>
  <c r="O6" i="18"/>
  <c r="O8" i="18" s="1"/>
  <c r="O55" i="18"/>
  <c r="N103" i="18" s="1"/>
  <c r="O91" i="18" s="1"/>
  <c r="O25" i="18" s="1"/>
  <c r="O28" i="18" s="1"/>
  <c r="O56" i="18"/>
  <c r="M33" i="1"/>
  <c r="M16" i="4" s="1"/>
  <c r="M56" i="17"/>
  <c r="M61" i="17" s="1"/>
  <c r="N47" i="17"/>
  <c r="N51" i="17"/>
  <c r="N53" i="17" s="1"/>
  <c r="J16" i="36"/>
  <c r="L15" i="4"/>
  <c r="J15" i="36" s="1"/>
  <c r="L63" i="17"/>
  <c r="L62" i="17"/>
  <c r="J27" i="16"/>
  <c r="J6" i="1"/>
  <c r="J38" i="7" s="1"/>
  <c r="J44" i="7" s="1"/>
  <c r="AT7" i="36"/>
  <c r="Y7" i="36"/>
  <c r="Y6" i="36"/>
  <c r="AT6" i="36"/>
  <c r="AU7" i="36"/>
  <c r="Z7" i="36"/>
  <c r="Z6" i="36"/>
  <c r="AU6" i="36"/>
  <c r="AW7" i="36"/>
  <c r="AB7" i="36"/>
  <c r="AB6" i="36"/>
  <c r="AW6" i="36"/>
  <c r="AV7" i="36"/>
  <c r="AA7" i="36"/>
  <c r="AA6" i="36"/>
  <c r="AV6" i="36"/>
  <c r="G32" i="16"/>
  <c r="F96" i="1"/>
  <c r="F24" i="7" s="1"/>
  <c r="N37" i="16"/>
  <c r="N45" i="16" s="1"/>
  <c r="N60" i="16" s="1"/>
  <c r="M45" i="16"/>
  <c r="M60" i="16" s="1"/>
  <c r="L61" i="16"/>
  <c r="L7" i="1"/>
  <c r="L7" i="4" s="1"/>
  <c r="I7" i="36"/>
  <c r="K6" i="4"/>
  <c r="I6" i="36" s="1"/>
  <c r="AC7" i="36"/>
  <c r="AX7" i="36"/>
  <c r="AC6" i="36"/>
  <c r="AX6" i="36"/>
  <c r="H4" i="15"/>
  <c r="G8" i="15"/>
  <c r="F10" i="15"/>
  <c r="E50" i="1" s="1"/>
  <c r="E42" i="4" s="1"/>
  <c r="F12" i="15"/>
  <c r="E49" i="1"/>
  <c r="E24" i="4" s="1"/>
  <c r="E23" i="4" s="1"/>
  <c r="Q34" i="12"/>
  <c r="R4" i="12"/>
  <c r="S4" i="12"/>
  <c r="D140" i="11"/>
  <c r="C142" i="11"/>
  <c r="C50" i="10"/>
  <c r="E140" i="11"/>
  <c r="D142" i="11"/>
  <c r="D50" i="10"/>
  <c r="K47" i="11"/>
  <c r="K45" i="11" s="1"/>
  <c r="K48" i="11"/>
  <c r="L5" i="11"/>
  <c r="F26" i="10"/>
  <c r="G11" i="9"/>
  <c r="F93" i="1"/>
  <c r="F50" i="14" s="1"/>
  <c r="O74" i="28"/>
  <c r="N72" i="23"/>
  <c r="O68" i="28"/>
  <c r="O70" i="28" s="1"/>
  <c r="O7" i="23" s="1"/>
  <c r="P29" i="28"/>
  <c r="O62" i="28"/>
  <c r="O66" i="23" s="1"/>
  <c r="P29" i="27"/>
  <c r="O62" i="27"/>
  <c r="O67" i="23" s="1"/>
  <c r="H82" i="18"/>
  <c r="F82" i="18"/>
  <c r="F69" i="18"/>
  <c r="F70" i="18" s="1"/>
  <c r="F84" i="18" s="1"/>
  <c r="X29" i="13" a="1"/>
  <c r="X29" i="13" s="1"/>
  <c r="K72" i="1" s="1"/>
  <c r="K54" i="7" s="1"/>
  <c r="K56" i="7" s="1"/>
  <c r="K64" i="7" s="1"/>
  <c r="Y33" i="13"/>
  <c r="K73" i="1" s="1"/>
  <c r="K60" i="7" s="1"/>
  <c r="K62" i="7" s="1"/>
  <c r="L12" i="25"/>
  <c r="C106" i="1"/>
  <c r="C45" i="14" s="1"/>
  <c r="C48" i="14" s="1"/>
  <c r="C52" i="14" s="1"/>
  <c r="O20" i="23"/>
  <c r="F95" i="1"/>
  <c r="F16" i="7" s="1"/>
  <c r="O45" i="23"/>
  <c r="N20" i="23"/>
  <c r="N22" i="23" s="1"/>
  <c r="N47" i="23" s="1"/>
  <c r="E95" i="1"/>
  <c r="E16" i="7" s="1"/>
  <c r="E18" i="7" s="1"/>
  <c r="E20" i="7" s="1"/>
  <c r="N45" i="23"/>
  <c r="P45" i="23"/>
  <c r="G95" i="1"/>
  <c r="G16" i="7" s="1"/>
  <c r="P20" i="23"/>
  <c r="E10" i="1"/>
  <c r="E31" i="7" s="1"/>
  <c r="E36" i="7" s="1"/>
  <c r="E46" i="7" s="1"/>
  <c r="H30" i="18"/>
  <c r="C10" i="1"/>
  <c r="C31" i="7" s="1"/>
  <c r="C36" i="7" s="1"/>
  <c r="C46" i="7" s="1"/>
  <c r="F30" i="18"/>
  <c r="L24" i="13"/>
  <c r="L23" i="13"/>
  <c r="E71" i="1" s="1"/>
  <c r="E31" i="4" s="1"/>
  <c r="N19" i="13"/>
  <c r="M136" i="11" a="1"/>
  <c r="M136" i="11" s="1"/>
  <c r="F135" i="11" a="1"/>
  <c r="F135" i="11" s="1"/>
  <c r="G134" i="11" a="1"/>
  <c r="G134" i="11" s="1"/>
  <c r="F133" i="11" a="1"/>
  <c r="F133" i="11" s="1"/>
  <c r="M133" i="11" a="1"/>
  <c r="M133" i="11" s="1"/>
  <c r="I132" i="11" a="1"/>
  <c r="I132" i="11" s="1"/>
  <c r="I131" i="11" a="1"/>
  <c r="I131" i="11" s="1"/>
  <c r="G130" i="11" a="1"/>
  <c r="G130" i="11" s="1"/>
  <c r="F129" i="11" a="1"/>
  <c r="F129" i="11" s="1"/>
  <c r="F127" i="11" a="1"/>
  <c r="F127" i="11" s="1"/>
  <c r="G126" i="11" a="1"/>
  <c r="G126" i="11" s="1"/>
  <c r="G125" i="11" a="1"/>
  <c r="G125" i="11" s="1"/>
  <c r="K122" i="11" a="1"/>
  <c r="K122" i="11" s="1"/>
  <c r="F121" i="11" a="1"/>
  <c r="F121" i="11" s="1"/>
  <c r="G120" i="11" a="1"/>
  <c r="G120" i="11" s="1"/>
  <c r="G119" i="11" a="1"/>
  <c r="G119" i="11" s="1"/>
  <c r="J118" i="11" a="1"/>
  <c r="J118" i="11" s="1"/>
  <c r="G117" i="11" a="1"/>
  <c r="G117" i="11" s="1"/>
  <c r="F116" i="11" a="1"/>
  <c r="F116" i="11" s="1"/>
  <c r="G115" i="11" a="1"/>
  <c r="G115" i="11" s="1"/>
  <c r="F114" i="11" a="1"/>
  <c r="F114" i="11" s="1"/>
  <c r="H113" i="11" a="1"/>
  <c r="H113" i="11" s="1"/>
  <c r="G112" i="11" a="1"/>
  <c r="G112" i="11" s="1"/>
  <c r="G105" i="11" a="1"/>
  <c r="G105" i="11" s="1"/>
  <c r="G104" i="11" a="1"/>
  <c r="G104" i="11" s="1"/>
  <c r="G103" i="11" a="1"/>
  <c r="G103" i="11" s="1"/>
  <c r="F102" i="11" a="1"/>
  <c r="F102" i="11" s="1"/>
  <c r="S45" i="23"/>
  <c r="S20" i="23"/>
  <c r="J95" i="1"/>
  <c r="J16" i="7" s="1"/>
  <c r="Y13" i="13"/>
  <c r="Z13" i="13"/>
  <c r="AB13" i="13" s="1"/>
  <c r="AD13" i="13" s="1"/>
  <c r="Y16" i="13"/>
  <c r="Z16" i="13"/>
  <c r="AB16" i="13" s="1"/>
  <c r="AD16" i="13" s="1"/>
  <c r="P23" i="13"/>
  <c r="G71" i="1" s="1"/>
  <c r="G31" i="4" s="1"/>
  <c r="E31" i="36" s="1"/>
  <c r="P24" i="13"/>
  <c r="R7" i="13"/>
  <c r="AT31" i="36"/>
  <c r="Y31" i="36"/>
  <c r="X17" i="12"/>
  <c r="X43" i="12" s="1"/>
  <c r="J68" i="1" s="1"/>
  <c r="J59" i="7" s="1"/>
  <c r="Y17" i="12"/>
  <c r="AA17" i="12" s="1"/>
  <c r="AC17" i="12" s="1"/>
  <c r="AE17" i="12" s="1"/>
  <c r="M34" i="12"/>
  <c r="M33" i="12"/>
  <c r="E66" i="1" s="1"/>
  <c r="E29" i="4" s="1"/>
  <c r="E32" i="4" s="1"/>
  <c r="O12" i="12"/>
  <c r="N68" i="23"/>
  <c r="E105" i="1" s="1"/>
  <c r="E42" i="14" s="1"/>
  <c r="R39" i="23"/>
  <c r="L22" i="23"/>
  <c r="L47" i="23" s="1"/>
  <c r="M22" i="23"/>
  <c r="M47" i="23" s="1"/>
  <c r="T39" i="23"/>
  <c r="D32" i="4"/>
  <c r="Q70" i="26"/>
  <c r="I61" i="18"/>
  <c r="Q39" i="23"/>
  <c r="M74" i="23"/>
  <c r="R31" i="26"/>
  <c r="I109" i="18"/>
  <c r="G60" i="18"/>
  <c r="G79" i="18"/>
  <c r="E139" i="11" a="1"/>
  <c r="E139" i="11" s="1"/>
  <c r="W85" i="23" l="1"/>
  <c r="N55" i="1"/>
  <c r="N56" i="1"/>
  <c r="W8" i="23"/>
  <c r="H55" i="1"/>
  <c r="Q85" i="23"/>
  <c r="Q87" i="23" s="1"/>
  <c r="H59" i="1" s="1"/>
  <c r="H5" i="7" s="1"/>
  <c r="H11" i="7" s="1"/>
  <c r="H56" i="1"/>
  <c r="Q8" i="23"/>
  <c r="P74" i="27"/>
  <c r="O73" i="23"/>
  <c r="P74" i="26"/>
  <c r="O71" i="23"/>
  <c r="P6" i="23"/>
  <c r="G47" i="1"/>
  <c r="G46" i="1"/>
  <c r="P84" i="23"/>
  <c r="P87" i="23" s="1"/>
  <c r="G59" i="1" s="1"/>
  <c r="G5" i="7" s="1"/>
  <c r="G11" i="7" s="1"/>
  <c r="Q29" i="26"/>
  <c r="P62" i="26"/>
  <c r="P65" i="23" s="1"/>
  <c r="T25" i="26"/>
  <c r="U7" i="26"/>
  <c r="T27" i="26"/>
  <c r="U28" i="26"/>
  <c r="S72" i="26"/>
  <c r="W36" i="23"/>
  <c r="W39" i="23"/>
  <c r="V45" i="23"/>
  <c r="M95" i="1"/>
  <c r="M16" i="7" s="1"/>
  <c r="V20" i="23"/>
  <c r="AT20" i="36"/>
  <c r="Y20" i="36"/>
  <c r="Y19" i="36"/>
  <c r="AT19" i="36"/>
  <c r="AX20" i="36"/>
  <c r="AC20" i="36"/>
  <c r="AC19" i="36"/>
  <c r="AX19" i="36"/>
  <c r="L78" i="1"/>
  <c r="L20" i="4" s="1"/>
  <c r="M33" i="21"/>
  <c r="I20" i="36"/>
  <c r="K19" i="4"/>
  <c r="I19" i="36" s="1"/>
  <c r="F17" i="4"/>
  <c r="D17" i="36" s="1"/>
  <c r="D18" i="36"/>
  <c r="G47" i="20"/>
  <c r="K64" i="20"/>
  <c r="J65" i="20"/>
  <c r="K70" i="20"/>
  <c r="K69" i="20" s="1"/>
  <c r="K63" i="20"/>
  <c r="L68" i="20"/>
  <c r="I64" i="19"/>
  <c r="H66" i="19"/>
  <c r="H70" i="19" s="1"/>
  <c r="H23" i="1" s="1"/>
  <c r="H14" i="4" s="1"/>
  <c r="G23" i="1"/>
  <c r="G14" i="4" s="1"/>
  <c r="AT14" i="36"/>
  <c r="Y14" i="36"/>
  <c r="Y13" i="36"/>
  <c r="AT13" i="36"/>
  <c r="K129" i="18"/>
  <c r="K128" i="18" s="1"/>
  <c r="L124" i="18"/>
  <c r="K123" i="18"/>
  <c r="K109" i="18" s="1"/>
  <c r="J82" i="18"/>
  <c r="K113" i="18"/>
  <c r="K61" i="18" s="1"/>
  <c r="L112" i="18"/>
  <c r="K62" i="18"/>
  <c r="J95" i="18"/>
  <c r="I101" i="18"/>
  <c r="H104" i="18"/>
  <c r="H105" i="18" s="1"/>
  <c r="I60" i="18" s="1"/>
  <c r="I59" i="18"/>
  <c r="H65" i="18"/>
  <c r="H68" i="18" s="1"/>
  <c r="H71" i="18" s="1"/>
  <c r="H80" i="18" s="1"/>
  <c r="G69" i="18"/>
  <c r="G75" i="18"/>
  <c r="AE12" i="36"/>
  <c r="AZ12" i="36"/>
  <c r="AD12" i="36"/>
  <c r="AY12" i="36"/>
  <c r="N56" i="18"/>
  <c r="N54" i="18"/>
  <c r="P6" i="18"/>
  <c r="P8" i="18" s="1"/>
  <c r="P56" i="18"/>
  <c r="Q6" i="18"/>
  <c r="Q8" i="18" s="1"/>
  <c r="Q56" i="18"/>
  <c r="O10" i="18"/>
  <c r="O11" i="18" s="1"/>
  <c r="O9" i="18"/>
  <c r="O30" i="18"/>
  <c r="L11" i="1"/>
  <c r="L39" i="7" s="1"/>
  <c r="L44" i="7" s="1"/>
  <c r="K16" i="36"/>
  <c r="M15" i="4"/>
  <c r="K15" i="36" s="1"/>
  <c r="M63" i="17"/>
  <c r="M62" i="17"/>
  <c r="N33" i="1"/>
  <c r="N16" i="4" s="1"/>
  <c r="N56" i="17"/>
  <c r="N61" i="17" s="1"/>
  <c r="AZ16" i="36"/>
  <c r="AE16" i="36"/>
  <c r="AE15" i="36"/>
  <c r="AZ15" i="36"/>
  <c r="L62" i="16"/>
  <c r="K62" i="16"/>
  <c r="J62" i="16"/>
  <c r="J61" i="16"/>
  <c r="M64" i="16"/>
  <c r="H32" i="16"/>
  <c r="G96" i="1"/>
  <c r="G24" i="7" s="1"/>
  <c r="N62" i="16"/>
  <c r="Q64" i="16"/>
  <c r="N61" i="16"/>
  <c r="N7" i="1"/>
  <c r="N7" i="4" s="1"/>
  <c r="M62" i="16"/>
  <c r="M61" i="16"/>
  <c r="M7" i="1"/>
  <c r="M7" i="4" s="1"/>
  <c r="J7" i="36"/>
  <c r="L6" i="4"/>
  <c r="J6" i="36" s="1"/>
  <c r="AD7" i="36"/>
  <c r="AY7" i="36"/>
  <c r="AD6" i="36"/>
  <c r="AY6" i="36"/>
  <c r="I4" i="15"/>
  <c r="H8" i="15"/>
  <c r="G10" i="15"/>
  <c r="F50" i="1" s="1"/>
  <c r="F42" i="4" s="1"/>
  <c r="D42" i="36" s="1"/>
  <c r="G12" i="15"/>
  <c r="F49" i="1"/>
  <c r="F24" i="4" s="1"/>
  <c r="S34" i="12"/>
  <c r="S33" i="12"/>
  <c r="H66" i="1" s="1"/>
  <c r="H29" i="4" s="1"/>
  <c r="U4" i="12"/>
  <c r="C186" i="11"/>
  <c r="C52" i="10"/>
  <c r="D51" i="10"/>
  <c r="C27" i="10"/>
  <c r="C28" i="10" s="1"/>
  <c r="D186" i="11"/>
  <c r="D52" i="10"/>
  <c r="E51" i="10"/>
  <c r="D27" i="10"/>
  <c r="G61" i="11"/>
  <c r="H61" i="11" s="1"/>
  <c r="M5" i="11"/>
  <c r="L47" i="11"/>
  <c r="L48" i="11"/>
  <c r="G26" i="10"/>
  <c r="G93" i="1"/>
  <c r="G50" i="14" s="1"/>
  <c r="H11" i="9"/>
  <c r="P74" i="28"/>
  <c r="O72" i="23"/>
  <c r="P68" i="28"/>
  <c r="P70" i="28" s="1"/>
  <c r="P7" i="23" s="1"/>
  <c r="Q29" i="28"/>
  <c r="P62" i="28"/>
  <c r="P66" i="23" s="1"/>
  <c r="Q29" i="27"/>
  <c r="P62" i="27"/>
  <c r="P67" i="23" s="1"/>
  <c r="C16" i="1"/>
  <c r="C40" i="4" s="1"/>
  <c r="F85" i="18"/>
  <c r="C15" i="1" s="1"/>
  <c r="N60" i="23"/>
  <c r="N7" i="25"/>
  <c r="N48" i="23"/>
  <c r="N24" i="13"/>
  <c r="P19" i="13"/>
  <c r="R19" i="13" s="1"/>
  <c r="T19" i="13" s="1"/>
  <c r="V19" i="13" s="1"/>
  <c r="N136" i="11" a="1"/>
  <c r="N136" i="11" s="1"/>
  <c r="G135" i="11" a="1"/>
  <c r="G135" i="11" s="1"/>
  <c r="H134" i="11" a="1"/>
  <c r="H134" i="11" s="1"/>
  <c r="N133" i="11" a="1"/>
  <c r="N133" i="11" s="1"/>
  <c r="J132" i="11" a="1"/>
  <c r="J132" i="11" s="1"/>
  <c r="J131" i="11" a="1"/>
  <c r="J131" i="11" s="1"/>
  <c r="H130" i="11" a="1"/>
  <c r="H130" i="11" s="1"/>
  <c r="G129" i="11" a="1"/>
  <c r="G129" i="11" s="1"/>
  <c r="G127" i="11" a="1"/>
  <c r="G127" i="11" s="1"/>
  <c r="H126" i="11" a="1"/>
  <c r="H126" i="11" s="1"/>
  <c r="H125" i="11" a="1"/>
  <c r="H125" i="11" s="1"/>
  <c r="L122" i="11" a="1"/>
  <c r="L122" i="11" s="1"/>
  <c r="G121" i="11" a="1"/>
  <c r="G121" i="11" s="1"/>
  <c r="H120" i="11" a="1"/>
  <c r="H120" i="11" s="1"/>
  <c r="H119" i="11" a="1"/>
  <c r="H119" i="11" s="1"/>
  <c r="K118" i="11" a="1"/>
  <c r="K118" i="11" s="1"/>
  <c r="H117" i="11" a="1"/>
  <c r="H117" i="11" s="1"/>
  <c r="G116" i="11" a="1"/>
  <c r="G116" i="11" s="1"/>
  <c r="H115" i="11" a="1"/>
  <c r="H115" i="11" s="1"/>
  <c r="G114" i="11" a="1"/>
  <c r="G114" i="11" s="1"/>
  <c r="I113" i="11" a="1"/>
  <c r="I113" i="11" s="1"/>
  <c r="H112" i="11" a="1"/>
  <c r="H112" i="11" s="1"/>
  <c r="H105" i="11" a="1"/>
  <c r="H105" i="11" s="1"/>
  <c r="H104" i="11" a="1"/>
  <c r="H104" i="11" s="1"/>
  <c r="H103" i="11" a="1"/>
  <c r="H103" i="11" s="1"/>
  <c r="F139" i="11" a="1"/>
  <c r="F139" i="11" s="1"/>
  <c r="G102" i="11" a="1"/>
  <c r="G102" i="11" s="1"/>
  <c r="AU31" i="36"/>
  <c r="Z31" i="36"/>
  <c r="R23" i="13"/>
  <c r="H71" i="1" s="1"/>
  <c r="H31" i="4" s="1"/>
  <c r="F31" i="36" s="1"/>
  <c r="R24" i="13"/>
  <c r="T7" i="13"/>
  <c r="O33" i="12"/>
  <c r="F66" i="1" s="1"/>
  <c r="F29" i="4" s="1"/>
  <c r="O34" i="12"/>
  <c r="Q12" i="12"/>
  <c r="S12" i="12" s="1"/>
  <c r="U12" i="12" s="1"/>
  <c r="W12" i="12" s="1"/>
  <c r="Y12" i="12" s="1"/>
  <c r="AA12" i="12" s="1"/>
  <c r="AC12" i="12" s="1"/>
  <c r="AE12" i="12" s="1"/>
  <c r="R20" i="23"/>
  <c r="I95" i="1"/>
  <c r="I16" i="7" s="1"/>
  <c r="R45" i="23"/>
  <c r="L48" i="23"/>
  <c r="L7" i="25"/>
  <c r="L60" i="23"/>
  <c r="L62" i="23" s="1"/>
  <c r="M48" i="23"/>
  <c r="M7" i="25"/>
  <c r="M60" i="23"/>
  <c r="M62" i="23" s="1"/>
  <c r="K95" i="1"/>
  <c r="K16" i="7" s="1"/>
  <c r="T20" i="23"/>
  <c r="T45" i="23"/>
  <c r="Q6" i="23"/>
  <c r="H47" i="1"/>
  <c r="I82" i="18"/>
  <c r="Q20" i="23"/>
  <c r="H95" i="1"/>
  <c r="H16" i="7" s="1"/>
  <c r="Q45" i="23"/>
  <c r="M12" i="25"/>
  <c r="D106" i="1"/>
  <c r="D45" i="14" s="1"/>
  <c r="D48" i="14" s="1"/>
  <c r="D52" i="14" s="1"/>
  <c r="R32" i="26"/>
  <c r="R60" i="26" s="1"/>
  <c r="R68" i="26"/>
  <c r="R70" i="26" s="1"/>
  <c r="E50" i="10"/>
  <c r="E142" i="11"/>
  <c r="F140" i="11"/>
  <c r="N74" i="23"/>
  <c r="S31" i="26"/>
  <c r="G48" i="20"/>
  <c r="J109" i="18"/>
  <c r="G80" i="18"/>
  <c r="F83" i="18"/>
  <c r="C14" i="1" s="1"/>
  <c r="C10" i="4" s="1"/>
  <c r="C8" i="4" s="1"/>
  <c r="O10" i="23"/>
  <c r="O68" i="23"/>
  <c r="F105" i="1" s="1"/>
  <c r="F42" i="14" s="1"/>
  <c r="H60" i="18"/>
  <c r="H79" i="18"/>
  <c r="R43" i="12"/>
  <c r="G68" i="1" s="1"/>
  <c r="G59" i="7" s="1"/>
  <c r="G62" i="7" s="1"/>
  <c r="G64" i="7" s="1"/>
  <c r="Q33" i="12"/>
  <c r="G66" i="1" s="1"/>
  <c r="G29" i="4" s="1"/>
  <c r="Q74" i="27" l="1"/>
  <c r="P73" i="23"/>
  <c r="Q74" i="26"/>
  <c r="P71" i="23"/>
  <c r="R29" i="26"/>
  <c r="Q62" i="26"/>
  <c r="Q65" i="23" s="1"/>
  <c r="U25" i="26"/>
  <c r="V7" i="26"/>
  <c r="U27" i="26"/>
  <c r="V28" i="26"/>
  <c r="T72" i="26"/>
  <c r="U73" i="26"/>
  <c r="W45" i="23"/>
  <c r="N95" i="1"/>
  <c r="N16" i="7" s="1"/>
  <c r="W20" i="23"/>
  <c r="J20" i="36"/>
  <c r="L19" i="4"/>
  <c r="J19" i="36" s="1"/>
  <c r="AY20" i="36"/>
  <c r="AD20" i="36"/>
  <c r="AD19" i="36"/>
  <c r="AY19" i="36"/>
  <c r="Y17" i="36"/>
  <c r="AT17" i="36"/>
  <c r="AT18" i="36"/>
  <c r="Y18" i="36"/>
  <c r="H47" i="20"/>
  <c r="L64" i="20"/>
  <c r="K65" i="20"/>
  <c r="L70" i="20"/>
  <c r="L69" i="20" s="1"/>
  <c r="M68" i="20"/>
  <c r="L63" i="20"/>
  <c r="J64" i="19"/>
  <c r="I66" i="19"/>
  <c r="I70" i="19" s="1"/>
  <c r="I23" i="1" s="1"/>
  <c r="I14" i="4" s="1"/>
  <c r="F14" i="36"/>
  <c r="H13" i="4"/>
  <c r="F13" i="36" s="1"/>
  <c r="E14" i="36"/>
  <c r="G13" i="4"/>
  <c r="E13" i="36" s="1"/>
  <c r="L129" i="18"/>
  <c r="L128" i="18" s="1"/>
  <c r="L132" i="18" s="1"/>
  <c r="M124" i="18"/>
  <c r="L123" i="18"/>
  <c r="L62" i="18" s="1"/>
  <c r="K82" i="18"/>
  <c r="L113" i="18"/>
  <c r="M112" i="18"/>
  <c r="K95" i="18"/>
  <c r="J101" i="18"/>
  <c r="I104" i="18"/>
  <c r="I105" i="18" s="1"/>
  <c r="J59" i="18"/>
  <c r="I65" i="18"/>
  <c r="I68" i="18" s="1"/>
  <c r="I71" i="18"/>
  <c r="I80" i="18" s="1"/>
  <c r="H69" i="18"/>
  <c r="H75" i="18"/>
  <c r="E13" i="1"/>
  <c r="E11" i="4" s="1"/>
  <c r="H78" i="18"/>
  <c r="G83" i="18"/>
  <c r="D14" i="1" s="1"/>
  <c r="D10" i="4" s="1"/>
  <c r="G70" i="18"/>
  <c r="G84" i="18" s="1"/>
  <c r="D12" i="1"/>
  <c r="D9" i="4" s="1"/>
  <c r="G76" i="18"/>
  <c r="D17" i="1" s="1"/>
  <c r="D41" i="4" s="1"/>
  <c r="P9" i="18"/>
  <c r="P10" i="18" s="1"/>
  <c r="P11" i="18" s="1"/>
  <c r="Q11" i="18" s="1"/>
  <c r="Q10" i="18"/>
  <c r="Q9" i="18"/>
  <c r="BA16" i="36"/>
  <c r="AF16" i="36"/>
  <c r="AF15" i="36"/>
  <c r="BA15" i="36"/>
  <c r="L16" i="36"/>
  <c r="N15" i="4"/>
  <c r="L15" i="36" s="1"/>
  <c r="N63" i="17"/>
  <c r="N62" i="17"/>
  <c r="I32" i="16"/>
  <c r="H96" i="1"/>
  <c r="H24" i="7" s="1"/>
  <c r="L7" i="36"/>
  <c r="N6" i="4"/>
  <c r="L6" i="36" s="1"/>
  <c r="K7" i="36"/>
  <c r="M6" i="4"/>
  <c r="K6" i="36" s="1"/>
  <c r="AE7" i="36"/>
  <c r="AZ7" i="36"/>
  <c r="AE6" i="36"/>
  <c r="AZ6" i="36"/>
  <c r="J4" i="15"/>
  <c r="I8" i="15"/>
  <c r="H10" i="15"/>
  <c r="G49" i="1"/>
  <c r="G24" i="4" s="1"/>
  <c r="Y42" i="36"/>
  <c r="AT42" i="36"/>
  <c r="D24" i="36"/>
  <c r="F23" i="4"/>
  <c r="D23" i="36" s="1"/>
  <c r="H32" i="4"/>
  <c r="F32" i="36" s="1"/>
  <c r="F29" i="36"/>
  <c r="U34" i="12"/>
  <c r="U33" i="12"/>
  <c r="I66" i="1" s="1"/>
  <c r="I29" i="4" s="1"/>
  <c r="W4" i="12"/>
  <c r="C29" i="10"/>
  <c r="C40" i="10" s="1"/>
  <c r="C47" i="10" s="1"/>
  <c r="C53" i="10" s="1"/>
  <c r="D28" i="10"/>
  <c r="N5" i="11"/>
  <c r="M47" i="11"/>
  <c r="C62" i="1" s="1"/>
  <c r="C36" i="4" s="1"/>
  <c r="M48" i="11"/>
  <c r="B62" i="1"/>
  <c r="L45" i="11"/>
  <c r="L49" i="11" s="1"/>
  <c r="H26" i="10"/>
  <c r="I11" i="9"/>
  <c r="H93" i="1"/>
  <c r="H50" i="14" s="1"/>
  <c r="Q74" i="28"/>
  <c r="P72" i="23"/>
  <c r="Q68" i="28"/>
  <c r="Q70" i="28" s="1"/>
  <c r="Q7" i="23" s="1"/>
  <c r="Q10" i="23" s="1"/>
  <c r="R29" i="28"/>
  <c r="Q62" i="28"/>
  <c r="Q66" i="23" s="1"/>
  <c r="Q62" i="27"/>
  <c r="Q67" i="23" s="1"/>
  <c r="R29" i="27"/>
  <c r="W19" i="13"/>
  <c r="X19" i="13" s="1"/>
  <c r="Z19" i="13" s="1"/>
  <c r="AB19" i="13" s="1"/>
  <c r="AD19" i="13" s="1"/>
  <c r="H135" i="11" a="1"/>
  <c r="H135" i="11" s="1"/>
  <c r="I134" i="11" a="1"/>
  <c r="I134" i="11" s="1"/>
  <c r="K132" i="11" a="1"/>
  <c r="K132" i="11" s="1"/>
  <c r="K131" i="11" a="1"/>
  <c r="K131" i="11" s="1"/>
  <c r="I130" i="11" a="1"/>
  <c r="I130" i="11" s="1"/>
  <c r="H129" i="11" a="1"/>
  <c r="H129" i="11" s="1"/>
  <c r="H127" i="11" a="1"/>
  <c r="H127" i="11" s="1"/>
  <c r="I126" i="11" a="1"/>
  <c r="I126" i="11" s="1"/>
  <c r="I125" i="11" a="1"/>
  <c r="I125" i="11" s="1"/>
  <c r="M122" i="11" a="1"/>
  <c r="M122" i="11" s="1"/>
  <c r="H121" i="11" a="1"/>
  <c r="H121" i="11" s="1"/>
  <c r="I120" i="11" a="1"/>
  <c r="I120" i="11" s="1"/>
  <c r="I119" i="11" a="1"/>
  <c r="I119" i="11" s="1"/>
  <c r="L118" i="11" a="1"/>
  <c r="L118" i="11" s="1"/>
  <c r="I117" i="11" a="1"/>
  <c r="I117" i="11" s="1"/>
  <c r="H116" i="11" a="1"/>
  <c r="H116" i="11" s="1"/>
  <c r="I115" i="11" a="1"/>
  <c r="I115" i="11" s="1"/>
  <c r="H114" i="11" a="1"/>
  <c r="H114" i="11" s="1"/>
  <c r="J113" i="11" a="1"/>
  <c r="J113" i="11" s="1"/>
  <c r="I112" i="11" a="1"/>
  <c r="I112" i="11" s="1"/>
  <c r="I105" i="11" a="1"/>
  <c r="I105" i="11" s="1"/>
  <c r="I104" i="11" a="1"/>
  <c r="I104" i="11" s="1"/>
  <c r="I103" i="11" a="1"/>
  <c r="I103" i="11" s="1"/>
  <c r="G140" i="11"/>
  <c r="F142" i="11"/>
  <c r="F50" i="10"/>
  <c r="G139" i="11" a="1"/>
  <c r="G139" i="11" s="1"/>
  <c r="H102" i="11" a="1"/>
  <c r="H102" i="11" s="1"/>
  <c r="AV31" i="36"/>
  <c r="AA31" i="36"/>
  <c r="T24" i="13"/>
  <c r="T23" i="13"/>
  <c r="I71" i="1" s="1"/>
  <c r="I31" i="4" s="1"/>
  <c r="G31" i="36" s="1"/>
  <c r="V7" i="13"/>
  <c r="D29" i="36"/>
  <c r="F32" i="4"/>
  <c r="D32" i="36" s="1"/>
  <c r="L8" i="25"/>
  <c r="L11" i="25" s="1"/>
  <c r="C104" i="1"/>
  <c r="C43" i="14" s="1"/>
  <c r="L16" i="25"/>
  <c r="M8" i="25"/>
  <c r="D104" i="1"/>
  <c r="D43" i="14" s="1"/>
  <c r="M16" i="25"/>
  <c r="I46" i="1"/>
  <c r="R84" i="23"/>
  <c r="R87" i="23" s="1"/>
  <c r="I59" i="1" s="1"/>
  <c r="I5" i="7" s="1"/>
  <c r="I11" i="7" s="1"/>
  <c r="R6" i="23"/>
  <c r="I47" i="1"/>
  <c r="F51" i="10"/>
  <c r="E27" i="10"/>
  <c r="E186" i="11"/>
  <c r="E52" i="10"/>
  <c r="N12" i="25"/>
  <c r="E106" i="1"/>
  <c r="E45" i="14" s="1"/>
  <c r="E48" i="14" s="1"/>
  <c r="E52" i="14" s="1"/>
  <c r="S32" i="26"/>
  <c r="S60" i="26" s="1"/>
  <c r="S68" i="26"/>
  <c r="S70" i="26" s="1"/>
  <c r="G78" i="18"/>
  <c r="G16" i="18" s="1"/>
  <c r="G19" i="18" s="1"/>
  <c r="D13" i="1"/>
  <c r="D11" i="4" s="1"/>
  <c r="O22" i="23"/>
  <c r="O47" i="23" s="1"/>
  <c r="F58" i="1"/>
  <c r="F14" i="7" s="1"/>
  <c r="F18" i="7" s="1"/>
  <c r="F20" i="7" s="1"/>
  <c r="E29" i="36"/>
  <c r="G32" i="4"/>
  <c r="E32" i="36" s="1"/>
  <c r="K132" i="18"/>
  <c r="K64" i="16"/>
  <c r="P10" i="23"/>
  <c r="G52" i="20"/>
  <c r="G54" i="20" s="1"/>
  <c r="G58" i="20" s="1"/>
  <c r="G60" i="20" s="1"/>
  <c r="G28" i="1" s="1"/>
  <c r="G18" i="4" s="1"/>
  <c r="O74" i="23"/>
  <c r="P68" i="23"/>
  <c r="G105" i="1" s="1"/>
  <c r="G42" i="14" s="1"/>
  <c r="T31" i="26"/>
  <c r="H48" i="20"/>
  <c r="N62" i="23"/>
  <c r="M78" i="1"/>
  <c r="M20" i="4" s="1"/>
  <c r="P35" i="21"/>
  <c r="R74" i="27" l="1"/>
  <c r="Q73" i="23"/>
  <c r="R74" i="26"/>
  <c r="Q71" i="23"/>
  <c r="S29" i="26"/>
  <c r="R62" i="26"/>
  <c r="R65" i="23" s="1"/>
  <c r="V25" i="26"/>
  <c r="W7" i="26"/>
  <c r="W25" i="26" s="1"/>
  <c r="W31" i="26" s="1"/>
  <c r="V27" i="26"/>
  <c r="U72" i="26"/>
  <c r="V73" i="26"/>
  <c r="AZ20" i="36"/>
  <c r="AE20" i="36"/>
  <c r="AE19" i="36"/>
  <c r="AZ19" i="36"/>
  <c r="M70" i="20"/>
  <c r="M69" i="20" s="1"/>
  <c r="M63" i="20"/>
  <c r="N68" i="20"/>
  <c r="M64" i="20"/>
  <c r="J48" i="20" s="1"/>
  <c r="L65" i="20"/>
  <c r="I47" i="20"/>
  <c r="K64" i="19"/>
  <c r="J66" i="19"/>
  <c r="J70" i="19" s="1"/>
  <c r="G14" i="36"/>
  <c r="I13" i="4"/>
  <c r="G13" i="36" s="1"/>
  <c r="AV14" i="36"/>
  <c r="AA14" i="36"/>
  <c r="AA13" i="36"/>
  <c r="AV13" i="36"/>
  <c r="AU14" i="36"/>
  <c r="Z14" i="36"/>
  <c r="Z13" i="36"/>
  <c r="AU13" i="36"/>
  <c r="M129" i="18"/>
  <c r="M128" i="18" s="1"/>
  <c r="M132" i="18" s="1"/>
  <c r="N124" i="18"/>
  <c r="M123" i="18"/>
  <c r="M113" i="18"/>
  <c r="M61" i="18" s="1"/>
  <c r="N112" i="18"/>
  <c r="M62" i="18"/>
  <c r="L95" i="18"/>
  <c r="K101" i="18"/>
  <c r="J104" i="18"/>
  <c r="J105" i="18" s="1"/>
  <c r="K60" i="18" s="1"/>
  <c r="K59" i="18"/>
  <c r="J65" i="18"/>
  <c r="J68" i="18" s="1"/>
  <c r="J71" i="18"/>
  <c r="J80" i="18" s="1"/>
  <c r="I69" i="18"/>
  <c r="I75" i="18"/>
  <c r="F13" i="1"/>
  <c r="F11" i="4" s="1"/>
  <c r="D11" i="36" s="1"/>
  <c r="I78" i="18"/>
  <c r="I16" i="18" s="1"/>
  <c r="I19" i="18" s="1"/>
  <c r="H83" i="18"/>
  <c r="E14" i="1" s="1"/>
  <c r="E10" i="4" s="1"/>
  <c r="H70" i="18"/>
  <c r="H84" i="18" s="1"/>
  <c r="E12" i="1"/>
  <c r="E9" i="4" s="1"/>
  <c r="H76" i="18"/>
  <c r="E17" i="1" s="1"/>
  <c r="E41" i="4" s="1"/>
  <c r="D16" i="1"/>
  <c r="D40" i="4" s="1"/>
  <c r="G85" i="18"/>
  <c r="D15" i="1" s="1"/>
  <c r="BB16" i="36"/>
  <c r="AG16" i="36"/>
  <c r="AG15" i="36"/>
  <c r="BB15" i="36"/>
  <c r="J32" i="16"/>
  <c r="I96" i="1"/>
  <c r="I24" i="7" s="1"/>
  <c r="AG7" i="36"/>
  <c r="BB7" i="36"/>
  <c r="AG6" i="36"/>
  <c r="BB6" i="36"/>
  <c r="AF7" i="36"/>
  <c r="BA7" i="36"/>
  <c r="AF6" i="36"/>
  <c r="BA6" i="36"/>
  <c r="K4" i="15"/>
  <c r="J8" i="15"/>
  <c r="I10" i="15"/>
  <c r="H50" i="1" s="1"/>
  <c r="H42" i="4" s="1"/>
  <c r="F42" i="36" s="1"/>
  <c r="I12" i="15"/>
  <c r="H49" i="1"/>
  <c r="H24" i="4" s="1"/>
  <c r="E24" i="36"/>
  <c r="G23" i="4"/>
  <c r="E23" i="36" s="1"/>
  <c r="Y24" i="36"/>
  <c r="AT24" i="36"/>
  <c r="Y23" i="36"/>
  <c r="AT23" i="36"/>
  <c r="AA32" i="36"/>
  <c r="AV32" i="36"/>
  <c r="AA29" i="36"/>
  <c r="AV29" i="36"/>
  <c r="I32" i="4"/>
  <c r="G32" i="36" s="1"/>
  <c r="G29" i="36"/>
  <c r="W34" i="12"/>
  <c r="W33" i="12"/>
  <c r="J66" i="1" s="1"/>
  <c r="J29" i="4" s="1"/>
  <c r="Y4" i="12"/>
  <c r="D29" i="10"/>
  <c r="D40" i="10" s="1"/>
  <c r="D47" i="10" s="1"/>
  <c r="D53" i="10" s="1"/>
  <c r="E28" i="10"/>
  <c r="N47" i="11"/>
  <c r="D62" i="1" s="1"/>
  <c r="D36" i="4" s="1"/>
  <c r="N48" i="11"/>
  <c r="O5" i="11"/>
  <c r="C46" i="4"/>
  <c r="C49" i="4"/>
  <c r="I26" i="10"/>
  <c r="J11" i="9"/>
  <c r="I93" i="1"/>
  <c r="I50" i="14" s="1"/>
  <c r="R74" i="28"/>
  <c r="Q72" i="23"/>
  <c r="Q22" i="23"/>
  <c r="Q47" i="23" s="1"/>
  <c r="H58" i="1"/>
  <c r="H14" i="7" s="1"/>
  <c r="H18" i="7" s="1"/>
  <c r="H20" i="7" s="1"/>
  <c r="R68" i="28"/>
  <c r="R70" i="28" s="1"/>
  <c r="R7" i="23" s="1"/>
  <c r="R10" i="23" s="1"/>
  <c r="S29" i="28"/>
  <c r="R62" i="28"/>
  <c r="R66" i="23" s="1"/>
  <c r="S29" i="27"/>
  <c r="R62" i="27"/>
  <c r="R67" i="23" s="1"/>
  <c r="V29" i="13" a="1"/>
  <c r="V29" i="13" s="1"/>
  <c r="J72" i="1" s="1"/>
  <c r="J54" i="7" s="1"/>
  <c r="J56" i="7" s="1"/>
  <c r="W33" i="13"/>
  <c r="J73" i="1" s="1"/>
  <c r="J60" i="7" s="1"/>
  <c r="J62" i="7" s="1"/>
  <c r="I135" i="11" a="1"/>
  <c r="I135" i="11" s="1"/>
  <c r="J134" i="11" a="1"/>
  <c r="J134" i="11" s="1"/>
  <c r="L132" i="11" a="1"/>
  <c r="L132" i="11" s="1"/>
  <c r="L131" i="11" a="1"/>
  <c r="L131" i="11" s="1"/>
  <c r="J130" i="11" a="1"/>
  <c r="J130" i="11" s="1"/>
  <c r="I129" i="11" a="1"/>
  <c r="I129" i="11" s="1"/>
  <c r="I127" i="11" a="1"/>
  <c r="I127" i="11" s="1"/>
  <c r="J126" i="11" a="1"/>
  <c r="J126" i="11" s="1"/>
  <c r="J125" i="11" a="1"/>
  <c r="J125" i="11" s="1"/>
  <c r="N122" i="11" a="1"/>
  <c r="N122" i="11" s="1"/>
  <c r="I121" i="11" a="1"/>
  <c r="I121" i="11" s="1"/>
  <c r="J120" i="11" a="1"/>
  <c r="J120" i="11" s="1"/>
  <c r="J119" i="11" a="1"/>
  <c r="J119" i="11" s="1"/>
  <c r="M118" i="11" a="1"/>
  <c r="M118" i="11" s="1"/>
  <c r="J117" i="11" a="1"/>
  <c r="J117" i="11" s="1"/>
  <c r="I116" i="11" a="1"/>
  <c r="I116" i="11" s="1"/>
  <c r="J115" i="11" a="1"/>
  <c r="J115" i="11" s="1"/>
  <c r="I114" i="11" a="1"/>
  <c r="I114" i="11" s="1"/>
  <c r="K113" i="11" a="1"/>
  <c r="K113" i="11" s="1"/>
  <c r="J112" i="11" a="1"/>
  <c r="J112" i="11" s="1"/>
  <c r="J105" i="11" a="1"/>
  <c r="J105" i="11" s="1"/>
  <c r="J104" i="11" a="1"/>
  <c r="J104" i="11" s="1"/>
  <c r="J103" i="11" a="1"/>
  <c r="J103" i="11" s="1"/>
  <c r="F186" i="11"/>
  <c r="F52" i="10"/>
  <c r="G51" i="10"/>
  <c r="F27" i="10"/>
  <c r="H140" i="11"/>
  <c r="G142" i="11"/>
  <c r="G50" i="10"/>
  <c r="H139" i="11" a="1"/>
  <c r="H139" i="11" s="1"/>
  <c r="I102" i="11" a="1"/>
  <c r="I102" i="11" s="1"/>
  <c r="AW31" i="36"/>
  <c r="AB31" i="36"/>
  <c r="V23" i="13"/>
  <c r="J71" i="1" s="1"/>
  <c r="J31" i="4" s="1"/>
  <c r="H31" i="36" s="1"/>
  <c r="V24" i="13"/>
  <c r="X7" i="13"/>
  <c r="Y29" i="36"/>
  <c r="AT29" i="36"/>
  <c r="Y32" i="36"/>
  <c r="AT32" i="36"/>
  <c r="L13" i="25"/>
  <c r="L18" i="25" s="1"/>
  <c r="M6" i="25"/>
  <c r="M11" i="25" s="1"/>
  <c r="C53" i="14"/>
  <c r="C46" i="14"/>
  <c r="C77" i="1" s="1"/>
  <c r="C26" i="4" s="1"/>
  <c r="C25" i="4" s="1"/>
  <c r="C54" i="14"/>
  <c r="C23" i="14"/>
  <c r="C24" i="14" s="1"/>
  <c r="C26" i="14" s="1"/>
  <c r="C101" i="1" s="1"/>
  <c r="C68" i="7" s="1"/>
  <c r="C70" i="7" s="1"/>
  <c r="C73" i="7" s="1"/>
  <c r="D53" i="14"/>
  <c r="D46" i="14"/>
  <c r="D77" i="1" s="1"/>
  <c r="D26" i="4" s="1"/>
  <c r="D25" i="4" s="1"/>
  <c r="D54" i="14"/>
  <c r="D23" i="14"/>
  <c r="D24" i="14" s="1"/>
  <c r="D26" i="14" s="1"/>
  <c r="D101" i="1" s="1"/>
  <c r="D68" i="7" s="1"/>
  <c r="R22" i="23"/>
  <c r="R47" i="23" s="1"/>
  <c r="I58" i="1"/>
  <c r="I14" i="7" s="1"/>
  <c r="I18" i="7" s="1"/>
  <c r="I20" i="7" s="1"/>
  <c r="S84" i="23"/>
  <c r="S87" i="23" s="1"/>
  <c r="J59" i="1" s="1"/>
  <c r="J5" i="7" s="1"/>
  <c r="J11" i="7" s="1"/>
  <c r="J46" i="1"/>
  <c r="S6" i="23"/>
  <c r="J47" i="1"/>
  <c r="D10" i="1"/>
  <c r="D31" i="7" s="1"/>
  <c r="D36" i="7" s="1"/>
  <c r="D46" i="7" s="1"/>
  <c r="G30" i="18"/>
  <c r="O7" i="25"/>
  <c r="O60" i="23"/>
  <c r="O62" i="23" s="1"/>
  <c r="O48" i="23"/>
  <c r="Z29" i="36"/>
  <c r="AU29" i="36"/>
  <c r="Z32" i="36"/>
  <c r="AU32" i="36"/>
  <c r="G58" i="1"/>
  <c r="G14" i="7" s="1"/>
  <c r="G18" i="7" s="1"/>
  <c r="G20" i="7" s="1"/>
  <c r="P22" i="23"/>
  <c r="P47" i="23" s="1"/>
  <c r="E18" i="36"/>
  <c r="G17" i="4"/>
  <c r="E17" i="36" s="1"/>
  <c r="O12" i="25"/>
  <c r="F106" i="1"/>
  <c r="F45" i="14" s="1"/>
  <c r="F48" i="14" s="1"/>
  <c r="F52" i="14" s="1"/>
  <c r="T68" i="26"/>
  <c r="T70" i="26" s="1"/>
  <c r="T32" i="26"/>
  <c r="T60" i="26" s="1"/>
  <c r="N16" i="25"/>
  <c r="E104" i="1"/>
  <c r="E43" i="14" s="1"/>
  <c r="N8" i="25"/>
  <c r="M19" i="4"/>
  <c r="K19" i="36" s="1"/>
  <c r="K20" i="36"/>
  <c r="P36" i="21"/>
  <c r="L23" i="21" s="1"/>
  <c r="L24" i="21" s="1"/>
  <c r="P34" i="21"/>
  <c r="N33" i="21"/>
  <c r="N78" i="1" s="1"/>
  <c r="N20" i="4" s="1"/>
  <c r="L61" i="18"/>
  <c r="H52" i="20"/>
  <c r="H54" i="20" s="1"/>
  <c r="H58" i="20" s="1"/>
  <c r="H60" i="20" s="1"/>
  <c r="H28" i="1" s="1"/>
  <c r="H18" i="4" s="1"/>
  <c r="L109" i="18"/>
  <c r="D8" i="4"/>
  <c r="P74" i="23"/>
  <c r="Q68" i="23"/>
  <c r="H105" i="1" s="1"/>
  <c r="H42" i="14" s="1"/>
  <c r="U31" i="26"/>
  <c r="I48" i="20"/>
  <c r="J60" i="18"/>
  <c r="I102" i="18"/>
  <c r="G50" i="1"/>
  <c r="G42" i="4" s="1"/>
  <c r="E42" i="36" s="1"/>
  <c r="H12" i="15"/>
  <c r="S74" i="27" l="1"/>
  <c r="R73" i="23"/>
  <c r="S74" i="26"/>
  <c r="R71" i="23"/>
  <c r="T29" i="26"/>
  <c r="S62" i="26"/>
  <c r="S65" i="23" s="1"/>
  <c r="V72" i="26"/>
  <c r="N64" i="20"/>
  <c r="J47" i="20"/>
  <c r="O68" i="20"/>
  <c r="N70" i="20"/>
  <c r="N69" i="20" s="1"/>
  <c r="N63" i="20"/>
  <c r="O64" i="20" s="1"/>
  <c r="L64" i="19"/>
  <c r="K66" i="19"/>
  <c r="K70" i="19" s="1"/>
  <c r="J72" i="19"/>
  <c r="J71" i="19"/>
  <c r="J23" i="1"/>
  <c r="J14" i="4" s="1"/>
  <c r="AW14" i="36"/>
  <c r="AB14" i="36"/>
  <c r="AB13" i="36"/>
  <c r="AW13" i="36"/>
  <c r="N129" i="18"/>
  <c r="N128" i="18" s="1"/>
  <c r="N132" i="18" s="1"/>
  <c r="O124" i="18"/>
  <c r="N123" i="18"/>
  <c r="N109" i="18" s="1"/>
  <c r="M82" i="18"/>
  <c r="N113" i="18"/>
  <c r="N61" i="18" s="1"/>
  <c r="O112" i="18"/>
  <c r="N62" i="18"/>
  <c r="M95" i="18"/>
  <c r="L101" i="18"/>
  <c r="K104" i="18"/>
  <c r="K105" i="18" s="1"/>
  <c r="L60" i="18" s="1"/>
  <c r="L59" i="18"/>
  <c r="K65" i="18"/>
  <c r="K68" i="18" s="1"/>
  <c r="K71" i="18" s="1"/>
  <c r="K80" i="18" s="1"/>
  <c r="J69" i="18"/>
  <c r="J75" i="18"/>
  <c r="G13" i="1"/>
  <c r="G11" i="4" s="1"/>
  <c r="E11" i="36" s="1"/>
  <c r="J78" i="18"/>
  <c r="J16" i="18" s="1"/>
  <c r="J19" i="18" s="1"/>
  <c r="I83" i="18"/>
  <c r="F14" i="1" s="1"/>
  <c r="F10" i="4" s="1"/>
  <c r="D10" i="36" s="1"/>
  <c r="F12" i="1"/>
  <c r="F9" i="4" s="1"/>
  <c r="AT11" i="36"/>
  <c r="Y11" i="36"/>
  <c r="I30" i="18"/>
  <c r="F10" i="1"/>
  <c r="F31" i="7" s="1"/>
  <c r="F36" i="7" s="1"/>
  <c r="F46" i="7" s="1"/>
  <c r="H85" i="18"/>
  <c r="E15" i="1" s="1"/>
  <c r="E16" i="1"/>
  <c r="E40" i="4" s="1"/>
  <c r="K32" i="16"/>
  <c r="J96" i="1"/>
  <c r="J24" i="7" s="1"/>
  <c r="L4" i="15"/>
  <c r="K8" i="15"/>
  <c r="J10" i="15"/>
  <c r="I50" i="1" s="1"/>
  <c r="I42" i="4" s="1"/>
  <c r="G42" i="36" s="1"/>
  <c r="J12" i="15"/>
  <c r="I49" i="1"/>
  <c r="I24" i="4" s="1"/>
  <c r="AA42" i="36"/>
  <c r="AV42" i="36"/>
  <c r="F24" i="36"/>
  <c r="H23" i="4"/>
  <c r="F23" i="36" s="1"/>
  <c r="Z24" i="36"/>
  <c r="AU24" i="36"/>
  <c r="AU23" i="36"/>
  <c r="Z23" i="36"/>
  <c r="AB32" i="36"/>
  <c r="AW32" i="36"/>
  <c r="AB29" i="36"/>
  <c r="AW29" i="36"/>
  <c r="J32" i="4"/>
  <c r="H32" i="36" s="1"/>
  <c r="H29" i="36"/>
  <c r="Y34" i="12"/>
  <c r="Y33" i="12"/>
  <c r="K66" i="1" s="1"/>
  <c r="K29" i="4" s="1"/>
  <c r="AA4" i="12"/>
  <c r="E29" i="10"/>
  <c r="E40" i="10" s="1"/>
  <c r="E47" i="10" s="1"/>
  <c r="E53" i="10" s="1"/>
  <c r="F28" i="10"/>
  <c r="D46" i="4"/>
  <c r="D49" i="4"/>
  <c r="O47" i="11"/>
  <c r="E62" i="1" s="1"/>
  <c r="E36" i="4" s="1"/>
  <c r="O48" i="11"/>
  <c r="P5" i="11"/>
  <c r="J26" i="10"/>
  <c r="K11" i="9"/>
  <c r="J93" i="1"/>
  <c r="J50" i="14" s="1"/>
  <c r="S74" i="28"/>
  <c r="R72" i="23"/>
  <c r="Q7" i="25"/>
  <c r="Q48" i="23"/>
  <c r="Q60" i="23"/>
  <c r="S68" i="28"/>
  <c r="S70" i="28" s="1"/>
  <c r="S7" i="23" s="1"/>
  <c r="S10" i="23" s="1"/>
  <c r="T29" i="28"/>
  <c r="S62" i="28"/>
  <c r="S66" i="23" s="1"/>
  <c r="T29" i="27"/>
  <c r="S62" i="27"/>
  <c r="S67" i="23" s="1"/>
  <c r="J135" i="11" a="1"/>
  <c r="J135" i="11" s="1"/>
  <c r="K134" i="11" a="1"/>
  <c r="K134" i="11" s="1"/>
  <c r="M132" i="11" a="1"/>
  <c r="M132" i="11" s="1"/>
  <c r="M131" i="11" a="1"/>
  <c r="M131" i="11" s="1"/>
  <c r="K130" i="11" a="1"/>
  <c r="K130" i="11" s="1"/>
  <c r="J129" i="11" a="1"/>
  <c r="J129" i="11" s="1"/>
  <c r="J127" i="11" a="1"/>
  <c r="J127" i="11" s="1"/>
  <c r="K126" i="11" a="1"/>
  <c r="K126" i="11" s="1"/>
  <c r="K125" i="11" a="1"/>
  <c r="K125" i="11" s="1"/>
  <c r="J121" i="11" a="1"/>
  <c r="J121" i="11" s="1"/>
  <c r="K120" i="11" a="1"/>
  <c r="K120" i="11" s="1"/>
  <c r="K119" i="11" a="1"/>
  <c r="K119" i="11" s="1"/>
  <c r="N118" i="11" a="1"/>
  <c r="N118" i="11" s="1"/>
  <c r="K117" i="11" a="1"/>
  <c r="K117" i="11" s="1"/>
  <c r="J116" i="11" a="1"/>
  <c r="J116" i="11" s="1"/>
  <c r="K115" i="11" a="1"/>
  <c r="K115" i="11" s="1"/>
  <c r="J114" i="11" a="1"/>
  <c r="J114" i="11" s="1"/>
  <c r="L113" i="11" a="1"/>
  <c r="L113" i="11" s="1"/>
  <c r="K112" i="11" a="1"/>
  <c r="K112" i="11" s="1"/>
  <c r="K105" i="11" a="1"/>
  <c r="K105" i="11" s="1"/>
  <c r="K104" i="11" a="1"/>
  <c r="K104" i="11" s="1"/>
  <c r="K103" i="11" a="1"/>
  <c r="K103" i="11" s="1"/>
  <c r="G186" i="11"/>
  <c r="G52" i="10"/>
  <c r="H51" i="10"/>
  <c r="G27" i="10"/>
  <c r="I140" i="11"/>
  <c r="H142" i="11"/>
  <c r="H50" i="10"/>
  <c r="I139" i="11" a="1"/>
  <c r="I139" i="11" s="1"/>
  <c r="J102" i="11" a="1"/>
  <c r="J102" i="11" s="1"/>
  <c r="AX31" i="36"/>
  <c r="AC31" i="36"/>
  <c r="X23" i="13"/>
  <c r="K71" i="1" s="1"/>
  <c r="K31" i="4" s="1"/>
  <c r="I31" i="36" s="1"/>
  <c r="X24" i="13"/>
  <c r="Z7" i="13"/>
  <c r="M13" i="25"/>
  <c r="M18" i="25" s="1"/>
  <c r="N6" i="25"/>
  <c r="N11" i="25" s="1"/>
  <c r="C82" i="1"/>
  <c r="C5" i="4" s="1"/>
  <c r="C27" i="4" s="1"/>
  <c r="C33" i="4" s="1"/>
  <c r="D73" i="7"/>
  <c r="R7" i="25"/>
  <c r="R48" i="23"/>
  <c r="R60" i="23"/>
  <c r="S22" i="23"/>
  <c r="S47" i="23" s="1"/>
  <c r="J58" i="1"/>
  <c r="J14" i="7" s="1"/>
  <c r="J18" i="7" s="1"/>
  <c r="J20" i="7" s="1"/>
  <c r="O8" i="25"/>
  <c r="F104" i="1"/>
  <c r="F43" i="14" s="1"/>
  <c r="O16" i="25"/>
  <c r="P60" i="23"/>
  <c r="P62" i="23" s="1"/>
  <c r="P48" i="23"/>
  <c r="P7" i="25"/>
  <c r="AU18" i="36"/>
  <c r="Z18" i="36"/>
  <c r="AU17" i="36"/>
  <c r="Z17" i="36"/>
  <c r="K47" i="1"/>
  <c r="T6" i="23"/>
  <c r="K46" i="1"/>
  <c r="T84" i="23"/>
  <c r="T87" i="23" s="1"/>
  <c r="K59" i="1" s="1"/>
  <c r="K5" i="7" s="1"/>
  <c r="K11" i="7" s="1"/>
  <c r="E53" i="14"/>
  <c r="E46" i="14"/>
  <c r="E77" i="1" s="1"/>
  <c r="E26" i="4" s="1"/>
  <c r="E25" i="4" s="1"/>
  <c r="E54" i="14"/>
  <c r="E23" i="14"/>
  <c r="E24" i="14" s="1"/>
  <c r="E26" i="14" s="1"/>
  <c r="E101" i="1" s="1"/>
  <c r="E68" i="7" s="1"/>
  <c r="E70" i="7" s="1"/>
  <c r="AF19" i="36"/>
  <c r="BA19" i="36"/>
  <c r="BA20" i="36"/>
  <c r="AF20" i="36"/>
  <c r="L36" i="1"/>
  <c r="L34" i="7" s="1"/>
  <c r="L36" i="7" s="1"/>
  <c r="L46" i="7" s="1"/>
  <c r="L26" i="21"/>
  <c r="N19" i="4"/>
  <c r="L19" i="36" s="1"/>
  <c r="L20" i="36"/>
  <c r="L82" i="18"/>
  <c r="F18" i="36"/>
  <c r="H17" i="4"/>
  <c r="F17" i="36" s="1"/>
  <c r="P12" i="25"/>
  <c r="G106" i="1"/>
  <c r="G45" i="14" s="1"/>
  <c r="G48" i="14" s="1"/>
  <c r="G52" i="14" s="1"/>
  <c r="U32" i="26"/>
  <c r="U60" i="26" s="1"/>
  <c r="U68" i="26"/>
  <c r="U70" i="26" s="1"/>
  <c r="AU42" i="36"/>
  <c r="Z42" i="36"/>
  <c r="J64" i="7"/>
  <c r="D70" i="7"/>
  <c r="Q74" i="23"/>
  <c r="R68" i="23"/>
  <c r="I105" i="1" s="1"/>
  <c r="I42" i="14" s="1"/>
  <c r="V31" i="26"/>
  <c r="I52" i="20"/>
  <c r="I54" i="20" s="1"/>
  <c r="I58" i="20" s="1"/>
  <c r="I60" i="20" s="1"/>
  <c r="I28" i="1" s="1"/>
  <c r="I18" i="4" s="1"/>
  <c r="M109" i="18"/>
  <c r="E8" i="4"/>
  <c r="T74" i="27" l="1"/>
  <c r="S73" i="23"/>
  <c r="T74" i="26"/>
  <c r="S71" i="23"/>
  <c r="U29" i="26"/>
  <c r="T62" i="26"/>
  <c r="T65" i="23" s="1"/>
  <c r="J52" i="20"/>
  <c r="J54" i="20" s="1"/>
  <c r="J58" i="20" s="1"/>
  <c r="O47" i="20"/>
  <c r="J14" i="20" s="1"/>
  <c r="J17" i="20" s="1"/>
  <c r="O70" i="20"/>
  <c r="O69" i="20" s="1"/>
  <c r="O63" i="20"/>
  <c r="P64" i="20" s="1"/>
  <c r="P68" i="20"/>
  <c r="M64" i="19"/>
  <c r="L66" i="19"/>
  <c r="L70" i="19" s="1"/>
  <c r="K72" i="19"/>
  <c r="K23" i="1"/>
  <c r="K14" i="4" s="1"/>
  <c r="K71" i="19"/>
  <c r="H14" i="36"/>
  <c r="J13" i="4"/>
  <c r="H13" i="36" s="1"/>
  <c r="O129" i="18"/>
  <c r="O128" i="18" s="1"/>
  <c r="P124" i="18"/>
  <c r="O123" i="18"/>
  <c r="O109" i="18" s="1"/>
  <c r="N82" i="18"/>
  <c r="O113" i="18"/>
  <c r="O61" i="18" s="1"/>
  <c r="P112" i="18"/>
  <c r="O62" i="18"/>
  <c r="N95" i="18"/>
  <c r="M101" i="18"/>
  <c r="L104" i="18"/>
  <c r="L105" i="18" s="1"/>
  <c r="M60" i="18" s="1"/>
  <c r="M59" i="18"/>
  <c r="L65" i="18"/>
  <c r="L68" i="18" s="1"/>
  <c r="L71" i="18"/>
  <c r="L80" i="18" s="1"/>
  <c r="K69" i="18"/>
  <c r="K75" i="18"/>
  <c r="H13" i="1"/>
  <c r="H11" i="4" s="1"/>
  <c r="F11" i="36" s="1"/>
  <c r="K78" i="18"/>
  <c r="K16" i="18" s="1"/>
  <c r="K19" i="18" s="1"/>
  <c r="J83" i="18"/>
  <c r="G14" i="1" s="1"/>
  <c r="G10" i="4" s="1"/>
  <c r="E10" i="36" s="1"/>
  <c r="G12" i="1"/>
  <c r="G9" i="4" s="1"/>
  <c r="AU11" i="36"/>
  <c r="Z11" i="36"/>
  <c r="G10" i="1"/>
  <c r="G31" i="7" s="1"/>
  <c r="G36" i="7" s="1"/>
  <c r="G46" i="7" s="1"/>
  <c r="J30" i="18"/>
  <c r="Y10" i="36"/>
  <c r="AT10" i="36"/>
  <c r="D9" i="36"/>
  <c r="F8" i="4"/>
  <c r="D8" i="36" s="1"/>
  <c r="L32" i="16"/>
  <c r="K96" i="1"/>
  <c r="K24" i="7" s="1"/>
  <c r="M4" i="15"/>
  <c r="L8" i="15"/>
  <c r="K10" i="15"/>
  <c r="J50" i="1" s="1"/>
  <c r="J42" i="4" s="1"/>
  <c r="H42" i="36" s="1"/>
  <c r="K12" i="15"/>
  <c r="J49" i="1"/>
  <c r="J24" i="4" s="1"/>
  <c r="AB42" i="36"/>
  <c r="AW42" i="36"/>
  <c r="G24" i="36"/>
  <c r="I23" i="4"/>
  <c r="G23" i="36" s="1"/>
  <c r="AA24" i="36"/>
  <c r="AV24" i="36"/>
  <c r="AA23" i="36"/>
  <c r="AV23" i="36"/>
  <c r="AC32" i="36"/>
  <c r="AX32" i="36"/>
  <c r="AC29" i="36"/>
  <c r="AX29" i="36"/>
  <c r="K32" i="4"/>
  <c r="I32" i="36" s="1"/>
  <c r="I29" i="36"/>
  <c r="AA34" i="12"/>
  <c r="AA33" i="12"/>
  <c r="L66" i="1" s="1"/>
  <c r="L29" i="4" s="1"/>
  <c r="AC4" i="12"/>
  <c r="F29" i="10"/>
  <c r="F40" i="10" s="1"/>
  <c r="F47" i="10" s="1"/>
  <c r="F53" i="10" s="1"/>
  <c r="G28" i="10"/>
  <c r="E46" i="4"/>
  <c r="E49" i="4"/>
  <c r="Q5" i="11"/>
  <c r="P47" i="11"/>
  <c r="F62" i="1" s="1"/>
  <c r="F36" i="4" s="1"/>
  <c r="P48" i="11"/>
  <c r="K26" i="10"/>
  <c r="K93" i="1"/>
  <c r="K50" i="14" s="1"/>
  <c r="L11" i="9"/>
  <c r="T74" i="28"/>
  <c r="S72" i="23"/>
  <c r="T68" i="28"/>
  <c r="T70" i="28" s="1"/>
  <c r="T7" i="23" s="1"/>
  <c r="T10" i="23" s="1"/>
  <c r="U29" i="28"/>
  <c r="T62" i="28"/>
  <c r="T66" i="23" s="1"/>
  <c r="U29" i="27"/>
  <c r="T62" i="27"/>
  <c r="T67" i="23" s="1"/>
  <c r="K135" i="11" a="1"/>
  <c r="K135" i="11" s="1"/>
  <c r="L134" i="11" a="1"/>
  <c r="L134" i="11" s="1"/>
  <c r="N132" i="11" a="1"/>
  <c r="N132" i="11" s="1"/>
  <c r="N131" i="11" a="1"/>
  <c r="N131" i="11" s="1"/>
  <c r="L130" i="11" a="1"/>
  <c r="L130" i="11" s="1"/>
  <c r="K129" i="11" a="1"/>
  <c r="K129" i="11" s="1"/>
  <c r="K127" i="11" a="1"/>
  <c r="K127" i="11" s="1"/>
  <c r="L126" i="11" a="1"/>
  <c r="L126" i="11" s="1"/>
  <c r="L125" i="11" a="1"/>
  <c r="L125" i="11" s="1"/>
  <c r="K121" i="11" a="1"/>
  <c r="K121" i="11" s="1"/>
  <c r="L120" i="11" a="1"/>
  <c r="L120" i="11" s="1"/>
  <c r="L119" i="11" a="1"/>
  <c r="L119" i="11" s="1"/>
  <c r="L117" i="11" a="1"/>
  <c r="L117" i="11" s="1"/>
  <c r="K116" i="11" a="1"/>
  <c r="K116" i="11" s="1"/>
  <c r="L115" i="11" a="1"/>
  <c r="L115" i="11" s="1"/>
  <c r="K114" i="11" a="1"/>
  <c r="K114" i="11" s="1"/>
  <c r="M113" i="11" a="1"/>
  <c r="M113" i="11" s="1"/>
  <c r="L112" i="11" a="1"/>
  <c r="L112" i="11" s="1"/>
  <c r="L105" i="11" a="1"/>
  <c r="L105" i="11" s="1"/>
  <c r="L104" i="11" a="1"/>
  <c r="L104" i="11" s="1"/>
  <c r="L103" i="11" a="1"/>
  <c r="L103" i="11" s="1"/>
  <c r="H186" i="11"/>
  <c r="H52" i="10"/>
  <c r="I51" i="10"/>
  <c r="H27" i="10"/>
  <c r="J140" i="11"/>
  <c r="I142" i="11"/>
  <c r="I50" i="10"/>
  <c r="J139" i="11" a="1"/>
  <c r="J139" i="11" s="1"/>
  <c r="K102" i="11" a="1"/>
  <c r="K102" i="11" s="1"/>
  <c r="AY31" i="36"/>
  <c r="AD31" i="36"/>
  <c r="Z23" i="13"/>
  <c r="L71" i="1" s="1"/>
  <c r="L31" i="4" s="1"/>
  <c r="J31" i="36" s="1"/>
  <c r="Z24" i="13"/>
  <c r="AB7" i="13"/>
  <c r="N13" i="25"/>
  <c r="N18" i="25" s="1"/>
  <c r="O6" i="25"/>
  <c r="O11" i="25" s="1"/>
  <c r="C180" i="11"/>
  <c r="C149" i="11"/>
  <c r="C158" i="11"/>
  <c r="C163" i="11"/>
  <c r="C165" i="11"/>
  <c r="C166" i="11"/>
  <c r="C167" i="11"/>
  <c r="C171" i="11"/>
  <c r="C177" i="11"/>
  <c r="C178" i="11"/>
  <c r="C161" i="11"/>
  <c r="C164" i="11"/>
  <c r="C174" i="11"/>
  <c r="C175" i="11"/>
  <c r="C176" i="11"/>
  <c r="C181" i="11"/>
  <c r="C159" i="11"/>
  <c r="C173" i="11"/>
  <c r="C150" i="11"/>
  <c r="C151" i="11"/>
  <c r="C152" i="11"/>
  <c r="C153" i="11"/>
  <c r="C154" i="11"/>
  <c r="C155" i="11"/>
  <c r="C156" i="11"/>
  <c r="C157" i="11"/>
  <c r="C168" i="11"/>
  <c r="C169" i="11"/>
  <c r="C170" i="11"/>
  <c r="C160" i="11"/>
  <c r="C162" i="11"/>
  <c r="C172" i="11"/>
  <c r="C182" i="11"/>
  <c r="C179" i="11"/>
  <c r="C148" i="11"/>
  <c r="C184" i="11" s="1"/>
  <c r="C47" i="4" s="1"/>
  <c r="C4" i="8"/>
  <c r="C10" i="8" s="1"/>
  <c r="C11" i="8" s="1"/>
  <c r="C86" i="1" s="1"/>
  <c r="C35" i="4" s="1"/>
  <c r="C38" i="4" s="1"/>
  <c r="C185" i="11"/>
  <c r="C187" i="11" s="1"/>
  <c r="D82" i="1"/>
  <c r="D5" i="4" s="1"/>
  <c r="D27" i="4" s="1"/>
  <c r="D33" i="4" s="1"/>
  <c r="E73" i="7"/>
  <c r="S48" i="23"/>
  <c r="S7" i="25"/>
  <c r="S60" i="23"/>
  <c r="F53" i="14"/>
  <c r="F46" i="14"/>
  <c r="F77" i="1" s="1"/>
  <c r="F26" i="4" s="1"/>
  <c r="F54" i="14"/>
  <c r="F23" i="14"/>
  <c r="F24" i="14" s="1"/>
  <c r="F26" i="14" s="1"/>
  <c r="F101" i="1" s="1"/>
  <c r="F68" i="7" s="1"/>
  <c r="F70" i="7" s="1"/>
  <c r="P8" i="25"/>
  <c r="G104" i="1"/>
  <c r="G43" i="14" s="1"/>
  <c r="P16" i="25"/>
  <c r="AG19" i="36"/>
  <c r="BB19" i="36"/>
  <c r="BB20" i="36"/>
  <c r="AG20" i="36"/>
  <c r="AV18" i="36"/>
  <c r="AA18" i="36"/>
  <c r="AV17" i="36"/>
  <c r="AA17" i="36"/>
  <c r="U84" i="23"/>
  <c r="U87" i="23" s="1"/>
  <c r="L59" i="1" s="1"/>
  <c r="L5" i="7" s="1"/>
  <c r="L11" i="7" s="1"/>
  <c r="L46" i="1"/>
  <c r="U6" i="23"/>
  <c r="L47" i="1"/>
  <c r="Q12" i="25"/>
  <c r="H106" i="1"/>
  <c r="H45" i="14" s="1"/>
  <c r="H48" i="14" s="1"/>
  <c r="H52" i="14" s="1"/>
  <c r="V32" i="26"/>
  <c r="V60" i="26" s="1"/>
  <c r="V68" i="26"/>
  <c r="V70" i="26" s="1"/>
  <c r="G18" i="36"/>
  <c r="I17" i="4"/>
  <c r="G17" i="36" s="1"/>
  <c r="R74" i="23"/>
  <c r="S68" i="23"/>
  <c r="J105" i="1" s="1"/>
  <c r="J42" i="14" s="1"/>
  <c r="Q62" i="23"/>
  <c r="U74" i="27" l="1"/>
  <c r="T73" i="23"/>
  <c r="U74" i="26"/>
  <c r="T71" i="23"/>
  <c r="V29" i="26"/>
  <c r="U62" i="26"/>
  <c r="U65" i="23" s="1"/>
  <c r="J26" i="20"/>
  <c r="J26" i="1"/>
  <c r="J33" i="7" s="1"/>
  <c r="P63" i="20"/>
  <c r="Q64" i="20" s="1"/>
  <c r="Q68" i="20"/>
  <c r="P70" i="20"/>
  <c r="P69" i="20" s="1"/>
  <c r="N64" i="19"/>
  <c r="N66" i="19" s="1"/>
  <c r="N70" i="19" s="1"/>
  <c r="M66" i="19"/>
  <c r="M70" i="19" s="1"/>
  <c r="L72" i="19"/>
  <c r="L23" i="1"/>
  <c r="L14" i="4" s="1"/>
  <c r="L71" i="19"/>
  <c r="I14" i="36"/>
  <c r="K13" i="4"/>
  <c r="I13" i="36" s="1"/>
  <c r="AX14" i="36"/>
  <c r="AC14" i="36"/>
  <c r="AC13" i="36"/>
  <c r="AX13" i="36"/>
  <c r="P129" i="18"/>
  <c r="P128" i="18" s="1"/>
  <c r="Q124" i="18"/>
  <c r="P123" i="18"/>
  <c r="P109" i="18" s="1"/>
  <c r="O82" i="18"/>
  <c r="P113" i="18"/>
  <c r="P61" i="18" s="1"/>
  <c r="Q112" i="18"/>
  <c r="P62" i="18"/>
  <c r="O95" i="18"/>
  <c r="N101" i="18"/>
  <c r="M104" i="18"/>
  <c r="M105" i="18" s="1"/>
  <c r="N60" i="18" s="1"/>
  <c r="N59" i="18"/>
  <c r="M65" i="18"/>
  <c r="M68" i="18" s="1"/>
  <c r="M71" i="18"/>
  <c r="M80" i="18" s="1"/>
  <c r="L69" i="18"/>
  <c r="L75" i="18"/>
  <c r="I13" i="1"/>
  <c r="I11" i="4" s="1"/>
  <c r="G11" i="36" s="1"/>
  <c r="L78" i="18"/>
  <c r="L16" i="18" s="1"/>
  <c r="L19" i="18" s="1"/>
  <c r="K83" i="18"/>
  <c r="H14" i="1" s="1"/>
  <c r="H10" i="4" s="1"/>
  <c r="F10" i="36" s="1"/>
  <c r="H12" i="1"/>
  <c r="H9" i="4" s="1"/>
  <c r="AV11" i="36"/>
  <c r="AA11" i="36"/>
  <c r="H10" i="1"/>
  <c r="H31" i="7" s="1"/>
  <c r="H36" i="7" s="1"/>
  <c r="H46" i="7" s="1"/>
  <c r="K30" i="18"/>
  <c r="Z10" i="36"/>
  <c r="AU10" i="36"/>
  <c r="E9" i="36"/>
  <c r="G8" i="4"/>
  <c r="E8" i="36" s="1"/>
  <c r="Y9" i="36"/>
  <c r="AT9" i="36"/>
  <c r="Y8" i="36"/>
  <c r="AT8" i="36"/>
  <c r="M32" i="16"/>
  <c r="L96" i="1"/>
  <c r="L24" i="7" s="1"/>
  <c r="N4" i="15"/>
  <c r="M8" i="15"/>
  <c r="L10" i="15"/>
  <c r="K50" i="1" s="1"/>
  <c r="K42" i="4" s="1"/>
  <c r="I42" i="36" s="1"/>
  <c r="L12" i="15"/>
  <c r="K49" i="1"/>
  <c r="K24" i="4" s="1"/>
  <c r="AC42" i="36"/>
  <c r="AX42" i="36"/>
  <c r="H24" i="36"/>
  <c r="J23" i="4"/>
  <c r="H23" i="36" s="1"/>
  <c r="AB24" i="36"/>
  <c r="AW24" i="36"/>
  <c r="AB23" i="36"/>
  <c r="AW23" i="36"/>
  <c r="AD32" i="36"/>
  <c r="AY32" i="36"/>
  <c r="AD29" i="36"/>
  <c r="AY29" i="36"/>
  <c r="L32" i="4"/>
  <c r="J32" i="36" s="1"/>
  <c r="J29" i="36"/>
  <c r="AC34" i="12"/>
  <c r="AC33" i="12"/>
  <c r="M66" i="1" s="1"/>
  <c r="M29" i="4" s="1"/>
  <c r="AE4" i="12"/>
  <c r="G29" i="10"/>
  <c r="G40" i="10" s="1"/>
  <c r="G47" i="10" s="1"/>
  <c r="G53" i="10" s="1"/>
  <c r="H28" i="10"/>
  <c r="Q47" i="11"/>
  <c r="G62" i="1" s="1"/>
  <c r="G36" i="4" s="1"/>
  <c r="Q48" i="11"/>
  <c r="R5" i="11"/>
  <c r="F46" i="4"/>
  <c r="D46" i="36" s="1"/>
  <c r="F49" i="4"/>
  <c r="D36" i="36"/>
  <c r="L26" i="10"/>
  <c r="L93" i="1"/>
  <c r="L50" i="14" s="1"/>
  <c r="M11" i="9"/>
  <c r="U74" i="28"/>
  <c r="T72" i="23"/>
  <c r="U68" i="28"/>
  <c r="U70" i="28" s="1"/>
  <c r="U7" i="23" s="1"/>
  <c r="U10" i="23" s="1"/>
  <c r="L58" i="1" s="1"/>
  <c r="L14" i="7" s="1"/>
  <c r="L18" i="7" s="1"/>
  <c r="L20" i="7" s="1"/>
  <c r="V29" i="28"/>
  <c r="U62" i="28"/>
  <c r="U66" i="23" s="1"/>
  <c r="U62" i="27"/>
  <c r="U67" i="23" s="1"/>
  <c r="V29" i="27"/>
  <c r="L135" i="11" a="1"/>
  <c r="L135" i="11" s="1"/>
  <c r="M134" i="11" a="1"/>
  <c r="M134" i="11" s="1"/>
  <c r="M130" i="11" a="1"/>
  <c r="M130" i="11" s="1"/>
  <c r="L129" i="11" a="1"/>
  <c r="L129" i="11" s="1"/>
  <c r="L127" i="11" a="1"/>
  <c r="L127" i="11" s="1"/>
  <c r="M126" i="11" a="1"/>
  <c r="M126" i="11" s="1"/>
  <c r="M125" i="11" a="1"/>
  <c r="M125" i="11" s="1"/>
  <c r="L121" i="11" a="1"/>
  <c r="L121" i="11" s="1"/>
  <c r="M120" i="11" a="1"/>
  <c r="M120" i="11" s="1"/>
  <c r="M119" i="11" a="1"/>
  <c r="M119" i="11" s="1"/>
  <c r="M117" i="11" a="1"/>
  <c r="M117" i="11" s="1"/>
  <c r="L116" i="11" a="1"/>
  <c r="L116" i="11" s="1"/>
  <c r="M115" i="11" a="1"/>
  <c r="M115" i="11" s="1"/>
  <c r="L114" i="11" a="1"/>
  <c r="L114" i="11" s="1"/>
  <c r="N113" i="11" a="1"/>
  <c r="N113" i="11" s="1"/>
  <c r="M112" i="11" a="1"/>
  <c r="M112" i="11" s="1"/>
  <c r="M105" i="11" a="1"/>
  <c r="M105" i="11" s="1"/>
  <c r="M104" i="11" a="1"/>
  <c r="M104" i="11" s="1"/>
  <c r="M103" i="11" a="1"/>
  <c r="M103" i="11" s="1"/>
  <c r="I186" i="11"/>
  <c r="I52" i="10"/>
  <c r="J51" i="10"/>
  <c r="I27" i="10"/>
  <c r="K140" i="11"/>
  <c r="J142" i="11"/>
  <c r="J50" i="10"/>
  <c r="K139" i="11" a="1"/>
  <c r="K139" i="11" s="1"/>
  <c r="L102" i="11" a="1"/>
  <c r="L102" i="11" s="1"/>
  <c r="AZ31" i="36"/>
  <c r="AE31" i="36"/>
  <c r="AB23" i="13"/>
  <c r="M71" i="1" s="1"/>
  <c r="M31" i="4" s="1"/>
  <c r="K31" i="36" s="1"/>
  <c r="AB24" i="13"/>
  <c r="AD7" i="13"/>
  <c r="O13" i="25"/>
  <c r="O18" i="25" s="1"/>
  <c r="P6" i="25"/>
  <c r="P11" i="25" s="1"/>
  <c r="C39" i="4"/>
  <c r="C44" i="4" s="1"/>
  <c r="D176" i="11"/>
  <c r="D164" i="11"/>
  <c r="D177" i="11"/>
  <c r="D159" i="11"/>
  <c r="D171" i="11"/>
  <c r="D158" i="11"/>
  <c r="D179" i="11"/>
  <c r="D162" i="11"/>
  <c r="D160" i="11"/>
  <c r="D173" i="11"/>
  <c r="D175" i="11"/>
  <c r="D181" i="11"/>
  <c r="D152" i="11"/>
  <c r="D153" i="11"/>
  <c r="D154" i="11"/>
  <c r="D155" i="11"/>
  <c r="D156" i="11"/>
  <c r="D157" i="11"/>
  <c r="D165" i="11"/>
  <c r="D168" i="11"/>
  <c r="D169" i="11"/>
  <c r="D170" i="11"/>
  <c r="D149" i="11"/>
  <c r="D150" i="11"/>
  <c r="D167" i="11"/>
  <c r="D151" i="11"/>
  <c r="D161" i="11"/>
  <c r="D166" i="11"/>
  <c r="D178" i="11"/>
  <c r="D182" i="11"/>
  <c r="D163" i="11"/>
  <c r="D172" i="11"/>
  <c r="D180" i="11"/>
  <c r="D148" i="11"/>
  <c r="D184" i="11" s="1"/>
  <c r="D47" i="4" s="1"/>
  <c r="D174" i="11"/>
  <c r="D185" i="11"/>
  <c r="D187" i="11" s="1"/>
  <c r="D4" i="8"/>
  <c r="D10" i="8" s="1"/>
  <c r="D11" i="8" s="1"/>
  <c r="D86" i="1" s="1"/>
  <c r="D35" i="4" s="1"/>
  <c r="D38" i="4" s="1"/>
  <c r="E82" i="1"/>
  <c r="E5" i="4" s="1"/>
  <c r="E27" i="4" s="1"/>
  <c r="E33" i="4" s="1"/>
  <c r="F73" i="7"/>
  <c r="F25" i="4"/>
  <c r="D25" i="36" s="1"/>
  <c r="D26" i="36"/>
  <c r="G53" i="14"/>
  <c r="G46" i="14"/>
  <c r="G77" i="1" s="1"/>
  <c r="G26" i="4" s="1"/>
  <c r="G54" i="14"/>
  <c r="G23" i="14"/>
  <c r="G24" i="14" s="1"/>
  <c r="G26" i="14" s="1"/>
  <c r="G101" i="1" s="1"/>
  <c r="G68" i="7" s="1"/>
  <c r="G70" i="7" s="1"/>
  <c r="U22" i="23"/>
  <c r="U47" i="23" s="1"/>
  <c r="V84" i="23"/>
  <c r="V87" i="23" s="1"/>
  <c r="M59" i="1" s="1"/>
  <c r="M5" i="7" s="1"/>
  <c r="M11" i="7" s="1"/>
  <c r="M46" i="1"/>
  <c r="V6" i="23"/>
  <c r="M47" i="1"/>
  <c r="AW18" i="36"/>
  <c r="AB18" i="36"/>
  <c r="AB17" i="36"/>
  <c r="AW17" i="36"/>
  <c r="R12" i="25"/>
  <c r="I106" i="1"/>
  <c r="I45" i="14" s="1"/>
  <c r="I48" i="14" s="1"/>
  <c r="I52" i="14" s="1"/>
  <c r="R62" i="23"/>
  <c r="Q16" i="25"/>
  <c r="H104" i="1"/>
  <c r="H43" i="14" s="1"/>
  <c r="Q8" i="25"/>
  <c r="O132" i="18"/>
  <c r="S74" i="23"/>
  <c r="T68" i="23"/>
  <c r="K105" i="1" s="1"/>
  <c r="K42" i="14" s="1"/>
  <c r="T22" i="23"/>
  <c r="T47" i="23" s="1"/>
  <c r="K58" i="1"/>
  <c r="K14" i="7" s="1"/>
  <c r="K18" i="7" s="1"/>
  <c r="K20" i="7" s="1"/>
  <c r="V74" i="27" l="1"/>
  <c r="U73" i="23"/>
  <c r="V74" i="26"/>
  <c r="U71" i="23"/>
  <c r="W28" i="26"/>
  <c r="V62" i="26"/>
  <c r="V65" i="23" s="1"/>
  <c r="W29" i="26"/>
  <c r="W62" i="26" s="1"/>
  <c r="W65" i="23" s="1"/>
  <c r="Q63" i="20"/>
  <c r="Q70" i="20"/>
  <c r="Q69" i="20" s="1"/>
  <c r="N72" i="19"/>
  <c r="N23" i="1"/>
  <c r="N14" i="4" s="1"/>
  <c r="N71" i="19"/>
  <c r="M72" i="19"/>
  <c r="M23" i="1"/>
  <c r="M14" i="4" s="1"/>
  <c r="M71" i="19"/>
  <c r="J14" i="36"/>
  <c r="L13" i="4"/>
  <c r="J13" i="36" s="1"/>
  <c r="AY14" i="36"/>
  <c r="AD14" i="36"/>
  <c r="AD13" i="36"/>
  <c r="AY13" i="36"/>
  <c r="Q129" i="18"/>
  <c r="Q128" i="18" s="1"/>
  <c r="Q132" i="18" s="1"/>
  <c r="Q123" i="18"/>
  <c r="P82" i="18"/>
  <c r="Q113" i="18"/>
  <c r="Q62" i="18"/>
  <c r="P95" i="18"/>
  <c r="P101" i="18" s="1"/>
  <c r="Q59" i="18" s="1"/>
  <c r="O101" i="18"/>
  <c r="P59" i="18" s="1"/>
  <c r="N102" i="18"/>
  <c r="N104" i="18"/>
  <c r="O59" i="18"/>
  <c r="N65" i="18"/>
  <c r="N68" i="18" s="1"/>
  <c r="N71" i="18"/>
  <c r="N80" i="18" s="1"/>
  <c r="M69" i="18"/>
  <c r="M75" i="18"/>
  <c r="J13" i="1"/>
  <c r="J11" i="4" s="1"/>
  <c r="H11" i="36" s="1"/>
  <c r="M78" i="18"/>
  <c r="M16" i="18" s="1"/>
  <c r="M19" i="18" s="1"/>
  <c r="L83" i="18"/>
  <c r="I14" i="1" s="1"/>
  <c r="I10" i="4" s="1"/>
  <c r="G10" i="36" s="1"/>
  <c r="I12" i="1"/>
  <c r="I9" i="4" s="1"/>
  <c r="AW11" i="36"/>
  <c r="AB11" i="36"/>
  <c r="I10" i="1"/>
  <c r="I31" i="7" s="1"/>
  <c r="I36" i="7" s="1"/>
  <c r="I46" i="7" s="1"/>
  <c r="L30" i="18"/>
  <c r="AA10" i="36"/>
  <c r="AV10" i="36"/>
  <c r="F9" i="36"/>
  <c r="H8" i="4"/>
  <c r="F8" i="36" s="1"/>
  <c r="AU9" i="36"/>
  <c r="Z9" i="36"/>
  <c r="Z8" i="36"/>
  <c r="AU8" i="36"/>
  <c r="N32" i="16"/>
  <c r="N96" i="1" s="1"/>
  <c r="N24" i="7" s="1"/>
  <c r="M96" i="1"/>
  <c r="M24" i="7" s="1"/>
  <c r="O4" i="15"/>
  <c r="O8" i="15" s="1"/>
  <c r="N8" i="15"/>
  <c r="M10" i="15"/>
  <c r="L50" i="1" s="1"/>
  <c r="L42" i="4" s="1"/>
  <c r="J42" i="36" s="1"/>
  <c r="M12" i="15"/>
  <c r="L49" i="1"/>
  <c r="L24" i="4" s="1"/>
  <c r="AD42" i="36"/>
  <c r="AY42" i="36"/>
  <c r="I24" i="36"/>
  <c r="K23" i="4"/>
  <c r="I23" i="36" s="1"/>
  <c r="AC24" i="36"/>
  <c r="AX24" i="36"/>
  <c r="AX23" i="36"/>
  <c r="AC23" i="36"/>
  <c r="AE32" i="36"/>
  <c r="AZ32" i="36"/>
  <c r="AE29" i="36"/>
  <c r="AZ29" i="36"/>
  <c r="M32" i="4"/>
  <c r="K32" i="36" s="1"/>
  <c r="K29" i="36"/>
  <c r="AE34" i="12"/>
  <c r="AE33" i="12"/>
  <c r="N66" i="1" s="1"/>
  <c r="N29" i="4" s="1"/>
  <c r="H29" i="10"/>
  <c r="H40" i="10" s="1"/>
  <c r="H47" i="10" s="1"/>
  <c r="H53" i="10" s="1"/>
  <c r="I28" i="10"/>
  <c r="G46" i="4"/>
  <c r="E36" i="36"/>
  <c r="S5" i="11"/>
  <c r="R47" i="11"/>
  <c r="H62" i="1" s="1"/>
  <c r="H36" i="4" s="1"/>
  <c r="R48" i="11"/>
  <c r="Y46" i="36"/>
  <c r="AT46" i="36"/>
  <c r="D49" i="36"/>
  <c r="Y36" i="36"/>
  <c r="AT36" i="36"/>
  <c r="M26" i="10"/>
  <c r="N11" i="9"/>
  <c r="N93" i="1" s="1"/>
  <c r="N50" i="14" s="1"/>
  <c r="M93" i="1"/>
  <c r="M50" i="14" s="1"/>
  <c r="V74" i="28"/>
  <c r="U72" i="23"/>
  <c r="V68" i="28"/>
  <c r="V70" i="28" s="1"/>
  <c r="V7" i="23" s="1"/>
  <c r="V10" i="23" s="1"/>
  <c r="W29" i="28"/>
  <c r="V62" i="28"/>
  <c r="V66" i="23" s="1"/>
  <c r="W29" i="27"/>
  <c r="W62" i="27" s="1"/>
  <c r="W67" i="23" s="1"/>
  <c r="V62" i="27"/>
  <c r="V67" i="23" s="1"/>
  <c r="M135" i="11" a="1"/>
  <c r="M135" i="11" s="1"/>
  <c r="N134" i="11" a="1"/>
  <c r="N134" i="11" s="1"/>
  <c r="N130" i="11" a="1"/>
  <c r="N130" i="11" s="1"/>
  <c r="M129" i="11" a="1"/>
  <c r="M129" i="11" s="1"/>
  <c r="M127" i="11" a="1"/>
  <c r="M127" i="11" s="1"/>
  <c r="N126" i="11" a="1"/>
  <c r="N126" i="11" s="1"/>
  <c r="N125" i="11" a="1"/>
  <c r="N125" i="11" s="1"/>
  <c r="M121" i="11" a="1"/>
  <c r="M121" i="11" s="1"/>
  <c r="N120" i="11" a="1"/>
  <c r="N120" i="11" s="1"/>
  <c r="N119" i="11" a="1"/>
  <c r="N119" i="11" s="1"/>
  <c r="N117" i="11" a="1"/>
  <c r="N117" i="11" s="1"/>
  <c r="M116" i="11" a="1"/>
  <c r="M116" i="11" s="1"/>
  <c r="N115" i="11" a="1"/>
  <c r="N115" i="11" s="1"/>
  <c r="M114" i="11" a="1"/>
  <c r="M114" i="11" s="1"/>
  <c r="N112" i="11" a="1"/>
  <c r="N112" i="11" s="1"/>
  <c r="N105" i="11" a="1"/>
  <c r="N105" i="11" s="1"/>
  <c r="N104" i="11" a="1"/>
  <c r="N104" i="11" s="1"/>
  <c r="N103" i="11" a="1"/>
  <c r="N103" i="11" s="1"/>
  <c r="J186" i="11"/>
  <c r="J52" i="10"/>
  <c r="K51" i="10"/>
  <c r="J27" i="10"/>
  <c r="L140" i="11"/>
  <c r="K142" i="11"/>
  <c r="K50" i="10"/>
  <c r="L139" i="11" a="1"/>
  <c r="L139" i="11" s="1"/>
  <c r="M102" i="11" a="1"/>
  <c r="M102" i="11" s="1"/>
  <c r="BA31" i="36"/>
  <c r="AF31" i="36"/>
  <c r="AD24" i="13"/>
  <c r="AD23" i="13"/>
  <c r="N71" i="1" s="1"/>
  <c r="N31" i="4" s="1"/>
  <c r="L31" i="36" s="1"/>
  <c r="P13" i="25"/>
  <c r="P18" i="25" s="1"/>
  <c r="Q6" i="25"/>
  <c r="Q11" i="25" s="1"/>
  <c r="C21" i="7"/>
  <c r="C5" i="8"/>
  <c r="C15" i="8" s="1"/>
  <c r="C87" i="1" s="1"/>
  <c r="C45" i="4" s="1"/>
  <c r="D39" i="4"/>
  <c r="D44" i="4" s="1"/>
  <c r="E160" i="11"/>
  <c r="E153" i="11"/>
  <c r="E162" i="11"/>
  <c r="E167" i="11"/>
  <c r="E161" i="11"/>
  <c r="E163" i="11"/>
  <c r="E165" i="11"/>
  <c r="E158" i="11"/>
  <c r="E180" i="11"/>
  <c r="E149" i="11"/>
  <c r="E150" i="11"/>
  <c r="E171" i="11"/>
  <c r="E151" i="11"/>
  <c r="E166" i="11"/>
  <c r="E172" i="11"/>
  <c r="E176" i="11"/>
  <c r="E148" i="11"/>
  <c r="E164" i="11"/>
  <c r="E159" i="11"/>
  <c r="E178" i="11"/>
  <c r="E182" i="11"/>
  <c r="E170" i="11"/>
  <c r="E169" i="11"/>
  <c r="E157" i="11"/>
  <c r="E156" i="11"/>
  <c r="E155" i="11"/>
  <c r="E154" i="11"/>
  <c r="E152" i="11"/>
  <c r="E177" i="11"/>
  <c r="E168" i="11"/>
  <c r="E173" i="11"/>
  <c r="E179" i="11"/>
  <c r="E181" i="11"/>
  <c r="E175" i="11"/>
  <c r="E4" i="8"/>
  <c r="E10" i="8" s="1"/>
  <c r="E11" i="8" s="1"/>
  <c r="E86" i="1" s="1"/>
  <c r="E35" i="4" s="1"/>
  <c r="E38" i="4" s="1"/>
  <c r="E174" i="11"/>
  <c r="E185" i="11"/>
  <c r="E187" i="11" s="1"/>
  <c r="G72" i="7"/>
  <c r="G73" i="7"/>
  <c r="F82" i="1"/>
  <c r="F5" i="4" s="1"/>
  <c r="Y25" i="36"/>
  <c r="AT25" i="36"/>
  <c r="AT26" i="36"/>
  <c r="Y26" i="36"/>
  <c r="E26" i="36"/>
  <c r="G25" i="4"/>
  <c r="E25" i="36" s="1"/>
  <c r="U60" i="23"/>
  <c r="U7" i="25"/>
  <c r="U48" i="23"/>
  <c r="V22" i="23"/>
  <c r="V47" i="23" s="1"/>
  <c r="M58" i="1"/>
  <c r="M14" i="7" s="1"/>
  <c r="M18" i="7" s="1"/>
  <c r="M20" i="7" s="1"/>
  <c r="S62" i="23"/>
  <c r="R8" i="25"/>
  <c r="R16" i="25"/>
  <c r="I104" i="1"/>
  <c r="I43" i="14" s="1"/>
  <c r="H53" i="14"/>
  <c r="H46" i="14"/>
  <c r="H77" i="1" s="1"/>
  <c r="H26" i="4" s="1"/>
  <c r="H54" i="14"/>
  <c r="H23" i="14"/>
  <c r="H24" i="14" s="1"/>
  <c r="H26" i="14" s="1"/>
  <c r="H101" i="1" s="1"/>
  <c r="H68" i="7" s="1"/>
  <c r="H70" i="7" s="1"/>
  <c r="S12" i="25"/>
  <c r="J106" i="1"/>
  <c r="J45" i="14" s="1"/>
  <c r="J48" i="14" s="1"/>
  <c r="J52" i="14" s="1"/>
  <c r="T60" i="23"/>
  <c r="T62" i="23" s="1"/>
  <c r="T7" i="25"/>
  <c r="T48" i="23"/>
  <c r="T74" i="23"/>
  <c r="U68" i="23"/>
  <c r="L105" i="1" s="1"/>
  <c r="L42" i="14" s="1"/>
  <c r="P132" i="18"/>
  <c r="W74" i="27" l="1"/>
  <c r="W73" i="23" s="1"/>
  <c r="V73" i="23"/>
  <c r="V71" i="23"/>
  <c r="W68" i="26"/>
  <c r="W70" i="26" s="1"/>
  <c r="W73" i="26"/>
  <c r="W74" i="26" s="1"/>
  <c r="W71" i="23" s="1"/>
  <c r="W74" i="23" s="1"/>
  <c r="W32" i="26"/>
  <c r="W60" i="26" s="1"/>
  <c r="N13" i="4"/>
  <c r="L13" i="36" s="1"/>
  <c r="L14" i="36"/>
  <c r="K14" i="36"/>
  <c r="M13" i="4"/>
  <c r="K13" i="36" s="1"/>
  <c r="AZ14" i="36"/>
  <c r="AE14" i="36"/>
  <c r="AE13" i="36"/>
  <c r="AZ13" i="36"/>
  <c r="O104" i="18"/>
  <c r="N105" i="18"/>
  <c r="O60" i="18" s="1"/>
  <c r="O65" i="18"/>
  <c r="O68" i="18" s="1"/>
  <c r="O71" i="18"/>
  <c r="O80" i="18" s="1"/>
  <c r="N69" i="18"/>
  <c r="N75" i="18"/>
  <c r="K13" i="1"/>
  <c r="K11" i="4" s="1"/>
  <c r="I11" i="36" s="1"/>
  <c r="N78" i="18"/>
  <c r="N16" i="18" s="1"/>
  <c r="N19" i="18" s="1"/>
  <c r="M83" i="18"/>
  <c r="J14" i="1" s="1"/>
  <c r="J10" i="4" s="1"/>
  <c r="H10" i="36" s="1"/>
  <c r="J12" i="1"/>
  <c r="J9" i="4" s="1"/>
  <c r="AX11" i="36"/>
  <c r="AC11" i="36"/>
  <c r="J10" i="1"/>
  <c r="J31" i="7" s="1"/>
  <c r="J36" i="7" s="1"/>
  <c r="J46" i="7" s="1"/>
  <c r="M30" i="18"/>
  <c r="AB10" i="36"/>
  <c r="AW10" i="36"/>
  <c r="G9" i="36"/>
  <c r="I8" i="4"/>
  <c r="G8" i="36" s="1"/>
  <c r="AV9" i="36"/>
  <c r="AA9" i="36"/>
  <c r="AA8" i="36"/>
  <c r="AV8" i="36"/>
  <c r="O10" i="15"/>
  <c r="N49" i="1"/>
  <c r="N24" i="4" s="1"/>
  <c r="N10" i="15"/>
  <c r="M49" i="1"/>
  <c r="M24" i="4" s="1"/>
  <c r="AE42" i="36"/>
  <c r="AZ42" i="36"/>
  <c r="J24" i="36"/>
  <c r="L23" i="4"/>
  <c r="J23" i="36" s="1"/>
  <c r="AY24" i="36"/>
  <c r="AD24" i="36"/>
  <c r="AD23" i="36"/>
  <c r="AY23" i="36"/>
  <c r="AF32" i="36"/>
  <c r="BA32" i="36"/>
  <c r="AF29" i="36"/>
  <c r="BA29" i="36"/>
  <c r="N32" i="4"/>
  <c r="L32" i="36" s="1"/>
  <c r="L29" i="36"/>
  <c r="I29" i="10"/>
  <c r="I40" i="10" s="1"/>
  <c r="I47" i="10" s="1"/>
  <c r="I53" i="10" s="1"/>
  <c r="J28" i="10"/>
  <c r="Z36" i="36"/>
  <c r="AU36" i="36"/>
  <c r="S47" i="11"/>
  <c r="I62" i="1" s="1"/>
  <c r="I36" i="4" s="1"/>
  <c r="S48" i="11"/>
  <c r="T5" i="11"/>
  <c r="H46" i="4"/>
  <c r="F36" i="36"/>
  <c r="Y49" i="36"/>
  <c r="AT49" i="36"/>
  <c r="N26" i="10"/>
  <c r="W74" i="28"/>
  <c r="W72" i="23" s="1"/>
  <c r="V72" i="23"/>
  <c r="W68" i="28"/>
  <c r="W70" i="28" s="1"/>
  <c r="W7" i="23" s="1"/>
  <c r="W62" i="28"/>
  <c r="W66" i="23" s="1"/>
  <c r="W68" i="23" s="1"/>
  <c r="N105" i="1" s="1"/>
  <c r="N42" i="14" s="1"/>
  <c r="N135" i="11" a="1"/>
  <c r="N135" i="11" s="1"/>
  <c r="N129" i="11" a="1"/>
  <c r="N129" i="11" s="1"/>
  <c r="N127" i="11" a="1"/>
  <c r="N127" i="11" s="1"/>
  <c r="N121" i="11" a="1"/>
  <c r="N121" i="11" s="1"/>
  <c r="N116" i="11" a="1"/>
  <c r="N116" i="11" s="1"/>
  <c r="N114" i="11" a="1"/>
  <c r="N114" i="11" s="1"/>
  <c r="K186" i="11"/>
  <c r="K52" i="10"/>
  <c r="L51" i="10"/>
  <c r="K27" i="10"/>
  <c r="M140" i="11"/>
  <c r="L142" i="11"/>
  <c r="L50" i="10"/>
  <c r="M139" i="11" a="1"/>
  <c r="M139" i="11" s="1"/>
  <c r="N102" i="11" a="1"/>
  <c r="N102" i="11" s="1"/>
  <c r="BB31" i="36"/>
  <c r="AG31" i="36"/>
  <c r="Q13" i="25"/>
  <c r="Q18" i="25" s="1"/>
  <c r="R6" i="25"/>
  <c r="R11" i="25" s="1"/>
  <c r="C50" i="4"/>
  <c r="C51" i="4"/>
  <c r="D21" i="7"/>
  <c r="D5" i="8"/>
  <c r="D15" i="8" s="1"/>
  <c r="D87" i="1" s="1"/>
  <c r="D45" i="4" s="1"/>
  <c r="E39" i="4"/>
  <c r="E44" i="4" s="1"/>
  <c r="G82" i="1"/>
  <c r="G5" i="4" s="1"/>
  <c r="H73" i="7"/>
  <c r="H72" i="7"/>
  <c r="F27" i="4"/>
  <c r="D5" i="36"/>
  <c r="AU26" i="36"/>
  <c r="Z26" i="36"/>
  <c r="Z25" i="36"/>
  <c r="AU25" i="36"/>
  <c r="V7" i="25"/>
  <c r="V48" i="23"/>
  <c r="V60" i="23"/>
  <c r="V62" i="23" s="1"/>
  <c r="S16" i="25"/>
  <c r="J104" i="1"/>
  <c r="J43" i="14" s="1"/>
  <c r="S8" i="25"/>
  <c r="I53" i="14"/>
  <c r="I46" i="14"/>
  <c r="I77" i="1" s="1"/>
  <c r="I26" i="4" s="1"/>
  <c r="I54" i="14"/>
  <c r="I23" i="14"/>
  <c r="I24" i="14" s="1"/>
  <c r="I26" i="14" s="1"/>
  <c r="I101" i="1" s="1"/>
  <c r="I68" i="7" s="1"/>
  <c r="I70" i="7" s="1"/>
  <c r="H25" i="4"/>
  <c r="F25" i="36" s="1"/>
  <c r="F26" i="36"/>
  <c r="T8" i="25"/>
  <c r="K104" i="1"/>
  <c r="K43" i="14" s="1"/>
  <c r="T16" i="25"/>
  <c r="T12" i="25"/>
  <c r="K106" i="1"/>
  <c r="K45" i="14" s="1"/>
  <c r="K48" i="14" s="1"/>
  <c r="K52" i="14" s="1"/>
  <c r="K53" i="14" s="1"/>
  <c r="E184" i="11"/>
  <c r="E47" i="4" s="1"/>
  <c r="U62" i="23"/>
  <c r="Q109" i="18"/>
  <c r="Q61" i="18"/>
  <c r="U74" i="23"/>
  <c r="V68" i="23"/>
  <c r="M105" i="1" s="1"/>
  <c r="M42" i="14" s="1"/>
  <c r="E46" i="36"/>
  <c r="G49" i="4"/>
  <c r="N106" i="1" l="1"/>
  <c r="N45" i="14" s="1"/>
  <c r="N48" i="14" s="1"/>
  <c r="N52" i="14" s="1"/>
  <c r="W12" i="25"/>
  <c r="W6" i="23"/>
  <c r="W10" i="23" s="1"/>
  <c r="N47" i="1"/>
  <c r="N46" i="1"/>
  <c r="W84" i="23"/>
  <c r="W87" i="23" s="1"/>
  <c r="N59" i="1" s="1"/>
  <c r="N5" i="7" s="1"/>
  <c r="N11" i="7" s="1"/>
  <c r="BB13" i="36"/>
  <c r="AG13" i="36"/>
  <c r="BB14" i="36"/>
  <c r="AG14" i="36"/>
  <c r="BA14" i="36"/>
  <c r="AF14" i="36"/>
  <c r="AF13" i="36"/>
  <c r="BA13" i="36"/>
  <c r="P104" i="18"/>
  <c r="P105" i="18" s="1"/>
  <c r="Q60" i="18" s="1"/>
  <c r="O105" i="18"/>
  <c r="P60" i="18" s="1"/>
  <c r="O69" i="18"/>
  <c r="O75" i="18"/>
  <c r="L13" i="1"/>
  <c r="L11" i="4" s="1"/>
  <c r="J11" i="36" s="1"/>
  <c r="O78" i="18"/>
  <c r="N83" i="18"/>
  <c r="K14" i="1" s="1"/>
  <c r="K10" i="4" s="1"/>
  <c r="I10" i="36" s="1"/>
  <c r="K12" i="1"/>
  <c r="K9" i="4" s="1"/>
  <c r="AY11" i="36"/>
  <c r="AD11" i="36"/>
  <c r="N30" i="18"/>
  <c r="K10" i="1"/>
  <c r="K31" i="7" s="1"/>
  <c r="K36" i="7" s="1"/>
  <c r="K46" i="7" s="1"/>
  <c r="AC10" i="36"/>
  <c r="AX10" i="36"/>
  <c r="H9" i="36"/>
  <c r="J8" i="4"/>
  <c r="H8" i="36" s="1"/>
  <c r="AW9" i="36"/>
  <c r="AB9" i="36"/>
  <c r="AB8" i="36"/>
  <c r="AW8" i="36"/>
  <c r="L24" i="36"/>
  <c r="N23" i="4"/>
  <c r="L23" i="36" s="1"/>
  <c r="K24" i="36"/>
  <c r="M23" i="4"/>
  <c r="K23" i="36" s="1"/>
  <c r="AZ24" i="36"/>
  <c r="AE24" i="36"/>
  <c r="AZ23" i="36"/>
  <c r="AE23" i="36"/>
  <c r="AG32" i="36"/>
  <c r="BB32" i="36"/>
  <c r="AG29" i="36"/>
  <c r="BB29" i="36"/>
  <c r="J29" i="10"/>
  <c r="J40" i="10" s="1"/>
  <c r="J47" i="10" s="1"/>
  <c r="J53" i="10" s="1"/>
  <c r="K28" i="10"/>
  <c r="I46" i="4"/>
  <c r="G36" i="36"/>
  <c r="T47" i="11"/>
  <c r="J62" i="1" s="1"/>
  <c r="J36" i="4" s="1"/>
  <c r="T48" i="11"/>
  <c r="U5" i="11"/>
  <c r="AA36" i="36"/>
  <c r="AV36" i="36"/>
  <c r="L186" i="11"/>
  <c r="L52" i="10"/>
  <c r="M51" i="10"/>
  <c r="L27" i="10"/>
  <c r="N140" i="11"/>
  <c r="M142" i="11"/>
  <c r="M50" i="10"/>
  <c r="N139" i="11" a="1"/>
  <c r="N139" i="11" s="1"/>
  <c r="R13" i="25"/>
  <c r="R18" i="25" s="1"/>
  <c r="S6" i="25"/>
  <c r="S11" i="25" s="1"/>
  <c r="D50" i="4"/>
  <c r="D52" i="4" s="1"/>
  <c r="D53" i="4" s="1"/>
  <c r="D51" i="4"/>
  <c r="E21" i="7"/>
  <c r="E5" i="8"/>
  <c r="E15" i="8" s="1"/>
  <c r="E87" i="1" s="1"/>
  <c r="E45" i="4" s="1"/>
  <c r="G27" i="4"/>
  <c r="E5" i="36"/>
  <c r="I73" i="7"/>
  <c r="H82" i="1"/>
  <c r="H5" i="4" s="1"/>
  <c r="I72" i="7"/>
  <c r="F33" i="4"/>
  <c r="D27" i="36"/>
  <c r="AT5" i="36"/>
  <c r="Y5" i="36"/>
  <c r="M104" i="1"/>
  <c r="M43" i="14" s="1"/>
  <c r="V16" i="25"/>
  <c r="V8" i="25"/>
  <c r="J53" i="14"/>
  <c r="J46" i="14"/>
  <c r="J77" i="1" s="1"/>
  <c r="J26" i="4" s="1"/>
  <c r="J54" i="14"/>
  <c r="J23" i="14"/>
  <c r="J24" i="14" s="1"/>
  <c r="J26" i="14" s="1"/>
  <c r="J101" i="1" s="1"/>
  <c r="J68" i="7" s="1"/>
  <c r="J70" i="7" s="1"/>
  <c r="I25" i="4"/>
  <c r="G25" i="36" s="1"/>
  <c r="G26" i="36"/>
  <c r="AA25" i="36"/>
  <c r="AV25" i="36"/>
  <c r="AV26" i="36"/>
  <c r="AA26" i="36"/>
  <c r="K46" i="14"/>
  <c r="K77" i="1" s="1"/>
  <c r="K26" i="4" s="1"/>
  <c r="K23" i="14"/>
  <c r="K24" i="14" s="1"/>
  <c r="K26" i="14" s="1"/>
  <c r="K101" i="1" s="1"/>
  <c r="K68" i="7" s="1"/>
  <c r="K54" i="14"/>
  <c r="U16" i="25"/>
  <c r="L104" i="1"/>
  <c r="L43" i="14" s="1"/>
  <c r="U8" i="25"/>
  <c r="Q82" i="18"/>
  <c r="U12" i="25"/>
  <c r="L106" i="1"/>
  <c r="L45" i="14" s="1"/>
  <c r="L48" i="14" s="1"/>
  <c r="L52" i="14" s="1"/>
  <c r="L53" i="14" s="1"/>
  <c r="AU46" i="36"/>
  <c r="Z46" i="36"/>
  <c r="E49" i="36"/>
  <c r="C52" i="4"/>
  <c r="C53" i="4" s="1"/>
  <c r="V74" i="23"/>
  <c r="N50" i="1"/>
  <c r="N42" i="4" s="1"/>
  <c r="L42" i="36" s="1"/>
  <c r="O12" i="15"/>
  <c r="M50" i="1"/>
  <c r="M42" i="4" s="1"/>
  <c r="K42" i="36" s="1"/>
  <c r="N12" i="15"/>
  <c r="F46" i="36"/>
  <c r="H49" i="4"/>
  <c r="W22" i="23" l="1"/>
  <c r="W47" i="23" s="1"/>
  <c r="N58" i="1"/>
  <c r="N14" i="7" s="1"/>
  <c r="N18" i="7" s="1"/>
  <c r="N20" i="7" s="1"/>
  <c r="Q65" i="18"/>
  <c r="Q68" i="18" s="1"/>
  <c r="Q71" i="18" s="1"/>
  <c r="Q80" i="18" s="1"/>
  <c r="P65" i="18"/>
  <c r="P68" i="18" s="1"/>
  <c r="P71" i="18"/>
  <c r="P80" i="18" s="1"/>
  <c r="O83" i="18"/>
  <c r="L14" i="1" s="1"/>
  <c r="L10" i="4" s="1"/>
  <c r="J10" i="36" s="1"/>
  <c r="L12" i="1"/>
  <c r="L9" i="4" s="1"/>
  <c r="AZ11" i="36"/>
  <c r="AE11" i="36"/>
  <c r="AD10" i="36"/>
  <c r="AY10" i="36"/>
  <c r="I9" i="36"/>
  <c r="K8" i="4"/>
  <c r="I8" i="36" s="1"/>
  <c r="AX9" i="36"/>
  <c r="AC9" i="36"/>
  <c r="AC8" i="36"/>
  <c r="AX8" i="36"/>
  <c r="BB24" i="36"/>
  <c r="AG24" i="36"/>
  <c r="BB23" i="36"/>
  <c r="AG23" i="36"/>
  <c r="BA24" i="36"/>
  <c r="AF24" i="36"/>
  <c r="AF23" i="36"/>
  <c r="BA23" i="36"/>
  <c r="K29" i="10"/>
  <c r="K40" i="10" s="1"/>
  <c r="K47" i="10" s="1"/>
  <c r="K53" i="10" s="1"/>
  <c r="L28" i="10"/>
  <c r="AB36" i="36"/>
  <c r="AW36" i="36"/>
  <c r="J46" i="4"/>
  <c r="H36" i="36"/>
  <c r="V5" i="11"/>
  <c r="U47" i="11"/>
  <c r="K62" i="1" s="1"/>
  <c r="K36" i="4" s="1"/>
  <c r="U48" i="11"/>
  <c r="M186" i="11"/>
  <c r="M52" i="10"/>
  <c r="N51" i="10"/>
  <c r="M27" i="10"/>
  <c r="N142" i="11"/>
  <c r="N50" i="10"/>
  <c r="N27" i="10" s="1"/>
  <c r="S13" i="25"/>
  <c r="S18" i="25" s="1"/>
  <c r="T6" i="25"/>
  <c r="T11" i="25" s="1"/>
  <c r="E50" i="4"/>
  <c r="E51" i="4"/>
  <c r="G33" i="4"/>
  <c r="E27" i="36"/>
  <c r="AU5" i="36"/>
  <c r="Z5" i="36"/>
  <c r="I82" i="1"/>
  <c r="I5" i="4" s="1"/>
  <c r="J73" i="7"/>
  <c r="J72" i="7"/>
  <c r="H27" i="4"/>
  <c r="F5" i="36"/>
  <c r="F162" i="11"/>
  <c r="F168" i="11"/>
  <c r="F177" i="11"/>
  <c r="F148" i="11"/>
  <c r="F159" i="11"/>
  <c r="F169" i="11"/>
  <c r="F156" i="11"/>
  <c r="F153" i="11"/>
  <c r="F178" i="11"/>
  <c r="F164" i="11"/>
  <c r="F165" i="11"/>
  <c r="F171" i="11"/>
  <c r="F161" i="11"/>
  <c r="F163" i="11"/>
  <c r="F149" i="11"/>
  <c r="F166" i="11"/>
  <c r="F172" i="11"/>
  <c r="F180" i="11"/>
  <c r="F176" i="11"/>
  <c r="F151" i="11"/>
  <c r="F158" i="11"/>
  <c r="F150" i="11"/>
  <c r="F179" i="11"/>
  <c r="F167" i="11"/>
  <c r="F155" i="11"/>
  <c r="F181" i="11"/>
  <c r="F170" i="11"/>
  <c r="F157" i="11"/>
  <c r="F152" i="11"/>
  <c r="F182" i="11"/>
  <c r="F160" i="11"/>
  <c r="F154" i="11"/>
  <c r="F173" i="11"/>
  <c r="F175" i="11"/>
  <c r="F4" i="8"/>
  <c r="F10" i="8" s="1"/>
  <c r="F11" i="8" s="1"/>
  <c r="F86" i="1" s="1"/>
  <c r="F35" i="4" s="1"/>
  <c r="F38" i="4" s="1"/>
  <c r="F174" i="11"/>
  <c r="F185" i="11"/>
  <c r="F187" i="11" s="1"/>
  <c r="D33" i="36"/>
  <c r="AT27" i="36"/>
  <c r="Y27" i="36"/>
  <c r="M46" i="14"/>
  <c r="M77" i="1" s="1"/>
  <c r="M26" i="4" s="1"/>
  <c r="M23" i="14"/>
  <c r="M24" i="14" s="1"/>
  <c r="M26" i="14" s="1"/>
  <c r="M101" i="1" s="1"/>
  <c r="M68" i="7" s="1"/>
  <c r="M70" i="7" s="1"/>
  <c r="J25" i="4"/>
  <c r="H25" i="36" s="1"/>
  <c r="H26" i="36"/>
  <c r="AB25" i="36"/>
  <c r="AW25" i="36"/>
  <c r="AW26" i="36"/>
  <c r="AB26" i="36"/>
  <c r="K25" i="4"/>
  <c r="I25" i="36" s="1"/>
  <c r="I26" i="36"/>
  <c r="L46" i="14"/>
  <c r="L77" i="1" s="1"/>
  <c r="L26" i="4" s="1"/>
  <c r="L54" i="14"/>
  <c r="L23" i="14"/>
  <c r="L24" i="14" s="1"/>
  <c r="L26" i="14" s="1"/>
  <c r="L101" i="1" s="1"/>
  <c r="L68" i="7" s="1"/>
  <c r="L70" i="7" s="1"/>
  <c r="Z49" i="36"/>
  <c r="AU49" i="36"/>
  <c r="V12" i="25"/>
  <c r="M106" i="1"/>
  <c r="M45" i="14" s="1"/>
  <c r="M48" i="14" s="1"/>
  <c r="M52" i="14" s="1"/>
  <c r="BB42" i="36"/>
  <c r="AG42" i="36"/>
  <c r="BA42" i="36"/>
  <c r="AF42" i="36"/>
  <c r="AV46" i="36"/>
  <c r="AA46" i="36"/>
  <c r="F49" i="36"/>
  <c r="K70" i="7"/>
  <c r="G46" i="36"/>
  <c r="I49" i="4"/>
  <c r="W48" i="23" l="1"/>
  <c r="W7" i="25"/>
  <c r="W60" i="23"/>
  <c r="W62" i="23" s="1"/>
  <c r="Q78" i="18"/>
  <c r="N13" i="1"/>
  <c r="N11" i="4" s="1"/>
  <c r="L11" i="36" s="1"/>
  <c r="Q69" i="18"/>
  <c r="Q75" i="18"/>
  <c r="P75" i="18"/>
  <c r="P69" i="18"/>
  <c r="P78" i="18"/>
  <c r="M13" i="1"/>
  <c r="M11" i="4" s="1"/>
  <c r="K11" i="36" s="1"/>
  <c r="AE10" i="36"/>
  <c r="AZ10" i="36"/>
  <c r="J9" i="36"/>
  <c r="L8" i="4"/>
  <c r="J8" i="36" s="1"/>
  <c r="AY9" i="36"/>
  <c r="AD9" i="36"/>
  <c r="AD8" i="36"/>
  <c r="AY8" i="36"/>
  <c r="L29" i="10"/>
  <c r="L40" i="10" s="1"/>
  <c r="L47" i="10" s="1"/>
  <c r="L53" i="10" s="1"/>
  <c r="M28" i="10"/>
  <c r="AC36" i="36"/>
  <c r="AX36" i="36"/>
  <c r="W5" i="11"/>
  <c r="V47" i="11"/>
  <c r="L62" i="1" s="1"/>
  <c r="L36" i="4" s="1"/>
  <c r="V48" i="11"/>
  <c r="K46" i="4"/>
  <c r="I36" i="36"/>
  <c r="N186" i="11"/>
  <c r="N52" i="10"/>
  <c r="T13" i="25"/>
  <c r="T18" i="25" s="1"/>
  <c r="U6" i="25"/>
  <c r="U11" i="25" s="1"/>
  <c r="G164" i="11"/>
  <c r="G162" i="11"/>
  <c r="G167" i="11"/>
  <c r="G150" i="11"/>
  <c r="G161" i="11"/>
  <c r="G172" i="11"/>
  <c r="G149" i="11"/>
  <c r="G165" i="11"/>
  <c r="G176" i="11"/>
  <c r="G151" i="11"/>
  <c r="G158" i="11"/>
  <c r="G171" i="11"/>
  <c r="G163" i="11"/>
  <c r="G180" i="11"/>
  <c r="G166" i="11"/>
  <c r="G148" i="11"/>
  <c r="G184" i="11" s="1"/>
  <c r="G47" i="4" s="1"/>
  <c r="E47" i="36" s="1"/>
  <c r="G170" i="11"/>
  <c r="G157" i="11"/>
  <c r="G155" i="11"/>
  <c r="G153" i="11"/>
  <c r="G178" i="11"/>
  <c r="G159" i="11"/>
  <c r="G160" i="11"/>
  <c r="G179" i="11"/>
  <c r="G182" i="11"/>
  <c r="G169" i="11"/>
  <c r="G156" i="11"/>
  <c r="G154" i="11"/>
  <c r="G152" i="11"/>
  <c r="G177" i="11"/>
  <c r="G175" i="11"/>
  <c r="G181" i="11"/>
  <c r="G168" i="11"/>
  <c r="G173" i="11"/>
  <c r="G4" i="8"/>
  <c r="G10" i="8" s="1"/>
  <c r="G11" i="8" s="1"/>
  <c r="G86" i="1" s="1"/>
  <c r="G35" i="4" s="1"/>
  <c r="G38" i="4" s="1"/>
  <c r="G174" i="11"/>
  <c r="G185" i="11"/>
  <c r="G187" i="11" s="1"/>
  <c r="E33" i="36"/>
  <c r="Z27" i="36"/>
  <c r="AU27" i="36"/>
  <c r="I27" i="4"/>
  <c r="G5" i="36"/>
  <c r="K73" i="7"/>
  <c r="J82" i="1"/>
  <c r="J5" i="4" s="1"/>
  <c r="K72" i="7"/>
  <c r="H33" i="4"/>
  <c r="F27" i="36"/>
  <c r="AV5" i="36"/>
  <c r="AA5" i="36"/>
  <c r="D38" i="36"/>
  <c r="F39" i="4"/>
  <c r="D35" i="36"/>
  <c r="Y33" i="36"/>
  <c r="AT33" i="36"/>
  <c r="K26" i="36"/>
  <c r="M25" i="4"/>
  <c r="K25" i="36" s="1"/>
  <c r="AC25" i="36"/>
  <c r="AX25" i="36"/>
  <c r="AX26" i="36"/>
  <c r="AC26" i="36"/>
  <c r="AD25" i="36"/>
  <c r="AY25" i="36"/>
  <c r="AY26" i="36"/>
  <c r="AD26" i="36"/>
  <c r="L25" i="4"/>
  <c r="J25" i="36" s="1"/>
  <c r="J26" i="36"/>
  <c r="AA49" i="36"/>
  <c r="AV49" i="36"/>
  <c r="AW46" i="36"/>
  <c r="AB46" i="36"/>
  <c r="G49" i="36"/>
  <c r="E52" i="4"/>
  <c r="E53" i="4" s="1"/>
  <c r="F184" i="11"/>
  <c r="F47" i="4" s="1"/>
  <c r="D47" i="36" s="1"/>
  <c r="H46" i="36"/>
  <c r="J49" i="4"/>
  <c r="M53" i="14"/>
  <c r="M54" i="14"/>
  <c r="W8" i="25" l="1"/>
  <c r="N104" i="1"/>
  <c r="N43" i="14" s="1"/>
  <c r="W16" i="25"/>
  <c r="BB11" i="36"/>
  <c r="AG11" i="36"/>
  <c r="I70" i="18"/>
  <c r="I84" i="18" s="1"/>
  <c r="Q83" i="18"/>
  <c r="N14" i="1" s="1"/>
  <c r="N10" i="4" s="1"/>
  <c r="L10" i="36" s="1"/>
  <c r="Q70" i="18"/>
  <c r="Q84" i="18" s="1"/>
  <c r="K76" i="18"/>
  <c r="H17" i="1" s="1"/>
  <c r="H41" i="4" s="1"/>
  <c r="F41" i="36" s="1"/>
  <c r="I76" i="18"/>
  <c r="F17" i="1" s="1"/>
  <c r="F41" i="4" s="1"/>
  <c r="D41" i="36" s="1"/>
  <c r="N12" i="1"/>
  <c r="N9" i="4" s="1"/>
  <c r="Q76" i="18"/>
  <c r="N17" i="1" s="1"/>
  <c r="N41" i="4" s="1"/>
  <c r="L41" i="36" s="1"/>
  <c r="M76" i="18"/>
  <c r="J17" i="1" s="1"/>
  <c r="J41" i="4" s="1"/>
  <c r="H41" i="36" s="1"/>
  <c r="O76" i="18"/>
  <c r="L17" i="1" s="1"/>
  <c r="L41" i="4" s="1"/>
  <c r="J41" i="36" s="1"/>
  <c r="N76" i="18"/>
  <c r="K17" i="1" s="1"/>
  <c r="K41" i="4" s="1"/>
  <c r="I41" i="36" s="1"/>
  <c r="J76" i="18"/>
  <c r="G17" i="1" s="1"/>
  <c r="G41" i="4" s="1"/>
  <c r="E41" i="36" s="1"/>
  <c r="L76" i="18"/>
  <c r="I17" i="1" s="1"/>
  <c r="I41" i="4" s="1"/>
  <c r="G41" i="36" s="1"/>
  <c r="P76" i="18"/>
  <c r="M17" i="1" s="1"/>
  <c r="M41" i="4" s="1"/>
  <c r="K41" i="36" s="1"/>
  <c r="M12" i="1"/>
  <c r="M9" i="4" s="1"/>
  <c r="O70" i="18"/>
  <c r="O84" i="18" s="1"/>
  <c r="M70" i="18"/>
  <c r="M84" i="18" s="1"/>
  <c r="N70" i="18"/>
  <c r="N84" i="18" s="1"/>
  <c r="L70" i="18"/>
  <c r="L84" i="18" s="1"/>
  <c r="J70" i="18"/>
  <c r="J84" i="18" s="1"/>
  <c r="K70" i="18"/>
  <c r="K84" i="18" s="1"/>
  <c r="P83" i="18"/>
  <c r="M14" i="1" s="1"/>
  <c r="M10" i="4" s="1"/>
  <c r="K10" i="36" s="1"/>
  <c r="P70" i="18"/>
  <c r="P84" i="18" s="1"/>
  <c r="BA11" i="36"/>
  <c r="AF11" i="36"/>
  <c r="AZ9" i="36"/>
  <c r="AE9" i="36"/>
  <c r="AE8" i="36"/>
  <c r="AZ8" i="36"/>
  <c r="M29" i="10"/>
  <c r="M40" i="10" s="1"/>
  <c r="M47" i="10" s="1"/>
  <c r="M53" i="10" s="1"/>
  <c r="N28" i="10"/>
  <c r="N29" i="10" s="1"/>
  <c r="N40" i="10" s="1"/>
  <c r="N47" i="10" s="1"/>
  <c r="N53" i="10" s="1"/>
  <c r="X5" i="11"/>
  <c r="W47" i="11"/>
  <c r="M62" i="1" s="1"/>
  <c r="M36" i="4" s="1"/>
  <c r="W48" i="11"/>
  <c r="L46" i="4"/>
  <c r="J36" i="36"/>
  <c r="AD36" i="36"/>
  <c r="AY36" i="36"/>
  <c r="U13" i="25"/>
  <c r="U18" i="25" s="1"/>
  <c r="V6" i="25"/>
  <c r="V11" i="25" s="1"/>
  <c r="AU47" i="36"/>
  <c r="Z47" i="36"/>
  <c r="E38" i="36"/>
  <c r="G39" i="4"/>
  <c r="E35" i="36"/>
  <c r="Z33" i="36"/>
  <c r="AU33" i="36"/>
  <c r="I33" i="4"/>
  <c r="G27" i="36"/>
  <c r="AW5" i="36"/>
  <c r="AB5" i="36"/>
  <c r="L72" i="7"/>
  <c r="K82" i="1"/>
  <c r="K5" i="4" s="1"/>
  <c r="L73" i="7"/>
  <c r="J27" i="4"/>
  <c r="H5" i="36"/>
  <c r="H162" i="11"/>
  <c r="H155" i="11"/>
  <c r="H160" i="11"/>
  <c r="H181" i="11"/>
  <c r="H176" i="11"/>
  <c r="H166" i="11"/>
  <c r="H163" i="11"/>
  <c r="H171" i="11"/>
  <c r="H172" i="11"/>
  <c r="H149" i="11"/>
  <c r="H150" i="11"/>
  <c r="H151" i="11"/>
  <c r="H158" i="11"/>
  <c r="H161" i="11"/>
  <c r="H165" i="11"/>
  <c r="H180" i="11"/>
  <c r="H148" i="11"/>
  <c r="H168" i="11"/>
  <c r="H170" i="11"/>
  <c r="H169" i="11"/>
  <c r="H164" i="11"/>
  <c r="H178" i="11"/>
  <c r="H177" i="11"/>
  <c r="H159" i="11"/>
  <c r="H157" i="11"/>
  <c r="H154" i="11"/>
  <c r="H153" i="11"/>
  <c r="H152" i="11"/>
  <c r="H182" i="11"/>
  <c r="H179" i="11"/>
  <c r="H167" i="11"/>
  <c r="H173" i="11"/>
  <c r="H175" i="11"/>
  <c r="H156" i="11"/>
  <c r="H174" i="11"/>
  <c r="H185" i="11"/>
  <c r="H187" i="11" s="1"/>
  <c r="F33" i="36"/>
  <c r="H4" i="8"/>
  <c r="H10" i="8" s="1"/>
  <c r="H11" i="8" s="1"/>
  <c r="H86" i="1" s="1"/>
  <c r="H35" i="4" s="1"/>
  <c r="H38" i="4" s="1"/>
  <c r="AA27" i="36"/>
  <c r="AV27" i="36"/>
  <c r="Y38" i="36"/>
  <c r="AT38" i="36"/>
  <c r="D39" i="36"/>
  <c r="Y35" i="36"/>
  <c r="AT35" i="36"/>
  <c r="BA26" i="36"/>
  <c r="AF26" i="36"/>
  <c r="BA25" i="36"/>
  <c r="AF25" i="36"/>
  <c r="AZ25" i="36"/>
  <c r="AE25" i="36"/>
  <c r="AZ26" i="36"/>
  <c r="AE26" i="36"/>
  <c r="AB49" i="36"/>
  <c r="AW49" i="36"/>
  <c r="Y47" i="36"/>
  <c r="AT47" i="36"/>
  <c r="AX46" i="36"/>
  <c r="AC46" i="36"/>
  <c r="H49" i="36"/>
  <c r="I46" i="36"/>
  <c r="K49" i="4"/>
  <c r="N53" i="14" l="1"/>
  <c r="N46" i="14"/>
  <c r="N77" i="1" s="1"/>
  <c r="N26" i="4" s="1"/>
  <c r="N54" i="14"/>
  <c r="N23" i="14"/>
  <c r="N24" i="14" s="1"/>
  <c r="N26" i="14" s="1"/>
  <c r="N101" i="1" s="1"/>
  <c r="N68" i="7" s="1"/>
  <c r="N70" i="7" s="1"/>
  <c r="I85" i="18"/>
  <c r="F15" i="1" s="1"/>
  <c r="F16" i="1"/>
  <c r="F40" i="4" s="1"/>
  <c r="AG10" i="36"/>
  <c r="BB10" i="36"/>
  <c r="Q85" i="18"/>
  <c r="N16" i="1"/>
  <c r="N40" i="4" s="1"/>
  <c r="L40" i="36" s="1"/>
  <c r="AV41" i="36"/>
  <c r="AA41" i="36"/>
  <c r="Y41" i="36"/>
  <c r="AT41" i="36"/>
  <c r="L9" i="36"/>
  <c r="N8" i="4"/>
  <c r="L8" i="36" s="1"/>
  <c r="AG41" i="36"/>
  <c r="BB41" i="36"/>
  <c r="AC41" i="36"/>
  <c r="AX41" i="36"/>
  <c r="AZ41" i="36"/>
  <c r="AE41" i="36"/>
  <c r="AY41" i="36"/>
  <c r="AD41" i="36"/>
  <c r="AU41" i="36"/>
  <c r="Z41" i="36"/>
  <c r="AB41" i="36"/>
  <c r="AW41" i="36"/>
  <c r="AF41" i="36"/>
  <c r="BA41" i="36"/>
  <c r="K9" i="36"/>
  <c r="M8" i="4"/>
  <c r="K8" i="36" s="1"/>
  <c r="L16" i="1"/>
  <c r="L40" i="4" s="1"/>
  <c r="J40" i="36" s="1"/>
  <c r="O85" i="18"/>
  <c r="M85" i="18"/>
  <c r="J16" i="1"/>
  <c r="J40" i="4" s="1"/>
  <c r="H40" i="36" s="1"/>
  <c r="K16" i="1"/>
  <c r="K40" i="4" s="1"/>
  <c r="I40" i="36" s="1"/>
  <c r="N85" i="18"/>
  <c r="L85" i="18"/>
  <c r="I15" i="1" s="1"/>
  <c r="I16" i="1"/>
  <c r="I40" i="4" s="1"/>
  <c r="G40" i="36" s="1"/>
  <c r="G16" i="1"/>
  <c r="G40" i="4" s="1"/>
  <c r="G44" i="4" s="1"/>
  <c r="J85" i="18"/>
  <c r="H16" i="1"/>
  <c r="H40" i="4" s="1"/>
  <c r="F40" i="36" s="1"/>
  <c r="K85" i="18"/>
  <c r="H15" i="1" s="1"/>
  <c r="AF10" i="36"/>
  <c r="BA10" i="36"/>
  <c r="P85" i="18"/>
  <c r="M16" i="1"/>
  <c r="M40" i="4" s="1"/>
  <c r="K40" i="36" s="1"/>
  <c r="X47" i="11"/>
  <c r="N62" i="1" s="1"/>
  <c r="N36" i="4" s="1"/>
  <c r="X48" i="11"/>
  <c r="M46" i="4"/>
  <c r="K36" i="36"/>
  <c r="AE36" i="36"/>
  <c r="AZ36" i="36"/>
  <c r="V13" i="25"/>
  <c r="V18" i="25" s="1"/>
  <c r="W6" i="25"/>
  <c r="W11" i="25" s="1"/>
  <c r="W13" i="25" s="1"/>
  <c r="W18" i="25" s="1"/>
  <c r="Z38" i="36"/>
  <c r="AU38" i="36"/>
  <c r="E39" i="36"/>
  <c r="Z35" i="36"/>
  <c r="AU35" i="36"/>
  <c r="I170" i="11"/>
  <c r="I160" i="11"/>
  <c r="I173" i="11"/>
  <c r="I175" i="11"/>
  <c r="I167" i="11"/>
  <c r="I156" i="11"/>
  <c r="I153" i="11"/>
  <c r="I178" i="11"/>
  <c r="I162" i="11"/>
  <c r="I158" i="11"/>
  <c r="I165" i="11"/>
  <c r="I172" i="11"/>
  <c r="I180" i="11"/>
  <c r="I166" i="11"/>
  <c r="I151" i="11"/>
  <c r="I149" i="11"/>
  <c r="I150" i="11"/>
  <c r="I161" i="11"/>
  <c r="I176" i="11"/>
  <c r="I163" i="11"/>
  <c r="I171" i="11"/>
  <c r="I168" i="11"/>
  <c r="I164" i="11"/>
  <c r="I182" i="11"/>
  <c r="I157" i="11"/>
  <c r="I155" i="11"/>
  <c r="I152" i="11"/>
  <c r="I179" i="11"/>
  <c r="I159" i="11"/>
  <c r="I181" i="11"/>
  <c r="I148" i="11"/>
  <c r="I169" i="11"/>
  <c r="I154" i="11"/>
  <c r="I177" i="11"/>
  <c r="I174" i="11"/>
  <c r="I185" i="11"/>
  <c r="I187" i="11" s="1"/>
  <c r="I4" i="8"/>
  <c r="I10" i="8" s="1"/>
  <c r="I11" i="8" s="1"/>
  <c r="I86" i="1" s="1"/>
  <c r="I35" i="4" s="1"/>
  <c r="I38" i="4" s="1"/>
  <c r="G33" i="36"/>
  <c r="AB27" i="36"/>
  <c r="AW27" i="36"/>
  <c r="K27" i="4"/>
  <c r="I5" i="36"/>
  <c r="M73" i="7"/>
  <c r="L82" i="1"/>
  <c r="L5" i="4" s="1"/>
  <c r="M72" i="7"/>
  <c r="J33" i="4"/>
  <c r="H27" i="36"/>
  <c r="AX5" i="36"/>
  <c r="AC5" i="36"/>
  <c r="F38" i="36"/>
  <c r="AA33" i="36"/>
  <c r="AV33" i="36"/>
  <c r="H39" i="4"/>
  <c r="F35" i="36"/>
  <c r="Y39" i="36"/>
  <c r="AT39" i="36"/>
  <c r="AC49" i="36"/>
  <c r="AX49" i="36"/>
  <c r="AY46" i="36"/>
  <c r="AD46" i="36"/>
  <c r="I49" i="36"/>
  <c r="H184" i="11"/>
  <c r="H47" i="4" s="1"/>
  <c r="F47" i="36" s="1"/>
  <c r="J46" i="36"/>
  <c r="L49" i="4"/>
  <c r="L26" i="36" l="1"/>
  <c r="N25" i="4"/>
  <c r="L25" i="36" s="1"/>
  <c r="F44" i="4"/>
  <c r="D40" i="36"/>
  <c r="Q86" i="18"/>
  <c r="N15" i="1"/>
  <c r="AG40" i="36"/>
  <c r="BB40" i="36"/>
  <c r="BB9" i="36"/>
  <c r="AG9" i="36"/>
  <c r="AG8" i="36"/>
  <c r="BB8" i="36"/>
  <c r="BA9" i="36"/>
  <c r="AF9" i="36"/>
  <c r="AF8" i="36"/>
  <c r="BA8" i="36"/>
  <c r="AE40" i="36"/>
  <c r="AZ40" i="36"/>
  <c r="O86" i="18"/>
  <c r="L15" i="1"/>
  <c r="M86" i="18"/>
  <c r="J15" i="1"/>
  <c r="AC40" i="36"/>
  <c r="AX40" i="36"/>
  <c r="AD40" i="36"/>
  <c r="AY40" i="36"/>
  <c r="N86" i="18"/>
  <c r="K15" i="1"/>
  <c r="AB40" i="36"/>
  <c r="AW40" i="36"/>
  <c r="E40" i="36"/>
  <c r="M87" i="18"/>
  <c r="N87" i="18"/>
  <c r="O87" i="18"/>
  <c r="P87" i="18"/>
  <c r="Q87" i="18"/>
  <c r="G15" i="1"/>
  <c r="AA40" i="36"/>
  <c r="AV40" i="36"/>
  <c r="P86" i="18"/>
  <c r="M15" i="1"/>
  <c r="AF40" i="36"/>
  <c r="BA40" i="36"/>
  <c r="N46" i="4"/>
  <c r="L36" i="36"/>
  <c r="AF36" i="36"/>
  <c r="BA36" i="36"/>
  <c r="G21" i="7"/>
  <c r="G5" i="8"/>
  <c r="G15" i="8" s="1"/>
  <c r="G87" i="1" s="1"/>
  <c r="G45" i="4" s="1"/>
  <c r="G51" i="4" s="1"/>
  <c r="E44" i="36"/>
  <c r="Z39" i="36"/>
  <c r="AU39" i="36"/>
  <c r="G38" i="36"/>
  <c r="I39" i="4"/>
  <c r="G35" i="36"/>
  <c r="AB33" i="36"/>
  <c r="AW33" i="36"/>
  <c r="K33" i="4"/>
  <c r="I27" i="36"/>
  <c r="AD5" i="36"/>
  <c r="AY5" i="36"/>
  <c r="M82" i="1"/>
  <c r="M5" i="4" s="1"/>
  <c r="N73" i="7"/>
  <c r="N82" i="1" s="1"/>
  <c r="N5" i="4" s="1"/>
  <c r="N72" i="7"/>
  <c r="L27" i="4"/>
  <c r="J5" i="36"/>
  <c r="J170" i="11"/>
  <c r="J156" i="11"/>
  <c r="J160" i="11"/>
  <c r="J172" i="11"/>
  <c r="J151" i="11"/>
  <c r="J157" i="11"/>
  <c r="J167" i="11"/>
  <c r="J173" i="11"/>
  <c r="J165" i="11"/>
  <c r="J176" i="11"/>
  <c r="J161" i="11"/>
  <c r="J163" i="11"/>
  <c r="J158" i="11"/>
  <c r="J166" i="11"/>
  <c r="J171" i="11"/>
  <c r="J180" i="11"/>
  <c r="J149" i="11"/>
  <c r="J150" i="11"/>
  <c r="J148" i="11"/>
  <c r="J162" i="11"/>
  <c r="J169" i="11"/>
  <c r="J155" i="11"/>
  <c r="J154" i="11"/>
  <c r="J153" i="11"/>
  <c r="J152" i="11"/>
  <c r="J179" i="11"/>
  <c r="J182" i="11"/>
  <c r="J168" i="11"/>
  <c r="J164" i="11"/>
  <c r="J178" i="11"/>
  <c r="J177" i="11"/>
  <c r="J159" i="11"/>
  <c r="J175" i="11"/>
  <c r="J181" i="11"/>
  <c r="J174" i="11"/>
  <c r="J185" i="11"/>
  <c r="J187" i="11" s="1"/>
  <c r="J4" i="8"/>
  <c r="J10" i="8" s="1"/>
  <c r="J11" i="8" s="1"/>
  <c r="J86" i="1" s="1"/>
  <c r="J35" i="4" s="1"/>
  <c r="J38" i="4" s="1"/>
  <c r="H33" i="36"/>
  <c r="AC27" i="36"/>
  <c r="AX27" i="36"/>
  <c r="AA38" i="36"/>
  <c r="AV38" i="36"/>
  <c r="H44" i="4"/>
  <c r="F39" i="36"/>
  <c r="AA35" i="36"/>
  <c r="AV35" i="36"/>
  <c r="AD49" i="36"/>
  <c r="AY49" i="36"/>
  <c r="AA47" i="36"/>
  <c r="AV47" i="36"/>
  <c r="AZ46" i="36"/>
  <c r="AE46" i="36"/>
  <c r="J49" i="36"/>
  <c r="I184" i="11"/>
  <c r="I47" i="4" s="1"/>
  <c r="G47" i="36" s="1"/>
  <c r="K46" i="36"/>
  <c r="M49" i="4"/>
  <c r="BB26" i="36" l="1"/>
  <c r="AG26" i="36"/>
  <c r="BB25" i="36"/>
  <c r="AG25" i="36"/>
  <c r="D44" i="36"/>
  <c r="F5" i="8"/>
  <c r="F15" i="8" s="1"/>
  <c r="F87" i="1" s="1"/>
  <c r="F45" i="4" s="1"/>
  <c r="F21" i="7"/>
  <c r="Y40" i="36"/>
  <c r="AT40" i="36"/>
  <c r="E3" i="2"/>
  <c r="E51" i="36"/>
  <c r="Z40" i="36"/>
  <c r="AU40" i="36"/>
  <c r="AG36" i="36"/>
  <c r="BB36" i="36"/>
  <c r="G50" i="4"/>
  <c r="E45" i="36"/>
  <c r="Z44" i="36"/>
  <c r="AU44" i="36"/>
  <c r="AB38" i="36"/>
  <c r="AW38" i="36"/>
  <c r="I44" i="4"/>
  <c r="G39" i="36"/>
  <c r="AB35" i="36"/>
  <c r="AW35" i="36"/>
  <c r="K148" i="11"/>
  <c r="K157" i="11"/>
  <c r="K152" i="11"/>
  <c r="K167" i="11"/>
  <c r="K173" i="11"/>
  <c r="K175" i="11"/>
  <c r="K170" i="11"/>
  <c r="K156" i="11"/>
  <c r="K182" i="11"/>
  <c r="K168" i="11"/>
  <c r="K178" i="11"/>
  <c r="K159" i="11"/>
  <c r="K160" i="11"/>
  <c r="K158" i="11"/>
  <c r="K165" i="11"/>
  <c r="K166" i="11"/>
  <c r="K151" i="11"/>
  <c r="K163" i="11"/>
  <c r="K161" i="11"/>
  <c r="K172" i="11"/>
  <c r="K149" i="11"/>
  <c r="K150" i="11"/>
  <c r="K171" i="11"/>
  <c r="K176" i="11"/>
  <c r="K180" i="11"/>
  <c r="K181" i="11"/>
  <c r="K169" i="11"/>
  <c r="K155" i="11"/>
  <c r="K153" i="11"/>
  <c r="K179" i="11"/>
  <c r="K177" i="11"/>
  <c r="K154" i="11"/>
  <c r="K164" i="11"/>
  <c r="K162" i="11"/>
  <c r="K174" i="11"/>
  <c r="K185" i="11"/>
  <c r="K187" i="11" s="1"/>
  <c r="I33" i="36"/>
  <c r="K4" i="8"/>
  <c r="K10" i="8" s="1"/>
  <c r="K11" i="8" s="1"/>
  <c r="K86" i="1" s="1"/>
  <c r="K35" i="4" s="1"/>
  <c r="K38" i="4" s="1"/>
  <c r="AD27" i="36"/>
  <c r="AY27" i="36"/>
  <c r="M27" i="4"/>
  <c r="K5" i="36"/>
  <c r="N27" i="4"/>
  <c r="L5" i="36"/>
  <c r="L33" i="4"/>
  <c r="J27" i="36"/>
  <c r="AE5" i="36"/>
  <c r="AZ5" i="36"/>
  <c r="H38" i="36"/>
  <c r="C11" i="2"/>
  <c r="J39" i="4"/>
  <c r="H35" i="36"/>
  <c r="AC33" i="36"/>
  <c r="AX33" i="36"/>
  <c r="H21" i="7"/>
  <c r="H5" i="8"/>
  <c r="H15" i="8" s="1"/>
  <c r="H87" i="1" s="1"/>
  <c r="H45" i="4" s="1"/>
  <c r="F44" i="36"/>
  <c r="AA39" i="36"/>
  <c r="AV39" i="36"/>
  <c r="AE49" i="36"/>
  <c r="AZ49" i="36"/>
  <c r="AB47" i="36"/>
  <c r="AW47" i="36"/>
  <c r="BA46" i="36"/>
  <c r="AF46" i="36"/>
  <c r="K49" i="36"/>
  <c r="J184" i="11"/>
  <c r="J47" i="4" s="1"/>
  <c r="H47" i="36" s="1"/>
  <c r="L46" i="36"/>
  <c r="N49" i="4"/>
  <c r="Y44" i="36" l="1"/>
  <c r="AT44" i="36"/>
  <c r="F51" i="4"/>
  <c r="D51" i="36" s="1"/>
  <c r="F50" i="4"/>
  <c r="D45" i="36"/>
  <c r="Z51" i="36"/>
  <c r="AU51" i="36"/>
  <c r="E50" i="36"/>
  <c r="G52" i="4"/>
  <c r="Z45" i="36"/>
  <c r="AU45" i="36"/>
  <c r="I21" i="7"/>
  <c r="G44" i="36"/>
  <c r="I5" i="8"/>
  <c r="I15" i="8" s="1"/>
  <c r="I87" i="1" s="1"/>
  <c r="I45" i="4" s="1"/>
  <c r="AB39" i="36"/>
  <c r="AW39" i="36"/>
  <c r="I38" i="36"/>
  <c r="D11" i="2"/>
  <c r="AD33" i="36"/>
  <c r="AY33" i="36"/>
  <c r="K39" i="4"/>
  <c r="I35" i="36"/>
  <c r="M33" i="4"/>
  <c r="K27" i="36"/>
  <c r="BA5" i="36"/>
  <c r="AF5" i="36"/>
  <c r="N33" i="4"/>
  <c r="L27" i="36"/>
  <c r="BB5" i="36"/>
  <c r="AG5" i="36"/>
  <c r="L162" i="11"/>
  <c r="L159" i="11"/>
  <c r="L173" i="11"/>
  <c r="L167" i="11"/>
  <c r="L160" i="11"/>
  <c r="L180" i="11"/>
  <c r="L176" i="11"/>
  <c r="L161" i="11"/>
  <c r="L165" i="11"/>
  <c r="L166" i="11"/>
  <c r="L172" i="11"/>
  <c r="L163" i="11"/>
  <c r="L171" i="11"/>
  <c r="L148" i="11"/>
  <c r="L152" i="11"/>
  <c r="L170" i="11"/>
  <c r="L169" i="11"/>
  <c r="L157" i="11"/>
  <c r="L156" i="11"/>
  <c r="L155" i="11"/>
  <c r="L154" i="11"/>
  <c r="L153" i="11"/>
  <c r="L182" i="11"/>
  <c r="L179" i="11"/>
  <c r="L168" i="11"/>
  <c r="L164" i="11"/>
  <c r="L178" i="11"/>
  <c r="L177" i="11"/>
  <c r="L181" i="11"/>
  <c r="L175" i="11"/>
  <c r="L149" i="11"/>
  <c r="L150" i="11"/>
  <c r="L151" i="11"/>
  <c r="L158" i="11"/>
  <c r="L38" i="4"/>
  <c r="L174" i="11"/>
  <c r="L185" i="11"/>
  <c r="L187" i="11" s="1"/>
  <c r="J33" i="36"/>
  <c r="L4" i="8"/>
  <c r="L10" i="8" s="1"/>
  <c r="L11" i="8" s="1"/>
  <c r="L86" i="1" s="1"/>
  <c r="L35" i="4" s="1"/>
  <c r="AE27" i="36"/>
  <c r="AZ27" i="36"/>
  <c r="AC38" i="36"/>
  <c r="AX38" i="36"/>
  <c r="C12" i="2"/>
  <c r="C13" i="2"/>
  <c r="C14" i="2"/>
  <c r="C17" i="2"/>
  <c r="J44" i="4"/>
  <c r="H39" i="36"/>
  <c r="J11" i="2"/>
  <c r="AC35" i="36"/>
  <c r="AX35" i="36"/>
  <c r="H50" i="4"/>
  <c r="H51" i="4"/>
  <c r="F51" i="36" s="1"/>
  <c r="F45" i="36"/>
  <c r="AA44" i="36"/>
  <c r="AV44" i="36"/>
  <c r="AF49" i="36"/>
  <c r="BA49" i="36"/>
  <c r="AC47" i="36"/>
  <c r="AX47" i="36"/>
  <c r="BB46" i="36"/>
  <c r="AG46" i="36"/>
  <c r="L49" i="36"/>
  <c r="K184" i="11"/>
  <c r="K47" i="4" s="1"/>
  <c r="I47" i="36" s="1"/>
  <c r="Y51" i="36" l="1"/>
  <c r="AT51" i="36"/>
  <c r="D50" i="36"/>
  <c r="F52" i="4"/>
  <c r="Y45" i="36"/>
  <c r="AT45" i="36"/>
  <c r="Z50" i="36"/>
  <c r="AU50" i="36"/>
  <c r="G53" i="4"/>
  <c r="E52" i="36"/>
  <c r="AB44" i="36"/>
  <c r="AW44" i="36"/>
  <c r="I50" i="4"/>
  <c r="I51" i="4"/>
  <c r="G51" i="36" s="1"/>
  <c r="G45" i="36"/>
  <c r="AD38" i="36"/>
  <c r="AY38" i="36"/>
  <c r="D12" i="2"/>
  <c r="D13" i="2"/>
  <c r="D14" i="2"/>
  <c r="D17" i="2"/>
  <c r="K44" i="4"/>
  <c r="I39" i="36"/>
  <c r="K11" i="2"/>
  <c r="AD35" i="36"/>
  <c r="AY35" i="36"/>
  <c r="M148" i="11"/>
  <c r="M169" i="11"/>
  <c r="M156" i="11"/>
  <c r="M154" i="11"/>
  <c r="M152" i="11"/>
  <c r="M179" i="11"/>
  <c r="M164" i="11"/>
  <c r="M159" i="11"/>
  <c r="M170" i="11"/>
  <c r="M157" i="11"/>
  <c r="M155" i="11"/>
  <c r="M153" i="11"/>
  <c r="M182" i="11"/>
  <c r="M168" i="11"/>
  <c r="M178" i="11"/>
  <c r="M177" i="11"/>
  <c r="M160" i="11"/>
  <c r="M175" i="11"/>
  <c r="M181" i="11"/>
  <c r="M165" i="11"/>
  <c r="M163" i="11"/>
  <c r="M171" i="11"/>
  <c r="M172" i="11"/>
  <c r="M166" i="11"/>
  <c r="M176" i="11"/>
  <c r="M180" i="11"/>
  <c r="M158" i="11"/>
  <c r="M161" i="11"/>
  <c r="M151" i="11"/>
  <c r="M162" i="11"/>
  <c r="M167" i="11"/>
  <c r="M173" i="11"/>
  <c r="M149" i="11"/>
  <c r="M150" i="11"/>
  <c r="M38" i="4"/>
  <c r="M4" i="8"/>
  <c r="M10" i="8" s="1"/>
  <c r="M11" i="8" s="1"/>
  <c r="M86" i="1" s="1"/>
  <c r="M35" i="4" s="1"/>
  <c r="M174" i="11"/>
  <c r="M185" i="11"/>
  <c r="M187" i="11" s="1"/>
  <c r="K33" i="36"/>
  <c r="AF27" i="36"/>
  <c r="BA27" i="36"/>
  <c r="N167" i="11"/>
  <c r="N175" i="11"/>
  <c r="N173" i="11"/>
  <c r="N181" i="11"/>
  <c r="N162" i="11"/>
  <c r="N148" i="11"/>
  <c r="N170" i="11"/>
  <c r="N169" i="11"/>
  <c r="N157" i="11"/>
  <c r="N156" i="11"/>
  <c r="N155" i="11"/>
  <c r="N154" i="11"/>
  <c r="N153" i="11"/>
  <c r="N152" i="11"/>
  <c r="N179" i="11"/>
  <c r="N182" i="11"/>
  <c r="N168" i="11"/>
  <c r="N164" i="11"/>
  <c r="N178" i="11"/>
  <c r="N177" i="11"/>
  <c r="N159" i="11"/>
  <c r="N172" i="11"/>
  <c r="N150" i="11"/>
  <c r="N180" i="11"/>
  <c r="N176" i="11"/>
  <c r="N165" i="11"/>
  <c r="N149" i="11"/>
  <c r="N163" i="11"/>
  <c r="N151" i="11"/>
  <c r="N166" i="11"/>
  <c r="N171" i="11"/>
  <c r="N158" i="11"/>
  <c r="N161" i="11"/>
  <c r="N160" i="11"/>
  <c r="N174" i="11"/>
  <c r="N185" i="11"/>
  <c r="N187" i="11" s="1"/>
  <c r="L33" i="36"/>
  <c r="N4" i="8"/>
  <c r="N10" i="8" s="1"/>
  <c r="N11" i="8" s="1"/>
  <c r="N86" i="1" s="1"/>
  <c r="N35" i="4" s="1"/>
  <c r="N38" i="4" s="1"/>
  <c r="AG27" i="36"/>
  <c r="BB27" i="36"/>
  <c r="J38" i="36"/>
  <c r="E11" i="2"/>
  <c r="AE33" i="36"/>
  <c r="AZ33" i="36"/>
  <c r="L39" i="4"/>
  <c r="J35" i="36"/>
  <c r="C18" i="2"/>
  <c r="C19" i="2"/>
  <c r="C20" i="2"/>
  <c r="J21" i="7"/>
  <c r="J5" i="8"/>
  <c r="J15" i="8" s="1"/>
  <c r="J87" i="1" s="1"/>
  <c r="J45" i="4" s="1"/>
  <c r="H44" i="36"/>
  <c r="AC39" i="36"/>
  <c r="AX39" i="36"/>
  <c r="J17" i="2"/>
  <c r="F50" i="36"/>
  <c r="H52" i="4"/>
  <c r="AV51" i="36"/>
  <c r="AA51" i="36"/>
  <c r="AA45" i="36"/>
  <c r="AV45" i="36"/>
  <c r="AG49" i="36"/>
  <c r="BB49" i="36"/>
  <c r="AD47" i="36"/>
  <c r="AY47" i="36"/>
  <c r="L184" i="11"/>
  <c r="L47" i="4" s="1"/>
  <c r="J47" i="36" s="1"/>
  <c r="Y50" i="36" l="1"/>
  <c r="AT50" i="36"/>
  <c r="F53" i="4"/>
  <c r="D53" i="36" s="1"/>
  <c r="D52" i="36"/>
  <c r="E53" i="36"/>
  <c r="L3" i="2"/>
  <c r="Z52" i="36"/>
  <c r="AU52" i="36"/>
  <c r="G50" i="36"/>
  <c r="I52" i="4"/>
  <c r="AW51" i="36"/>
  <c r="AB51" i="36"/>
  <c r="AB45" i="36"/>
  <c r="AW45" i="36"/>
  <c r="D18" i="2"/>
  <c r="D19" i="2"/>
  <c r="D20" i="2"/>
  <c r="K21" i="7"/>
  <c r="I44" i="36"/>
  <c r="K5" i="8"/>
  <c r="K15" i="8" s="1"/>
  <c r="K87" i="1" s="1"/>
  <c r="K45" i="4" s="1"/>
  <c r="AD39" i="36"/>
  <c r="AY39" i="36"/>
  <c r="K12" i="2"/>
  <c r="K13" i="2"/>
  <c r="K14" i="2"/>
  <c r="K17" i="2"/>
  <c r="K38" i="36"/>
  <c r="F11" i="2"/>
  <c r="M39" i="4"/>
  <c r="K35" i="36"/>
  <c r="AF33" i="36"/>
  <c r="BA33" i="36"/>
  <c r="L38" i="36"/>
  <c r="G11" i="2"/>
  <c r="AG33" i="36"/>
  <c r="BB33" i="36"/>
  <c r="N39" i="4"/>
  <c r="L35" i="36"/>
  <c r="AE38" i="36"/>
  <c r="AZ38" i="36"/>
  <c r="E12" i="2"/>
  <c r="E13" i="2"/>
  <c r="E14" i="2"/>
  <c r="E17" i="2"/>
  <c r="L44" i="4"/>
  <c r="J39" i="36"/>
  <c r="L11" i="2"/>
  <c r="AE35" i="36"/>
  <c r="AZ35" i="36"/>
  <c r="J51" i="4"/>
  <c r="J50" i="4"/>
  <c r="H45" i="36"/>
  <c r="AC44" i="36"/>
  <c r="AX44" i="36"/>
  <c r="J18" i="2"/>
  <c r="J19" i="2"/>
  <c r="J20" i="2"/>
  <c r="AA50" i="36"/>
  <c r="AV50" i="36"/>
  <c r="H53" i="4"/>
  <c r="F53" i="36" s="1"/>
  <c r="F52" i="36"/>
  <c r="AE47" i="36"/>
  <c r="AZ47" i="36"/>
  <c r="M184" i="11"/>
  <c r="M47" i="4" s="1"/>
  <c r="K47" i="36" s="1"/>
  <c r="N184" i="11"/>
  <c r="N47" i="4" s="1"/>
  <c r="L47" i="36" s="1"/>
  <c r="Y53" i="36" l="1"/>
  <c r="AT53" i="36"/>
  <c r="Y52" i="36"/>
  <c r="AT52" i="36"/>
  <c r="Z53" i="36"/>
  <c r="AU53" i="36"/>
  <c r="J14" i="2"/>
  <c r="J13" i="2"/>
  <c r="J12" i="2"/>
  <c r="AB50" i="36"/>
  <c r="AW50" i="36"/>
  <c r="I53" i="4"/>
  <c r="G53" i="36" s="1"/>
  <c r="G52" i="36"/>
  <c r="AD44" i="36"/>
  <c r="AY44" i="36"/>
  <c r="K51" i="4"/>
  <c r="K50" i="4"/>
  <c r="I45" i="36"/>
  <c r="K18" i="2"/>
  <c r="K19" i="2"/>
  <c r="K20" i="2"/>
  <c r="AF38" i="36"/>
  <c r="BA38" i="36"/>
  <c r="F12" i="2"/>
  <c r="F13" i="2"/>
  <c r="F14" i="2"/>
  <c r="F17" i="2"/>
  <c r="M44" i="4"/>
  <c r="K39" i="36"/>
  <c r="M11" i="2"/>
  <c r="AF35" i="36"/>
  <c r="BA35" i="36"/>
  <c r="AG38" i="36"/>
  <c r="BB38" i="36"/>
  <c r="G12" i="2"/>
  <c r="G13" i="2"/>
  <c r="G14" i="2"/>
  <c r="G17" i="2"/>
  <c r="N44" i="4"/>
  <c r="L39" i="36"/>
  <c r="N11" i="2"/>
  <c r="AG35" i="36"/>
  <c r="BB35" i="36"/>
  <c r="E18" i="2"/>
  <c r="E19" i="2"/>
  <c r="E20" i="2"/>
  <c r="L21" i="7"/>
  <c r="L5" i="8"/>
  <c r="L15" i="8" s="1"/>
  <c r="L87" i="1" s="1"/>
  <c r="L45" i="4" s="1"/>
  <c r="J44" i="36"/>
  <c r="AE39" i="36"/>
  <c r="AZ39" i="36"/>
  <c r="L12" i="2"/>
  <c r="L13" i="2"/>
  <c r="L14" i="2"/>
  <c r="L17" i="2"/>
  <c r="C23" i="2"/>
  <c r="H51" i="36"/>
  <c r="H50" i="36"/>
  <c r="J52" i="4"/>
  <c r="AC45" i="36"/>
  <c r="AX45" i="36"/>
  <c r="AA53" i="36"/>
  <c r="AV53" i="36"/>
  <c r="AA52" i="36"/>
  <c r="AV52" i="36"/>
  <c r="AF47" i="36"/>
  <c r="BA47" i="36"/>
  <c r="AG47" i="36"/>
  <c r="BB47" i="36"/>
  <c r="AB53" i="36" l="1"/>
  <c r="AW53" i="36"/>
  <c r="AB52" i="36"/>
  <c r="AW52" i="36"/>
  <c r="D23" i="2"/>
  <c r="I51" i="36"/>
  <c r="I50" i="36"/>
  <c r="K52" i="4"/>
  <c r="AD45" i="36"/>
  <c r="AY45" i="36"/>
  <c r="F18" i="2"/>
  <c r="F19" i="2"/>
  <c r="F20" i="2"/>
  <c r="M21" i="7"/>
  <c r="M5" i="8"/>
  <c r="M15" i="8" s="1"/>
  <c r="M87" i="1" s="1"/>
  <c r="M45" i="4" s="1"/>
  <c r="K44" i="36"/>
  <c r="AF39" i="36"/>
  <c r="BA39" i="36"/>
  <c r="M12" i="2"/>
  <c r="M13" i="2"/>
  <c r="M14" i="2"/>
  <c r="M17" i="2"/>
  <c r="G18" i="2"/>
  <c r="G19" i="2"/>
  <c r="G20" i="2"/>
  <c r="N21" i="7"/>
  <c r="L44" i="36"/>
  <c r="N5" i="8"/>
  <c r="N15" i="8" s="1"/>
  <c r="N87" i="1" s="1"/>
  <c r="N45" i="4" s="1"/>
  <c r="AG39" i="36"/>
  <c r="BB39" i="36"/>
  <c r="N12" i="2"/>
  <c r="N13" i="2"/>
  <c r="N14" i="2"/>
  <c r="N17" i="2"/>
  <c r="L51" i="4"/>
  <c r="L50" i="4"/>
  <c r="J45" i="36"/>
  <c r="AE44" i="36"/>
  <c r="AZ44" i="36"/>
  <c r="L18" i="2"/>
  <c r="L19" i="2"/>
  <c r="L20" i="2"/>
  <c r="C24" i="2"/>
  <c r="C25" i="2"/>
  <c r="C26" i="2"/>
  <c r="AC51" i="36"/>
  <c r="AX51" i="36"/>
  <c r="AC50" i="36"/>
  <c r="AX50" i="36"/>
  <c r="J53" i="4"/>
  <c r="H52" i="36"/>
  <c r="D24" i="2" l="1"/>
  <c r="D25" i="2"/>
  <c r="D26" i="2"/>
  <c r="AD51" i="36"/>
  <c r="AY51" i="36"/>
  <c r="AD50" i="36"/>
  <c r="AY50" i="36"/>
  <c r="K53" i="4"/>
  <c r="I52" i="36"/>
  <c r="M50" i="4"/>
  <c r="M51" i="4"/>
  <c r="K45" i="36"/>
  <c r="AF44" i="36"/>
  <c r="BA44" i="36"/>
  <c r="M18" i="2"/>
  <c r="M19" i="2"/>
  <c r="M20" i="2"/>
  <c r="AG44" i="36"/>
  <c r="BB44" i="36"/>
  <c r="N50" i="4"/>
  <c r="N51" i="4"/>
  <c r="L45" i="36"/>
  <c r="N18" i="2"/>
  <c r="N19" i="2"/>
  <c r="N20" i="2"/>
  <c r="E23" i="2"/>
  <c r="J51" i="36"/>
  <c r="J50" i="36"/>
  <c r="L52" i="4"/>
  <c r="AE45" i="36"/>
  <c r="AZ45" i="36"/>
  <c r="H53" i="36"/>
  <c r="J23" i="2"/>
  <c r="AC52" i="36"/>
  <c r="AX52" i="36"/>
  <c r="I53" i="36" l="1"/>
  <c r="K23" i="2"/>
  <c r="AD52" i="36"/>
  <c r="AY52" i="36"/>
  <c r="K50" i="36"/>
  <c r="M52" i="4"/>
  <c r="F23" i="2"/>
  <c r="K51" i="36"/>
  <c r="AF45" i="36"/>
  <c r="BA45" i="36"/>
  <c r="L50" i="36"/>
  <c r="N52" i="4"/>
  <c r="G23" i="2"/>
  <c r="L51" i="36"/>
  <c r="AG45" i="36"/>
  <c r="BB45" i="36"/>
  <c r="E24" i="2"/>
  <c r="E25" i="2"/>
  <c r="E26" i="2"/>
  <c r="AE51" i="36"/>
  <c r="AZ51" i="36"/>
  <c r="AE50" i="36"/>
  <c r="AZ50" i="36"/>
  <c r="L53" i="4"/>
  <c r="J52" i="36"/>
  <c r="AC53" i="36"/>
  <c r="AX53" i="36"/>
  <c r="J24" i="2"/>
  <c r="J25" i="2"/>
  <c r="J26" i="2"/>
  <c r="AD53" i="36" l="1"/>
  <c r="AY53" i="36"/>
  <c r="K24" i="2"/>
  <c r="K25" i="2"/>
  <c r="K26" i="2"/>
  <c r="AF50" i="36"/>
  <c r="BA50" i="36"/>
  <c r="M53" i="4"/>
  <c r="K52" i="36"/>
  <c r="F24" i="2"/>
  <c r="F25" i="2"/>
  <c r="F26" i="2"/>
  <c r="AF51" i="36"/>
  <c r="BA51" i="36"/>
  <c r="AG50" i="36"/>
  <c r="BB50" i="36"/>
  <c r="N53" i="4"/>
  <c r="L52" i="36"/>
  <c r="G24" i="2"/>
  <c r="G25" i="2"/>
  <c r="G26" i="2"/>
  <c r="AG51" i="36"/>
  <c r="BB51" i="36"/>
  <c r="J53" i="36"/>
  <c r="L23" i="2"/>
  <c r="AE52" i="36"/>
  <c r="AZ52" i="36"/>
  <c r="K53" i="36" l="1"/>
  <c r="M23" i="2"/>
  <c r="AF52" i="36"/>
  <c r="BA52" i="36"/>
  <c r="L53" i="36"/>
  <c r="N23" i="2"/>
  <c r="AG52" i="36"/>
  <c r="BB52" i="36"/>
  <c r="AE53" i="36"/>
  <c r="AZ53" i="36"/>
  <c r="L24" i="2"/>
  <c r="L25" i="2"/>
  <c r="L26" i="2"/>
  <c r="AF53" i="36" l="1"/>
  <c r="BA53" i="36"/>
  <c r="M24" i="2"/>
  <c r="M25" i="2"/>
  <c r="M26" i="2"/>
  <c r="AG53" i="36"/>
  <c r="BB53" i="36"/>
  <c r="N24" i="2"/>
  <c r="N25" i="2"/>
  <c r="N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6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9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C00-000001000000}">
      <text>
        <r>
          <rPr>
            <sz val="11"/>
            <color theme="1"/>
            <rFont val="Calibri"/>
            <family val="2"/>
            <scheme val="minor"/>
          </rPr>
          <t>Thomas_work:
7.04% for benefits and 7.48% for taxes (TM)</t>
        </r>
      </text>
    </comment>
    <comment ref="E6" authorId="0" shapeId="0" xr:uid="{00000000-0006-0000-1C00-000002000000}">
      <text>
        <r>
          <rPr>
            <sz val="11"/>
            <color theme="1"/>
            <rFont val="Calibri"/>
            <family val="2"/>
            <scheme val="minor"/>
          </rPr>
          <t xml:space="preserve">Thomas_work:
Per Charity email 2.17.26
</t>
        </r>
      </text>
    </comment>
    <comment ref="E9" authorId="0" shapeId="0" xr:uid="{00000000-0006-0000-1C00-000003000000}">
      <text>
        <r>
          <rPr>
            <sz val="11"/>
            <color theme="1"/>
            <rFont val="Calibri"/>
            <family val="2"/>
            <scheme val="minor"/>
          </rPr>
          <t>Thomas_work:
7.04% for benefits and 7.48% for taxes (TM)</t>
        </r>
      </text>
    </comment>
    <comment ref="E20" authorId="0" shapeId="0" xr:uid="{00000000-0006-0000-1C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<sst xmlns="http://schemas.openxmlformats.org/spreadsheetml/2006/main" count="3190" uniqueCount="1208">
  <si>
    <t>Year</t>
  </si>
  <si>
    <t>actual</t>
  </si>
  <si>
    <t>i/o</t>
  </si>
  <si>
    <t>field_name</t>
  </si>
  <si>
    <t>index</t>
  </si>
  <si>
    <t>LGH Fee Revenue</t>
  </si>
  <si>
    <t>lgh_fee_revenue_section</t>
  </si>
  <si>
    <t>[blank]</t>
  </si>
  <si>
    <t>Total LGH Fees Earned</t>
  </si>
  <si>
    <t>c</t>
  </si>
  <si>
    <t>total_fees_earned</t>
  </si>
  <si>
    <t>Deferred Period Fee</t>
  </si>
  <si>
    <t>i</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</si>
  <si>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</si>
  <si>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</si>
  <si>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</si>
  <si>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</si>
  <si>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</si>
  <si>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</si>
  <si>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</si>
  <si>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</si>
  <si>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</si>
  <si>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</si>
  <si>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</si>
  <si>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Bermuda PB</t>
  </si>
  <si>
    <t>accting_fee</t>
  </si>
  <si>
    <t>pb</t>
  </si>
  <si>
    <t>7f</t>
  </si>
  <si>
    <t>austin</t>
  </si>
  <si>
    <t>Turks</t>
  </si>
  <si>
    <t>turks</t>
  </si>
  <si>
    <t>Elbow</t>
  </si>
  <si>
    <t>elbow</t>
  </si>
  <si>
    <t>Frith</t>
  </si>
  <si>
    <t>fritholme</t>
  </si>
  <si>
    <t>[LSAT]</t>
  </si>
  <si>
    <t>lsat</t>
  </si>
  <si>
    <t>Total LGH Bi&amp;F Service Revenue</t>
  </si>
  <si>
    <t>total_service_revenue</t>
  </si>
  <si>
    <t>deferred_service_fee</t>
  </si>
  <si>
    <t>Paid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</si>
  <si>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</si>
  <si>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</si>
  <si>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</si>
  <si>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</si>
  <si>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</si>
  <si>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</si>
  <si>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</si>
  <si>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</si>
  <si>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chargeback fee</t>
  </si>
  <si>
    <t>chargeback_multiplier</t>
  </si>
  <si>
    <t>reimbursable by hotels to LGH</t>
  </si>
  <si>
    <t>o</t>
  </si>
  <si>
    <t>reimbursable_by_hotels</t>
  </si>
  <si>
    <t>Total LGH Bi&amp;F Charge Back chk</t>
  </si>
  <si>
    <t>total_chargeback</t>
  </si>
  <si>
    <t>total LGH Bi&amp;F revenue</t>
  </si>
  <si>
    <t>total_lgh_bif_revenue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</si>
  <si>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</si>
  <si>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</si>
  <si>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</si>
  <si>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</si>
  <si>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</si>
  <si>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</si>
  <si>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</si>
  <si>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</si>
  <si>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</si>
  <si>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</si>
  <si>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</si>
  <si>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</si>
  <si>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t>
  </si>
  <si>
    <t>chargeback_fees</t>
  </si>
  <si>
    <t>Total C12 Bi&amp;f revenue</t>
  </si>
  <si>
    <t>total_c12_bif_revenue</t>
  </si>
  <si>
    <t>increase in accrued participation</t>
  </si>
  <si>
    <t>increase_accrued_participation</t>
  </si>
  <si>
    <t>decrease in accrued partipation</t>
  </si>
  <si>
    <t>decrease_accrued_participation</t>
  </si>
  <si>
    <t>Cumm. Total Accrued Participation</t>
  </si>
  <si>
    <t>cumm_accrued_participation</t>
  </si>
  <si>
    <t>from HR sheet</t>
  </si>
  <si>
    <t>Grand Total</t>
  </si>
  <si>
    <t>hr_grand_total</t>
  </si>
  <si>
    <t>reimbersable to hotel</t>
  </si>
  <si>
    <t>hr_reimbursable</t>
  </si>
  <si>
    <t>not reimbersable by hotel, but paid by lgh</t>
  </si>
  <si>
    <t>hr_not_reimbursable</t>
  </si>
  <si>
    <t>only paid by c12</t>
  </si>
  <si>
    <t>hr_only_c12</t>
  </si>
  <si>
    <t xml:space="preserve"> </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</si>
  <si>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</si>
  <si>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</si>
  <si>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</si>
  <si>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</si>
  <si>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</si>
  <si>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</si>
  <si>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</si>
  <si>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</si>
  <si>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</si>
  <si>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</si>
  <si>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</si>
  <si>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</si>
  <si>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</si>
  <si>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</si>
  <si>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</si>
  <si>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</si>
  <si>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</si>
  <si>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</si>
  <si>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</si>
  <si>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</si>
  <si>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</si>
  <si>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</si>
  <si>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</si>
  <si>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</si>
  <si>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</si>
  <si>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</si>
  <si>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</si>
  <si>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</si>
  <si>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</si>
  <si>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</si>
  <si>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</si>
  <si>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</si>
  <si>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</si>
  <si>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</si>
  <si>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</si>
  <si>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</si>
  <si>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</si>
  <si>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</si>
  <si>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</si>
  <si>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</si>
  <si>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</si>
  <si>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</si>
  <si>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</si>
  <si>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</si>
  <si>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</si>
  <si>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loc balance</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</si>
  <si>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</si>
  <si>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</si>
  <si>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</si>
  <si>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</si>
  <si>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</si>
  <si>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</si>
  <si>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</si>
  <si>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</si>
  <si>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</si>
  <si>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</si>
  <si>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</si>
  <si>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</si>
  <si>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</si>
  <si>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</si>
  <si>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</si>
  <si>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</si>
  <si>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</si>
  <si>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</si>
  <si>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</si>
  <si>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</si>
  <si>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</si>
  <si>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</si>
  <si>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</si>
  <si>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</si>
  <si>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</si>
  <si>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</si>
  <si>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</si>
  <si>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Inflation</t>
  </si>
  <si>
    <t>from lgh_manco</t>
  </si>
  <si>
    <t>Period</t>
  </si>
  <si>
    <t>Q4</t>
  </si>
  <si>
    <t>Q1</t>
  </si>
  <si>
    <t>Q2</t>
  </si>
  <si>
    <t>Q3</t>
  </si>
  <si>
    <t>Assets</t>
  </si>
  <si>
    <t>Cash</t>
  </si>
  <si>
    <t>Bermuda</t>
  </si>
  <si>
    <t>Equity</t>
  </si>
  <si>
    <t>Austin</t>
  </si>
  <si>
    <t>Preferred Equity</t>
  </si>
  <si>
    <t>Mezz Loan</t>
  </si>
  <si>
    <t>STL</t>
  </si>
  <si>
    <t>Elbow Beach</t>
  </si>
  <si>
    <t>Fritholme</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</si>
  <si>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</si>
  <si>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</si>
  <si>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</si>
  <si>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</si>
  <si>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</si>
  <si>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</si>
  <si>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</si>
  <si>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</si>
  <si>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</si>
  <si>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</si>
  <si>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</si>
  <si>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</si>
  <si>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</si>
  <si>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</si>
  <si>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</si>
  <si>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</si>
  <si>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</si>
  <si>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</si>
  <si>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</si>
  <si>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</si>
  <si>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</si>
  <si>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</si>
  <si>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</si>
  <si>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</si>
  <si>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</si>
  <si>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</si>
  <si>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</si>
  <si>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</si>
  <si>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</si>
  <si>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</si>
  <si>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</si>
  <si>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</si>
  <si>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</si>
  <si>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</si>
  <si>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</si>
  <si>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</si>
  <si>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</si>
  <si>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</si>
  <si>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</si>
  <si>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</si>
  <si>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</si>
  <si>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</si>
  <si>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</si>
  <si>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</si>
  <si>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</si>
  <si>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</si>
  <si>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</si>
  <si>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</si>
  <si>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</si>
  <si>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</si>
  <si>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</si>
  <si>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</si>
  <si>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</si>
  <si>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</si>
  <si>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</si>
  <si>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</si>
  <si>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</si>
  <si>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</si>
  <si>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</si>
  <si>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</si>
  <si>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</si>
  <si>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</si>
  <si>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</si>
  <si>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</si>
  <si>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</si>
  <si>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</si>
  <si>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</si>
  <si>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</si>
  <si>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</si>
  <si>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</si>
  <si>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</si>
  <si>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</si>
  <si>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</si>
  <si>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</si>
  <si>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</si>
  <si>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</si>
  <si>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</si>
  <si>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</si>
  <si>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</si>
  <si>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</si>
  <si>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</si>
  <si>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</si>
  <si>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</si>
  <si>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</si>
  <si>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</si>
  <si>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</si>
  <si>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</si>
  <si>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</si>
  <si>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</si>
  <si>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</si>
  <si>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</si>
  <si>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</si>
  <si>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</si>
  <si>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</si>
  <si>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</si>
  <si>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</si>
  <si>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</si>
  <si>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</si>
  <si>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</si>
  <si>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</si>
  <si>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</si>
  <si>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</si>
  <si>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</si>
  <si>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</si>
  <si>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</si>
  <si>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</si>
  <si>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</si>
  <si>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</si>
  <si>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</si>
  <si>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</si>
  <si>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</si>
  <si>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</si>
  <si>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</si>
  <si>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</si>
  <si>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</si>
  <si>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</si>
  <si>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</si>
  <si>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</si>
  <si>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</si>
  <si>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</si>
  <si>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</si>
  <si>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</si>
  <si>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</si>
  <si>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</si>
  <si>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</si>
  <si>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</si>
  <si>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</si>
  <si>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</si>
  <si>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</si>
  <si>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</si>
  <si>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</si>
  <si>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</si>
  <si>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</si>
  <si>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</si>
  <si>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</si>
  <si>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</si>
  <si>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</si>
  <si>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</si>
  <si>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</si>
  <si>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</si>
  <si>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</si>
  <si>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</si>
  <si>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</si>
  <si>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</si>
  <si>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</si>
  <si>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</si>
  <si>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</si>
  <si>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</si>
  <si>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</si>
  <si>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</si>
  <si>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</si>
  <si>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</si>
  <si>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</si>
  <si>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</si>
  <si>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</si>
  <si>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</si>
  <si>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</si>
  <si>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Total</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</si>
  <si>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</si>
  <si>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</si>
  <si>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</si>
  <si>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</si>
  <si>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</si>
  <si>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</si>
  <si>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</si>
  <si>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</si>
  <si>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</si>
  <si>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</si>
  <si>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</si>
  <si>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</si>
  <si>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</si>
  <si>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</si>
  <si>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</si>
  <si>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</si>
  <si>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</si>
  <si>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</si>
  <si>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</si>
  <si>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</si>
  <si>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</si>
  <si>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</si>
  <si>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</si>
  <si>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</si>
  <si>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</si>
  <si>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</si>
  <si>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</si>
  <si>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</si>
  <si>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</si>
  <si>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</si>
  <si>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</si>
  <si>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</si>
  <si>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</si>
  <si>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</si>
  <si>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</si>
  <si>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</si>
  <si>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</si>
  <si>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</si>
  <si>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</si>
  <si>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</si>
  <si>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</si>
  <si>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</si>
  <si>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</si>
  <si>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</si>
  <si>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</si>
  <si>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</si>
  <si>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</si>
  <si>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</si>
  <si>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</si>
  <si>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</si>
  <si>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</si>
  <si>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</si>
  <si>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</si>
  <si>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</si>
  <si>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</si>
  <si>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</si>
  <si>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</si>
  <si>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</si>
  <si>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</si>
  <si>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</si>
  <si>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</si>
  <si>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</si>
  <si>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</si>
  <si>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</si>
  <si>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</si>
  <si>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</si>
  <si>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</si>
  <si>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</si>
  <si>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</si>
  <si>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</si>
  <si>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</si>
  <si>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</si>
  <si>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</si>
  <si>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</si>
  <si>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</si>
  <si>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</si>
  <si>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</si>
  <si>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</si>
  <si>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</si>
  <si>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</si>
  <si>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</si>
  <si>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</si>
  <si>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</si>
  <si>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</si>
  <si>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</si>
  <si>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</si>
  <si>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</si>
  <si>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</si>
  <si>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</si>
  <si>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</si>
  <si>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</si>
  <si>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</si>
  <si>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</si>
  <si>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</si>
  <si>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</si>
  <si>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</si>
  <si>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</si>
  <si>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</si>
  <si>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</si>
  <si>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</si>
  <si>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</si>
  <si>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</si>
  <si>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</si>
  <si>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</si>
  <si>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</si>
  <si>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</si>
  <si>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</si>
  <si>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</si>
  <si>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</si>
  <si>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</si>
  <si>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</si>
  <si>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</si>
  <si>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</si>
  <si>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</si>
  <si>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</si>
  <si>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</si>
  <si>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</si>
  <si>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</si>
  <si>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</si>
  <si>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</si>
  <si>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</si>
  <si>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</si>
  <si>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</si>
  <si>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</si>
  <si>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</si>
  <si>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</si>
  <si>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</si>
  <si>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</si>
  <si>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</si>
  <si>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</si>
  <si>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</si>
  <si>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</si>
  <si>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</si>
  <si>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</si>
  <si>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</si>
  <si>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</si>
  <si>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</si>
  <si>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</si>
  <si>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</si>
  <si>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</si>
  <si>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</si>
  <si>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</si>
  <si>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</si>
  <si>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</si>
  <si>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</si>
  <si>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</si>
  <si>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</si>
  <si>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</si>
  <si>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</si>
  <si>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</si>
  <si>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</si>
  <si>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</si>
  <si>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</si>
  <si>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</si>
  <si>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</si>
  <si>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</si>
  <si>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</si>
  <si>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</si>
  <si>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</si>
  <si>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</si>
  <si>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</si>
  <si>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</si>
  <si>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</si>
  <si>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</si>
  <si>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</si>
  <si>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</si>
  <si>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</si>
  <si>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</si>
  <si>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</si>
  <si>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</si>
  <si>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</si>
  <si>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</si>
  <si>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</si>
  <si>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</si>
  <si>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</si>
  <si>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</si>
  <si>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</si>
  <si>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</si>
  <si>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</si>
  <si>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</si>
  <si>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</si>
  <si>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</si>
  <si>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</si>
  <si>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</si>
  <si>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</si>
  <si>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</si>
  <si>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</si>
  <si>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</si>
  <si>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</si>
  <si>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</si>
  <si>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</si>
  <si>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</si>
  <si>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</si>
  <si>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</si>
  <si>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</si>
  <si>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</si>
  <si>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</si>
  <si>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</si>
  <si>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</si>
  <si>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</si>
  <si>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</si>
  <si>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</si>
  <si>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</si>
  <si>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</si>
  <si>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c12 Advanced</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</si>
  <si>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</si>
  <si>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</si>
  <si>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</si>
  <si>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</si>
  <si>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</si>
  <si>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</si>
  <si>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</si>
  <si>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</si>
  <si>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</si>
  <si>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</si>
  <si>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</si>
  <si>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</si>
  <si>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</si>
  <si>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</si>
  <si>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</si>
  <si>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</si>
  <si>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</si>
  <si>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</si>
  <si>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</si>
  <si>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</si>
  <si>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</si>
  <si>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</si>
  <si>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</si>
  <si>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</si>
  <si>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</si>
  <si>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</si>
  <si>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</si>
  <si>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</si>
  <si>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</si>
  <si>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</si>
  <si>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</si>
  <si>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</si>
  <si>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</si>
  <si>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</si>
  <si>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</si>
  <si>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</si>
  <si>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</si>
  <si>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</si>
  <si>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</si>
  <si>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</si>
  <si>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</si>
  <si>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</si>
  <si>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</si>
  <si>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</si>
  <si>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</si>
  <si>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</si>
  <si>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</si>
  <si>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</si>
  <si>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</si>
  <si>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</si>
  <si>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</si>
  <si>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</si>
  <si>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</si>
  <si>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</si>
  <si>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</si>
  <si>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</si>
  <si>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</si>
  <si>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</si>
  <si>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</si>
  <si>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</si>
  <si>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</si>
  <si>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</si>
  <si>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</si>
  <si>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</si>
  <si>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</si>
  <si>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</si>
  <si>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</si>
  <si>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</si>
  <si>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</si>
  <si>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</si>
  <si>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</si>
  <si>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</si>
  <si>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</si>
  <si>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</si>
  <si>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</si>
  <si>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</si>
  <si>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</si>
  <si>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</si>
  <si>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</si>
  <si>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</si>
  <si>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</si>
  <si>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</si>
  <si>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</si>
  <si>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</si>
  <si>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</si>
  <si>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</si>
  <si>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</si>
  <si>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</si>
  <si>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</si>
  <si>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</si>
  <si>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</si>
  <si>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</si>
  <si>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</si>
  <si>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</si>
  <si>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</si>
  <si>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</si>
  <si>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</si>
  <si>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</si>
  <si>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</si>
  <si>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</si>
  <si>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</si>
  <si>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</si>
  <si>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</si>
  <si>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</si>
  <si>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</si>
  <si>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</si>
  <si>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</si>
  <si>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</si>
  <si>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</si>
  <si>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</si>
  <si>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</si>
  <si>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</si>
  <si>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</si>
  <si>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</si>
  <si>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</si>
  <si>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</si>
  <si>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</si>
  <si>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</si>
  <si>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</si>
  <si>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</si>
  <si>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</si>
  <si>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</si>
  <si>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</si>
  <si>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</si>
  <si>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</si>
  <si>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</si>
  <si>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</si>
  <si>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</si>
  <si>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</si>
  <si>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</si>
  <si>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</si>
  <si>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</si>
  <si>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</si>
  <si>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</si>
  <si>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</si>
  <si>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</si>
  <si>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</si>
  <si>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</si>
  <si>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</si>
  <si>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</si>
  <si>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</si>
  <si>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</si>
  <si>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</si>
  <si>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</si>
  <si>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</si>
  <si>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</si>
  <si>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</si>
  <si>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</si>
  <si>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</si>
  <si>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</si>
  <si>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</si>
  <si>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</si>
  <si>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</si>
  <si>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</si>
  <si>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</si>
  <si>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</si>
  <si>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</si>
  <si>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</si>
  <si>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</si>
  <si>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</si>
  <si>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</si>
  <si>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</si>
  <si>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</si>
  <si>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</si>
  <si>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</si>
  <si>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</si>
  <si>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</si>
  <si>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</si>
  <si>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</si>
  <si>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</si>
  <si>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</si>
  <si>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</si>
  <si>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</si>
  <si>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</si>
  <si>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</si>
  <si>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</si>
  <si>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</si>
  <si>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</si>
  <si>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</si>
  <si>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</si>
  <si>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</si>
  <si>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</si>
  <si>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</si>
  <si>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</si>
  <si>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</si>
  <si>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</si>
  <si>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</si>
  <si>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</si>
  <si>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</si>
  <si>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</si>
  <si>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</si>
  <si>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</si>
  <si>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</si>
  <si>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</si>
  <si>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</si>
  <si>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</si>
  <si>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</si>
  <si>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</si>
  <si>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</si>
  <si>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</si>
  <si>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</si>
  <si>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</si>
  <si>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</si>
  <si>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</si>
  <si>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</si>
  <si>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</si>
  <si>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</si>
  <si>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</si>
  <si>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</si>
  <si>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</si>
  <si>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</si>
  <si>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</si>
  <si>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</si>
  <si>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</si>
  <si>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</si>
  <si>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</si>
  <si>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</si>
  <si>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</si>
  <si>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</si>
  <si>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</si>
  <si>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</si>
  <si>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</si>
  <si>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</si>
  <si>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</si>
  <si>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</si>
  <si>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</si>
  <si>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</si>
  <si>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</si>
  <si>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</si>
  <si>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</si>
  <si>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</si>
  <si>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</si>
  <si>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</si>
  <si>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</si>
  <si>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</si>
  <si>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</si>
  <si>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</si>
  <si>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</si>
  <si>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</si>
  <si>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</si>
  <si>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</si>
  <si>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</si>
  <si>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</si>
  <si>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</si>
  <si>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</si>
  <si>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</si>
  <si>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</si>
  <si>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</si>
  <si>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</si>
  <si>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</si>
  <si>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</si>
  <si>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</si>
  <si>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</si>
  <si>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</si>
  <si>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</si>
  <si>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</si>
  <si>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</si>
  <si>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</si>
  <si>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</si>
  <si>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</si>
  <si>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</si>
  <si>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</si>
  <si>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</si>
  <si>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</si>
  <si>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</si>
  <si>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</si>
  <si>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</si>
  <si>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</si>
  <si>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</si>
  <si>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</si>
  <si>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</si>
  <si>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</si>
  <si>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</si>
  <si>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</si>
  <si>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</si>
  <si>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</si>
  <si>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</si>
  <si>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</si>
  <si>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</si>
  <si>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</si>
  <si>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</si>
  <si>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</si>
  <si>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</si>
  <si>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</si>
  <si>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</si>
  <si>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</si>
  <si>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</si>
  <si>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</si>
  <si>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</si>
  <si>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</si>
  <si>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</si>
  <si>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</si>
  <si>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</si>
  <si>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</si>
  <si>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</si>
  <si>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</si>
  <si>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</si>
  <si>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</si>
  <si>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</si>
  <si>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</si>
  <si>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</si>
  <si>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</si>
  <si>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</si>
  <si>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</si>
  <si>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</si>
  <si>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</si>
  <si>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</si>
  <si>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</si>
  <si>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</si>
  <si>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</si>
  <si>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</si>
  <si>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</si>
  <si>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</si>
  <si>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</si>
  <si>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</si>
  <si>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</si>
  <si>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</si>
  <si>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</si>
  <si>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</si>
  <si>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</si>
  <si>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</si>
  <si>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</si>
  <si>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</si>
  <si>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</si>
  <si>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</si>
  <si>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</si>
  <si>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</si>
  <si>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</si>
  <si>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 xml:space="preserve">cost inflation </t>
  </si>
  <si>
    <t>cost_inflation_rate_actual</t>
  </si>
  <si>
    <t>Charge Back Percentage</t>
  </si>
  <si>
    <t>chargeback_pct_actual</t>
  </si>
  <si>
    <t>participation%</t>
  </si>
  <si>
    <t>participation_pct_actual</t>
  </si>
  <si>
    <t>actual thru</t>
  </si>
  <si>
    <t>actuals_thru</t>
  </si>
  <si>
    <t>projections from</t>
  </si>
  <si>
    <t>projections_from</t>
  </si>
  <si>
    <t>projections to</t>
  </si>
  <si>
    <t>projections_to</t>
  </si>
  <si>
    <t>C12 Participation Revenue (not c/b reimb)</t>
  </si>
  <si>
    <t>HM Fees</t>
  </si>
  <si>
    <t>BI&amp;F Fees</t>
  </si>
  <si>
    <t>DS Fees</t>
  </si>
  <si>
    <t>total participation revenue</t>
  </si>
  <si>
    <t>total_participation_revenue_actual</t>
  </si>
  <si>
    <t>revenues in nominal dollars</t>
  </si>
  <si>
    <t>Infrastructure</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</si>
  <si>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</si>
  <si>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</si>
  <si>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</si>
  <si>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</si>
  <si>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</si>
  <si>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</si>
  <si>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</si>
  <si>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</si>
  <si>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</si>
  <si>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</si>
  <si>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</si>
  <si>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</si>
  <si>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</si>
  <si>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</si>
  <si>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</si>
  <si>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</si>
  <si>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</si>
  <si>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</si>
  <si>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</si>
  <si>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</si>
  <si>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</si>
  <si>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</si>
  <si>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</si>
  <si>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</si>
  <si>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</si>
  <si>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</si>
  <si>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</si>
  <si>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</si>
  <si>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</si>
  <si>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should come from danielle</t>
  </si>
  <si>
    <t>Departmental OOP not paid via sk</t>
  </si>
  <si>
    <t>oop_notsk</t>
  </si>
  <si>
    <t>added mastercard cos not all paid by sk</t>
  </si>
  <si>
    <t>Non-recurring Items paid by LGH</t>
  </si>
  <si>
    <t>nonrecur_lgh</t>
  </si>
  <si>
    <t>C12 Accounts Payable</t>
  </si>
  <si>
    <t>accounts_payable</t>
  </si>
  <si>
    <t>WHAT IS THIS? Not double counting?</t>
  </si>
  <si>
    <t>inflation multiplier</t>
  </si>
  <si>
    <t>inflation_multiplier</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</si>
  <si>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</si>
  <si>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</si>
  <si>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</si>
  <si>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</si>
  <si>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</si>
  <si>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</si>
  <si>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</si>
  <si>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</si>
  <si>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</si>
  <si>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</si>
  <si>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</si>
  <si>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</si>
  <si>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</si>
  <si>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</si>
  <si>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</si>
  <si>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</si>
  <si>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</si>
  <si>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</si>
  <si>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</si>
  <si>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</si>
  <si>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</si>
  <si>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oop</t>
  </si>
  <si>
    <t>art</t>
  </si>
  <si>
    <t>pay</t>
  </si>
  <si>
    <t>guarantess</t>
  </si>
  <si>
    <t>cuda buy back</t>
  </si>
  <si>
    <t>Distributions</t>
  </si>
  <si>
    <t>distribution_required</t>
  </si>
  <si>
    <t>Distribution after c12 profit</t>
  </si>
  <si>
    <t>loc_draw</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</si>
  <si>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</si>
  <si>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</si>
  <si>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</si>
  <si>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</si>
  <si>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</si>
  <si>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</si>
  <si>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</si>
  <si>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</si>
  <si>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</si>
  <si>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</si>
  <si>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</si>
  <si>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</si>
  <si>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</si>
  <si>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</si>
  <si>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</si>
  <si>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</si>
  <si>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</si>
  <si>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bank_transfers</t>
  </si>
  <si>
    <t>sk</t>
  </si>
  <si>
    <t>oop_sk</t>
  </si>
  <si>
    <t>art lease payments to sk</t>
  </si>
  <si>
    <t>lease_payments</t>
  </si>
  <si>
    <t>guarantee fees to sk</t>
  </si>
  <si>
    <t>guarantee_fees</t>
  </si>
  <si>
    <t>cuda_buyback</t>
  </si>
  <si>
    <t>assets</t>
  </si>
  <si>
    <t>cash open</t>
  </si>
  <si>
    <t>c12 profit</t>
  </si>
  <si>
    <t>borrow from c12 loc</t>
  </si>
  <si>
    <t>LGH to sk (from danielle)</t>
  </si>
  <si>
    <t>c12 to sk (jp dist)</t>
  </si>
  <si>
    <t>cash close</t>
  </si>
  <si>
    <t>participation accrual</t>
  </si>
  <si>
    <t>total assets</t>
  </si>
  <si>
    <t>liabilities</t>
  </si>
  <si>
    <t>c12loc</t>
  </si>
  <si>
    <t>Bermuda PB Mgt</t>
  </si>
  <si>
    <t>mgmt_fee</t>
  </si>
  <si>
    <t>INPUT</t>
  </si>
  <si>
    <t>Bermuda PB Inc</t>
  </si>
  <si>
    <t>incentive_fee</t>
  </si>
  <si>
    <t>Austin Mgt</t>
  </si>
  <si>
    <t>Austin Inc</t>
  </si>
  <si>
    <t>Turks Mgt</t>
  </si>
  <si>
    <t>Turks Inc</t>
  </si>
  <si>
    <t>l4</t>
  </si>
  <si>
    <t>hm_service_fee</t>
  </si>
  <si>
    <t>service_fee</t>
  </si>
  <si>
    <t>Total LGH HM Service Revenue</t>
  </si>
  <si>
    <t>Paid Service Accruals</t>
  </si>
  <si>
    <t>Total LGH HM Charge Back</t>
  </si>
  <si>
    <t>total LGH HM revenue</t>
  </si>
  <si>
    <t>total_lgh_hm_revenue</t>
  </si>
  <si>
    <t>chargebacks fees</t>
  </si>
  <si>
    <t>Total C12 HM revenue</t>
  </si>
  <si>
    <t>total_c12_hm_revenue</t>
  </si>
  <si>
    <t>if paydown % were correct then this last number would be zeri</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</si>
  <si>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</si>
  <si>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</si>
  <si>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</si>
  <si>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</si>
  <si>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</si>
  <si>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</si>
  <si>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</si>
  <si>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</si>
  <si>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</si>
  <si>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</si>
  <si>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Turks Structuring Fee</t>
  </si>
  <si>
    <t>Elbow Design Fee</t>
  </si>
  <si>
    <t>Elbow Development Fee</t>
  </si>
  <si>
    <t>Elbow Structuring Fee</t>
  </si>
  <si>
    <t>Elbow Construction Fee</t>
  </si>
  <si>
    <t>construction_fee</t>
  </si>
  <si>
    <t>Elbow Acquisition Fee</t>
  </si>
  <si>
    <t>acquisition_fee</t>
  </si>
  <si>
    <t>Frith Acq Fee</t>
  </si>
  <si>
    <t>Frith Disposition fee</t>
  </si>
  <si>
    <t>disposition_fee</t>
  </si>
  <si>
    <t>PB Design Services</t>
  </si>
  <si>
    <t>design_service_fee</t>
  </si>
  <si>
    <t>Austin Design Services</t>
  </si>
  <si>
    <t>Turks Design Services</t>
  </si>
  <si>
    <t>Elbow Design Services</t>
  </si>
  <si>
    <t>Elbow AM</t>
  </si>
  <si>
    <t>am_fee</t>
  </si>
  <si>
    <t>Frith Design Services</t>
  </si>
  <si>
    <t>Frith AM</t>
  </si>
  <si>
    <t>Bermuda PB AM</t>
  </si>
  <si>
    <t>AustinAM</t>
  </si>
  <si>
    <t>sat</t>
  </si>
  <si>
    <t>Total LGH D&amp;S Charge Back chk</t>
  </si>
  <si>
    <t>total LGH D&amp;S revenue</t>
  </si>
  <si>
    <t>total_lgh_ds_revenue</t>
  </si>
  <si>
    <t>Total C12 D&amp;S revenue</t>
  </si>
  <si>
    <t>total_c12_ds_revenue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</si>
  <si>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</si>
  <si>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</si>
  <si>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</si>
  <si>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</si>
  <si>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</si>
  <si>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</si>
  <si>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</si>
  <si>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</si>
  <si>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</si>
  <si>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</si>
  <si>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</si>
  <si>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</si>
  <si>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</si>
  <si>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</si>
  <si>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</si>
  <si>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</si>
  <si>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</si>
  <si>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</si>
  <si>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</si>
  <si>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</si>
  <si>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</si>
  <si>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</si>
  <si>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</si>
  <si>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</si>
  <si>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</si>
  <si>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</si>
  <si>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</si>
  <si>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</si>
  <si>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</si>
  <si>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</si>
  <si>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</si>
  <si>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</si>
  <si>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</si>
  <si>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</si>
  <si>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</si>
  <si>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</si>
  <si>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</si>
  <si>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</si>
  <si>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</si>
  <si>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</si>
  <si>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</si>
  <si>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</si>
  <si>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</si>
  <si>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</si>
  <si>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</si>
  <si>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</si>
  <si>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</si>
  <si>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</si>
  <si>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</si>
  <si>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</si>
  <si>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</si>
  <si>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</si>
  <si>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</si>
  <si>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</si>
  <si>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</si>
  <si>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</si>
  <si>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</si>
  <si>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</si>
  <si>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</si>
  <si>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</si>
  <si>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</si>
  <si>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</si>
  <si>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</si>
  <si>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</si>
  <si>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</si>
  <si>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</si>
  <si>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</si>
  <si>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</si>
  <si>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</si>
  <si>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</si>
  <si>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</si>
  <si>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</si>
  <si>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</si>
  <si>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</si>
  <si>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</si>
  <si>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</si>
  <si>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</si>
  <si>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</si>
  <si>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</si>
  <si>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</si>
  <si>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</si>
  <si>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</si>
  <si>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</si>
  <si>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</si>
  <si>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</si>
  <si>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</si>
  <si>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</si>
  <si>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</si>
  <si>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</si>
  <si>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</si>
  <si>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</si>
  <si>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</si>
  <si>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</si>
  <si>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</si>
  <si>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</si>
  <si>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</si>
  <si>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</si>
  <si>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</si>
  <si>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</si>
  <si>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</si>
  <si>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</si>
  <si>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</si>
  <si>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</si>
  <si>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</si>
  <si>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</si>
  <si>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</si>
  <si>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</si>
  <si>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</si>
  <si>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</si>
  <si>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</si>
  <si>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</si>
  <si>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</si>
  <si>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</si>
  <si>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</si>
  <si>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</si>
  <si>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</si>
  <si>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</si>
  <si>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</si>
  <si>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</si>
  <si>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</si>
  <si>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</si>
  <si>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</si>
  <si>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</si>
  <si>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</si>
  <si>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</si>
  <si>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</si>
  <si>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</si>
  <si>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</si>
  <si>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</si>
  <si>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</si>
  <si>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</si>
  <si>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</si>
  <si>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</si>
  <si>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</si>
  <si>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</si>
  <si>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</si>
  <si>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</si>
  <si>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</si>
  <si>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LIVE (Python)</t>
  </si>
  <si>
    <t>BASELINE (frozen)</t>
  </si>
  <si>
    <t>ERROR = live - baseline</t>
  </si>
  <si>
    <t>Q2_2026</t>
  </si>
  <si>
    <t>Q3_2026</t>
  </si>
  <si>
    <t>Q4_2026</t>
  </si>
  <si>
    <t>sheet</t>
  </si>
  <si>
    <t>label</t>
  </si>
  <si>
    <t>c12_hm</t>
  </si>
  <si>
    <t>Cumm. Accrued Participation</t>
  </si>
  <si>
    <t>c12_d&amp;s</t>
  </si>
  <si>
    <t>c12_bi&amp;F</t>
  </si>
  <si>
    <t>c12_oc</t>
  </si>
  <si>
    <t>VERSUS QE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</si>
</sst>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yyyy\-mm\-dd"/>
    <numFmt numFmtId="183" formatCode="#,##0;\(#,##0\);\-"/>
    <numFmt numFmtId="184" formatCode="_-* #,##0.00_-;\-* #,##0.00_-;_-* &quot;-&quot;??_-;_-@_-"/>
  </numFmts>
  <fonts count="5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
      <b/>
      <sz val="11"/>
      <color rgb="FFFFFFFF"/>
      <name val="Calibri"/>
    </font>
    <font>
      <b/>
      <sz val="11"/>
      <name val="Calibri"/>
    </font>
  </fonts>
  <fills count="2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rgb="FF2F5597"/>
      </patternFill>
    </fill>
    <fill>
      <patternFill patternType="solid">
        <fgColor rgb="FF548235"/>
      </patternFill>
    </fill>
    <fill>
      <patternFill patternType="solid">
        <fgColor rgb="FFC00000"/>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4"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3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2" borderId="9" xfId="0" applyFont="1" applyFill="1" applyBorder="1"/>
    <xf numFmtId="0" fontId="19" fillId="12" borderId="9" xfId="0" applyFont="1" applyFill="1" applyBorder="1" applyAlignment="1">
      <alignment horizontal="left"/>
    </xf>
    <xf numFmtId="0" fontId="20" fillId="12" borderId="9" xfId="13" applyFont="1" applyFill="1" applyBorder="1" applyAlignment="1">
      <alignment horizontal="left" vertical="center" indent="1"/>
    </xf>
    <xf numFmtId="0" fontId="20" fillId="12" borderId="9" xfId="0" applyFont="1" applyFill="1" applyBorder="1" applyAlignment="1">
      <alignment horizontal="left"/>
    </xf>
    <xf numFmtId="0" fontId="19" fillId="12" borderId="9" xfId="13" applyFont="1" applyFill="1" applyBorder="1" applyAlignment="1">
      <alignment vertical="center"/>
    </xf>
    <xf numFmtId="0" fontId="19" fillId="12" borderId="9" xfId="13" applyFont="1" applyFill="1" applyBorder="1" applyAlignment="1">
      <alignment horizontal="left" vertical="center" indent="1"/>
    </xf>
    <xf numFmtId="164" fontId="35" fillId="0" borderId="9" xfId="0" applyNumberFormat="1" applyFont="1" applyBorder="1"/>
    <xf numFmtId="164" fontId="35" fillId="0" borderId="9" xfId="1" applyNumberFormat="1" applyFont="1" applyBorder="1"/>
    <xf numFmtId="0" fontId="19" fillId="9" borderId="9" xfId="13" applyFont="1" applyFill="1" applyBorder="1" applyAlignment="1">
      <alignment vertical="center"/>
    </xf>
    <xf numFmtId="14" fontId="35" fillId="16" borderId="9" xfId="13" applyNumberFormat="1" applyFont="1" applyFill="1" applyBorder="1" applyAlignment="1">
      <alignment vertical="center"/>
    </xf>
    <xf numFmtId="0" fontId="19" fillId="9" borderId="9" xfId="0" applyFont="1" applyFill="1" applyBorder="1"/>
    <xf numFmtId="164" fontId="22" fillId="0" borderId="2" xfId="1" applyNumberFormat="1" applyFont="1" applyBorder="1" applyAlignment="1">
      <alignment vertical="center"/>
    </xf>
    <xf numFmtId="0" fontId="23" fillId="12" borderId="9" xfId="0" applyFont="1" applyFill="1" applyBorder="1" applyAlignment="1">
      <alignment horizontal="left"/>
    </xf>
    <xf numFmtId="0" fontId="19" fillId="12" borderId="2" xfId="0" applyFont="1" applyFill="1" applyBorder="1"/>
    <xf numFmtId="0" fontId="49" fillId="21" borderId="0" xfId="0" applyFont="1" applyFill="1" applyBorder="1"/>
    <xf numFmtId="0" fontId="49" fillId="22" borderId="0" xfId="0" applyFont="1" applyFill="1" applyBorder="1"/>
    <xf numFmtId="0" fontId="49" fillId="23" borderId="0" xfId="0" applyFont="1" applyFill="1" applyBorder="1"/>
    <xf numFmtId="182" fontId="0" fillId="0" borderId="0" xfId="0" applyNumberFormat="1" applyBorder="1"/>
    <xf numFmtId="0" fontId="50" fillId="0" borderId="0" xfId="0" applyFont="1" applyBorder="1"/>
    <xf numFmtId="183" fontId="0" fillId="0" borderId="0" xfId="0" applyNumberFormat="1" applyBorder="1"/>
    <xf numFmtId="0" fontId="32" fillId="9" borderId="9" xfId="13" applyFont="1" applyFill="1" applyBorder="1" applyAlignment="1">
      <alignment horizontal="left" vertical="center"/>
    </xf>
    <xf numFmtId="0" fontId="35" fillId="9" borderId="17" xfId="0" applyFont="1" applyFill="1" applyAlignment="1">
      <alignment horizontal="center"/>
    </xf>
    <xf numFmtId="0" fontId="0" fillId="0" borderId="0" xfId="0"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70" activePane="bottomRight" state="frozen"/>
      <selection pane="topRight" activeCell="B1" sqref="B1"/>
      <selection pane="bottomLeft" activeCell="A3" sqref="A3"/>
      <selection pane="bottomRight" activeCell="A105" sqref="A105"/>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90</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91</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92</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93</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91</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92</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94</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95</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96</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93</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97</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98</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91</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92</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94</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91</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92</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94</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91</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92</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94</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99</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100</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101</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102</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103</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104</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105</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106</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107</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108</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109</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110</v>
      </c>
      <c r="B60" s="65">
        <f>'c12_sk'!E7</f>
        <v>0</v>
      </c>
      <c r="C60" s="65">
        <f>'c12_sk'!L7</f>
        <v>0</v>
      </c>
      <c r="D60" s="65">
        <f>'c12_sk'!M7</f>
        <v>0</v>
      </c>
      <c r="E60" s="65">
        <f>'c12_sk'!N7</f>
        <v>0</v>
      </c>
      <c r="F60" s="65">
        <f>'c12_sk'!O7</f>
        <v>0</v>
      </c>
      <c r="G60" s="65">
        <f>'c12_sk'!P7</f>
        <v>50000</v>
      </c>
      <c r="H60" s="65">
        <f>'c12_sk'!Q7</f>
        <v>50000</v>
      </c>
      <c r="I60" s="65">
        <f>'c12_sk'!R7</f>
        <v>50000</v>
      </c>
      <c r="J60" s="65">
        <f>'c12_sk'!S7</f>
        <v>50000</v>
      </c>
      <c r="K60" s="65">
        <f>'c12_sk'!T7</f>
        <v>250000</v>
      </c>
      <c r="L60" s="65">
        <f>'c12_sk'!U7</f>
        <v>250000</v>
      </c>
      <c r="M60" s="65">
        <f>'c12_sk'!V7</f>
        <v>250000</v>
      </c>
      <c r="N60" s="65">
        <f>'c12_sk'!W7</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111</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112</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113</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114</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115</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111</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116</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117</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118</v>
      </c>
      <c r="B77" s="50">
        <f>+lgh_other_assets!B46</f>
        <v>3570254</v>
      </c>
      <c r="C77" s="50">
        <f>+lgh_other_assets!C46</f>
        <v>4318174.1939285714</v>
      </c>
      <c r="D77" s="50">
        <f>+lgh_other_assets!D46</f>
        <v>4916942.3878571428</v>
      </c>
      <c r="E77" s="50">
        <f>+lgh_other_assets!E46</f>
        <v>3751761.5817857143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119</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120</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121</v>
      </c>
      <c r="B82" s="50">
        <f>lgh_oc!B73</f>
        <v>251128</v>
      </c>
      <c r="C82" s="50">
        <f>lgh_oc!C73</f>
        <v>1854835.2390672918</v>
      </c>
      <c r="D82" s="50">
        <f>lgh_oc!D73</f>
        <v>-1232355.9798612781</v>
      </c>
      <c r="E82" s="50">
        <f>lgh_oc!E73</f>
        <v>-3995946.3163174521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122</v>
      </c>
      <c r="B83" s="50">
        <f>'c12_sk'!E8</f>
        <v>0</v>
      </c>
      <c r="C83" s="50">
        <f>'c12_sk'!L8</f>
        <v>-250000</v>
      </c>
      <c r="D83" s="50">
        <f>'c12_sk'!M8</f>
        <v>-250000</v>
      </c>
      <c r="E83" s="50">
        <f>'c12_sk'!N8</f>
        <v>-250000</v>
      </c>
      <c r="F83" s="50">
        <f>'c12_sk'!O8</f>
        <v>-250000</v>
      </c>
      <c r="G83" s="50">
        <f>'c12_sk'!P8</f>
        <v>-250000</v>
      </c>
      <c r="H83" s="50">
        <f>'c12_sk'!Q8</f>
        <v>-250000</v>
      </c>
      <c r="I83" s="50">
        <f>'c12_sk'!R8</f>
        <v>-250000</v>
      </c>
      <c r="J83" s="50">
        <f>'c12_sk'!S8</f>
        <v>-250000</v>
      </c>
      <c r="K83" s="50">
        <f>'c12_sk'!T8</f>
        <v>-1000000</v>
      </c>
      <c r="L83" s="50">
        <f>'c12_sk'!U8</f>
        <v>-1000000</v>
      </c>
      <c r="M83" s="50">
        <f>'c12_sk'!V8</f>
        <v>-1000000</v>
      </c>
      <c r="N83" s="50">
        <f>'c12_sk'!W8</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123</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124</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125</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126</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127</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128</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129</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130</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131</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132</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133</v>
      </c>
      <c r="B101" s="50">
        <f>+lgh_other_assets!B26</f>
        <v>-1540999</v>
      </c>
      <c r="C101" s="50">
        <f>+lgh_other_assets!C26</f>
        <v>-596442.81892857142</v>
      </c>
      <c r="D101" s="50">
        <f>+lgh_other_assets!D26</f>
        <v>1969541.1810714286</v>
      </c>
      <c r="E101" s="50">
        <f>+lgh_other_assets!E26</f>
        <v>1124903.1810714286</v>
      </c>
      <c r="F101" s="50">
        <f>+lgh_other_assets!F26</f>
        <v>-1731053.8189285714</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134</v>
      </c>
      <c r="B102" s="50">
        <f>'c12_sk'!E9</f>
        <v>0</v>
      </c>
      <c r="C102" s="50">
        <f>'c12_sk'!L9</f>
        <v>0</v>
      </c>
      <c r="D102" s="50">
        <f>'c12_sk'!M9</f>
        <v>-1200000</v>
      </c>
      <c r="E102" s="50">
        <f>'c12_sk'!N9</f>
        <v>0</v>
      </c>
      <c r="F102" s="50">
        <f>'c12_sk'!O9</f>
        <v>0</v>
      </c>
      <c r="G102" s="50">
        <f>'c12_sk'!P9</f>
        <v>0</v>
      </c>
      <c r="H102" s="50">
        <f>'c12_sk'!Q9</f>
        <v>0</v>
      </c>
      <c r="I102" s="50">
        <f>'c12_sk'!R9</f>
        <v>0</v>
      </c>
      <c r="J102" s="50">
        <f>'c12_sk'!S9</f>
        <v>0</v>
      </c>
      <c r="K102" s="50">
        <f>'c12_sk'!T9</f>
        <v>0</v>
      </c>
      <c r="L102" s="50">
        <f>'c12_sk'!U9</f>
        <v>0</v>
      </c>
      <c r="M102" s="50">
        <f>'c12_sk'!V9</f>
        <v>0</v>
      </c>
      <c r="N102" s="50">
        <f>'c12_sk'!W9</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826" t="s">
        <v>135</v>
      </c>
      <c r="B104" s="59">
        <f>-'c12_oc'!E62</f>
        <v>1540999</v>
      </c>
      <c r="C104" s="59">
        <f>-'c12_oc'!L62</f>
        <v>2137441.8189285714</v>
      </c>
      <c r="D104" s="59">
        <f>-'c12_oc'!M62</f>
        <v>1459732.6378571428</v>
      </c>
      <c r="E104" s="59">
        <f>-'c12_oc'!N62</f>
        <v>1734829.4567857143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136</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137</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138</v>
      </c>
      <c r="E2" s="62"/>
      <c r="F2" s="43"/>
      <c r="G2" s="43"/>
      <c r="H2" s="43"/>
      <c r="I2" s="43"/>
      <c r="J2" s="43"/>
      <c r="K2" s="87" t="s">
        <v>139</v>
      </c>
      <c r="L2" s="62"/>
      <c r="M2" s="43"/>
      <c r="N2" s="43"/>
      <c r="O2" s="43"/>
      <c r="P2" s="43"/>
      <c r="Q2" s="43"/>
      <c r="R2" s="87" t="s">
        <v>139</v>
      </c>
      <c r="S2" s="62"/>
      <c r="T2" s="43"/>
      <c r="U2" s="43"/>
    </row>
    <row r="3" spans="1:21">
      <c r="A3" s="43"/>
      <c r="B3" s="43"/>
      <c r="C3" s="43"/>
      <c r="D3" s="88" t="s">
        <v>140</v>
      </c>
      <c r="E3" s="89">
        <f>(lgh_bs!G51*E4)/1000000</f>
        <v>107.16182193046978</v>
      </c>
      <c r="F3" s="43"/>
      <c r="G3" s="43"/>
      <c r="H3" s="43"/>
      <c r="I3" s="43"/>
      <c r="J3" s="43"/>
      <c r="K3" s="88" t="s">
        <v>141</v>
      </c>
      <c r="L3" s="89">
        <f>(lgh_bs!G53*$L$4)/1000000</f>
        <v>154.89122699283433</v>
      </c>
      <c r="M3" s="43"/>
      <c r="N3" s="43"/>
      <c r="O3" s="43"/>
      <c r="P3" s="43"/>
      <c r="Q3" s="43"/>
      <c r="R3" s="88" t="s">
        <v>141</v>
      </c>
      <c r="S3" s="90">
        <v>154.4599119321139</v>
      </c>
      <c r="T3" s="43"/>
      <c r="U3" s="43"/>
    </row>
    <row r="4" spans="1:21">
      <c r="A4" s="43"/>
      <c r="B4" s="43"/>
      <c r="C4" s="43"/>
      <c r="D4" s="86" t="s">
        <v>142</v>
      </c>
      <c r="E4" s="91">
        <f>1-E5</f>
        <v>1</v>
      </c>
      <c r="F4" s="43"/>
      <c r="G4" s="43"/>
      <c r="H4" s="43"/>
      <c r="I4" s="43"/>
      <c r="J4" s="43"/>
      <c r="K4" s="92" t="s">
        <v>142</v>
      </c>
      <c r="L4" s="91">
        <f>1-L5</f>
        <v>1</v>
      </c>
      <c r="M4" s="43"/>
      <c r="N4" s="43"/>
      <c r="O4" s="43"/>
      <c r="P4" s="43"/>
      <c r="Q4" s="43"/>
      <c r="R4" s="92" t="s">
        <v>142</v>
      </c>
      <c r="S4" s="93">
        <v>1</v>
      </c>
      <c r="T4" s="43"/>
      <c r="U4" s="43"/>
    </row>
    <row r="5" spans="1:21">
      <c r="A5" s="43"/>
      <c r="B5" s="43"/>
      <c r="C5" s="43"/>
      <c r="D5" s="86" t="s">
        <v>143</v>
      </c>
      <c r="E5" s="78">
        <v>0</v>
      </c>
      <c r="F5" s="43"/>
      <c r="G5" s="43"/>
      <c r="H5" s="43"/>
      <c r="I5" s="43"/>
      <c r="J5" s="43"/>
      <c r="K5" s="94" t="s">
        <v>143</v>
      </c>
      <c r="L5" s="78">
        <v>0</v>
      </c>
      <c r="M5" s="43"/>
      <c r="N5" s="43"/>
      <c r="O5" s="43"/>
      <c r="P5" s="43"/>
      <c r="Q5" s="43"/>
      <c r="R5" s="94" t="s">
        <v>143</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144</v>
      </c>
      <c r="F8" s="43"/>
      <c r="G8" s="43"/>
      <c r="H8" s="43"/>
      <c r="I8" s="43"/>
      <c r="J8" s="43"/>
      <c r="K8" s="43"/>
      <c r="L8" s="95" t="s">
        <v>145</v>
      </c>
      <c r="M8" s="43"/>
      <c r="N8" s="43"/>
      <c r="O8" s="43"/>
      <c r="P8" s="43"/>
      <c r="Q8" s="43"/>
      <c r="R8" s="43"/>
      <c r="S8" s="95" t="s">
        <v>145</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146</v>
      </c>
      <c r="D10" s="98"/>
      <c r="E10" s="98"/>
      <c r="F10" s="98"/>
      <c r="G10" s="98"/>
      <c r="H10" s="43"/>
      <c r="I10" s="43"/>
      <c r="J10" s="97" t="s">
        <v>147</v>
      </c>
      <c r="K10" s="98"/>
      <c r="L10" s="98"/>
      <c r="M10" s="98"/>
      <c r="N10" s="98"/>
      <c r="O10" s="43"/>
      <c r="P10" s="43"/>
      <c r="Q10" s="97" t="s">
        <v>147</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148</v>
      </c>
      <c r="C12" s="102">
        <f>+C11/$E3</f>
        <v>1.0391771208799732</v>
      </c>
      <c r="D12" s="102">
        <f>+D11/$E3</f>
        <v>1.1896039516970029</v>
      </c>
      <c r="E12" s="102">
        <f>+E11/$E3</f>
        <v>1.4274388459936804</v>
      </c>
      <c r="F12" s="102">
        <f>+F11/$E3</f>
        <v>1.7088950150765927</v>
      </c>
      <c r="G12" s="102">
        <f>+G11/$E3</f>
        <v>1.9784358150436687</v>
      </c>
      <c r="H12" s="43"/>
      <c r="I12" s="101" t="s">
        <v>148</v>
      </c>
      <c r="J12" s="102">
        <f>+J11/$L$3</f>
        <v>1.0829185840393885</v>
      </c>
      <c r="K12" s="102">
        <f>+K11/$L$3</f>
        <v>1.2456890991635132</v>
      </c>
      <c r="L12" s="102">
        <f>+L11/$L$3</f>
        <v>1.4653050459977808</v>
      </c>
      <c r="M12" s="102">
        <f>+M11/$L$3</f>
        <v>1.7000661234331877</v>
      </c>
      <c r="N12" s="102">
        <f>+N11/$L$3</f>
        <v>1.9333521615853115</v>
      </c>
      <c r="O12" s="43"/>
      <c r="P12" s="101" t="s">
        <v>148</v>
      </c>
      <c r="Q12" s="103">
        <v>1.091155379884605</v>
      </c>
      <c r="R12" s="103">
        <v>1.2575797189221929</v>
      </c>
      <c r="S12" s="103">
        <v>1.4818516210023509</v>
      </c>
      <c r="T12" s="103">
        <v>1.7229628406684141</v>
      </c>
      <c r="U12" s="103">
        <v>1.963956559134155</v>
      </c>
    </row>
    <row r="13" spans="1:21">
      <c r="A13" s="43"/>
      <c r="B13" s="101" t="s">
        <v>149</v>
      </c>
      <c r="C13" s="104">
        <f>+C11/E3-1</f>
        <v>3.917712087997316E-2</v>
      </c>
      <c r="D13" s="104">
        <f>+D11/C11-1</f>
        <v>0.14475571853395763</v>
      </c>
      <c r="E13" s="104">
        <f>+E11/D11-1</f>
        <v>0.19992779442048714</v>
      </c>
      <c r="F13" s="104">
        <f>+F11/E11-1</f>
        <v>0.19717564074486349</v>
      </c>
      <c r="G13" s="104">
        <f>+G11/F11-1</f>
        <v>0.15772812114791912</v>
      </c>
      <c r="H13" s="43"/>
      <c r="I13" s="101" t="s">
        <v>149</v>
      </c>
      <c r="J13" s="104">
        <f>+J11/L3-1</f>
        <v>8.2918584039388454E-2</v>
      </c>
      <c r="K13" s="104">
        <f>+K11/J11-1</f>
        <v>0.15030725072329587</v>
      </c>
      <c r="L13" s="104">
        <f>+L11/K11-1</f>
        <v>0.17630076957544283</v>
      </c>
      <c r="M13" s="104">
        <f>+M11/L11-1</f>
        <v>0.16021310926118426</v>
      </c>
      <c r="N13" s="104">
        <f>+N11/M11-1</f>
        <v>0.13722174387018304</v>
      </c>
      <c r="O13" s="43"/>
      <c r="P13" s="101" t="s">
        <v>149</v>
      </c>
      <c r="Q13" s="105">
        <v>9.1155379884604537E-2</v>
      </c>
      <c r="R13" s="105">
        <v>0.1525212101829059</v>
      </c>
      <c r="S13" s="105">
        <v>0.17833613146399149</v>
      </c>
      <c r="T13" s="105">
        <v>0.16270942127321189</v>
      </c>
      <c r="U13" s="105">
        <v>0.13987168659554411</v>
      </c>
    </row>
    <row r="14" spans="1:21">
      <c r="A14" s="43"/>
      <c r="B14" s="106" t="s">
        <v>150</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150</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150</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151</v>
      </c>
      <c r="D16" s="98"/>
      <c r="E16" s="98"/>
      <c r="F16" s="98"/>
      <c r="G16" s="98"/>
      <c r="H16" s="43"/>
      <c r="I16" s="43"/>
      <c r="J16" s="97" t="s">
        <v>152</v>
      </c>
      <c r="K16" s="107"/>
      <c r="L16" s="107"/>
      <c r="M16" s="107"/>
      <c r="N16" s="107"/>
      <c r="O16" s="43"/>
      <c r="P16" s="43"/>
      <c r="Q16" s="97" t="s">
        <v>152</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148</v>
      </c>
      <c r="C18" s="102">
        <f>+C17/$E$3</f>
        <v>1.1938183781376095</v>
      </c>
      <c r="D18" s="102">
        <f>+D17/$E$3</f>
        <v>1.3994527352009403</v>
      </c>
      <c r="E18" s="102">
        <f>+E17/$E$3</f>
        <v>1.7253574387157908</v>
      </c>
      <c r="F18" s="102">
        <f>+F17/$E$3</f>
        <v>2.0405427561828695</v>
      </c>
      <c r="G18" s="102">
        <f>+G17/$E$3</f>
        <v>2.4030273270237648</v>
      </c>
      <c r="H18" s="43"/>
      <c r="I18" s="101" t="s">
        <v>148</v>
      </c>
      <c r="J18" s="108">
        <f>+J17/$L$3</f>
        <v>1.1668484505165995</v>
      </c>
      <c r="K18" s="108">
        <f>+K17/$L$3</f>
        <v>1.3610926655696787</v>
      </c>
      <c r="L18" s="108">
        <f>+L17/$L$3</f>
        <v>1.6415577655999245</v>
      </c>
      <c r="M18" s="108">
        <f>+M17/$L$3</f>
        <v>1.9140872829500764</v>
      </c>
      <c r="N18" s="108">
        <f>+N17/$L$3</f>
        <v>2.2271066942555509</v>
      </c>
      <c r="O18" s="43"/>
      <c r="P18" s="101" t="s">
        <v>148</v>
      </c>
      <c r="Q18" s="109">
        <v>1.1842752803434471</v>
      </c>
      <c r="R18" s="109">
        <v>1.389460777947028</v>
      </c>
      <c r="S18" s="109">
        <v>1.684193181708173</v>
      </c>
      <c r="T18" s="109">
        <v>1.97603432123691</v>
      </c>
      <c r="U18" s="109">
        <v>2.3127017637973748</v>
      </c>
    </row>
    <row r="19" spans="1:21">
      <c r="A19" s="43"/>
      <c r="B19" s="101" t="s">
        <v>149</v>
      </c>
      <c r="C19" s="104">
        <f>+C17/E3-1</f>
        <v>0.19381837813760949</v>
      </c>
      <c r="D19" s="104">
        <f>+D17/C17-1</f>
        <v>0.17224928081952151</v>
      </c>
      <c r="E19" s="104">
        <f>+E17/D17-1</f>
        <v>0.23288010757151834</v>
      </c>
      <c r="F19" s="104">
        <f>+F17/E17-1</f>
        <v>0.18267827314766483</v>
      </c>
      <c r="G19" s="104">
        <f>+G17/F17-1</f>
        <v>0.17764125242784701</v>
      </c>
      <c r="H19" s="43"/>
      <c r="I19" s="101" t="s">
        <v>149</v>
      </c>
      <c r="J19" s="104">
        <f>+J17/L3-1</f>
        <v>0.16684845051659947</v>
      </c>
      <c r="K19" s="104">
        <f>+K17/J17-1</f>
        <v>0.16646910313595664</v>
      </c>
      <c r="L19" s="104">
        <f>+L17/K17-1</f>
        <v>0.2060587843318209</v>
      </c>
      <c r="M19" s="104">
        <f>+M17/L17-1</f>
        <v>0.16601884079939944</v>
      </c>
      <c r="N19" s="104">
        <f>+N17/M17-1</f>
        <v>0.1635345546118645</v>
      </c>
      <c r="O19" s="43"/>
      <c r="P19" s="101" t="s">
        <v>149</v>
      </c>
      <c r="Q19" s="105">
        <v>0.18427528034344709</v>
      </c>
      <c r="R19" s="105">
        <v>0.1732582795649307</v>
      </c>
      <c r="S19" s="105">
        <v>0.21211998815585201</v>
      </c>
      <c r="T19" s="105">
        <v>0.1732824611204877</v>
      </c>
      <c r="U19" s="105">
        <v>0.17037530114847679</v>
      </c>
    </row>
    <row r="20" spans="1:21">
      <c r="A20" s="43"/>
      <c r="B20" s="106" t="s">
        <v>150</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150</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150</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153</v>
      </c>
      <c r="D22" s="98"/>
      <c r="E22" s="98"/>
      <c r="F22" s="98"/>
      <c r="G22" s="98"/>
      <c r="H22" s="43"/>
      <c r="I22" s="72"/>
      <c r="J22" s="97" t="s">
        <v>154</v>
      </c>
      <c r="K22" s="82"/>
      <c r="L22" s="82"/>
      <c r="M22" s="82"/>
      <c r="N22" s="82"/>
      <c r="O22" s="43"/>
      <c r="P22" s="72"/>
      <c r="Q22" s="97" t="s">
        <v>154</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148</v>
      </c>
      <c r="C24" s="102">
        <f>+C23/$E3</f>
        <v>1.1938183781376095</v>
      </c>
      <c r="D24" s="102">
        <f>+D23/$E3</f>
        <v>1.3994527352009403</v>
      </c>
      <c r="E24" s="102">
        <f>+E23/$E3</f>
        <v>1.876997264422968</v>
      </c>
      <c r="F24" s="102">
        <f>+F23/$E3</f>
        <v>2.3438224075972238</v>
      </c>
      <c r="G24" s="102">
        <f>+G23/$E3</f>
        <v>3.0095866298524738</v>
      </c>
      <c r="H24" s="43"/>
      <c r="I24" s="101" t="s">
        <v>148</v>
      </c>
      <c r="J24" s="108">
        <f>+J23/$L3</f>
        <v>1.1847026586319511</v>
      </c>
      <c r="K24" s="108">
        <f>+K23/$L3</f>
        <v>1.3700220497112134</v>
      </c>
      <c r="L24" s="108">
        <f>+L23/$L3</f>
        <v>1.7486740074564884</v>
      </c>
      <c r="M24" s="108">
        <f>+M23/$L3</f>
        <v>2.1256563060702613</v>
      </c>
      <c r="N24" s="108">
        <f>+N23/$L3</f>
        <v>2.6467560266416066</v>
      </c>
      <c r="O24" s="43"/>
      <c r="P24" s="101" t="s">
        <v>148</v>
      </c>
      <c r="Q24" s="109">
        <v>1.2021793446885549</v>
      </c>
      <c r="R24" s="109">
        <v>1.398415096570365</v>
      </c>
      <c r="S24" s="109">
        <v>1.791608535792516</v>
      </c>
      <c r="T24" s="109">
        <v>2.188194131344555</v>
      </c>
      <c r="U24" s="109">
        <v>2.7335229282466189</v>
      </c>
    </row>
    <row r="25" spans="1:21">
      <c r="A25" s="43"/>
      <c r="B25" s="101" t="s">
        <v>149</v>
      </c>
      <c r="C25" s="104">
        <f>+C23/E3-1</f>
        <v>0.19381837813760949</v>
      </c>
      <c r="D25" s="104">
        <f>+D23/C23-1</f>
        <v>0.17224928081952151</v>
      </c>
      <c r="E25" s="104">
        <f>+E23/D23-1</f>
        <v>0.3412366257253121</v>
      </c>
      <c r="F25" s="104">
        <f>+F23/E23-1</f>
        <v>0.2487084835031812</v>
      </c>
      <c r="G25" s="104">
        <f>+G23/F23-1</f>
        <v>0.28405062606162224</v>
      </c>
      <c r="H25" s="43"/>
      <c r="I25" s="101" t="s">
        <v>149</v>
      </c>
      <c r="J25" s="104">
        <f>+J23/L3-1</f>
        <v>0.18470265863195112</v>
      </c>
      <c r="K25" s="104">
        <f>+K23/J23-1</f>
        <v>0.15642692259445257</v>
      </c>
      <c r="L25" s="104">
        <f>+L23/K23-1</f>
        <v>0.27638384201560173</v>
      </c>
      <c r="M25" s="104">
        <f>+M23/L23-1</f>
        <v>0.21558180484543699</v>
      </c>
      <c r="N25" s="104">
        <f>+N23/M23-1</f>
        <v>0.24514768407443621</v>
      </c>
      <c r="O25" s="43"/>
      <c r="P25" s="101" t="s">
        <v>149</v>
      </c>
      <c r="Q25" s="105">
        <v>0.2021793446885547</v>
      </c>
      <c r="R25" s="105">
        <v>0.16323334180446181</v>
      </c>
      <c r="S25" s="105">
        <v>0.28117076266300561</v>
      </c>
      <c r="T25" s="105">
        <v>0.2213572818107892</v>
      </c>
      <c r="U25" s="105">
        <v>0.2492140843860973</v>
      </c>
    </row>
    <row r="26" spans="1:21">
      <c r="A26" s="43"/>
      <c r="B26" s="106" t="s">
        <v>150</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150</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150</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155</v>
      </c>
      <c r="K27" s="75"/>
      <c r="L27" s="75"/>
      <c r="M27" s="75"/>
      <c r="N27" s="75"/>
      <c r="O27" s="43"/>
      <c r="P27" s="43"/>
      <c r="Q27" s="46" t="s">
        <v>155</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156</v>
      </c>
      <c r="D3" s="74"/>
      <c r="E3" s="43"/>
      <c r="F3" s="43"/>
      <c r="G3" s="43"/>
      <c r="H3" s="43"/>
      <c r="I3" s="75"/>
      <c r="J3" s="76"/>
      <c r="K3" s="43"/>
    </row>
    <row r="4" spans="1:11">
      <c r="A4" s="43"/>
      <c r="B4" s="43"/>
      <c r="C4" s="73" t="s">
        <v>157</v>
      </c>
      <c r="D4" s="77">
        <v>0.35</v>
      </c>
      <c r="E4" s="43"/>
      <c r="F4" s="43"/>
      <c r="G4" s="43"/>
      <c r="H4" s="43"/>
      <c r="I4" s="75"/>
      <c r="J4" s="76"/>
      <c r="K4" s="76"/>
    </row>
    <row r="5" spans="1:11">
      <c r="A5" s="43"/>
      <c r="B5" s="72"/>
      <c r="C5" s="50"/>
      <c r="D5" s="43"/>
      <c r="E5" s="43"/>
      <c r="F5" s="43"/>
      <c r="G5" s="43"/>
      <c r="H5" s="43"/>
      <c r="I5" s="75"/>
      <c r="J5" s="76"/>
      <c r="K5" s="76"/>
    </row>
    <row r="6" spans="1:11">
      <c r="A6" s="43"/>
      <c r="B6" s="72"/>
      <c r="C6" s="73" t="s">
        <v>158</v>
      </c>
      <c r="D6" s="78">
        <v>0.12</v>
      </c>
      <c r="E6" s="43"/>
      <c r="F6" s="43"/>
      <c r="G6" s="43"/>
      <c r="H6" s="43"/>
      <c r="I6" s="76"/>
      <c r="J6" s="76"/>
      <c r="K6" s="76"/>
    </row>
    <row r="7" spans="1:11">
      <c r="A7" s="43"/>
      <c r="B7" s="72"/>
      <c r="C7" s="50"/>
      <c r="D7" s="43"/>
      <c r="E7" s="43"/>
      <c r="F7" s="43"/>
      <c r="G7" s="43"/>
      <c r="H7" s="43"/>
      <c r="I7" s="43"/>
      <c r="J7" s="43"/>
      <c r="K7" s="43"/>
    </row>
    <row r="8" spans="1:11">
      <c r="A8" s="43"/>
      <c r="B8" s="72"/>
      <c r="C8" s="46" t="s">
        <v>159</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160</v>
      </c>
      <c r="D10" s="80">
        <v>25</v>
      </c>
      <c r="E10" s="43"/>
      <c r="F10" s="43"/>
      <c r="G10" s="43"/>
      <c r="H10" s="43"/>
      <c r="I10" s="43"/>
      <c r="J10" s="43"/>
      <c r="K10" s="43"/>
    </row>
    <row r="11" spans="1:11">
      <c r="A11" s="43"/>
      <c r="B11" s="43"/>
      <c r="C11" s="46" t="s">
        <v>161</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162</v>
      </c>
      <c r="D13" s="82"/>
      <c r="E13" s="43"/>
      <c r="F13" s="43"/>
      <c r="G13" s="43"/>
      <c r="H13" s="43"/>
      <c r="I13" s="43"/>
      <c r="J13" s="43"/>
      <c r="K13" s="43"/>
    </row>
    <row r="14" spans="1:11">
      <c r="A14" s="43"/>
      <c r="B14" s="43"/>
      <c r="C14" s="83" t="s">
        <v>163</v>
      </c>
      <c r="D14" s="78">
        <v>0</v>
      </c>
      <c r="E14" s="43"/>
      <c r="F14" s="43"/>
      <c r="G14" s="43"/>
      <c r="H14" s="43"/>
      <c r="I14" s="43"/>
      <c r="J14" s="43"/>
      <c r="K14" s="43"/>
    </row>
    <row r="15" spans="1:11">
      <c r="A15" s="43"/>
      <c r="B15" s="43"/>
      <c r="C15" s="84" t="s">
        <v>164</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165</v>
      </c>
      <c r="B3" s="135" t="s">
        <v>166</v>
      </c>
      <c r="C3" s="135" t="s">
        <v>167</v>
      </c>
      <c r="D3" s="135" t="s">
        <v>168</v>
      </c>
      <c r="E3" s="135" t="s">
        <v>169</v>
      </c>
      <c r="F3" s="135" t="s">
        <v>166</v>
      </c>
      <c r="G3" s="135" t="s">
        <v>167</v>
      </c>
      <c r="H3" s="135" t="s">
        <v>168</v>
      </c>
      <c r="I3" s="135" t="s">
        <v>169</v>
      </c>
      <c r="J3" s="135" t="s">
        <v>166</v>
      </c>
      <c r="K3" s="135" t="s">
        <v>166</v>
      </c>
      <c r="L3" s="135" t="s">
        <v>166</v>
      </c>
      <c r="M3" s="135" t="s">
        <v>166</v>
      </c>
      <c r="N3" s="135" t="s">
        <v>166</v>
      </c>
    </row>
    <row r="4" spans="1:14" ht="15" customHeight="1" thickTop="1">
      <c r="A4" s="83" t="s">
        <v>170</v>
      </c>
      <c r="B4" s="61"/>
      <c r="C4" s="55"/>
      <c r="D4" s="55"/>
      <c r="E4" s="116"/>
      <c r="F4" s="116"/>
      <c r="G4" s="116"/>
      <c r="H4" s="61"/>
      <c r="I4" s="61"/>
      <c r="J4" s="61"/>
      <c r="K4" s="61"/>
      <c r="L4" s="61"/>
      <c r="M4" s="61"/>
      <c r="N4" s="61"/>
    </row>
    <row r="5" spans="1:14">
      <c r="A5" s="46" t="s">
        <v>171</v>
      </c>
      <c r="B5" s="68">
        <v>251128</v>
      </c>
      <c r="C5" s="50">
        <f>+registry!C82</f>
        <v>1854835.2390672918</v>
      </c>
      <c r="D5" s="50">
        <f>+registry!D82</f>
        <v>-1232355.9798612781</v>
      </c>
      <c r="E5" s="50">
        <f>+registry!E82</f>
        <v>-3995946.3163174521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172</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173</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174</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173</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175</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176</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177</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29</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173</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31</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178</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179</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179</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35</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180</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103</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181</v>
      </c>
      <c r="B25" s="68">
        <v>3570254</v>
      </c>
      <c r="C25" s="136">
        <f t="shared" ref="C25:N25" si="8">SUM(C26:C26)</f>
        <v>4318174.1939285714</v>
      </c>
      <c r="D25" s="136">
        <f t="shared" si="8"/>
        <v>4916942.3878571428</v>
      </c>
      <c r="E25" s="136">
        <f t="shared" si="8"/>
        <v>3751761.5817857143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182</v>
      </c>
      <c r="B26" s="68">
        <v>3570254</v>
      </c>
      <c r="C26" s="50">
        <f>+registry!C77</f>
        <v>4318174.1939285714</v>
      </c>
      <c r="D26" s="50">
        <f>+registry!D77</f>
        <v>4916942.3878571428</v>
      </c>
      <c r="E26" s="50">
        <f>+registry!E77</f>
        <v>3751761.5817857143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183</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184</v>
      </c>
      <c r="B28" s="62"/>
      <c r="C28" s="62"/>
      <c r="D28" s="62"/>
      <c r="E28" s="62"/>
      <c r="F28" s="62"/>
      <c r="G28" s="62"/>
      <c r="H28" s="62"/>
      <c r="I28" s="62"/>
      <c r="J28" s="62"/>
      <c r="K28" s="62"/>
      <c r="L28" s="62"/>
      <c r="M28" s="62"/>
      <c r="N28" s="62"/>
    </row>
    <row r="29" spans="1:14">
      <c r="A29" s="46" t="s">
        <v>185</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186</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187</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188</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93</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189</v>
      </c>
      <c r="B34" s="50"/>
      <c r="C34" s="50"/>
      <c r="D34" s="50"/>
      <c r="E34" s="50"/>
      <c r="F34" s="50"/>
      <c r="G34" s="50"/>
      <c r="H34" s="50"/>
      <c r="I34" s="50"/>
      <c r="J34" s="50"/>
      <c r="K34" s="50"/>
      <c r="L34" s="50"/>
      <c r="M34" s="50"/>
      <c r="N34" s="50"/>
    </row>
    <row r="35" spans="1:14">
      <c r="A35" s="83" t="s">
        <v>190</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175</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191</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146</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192</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193</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194</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195</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196</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197</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198</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199</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200</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191</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201</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202</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203</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204</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205</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7" width="9.26953125" style="605" customWidth="1"/>
    <col min="18" max="16384" width="9.26953125" style="605"/>
  </cols>
  <sheetData>
    <row r="1" spans="1:13" ht="15.5" customHeight="1">
      <c r="A1" s="600" t="s">
        <v>206</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170</v>
      </c>
      <c r="B3" s="616" t="s">
        <v>207</v>
      </c>
      <c r="C3" s="617" t="s">
        <v>208</v>
      </c>
      <c r="D3" s="618" t="s">
        <v>209</v>
      </c>
      <c r="E3" s="619" t="s">
        <v>210</v>
      </c>
      <c r="F3" s="620" t="s">
        <v>211</v>
      </c>
      <c r="G3" s="620" t="s">
        <v>212</v>
      </c>
      <c r="H3" s="618" t="s">
        <v>209</v>
      </c>
      <c r="I3" s="619" t="s">
        <v>213</v>
      </c>
      <c r="J3" s="620" t="s">
        <v>214</v>
      </c>
      <c r="K3" s="620" t="s">
        <v>215</v>
      </c>
      <c r="L3" s="618" t="s">
        <v>209</v>
      </c>
      <c r="M3" s="621" t="s">
        <v>216</v>
      </c>
    </row>
    <row r="4" spans="1:13">
      <c r="A4" s="622" t="s">
        <v>171</v>
      </c>
      <c r="B4" s="623"/>
      <c r="C4" s="623"/>
      <c r="D4" s="623"/>
      <c r="E4" s="624"/>
      <c r="F4" s="623"/>
      <c r="G4" s="623"/>
      <c r="H4" s="623"/>
      <c r="I4" s="624"/>
      <c r="J4" s="623"/>
      <c r="K4" s="623"/>
      <c r="L4" s="623"/>
      <c r="M4" s="623"/>
    </row>
    <row r="5" spans="1:13" ht="43.5" customHeight="1">
      <c r="A5" s="622" t="s">
        <v>217</v>
      </c>
      <c r="B5" s="623"/>
      <c r="C5" s="623"/>
      <c r="D5" s="623"/>
      <c r="E5" s="624"/>
      <c r="F5" s="623"/>
      <c r="G5" s="623"/>
      <c r="H5" s="623"/>
      <c r="I5" s="625" t="s">
        <v>218</v>
      </c>
      <c r="J5" s="623"/>
      <c r="K5" s="623"/>
      <c r="L5" s="623"/>
      <c r="M5" s="626"/>
    </row>
    <row r="6" spans="1:13" outlineLevel="1">
      <c r="A6" s="627" t="s">
        <v>173</v>
      </c>
      <c r="B6" s="628"/>
      <c r="C6" s="628"/>
      <c r="D6" s="628"/>
      <c r="E6" s="624"/>
      <c r="F6" s="628"/>
      <c r="G6" s="628"/>
      <c r="H6" s="628"/>
      <c r="I6" s="625"/>
      <c r="J6" s="628"/>
      <c r="K6" s="628"/>
      <c r="L6" s="628"/>
      <c r="M6" s="626"/>
    </row>
    <row r="7" spans="1:13">
      <c r="A7" s="622" t="s">
        <v>174</v>
      </c>
      <c r="B7" s="623"/>
      <c r="C7" s="623"/>
      <c r="D7" s="623"/>
      <c r="E7" s="624"/>
      <c r="F7" s="623"/>
      <c r="G7" s="623"/>
      <c r="H7" s="623"/>
      <c r="I7" s="625" t="s">
        <v>219</v>
      </c>
      <c r="J7" s="623"/>
      <c r="K7" s="623"/>
      <c r="L7" s="623"/>
      <c r="M7" s="626"/>
    </row>
    <row r="8" spans="1:13" outlineLevel="1">
      <c r="A8" s="627" t="s">
        <v>173</v>
      </c>
      <c r="B8" s="628"/>
      <c r="C8" s="628"/>
      <c r="D8" s="628"/>
      <c r="E8" s="624"/>
      <c r="F8" s="628"/>
      <c r="G8" s="628"/>
      <c r="H8" s="628"/>
      <c r="I8" s="625"/>
      <c r="J8" s="628"/>
      <c r="K8" s="628"/>
      <c r="L8" s="628"/>
      <c r="M8" s="626"/>
    </row>
    <row r="9" spans="1:13" outlineLevel="1">
      <c r="A9" s="627" t="s">
        <v>220</v>
      </c>
      <c r="B9" s="629"/>
      <c r="C9" s="628"/>
      <c r="D9" s="629"/>
      <c r="E9" s="630" t="s">
        <v>221</v>
      </c>
      <c r="F9" s="629"/>
      <c r="G9" s="629"/>
      <c r="H9" s="629"/>
      <c r="I9" s="631"/>
      <c r="J9" s="629"/>
      <c r="K9" s="629"/>
      <c r="L9" s="629"/>
      <c r="M9" s="632"/>
    </row>
    <row r="10" spans="1:13">
      <c r="A10" s="622" t="s">
        <v>29</v>
      </c>
      <c r="B10" s="623"/>
      <c r="C10" s="623"/>
      <c r="D10" s="623"/>
      <c r="E10" s="624"/>
      <c r="F10" s="623"/>
      <c r="G10" s="623"/>
      <c r="H10" s="623"/>
      <c r="I10" s="625" t="s">
        <v>222</v>
      </c>
      <c r="J10" s="623"/>
      <c r="K10" s="623"/>
      <c r="L10" s="623"/>
      <c r="M10" s="626"/>
    </row>
    <row r="11" spans="1:13" outlineLevel="1">
      <c r="A11" s="627" t="s">
        <v>173</v>
      </c>
      <c r="B11" s="628"/>
      <c r="C11" s="628"/>
      <c r="D11" s="628"/>
      <c r="E11" s="633"/>
      <c r="F11" s="629"/>
      <c r="G11" s="629"/>
      <c r="H11" s="629"/>
      <c r="I11" s="625"/>
      <c r="J11" s="629"/>
      <c r="K11" s="629"/>
      <c r="L11" s="629"/>
      <c r="M11" s="626"/>
    </row>
    <row r="12" spans="1:13" ht="29" customHeight="1">
      <c r="A12" s="622" t="s">
        <v>31</v>
      </c>
      <c r="B12" s="623"/>
      <c r="C12" s="623"/>
      <c r="D12" s="623"/>
      <c r="E12" s="624"/>
      <c r="F12" s="623"/>
      <c r="G12" s="623"/>
      <c r="H12" s="623"/>
      <c r="I12" s="625" t="s">
        <v>223</v>
      </c>
      <c r="J12" s="623"/>
      <c r="K12" s="623"/>
      <c r="L12" s="623"/>
      <c r="M12" s="626"/>
    </row>
    <row r="13" spans="1:13" outlineLevel="1">
      <c r="A13" s="627" t="s">
        <v>178</v>
      </c>
      <c r="B13" s="628"/>
      <c r="C13" s="628"/>
      <c r="D13" s="628"/>
      <c r="E13" s="633"/>
      <c r="F13" s="628"/>
      <c r="G13" s="628"/>
      <c r="H13" s="628"/>
      <c r="I13" s="625"/>
      <c r="J13" s="628"/>
      <c r="K13" s="628"/>
      <c r="L13" s="628"/>
      <c r="M13" s="626"/>
    </row>
    <row r="14" spans="1:13">
      <c r="A14" s="622" t="s">
        <v>224</v>
      </c>
      <c r="B14" s="623"/>
      <c r="C14" s="623"/>
      <c r="D14" s="623"/>
      <c r="E14" s="624"/>
      <c r="F14" s="623"/>
      <c r="G14" s="623"/>
      <c r="H14" s="623"/>
      <c r="I14" s="634" t="s">
        <v>225</v>
      </c>
      <c r="J14" s="623"/>
      <c r="K14" s="623"/>
      <c r="L14" s="623"/>
      <c r="M14" s="635"/>
    </row>
    <row r="15" spans="1:13" outlineLevel="1">
      <c r="A15" s="627" t="s">
        <v>179</v>
      </c>
      <c r="B15" s="629"/>
      <c r="C15" s="629"/>
      <c r="D15" s="629"/>
      <c r="E15" s="636"/>
      <c r="F15" s="628"/>
      <c r="G15" s="628"/>
      <c r="H15" s="628"/>
      <c r="I15" s="634"/>
      <c r="J15" s="628"/>
      <c r="K15" s="628"/>
      <c r="L15" s="628"/>
      <c r="M15" s="635"/>
    </row>
    <row r="16" spans="1:13">
      <c r="A16" s="622" t="s">
        <v>181</v>
      </c>
      <c r="B16" s="623"/>
      <c r="C16" s="623"/>
      <c r="D16" s="623"/>
      <c r="E16" s="624"/>
      <c r="F16" s="623"/>
      <c r="G16" s="623"/>
      <c r="H16" s="623"/>
      <c r="I16" s="624"/>
      <c r="J16" s="623"/>
      <c r="K16" s="623"/>
      <c r="L16" s="623"/>
      <c r="M16" s="623"/>
    </row>
    <row r="17" spans="1:13">
      <c r="A17" s="627" t="s">
        <v>182</v>
      </c>
      <c r="B17" s="629"/>
      <c r="C17" s="629"/>
      <c r="D17" s="629"/>
      <c r="E17" s="637"/>
      <c r="F17" s="629"/>
      <c r="G17" s="629"/>
      <c r="H17" s="629"/>
      <c r="I17" s="638"/>
      <c r="J17" s="629"/>
      <c r="K17" s="629"/>
      <c r="L17" s="629"/>
      <c r="M17" s="639"/>
    </row>
    <row r="18" spans="1:13" ht="29" customHeight="1">
      <c r="A18" s="627" t="s">
        <v>226</v>
      </c>
      <c r="B18" s="629"/>
      <c r="C18" s="629"/>
      <c r="D18" s="629"/>
      <c r="E18" s="636"/>
      <c r="F18" s="629"/>
      <c r="G18" s="629"/>
      <c r="H18" s="629"/>
      <c r="I18" s="640" t="s">
        <v>227</v>
      </c>
      <c r="J18" s="629"/>
      <c r="K18" s="629"/>
      <c r="L18" s="629"/>
      <c r="M18" s="641"/>
    </row>
    <row r="19" spans="1:13" ht="29" customHeight="1">
      <c r="A19" s="627" t="s">
        <v>228</v>
      </c>
      <c r="B19" s="629"/>
      <c r="C19" s="629"/>
      <c r="D19" s="629"/>
      <c r="E19" s="630" t="s">
        <v>229</v>
      </c>
      <c r="F19" s="629"/>
      <c r="G19" s="629"/>
      <c r="H19" s="629"/>
      <c r="I19" s="638" t="s">
        <v>230</v>
      </c>
      <c r="J19" s="629"/>
      <c r="K19" s="629"/>
      <c r="L19" s="629"/>
      <c r="M19" s="639"/>
    </row>
    <row r="20" spans="1:13">
      <c r="A20" s="642" t="s">
        <v>183</v>
      </c>
      <c r="B20" s="643"/>
      <c r="C20" s="643"/>
      <c r="D20" s="643"/>
      <c r="E20" s="644"/>
      <c r="F20" s="643"/>
      <c r="G20" s="643"/>
      <c r="H20" s="643"/>
      <c r="I20" s="644"/>
      <c r="J20" s="643"/>
      <c r="K20" s="643"/>
      <c r="L20" s="643"/>
      <c r="M20" s="643"/>
    </row>
    <row r="21" spans="1:13" s="651" customFormat="1">
      <c r="A21" s="645" t="s">
        <v>184</v>
      </c>
      <c r="B21" s="646"/>
      <c r="C21" s="646"/>
      <c r="D21" s="646"/>
      <c r="E21" s="647"/>
      <c r="F21" s="648"/>
      <c r="G21" s="648"/>
      <c r="H21" s="648"/>
      <c r="I21" s="649"/>
      <c r="J21" s="648"/>
      <c r="K21" s="648"/>
      <c r="L21" s="648"/>
      <c r="M21" s="650"/>
    </row>
    <row r="22" spans="1:13" ht="29" customHeight="1">
      <c r="A22" s="622" t="s">
        <v>185</v>
      </c>
      <c r="B22" s="652"/>
      <c r="C22" s="652"/>
      <c r="D22" s="652"/>
      <c r="E22" s="629"/>
      <c r="F22" s="652"/>
      <c r="G22" s="652"/>
      <c r="H22" s="652"/>
      <c r="I22" s="638" t="s">
        <v>231</v>
      </c>
      <c r="J22" s="652"/>
      <c r="K22" s="652"/>
      <c r="L22" s="652"/>
      <c r="M22" s="639"/>
    </row>
    <row r="23" spans="1:13" ht="43.5" customHeight="1">
      <c r="A23" s="622" t="s">
        <v>187</v>
      </c>
      <c r="B23" s="652"/>
      <c r="C23" s="652"/>
      <c r="D23" s="652"/>
      <c r="E23" s="629"/>
      <c r="F23" s="652"/>
      <c r="G23" s="652"/>
      <c r="H23" s="652"/>
      <c r="I23" s="638" t="s">
        <v>232</v>
      </c>
      <c r="J23" s="652"/>
      <c r="K23" s="652"/>
      <c r="L23" s="652"/>
      <c r="M23" s="639"/>
    </row>
    <row r="24" spans="1:13">
      <c r="A24" s="642" t="s">
        <v>188</v>
      </c>
      <c r="B24" s="643"/>
      <c r="C24" s="643"/>
      <c r="D24" s="643"/>
      <c r="E24" s="653"/>
      <c r="F24" s="643"/>
      <c r="G24" s="643"/>
      <c r="H24" s="643"/>
      <c r="I24" s="654"/>
      <c r="J24" s="643"/>
      <c r="K24" s="643"/>
      <c r="L24" s="643"/>
      <c r="M24" s="655"/>
    </row>
    <row r="25" spans="1:13" s="614" customFormat="1" ht="15.5" customHeight="1">
      <c r="A25" s="656" t="s">
        <v>233</v>
      </c>
      <c r="B25" s="657"/>
      <c r="C25" s="657"/>
      <c r="D25" s="657"/>
      <c r="E25" s="657"/>
      <c r="F25" s="658"/>
      <c r="G25" s="658"/>
      <c r="H25" s="658"/>
      <c r="I25" s="659"/>
      <c r="J25" s="657"/>
      <c r="K25" s="657"/>
      <c r="L25" s="657"/>
      <c r="M25" s="657"/>
    </row>
    <row r="26" spans="1:13" s="651" customFormat="1" ht="87" customHeight="1">
      <c r="A26" s="645" t="s">
        <v>234</v>
      </c>
      <c r="B26" s="646"/>
      <c r="C26" s="646"/>
      <c r="D26" s="646"/>
      <c r="E26" s="647"/>
      <c r="F26" s="648"/>
      <c r="G26" s="648"/>
      <c r="H26" s="648"/>
      <c r="I26" s="660" t="s">
        <v>235</v>
      </c>
      <c r="J26" s="648"/>
      <c r="K26" s="648"/>
      <c r="L26" s="648"/>
      <c r="M26" s="650"/>
    </row>
    <row r="27" spans="1:13">
      <c r="A27" s="661" t="s">
        <v>190</v>
      </c>
      <c r="B27" s="629"/>
      <c r="C27" s="629"/>
      <c r="D27" s="629"/>
      <c r="E27" s="629"/>
      <c r="F27" s="629"/>
      <c r="G27" s="629"/>
      <c r="H27" s="629"/>
      <c r="I27" s="638" t="s">
        <v>236</v>
      </c>
      <c r="J27" s="629"/>
      <c r="K27" s="629"/>
      <c r="L27" s="629"/>
      <c r="M27" s="639"/>
    </row>
    <row r="28" spans="1:13" ht="43.5" customHeight="1">
      <c r="A28" s="661" t="s">
        <v>175</v>
      </c>
      <c r="B28" s="628"/>
      <c r="C28" s="628"/>
      <c r="D28" s="628"/>
      <c r="E28" s="628"/>
      <c r="F28" s="628"/>
      <c r="G28" s="628"/>
      <c r="H28" s="628"/>
      <c r="I28" s="625" t="s">
        <v>237</v>
      </c>
      <c r="J28" s="628"/>
      <c r="K28" s="628"/>
      <c r="L28" s="628"/>
      <c r="M28" s="626"/>
    </row>
    <row r="29" spans="1:13">
      <c r="A29" s="661" t="s">
        <v>191</v>
      </c>
      <c r="B29" s="629"/>
      <c r="C29" s="629"/>
      <c r="D29" s="629"/>
      <c r="E29" s="629"/>
      <c r="F29" s="629"/>
      <c r="G29" s="629"/>
      <c r="H29" s="629"/>
      <c r="I29" s="631"/>
      <c r="J29" s="629"/>
      <c r="K29" s="629"/>
      <c r="L29" s="629"/>
      <c r="M29" s="632"/>
    </row>
    <row r="30" spans="1:13">
      <c r="A30" s="661" t="s">
        <v>146</v>
      </c>
      <c r="B30" s="628"/>
      <c r="C30" s="628"/>
      <c r="D30" s="628"/>
      <c r="E30" s="662" t="s">
        <v>238</v>
      </c>
      <c r="F30" s="628"/>
      <c r="G30" s="628"/>
      <c r="H30" s="628"/>
      <c r="I30" s="663" t="s">
        <v>238</v>
      </c>
      <c r="J30" s="628"/>
      <c r="K30" s="628"/>
      <c r="L30" s="628"/>
      <c r="M30" s="664"/>
    </row>
    <row r="31" spans="1:13">
      <c r="A31" s="642" t="s">
        <v>192</v>
      </c>
      <c r="B31" s="643"/>
      <c r="C31" s="643"/>
      <c r="D31" s="643"/>
      <c r="E31" s="665"/>
      <c r="F31" s="643"/>
      <c r="G31" s="643"/>
      <c r="H31" s="643"/>
      <c r="I31" s="644"/>
      <c r="J31" s="643"/>
      <c r="K31" s="643"/>
      <c r="L31" s="643"/>
      <c r="M31" s="643"/>
    </row>
    <row r="32" spans="1:13" ht="29" customHeight="1">
      <c r="A32" s="627" t="s">
        <v>104</v>
      </c>
      <c r="B32" s="629"/>
      <c r="C32" s="629"/>
      <c r="D32" s="629"/>
      <c r="E32" s="630" t="s">
        <v>239</v>
      </c>
      <c r="F32" s="629"/>
      <c r="G32" s="629"/>
      <c r="H32" s="629"/>
      <c r="I32" s="631" t="s">
        <v>240</v>
      </c>
      <c r="J32" s="629"/>
      <c r="K32" s="629"/>
      <c r="L32" s="629"/>
      <c r="M32" s="632"/>
    </row>
    <row r="33" spans="1:13">
      <c r="A33" s="627" t="s">
        <v>241</v>
      </c>
      <c r="B33" s="629"/>
      <c r="C33" s="629"/>
      <c r="D33" s="629"/>
      <c r="E33" s="629"/>
      <c r="F33" s="629"/>
      <c r="G33" s="629"/>
      <c r="H33" s="629"/>
      <c r="I33" s="631"/>
      <c r="J33" s="629"/>
      <c r="K33" s="629"/>
      <c r="L33" s="629"/>
      <c r="M33" s="632"/>
    </row>
    <row r="34" spans="1:13">
      <c r="A34" s="627" t="s">
        <v>242</v>
      </c>
      <c r="B34" s="628"/>
      <c r="C34" s="628"/>
      <c r="D34" s="628"/>
      <c r="E34" s="628"/>
      <c r="F34" s="628"/>
      <c r="G34" s="628"/>
      <c r="H34" s="628"/>
      <c r="I34" s="634"/>
      <c r="J34" s="628"/>
      <c r="K34" s="628"/>
      <c r="L34" s="628"/>
      <c r="M34" s="635"/>
    </row>
    <row r="35" spans="1:13" ht="15.5" customHeight="1">
      <c r="A35" s="656" t="s">
        <v>243</v>
      </c>
      <c r="B35" s="657"/>
      <c r="C35" s="657"/>
      <c r="D35" s="657"/>
      <c r="E35" s="659"/>
      <c r="F35" s="657"/>
      <c r="G35" s="657"/>
      <c r="H35" s="657"/>
      <c r="I35" s="659"/>
      <c r="J35" s="657"/>
      <c r="K35" s="657"/>
      <c r="L35" s="657"/>
      <c r="M35" s="657"/>
    </row>
    <row r="36" spans="1:13" s="668" customFormat="1">
      <c r="A36" s="627" t="s">
        <v>198</v>
      </c>
      <c r="B36" s="666"/>
      <c r="C36" s="666"/>
      <c r="D36" s="666"/>
      <c r="E36" s="667"/>
      <c r="F36" s="666"/>
      <c r="G36" s="666"/>
      <c r="H36" s="666"/>
      <c r="I36" s="625" t="s">
        <v>244</v>
      </c>
      <c r="J36" s="666"/>
      <c r="K36" s="666"/>
      <c r="L36" s="666"/>
      <c r="M36" s="626"/>
    </row>
    <row r="37" spans="1:13" s="668" customFormat="1" ht="29" customHeight="1">
      <c r="A37" s="627" t="s">
        <v>199</v>
      </c>
      <c r="B37" s="666"/>
      <c r="C37" s="666"/>
      <c r="D37" s="666"/>
      <c r="E37" s="669" t="s">
        <v>245</v>
      </c>
      <c r="F37" s="666"/>
      <c r="G37" s="666"/>
      <c r="H37" s="666"/>
      <c r="I37" s="625" t="s">
        <v>246</v>
      </c>
      <c r="J37" s="666"/>
      <c r="K37" s="666"/>
      <c r="L37" s="666"/>
      <c r="M37" s="626"/>
    </row>
    <row r="38" spans="1:13">
      <c r="A38" s="627" t="s">
        <v>191</v>
      </c>
      <c r="B38" s="670"/>
      <c r="C38" s="670"/>
      <c r="D38" s="670"/>
      <c r="E38" s="671">
        <f>E29</f>
        <v>0</v>
      </c>
      <c r="F38" s="670"/>
      <c r="G38" s="670"/>
      <c r="H38" s="670"/>
      <c r="I38" s="672"/>
      <c r="J38" s="670"/>
      <c r="K38" s="670"/>
      <c r="L38" s="670"/>
      <c r="M38" s="673"/>
    </row>
    <row r="39" spans="1:13">
      <c r="A39" s="627" t="s">
        <v>201</v>
      </c>
      <c r="B39" s="628"/>
      <c r="C39" s="628"/>
      <c r="D39" s="628"/>
      <c r="E39" s="624"/>
      <c r="F39" s="628"/>
      <c r="G39" s="628"/>
      <c r="H39" s="628"/>
      <c r="I39" s="634"/>
      <c r="J39" s="628"/>
      <c r="K39" s="628"/>
      <c r="L39" s="628"/>
      <c r="M39" s="635"/>
    </row>
    <row r="40" spans="1:13">
      <c r="A40" s="627" t="s">
        <v>247</v>
      </c>
      <c r="B40" s="628"/>
      <c r="C40" s="628"/>
      <c r="D40" s="628"/>
      <c r="E40" s="624">
        <f>E27+E36</f>
        <v>0</v>
      </c>
      <c r="F40" s="628"/>
      <c r="G40" s="628"/>
      <c r="H40" s="628"/>
      <c r="I40" s="634"/>
      <c r="J40" s="628"/>
      <c r="K40" s="628"/>
      <c r="L40" s="628"/>
      <c r="M40" s="635"/>
    </row>
    <row r="41" spans="1:13">
      <c r="A41" s="627" t="s">
        <v>203</v>
      </c>
      <c r="B41" s="628"/>
      <c r="C41" s="628"/>
      <c r="D41" s="628"/>
      <c r="E41" s="624"/>
      <c r="F41" s="628"/>
      <c r="G41" s="628"/>
      <c r="H41" s="628"/>
      <c r="I41" s="634"/>
      <c r="J41" s="628"/>
      <c r="K41" s="628"/>
      <c r="L41" s="628"/>
      <c r="M41" s="635"/>
    </row>
    <row r="42" spans="1:13" ht="15.5" customHeight="1">
      <c r="A42" s="656" t="s">
        <v>204</v>
      </c>
      <c r="B42" s="657"/>
      <c r="C42" s="657"/>
      <c r="D42" s="657"/>
      <c r="E42" s="674"/>
      <c r="F42" s="658"/>
      <c r="G42" s="658"/>
      <c r="H42" s="658"/>
      <c r="I42" s="659"/>
      <c r="J42" s="658"/>
      <c r="K42" s="658"/>
      <c r="L42" s="658"/>
      <c r="M42" s="657"/>
    </row>
    <row r="43" spans="1:13">
      <c r="A43" s="627" t="s">
        <v>205</v>
      </c>
      <c r="B43" s="670"/>
      <c r="C43" s="670"/>
      <c r="D43" s="670"/>
      <c r="E43" s="671"/>
      <c r="F43" s="670"/>
      <c r="G43" s="670"/>
      <c r="H43" s="670"/>
      <c r="I43" s="672"/>
      <c r="J43" s="670"/>
      <c r="K43" s="670"/>
      <c r="L43" s="670"/>
      <c r="M43" s="673"/>
    </row>
    <row r="44" spans="1:13" ht="13.15" customHeight="1">
      <c r="A44" s="675" t="s">
        <v>248</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20" width="9.26953125" style="591" customWidth="1"/>
    <col min="21" max="16384" width="9.26953125" style="591"/>
  </cols>
  <sheetData>
    <row r="1" spans="1:18" s="692" customFormat="1" ht="14.65" customHeight="1" thickBot="1">
      <c r="A1" s="690" t="s">
        <v>249</v>
      </c>
      <c r="B1" s="690" t="s">
        <v>250</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165</v>
      </c>
      <c r="D3" s="696" t="s">
        <v>166</v>
      </c>
      <c r="E3" s="696" t="s">
        <v>167</v>
      </c>
      <c r="F3" s="696" t="s">
        <v>168</v>
      </c>
      <c r="G3" s="696" t="s">
        <v>169</v>
      </c>
      <c r="H3" s="696" t="s">
        <v>166</v>
      </c>
      <c r="I3" s="696" t="s">
        <v>167</v>
      </c>
      <c r="J3" s="696" t="s">
        <v>168</v>
      </c>
      <c r="K3" s="696" t="s">
        <v>169</v>
      </c>
      <c r="L3" s="696" t="s">
        <v>166</v>
      </c>
      <c r="M3" s="696" t="s">
        <v>166</v>
      </c>
      <c r="N3" s="696" t="s">
        <v>166</v>
      </c>
      <c r="O3" s="696" t="s">
        <v>166</v>
      </c>
      <c r="P3" s="696" t="s">
        <v>166</v>
      </c>
    </row>
    <row r="4" spans="1:18" ht="15" customHeight="1" thickTop="1">
      <c r="A4" s="693"/>
      <c r="B4" s="693"/>
      <c r="C4" s="690" t="s">
        <v>170</v>
      </c>
      <c r="D4" s="697"/>
      <c r="E4" s="698"/>
      <c r="F4" s="698"/>
      <c r="G4" s="699"/>
      <c r="H4" s="699"/>
      <c r="I4" s="699"/>
      <c r="J4" s="697"/>
      <c r="K4" s="697"/>
      <c r="L4" s="697"/>
      <c r="M4" s="697"/>
      <c r="N4" s="697"/>
      <c r="O4" s="697"/>
      <c r="P4" s="697"/>
    </row>
    <row r="5" spans="1:18">
      <c r="A5" s="700" t="s">
        <v>251</v>
      </c>
      <c r="B5" s="700" t="s">
        <v>121</v>
      </c>
      <c r="C5" s="700" t="s">
        <v>171</v>
      </c>
      <c r="D5" s="701"/>
      <c r="E5" s="702"/>
      <c r="F5" s="702"/>
      <c r="G5" s="702"/>
      <c r="H5" s="702"/>
      <c r="I5" s="702"/>
      <c r="J5" s="702"/>
      <c r="K5" s="702"/>
      <c r="L5" s="702"/>
      <c r="M5" s="702"/>
      <c r="N5" s="702"/>
      <c r="O5" s="702"/>
      <c r="P5" s="702"/>
      <c r="R5" s="703"/>
    </row>
    <row r="6" spans="1:18">
      <c r="A6" s="693"/>
      <c r="B6" s="693"/>
      <c r="C6" s="700" t="s">
        <v>172</v>
      </c>
      <c r="D6" s="701"/>
      <c r="E6" s="704"/>
      <c r="F6" s="704"/>
      <c r="G6" s="704"/>
      <c r="H6" s="704"/>
      <c r="I6" s="704"/>
      <c r="J6" s="704"/>
      <c r="K6" s="704"/>
      <c r="L6" s="704"/>
      <c r="M6" s="704"/>
      <c r="N6" s="704"/>
      <c r="O6" s="704"/>
      <c r="P6" s="704"/>
    </row>
    <row r="7" spans="1:18">
      <c r="A7" s="700" t="s">
        <v>252</v>
      </c>
      <c r="B7" s="700" t="s">
        <v>253</v>
      </c>
      <c r="C7" s="700" t="s">
        <v>173</v>
      </c>
      <c r="D7" s="701"/>
      <c r="E7" s="702"/>
      <c r="F7" s="702"/>
      <c r="G7" s="702"/>
      <c r="H7" s="702"/>
      <c r="I7" s="702"/>
      <c r="J7" s="702"/>
      <c r="K7" s="702"/>
      <c r="L7" s="702"/>
      <c r="M7" s="702"/>
      <c r="N7" s="702"/>
      <c r="O7" s="702"/>
      <c r="P7" s="702"/>
    </row>
    <row r="8" spans="1:18">
      <c r="A8" s="693"/>
      <c r="B8" s="693"/>
      <c r="C8" s="700" t="s">
        <v>174</v>
      </c>
      <c r="D8" s="701"/>
      <c r="E8" s="704"/>
      <c r="F8" s="704"/>
      <c r="G8" s="704"/>
      <c r="H8" s="704"/>
      <c r="I8" s="704"/>
      <c r="J8" s="704"/>
      <c r="K8" s="704"/>
      <c r="L8" s="704"/>
      <c r="M8" s="704"/>
      <c r="N8" s="704"/>
      <c r="O8" s="704"/>
      <c r="P8" s="704"/>
    </row>
    <row r="9" spans="1:18">
      <c r="A9" s="700" t="s">
        <v>254</v>
      </c>
      <c r="B9" s="700" t="s">
        <v>94</v>
      </c>
      <c r="C9" s="700" t="s">
        <v>173</v>
      </c>
      <c r="D9" s="701"/>
      <c r="E9" s="702"/>
      <c r="F9" s="702"/>
      <c r="G9" s="702"/>
      <c r="H9" s="702"/>
      <c r="I9" s="702"/>
      <c r="J9" s="702"/>
      <c r="K9" s="702"/>
      <c r="L9" s="702"/>
      <c r="M9" s="702"/>
      <c r="N9" s="702"/>
      <c r="O9" s="702"/>
      <c r="P9" s="702"/>
    </row>
    <row r="10" spans="1:18">
      <c r="A10" s="700" t="s">
        <v>254</v>
      </c>
      <c r="B10" s="700" t="s">
        <v>96</v>
      </c>
      <c r="C10" s="700" t="s">
        <v>175</v>
      </c>
      <c r="D10" s="701"/>
      <c r="E10" s="702"/>
      <c r="F10" s="702"/>
      <c r="G10" s="702"/>
      <c r="H10" s="702"/>
      <c r="I10" s="702"/>
      <c r="J10" s="702"/>
      <c r="K10" s="702"/>
      <c r="L10" s="702"/>
      <c r="M10" s="702"/>
      <c r="N10" s="702"/>
      <c r="O10" s="702"/>
      <c r="P10" s="702"/>
    </row>
    <row r="11" spans="1:18">
      <c r="A11" s="700" t="s">
        <v>254</v>
      </c>
      <c r="B11" s="700" t="s">
        <v>95</v>
      </c>
      <c r="C11" s="700" t="s">
        <v>176</v>
      </c>
      <c r="D11" s="701"/>
      <c r="E11" s="702"/>
      <c r="F11" s="702"/>
      <c r="G11" s="702"/>
      <c r="H11" s="702"/>
      <c r="I11" s="702"/>
      <c r="J11" s="702"/>
      <c r="K11" s="702"/>
      <c r="L11" s="702"/>
      <c r="M11" s="702"/>
      <c r="N11" s="702"/>
      <c r="O11" s="702"/>
      <c r="P11" s="702"/>
    </row>
    <row r="12" spans="1:18">
      <c r="A12" s="693"/>
      <c r="B12" s="693"/>
      <c r="C12" s="700" t="s">
        <v>177</v>
      </c>
      <c r="D12" s="702"/>
      <c r="E12" s="702"/>
      <c r="F12" s="702"/>
      <c r="G12" s="702"/>
      <c r="H12" s="702"/>
      <c r="I12" s="702"/>
      <c r="J12" s="702"/>
      <c r="K12" s="702"/>
      <c r="L12" s="702"/>
      <c r="M12" s="702"/>
      <c r="N12" s="702"/>
      <c r="O12" s="702"/>
      <c r="P12" s="702"/>
    </row>
    <row r="13" spans="1:18">
      <c r="A13" s="693"/>
      <c r="B13" s="693"/>
      <c r="C13" s="700" t="s">
        <v>29</v>
      </c>
      <c r="D13" s="701"/>
      <c r="E13" s="704"/>
      <c r="F13" s="704"/>
      <c r="G13" s="704"/>
      <c r="H13" s="704"/>
      <c r="I13" s="704"/>
      <c r="J13" s="704"/>
      <c r="K13" s="704"/>
      <c r="L13" s="704"/>
      <c r="M13" s="704"/>
      <c r="N13" s="704"/>
      <c r="O13" s="704"/>
      <c r="P13" s="704"/>
    </row>
    <row r="14" spans="1:18">
      <c r="A14" s="700" t="s">
        <v>255</v>
      </c>
      <c r="B14" s="700" t="s">
        <v>94</v>
      </c>
      <c r="C14" s="700" t="s">
        <v>173</v>
      </c>
      <c r="D14" s="701"/>
      <c r="E14" s="702"/>
      <c r="F14" s="702"/>
      <c r="G14" s="702"/>
      <c r="H14" s="702"/>
      <c r="I14" s="702"/>
      <c r="J14" s="702"/>
      <c r="K14" s="702"/>
      <c r="L14" s="702"/>
      <c r="M14" s="702"/>
      <c r="N14" s="702"/>
      <c r="O14" s="702"/>
      <c r="P14" s="702"/>
    </row>
    <row r="15" spans="1:18">
      <c r="A15" s="693"/>
      <c r="B15" s="693"/>
      <c r="C15" s="700" t="s">
        <v>31</v>
      </c>
      <c r="D15" s="701"/>
      <c r="E15" s="704"/>
      <c r="F15" s="704"/>
      <c r="G15" s="704"/>
      <c r="H15" s="704"/>
      <c r="I15" s="704"/>
      <c r="J15" s="704"/>
      <c r="K15" s="704"/>
      <c r="L15" s="704"/>
      <c r="M15" s="704"/>
      <c r="N15" s="704"/>
      <c r="O15" s="704"/>
      <c r="P15" s="704"/>
    </row>
    <row r="16" spans="1:18">
      <c r="A16" s="700" t="s">
        <v>256</v>
      </c>
      <c r="B16" s="700" t="s">
        <v>94</v>
      </c>
      <c r="C16" s="700" t="s">
        <v>178</v>
      </c>
      <c r="D16" s="701"/>
      <c r="E16" s="702"/>
      <c r="F16" s="702"/>
      <c r="G16" s="702"/>
      <c r="H16" s="702"/>
      <c r="I16" s="702"/>
      <c r="J16" s="702"/>
      <c r="K16" s="702"/>
      <c r="L16" s="702"/>
      <c r="M16" s="702"/>
      <c r="N16" s="702"/>
      <c r="O16" s="702"/>
      <c r="P16" s="702"/>
    </row>
    <row r="17" spans="1:16">
      <c r="A17" s="693"/>
      <c r="B17" s="693"/>
      <c r="C17" s="700" t="s">
        <v>179</v>
      </c>
      <c r="D17" s="701"/>
      <c r="E17" s="704"/>
      <c r="F17" s="704"/>
      <c r="G17" s="704"/>
      <c r="H17" s="704"/>
      <c r="I17" s="704"/>
      <c r="J17" s="704"/>
      <c r="K17" s="704"/>
      <c r="L17" s="704"/>
      <c r="M17" s="704"/>
      <c r="N17" s="704"/>
      <c r="O17" s="704"/>
      <c r="P17" s="704"/>
    </row>
    <row r="18" spans="1:16">
      <c r="A18" s="700" t="s">
        <v>179</v>
      </c>
      <c r="B18" s="700" t="s">
        <v>94</v>
      </c>
      <c r="C18" s="700" t="s">
        <v>179</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257</v>
      </c>
      <c r="B20" s="700" t="s">
        <v>119</v>
      </c>
      <c r="C20" s="700" t="s">
        <v>35</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257</v>
      </c>
      <c r="B22" s="700" t="s">
        <v>120</v>
      </c>
      <c r="C22" s="700" t="s">
        <v>180</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258</v>
      </c>
      <c r="B24" s="700" t="s">
        <v>103</v>
      </c>
      <c r="C24" s="700" t="s">
        <v>103</v>
      </c>
      <c r="D24" s="701"/>
      <c r="E24" s="702"/>
      <c r="F24" s="702"/>
      <c r="G24" s="702"/>
      <c r="H24" s="702"/>
      <c r="I24" s="702"/>
      <c r="J24" s="702"/>
      <c r="K24" s="702"/>
      <c r="L24" s="702"/>
      <c r="M24" s="702"/>
      <c r="N24" s="702"/>
      <c r="O24" s="702"/>
      <c r="P24" s="702"/>
    </row>
    <row r="25" spans="1:16">
      <c r="A25" s="693"/>
      <c r="B25" s="693"/>
      <c r="C25" s="700" t="s">
        <v>181</v>
      </c>
      <c r="D25" s="701"/>
      <c r="E25" s="704"/>
      <c r="F25" s="704"/>
      <c r="G25" s="704"/>
      <c r="H25" s="704"/>
      <c r="I25" s="704"/>
      <c r="J25" s="704"/>
      <c r="K25" s="704"/>
      <c r="L25" s="704"/>
      <c r="M25" s="704"/>
      <c r="N25" s="704"/>
      <c r="O25" s="704"/>
      <c r="P25" s="704"/>
    </row>
    <row r="26" spans="1:16">
      <c r="A26" s="700" t="s">
        <v>257</v>
      </c>
      <c r="B26" s="700" t="s">
        <v>118</v>
      </c>
      <c r="C26" s="700" t="s">
        <v>182</v>
      </c>
      <c r="D26" s="701"/>
      <c r="E26" s="702"/>
      <c r="F26" s="702"/>
      <c r="G26" s="702"/>
      <c r="H26" s="702"/>
      <c r="I26" s="702"/>
      <c r="J26" s="702"/>
      <c r="K26" s="702"/>
      <c r="L26" s="702"/>
      <c r="M26" s="702"/>
      <c r="N26" s="702"/>
      <c r="O26" s="702"/>
      <c r="P26" s="702"/>
    </row>
    <row r="27" spans="1:16" s="706" customFormat="1">
      <c r="A27" s="693"/>
      <c r="B27" s="693"/>
      <c r="C27" s="700" t="s">
        <v>183</v>
      </c>
      <c r="D27" s="701"/>
      <c r="E27" s="704"/>
      <c r="F27" s="704"/>
      <c r="G27" s="704"/>
      <c r="H27" s="704"/>
      <c r="I27" s="704"/>
      <c r="J27" s="704"/>
      <c r="K27" s="704"/>
      <c r="L27" s="704"/>
      <c r="M27" s="704"/>
      <c r="N27" s="704"/>
      <c r="O27" s="704"/>
      <c r="P27" s="704"/>
    </row>
    <row r="28" spans="1:16">
      <c r="A28" s="693"/>
      <c r="B28" s="693"/>
      <c r="C28" s="690" t="s">
        <v>184</v>
      </c>
      <c r="D28" s="707"/>
      <c r="E28" s="707"/>
      <c r="F28" s="707"/>
      <c r="G28" s="707"/>
      <c r="H28" s="707"/>
      <c r="I28" s="707"/>
      <c r="J28" s="707"/>
      <c r="K28" s="707"/>
      <c r="L28" s="707"/>
      <c r="M28" s="707"/>
      <c r="N28" s="707"/>
      <c r="O28" s="707"/>
      <c r="P28" s="707"/>
    </row>
    <row r="29" spans="1:16">
      <c r="A29" s="700" t="s">
        <v>259</v>
      </c>
      <c r="B29" s="700" t="s">
        <v>113</v>
      </c>
      <c r="C29" s="700" t="s">
        <v>185</v>
      </c>
      <c r="D29" s="701"/>
      <c r="E29" s="702"/>
      <c r="F29" s="702"/>
      <c r="G29" s="702"/>
      <c r="H29" s="702"/>
      <c r="I29" s="702"/>
      <c r="J29" s="702"/>
      <c r="K29" s="702"/>
      <c r="L29" s="702"/>
      <c r="M29" s="702"/>
      <c r="N29" s="702"/>
      <c r="O29" s="702"/>
      <c r="P29" s="702"/>
    </row>
    <row r="30" spans="1:16">
      <c r="A30" s="700" t="s">
        <v>257</v>
      </c>
      <c r="B30" s="700" t="s">
        <v>125</v>
      </c>
      <c r="C30" s="700" t="s">
        <v>186</v>
      </c>
      <c r="D30" s="701"/>
      <c r="E30" s="702"/>
      <c r="F30" s="702"/>
      <c r="G30" s="702"/>
      <c r="H30" s="702"/>
      <c r="I30" s="702"/>
      <c r="J30" s="702"/>
      <c r="K30" s="702"/>
      <c r="L30" s="702"/>
      <c r="M30" s="702"/>
      <c r="N30" s="702"/>
      <c r="O30" s="702"/>
      <c r="P30" s="702"/>
    </row>
    <row r="31" spans="1:16">
      <c r="A31" s="700" t="s">
        <v>260</v>
      </c>
      <c r="B31" s="700" t="s">
        <v>111</v>
      </c>
      <c r="C31" s="700" t="s">
        <v>187</v>
      </c>
      <c r="D31" s="701"/>
      <c r="E31" s="702"/>
      <c r="F31" s="702"/>
      <c r="G31" s="702"/>
      <c r="H31" s="702"/>
      <c r="I31" s="702"/>
      <c r="J31" s="702"/>
      <c r="K31" s="702"/>
      <c r="L31" s="702"/>
      <c r="M31" s="702"/>
      <c r="N31" s="702"/>
      <c r="O31" s="702"/>
      <c r="P31" s="702"/>
    </row>
    <row r="32" spans="1:16">
      <c r="A32" s="693"/>
      <c r="B32" s="693"/>
      <c r="C32" s="700" t="s">
        <v>188</v>
      </c>
      <c r="D32" s="701"/>
      <c r="E32" s="704"/>
      <c r="F32" s="704"/>
      <c r="G32" s="704"/>
      <c r="H32" s="704"/>
      <c r="I32" s="704"/>
      <c r="J32" s="704"/>
      <c r="K32" s="704"/>
      <c r="L32" s="704"/>
      <c r="M32" s="704"/>
      <c r="N32" s="704"/>
      <c r="O32" s="704"/>
      <c r="P32" s="704"/>
    </row>
    <row r="33" spans="1:16">
      <c r="A33" s="693"/>
      <c r="B33" s="693"/>
      <c r="C33" s="700" t="s">
        <v>93</v>
      </c>
      <c r="D33" s="701"/>
      <c r="E33" s="702"/>
      <c r="F33" s="702"/>
      <c r="G33" s="702"/>
      <c r="H33" s="702"/>
      <c r="I33" s="702"/>
      <c r="J33" s="702"/>
      <c r="K33" s="702"/>
      <c r="L33" s="702"/>
      <c r="M33" s="702"/>
      <c r="N33" s="702"/>
      <c r="O33" s="702"/>
      <c r="P33" s="702"/>
    </row>
    <row r="34" spans="1:16">
      <c r="A34" s="693"/>
      <c r="B34" s="693"/>
      <c r="C34" s="690" t="s">
        <v>189</v>
      </c>
      <c r="D34" s="702"/>
      <c r="E34" s="702"/>
      <c r="F34" s="702"/>
      <c r="G34" s="702"/>
      <c r="H34" s="702"/>
      <c r="I34" s="702"/>
      <c r="J34" s="702"/>
      <c r="K34" s="702"/>
      <c r="L34" s="702"/>
      <c r="M34" s="702"/>
      <c r="N34" s="702"/>
      <c r="O34" s="702"/>
      <c r="P34" s="702"/>
    </row>
    <row r="35" spans="1:16">
      <c r="A35" s="700" t="s">
        <v>261</v>
      </c>
      <c r="B35" s="700" t="s">
        <v>123</v>
      </c>
      <c r="C35" s="690" t="s">
        <v>190</v>
      </c>
      <c r="D35" s="701"/>
      <c r="E35" s="702"/>
      <c r="F35" s="702"/>
      <c r="G35" s="702"/>
      <c r="H35" s="702"/>
      <c r="I35" s="702"/>
      <c r="J35" s="702"/>
      <c r="K35" s="702"/>
      <c r="L35" s="702"/>
      <c r="M35" s="702"/>
      <c r="N35" s="702"/>
      <c r="O35" s="702"/>
      <c r="P35" s="702"/>
    </row>
    <row r="36" spans="1:16">
      <c r="A36" s="700" t="s">
        <v>262</v>
      </c>
      <c r="B36" s="700" t="s">
        <v>111</v>
      </c>
      <c r="C36" s="690" t="s">
        <v>175</v>
      </c>
      <c r="D36" s="701"/>
      <c r="E36" s="702"/>
      <c r="F36" s="702"/>
      <c r="G36" s="702"/>
      <c r="H36" s="702"/>
      <c r="I36" s="702"/>
      <c r="J36" s="702"/>
      <c r="K36" s="702"/>
      <c r="L36" s="702"/>
      <c r="M36" s="702"/>
      <c r="N36" s="702"/>
      <c r="O36" s="702"/>
      <c r="P36" s="702"/>
    </row>
    <row r="37" spans="1:16" outlineLevel="1">
      <c r="A37" s="700" t="s">
        <v>263</v>
      </c>
      <c r="B37" s="700" t="s">
        <v>126</v>
      </c>
      <c r="C37" s="690" t="s">
        <v>191</v>
      </c>
      <c r="D37" s="701"/>
      <c r="E37" s="702"/>
      <c r="F37" s="702"/>
      <c r="G37" s="702"/>
      <c r="H37" s="702"/>
      <c r="I37" s="702"/>
      <c r="J37" s="702"/>
      <c r="K37" s="702"/>
      <c r="L37" s="702"/>
      <c r="M37" s="702"/>
      <c r="N37" s="702"/>
      <c r="O37" s="702"/>
      <c r="P37" s="702"/>
    </row>
    <row r="38" spans="1:16" outlineLevel="1">
      <c r="A38" s="693"/>
      <c r="B38" s="693"/>
      <c r="C38" s="690" t="s">
        <v>146</v>
      </c>
      <c r="D38" s="701"/>
      <c r="E38" s="702"/>
      <c r="F38" s="702"/>
      <c r="G38" s="702"/>
      <c r="H38" s="702"/>
      <c r="I38" s="702"/>
      <c r="J38" s="702"/>
      <c r="K38" s="702"/>
      <c r="L38" s="702"/>
      <c r="M38" s="702"/>
      <c r="N38" s="702"/>
      <c r="O38" s="702"/>
      <c r="P38" s="702"/>
    </row>
    <row r="39" spans="1:16">
      <c r="A39" s="693"/>
      <c r="B39" s="693"/>
      <c r="C39" s="700" t="s">
        <v>192</v>
      </c>
      <c r="D39" s="701"/>
      <c r="E39" s="704"/>
      <c r="F39" s="704"/>
      <c r="G39" s="704"/>
      <c r="H39" s="704"/>
      <c r="I39" s="704"/>
      <c r="J39" s="704"/>
      <c r="K39" s="704"/>
      <c r="L39" s="704"/>
      <c r="M39" s="704"/>
      <c r="N39" s="704"/>
      <c r="O39" s="704"/>
      <c r="P39" s="704"/>
    </row>
    <row r="40" spans="1:16">
      <c r="A40" s="700" t="s">
        <v>254</v>
      </c>
      <c r="B40" s="700" t="s">
        <v>97</v>
      </c>
      <c r="C40" s="700" t="s">
        <v>193</v>
      </c>
      <c r="D40" s="701"/>
      <c r="E40" s="702"/>
      <c r="F40" s="702"/>
      <c r="G40" s="702"/>
      <c r="H40" s="702"/>
      <c r="I40" s="702"/>
      <c r="J40" s="702"/>
      <c r="K40" s="702"/>
      <c r="L40" s="702"/>
      <c r="M40" s="702"/>
      <c r="N40" s="702"/>
      <c r="O40" s="702"/>
      <c r="P40" s="702"/>
    </row>
    <row r="41" spans="1:16">
      <c r="A41" s="700" t="s">
        <v>254</v>
      </c>
      <c r="B41" s="700" t="s">
        <v>98</v>
      </c>
      <c r="C41" s="700" t="s">
        <v>194</v>
      </c>
      <c r="D41" s="701"/>
      <c r="E41" s="702"/>
      <c r="F41" s="702"/>
      <c r="G41" s="702"/>
      <c r="H41" s="702"/>
      <c r="I41" s="702"/>
      <c r="J41" s="702"/>
      <c r="K41" s="702"/>
      <c r="L41" s="702"/>
      <c r="M41" s="702"/>
      <c r="N41" s="702"/>
      <c r="O41" s="702"/>
      <c r="P41" s="702"/>
    </row>
    <row r="42" spans="1:16">
      <c r="A42" s="700" t="s">
        <v>258</v>
      </c>
      <c r="B42" s="700" t="s">
        <v>104</v>
      </c>
      <c r="C42" s="700" t="s">
        <v>195</v>
      </c>
      <c r="D42" s="701"/>
      <c r="E42" s="702"/>
      <c r="F42" s="702"/>
      <c r="G42" s="702"/>
      <c r="H42" s="702"/>
      <c r="I42" s="702"/>
      <c r="J42" s="702"/>
      <c r="K42" s="702"/>
      <c r="L42" s="702"/>
      <c r="M42" s="702"/>
      <c r="N42" s="702"/>
      <c r="O42" s="702"/>
      <c r="P42" s="702"/>
    </row>
    <row r="43" spans="1:16">
      <c r="A43" s="700" t="s">
        <v>258</v>
      </c>
      <c r="B43" s="700" t="s">
        <v>105</v>
      </c>
      <c r="C43" s="700" t="s">
        <v>196</v>
      </c>
      <c r="D43" s="701"/>
      <c r="E43" s="702"/>
      <c r="F43" s="702"/>
      <c r="G43" s="702"/>
      <c r="H43" s="702"/>
      <c r="I43" s="702"/>
      <c r="J43" s="702"/>
      <c r="K43" s="702"/>
      <c r="L43" s="702"/>
      <c r="M43" s="702"/>
      <c r="N43" s="702"/>
      <c r="O43" s="702"/>
      <c r="P43" s="702"/>
    </row>
    <row r="44" spans="1:16">
      <c r="A44" s="693"/>
      <c r="B44" s="693"/>
      <c r="C44" s="700" t="s">
        <v>197</v>
      </c>
      <c r="D44" s="701"/>
      <c r="E44" s="704"/>
      <c r="F44" s="704"/>
      <c r="G44" s="704"/>
      <c r="H44" s="704"/>
      <c r="I44" s="704"/>
      <c r="J44" s="704"/>
      <c r="K44" s="704"/>
      <c r="L44" s="704"/>
      <c r="M44" s="704"/>
      <c r="N44" s="704"/>
      <c r="O44" s="704"/>
      <c r="P44" s="704"/>
    </row>
    <row r="45" spans="1:16">
      <c r="A45" s="693"/>
      <c r="B45" s="693"/>
      <c r="C45" s="700" t="s">
        <v>198</v>
      </c>
      <c r="D45" s="701"/>
      <c r="E45" s="702"/>
      <c r="F45" s="702"/>
      <c r="G45" s="702"/>
      <c r="H45" s="702"/>
      <c r="I45" s="702"/>
      <c r="J45" s="702"/>
      <c r="K45" s="702"/>
      <c r="L45" s="702"/>
      <c r="M45" s="702"/>
      <c r="N45" s="702"/>
      <c r="O45" s="702"/>
      <c r="P45" s="702"/>
    </row>
    <row r="46" spans="1:16">
      <c r="A46" s="693"/>
      <c r="B46" s="693"/>
      <c r="C46" s="700" t="s">
        <v>199</v>
      </c>
      <c r="D46" s="701"/>
      <c r="E46" s="708"/>
      <c r="F46" s="708"/>
      <c r="G46" s="708"/>
      <c r="H46" s="708"/>
      <c r="I46" s="708"/>
      <c r="J46" s="708"/>
      <c r="K46" s="708"/>
      <c r="L46" s="708"/>
      <c r="M46" s="708"/>
      <c r="N46" s="708"/>
      <c r="O46" s="708"/>
      <c r="P46" s="708"/>
    </row>
    <row r="47" spans="1:16">
      <c r="A47" s="693"/>
      <c r="B47" s="693"/>
      <c r="C47" s="700" t="s">
        <v>200</v>
      </c>
      <c r="D47" s="701"/>
      <c r="E47" s="702"/>
      <c r="F47" s="702"/>
      <c r="G47" s="702"/>
      <c r="H47" s="702"/>
      <c r="I47" s="702"/>
      <c r="J47" s="702"/>
      <c r="K47" s="702"/>
      <c r="L47" s="702"/>
      <c r="M47" s="702"/>
      <c r="N47" s="702"/>
      <c r="O47" s="702"/>
      <c r="P47" s="702"/>
    </row>
    <row r="48" spans="1:16">
      <c r="A48" s="693"/>
      <c r="B48" s="693"/>
      <c r="C48" s="700" t="s">
        <v>191</v>
      </c>
      <c r="D48" s="701"/>
      <c r="E48" s="702"/>
      <c r="F48" s="702"/>
      <c r="G48" s="702"/>
      <c r="H48" s="702"/>
      <c r="I48" s="702"/>
      <c r="J48" s="702"/>
      <c r="K48" s="702"/>
      <c r="L48" s="702"/>
      <c r="M48" s="702"/>
      <c r="N48" s="702"/>
      <c r="O48" s="702"/>
      <c r="P48" s="702"/>
    </row>
    <row r="49" spans="1:16">
      <c r="A49" s="693"/>
      <c r="B49" s="693"/>
      <c r="C49" s="700" t="s">
        <v>201</v>
      </c>
      <c r="D49" s="709"/>
      <c r="E49" s="710"/>
      <c r="F49" s="710"/>
      <c r="G49" s="710"/>
      <c r="H49" s="710"/>
      <c r="I49" s="710"/>
      <c r="J49" s="710"/>
      <c r="K49" s="710"/>
      <c r="L49" s="710"/>
      <c r="M49" s="710"/>
      <c r="N49" s="710"/>
      <c r="O49" s="710"/>
      <c r="P49" s="710"/>
    </row>
    <row r="50" spans="1:16">
      <c r="A50" s="693"/>
      <c r="B50" s="693"/>
      <c r="C50" s="700" t="s">
        <v>202</v>
      </c>
      <c r="D50" s="709"/>
      <c r="E50" s="710"/>
      <c r="F50" s="710"/>
      <c r="G50" s="710"/>
      <c r="H50" s="710"/>
      <c r="I50" s="710"/>
      <c r="J50" s="710"/>
      <c r="K50" s="710"/>
      <c r="L50" s="710"/>
      <c r="M50" s="710"/>
      <c r="N50" s="710"/>
      <c r="O50" s="710"/>
      <c r="P50" s="710"/>
    </row>
    <row r="51" spans="1:16">
      <c r="A51" s="693"/>
      <c r="B51" s="693"/>
      <c r="C51" s="700" t="s">
        <v>203</v>
      </c>
      <c r="D51" s="701"/>
      <c r="E51" s="702"/>
      <c r="F51" s="702"/>
      <c r="G51" s="702"/>
      <c r="H51" s="702"/>
      <c r="I51" s="702"/>
      <c r="J51" s="702"/>
      <c r="K51" s="702"/>
      <c r="L51" s="702"/>
      <c r="M51" s="702"/>
      <c r="N51" s="702"/>
      <c r="O51" s="702"/>
      <c r="P51" s="702"/>
    </row>
    <row r="52" spans="1:16">
      <c r="A52" s="693"/>
      <c r="B52" s="693"/>
      <c r="C52" s="700" t="s">
        <v>204</v>
      </c>
      <c r="D52" s="701"/>
      <c r="E52" s="704"/>
      <c r="F52" s="704"/>
      <c r="G52" s="704"/>
      <c r="H52" s="704"/>
      <c r="I52" s="704"/>
      <c r="J52" s="704"/>
      <c r="K52" s="704"/>
      <c r="L52" s="704"/>
      <c r="M52" s="704"/>
      <c r="N52" s="704"/>
      <c r="O52" s="704"/>
      <c r="P52" s="704"/>
    </row>
    <row r="53" spans="1:16">
      <c r="A53" s="693"/>
      <c r="B53" s="693"/>
      <c r="C53" s="700" t="s">
        <v>205</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B55" sqref="B55"/>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165</v>
      </c>
      <c r="B3" s="150" t="s">
        <v>166</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264</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265</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266</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267</v>
      </c>
      <c r="B8" s="824">
        <f>registry!B60</f>
        <v>0</v>
      </c>
      <c r="C8" s="824">
        <f>registry!C60</f>
        <v>0</v>
      </c>
      <c r="D8" s="824">
        <f>registry!D60</f>
        <v>0</v>
      </c>
      <c r="E8" s="824">
        <f>registry!E60</f>
        <v>0</v>
      </c>
      <c r="F8" s="824">
        <f>registry!F60</f>
        <v>0</v>
      </c>
      <c r="G8" s="824">
        <f>registry!G60</f>
        <v>50000</v>
      </c>
      <c r="H8" s="824">
        <f>registry!H60</f>
        <v>50000</v>
      </c>
      <c r="I8" s="824">
        <f>registry!I60</f>
        <v>50000</v>
      </c>
      <c r="J8" s="824">
        <f>registry!J60</f>
        <v>50000</v>
      </c>
      <c r="K8" s="824">
        <f>registry!K60</f>
        <v>250000</v>
      </c>
      <c r="L8" s="824">
        <f>registry!L60</f>
        <v>250000</v>
      </c>
      <c r="M8" s="824">
        <f>registry!M60</f>
        <v>250000</v>
      </c>
      <c r="N8" s="824">
        <f>registry!N60</f>
        <v>250000</v>
      </c>
      <c r="O8" s="43"/>
      <c r="P8" s="85"/>
      <c r="Q8" s="43"/>
      <c r="R8" s="43"/>
      <c r="S8" s="43"/>
      <c r="T8" s="43"/>
      <c r="U8" s="43"/>
      <c r="V8" s="43"/>
      <c r="W8" s="43"/>
      <c r="X8" s="43"/>
      <c r="Y8" s="43"/>
      <c r="Z8" s="43"/>
      <c r="AA8" s="43"/>
    </row>
    <row r="9" spans="1:27">
      <c r="A9" s="146" t="s">
        <v>268</v>
      </c>
      <c r="B9" s="824">
        <f t="shared" ref="B9:N9" si="0">B8</f>
        <v>0</v>
      </c>
      <c r="C9" s="824">
        <f t="shared" si="0"/>
        <v>0</v>
      </c>
      <c r="D9" s="824">
        <f t="shared" si="0"/>
        <v>0</v>
      </c>
      <c r="E9" s="824">
        <f t="shared" si="0"/>
        <v>0</v>
      </c>
      <c r="F9" s="824">
        <f t="shared" si="0"/>
        <v>0</v>
      </c>
      <c r="G9" s="824">
        <f t="shared" si="0"/>
        <v>50000</v>
      </c>
      <c r="H9" s="824">
        <f t="shared" si="0"/>
        <v>50000</v>
      </c>
      <c r="I9" s="824">
        <f t="shared" si="0"/>
        <v>50000</v>
      </c>
      <c r="J9" s="824">
        <f t="shared" si="0"/>
        <v>50000</v>
      </c>
      <c r="K9" s="824">
        <f t="shared" si="0"/>
        <v>250000</v>
      </c>
      <c r="L9" s="824">
        <f t="shared" si="0"/>
        <v>250000</v>
      </c>
      <c r="M9" s="824">
        <f t="shared" si="0"/>
        <v>250000</v>
      </c>
      <c r="N9" s="824">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269</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270</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271</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127</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272</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273</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274</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275</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276</v>
      </c>
      <c r="P23" s="85"/>
      <c r="Q23" s="43"/>
      <c r="R23" s="43"/>
      <c r="S23" s="43"/>
      <c r="T23" s="43"/>
      <c r="U23" s="43"/>
      <c r="V23" s="43"/>
      <c r="W23" s="43"/>
      <c r="X23" s="43"/>
      <c r="Y23" s="43"/>
      <c r="Z23" s="43"/>
      <c r="AA23" s="43"/>
    </row>
    <row r="24" spans="1:27" ht="15" customHeight="1">
      <c r="A24" s="165" t="s">
        <v>277</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278</v>
      </c>
      <c r="B25" s="154">
        <f>registry!B83</f>
        <v>0</v>
      </c>
      <c r="C25" s="154">
        <f>registry!C83</f>
        <v>-250000</v>
      </c>
      <c r="D25" s="154">
        <f>registry!D83</f>
        <v>-250000</v>
      </c>
      <c r="E25" s="154">
        <f>registry!E83</f>
        <v>-250000</v>
      </c>
      <c r="F25" s="154">
        <f>registry!F83</f>
        <v>-250000</v>
      </c>
      <c r="G25" s="154">
        <f>registry!G83</f>
        <v>-250000</v>
      </c>
      <c r="H25" s="154">
        <f>registry!H83</f>
        <v>-250000</v>
      </c>
      <c r="I25" s="154">
        <f>registry!I83</f>
        <v>-250000</v>
      </c>
      <c r="J25" s="154">
        <f>registry!J83</f>
        <v>-250000</v>
      </c>
      <c r="K25" s="154">
        <f>registry!K83</f>
        <v>-1000000</v>
      </c>
      <c r="L25" s="154">
        <f>registry!L83</f>
        <v>-1000000</v>
      </c>
      <c r="M25" s="154">
        <f>registry!M83</f>
        <v>-1000000</v>
      </c>
      <c r="N25" s="154">
        <f>registry!N83</f>
        <v>-1000000</v>
      </c>
      <c r="O25" s="43"/>
      <c r="P25" s="85"/>
      <c r="Q25" s="43"/>
      <c r="R25" s="43"/>
      <c r="S25" s="43"/>
      <c r="T25" s="43"/>
      <c r="U25" s="43"/>
      <c r="V25" s="43"/>
      <c r="W25" s="43"/>
      <c r="X25" s="43"/>
      <c r="Y25" s="43"/>
      <c r="Z25" s="43"/>
      <c r="AA25" s="43"/>
    </row>
    <row r="26" spans="1:27" ht="15" customHeight="1">
      <c r="A26" s="165" t="s">
        <v>279</v>
      </c>
      <c r="B26" s="154">
        <f t="shared" ref="B26:N26" si="4">B23+B25</f>
        <v>0</v>
      </c>
      <c r="C26" s="154">
        <f t="shared" si="4"/>
        <v>-250000</v>
      </c>
      <c r="D26" s="154">
        <f t="shared" si="4"/>
        <v>-250000</v>
      </c>
      <c r="E26" s="154">
        <f t="shared" si="4"/>
        <v>-250000</v>
      </c>
      <c r="F26" s="154">
        <f t="shared" si="4"/>
        <v>-250000</v>
      </c>
      <c r="G26" s="154">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280</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129</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24</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174</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29</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281</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282</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283</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284</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285</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24</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174</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29</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281</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282</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283</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286</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287</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288</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129</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289</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290</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291</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292</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191</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284</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130</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289</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291</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292</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191</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286</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293</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294</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295</v>
      </c>
      <c r="B68" s="68">
        <v>-1540999</v>
      </c>
      <c r="C68" s="50">
        <f>+registry!C101</f>
        <v>-596442.81892857142</v>
      </c>
      <c r="D68" s="50">
        <f>+registry!D101</f>
        <v>1969541.1810714286</v>
      </c>
      <c r="E68" s="50">
        <f>+registry!E101</f>
        <v>1124903.1810714286</v>
      </c>
      <c r="F68" s="50">
        <f>+registry!F101</f>
        <v>-1731053.8189285714</v>
      </c>
      <c r="G68" s="742">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296</v>
      </c>
      <c r="B70" s="68">
        <v>25047198.734000001</v>
      </c>
      <c r="C70" s="50">
        <f t="shared" ref="C70:N70" si="11">+C20+C26+C46+C64+C68</f>
        <v>1603707.2390672918</v>
      </c>
      <c r="D70" s="50">
        <f t="shared" si="11"/>
        <v>-3087191.2189285699</v>
      </c>
      <c r="E70" s="50">
        <f t="shared" si="11"/>
        <v>-2763590.336456174</v>
      </c>
      <c r="F70" s="50">
        <f t="shared" si="11"/>
        <v>3329203.3835829049</v>
      </c>
      <c r="G70" s="742">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297</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298</v>
      </c>
      <c r="B72" s="50"/>
      <c r="C72" s="50"/>
      <c r="D72" s="50"/>
      <c r="E72" s="50"/>
      <c r="F72" s="50"/>
      <c r="G72" s="742">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299</v>
      </c>
      <c r="B73" s="140">
        <v>251128</v>
      </c>
      <c r="C73" s="141">
        <f>+B73+C70</f>
        <v>1854835.2390672918</v>
      </c>
      <c r="D73" s="141">
        <f>+C73+D70</f>
        <v>-1232355.9798612781</v>
      </c>
      <c r="E73" s="141">
        <f>+D73+E70</f>
        <v>-3995946.3163174521</v>
      </c>
      <c r="F73" s="141">
        <f>+E73+F70+F74</f>
        <v>421309.51999999979</v>
      </c>
      <c r="G73" s="743">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300</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165</v>
      </c>
      <c r="B3" s="114" t="s">
        <v>166</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301</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302</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303</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123</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304</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topLeftCell="C1" zoomScale="85" zoomScaleNormal="85" workbookViewId="0">
      <selection activeCell="C19" sqref="C19:N1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305</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165</v>
      </c>
      <c r="B3" s="180" t="s">
        <v>166</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306</v>
      </c>
      <c r="B4" s="59"/>
      <c r="C4" s="59"/>
      <c r="D4" s="59"/>
      <c r="E4" s="59"/>
      <c r="F4" s="59"/>
      <c r="G4" s="59"/>
      <c r="H4" s="59"/>
      <c r="I4" s="59"/>
      <c r="J4" s="59"/>
      <c r="K4" s="59"/>
      <c r="L4" s="59"/>
      <c r="M4" s="59"/>
      <c r="N4" s="59"/>
    </row>
    <row r="5" spans="1:14">
      <c r="A5" s="46" t="s">
        <v>307</v>
      </c>
      <c r="B5" s="58">
        <v>3000000</v>
      </c>
      <c r="C5" s="182">
        <f>3000000/4</f>
        <v>750000</v>
      </c>
      <c r="D5" s="59"/>
      <c r="E5" s="59"/>
      <c r="F5" s="59"/>
      <c r="G5" s="59"/>
      <c r="H5" s="59"/>
      <c r="I5" s="59"/>
      <c r="J5" s="59"/>
      <c r="K5" s="59"/>
      <c r="L5" s="59"/>
      <c r="M5" s="59"/>
      <c r="N5" s="59"/>
    </row>
    <row r="6" spans="1:14" ht="15.5" customHeight="1" thickTop="1" thickBot="1">
      <c r="A6" s="46" t="s">
        <v>126</v>
      </c>
      <c r="B6" s="183">
        <v>6000000</v>
      </c>
      <c r="C6" s="184">
        <f>-6050000</f>
        <v>-6050000</v>
      </c>
      <c r="D6" s="185"/>
      <c r="E6" s="185"/>
      <c r="F6" s="185"/>
      <c r="G6" s="185"/>
      <c r="H6" s="185"/>
      <c r="I6" s="185"/>
      <c r="J6" s="185"/>
      <c r="K6" s="185"/>
      <c r="L6" s="185"/>
      <c r="M6" s="185"/>
      <c r="N6" s="185"/>
    </row>
    <row r="7" spans="1:14" ht="15" customHeight="1" thickTop="1">
      <c r="A7" s="46" t="s">
        <v>308</v>
      </c>
      <c r="B7" s="18">
        <f>registry!B102</f>
        <v>0</v>
      </c>
      <c r="C7" s="18">
        <f>registry!C102</f>
        <v>0</v>
      </c>
      <c r="D7" s="18">
        <f>registry!D102</f>
        <v>-1200000</v>
      </c>
      <c r="E7" s="18">
        <f>registry!E102</f>
        <v>0</v>
      </c>
      <c r="F7" s="18">
        <f>registry!F102</f>
        <v>0</v>
      </c>
      <c r="G7" s="18">
        <f>registry!G102</f>
        <v>0</v>
      </c>
      <c r="H7" s="18">
        <f>registry!H102</f>
        <v>0</v>
      </c>
      <c r="I7" s="18">
        <f>registry!I102</f>
        <v>0</v>
      </c>
      <c r="J7" s="18">
        <f>registry!J102</f>
        <v>0</v>
      </c>
      <c r="K7" s="18">
        <f>registry!K102</f>
        <v>0</v>
      </c>
      <c r="L7" s="18">
        <f>registry!L102</f>
        <v>0</v>
      </c>
      <c r="M7" s="18">
        <f>registry!M102</f>
        <v>0</v>
      </c>
      <c r="N7" s="18">
        <f>registry!N102</f>
        <v>0</v>
      </c>
    </row>
    <row r="8" spans="1:14">
      <c r="A8" s="46" t="s">
        <v>309</v>
      </c>
      <c r="B8" s="59"/>
      <c r="C8" s="43"/>
      <c r="D8" s="58">
        <v>-350000</v>
      </c>
      <c r="E8" s="59"/>
      <c r="F8" s="59"/>
      <c r="G8" s="59"/>
      <c r="H8" s="59"/>
      <c r="I8" s="59"/>
      <c r="J8" s="59"/>
      <c r="K8" s="59"/>
      <c r="L8" s="59"/>
      <c r="M8" s="59"/>
      <c r="N8" s="59"/>
    </row>
    <row r="9" spans="1:14" s="9" customFormat="1">
      <c r="A9" s="46" t="s">
        <v>310</v>
      </c>
      <c r="B9" s="59"/>
      <c r="C9" s="182">
        <f>-2150000</f>
        <v>-2150000</v>
      </c>
      <c r="D9" s="59"/>
      <c r="E9" s="59"/>
      <c r="F9" s="59"/>
      <c r="G9" s="59"/>
      <c r="H9" s="59"/>
      <c r="I9" s="59"/>
      <c r="J9" s="59"/>
      <c r="K9" s="59"/>
      <c r="L9" s="59"/>
      <c r="M9" s="59"/>
      <c r="N9" s="59"/>
    </row>
    <row r="10" spans="1:14">
      <c r="A10" s="46" t="s">
        <v>123</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118</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311</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312</v>
      </c>
      <c r="B15" s="59"/>
      <c r="C15" s="59"/>
      <c r="D15" s="59"/>
      <c r="E15" s="59"/>
      <c r="F15" s="59"/>
      <c r="G15" s="59"/>
      <c r="H15" s="59"/>
      <c r="I15" s="59"/>
      <c r="J15" s="59"/>
      <c r="K15" s="59"/>
      <c r="L15" s="59"/>
      <c r="M15" s="59"/>
      <c r="N15" s="59"/>
    </row>
    <row r="16" spans="1:14">
      <c r="A16" s="46" t="s">
        <v>313</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314</v>
      </c>
      <c r="B18" s="50"/>
      <c r="C18" s="50"/>
      <c r="D18" s="50"/>
      <c r="E18" s="50"/>
      <c r="F18" s="50"/>
      <c r="G18" s="50"/>
      <c r="H18" s="50"/>
      <c r="I18" s="50"/>
      <c r="J18" s="50"/>
      <c r="K18" s="50"/>
      <c r="L18" s="50"/>
      <c r="M18" s="50"/>
      <c r="N18" s="50"/>
    </row>
    <row r="19" spans="1:14">
      <c r="A19" s="46" t="s">
        <v>315</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316</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165</v>
      </c>
      <c r="B3" s="180" t="s">
        <v>166</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317</v>
      </c>
      <c r="B5" s="43"/>
      <c r="C5" s="43"/>
      <c r="D5" s="43"/>
      <c r="E5" s="43"/>
      <c r="F5" s="43"/>
      <c r="G5" s="43"/>
      <c r="H5" s="43"/>
      <c r="I5" s="43"/>
      <c r="J5" s="43"/>
      <c r="K5" s="43"/>
      <c r="L5" s="43"/>
      <c r="M5" s="43"/>
      <c r="N5" s="43"/>
      <c r="O5" s="43"/>
      <c r="P5" s="43"/>
      <c r="Q5" s="43"/>
      <c r="R5" s="43"/>
      <c r="S5" s="43"/>
      <c r="T5" s="43"/>
    </row>
    <row r="6" spans="1:20" s="20" customFormat="1">
      <c r="A6" s="46" t="s">
        <v>318</v>
      </c>
      <c r="B6" s="43"/>
      <c r="C6" s="43"/>
      <c r="D6" s="43"/>
      <c r="E6" s="43"/>
      <c r="F6" s="43"/>
      <c r="G6" s="43"/>
      <c r="H6" s="43"/>
      <c r="I6" s="43"/>
      <c r="J6" s="43"/>
      <c r="K6" s="43"/>
      <c r="L6" s="43"/>
      <c r="M6" s="43"/>
      <c r="N6" s="43"/>
      <c r="O6" s="43"/>
      <c r="P6" s="43"/>
      <c r="Q6" s="43"/>
      <c r="R6" s="43"/>
      <c r="S6" s="43"/>
      <c r="T6" s="43"/>
    </row>
    <row r="7" spans="1:20" s="20" customFormat="1">
      <c r="A7" s="46" t="s">
        <v>319</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320</v>
      </c>
      <c r="B8" s="50"/>
      <c r="C8" s="50"/>
      <c r="D8" s="50"/>
      <c r="E8" s="50"/>
      <c r="F8" s="50"/>
      <c r="G8" s="50"/>
      <c r="H8" s="50"/>
      <c r="I8" s="50"/>
      <c r="J8" s="50"/>
      <c r="K8" s="50"/>
      <c r="L8" s="50"/>
      <c r="M8" s="50"/>
      <c r="N8" s="50"/>
      <c r="O8" s="43"/>
      <c r="P8" s="43"/>
      <c r="Q8" s="43"/>
      <c r="R8" s="43"/>
      <c r="S8" s="43"/>
      <c r="T8" s="43"/>
    </row>
    <row r="9" spans="1:20" s="20" customFormat="1">
      <c r="A9" s="46" t="s">
        <v>321</v>
      </c>
      <c r="B9" s="50"/>
      <c r="C9" s="50"/>
      <c r="D9" s="50"/>
      <c r="E9" s="68">
        <v>200000</v>
      </c>
      <c r="F9" s="50"/>
      <c r="G9" s="50"/>
      <c r="H9" s="50"/>
      <c r="I9" s="50"/>
      <c r="J9" s="50"/>
      <c r="K9" s="50"/>
      <c r="L9" s="50"/>
      <c r="M9" s="50"/>
      <c r="N9" s="50"/>
      <c r="O9" s="43"/>
      <c r="P9" s="43"/>
      <c r="Q9" s="43"/>
      <c r="R9" s="43"/>
      <c r="S9" s="43"/>
      <c r="T9" s="43"/>
    </row>
    <row r="10" spans="1:20">
      <c r="A10" s="46" t="s">
        <v>118</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129</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322</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130</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117</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323</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324</v>
      </c>
      <c r="B22" s="43"/>
      <c r="C22" s="43"/>
      <c r="D22" s="43"/>
      <c r="E22" s="43"/>
      <c r="F22" s="43"/>
      <c r="G22" s="43"/>
      <c r="H22" s="43"/>
      <c r="I22" s="43"/>
      <c r="J22" s="43"/>
      <c r="K22" s="43"/>
      <c r="L22" s="43"/>
      <c r="M22" s="43"/>
      <c r="N22" s="43"/>
      <c r="O22" s="43"/>
      <c r="P22" s="43"/>
      <c r="Q22" s="43"/>
      <c r="R22" s="43"/>
      <c r="S22" s="43"/>
      <c r="T22" s="43"/>
    </row>
    <row r="23" spans="1:20">
      <c r="A23" s="46" t="s">
        <v>325</v>
      </c>
      <c r="B23" s="43"/>
      <c r="C23" s="76"/>
      <c r="D23" s="43"/>
      <c r="E23" s="43"/>
      <c r="F23" s="43"/>
      <c r="G23" s="43"/>
      <c r="H23" s="43"/>
      <c r="I23" s="43"/>
      <c r="J23" s="43"/>
      <c r="K23" s="43"/>
      <c r="L23" s="43"/>
      <c r="M23" s="43"/>
      <c r="N23" s="43"/>
      <c r="O23" s="43"/>
      <c r="P23" s="43"/>
      <c r="Q23" s="43"/>
      <c r="R23" s="43"/>
      <c r="S23" s="43"/>
      <c r="T23" s="43"/>
    </row>
    <row r="24" spans="1:20">
      <c r="A24" s="46" t="s">
        <v>326</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327</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328</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329</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330</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328</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331</v>
      </c>
      <c r="B31" s="43"/>
      <c r="C31" s="43"/>
      <c r="D31" s="43"/>
      <c r="E31" s="43"/>
      <c r="F31" s="43"/>
      <c r="G31" s="43"/>
      <c r="H31" s="43"/>
      <c r="I31" s="43"/>
      <c r="J31" s="43"/>
      <c r="K31" s="43"/>
      <c r="L31" s="43"/>
      <c r="M31" s="43"/>
      <c r="N31" s="43"/>
      <c r="O31" s="43"/>
      <c r="P31" s="43"/>
      <c r="Q31" s="43"/>
      <c r="R31" s="43"/>
      <c r="S31" s="43"/>
      <c r="T31" s="43"/>
    </row>
    <row r="32" spans="1:20">
      <c r="A32" s="46" t="s">
        <v>332</v>
      </c>
      <c r="B32" s="43"/>
      <c r="C32" s="76"/>
      <c r="D32" s="43"/>
      <c r="E32" s="43"/>
      <c r="F32" s="43"/>
      <c r="G32" s="43"/>
      <c r="H32" s="43"/>
      <c r="I32" s="43"/>
      <c r="J32" s="43"/>
      <c r="K32" s="43"/>
      <c r="L32" s="43"/>
      <c r="M32" s="43"/>
      <c r="N32" s="43"/>
      <c r="O32" s="43"/>
      <c r="P32" s="43"/>
      <c r="Q32" s="43"/>
      <c r="R32" s="43"/>
      <c r="S32" s="43"/>
      <c r="T32" s="43"/>
    </row>
    <row r="33" spans="1:20">
      <c r="A33" s="46" t="s">
        <v>333</v>
      </c>
      <c r="B33" s="43"/>
      <c r="C33" s="43"/>
      <c r="D33" s="76"/>
      <c r="E33" s="76"/>
      <c r="F33" s="76"/>
      <c r="G33" s="43"/>
      <c r="H33" s="43"/>
      <c r="I33" s="43"/>
      <c r="J33" s="43"/>
      <c r="K33" s="43"/>
      <c r="L33" s="43"/>
      <c r="M33" s="43"/>
      <c r="N33" s="43"/>
      <c r="O33" s="43"/>
      <c r="P33" s="43"/>
      <c r="Q33" s="43"/>
      <c r="R33" s="43"/>
      <c r="S33" s="43"/>
      <c r="T33" s="43"/>
    </row>
    <row r="34" spans="1:20">
      <c r="A34" s="46" t="s">
        <v>334</v>
      </c>
      <c r="B34" s="76"/>
      <c r="C34" s="76"/>
      <c r="D34" s="76"/>
      <c r="E34" s="43"/>
      <c r="F34" s="43"/>
      <c r="G34" s="43"/>
      <c r="H34" s="43"/>
      <c r="I34" s="43"/>
      <c r="J34" s="43"/>
      <c r="K34" s="43"/>
      <c r="L34" s="43"/>
      <c r="M34" s="43"/>
      <c r="N34" s="43"/>
      <c r="O34" s="43"/>
      <c r="P34" s="43"/>
    </row>
    <row r="35" spans="1:20" s="10" customFormat="1">
      <c r="A35" s="46" t="s">
        <v>319</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335</v>
      </c>
      <c r="B36" s="43"/>
      <c r="C36" s="43"/>
      <c r="D36" s="79">
        <v>0.25</v>
      </c>
      <c r="E36" s="43"/>
      <c r="F36" s="43"/>
      <c r="G36" s="43"/>
      <c r="H36" s="43"/>
      <c r="I36" s="43"/>
      <c r="J36" s="43"/>
      <c r="K36" s="43"/>
      <c r="L36" s="43"/>
      <c r="M36" s="43"/>
      <c r="N36" s="43"/>
      <c r="O36" s="43"/>
      <c r="P36" s="43"/>
    </row>
    <row r="37" spans="1:20" s="10" customFormat="1">
      <c r="A37" s="46" t="s">
        <v>336</v>
      </c>
      <c r="B37" s="43"/>
      <c r="C37" s="43"/>
      <c r="D37" s="76"/>
      <c r="E37" s="79">
        <v>3.2000000000000002E-3</v>
      </c>
      <c r="F37" s="43"/>
      <c r="G37" s="43"/>
      <c r="H37" s="43"/>
      <c r="I37" s="43"/>
      <c r="J37" s="43"/>
      <c r="K37" s="43"/>
      <c r="L37" s="43"/>
      <c r="M37" s="43"/>
      <c r="N37" s="43"/>
      <c r="O37" s="43"/>
      <c r="P37" s="43"/>
    </row>
    <row r="38" spans="1:20">
      <c r="A38" s="101" t="s">
        <v>337</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338</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339</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340</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341</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342</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343</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337</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3" width="9.26953125" style="11" customWidth="1"/>
    <col min="54"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344</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345</v>
      </c>
      <c r="B4" s="202" t="s">
        <v>346</v>
      </c>
      <c r="C4" s="202" t="s">
        <v>347</v>
      </c>
      <c r="D4" s="202" t="s">
        <v>348</v>
      </c>
      <c r="E4" s="202" t="s">
        <v>349</v>
      </c>
      <c r="F4" s="202" t="s">
        <v>350</v>
      </c>
      <c r="G4" s="205" t="s">
        <v>351</v>
      </c>
      <c r="H4" s="205" t="s">
        <v>352</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353</v>
      </c>
    </row>
    <row r="5" spans="1:25">
      <c r="A5" s="202" t="s">
        <v>354</v>
      </c>
      <c r="B5" s="202" t="s">
        <v>355</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356</v>
      </c>
      <c r="B6" s="202" t="s">
        <v>357</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358</v>
      </c>
      <c r="B7" s="202" t="s">
        <v>357</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359</v>
      </c>
      <c r="B8" s="202" t="s">
        <v>360</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361</v>
      </c>
      <c r="B9" s="202" t="s">
        <v>360</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362</v>
      </c>
      <c r="B10" s="202" t="s">
        <v>360</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363</v>
      </c>
      <c r="B11" s="202" t="s">
        <v>364</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365</v>
      </c>
      <c r="B12" s="202" t="s">
        <v>364</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366</v>
      </c>
      <c r="B13" s="202" t="s">
        <v>364</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367</v>
      </c>
      <c r="B14" s="202" t="s">
        <v>368</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369</v>
      </c>
      <c r="B15" s="202" t="s">
        <v>368</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370</v>
      </c>
      <c r="B16" s="202" t="s">
        <v>371</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372</v>
      </c>
      <c r="B17" s="202" t="s">
        <v>371</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373</v>
      </c>
      <c r="B18" s="202" t="s">
        <v>371</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374</v>
      </c>
      <c r="B19" s="202" t="s">
        <v>375</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376</v>
      </c>
      <c r="B20" s="202" t="s">
        <v>375</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377</v>
      </c>
      <c r="B21" s="202" t="s">
        <v>378</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379</v>
      </c>
      <c r="B22" s="202" t="s">
        <v>380</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381</v>
      </c>
      <c r="B23" s="202" t="s">
        <v>380</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382</v>
      </c>
      <c r="B24" s="202" t="s">
        <v>380</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383</v>
      </c>
      <c r="B25" s="202" t="s">
        <v>380</v>
      </c>
      <c r="C25" s="214">
        <v>1000000</v>
      </c>
      <c r="D25" s="208">
        <v>0.08</v>
      </c>
      <c r="E25" s="208">
        <v>0.1</v>
      </c>
      <c r="F25" s="210">
        <v>44768</v>
      </c>
      <c r="G25" s="215">
        <f>+C25/lgh_inputs!$D$10</f>
        <v>40000</v>
      </c>
      <c r="H25" s="212"/>
      <c r="I25" s="213">
        <f t="shared" si="0"/>
        <v>0</v>
      </c>
      <c r="J25" s="213">
        <f t="shared" ref="J25:L44" si="6">IF(AND(YEAR($F25)=YEAR(J$3),ROUNDUP(MONTH($F25)/3,0)&lt;=J$4),$C25*(1+$D25)^((J$3-$F25)/365),IF(ROUND(I25,0)=0,0,I25*(1+$D25)))</f>
        <v>1033875.7892961168</v>
      </c>
      <c r="K25" s="213">
        <f t="shared" si="6"/>
        <v>1116585.8524398061</v>
      </c>
      <c r="L25" s="213">
        <f t="shared" si="6"/>
        <v>1205912.7206349906</v>
      </c>
      <c r="M25" s="213">
        <f t="shared" ref="M25:T34"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4"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384</v>
      </c>
      <c r="B26" s="202" t="s">
        <v>385</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386</v>
      </c>
      <c r="B27" s="202" t="s">
        <v>387</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388</v>
      </c>
      <c r="B28" s="202" t="s">
        <v>387</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389</v>
      </c>
      <c r="B29" s="202" t="s">
        <v>390</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391</v>
      </c>
      <c r="B30" s="202" t="s">
        <v>392</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393</v>
      </c>
      <c r="B31" s="202" t="s">
        <v>394</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395</v>
      </c>
      <c r="B32" s="202" t="s">
        <v>364</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396</v>
      </c>
      <c r="B33" s="202" t="s">
        <v>364</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397</v>
      </c>
      <c r="B34" s="202" t="s">
        <v>398</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399</v>
      </c>
      <c r="B35" s="202" t="s">
        <v>400</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401</v>
      </c>
      <c r="B36" s="202" t="s">
        <v>402</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403</v>
      </c>
      <c r="B37" s="202" t="s">
        <v>355</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404</v>
      </c>
      <c r="B38" s="202" t="s">
        <v>319</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405</v>
      </c>
      <c r="B39" s="219" t="s">
        <v>406</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407</v>
      </c>
      <c r="B40" s="219" t="s">
        <v>364</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408</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409</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410</v>
      </c>
      <c r="B45" s="43"/>
      <c r="C45" s="43"/>
      <c r="D45" s="43"/>
      <c r="E45" s="43"/>
      <c r="F45" s="43"/>
      <c r="G45" s="43"/>
      <c r="H45" s="202" t="s">
        <v>411</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412</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118</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413</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414</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415</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416</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417</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418</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419</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420</v>
      </c>
      <c r="K57" s="205" t="s">
        <v>351</v>
      </c>
      <c r="L57" s="229"/>
      <c r="M57" s="229"/>
      <c r="N57" s="229"/>
      <c r="O57" s="229"/>
      <c r="P57" s="229"/>
      <c r="Q57" s="229"/>
      <c r="R57" s="229"/>
      <c r="S57" s="229"/>
      <c r="T57" s="229"/>
      <c r="U57" s="229"/>
      <c r="V57" s="229"/>
      <c r="W57" s="229"/>
      <c r="X57" s="229"/>
      <c r="Y57" s="43"/>
    </row>
    <row r="58" spans="1:25" ht="16" customHeight="1" thickBot="1">
      <c r="A58" s="202" t="s">
        <v>421</v>
      </c>
      <c r="B58" s="229"/>
      <c r="C58" s="229"/>
      <c r="D58" s="229"/>
      <c r="E58" s="229"/>
      <c r="F58" s="232" t="s">
        <v>422</v>
      </c>
      <c r="G58" s="210">
        <v>45657</v>
      </c>
      <c r="H58" s="229"/>
      <c r="I58" s="232" t="s">
        <v>423</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249</v>
      </c>
      <c r="B60" s="205" t="s">
        <v>424</v>
      </c>
      <c r="C60" s="205" t="s">
        <v>424</v>
      </c>
      <c r="D60" s="205" t="s">
        <v>0</v>
      </c>
      <c r="E60" s="205" t="s">
        <v>425</v>
      </c>
      <c r="F60" s="205" t="s">
        <v>351</v>
      </c>
      <c r="G60" s="205" t="s">
        <v>426</v>
      </c>
      <c r="H60" s="205" t="s">
        <v>118</v>
      </c>
      <c r="I60" s="205" t="s">
        <v>427</v>
      </c>
      <c r="J60" s="205" t="s">
        <v>428</v>
      </c>
      <c r="K60" s="241" t="s">
        <v>429</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430</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167</v>
      </c>
      <c r="D101" s="96" t="s">
        <v>168</v>
      </c>
      <c r="E101" s="96" t="s">
        <v>169</v>
      </c>
      <c r="F101" s="96" t="s">
        <v>166</v>
      </c>
      <c r="G101" s="96" t="s">
        <v>167</v>
      </c>
      <c r="H101" s="96" t="s">
        <v>168</v>
      </c>
      <c r="I101" s="96" t="s">
        <v>169</v>
      </c>
      <c r="J101" s="96" t="s">
        <v>166</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431</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342</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342</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432</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433</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249</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166</v>
      </c>
      <c r="C147" s="248" t="s">
        <v>167</v>
      </c>
      <c r="D147" s="248" t="s">
        <v>168</v>
      </c>
      <c r="E147" s="248" t="s">
        <v>169</v>
      </c>
      <c r="F147" s="248" t="s">
        <v>166</v>
      </c>
      <c r="G147" s="248" t="s">
        <v>167</v>
      </c>
      <c r="H147" s="248" t="s">
        <v>168</v>
      </c>
      <c r="I147" s="248" t="s">
        <v>169</v>
      </c>
      <c r="J147" s="248" t="s">
        <v>166</v>
      </c>
      <c r="K147" s="248" t="s">
        <v>166</v>
      </c>
      <c r="L147" s="247" t="s">
        <v>166</v>
      </c>
      <c r="M147" s="247" t="s">
        <v>166</v>
      </c>
      <c r="N147" s="247" t="s">
        <v>166</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434</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301</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435</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436</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51" width="9.26953125" style="11" customWidth="1"/>
    <col min="52" max="16384" width="9.26953125" style="11"/>
  </cols>
  <sheetData>
    <row r="1" spans="1:33">
      <c r="A1" s="43"/>
      <c r="B1" s="43"/>
      <c r="C1" s="43"/>
      <c r="D1" s="43"/>
      <c r="E1" s="43"/>
      <c r="F1" s="43"/>
      <c r="G1" s="43"/>
      <c r="H1" s="202" t="s">
        <v>437</v>
      </c>
      <c r="I1" s="43"/>
      <c r="J1" s="202" t="s">
        <v>437</v>
      </c>
      <c r="K1" s="43"/>
      <c r="L1" s="202" t="s">
        <v>437</v>
      </c>
      <c r="M1" s="43"/>
      <c r="N1" s="202" t="s">
        <v>437</v>
      </c>
      <c r="O1" s="43"/>
      <c r="P1" s="202" t="s">
        <v>437</v>
      </c>
      <c r="Q1" s="43"/>
      <c r="R1" s="202" t="s">
        <v>437</v>
      </c>
      <c r="S1" s="43"/>
      <c r="T1" s="202" t="s">
        <v>437</v>
      </c>
      <c r="U1" s="43"/>
      <c r="V1" s="202" t="s">
        <v>437</v>
      </c>
      <c r="W1" s="43"/>
      <c r="X1" s="202" t="s">
        <v>437</v>
      </c>
      <c r="Y1" s="43"/>
      <c r="Z1" s="202" t="s">
        <v>437</v>
      </c>
      <c r="AA1" s="43"/>
      <c r="AB1" s="202" t="s">
        <v>437</v>
      </c>
      <c r="AC1" s="43"/>
      <c r="AD1" s="202" t="s">
        <v>437</v>
      </c>
      <c r="AE1" s="43"/>
      <c r="AF1" s="202" t="s">
        <v>437</v>
      </c>
      <c r="AG1" s="43"/>
    </row>
    <row r="2" spans="1:33" s="25" customFormat="1">
      <c r="A2" s="202" t="s">
        <v>344</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438</v>
      </c>
    </row>
    <row r="3" spans="1:33">
      <c r="A3" s="202" t="s">
        <v>439</v>
      </c>
      <c r="B3" s="202" t="s">
        <v>346</v>
      </c>
      <c r="C3" s="202" t="s">
        <v>347</v>
      </c>
      <c r="D3" s="202" t="s">
        <v>348</v>
      </c>
      <c r="E3" s="202" t="s">
        <v>350</v>
      </c>
      <c r="F3" s="205" t="s">
        <v>440</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441</v>
      </c>
    </row>
    <row r="4" spans="1:33">
      <c r="A4" s="202" t="s">
        <v>442</v>
      </c>
      <c r="B4" s="202" t="s">
        <v>443</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444</v>
      </c>
    </row>
    <row r="5" spans="1:33">
      <c r="A5" s="202" t="s">
        <v>445</v>
      </c>
      <c r="B5" s="202" t="s">
        <v>446</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447</v>
      </c>
    </row>
    <row r="6" spans="1:33">
      <c r="A6" s="202" t="s">
        <v>448</v>
      </c>
      <c r="B6" s="202" t="s">
        <v>449</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450</v>
      </c>
    </row>
    <row r="7" spans="1:33">
      <c r="A7" s="202" t="s">
        <v>451</v>
      </c>
      <c r="B7" s="202" t="s">
        <v>452</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453</v>
      </c>
      <c r="B8" s="202" t="s">
        <v>454</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455</v>
      </c>
      <c r="B9" s="202" t="s">
        <v>456</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457</v>
      </c>
      <c r="B10" s="202" t="s">
        <v>458</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459</v>
      </c>
      <c r="B11" s="202" t="s">
        <v>460</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461</v>
      </c>
      <c r="B12" s="202" t="s">
        <v>462</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463</v>
      </c>
      <c r="B13" s="202" t="s">
        <v>462</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464</v>
      </c>
      <c r="B14" s="202" t="s">
        <v>462</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465</v>
      </c>
      <c r="B15" s="202" t="s">
        <v>466</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467</v>
      </c>
      <c r="B16" s="202" t="s">
        <v>468</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469</v>
      </c>
      <c r="B17" s="202" t="s">
        <v>470</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471</v>
      </c>
      <c r="B18" s="202" t="s">
        <v>470</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472</v>
      </c>
      <c r="B19" s="202" t="s">
        <v>473</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474</v>
      </c>
      <c r="B20" s="202" t="s">
        <v>475</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476</v>
      </c>
      <c r="B21" s="202" t="s">
        <v>477</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478</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479</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480</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481</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482</v>
      </c>
      <c r="B26" s="202" t="s">
        <v>483</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484</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485</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486</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410</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412</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118</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416</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417</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412</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419</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487</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412</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488</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50" width="9.26953125" style="11" customWidth="1"/>
    <col min="51"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489</v>
      </c>
      <c r="H2" s="229"/>
      <c r="I2" s="202" t="s">
        <v>489</v>
      </c>
      <c r="J2" s="229"/>
      <c r="K2" s="202" t="s">
        <v>489</v>
      </c>
      <c r="L2" s="229"/>
      <c r="M2" s="202" t="s">
        <v>489</v>
      </c>
      <c r="N2" s="229"/>
      <c r="O2" s="202" t="s">
        <v>489</v>
      </c>
      <c r="P2" s="229"/>
      <c r="Q2" s="202" t="s">
        <v>489</v>
      </c>
      <c r="R2" s="229"/>
      <c r="S2" s="202" t="s">
        <v>489</v>
      </c>
      <c r="T2" s="229"/>
      <c r="U2" s="202" t="s">
        <v>489</v>
      </c>
      <c r="V2" s="229"/>
      <c r="W2" s="202" t="s">
        <v>489</v>
      </c>
      <c r="X2" s="43"/>
      <c r="Y2" s="202" t="s">
        <v>489</v>
      </c>
      <c r="Z2" s="43"/>
      <c r="AA2" s="202" t="s">
        <v>489</v>
      </c>
      <c r="AB2" s="43"/>
      <c r="AC2" s="202" t="s">
        <v>489</v>
      </c>
      <c r="AD2" s="43"/>
      <c r="AE2" s="202" t="s">
        <v>489</v>
      </c>
      <c r="AF2" s="43"/>
    </row>
    <row r="3" spans="1:32" s="25" customFormat="1">
      <c r="A3" s="202" t="s">
        <v>344</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438</v>
      </c>
    </row>
    <row r="4" spans="1:32">
      <c r="A4" s="202" t="s">
        <v>490</v>
      </c>
      <c r="B4" s="202" t="s">
        <v>491</v>
      </c>
      <c r="C4" s="202" t="s">
        <v>347</v>
      </c>
      <c r="D4" s="202" t="s">
        <v>348</v>
      </c>
      <c r="E4" s="202" t="s">
        <v>350</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441</v>
      </c>
    </row>
    <row r="5" spans="1:32">
      <c r="A5" s="202" t="s">
        <v>492</v>
      </c>
      <c r="B5" s="202" t="s">
        <v>493</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494</v>
      </c>
      <c r="B6" s="202" t="s">
        <v>495</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496</v>
      </c>
      <c r="B7" s="202" t="s">
        <v>497</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498</v>
      </c>
      <c r="B8" s="202" t="s">
        <v>499</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500</v>
      </c>
      <c r="B9" s="202" t="s">
        <v>501</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502</v>
      </c>
      <c r="B10" s="202" t="s">
        <v>503</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504</v>
      </c>
      <c r="B11" s="202" t="s">
        <v>505</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506</v>
      </c>
      <c r="B12" s="202" t="s">
        <v>507</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508</v>
      </c>
      <c r="B13" s="264" t="s">
        <v>509</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510</v>
      </c>
      <c r="B14" s="202" t="s">
        <v>511</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512</v>
      </c>
      <c r="B15" s="202" t="s">
        <v>513</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514</v>
      </c>
      <c r="B16" s="202" t="s">
        <v>515</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516</v>
      </c>
      <c r="B17" s="202" t="s">
        <v>517</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518</v>
      </c>
      <c r="B18" s="202" t="s">
        <v>519</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520</v>
      </c>
      <c r="B19" s="202" t="s">
        <v>521</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522</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522</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523</v>
      </c>
      <c r="B22" s="46" t="s">
        <v>522</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118</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413</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416</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417</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524</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419</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487</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412</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488</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525</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526</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527</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22" activePane="bottomRight" state="frozen"/>
      <selection pane="topRight" activeCell="B1" sqref="B1"/>
      <selection pane="bottomLeft" activeCell="A4" sqref="A4"/>
      <selection pane="bottomRight" activeCell="C43" sqref="C43"/>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528</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166</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529</v>
      </c>
      <c r="P3" s="43"/>
      <c r="Q3" s="43"/>
      <c r="R3" s="43"/>
      <c r="S3" s="43"/>
      <c r="T3" s="43"/>
    </row>
    <row r="4" spans="1:20" s="37" customFormat="1">
      <c r="A4" s="67" t="s">
        <v>530</v>
      </c>
      <c r="B4" s="43"/>
      <c r="C4" s="43"/>
      <c r="D4" s="43"/>
      <c r="E4" s="43"/>
      <c r="F4" s="43"/>
      <c r="G4" s="43"/>
      <c r="H4" s="43"/>
      <c r="I4" s="43"/>
      <c r="J4" s="43"/>
      <c r="K4" s="43"/>
      <c r="L4" s="43"/>
      <c r="M4" s="43"/>
      <c r="N4" s="43"/>
      <c r="O4" s="43"/>
      <c r="P4" s="43"/>
      <c r="Q4" s="43"/>
      <c r="R4" s="43"/>
      <c r="S4" s="43"/>
      <c r="T4" s="43"/>
    </row>
    <row r="5" spans="1:20" s="37" customFormat="1">
      <c r="A5" s="67" t="s">
        <v>531</v>
      </c>
      <c r="B5" s="43"/>
      <c r="C5" s="43"/>
      <c r="D5" s="43"/>
      <c r="E5" s="43"/>
      <c r="F5" s="43"/>
      <c r="G5" s="43"/>
      <c r="H5" s="43"/>
      <c r="I5" s="43"/>
      <c r="J5" s="43"/>
      <c r="K5" s="43"/>
      <c r="L5" s="43"/>
      <c r="M5" s="43"/>
      <c r="N5" s="43"/>
      <c r="O5" s="43"/>
      <c r="P5" s="43"/>
      <c r="Q5" s="43"/>
      <c r="R5" s="43"/>
      <c r="S5" s="43"/>
      <c r="T5" s="43"/>
    </row>
    <row r="6" spans="1:20" s="37" customFormat="1">
      <c r="A6" s="67" t="s">
        <v>532</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533</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534</v>
      </c>
      <c r="B9" s="43"/>
      <c r="C9" s="43"/>
      <c r="D9" s="43"/>
      <c r="E9" s="43"/>
      <c r="F9" s="43"/>
      <c r="G9" s="43"/>
      <c r="H9" s="43"/>
      <c r="I9" s="43"/>
      <c r="J9" s="43"/>
      <c r="K9" s="43"/>
      <c r="L9" s="43"/>
      <c r="M9" s="43"/>
      <c r="N9" s="43"/>
      <c r="O9" s="43"/>
      <c r="P9" s="43"/>
      <c r="Q9" s="43"/>
      <c r="R9" s="43"/>
      <c r="S9" s="43"/>
      <c r="T9" s="43"/>
    </row>
    <row r="10" spans="1:20" s="37" customFormat="1">
      <c r="A10" s="67" t="s">
        <v>535</v>
      </c>
      <c r="B10" s="43"/>
      <c r="C10" s="43"/>
      <c r="D10" s="43"/>
      <c r="E10" s="43"/>
      <c r="F10" s="43"/>
      <c r="G10" s="43"/>
      <c r="H10" s="43"/>
      <c r="I10" s="43"/>
      <c r="J10" s="43"/>
      <c r="K10" s="43"/>
      <c r="L10" s="43"/>
      <c r="M10" s="43"/>
      <c r="N10" s="43"/>
      <c r="O10" s="43"/>
      <c r="P10" s="43"/>
      <c r="Q10" s="43"/>
      <c r="R10" s="43"/>
      <c r="S10" s="43"/>
      <c r="T10" s="43"/>
    </row>
    <row r="11" spans="1:20" s="37" customFormat="1">
      <c r="A11" s="67" t="s">
        <v>536</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537</v>
      </c>
      <c r="B12" s="43"/>
      <c r="C12" s="43"/>
      <c r="D12" s="43"/>
      <c r="E12" s="43"/>
      <c r="F12" s="43"/>
      <c r="G12" s="43"/>
      <c r="H12" s="43"/>
      <c r="I12" s="43"/>
      <c r="J12" s="43"/>
      <c r="K12" s="43"/>
      <c r="L12" s="43"/>
      <c r="M12" s="43"/>
      <c r="N12" s="43"/>
      <c r="O12" s="43"/>
      <c r="P12" s="43"/>
      <c r="Q12" s="43"/>
      <c r="R12" s="43"/>
      <c r="S12" s="43"/>
      <c r="T12" s="43"/>
    </row>
    <row r="13" spans="1:20" s="37" customFormat="1">
      <c r="A13" s="67" t="s">
        <v>538</v>
      </c>
      <c r="B13" s="43"/>
      <c r="C13" s="43"/>
      <c r="D13" s="43"/>
      <c r="E13" s="43"/>
      <c r="F13" s="43"/>
      <c r="G13" s="43"/>
      <c r="H13" s="43"/>
      <c r="I13" s="43"/>
      <c r="J13" s="43"/>
      <c r="K13" s="43"/>
      <c r="L13" s="43"/>
      <c r="M13" s="43"/>
      <c r="N13" s="43"/>
      <c r="O13" s="43"/>
      <c r="P13" s="43"/>
      <c r="Q13" s="43"/>
      <c r="R13" s="43"/>
      <c r="S13" s="43"/>
      <c r="T13" s="43"/>
    </row>
    <row r="14" spans="1:20" s="37" customFormat="1">
      <c r="A14" s="67" t="s">
        <v>539</v>
      </c>
      <c r="B14" s="43"/>
      <c r="C14" s="43"/>
      <c r="D14" s="43"/>
      <c r="E14" s="43"/>
      <c r="F14" s="43"/>
      <c r="G14" s="43"/>
      <c r="H14" s="43"/>
      <c r="I14" s="43"/>
      <c r="J14" s="43"/>
      <c r="K14" s="43"/>
      <c r="L14" s="43"/>
      <c r="M14" s="43"/>
      <c r="N14" s="43"/>
      <c r="O14" s="43"/>
      <c r="P14" s="43"/>
      <c r="Q14" s="43"/>
      <c r="R14" s="43"/>
      <c r="S14" s="43"/>
      <c r="T14" s="43"/>
    </row>
    <row r="15" spans="1:20" s="37" customFormat="1">
      <c r="A15" s="67" t="s">
        <v>540</v>
      </c>
      <c r="B15" s="43"/>
      <c r="C15" s="43"/>
      <c r="D15" s="68">
        <v>1291832</v>
      </c>
      <c r="E15" s="43"/>
      <c r="F15" s="43"/>
      <c r="G15" s="43"/>
      <c r="H15" s="43"/>
      <c r="I15" s="43"/>
      <c r="J15" s="43"/>
      <c r="K15" s="43"/>
      <c r="L15" s="43"/>
      <c r="M15" s="43"/>
      <c r="N15" s="43"/>
      <c r="O15" s="43"/>
      <c r="P15" s="43"/>
      <c r="Q15" s="43"/>
      <c r="R15" s="43"/>
      <c r="S15" s="43"/>
      <c r="T15" s="43"/>
    </row>
    <row r="16" spans="1:20" s="37" customFormat="1">
      <c r="A16" s="67" t="s">
        <v>284</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541</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542</v>
      </c>
      <c r="B23" s="68">
        <v>-1540999</v>
      </c>
      <c r="C23" s="50">
        <f t="shared" ref="C23:N23" si="2">-(C43-B43)+C44</f>
        <v>-596442.81892857142</v>
      </c>
      <c r="D23" s="50">
        <f t="shared" si="2"/>
        <v>677709.18107142858</v>
      </c>
      <c r="E23" s="50">
        <f t="shared" si="2"/>
        <v>-275096.81892857142</v>
      </c>
      <c r="F23" s="50">
        <f t="shared" si="2"/>
        <v>-1731053.8189285714</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286</v>
      </c>
      <c r="B24" s="68">
        <v>-1540999</v>
      </c>
      <c r="C24" s="136">
        <f t="shared" ref="C24:N24" si="3">SUM(C19:C23)</f>
        <v>-596442.81892857142</v>
      </c>
      <c r="D24" s="136">
        <f t="shared" si="3"/>
        <v>677709.18107142858</v>
      </c>
      <c r="E24" s="136">
        <f t="shared" si="3"/>
        <v>-575096.81892857142</v>
      </c>
      <c r="F24" s="136">
        <f t="shared" si="3"/>
        <v>-1731053.8189285714</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533</v>
      </c>
      <c r="B26" s="140">
        <v>-1540999</v>
      </c>
      <c r="C26" s="141">
        <f t="shared" ref="C26:N26" si="4">C24+C16+C8</f>
        <v>-596442.81892857142</v>
      </c>
      <c r="D26" s="141">
        <f t="shared" si="4"/>
        <v>1969541.1810714286</v>
      </c>
      <c r="E26" s="141">
        <f t="shared" si="4"/>
        <v>1124903.1810714286</v>
      </c>
      <c r="F26" s="141">
        <f t="shared" si="4"/>
        <v>-1731053.8189285714</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543</v>
      </c>
      <c r="B29" s="43"/>
      <c r="C29" s="43"/>
      <c r="D29" s="43"/>
      <c r="E29" s="43"/>
      <c r="F29" s="43"/>
      <c r="G29" s="43"/>
      <c r="H29" s="43"/>
      <c r="I29" s="43"/>
      <c r="J29" s="43"/>
      <c r="K29" s="43"/>
      <c r="L29" s="43"/>
      <c r="M29" s="43"/>
      <c r="N29" s="43"/>
      <c r="O29" s="67" t="s">
        <v>544</v>
      </c>
      <c r="P29" s="43"/>
      <c r="Q29" s="43"/>
      <c r="R29" s="43"/>
      <c r="S29" s="43"/>
      <c r="T29" s="43"/>
    </row>
    <row r="30" spans="1:20" s="37" customFormat="1">
      <c r="A30" s="67" t="s">
        <v>35</v>
      </c>
      <c r="B30" s="43"/>
      <c r="C30" s="43"/>
      <c r="D30" s="43"/>
      <c r="E30" s="43"/>
      <c r="F30" s="43"/>
      <c r="G30" s="43"/>
      <c r="H30" s="43"/>
      <c r="I30" s="43"/>
      <c r="J30" s="43"/>
      <c r="K30" s="43"/>
      <c r="L30" s="43"/>
      <c r="M30" s="43"/>
      <c r="N30" s="43"/>
      <c r="O30" s="67" t="s">
        <v>545</v>
      </c>
      <c r="P30" s="43"/>
      <c r="Q30" s="43"/>
      <c r="R30" s="43"/>
      <c r="S30" s="43"/>
      <c r="T30" s="43"/>
    </row>
    <row r="31" spans="1:20" s="37" customFormat="1">
      <c r="A31" s="67" t="s">
        <v>180</v>
      </c>
      <c r="B31" s="186"/>
      <c r="C31" s="186"/>
      <c r="D31" s="186"/>
      <c r="E31" s="186"/>
      <c r="F31" s="186"/>
      <c r="G31" s="186"/>
      <c r="H31" s="186"/>
      <c r="I31" s="186"/>
      <c r="J31" s="186"/>
      <c r="K31" s="140">
        <v>12500000</v>
      </c>
      <c r="L31" s="141">
        <f>+AVERAGE(M31,K31)</f>
        <v>18750000</v>
      </c>
      <c r="M31" s="140">
        <v>25000000</v>
      </c>
      <c r="N31" s="140">
        <v>45000000</v>
      </c>
      <c r="O31" s="67" t="s">
        <v>123</v>
      </c>
      <c r="P31" s="43"/>
      <c r="Q31" s="43"/>
      <c r="R31" s="43"/>
      <c r="S31" s="43"/>
      <c r="T31" s="43"/>
    </row>
    <row r="32" spans="1:20" s="37" customFormat="1">
      <c r="A32" s="67" t="s">
        <v>546</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547</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125</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548</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136</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549</v>
      </c>
      <c r="B43" s="50">
        <f>registry!B104</f>
        <v>1540999</v>
      </c>
      <c r="C43" s="50">
        <f>registry!C104</f>
        <v>2137441.8189285714</v>
      </c>
      <c r="D43" s="50">
        <f>registry!D104</f>
        <v>1459732.6378571428</v>
      </c>
      <c r="E43" s="50">
        <f>registry!E104</f>
        <v>1734829.4567857143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550</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137</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551</v>
      </c>
      <c r="B46" s="140">
        <v>3570254</v>
      </c>
      <c r="C46" s="191">
        <f t="shared" ref="C46:N46" si="8">SUM(C39:C45)</f>
        <v>4318174.1939285714</v>
      </c>
      <c r="D46" s="191">
        <f t="shared" si="8"/>
        <v>4916942.3878571428</v>
      </c>
      <c r="E46" s="191">
        <f t="shared" si="8"/>
        <v>3751761.5817857143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552</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553</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554</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555</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123</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556</v>
      </c>
      <c r="B53" s="50">
        <f t="shared" ref="B53:N53" si="12">B52-B43</f>
        <v>8783256</v>
      </c>
      <c r="C53" s="50">
        <f t="shared" si="12"/>
        <v>1001368.3060714286</v>
      </c>
      <c r="D53" s="50">
        <f t="shared" si="12"/>
        <v>1518632.6121428572</v>
      </c>
      <c r="E53" s="50">
        <f t="shared" si="12"/>
        <v>1945590.9182142857</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557</v>
      </c>
      <c r="B54" s="54">
        <f t="shared" ref="B54:N54" si="13">B43/B52</f>
        <v>0.14926006767558531</v>
      </c>
      <c r="C54" s="54">
        <f t="shared" si="13"/>
        <v>0.68097200334109775</v>
      </c>
      <c r="D54" s="54">
        <f t="shared" si="13"/>
        <v>0.49011202969721152</v>
      </c>
      <c r="E54" s="54">
        <f t="shared" si="13"/>
        <v>0.47136720266247145</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558</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166</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559</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32</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560</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561</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562</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563</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564</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565</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566</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252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567</v>
      </c>
      <c r="B2" s="275" t="s">
        <v>166</v>
      </c>
      <c r="C2" s="275" t="s">
        <v>167</v>
      </c>
      <c r="D2" s="275" t="s">
        <v>168</v>
      </c>
      <c r="E2" s="275" t="s">
        <v>169</v>
      </c>
      <c r="F2" s="275" t="s">
        <v>166</v>
      </c>
      <c r="G2" s="275" t="s">
        <v>167</v>
      </c>
      <c r="H2" s="275" t="s">
        <v>168</v>
      </c>
      <c r="I2" s="275" t="s">
        <v>169</v>
      </c>
      <c r="J2" s="275" t="s">
        <v>166</v>
      </c>
      <c r="K2" s="275" t="s">
        <v>166</v>
      </c>
      <c r="L2" s="275" t="s">
        <v>166</v>
      </c>
      <c r="M2" s="275" t="s">
        <v>166</v>
      </c>
      <c r="N2" s="275" t="s">
        <v>166</v>
      </c>
      <c r="O2" s="50"/>
      <c r="P2" s="43"/>
      <c r="Q2" s="43"/>
      <c r="R2" s="43"/>
      <c r="S2" s="43"/>
      <c r="T2" s="43"/>
      <c r="U2" s="43"/>
    </row>
    <row r="3" spans="1:21" ht="18.649999999999999" customHeight="1" thickBot="1">
      <c r="A3" s="278" t="s">
        <v>568</v>
      </c>
      <c r="B3" s="50"/>
      <c r="C3" s="51"/>
      <c r="D3" s="51"/>
      <c r="E3" s="51"/>
      <c r="F3" s="52"/>
      <c r="G3" s="53"/>
      <c r="H3" s="53"/>
      <c r="I3" s="53"/>
      <c r="J3" s="53"/>
      <c r="K3" s="53"/>
      <c r="L3" s="53"/>
      <c r="M3" s="50"/>
      <c r="N3" s="279">
        <f>+N4/SUM(C4:F4)</f>
        <v>1.7156524256088908</v>
      </c>
      <c r="O3" s="50"/>
      <c r="P3" s="62"/>
      <c r="Q3" s="62"/>
      <c r="R3" s="43"/>
      <c r="S3" s="280"/>
      <c r="T3" s="43"/>
      <c r="U3" s="43"/>
    </row>
    <row r="4" spans="1:21">
      <c r="A4" s="56" t="s">
        <v>569</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570</v>
      </c>
      <c r="P4" s="69"/>
      <c r="Q4" s="111"/>
      <c r="R4" s="43"/>
      <c r="S4" s="59"/>
      <c r="T4" s="43"/>
      <c r="U4" s="43"/>
    </row>
    <row r="5" spans="1:21">
      <c r="A5" s="281" t="s">
        <v>571</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572</v>
      </c>
      <c r="B6" s="50"/>
      <c r="C6" s="50"/>
      <c r="D6" s="50"/>
      <c r="E6" s="50"/>
      <c r="F6" s="50"/>
      <c r="G6" s="50"/>
      <c r="H6" s="284"/>
      <c r="I6" s="287">
        <v>-1300000</v>
      </c>
      <c r="J6" s="284"/>
      <c r="K6" s="287">
        <v>-2550000</v>
      </c>
      <c r="L6" s="284"/>
      <c r="M6" s="284"/>
      <c r="N6" s="284"/>
      <c r="O6" s="284"/>
      <c r="P6" s="62"/>
      <c r="Q6" s="62"/>
      <c r="R6" s="176"/>
      <c r="S6" s="286"/>
      <c r="T6" s="176"/>
      <c r="U6" s="176"/>
    </row>
    <row r="7" spans="1:21">
      <c r="A7" s="281" t="s">
        <v>573</v>
      </c>
      <c r="B7" s="50"/>
      <c r="C7" s="50"/>
      <c r="D7" s="50"/>
      <c r="E7" s="50"/>
      <c r="F7" s="50"/>
      <c r="G7" s="50"/>
      <c r="H7" s="284"/>
      <c r="I7" s="284"/>
      <c r="J7" s="284"/>
      <c r="K7" s="284"/>
      <c r="L7" s="284"/>
      <c r="M7" s="284"/>
      <c r="N7" s="284"/>
      <c r="O7" s="284"/>
      <c r="P7" s="62"/>
      <c r="Q7" s="62"/>
      <c r="R7" s="176"/>
      <c r="S7" s="176"/>
      <c r="T7" s="176"/>
      <c r="U7" s="176"/>
    </row>
    <row r="8" spans="1:21" s="2" customFormat="1">
      <c r="A8" s="46" t="s">
        <v>574</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575</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576</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577</v>
      </c>
      <c r="B11" s="50"/>
      <c r="C11" s="50"/>
      <c r="D11" s="50"/>
      <c r="E11" s="50"/>
      <c r="F11" s="50"/>
      <c r="G11" s="50"/>
      <c r="H11" s="50"/>
      <c r="I11" s="50"/>
      <c r="J11" s="50"/>
      <c r="K11" s="50"/>
      <c r="L11" s="50"/>
      <c r="M11" s="50"/>
      <c r="N11" s="50"/>
      <c r="O11" s="50"/>
      <c r="P11" s="62"/>
      <c r="Q11" s="43"/>
      <c r="R11" s="43"/>
      <c r="S11" s="43"/>
      <c r="T11" s="43"/>
      <c r="U11" s="43"/>
    </row>
    <row r="12" spans="1:21">
      <c r="A12" s="46" t="s">
        <v>578</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579</v>
      </c>
      <c r="B13" s="50"/>
      <c r="C13" s="68">
        <v>750000</v>
      </c>
      <c r="D13" s="50"/>
      <c r="E13" s="50"/>
      <c r="F13" s="50"/>
      <c r="G13" s="50"/>
      <c r="H13" s="50"/>
      <c r="I13" s="50"/>
      <c r="J13" s="50"/>
      <c r="K13" s="50"/>
      <c r="L13" s="50"/>
      <c r="M13" s="50"/>
      <c r="N13" s="50"/>
      <c r="O13" s="50"/>
      <c r="P13" s="62"/>
      <c r="Q13" s="43"/>
      <c r="R13" s="43"/>
      <c r="S13" s="43"/>
      <c r="T13" s="43"/>
      <c r="U13" s="43"/>
    </row>
    <row r="14" spans="1:21">
      <c r="A14" s="46" t="s">
        <v>580</v>
      </c>
      <c r="B14" s="50"/>
      <c r="C14" s="68">
        <v>2500000</v>
      </c>
      <c r="D14" s="50"/>
      <c r="E14" s="50"/>
      <c r="F14" s="50"/>
      <c r="G14" s="50"/>
      <c r="H14" s="50"/>
      <c r="I14" s="50"/>
      <c r="J14" s="50"/>
      <c r="K14" s="50"/>
      <c r="L14" s="50"/>
      <c r="M14" s="50"/>
      <c r="N14" s="50"/>
      <c r="O14" s="50"/>
      <c r="P14" s="62"/>
      <c r="Q14" s="43"/>
      <c r="R14" s="43"/>
      <c r="S14" s="43"/>
      <c r="T14" s="43"/>
      <c r="U14" s="43"/>
    </row>
    <row r="15" spans="1:21">
      <c r="A15" s="46" t="s">
        <v>581</v>
      </c>
      <c r="B15" s="50"/>
      <c r="C15" s="50"/>
      <c r="D15" s="50"/>
      <c r="E15" s="50"/>
      <c r="F15" s="50"/>
      <c r="G15" s="50"/>
      <c r="H15" s="50"/>
      <c r="I15" s="50"/>
      <c r="J15" s="50"/>
      <c r="K15" s="50"/>
      <c r="L15" s="50"/>
      <c r="M15" s="50"/>
      <c r="N15" s="50"/>
      <c r="O15" s="50"/>
      <c r="P15" s="62"/>
      <c r="Q15" s="43"/>
      <c r="R15" s="43"/>
      <c r="S15" s="43"/>
      <c r="T15" s="43"/>
      <c r="U15" s="43"/>
    </row>
    <row r="16" spans="1:21">
      <c r="A16" s="281" t="s">
        <v>582</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337</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583</v>
      </c>
      <c r="B18" s="50"/>
      <c r="C18" s="50"/>
      <c r="D18" s="50"/>
      <c r="E18" s="50"/>
      <c r="F18" s="50"/>
      <c r="G18" s="50"/>
      <c r="H18" s="50"/>
      <c r="I18" s="50"/>
      <c r="J18" s="50"/>
      <c r="K18" s="50"/>
      <c r="L18" s="50"/>
      <c r="M18" s="50"/>
      <c r="N18" s="50"/>
      <c r="O18" s="43"/>
      <c r="P18" s="62"/>
      <c r="Q18" s="62"/>
      <c r="R18" s="43"/>
      <c r="S18" s="43"/>
      <c r="T18" s="43"/>
      <c r="U18" s="43"/>
    </row>
    <row r="19" spans="1:21">
      <c r="A19" s="46" t="s">
        <v>584</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585</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586</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587</v>
      </c>
      <c r="B22" s="50"/>
      <c r="C22" s="50"/>
      <c r="D22" s="50"/>
      <c r="E22" s="50"/>
      <c r="F22" s="50"/>
      <c r="G22" s="50"/>
      <c r="H22" s="50"/>
      <c r="I22" s="50"/>
      <c r="J22" s="50"/>
      <c r="K22" s="50"/>
      <c r="L22" s="50"/>
      <c r="M22" s="50"/>
      <c r="N22" s="50"/>
      <c r="O22" s="50"/>
      <c r="P22" s="62"/>
      <c r="Q22" s="62"/>
      <c r="R22" s="43"/>
      <c r="S22" s="43"/>
      <c r="T22" s="43"/>
      <c r="U22" s="43"/>
    </row>
    <row r="23" spans="1:21">
      <c r="A23" s="46" t="s">
        <v>588</v>
      </c>
      <c r="B23" s="50"/>
      <c r="C23" s="50"/>
      <c r="D23" s="50"/>
      <c r="E23" s="50"/>
      <c r="F23" s="50"/>
      <c r="G23" s="50"/>
      <c r="H23" s="50"/>
      <c r="I23" s="50"/>
      <c r="J23" s="50"/>
      <c r="K23" s="50"/>
      <c r="L23" s="50"/>
      <c r="M23" s="68">
        <v>-2000000</v>
      </c>
      <c r="N23" s="50"/>
      <c r="O23" s="50"/>
      <c r="P23" s="62"/>
      <c r="Q23" s="62"/>
      <c r="R23" s="43"/>
      <c r="S23" s="43"/>
      <c r="T23" s="43"/>
      <c r="U23" s="43"/>
    </row>
    <row r="24" spans="1:21">
      <c r="A24" s="46" t="s">
        <v>589</v>
      </c>
      <c r="B24" s="50"/>
      <c r="C24" s="50"/>
      <c r="D24" s="50"/>
      <c r="E24" s="68">
        <v>-2390342</v>
      </c>
      <c r="F24" s="50"/>
      <c r="G24" s="50"/>
      <c r="H24" s="50"/>
      <c r="I24" s="50"/>
      <c r="J24" s="50"/>
      <c r="K24" s="50"/>
      <c r="L24" s="50"/>
      <c r="M24" s="50"/>
      <c r="N24" s="50"/>
      <c r="O24" s="50"/>
      <c r="P24" s="62"/>
      <c r="Q24" s="62"/>
      <c r="R24" s="43"/>
      <c r="S24" s="43"/>
      <c r="T24" s="43"/>
      <c r="U24" s="43"/>
    </row>
    <row r="25" spans="1:21">
      <c r="A25" s="101" t="s">
        <v>337</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533</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590</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591</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592</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593</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594</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595</v>
      </c>
      <c r="B36" s="68">
        <v>4575000</v>
      </c>
      <c r="C36" s="50"/>
      <c r="D36" s="50"/>
      <c r="E36" s="50"/>
      <c r="F36" s="50"/>
      <c r="G36" s="50"/>
      <c r="H36" s="50"/>
      <c r="I36" s="50"/>
      <c r="J36" s="50"/>
      <c r="K36" s="50"/>
      <c r="L36" s="50"/>
      <c r="M36" s="50"/>
      <c r="N36" s="50"/>
      <c r="O36" s="67" t="s">
        <v>596</v>
      </c>
      <c r="P36" s="62"/>
      <c r="Q36" s="62"/>
      <c r="R36" s="43"/>
      <c r="S36" s="43"/>
      <c r="T36" s="43"/>
      <c r="U36" s="43"/>
    </row>
    <row r="37" spans="1:21" ht="14.65" customHeight="1" thickBot="1">
      <c r="A37" s="56" t="s">
        <v>597</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598</v>
      </c>
      <c r="Q37" s="77">
        <v>0.03</v>
      </c>
      <c r="R37" s="43"/>
      <c r="S37" s="43"/>
      <c r="T37" s="43"/>
      <c r="U37" s="43"/>
    </row>
    <row r="38" spans="1:21">
      <c r="A38" s="56" t="s">
        <v>599</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600</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601</v>
      </c>
      <c r="B40" s="50"/>
      <c r="C40" s="50"/>
      <c r="D40" s="50"/>
      <c r="E40" s="50"/>
      <c r="F40" s="50"/>
      <c r="G40" s="50"/>
      <c r="H40" s="50"/>
      <c r="I40" s="50"/>
      <c r="J40" s="50"/>
      <c r="K40" s="50"/>
      <c r="L40" s="50"/>
      <c r="M40" s="50"/>
      <c r="N40" s="50"/>
      <c r="O40" s="50"/>
      <c r="P40" s="62"/>
      <c r="Q40" s="62"/>
      <c r="R40" s="176"/>
      <c r="S40" s="121"/>
      <c r="T40" s="175"/>
      <c r="U40" s="175"/>
    </row>
    <row r="41" spans="1:21">
      <c r="A41" s="56" t="s">
        <v>602</v>
      </c>
      <c r="B41" s="50"/>
      <c r="C41" s="50"/>
      <c r="D41" s="50"/>
      <c r="E41" s="50"/>
      <c r="F41" s="50"/>
      <c r="G41" s="50"/>
      <c r="H41" s="50"/>
      <c r="I41" s="50"/>
      <c r="J41" s="50"/>
      <c r="K41" s="50"/>
      <c r="L41" s="50"/>
      <c r="M41" s="50"/>
      <c r="N41" s="50"/>
      <c r="O41" s="50"/>
      <c r="P41" s="62"/>
      <c r="Q41" s="62"/>
      <c r="R41" s="176"/>
      <c r="S41" s="121"/>
      <c r="T41" s="175"/>
      <c r="U41" s="175"/>
    </row>
    <row r="42" spans="1:21">
      <c r="A42" s="56" t="s">
        <v>603</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604</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605</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606</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607</v>
      </c>
      <c r="B47" s="50"/>
      <c r="C47" s="50"/>
      <c r="D47" s="50"/>
      <c r="E47" s="50"/>
      <c r="F47" s="50"/>
      <c r="G47" s="50"/>
      <c r="H47" s="50"/>
      <c r="I47" s="50"/>
      <c r="J47" s="50"/>
      <c r="K47" s="50"/>
      <c r="L47" s="50"/>
      <c r="M47" s="50"/>
      <c r="N47" s="50"/>
      <c r="O47" s="50"/>
      <c r="P47" s="62"/>
      <c r="Q47" s="62"/>
      <c r="R47" s="43"/>
      <c r="S47" s="43"/>
      <c r="T47" s="43"/>
      <c r="U47" s="43"/>
    </row>
    <row r="48" spans="1:21">
      <c r="A48" s="281" t="s">
        <v>608</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609</v>
      </c>
      <c r="P48" s="293">
        <v>8.7499999999999994E-2</v>
      </c>
      <c r="Q48" s="62"/>
      <c r="R48" s="43"/>
      <c r="S48" s="43"/>
      <c r="T48" s="43"/>
      <c r="U48" s="43"/>
    </row>
    <row r="49" spans="1:21">
      <c r="A49" s="281" t="s">
        <v>610</v>
      </c>
      <c r="B49" s="284"/>
      <c r="C49" s="284"/>
      <c r="D49" s="50"/>
      <c r="E49" s="284"/>
      <c r="F49" s="284"/>
      <c r="G49" s="284"/>
      <c r="H49" s="284"/>
      <c r="I49" s="284"/>
      <c r="J49" s="284"/>
      <c r="K49" s="284"/>
      <c r="L49" s="284"/>
      <c r="M49" s="287">
        <v>-69000000</v>
      </c>
      <c r="N49" s="284">
        <f>+M49</f>
        <v>-69000000</v>
      </c>
      <c r="O49" s="292" t="s">
        <v>611</v>
      </c>
      <c r="P49" s="77">
        <v>0.08</v>
      </c>
      <c r="Q49" s="62"/>
      <c r="R49" s="43"/>
      <c r="S49" s="43"/>
      <c r="T49" s="43"/>
      <c r="U49" s="43"/>
    </row>
    <row r="50" spans="1:21">
      <c r="A50" s="281" t="s">
        <v>612</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613</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614</v>
      </c>
      <c r="B52" s="50"/>
      <c r="C52" s="50"/>
      <c r="D52" s="50"/>
      <c r="E52" s="50"/>
      <c r="F52" s="50"/>
      <c r="G52" s="50">
        <f>+F52</f>
        <v>0</v>
      </c>
      <c r="H52" s="50"/>
      <c r="I52" s="50"/>
      <c r="J52" s="50"/>
      <c r="K52" s="50"/>
      <c r="L52" s="50"/>
      <c r="M52" s="50"/>
      <c r="N52" s="50"/>
      <c r="O52" s="50"/>
      <c r="P52" s="62"/>
      <c r="Q52" s="62"/>
      <c r="R52" s="43"/>
      <c r="S52" s="43"/>
      <c r="T52" s="43"/>
      <c r="U52" s="43"/>
    </row>
    <row r="53" spans="1:21">
      <c r="A53" s="281" t="s">
        <v>615</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616</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617</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618</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619</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620</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621</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622</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623</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624</v>
      </c>
      <c r="C65" s="229"/>
      <c r="D65" s="300"/>
      <c r="E65" s="300"/>
      <c r="F65" s="43"/>
      <c r="G65" s="202" t="s">
        <v>625</v>
      </c>
      <c r="H65" s="229"/>
      <c r="I65" s="43"/>
      <c r="J65" s="43"/>
      <c r="K65" s="43"/>
      <c r="L65" s="43"/>
      <c r="M65" s="43"/>
      <c r="N65" s="43"/>
      <c r="O65" s="43"/>
      <c r="P65" s="43"/>
      <c r="Q65" s="43"/>
      <c r="R65" s="43"/>
      <c r="S65" s="62"/>
      <c r="T65" s="62"/>
      <c r="U65" s="43"/>
    </row>
    <row r="66" spans="1:21" ht="15.65" customHeight="1">
      <c r="A66" s="229"/>
      <c r="B66" s="202" t="s">
        <v>626</v>
      </c>
      <c r="C66" s="208">
        <v>0.12</v>
      </c>
      <c r="D66" s="229"/>
      <c r="E66" s="229"/>
      <c r="F66" s="43"/>
      <c r="G66" s="202" t="s">
        <v>626</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627</v>
      </c>
      <c r="H67" s="255">
        <v>3062884</v>
      </c>
      <c r="I67" s="43"/>
      <c r="J67" s="43"/>
      <c r="K67" s="43"/>
      <c r="L67" s="43"/>
      <c r="M67" s="43"/>
      <c r="N67" s="43"/>
      <c r="O67" s="43"/>
      <c r="P67" s="43"/>
      <c r="Q67" s="43"/>
      <c r="R67" s="43"/>
      <c r="S67" s="62"/>
      <c r="T67" s="62"/>
      <c r="U67" s="43"/>
    </row>
    <row r="68" spans="1:21" ht="15.65" customHeight="1">
      <c r="A68" s="229"/>
      <c r="B68" s="202" t="s">
        <v>628</v>
      </c>
      <c r="C68" s="302">
        <v>1000000</v>
      </c>
      <c r="D68" s="300">
        <f>C68</f>
        <v>1000000</v>
      </c>
      <c r="E68" s="229"/>
      <c r="F68" s="43"/>
      <c r="G68" s="202" t="s">
        <v>629</v>
      </c>
      <c r="H68" s="244">
        <f>+H67*H66</f>
        <v>347127.99999999994</v>
      </c>
      <c r="I68" s="43"/>
      <c r="J68" s="43"/>
      <c r="K68" s="43"/>
      <c r="L68" s="43"/>
      <c r="M68" s="43"/>
      <c r="N68" s="43"/>
      <c r="O68" s="43"/>
      <c r="P68" s="43"/>
      <c r="Q68" s="43"/>
      <c r="R68" s="43"/>
      <c r="S68" s="62"/>
      <c r="T68" s="62"/>
      <c r="U68" s="43"/>
    </row>
    <row r="69" spans="1:21" ht="15.65" customHeight="1">
      <c r="A69" s="229"/>
      <c r="B69" s="202" t="s">
        <v>630</v>
      </c>
      <c r="C69" s="303">
        <f>+C68*12%</f>
        <v>120000</v>
      </c>
      <c r="D69" s="229"/>
      <c r="E69" s="229"/>
      <c r="F69" s="43"/>
      <c r="G69" s="202" t="s">
        <v>631</v>
      </c>
      <c r="H69" s="244">
        <f>-H68</f>
        <v>-347127.99999999994</v>
      </c>
      <c r="I69" s="43"/>
      <c r="J69" s="43"/>
      <c r="K69" s="43"/>
      <c r="L69" s="43"/>
      <c r="M69" s="43"/>
      <c r="N69" s="43"/>
      <c r="O69" s="43"/>
      <c r="P69" s="43"/>
      <c r="Q69" s="43"/>
      <c r="R69" s="43"/>
      <c r="S69" s="62"/>
      <c r="T69" s="62"/>
      <c r="U69" s="43"/>
    </row>
    <row r="70" spans="1:21" ht="15.65" customHeight="1">
      <c r="A70" s="229"/>
      <c r="B70" s="202" t="s">
        <v>632</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632</v>
      </c>
      <c r="C72" s="303">
        <f>-20000*B75*12</f>
        <v>-180164.38356164383</v>
      </c>
      <c r="D72" s="300">
        <f>C72</f>
        <v>-180164.38356164383</v>
      </c>
      <c r="E72" s="229"/>
      <c r="F72" s="43"/>
      <c r="G72" s="202" t="s">
        <v>633</v>
      </c>
      <c r="H72" s="95" t="s">
        <v>634</v>
      </c>
      <c r="I72" s="43"/>
      <c r="J72" s="95" t="s">
        <v>634</v>
      </c>
      <c r="K72" s="43"/>
      <c r="L72" s="43"/>
      <c r="M72" s="43"/>
      <c r="N72" s="43"/>
      <c r="O72" s="43"/>
      <c r="P72" s="43"/>
      <c r="Q72" s="43"/>
      <c r="R72" s="43"/>
      <c r="S72" s="43"/>
      <c r="T72" s="43"/>
      <c r="U72" s="43"/>
    </row>
    <row r="73" spans="1:21" ht="15.65" customHeight="1">
      <c r="A73" s="229"/>
      <c r="B73" s="305" t="s">
        <v>630</v>
      </c>
      <c r="C73" s="303">
        <f>C71*B75*12%</f>
        <v>79272.328767123297</v>
      </c>
      <c r="D73" s="229"/>
      <c r="E73" s="306" t="s">
        <v>635</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636</v>
      </c>
      <c r="C78" s="300">
        <f>+C74</f>
        <v>779107.94520547951</v>
      </c>
      <c r="D78" s="314">
        <f>D74</f>
        <v>579835.61643835623</v>
      </c>
      <c r="E78" s="314"/>
      <c r="F78" s="43"/>
      <c r="G78" s="46" t="s">
        <v>637</v>
      </c>
      <c r="H78" s="95" t="s">
        <v>634</v>
      </c>
      <c r="I78" s="43"/>
      <c r="J78" s="95" t="s">
        <v>634</v>
      </c>
      <c r="K78" s="43"/>
      <c r="L78" s="43"/>
      <c r="M78" s="43"/>
      <c r="N78" s="43"/>
      <c r="O78" s="43"/>
      <c r="P78" s="43"/>
      <c r="Q78" s="43"/>
      <c r="R78" s="43"/>
      <c r="S78" s="43"/>
      <c r="T78" s="43"/>
      <c r="U78" s="43"/>
    </row>
    <row r="79" spans="1:21" ht="15.65" customHeight="1">
      <c r="A79" s="229"/>
      <c r="B79" s="202" t="s">
        <v>630</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632</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638</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639</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640</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118</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632</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630</v>
      </c>
      <c r="C88" s="302">
        <v>121474.62838356161</v>
      </c>
      <c r="D88" s="229"/>
      <c r="E88" s="306" t="s">
        <v>641</v>
      </c>
      <c r="F88" s="43"/>
      <c r="G88" s="43"/>
      <c r="H88" s="43"/>
      <c r="I88" s="43"/>
      <c r="J88" s="43"/>
      <c r="K88" s="43"/>
      <c r="L88" s="43"/>
      <c r="M88" s="43"/>
      <c r="N88" s="43"/>
      <c r="O88" s="43"/>
      <c r="P88" s="43"/>
      <c r="Q88" s="43"/>
      <c r="R88" s="43"/>
      <c r="S88" s="43"/>
      <c r="T88" s="43"/>
      <c r="U88" s="43"/>
    </row>
    <row r="89" spans="1:21" ht="15.65" customHeight="1">
      <c r="A89" s="210">
        <v>45657</v>
      </c>
      <c r="B89" s="202" t="s">
        <v>642</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643</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644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645</v>
      </c>
      <c r="B2" s="275" t="s">
        <v>166</v>
      </c>
      <c r="C2" s="275" t="s">
        <v>167</v>
      </c>
      <c r="D2" s="275" t="s">
        <v>168</v>
      </c>
      <c r="E2" s="275" t="s">
        <v>169</v>
      </c>
      <c r="F2" s="275" t="s">
        <v>166</v>
      </c>
      <c r="G2" s="275" t="s">
        <v>167</v>
      </c>
      <c r="H2" s="275" t="s">
        <v>168</v>
      </c>
      <c r="I2" s="275" t="s">
        <v>169</v>
      </c>
      <c r="J2" s="275" t="s">
        <v>166</v>
      </c>
      <c r="K2" s="275" t="s">
        <v>166</v>
      </c>
      <c r="L2" s="275" t="s">
        <v>166</v>
      </c>
      <c r="M2" s="275" t="s">
        <v>166</v>
      </c>
      <c r="N2" s="275" t="s">
        <v>166</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646</v>
      </c>
      <c r="B4" s="50"/>
      <c r="C4" s="51"/>
      <c r="D4" s="51"/>
      <c r="E4" s="51"/>
      <c r="F4" s="51"/>
      <c r="G4" s="50"/>
      <c r="H4" s="50"/>
      <c r="I4" s="50"/>
      <c r="J4" s="50"/>
      <c r="K4" s="50"/>
      <c r="L4" s="50"/>
      <c r="M4" s="50"/>
      <c r="N4" s="50"/>
      <c r="O4" s="50"/>
      <c r="P4" s="43"/>
      <c r="Q4" s="43"/>
      <c r="R4" s="43"/>
      <c r="S4" s="43"/>
      <c r="T4" s="43"/>
      <c r="U4" s="43"/>
      <c r="V4" s="43"/>
      <c r="W4" s="43"/>
    </row>
    <row r="5" spans="1:23">
      <c r="A5" s="56" t="s">
        <v>647</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571</v>
      </c>
      <c r="B6" s="50"/>
      <c r="C6" s="51"/>
      <c r="D6" s="51"/>
      <c r="E6" s="51"/>
      <c r="F6" s="51"/>
      <c r="G6" s="50"/>
      <c r="H6" s="50"/>
      <c r="I6" s="50"/>
      <c r="J6" s="50"/>
      <c r="K6" s="50"/>
      <c r="L6" s="50"/>
      <c r="M6" s="50"/>
      <c r="N6" s="50"/>
      <c r="O6" s="50"/>
      <c r="P6" s="43"/>
      <c r="Q6" s="318"/>
      <c r="R6" s="43"/>
      <c r="S6" s="43"/>
      <c r="T6" s="43"/>
      <c r="U6" s="43"/>
      <c r="V6" s="43"/>
      <c r="W6" s="43"/>
    </row>
    <row r="7" spans="1:23">
      <c r="A7" s="46" t="s">
        <v>573</v>
      </c>
      <c r="B7" s="50"/>
      <c r="C7" s="51"/>
      <c r="D7" s="51"/>
      <c r="E7" s="51"/>
      <c r="F7" s="51"/>
      <c r="G7" s="50"/>
      <c r="H7" s="50"/>
      <c r="I7" s="50"/>
      <c r="J7" s="50"/>
      <c r="K7" s="50"/>
      <c r="L7" s="50"/>
      <c r="M7" s="50"/>
      <c r="N7" s="50"/>
      <c r="O7" s="50"/>
      <c r="P7" s="43"/>
      <c r="Q7" s="59"/>
      <c r="R7" s="43"/>
      <c r="S7" s="43"/>
      <c r="T7" s="43"/>
      <c r="U7" s="43"/>
      <c r="V7" s="43"/>
      <c r="W7" s="43"/>
    </row>
    <row r="8" spans="1:23">
      <c r="A8" s="46" t="s">
        <v>648</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649</v>
      </c>
      <c r="B9" s="50"/>
      <c r="C9" s="51"/>
      <c r="D9" s="51"/>
      <c r="E9" s="51"/>
      <c r="F9" s="51"/>
      <c r="G9" s="50"/>
      <c r="H9" s="68">
        <v>0</v>
      </c>
      <c r="I9" s="68">
        <v>0</v>
      </c>
      <c r="J9" s="50"/>
      <c r="K9" s="50"/>
      <c r="L9" s="50"/>
      <c r="M9" s="50"/>
      <c r="N9" s="50"/>
      <c r="O9" s="50"/>
      <c r="P9" s="43"/>
      <c r="Q9" s="43"/>
      <c r="R9" s="43"/>
      <c r="S9" s="43"/>
      <c r="T9" s="43"/>
      <c r="U9" s="43"/>
      <c r="V9" s="43"/>
      <c r="W9" s="43"/>
    </row>
    <row r="10" spans="1:23">
      <c r="A10" s="46" t="s">
        <v>576</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650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651</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652</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653</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654</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284</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655</v>
      </c>
      <c r="B20" s="50"/>
      <c r="C20" s="50"/>
      <c r="D20" s="50"/>
      <c r="E20" s="50"/>
      <c r="F20" s="50"/>
      <c r="G20" s="67" t="s">
        <v>248</v>
      </c>
      <c r="H20" s="137">
        <f>13290000+SUM(G22:J22)</f>
        <v>0</v>
      </c>
      <c r="I20" s="50"/>
      <c r="J20" s="50"/>
      <c r="K20" s="50"/>
      <c r="L20" s="50"/>
      <c r="M20" s="50"/>
      <c r="N20" s="50"/>
      <c r="O20" s="50"/>
      <c r="P20" s="43"/>
      <c r="Q20" s="43"/>
      <c r="R20" s="43"/>
      <c r="S20" s="43"/>
      <c r="T20" s="43"/>
      <c r="U20" s="43"/>
      <c r="V20" s="43"/>
      <c r="W20" s="43"/>
    </row>
    <row r="21" spans="1:23">
      <c r="A21" s="46" t="s">
        <v>656</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657</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658</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286</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533</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591</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592</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593</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659</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660</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598</v>
      </c>
      <c r="Q33" s="294">
        <v>0.05</v>
      </c>
      <c r="R33" s="50"/>
      <c r="S33" s="50"/>
      <c r="T33" s="50"/>
      <c r="U33" s="50"/>
      <c r="V33" s="43"/>
      <c r="W33" s="43"/>
    </row>
    <row r="34" spans="1:23" ht="14.65" customHeight="1" thickBot="1">
      <c r="A34" s="56" t="s">
        <v>661</v>
      </c>
      <c r="B34" s="50"/>
      <c r="C34" s="68">
        <v>0</v>
      </c>
      <c r="D34" s="68">
        <v>0</v>
      </c>
      <c r="E34" s="68">
        <v>0</v>
      </c>
      <c r="F34" s="68">
        <v>0</v>
      </c>
      <c r="G34" s="68">
        <v>0</v>
      </c>
      <c r="H34" s="68">
        <v>0</v>
      </c>
      <c r="I34" s="68">
        <v>0</v>
      </c>
      <c r="J34" s="68">
        <v>0</v>
      </c>
      <c r="K34" s="68">
        <v>0</v>
      </c>
      <c r="L34" s="68">
        <v>0</v>
      </c>
      <c r="M34" s="68">
        <v>0</v>
      </c>
      <c r="N34" s="68">
        <v>0</v>
      </c>
      <c r="O34" s="50"/>
      <c r="P34" s="67" t="s">
        <v>662</v>
      </c>
      <c r="Q34" s="309">
        <v>47209</v>
      </c>
      <c r="R34" s="50"/>
      <c r="S34" s="50"/>
      <c r="T34" s="50"/>
      <c r="U34" s="50"/>
      <c r="V34" s="43"/>
      <c r="W34" s="43"/>
    </row>
    <row r="35" spans="1:23">
      <c r="A35" s="56" t="s">
        <v>663</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664</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665</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666</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667</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668</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669</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670</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671</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301</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607</v>
      </c>
      <c r="B47" s="50"/>
      <c r="C47" s="50"/>
      <c r="D47" s="50"/>
      <c r="E47" s="50"/>
      <c r="F47" s="50"/>
      <c r="G47" s="50"/>
      <c r="H47" s="50"/>
      <c r="I47" s="50"/>
      <c r="J47" s="50"/>
      <c r="K47" s="50"/>
      <c r="L47" s="50"/>
      <c r="M47" s="50"/>
      <c r="N47" s="279">
        <f>-N48/N45</f>
        <v>0.30150099900099903</v>
      </c>
      <c r="O47" s="67" t="s">
        <v>672</v>
      </c>
      <c r="P47" s="50"/>
      <c r="Q47" s="50"/>
      <c r="R47" s="50"/>
      <c r="S47" s="50"/>
      <c r="T47" s="50"/>
      <c r="U47" s="64"/>
      <c r="V47" s="43"/>
      <c r="W47" s="43"/>
    </row>
    <row r="48" spans="1:23">
      <c r="A48" s="56" t="s">
        <v>673</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674</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675</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617</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233</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676</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677</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678</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679</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680</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680</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621</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622</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681</v>
      </c>
      <c r="B66" s="330" t="s">
        <v>166</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682</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683</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684</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685</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686</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687</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688</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689</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690</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691</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692</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693</v>
      </c>
      <c r="B2" s="334"/>
      <c r="C2" s="334"/>
      <c r="D2" s="334"/>
      <c r="E2" s="275" t="s">
        <v>166</v>
      </c>
      <c r="F2" s="275" t="s">
        <v>167</v>
      </c>
      <c r="G2" s="275" t="s">
        <v>168</v>
      </c>
      <c r="H2" s="275" t="s">
        <v>169</v>
      </c>
      <c r="I2" s="275" t="s">
        <v>166</v>
      </c>
      <c r="J2" s="275" t="s">
        <v>167</v>
      </c>
      <c r="K2" s="275" t="s">
        <v>168</v>
      </c>
      <c r="L2" s="275" t="s">
        <v>169</v>
      </c>
      <c r="M2" s="275" t="s">
        <v>166</v>
      </c>
      <c r="N2" s="275" t="s">
        <v>166</v>
      </c>
      <c r="O2" s="275" t="s">
        <v>166</v>
      </c>
      <c r="P2" s="275" t="s">
        <v>166</v>
      </c>
      <c r="Q2" s="275" t="s">
        <v>166</v>
      </c>
      <c r="R2" s="50"/>
      <c r="S2" s="43"/>
      <c r="T2" s="43"/>
      <c r="U2" s="43"/>
      <c r="V2" s="43"/>
      <c r="W2" s="43"/>
      <c r="X2" s="43"/>
      <c r="Y2" s="43"/>
      <c r="Z2" s="43"/>
      <c r="AA2" s="43"/>
      <c r="AB2" s="43"/>
      <c r="AC2" s="43"/>
      <c r="AD2" s="43"/>
      <c r="AE2" s="43"/>
    </row>
    <row r="3" spans="1:31" ht="14.65" customHeight="1" thickBot="1">
      <c r="A3" s="46" t="s">
        <v>568</v>
      </c>
      <c r="B3" s="43"/>
      <c r="C3" s="43"/>
      <c r="D3" s="43"/>
      <c r="E3" s="50"/>
      <c r="F3" s="51"/>
      <c r="G3" s="51"/>
      <c r="H3" s="51"/>
      <c r="I3" s="51"/>
      <c r="J3" s="50"/>
      <c r="K3" s="50"/>
      <c r="L3" s="50"/>
      <c r="M3" s="335" t="s">
        <v>694</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647</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695</v>
      </c>
      <c r="S4" s="69"/>
      <c r="T4" s="62"/>
      <c r="U4" s="43"/>
      <c r="V4" s="59"/>
      <c r="W4" s="43"/>
      <c r="X4" s="43"/>
      <c r="Y4" s="43"/>
      <c r="Z4" s="43"/>
      <c r="AA4" s="43"/>
      <c r="AB4" s="43"/>
      <c r="AC4" s="43"/>
      <c r="AD4" s="43"/>
      <c r="AE4" s="43"/>
    </row>
    <row r="5" spans="1:31">
      <c r="A5" s="56" t="s">
        <v>696</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571</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573</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648</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649</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576</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650</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651</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535</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578</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697</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698</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699</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337</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541</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700</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701</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702</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703</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704</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705</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706</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533</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591</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592</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593</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659</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707</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708</v>
      </c>
      <c r="S37" s="62"/>
      <c r="T37" s="62"/>
      <c r="U37" s="64"/>
      <c r="V37" s="280"/>
      <c r="W37" s="43"/>
      <c r="X37" s="43"/>
      <c r="Y37" s="43"/>
      <c r="Z37" s="43"/>
      <c r="AA37" s="43"/>
      <c r="AB37" s="43"/>
      <c r="AC37" s="43"/>
      <c r="AD37" s="43"/>
      <c r="AE37" s="43"/>
    </row>
    <row r="38" spans="1:31">
      <c r="A38" s="46" t="s">
        <v>709</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710</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711</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712</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713</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714</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598</v>
      </c>
      <c r="T44" s="78">
        <v>0.03</v>
      </c>
      <c r="U44" s="64"/>
      <c r="V44" s="55"/>
      <c r="W44" s="55"/>
      <c r="X44" s="59"/>
      <c r="Y44" s="59"/>
      <c r="Z44" s="59"/>
      <c r="AA44" s="59"/>
      <c r="AB44" s="59"/>
      <c r="AC44" s="59"/>
      <c r="AD44" s="43"/>
      <c r="AE44" s="43"/>
    </row>
    <row r="45" spans="1:31" ht="14.65" customHeight="1" thickBot="1">
      <c r="A45" s="56" t="s">
        <v>715</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716</v>
      </c>
      <c r="T45" s="78">
        <v>0.03</v>
      </c>
      <c r="U45" s="43"/>
      <c r="V45" s="59"/>
      <c r="W45" s="43"/>
      <c r="X45" s="43"/>
      <c r="Y45" s="43"/>
      <c r="Z45" s="43"/>
      <c r="AA45" s="43"/>
      <c r="AB45" s="43"/>
      <c r="AC45" s="43"/>
      <c r="AD45" s="43"/>
      <c r="AE45" s="43"/>
    </row>
    <row r="46" spans="1:31">
      <c r="A46" s="56" t="s">
        <v>717</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718</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719</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720</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721</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722</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723</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607</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724</v>
      </c>
      <c r="S56" s="62"/>
      <c r="T56" s="62"/>
      <c r="U56" s="43"/>
      <c r="V56" s="43"/>
      <c r="W56" s="43"/>
      <c r="X56" s="43"/>
      <c r="Y56" s="59"/>
      <c r="Z56" s="43"/>
      <c r="AA56" s="43"/>
      <c r="AB56" s="43"/>
      <c r="AC56" s="43"/>
      <c r="AD56" s="43"/>
      <c r="AE56" s="43"/>
    </row>
    <row r="57" spans="1:31">
      <c r="A57" s="281" t="s">
        <v>608</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725</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726</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727</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728</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729</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614</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730</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731</v>
      </c>
      <c r="T64" s="78">
        <v>0.15</v>
      </c>
      <c r="U64" s="43"/>
      <c r="V64" s="50"/>
      <c r="W64" s="50"/>
      <c r="X64" s="50"/>
      <c r="Y64" s="50"/>
      <c r="Z64" s="50"/>
      <c r="AA64" s="344"/>
      <c r="AB64" s="50"/>
      <c r="AC64" s="50"/>
      <c r="AD64" s="55"/>
      <c r="AE64" s="344"/>
    </row>
    <row r="65" spans="1:31">
      <c r="A65" s="46" t="s">
        <v>617</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732</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339</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733</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734</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735</v>
      </c>
      <c r="T70" s="78">
        <v>0.14000000000000001</v>
      </c>
      <c r="U70" s="43"/>
      <c r="V70" s="59"/>
      <c r="W70" s="43"/>
      <c r="X70" s="43"/>
      <c r="Y70" s="43"/>
      <c r="Z70" s="43"/>
      <c r="AA70" s="43"/>
      <c r="AB70" s="43"/>
      <c r="AC70" s="43"/>
      <c r="AD70" s="43"/>
      <c r="AE70" s="43"/>
    </row>
    <row r="71" spans="1:31">
      <c r="A71" s="101" t="s">
        <v>736</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737</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738</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739</v>
      </c>
      <c r="T75" s="78">
        <v>0.2</v>
      </c>
      <c r="U75" s="43"/>
      <c r="V75" s="59"/>
      <c r="W75" s="43"/>
      <c r="X75" s="43"/>
      <c r="Y75" s="43"/>
      <c r="Z75" s="43"/>
      <c r="AA75" s="43"/>
      <c r="AB75" s="43"/>
      <c r="AC75" s="43"/>
      <c r="AD75" s="43"/>
      <c r="AE75" s="43"/>
    </row>
    <row r="76" spans="1:31">
      <c r="A76" s="101" t="s">
        <v>740</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741</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742</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743</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744</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745</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746</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747</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748</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316</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621</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622</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749</v>
      </c>
      <c r="N90" s="363">
        <f>SUM(N97:N100)</f>
        <v>10847000</v>
      </c>
      <c r="O90" s="364">
        <f>+N90*(1+$B$105)^((N93-D92)/365)</f>
        <v>24292992.068343677</v>
      </c>
      <c r="P90" s="46" t="s">
        <v>750</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751</v>
      </c>
      <c r="Q91" s="43"/>
      <c r="R91" s="43"/>
      <c r="S91" s="43"/>
      <c r="T91" s="43"/>
      <c r="U91" s="43"/>
      <c r="V91" s="43"/>
      <c r="W91" s="43"/>
      <c r="X91" s="43"/>
      <c r="Y91" s="43"/>
      <c r="Z91" s="43"/>
      <c r="AA91" s="43"/>
      <c r="AB91" s="43"/>
      <c r="AC91" s="43"/>
      <c r="AD91" s="43"/>
      <c r="AE91" s="43"/>
    </row>
    <row r="92" spans="1:31" ht="14.65" customHeight="1" thickBot="1">
      <c r="A92" s="43"/>
      <c r="B92" s="43"/>
      <c r="C92" s="101" t="s">
        <v>752</v>
      </c>
      <c r="D92" s="366">
        <v>45638</v>
      </c>
      <c r="E92" s="55"/>
      <c r="F92" s="55"/>
      <c r="G92" s="55"/>
      <c r="H92" s="55"/>
      <c r="I92" s="43"/>
      <c r="J92" s="43"/>
      <c r="K92" s="43"/>
      <c r="L92" s="43"/>
      <c r="M92" s="43"/>
      <c r="N92" s="43"/>
      <c r="O92" s="367" t="s">
        <v>753</v>
      </c>
      <c r="P92" s="46" t="s">
        <v>754</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755</v>
      </c>
      <c r="B94" s="43"/>
      <c r="C94" s="46" t="s">
        <v>756</v>
      </c>
      <c r="D94" s="62"/>
      <c r="E94" s="96" t="s">
        <v>167</v>
      </c>
      <c r="F94" s="96" t="s">
        <v>168</v>
      </c>
      <c r="G94" s="96" t="s">
        <v>169</v>
      </c>
      <c r="H94" s="96" t="s">
        <v>166</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757</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758</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759</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760</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761</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762</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763</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764</v>
      </c>
      <c r="R102" s="43"/>
      <c r="S102" s="43"/>
      <c r="T102" s="43"/>
      <c r="U102" s="43"/>
      <c r="V102" s="43"/>
      <c r="W102" s="43"/>
      <c r="X102" s="43"/>
      <c r="Y102" s="43"/>
      <c r="Z102" s="43"/>
      <c r="AA102" s="43"/>
      <c r="AB102" s="43"/>
      <c r="AC102" s="43"/>
      <c r="AD102" s="43"/>
      <c r="AE102" s="43"/>
    </row>
    <row r="103" spans="1:31">
      <c r="A103" s="46" t="s">
        <v>630</v>
      </c>
      <c r="B103" s="43"/>
      <c r="C103" s="76"/>
      <c r="D103" s="320"/>
      <c r="E103" s="320"/>
      <c r="F103" s="320"/>
      <c r="G103" s="320"/>
      <c r="H103" s="320"/>
      <c r="I103" s="320"/>
      <c r="J103" s="320"/>
      <c r="K103" s="320"/>
      <c r="L103" s="320"/>
      <c r="M103" s="320"/>
      <c r="N103" s="368">
        <f>+O55-(O64*(1+$T$64))</f>
        <v>-9186160.9081607126</v>
      </c>
      <c r="O103" s="320"/>
      <c r="P103" s="320"/>
      <c r="Q103" s="46" t="s">
        <v>765</v>
      </c>
      <c r="R103" s="43"/>
      <c r="S103" s="43"/>
      <c r="T103" s="43"/>
      <c r="U103" s="43"/>
      <c r="V103" s="43"/>
      <c r="W103" s="43"/>
      <c r="X103" s="43"/>
      <c r="Y103" s="43"/>
      <c r="Z103" s="43"/>
      <c r="AA103" s="43"/>
      <c r="AB103" s="43"/>
      <c r="AC103" s="43"/>
      <c r="AD103" s="43"/>
      <c r="AE103" s="43"/>
    </row>
    <row r="104" spans="1:31">
      <c r="A104" s="371" t="s">
        <v>766</v>
      </c>
      <c r="B104" s="307">
        <v>46732</v>
      </c>
      <c r="C104" s="46" t="s">
        <v>767</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768</v>
      </c>
      <c r="B105" s="105">
        <v>0.22</v>
      </c>
      <c r="C105" s="46" t="s">
        <v>626</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175</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769</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770</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771</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337</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770</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771</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337</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772</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773</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462</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774</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775</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776</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462</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774</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775</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337</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255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777</v>
      </c>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646</v>
      </c>
      <c r="B4" s="50"/>
      <c r="C4" s="51"/>
      <c r="D4" s="51"/>
      <c r="E4" s="51"/>
      <c r="F4" s="51"/>
      <c r="G4" s="50"/>
      <c r="H4" s="50"/>
      <c r="I4" s="50"/>
      <c r="J4" s="50"/>
      <c r="K4" s="50"/>
      <c r="L4" s="50"/>
      <c r="M4" s="50"/>
      <c r="N4" s="50"/>
      <c r="O4" s="50"/>
      <c r="P4" s="43"/>
      <c r="Q4" s="43"/>
      <c r="R4" s="43"/>
      <c r="S4" s="43"/>
      <c r="T4" s="43"/>
      <c r="U4" s="43"/>
    </row>
    <row r="5" spans="1:21" ht="14.65" customHeight="1" thickBot="1">
      <c r="A5" s="56" t="s">
        <v>647</v>
      </c>
      <c r="B5" s="68">
        <v>0</v>
      </c>
      <c r="C5" s="317">
        <v>0</v>
      </c>
      <c r="D5" s="317">
        <v>0</v>
      </c>
      <c r="E5" s="317">
        <v>0</v>
      </c>
      <c r="F5" s="317">
        <v>0</v>
      </c>
      <c r="G5" s="68">
        <v>0</v>
      </c>
      <c r="H5" s="50"/>
      <c r="I5" s="50"/>
      <c r="J5" s="50"/>
      <c r="K5" s="68">
        <v>0</v>
      </c>
      <c r="L5" s="68">
        <v>3348930</v>
      </c>
      <c r="M5" s="68">
        <v>7372674.5376320239</v>
      </c>
      <c r="N5" s="68">
        <v>8142574</v>
      </c>
      <c r="O5" s="67" t="s">
        <v>778</v>
      </c>
      <c r="P5" s="43"/>
      <c r="Q5" s="76"/>
      <c r="R5" s="43"/>
      <c r="S5" s="43"/>
      <c r="T5" s="43"/>
      <c r="U5" s="43"/>
    </row>
    <row r="6" spans="1:21" ht="14.65" customHeight="1" thickBot="1">
      <c r="A6" s="46" t="s">
        <v>571</v>
      </c>
      <c r="B6" s="50"/>
      <c r="C6" s="51"/>
      <c r="D6" s="51"/>
      <c r="E6" s="51"/>
      <c r="F6" s="51"/>
      <c r="G6" s="50"/>
      <c r="H6" s="50"/>
      <c r="I6" s="50"/>
      <c r="J6" s="50"/>
      <c r="K6" s="137">
        <f>-K54*$P$6*(Q37-DATE(YEAR(K1),12,31))/365</f>
        <v>-2722191.7808219176</v>
      </c>
      <c r="L6" s="50">
        <f>+L54*$P$6</f>
        <v>-5400000</v>
      </c>
      <c r="M6" s="50">
        <f>+M54*$P$6</f>
        <v>-5400000</v>
      </c>
      <c r="N6" s="50">
        <f>+N54*$P$6</f>
        <v>-5400000</v>
      </c>
      <c r="O6" s="67" t="s">
        <v>779</v>
      </c>
      <c r="P6" s="78">
        <v>0.09</v>
      </c>
      <c r="Q6" s="318"/>
      <c r="R6" s="43"/>
      <c r="S6" s="43"/>
      <c r="T6" s="43"/>
      <c r="U6" s="43"/>
    </row>
    <row r="7" spans="1:21">
      <c r="A7" s="46" t="s">
        <v>573</v>
      </c>
      <c r="B7" s="50"/>
      <c r="C7" s="51"/>
      <c r="D7" s="51"/>
      <c r="E7" s="51"/>
      <c r="F7" s="51"/>
      <c r="G7" s="50"/>
      <c r="H7" s="50"/>
      <c r="I7" s="50"/>
      <c r="J7" s="50"/>
      <c r="K7" s="50"/>
      <c r="L7" s="50"/>
      <c r="M7" s="50"/>
      <c r="N7" s="50"/>
      <c r="O7" s="50"/>
      <c r="P7" s="43"/>
      <c r="Q7" s="59"/>
      <c r="R7" s="43"/>
      <c r="S7" s="43"/>
      <c r="T7" s="43"/>
      <c r="U7" s="43"/>
    </row>
    <row r="8" spans="1:21">
      <c r="A8" s="46" t="s">
        <v>648</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649</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576</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650</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651</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535</v>
      </c>
      <c r="B14" s="50"/>
      <c r="C14" s="50"/>
      <c r="D14" s="50"/>
      <c r="E14" s="50"/>
      <c r="F14" s="50"/>
      <c r="G14" s="50"/>
      <c r="H14" s="50"/>
      <c r="I14" s="50"/>
      <c r="J14" s="50"/>
      <c r="K14" s="50"/>
      <c r="L14" s="50"/>
      <c r="M14" s="50"/>
      <c r="N14" s="50"/>
      <c r="O14" s="50"/>
      <c r="P14" s="43"/>
      <c r="Q14" s="43"/>
      <c r="R14" s="43"/>
      <c r="S14" s="43"/>
      <c r="T14" s="43"/>
      <c r="U14" s="43"/>
    </row>
    <row r="15" spans="1:21">
      <c r="A15" s="46" t="s">
        <v>780</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696</v>
      </c>
      <c r="B16" s="50"/>
      <c r="C16" s="50"/>
      <c r="D16" s="50"/>
      <c r="E16" s="50"/>
      <c r="F16" s="50"/>
      <c r="G16" s="50"/>
      <c r="H16" s="50"/>
      <c r="I16" s="50"/>
      <c r="J16" s="50"/>
      <c r="K16" s="50">
        <f>K32</f>
        <v>-2300000</v>
      </c>
      <c r="L16" s="50"/>
      <c r="M16" s="50"/>
      <c r="N16" s="50"/>
      <c r="O16" s="50"/>
      <c r="P16" s="43"/>
      <c r="Q16" s="43"/>
      <c r="R16" s="43"/>
      <c r="S16" s="43"/>
      <c r="T16" s="43"/>
      <c r="U16" s="43"/>
    </row>
    <row r="17" spans="1:21">
      <c r="A17" s="46" t="s">
        <v>781</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782</v>
      </c>
      <c r="B18" s="50"/>
      <c r="C18" s="50"/>
      <c r="D18" s="50"/>
      <c r="E18" s="50"/>
      <c r="F18" s="50"/>
      <c r="G18" s="50"/>
      <c r="H18" s="68">
        <v>350000</v>
      </c>
      <c r="I18" s="50"/>
      <c r="J18" s="50"/>
      <c r="K18" s="50"/>
      <c r="L18" s="50"/>
      <c r="M18" s="50"/>
      <c r="N18" s="50"/>
      <c r="O18" s="50"/>
      <c r="P18" s="43"/>
      <c r="Q18" s="43"/>
      <c r="R18" s="43"/>
      <c r="S18" s="43"/>
      <c r="T18" s="43"/>
      <c r="U18" s="43"/>
    </row>
    <row r="19" spans="1:21">
      <c r="A19" s="281" t="s">
        <v>783</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337</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541</v>
      </c>
      <c r="B22" s="50"/>
      <c r="C22" s="50"/>
      <c r="D22" s="50"/>
      <c r="E22" s="50"/>
      <c r="F22" s="50"/>
      <c r="G22" s="50"/>
      <c r="H22" s="50"/>
      <c r="I22" s="50"/>
      <c r="J22" s="50"/>
      <c r="K22" s="50"/>
      <c r="L22" s="50"/>
      <c r="M22" s="50"/>
      <c r="N22" s="50"/>
      <c r="O22" s="50"/>
      <c r="P22" s="43"/>
      <c r="Q22" s="43"/>
      <c r="R22" s="43"/>
      <c r="S22" s="43"/>
      <c r="T22" s="43"/>
      <c r="U22" s="43"/>
    </row>
    <row r="23" spans="1:21">
      <c r="A23" s="46" t="s">
        <v>784</v>
      </c>
      <c r="B23" s="50"/>
      <c r="C23" s="50"/>
      <c r="D23" s="50"/>
      <c r="E23" s="50"/>
      <c r="F23" s="68">
        <v>0</v>
      </c>
      <c r="G23" s="50"/>
      <c r="H23" s="50"/>
      <c r="I23" s="50"/>
      <c r="J23" s="50"/>
      <c r="K23" s="50"/>
      <c r="L23" s="50"/>
      <c r="M23" s="50"/>
      <c r="N23" s="50"/>
      <c r="O23" s="50"/>
      <c r="P23" s="43"/>
      <c r="Q23" s="43"/>
      <c r="R23" s="43"/>
      <c r="S23" s="43"/>
      <c r="T23" s="43"/>
      <c r="U23" s="43"/>
    </row>
    <row r="24" spans="1:21">
      <c r="A24" s="46" t="s">
        <v>785</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786</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787</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337</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533</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591</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592</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593</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659</v>
      </c>
      <c r="B35" s="50"/>
      <c r="C35" s="51"/>
      <c r="D35" s="324"/>
      <c r="E35" s="324"/>
      <c r="F35" s="324"/>
      <c r="G35" s="66"/>
      <c r="H35" s="50"/>
      <c r="I35" s="50"/>
      <c r="J35" s="50"/>
      <c r="K35" s="50"/>
      <c r="L35" s="349">
        <f>+L5/L36</f>
        <v>2.9159164127122335E-2</v>
      </c>
      <c r="M35" s="349">
        <f>+M5/M36</f>
        <v>6.2960499894381072E-2</v>
      </c>
      <c r="N35" s="349">
        <f>+N5/N36</f>
        <v>6.7509920157860268E-2</v>
      </c>
      <c r="O35" s="67" t="s">
        <v>788</v>
      </c>
      <c r="P35" s="50"/>
      <c r="Q35" s="50"/>
      <c r="R35" s="50"/>
      <c r="S35" s="50"/>
      <c r="T35" s="50"/>
      <c r="U35" s="50"/>
    </row>
    <row r="36" spans="1:21" ht="14.65" customHeight="1" thickBot="1">
      <c r="A36" s="56" t="s">
        <v>660</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598</v>
      </c>
      <c r="Q36" s="294">
        <v>0.03</v>
      </c>
      <c r="R36" s="50"/>
      <c r="S36" s="50"/>
      <c r="T36" s="50"/>
      <c r="U36" s="50"/>
    </row>
    <row r="37" spans="1:21" ht="14.65" customHeight="1" thickBot="1">
      <c r="A37" s="56" t="s">
        <v>789</v>
      </c>
      <c r="B37" s="50"/>
      <c r="C37" s="68">
        <v>0</v>
      </c>
      <c r="D37" s="68">
        <v>0</v>
      </c>
      <c r="E37" s="68">
        <v>0</v>
      </c>
      <c r="F37" s="68">
        <v>0</v>
      </c>
      <c r="G37" s="68">
        <v>0</v>
      </c>
      <c r="H37" s="68">
        <v>0</v>
      </c>
      <c r="I37" s="68">
        <v>0</v>
      </c>
      <c r="J37" s="68">
        <v>0</v>
      </c>
      <c r="K37" s="68">
        <v>0</v>
      </c>
      <c r="L37" s="68">
        <v>0</v>
      </c>
      <c r="M37" s="68">
        <v>0</v>
      </c>
      <c r="N37" s="68">
        <v>0</v>
      </c>
      <c r="O37" s="50"/>
      <c r="P37" s="67" t="s">
        <v>790</v>
      </c>
      <c r="Q37" s="307">
        <v>46568</v>
      </c>
      <c r="R37" s="50"/>
      <c r="S37" s="50"/>
      <c r="T37" s="50"/>
      <c r="U37" s="50"/>
    </row>
    <row r="38" spans="1:21">
      <c r="A38" s="56" t="s">
        <v>791</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792</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793</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794</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665</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795</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796</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675</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668</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669</v>
      </c>
      <c r="B48" s="50"/>
      <c r="C48" s="50"/>
      <c r="D48" s="50"/>
      <c r="E48" s="50"/>
      <c r="F48" s="50"/>
      <c r="G48" s="50"/>
      <c r="H48" s="50"/>
      <c r="I48" s="50"/>
      <c r="J48" s="50"/>
      <c r="K48" s="280"/>
      <c r="L48" s="280"/>
      <c r="M48" s="50"/>
      <c r="N48" s="50"/>
      <c r="O48" s="50"/>
      <c r="P48" s="50"/>
      <c r="Q48" s="50"/>
      <c r="R48" s="50"/>
      <c r="S48" s="50"/>
      <c r="T48" s="50"/>
      <c r="U48" s="43"/>
    </row>
    <row r="49" spans="1:21">
      <c r="A49" s="56" t="s">
        <v>670</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671</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797</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607</v>
      </c>
      <c r="B53" s="50"/>
      <c r="C53" s="50"/>
      <c r="D53" s="50"/>
      <c r="E53" s="50"/>
      <c r="F53" s="50"/>
      <c r="G53" s="50"/>
      <c r="H53" s="50"/>
      <c r="I53" s="50"/>
      <c r="J53" s="50"/>
      <c r="K53" s="279">
        <f>-K54/K46</f>
        <v>0.47894956780788372</v>
      </c>
      <c r="L53" s="279">
        <f>-L54/L46</f>
        <v>0.46910045285433144</v>
      </c>
      <c r="M53" s="50"/>
      <c r="N53" s="279"/>
      <c r="O53" s="67" t="s">
        <v>724</v>
      </c>
      <c r="P53" s="50"/>
      <c r="Q53" s="50"/>
      <c r="R53" s="50"/>
      <c r="S53" s="50"/>
      <c r="T53" s="50"/>
      <c r="U53" s="64"/>
    </row>
    <row r="54" spans="1:21">
      <c r="A54" s="56" t="s">
        <v>798</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617</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799</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233</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800</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676</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677</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678</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679</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801</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802</v>
      </c>
      <c r="B67" s="50"/>
      <c r="C67" s="50"/>
      <c r="D67" s="50"/>
      <c r="E67" s="50"/>
      <c r="F67" s="50"/>
      <c r="G67" s="50"/>
      <c r="H67" s="50"/>
      <c r="I67" s="50"/>
      <c r="J67" s="50"/>
      <c r="K67" s="50"/>
      <c r="L67" s="50"/>
      <c r="M67" s="50"/>
      <c r="N67" s="50"/>
      <c r="O67" s="50"/>
      <c r="P67" s="43"/>
      <c r="Q67" s="43"/>
      <c r="R67" s="43"/>
      <c r="S67" s="43"/>
      <c r="T67" s="43"/>
      <c r="U67" s="43"/>
    </row>
    <row r="68" spans="1:21">
      <c r="A68" s="46" t="s">
        <v>803</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680</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621</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622</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804</v>
      </c>
      <c r="B74" s="50"/>
      <c r="C74" s="50"/>
      <c r="D74" s="50"/>
      <c r="E74" s="50"/>
      <c r="F74" s="68">
        <v>2300000</v>
      </c>
      <c r="G74" s="68">
        <v>2300000</v>
      </c>
      <c r="H74" s="68">
        <v>2300000</v>
      </c>
      <c r="I74" s="68">
        <v>2300000</v>
      </c>
      <c r="J74" s="68">
        <v>2300000</v>
      </c>
      <c r="K74" s="50"/>
      <c r="L74" s="50"/>
      <c r="M74" s="50"/>
      <c r="N74" s="50"/>
      <c r="O74" s="67" t="s">
        <v>805</v>
      </c>
      <c r="P74" s="50"/>
      <c r="Q74" s="59"/>
      <c r="R74" s="318"/>
      <c r="S74" s="318"/>
      <c r="T74" s="318"/>
      <c r="U74" s="59"/>
    </row>
    <row r="75" spans="1:21">
      <c r="A75" s="101" t="s">
        <v>806</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681</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682</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683</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173</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807</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686</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688</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689</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690</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691</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808</v>
      </c>
      <c r="H98" s="43"/>
      <c r="I98" s="374">
        <v>0.4</v>
      </c>
      <c r="J98" s="46" t="s">
        <v>809</v>
      </c>
      <c r="K98" s="43"/>
      <c r="L98" s="43"/>
      <c r="M98" s="43"/>
      <c r="N98" s="43"/>
      <c r="O98" s="43"/>
      <c r="P98" s="43"/>
      <c r="Q98" s="43"/>
      <c r="R98" s="43"/>
      <c r="S98" s="43"/>
      <c r="T98" s="43"/>
      <c r="U98" s="43"/>
    </row>
    <row r="99" spans="1:21">
      <c r="A99" s="43"/>
      <c r="B99" s="43"/>
      <c r="C99" s="43"/>
      <c r="D99" s="43"/>
      <c r="E99" s="43"/>
      <c r="F99" s="375">
        <v>45000000</v>
      </c>
      <c r="G99" s="46" t="s">
        <v>810</v>
      </c>
      <c r="H99" s="43"/>
      <c r="I99" s="376">
        <f>+(1-I98)*E91</f>
        <v>90248924.318092078</v>
      </c>
      <c r="J99" s="46" t="s">
        <v>811</v>
      </c>
      <c r="K99" s="43"/>
      <c r="L99" s="43"/>
      <c r="M99" s="43"/>
      <c r="N99" s="43"/>
      <c r="O99" s="43"/>
      <c r="P99" s="43"/>
      <c r="Q99" s="43"/>
      <c r="R99" s="43"/>
      <c r="S99" s="43"/>
      <c r="T99" s="43"/>
      <c r="U99" s="43"/>
    </row>
    <row r="100" spans="1:21">
      <c r="A100" s="43"/>
      <c r="B100" s="43"/>
      <c r="C100" s="43"/>
      <c r="D100" s="43"/>
      <c r="E100" s="43"/>
      <c r="F100" s="377">
        <f>SUM(F98:F99)</f>
        <v>87165949.545394719</v>
      </c>
      <c r="G100" s="46" t="s">
        <v>812</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813</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814</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545</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815</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816</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817</v>
      </c>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 customHeight="1">
      <c r="A3" s="46" t="s">
        <v>707</v>
      </c>
      <c r="B3" s="378"/>
      <c r="C3" s="379"/>
      <c r="D3" s="379"/>
      <c r="E3" s="379"/>
      <c r="F3" s="379"/>
      <c r="G3" s="378"/>
      <c r="H3" s="378"/>
      <c r="I3" s="378"/>
      <c r="J3" s="378"/>
      <c r="K3" s="378"/>
      <c r="L3" s="378"/>
      <c r="M3" s="378"/>
      <c r="N3" s="378"/>
      <c r="O3" s="62"/>
      <c r="P3" s="378"/>
      <c r="Q3" s="378"/>
      <c r="R3" s="378"/>
      <c r="S3" s="43"/>
      <c r="T3" s="43"/>
      <c r="U3" s="378"/>
    </row>
    <row r="4" spans="1:21" ht="15" customHeight="1">
      <c r="A4" s="56" t="s">
        <v>647</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571</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648</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649</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576</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650</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651</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535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818</v>
      </c>
      <c r="B13" s="378"/>
      <c r="C13" s="378"/>
      <c r="D13" s="378"/>
      <c r="E13" s="378"/>
      <c r="F13" s="378"/>
      <c r="G13" s="378"/>
      <c r="H13" s="378"/>
      <c r="I13" s="381">
        <v>0</v>
      </c>
      <c r="J13" s="381">
        <v>0</v>
      </c>
      <c r="K13" s="381">
        <v>0</v>
      </c>
      <c r="L13" s="381">
        <v>0</v>
      </c>
      <c r="M13" s="381">
        <v>0</v>
      </c>
      <c r="N13" s="381">
        <v>0</v>
      </c>
      <c r="O13" s="95" t="s">
        <v>819</v>
      </c>
      <c r="P13" s="43"/>
      <c r="Q13" s="43"/>
      <c r="R13" s="43"/>
      <c r="S13" s="43"/>
      <c r="T13" s="43"/>
      <c r="U13" s="43"/>
    </row>
    <row r="14" spans="1:21" ht="15" customHeight="1">
      <c r="A14" s="56" t="s">
        <v>820</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821</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822</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284</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541</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823</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824</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825</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826</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827</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286</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828</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591</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592</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593</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659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829</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830</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831</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832</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833</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668</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834</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670</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835</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606</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836</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837</v>
      </c>
      <c r="P43" s="397">
        <v>46387</v>
      </c>
      <c r="Q43" s="378"/>
      <c r="R43" s="378"/>
      <c r="S43" s="378"/>
      <c r="T43" s="378"/>
      <c r="U43" s="378"/>
    </row>
    <row r="44" spans="1:21" ht="15" customHeight="1">
      <c r="A44" s="56" t="s">
        <v>838</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839</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840</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841</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842</v>
      </c>
      <c r="Q47" s="378"/>
      <c r="R47" s="378"/>
      <c r="S47" s="378"/>
      <c r="T47" s="378"/>
      <c r="U47" s="378"/>
    </row>
    <row r="48" spans="1:21" ht="15" customHeight="1">
      <c r="A48" s="56" t="s">
        <v>843</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587</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844</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845</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617</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799</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846</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619</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94</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847</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848</v>
      </c>
      <c r="B62" s="43"/>
      <c r="C62" s="95" t="s">
        <v>626</v>
      </c>
      <c r="D62" s="95" t="s">
        <v>849</v>
      </c>
      <c r="E62" s="95" t="s">
        <v>850</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851</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852</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769</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772</v>
      </c>
      <c r="B67" s="43"/>
      <c r="C67" s="95" t="s">
        <v>626</v>
      </c>
      <c r="D67" s="95" t="s">
        <v>849</v>
      </c>
      <c r="E67" s="95" t="s">
        <v>850</v>
      </c>
      <c r="F67" s="43"/>
      <c r="G67" s="378"/>
      <c r="H67" s="43"/>
      <c r="I67" s="43"/>
      <c r="J67" s="43"/>
      <c r="K67" s="43"/>
      <c r="L67" s="43"/>
      <c r="M67" s="43"/>
      <c r="N67" s="43"/>
      <c r="O67" s="43"/>
      <c r="P67" s="43"/>
      <c r="Q67" s="43"/>
      <c r="R67" s="62"/>
      <c r="S67" s="43"/>
      <c r="T67" s="43"/>
      <c r="U67" s="43"/>
    </row>
    <row r="68" spans="1:21" ht="15" customHeight="1">
      <c r="A68" s="46" t="s">
        <v>853</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854</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769</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855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 customHeight="1">
      <c r="A3" s="46" t="s">
        <v>707</v>
      </c>
      <c r="B3" s="378"/>
      <c r="C3" s="379"/>
      <c r="D3" s="379"/>
      <c r="E3" s="379"/>
      <c r="F3" s="379"/>
      <c r="G3" s="378"/>
      <c r="H3" s="378"/>
      <c r="I3" s="378"/>
      <c r="J3" s="378"/>
      <c r="K3" s="378"/>
      <c r="L3" s="378"/>
      <c r="M3" s="378"/>
      <c r="N3" s="378"/>
      <c r="O3" s="62"/>
      <c r="P3" s="378"/>
      <c r="Q3" s="378"/>
      <c r="R3" s="378"/>
      <c r="S3" s="43"/>
      <c r="T3" s="43"/>
      <c r="U3" s="378"/>
    </row>
    <row r="4" spans="1:21" ht="15" customHeight="1">
      <c r="A4" s="56" t="s">
        <v>647</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571</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648</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649</v>
      </c>
      <c r="B7" s="378"/>
      <c r="C7" s="378"/>
      <c r="D7" s="378"/>
      <c r="E7" s="378"/>
      <c r="F7" s="378"/>
      <c r="G7" s="381">
        <v>0</v>
      </c>
      <c r="H7" s="378"/>
      <c r="I7" s="378"/>
      <c r="J7" s="378"/>
      <c r="K7" s="378"/>
      <c r="L7" s="378"/>
      <c r="M7" s="378"/>
      <c r="N7" s="378"/>
      <c r="O7" s="62"/>
      <c r="P7" s="46" t="s">
        <v>856</v>
      </c>
      <c r="Q7" s="297">
        <v>2030</v>
      </c>
      <c r="R7" s="43"/>
      <c r="S7" s="43"/>
      <c r="T7" s="43"/>
      <c r="U7" s="43"/>
    </row>
    <row r="8" spans="1:21" s="14" customFormat="1" ht="15" customHeight="1">
      <c r="A8" s="83" t="s">
        <v>576</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857</v>
      </c>
      <c r="Q8" s="120">
        <v>5.5</v>
      </c>
      <c r="R8" s="43"/>
      <c r="S8" s="43"/>
      <c r="T8" s="43"/>
      <c r="U8" s="43"/>
    </row>
    <row r="9" spans="1:21" s="14" customFormat="1" ht="15" customHeight="1">
      <c r="A9" s="101" t="s">
        <v>650</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651</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535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858</v>
      </c>
      <c r="B13" s="58">
        <v>0</v>
      </c>
      <c r="C13" s="58">
        <v>0</v>
      </c>
      <c r="D13" s="58">
        <v>0</v>
      </c>
      <c r="E13" s="58">
        <v>0</v>
      </c>
      <c r="F13" s="43"/>
      <c r="G13" s="59"/>
      <c r="H13" s="59"/>
      <c r="I13" s="59"/>
      <c r="J13" s="58">
        <v>-16000000</v>
      </c>
      <c r="K13" s="182">
        <f>20000000*0</f>
        <v>0</v>
      </c>
      <c r="L13" s="43"/>
      <c r="M13" s="43"/>
      <c r="N13" s="43"/>
      <c r="O13" s="46" t="s">
        <v>859</v>
      </c>
      <c r="P13" s="43"/>
      <c r="Q13" s="43"/>
      <c r="R13" s="43"/>
      <c r="S13" s="43"/>
      <c r="T13" s="43"/>
      <c r="U13" s="43"/>
    </row>
    <row r="14" spans="1:21" ht="15" customHeight="1">
      <c r="A14" s="56" t="s">
        <v>860</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860</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860</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284</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861</v>
      </c>
      <c r="Q17" s="374">
        <v>7.0000000000000007E-2</v>
      </c>
      <c r="R17" s="43"/>
      <c r="S17" s="43"/>
      <c r="T17" s="43"/>
      <c r="U17" s="43"/>
    </row>
    <row r="18" spans="1:21" ht="15" customHeight="1">
      <c r="A18" s="386" t="s">
        <v>541</v>
      </c>
      <c r="B18" s="378"/>
      <c r="C18" s="378"/>
      <c r="D18" s="378"/>
      <c r="E18" s="378"/>
      <c r="F18" s="378"/>
      <c r="G18" s="378"/>
      <c r="H18" s="378"/>
      <c r="I18" s="378"/>
      <c r="J18" s="378"/>
      <c r="K18" s="378"/>
      <c r="L18" s="378"/>
      <c r="M18" s="378"/>
      <c r="N18" s="378"/>
      <c r="O18" s="62"/>
      <c r="P18" s="46" t="s">
        <v>862</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863</v>
      </c>
      <c r="Q19" s="120">
        <v>5</v>
      </c>
      <c r="R19" s="43"/>
      <c r="S19" s="43"/>
      <c r="T19" s="43"/>
      <c r="U19" s="43"/>
    </row>
    <row r="20" spans="1:21">
      <c r="A20" s="46" t="s">
        <v>864</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865</v>
      </c>
      <c r="B21" s="59"/>
      <c r="C21" s="59"/>
      <c r="D21" s="59"/>
      <c r="E21" s="59"/>
      <c r="F21" s="43"/>
      <c r="G21" s="59"/>
      <c r="H21" s="59"/>
      <c r="I21" s="59"/>
      <c r="J21" s="58">
        <v>1000000</v>
      </c>
      <c r="K21" s="59"/>
      <c r="L21" s="43"/>
      <c r="M21" s="43"/>
      <c r="N21" s="43"/>
      <c r="O21" s="46" t="s">
        <v>866</v>
      </c>
      <c r="P21" s="43"/>
      <c r="Q21" s="43"/>
      <c r="R21" s="43"/>
      <c r="S21" s="43"/>
      <c r="T21" s="43"/>
      <c r="U21" s="43"/>
    </row>
    <row r="22" spans="1:21">
      <c r="A22" s="46" t="s">
        <v>867</v>
      </c>
      <c r="B22" s="59"/>
      <c r="C22" s="59"/>
      <c r="D22" s="59"/>
      <c r="E22" s="59"/>
      <c r="F22" s="43"/>
      <c r="G22" s="59"/>
      <c r="H22" s="59"/>
      <c r="I22" s="59"/>
      <c r="J22" s="59"/>
      <c r="K22" s="59"/>
      <c r="L22" s="59"/>
      <c r="M22" s="59"/>
      <c r="N22" s="58">
        <v>1750000</v>
      </c>
      <c r="O22" s="43"/>
      <c r="P22" s="43"/>
      <c r="Q22" s="43"/>
      <c r="R22" s="43"/>
      <c r="S22" s="43"/>
      <c r="T22" s="43"/>
      <c r="U22" s="43"/>
    </row>
    <row r="23" spans="1:21">
      <c r="A23" s="46" t="s">
        <v>868</v>
      </c>
      <c r="B23" s="59"/>
      <c r="C23" s="59"/>
      <c r="D23" s="59"/>
      <c r="E23" s="59"/>
      <c r="F23" s="43"/>
      <c r="G23" s="59"/>
      <c r="H23" s="59"/>
      <c r="I23" s="59"/>
      <c r="J23" s="59"/>
      <c r="K23" s="59"/>
      <c r="L23" s="59">
        <f>+sat_cs2!P36</f>
        <v>20862012.987012967</v>
      </c>
      <c r="M23" s="59"/>
      <c r="N23" s="59"/>
      <c r="O23" s="43"/>
      <c r="P23" s="101" t="s">
        <v>857</v>
      </c>
      <c r="Q23" s="120">
        <v>5.5</v>
      </c>
      <c r="R23" s="43"/>
      <c r="S23" s="43"/>
      <c r="T23" s="43"/>
      <c r="U23" s="43"/>
    </row>
    <row r="24" spans="1:21" ht="15" customHeight="1">
      <c r="A24" s="327" t="s">
        <v>284</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533</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591</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592</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593</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659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869</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870</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724</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846</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619</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94</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4B084"/>
  </sheetPr>
  <dimension ref="A1:BE150"/>
  <sheetViews>
    <sheetView zoomScale="15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165</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871</v>
      </c>
      <c r="B5" s="440" t="s">
        <v>12</v>
      </c>
      <c r="C5" s="441" t="s">
        <v>872</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873</v>
      </c>
      <c r="B7" s="440" t="s">
        <v>12</v>
      </c>
      <c r="C7" s="441" t="s">
        <v>874</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875</v>
      </c>
      <c r="B8" s="440" t="s">
        <v>12</v>
      </c>
      <c r="C8" s="441" t="s">
        <v>876</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877</v>
      </c>
      <c r="B11" s="812" t="s">
        <v>12</v>
      </c>
      <c r="C11" s="812" t="s">
        <v>878</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879</v>
      </c>
      <c r="B12" s="812" t="s">
        <v>12</v>
      </c>
      <c r="C12" s="812" t="s">
        <v>880</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881</v>
      </c>
      <c r="B13" s="813" t="s">
        <v>12</v>
      </c>
      <c r="C13" s="813" t="s">
        <v>882</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9">
    <tabColor rgb="FFF4B084"/>
    <pageSetUpPr autoPageBreaks="0"/>
  </sheetPr>
  <dimension ref="A1:BK148"/>
  <sheetViews>
    <sheetView showGridLines="0" zoomScale="99" zoomScaleNormal="85" workbookViewId="0">
      <pane xSplit="4" ySplit="3" topLeftCell="E16" activePane="bottomRight" state="frozen"/>
      <selection pane="topRight"/>
      <selection pane="bottomLeft" activeCell="E16" sqref="E16"/>
      <selection pane="bottomRight" activeCell="L31" sqref="L31"/>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883</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884</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885</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886</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887</v>
      </c>
      <c r="B10" s="440" t="s">
        <v>52</v>
      </c>
      <c r="C10" s="440" t="s">
        <v>888</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889</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890</v>
      </c>
      <c r="B12" s="462" t="s">
        <v>12</v>
      </c>
      <c r="C12" s="462" t="s">
        <v>891</v>
      </c>
      <c r="D12" s="462" t="s">
        <v>892</v>
      </c>
      <c r="E12" s="463"/>
      <c r="F12" s="464"/>
      <c r="G12" s="464"/>
      <c r="H12" s="464"/>
      <c r="I12" s="464"/>
      <c r="J12" s="464"/>
      <c r="K12" s="464"/>
      <c r="L12" s="465"/>
      <c r="M12" s="465"/>
      <c r="N12" s="465"/>
      <c r="O12" s="465"/>
      <c r="P12" s="466"/>
      <c r="Q12" s="467"/>
      <c r="R12" s="466"/>
      <c r="S12" s="466"/>
      <c r="T12" s="463">
        <v>0</v>
      </c>
      <c r="U12" s="451"/>
      <c r="V12" s="451"/>
      <c r="W12" s="451"/>
      <c r="X12" s="439" t="s">
        <v>893</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894</v>
      </c>
      <c r="B13" s="462" t="s">
        <v>12</v>
      </c>
      <c r="C13" s="462" t="s">
        <v>891</v>
      </c>
      <c r="D13" s="462" t="s">
        <v>895</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896</v>
      </c>
      <c r="B14" s="462" t="s">
        <v>12</v>
      </c>
      <c r="C14" s="462" t="s">
        <v>891</v>
      </c>
      <c r="D14" s="462" t="s">
        <v>897</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898</v>
      </c>
      <c r="B15" s="462" t="s">
        <v>12</v>
      </c>
      <c r="C15" s="462" t="s">
        <v>891</v>
      </c>
      <c r="D15" s="462" t="s">
        <v>899</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900</v>
      </c>
      <c r="B16" s="462" t="s">
        <v>12</v>
      </c>
      <c r="C16" s="462" t="s">
        <v>891</v>
      </c>
      <c r="D16" s="462" t="s">
        <v>901</v>
      </c>
      <c r="E16" s="463"/>
      <c r="F16" s="427"/>
      <c r="G16" s="427"/>
      <c r="H16" s="427"/>
      <c r="I16" s="427"/>
      <c r="J16" s="427"/>
      <c r="K16" s="427"/>
      <c r="L16" s="465"/>
      <c r="M16" s="465"/>
      <c r="N16" s="465"/>
      <c r="O16" s="465"/>
      <c r="P16" s="466">
        <v>0</v>
      </c>
      <c r="Q16" s="466">
        <v>0</v>
      </c>
      <c r="R16" s="465">
        <v>0</v>
      </c>
      <c r="S16" s="466">
        <v>0</v>
      </c>
      <c r="T16" s="451"/>
      <c r="U16" s="451"/>
      <c r="V16" s="451"/>
      <c r="W16" s="451"/>
      <c r="X16" s="439" t="s">
        <v>902</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903</v>
      </c>
      <c r="B17" s="462" t="s">
        <v>12</v>
      </c>
      <c r="C17" s="462" t="s">
        <v>891</v>
      </c>
      <c r="D17" s="462" t="s">
        <v>903</v>
      </c>
      <c r="E17" s="463"/>
      <c r="F17" s="468"/>
      <c r="G17" s="468"/>
      <c r="H17" s="468"/>
      <c r="I17" s="468"/>
      <c r="J17" s="468"/>
      <c r="K17" s="468"/>
      <c r="L17" s="465"/>
      <c r="M17" s="465"/>
      <c r="N17" s="465"/>
      <c r="O17" s="465"/>
      <c r="P17" s="466">
        <v>0</v>
      </c>
      <c r="Q17" s="466">
        <v>0</v>
      </c>
      <c r="R17" s="466">
        <v>0</v>
      </c>
      <c r="S17" s="466">
        <v>0</v>
      </c>
      <c r="T17" s="451"/>
      <c r="U17" s="451"/>
      <c r="V17" s="451"/>
      <c r="W17" s="451"/>
      <c r="X17" s="439" t="s">
        <v>904</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337</v>
      </c>
      <c r="B18" s="462" t="s">
        <v>9</v>
      </c>
      <c r="C18" s="462" t="s">
        <v>905</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906</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907</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908</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909</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910</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911</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912</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913</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914</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915</v>
      </c>
      <c r="B30" s="475" t="s">
        <v>12</v>
      </c>
      <c r="C30" s="474" t="s">
        <v>916</v>
      </c>
      <c r="D30" s="474" t="s">
        <v>917</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918</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919</v>
      </c>
      <c r="B31" s="462"/>
      <c r="C31" s="477"/>
      <c r="D31" s="474"/>
      <c r="E31" s="456"/>
      <c r="F31" s="459"/>
      <c r="G31" s="459"/>
      <c r="H31" s="459"/>
      <c r="I31" s="459"/>
      <c r="J31" s="459"/>
      <c r="K31" s="459"/>
      <c r="L31" s="819">
        <f>'c12_sk'!L6</f>
        <v>-112553</v>
      </c>
      <c r="M31" s="819">
        <f>'c12_sk'!M6</f>
        <v>-186705</v>
      </c>
      <c r="N31" s="819">
        <f>'c12_sk'!N6</f>
        <v>-148699</v>
      </c>
      <c r="O31" s="819">
        <f>'c12_sk'!O6</f>
        <v>-249431</v>
      </c>
      <c r="P31" s="819">
        <f>'c12_sk'!P6</f>
        <v>-174347</v>
      </c>
      <c r="Q31" s="819">
        <f>'c12_sk'!Q6</f>
        <v>-174347</v>
      </c>
      <c r="R31" s="819">
        <f>'c12_sk'!R6</f>
        <v>-174347</v>
      </c>
      <c r="S31" s="819">
        <f>'c12_sk'!S6</f>
        <v>-174347</v>
      </c>
      <c r="T31" s="819">
        <f>'c12_sk'!T6</f>
        <v>-697388</v>
      </c>
      <c r="U31" s="819">
        <f>'c12_sk'!U6</f>
        <v>-697388</v>
      </c>
      <c r="V31" s="819">
        <f>'c12_sk'!V6</f>
        <v>-697388</v>
      </c>
      <c r="W31" s="819">
        <f>'c12_sk'!W6</f>
        <v>-697388</v>
      </c>
      <c r="X31" s="439" t="s">
        <v>920</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921</v>
      </c>
      <c r="B32" s="439" t="s">
        <v>12</v>
      </c>
      <c r="C32" s="589" t="s">
        <v>916</v>
      </c>
      <c r="D32" s="589" t="s">
        <v>922</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923</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924</v>
      </c>
      <c r="B33" s="475" t="s">
        <v>12</v>
      </c>
      <c r="C33" s="474" t="s">
        <v>916</v>
      </c>
      <c r="D33" s="589" t="s">
        <v>925</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926</v>
      </c>
      <c r="B34" s="475" t="s">
        <v>12</v>
      </c>
      <c r="C34" s="474" t="s">
        <v>916</v>
      </c>
      <c r="D34" s="474" t="s">
        <v>927</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928</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929</v>
      </c>
      <c r="B35" s="475" t="s">
        <v>12</v>
      </c>
      <c r="C35" s="481" t="s">
        <v>930</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163</v>
      </c>
      <c r="B36" s="475" t="s">
        <v>9</v>
      </c>
      <c r="C36" s="474" t="s">
        <v>931</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932</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933</v>
      </c>
      <c r="B37" s="598" t="s">
        <v>52</v>
      </c>
      <c r="C37" s="589" t="s">
        <v>934</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935</v>
      </c>
      <c r="B38" s="590" t="s">
        <v>12</v>
      </c>
      <c r="C38" s="588" t="s">
        <v>936</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937</v>
      </c>
      <c r="B39" s="440" t="s">
        <v>52</v>
      </c>
      <c r="C39" s="440" t="s">
        <v>938</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939</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940</v>
      </c>
      <c r="B42" s="475" t="s">
        <v>12</v>
      </c>
      <c r="C42" s="475" t="s">
        <v>941</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942</v>
      </c>
      <c r="B43" s="440" t="s">
        <v>9</v>
      </c>
      <c r="C43" s="440" t="s">
        <v>943</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944</v>
      </c>
      <c r="B45" s="440" t="s">
        <v>9</v>
      </c>
      <c r="C45" s="440" t="s">
        <v>945</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946</v>
      </c>
      <c r="B47" s="440" t="s">
        <v>52</v>
      </c>
      <c r="C47" s="440" t="s">
        <v>947</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948</v>
      </c>
      <c r="B48" s="494" t="s">
        <v>9</v>
      </c>
      <c r="C48" s="494" t="s">
        <v>949</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950</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951</v>
      </c>
      <c r="B52" s="505"/>
      <c r="C52" s="505"/>
      <c r="D52" s="427"/>
      <c r="E52" s="427"/>
      <c r="F52" s="496"/>
      <c r="G52" s="496"/>
      <c r="H52" s="496"/>
      <c r="I52" s="496"/>
      <c r="J52" s="496"/>
      <c r="K52" s="496"/>
      <c r="L52" s="820">
        <f>'c12_sk'!L5</f>
        <v>-1925381.9975000001</v>
      </c>
      <c r="M52" s="820">
        <f>'c12_sk'!M5</f>
        <v>-1925381.9975000001</v>
      </c>
      <c r="N52" s="820">
        <f>'c12_sk'!N5</f>
        <v>-1925381.9975000001</v>
      </c>
      <c r="O52" s="820">
        <f>'c12_sk'!O5</f>
        <v>-1925381.9975000001</v>
      </c>
      <c r="P52" s="820">
        <f>'c12_sk'!P5</f>
        <v>0</v>
      </c>
      <c r="Q52" s="820">
        <f>'c12_sk'!Q5</f>
        <v>0</v>
      </c>
      <c r="R52" s="820">
        <f>'c12_sk'!R5</f>
        <v>0</v>
      </c>
      <c r="S52" s="820">
        <f>'c12_sk'!S5</f>
        <v>0</v>
      </c>
      <c r="T52" s="820">
        <f>'c12_sk'!T5</f>
        <v>-5500000</v>
      </c>
      <c r="U52" s="820">
        <f>'c12_sk'!U5</f>
        <v>-5500000</v>
      </c>
      <c r="V52" s="820">
        <f>'c12_sk'!V5</f>
        <v>-5500000</v>
      </c>
      <c r="W52" s="820">
        <f>'c12_sk'!W5</f>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952</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953</v>
      </c>
      <c r="B54" s="427"/>
      <c r="C54" s="427"/>
      <c r="D54" s="427"/>
      <c r="E54" s="427"/>
      <c r="F54" s="427"/>
      <c r="G54" s="427"/>
      <c r="H54" s="427"/>
      <c r="I54" s="427"/>
      <c r="J54" s="427"/>
      <c r="K54" s="427"/>
      <c r="L54" s="487">
        <f>'c12_sk'!L7</f>
        <v>0</v>
      </c>
      <c r="M54" s="487">
        <f>'c12_sk'!M7</f>
        <v>0</v>
      </c>
      <c r="N54" s="487">
        <f>'c12_sk'!N7</f>
        <v>0</v>
      </c>
      <c r="O54" s="487">
        <f>'c12_sk'!O7</f>
        <v>0</v>
      </c>
      <c r="P54" s="487">
        <f>'c12_sk'!P7</f>
        <v>50000</v>
      </c>
      <c r="Q54" s="487">
        <f>'c12_sk'!Q7</f>
        <v>50000</v>
      </c>
      <c r="R54" s="487">
        <f>'c12_sk'!R7</f>
        <v>50000</v>
      </c>
      <c r="S54" s="487">
        <f>'c12_sk'!S7</f>
        <v>50000</v>
      </c>
      <c r="T54" s="487">
        <f>'c12_sk'!T7</f>
        <v>250000</v>
      </c>
      <c r="U54" s="487">
        <f>'c12_sk'!U7</f>
        <v>250000</v>
      </c>
      <c r="V54" s="487">
        <f>'c12_sk'!V7</f>
        <v>250000</v>
      </c>
      <c r="W54" s="487">
        <f>'c12_sk'!W7</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954</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955</v>
      </c>
      <c r="B56" s="427"/>
      <c r="C56" s="427"/>
      <c r="D56" s="427"/>
      <c r="E56" s="427"/>
      <c r="F56" s="427"/>
      <c r="G56" s="427"/>
      <c r="H56" s="427"/>
      <c r="I56" s="427"/>
      <c r="J56" s="427"/>
      <c r="K56" s="427"/>
      <c r="L56" s="487">
        <f>-'c12_sk'!L8</f>
        <v>250000</v>
      </c>
      <c r="M56" s="487">
        <f>-'c12_sk'!M8</f>
        <v>250000</v>
      </c>
      <c r="N56" s="487">
        <f>-'c12_sk'!N8</f>
        <v>250000</v>
      </c>
      <c r="O56" s="487">
        <f>-'c12_sk'!O8</f>
        <v>250000</v>
      </c>
      <c r="P56" s="487">
        <f>-'c12_sk'!P8</f>
        <v>250000</v>
      </c>
      <c r="Q56" s="487">
        <f>-'c12_sk'!Q8</f>
        <v>250000</v>
      </c>
      <c r="R56" s="487">
        <f>-'c12_sk'!R8</f>
        <v>250000</v>
      </c>
      <c r="S56" s="487">
        <f>-'c12_sk'!S8</f>
        <v>250000</v>
      </c>
      <c r="T56" s="487">
        <f>-'c12_sk'!T8</f>
        <v>1000000</v>
      </c>
      <c r="U56" s="487">
        <f>-'c12_sk'!U8</f>
        <v>1000000</v>
      </c>
      <c r="V56" s="487">
        <f>-'c12_sk'!V8</f>
        <v>1000000</v>
      </c>
      <c r="W56" s="487">
        <f>-'c12_sk'!W8</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956</v>
      </c>
      <c r="B58" s="495"/>
      <c r="C58" s="495"/>
      <c r="D58" s="495"/>
      <c r="E58" s="497"/>
      <c r="F58" s="427"/>
      <c r="G58" s="427"/>
      <c r="H58" s="427"/>
      <c r="I58" s="427"/>
      <c r="J58" s="427"/>
      <c r="K58" s="427"/>
      <c r="L58" s="508">
        <f>-'c12_sk'!L9</f>
        <v>0</v>
      </c>
      <c r="M58" s="508">
        <f>-'c12_sk'!M9</f>
        <v>1200000</v>
      </c>
      <c r="N58" s="508">
        <f>-'c12_sk'!N9</f>
        <v>0</v>
      </c>
      <c r="O58" s="508">
        <f>-'c12_sk'!O9</f>
        <v>0</v>
      </c>
      <c r="P58" s="508">
        <f>-'c12_sk'!P9</f>
        <v>0</v>
      </c>
      <c r="Q58" s="508">
        <f>-'c12_sk'!Q9</f>
        <v>0</v>
      </c>
      <c r="R58" s="508">
        <f>-'c12_sk'!R9</f>
        <v>0</v>
      </c>
      <c r="S58" s="508">
        <f>-'c12_sk'!S9</f>
        <v>0</v>
      </c>
      <c r="T58" s="508">
        <f>-'c12_sk'!T9</f>
        <v>0</v>
      </c>
      <c r="U58" s="508">
        <f>-'c12_sk'!U9</f>
        <v>0</v>
      </c>
      <c r="V58" s="508">
        <f>-'c12_sk'!V9</f>
        <v>0</v>
      </c>
      <c r="W58" s="508">
        <f>-'c12_sk'!W9</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957</v>
      </c>
      <c r="B59" s="494" t="s">
        <v>52</v>
      </c>
      <c r="C59" s="825" t="s">
        <v>958</v>
      </c>
      <c r="D59" s="495"/>
      <c r="E59" s="511">
        <v>-4651000</v>
      </c>
      <c r="F59" s="427"/>
      <c r="G59" s="427"/>
      <c r="H59" s="427"/>
      <c r="I59" s="427"/>
      <c r="J59" s="427"/>
      <c r="K59" s="427"/>
      <c r="L59" s="512">
        <f t="shared" ref="L59:W59" si="16">SUM(L52:L58)</f>
        <v>-1187828.9975000001</v>
      </c>
      <c r="M59" s="512">
        <f t="shared" si="16"/>
        <v>86323.002499999944</v>
      </c>
      <c r="N59" s="512">
        <f t="shared" si="16"/>
        <v>-1151682.9975000001</v>
      </c>
      <c r="O59" s="512">
        <f t="shared" si="16"/>
        <v>-1050950.9975000001</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959</v>
      </c>
      <c r="B60" s="494" t="s">
        <v>9</v>
      </c>
      <c r="C60" s="825" t="s">
        <v>960</v>
      </c>
      <c r="D60" s="495"/>
      <c r="E60" s="511">
        <v>-1531049</v>
      </c>
      <c r="F60" s="427"/>
      <c r="G60" s="427"/>
      <c r="H60" s="427"/>
      <c r="I60" s="427"/>
      <c r="J60" s="427"/>
      <c r="K60" s="427"/>
      <c r="L60" s="513">
        <f t="shared" ref="L60:W60" si="17">+(L47+L59)</f>
        <v>-596442.81892857142</v>
      </c>
      <c r="M60" s="513">
        <f t="shared" si="17"/>
        <v>677709.18107142858</v>
      </c>
      <c r="N60" s="513">
        <f t="shared" si="17"/>
        <v>-275096.81892857142</v>
      </c>
      <c r="O60" s="513">
        <f t="shared" si="17"/>
        <v>-190054.81892857142</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961</v>
      </c>
      <c r="B61" s="494" t="s">
        <v>12</v>
      </c>
      <c r="C61" s="494" t="s">
        <v>962</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963</v>
      </c>
      <c r="B62" s="494" t="s">
        <v>52</v>
      </c>
      <c r="C62" s="494" t="s">
        <v>964</v>
      </c>
      <c r="D62" s="495"/>
      <c r="E62" s="515">
        <v>-1540999</v>
      </c>
      <c r="F62" s="427"/>
      <c r="G62" s="427"/>
      <c r="H62" s="427"/>
      <c r="I62" s="427"/>
      <c r="J62" s="427"/>
      <c r="K62" s="427"/>
      <c r="L62" s="516">
        <f>MIN(L60+E62+L61,0)</f>
        <v>-2137441.8189285714</v>
      </c>
      <c r="M62" s="516">
        <f t="shared" ref="M62:W62" si="18">MIN(M60+L62+M61,0)</f>
        <v>-1459732.6378571428</v>
      </c>
      <c r="N62" s="516">
        <f t="shared" si="18"/>
        <v>-1734829.4567857143</v>
      </c>
      <c r="O62" s="516">
        <f t="shared" si="18"/>
        <v>-1924884.2757142857</v>
      </c>
      <c r="P62" s="516">
        <f t="shared" si="18"/>
        <v>0</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965</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909</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910</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966</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337</v>
      </c>
      <c r="B68" s="462" t="s">
        <v>52</v>
      </c>
      <c r="C68" s="462" t="s">
        <v>967</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968</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909</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969</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966</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337</v>
      </c>
      <c r="B74" s="462" t="s">
        <v>52</v>
      </c>
      <c r="C74" s="462" t="s">
        <v>970</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971</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972</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973</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974</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975</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976</v>
      </c>
      <c r="B87" s="530" t="s">
        <v>52</v>
      </c>
      <c r="C87" s="530" t="s">
        <v>977</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4B084"/>
  </sheetPr>
  <dimension ref="A1:BK149"/>
  <sheetViews>
    <sheetView workbookViewId="0">
      <selection activeCell="O5" sqref="O5"/>
    </sheetView>
  </sheetViews>
  <sheetFormatPr defaultColWidth="12.54296875" defaultRowHeight="14.5"/>
  <cols>
    <col min="1" max="1" width="26" customWidth="1"/>
    <col min="2" max="2" width="4.453125" style="421" customWidth="1"/>
    <col min="3" max="3" width="19.90625" style="415" customWidth="1"/>
    <col min="4" max="4" width="24.90625" style="415"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822" t="s">
        <v>0</v>
      </c>
      <c r="B2" s="822"/>
      <c r="C2" s="822"/>
      <c r="D2" s="822"/>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0"/>
      <c r="B3" s="434"/>
      <c r="C3" s="434"/>
      <c r="D3" s="434"/>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8" t="s">
        <v>2</v>
      </c>
      <c r="C4" s="438" t="s">
        <v>3</v>
      </c>
      <c r="D4" s="438"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22" customFormat="1">
      <c r="A5" s="505" t="s">
        <v>951</v>
      </c>
      <c r="B5" s="505" t="s">
        <v>12</v>
      </c>
      <c r="C5" s="731" t="s">
        <v>978</v>
      </c>
      <c r="D5" s="823" t="s">
        <v>979</v>
      </c>
      <c r="E5" s="427"/>
      <c r="F5" s="496"/>
      <c r="G5" s="496"/>
      <c r="H5" s="496"/>
      <c r="I5" s="496"/>
      <c r="J5" s="496"/>
      <c r="K5" s="496"/>
      <c r="L5" s="506">
        <f>-7701527.99/4</f>
        <v>-1925381.9975000001</v>
      </c>
      <c r="M5" s="506">
        <f>L5</f>
        <v>-1925381.9975000001</v>
      </c>
      <c r="N5" s="506">
        <f>M5</f>
        <v>-1925381.9975000001</v>
      </c>
      <c r="O5" s="506">
        <f>N5</f>
        <v>-1925381.9975000001</v>
      </c>
      <c r="P5" s="506">
        <f>+P4</f>
        <v>0</v>
      </c>
      <c r="Q5" s="506">
        <f>+Q4</f>
        <v>0</v>
      </c>
      <c r="R5" s="506">
        <f>+R4</f>
        <v>0</v>
      </c>
      <c r="S5" s="506">
        <f>+S4</f>
        <v>0</v>
      </c>
      <c r="T5" s="487">
        <v>-5500000</v>
      </c>
      <c r="U5" s="487">
        <v>-5500000</v>
      </c>
      <c r="V5" s="487">
        <v>-5500000</v>
      </c>
      <c r="W5" s="487">
        <v>-5500000</v>
      </c>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18" customFormat="1">
      <c r="A6" s="439" t="s">
        <v>919</v>
      </c>
      <c r="B6" s="439" t="s">
        <v>12</v>
      </c>
      <c r="C6" s="589" t="s">
        <v>916</v>
      </c>
      <c r="D6" s="589" t="s">
        <v>980</v>
      </c>
      <c r="E6" s="456"/>
      <c r="F6" s="459"/>
      <c r="G6" s="459"/>
      <c r="H6" s="459"/>
      <c r="I6" s="459"/>
      <c r="J6" s="459"/>
      <c r="K6" s="459"/>
      <c r="L6" s="478">
        <v>-112553</v>
      </c>
      <c r="M6" s="478">
        <v>-186705</v>
      </c>
      <c r="N6" s="478">
        <v>-148699</v>
      </c>
      <c r="O6" s="478">
        <v>-249431</v>
      </c>
      <c r="P6" s="476">
        <v>-174347</v>
      </c>
      <c r="Q6" s="478">
        <v>-174347</v>
      </c>
      <c r="R6" s="478">
        <v>-174347</v>
      </c>
      <c r="S6" s="478">
        <v>-174347</v>
      </c>
      <c r="T6" s="479">
        <v>-697388</v>
      </c>
      <c r="U6" s="479">
        <v>-697388</v>
      </c>
      <c r="V6" s="479">
        <v>-697388</v>
      </c>
      <c r="W6" s="479">
        <v>-697388</v>
      </c>
      <c r="X6" s="439" t="s">
        <v>920</v>
      </c>
      <c r="Y6" s="451"/>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731" t="s">
        <v>981</v>
      </c>
      <c r="B7" s="821" t="s">
        <v>12</v>
      </c>
      <c r="C7" s="821" t="s">
        <v>982</v>
      </c>
      <c r="D7" s="821" t="s">
        <v>979</v>
      </c>
      <c r="E7" s="417">
        <v>0</v>
      </c>
      <c r="F7" s="427"/>
      <c r="G7" s="427"/>
      <c r="H7" s="427"/>
      <c r="I7" s="487"/>
      <c r="J7" s="487"/>
      <c r="K7" s="427"/>
      <c r="L7" s="417">
        <v>0</v>
      </c>
      <c r="M7" s="417">
        <v>0</v>
      </c>
      <c r="N7" s="417">
        <v>0</v>
      </c>
      <c r="O7" s="417">
        <v>0</v>
      </c>
      <c r="P7" s="740">
        <v>50000</v>
      </c>
      <c r="Q7" s="417">
        <v>50000</v>
      </c>
      <c r="R7" s="417">
        <v>50000</v>
      </c>
      <c r="S7" s="417">
        <v>50000</v>
      </c>
      <c r="T7" s="417">
        <v>250000</v>
      </c>
      <c r="U7" s="417">
        <v>250000</v>
      </c>
      <c r="V7" s="417">
        <v>250000</v>
      </c>
      <c r="W7" s="417">
        <v>250000</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ht="15" customHeight="1" thickBot="1">
      <c r="A8" s="731" t="s">
        <v>983</v>
      </c>
      <c r="B8" s="821" t="s">
        <v>12</v>
      </c>
      <c r="C8" s="821" t="s">
        <v>984</v>
      </c>
      <c r="D8" s="821" t="s">
        <v>979</v>
      </c>
      <c r="E8" s="417">
        <v>0</v>
      </c>
      <c r="F8" s="427"/>
      <c r="G8" s="427"/>
      <c r="H8" s="427"/>
      <c r="I8" s="487"/>
      <c r="J8" s="487"/>
      <c r="K8" s="427"/>
      <c r="L8" s="417">
        <v>-250000</v>
      </c>
      <c r="M8" s="417">
        <v>-250000</v>
      </c>
      <c r="N8" s="417">
        <v>-250000</v>
      </c>
      <c r="O8" s="417">
        <v>-250000</v>
      </c>
      <c r="P8" s="740">
        <v>-250000</v>
      </c>
      <c r="Q8" s="417">
        <v>-250000</v>
      </c>
      <c r="R8" s="417">
        <v>-250000</v>
      </c>
      <c r="S8" s="417">
        <v>-250000</v>
      </c>
      <c r="T8" s="417">
        <v>-1000000</v>
      </c>
      <c r="U8" s="417">
        <v>-1000000</v>
      </c>
      <c r="V8" s="417">
        <v>-1000000</v>
      </c>
      <c r="W8" s="417">
        <v>-1000000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ht="15.5" customHeight="1" thickTop="1" thickBot="1">
      <c r="A9" s="731" t="s">
        <v>956</v>
      </c>
      <c r="B9" s="821" t="s">
        <v>12</v>
      </c>
      <c r="C9" s="821" t="s">
        <v>985</v>
      </c>
      <c r="D9" s="821" t="s">
        <v>979</v>
      </c>
      <c r="E9" s="185"/>
      <c r="F9" s="427"/>
      <c r="G9" s="427"/>
      <c r="H9" s="427"/>
      <c r="I9" s="487"/>
      <c r="J9" s="487"/>
      <c r="K9" s="427"/>
      <c r="L9" s="186"/>
      <c r="M9" s="183">
        <v>-1200000</v>
      </c>
      <c r="N9" s="185"/>
      <c r="O9" s="185"/>
      <c r="P9" s="185"/>
      <c r="Q9" s="185"/>
      <c r="R9" s="185"/>
      <c r="S9" s="185"/>
      <c r="T9" s="185"/>
      <c r="U9" s="185"/>
      <c r="V9" s="185"/>
      <c r="W9" s="185"/>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ht="15" customHeight="1" thickTop="1">
      <c r="A10" s="505"/>
      <c r="B10" s="429"/>
      <c r="C10" s="429"/>
      <c r="D10" s="429"/>
      <c r="E10" s="487"/>
      <c r="F10" s="427"/>
      <c r="G10" s="427"/>
      <c r="H10" s="427"/>
      <c r="I10" s="487"/>
      <c r="J10" s="487"/>
      <c r="K10" s="427"/>
      <c r="L10" s="487"/>
      <c r="M10" s="487"/>
      <c r="N10" s="487"/>
      <c r="O10" s="487"/>
      <c r="P10" s="487"/>
      <c r="Q10" s="487"/>
      <c r="R10" s="487"/>
      <c r="S10" s="487"/>
      <c r="T10" s="487"/>
      <c r="U10" s="487"/>
      <c r="V10" s="487"/>
      <c r="W10" s="48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c r="B11" s="429"/>
      <c r="C11" s="429"/>
      <c r="D11" s="429"/>
      <c r="E11" s="487"/>
      <c r="F11" s="427"/>
      <c r="G11" s="427"/>
      <c r="H11" s="427"/>
      <c r="I11" s="487"/>
      <c r="J11" s="487"/>
      <c r="K11" s="427"/>
      <c r="L11" s="487"/>
      <c r="M11" s="487"/>
      <c r="N11" s="487"/>
      <c r="O11" s="487"/>
      <c r="P11" s="487"/>
      <c r="Q11" s="487"/>
      <c r="R11" s="487"/>
      <c r="S11" s="487"/>
      <c r="T11" s="487"/>
      <c r="U11" s="487"/>
      <c r="V11" s="487"/>
      <c r="W11" s="48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c r="B12" s="429"/>
      <c r="C12" s="429"/>
      <c r="D12" s="429"/>
      <c r="E12" s="487"/>
      <c r="F12" s="464"/>
      <c r="G12" s="464"/>
      <c r="H12" s="464"/>
      <c r="I12" s="487"/>
      <c r="J12" s="487"/>
      <c r="K12" s="464"/>
      <c r="L12" s="487"/>
      <c r="M12" s="487"/>
      <c r="N12" s="487"/>
      <c r="O12" s="487"/>
      <c r="P12" s="487"/>
      <c r="Q12" s="487"/>
      <c r="R12" s="487"/>
      <c r="S12" s="487"/>
      <c r="T12" s="487"/>
      <c r="U12" s="487"/>
      <c r="V12" s="487"/>
      <c r="W12" s="48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c r="B13" s="429"/>
      <c r="C13" s="429"/>
      <c r="D13" s="429"/>
      <c r="E13" s="487"/>
      <c r="F13" s="464"/>
      <c r="G13" s="464"/>
      <c r="H13" s="464"/>
      <c r="I13" s="487"/>
      <c r="J13" s="487"/>
      <c r="K13" s="464"/>
      <c r="L13" s="487"/>
      <c r="M13" s="487"/>
      <c r="N13" s="487"/>
      <c r="O13" s="487"/>
      <c r="P13" s="487"/>
      <c r="Q13" s="487"/>
      <c r="R13" s="487"/>
      <c r="S13" s="487"/>
      <c r="T13" s="487"/>
      <c r="U13" s="487"/>
      <c r="V13" s="487"/>
      <c r="W13" s="48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9"/>
      <c r="C14" s="429"/>
      <c r="D14" s="429"/>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c r="B15" s="429"/>
      <c r="C15" s="429"/>
      <c r="D15" s="429"/>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c r="B16" s="429"/>
      <c r="C16" s="429"/>
      <c r="D16" s="429"/>
      <c r="E16" s="487"/>
      <c r="F16" s="427"/>
      <c r="G16" s="427"/>
      <c r="H16" s="427"/>
      <c r="I16" s="487"/>
      <c r="J16" s="487"/>
      <c r="K16" s="427"/>
      <c r="L16" s="487"/>
      <c r="M16" s="487"/>
      <c r="N16" s="487"/>
      <c r="O16" s="487"/>
      <c r="P16" s="487"/>
      <c r="Q16" s="487"/>
      <c r="R16" s="487"/>
      <c r="S16" s="487"/>
      <c r="T16" s="487"/>
      <c r="U16" s="487"/>
      <c r="V16" s="487"/>
      <c r="W16" s="48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9"/>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c r="B18" s="428"/>
      <c r="C18" s="429"/>
      <c r="D18" s="429"/>
      <c r="E18" s="487"/>
      <c r="F18" s="468"/>
      <c r="G18" s="468"/>
      <c r="H18" s="468"/>
      <c r="I18" s="487"/>
      <c r="J18" s="487"/>
      <c r="K18" s="468"/>
      <c r="L18" s="487"/>
      <c r="M18" s="487"/>
      <c r="N18" s="487"/>
      <c r="O18" s="487"/>
      <c r="P18" s="487"/>
      <c r="Q18" s="487"/>
      <c r="R18" s="487"/>
      <c r="S18" s="487"/>
      <c r="T18" s="487"/>
      <c r="U18" s="487"/>
      <c r="V18" s="487"/>
      <c r="W18" s="48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9"/>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zoomScale="81" workbookViewId="0">
      <selection sqref="A1:XFD1048576"/>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986</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987</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1303505.4866666668</v>
      </c>
      <c r="R6" s="487">
        <f t="shared" si="0"/>
        <v>3524908.2515476192</v>
      </c>
      <c r="S6" s="487">
        <f t="shared" si="0"/>
        <v>5674178.4111654144</v>
      </c>
      <c r="T6" s="487">
        <f t="shared" si="0"/>
        <v>9143005.0490726829</v>
      </c>
      <c r="U6" s="487">
        <f t="shared" si="0"/>
        <v>11552783.923596492</v>
      </c>
      <c r="V6" s="487">
        <f t="shared" si="0"/>
        <v>12122448.116596969</v>
      </c>
      <c r="W6" s="487">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988</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989</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-677709.18107142858</v>
      </c>
      <c r="N8" s="487">
        <f>-'c12_oc'!N62+'c12_oc'!M62+'c12_oc'!N61</f>
        <v>275096.81892857142</v>
      </c>
      <c r="O8" s="487">
        <f>-'c12_oc'!O62+'c12_oc'!N62+'c12_oc'!O61</f>
        <v>190054.81892857142</v>
      </c>
      <c r="P8" s="487">
        <f>-'c12_oc'!P62+'c12_oc'!O62+'c12_oc'!P61</f>
        <v>-383885.27571428567</v>
      </c>
      <c r="Q8" s="487">
        <f>-'c12_oc'!Q62+'c12_oc'!P62+'c12_oc'!Q61</f>
        <v>0</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990</v>
      </c>
      <c r="B9" s="428"/>
      <c r="C9" s="429"/>
      <c r="D9" s="428"/>
      <c r="E9" s="487">
        <f>'c12_oc'!E59</f>
        <v>-4651000</v>
      </c>
      <c r="F9" s="427"/>
      <c r="G9" s="427"/>
      <c r="H9" s="427"/>
      <c r="I9" s="487">
        <v>149049.00249999989</v>
      </c>
      <c r="J9" s="487">
        <v>849347</v>
      </c>
      <c r="K9" s="427"/>
      <c r="L9" s="487">
        <f>'c12_oc'!L59</f>
        <v>-1187828.9975000001</v>
      </c>
      <c r="M9" s="487">
        <f>'c12_oc'!M59</f>
        <v>86323.002499999944</v>
      </c>
      <c r="N9" s="487">
        <f>'c12_oc'!N59</f>
        <v>-1151682.9975000001</v>
      </c>
      <c r="O9" s="487">
        <f>'c12_oc'!O59</f>
        <v>-1050950.9975000001</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991</v>
      </c>
      <c r="B10" s="530" t="s">
        <v>12</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992</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1303505.4866666668</v>
      </c>
      <c r="Q11" s="487">
        <f t="shared" si="1"/>
        <v>3524908.2515476192</v>
      </c>
      <c r="R11" s="487">
        <f t="shared" si="1"/>
        <v>5674178.4111654144</v>
      </c>
      <c r="S11" s="487">
        <f t="shared" si="1"/>
        <v>9143005.0490726829</v>
      </c>
      <c r="T11" s="487">
        <f t="shared" si="1"/>
        <v>11552783.923596492</v>
      </c>
      <c r="U11" s="487">
        <f t="shared" si="1"/>
        <v>12122448.116596969</v>
      </c>
      <c r="V11" s="487">
        <f t="shared" si="1"/>
        <v>13870037.681601746</v>
      </c>
      <c r="W11" s="487">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993</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994</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-1666653.8107083328</v>
      </c>
      <c r="Q13" s="487">
        <f t="shared" si="2"/>
        <v>1059872.1592976195</v>
      </c>
      <c r="R13" s="487">
        <f t="shared" si="2"/>
        <v>3651675.024040415</v>
      </c>
      <c r="S13" s="487">
        <f t="shared" si="2"/>
        <v>7478059.5295726834</v>
      </c>
      <c r="T13" s="487">
        <f t="shared" si="2"/>
        <v>9939830.0567114931</v>
      </c>
      <c r="U13" s="487">
        <f t="shared" si="2"/>
        <v>10883494.276765419</v>
      </c>
      <c r="V13" s="487">
        <f t="shared" si="2"/>
        <v>11797253.86963525</v>
      </c>
      <c r="W13" s="487">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995</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996</v>
      </c>
      <c r="B16" s="428"/>
      <c r="C16" s="429"/>
      <c r="D16" s="428"/>
      <c r="E16" s="487">
        <f>'c12_oc'!E62</f>
        <v>-1540999</v>
      </c>
      <c r="F16" s="427"/>
      <c r="G16" s="427"/>
      <c r="H16" s="427"/>
      <c r="I16" s="487">
        <v>-1924884.2757142859</v>
      </c>
      <c r="J16" s="487">
        <v>0</v>
      </c>
      <c r="K16" s="427"/>
      <c r="L16" s="487">
        <f>'c12_oc'!L62</f>
        <v>-2137441.8189285714</v>
      </c>
      <c r="M16" s="487">
        <f>'c12_oc'!M62</f>
        <v>-1459732.6378571428</v>
      </c>
      <c r="N16" s="487">
        <f>'c12_oc'!N62</f>
        <v>-1734829.4567857143</v>
      </c>
      <c r="O16" s="487">
        <f>'c12_oc'!O62</f>
        <v>-1924884.2757142857</v>
      </c>
      <c r="P16" s="487">
        <f>'c12_oc'!P62</f>
        <v>0</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301</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-3103892.8878571428</v>
      </c>
      <c r="N18" s="487">
        <f t="shared" si="3"/>
        <v>-4081044.8317857143</v>
      </c>
      <c r="O18" s="487">
        <f t="shared" si="3"/>
        <v>-4879504.7757142857</v>
      </c>
      <c r="P18" s="487">
        <f t="shared" si="3"/>
        <v>-1666653.8107083328</v>
      </c>
      <c r="Q18" s="487">
        <f t="shared" si="3"/>
        <v>1059872.1592976195</v>
      </c>
      <c r="R18" s="487">
        <f t="shared" si="3"/>
        <v>3651675.024040415</v>
      </c>
      <c r="S18" s="487">
        <f t="shared" si="3"/>
        <v>7478059.5295726834</v>
      </c>
      <c r="T18" s="487">
        <f t="shared" si="3"/>
        <v>9939830.0567114931</v>
      </c>
      <c r="U18" s="487">
        <f t="shared" si="3"/>
        <v>10883494.276765419</v>
      </c>
      <c r="V18" s="487">
        <f t="shared" si="3"/>
        <v>11797253.86963525</v>
      </c>
      <c r="W18" s="487">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pageSetUpPr autoPageBreaks="0"/>
  </sheetPr>
  <dimension ref="A1:BK149"/>
  <sheetViews>
    <sheetView showGridLines="0" zoomScale="99" zoomScaleNormal="85" workbookViewId="0">
      <pane xSplit="4" ySplit="3" topLeftCell="E52"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5</v>
      </c>
      <c r="B5" s="442"/>
      <c r="C5" s="441" t="s">
        <v>6</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997</v>
      </c>
      <c r="B6" s="440" t="s">
        <v>12</v>
      </c>
      <c r="C6" s="599" t="s">
        <v>998</v>
      </c>
      <c r="D6" s="817" t="s">
        <v>26</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999</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1000</v>
      </c>
      <c r="B7" s="440" t="s">
        <v>12</v>
      </c>
      <c r="C7" s="439" t="s">
        <v>1001</v>
      </c>
      <c r="D7" s="817" t="s">
        <v>26</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1002</v>
      </c>
      <c r="B8" s="440" t="s">
        <v>12</v>
      </c>
      <c r="C8" s="439" t="s">
        <v>998</v>
      </c>
      <c r="D8" s="441" t="s">
        <v>28</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1003</v>
      </c>
      <c r="B9" s="439" t="s">
        <v>12</v>
      </c>
      <c r="C9" s="439" t="s">
        <v>1001</v>
      </c>
      <c r="D9" s="439" t="s">
        <v>28</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1004</v>
      </c>
      <c r="B10" s="439" t="s">
        <v>12</v>
      </c>
      <c r="C10" s="439" t="s">
        <v>998</v>
      </c>
      <c r="D10" s="439" t="s">
        <v>30</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1005</v>
      </c>
      <c r="B11" s="439" t="s">
        <v>12</v>
      </c>
      <c r="C11" s="439" t="s">
        <v>1001</v>
      </c>
      <c r="D11" s="439" t="s">
        <v>30</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281</v>
      </c>
      <c r="B12" s="439" t="s">
        <v>12</v>
      </c>
      <c r="C12" s="439" t="s">
        <v>998</v>
      </c>
      <c r="D12" s="439" t="s">
        <v>34</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31</v>
      </c>
      <c r="B13" s="439" t="s">
        <v>12</v>
      </c>
      <c r="C13" s="439" t="s">
        <v>998</v>
      </c>
      <c r="D13" s="439" t="s">
        <v>32</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35</v>
      </c>
      <c r="B14" s="439" t="s">
        <v>12</v>
      </c>
      <c r="C14" s="439" t="s">
        <v>998</v>
      </c>
      <c r="D14" s="439" t="s">
        <v>36</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7</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7</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7</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7</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7</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7</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7</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7</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7</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180</v>
      </c>
      <c r="B24" s="439" t="s">
        <v>12</v>
      </c>
      <c r="C24" s="439" t="s">
        <v>998</v>
      </c>
      <c r="D24" s="439" t="s">
        <v>1006</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8</v>
      </c>
      <c r="B25" s="439" t="s">
        <v>9</v>
      </c>
      <c r="C25" s="439" t="s">
        <v>10</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11</v>
      </c>
      <c r="B27" s="439" t="s">
        <v>12</v>
      </c>
      <c r="C27" s="439" t="s">
        <v>13</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999</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14</v>
      </c>
      <c r="B28" s="439" t="s">
        <v>12</v>
      </c>
      <c r="C28" s="439" t="s">
        <v>15</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16</v>
      </c>
      <c r="B29" s="530" t="s">
        <v>9</v>
      </c>
      <c r="C29" s="528" t="s">
        <v>17</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18</v>
      </c>
      <c r="B31" s="439" t="s">
        <v>9</v>
      </c>
      <c r="C31" s="439" t="s">
        <v>19</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20</v>
      </c>
      <c r="B32" s="439" t="s">
        <v>9</v>
      </c>
      <c r="C32" s="439" t="s">
        <v>21</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22</v>
      </c>
      <c r="B34" s="427"/>
      <c r="C34" s="439"/>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24</v>
      </c>
      <c r="B35" s="439" t="s">
        <v>12</v>
      </c>
      <c r="C35" s="599" t="s">
        <v>1007</v>
      </c>
      <c r="D35" s="599" t="s">
        <v>26</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999</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174</v>
      </c>
      <c r="B36" s="439" t="s">
        <v>12</v>
      </c>
      <c r="C36" s="599" t="s">
        <v>1007</v>
      </c>
      <c r="D36" s="439" t="s">
        <v>28</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29</v>
      </c>
      <c r="B37" s="439" t="s">
        <v>12</v>
      </c>
      <c r="C37" s="599" t="s">
        <v>1007</v>
      </c>
      <c r="D37" s="439" t="s">
        <v>30</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31</v>
      </c>
      <c r="B38" s="439" t="s">
        <v>12</v>
      </c>
      <c r="C38" s="599" t="s">
        <v>1007</v>
      </c>
      <c r="D38" s="439" t="s">
        <v>32</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7</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7</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7</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7</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7</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7</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33</v>
      </c>
      <c r="B45" s="439" t="s">
        <v>12</v>
      </c>
      <c r="C45" s="439" t="s">
        <v>1008</v>
      </c>
      <c r="D45" s="439" t="s">
        <v>34</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1009</v>
      </c>
      <c r="B46" s="439" t="s">
        <v>9</v>
      </c>
      <c r="C46" s="439" t="s">
        <v>38</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11</v>
      </c>
      <c r="B48" s="439" t="s">
        <v>12</v>
      </c>
      <c r="C48" s="439" t="s">
        <v>39</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999</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1010</v>
      </c>
      <c r="B49" s="439" t="s">
        <v>12</v>
      </c>
      <c r="C49" s="439" t="s">
        <v>41</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42</v>
      </c>
      <c r="B50" s="439" t="s">
        <v>9</v>
      </c>
      <c r="C50" s="439" t="s">
        <v>43</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44</v>
      </c>
      <c r="B52" s="439" t="s">
        <v>9</v>
      </c>
      <c r="C52" s="439" t="s">
        <v>45</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46</v>
      </c>
      <c r="B53" s="439" t="s">
        <v>9</v>
      </c>
      <c r="C53" s="439" t="s">
        <v>47</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48</v>
      </c>
      <c r="B55" s="427"/>
      <c r="C55" s="439"/>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49</v>
      </c>
      <c r="B56" s="439" t="s">
        <v>9</v>
      </c>
      <c r="C56" s="439" t="s">
        <v>50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51</v>
      </c>
      <c r="B57" s="599" t="s">
        <v>52</v>
      </c>
      <c r="C57" s="439" t="s">
        <v>53</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1011</v>
      </c>
      <c r="B58" s="439" t="s">
        <v>9</v>
      </c>
      <c r="C58" s="439" t="s">
        <v>55</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1012</v>
      </c>
      <c r="B60" s="530" t="s">
        <v>52</v>
      </c>
      <c r="C60" s="439" t="s">
        <v>1013</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58</v>
      </c>
      <c r="B62" s="439" t="s">
        <v>52</v>
      </c>
      <c r="C62" s="439" t="s">
        <v>59</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60</v>
      </c>
      <c r="B64" s="439" t="s">
        <v>9</v>
      </c>
      <c r="C64" s="439" t="s">
        <v>61</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62</v>
      </c>
      <c r="B65" s="530" t="s">
        <v>12</v>
      </c>
      <c r="C65" s="528" t="s">
        <v>63</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64</v>
      </c>
      <c r="B66" s="530" t="s">
        <v>12</v>
      </c>
      <c r="C66" s="528" t="s">
        <v>65</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66</v>
      </c>
      <c r="B67" s="530" t="s">
        <v>9</v>
      </c>
      <c r="C67" s="528" t="s">
        <v>67</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68</v>
      </c>
      <c r="B68" s="439" t="s">
        <v>9</v>
      </c>
      <c r="C68" s="439" t="s">
        <v>69</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1014</v>
      </c>
      <c r="B69" s="439" t="s">
        <v>9</v>
      </c>
      <c r="C69" s="439" t="s">
        <v>71</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1015</v>
      </c>
      <c r="B70" s="530" t="s">
        <v>52</v>
      </c>
      <c r="C70" s="528" t="s">
        <v>1016</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74</v>
      </c>
      <c r="B72" s="530" t="s">
        <v>9</v>
      </c>
      <c r="C72" s="528" t="s">
        <v>75</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76</v>
      </c>
      <c r="B73" s="530" t="s">
        <v>9</v>
      </c>
      <c r="C73" s="528" t="s">
        <v>77</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78</v>
      </c>
      <c r="B74" s="599" t="s">
        <v>52</v>
      </c>
      <c r="C74" s="439" t="s">
        <v>79</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1017</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80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81</v>
      </c>
      <c r="B77" s="530" t="s">
        <v>9</v>
      </c>
      <c r="C77" s="528" t="s">
        <v>82</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83</v>
      </c>
      <c r="B78" s="530" t="s">
        <v>52</v>
      </c>
      <c r="C78" s="528" t="s">
        <v>84</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85</v>
      </c>
      <c r="B79" s="530" t="s">
        <v>52</v>
      </c>
      <c r="C79" s="528" t="s">
        <v>86</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87</v>
      </c>
      <c r="B80" s="530" t="s">
        <v>9</v>
      </c>
      <c r="C80" s="528" t="s">
        <v>88</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89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N56"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5</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1018</v>
      </c>
      <c r="B6" s="440" t="s">
        <v>12</v>
      </c>
      <c r="C6" s="441" t="s">
        <v>1019</v>
      </c>
      <c r="D6" s="818" t="s">
        <v>26</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1020</v>
      </c>
      <c r="B7" s="440" t="s">
        <v>12</v>
      </c>
      <c r="C7" s="441" t="s">
        <v>1021</v>
      </c>
      <c r="D7" s="818" t="s">
        <v>26</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1022</v>
      </c>
      <c r="B8" s="440" t="s">
        <v>12</v>
      </c>
      <c r="C8" s="441" t="s">
        <v>1023</v>
      </c>
      <c r="D8" s="818" t="s">
        <v>26</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1024</v>
      </c>
      <c r="B9" s="439" t="s">
        <v>12</v>
      </c>
      <c r="C9" s="439" t="s">
        <v>1019</v>
      </c>
      <c r="D9" s="439" t="s">
        <v>28</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1025</v>
      </c>
      <c r="B10" s="439" t="s">
        <v>12</v>
      </c>
      <c r="C10" s="439" t="s">
        <v>1021</v>
      </c>
      <c r="D10" s="439" t="s">
        <v>28</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1026</v>
      </c>
      <c r="B11" s="439" t="s">
        <v>12</v>
      </c>
      <c r="C11" s="439" t="s">
        <v>1019</v>
      </c>
      <c r="D11" s="439" t="s">
        <v>30</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1027</v>
      </c>
      <c r="B12" s="439" t="s">
        <v>12</v>
      </c>
      <c r="C12" s="439" t="s">
        <v>1021</v>
      </c>
      <c r="D12" s="439" t="s">
        <v>30</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1028</v>
      </c>
      <c r="B13" s="439" t="s">
        <v>12</v>
      </c>
      <c r="C13" s="439" t="s">
        <v>1023</v>
      </c>
      <c r="D13" s="439" t="s">
        <v>30</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1029</v>
      </c>
      <c r="B14" s="439" t="s">
        <v>12</v>
      </c>
      <c r="C14" s="439" t="s">
        <v>1019</v>
      </c>
      <c r="D14" s="439" t="s">
        <v>32</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1030</v>
      </c>
      <c r="B15" s="439" t="s">
        <v>12</v>
      </c>
      <c r="C15" s="439" t="s">
        <v>1021</v>
      </c>
      <c r="D15" s="439" t="s">
        <v>32</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1031</v>
      </c>
      <c r="B16" s="439" t="s">
        <v>12</v>
      </c>
      <c r="C16" s="439" t="s">
        <v>1023</v>
      </c>
      <c r="D16" s="439" t="s">
        <v>32</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1032</v>
      </c>
      <c r="B17" s="439" t="s">
        <v>12</v>
      </c>
      <c r="C17" s="439" t="s">
        <v>1033</v>
      </c>
      <c r="D17" s="439" t="s">
        <v>32</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1034</v>
      </c>
      <c r="B18" s="439" t="s">
        <v>12</v>
      </c>
      <c r="C18" s="439" t="s">
        <v>1035</v>
      </c>
      <c r="D18" s="439" t="s">
        <v>32</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814" t="s">
        <v>7</v>
      </c>
      <c r="B19" s="530"/>
      <c r="C19" s="528"/>
      <c r="D19" s="530"/>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1036</v>
      </c>
      <c r="B20" s="439" t="s">
        <v>12</v>
      </c>
      <c r="C20" s="439" t="s">
        <v>1035</v>
      </c>
      <c r="D20" s="439" t="s">
        <v>34</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814" t="s">
        <v>7</v>
      </c>
      <c r="B21" s="439"/>
      <c r="C21" s="439"/>
      <c r="D21" s="439"/>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1037</v>
      </c>
      <c r="B22" s="439" t="s">
        <v>12</v>
      </c>
      <c r="C22" s="439" t="s">
        <v>1038</v>
      </c>
      <c r="D22" s="439" t="s">
        <v>34</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814" t="s">
        <v>282</v>
      </c>
      <c r="B23" s="439" t="s">
        <v>12</v>
      </c>
      <c r="C23" s="439" t="s">
        <v>1021</v>
      </c>
      <c r="D23" s="439" t="s">
        <v>36</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180</v>
      </c>
      <c r="B24" s="439" t="s">
        <v>12</v>
      </c>
      <c r="C24" s="439" t="s">
        <v>1021</v>
      </c>
      <c r="D24" s="439" t="s">
        <v>1006</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8</v>
      </c>
      <c r="B25" s="439" t="s">
        <v>9</v>
      </c>
      <c r="C25" s="439" t="s">
        <v>10</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11</v>
      </c>
      <c r="B27" s="439" t="s">
        <v>12</v>
      </c>
      <c r="C27" s="439" t="s">
        <v>13</v>
      </c>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14</v>
      </c>
      <c r="B28" s="439" t="s">
        <v>12</v>
      </c>
      <c r="C28" s="439" t="s">
        <v>15</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16</v>
      </c>
      <c r="B29" s="439" t="s">
        <v>9</v>
      </c>
      <c r="C29" s="439" t="s">
        <v>17</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18</v>
      </c>
      <c r="B31" s="439" t="s">
        <v>9</v>
      </c>
      <c r="C31" s="439" t="s">
        <v>19</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20</v>
      </c>
      <c r="B32" s="439" t="s">
        <v>9</v>
      </c>
      <c r="C32" s="439" t="s">
        <v>21</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22</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815" t="s">
        <v>1039</v>
      </c>
      <c r="B35" s="439" t="s">
        <v>12</v>
      </c>
      <c r="C35" s="439" t="s">
        <v>1040</v>
      </c>
      <c r="D35" s="599" t="s">
        <v>26</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1041</v>
      </c>
      <c r="B36" s="439" t="s">
        <v>12</v>
      </c>
      <c r="C36" s="599" t="s">
        <v>1040</v>
      </c>
      <c r="D36" s="439" t="s">
        <v>28</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1042</v>
      </c>
      <c r="B37" s="439" t="s">
        <v>12</v>
      </c>
      <c r="C37" s="439" t="s">
        <v>1040</v>
      </c>
      <c r="D37" s="439" t="s">
        <v>30</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1043</v>
      </c>
      <c r="B38" s="439" t="s">
        <v>12</v>
      </c>
      <c r="C38" s="439" t="s">
        <v>1040</v>
      </c>
      <c r="D38" s="439" t="s">
        <v>32</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1044</v>
      </c>
      <c r="B39" s="439" t="s">
        <v>12</v>
      </c>
      <c r="C39" s="439" t="s">
        <v>1045</v>
      </c>
      <c r="D39" s="439" t="s">
        <v>32</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1046</v>
      </c>
      <c r="B40" s="439" t="s">
        <v>12</v>
      </c>
      <c r="C40" s="439" t="s">
        <v>1040</v>
      </c>
      <c r="D40" s="439" t="s">
        <v>34</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1047</v>
      </c>
      <c r="B41" s="530" t="s">
        <v>12</v>
      </c>
      <c r="C41" s="528" t="s">
        <v>1045</v>
      </c>
      <c r="D41" s="530" t="s">
        <v>34</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1048</v>
      </c>
      <c r="B42" s="530" t="s">
        <v>12</v>
      </c>
      <c r="C42" s="528" t="s">
        <v>1045</v>
      </c>
      <c r="D42" s="816" t="s">
        <v>26</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1049</v>
      </c>
      <c r="B43" s="530" t="s">
        <v>12</v>
      </c>
      <c r="C43" s="528" t="s">
        <v>1045</v>
      </c>
      <c r="D43" s="530" t="s">
        <v>28</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7</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815" t="s">
        <v>282</v>
      </c>
      <c r="B45" s="530" t="s">
        <v>12</v>
      </c>
      <c r="C45" s="439" t="s">
        <v>1040</v>
      </c>
      <c r="D45" s="816" t="s">
        <v>1050</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1009</v>
      </c>
      <c r="B46" s="530" t="s">
        <v>9</v>
      </c>
      <c r="C46" s="528" t="s">
        <v>38</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11</v>
      </c>
      <c r="B48" s="439" t="s">
        <v>12</v>
      </c>
      <c r="C48" s="439" t="s">
        <v>39</v>
      </c>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c r="Y48" s="527"/>
      <c r="Z48" s="427"/>
      <c r="AA48" s="427"/>
      <c r="AB48" s="427"/>
      <c r="AC48" s="427"/>
      <c r="AD48" s="427"/>
      <c r="AE48" s="427"/>
      <c r="AF48" s="427"/>
      <c r="AG48" s="427"/>
      <c r="AH48" s="427"/>
      <c r="AI48" s="427"/>
      <c r="AJ48" s="568"/>
      <c r="AK48" s="568"/>
      <c r="AL48" s="568"/>
      <c r="AM48" s="568"/>
      <c r="AN48" s="569"/>
      <c r="AO48" s="834"/>
      <c r="AP48" s="835"/>
      <c r="AQ48" s="835"/>
      <c r="AR48" s="835"/>
      <c r="AS48" s="835"/>
      <c r="AT48" s="835"/>
      <c r="AU48" s="427"/>
      <c r="AV48" s="834"/>
      <c r="AW48" s="835"/>
      <c r="AX48" s="835"/>
      <c r="AY48" s="835"/>
      <c r="AZ48" s="835"/>
      <c r="BA48" s="835"/>
      <c r="BB48" s="835"/>
    </row>
    <row r="49" spans="1:54" ht="15" customHeight="1">
      <c r="A49" s="567" t="s">
        <v>40</v>
      </c>
      <c r="B49" s="439" t="s">
        <v>12</v>
      </c>
      <c r="C49" s="439" t="s">
        <v>41</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42</v>
      </c>
      <c r="B50" s="439" t="s">
        <v>9</v>
      </c>
      <c r="C50" s="439" t="s">
        <v>43</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44</v>
      </c>
      <c r="B52" s="530" t="s">
        <v>9</v>
      </c>
      <c r="C52" s="528" t="s">
        <v>45</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46</v>
      </c>
      <c r="B53" s="530" t="s">
        <v>9</v>
      </c>
      <c r="C53" s="528" t="s">
        <v>47</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48</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49</v>
      </c>
      <c r="B56" s="439" t="s">
        <v>9</v>
      </c>
      <c r="C56" s="439" t="s">
        <v>50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51</v>
      </c>
      <c r="B57" s="599" t="s">
        <v>52</v>
      </c>
      <c r="C57" s="439" t="s">
        <v>53</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1051</v>
      </c>
      <c r="B58" s="530" t="s">
        <v>9</v>
      </c>
      <c r="C58" s="528" t="s">
        <v>55</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67" t="s">
        <v>1052</v>
      </c>
      <c r="B60" s="530" t="s">
        <v>52</v>
      </c>
      <c r="C60" s="528" t="s">
        <v>1053</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833"/>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67" t="s">
        <v>58</v>
      </c>
      <c r="B62" s="439" t="s">
        <v>52</v>
      </c>
      <c r="C62" s="439" t="s">
        <v>59</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60</v>
      </c>
      <c r="B64" s="439" t="s">
        <v>9</v>
      </c>
      <c r="C64" s="439" t="s">
        <v>61</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62</v>
      </c>
      <c r="B65" s="530" t="s">
        <v>12</v>
      </c>
      <c r="C65" s="528" t="s">
        <v>63</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64</v>
      </c>
      <c r="B66" s="530" t="s">
        <v>12</v>
      </c>
      <c r="C66" s="528" t="s">
        <v>65</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66</v>
      </c>
      <c r="B67" s="530" t="s">
        <v>9</v>
      </c>
      <c r="C67" s="528" t="s">
        <v>67</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68</v>
      </c>
      <c r="B68" s="439" t="s">
        <v>9</v>
      </c>
      <c r="C68" s="439" t="s">
        <v>69</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1014</v>
      </c>
      <c r="B69" s="439" t="s">
        <v>9</v>
      </c>
      <c r="C69" s="439" t="s">
        <v>71</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1054</v>
      </c>
      <c r="B70" s="530" t="s">
        <v>52</v>
      </c>
      <c r="C70" s="528" t="s">
        <v>1055</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74</v>
      </c>
      <c r="B72" s="530" t="s">
        <v>9</v>
      </c>
      <c r="C72" s="528" t="s">
        <v>75</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76</v>
      </c>
      <c r="B73" s="530" t="s">
        <v>9</v>
      </c>
      <c r="C73" s="528" t="s">
        <v>77</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78</v>
      </c>
      <c r="B74" s="599" t="s">
        <v>52</v>
      </c>
      <c r="C74" s="439" t="s">
        <v>79</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80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81</v>
      </c>
      <c r="B77" s="530" t="s">
        <v>9</v>
      </c>
      <c r="C77" s="528" t="s">
        <v>82</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83</v>
      </c>
      <c r="B78" s="530" t="s">
        <v>52</v>
      </c>
      <c r="C78" s="528" t="s">
        <v>84</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85</v>
      </c>
      <c r="B79" s="530" t="s">
        <v>52</v>
      </c>
      <c r="C79" s="528" t="s">
        <v>86</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87</v>
      </c>
      <c r="B80" s="530" t="s">
        <v>9</v>
      </c>
      <c r="C80" s="528" t="s">
        <v>88</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89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R55" activePane="bottomRight" state="frozen"/>
      <selection pane="topRight"/>
      <selection pane="bottomLeft" activeCell="E16" sqref="E16"/>
      <selection pane="bottomRight" activeCell="B75" sqref="B75"/>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5</v>
      </c>
      <c r="B5" s="442"/>
      <c r="C5" s="441" t="s">
        <v>6</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7</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7</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7</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7</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7</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7</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7</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7</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7</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7</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7</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7</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7</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7</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7</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7</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7</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7</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7</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8</v>
      </c>
      <c r="B25" s="439" t="s">
        <v>9</v>
      </c>
      <c r="C25" s="439" t="s">
        <v>10</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11</v>
      </c>
      <c r="B27" s="439" t="s">
        <v>12</v>
      </c>
      <c r="C27" s="439" t="s">
        <v>13</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14</v>
      </c>
      <c r="B28" s="439" t="s">
        <v>12</v>
      </c>
      <c r="C28" s="439" t="s">
        <v>15</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16</v>
      </c>
      <c r="B29" s="439" t="s">
        <v>9</v>
      </c>
      <c r="C29" s="439" t="s">
        <v>17</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18</v>
      </c>
      <c r="B31" s="439" t="s">
        <v>9</v>
      </c>
      <c r="C31" s="439" t="s">
        <v>19</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20</v>
      </c>
      <c r="B32" s="439" t="s">
        <v>9</v>
      </c>
      <c r="C32" s="439" t="s">
        <v>21</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22</v>
      </c>
      <c r="B34" s="427"/>
      <c r="C34" s="439" t="s">
        <v>23</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24</v>
      </c>
      <c r="B35" s="439" t="s">
        <v>12</v>
      </c>
      <c r="C35" s="599" t="s">
        <v>25</v>
      </c>
      <c r="D35" s="599" t="s">
        <v>26</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27</v>
      </c>
      <c r="B36" s="439" t="s">
        <v>12</v>
      </c>
      <c r="C36" s="599" t="s">
        <v>25</v>
      </c>
      <c r="D36" s="439" t="s">
        <v>28</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29</v>
      </c>
      <c r="B37" s="439" t="s">
        <v>12</v>
      </c>
      <c r="C37" s="599" t="s">
        <v>25</v>
      </c>
      <c r="D37" s="439" t="s">
        <v>30</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31</v>
      </c>
      <c r="B38" s="439" t="s">
        <v>12</v>
      </c>
      <c r="C38" s="599" t="s">
        <v>25</v>
      </c>
      <c r="D38" s="439" t="s">
        <v>32</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33</v>
      </c>
      <c r="B39" s="439" t="s">
        <v>12</v>
      </c>
      <c r="C39" s="599" t="s">
        <v>25</v>
      </c>
      <c r="D39" s="439" t="s">
        <v>34</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7</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7</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7</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7</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7</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35</v>
      </c>
      <c r="B45" s="439" t="s">
        <v>12</v>
      </c>
      <c r="C45" s="599" t="s">
        <v>25</v>
      </c>
      <c r="D45" s="439" t="s">
        <v>36</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37</v>
      </c>
      <c r="B46" s="530" t="s">
        <v>9</v>
      </c>
      <c r="C46" s="528" t="s">
        <v>38</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11</v>
      </c>
      <c r="B48" s="439" t="s">
        <v>12</v>
      </c>
      <c r="C48" s="439" t="s">
        <v>39</v>
      </c>
      <c r="D48" s="427"/>
      <c r="E48" s="496"/>
      <c r="F48" s="496"/>
      <c r="G48" s="496"/>
      <c r="H48" s="496"/>
      <c r="I48" s="543"/>
      <c r="J48" s="543"/>
      <c r="K48" s="496"/>
      <c r="L48" s="543">
        <f>-L36</f>
        <v>0</v>
      </c>
      <c r="M48" s="543"/>
      <c r="N48" s="543"/>
      <c r="O48" s="543"/>
      <c r="P48" s="543"/>
      <c r="Q48" s="543"/>
      <c r="R48" s="543"/>
      <c r="S48" s="543"/>
      <c r="T48" s="496"/>
      <c r="U48" s="496"/>
      <c r="V48" s="496"/>
      <c r="W48" s="496"/>
      <c r="X48" s="528"/>
      <c r="Y48" s="527"/>
      <c r="Z48" s="427"/>
      <c r="AA48" s="427"/>
      <c r="AB48" s="427"/>
      <c r="AC48" s="427"/>
      <c r="AD48" s="427"/>
      <c r="AE48" s="427"/>
      <c r="AF48" s="427"/>
      <c r="AG48" s="427"/>
      <c r="AH48" s="427"/>
      <c r="AI48" s="427"/>
      <c r="AJ48" s="568"/>
      <c r="AK48" s="568"/>
      <c r="AL48" s="568"/>
      <c r="AM48" s="568"/>
      <c r="AN48" s="569"/>
      <c r="AO48" s="834"/>
      <c r="AP48" s="835"/>
      <c r="AQ48" s="835"/>
      <c r="AR48" s="835"/>
      <c r="AS48" s="835"/>
      <c r="AT48" s="835"/>
      <c r="AU48" s="427"/>
      <c r="AV48" s="834"/>
      <c r="AW48" s="835"/>
      <c r="AX48" s="835"/>
      <c r="AY48" s="835"/>
      <c r="AZ48" s="835"/>
      <c r="BA48" s="835"/>
      <c r="BB48" s="835"/>
    </row>
    <row r="49" spans="1:54" ht="15" customHeight="1">
      <c r="A49" s="567" t="s">
        <v>40</v>
      </c>
      <c r="B49" s="439" t="s">
        <v>12</v>
      </c>
      <c r="C49" s="439" t="s">
        <v>41</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42</v>
      </c>
      <c r="B50" s="439" t="s">
        <v>9</v>
      </c>
      <c r="C50" s="439" t="s">
        <v>43</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44</v>
      </c>
      <c r="B52" s="530" t="s">
        <v>9</v>
      </c>
      <c r="C52" s="528" t="s">
        <v>45</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46</v>
      </c>
      <c r="B53" s="530" t="s">
        <v>9</v>
      </c>
      <c r="C53" s="528" t="s">
        <v>47</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48</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49</v>
      </c>
      <c r="B56" s="439" t="s">
        <v>9</v>
      </c>
      <c r="C56" s="439" t="s">
        <v>50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51</v>
      </c>
      <c r="B57" s="599" t="s">
        <v>52</v>
      </c>
      <c r="C57" s="439" t="s">
        <v>53</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54</v>
      </c>
      <c r="B58" s="530" t="s">
        <v>9</v>
      </c>
      <c r="C58" s="528" t="s">
        <v>55</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56</v>
      </c>
      <c r="B60" s="530" t="s">
        <v>52</v>
      </c>
      <c r="C60" s="528" t="s">
        <v>57</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58</v>
      </c>
      <c r="B62" s="439" t="s">
        <v>52</v>
      </c>
      <c r="C62" s="439" t="s">
        <v>59</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60</v>
      </c>
      <c r="B64" s="439" t="s">
        <v>9</v>
      </c>
      <c r="C64" s="439" t="s">
        <v>61</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62</v>
      </c>
      <c r="B65" s="530" t="s">
        <v>12</v>
      </c>
      <c r="C65" s="528" t="s">
        <v>63</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64</v>
      </c>
      <c r="B66" s="530" t="s">
        <v>12</v>
      </c>
      <c r="C66" s="528" t="s">
        <v>65</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66</v>
      </c>
      <c r="B67" s="530" t="s">
        <v>9</v>
      </c>
      <c r="C67" s="528" t="s">
        <v>67</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68</v>
      </c>
      <c r="B68" s="439" t="s">
        <v>9</v>
      </c>
      <c r="C68" s="439" t="s">
        <v>69</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70</v>
      </c>
      <c r="B69" s="439" t="s">
        <v>9</v>
      </c>
      <c r="C69" s="439" t="s">
        <v>71</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72</v>
      </c>
      <c r="B70" s="439" t="s">
        <v>52</v>
      </c>
      <c r="C70" s="439" t="s">
        <v>73</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74</v>
      </c>
      <c r="B72" s="530" t="s">
        <v>9</v>
      </c>
      <c r="C72" s="528" t="s">
        <v>75</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76</v>
      </c>
      <c r="B73" s="530" t="s">
        <v>9</v>
      </c>
      <c r="C73" s="528" t="s">
        <v>77</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78</v>
      </c>
      <c r="B74" s="599" t="s">
        <v>52</v>
      </c>
      <c r="C74" s="439" t="s">
        <v>79</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80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81</v>
      </c>
      <c r="B77" s="530" t="s">
        <v>9</v>
      </c>
      <c r="C77" s="528" t="s">
        <v>82</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83</v>
      </c>
      <c r="B78" s="530" t="s">
        <v>52</v>
      </c>
      <c r="C78" s="528" t="s">
        <v>84</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85</v>
      </c>
      <c r="B79" s="530" t="s">
        <v>52</v>
      </c>
      <c r="C79" s="528" t="s">
        <v>86</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87</v>
      </c>
      <c r="B80" s="530" t="s">
        <v>9</v>
      </c>
      <c r="C80" s="528" t="s">
        <v>88</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89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1056</v>
      </c>
      <c r="B5" s="440" t="s">
        <v>12</v>
      </c>
      <c r="C5" s="441" t="s">
        <v>1057</v>
      </c>
      <c r="D5" s="440" t="s">
        <v>1058</v>
      </c>
      <c r="E5" s="570">
        <v>2.171428571428571E-2</v>
      </c>
      <c r="F5" s="439" t="s">
        <v>1059</v>
      </c>
      <c r="G5" s="427"/>
    </row>
    <row r="6" spans="1:7">
      <c r="A6" s="469" t="s">
        <v>1060</v>
      </c>
      <c r="B6" s="440" t="s">
        <v>12</v>
      </c>
      <c r="C6" s="441" t="s">
        <v>1061</v>
      </c>
      <c r="D6" s="455" t="s">
        <v>1058</v>
      </c>
      <c r="E6" s="571">
        <v>3.9E-2</v>
      </c>
      <c r="F6" s="427"/>
      <c r="G6" s="427"/>
    </row>
    <row r="7" spans="1:7">
      <c r="A7" s="427"/>
      <c r="B7" s="442"/>
      <c r="C7" s="444"/>
      <c r="D7" s="445"/>
      <c r="E7" s="427"/>
      <c r="F7" s="427"/>
      <c r="G7" s="427"/>
    </row>
    <row r="8" spans="1:7">
      <c r="A8" s="469" t="s">
        <v>1062</v>
      </c>
      <c r="B8" s="440" t="s">
        <v>12</v>
      </c>
      <c r="C8" s="441" t="s">
        <v>1063</v>
      </c>
      <c r="D8" s="455" t="s">
        <v>973</v>
      </c>
      <c r="E8" s="570">
        <v>0.152</v>
      </c>
      <c r="F8" s="427"/>
      <c r="G8" s="427"/>
    </row>
    <row r="9" spans="1:7">
      <c r="A9" s="469" t="s">
        <v>1064</v>
      </c>
      <c r="B9" s="439" t="s">
        <v>12</v>
      </c>
      <c r="C9" s="439" t="s">
        <v>1061</v>
      </c>
      <c r="D9" s="439" t="s">
        <v>973</v>
      </c>
      <c r="E9" s="570">
        <v>3.9E-2</v>
      </c>
      <c r="F9" s="427"/>
      <c r="G9" s="427"/>
    </row>
    <row r="10" spans="1:7">
      <c r="A10" s="427"/>
      <c r="B10" s="427"/>
      <c r="C10" s="427"/>
      <c r="D10" s="427"/>
      <c r="E10" s="427"/>
      <c r="F10" s="427"/>
      <c r="G10" s="427"/>
    </row>
    <row r="11" spans="1:7">
      <c r="A11" s="469" t="s">
        <v>1065</v>
      </c>
      <c r="B11" s="439" t="s">
        <v>12</v>
      </c>
      <c r="C11" s="439" t="s">
        <v>1063</v>
      </c>
      <c r="D11" s="439" t="s">
        <v>975</v>
      </c>
      <c r="E11" s="570">
        <v>0.152</v>
      </c>
      <c r="F11" s="427"/>
      <c r="G11" s="427"/>
    </row>
    <row r="12" spans="1:7">
      <c r="A12" s="469" t="s">
        <v>1066</v>
      </c>
      <c r="B12" s="439" t="s">
        <v>12</v>
      </c>
      <c r="C12" s="439" t="s">
        <v>1061</v>
      </c>
      <c r="D12" s="439" t="s">
        <v>975</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1067</v>
      </c>
      <c r="B15" s="439" t="s">
        <v>12</v>
      </c>
      <c r="C15" s="439" t="s">
        <v>1063</v>
      </c>
      <c r="D15" s="439" t="s">
        <v>1068</v>
      </c>
      <c r="E15" s="570">
        <v>0.152</v>
      </c>
      <c r="F15" s="427"/>
      <c r="G15" s="427"/>
    </row>
    <row r="16" spans="1:7">
      <c r="A16" s="469" t="s">
        <v>1069</v>
      </c>
      <c r="B16" s="439" t="s">
        <v>12</v>
      </c>
      <c r="C16" s="439" t="s">
        <v>1061</v>
      </c>
      <c r="D16" s="439" t="s">
        <v>1068</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1070</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1071</v>
      </c>
      <c r="B6" s="769" t="s">
        <v>12</v>
      </c>
      <c r="C6" s="770" t="s">
        <v>1072</v>
      </c>
      <c r="D6" s="771" t="s">
        <v>979</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1073</v>
      </c>
      <c r="B7" s="769" t="s">
        <v>12</v>
      </c>
      <c r="C7" s="770" t="s">
        <v>1072</v>
      </c>
      <c r="D7" s="771" t="s">
        <v>1074</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1075</v>
      </c>
      <c r="B8" s="769" t="s">
        <v>12</v>
      </c>
      <c r="C8" s="770" t="s">
        <v>1072</v>
      </c>
      <c r="D8" s="771" t="s">
        <v>1076</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1077</v>
      </c>
      <c r="B9" s="779" t="s">
        <v>12</v>
      </c>
      <c r="C9" s="779" t="s">
        <v>1072</v>
      </c>
      <c r="D9" s="779" t="s">
        <v>1078</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1079</v>
      </c>
      <c r="B10" s="779" t="s">
        <v>12</v>
      </c>
      <c r="C10" s="779" t="s">
        <v>1072</v>
      </c>
      <c r="D10" s="779" t="s">
        <v>1080</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1081</v>
      </c>
      <c r="B11" s="779" t="s">
        <v>12</v>
      </c>
      <c r="C11" s="779" t="s">
        <v>1072</v>
      </c>
      <c r="D11" s="779" t="s">
        <v>1082</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337</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1083</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12</v>
      </c>
      <c r="C14" s="779" t="s">
        <v>1084</v>
      </c>
      <c r="D14" s="779" t="s">
        <v>979</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12</v>
      </c>
      <c r="C15" s="779" t="s">
        <v>1084</v>
      </c>
      <c r="D15" s="779" t="s">
        <v>1074</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12</v>
      </c>
      <c r="C16" s="779" t="s">
        <v>1084</v>
      </c>
      <c r="D16" s="779" t="s">
        <v>1076</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12</v>
      </c>
      <c r="C17" s="779" t="s">
        <v>1084</v>
      </c>
      <c r="D17" s="779" t="s">
        <v>1078</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12</v>
      </c>
      <c r="C18" s="779" t="s">
        <v>1084</v>
      </c>
      <c r="D18" s="779" t="s">
        <v>1080</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12</v>
      </c>
      <c r="C19" s="779" t="s">
        <v>1084</v>
      </c>
      <c r="D19" s="779" t="s">
        <v>1082</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337</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337</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9</v>
      </c>
      <c r="C23" s="779" t="s">
        <v>1085</v>
      </c>
      <c r="D23" s="779" t="s">
        <v>979</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9</v>
      </c>
      <c r="C24" s="779" t="s">
        <v>1085</v>
      </c>
      <c r="D24" s="779" t="s">
        <v>1074</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9</v>
      </c>
      <c r="C25" s="779" t="s">
        <v>1085</v>
      </c>
      <c r="D25" s="779" t="s">
        <v>1076</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9</v>
      </c>
      <c r="C26" s="779" t="s">
        <v>1085</v>
      </c>
      <c r="D26" s="779" t="s">
        <v>1078</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9</v>
      </c>
      <c r="C27" s="779" t="s">
        <v>1085</v>
      </c>
      <c r="D27" s="779" t="s">
        <v>1080</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9</v>
      </c>
      <c r="C28" s="779" t="s">
        <v>1085</v>
      </c>
      <c r="D28" s="779" t="s">
        <v>1082</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81</v>
      </c>
      <c r="B30" s="779" t="s">
        <v>52</v>
      </c>
      <c r="C30" s="779" t="s">
        <v>82</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83</v>
      </c>
      <c r="B31" s="779" t="s">
        <v>52</v>
      </c>
      <c r="C31" s="779" t="s">
        <v>84</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85</v>
      </c>
      <c r="B32" s="779" t="s">
        <v>52</v>
      </c>
      <c r="C32" s="779" t="s">
        <v>86</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87</v>
      </c>
      <c r="B33" s="779" t="s">
        <v>52</v>
      </c>
      <c r="C33" s="779" t="s">
        <v>88</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1086</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1087</v>
      </c>
      <c r="B6" s="769" t="s">
        <v>12</v>
      </c>
      <c r="C6" s="770" t="s">
        <v>1072</v>
      </c>
      <c r="D6" s="771" t="s">
        <v>1088</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1089</v>
      </c>
      <c r="B7" s="769" t="s">
        <v>12</v>
      </c>
      <c r="C7" s="770" t="s">
        <v>1072</v>
      </c>
      <c r="D7" s="771" t="s">
        <v>1090</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1091</v>
      </c>
      <c r="B8" s="769" t="s">
        <v>12</v>
      </c>
      <c r="C8" s="770" t="s">
        <v>1072</v>
      </c>
      <c r="D8" s="771" t="s">
        <v>1092</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1093</v>
      </c>
      <c r="B9" s="779" t="s">
        <v>12</v>
      </c>
      <c r="C9" s="779" t="s">
        <v>1072</v>
      </c>
      <c r="D9" s="779" t="s">
        <v>1094</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1095</v>
      </c>
      <c r="B10" s="779" t="s">
        <v>12</v>
      </c>
      <c r="C10" s="779" t="s">
        <v>1072</v>
      </c>
      <c r="D10" s="779" t="s">
        <v>1096</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1097</v>
      </c>
      <c r="B11" s="797" t="s">
        <v>12</v>
      </c>
      <c r="C11" s="798" t="s">
        <v>1072</v>
      </c>
      <c r="D11" s="797" t="s">
        <v>1098</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337</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1083</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12</v>
      </c>
      <c r="C15" s="779" t="s">
        <v>1084</v>
      </c>
      <c r="D15" s="779" t="s">
        <v>1088</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12</v>
      </c>
      <c r="C16" s="779" t="s">
        <v>1084</v>
      </c>
      <c r="D16" s="779" t="s">
        <v>1090</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12</v>
      </c>
      <c r="C17" s="779" t="s">
        <v>1084</v>
      </c>
      <c r="D17" s="779" t="s">
        <v>1092</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12</v>
      </c>
      <c r="C18" s="779" t="s">
        <v>1084</v>
      </c>
      <c r="D18" s="779" t="s">
        <v>1094</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12</v>
      </c>
      <c r="C19" s="779" t="s">
        <v>1084</v>
      </c>
      <c r="D19" s="779" t="s">
        <v>1096</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12</v>
      </c>
      <c r="C20" s="779" t="s">
        <v>1084</v>
      </c>
      <c r="D20" s="779" t="s">
        <v>1098</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337</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1099</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9</v>
      </c>
      <c r="C24" s="779" t="s">
        <v>1085</v>
      </c>
      <c r="D24" s="779" t="s">
        <v>1088</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9</v>
      </c>
      <c r="C25" s="779" t="s">
        <v>1085</v>
      </c>
      <c r="D25" s="779" t="s">
        <v>1090</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9</v>
      </c>
      <c r="C26" s="779" t="s">
        <v>1085</v>
      </c>
      <c r="D26" s="779" t="s">
        <v>1092</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9</v>
      </c>
      <c r="C27" s="779" t="s">
        <v>1085</v>
      </c>
      <c r="D27" s="779" t="s">
        <v>1094</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9</v>
      </c>
      <c r="C28" s="779" t="s">
        <v>1085</v>
      </c>
      <c r="D28" s="779" t="s">
        <v>1096</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9</v>
      </c>
      <c r="C29" s="779" t="s">
        <v>1085</v>
      </c>
      <c r="D29" s="779" t="s">
        <v>1098</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81</v>
      </c>
      <c r="B31" s="779" t="s">
        <v>52</v>
      </c>
      <c r="C31" s="779" t="s">
        <v>82</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83</v>
      </c>
      <c r="B32" s="779" t="s">
        <v>52</v>
      </c>
      <c r="C32" s="779" t="s">
        <v>84</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85</v>
      </c>
      <c r="B33" s="779" t="s">
        <v>52</v>
      </c>
      <c r="C33" s="779" t="s">
        <v>86</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87</v>
      </c>
      <c r="B34" s="779" t="s">
        <v>52</v>
      </c>
      <c r="C34" s="779" t="s">
        <v>88</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E93"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1086</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1100</v>
      </c>
      <c r="B6" s="769" t="s">
        <v>12</v>
      </c>
      <c r="C6" s="770" t="s">
        <v>1072</v>
      </c>
      <c r="D6" s="771" t="s">
        <v>1101</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1102</v>
      </c>
      <c r="B7" s="769" t="s">
        <v>12</v>
      </c>
      <c r="C7" s="770" t="s">
        <v>1072</v>
      </c>
      <c r="D7" s="771" t="s">
        <v>1103</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1104</v>
      </c>
      <c r="B8" s="769" t="s">
        <v>12</v>
      </c>
      <c r="C8" s="770" t="s">
        <v>1072</v>
      </c>
      <c r="D8" s="771" t="s">
        <v>1105</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1106</v>
      </c>
      <c r="B9" s="779" t="s">
        <v>12</v>
      </c>
      <c r="C9" s="779" t="s">
        <v>1072</v>
      </c>
      <c r="D9" s="779" t="s">
        <v>1107</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1108</v>
      </c>
      <c r="B10" s="779" t="s">
        <v>12</v>
      </c>
      <c r="C10" s="779" t="s">
        <v>1072</v>
      </c>
      <c r="D10" s="779" t="s">
        <v>1109</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1110</v>
      </c>
      <c r="B11" s="779" t="s">
        <v>12</v>
      </c>
      <c r="C11" s="779" t="s">
        <v>1072</v>
      </c>
      <c r="D11" s="779" t="s">
        <v>1111</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1112</v>
      </c>
      <c r="B12" s="779" t="s">
        <v>12</v>
      </c>
      <c r="C12" s="779" t="s">
        <v>1072</v>
      </c>
      <c r="D12" s="779" t="s">
        <v>1113</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1114</v>
      </c>
      <c r="B13" s="779" t="s">
        <v>12</v>
      </c>
      <c r="C13" s="779" t="s">
        <v>1072</v>
      </c>
      <c r="D13" s="779" t="s">
        <v>1115</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1116</v>
      </c>
      <c r="B14" s="779" t="s">
        <v>12</v>
      </c>
      <c r="C14" s="779" t="s">
        <v>1072</v>
      </c>
      <c r="D14" s="779" t="s">
        <v>1117</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1118</v>
      </c>
      <c r="B15" s="797" t="s">
        <v>12</v>
      </c>
      <c r="C15" s="798" t="s">
        <v>1072</v>
      </c>
      <c r="D15" s="797" t="s">
        <v>1119</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1120</v>
      </c>
      <c r="B16" s="779" t="s">
        <v>12</v>
      </c>
      <c r="C16" s="779" t="s">
        <v>1072</v>
      </c>
      <c r="D16" s="779" t="s">
        <v>1121</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337</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1083</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12</v>
      </c>
      <c r="C20" s="779" t="s">
        <v>1084</v>
      </c>
      <c r="D20" s="779" t="s">
        <v>1101</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12</v>
      </c>
      <c r="C21" s="779" t="s">
        <v>1084</v>
      </c>
      <c r="D21" s="779" t="s">
        <v>1103</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12</v>
      </c>
      <c r="C22" s="779" t="s">
        <v>1084</v>
      </c>
      <c r="D22" s="779" t="s">
        <v>1105</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12</v>
      </c>
      <c r="C23" s="779" t="s">
        <v>1084</v>
      </c>
      <c r="D23" s="779" t="s">
        <v>1107</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12</v>
      </c>
      <c r="C24" s="779" t="s">
        <v>1084</v>
      </c>
      <c r="D24" s="779" t="s">
        <v>1109</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12</v>
      </c>
      <c r="C25" s="779" t="s">
        <v>1084</v>
      </c>
      <c r="D25" s="779" t="s">
        <v>1111</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12</v>
      </c>
      <c r="C26" s="779" t="s">
        <v>1084</v>
      </c>
      <c r="D26" s="779" t="s">
        <v>1113</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12</v>
      </c>
      <c r="C27" s="779" t="s">
        <v>1084</v>
      </c>
      <c r="D27" s="779" t="s">
        <v>1115</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12</v>
      </c>
      <c r="C28" s="779" t="s">
        <v>1084</v>
      </c>
      <c r="D28" s="779" t="s">
        <v>1117</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12</v>
      </c>
      <c r="C29" s="779" t="s">
        <v>1084</v>
      </c>
      <c r="D29" s="779" t="s">
        <v>1119</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12</v>
      </c>
      <c r="C30" s="779" t="s">
        <v>1084</v>
      </c>
      <c r="D30" s="779" t="s">
        <v>1121</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337</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1099</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9</v>
      </c>
      <c r="C34" s="779" t="s">
        <v>1085</v>
      </c>
      <c r="D34" s="779" t="s">
        <v>1101</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9</v>
      </c>
      <c r="C35" s="779" t="s">
        <v>1085</v>
      </c>
      <c r="D35" s="779" t="s">
        <v>1103</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9</v>
      </c>
      <c r="C36" s="779" t="s">
        <v>1085</v>
      </c>
      <c r="D36" s="779" t="s">
        <v>1105</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9</v>
      </c>
      <c r="C37" s="779" t="s">
        <v>1085</v>
      </c>
      <c r="D37" s="779" t="s">
        <v>1107</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9</v>
      </c>
      <c r="C38" s="779" t="s">
        <v>1085</v>
      </c>
      <c r="D38" s="779" t="s">
        <v>1109</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9</v>
      </c>
      <c r="C39" s="779" t="s">
        <v>1085</v>
      </c>
      <c r="D39" s="779" t="s">
        <v>1111</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9</v>
      </c>
      <c r="C40" s="779" t="s">
        <v>1085</v>
      </c>
      <c r="D40" s="779" t="s">
        <v>1113</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9</v>
      </c>
      <c r="C41" s="779" t="s">
        <v>1085</v>
      </c>
      <c r="D41" s="779" t="s">
        <v>1115</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9</v>
      </c>
      <c r="C42" s="779" t="s">
        <v>1085</v>
      </c>
      <c r="D42" s="779" t="s">
        <v>1117</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9</v>
      </c>
      <c r="C43" s="779" t="s">
        <v>1085</v>
      </c>
      <c r="D43" s="779" t="s">
        <v>1119</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9</v>
      </c>
      <c r="C44" s="779" t="s">
        <v>1085</v>
      </c>
      <c r="D44" s="779" t="s">
        <v>1121</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81</v>
      </c>
      <c r="B45" s="779" t="s">
        <v>52</v>
      </c>
      <c r="C45" s="779" t="s">
        <v>82</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83</v>
      </c>
      <c r="B46" s="779" t="s">
        <v>52</v>
      </c>
      <c r="C46" s="779" t="s">
        <v>84</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85</v>
      </c>
      <c r="B47" s="779" t="s">
        <v>52</v>
      </c>
      <c r="C47" s="779" t="s">
        <v>86</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87</v>
      </c>
      <c r="B48" s="779" t="s">
        <v>52</v>
      </c>
      <c r="C48" s="779" t="s">
        <v>88</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1086</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1122</v>
      </c>
      <c r="B6" s="769" t="s">
        <v>12</v>
      </c>
      <c r="C6" s="770" t="s">
        <v>1072</v>
      </c>
      <c r="D6" s="771" t="s">
        <v>1123</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1124</v>
      </c>
      <c r="B7" s="769" t="s">
        <v>12</v>
      </c>
      <c r="C7" s="770" t="s">
        <v>1072</v>
      </c>
      <c r="D7" s="771" t="s">
        <v>1125</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1126</v>
      </c>
      <c r="B8" s="769" t="s">
        <v>12</v>
      </c>
      <c r="C8" s="770" t="s">
        <v>1072</v>
      </c>
      <c r="D8" s="771" t="s">
        <v>1127</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1128</v>
      </c>
      <c r="B9" s="797" t="s">
        <v>12</v>
      </c>
      <c r="C9" s="798" t="s">
        <v>1072</v>
      </c>
      <c r="D9" s="797" t="s">
        <v>1129</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1130</v>
      </c>
      <c r="B10" s="797" t="s">
        <v>12</v>
      </c>
      <c r="C10" s="798" t="s">
        <v>1072</v>
      </c>
      <c r="D10" s="797" t="s">
        <v>1113</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1131</v>
      </c>
      <c r="B11" s="779" t="s">
        <v>12</v>
      </c>
      <c r="C11" s="779" t="s">
        <v>1072</v>
      </c>
      <c r="D11" s="779" t="s">
        <v>1132</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1133</v>
      </c>
      <c r="B12" s="797" t="s">
        <v>12</v>
      </c>
      <c r="C12" s="798" t="s">
        <v>1072</v>
      </c>
      <c r="D12" s="797" t="s">
        <v>1134</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1135</v>
      </c>
      <c r="B13" s="797" t="s">
        <v>12</v>
      </c>
      <c r="C13" s="798" t="s">
        <v>1072</v>
      </c>
      <c r="D13" s="797" t="s">
        <v>1136</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1137</v>
      </c>
      <c r="B14" s="797" t="s">
        <v>12</v>
      </c>
      <c r="C14" s="798" t="s">
        <v>1072</v>
      </c>
      <c r="D14" s="797" t="s">
        <v>1138</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1139</v>
      </c>
      <c r="B15" s="797" t="s">
        <v>12</v>
      </c>
      <c r="C15" s="798" t="s">
        <v>1072</v>
      </c>
      <c r="D15" s="797" t="s">
        <v>1140</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1141</v>
      </c>
      <c r="B16" s="797" t="s">
        <v>12</v>
      </c>
      <c r="C16" s="798" t="s">
        <v>1072</v>
      </c>
      <c r="D16" s="797" t="s">
        <v>1142</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1143</v>
      </c>
      <c r="B17" s="797" t="s">
        <v>12</v>
      </c>
      <c r="C17" s="798" t="s">
        <v>1072</v>
      </c>
      <c r="D17" s="797" t="s">
        <v>1144</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337</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1083</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12</v>
      </c>
      <c r="C21" s="798" t="s">
        <v>1084</v>
      </c>
      <c r="D21" s="797" t="s">
        <v>1123</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12</v>
      </c>
      <c r="C22" s="798" t="s">
        <v>1084</v>
      </c>
      <c r="D22" s="797" t="s">
        <v>1125</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12</v>
      </c>
      <c r="C23" s="798" t="s">
        <v>1084</v>
      </c>
      <c r="D23" s="797" t="s">
        <v>1127</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12</v>
      </c>
      <c r="C24" s="798" t="s">
        <v>1084</v>
      </c>
      <c r="D24" s="797" t="s">
        <v>1129</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12</v>
      </c>
      <c r="C25" s="798" t="s">
        <v>1084</v>
      </c>
      <c r="D25" s="797" t="s">
        <v>1113</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12</v>
      </c>
      <c r="C26" s="779" t="s">
        <v>1084</v>
      </c>
      <c r="D26" s="779" t="s">
        <v>1132</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12</v>
      </c>
      <c r="C27" s="798" t="s">
        <v>1084</v>
      </c>
      <c r="D27" s="797" t="s">
        <v>1134</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12</v>
      </c>
      <c r="C28" s="798" t="s">
        <v>1084</v>
      </c>
      <c r="D28" s="797" t="s">
        <v>1136</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12</v>
      </c>
      <c r="C29" s="798" t="s">
        <v>1084</v>
      </c>
      <c r="D29" s="797" t="s">
        <v>1138</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12</v>
      </c>
      <c r="C30" s="798" t="s">
        <v>1084</v>
      </c>
      <c r="D30" s="797" t="s">
        <v>1140</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12</v>
      </c>
      <c r="C31" s="798" t="s">
        <v>1084</v>
      </c>
      <c r="D31" s="797" t="s">
        <v>1142</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12</v>
      </c>
      <c r="C32" s="798" t="s">
        <v>1084</v>
      </c>
      <c r="D32" s="797" t="s">
        <v>1144</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337</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1099</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9</v>
      </c>
      <c r="C36" s="779" t="s">
        <v>1085</v>
      </c>
      <c r="D36" s="779" t="s">
        <v>1123</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9</v>
      </c>
      <c r="C37" s="779" t="s">
        <v>1085</v>
      </c>
      <c r="D37" s="779" t="s">
        <v>1125</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9</v>
      </c>
      <c r="C38" s="779" t="s">
        <v>1085</v>
      </c>
      <c r="D38" s="779" t="s">
        <v>1127</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9</v>
      </c>
      <c r="C39" s="779" t="s">
        <v>1085</v>
      </c>
      <c r="D39" s="779" t="s">
        <v>1129</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9</v>
      </c>
      <c r="C40" s="779" t="s">
        <v>1085</v>
      </c>
      <c r="D40" s="779" t="s">
        <v>1113</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9</v>
      </c>
      <c r="C41" s="779" t="s">
        <v>1085</v>
      </c>
      <c r="D41" s="779" t="s">
        <v>1132</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9</v>
      </c>
      <c r="C42" s="779" t="s">
        <v>1085</v>
      </c>
      <c r="D42" s="779" t="s">
        <v>1134</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9</v>
      </c>
      <c r="C43" s="779" t="s">
        <v>1085</v>
      </c>
      <c r="D43" s="779" t="s">
        <v>1136</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9</v>
      </c>
      <c r="C44" s="779" t="s">
        <v>1085</v>
      </c>
      <c r="D44" s="779" t="s">
        <v>1138</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9</v>
      </c>
      <c r="C45" s="779" t="s">
        <v>1085</v>
      </c>
      <c r="D45" s="779" t="s">
        <v>1140</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9</v>
      </c>
      <c r="C46" s="779" t="s">
        <v>1085</v>
      </c>
      <c r="D46" s="779" t="s">
        <v>1142</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9</v>
      </c>
      <c r="C47" s="779" t="s">
        <v>1085</v>
      </c>
      <c r="D47" s="779" t="s">
        <v>1144</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81</v>
      </c>
      <c r="B48" s="779" t="s">
        <v>52</v>
      </c>
      <c r="C48" s="779" t="s">
        <v>82</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83</v>
      </c>
      <c r="B49" s="779" t="s">
        <v>52</v>
      </c>
      <c r="C49" s="779" t="s">
        <v>84</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85</v>
      </c>
      <c r="B50" s="779" t="s">
        <v>52</v>
      </c>
      <c r="C50" s="779" t="s">
        <v>86</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87</v>
      </c>
      <c r="B51" s="779" t="s">
        <v>52</v>
      </c>
      <c r="C51" s="779" t="s">
        <v>88</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1145</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1146</v>
      </c>
      <c r="B5" s="576"/>
      <c r="C5" s="577"/>
      <c r="D5" s="576"/>
      <c r="E5" s="580" t="s">
        <v>1147</v>
      </c>
      <c r="F5" s="580" t="s">
        <v>1148</v>
      </c>
      <c r="G5" s="580" t="s">
        <v>1149</v>
      </c>
      <c r="H5" s="580" t="s">
        <v>1150</v>
      </c>
      <c r="I5" s="581" t="s">
        <v>1151</v>
      </c>
      <c r="J5" s="581" t="s">
        <v>1152</v>
      </c>
      <c r="K5" s="581" t="s">
        <v>29</v>
      </c>
      <c r="L5" s="581" t="s">
        <v>1153</v>
      </c>
      <c r="M5" s="581" t="s">
        <v>1050</v>
      </c>
      <c r="N5" s="581" t="s">
        <v>33</v>
      </c>
      <c r="O5" s="581" t="s">
        <v>1154</v>
      </c>
      <c r="P5" s="581" t="s">
        <v>1155</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1071</v>
      </c>
      <c r="B6" s="530" t="s">
        <v>12</v>
      </c>
      <c r="C6" s="528" t="s">
        <v>1156</v>
      </c>
      <c r="D6" s="530" t="s">
        <v>1157</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1073</v>
      </c>
      <c r="B7" s="530" t="s">
        <v>12</v>
      </c>
      <c r="C7" s="528" t="s">
        <v>1156</v>
      </c>
      <c r="D7" s="530" t="s">
        <v>1158</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1075</v>
      </c>
      <c r="B8" s="530" t="s">
        <v>12</v>
      </c>
      <c r="C8" s="528" t="s">
        <v>1156</v>
      </c>
      <c r="D8" s="530" t="s">
        <v>1159</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1077</v>
      </c>
      <c r="B9" s="530" t="s">
        <v>12</v>
      </c>
      <c r="C9" s="528" t="s">
        <v>1156</v>
      </c>
      <c r="D9" s="530" t="s">
        <v>1160</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1079</v>
      </c>
      <c r="B10" s="530" t="s">
        <v>12</v>
      </c>
      <c r="C10" s="528" t="s">
        <v>1156</v>
      </c>
      <c r="D10" s="530" t="s">
        <v>1161</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1081</v>
      </c>
      <c r="B11" s="530" t="s">
        <v>12</v>
      </c>
      <c r="C11" s="528" t="s">
        <v>1156</v>
      </c>
      <c r="D11" s="530" t="s">
        <v>1162</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1145</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909</v>
      </c>
      <c r="B14" s="434"/>
      <c r="C14" s="434"/>
      <c r="D14" s="434"/>
      <c r="E14" s="580" t="s">
        <v>1147</v>
      </c>
      <c r="F14" s="580" t="s">
        <v>1148</v>
      </c>
      <c r="G14" s="580" t="s">
        <v>1149</v>
      </c>
      <c r="H14" s="580" t="s">
        <v>1150</v>
      </c>
      <c r="I14" s="581" t="s">
        <v>1151</v>
      </c>
      <c r="J14" s="581" t="s">
        <v>1152</v>
      </c>
      <c r="K14" s="581" t="s">
        <v>29</v>
      </c>
      <c r="L14" s="581" t="s">
        <v>1153</v>
      </c>
      <c r="M14" s="581" t="s">
        <v>1050</v>
      </c>
      <c r="N14" s="581" t="s">
        <v>33</v>
      </c>
      <c r="O14" s="581" t="s">
        <v>1154</v>
      </c>
      <c r="P14" s="581" t="s">
        <v>1155</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1087</v>
      </c>
      <c r="B15" s="439" t="s">
        <v>12</v>
      </c>
      <c r="C15" s="439" t="s">
        <v>1156</v>
      </c>
      <c r="D15" s="439" t="s">
        <v>1163</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1089</v>
      </c>
      <c r="B16" s="439" t="s">
        <v>12</v>
      </c>
      <c r="C16" s="439" t="s">
        <v>1156</v>
      </c>
      <c r="D16" s="439" t="s">
        <v>1164</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1091</v>
      </c>
      <c r="B17" s="439" t="s">
        <v>12</v>
      </c>
      <c r="C17" s="439" t="s">
        <v>1156</v>
      </c>
      <c r="D17" s="439" t="s">
        <v>1165</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1093</v>
      </c>
      <c r="B18" s="439" t="s">
        <v>12</v>
      </c>
      <c r="C18" s="439" t="s">
        <v>1156</v>
      </c>
      <c r="D18" s="439" t="s">
        <v>1166</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1095</v>
      </c>
      <c r="B19" s="439" t="s">
        <v>12</v>
      </c>
      <c r="C19" s="439" t="s">
        <v>1156</v>
      </c>
      <c r="D19" s="439" t="s">
        <v>1167</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1097</v>
      </c>
      <c r="B20" s="439" t="s">
        <v>12</v>
      </c>
      <c r="C20" s="439" t="s">
        <v>1156</v>
      </c>
      <c r="D20" s="439" t="s">
        <v>1168</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1145</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1169</v>
      </c>
      <c r="B23" s="576"/>
      <c r="C23" s="577"/>
      <c r="D23" s="576"/>
      <c r="E23" s="580" t="s">
        <v>1147</v>
      </c>
      <c r="F23" s="580" t="s">
        <v>1148</v>
      </c>
      <c r="G23" s="580" t="s">
        <v>1149</v>
      </c>
      <c r="H23" s="580" t="s">
        <v>1150</v>
      </c>
      <c r="I23" s="581" t="s">
        <v>1151</v>
      </c>
      <c r="J23" s="581" t="s">
        <v>1152</v>
      </c>
      <c r="K23" s="581" t="s">
        <v>29</v>
      </c>
      <c r="L23" s="581" t="s">
        <v>1153</v>
      </c>
      <c r="M23" s="581" t="s">
        <v>1050</v>
      </c>
      <c r="N23" s="581" t="s">
        <v>33</v>
      </c>
      <c r="O23" s="581" t="s">
        <v>1154</v>
      </c>
      <c r="P23" s="581" t="s">
        <v>1155</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1100</v>
      </c>
      <c r="B24" s="530" t="s">
        <v>12</v>
      </c>
      <c r="C24" s="528" t="s">
        <v>1156</v>
      </c>
      <c r="D24" s="530" t="s">
        <v>1170</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1102</v>
      </c>
      <c r="B25" s="530" t="s">
        <v>12</v>
      </c>
      <c r="C25" s="528" t="s">
        <v>1156</v>
      </c>
      <c r="D25" s="530" t="s">
        <v>1171</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1104</v>
      </c>
      <c r="B26" s="530" t="s">
        <v>12</v>
      </c>
      <c r="C26" s="528" t="s">
        <v>1156</v>
      </c>
      <c r="D26" s="530" t="s">
        <v>1172</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1106</v>
      </c>
      <c r="B27" s="530" t="s">
        <v>12</v>
      </c>
      <c r="C27" s="528" t="s">
        <v>1156</v>
      </c>
      <c r="D27" s="530" t="s">
        <v>1173</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1108</v>
      </c>
      <c r="B28" s="530" t="s">
        <v>12</v>
      </c>
      <c r="C28" s="528" t="s">
        <v>1156</v>
      </c>
      <c r="D28" s="530" t="s">
        <v>1174</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1110</v>
      </c>
      <c r="B29" s="530" t="s">
        <v>12</v>
      </c>
      <c r="C29" s="528" t="s">
        <v>1156</v>
      </c>
      <c r="D29" s="530" t="s">
        <v>1175</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1112</v>
      </c>
      <c r="B30" s="530" t="s">
        <v>12</v>
      </c>
      <c r="C30" s="528" t="s">
        <v>1156</v>
      </c>
      <c r="D30" s="530" t="s">
        <v>1176</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1114</v>
      </c>
      <c r="B31" s="530" t="s">
        <v>12</v>
      </c>
      <c r="C31" s="528" t="s">
        <v>1156</v>
      </c>
      <c r="D31" s="530" t="s">
        <v>1177</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1116</v>
      </c>
      <c r="B32" s="530" t="s">
        <v>12</v>
      </c>
      <c r="C32" s="528" t="s">
        <v>1156</v>
      </c>
      <c r="D32" s="530" t="s">
        <v>1178</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1118</v>
      </c>
      <c r="B33" s="530" t="s">
        <v>12</v>
      </c>
      <c r="C33" s="528" t="s">
        <v>1156</v>
      </c>
      <c r="D33" s="530" t="s">
        <v>1179</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1120</v>
      </c>
      <c r="B34" s="530" t="s">
        <v>12</v>
      </c>
      <c r="C34" s="528" t="s">
        <v>1156</v>
      </c>
      <c r="D34" s="530" t="s">
        <v>1180</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1145</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1181</v>
      </c>
      <c r="B37" s="428"/>
      <c r="C37" s="429"/>
      <c r="D37" s="428"/>
      <c r="E37" s="584" t="s">
        <v>1147</v>
      </c>
      <c r="F37" s="584" t="s">
        <v>1148</v>
      </c>
      <c r="G37" s="584" t="s">
        <v>1149</v>
      </c>
      <c r="H37" s="584" t="s">
        <v>1150</v>
      </c>
      <c r="I37" s="585" t="s">
        <v>1151</v>
      </c>
      <c r="J37" s="585" t="s">
        <v>1152</v>
      </c>
      <c r="K37" s="585" t="s">
        <v>29</v>
      </c>
      <c r="L37" s="585" t="s">
        <v>1153</v>
      </c>
      <c r="M37" s="585" t="s">
        <v>1050</v>
      </c>
      <c r="N37" s="585" t="s">
        <v>33</v>
      </c>
      <c r="O37" s="585" t="s">
        <v>1154</v>
      </c>
      <c r="P37" s="585" t="s">
        <v>1155</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1122</v>
      </c>
      <c r="B38" s="530" t="s">
        <v>12</v>
      </c>
      <c r="C38" s="528" t="s">
        <v>1156</v>
      </c>
      <c r="D38" s="530" t="s">
        <v>1182</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1124</v>
      </c>
      <c r="B39" s="530" t="s">
        <v>12</v>
      </c>
      <c r="C39" s="528" t="s">
        <v>1156</v>
      </c>
      <c r="D39" s="530" t="s">
        <v>1183</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1126</v>
      </c>
      <c r="B40" s="530" t="s">
        <v>12</v>
      </c>
      <c r="C40" s="528" t="s">
        <v>1156</v>
      </c>
      <c r="D40" s="530" t="s">
        <v>1184</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1128</v>
      </c>
      <c r="B41" s="530" t="s">
        <v>12</v>
      </c>
      <c r="C41" s="528" t="s">
        <v>1156</v>
      </c>
      <c r="D41" s="530" t="s">
        <v>1185</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1130</v>
      </c>
      <c r="B42" s="530" t="s">
        <v>12</v>
      </c>
      <c r="C42" s="528" t="s">
        <v>1156</v>
      </c>
      <c r="D42" s="530" t="s">
        <v>1186</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1131</v>
      </c>
      <c r="B43" s="530" t="s">
        <v>12</v>
      </c>
      <c r="C43" s="528" t="s">
        <v>1156</v>
      </c>
      <c r="D43" s="530" t="s">
        <v>1187</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1133</v>
      </c>
      <c r="B44" s="530" t="s">
        <v>12</v>
      </c>
      <c r="C44" s="528" t="s">
        <v>1156</v>
      </c>
      <c r="D44" s="530" t="s">
        <v>1188</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1135</v>
      </c>
      <c r="B45" s="530" t="s">
        <v>12</v>
      </c>
      <c r="C45" s="528" t="s">
        <v>1156</v>
      </c>
      <c r="D45" s="530" t="s">
        <v>1189</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1137</v>
      </c>
      <c r="B46" s="530" t="s">
        <v>12</v>
      </c>
      <c r="C46" s="528" t="s">
        <v>1156</v>
      </c>
      <c r="D46" s="530" t="s">
        <v>1190</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1139</v>
      </c>
      <c r="B47" s="530" t="s">
        <v>12</v>
      </c>
      <c r="C47" s="528" t="s">
        <v>1156</v>
      </c>
      <c r="D47" s="530" t="s">
        <v>1191</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1141</v>
      </c>
      <c r="B48" s="530" t="s">
        <v>12</v>
      </c>
      <c r="C48" s="528" t="s">
        <v>1156</v>
      </c>
      <c r="D48" s="530" t="s">
        <v>1192</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1143</v>
      </c>
      <c r="B49" s="530" t="s">
        <v>12</v>
      </c>
      <c r="C49" s="528" t="s">
        <v>1156</v>
      </c>
      <c r="D49" s="530" t="s">
        <v>1193</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34"/>
  <sheetViews>
    <sheetView tabSelected="1" workbookViewId="0">
      <pane xSplit="4" ySplit="4" topLeftCell="E5" activePane="bottomRight" state="frozen"/>
      <selection pane="topRight"/>
      <selection pane="bottomLeft"/>
      <selection pane="bottomRight"/>
    </sheetView>
  </sheetViews>
  <sheetFormatPr defaultRowHeight="14.5"/>
  <cols>
    <col min="1" max="1" width="11" customWidth="1"/>
    <col min="2" max="2" width="30" customWidth="1"/>
    <col min="3" max="3" width="12" customWidth="1"/>
    <col min="4" max="4" width="34" customWidth="1"/>
    <col min="5" max="7" width="12" customWidth="1"/>
    <col min="8" max="8" width="2" customWidth="1"/>
    <col min="9" max="11" width="12" customWidth="1"/>
    <col min="12" max="12" width="2" customWidth="1"/>
    <col min="13" max="15" width="12" customWidth="1"/>
  </cols>
  <sheetData>
    <row r="1" spans="1:15">
      <c r="E1" s="827" t="s">
        <v>1194</v>
      </c>
      <c r="I1" s="828" t="s">
        <v>1195</v>
      </c>
      <c r="M1" s="829" t="s">
        <v>1196</v>
      </c>
    </row>
    <row r="2" spans="1:15">
      <c r="E2" s="830">
        <v>46203</v>
      </c>
      <c r="F2" s="830">
        <v>46295</v>
      </c>
      <c r="G2" s="830">
        <v>46387</v>
      </c>
      <c r="I2" s="830">
        <v>46203</v>
      </c>
      <c r="J2" s="830">
        <v>46295</v>
      </c>
      <c r="K2" s="830">
        <v>46387</v>
      </c>
      <c r="M2" s="830">
        <v>46203</v>
      </c>
      <c r="N2" s="830">
        <v>46295</v>
      </c>
      <c r="O2" s="830">
        <v>46387</v>
      </c>
    </row>
    <row r="3" spans="1:15">
      <c r="A3" s="831"/>
      <c r="B3" s="831"/>
      <c r="C3" s="831"/>
      <c r="D3" s="831"/>
      <c r="E3" s="831" t="s">
        <v>1197</v>
      </c>
      <c r="F3" s="831" t="s">
        <v>1198</v>
      </c>
      <c r="G3" s="831" t="s">
        <v>1199</v>
      </c>
      <c r="H3" s="831"/>
      <c r="I3" s="831" t="s">
        <v>1197</v>
      </c>
      <c r="J3" s="831" t="s">
        <v>1198</v>
      </c>
      <c r="K3" s="831" t="s">
        <v>1199</v>
      </c>
      <c r="L3" s="831"/>
      <c r="M3" s="831" t="s">
        <v>1197</v>
      </c>
      <c r="N3" s="831" t="s">
        <v>1198</v>
      </c>
      <c r="O3" s="831" t="s">
        <v>1199</v>
      </c>
    </row>
    <row r="4" spans="1:15">
      <c r="A4" s="831" t="s">
        <v>1200</v>
      </c>
      <c r="B4" s="831" t="s">
        <v>3</v>
      </c>
      <c r="C4" s="831" t="s">
        <v>4</v>
      </c>
      <c r="D4" s="831" t="s">
        <v>1201</v>
      </c>
      <c r="E4" s="831"/>
      <c r="F4" s="831"/>
      <c r="G4" s="831"/>
      <c r="H4" s="831"/>
      <c r="I4" s="831"/>
      <c r="J4" s="831"/>
      <c r="K4" s="831"/>
      <c r="L4" s="831"/>
      <c r="M4" s="831"/>
      <c r="N4" s="831"/>
      <c r="O4" s="831"/>
    </row>
    <row r="5" spans="1:15">
      <c r="A5" t="s">
        <v>1202</v>
      </c>
      <c r="B5" t="s">
        <v>53</v>
      </c>
      <c r="D5" t="s">
        <v>51</v>
      </c>
      <c r="E5" s="832">
        <v>247680</v>
      </c>
      <c r="F5" s="832">
        <v>290880</v>
      </c>
      <c r="G5" s="832">
        <v>545435</v>
      </c>
      <c r="I5" s="832">
        <v>247680</v>
      </c>
      <c r="J5" s="832">
        <v>290880</v>
      </c>
      <c r="K5" s="832">
        <v>545435</v>
      </c>
      <c r="M5" s="832">
        <f t="shared" ref="M5:M34" si="0">IF(E5="","",E5-I5)</f>
        <v>0</v>
      </c>
      <c r="N5" s="832">
        <f t="shared" ref="N5:N34" si="1">IF(F5="","",F5-J5)</f>
        <v>0</v>
      </c>
      <c r="O5" s="832">
        <f t="shared" ref="O5:O34" si="2">IF(G5="","",G5-K5)</f>
        <v>0</v>
      </c>
    </row>
    <row r="6" spans="1:15">
      <c r="A6" t="s">
        <v>1202</v>
      </c>
      <c r="B6" t="s">
        <v>1013</v>
      </c>
      <c r="D6" t="s">
        <v>1012</v>
      </c>
      <c r="E6" s="832">
        <v>902637.28947368416</v>
      </c>
      <c r="F6" s="832">
        <v>948110.97368421056</v>
      </c>
      <c r="G6" s="832">
        <v>2385063.6052631582</v>
      </c>
      <c r="I6" s="832">
        <v>902637.28947368416</v>
      </c>
      <c r="J6" s="832">
        <v>948110.97368421056</v>
      </c>
      <c r="K6" s="832">
        <v>2385063.6052631582</v>
      </c>
      <c r="M6" s="832">
        <f t="shared" si="0"/>
        <v>0</v>
      </c>
      <c r="N6" s="832">
        <f t="shared" si="1"/>
        <v>0</v>
      </c>
      <c r="O6" s="832">
        <f t="shared" si="2"/>
        <v>0</v>
      </c>
    </row>
    <row r="7" spans="1:15">
      <c r="A7" t="s">
        <v>1202</v>
      </c>
      <c r="B7" t="s">
        <v>59</v>
      </c>
      <c r="D7" t="s">
        <v>58</v>
      </c>
      <c r="E7" s="832">
        <v>-1170394.6850000001</v>
      </c>
      <c r="F7" s="832">
        <v>-1177800.7775000001</v>
      </c>
      <c r="G7" s="832">
        <v>-16206.87000000011</v>
      </c>
      <c r="I7" s="832">
        <v>-1170394.6850000001</v>
      </c>
      <c r="J7" s="832">
        <v>-1177800.7775000001</v>
      </c>
      <c r="K7" s="832">
        <v>-16206.87000000011</v>
      </c>
      <c r="M7" s="832">
        <f t="shared" si="0"/>
        <v>0</v>
      </c>
      <c r="N7" s="832">
        <f t="shared" si="1"/>
        <v>0</v>
      </c>
      <c r="O7" s="832">
        <f t="shared" si="2"/>
        <v>0</v>
      </c>
    </row>
    <row r="8" spans="1:15">
      <c r="A8" t="s">
        <v>1202</v>
      </c>
      <c r="B8" t="s">
        <v>1016</v>
      </c>
      <c r="D8" t="s">
        <v>1015</v>
      </c>
      <c r="E8" s="832">
        <v>398173.6519736842</v>
      </c>
      <c r="F8" s="832">
        <v>400447.33618421049</v>
      </c>
      <c r="G8" s="832">
        <v>662529.63026315777</v>
      </c>
      <c r="I8" s="832">
        <v>398173.6519736842</v>
      </c>
      <c r="J8" s="832">
        <v>400447.33618421049</v>
      </c>
      <c r="K8" s="832">
        <v>662529.63026315777</v>
      </c>
      <c r="M8" s="832">
        <f t="shared" si="0"/>
        <v>0</v>
      </c>
      <c r="N8" s="832">
        <f t="shared" si="1"/>
        <v>0</v>
      </c>
      <c r="O8" s="832">
        <f t="shared" si="2"/>
        <v>0</v>
      </c>
    </row>
    <row r="9" spans="1:15">
      <c r="A9" t="s">
        <v>1202</v>
      </c>
      <c r="B9" t="s">
        <v>84</v>
      </c>
      <c r="D9" t="s">
        <v>83</v>
      </c>
      <c r="E9" s="832">
        <v>247680</v>
      </c>
      <c r="F9" s="832">
        <v>290880</v>
      </c>
      <c r="G9" s="832">
        <v>545435</v>
      </c>
      <c r="I9" s="832">
        <v>247680</v>
      </c>
      <c r="J9" s="832">
        <v>290880</v>
      </c>
      <c r="K9" s="832">
        <v>545435</v>
      </c>
      <c r="M9" s="832">
        <f t="shared" si="0"/>
        <v>0</v>
      </c>
      <c r="N9" s="832">
        <f t="shared" si="1"/>
        <v>0</v>
      </c>
      <c r="O9" s="832">
        <f t="shared" si="2"/>
        <v>0</v>
      </c>
    </row>
    <row r="10" spans="1:15">
      <c r="A10" t="s">
        <v>1202</v>
      </c>
      <c r="B10" t="s">
        <v>86</v>
      </c>
      <c r="D10" t="s">
        <v>85</v>
      </c>
      <c r="E10" s="832">
        <v>144000</v>
      </c>
      <c r="F10" s="832">
        <v>144000</v>
      </c>
      <c r="G10" s="832">
        <v>403750</v>
      </c>
      <c r="I10" s="832">
        <v>144000</v>
      </c>
      <c r="J10" s="832">
        <v>144000</v>
      </c>
      <c r="K10" s="832">
        <v>403750</v>
      </c>
      <c r="M10" s="832">
        <f t="shared" si="0"/>
        <v>0</v>
      </c>
      <c r="N10" s="832">
        <f t="shared" si="1"/>
        <v>0</v>
      </c>
      <c r="O10" s="832">
        <f t="shared" si="2"/>
        <v>0</v>
      </c>
    </row>
    <row r="11" spans="1:15">
      <c r="A11" t="s">
        <v>1202</v>
      </c>
      <c r="B11" t="s">
        <v>79</v>
      </c>
      <c r="D11" t="s">
        <v>1203</v>
      </c>
      <c r="E11" s="832">
        <v>583052.45224999997</v>
      </c>
      <c r="F11" s="832">
        <v>425179.24712499999</v>
      </c>
      <c r="G11" s="832">
        <v>18621.379500000039</v>
      </c>
      <c r="I11" s="832">
        <v>583052.45224999997</v>
      </c>
      <c r="J11" s="832">
        <v>425179.24712499999</v>
      </c>
      <c r="K11" s="832">
        <v>18621.379500000039</v>
      </c>
      <c r="M11" s="832">
        <f t="shared" si="0"/>
        <v>0</v>
      </c>
      <c r="N11" s="832">
        <f t="shared" si="1"/>
        <v>0</v>
      </c>
      <c r="O11" s="832">
        <f t="shared" si="2"/>
        <v>0</v>
      </c>
    </row>
    <row r="12" spans="1:15">
      <c r="A12" t="s">
        <v>1204</v>
      </c>
      <c r="B12" t="s">
        <v>53</v>
      </c>
      <c r="D12" t="s">
        <v>51</v>
      </c>
      <c r="E12" s="832">
        <v>85679.999999999985</v>
      </c>
      <c r="F12" s="832">
        <v>85679.999999999985</v>
      </c>
      <c r="G12" s="832">
        <v>116850</v>
      </c>
      <c r="I12" s="832">
        <v>85679.999999999985</v>
      </c>
      <c r="J12" s="832">
        <v>85679.999999999985</v>
      </c>
      <c r="K12" s="832">
        <v>116850</v>
      </c>
      <c r="M12" s="832">
        <f t="shared" si="0"/>
        <v>0</v>
      </c>
      <c r="N12" s="832">
        <f t="shared" si="1"/>
        <v>0</v>
      </c>
      <c r="O12" s="832">
        <f t="shared" si="2"/>
        <v>0</v>
      </c>
    </row>
    <row r="13" spans="1:15">
      <c r="A13" t="s">
        <v>1204</v>
      </c>
      <c r="B13" t="s">
        <v>1053</v>
      </c>
      <c r="D13" t="s">
        <v>1052</v>
      </c>
      <c r="E13" s="832">
        <v>2473819.8070175429</v>
      </c>
      <c r="F13" s="832">
        <v>2205638.8070175429</v>
      </c>
      <c r="G13" s="832">
        <v>5828630.333333333</v>
      </c>
      <c r="I13" s="832">
        <v>2473819.8070175429</v>
      </c>
      <c r="J13" s="832">
        <v>2205638.8070175429</v>
      </c>
      <c r="K13" s="832">
        <v>5828630.333333333</v>
      </c>
      <c r="M13" s="832">
        <f t="shared" si="0"/>
        <v>0</v>
      </c>
      <c r="N13" s="832">
        <f t="shared" si="1"/>
        <v>0</v>
      </c>
      <c r="O13" s="832">
        <f t="shared" si="2"/>
        <v>0</v>
      </c>
    </row>
    <row r="14" spans="1:15">
      <c r="A14" t="s">
        <v>1204</v>
      </c>
      <c r="B14" t="s">
        <v>59</v>
      </c>
      <c r="D14" t="s">
        <v>58</v>
      </c>
      <c r="E14" s="832">
        <v>-4470379.68</v>
      </c>
      <c r="F14" s="832">
        <v>-4201060.68</v>
      </c>
      <c r="G14" s="832">
        <v>-4929060.68</v>
      </c>
      <c r="I14" s="832">
        <v>-4470379.68</v>
      </c>
      <c r="J14" s="832">
        <v>-4201060.68</v>
      </c>
      <c r="K14" s="832">
        <v>-4929060.68</v>
      </c>
      <c r="M14" s="832">
        <f t="shared" si="0"/>
        <v>0</v>
      </c>
      <c r="N14" s="832">
        <f t="shared" si="1"/>
        <v>0</v>
      </c>
      <c r="O14" s="832">
        <f t="shared" si="2"/>
        <v>0</v>
      </c>
    </row>
    <row r="15" spans="1:15">
      <c r="A15" t="s">
        <v>1204</v>
      </c>
      <c r="B15" t="s">
        <v>1055</v>
      </c>
      <c r="D15" t="s">
        <v>1054</v>
      </c>
      <c r="E15" s="832">
        <v>1015405.090350877</v>
      </c>
      <c r="F15" s="832">
        <v>935314.59035087726</v>
      </c>
      <c r="G15" s="832">
        <v>2208920.6166666662</v>
      </c>
      <c r="I15" s="832">
        <v>1015405.090350877</v>
      </c>
      <c r="J15" s="832">
        <v>935314.59035087726</v>
      </c>
      <c r="K15" s="832">
        <v>2208920.6166666662</v>
      </c>
      <c r="M15" s="832">
        <f t="shared" si="0"/>
        <v>0</v>
      </c>
      <c r="N15" s="832">
        <f t="shared" si="1"/>
        <v>0</v>
      </c>
      <c r="O15" s="832">
        <f t="shared" si="2"/>
        <v>0</v>
      </c>
    </row>
    <row r="16" spans="1:15">
      <c r="A16" t="s">
        <v>1204</v>
      </c>
      <c r="B16" t="s">
        <v>84</v>
      </c>
      <c r="D16" t="s">
        <v>83</v>
      </c>
      <c r="E16" s="832">
        <v>85679.999999999985</v>
      </c>
      <c r="F16" s="832">
        <v>85679.999999999985</v>
      </c>
      <c r="G16" s="832">
        <v>116850</v>
      </c>
      <c r="I16" s="832">
        <v>85679.999999999985</v>
      </c>
      <c r="J16" s="832">
        <v>85679.999999999985</v>
      </c>
      <c r="K16" s="832">
        <v>116850</v>
      </c>
      <c r="M16" s="832">
        <f t="shared" si="0"/>
        <v>0</v>
      </c>
      <c r="N16" s="832">
        <f t="shared" si="1"/>
        <v>0</v>
      </c>
      <c r="O16" s="832">
        <f t="shared" si="2"/>
        <v>0</v>
      </c>
    </row>
    <row r="17" spans="1:15">
      <c r="A17" t="s">
        <v>1204</v>
      </c>
      <c r="B17" t="s">
        <v>86</v>
      </c>
      <c r="D17" t="s">
        <v>85</v>
      </c>
      <c r="E17" s="832">
        <v>434880</v>
      </c>
      <c r="F17" s="832">
        <v>474480</v>
      </c>
      <c r="G17" s="832">
        <v>1104373.75</v>
      </c>
      <c r="I17" s="832">
        <v>434880</v>
      </c>
      <c r="J17" s="832">
        <v>474480</v>
      </c>
      <c r="K17" s="832">
        <v>1104373.75</v>
      </c>
      <c r="M17" s="832">
        <f t="shared" si="0"/>
        <v>0</v>
      </c>
      <c r="N17" s="832">
        <f t="shared" si="1"/>
        <v>0</v>
      </c>
      <c r="O17" s="832">
        <f t="shared" si="2"/>
        <v>0</v>
      </c>
    </row>
    <row r="18" spans="1:15">
      <c r="A18" t="s">
        <v>1204</v>
      </c>
      <c r="B18" t="s">
        <v>79</v>
      </c>
      <c r="D18" t="s">
        <v>1203</v>
      </c>
      <c r="E18" s="832">
        <v>1881983.64</v>
      </c>
      <c r="F18" s="832">
        <v>1597324.14</v>
      </c>
      <c r="G18" s="832">
        <v>1646324.14</v>
      </c>
      <c r="I18" s="832">
        <v>1881983.64</v>
      </c>
      <c r="J18" s="832">
        <v>1597324.14</v>
      </c>
      <c r="K18" s="832">
        <v>1646324.14</v>
      </c>
      <c r="M18" s="832">
        <f t="shared" si="0"/>
        <v>0</v>
      </c>
      <c r="N18" s="832">
        <f t="shared" si="1"/>
        <v>0</v>
      </c>
      <c r="O18" s="832">
        <f t="shared" si="2"/>
        <v>0</v>
      </c>
    </row>
    <row r="19" spans="1:15">
      <c r="A19" t="s">
        <v>1205</v>
      </c>
      <c r="B19" t="s">
        <v>53</v>
      </c>
      <c r="D19" t="s">
        <v>51</v>
      </c>
      <c r="E19" s="832">
        <v>118080</v>
      </c>
      <c r="F19" s="832">
        <v>226080</v>
      </c>
      <c r="G19" s="832">
        <v>314395</v>
      </c>
      <c r="I19" s="832">
        <v>118080</v>
      </c>
      <c r="J19" s="832">
        <v>226080</v>
      </c>
      <c r="K19" s="832">
        <v>314395</v>
      </c>
      <c r="M19" s="832">
        <f t="shared" si="0"/>
        <v>0</v>
      </c>
      <c r="N19" s="832">
        <f t="shared" si="1"/>
        <v>0</v>
      </c>
      <c r="O19" s="832">
        <f t="shared" si="2"/>
        <v>0</v>
      </c>
    </row>
    <row r="20" spans="1:15">
      <c r="A20" t="s">
        <v>1205</v>
      </c>
      <c r="B20" t="s">
        <v>57</v>
      </c>
      <c r="D20" t="s">
        <v>56</v>
      </c>
      <c r="E20" s="832">
        <v>154294.73684210519</v>
      </c>
      <c r="F20" s="832">
        <v>267978.94736842101</v>
      </c>
      <c r="G20" s="832">
        <v>360942.10526315792</v>
      </c>
      <c r="I20" s="832">
        <v>154294.73684210519</v>
      </c>
      <c r="J20" s="832">
        <v>267978.94736842101</v>
      </c>
      <c r="K20" s="832">
        <v>360942.10526315792</v>
      </c>
      <c r="M20" s="832">
        <f t="shared" si="0"/>
        <v>0</v>
      </c>
      <c r="N20" s="832">
        <f t="shared" si="1"/>
        <v>0</v>
      </c>
      <c r="O20" s="832">
        <f t="shared" si="2"/>
        <v>0</v>
      </c>
    </row>
    <row r="21" spans="1:15">
      <c r="A21" t="s">
        <v>1205</v>
      </c>
      <c r="B21" t="s">
        <v>59</v>
      </c>
      <c r="D21" t="s">
        <v>58</v>
      </c>
      <c r="E21" s="832">
        <v>0</v>
      </c>
      <c r="F21" s="832">
        <v>0</v>
      </c>
      <c r="G21" s="832">
        <v>0</v>
      </c>
      <c r="I21" s="832">
        <v>0</v>
      </c>
      <c r="J21" s="832">
        <v>0</v>
      </c>
      <c r="K21" s="832">
        <v>0</v>
      </c>
      <c r="M21" s="832">
        <f t="shared" si="0"/>
        <v>0</v>
      </c>
      <c r="N21" s="832">
        <f t="shared" si="1"/>
        <v>0</v>
      </c>
      <c r="O21" s="832">
        <f t="shared" si="2"/>
        <v>0</v>
      </c>
    </row>
    <row r="22" spans="1:15">
      <c r="A22" t="s">
        <v>1205</v>
      </c>
      <c r="B22" t="s">
        <v>73</v>
      </c>
      <c r="D22" t="s">
        <v>72</v>
      </c>
      <c r="E22" s="832">
        <v>16714.73684210526</v>
      </c>
      <c r="F22" s="832">
        <v>22398.94736842105</v>
      </c>
      <c r="G22" s="832">
        <v>27047.10526315789</v>
      </c>
      <c r="I22" s="832">
        <v>16714.73684210526</v>
      </c>
      <c r="J22" s="832">
        <v>22398.94736842105</v>
      </c>
      <c r="K22" s="832">
        <v>27047.10526315789</v>
      </c>
      <c r="M22" s="832">
        <f t="shared" si="0"/>
        <v>0</v>
      </c>
      <c r="N22" s="832">
        <f t="shared" si="1"/>
        <v>0</v>
      </c>
      <c r="O22" s="832">
        <f t="shared" si="2"/>
        <v>0</v>
      </c>
    </row>
    <row r="23" spans="1:15">
      <c r="A23" t="s">
        <v>1205</v>
      </c>
      <c r="B23" t="s">
        <v>84</v>
      </c>
      <c r="D23" t="s">
        <v>83</v>
      </c>
      <c r="E23" s="832">
        <v>118080</v>
      </c>
      <c r="F23" s="832">
        <v>226080</v>
      </c>
      <c r="G23" s="832">
        <v>314395</v>
      </c>
      <c r="I23" s="832">
        <v>118080</v>
      </c>
      <c r="J23" s="832">
        <v>226080</v>
      </c>
      <c r="K23" s="832">
        <v>314395</v>
      </c>
      <c r="M23" s="832">
        <f t="shared" si="0"/>
        <v>0</v>
      </c>
      <c r="N23" s="832">
        <f t="shared" si="1"/>
        <v>0</v>
      </c>
      <c r="O23" s="832">
        <f t="shared" si="2"/>
        <v>0</v>
      </c>
    </row>
    <row r="24" spans="1:15">
      <c r="A24" t="s">
        <v>1205</v>
      </c>
      <c r="B24" t="s">
        <v>86</v>
      </c>
      <c r="D24" t="s">
        <v>85</v>
      </c>
      <c r="E24" s="832">
        <v>359597.14285714278</v>
      </c>
      <c r="F24" s="832">
        <v>445997.14285714278</v>
      </c>
      <c r="G24" s="832">
        <v>858999.64285714284</v>
      </c>
      <c r="I24" s="832">
        <v>359597.14285714278</v>
      </c>
      <c r="J24" s="832">
        <v>445997.14285714278</v>
      </c>
      <c r="K24" s="832">
        <v>858999.64285714284</v>
      </c>
      <c r="M24" s="832">
        <f t="shared" si="0"/>
        <v>0</v>
      </c>
      <c r="N24" s="832">
        <f t="shared" si="1"/>
        <v>0</v>
      </c>
      <c r="O24" s="832">
        <f t="shared" si="2"/>
        <v>0</v>
      </c>
    </row>
    <row r="25" spans="1:15">
      <c r="A25" t="s">
        <v>1205</v>
      </c>
      <c r="B25" t="s">
        <v>79</v>
      </c>
      <c r="D25" t="s">
        <v>1203</v>
      </c>
      <c r="E25" s="832">
        <v>0</v>
      </c>
      <c r="F25" s="832">
        <v>0</v>
      </c>
      <c r="G25" s="832">
        <v>0</v>
      </c>
      <c r="I25" s="832">
        <v>0</v>
      </c>
      <c r="J25" s="832">
        <v>0</v>
      </c>
      <c r="K25" s="832">
        <v>0</v>
      </c>
      <c r="M25" s="832">
        <f t="shared" si="0"/>
        <v>0</v>
      </c>
      <c r="N25" s="832">
        <f t="shared" si="1"/>
        <v>0</v>
      </c>
      <c r="O25" s="832">
        <f t="shared" si="2"/>
        <v>0</v>
      </c>
    </row>
    <row r="26" spans="1:15">
      <c r="A26" t="s">
        <v>1206</v>
      </c>
      <c r="B26" t="s">
        <v>888</v>
      </c>
      <c r="D26" t="s">
        <v>887</v>
      </c>
      <c r="E26" s="832">
        <v>1430293.479166667</v>
      </c>
      <c r="F26" s="832">
        <v>1358160.873903509</v>
      </c>
      <c r="G26" s="832">
        <v>2898497.3521929821</v>
      </c>
      <c r="I26" s="832">
        <v>1430293.479166667</v>
      </c>
      <c r="J26" s="832">
        <v>1358160.873903509</v>
      </c>
      <c r="K26" s="832">
        <v>2898497.3521929821</v>
      </c>
      <c r="M26" s="832">
        <f t="shared" si="0"/>
        <v>0</v>
      </c>
      <c r="N26" s="832">
        <f t="shared" si="1"/>
        <v>0</v>
      </c>
      <c r="O26" s="832">
        <f t="shared" si="2"/>
        <v>0</v>
      </c>
    </row>
    <row r="27" spans="1:15">
      <c r="A27" t="s">
        <v>1206</v>
      </c>
      <c r="B27" t="s">
        <v>934</v>
      </c>
      <c r="D27" t="s">
        <v>933</v>
      </c>
      <c r="E27" s="832">
        <v>-1773060</v>
      </c>
      <c r="F27" s="832">
        <v>-2050260</v>
      </c>
      <c r="G27" s="832">
        <v>-4246446.25</v>
      </c>
      <c r="I27" s="832">
        <v>-1773060</v>
      </c>
      <c r="J27" s="832">
        <v>-2050260</v>
      </c>
      <c r="K27" s="832">
        <v>-4246446.25</v>
      </c>
      <c r="M27" s="832">
        <f t="shared" si="0"/>
        <v>0</v>
      </c>
      <c r="N27" s="832">
        <f t="shared" si="1"/>
        <v>0</v>
      </c>
      <c r="O27" s="832">
        <f t="shared" si="2"/>
        <v>0</v>
      </c>
    </row>
    <row r="28" spans="1:15">
      <c r="A28" t="s">
        <v>1206</v>
      </c>
      <c r="B28" t="s">
        <v>938</v>
      </c>
      <c r="D28" t="s">
        <v>937</v>
      </c>
      <c r="E28" s="832">
        <v>-4457407</v>
      </c>
      <c r="F28" s="832">
        <v>-2834607</v>
      </c>
      <c r="G28" s="832">
        <v>-4930793.25</v>
      </c>
      <c r="I28" s="832">
        <v>-4457407</v>
      </c>
      <c r="J28" s="832">
        <v>-2834607</v>
      </c>
      <c r="K28" s="832">
        <v>-4930793.25</v>
      </c>
      <c r="M28" s="832">
        <f t="shared" si="0"/>
        <v>0</v>
      </c>
      <c r="N28" s="832">
        <f t="shared" si="1"/>
        <v>0</v>
      </c>
      <c r="O28" s="832">
        <f t="shared" si="2"/>
        <v>0</v>
      </c>
    </row>
    <row r="29" spans="1:15">
      <c r="A29" t="s">
        <v>1206</v>
      </c>
      <c r="B29" t="s">
        <v>947</v>
      </c>
      <c r="D29" t="s">
        <v>946</v>
      </c>
      <c r="E29" s="832">
        <v>1372055.764880952</v>
      </c>
      <c r="F29" s="832">
        <v>1299923.1596177949</v>
      </c>
      <c r="G29" s="832">
        <v>2619479.637907268</v>
      </c>
      <c r="I29" s="832">
        <v>1372055.764880952</v>
      </c>
      <c r="J29" s="832">
        <v>1299923.1596177949</v>
      </c>
      <c r="K29" s="832">
        <v>2619479.637907268</v>
      </c>
      <c r="M29" s="832">
        <f t="shared" si="0"/>
        <v>0</v>
      </c>
      <c r="N29" s="832">
        <f t="shared" si="1"/>
        <v>0</v>
      </c>
      <c r="O29" s="832">
        <f t="shared" si="2"/>
        <v>0</v>
      </c>
    </row>
    <row r="30" spans="1:15">
      <c r="A30" t="s">
        <v>1206</v>
      </c>
      <c r="B30" t="s">
        <v>958</v>
      </c>
      <c r="D30" t="s">
        <v>957</v>
      </c>
      <c r="E30" s="832">
        <v>849347</v>
      </c>
      <c r="F30" s="832">
        <v>849347</v>
      </c>
      <c r="G30" s="832">
        <v>849347</v>
      </c>
      <c r="I30" s="832">
        <v>849347</v>
      </c>
      <c r="J30" s="832">
        <v>849347</v>
      </c>
      <c r="K30" s="832">
        <v>849347</v>
      </c>
      <c r="M30" s="832">
        <f t="shared" si="0"/>
        <v>0</v>
      </c>
      <c r="N30" s="832">
        <f t="shared" si="1"/>
        <v>0</v>
      </c>
      <c r="O30" s="832">
        <f t="shared" si="2"/>
        <v>0</v>
      </c>
    </row>
    <row r="31" spans="1:15">
      <c r="A31" t="s">
        <v>1206</v>
      </c>
      <c r="B31" t="s">
        <v>964</v>
      </c>
      <c r="D31" t="s">
        <v>963</v>
      </c>
      <c r="E31" s="832">
        <v>0</v>
      </c>
      <c r="F31" s="832">
        <v>0</v>
      </c>
      <c r="G31" s="832">
        <v>0</v>
      </c>
      <c r="I31" s="832">
        <v>0</v>
      </c>
      <c r="J31" s="832">
        <v>0</v>
      </c>
      <c r="K31" s="832">
        <v>0</v>
      </c>
      <c r="M31" s="832">
        <f t="shared" si="0"/>
        <v>0</v>
      </c>
      <c r="N31" s="832">
        <f t="shared" si="1"/>
        <v>0</v>
      </c>
      <c r="O31" s="832">
        <f t="shared" si="2"/>
        <v>0</v>
      </c>
    </row>
    <row r="32" spans="1:15">
      <c r="A32" t="s">
        <v>1206</v>
      </c>
      <c r="B32" t="s">
        <v>967</v>
      </c>
      <c r="D32" t="s">
        <v>337</v>
      </c>
      <c r="E32" s="832">
        <v>5640774.3650000002</v>
      </c>
      <c r="F32" s="832">
        <v>5378861.4574999996</v>
      </c>
      <c r="G32" s="832">
        <v>4945267.55</v>
      </c>
      <c r="I32" s="832">
        <v>5640774.3650000002</v>
      </c>
      <c r="J32" s="832">
        <v>5378861.4574999996</v>
      </c>
      <c r="K32" s="832">
        <v>4945267.55</v>
      </c>
      <c r="M32" s="832">
        <f t="shared" si="0"/>
        <v>0</v>
      </c>
      <c r="N32" s="832">
        <f t="shared" si="1"/>
        <v>0</v>
      </c>
      <c r="O32" s="832">
        <f t="shared" si="2"/>
        <v>0</v>
      </c>
    </row>
    <row r="33" spans="1:15">
      <c r="A33" t="s">
        <v>1206</v>
      </c>
      <c r="B33" t="s">
        <v>970</v>
      </c>
      <c r="D33" t="s">
        <v>337</v>
      </c>
      <c r="E33" s="832">
        <v>2465036.0922500002</v>
      </c>
      <c r="F33" s="832">
        <v>2022503.3871249999</v>
      </c>
      <c r="G33" s="832">
        <v>1664945.5194999999</v>
      </c>
      <c r="I33" s="832">
        <v>2465036.0922500002</v>
      </c>
      <c r="J33" s="832">
        <v>2022503.3871249999</v>
      </c>
      <c r="K33" s="832">
        <v>1664945.5194999999</v>
      </c>
      <c r="M33" s="832">
        <f t="shared" si="0"/>
        <v>0</v>
      </c>
      <c r="N33" s="832">
        <f t="shared" si="1"/>
        <v>0</v>
      </c>
      <c r="O33" s="832">
        <f t="shared" si="2"/>
        <v>0</v>
      </c>
    </row>
    <row r="34" spans="1:15">
      <c r="A34" t="s">
        <v>1206</v>
      </c>
      <c r="B34" t="s">
        <v>977</v>
      </c>
      <c r="D34" t="s">
        <v>976</v>
      </c>
      <c r="E34" s="832">
        <v>3530751.833333333</v>
      </c>
      <c r="F34" s="832">
        <v>3421728.7280701748</v>
      </c>
      <c r="G34" s="832">
        <v>8574636.0438596494</v>
      </c>
      <c r="I34" s="832">
        <v>3530751.833333333</v>
      </c>
      <c r="J34" s="832">
        <v>3421728.7280701748</v>
      </c>
      <c r="K34" s="832">
        <v>8574636.0438596494</v>
      </c>
      <c r="M34" s="832">
        <f t="shared" si="0"/>
        <v>0</v>
      </c>
      <c r="N34" s="832">
        <f t="shared" si="1"/>
        <v>0</v>
      </c>
      <c r="O34" s="832">
        <f t="shared" si="2"/>
        <v>0</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D9E1F2"/>
  </sheetPr>
  <dimension ref="A1:BB123"/>
  <sheetViews>
    <sheetView zoomScale="94" workbookViewId="0">
      <selection activeCell="E5" sqref="E5"/>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249</v>
      </c>
      <c r="B1" s="83" t="s">
        <v>250</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1207</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165</v>
      </c>
      <c r="D3" s="114" t="s">
        <v>166</v>
      </c>
      <c r="E3" s="114" t="s">
        <v>167</v>
      </c>
      <c r="F3" s="114" t="s">
        <v>168</v>
      </c>
      <c r="G3" s="114" t="s">
        <v>169</v>
      </c>
      <c r="H3" s="114" t="s">
        <v>166</v>
      </c>
      <c r="I3" s="114" t="s">
        <v>166</v>
      </c>
      <c r="J3" s="114" t="s">
        <v>166</v>
      </c>
      <c r="K3" s="114" t="s">
        <v>166</v>
      </c>
      <c r="L3" s="114" t="s">
        <v>166</v>
      </c>
      <c r="M3" s="43"/>
      <c r="N3" s="114" t="s">
        <v>166</v>
      </c>
      <c r="O3" s="114" t="s">
        <v>167</v>
      </c>
      <c r="P3" s="114" t="s">
        <v>168</v>
      </c>
      <c r="Q3" s="114" t="s">
        <v>169</v>
      </c>
      <c r="R3" s="114" t="s">
        <v>166</v>
      </c>
      <c r="S3" s="114" t="s">
        <v>166</v>
      </c>
      <c r="T3" s="114" t="s">
        <v>166</v>
      </c>
      <c r="U3" s="114" t="s">
        <v>166</v>
      </c>
      <c r="V3" s="114" t="s">
        <v>166</v>
      </c>
      <c r="W3" s="115"/>
      <c r="X3" s="101" t="s">
        <v>165</v>
      </c>
      <c r="Y3" s="114" t="s">
        <v>166</v>
      </c>
      <c r="Z3" s="114" t="s">
        <v>167</v>
      </c>
      <c r="AA3" s="114" t="s">
        <v>168</v>
      </c>
      <c r="AB3" s="114" t="s">
        <v>169</v>
      </c>
      <c r="AC3" s="114" t="s">
        <v>166</v>
      </c>
      <c r="AD3" s="114" t="s">
        <v>166</v>
      </c>
      <c r="AE3" s="114" t="s">
        <v>166</v>
      </c>
      <c r="AF3" s="114" t="s">
        <v>166</v>
      </c>
      <c r="AG3" s="114" t="s">
        <v>166</v>
      </c>
      <c r="AI3" s="114" t="s">
        <v>166</v>
      </c>
      <c r="AJ3" s="114" t="s">
        <v>167</v>
      </c>
      <c r="AK3" s="114" t="s">
        <v>168</v>
      </c>
      <c r="AL3" s="114" t="s">
        <v>169</v>
      </c>
      <c r="AM3" s="114" t="s">
        <v>166</v>
      </c>
      <c r="AN3" s="114" t="s">
        <v>166</v>
      </c>
      <c r="AO3" s="114" t="s">
        <v>166</v>
      </c>
      <c r="AP3" s="114" t="s">
        <v>166</v>
      </c>
      <c r="AQ3" s="114" t="s">
        <v>166</v>
      </c>
      <c r="AR3" s="115"/>
      <c r="AS3" s="101" t="s">
        <v>165</v>
      </c>
      <c r="AT3" s="114" t="s">
        <v>166</v>
      </c>
      <c r="AU3" s="114" t="s">
        <v>167</v>
      </c>
      <c r="AV3" s="114" t="s">
        <v>168</v>
      </c>
      <c r="AW3" s="114" t="s">
        <v>169</v>
      </c>
      <c r="AX3" s="114" t="s">
        <v>166</v>
      </c>
      <c r="AY3" s="114" t="s">
        <v>166</v>
      </c>
      <c r="AZ3" s="114" t="s">
        <v>166</v>
      </c>
      <c r="BA3" s="114" t="s">
        <v>166</v>
      </c>
      <c r="BB3" s="114" t="s">
        <v>166</v>
      </c>
    </row>
    <row r="4" spans="1:54" ht="15" customHeight="1">
      <c r="A4" s="43"/>
      <c r="B4" s="43"/>
      <c r="C4" s="83" t="s">
        <v>170</v>
      </c>
      <c r="D4" s="116"/>
      <c r="E4" s="116"/>
      <c r="F4" s="61"/>
      <c r="G4" s="61"/>
      <c r="H4" s="61"/>
      <c r="I4" s="61"/>
      <c r="J4" s="61"/>
      <c r="K4" s="61"/>
      <c r="L4" s="61"/>
      <c r="M4" s="43"/>
      <c r="N4" s="116"/>
      <c r="O4" s="116"/>
      <c r="P4" s="61"/>
      <c r="Q4" s="61"/>
      <c r="R4" s="61"/>
      <c r="S4" s="61"/>
      <c r="T4" s="61"/>
      <c r="U4" s="61"/>
      <c r="V4" s="61"/>
      <c r="W4" s="61"/>
      <c r="X4" s="83" t="s">
        <v>170</v>
      </c>
      <c r="Y4" s="116"/>
      <c r="Z4" s="116"/>
      <c r="AA4" s="61"/>
      <c r="AB4" s="61"/>
      <c r="AC4" s="61"/>
      <c r="AD4" s="61"/>
      <c r="AE4" s="61"/>
      <c r="AF4" s="61"/>
      <c r="AG4" s="61"/>
      <c r="AI4" s="116"/>
      <c r="AJ4" s="116"/>
      <c r="AK4" s="61"/>
      <c r="AL4" s="61"/>
      <c r="AM4" s="61"/>
      <c r="AN4" s="61"/>
      <c r="AO4" s="61"/>
      <c r="AP4" s="61"/>
      <c r="AQ4" s="61"/>
      <c r="AR4" s="61"/>
      <c r="AS4" s="83" t="s">
        <v>170</v>
      </c>
      <c r="AT4" s="116"/>
      <c r="AU4" s="116"/>
      <c r="AV4" s="61"/>
      <c r="AW4" s="61"/>
      <c r="AX4" s="61"/>
      <c r="AY4" s="61"/>
      <c r="AZ4" s="61"/>
      <c r="BA4" s="61"/>
      <c r="BB4" s="61"/>
    </row>
    <row r="5" spans="1:54">
      <c r="A5" s="46" t="s">
        <v>251</v>
      </c>
      <c r="B5" s="46" t="s">
        <v>121</v>
      </c>
      <c r="C5" s="46" t="s">
        <v>171</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171</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171</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172</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172</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172</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252</v>
      </c>
      <c r="B7" s="46" t="s">
        <v>253</v>
      </c>
      <c r="C7" s="46" t="s">
        <v>173</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173</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173</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174</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174</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174</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254</v>
      </c>
      <c r="B9" s="46" t="s">
        <v>94</v>
      </c>
      <c r="C9" s="46" t="s">
        <v>173</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173</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173</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254</v>
      </c>
      <c r="B10" s="46" t="s">
        <v>96</v>
      </c>
      <c r="C10" s="46" t="s">
        <v>175</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175</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175</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254</v>
      </c>
      <c r="B11" s="46" t="s">
        <v>95</v>
      </c>
      <c r="C11" s="46" t="s">
        <v>176</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176</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176</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177</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177</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177</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29</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29</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29</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255</v>
      </c>
      <c r="B14" s="46" t="s">
        <v>94</v>
      </c>
      <c r="C14" s="46" t="s">
        <v>173</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173</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173</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31</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31</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31</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256</v>
      </c>
      <c r="B16" s="46" t="s">
        <v>94</v>
      </c>
      <c r="C16" s="46" t="s">
        <v>178</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178</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178</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179</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179</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179</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179</v>
      </c>
      <c r="B18" s="46" t="s">
        <v>94</v>
      </c>
      <c r="C18" s="46" t="s">
        <v>179</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179</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179</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257</v>
      </c>
      <c r="B20" s="46" t="s">
        <v>119</v>
      </c>
      <c r="C20" s="46" t="s">
        <v>35</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35</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35</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257</v>
      </c>
      <c r="B22" s="46" t="s">
        <v>120</v>
      </c>
      <c r="C22" s="46" t="s">
        <v>180</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180</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180</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258</v>
      </c>
      <c r="B24" s="46" t="s">
        <v>103</v>
      </c>
      <c r="C24" s="46" t="s">
        <v>103</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103</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103</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181</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181</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181</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257</v>
      </c>
      <c r="B26" s="46" t="s">
        <v>118</v>
      </c>
      <c r="C26" s="46" t="s">
        <v>182</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182</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182</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183</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183</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183</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184</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184</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184</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259</v>
      </c>
      <c r="B29" s="46" t="s">
        <v>113</v>
      </c>
      <c r="C29" s="46" t="s">
        <v>185</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185</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185</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257</v>
      </c>
      <c r="B30" s="46" t="s">
        <v>125</v>
      </c>
      <c r="C30" s="46" t="s">
        <v>186</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186</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186</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260</v>
      </c>
      <c r="B31" s="46" t="s">
        <v>111</v>
      </c>
      <c r="C31" s="46" t="s">
        <v>187</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187</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187</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188</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188</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188</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93</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93</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93</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189</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189</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189</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261</v>
      </c>
      <c r="B35" s="46" t="s">
        <v>123</v>
      </c>
      <c r="C35" s="83" t="s">
        <v>190</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190</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190</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262</v>
      </c>
      <c r="B36" s="46" t="s">
        <v>111</v>
      </c>
      <c r="C36" s="83" t="s">
        <v>175</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175</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175</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263</v>
      </c>
      <c r="B37" s="46" t="s">
        <v>126</v>
      </c>
      <c r="C37" s="83" t="s">
        <v>191</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191</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191</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146</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146</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146</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192</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192</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192</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254</v>
      </c>
      <c r="B40" s="46" t="s">
        <v>97</v>
      </c>
      <c r="C40" s="46" t="s">
        <v>193</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193</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193</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254</v>
      </c>
      <c r="B41" s="46" t="s">
        <v>98</v>
      </c>
      <c r="C41" s="46" t="s">
        <v>194</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194</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194</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258</v>
      </c>
      <c r="B42" s="46" t="s">
        <v>104</v>
      </c>
      <c r="C42" s="46" t="s">
        <v>195</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195</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195</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258</v>
      </c>
      <c r="B43" s="46" t="s">
        <v>105</v>
      </c>
      <c r="C43" s="46" t="s">
        <v>196</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196</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196</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197</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197</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197</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198</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198</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198</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199</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199</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199</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200</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200</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200</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191</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191</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191</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201</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201</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201</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202</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202</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202</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203</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203</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203</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204</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204</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204</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205</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205</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205</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c12_inputs</vt:lpstr>
      <vt:lpstr>c12_oc</vt:lpstr>
      <vt:lpstr>c12_sk</vt:lpstr>
      <vt:lpstr>c12_bs</vt:lpstr>
      <vt:lpstr>c12_hm</vt:lpstr>
      <vt:lpstr>c12_d&amp;s</vt:lpstr>
      <vt:lpstr>c12_bi&amp;F</vt:lpstr>
      <vt:lpstr>.c12_inputs.hr</vt:lpstr>
      <vt:lpstr>.c12_oc_hr</vt:lpstr>
      <vt:lpstr>.c12_hm_hr</vt:lpstr>
      <vt:lpstr>.c12_d&amp;s_hr</vt:lpstr>
      <vt:lpstr>.c12_bi&amp;f_hr</vt:lpstr>
      <vt:lpstr>.c12_alloc</vt:lpstr>
      <vt:lpstr>c12_diags</vt:lpstr>
      <vt:lpstr>lgh_diags</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2026-05-31T21:25:16Z</dcterms:modified>
</cp:coreProperties>
</file>
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8_{9C4A7429-FE72-4589-B264-B79BACAEAC20}" xr6:coauthVersionLast="47" xr6:coauthVersionMax="47" xr10:uidLastSave="{00000000-0000-0000-0000-000000000000}"/>
  <bookViews>
    <workbookView xWindow="-110" yWindow="-110" windowWidth="25820" windowHeight="15500" tabRatio="953" firstSheet="17" activeTab="32" xr2:uid="{00000000-000D-0000-FFFF-FFFF00000000}"/>
  </bookViews>
  <sheets>
    <sheet name="registry" sheetId="1" r:id="rId1"/>
    <sheet name="lgh_returns" sheetId="2" r:id="rId2"/>
    <sheet name="lgh_inputs" sheetId="3" r:id="rId3"/>
    <sheet name="lgh_bs" sheetId="4" r:id="rId4"/>
    <sheet name="lgh_bs_errata" sheetId="5" r:id="rId5"/>
    <sheet name="lgh_bs_qr" sheetId="6" r:id="rId6"/>
    <sheet name="lgh_oc" sheetId="7" r:id="rId7"/>
    <sheet name="lgh_ci" sheetId="8" r:id="rId8"/>
    <sheet name="lgh_cuda" sheetId="9" r:id="rId9"/>
    <sheet name="lgh_equity" sheetId="10" r:id="rId10"/>
    <sheet name="lgh_pref_equity" sheetId="11" r:id="rId11"/>
    <sheet name="lgh_debt" sheetId="12" r:id="rId12"/>
    <sheet name="lgh_other_liabs" sheetId="13" r:id="rId13"/>
    <sheet name="lgh_other_assets" sheetId="14" r:id="rId14"/>
    <sheet name="lgh_manco" sheetId="15" r:id="rId15"/>
    <sheet name="pink_cs2" sheetId="16" r:id="rId16"/>
    <sheet name="elbow_cs2" sheetId="17" r:id="rId17"/>
    <sheet name="aus_cs2" sheetId="18" r:id="rId18"/>
    <sheet name="turks_cs2" sheetId="19" r:id="rId19"/>
    <sheet name="frith_cs2" sheetId="20" r:id="rId20"/>
    <sheet name="sat_cs2" sheetId="21" r:id="rId21"/>
    <sheet name="lgh_diags" sheetId="22" r:id="rId22"/>
    <sheet name="c12_inputs" sheetId="23" r:id="rId23"/>
    <sheet name="c12_oc" sheetId="24" r:id="rId24"/>
    <sheet name="c12_bs" sheetId="25" r:id="rId25"/>
    <sheet name="c12_hm" sheetId="26" r:id="rId26"/>
    <sheet name="c12_d&amp;s" sheetId="27" r:id="rId27"/>
    <sheet name="c12_bi&amp;F" sheetId="28" r:id="rId28"/>
    <sheet name=".c12_inputs.hr" sheetId="29" r:id="rId29"/>
    <sheet name=".c12_oc_hr" sheetId="30" r:id="rId30"/>
    <sheet name=".c12_hm_hr" sheetId="31" r:id="rId31"/>
    <sheet name=".c12_d&amp;s_hr" sheetId="32" r:id="rId32"/>
    <sheet name=".c12_bi&amp;f_hr" sheetId="33" r:id="rId33"/>
    <sheet name=".c12_alloc" sheetId="34" r:id="rId34"/>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9" i="34" l="1"/>
  <c r="G49" i="34"/>
  <c r="F49" i="34"/>
  <c r="E49" i="34"/>
  <c r="H48" i="34"/>
  <c r="G48" i="34"/>
  <c r="F48" i="34"/>
  <c r="E48" i="34"/>
  <c r="H47" i="34"/>
  <c r="G47" i="34"/>
  <c r="F47" i="34"/>
  <c r="E47" i="34"/>
  <c r="H46" i="34"/>
  <c r="G46" i="34"/>
  <c r="F46" i="34"/>
  <c r="E46" i="34"/>
  <c r="H45" i="34"/>
  <c r="G45" i="34"/>
  <c r="F45" i="34"/>
  <c r="E45" i="34"/>
  <c r="H44" i="34"/>
  <c r="G44" i="34"/>
  <c r="F44" i="34"/>
  <c r="E44" i="34"/>
  <c r="H43" i="34"/>
  <c r="G43" i="34"/>
  <c r="F43" i="34"/>
  <c r="E43" i="34"/>
  <c r="H42" i="34"/>
  <c r="G42" i="34"/>
  <c r="F42" i="34"/>
  <c r="E42" i="34"/>
  <c r="H41" i="34"/>
  <c r="G41" i="34"/>
  <c r="F41" i="34"/>
  <c r="E41" i="34"/>
  <c r="H40" i="34"/>
  <c r="G40" i="34"/>
  <c r="F40" i="34"/>
  <c r="E40" i="34"/>
  <c r="H39" i="34"/>
  <c r="G39" i="34"/>
  <c r="F39" i="34"/>
  <c r="E39" i="34"/>
  <c r="H38" i="34"/>
  <c r="G38" i="34"/>
  <c r="F38" i="34"/>
  <c r="E38" i="34"/>
  <c r="H34" i="34"/>
  <c r="G34" i="34"/>
  <c r="F34" i="34"/>
  <c r="E34" i="34"/>
  <c r="H33" i="34"/>
  <c r="G33" i="34"/>
  <c r="F33" i="34"/>
  <c r="E33" i="34"/>
  <c r="H32" i="34"/>
  <c r="G32" i="34"/>
  <c r="F32" i="34"/>
  <c r="E32" i="34"/>
  <c r="H31" i="34"/>
  <c r="G31" i="34"/>
  <c r="F31" i="34"/>
  <c r="E31" i="34"/>
  <c r="H30" i="34"/>
  <c r="G30" i="34"/>
  <c r="F30" i="34"/>
  <c r="E30" i="34"/>
  <c r="H29" i="34"/>
  <c r="G29" i="34"/>
  <c r="F29" i="34"/>
  <c r="E29" i="34"/>
  <c r="H28" i="34"/>
  <c r="G28" i="34"/>
  <c r="F28" i="34"/>
  <c r="E28" i="34"/>
  <c r="H27" i="34"/>
  <c r="G27" i="34"/>
  <c r="F27" i="34"/>
  <c r="E27" i="34"/>
  <c r="H26" i="34"/>
  <c r="G26" i="34"/>
  <c r="F26" i="34"/>
  <c r="E26" i="34"/>
  <c r="H25" i="34"/>
  <c r="G25" i="34"/>
  <c r="F25" i="34"/>
  <c r="E25" i="34"/>
  <c r="H24" i="34"/>
  <c r="G24" i="34"/>
  <c r="F24" i="34"/>
  <c r="E24" i="34"/>
  <c r="H20" i="34"/>
  <c r="G20" i="34"/>
  <c r="F20" i="34"/>
  <c r="E20" i="34"/>
  <c r="H19" i="34"/>
  <c r="G19" i="34"/>
  <c r="F19" i="34"/>
  <c r="E19" i="34"/>
  <c r="H18" i="34"/>
  <c r="G18" i="34"/>
  <c r="F18" i="34"/>
  <c r="E18" i="34"/>
  <c r="H17" i="34"/>
  <c r="G17" i="34"/>
  <c r="F17" i="34"/>
  <c r="E17" i="34"/>
  <c r="H16" i="34"/>
  <c r="G16" i="34"/>
  <c r="F16" i="34"/>
  <c r="E16" i="34"/>
  <c r="H15" i="34"/>
  <c r="G15" i="34"/>
  <c r="F15" i="34"/>
  <c r="E15" i="34"/>
  <c r="H11" i="34"/>
  <c r="G11" i="34"/>
  <c r="F11" i="34"/>
  <c r="E11" i="34"/>
  <c r="H10" i="34"/>
  <c r="G10" i="34"/>
  <c r="F10" i="34"/>
  <c r="E10" i="34"/>
  <c r="H9" i="34"/>
  <c r="G9" i="34"/>
  <c r="F9" i="34"/>
  <c r="E9" i="34"/>
  <c r="H8" i="34"/>
  <c r="G8" i="34"/>
  <c r="F8" i="34"/>
  <c r="E8" i="34"/>
  <c r="H7" i="34"/>
  <c r="G7" i="34"/>
  <c r="F7" i="34"/>
  <c r="E7" i="34"/>
  <c r="H6" i="34"/>
  <c r="G6" i="34"/>
  <c r="F6" i="34"/>
  <c r="E6" i="34"/>
  <c r="W47" i="33"/>
  <c r="V47" i="33"/>
  <c r="U47" i="33"/>
  <c r="T47" i="33"/>
  <c r="S47" i="33"/>
  <c r="R47" i="33"/>
  <c r="Q47" i="33"/>
  <c r="P47" i="33"/>
  <c r="O47" i="33"/>
  <c r="N47" i="33"/>
  <c r="M47" i="33"/>
  <c r="L47" i="33"/>
  <c r="A47" i="33"/>
  <c r="W46" i="33"/>
  <c r="V46" i="33"/>
  <c r="U46" i="33"/>
  <c r="T46" i="33"/>
  <c r="S46" i="33"/>
  <c r="R46" i="33"/>
  <c r="Q46" i="33"/>
  <c r="P46" i="33"/>
  <c r="O46" i="33"/>
  <c r="N46" i="33"/>
  <c r="M46" i="33"/>
  <c r="L46" i="33"/>
  <c r="A46" i="33"/>
  <c r="W45" i="33"/>
  <c r="V45" i="33"/>
  <c r="U45" i="33"/>
  <c r="T45" i="33"/>
  <c r="S45" i="33"/>
  <c r="R45" i="33"/>
  <c r="Q45" i="33"/>
  <c r="P45" i="33"/>
  <c r="O45" i="33"/>
  <c r="N45" i="33"/>
  <c r="M45" i="33"/>
  <c r="L45" i="33"/>
  <c r="A45" i="33"/>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3" i="33"/>
  <c r="V33" i="33"/>
  <c r="U33" i="33"/>
  <c r="T33" i="33"/>
  <c r="S33" i="33"/>
  <c r="R33" i="33"/>
  <c r="Q33" i="33"/>
  <c r="P33" i="33"/>
  <c r="O33" i="33"/>
  <c r="N33" i="33"/>
  <c r="M33" i="33"/>
  <c r="L33" i="33"/>
  <c r="A32" i="33"/>
  <c r="A31" i="33"/>
  <c r="A30" i="33"/>
  <c r="A29" i="33"/>
  <c r="A28" i="33"/>
  <c r="A27" i="33"/>
  <c r="A26" i="33"/>
  <c r="A25" i="33"/>
  <c r="A24" i="33"/>
  <c r="A23" i="33"/>
  <c r="A22" i="33"/>
  <c r="A21" i="33"/>
  <c r="W18" i="33"/>
  <c r="V18" i="33"/>
  <c r="U18" i="33"/>
  <c r="T18" i="33"/>
  <c r="S18" i="33"/>
  <c r="R18" i="33"/>
  <c r="Q18" i="33"/>
  <c r="P18" i="33"/>
  <c r="O18" i="33"/>
  <c r="N18" i="33"/>
  <c r="M18" i="33"/>
  <c r="L18" i="33"/>
  <c r="W44" i="32"/>
  <c r="V44" i="32"/>
  <c r="U44" i="32"/>
  <c r="T44" i="32"/>
  <c r="S44" i="32"/>
  <c r="R44" i="32"/>
  <c r="Q44" i="32"/>
  <c r="P44" i="32"/>
  <c r="O44" i="32"/>
  <c r="N44" i="32"/>
  <c r="M44" i="32"/>
  <c r="L44" i="32"/>
  <c r="A44" i="32"/>
  <c r="W43" i="32"/>
  <c r="V43" i="32"/>
  <c r="U43" i="32"/>
  <c r="T43" i="32"/>
  <c r="S43" i="32"/>
  <c r="R43" i="32"/>
  <c r="Q43" i="32"/>
  <c r="P43" i="32"/>
  <c r="O43" i="32"/>
  <c r="N43" i="32"/>
  <c r="M43" i="32"/>
  <c r="L43" i="32"/>
  <c r="A43" i="32"/>
  <c r="W42" i="32"/>
  <c r="V42" i="32"/>
  <c r="U42" i="32"/>
  <c r="T42" i="32"/>
  <c r="S42" i="32"/>
  <c r="R42" i="32"/>
  <c r="Q42" i="32"/>
  <c r="P42" i="32"/>
  <c r="O42" i="32"/>
  <c r="N42" i="32"/>
  <c r="M42" i="32"/>
  <c r="L42" i="32"/>
  <c r="A42" i="32"/>
  <c r="W41" i="32"/>
  <c r="V41" i="32"/>
  <c r="U41" i="32"/>
  <c r="T41" i="32"/>
  <c r="S41" i="32"/>
  <c r="R41" i="32"/>
  <c r="Q41" i="32"/>
  <c r="P41" i="32"/>
  <c r="O41" i="32"/>
  <c r="N41" i="32"/>
  <c r="M41" i="32"/>
  <c r="L41" i="32"/>
  <c r="A41" i="32"/>
  <c r="W40" i="32"/>
  <c r="V40" i="32"/>
  <c r="U40" i="32"/>
  <c r="T40" i="32"/>
  <c r="S40" i="32"/>
  <c r="R40" i="32"/>
  <c r="Q40" i="32"/>
  <c r="P40" i="32"/>
  <c r="O40" i="32"/>
  <c r="N40" i="32"/>
  <c r="M40" i="32"/>
  <c r="L40" i="32"/>
  <c r="A40" i="32"/>
  <c r="W39" i="32"/>
  <c r="V39" i="32"/>
  <c r="U39" i="32"/>
  <c r="T39" i="32"/>
  <c r="S39" i="32"/>
  <c r="R39" i="32"/>
  <c r="Q39" i="32"/>
  <c r="P39" i="32"/>
  <c r="O39" i="32"/>
  <c r="N39" i="32"/>
  <c r="M39" i="32"/>
  <c r="L39" i="32"/>
  <c r="A39" i="32"/>
  <c r="W38" i="32"/>
  <c r="V38" i="32"/>
  <c r="U38" i="32"/>
  <c r="T38" i="32"/>
  <c r="S38" i="32"/>
  <c r="R38" i="32"/>
  <c r="Q38" i="32"/>
  <c r="P38" i="32"/>
  <c r="O38" i="32"/>
  <c r="N38" i="32"/>
  <c r="M38" i="32"/>
  <c r="L38" i="32"/>
  <c r="A38" i="32"/>
  <c r="W37" i="32"/>
  <c r="V37" i="32"/>
  <c r="U37" i="32"/>
  <c r="T37" i="32"/>
  <c r="S37" i="32"/>
  <c r="R37" i="32"/>
  <c r="Q37" i="32"/>
  <c r="P37" i="32"/>
  <c r="O37" i="32"/>
  <c r="N37" i="32"/>
  <c r="M37" i="32"/>
  <c r="L37" i="32"/>
  <c r="A37" i="32"/>
  <c r="W36" i="32"/>
  <c r="V36" i="32"/>
  <c r="U36" i="32"/>
  <c r="T36" i="32"/>
  <c r="S36" i="32"/>
  <c r="R36" i="32"/>
  <c r="Q36" i="32"/>
  <c r="P36" i="32"/>
  <c r="O36" i="32"/>
  <c r="N36" i="32"/>
  <c r="M36" i="32"/>
  <c r="L36" i="32"/>
  <c r="A36" i="32"/>
  <c r="W35" i="32"/>
  <c r="V35" i="32"/>
  <c r="U35" i="32"/>
  <c r="T35" i="32"/>
  <c r="S35" i="32"/>
  <c r="R35" i="32"/>
  <c r="Q35" i="32"/>
  <c r="P35" i="32"/>
  <c r="O35" i="32"/>
  <c r="N35" i="32"/>
  <c r="M35" i="32"/>
  <c r="L35" i="32"/>
  <c r="A35" i="32"/>
  <c r="W34" i="32"/>
  <c r="V34" i="32"/>
  <c r="U34" i="32"/>
  <c r="T34" i="32"/>
  <c r="S34" i="32"/>
  <c r="R34" i="32"/>
  <c r="Q34" i="32"/>
  <c r="P34" i="32"/>
  <c r="O34" i="32"/>
  <c r="N34" i="32"/>
  <c r="M34" i="32"/>
  <c r="L34" i="32"/>
  <c r="A34" i="32"/>
  <c r="A30" i="32"/>
  <c r="A29" i="32"/>
  <c r="A28" i="32"/>
  <c r="A27" i="32"/>
  <c r="A26" i="32"/>
  <c r="A25" i="32"/>
  <c r="A24" i="32"/>
  <c r="A23" i="32"/>
  <c r="A22" i="32"/>
  <c r="A21" i="32"/>
  <c r="A20" i="32"/>
  <c r="W17" i="32"/>
  <c r="V17" i="32"/>
  <c r="U17" i="32"/>
  <c r="T17" i="32"/>
  <c r="S17" i="32"/>
  <c r="R17" i="32"/>
  <c r="Q17" i="32"/>
  <c r="P17" i="32"/>
  <c r="O17" i="32"/>
  <c r="N17" i="32"/>
  <c r="M17" i="32"/>
  <c r="L17" i="32"/>
  <c r="W29" i="31"/>
  <c r="V29" i="31"/>
  <c r="U29" i="31"/>
  <c r="T29" i="31"/>
  <c r="S29" i="31"/>
  <c r="R29" i="31"/>
  <c r="Q29" i="31"/>
  <c r="P29" i="31"/>
  <c r="O29" i="31"/>
  <c r="N29" i="31"/>
  <c r="M29" i="31"/>
  <c r="L29" i="31"/>
  <c r="W28" i="31"/>
  <c r="V28" i="31"/>
  <c r="U28" i="31"/>
  <c r="T28" i="31"/>
  <c r="S28" i="31"/>
  <c r="R28" i="31"/>
  <c r="Q28" i="31"/>
  <c r="P28" i="31"/>
  <c r="O28" i="31"/>
  <c r="N28" i="31"/>
  <c r="M28" i="31"/>
  <c r="L28" i="31"/>
  <c r="W27" i="31"/>
  <c r="V27" i="31"/>
  <c r="U27" i="31"/>
  <c r="T27" i="31"/>
  <c r="S27" i="31"/>
  <c r="R27" i="31"/>
  <c r="Q27" i="31"/>
  <c r="P27" i="31"/>
  <c r="O27" i="31"/>
  <c r="N27" i="31"/>
  <c r="M27" i="31"/>
  <c r="L27" i="31"/>
  <c r="W26" i="31"/>
  <c r="V26" i="31"/>
  <c r="U26" i="31"/>
  <c r="T26" i="31"/>
  <c r="S26" i="31"/>
  <c r="R26" i="31"/>
  <c r="Q26" i="31"/>
  <c r="P26" i="31"/>
  <c r="O26" i="31"/>
  <c r="N26" i="31"/>
  <c r="M26" i="31"/>
  <c r="L26" i="31"/>
  <c r="W25" i="31"/>
  <c r="V25" i="31"/>
  <c r="U25" i="31"/>
  <c r="T25" i="31"/>
  <c r="S25" i="31"/>
  <c r="R25" i="31"/>
  <c r="Q25" i="31"/>
  <c r="P25" i="31"/>
  <c r="O25" i="31"/>
  <c r="N25" i="31"/>
  <c r="M25" i="31"/>
  <c r="L25" i="31"/>
  <c r="W24" i="31"/>
  <c r="V24" i="31"/>
  <c r="U24" i="31"/>
  <c r="T24" i="31"/>
  <c r="S24" i="31"/>
  <c r="R24" i="31"/>
  <c r="Q24" i="31"/>
  <c r="P24" i="31"/>
  <c r="O24" i="31"/>
  <c r="N24" i="31"/>
  <c r="M24" i="31"/>
  <c r="L24" i="31"/>
  <c r="W21" i="31"/>
  <c r="V21" i="31"/>
  <c r="U21" i="31"/>
  <c r="T21" i="31"/>
  <c r="S21" i="31"/>
  <c r="R21" i="31"/>
  <c r="Q21" i="31"/>
  <c r="P21" i="31"/>
  <c r="O21" i="31"/>
  <c r="N21" i="31"/>
  <c r="M21" i="31"/>
  <c r="L21" i="31"/>
  <c r="A20" i="31"/>
  <c r="A29" i="31" s="1"/>
  <c r="A19" i="31"/>
  <c r="A28" i="31" s="1"/>
  <c r="A18" i="31"/>
  <c r="A27" i="31" s="1"/>
  <c r="A17" i="31"/>
  <c r="A26" i="31" s="1"/>
  <c r="A16" i="31"/>
  <c r="A25" i="31" s="1"/>
  <c r="A15" i="31"/>
  <c r="A24" i="31" s="1"/>
  <c r="W12" i="31"/>
  <c r="V12" i="31"/>
  <c r="U12" i="31"/>
  <c r="T12" i="31"/>
  <c r="S12" i="31"/>
  <c r="R12" i="31"/>
  <c r="Q12" i="31"/>
  <c r="P12" i="31"/>
  <c r="O12" i="31"/>
  <c r="N12" i="31"/>
  <c r="M12" i="31"/>
  <c r="L12" i="31"/>
  <c r="W28" i="30"/>
  <c r="V28" i="30"/>
  <c r="U28" i="30"/>
  <c r="T28" i="30"/>
  <c r="S28" i="30"/>
  <c r="R28" i="30"/>
  <c r="Q28" i="30"/>
  <c r="P28" i="30"/>
  <c r="O28" i="30"/>
  <c r="N28" i="30"/>
  <c r="M28" i="30"/>
  <c r="L28" i="30"/>
  <c r="A28" i="30"/>
  <c r="W27" i="30"/>
  <c r="V27" i="30"/>
  <c r="U27" i="30"/>
  <c r="T27" i="30"/>
  <c r="S27" i="30"/>
  <c r="R27" i="30"/>
  <c r="Q27" i="30"/>
  <c r="P27" i="30"/>
  <c r="O27" i="30"/>
  <c r="N27" i="30"/>
  <c r="M27" i="30"/>
  <c r="L27" i="30"/>
  <c r="A27" i="30"/>
  <c r="W26" i="30"/>
  <c r="V26" i="30"/>
  <c r="U26" i="30"/>
  <c r="T26" i="30"/>
  <c r="S26" i="30"/>
  <c r="R26" i="30"/>
  <c r="Q26" i="30"/>
  <c r="P26" i="30"/>
  <c r="O26" i="30"/>
  <c r="N26" i="30"/>
  <c r="M26" i="30"/>
  <c r="L26" i="30"/>
  <c r="A26" i="30"/>
  <c r="W25" i="30"/>
  <c r="V25" i="30"/>
  <c r="U25" i="30"/>
  <c r="T25" i="30"/>
  <c r="S25" i="30"/>
  <c r="R25" i="30"/>
  <c r="Q25" i="30"/>
  <c r="P25" i="30"/>
  <c r="O25" i="30"/>
  <c r="N25" i="30"/>
  <c r="M25" i="30"/>
  <c r="L25" i="30"/>
  <c r="A25" i="30"/>
  <c r="W24" i="30"/>
  <c r="V24" i="30"/>
  <c r="U24" i="30"/>
  <c r="T24" i="30"/>
  <c r="S24" i="30"/>
  <c r="R24" i="30"/>
  <c r="Q24" i="30"/>
  <c r="P24" i="30"/>
  <c r="O24" i="30"/>
  <c r="N24" i="30"/>
  <c r="M24" i="30"/>
  <c r="L24" i="30"/>
  <c r="A24" i="30"/>
  <c r="W23" i="30"/>
  <c r="V23" i="30"/>
  <c r="U23" i="30"/>
  <c r="T23" i="30"/>
  <c r="S23" i="30"/>
  <c r="R23" i="30"/>
  <c r="Q23" i="30"/>
  <c r="P23" i="30"/>
  <c r="O23" i="30"/>
  <c r="N23" i="30"/>
  <c r="M23" i="30"/>
  <c r="L23" i="30"/>
  <c r="A23" i="30"/>
  <c r="W20" i="30"/>
  <c r="V20" i="30"/>
  <c r="U20" i="30"/>
  <c r="T20" i="30"/>
  <c r="S20" i="30"/>
  <c r="R20" i="30"/>
  <c r="Q20" i="30"/>
  <c r="P20" i="30"/>
  <c r="O20" i="30"/>
  <c r="N20" i="30"/>
  <c r="M20" i="30"/>
  <c r="L20" i="30"/>
  <c r="A19" i="30"/>
  <c r="A18" i="30"/>
  <c r="A17" i="30"/>
  <c r="A16" i="30"/>
  <c r="A15" i="30"/>
  <c r="A14" i="30"/>
  <c r="W12" i="30"/>
  <c r="V12" i="30"/>
  <c r="U12" i="30"/>
  <c r="T12" i="30"/>
  <c r="S12" i="30"/>
  <c r="R12" i="30"/>
  <c r="Q12" i="30"/>
  <c r="P12" i="30"/>
  <c r="O12" i="30"/>
  <c r="N12" i="30"/>
  <c r="M12" i="30"/>
  <c r="L12" i="30"/>
  <c r="W67" i="28"/>
  <c r="V67" i="28"/>
  <c r="U67" i="28"/>
  <c r="T67" i="28"/>
  <c r="S67" i="28"/>
  <c r="R67" i="28"/>
  <c r="Q67" i="28"/>
  <c r="P67" i="28"/>
  <c r="O67" i="28"/>
  <c r="N67" i="28"/>
  <c r="M67" i="28"/>
  <c r="L67" i="28"/>
  <c r="W64" i="28"/>
  <c r="V64" i="28"/>
  <c r="U64" i="28"/>
  <c r="T64" i="28"/>
  <c r="S64" i="28"/>
  <c r="R64" i="28"/>
  <c r="Q64" i="28"/>
  <c r="P64" i="28"/>
  <c r="O64" i="28"/>
  <c r="N64" i="28"/>
  <c r="M64" i="28"/>
  <c r="L64" i="28"/>
  <c r="P57" i="28"/>
  <c r="O57" i="28"/>
  <c r="N57" i="28"/>
  <c r="M57" i="28"/>
  <c r="L57" i="28"/>
  <c r="W56" i="28"/>
  <c r="V56" i="28"/>
  <c r="U56" i="28"/>
  <c r="T56" i="28"/>
  <c r="S56" i="28"/>
  <c r="R56" i="28"/>
  <c r="Q56" i="28"/>
  <c r="P56" i="28"/>
  <c r="O56" i="28"/>
  <c r="N56" i="28"/>
  <c r="M56" i="28"/>
  <c r="L56" i="28"/>
  <c r="L48" i="28"/>
  <c r="L50" i="28" s="1"/>
  <c r="M50" i="28" s="1"/>
  <c r="N50" i="28" s="1"/>
  <c r="O50" i="28" s="1"/>
  <c r="P50" i="28" s="1"/>
  <c r="Q50" i="28" s="1"/>
  <c r="R50" i="28" s="1"/>
  <c r="S50" i="28" s="1"/>
  <c r="T50" i="28" s="1"/>
  <c r="U50" i="28" s="1"/>
  <c r="V50" i="28" s="1"/>
  <c r="W50" i="28" s="1"/>
  <c r="O46" i="28"/>
  <c r="O52" i="28" s="1"/>
  <c r="O53" i="28" s="1"/>
  <c r="N46" i="28"/>
  <c r="N52" i="28" s="1"/>
  <c r="N53" i="28" s="1"/>
  <c r="M46" i="28"/>
  <c r="M52" i="28" s="1"/>
  <c r="M53" i="28" s="1"/>
  <c r="L46" i="28"/>
  <c r="L52" i="28" s="1"/>
  <c r="L53" i="28" s="1"/>
  <c r="Q39" i="28"/>
  <c r="R39" i="28" s="1"/>
  <c r="S39" i="28" s="1"/>
  <c r="T39" i="28" s="1"/>
  <c r="U39" i="28" s="1"/>
  <c r="T37" i="28"/>
  <c r="T46" i="28" s="1"/>
  <c r="T52" i="28" s="1"/>
  <c r="T53" i="28" s="1"/>
  <c r="S36" i="28"/>
  <c r="R36" i="28"/>
  <c r="Q36" i="28"/>
  <c r="P36" i="28"/>
  <c r="S35" i="28"/>
  <c r="S46" i="28" s="1"/>
  <c r="S52" i="28" s="1"/>
  <c r="S53" i="28" s="1"/>
  <c r="R35" i="28"/>
  <c r="R46" i="28" s="1"/>
  <c r="R52" i="28" s="1"/>
  <c r="R53" i="28" s="1"/>
  <c r="Q35" i="28"/>
  <c r="Q46" i="28" s="1"/>
  <c r="Q52" i="28" s="1"/>
  <c r="Q53" i="28" s="1"/>
  <c r="P35" i="28"/>
  <c r="P46" i="28" s="1"/>
  <c r="P52" i="28" s="1"/>
  <c r="P53" i="28" s="1"/>
  <c r="L29" i="28"/>
  <c r="W25" i="28"/>
  <c r="W31" i="28" s="1"/>
  <c r="W32" i="28" s="1"/>
  <c r="V25" i="28"/>
  <c r="V31" i="28" s="1"/>
  <c r="V32" i="28" s="1"/>
  <c r="U25" i="28"/>
  <c r="U31" i="28" s="1"/>
  <c r="U32" i="28" s="1"/>
  <c r="T25" i="28"/>
  <c r="T31" i="28" s="1"/>
  <c r="T32" i="28" s="1"/>
  <c r="S25" i="28"/>
  <c r="S31" i="28" s="1"/>
  <c r="S32" i="28" s="1"/>
  <c r="R25" i="28"/>
  <c r="R31" i="28" s="1"/>
  <c r="R32" i="28" s="1"/>
  <c r="Q25" i="28"/>
  <c r="Q31" i="28" s="1"/>
  <c r="Q32" i="28" s="1"/>
  <c r="P25" i="28"/>
  <c r="P31" i="28" s="1"/>
  <c r="P32" i="28" s="1"/>
  <c r="O25" i="28"/>
  <c r="O31" i="28" s="1"/>
  <c r="O32" i="28" s="1"/>
  <c r="N25" i="28"/>
  <c r="N31" i="28" s="1"/>
  <c r="N32" i="28" s="1"/>
  <c r="M25" i="28"/>
  <c r="M31" i="28" s="1"/>
  <c r="M32" i="28" s="1"/>
  <c r="L25" i="28"/>
  <c r="L31" i="28" s="1"/>
  <c r="L32" i="28" s="1"/>
  <c r="W67" i="27"/>
  <c r="V67" i="27"/>
  <c r="U67" i="27"/>
  <c r="T67" i="27"/>
  <c r="S67" i="27"/>
  <c r="R67" i="27"/>
  <c r="Q67" i="27"/>
  <c r="P67" i="27"/>
  <c r="O67" i="27"/>
  <c r="N67" i="27"/>
  <c r="M67" i="27"/>
  <c r="L67" i="27"/>
  <c r="W64" i="27"/>
  <c r="V64" i="27"/>
  <c r="U64" i="27"/>
  <c r="T64" i="27"/>
  <c r="S64" i="27"/>
  <c r="R64" i="27"/>
  <c r="Q64" i="27"/>
  <c r="P64" i="27"/>
  <c r="O64" i="27"/>
  <c r="N64" i="27"/>
  <c r="M64" i="27"/>
  <c r="L64" i="27"/>
  <c r="P57" i="27"/>
  <c r="O57" i="27"/>
  <c r="N57" i="27"/>
  <c r="M57" i="27"/>
  <c r="L57" i="27"/>
  <c r="W56" i="27"/>
  <c r="V56" i="27"/>
  <c r="U56" i="27"/>
  <c r="T56" i="27"/>
  <c r="S56" i="27"/>
  <c r="R56" i="27"/>
  <c r="Q56" i="27"/>
  <c r="P56" i="27"/>
  <c r="O56" i="27"/>
  <c r="N56" i="27"/>
  <c r="M56" i="27"/>
  <c r="L56" i="27"/>
  <c r="W49" i="27"/>
  <c r="V49" i="27"/>
  <c r="U49" i="27"/>
  <c r="T49" i="27"/>
  <c r="W46" i="27"/>
  <c r="W52" i="27" s="1"/>
  <c r="V46" i="27"/>
  <c r="V52" i="27" s="1"/>
  <c r="U45" i="27"/>
  <c r="U46" i="27" s="1"/>
  <c r="U52" i="27" s="1"/>
  <c r="T45" i="27"/>
  <c r="T46" i="27" s="1"/>
  <c r="T52" i="27" s="1"/>
  <c r="P40" i="27"/>
  <c r="Q40" i="27" s="1"/>
  <c r="R40" i="27" s="1"/>
  <c r="S40" i="27" s="1"/>
  <c r="O40" i="27"/>
  <c r="N40" i="27"/>
  <c r="M40" i="27"/>
  <c r="R38" i="27"/>
  <c r="S38" i="27" s="1"/>
  <c r="Q38" i="27"/>
  <c r="S37" i="27"/>
  <c r="R37" i="27"/>
  <c r="Q37" i="27"/>
  <c r="P37" i="27"/>
  <c r="O37" i="27"/>
  <c r="N37" i="27"/>
  <c r="M37" i="27"/>
  <c r="L37" i="27"/>
  <c r="S36" i="27"/>
  <c r="R36" i="27"/>
  <c r="Q36" i="27"/>
  <c r="P36" i="27"/>
  <c r="O36" i="27"/>
  <c r="O48" i="27" s="1"/>
  <c r="N36" i="27"/>
  <c r="N48" i="27" s="1"/>
  <c r="M36" i="27"/>
  <c r="M48" i="27" s="1"/>
  <c r="L36" i="27"/>
  <c r="L48" i="27" s="1"/>
  <c r="L50" i="27" s="1"/>
  <c r="S35" i="27"/>
  <c r="S46" i="27" s="1"/>
  <c r="S52" i="27" s="1"/>
  <c r="S53" i="27" s="1"/>
  <c r="R35" i="27"/>
  <c r="R46" i="27" s="1"/>
  <c r="R52" i="27" s="1"/>
  <c r="R53" i="27" s="1"/>
  <c r="Q35" i="27"/>
  <c r="Q46" i="27" s="1"/>
  <c r="Q52" i="27" s="1"/>
  <c r="Q53" i="27" s="1"/>
  <c r="P35" i="27"/>
  <c r="P46" i="27" s="1"/>
  <c r="P52" i="27" s="1"/>
  <c r="P53" i="27" s="1"/>
  <c r="O35" i="27"/>
  <c r="O46" i="27" s="1"/>
  <c r="O52" i="27" s="1"/>
  <c r="O53" i="27" s="1"/>
  <c r="N35" i="27"/>
  <c r="N46" i="27" s="1"/>
  <c r="N52" i="27" s="1"/>
  <c r="N53" i="27" s="1"/>
  <c r="M35" i="27"/>
  <c r="M46" i="27" s="1"/>
  <c r="M52" i="27" s="1"/>
  <c r="M53" i="27" s="1"/>
  <c r="L35" i="27"/>
  <c r="L46" i="27" s="1"/>
  <c r="L52" i="27" s="1"/>
  <c r="L53" i="27" s="1"/>
  <c r="U27" i="27"/>
  <c r="T27" i="27"/>
  <c r="Q27" i="27"/>
  <c r="M27" i="27"/>
  <c r="L27" i="27"/>
  <c r="W25" i="27"/>
  <c r="W31" i="27" s="1"/>
  <c r="W32" i="27" s="1"/>
  <c r="M25" i="27"/>
  <c r="L25" i="27"/>
  <c r="S23" i="27"/>
  <c r="T17" i="27"/>
  <c r="U17" i="27" s="1"/>
  <c r="V17" i="27" s="1"/>
  <c r="V25" i="27" s="1"/>
  <c r="V31" i="27" s="1"/>
  <c r="V32" i="27" s="1"/>
  <c r="V15" i="27"/>
  <c r="U15" i="27"/>
  <c r="U25" i="27" s="1"/>
  <c r="U31" i="27" s="1"/>
  <c r="U32" i="27" s="1"/>
  <c r="T15" i="27"/>
  <c r="S15" i="27"/>
  <c r="R15" i="27"/>
  <c r="Q15" i="27"/>
  <c r="P15" i="27"/>
  <c r="O15" i="27"/>
  <c r="N15" i="27"/>
  <c r="O14" i="27"/>
  <c r="O25" i="27" s="1"/>
  <c r="O31" i="27" s="1"/>
  <c r="O32" i="27" s="1"/>
  <c r="N14" i="27"/>
  <c r="S12" i="27"/>
  <c r="R12" i="27"/>
  <c r="Q12" i="27"/>
  <c r="P12" i="27"/>
  <c r="N8" i="27"/>
  <c r="N25" i="27" s="1"/>
  <c r="N31" i="27" s="1"/>
  <c r="N32" i="27" s="1"/>
  <c r="W67" i="26"/>
  <c r="V67" i="26"/>
  <c r="U67" i="26"/>
  <c r="T67" i="26"/>
  <c r="S67" i="26"/>
  <c r="R67" i="26"/>
  <c r="Q67" i="26"/>
  <c r="P67" i="26"/>
  <c r="O67" i="26"/>
  <c r="N67" i="26"/>
  <c r="M67" i="26"/>
  <c r="L67" i="26"/>
  <c r="W64" i="26"/>
  <c r="V64" i="26"/>
  <c r="U64" i="26"/>
  <c r="T64" i="26"/>
  <c r="S64" i="26"/>
  <c r="R64" i="26"/>
  <c r="Q64" i="26"/>
  <c r="P64" i="26"/>
  <c r="O64" i="26"/>
  <c r="N64" i="26"/>
  <c r="M64" i="26"/>
  <c r="L64" i="26"/>
  <c r="P57" i="26"/>
  <c r="O57" i="26"/>
  <c r="N57" i="26"/>
  <c r="M57" i="26"/>
  <c r="L57" i="26"/>
  <c r="W56" i="26"/>
  <c r="V56" i="26"/>
  <c r="U56" i="26"/>
  <c r="T56" i="26"/>
  <c r="S56" i="26"/>
  <c r="R56" i="26"/>
  <c r="Q56" i="26"/>
  <c r="P56" i="26"/>
  <c r="O56" i="26"/>
  <c r="N56" i="26"/>
  <c r="M56" i="26"/>
  <c r="L56" i="26"/>
  <c r="L50" i="26"/>
  <c r="M50" i="26" s="1"/>
  <c r="N50" i="26" s="1"/>
  <c r="O50" i="26" s="1"/>
  <c r="P50" i="26" s="1"/>
  <c r="W48" i="26"/>
  <c r="V48" i="26"/>
  <c r="U48" i="26"/>
  <c r="T48" i="26"/>
  <c r="S48" i="26"/>
  <c r="R48" i="26"/>
  <c r="Q48" i="26"/>
  <c r="Q50" i="26" s="1"/>
  <c r="W46" i="26"/>
  <c r="W52" i="26" s="1"/>
  <c r="W53" i="26" s="1"/>
  <c r="V46" i="26"/>
  <c r="V52" i="26" s="1"/>
  <c r="V53" i="26" s="1"/>
  <c r="U46" i="26"/>
  <c r="U52" i="26" s="1"/>
  <c r="U53" i="26" s="1"/>
  <c r="T46" i="26"/>
  <c r="T52" i="26" s="1"/>
  <c r="T53" i="26" s="1"/>
  <c r="S46" i="26"/>
  <c r="S52" i="26" s="1"/>
  <c r="S53" i="26" s="1"/>
  <c r="R46" i="26"/>
  <c r="R52" i="26" s="1"/>
  <c r="R53" i="26" s="1"/>
  <c r="Q46" i="26"/>
  <c r="Q52" i="26" s="1"/>
  <c r="Q53" i="26" s="1"/>
  <c r="P46" i="26"/>
  <c r="P52" i="26" s="1"/>
  <c r="P53" i="26" s="1"/>
  <c r="O36" i="26"/>
  <c r="N36" i="26"/>
  <c r="M36" i="26"/>
  <c r="L36" i="26"/>
  <c r="O35" i="26"/>
  <c r="O46" i="26" s="1"/>
  <c r="O52" i="26" s="1"/>
  <c r="O53" i="26" s="1"/>
  <c r="N35" i="26"/>
  <c r="N46" i="26" s="1"/>
  <c r="N52" i="26" s="1"/>
  <c r="N53" i="26" s="1"/>
  <c r="M35" i="26"/>
  <c r="M46" i="26" s="1"/>
  <c r="M52" i="26" s="1"/>
  <c r="M53" i="26" s="1"/>
  <c r="L35" i="26"/>
  <c r="L46" i="26" s="1"/>
  <c r="L52" i="26" s="1"/>
  <c r="L53" i="26" s="1"/>
  <c r="W11" i="26"/>
  <c r="W10" i="26"/>
  <c r="O9" i="26"/>
  <c r="N9" i="26"/>
  <c r="N27" i="26" s="1"/>
  <c r="M9" i="26"/>
  <c r="M27" i="26" s="1"/>
  <c r="L9" i="26"/>
  <c r="L27" i="26" s="1"/>
  <c r="L29" i="26" s="1"/>
  <c r="L62" i="26" s="1"/>
  <c r="L65" i="24" s="1"/>
  <c r="S8" i="26"/>
  <c r="T8" i="26" s="1"/>
  <c r="U8" i="26" s="1"/>
  <c r="V8" i="26" s="1"/>
  <c r="W8" i="26" s="1"/>
  <c r="R8" i="26"/>
  <c r="Q8" i="26"/>
  <c r="P8" i="26"/>
  <c r="O8" i="26"/>
  <c r="N8" i="26"/>
  <c r="M8" i="26"/>
  <c r="L8" i="26"/>
  <c r="O7" i="26"/>
  <c r="P7" i="26" s="1"/>
  <c r="N7" i="26"/>
  <c r="M7" i="26"/>
  <c r="L7" i="26"/>
  <c r="S6" i="26"/>
  <c r="R6" i="26"/>
  <c r="Q6" i="26"/>
  <c r="P6" i="26"/>
  <c r="O6" i="26"/>
  <c r="O25" i="26" s="1"/>
  <c r="N6" i="26"/>
  <c r="N25" i="26" s="1"/>
  <c r="N31" i="26" s="1"/>
  <c r="N32" i="26" s="1"/>
  <c r="M6" i="26"/>
  <c r="M25" i="26" s="1"/>
  <c r="M31" i="26" s="1"/>
  <c r="M32" i="26" s="1"/>
  <c r="L6" i="26"/>
  <c r="L25" i="26" s="1"/>
  <c r="L31" i="26" s="1"/>
  <c r="L32" i="26" s="1"/>
  <c r="E16" i="25"/>
  <c r="E12" i="25"/>
  <c r="E9" i="25"/>
  <c r="E8" i="25"/>
  <c r="E7" i="25"/>
  <c r="E6" i="25"/>
  <c r="E11" i="25" s="1"/>
  <c r="A81" i="24"/>
  <c r="A80" i="24"/>
  <c r="A79" i="24"/>
  <c r="A78" i="24"/>
  <c r="W58" i="24"/>
  <c r="V58" i="24"/>
  <c r="U58" i="24"/>
  <c r="T58" i="24"/>
  <c r="R58" i="24"/>
  <c r="P58" i="24"/>
  <c r="O58" i="24"/>
  <c r="N58" i="24"/>
  <c r="M58" i="24"/>
  <c r="W55" i="24"/>
  <c r="V55" i="24"/>
  <c r="U55" i="24"/>
  <c r="T55" i="24"/>
  <c r="S55" i="24"/>
  <c r="R55" i="24"/>
  <c r="Q55" i="24"/>
  <c r="P55" i="24"/>
  <c r="O55" i="24"/>
  <c r="N55" i="24"/>
  <c r="M55" i="24"/>
  <c r="L55" i="24"/>
  <c r="W53" i="24"/>
  <c r="W59" i="24" s="1"/>
  <c r="W9" i="25" s="1"/>
  <c r="V53" i="24"/>
  <c r="V59" i="24" s="1"/>
  <c r="V9" i="25" s="1"/>
  <c r="U53" i="24"/>
  <c r="U59" i="24" s="1"/>
  <c r="U9" i="25" s="1"/>
  <c r="T53" i="24"/>
  <c r="T59" i="24" s="1"/>
  <c r="T9" i="25" s="1"/>
  <c r="S53" i="24"/>
  <c r="R53" i="24"/>
  <c r="Q53" i="24"/>
  <c r="P53" i="24"/>
  <c r="O53" i="24"/>
  <c r="N53" i="24"/>
  <c r="M53" i="24"/>
  <c r="L53" i="24"/>
  <c r="S52" i="24"/>
  <c r="S59" i="24" s="1"/>
  <c r="S9" i="25" s="1"/>
  <c r="R52" i="24"/>
  <c r="R59" i="24" s="1"/>
  <c r="R9" i="25" s="1"/>
  <c r="Q52" i="24"/>
  <c r="Q59" i="24" s="1"/>
  <c r="Q9" i="25" s="1"/>
  <c r="P52" i="24"/>
  <c r="P59" i="24" s="1"/>
  <c r="P9" i="25" s="1"/>
  <c r="L52" i="24"/>
  <c r="Q38" i="24"/>
  <c r="W38" i="24" s="1"/>
  <c r="P38" i="24"/>
  <c r="V38" i="24" s="1"/>
  <c r="O38" i="24"/>
  <c r="U38" i="24" s="1"/>
  <c r="N38" i="24"/>
  <c r="T38" i="24" s="1"/>
  <c r="M38" i="24"/>
  <c r="S38" i="24" s="1"/>
  <c r="L38" i="24"/>
  <c r="R38" i="24" s="1"/>
  <c r="O37" i="24"/>
  <c r="N37" i="24"/>
  <c r="M37" i="24"/>
  <c r="L37" i="24"/>
  <c r="T35" i="24"/>
  <c r="S30" i="24"/>
  <c r="R30" i="24"/>
  <c r="Q30" i="24"/>
  <c r="P30" i="24"/>
  <c r="O30" i="24"/>
  <c r="N30" i="24"/>
  <c r="M30" i="24"/>
  <c r="L30" i="24"/>
  <c r="W18" i="24"/>
  <c r="W33" i="24" s="1"/>
  <c r="V18" i="24"/>
  <c r="V33" i="24" s="1"/>
  <c r="U18" i="24"/>
  <c r="U33" i="24" s="1"/>
  <c r="T18" i="24"/>
  <c r="T33" i="24" s="1"/>
  <c r="S18" i="24"/>
  <c r="S33" i="24" s="1"/>
  <c r="R18" i="24"/>
  <c r="R33" i="24" s="1"/>
  <c r="Q18" i="24"/>
  <c r="Q33" i="24" s="1"/>
  <c r="P18" i="24"/>
  <c r="P33" i="24" s="1"/>
  <c r="O18" i="24"/>
  <c r="O33" i="24" s="1"/>
  <c r="N18" i="24"/>
  <c r="N33" i="24" s="1"/>
  <c r="M18" i="24"/>
  <c r="M33" i="24" s="1"/>
  <c r="L18" i="24"/>
  <c r="L33" i="24" s="1"/>
  <c r="L34" i="22"/>
  <c r="K34" i="22"/>
  <c r="J34" i="22"/>
  <c r="I34" i="22"/>
  <c r="H34" i="22"/>
  <c r="G34" i="22"/>
  <c r="F34" i="22"/>
  <c r="E34" i="22"/>
  <c r="D34" i="22"/>
  <c r="L28" i="22"/>
  <c r="K28" i="22"/>
  <c r="J28" i="22"/>
  <c r="I28" i="22"/>
  <c r="H28" i="22"/>
  <c r="G28" i="22"/>
  <c r="F28" i="22"/>
  <c r="E28" i="22"/>
  <c r="D28" i="22"/>
  <c r="AS23" i="22"/>
  <c r="X23" i="22"/>
  <c r="C23" i="22"/>
  <c r="AS21" i="22"/>
  <c r="X21" i="22"/>
  <c r="C21" i="22"/>
  <c r="AS19" i="22"/>
  <c r="X19" i="22"/>
  <c r="C19" i="22"/>
  <c r="AS1" i="22" a="1"/>
  <c r="AS1" i="22" s="1"/>
  <c r="X1" i="22" a="1"/>
  <c r="X1" i="22" s="1"/>
  <c r="C1" i="22" a="1"/>
  <c r="C1" i="22" s="1"/>
  <c r="J54" i="21"/>
  <c r="J58" i="21" s="1"/>
  <c r="I54" i="21"/>
  <c r="I58" i="21" s="1"/>
  <c r="H54" i="21"/>
  <c r="H58" i="21" s="1"/>
  <c r="G54" i="21"/>
  <c r="G58" i="21" s="1"/>
  <c r="F54" i="21"/>
  <c r="F58" i="21" s="1"/>
  <c r="E54" i="21"/>
  <c r="E58" i="21" s="1"/>
  <c r="D54" i="21"/>
  <c r="D58" i="21" s="1"/>
  <c r="C54" i="21"/>
  <c r="C58" i="21" s="1"/>
  <c r="B54" i="21"/>
  <c r="B58" i="21" s="1"/>
  <c r="Q36" i="21"/>
  <c r="C33" i="21"/>
  <c r="D33" i="21" s="1"/>
  <c r="C30" i="21"/>
  <c r="D30" i="21" s="1"/>
  <c r="E30" i="21" s="1"/>
  <c r="F30" i="21" s="1"/>
  <c r="G30" i="21" s="1"/>
  <c r="H30" i="21" s="1"/>
  <c r="I30" i="21" s="1"/>
  <c r="J30" i="21" s="1"/>
  <c r="K30" i="21" s="1"/>
  <c r="L30" i="21" s="1"/>
  <c r="M30" i="21" s="1"/>
  <c r="N30" i="21" s="1"/>
  <c r="P28" i="21"/>
  <c r="N24" i="21"/>
  <c r="N26" i="21" s="1"/>
  <c r="M24" i="21"/>
  <c r="M26" i="21" s="1"/>
  <c r="K24" i="21"/>
  <c r="J24" i="21"/>
  <c r="J26" i="21" s="1"/>
  <c r="I24" i="21"/>
  <c r="I26" i="21" s="1"/>
  <c r="H24" i="21"/>
  <c r="H26" i="21" s="1"/>
  <c r="G24" i="21"/>
  <c r="G26" i="21" s="1"/>
  <c r="F24" i="21"/>
  <c r="F26" i="21" s="1"/>
  <c r="E24" i="21"/>
  <c r="E26" i="21" s="1"/>
  <c r="D24" i="21"/>
  <c r="D26" i="21" s="1"/>
  <c r="C24" i="21"/>
  <c r="C26" i="21" s="1"/>
  <c r="B24" i="21"/>
  <c r="Q18" i="21"/>
  <c r="Q20" i="21" s="1"/>
  <c r="Q28" i="21" s="1"/>
  <c r="N17" i="21"/>
  <c r="M17" i="21"/>
  <c r="L17" i="21"/>
  <c r="J17" i="21"/>
  <c r="I17" i="21"/>
  <c r="H17" i="21"/>
  <c r="G17" i="21"/>
  <c r="F17" i="21"/>
  <c r="E17" i="21"/>
  <c r="D17" i="21"/>
  <c r="C17" i="21"/>
  <c r="B17" i="21"/>
  <c r="K13" i="21"/>
  <c r="K17" i="21" s="1"/>
  <c r="K37" i="1" s="1"/>
  <c r="K42" i="7" s="1"/>
  <c r="G8" i="21"/>
  <c r="G9" i="21" s="1"/>
  <c r="N6" i="21"/>
  <c r="N8" i="21" s="1"/>
  <c r="M6" i="21"/>
  <c r="M8" i="21" s="1"/>
  <c r="L6" i="21"/>
  <c r="L8" i="21" s="1"/>
  <c r="K6" i="21"/>
  <c r="K8" i="21" s="1"/>
  <c r="J6" i="21"/>
  <c r="J8" i="21" s="1"/>
  <c r="I6" i="21"/>
  <c r="I8" i="21" s="1"/>
  <c r="F6" i="21"/>
  <c r="F8" i="21" s="1"/>
  <c r="E6" i="21"/>
  <c r="E8" i="21" s="1"/>
  <c r="D6" i="21"/>
  <c r="D8" i="21" s="1"/>
  <c r="C6" i="21"/>
  <c r="C8" i="21" s="1"/>
  <c r="B6" i="21"/>
  <c r="B8" i="21" s="1"/>
  <c r="F68" i="20"/>
  <c r="G68" i="20" s="1"/>
  <c r="C68" i="20"/>
  <c r="F64" i="20"/>
  <c r="F63" i="20"/>
  <c r="Q62" i="20"/>
  <c r="P62" i="20"/>
  <c r="O62" i="20"/>
  <c r="N62" i="20"/>
  <c r="M62" i="20"/>
  <c r="L62" i="20"/>
  <c r="K62" i="20"/>
  <c r="J62" i="20"/>
  <c r="I62" i="20"/>
  <c r="H62" i="20"/>
  <c r="G62" i="20"/>
  <c r="N60" i="20"/>
  <c r="M60" i="20"/>
  <c r="L60" i="20"/>
  <c r="K60" i="20"/>
  <c r="J60" i="20"/>
  <c r="N52" i="20"/>
  <c r="N53" i="20" s="1"/>
  <c r="M52" i="20"/>
  <c r="M53" i="20" s="1"/>
  <c r="L52" i="20"/>
  <c r="L53" i="20" s="1"/>
  <c r="K52" i="20"/>
  <c r="C52" i="20"/>
  <c r="G44" i="20"/>
  <c r="C42" i="20"/>
  <c r="C54" i="20" s="1"/>
  <c r="C58" i="20" s="1"/>
  <c r="N41" i="20"/>
  <c r="M41" i="20"/>
  <c r="L41" i="20"/>
  <c r="K41" i="20"/>
  <c r="J41" i="20"/>
  <c r="I41" i="20"/>
  <c r="H41" i="20"/>
  <c r="G41" i="20"/>
  <c r="F41" i="20"/>
  <c r="E41" i="20"/>
  <c r="D41" i="20"/>
  <c r="E38" i="20"/>
  <c r="E42" i="20" s="1"/>
  <c r="D38" i="20"/>
  <c r="D42" i="20" s="1"/>
  <c r="I36" i="20"/>
  <c r="J36" i="20" s="1"/>
  <c r="J35" i="20"/>
  <c r="F34" i="20"/>
  <c r="J33" i="20"/>
  <c r="C30" i="20"/>
  <c r="D30" i="20" s="1"/>
  <c r="E30" i="20" s="1"/>
  <c r="F30" i="20" s="1"/>
  <c r="G30" i="20" s="1"/>
  <c r="H30" i="20" s="1"/>
  <c r="I30" i="20" s="1"/>
  <c r="J30" i="20" s="1"/>
  <c r="K30" i="20" s="1"/>
  <c r="L30" i="20" s="1"/>
  <c r="M30" i="20" s="1"/>
  <c r="N30" i="20" s="1"/>
  <c r="N24" i="20"/>
  <c r="M24" i="20"/>
  <c r="L24" i="20"/>
  <c r="K24" i="20"/>
  <c r="J24" i="20"/>
  <c r="I24" i="20"/>
  <c r="H24" i="20"/>
  <c r="G24" i="20"/>
  <c r="F24" i="20"/>
  <c r="E24" i="20"/>
  <c r="D24" i="20"/>
  <c r="C24" i="20"/>
  <c r="N17" i="20"/>
  <c r="N26" i="20" s="1"/>
  <c r="M17" i="20"/>
  <c r="M26" i="20" s="1"/>
  <c r="L17" i="20"/>
  <c r="L26" i="20" s="1"/>
  <c r="K17" i="20"/>
  <c r="K26" i="20" s="1"/>
  <c r="I17" i="20"/>
  <c r="I26" i="20" s="1"/>
  <c r="H17" i="20"/>
  <c r="H26" i="20" s="1"/>
  <c r="G17" i="20"/>
  <c r="G26" i="20" s="1"/>
  <c r="F17" i="20"/>
  <c r="F26" i="20" s="1"/>
  <c r="E17" i="20"/>
  <c r="E26" i="20" s="1"/>
  <c r="D17" i="20"/>
  <c r="D26" i="20" s="1"/>
  <c r="C17" i="20"/>
  <c r="C26" i="20" s="1"/>
  <c r="N6" i="20"/>
  <c r="N8" i="20" s="1"/>
  <c r="M6" i="20"/>
  <c r="M8" i="20" s="1"/>
  <c r="L6" i="20"/>
  <c r="L8" i="20" s="1"/>
  <c r="K6" i="20"/>
  <c r="K8" i="20" s="1"/>
  <c r="J6" i="20"/>
  <c r="J8" i="20" s="1"/>
  <c r="I6" i="20"/>
  <c r="I8" i="20" s="1"/>
  <c r="F6" i="20"/>
  <c r="F8" i="20" s="1"/>
  <c r="E6" i="20"/>
  <c r="E8" i="20" s="1"/>
  <c r="D6" i="20"/>
  <c r="D8" i="20" s="1"/>
  <c r="C6" i="20"/>
  <c r="C8" i="20" s="1"/>
  <c r="C9" i="20" s="1"/>
  <c r="H5" i="20"/>
  <c r="H6" i="20" s="1"/>
  <c r="H8" i="20" s="1"/>
  <c r="G5" i="20"/>
  <c r="G6" i="20" s="1"/>
  <c r="G8" i="20" s="1"/>
  <c r="F103" i="19"/>
  <c r="I99" i="19"/>
  <c r="F98" i="19"/>
  <c r="F100" i="19" s="1"/>
  <c r="J92" i="19"/>
  <c r="I92" i="19"/>
  <c r="H92" i="19"/>
  <c r="G92" i="19"/>
  <c r="F92" i="19"/>
  <c r="E88" i="19"/>
  <c r="E92" i="19" s="1"/>
  <c r="D88" i="19"/>
  <c r="D92" i="19" s="1"/>
  <c r="C88" i="19"/>
  <c r="C92" i="19" s="1"/>
  <c r="B88" i="19"/>
  <c r="B92" i="19" s="1"/>
  <c r="J84" i="19"/>
  <c r="J89" i="19" s="1"/>
  <c r="I84" i="19"/>
  <c r="I89" i="19" s="1"/>
  <c r="H84" i="19"/>
  <c r="H89" i="19" s="1"/>
  <c r="G84" i="19"/>
  <c r="G89" i="19" s="1"/>
  <c r="F84" i="19"/>
  <c r="E84" i="19"/>
  <c r="E89" i="19" s="1"/>
  <c r="D84" i="19"/>
  <c r="D89" i="19" s="1"/>
  <c r="C84" i="19"/>
  <c r="C89" i="19" s="1"/>
  <c r="B84" i="19"/>
  <c r="B89" i="19" s="1"/>
  <c r="N83" i="19"/>
  <c r="M83" i="19"/>
  <c r="L83" i="19"/>
  <c r="K83" i="19"/>
  <c r="J83" i="19"/>
  <c r="I83" i="19"/>
  <c r="H83" i="19"/>
  <c r="G83" i="19"/>
  <c r="F83" i="19"/>
  <c r="E83" i="19"/>
  <c r="D83" i="19"/>
  <c r="C83" i="19"/>
  <c r="B83" i="19"/>
  <c r="N82" i="19"/>
  <c r="M82" i="19"/>
  <c r="L82" i="19"/>
  <c r="K82" i="19"/>
  <c r="J82" i="19"/>
  <c r="I82" i="19"/>
  <c r="H82" i="19"/>
  <c r="G82" i="19"/>
  <c r="F82" i="19"/>
  <c r="E82" i="19"/>
  <c r="D82" i="19"/>
  <c r="C82" i="19"/>
  <c r="B82" i="19"/>
  <c r="C66" i="19"/>
  <c r="B66" i="19"/>
  <c r="G65" i="19"/>
  <c r="H65" i="19" s="1"/>
  <c r="I65" i="19" s="1"/>
  <c r="J65" i="19" s="1"/>
  <c r="K65" i="19" s="1"/>
  <c r="L65" i="19" s="1"/>
  <c r="M65" i="19" s="1"/>
  <c r="N65" i="19" s="1"/>
  <c r="D64" i="19"/>
  <c r="N55" i="19"/>
  <c r="N56" i="19" s="1"/>
  <c r="N17" i="19" s="1"/>
  <c r="M55" i="19"/>
  <c r="M56" i="19" s="1"/>
  <c r="L55" i="19"/>
  <c r="L56" i="19" s="1"/>
  <c r="K55" i="19"/>
  <c r="K56" i="19" s="1"/>
  <c r="K17" i="19" s="1"/>
  <c r="J55" i="19"/>
  <c r="I55" i="19"/>
  <c r="H55" i="19"/>
  <c r="G55" i="19"/>
  <c r="F55" i="19"/>
  <c r="E55" i="19"/>
  <c r="D55" i="19"/>
  <c r="C55" i="19"/>
  <c r="N50" i="19"/>
  <c r="M50" i="19"/>
  <c r="L50" i="19"/>
  <c r="K50" i="19"/>
  <c r="J50" i="19"/>
  <c r="J75" i="19" s="1"/>
  <c r="I50" i="19"/>
  <c r="I75" i="19" s="1"/>
  <c r="H50" i="19"/>
  <c r="H75" i="19" s="1"/>
  <c r="G50" i="19"/>
  <c r="G75" i="19" s="1"/>
  <c r="F50" i="19"/>
  <c r="F75" i="19" s="1"/>
  <c r="E50" i="19"/>
  <c r="D50" i="19"/>
  <c r="C50" i="19"/>
  <c r="B50" i="19"/>
  <c r="N42" i="19"/>
  <c r="M42" i="19"/>
  <c r="L42" i="19"/>
  <c r="K42" i="19"/>
  <c r="K41" i="19"/>
  <c r="L41" i="19" s="1"/>
  <c r="M41" i="19" s="1"/>
  <c r="C41" i="19"/>
  <c r="N36" i="19"/>
  <c r="K36" i="19"/>
  <c r="N35" i="19"/>
  <c r="M35" i="19"/>
  <c r="C33" i="19"/>
  <c r="D33" i="19" s="1"/>
  <c r="E33" i="19" s="1"/>
  <c r="F33" i="19" s="1"/>
  <c r="G33" i="19" s="1"/>
  <c r="H33" i="19" s="1"/>
  <c r="I33" i="19" s="1"/>
  <c r="J33" i="19" s="1"/>
  <c r="K33" i="19" s="1"/>
  <c r="L33" i="19" s="1"/>
  <c r="M33" i="19" s="1"/>
  <c r="N33" i="19" s="1"/>
  <c r="N27" i="19"/>
  <c r="M27" i="19"/>
  <c r="L27" i="19"/>
  <c r="J27" i="19"/>
  <c r="I27" i="19"/>
  <c r="H27" i="19"/>
  <c r="G27" i="19"/>
  <c r="F27" i="19"/>
  <c r="E27" i="19"/>
  <c r="D27" i="19"/>
  <c r="C27" i="19"/>
  <c r="B27" i="19"/>
  <c r="B20" i="19"/>
  <c r="B29" i="19" s="1"/>
  <c r="K16" i="19"/>
  <c r="L15" i="19"/>
  <c r="L20" i="19" s="1"/>
  <c r="K15" i="19"/>
  <c r="K20" i="19" s="1"/>
  <c r="J15" i="19"/>
  <c r="J20" i="19" s="1"/>
  <c r="I15" i="19"/>
  <c r="I20" i="19" s="1"/>
  <c r="H15" i="19"/>
  <c r="H20" i="19" s="1"/>
  <c r="G15" i="19"/>
  <c r="G20" i="19" s="1"/>
  <c r="F15" i="19"/>
  <c r="F20" i="19" s="1"/>
  <c r="E15" i="19"/>
  <c r="E20" i="19" s="1"/>
  <c r="D15" i="19"/>
  <c r="D20" i="19" s="1"/>
  <c r="C15" i="19"/>
  <c r="C20" i="19" s="1"/>
  <c r="B15" i="19"/>
  <c r="J8" i="19"/>
  <c r="J10" i="19" s="1"/>
  <c r="I8" i="19"/>
  <c r="I10" i="19" s="1"/>
  <c r="H8" i="19"/>
  <c r="H10" i="19" s="1"/>
  <c r="G8" i="19"/>
  <c r="G10" i="19" s="1"/>
  <c r="F8" i="19"/>
  <c r="F10" i="19" s="1"/>
  <c r="E8" i="19"/>
  <c r="E10" i="19" s="1"/>
  <c r="D8" i="19"/>
  <c r="D10" i="19" s="1"/>
  <c r="C8" i="19"/>
  <c r="C10" i="19" s="1"/>
  <c r="C11" i="19" s="1"/>
  <c r="D11" i="19" s="1"/>
  <c r="E11" i="19" s="1"/>
  <c r="F11" i="19" s="1"/>
  <c r="G11" i="19" s="1"/>
  <c r="H11" i="19" s="1"/>
  <c r="I11" i="19" s="1"/>
  <c r="J11" i="19" s="1"/>
  <c r="B8" i="19"/>
  <c r="B10" i="19" s="1"/>
  <c r="N6" i="19"/>
  <c r="N8" i="19" s="1"/>
  <c r="M6" i="19"/>
  <c r="M8" i="19" s="1"/>
  <c r="L6" i="19"/>
  <c r="L8" i="19" s="1"/>
  <c r="L10" i="19" s="1"/>
  <c r="K6" i="19"/>
  <c r="K8" i="19" s="1"/>
  <c r="F126" i="18"/>
  <c r="G126" i="18" s="1"/>
  <c r="H126" i="18" s="1"/>
  <c r="I126" i="18" s="1"/>
  <c r="J126" i="18" s="1"/>
  <c r="K126" i="18" s="1"/>
  <c r="L126" i="18" s="1"/>
  <c r="M126" i="18" s="1"/>
  <c r="N126" i="18" s="1"/>
  <c r="O126" i="18" s="1"/>
  <c r="P126" i="18" s="1"/>
  <c r="Q126" i="18" s="1"/>
  <c r="F125" i="18"/>
  <c r="G125" i="18" s="1"/>
  <c r="H125" i="18" s="1"/>
  <c r="I125" i="18" s="1"/>
  <c r="J125" i="18" s="1"/>
  <c r="K125" i="18" s="1"/>
  <c r="L125" i="18" s="1"/>
  <c r="M125" i="18" s="1"/>
  <c r="N125" i="18" s="1"/>
  <c r="O125" i="18" s="1"/>
  <c r="P125" i="18" s="1"/>
  <c r="Q125" i="18" s="1"/>
  <c r="F124" i="18"/>
  <c r="G124" i="18" s="1"/>
  <c r="F123" i="18"/>
  <c r="B123" i="18"/>
  <c r="Q122" i="18"/>
  <c r="P122" i="18"/>
  <c r="O122" i="18"/>
  <c r="N122" i="18"/>
  <c r="M122" i="18"/>
  <c r="L122" i="18"/>
  <c r="K122" i="18"/>
  <c r="J122" i="18"/>
  <c r="I122" i="18"/>
  <c r="H122" i="18"/>
  <c r="G122" i="18"/>
  <c r="F122" i="18"/>
  <c r="F118" i="18"/>
  <c r="G118" i="18" s="1"/>
  <c r="H118" i="18" s="1"/>
  <c r="I118" i="18" s="1"/>
  <c r="J118" i="18" s="1"/>
  <c r="K118" i="18" s="1"/>
  <c r="L118" i="18" s="1"/>
  <c r="M118" i="18" s="1"/>
  <c r="N118" i="18" s="1"/>
  <c r="O118" i="18" s="1"/>
  <c r="P118" i="18" s="1"/>
  <c r="Q118" i="18" s="1"/>
  <c r="Q117" i="18"/>
  <c r="P117" i="18"/>
  <c r="O117" i="18"/>
  <c r="N117" i="18"/>
  <c r="M117" i="18"/>
  <c r="L117" i="18"/>
  <c r="K117" i="18"/>
  <c r="J117" i="18"/>
  <c r="I117" i="18"/>
  <c r="H117" i="18"/>
  <c r="G117" i="18"/>
  <c r="F117" i="18"/>
  <c r="F112" i="18"/>
  <c r="G112" i="18" s="1"/>
  <c r="Q111" i="18"/>
  <c r="Q114" i="18" s="1"/>
  <c r="P111" i="18"/>
  <c r="P114" i="18" s="1"/>
  <c r="O111" i="18"/>
  <c r="O114" i="18" s="1"/>
  <c r="N111" i="18"/>
  <c r="N114" i="18" s="1"/>
  <c r="M111" i="18"/>
  <c r="M114" i="18" s="1"/>
  <c r="L111" i="18"/>
  <c r="L114" i="18" s="1"/>
  <c r="K111" i="18"/>
  <c r="K114" i="18" s="1"/>
  <c r="J111" i="18"/>
  <c r="J114" i="18" s="1"/>
  <c r="I111" i="18"/>
  <c r="I114" i="18" s="1"/>
  <c r="H111" i="18"/>
  <c r="H114" i="18" s="1"/>
  <c r="G111" i="18"/>
  <c r="G114" i="18" s="1"/>
  <c r="F111" i="18"/>
  <c r="F114" i="18" s="1"/>
  <c r="D101" i="18"/>
  <c r="D104" i="18" s="1"/>
  <c r="D105" i="18" s="1"/>
  <c r="E100" i="18"/>
  <c r="F100" i="18" s="1"/>
  <c r="G100" i="18" s="1"/>
  <c r="H100" i="18" s="1"/>
  <c r="I100" i="18" s="1"/>
  <c r="J100" i="18" s="1"/>
  <c r="K100" i="18" s="1"/>
  <c r="L100" i="18" s="1"/>
  <c r="M100" i="18" s="1"/>
  <c r="N100" i="18" s="1"/>
  <c r="C100" i="18"/>
  <c r="E99" i="18"/>
  <c r="F99" i="18" s="1"/>
  <c r="G99" i="18" s="1"/>
  <c r="H99" i="18" s="1"/>
  <c r="I99" i="18" s="1"/>
  <c r="J99" i="18" s="1"/>
  <c r="K99" i="18" s="1"/>
  <c r="L99" i="18" s="1"/>
  <c r="M99" i="18" s="1"/>
  <c r="N99" i="18" s="1"/>
  <c r="C99" i="18"/>
  <c r="E98" i="18"/>
  <c r="F98" i="18" s="1"/>
  <c r="G98" i="18" s="1"/>
  <c r="H98" i="18" s="1"/>
  <c r="I98" i="18" s="1"/>
  <c r="J98" i="18" s="1"/>
  <c r="K98" i="18" s="1"/>
  <c r="L98" i="18" s="1"/>
  <c r="M98" i="18" s="1"/>
  <c r="N98" i="18" s="1"/>
  <c r="C98" i="18"/>
  <c r="E97" i="18"/>
  <c r="F97" i="18" s="1"/>
  <c r="G97" i="18" s="1"/>
  <c r="H97" i="18" s="1"/>
  <c r="I97" i="18" s="1"/>
  <c r="J97" i="18" s="1"/>
  <c r="K97" i="18" s="1"/>
  <c r="L97" i="18" s="1"/>
  <c r="M97" i="18" s="1"/>
  <c r="N97" i="18" s="1"/>
  <c r="N90" i="18" s="1"/>
  <c r="O90" i="18" s="1"/>
  <c r="C97" i="18"/>
  <c r="P96" i="18"/>
  <c r="E96" i="18"/>
  <c r="F96" i="18" s="1"/>
  <c r="C96" i="18"/>
  <c r="E95" i="18"/>
  <c r="M79" i="18"/>
  <c r="L79" i="18"/>
  <c r="J64" i="18"/>
  <c r="G64" i="18"/>
  <c r="D18" i="1" s="1"/>
  <c r="D12" i="4" s="1"/>
  <c r="J63" i="18"/>
  <c r="K63" i="18" s="1"/>
  <c r="L63" i="18" s="1"/>
  <c r="F62" i="18"/>
  <c r="K56" i="18"/>
  <c r="P55" i="18"/>
  <c r="L52" i="18"/>
  <c r="K52" i="18"/>
  <c r="J52" i="18"/>
  <c r="I52" i="18"/>
  <c r="H52" i="18"/>
  <c r="G52" i="18"/>
  <c r="F52" i="18"/>
  <c r="M51" i="18"/>
  <c r="I49" i="18"/>
  <c r="I54" i="18" s="1"/>
  <c r="J46" i="18"/>
  <c r="K46" i="18" s="1"/>
  <c r="L46" i="18" s="1"/>
  <c r="M46" i="18" s="1"/>
  <c r="N46" i="18" s="1"/>
  <c r="O46" i="18" s="1"/>
  <c r="P46" i="18" s="1"/>
  <c r="Q46" i="18" s="1"/>
  <c r="H46" i="18"/>
  <c r="H49" i="18" s="1"/>
  <c r="H54" i="18" s="1"/>
  <c r="G46" i="18"/>
  <c r="G49" i="18" s="1"/>
  <c r="G54" i="18" s="1"/>
  <c r="F46" i="18"/>
  <c r="F49" i="18" s="1"/>
  <c r="F54" i="18" s="1"/>
  <c r="J45" i="18"/>
  <c r="N44" i="18"/>
  <c r="K44" i="18"/>
  <c r="N40" i="18"/>
  <c r="N41" i="18" s="1"/>
  <c r="I39" i="18"/>
  <c r="H39" i="18"/>
  <c r="G39" i="18"/>
  <c r="F39" i="18"/>
  <c r="F34" i="18"/>
  <c r="G34" i="18" s="1"/>
  <c r="H34" i="18" s="1"/>
  <c r="I34" i="18" s="1"/>
  <c r="J34" i="18" s="1"/>
  <c r="K34" i="18" s="1"/>
  <c r="L34" i="18" s="1"/>
  <c r="M34" i="18" s="1"/>
  <c r="N34" i="18" s="1"/>
  <c r="O34" i="18" s="1"/>
  <c r="P34" i="18" s="1"/>
  <c r="Q34" i="18" s="1"/>
  <c r="Q28" i="18"/>
  <c r="N11" i="1" s="1"/>
  <c r="N39" i="7" s="1"/>
  <c r="P28" i="18"/>
  <c r="M11" i="1" s="1"/>
  <c r="M39" i="7" s="1"/>
  <c r="N28" i="18"/>
  <c r="K11" i="1" s="1"/>
  <c r="K39" i="7" s="1"/>
  <c r="M28" i="18"/>
  <c r="J11" i="1" s="1"/>
  <c r="J39" i="7" s="1"/>
  <c r="L28" i="18"/>
  <c r="I11" i="1" s="1"/>
  <c r="I39" i="7" s="1"/>
  <c r="K28" i="18"/>
  <c r="H11" i="1" s="1"/>
  <c r="H39" i="7" s="1"/>
  <c r="J28" i="18"/>
  <c r="G11" i="1" s="1"/>
  <c r="G39" i="7" s="1"/>
  <c r="I28" i="18"/>
  <c r="F11" i="1" s="1"/>
  <c r="F39" i="7" s="1"/>
  <c r="H28" i="18"/>
  <c r="E11" i="1" s="1"/>
  <c r="E39" i="7" s="1"/>
  <c r="G28" i="18"/>
  <c r="D11" i="1" s="1"/>
  <c r="D39" i="7" s="1"/>
  <c r="F28" i="18"/>
  <c r="C11" i="1" s="1"/>
  <c r="C39" i="7" s="1"/>
  <c r="Q19" i="18"/>
  <c r="P19" i="18"/>
  <c r="O19" i="18"/>
  <c r="N8" i="18"/>
  <c r="M6" i="18"/>
  <c r="L6" i="18"/>
  <c r="K6" i="18"/>
  <c r="J6" i="18"/>
  <c r="Q4" i="18"/>
  <c r="P4" i="18"/>
  <c r="O4" i="18"/>
  <c r="M4" i="18"/>
  <c r="L4" i="18"/>
  <c r="K4" i="18"/>
  <c r="J4" i="18"/>
  <c r="I4" i="18"/>
  <c r="H4" i="18"/>
  <c r="G4" i="18"/>
  <c r="F4" i="18"/>
  <c r="Q3" i="18"/>
  <c r="P3" i="18"/>
  <c r="O3" i="18"/>
  <c r="N3" i="18"/>
  <c r="M76" i="17"/>
  <c r="L76" i="17"/>
  <c r="K76" i="17"/>
  <c r="J76" i="17"/>
  <c r="J78" i="17" s="1"/>
  <c r="J37" i="17" s="1"/>
  <c r="I76" i="17"/>
  <c r="I78" i="17" s="1"/>
  <c r="I37" i="17" s="1"/>
  <c r="H76" i="17"/>
  <c r="H78" i="17" s="1"/>
  <c r="H37" i="17" s="1"/>
  <c r="G76" i="17"/>
  <c r="G78" i="17" s="1"/>
  <c r="G37" i="17" s="1"/>
  <c r="F76" i="17"/>
  <c r="F78" i="17" s="1"/>
  <c r="F37" i="17" s="1"/>
  <c r="E76" i="17"/>
  <c r="E78" i="17" s="1"/>
  <c r="E37" i="17" s="1"/>
  <c r="D76" i="17"/>
  <c r="D78" i="17" s="1"/>
  <c r="D37" i="17" s="1"/>
  <c r="C76" i="17"/>
  <c r="C78" i="17" s="1"/>
  <c r="C37" i="17" s="1"/>
  <c r="J73" i="17"/>
  <c r="I73" i="17"/>
  <c r="H73" i="17"/>
  <c r="G73" i="17"/>
  <c r="F73" i="17"/>
  <c r="E73" i="17"/>
  <c r="D73" i="17"/>
  <c r="C73" i="17"/>
  <c r="K69" i="17"/>
  <c r="N66" i="17"/>
  <c r="M66" i="17"/>
  <c r="L66" i="17"/>
  <c r="K66" i="17"/>
  <c r="J66" i="17"/>
  <c r="I66" i="17"/>
  <c r="H66" i="17"/>
  <c r="G66" i="17"/>
  <c r="F66" i="17"/>
  <c r="E66" i="17"/>
  <c r="D66" i="17"/>
  <c r="C66" i="17"/>
  <c r="N65" i="17"/>
  <c r="M65" i="17"/>
  <c r="L65" i="17"/>
  <c r="K65" i="17"/>
  <c r="J65" i="17"/>
  <c r="I65" i="17"/>
  <c r="H65" i="17"/>
  <c r="G65" i="17"/>
  <c r="F65" i="17"/>
  <c r="E65" i="17"/>
  <c r="D65" i="17"/>
  <c r="C65" i="17"/>
  <c r="M51" i="17"/>
  <c r="L51" i="17"/>
  <c r="K51" i="17"/>
  <c r="J51" i="17"/>
  <c r="I51" i="17"/>
  <c r="H51" i="17"/>
  <c r="G51" i="17"/>
  <c r="F51" i="17"/>
  <c r="E51" i="17"/>
  <c r="D51" i="17"/>
  <c r="C51" i="17"/>
  <c r="N44" i="17"/>
  <c r="M44" i="17"/>
  <c r="L44" i="17"/>
  <c r="K44" i="17"/>
  <c r="J44" i="17"/>
  <c r="I44" i="17"/>
  <c r="H44" i="17"/>
  <c r="G44" i="17"/>
  <c r="F44" i="17"/>
  <c r="E44" i="17"/>
  <c r="D44" i="17"/>
  <c r="C44" i="17"/>
  <c r="N37" i="17"/>
  <c r="M33" i="17"/>
  <c r="L33" i="17"/>
  <c r="C30" i="17"/>
  <c r="D30" i="17" s="1"/>
  <c r="E30" i="17" s="1"/>
  <c r="F30" i="17" s="1"/>
  <c r="G30" i="17" s="1"/>
  <c r="H30" i="17" s="1"/>
  <c r="I30" i="17" s="1"/>
  <c r="J30" i="17" s="1"/>
  <c r="K30" i="17" s="1"/>
  <c r="L30" i="17" s="1"/>
  <c r="M30" i="17" s="1"/>
  <c r="N30" i="17" s="1"/>
  <c r="N24" i="17"/>
  <c r="N32" i="1" s="1"/>
  <c r="N43" i="7" s="1"/>
  <c r="M24" i="17"/>
  <c r="M32" i="1" s="1"/>
  <c r="M43" i="7" s="1"/>
  <c r="L24" i="17"/>
  <c r="L32" i="1" s="1"/>
  <c r="L43" i="7" s="1"/>
  <c r="K24" i="17"/>
  <c r="K32" i="1" s="1"/>
  <c r="K43" i="7" s="1"/>
  <c r="J24" i="17"/>
  <c r="J32" i="1" s="1"/>
  <c r="J43" i="7" s="1"/>
  <c r="I24" i="17"/>
  <c r="I32" i="1" s="1"/>
  <c r="I43" i="7" s="1"/>
  <c r="G24" i="17"/>
  <c r="G32" i="1" s="1"/>
  <c r="G43" i="7" s="1"/>
  <c r="F24" i="17"/>
  <c r="F32" i="1" s="1"/>
  <c r="F43" i="7" s="1"/>
  <c r="E24" i="17"/>
  <c r="E32" i="1" s="1"/>
  <c r="E43" i="7" s="1"/>
  <c r="D24" i="17"/>
  <c r="D32" i="1" s="1"/>
  <c r="D43" i="7" s="1"/>
  <c r="C24" i="17"/>
  <c r="C32" i="1" s="1"/>
  <c r="C43" i="7" s="1"/>
  <c r="H22" i="17"/>
  <c r="H24" i="17" s="1"/>
  <c r="H32" i="1" s="1"/>
  <c r="H43" i="7" s="1"/>
  <c r="H20" i="17"/>
  <c r="N18" i="17"/>
  <c r="M18" i="17"/>
  <c r="L18" i="17"/>
  <c r="K18" i="17"/>
  <c r="J18" i="17"/>
  <c r="I18" i="17"/>
  <c r="H18" i="17"/>
  <c r="G18" i="17"/>
  <c r="E18" i="17"/>
  <c r="D18" i="17"/>
  <c r="C18" i="17"/>
  <c r="F15" i="17"/>
  <c r="F18" i="17" s="1"/>
  <c r="N8" i="17"/>
  <c r="N10" i="17" s="1"/>
  <c r="M8" i="17"/>
  <c r="M10" i="17" s="1"/>
  <c r="L8" i="17"/>
  <c r="L10" i="17" s="1"/>
  <c r="K8" i="17"/>
  <c r="K10" i="17" s="1"/>
  <c r="J8" i="17"/>
  <c r="J10" i="17" s="1"/>
  <c r="I8" i="17"/>
  <c r="I10" i="17" s="1"/>
  <c r="H8" i="17"/>
  <c r="H10" i="17" s="1"/>
  <c r="G8" i="17"/>
  <c r="G10" i="17" s="1"/>
  <c r="F8" i="17"/>
  <c r="F10" i="17" s="1"/>
  <c r="E8" i="17"/>
  <c r="E10" i="17" s="1"/>
  <c r="D8" i="17"/>
  <c r="D10" i="17" s="1"/>
  <c r="C8" i="17"/>
  <c r="C10" i="17" s="1"/>
  <c r="C11" i="17" s="1"/>
  <c r="D11" i="17" s="1"/>
  <c r="E11" i="17" s="1"/>
  <c r="F11" i="17" s="1"/>
  <c r="G11" i="17" s="1"/>
  <c r="H11" i="17" s="1"/>
  <c r="I11" i="17" s="1"/>
  <c r="J11" i="17" s="1"/>
  <c r="K11" i="17" s="1"/>
  <c r="L11" i="17" s="1"/>
  <c r="M11" i="17" s="1"/>
  <c r="N11" i="17" s="1"/>
  <c r="C94" i="16"/>
  <c r="C93" i="16"/>
  <c r="C92" i="16"/>
  <c r="C91" i="16"/>
  <c r="D87" i="16"/>
  <c r="B84" i="16"/>
  <c r="H83" i="16"/>
  <c r="H82" i="16"/>
  <c r="C82" i="16"/>
  <c r="H81" i="16"/>
  <c r="D81" i="16"/>
  <c r="M80" i="16"/>
  <c r="L80" i="16"/>
  <c r="K80" i="16"/>
  <c r="J80" i="16"/>
  <c r="H80" i="16"/>
  <c r="C80" i="16"/>
  <c r="D80" i="16" s="1"/>
  <c r="B75" i="16"/>
  <c r="C72" i="16"/>
  <c r="D72" i="16" s="1"/>
  <c r="D70" i="16"/>
  <c r="C69" i="16"/>
  <c r="C71" i="16" s="1"/>
  <c r="H68" i="16"/>
  <c r="D68" i="16"/>
  <c r="D74" i="16" s="1"/>
  <c r="M55" i="16"/>
  <c r="M56" i="16" s="1"/>
  <c r="M16" i="16" s="1"/>
  <c r="L55" i="16"/>
  <c r="K55" i="16"/>
  <c r="J55" i="16"/>
  <c r="F53" i="16"/>
  <c r="E53" i="16"/>
  <c r="D53" i="16"/>
  <c r="C53" i="16"/>
  <c r="G52" i="16"/>
  <c r="G51" i="16"/>
  <c r="N49" i="16"/>
  <c r="N55" i="16" s="1"/>
  <c r="D48" i="16"/>
  <c r="J44" i="16"/>
  <c r="K44" i="16" s="1"/>
  <c r="L44" i="16" s="1"/>
  <c r="M44" i="16" s="1"/>
  <c r="N44" i="16" s="1"/>
  <c r="I44" i="16"/>
  <c r="K43" i="16"/>
  <c r="L43" i="16" s="1"/>
  <c r="M43" i="16" s="1"/>
  <c r="N43" i="16" s="1"/>
  <c r="G43" i="16"/>
  <c r="C43" i="16"/>
  <c r="C45" i="16" s="1"/>
  <c r="F42" i="16"/>
  <c r="F43" i="16" s="1"/>
  <c r="E42" i="16"/>
  <c r="E43" i="16" s="1"/>
  <c r="D42" i="16"/>
  <c r="D43" i="16" s="1"/>
  <c r="F39" i="16"/>
  <c r="G38" i="16"/>
  <c r="H38" i="16" s="1"/>
  <c r="I38" i="16" s="1"/>
  <c r="J38" i="16" s="1"/>
  <c r="K38" i="16" s="1"/>
  <c r="L38" i="16" s="1"/>
  <c r="M38" i="16" s="1"/>
  <c r="N38" i="16" s="1"/>
  <c r="G37" i="16"/>
  <c r="E37" i="16"/>
  <c r="E45" i="16" s="1"/>
  <c r="D37" i="16"/>
  <c r="D45" i="16" s="1"/>
  <c r="C32" i="16"/>
  <c r="N25" i="16"/>
  <c r="N6" i="1" s="1"/>
  <c r="N38" i="7" s="1"/>
  <c r="M25" i="16"/>
  <c r="M6" i="1" s="1"/>
  <c r="M38" i="7" s="1"/>
  <c r="L25" i="16"/>
  <c r="L6" i="1" s="1"/>
  <c r="L38" i="7" s="1"/>
  <c r="K25" i="16"/>
  <c r="K6" i="1" s="1"/>
  <c r="K38" i="7" s="1"/>
  <c r="H25" i="16"/>
  <c r="H6" i="1" s="1"/>
  <c r="H38" i="7" s="1"/>
  <c r="G25" i="16"/>
  <c r="G6" i="1" s="1"/>
  <c r="G38" i="7" s="1"/>
  <c r="F25" i="16"/>
  <c r="F6" i="1" s="1"/>
  <c r="F38" i="7" s="1"/>
  <c r="D25" i="16"/>
  <c r="D6" i="1" s="1"/>
  <c r="D38" i="7" s="1"/>
  <c r="C25" i="16"/>
  <c r="C6" i="1" s="1"/>
  <c r="C38" i="7" s="1"/>
  <c r="E20" i="16"/>
  <c r="E25" i="16" s="1"/>
  <c r="E6" i="1" s="1"/>
  <c r="E38" i="7" s="1"/>
  <c r="N16" i="16"/>
  <c r="L16" i="16"/>
  <c r="K16" i="16"/>
  <c r="J16" i="16"/>
  <c r="I16" i="16"/>
  <c r="H16" i="16"/>
  <c r="G16" i="16"/>
  <c r="F16" i="16"/>
  <c r="C16" i="16"/>
  <c r="J12" i="16"/>
  <c r="J17" i="16" s="1"/>
  <c r="I12" i="16"/>
  <c r="I17" i="16" s="1"/>
  <c r="H12" i="16"/>
  <c r="H17" i="16" s="1"/>
  <c r="G12" i="16"/>
  <c r="G17" i="16" s="1"/>
  <c r="F12" i="16"/>
  <c r="F17" i="16" s="1"/>
  <c r="E12" i="16"/>
  <c r="E17" i="16" s="1"/>
  <c r="D12" i="16"/>
  <c r="D17" i="16" s="1"/>
  <c r="C12" i="16"/>
  <c r="C17" i="16" s="1"/>
  <c r="N5" i="16"/>
  <c r="M5" i="16"/>
  <c r="M8" i="16" s="1"/>
  <c r="L5" i="16"/>
  <c r="L8" i="16" s="1"/>
  <c r="K5" i="16"/>
  <c r="K8" i="16" s="1"/>
  <c r="J5" i="16"/>
  <c r="I5" i="16"/>
  <c r="H5" i="16"/>
  <c r="G5" i="16"/>
  <c r="F5" i="16"/>
  <c r="E5" i="16"/>
  <c r="D5" i="16"/>
  <c r="C5" i="16"/>
  <c r="N4" i="16"/>
  <c r="N8" i="16" s="1"/>
  <c r="J4" i="16"/>
  <c r="J8" i="16" s="1"/>
  <c r="J10" i="16" s="1"/>
  <c r="I4" i="16"/>
  <c r="I8" i="16" s="1"/>
  <c r="I10" i="16" s="1"/>
  <c r="H4" i="16"/>
  <c r="H8" i="16" s="1"/>
  <c r="H10" i="16" s="1"/>
  <c r="G4" i="16"/>
  <c r="G8" i="16" s="1"/>
  <c r="G10" i="16" s="1"/>
  <c r="F4" i="16"/>
  <c r="F8" i="16" s="1"/>
  <c r="F10" i="16" s="1"/>
  <c r="E4" i="16"/>
  <c r="E8" i="16" s="1"/>
  <c r="E10" i="16" s="1"/>
  <c r="D4" i="16"/>
  <c r="D8" i="16" s="1"/>
  <c r="D10" i="16" s="1"/>
  <c r="C4" i="16"/>
  <c r="C8" i="16" s="1"/>
  <c r="C10" i="16" s="1"/>
  <c r="C28" i="16" s="1"/>
  <c r="N3" i="16"/>
  <c r="O37" i="16" s="1"/>
  <c r="O38" i="16" s="1"/>
  <c r="J37" i="16" s="1"/>
  <c r="M7" i="15"/>
  <c r="N7" i="15" s="1"/>
  <c r="K6" i="15"/>
  <c r="L6" i="15" s="1"/>
  <c r="M6" i="15" s="1"/>
  <c r="N6" i="15" s="1"/>
  <c r="O6" i="15" s="1"/>
  <c r="N5" i="15"/>
  <c r="O5" i="15" s="1"/>
  <c r="H5" i="15"/>
  <c r="I5" i="15" s="1"/>
  <c r="J5" i="15" s="1"/>
  <c r="K5" i="15" s="1"/>
  <c r="L5" i="15" s="1"/>
  <c r="D4" i="15"/>
  <c r="O2" i="15"/>
  <c r="N2" i="15"/>
  <c r="M2" i="15"/>
  <c r="L2" i="15"/>
  <c r="K2" i="15"/>
  <c r="J2" i="15"/>
  <c r="I2" i="15"/>
  <c r="H2" i="15"/>
  <c r="G2" i="15"/>
  <c r="F2" i="15"/>
  <c r="E2" i="15"/>
  <c r="D2" i="15"/>
  <c r="O1" i="15"/>
  <c r="N1" i="15"/>
  <c r="M1" i="15"/>
  <c r="L1" i="15"/>
  <c r="K1" i="15"/>
  <c r="J1" i="15"/>
  <c r="I1" i="15"/>
  <c r="H1" i="15"/>
  <c r="G1" i="15"/>
  <c r="F1" i="15"/>
  <c r="E1" i="15"/>
  <c r="D1" i="15"/>
  <c r="B51" i="14"/>
  <c r="C51" i="14" s="1"/>
  <c r="D51" i="14" s="1"/>
  <c r="E51" i="14" s="1"/>
  <c r="F51" i="14" s="1"/>
  <c r="G51" i="14" s="1"/>
  <c r="H51" i="14" s="1"/>
  <c r="I51" i="14" s="1"/>
  <c r="J51" i="14" s="1"/>
  <c r="K51" i="14" s="1"/>
  <c r="L51" i="14" s="1"/>
  <c r="M51" i="14" s="1"/>
  <c r="N51" i="14" s="1"/>
  <c r="C40" i="14"/>
  <c r="D40" i="14" s="1"/>
  <c r="A40" i="14"/>
  <c r="C39" i="14"/>
  <c r="A39" i="14"/>
  <c r="C37" i="14"/>
  <c r="D37" i="14" s="1"/>
  <c r="E37" i="14" s="1"/>
  <c r="K35" i="14"/>
  <c r="J35" i="14"/>
  <c r="I35" i="14"/>
  <c r="H35" i="14"/>
  <c r="G35" i="14"/>
  <c r="F35" i="14"/>
  <c r="E35" i="14"/>
  <c r="D35" i="14"/>
  <c r="C35" i="14"/>
  <c r="L34" i="14"/>
  <c r="N32" i="14"/>
  <c r="M32" i="14"/>
  <c r="K32" i="14"/>
  <c r="J32" i="14"/>
  <c r="I32" i="14"/>
  <c r="H32" i="14"/>
  <c r="G32" i="14"/>
  <c r="F32" i="14"/>
  <c r="E32" i="14"/>
  <c r="D32" i="14"/>
  <c r="C32" i="14"/>
  <c r="L31" i="14"/>
  <c r="A22" i="14"/>
  <c r="A21" i="14"/>
  <c r="A20" i="14"/>
  <c r="A19" i="14"/>
  <c r="N16" i="14"/>
  <c r="M16" i="14"/>
  <c r="L16" i="14"/>
  <c r="K16" i="14"/>
  <c r="J16" i="14"/>
  <c r="I16" i="14"/>
  <c r="H16" i="14"/>
  <c r="G16" i="14"/>
  <c r="F16" i="14"/>
  <c r="D16" i="14"/>
  <c r="C16" i="14"/>
  <c r="E11" i="14"/>
  <c r="E16" i="14" s="1"/>
  <c r="N8" i="14"/>
  <c r="M8" i="14"/>
  <c r="L8" i="14"/>
  <c r="K8" i="14"/>
  <c r="J8" i="14"/>
  <c r="I8" i="14"/>
  <c r="H8" i="14"/>
  <c r="G8" i="14"/>
  <c r="F8" i="14"/>
  <c r="E8" i="14"/>
  <c r="D8" i="14"/>
  <c r="C8" i="14"/>
  <c r="N3" i="14"/>
  <c r="M3" i="14"/>
  <c r="L3" i="14"/>
  <c r="K3" i="14"/>
  <c r="J3" i="14"/>
  <c r="I3" i="14"/>
  <c r="H3" i="14"/>
  <c r="G3" i="14"/>
  <c r="F3" i="14"/>
  <c r="E3" i="14"/>
  <c r="D3" i="14"/>
  <c r="C3" i="14"/>
  <c r="N2" i="14"/>
  <c r="M2" i="14"/>
  <c r="L2" i="14"/>
  <c r="K2" i="14"/>
  <c r="J2" i="14"/>
  <c r="I2" i="14"/>
  <c r="H2" i="14"/>
  <c r="G2" i="14"/>
  <c r="F2" i="14"/>
  <c r="E2" i="14"/>
  <c r="D2" i="14"/>
  <c r="C2" i="14"/>
  <c r="AE33" i="13"/>
  <c r="N73" i="1" s="1"/>
  <c r="N60" i="7" s="1"/>
  <c r="AC33" i="13"/>
  <c r="M73" i="1" s="1"/>
  <c r="M60" i="7" s="1"/>
  <c r="AA33" i="13"/>
  <c r="L73" i="1" s="1"/>
  <c r="L60" i="7" s="1"/>
  <c r="U33" i="13"/>
  <c r="I73" i="1" s="1"/>
  <c r="I60" i="7" s="1"/>
  <c r="M33" i="13"/>
  <c r="E73" i="1" s="1"/>
  <c r="E60" i="7" s="1"/>
  <c r="K33" i="13"/>
  <c r="D73" i="1" s="1"/>
  <c r="D60" i="7" s="1"/>
  <c r="I33" i="13"/>
  <c r="C73" i="1" s="1"/>
  <c r="C60" i="7" s="1"/>
  <c r="N28" i="13"/>
  <c r="C7" i="13"/>
  <c r="AD4" i="13"/>
  <c r="AE4" i="13" s="1"/>
  <c r="AB4" i="13"/>
  <c r="AC4" i="13" s="1"/>
  <c r="Z4" i="13"/>
  <c r="AA4" i="13" s="1"/>
  <c r="X4" i="13"/>
  <c r="Y4" i="13" s="1"/>
  <c r="V4" i="13"/>
  <c r="W4" i="13" s="1"/>
  <c r="T4" i="13"/>
  <c r="U4" i="13" s="1"/>
  <c r="R4" i="13"/>
  <c r="S4" i="13" s="1"/>
  <c r="P4" i="13"/>
  <c r="Q4" i="13" s="1"/>
  <c r="N4" i="13"/>
  <c r="O4" i="13" s="1"/>
  <c r="L4" i="13"/>
  <c r="M4" i="13" s="1"/>
  <c r="J4" i="13"/>
  <c r="K4" i="13" s="1"/>
  <c r="H4" i="13"/>
  <c r="I4" i="13" s="1"/>
  <c r="AD3" i="13"/>
  <c r="AB3" i="13"/>
  <c r="Z3" i="13"/>
  <c r="X3" i="13"/>
  <c r="V3" i="13"/>
  <c r="T3" i="13"/>
  <c r="R3" i="13"/>
  <c r="P3" i="13"/>
  <c r="N3" i="13"/>
  <c r="L3" i="13"/>
  <c r="J3" i="13"/>
  <c r="H3" i="13"/>
  <c r="AD43" i="12"/>
  <c r="AB43" i="12"/>
  <c r="M68" i="1" s="1"/>
  <c r="M59" i="7" s="1"/>
  <c r="T43" i="12"/>
  <c r="H68" i="1" s="1"/>
  <c r="H59" i="7" s="1"/>
  <c r="N43" i="12"/>
  <c r="E68" i="1" s="1"/>
  <c r="E59" i="7" s="1"/>
  <c r="L43" i="12"/>
  <c r="D68" i="1" s="1"/>
  <c r="D59" i="7" s="1"/>
  <c r="C33" i="12"/>
  <c r="R16" i="12"/>
  <c r="R15" i="12"/>
  <c r="AE3" i="12"/>
  <c r="AF3" i="12" s="1"/>
  <c r="AC3" i="12"/>
  <c r="AD3" i="12" s="1"/>
  <c r="AA3" i="12"/>
  <c r="AB3" i="12" s="1"/>
  <c r="Y3" i="12"/>
  <c r="Z3" i="12" s="1"/>
  <c r="W3" i="12"/>
  <c r="X3" i="12" s="1"/>
  <c r="U3" i="12"/>
  <c r="V3" i="12" s="1"/>
  <c r="S3" i="12"/>
  <c r="T3" i="12" s="1"/>
  <c r="Q3" i="12"/>
  <c r="R3" i="12" s="1"/>
  <c r="O3" i="12"/>
  <c r="P3" i="12" s="1"/>
  <c r="M3" i="12"/>
  <c r="N3" i="12" s="1"/>
  <c r="K3" i="12"/>
  <c r="L3" i="12" s="1"/>
  <c r="I3" i="12"/>
  <c r="J3" i="12" s="1"/>
  <c r="AE2" i="12"/>
  <c r="AD2" i="12"/>
  <c r="AC2" i="12"/>
  <c r="AA2" i="12"/>
  <c r="Y2" i="12"/>
  <c r="W2" i="12"/>
  <c r="U2" i="12"/>
  <c r="S2" i="12"/>
  <c r="Q2" i="12"/>
  <c r="O2" i="12"/>
  <c r="M2" i="12"/>
  <c r="K2" i="12"/>
  <c r="I2" i="12"/>
  <c r="C140" i="11"/>
  <c r="H57" i="11"/>
  <c r="C49" i="11"/>
  <c r="C48" i="11"/>
  <c r="Y43" i="11"/>
  <c r="I43" i="11"/>
  <c r="J43" i="11" s="1"/>
  <c r="K43" i="11" s="1"/>
  <c r="L43" i="11" s="1"/>
  <c r="M43" i="11" s="1"/>
  <c r="N43" i="11" s="1"/>
  <c r="O43" i="11" s="1"/>
  <c r="P43" i="11" s="1"/>
  <c r="Q43" i="11" s="1"/>
  <c r="R43" i="11" s="1"/>
  <c r="S43" i="11" s="1"/>
  <c r="T43" i="11" s="1"/>
  <c r="U43" i="11" s="1"/>
  <c r="V43" i="11" s="1"/>
  <c r="W43" i="11" s="1"/>
  <c r="X43" i="11" s="1"/>
  <c r="G43" i="11"/>
  <c r="Y42" i="11"/>
  <c r="J42" i="11"/>
  <c r="K42" i="11" s="1"/>
  <c r="L42" i="11" s="1"/>
  <c r="M42" i="11" s="1"/>
  <c r="N42" i="11" s="1"/>
  <c r="O42" i="11" s="1"/>
  <c r="P42" i="11" s="1"/>
  <c r="Q42" i="11" s="1"/>
  <c r="R42" i="11" s="1"/>
  <c r="S42" i="11" s="1"/>
  <c r="T42" i="11" s="1"/>
  <c r="U42" i="11" s="1"/>
  <c r="V42" i="11" s="1"/>
  <c r="W42" i="11" s="1"/>
  <c r="X42" i="11" s="1"/>
  <c r="I42" i="11"/>
  <c r="G42" i="11"/>
  <c r="Y41" i="11"/>
  <c r="I41" i="11"/>
  <c r="J41" i="11" s="1"/>
  <c r="K41" i="11" s="1"/>
  <c r="L41" i="11" s="1"/>
  <c r="M41" i="11" s="1"/>
  <c r="N41" i="11" s="1"/>
  <c r="O41" i="11" s="1"/>
  <c r="P41" i="11" s="1"/>
  <c r="Q41" i="11" s="1"/>
  <c r="R41" i="11" s="1"/>
  <c r="S41" i="11" s="1"/>
  <c r="T41" i="11" s="1"/>
  <c r="U41" i="11" s="1"/>
  <c r="V41" i="11" s="1"/>
  <c r="W41" i="11" s="1"/>
  <c r="X41" i="11" s="1"/>
  <c r="G41" i="11"/>
  <c r="Y40" i="11"/>
  <c r="T40" i="11"/>
  <c r="U40" i="11" s="1"/>
  <c r="V40" i="11" s="1"/>
  <c r="W40" i="11" s="1"/>
  <c r="X40" i="11" s="1"/>
  <c r="I40" i="11"/>
  <c r="J40" i="11" s="1"/>
  <c r="K40" i="11" s="1"/>
  <c r="L40" i="11" s="1"/>
  <c r="M40" i="11" s="1"/>
  <c r="N40" i="11" s="1"/>
  <c r="O40" i="11" s="1"/>
  <c r="P40" i="11" s="1"/>
  <c r="Q40" i="11" s="1"/>
  <c r="R40" i="11" s="1"/>
  <c r="S40" i="11" s="1"/>
  <c r="G40" i="11"/>
  <c r="Y39" i="11"/>
  <c r="A95" i="11" s="1"/>
  <c r="R39" i="11"/>
  <c r="S39" i="11" s="1"/>
  <c r="T39" i="11" s="1"/>
  <c r="U39" i="11" s="1"/>
  <c r="V39" i="11" s="1"/>
  <c r="W39" i="11" s="1"/>
  <c r="X39" i="11" s="1"/>
  <c r="J39" i="11"/>
  <c r="K39" i="11" s="1"/>
  <c r="L39" i="11" s="1"/>
  <c r="M39" i="11" s="1"/>
  <c r="N39" i="11" s="1"/>
  <c r="O39" i="11" s="1"/>
  <c r="P39" i="11" s="1"/>
  <c r="Q39" i="11" s="1"/>
  <c r="I39" i="11"/>
  <c r="G39" i="11"/>
  <c r="Y38" i="11"/>
  <c r="A94" i="11" s="1"/>
  <c r="I38" i="11"/>
  <c r="J38" i="11" s="1"/>
  <c r="K38" i="11" s="1"/>
  <c r="L38" i="11" s="1"/>
  <c r="M38" i="11" s="1"/>
  <c r="N38" i="11" s="1"/>
  <c r="O38" i="11" s="1"/>
  <c r="P38" i="11" s="1"/>
  <c r="Q38" i="11" s="1"/>
  <c r="R38" i="11" s="1"/>
  <c r="S38" i="11" s="1"/>
  <c r="T38" i="11" s="1"/>
  <c r="U38" i="11" s="1"/>
  <c r="V38" i="11" s="1"/>
  <c r="W38" i="11" s="1"/>
  <c r="X38" i="11" s="1"/>
  <c r="G38" i="11"/>
  <c r="Y37" i="11"/>
  <c r="A93" i="11" s="1"/>
  <c r="C37" i="11"/>
  <c r="Y36" i="11"/>
  <c r="A92" i="11" s="1"/>
  <c r="Q36" i="11"/>
  <c r="R36" i="11" s="1"/>
  <c r="S36" i="11" s="1"/>
  <c r="T36" i="11" s="1"/>
  <c r="U36" i="11" s="1"/>
  <c r="V36" i="11" s="1"/>
  <c r="W36" i="11" s="1"/>
  <c r="X36" i="11" s="1"/>
  <c r="I36" i="11"/>
  <c r="J36" i="11" s="1"/>
  <c r="K36" i="11" s="1"/>
  <c r="L36" i="11" s="1"/>
  <c r="M36" i="11" s="1"/>
  <c r="N36" i="11" s="1"/>
  <c r="O36" i="11" s="1"/>
  <c r="P36" i="11" s="1"/>
  <c r="G36" i="11"/>
  <c r="Y35" i="11"/>
  <c r="A91" i="11" s="1"/>
  <c r="P35" i="11"/>
  <c r="Q35" i="11" s="1"/>
  <c r="R35" i="11" s="1"/>
  <c r="S35" i="11" s="1"/>
  <c r="T35" i="11" s="1"/>
  <c r="U35" i="11" s="1"/>
  <c r="V35" i="11" s="1"/>
  <c r="W35" i="11" s="1"/>
  <c r="X35" i="11" s="1"/>
  <c r="J35" i="11"/>
  <c r="K35" i="11" s="1"/>
  <c r="L35" i="11" s="1"/>
  <c r="M35" i="11" s="1"/>
  <c r="N35" i="11" s="1"/>
  <c r="O35" i="11" s="1"/>
  <c r="I35" i="11"/>
  <c r="G35" i="11"/>
  <c r="Y34" i="11"/>
  <c r="A90" i="11" s="1"/>
  <c r="M34" i="11"/>
  <c r="N34" i="11" s="1"/>
  <c r="O34" i="11" s="1"/>
  <c r="P34" i="11" s="1"/>
  <c r="Q34" i="11" s="1"/>
  <c r="R34" i="11" s="1"/>
  <c r="S34" i="11" s="1"/>
  <c r="T34" i="11" s="1"/>
  <c r="U34" i="11" s="1"/>
  <c r="V34" i="11" s="1"/>
  <c r="W34" i="11" s="1"/>
  <c r="X34" i="11" s="1"/>
  <c r="J34" i="11"/>
  <c r="K34" i="11" s="1"/>
  <c r="L34" i="11" s="1"/>
  <c r="I34" i="11"/>
  <c r="G34" i="11"/>
  <c r="Y33" i="11"/>
  <c r="A89" i="11" s="1"/>
  <c r="N33" i="11"/>
  <c r="O33" i="11" s="1"/>
  <c r="P33" i="11" s="1"/>
  <c r="Q33" i="11" s="1"/>
  <c r="R33" i="11" s="1"/>
  <c r="S33" i="11" s="1"/>
  <c r="T33" i="11" s="1"/>
  <c r="U33" i="11" s="1"/>
  <c r="V33" i="11" s="1"/>
  <c r="W33" i="11" s="1"/>
  <c r="X33" i="11" s="1"/>
  <c r="L33" i="11"/>
  <c r="J33" i="11"/>
  <c r="K33" i="11" s="1"/>
  <c r="I33" i="11"/>
  <c r="Y32" i="11"/>
  <c r="A88" i="11" s="1"/>
  <c r="N32" i="11"/>
  <c r="O32" i="11" s="1"/>
  <c r="P32" i="11" s="1"/>
  <c r="Q32" i="11" s="1"/>
  <c r="R32" i="11" s="1"/>
  <c r="S32" i="11" s="1"/>
  <c r="T32" i="11" s="1"/>
  <c r="U32" i="11" s="1"/>
  <c r="V32" i="11" s="1"/>
  <c r="W32" i="11" s="1"/>
  <c r="X32" i="11" s="1"/>
  <c r="L32" i="11"/>
  <c r="J32" i="11"/>
  <c r="K32" i="11" s="1"/>
  <c r="I32" i="11"/>
  <c r="Y31" i="11"/>
  <c r="A87" i="11" s="1"/>
  <c r="L31" i="11"/>
  <c r="M31" i="11" s="1"/>
  <c r="N31" i="11" s="1"/>
  <c r="O31" i="11" s="1"/>
  <c r="P31" i="11" s="1"/>
  <c r="Q31" i="11" s="1"/>
  <c r="R31" i="11" s="1"/>
  <c r="S31" i="11" s="1"/>
  <c r="T31" i="11" s="1"/>
  <c r="U31" i="11" s="1"/>
  <c r="V31" i="11" s="1"/>
  <c r="W31" i="11" s="1"/>
  <c r="X31" i="11" s="1"/>
  <c r="I31" i="11"/>
  <c r="J31" i="11" s="1"/>
  <c r="K31" i="11" s="1"/>
  <c r="Y30" i="11"/>
  <c r="A86" i="11" s="1"/>
  <c r="L30" i="11"/>
  <c r="M30" i="11" s="1"/>
  <c r="N30" i="11" s="1"/>
  <c r="O30" i="11" s="1"/>
  <c r="P30" i="11" s="1"/>
  <c r="Q30" i="11" s="1"/>
  <c r="R30" i="11" s="1"/>
  <c r="S30" i="11" s="1"/>
  <c r="T30" i="11" s="1"/>
  <c r="U30" i="11" s="1"/>
  <c r="V30" i="11" s="1"/>
  <c r="W30" i="11" s="1"/>
  <c r="X30" i="11" s="1"/>
  <c r="I30" i="11"/>
  <c r="J30" i="11" s="1"/>
  <c r="K30" i="11" s="1"/>
  <c r="G30" i="11"/>
  <c r="Y29" i="11"/>
  <c r="A85" i="11" s="1"/>
  <c r="L29" i="11"/>
  <c r="M29" i="11" s="1"/>
  <c r="N29" i="11" s="1"/>
  <c r="O29" i="11" s="1"/>
  <c r="P29" i="11" s="1"/>
  <c r="Q29" i="11" s="1"/>
  <c r="R29" i="11" s="1"/>
  <c r="S29" i="11" s="1"/>
  <c r="T29" i="11" s="1"/>
  <c r="U29" i="11" s="1"/>
  <c r="V29" i="11" s="1"/>
  <c r="W29" i="11" s="1"/>
  <c r="X29" i="11" s="1"/>
  <c r="I29" i="11"/>
  <c r="J29" i="11" s="1"/>
  <c r="K29" i="11" s="1"/>
  <c r="G29" i="11"/>
  <c r="Y28" i="11"/>
  <c r="A84" i="11" s="1"/>
  <c r="L28" i="11"/>
  <c r="M28" i="11" s="1"/>
  <c r="N28" i="11" s="1"/>
  <c r="O28" i="11" s="1"/>
  <c r="P28" i="11" s="1"/>
  <c r="Q28" i="11" s="1"/>
  <c r="R28" i="11" s="1"/>
  <c r="S28" i="11" s="1"/>
  <c r="T28" i="11" s="1"/>
  <c r="U28" i="11" s="1"/>
  <c r="V28" i="11" s="1"/>
  <c r="W28" i="11" s="1"/>
  <c r="X28" i="11" s="1"/>
  <c r="I28" i="11"/>
  <c r="J28" i="11" s="1"/>
  <c r="K28" i="11" s="1"/>
  <c r="G28" i="11"/>
  <c r="Y27" i="11"/>
  <c r="A83" i="11" s="1"/>
  <c r="K27" i="11"/>
  <c r="L27" i="11" s="1"/>
  <c r="M27" i="11" s="1"/>
  <c r="N27" i="11" s="1"/>
  <c r="O27" i="11" s="1"/>
  <c r="P27" i="11" s="1"/>
  <c r="Q27" i="11" s="1"/>
  <c r="R27" i="11" s="1"/>
  <c r="S27" i="11" s="1"/>
  <c r="T27" i="11" s="1"/>
  <c r="U27" i="11" s="1"/>
  <c r="V27" i="11" s="1"/>
  <c r="W27" i="11" s="1"/>
  <c r="X27" i="11" s="1"/>
  <c r="I27" i="11"/>
  <c r="J27" i="11" s="1"/>
  <c r="G27" i="11"/>
  <c r="Y26" i="11"/>
  <c r="A82" i="11" s="1"/>
  <c r="J26" i="11"/>
  <c r="K26" i="11" s="1"/>
  <c r="L26" i="11" s="1"/>
  <c r="M26" i="11" s="1"/>
  <c r="N26" i="11" s="1"/>
  <c r="O26" i="11" s="1"/>
  <c r="P26" i="11" s="1"/>
  <c r="Q26" i="11" s="1"/>
  <c r="R26" i="11" s="1"/>
  <c r="S26" i="11" s="1"/>
  <c r="T26" i="11" s="1"/>
  <c r="U26" i="11" s="1"/>
  <c r="V26" i="11" s="1"/>
  <c r="W26" i="11" s="1"/>
  <c r="X26" i="11" s="1"/>
  <c r="I26" i="11"/>
  <c r="G26" i="11"/>
  <c r="Y25" i="11"/>
  <c r="A81" i="11" s="1"/>
  <c r="J25" i="11"/>
  <c r="K25" i="11" s="1"/>
  <c r="L25" i="11" s="1"/>
  <c r="M25" i="11" s="1"/>
  <c r="N25" i="11" s="1"/>
  <c r="O25" i="11" s="1"/>
  <c r="P25" i="11" s="1"/>
  <c r="Q25" i="11" s="1"/>
  <c r="R25" i="11" s="1"/>
  <c r="S25" i="11" s="1"/>
  <c r="T25" i="11" s="1"/>
  <c r="U25" i="11" s="1"/>
  <c r="V25" i="11" s="1"/>
  <c r="W25" i="11" s="1"/>
  <c r="X25" i="11" s="1"/>
  <c r="I25" i="11"/>
  <c r="G25" i="11"/>
  <c r="Y24" i="11"/>
  <c r="A80" i="11" s="1"/>
  <c r="J24" i="11"/>
  <c r="K24" i="11" s="1"/>
  <c r="L24" i="11" s="1"/>
  <c r="M24" i="11" s="1"/>
  <c r="N24" i="11" s="1"/>
  <c r="O24" i="11" s="1"/>
  <c r="P24" i="11" s="1"/>
  <c r="Q24" i="11" s="1"/>
  <c r="R24" i="11" s="1"/>
  <c r="S24" i="11" s="1"/>
  <c r="T24" i="11" s="1"/>
  <c r="U24" i="11" s="1"/>
  <c r="V24" i="11" s="1"/>
  <c r="W24" i="11" s="1"/>
  <c r="X24" i="11" s="1"/>
  <c r="I24" i="11"/>
  <c r="G24" i="11"/>
  <c r="Y23" i="11"/>
  <c r="A79" i="11" s="1"/>
  <c r="J23" i="11"/>
  <c r="K23" i="11" s="1"/>
  <c r="L23" i="11" s="1"/>
  <c r="M23" i="11" s="1"/>
  <c r="N23" i="11" s="1"/>
  <c r="O23" i="11" s="1"/>
  <c r="P23" i="11" s="1"/>
  <c r="Q23" i="11" s="1"/>
  <c r="R23" i="11" s="1"/>
  <c r="S23" i="11" s="1"/>
  <c r="T23" i="11" s="1"/>
  <c r="U23" i="11" s="1"/>
  <c r="V23" i="11" s="1"/>
  <c r="W23" i="11" s="1"/>
  <c r="X23" i="11" s="1"/>
  <c r="I23" i="11"/>
  <c r="G23" i="11"/>
  <c r="Y22" i="11"/>
  <c r="A78" i="11" s="1"/>
  <c r="J22" i="11"/>
  <c r="K22" i="11" s="1"/>
  <c r="L22" i="11" s="1"/>
  <c r="M22" i="11" s="1"/>
  <c r="N22" i="11" s="1"/>
  <c r="O22" i="11" s="1"/>
  <c r="P22" i="11" s="1"/>
  <c r="Q22" i="11" s="1"/>
  <c r="R22" i="11" s="1"/>
  <c r="S22" i="11" s="1"/>
  <c r="T22" i="11" s="1"/>
  <c r="U22" i="11" s="1"/>
  <c r="V22" i="11" s="1"/>
  <c r="W22" i="11" s="1"/>
  <c r="X22" i="11" s="1"/>
  <c r="I22" i="11"/>
  <c r="G22" i="11"/>
  <c r="Y21" i="11"/>
  <c r="A77" i="11" s="1"/>
  <c r="J21" i="11"/>
  <c r="K21" i="11" s="1"/>
  <c r="L21" i="11" s="1"/>
  <c r="M21" i="11" s="1"/>
  <c r="N21" i="11" s="1"/>
  <c r="O21" i="11" s="1"/>
  <c r="P21" i="11" s="1"/>
  <c r="Q21" i="11" s="1"/>
  <c r="R21" i="11" s="1"/>
  <c r="S21" i="11" s="1"/>
  <c r="T21" i="11" s="1"/>
  <c r="U21" i="11" s="1"/>
  <c r="V21" i="11" s="1"/>
  <c r="W21" i="11" s="1"/>
  <c r="X21" i="11" s="1"/>
  <c r="I21" i="11"/>
  <c r="G21" i="11"/>
  <c r="Y20" i="11"/>
  <c r="A76" i="11" s="1"/>
  <c r="J20" i="11"/>
  <c r="K20" i="11" s="1"/>
  <c r="L20" i="11" s="1"/>
  <c r="M20" i="11" s="1"/>
  <c r="N20" i="11" s="1"/>
  <c r="O20" i="11" s="1"/>
  <c r="P20" i="11" s="1"/>
  <c r="Q20" i="11" s="1"/>
  <c r="R20" i="11" s="1"/>
  <c r="S20" i="11" s="1"/>
  <c r="T20" i="11" s="1"/>
  <c r="U20" i="11" s="1"/>
  <c r="V20" i="11" s="1"/>
  <c r="W20" i="11" s="1"/>
  <c r="X20" i="11" s="1"/>
  <c r="I20" i="11"/>
  <c r="G20" i="11"/>
  <c r="Y19" i="11"/>
  <c r="A75" i="11" s="1"/>
  <c r="J19" i="11"/>
  <c r="K19" i="11" s="1"/>
  <c r="L19" i="11" s="1"/>
  <c r="M19" i="11" s="1"/>
  <c r="N19" i="11" s="1"/>
  <c r="O19" i="11" s="1"/>
  <c r="P19" i="11" s="1"/>
  <c r="Q19" i="11" s="1"/>
  <c r="R19" i="11" s="1"/>
  <c r="S19" i="11" s="1"/>
  <c r="T19" i="11" s="1"/>
  <c r="U19" i="11" s="1"/>
  <c r="V19" i="11" s="1"/>
  <c r="W19" i="11" s="1"/>
  <c r="X19" i="11" s="1"/>
  <c r="I19" i="11"/>
  <c r="G19" i="11"/>
  <c r="Y18" i="11"/>
  <c r="A74" i="11" s="1"/>
  <c r="K18" i="11"/>
  <c r="L18" i="11" s="1"/>
  <c r="M18" i="11" s="1"/>
  <c r="N18" i="11" s="1"/>
  <c r="O18" i="11" s="1"/>
  <c r="P18" i="11" s="1"/>
  <c r="Q18" i="11" s="1"/>
  <c r="R18" i="11" s="1"/>
  <c r="S18" i="11" s="1"/>
  <c r="T18" i="11" s="1"/>
  <c r="U18" i="11" s="1"/>
  <c r="V18" i="11" s="1"/>
  <c r="W18" i="11" s="1"/>
  <c r="X18" i="11" s="1"/>
  <c r="I18" i="11"/>
  <c r="J18" i="11" s="1"/>
  <c r="G18" i="11"/>
  <c r="Y17" i="11"/>
  <c r="A73" i="11" s="1"/>
  <c r="K17" i="11"/>
  <c r="L17" i="11" s="1"/>
  <c r="M17" i="11" s="1"/>
  <c r="N17" i="11" s="1"/>
  <c r="O17" i="11" s="1"/>
  <c r="P17" i="11" s="1"/>
  <c r="Q17" i="11" s="1"/>
  <c r="R17" i="11" s="1"/>
  <c r="S17" i="11" s="1"/>
  <c r="T17" i="11" s="1"/>
  <c r="U17" i="11" s="1"/>
  <c r="V17" i="11" s="1"/>
  <c r="W17" i="11" s="1"/>
  <c r="X17" i="11" s="1"/>
  <c r="I17" i="11"/>
  <c r="J17" i="11" s="1"/>
  <c r="G17" i="11"/>
  <c r="Y16" i="11"/>
  <c r="A72" i="11" s="1"/>
  <c r="K16" i="11"/>
  <c r="L16" i="11" s="1"/>
  <c r="M16" i="11" s="1"/>
  <c r="N16" i="11" s="1"/>
  <c r="O16" i="11" s="1"/>
  <c r="P16" i="11" s="1"/>
  <c r="Q16" i="11" s="1"/>
  <c r="R16" i="11" s="1"/>
  <c r="S16" i="11" s="1"/>
  <c r="T16" i="11" s="1"/>
  <c r="U16" i="11" s="1"/>
  <c r="V16" i="11" s="1"/>
  <c r="W16" i="11" s="1"/>
  <c r="X16" i="11" s="1"/>
  <c r="I16" i="11"/>
  <c r="J16" i="11" s="1"/>
  <c r="G16" i="11"/>
  <c r="Y15" i="11"/>
  <c r="A71" i="11" s="1"/>
  <c r="J15" i="11"/>
  <c r="K15" i="11" s="1"/>
  <c r="L15" i="11" s="1"/>
  <c r="M15" i="11" s="1"/>
  <c r="N15" i="11" s="1"/>
  <c r="O15" i="11" s="1"/>
  <c r="P15" i="11" s="1"/>
  <c r="Q15" i="11" s="1"/>
  <c r="R15" i="11" s="1"/>
  <c r="S15" i="11" s="1"/>
  <c r="T15" i="11" s="1"/>
  <c r="U15" i="11" s="1"/>
  <c r="V15" i="11" s="1"/>
  <c r="W15" i="11" s="1"/>
  <c r="X15" i="11" s="1"/>
  <c r="I15" i="11"/>
  <c r="G15" i="11"/>
  <c r="Y14" i="11"/>
  <c r="A70" i="11" s="1"/>
  <c r="J14" i="11"/>
  <c r="K14" i="11" s="1"/>
  <c r="L14" i="11" s="1"/>
  <c r="M14" i="11" s="1"/>
  <c r="N14" i="11" s="1"/>
  <c r="O14" i="11" s="1"/>
  <c r="P14" i="11" s="1"/>
  <c r="Q14" i="11" s="1"/>
  <c r="R14" i="11" s="1"/>
  <c r="S14" i="11" s="1"/>
  <c r="T14" i="11" s="1"/>
  <c r="U14" i="11" s="1"/>
  <c r="V14" i="11" s="1"/>
  <c r="W14" i="11" s="1"/>
  <c r="X14" i="11" s="1"/>
  <c r="I14" i="11"/>
  <c r="G14" i="11"/>
  <c r="Y13" i="11"/>
  <c r="A69" i="11" s="1"/>
  <c r="K13" i="11"/>
  <c r="L13" i="11" s="1"/>
  <c r="M13" i="11" s="1"/>
  <c r="N13" i="11" s="1"/>
  <c r="O13" i="11" s="1"/>
  <c r="P13" i="11" s="1"/>
  <c r="Q13" i="11" s="1"/>
  <c r="R13" i="11" s="1"/>
  <c r="S13" i="11" s="1"/>
  <c r="T13" i="11" s="1"/>
  <c r="U13" i="11" s="1"/>
  <c r="V13" i="11" s="1"/>
  <c r="W13" i="11" s="1"/>
  <c r="X13" i="11" s="1"/>
  <c r="I13" i="11"/>
  <c r="J13" i="11" s="1"/>
  <c r="G13" i="11"/>
  <c r="Y12" i="11"/>
  <c r="A68" i="11" s="1"/>
  <c r="J12" i="11"/>
  <c r="K12" i="11" s="1"/>
  <c r="L12" i="11" s="1"/>
  <c r="M12" i="11" s="1"/>
  <c r="N12" i="11" s="1"/>
  <c r="O12" i="11" s="1"/>
  <c r="P12" i="11" s="1"/>
  <c r="Q12" i="11" s="1"/>
  <c r="R12" i="11" s="1"/>
  <c r="S12" i="11" s="1"/>
  <c r="T12" i="11" s="1"/>
  <c r="U12" i="11" s="1"/>
  <c r="V12" i="11" s="1"/>
  <c r="W12" i="11" s="1"/>
  <c r="X12" i="11" s="1"/>
  <c r="I12" i="11"/>
  <c r="G12" i="11"/>
  <c r="Y11" i="11"/>
  <c r="A67" i="11" s="1"/>
  <c r="J11" i="11"/>
  <c r="K11" i="11" s="1"/>
  <c r="L11" i="11" s="1"/>
  <c r="M11" i="11" s="1"/>
  <c r="N11" i="11" s="1"/>
  <c r="O11" i="11" s="1"/>
  <c r="P11" i="11" s="1"/>
  <c r="Q11" i="11" s="1"/>
  <c r="R11" i="11" s="1"/>
  <c r="S11" i="11" s="1"/>
  <c r="T11" i="11" s="1"/>
  <c r="U11" i="11" s="1"/>
  <c r="V11" i="11" s="1"/>
  <c r="W11" i="11" s="1"/>
  <c r="X11" i="11" s="1"/>
  <c r="I11" i="11"/>
  <c r="G11" i="11"/>
  <c r="Y10" i="11"/>
  <c r="A66" i="11" s="1"/>
  <c r="J10" i="11"/>
  <c r="K10" i="11" s="1"/>
  <c r="L10" i="11" s="1"/>
  <c r="M10" i="11" s="1"/>
  <c r="N10" i="11" s="1"/>
  <c r="O10" i="11" s="1"/>
  <c r="P10" i="11" s="1"/>
  <c r="Q10" i="11" s="1"/>
  <c r="R10" i="11" s="1"/>
  <c r="S10" i="11" s="1"/>
  <c r="T10" i="11" s="1"/>
  <c r="U10" i="11" s="1"/>
  <c r="V10" i="11" s="1"/>
  <c r="W10" i="11" s="1"/>
  <c r="X10" i="11" s="1"/>
  <c r="I10" i="11"/>
  <c r="G10" i="11"/>
  <c r="Y9" i="11"/>
  <c r="A65" i="11" s="1"/>
  <c r="J9" i="11"/>
  <c r="K9" i="11" s="1"/>
  <c r="L9" i="11" s="1"/>
  <c r="M9" i="11" s="1"/>
  <c r="N9" i="11" s="1"/>
  <c r="O9" i="11" s="1"/>
  <c r="P9" i="11" s="1"/>
  <c r="Q9" i="11" s="1"/>
  <c r="R9" i="11" s="1"/>
  <c r="S9" i="11" s="1"/>
  <c r="T9" i="11" s="1"/>
  <c r="U9" i="11" s="1"/>
  <c r="V9" i="11" s="1"/>
  <c r="W9" i="11" s="1"/>
  <c r="X9" i="11" s="1"/>
  <c r="I9" i="11"/>
  <c r="G9" i="11"/>
  <c r="Y8" i="11"/>
  <c r="A64" i="11" s="1"/>
  <c r="J8" i="11"/>
  <c r="K8" i="11" s="1"/>
  <c r="L8" i="11" s="1"/>
  <c r="M8" i="11" s="1"/>
  <c r="N8" i="11" s="1"/>
  <c r="O8" i="11" s="1"/>
  <c r="P8" i="11" s="1"/>
  <c r="Q8" i="11" s="1"/>
  <c r="R8" i="11" s="1"/>
  <c r="S8" i="11" s="1"/>
  <c r="T8" i="11" s="1"/>
  <c r="U8" i="11" s="1"/>
  <c r="V8" i="11" s="1"/>
  <c r="W8" i="11" s="1"/>
  <c r="X8" i="11" s="1"/>
  <c r="I8" i="11"/>
  <c r="G8" i="11"/>
  <c r="Y7" i="11"/>
  <c r="A63" i="11" s="1"/>
  <c r="I7" i="11"/>
  <c r="J7" i="11" s="1"/>
  <c r="K7" i="11" s="1"/>
  <c r="L7" i="11" s="1"/>
  <c r="M7" i="11" s="1"/>
  <c r="N7" i="11" s="1"/>
  <c r="O7" i="11" s="1"/>
  <c r="P7" i="11" s="1"/>
  <c r="Q7" i="11" s="1"/>
  <c r="R7" i="11" s="1"/>
  <c r="S7" i="11" s="1"/>
  <c r="T7" i="11" s="1"/>
  <c r="U7" i="11" s="1"/>
  <c r="V7" i="11" s="1"/>
  <c r="W7" i="11" s="1"/>
  <c r="X7" i="11" s="1"/>
  <c r="G7" i="11"/>
  <c r="Y6" i="11"/>
  <c r="A62" i="11" s="1"/>
  <c r="I6" i="11"/>
  <c r="J6" i="11" s="1"/>
  <c r="K6" i="11" s="1"/>
  <c r="L6" i="11" s="1"/>
  <c r="M6" i="11" s="1"/>
  <c r="N6" i="11" s="1"/>
  <c r="O6" i="11" s="1"/>
  <c r="P6" i="11" s="1"/>
  <c r="Q6" i="11" s="1"/>
  <c r="R6" i="11" s="1"/>
  <c r="S6" i="11" s="1"/>
  <c r="T6" i="11" s="1"/>
  <c r="U6" i="11" s="1"/>
  <c r="V6" i="11" s="1"/>
  <c r="W6" i="11" s="1"/>
  <c r="X6" i="11" s="1"/>
  <c r="G6" i="11"/>
  <c r="Y5" i="11"/>
  <c r="A61" i="11" s="1"/>
  <c r="C5" i="11"/>
  <c r="A45" i="10"/>
  <c r="C45" i="10" s="1" a="1"/>
  <c r="C45" i="10" s="1"/>
  <c r="D45" i="10" s="1" a="1"/>
  <c r="D45" i="10" s="1"/>
  <c r="E45" i="10" s="1" a="1"/>
  <c r="E45" i="10" s="1"/>
  <c r="F45" i="10" s="1" a="1"/>
  <c r="F45" i="10" s="1"/>
  <c r="G45" i="10" s="1" a="1"/>
  <c r="G45" i="10" s="1"/>
  <c r="H45" i="10" s="1" a="1"/>
  <c r="H45" i="10" s="1"/>
  <c r="I45" i="10" s="1" a="1"/>
  <c r="I45" i="10" s="1"/>
  <c r="J45" i="10" s="1" a="1"/>
  <c r="J45" i="10" s="1"/>
  <c r="K45" i="10" s="1" a="1"/>
  <c r="K45" i="10" s="1"/>
  <c r="L45" i="10" s="1" a="1"/>
  <c r="L45" i="10" s="1"/>
  <c r="M45" i="10" s="1" a="1"/>
  <c r="M45" i="10" s="1"/>
  <c r="N45" i="10" s="1" a="1"/>
  <c r="N45" i="10" s="1"/>
  <c r="A44" i="10"/>
  <c r="C44" i="10" s="1" a="1"/>
  <c r="C44" i="10" s="1"/>
  <c r="D44" i="10" s="1" a="1"/>
  <c r="D44" i="10" s="1"/>
  <c r="E44" i="10" s="1" a="1"/>
  <c r="E44" i="10" s="1"/>
  <c r="F44" i="10" s="1" a="1"/>
  <c r="F44" i="10" s="1"/>
  <c r="G44" i="10" s="1" a="1"/>
  <c r="G44" i="10" s="1"/>
  <c r="H44" i="10" s="1" a="1"/>
  <c r="H44" i="10" s="1"/>
  <c r="I44" i="10" s="1" a="1"/>
  <c r="I44" i="10" s="1"/>
  <c r="J44" i="10" s="1" a="1"/>
  <c r="J44" i="10" s="1"/>
  <c r="K44" i="10" s="1" a="1"/>
  <c r="K44" i="10" s="1"/>
  <c r="L44" i="10" s="1" a="1"/>
  <c r="L44" i="10" s="1"/>
  <c r="M44" i="10" s="1" a="1"/>
  <c r="M44" i="10" s="1"/>
  <c r="N44" i="10" s="1" a="1"/>
  <c r="N44" i="10" s="1"/>
  <c r="A43" i="10"/>
  <c r="C43" i="10" s="1" a="1"/>
  <c r="C43" i="10" s="1"/>
  <c r="D43" i="10" s="1" a="1"/>
  <c r="D43" i="10" s="1"/>
  <c r="E43" i="10" s="1" a="1"/>
  <c r="E43" i="10" s="1"/>
  <c r="F43" i="10" s="1" a="1"/>
  <c r="F43" i="10" s="1"/>
  <c r="G43" i="10" s="1" a="1"/>
  <c r="G43" i="10" s="1"/>
  <c r="H43" i="10" s="1" a="1"/>
  <c r="H43" i="10" s="1"/>
  <c r="I43" i="10" s="1" a="1"/>
  <c r="I43" i="10" s="1"/>
  <c r="J43" i="10" s="1" a="1"/>
  <c r="J43" i="10" s="1"/>
  <c r="K43" i="10" s="1" a="1"/>
  <c r="K43" i="10" s="1"/>
  <c r="L43" i="10" s="1" a="1"/>
  <c r="L43" i="10" s="1"/>
  <c r="M43" i="10" s="1" a="1"/>
  <c r="M43" i="10" s="1"/>
  <c r="N43" i="10" s="1" a="1"/>
  <c r="N43" i="10" s="1"/>
  <c r="A42" i="10"/>
  <c r="A41" i="10"/>
  <c r="A40" i="10"/>
  <c r="N38" i="10"/>
  <c r="M38" i="10"/>
  <c r="L38" i="10"/>
  <c r="K38" i="10"/>
  <c r="J38" i="10"/>
  <c r="I38" i="10"/>
  <c r="H38" i="10"/>
  <c r="G38" i="10"/>
  <c r="F38" i="10"/>
  <c r="E38" i="10"/>
  <c r="D38" i="10"/>
  <c r="C38" i="10"/>
  <c r="N24" i="10"/>
  <c r="M24" i="10"/>
  <c r="L24" i="10"/>
  <c r="K24" i="10"/>
  <c r="J24" i="10"/>
  <c r="I24" i="10"/>
  <c r="H24" i="10"/>
  <c r="G24" i="10"/>
  <c r="F24" i="10"/>
  <c r="E24" i="10"/>
  <c r="D24" i="10"/>
  <c r="C24" i="10"/>
  <c r="N18" i="10"/>
  <c r="N98" i="1" s="1"/>
  <c r="N58" i="7" s="1"/>
  <c r="M18" i="10"/>
  <c r="M98" i="1" s="1"/>
  <c r="M58" i="7" s="1"/>
  <c r="L18" i="10"/>
  <c r="L98" i="1" s="1"/>
  <c r="L58" i="7" s="1"/>
  <c r="K18" i="10"/>
  <c r="K98" i="1" s="1"/>
  <c r="K58" i="7" s="1"/>
  <c r="J18" i="10"/>
  <c r="J98" i="1" s="1"/>
  <c r="J58" i="7" s="1"/>
  <c r="I18" i="10"/>
  <c r="I98" i="1" s="1"/>
  <c r="I58" i="7" s="1"/>
  <c r="H18" i="10"/>
  <c r="H98" i="1" s="1"/>
  <c r="H58" i="7" s="1"/>
  <c r="G18" i="10"/>
  <c r="G98" i="1" s="1"/>
  <c r="G58" i="7" s="1"/>
  <c r="F18" i="10"/>
  <c r="F98" i="1" s="1"/>
  <c r="F58" i="7" s="1"/>
  <c r="E18" i="10"/>
  <c r="E98" i="1" s="1"/>
  <c r="E58" i="7" s="1"/>
  <c r="D18" i="10"/>
  <c r="D98" i="1" s="1"/>
  <c r="D58" i="7" s="1"/>
  <c r="C18" i="10"/>
  <c r="C98" i="1" s="1"/>
  <c r="C58" i="7" s="1"/>
  <c r="N10" i="10"/>
  <c r="M10" i="10"/>
  <c r="L10" i="10"/>
  <c r="K10" i="10"/>
  <c r="J10" i="10"/>
  <c r="I10" i="10"/>
  <c r="H10" i="10"/>
  <c r="G10" i="10"/>
  <c r="E10" i="10"/>
  <c r="D10" i="10"/>
  <c r="C10" i="10"/>
  <c r="F7" i="10"/>
  <c r="F10" i="10" s="1"/>
  <c r="N3" i="10"/>
  <c r="M3" i="10"/>
  <c r="L3" i="10"/>
  <c r="K3" i="10"/>
  <c r="J3" i="10"/>
  <c r="I3" i="10"/>
  <c r="H3" i="10"/>
  <c r="G3" i="10"/>
  <c r="F3" i="10"/>
  <c r="E3" i="10"/>
  <c r="D3" i="10"/>
  <c r="C3" i="10"/>
  <c r="N2" i="10"/>
  <c r="M2" i="10"/>
  <c r="L2" i="10"/>
  <c r="K2" i="10"/>
  <c r="J2" i="10"/>
  <c r="I2" i="10"/>
  <c r="H2" i="10"/>
  <c r="G2" i="10"/>
  <c r="F2" i="10"/>
  <c r="E2" i="10"/>
  <c r="D2" i="10"/>
  <c r="C2" i="10"/>
  <c r="N19" i="9"/>
  <c r="N99" i="1" s="1"/>
  <c r="N61" i="7" s="1"/>
  <c r="M19" i="9"/>
  <c r="M99" i="1" s="1"/>
  <c r="M61" i="7" s="1"/>
  <c r="L19" i="9"/>
  <c r="L99" i="1" s="1"/>
  <c r="L61" i="7" s="1"/>
  <c r="K19" i="9"/>
  <c r="K99" i="1" s="1"/>
  <c r="K61" i="7" s="1"/>
  <c r="J19" i="9"/>
  <c r="J99" i="1" s="1"/>
  <c r="J61" i="7" s="1"/>
  <c r="I19" i="9"/>
  <c r="I99" i="1" s="1"/>
  <c r="I61" i="7" s="1"/>
  <c r="H19" i="9"/>
  <c r="H99" i="1" s="1"/>
  <c r="H61" i="7" s="1"/>
  <c r="G19" i="9"/>
  <c r="G99" i="1" s="1"/>
  <c r="G61" i="7" s="1"/>
  <c r="F19" i="9"/>
  <c r="F99" i="1" s="1"/>
  <c r="F61" i="7" s="1"/>
  <c r="E19" i="9"/>
  <c r="E99" i="1" s="1"/>
  <c r="E61" i="7" s="1"/>
  <c r="D19" i="9"/>
  <c r="D99" i="1" s="1"/>
  <c r="D61" i="7" s="1"/>
  <c r="N10" i="9"/>
  <c r="M10" i="9"/>
  <c r="L10" i="9"/>
  <c r="K10" i="9"/>
  <c r="J10" i="9"/>
  <c r="I10" i="9"/>
  <c r="H10" i="9"/>
  <c r="G10" i="9"/>
  <c r="F10" i="9"/>
  <c r="E10" i="9"/>
  <c r="D10" i="9"/>
  <c r="C9" i="9"/>
  <c r="C6" i="9"/>
  <c r="C5" i="9"/>
  <c r="C10" i="9" s="1"/>
  <c r="C11" i="9" s="1"/>
  <c r="N3" i="9"/>
  <c r="M3" i="9"/>
  <c r="L3" i="9"/>
  <c r="K3" i="9"/>
  <c r="J3" i="9"/>
  <c r="I3" i="9"/>
  <c r="H3" i="9"/>
  <c r="G3" i="9"/>
  <c r="F3" i="9"/>
  <c r="E3" i="9"/>
  <c r="D3" i="9"/>
  <c r="C3" i="9"/>
  <c r="N2" i="9"/>
  <c r="M2" i="9"/>
  <c r="L2" i="9"/>
  <c r="K2" i="9"/>
  <c r="J2" i="9"/>
  <c r="I2" i="9"/>
  <c r="H2" i="9"/>
  <c r="G2" i="9"/>
  <c r="F2" i="9"/>
  <c r="E2" i="9"/>
  <c r="D2" i="9"/>
  <c r="C2" i="9"/>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N59" i="7"/>
  <c r="L59" i="7"/>
  <c r="N55" i="7"/>
  <c r="M55" i="7"/>
  <c r="L55" i="7"/>
  <c r="K55" i="7"/>
  <c r="J55" i="7"/>
  <c r="I55" i="7"/>
  <c r="H55" i="7"/>
  <c r="G55" i="7"/>
  <c r="F55" i="7"/>
  <c r="E55" i="7"/>
  <c r="D55" i="7"/>
  <c r="C55" i="7"/>
  <c r="N53" i="7"/>
  <c r="L53" i="7"/>
  <c r="N42" i="7"/>
  <c r="M42" i="7"/>
  <c r="L42" i="7"/>
  <c r="J42" i="7"/>
  <c r="I42" i="7"/>
  <c r="H42" i="7"/>
  <c r="G42" i="7"/>
  <c r="F42" i="7"/>
  <c r="E42" i="7"/>
  <c r="D42" i="7"/>
  <c r="C42" i="7"/>
  <c r="B42" i="7"/>
  <c r="N41" i="7"/>
  <c r="M41" i="7"/>
  <c r="L41" i="7"/>
  <c r="K41" i="7"/>
  <c r="J41" i="7"/>
  <c r="I41" i="7"/>
  <c r="H41" i="7"/>
  <c r="G41" i="7"/>
  <c r="F41" i="7"/>
  <c r="E41" i="7"/>
  <c r="D41" i="7"/>
  <c r="C41" i="7"/>
  <c r="N40" i="7"/>
  <c r="M40" i="7"/>
  <c r="L40" i="7"/>
  <c r="J40" i="7"/>
  <c r="I40" i="7"/>
  <c r="H40" i="7"/>
  <c r="G40" i="7"/>
  <c r="F40" i="7"/>
  <c r="E40" i="7"/>
  <c r="D40" i="7"/>
  <c r="C40" i="7"/>
  <c r="N34" i="7"/>
  <c r="M34" i="7"/>
  <c r="K34" i="7"/>
  <c r="J34" i="7"/>
  <c r="I34" i="7"/>
  <c r="H34" i="7"/>
  <c r="G34" i="7"/>
  <c r="F34" i="7"/>
  <c r="E34" i="7"/>
  <c r="D34" i="7"/>
  <c r="C34" i="7"/>
  <c r="B34" i="7"/>
  <c r="N33" i="7"/>
  <c r="M33" i="7"/>
  <c r="L33" i="7"/>
  <c r="K33" i="7"/>
  <c r="I33" i="7"/>
  <c r="H33" i="7"/>
  <c r="G33" i="7"/>
  <c r="F33" i="7"/>
  <c r="E33" i="7"/>
  <c r="D33" i="7"/>
  <c r="C33" i="7"/>
  <c r="B26" i="7"/>
  <c r="B24" i="7"/>
  <c r="N23" i="7"/>
  <c r="N26" i="7" s="1"/>
  <c r="M23" i="7"/>
  <c r="M26" i="7" s="1"/>
  <c r="L23" i="7"/>
  <c r="L26" i="7" s="1"/>
  <c r="K23" i="7"/>
  <c r="K26" i="7" s="1"/>
  <c r="J23" i="7"/>
  <c r="J26" i="7" s="1"/>
  <c r="I23" i="7"/>
  <c r="I26" i="7" s="1"/>
  <c r="H23" i="7"/>
  <c r="H26" i="7" s="1"/>
  <c r="G23" i="7"/>
  <c r="G26" i="7" s="1"/>
  <c r="F23" i="7"/>
  <c r="F26" i="7" s="1"/>
  <c r="E23" i="7"/>
  <c r="E26" i="7" s="1"/>
  <c r="D23" i="7"/>
  <c r="D26" i="7" s="1"/>
  <c r="C23" i="7"/>
  <c r="C26" i="7" s="1"/>
  <c r="B16" i="7"/>
  <c r="B14" i="7"/>
  <c r="N9" i="7"/>
  <c r="M9" i="7"/>
  <c r="L9" i="7"/>
  <c r="K9" i="7"/>
  <c r="J9" i="7"/>
  <c r="I9" i="7"/>
  <c r="H9" i="7"/>
  <c r="G9" i="7"/>
  <c r="F9" i="7"/>
  <c r="E9" i="7"/>
  <c r="D9" i="7"/>
  <c r="C9" i="7"/>
  <c r="B5" i="7"/>
  <c r="B11" i="7" s="1"/>
  <c r="B20" i="7" s="1"/>
  <c r="N3" i="7"/>
  <c r="M3" i="7"/>
  <c r="L3" i="7"/>
  <c r="K3" i="7"/>
  <c r="J3" i="7"/>
  <c r="I3" i="7"/>
  <c r="H3" i="7"/>
  <c r="G3" i="7"/>
  <c r="F3" i="7"/>
  <c r="E3" i="7"/>
  <c r="D3" i="7"/>
  <c r="C3" i="7"/>
  <c r="N2" i="7"/>
  <c r="M2" i="7"/>
  <c r="L2" i="7"/>
  <c r="K2" i="7"/>
  <c r="J2" i="7"/>
  <c r="I2" i="7"/>
  <c r="H2" i="7"/>
  <c r="G2" i="7"/>
  <c r="F2" i="7"/>
  <c r="E2" i="7"/>
  <c r="D2" i="7"/>
  <c r="C2" i="7"/>
  <c r="A1" i="7" a="1"/>
  <c r="A1" i="7" s="1"/>
  <c r="C23" i="6"/>
  <c r="C21" i="6"/>
  <c r="C19" i="6"/>
  <c r="C1" i="6" a="1"/>
  <c r="C1" i="6" s="1"/>
  <c r="E40" i="5"/>
  <c r="E38" i="5"/>
  <c r="A23" i="4"/>
  <c r="A21" i="4"/>
  <c r="A19" i="4"/>
  <c r="A1" i="4" a="1"/>
  <c r="A1" i="4" s="1"/>
  <c r="L4" i="2"/>
  <c r="E4" i="2"/>
  <c r="B106" i="1"/>
  <c r="B45" i="14" s="1"/>
  <c r="B48" i="14" s="1"/>
  <c r="B105" i="1"/>
  <c r="B42" i="14" s="1"/>
  <c r="B104" i="1"/>
  <c r="B43" i="14" s="1"/>
  <c r="N102" i="1"/>
  <c r="M102" i="1"/>
  <c r="L102" i="1"/>
  <c r="K102" i="1"/>
  <c r="J102" i="1"/>
  <c r="I102" i="1"/>
  <c r="H102" i="1"/>
  <c r="G102" i="1"/>
  <c r="F102" i="1"/>
  <c r="E102" i="1"/>
  <c r="D102" i="1"/>
  <c r="C102" i="1"/>
  <c r="B102" i="1"/>
  <c r="B101" i="1"/>
  <c r="N100" i="1"/>
  <c r="M100" i="1"/>
  <c r="L100" i="1"/>
  <c r="K100" i="1"/>
  <c r="J100" i="1"/>
  <c r="I100" i="1"/>
  <c r="H100" i="1"/>
  <c r="G100" i="1"/>
  <c r="F100" i="1"/>
  <c r="E100" i="1"/>
  <c r="D100" i="1"/>
  <c r="C100" i="1"/>
  <c r="B100" i="1"/>
  <c r="B99" i="1"/>
  <c r="B98" i="1"/>
  <c r="B97" i="1"/>
  <c r="B96" i="1"/>
  <c r="B95" i="1"/>
  <c r="N94" i="1"/>
  <c r="N37" i="4" s="1"/>
  <c r="M94" i="1"/>
  <c r="M37" i="4" s="1"/>
  <c r="L94" i="1"/>
  <c r="L37" i="4" s="1"/>
  <c r="K94" i="1"/>
  <c r="K37" i="4" s="1"/>
  <c r="J94" i="1"/>
  <c r="J37" i="4" s="1"/>
  <c r="I94" i="1"/>
  <c r="I37" i="4" s="1"/>
  <c r="H94" i="1"/>
  <c r="H37" i="4" s="1"/>
  <c r="G94" i="1"/>
  <c r="G37" i="4" s="1"/>
  <c r="F94" i="1"/>
  <c r="F37" i="4" s="1"/>
  <c r="E94" i="1"/>
  <c r="E37" i="4" s="1"/>
  <c r="E48" i="4" s="1"/>
  <c r="D94" i="1"/>
  <c r="D37" i="4" s="1"/>
  <c r="D48" i="4" s="1"/>
  <c r="B94" i="1"/>
  <c r="B93" i="1"/>
  <c r="B50" i="14" s="1"/>
  <c r="K91" i="1"/>
  <c r="K30" i="4" s="1"/>
  <c r="I30" i="22" s="1"/>
  <c r="J91" i="1"/>
  <c r="J30" i="4" s="1"/>
  <c r="H30" i="22" s="1"/>
  <c r="I91" i="1"/>
  <c r="I30" i="4" s="1"/>
  <c r="G30" i="22" s="1"/>
  <c r="H91" i="1"/>
  <c r="H30" i="4" s="1"/>
  <c r="F30" i="22" s="1"/>
  <c r="G91" i="1"/>
  <c r="G30" i="4" s="1"/>
  <c r="E30" i="22" s="1"/>
  <c r="F91" i="1"/>
  <c r="F30" i="4" s="1"/>
  <c r="D30" i="22" s="1"/>
  <c r="E91" i="1"/>
  <c r="E30" i="4" s="1"/>
  <c r="D91" i="1"/>
  <c r="D30" i="4" s="1"/>
  <c r="C91" i="1"/>
  <c r="C30" i="4" s="1"/>
  <c r="B91" i="1"/>
  <c r="B87" i="1"/>
  <c r="B86" i="1"/>
  <c r="N83" i="1"/>
  <c r="W56" i="24" s="1"/>
  <c r="M83" i="1"/>
  <c r="V56" i="24" s="1"/>
  <c r="L83" i="1"/>
  <c r="U56" i="24" s="1"/>
  <c r="K83" i="1"/>
  <c r="T56" i="24" s="1"/>
  <c r="J83" i="1"/>
  <c r="S56" i="24" s="1"/>
  <c r="I83" i="1"/>
  <c r="R56" i="24" s="1"/>
  <c r="H83" i="1"/>
  <c r="Q56" i="24" s="1"/>
  <c r="G83" i="1"/>
  <c r="P56" i="24" s="1"/>
  <c r="F83" i="1"/>
  <c r="O56" i="24" s="1"/>
  <c r="E83" i="1"/>
  <c r="N56" i="24" s="1"/>
  <c r="D83" i="1"/>
  <c r="M56" i="24" s="1"/>
  <c r="C83" i="1"/>
  <c r="L56" i="24" s="1"/>
  <c r="B83" i="1"/>
  <c r="B82" i="1"/>
  <c r="N79" i="1"/>
  <c r="N22" i="4" s="1"/>
  <c r="M79" i="1"/>
  <c r="M22" i="4" s="1"/>
  <c r="K79" i="1"/>
  <c r="K22" i="4" s="1"/>
  <c r="J79" i="1"/>
  <c r="J22" i="4" s="1"/>
  <c r="I79" i="1"/>
  <c r="I22" i="4" s="1"/>
  <c r="H79" i="1"/>
  <c r="H22" i="4" s="1"/>
  <c r="G79" i="1"/>
  <c r="G22" i="4" s="1"/>
  <c r="F79" i="1"/>
  <c r="F22" i="4" s="1"/>
  <c r="E79" i="1"/>
  <c r="E22" i="4" s="1"/>
  <c r="E21" i="4" s="1"/>
  <c r="D79" i="1"/>
  <c r="D22" i="4" s="1"/>
  <c r="D21" i="4" s="1"/>
  <c r="C79" i="1"/>
  <c r="C22" i="4" s="1"/>
  <c r="C21" i="4" s="1"/>
  <c r="B79" i="1"/>
  <c r="I78" i="1"/>
  <c r="I20" i="4" s="1"/>
  <c r="H78" i="1"/>
  <c r="H20" i="4" s="1"/>
  <c r="C78" i="1"/>
  <c r="C20" i="4" s="1"/>
  <c r="C19" i="4" s="1"/>
  <c r="B78" i="1"/>
  <c r="B77" i="1"/>
  <c r="B73" i="1"/>
  <c r="B72" i="1"/>
  <c r="B71" i="1"/>
  <c r="N68" i="1"/>
  <c r="L68" i="1"/>
  <c r="B68" i="1"/>
  <c r="N67" i="1"/>
  <c r="L67" i="1"/>
  <c r="B67" i="1"/>
  <c r="B66" i="1"/>
  <c r="N60" i="1"/>
  <c r="W54" i="24" s="1"/>
  <c r="M60" i="1"/>
  <c r="V54" i="24" s="1"/>
  <c r="L60" i="1"/>
  <c r="U54" i="24" s="1"/>
  <c r="K60" i="1"/>
  <c r="T54" i="24" s="1"/>
  <c r="J60" i="1"/>
  <c r="S54" i="24" s="1"/>
  <c r="I60" i="1"/>
  <c r="R54" i="24" s="1"/>
  <c r="H60" i="1"/>
  <c r="Q54" i="24" s="1"/>
  <c r="G60" i="1"/>
  <c r="P54" i="24" s="1"/>
  <c r="F60" i="1"/>
  <c r="O54" i="24" s="1"/>
  <c r="E60" i="1"/>
  <c r="N54" i="24" s="1"/>
  <c r="D60" i="1"/>
  <c r="M54" i="24" s="1"/>
  <c r="C60" i="1"/>
  <c r="L54" i="24" s="1"/>
  <c r="B60" i="1"/>
  <c r="B59" i="1"/>
  <c r="B58" i="1"/>
  <c r="B56" i="1"/>
  <c r="B55" i="1"/>
  <c r="N51" i="1"/>
  <c r="N43" i="4" s="1"/>
  <c r="L43" i="22" s="1"/>
  <c r="M51" i="1"/>
  <c r="M43" i="4" s="1"/>
  <c r="K43" i="22" s="1"/>
  <c r="L51" i="1"/>
  <c r="L43" i="4" s="1"/>
  <c r="J43" i="22" s="1"/>
  <c r="K51" i="1"/>
  <c r="K43" i="4" s="1"/>
  <c r="I43" i="22" s="1"/>
  <c r="J51" i="1"/>
  <c r="J43" i="4" s="1"/>
  <c r="H43" i="22" s="1"/>
  <c r="I51" i="1"/>
  <c r="I43" i="4" s="1"/>
  <c r="G43" i="22" s="1"/>
  <c r="H51" i="1"/>
  <c r="H43" i="4" s="1"/>
  <c r="F43" i="22" s="1"/>
  <c r="G51" i="1"/>
  <c r="G43" i="4" s="1"/>
  <c r="E43" i="22" s="1"/>
  <c r="F51" i="1"/>
  <c r="F43" i="4" s="1"/>
  <c r="D43" i="22" s="1"/>
  <c r="E51" i="1"/>
  <c r="E43" i="4" s="1"/>
  <c r="D51" i="1"/>
  <c r="D43" i="4" s="1"/>
  <c r="C51" i="1"/>
  <c r="C43" i="4" s="1"/>
  <c r="B51" i="1"/>
  <c r="B50" i="1"/>
  <c r="B49" i="1"/>
  <c r="B47" i="1"/>
  <c r="B46" i="1"/>
  <c r="N43" i="1"/>
  <c r="M43" i="1"/>
  <c r="L43" i="1"/>
  <c r="K43" i="1"/>
  <c r="J43" i="1"/>
  <c r="I43" i="1"/>
  <c r="H43" i="1"/>
  <c r="G43" i="1"/>
  <c r="F43" i="1"/>
  <c r="E43" i="1"/>
  <c r="D43" i="1"/>
  <c r="C43" i="1"/>
  <c r="B43" i="1"/>
  <c r="N37" i="1"/>
  <c r="M37" i="1"/>
  <c r="L37" i="1"/>
  <c r="J37" i="1"/>
  <c r="I37" i="1"/>
  <c r="H37" i="1"/>
  <c r="G37" i="1"/>
  <c r="F37" i="1"/>
  <c r="E37" i="1"/>
  <c r="D37" i="1"/>
  <c r="C37" i="1"/>
  <c r="B37" i="1"/>
  <c r="N36" i="1"/>
  <c r="M36" i="1"/>
  <c r="K36" i="1"/>
  <c r="J36" i="1"/>
  <c r="I36" i="1"/>
  <c r="H36" i="1"/>
  <c r="G36" i="1"/>
  <c r="F36" i="1"/>
  <c r="E36" i="1"/>
  <c r="D36" i="1"/>
  <c r="C36" i="1"/>
  <c r="B36" i="1"/>
  <c r="B33" i="1"/>
  <c r="B32" i="1"/>
  <c r="B31" i="1"/>
  <c r="N28" i="1"/>
  <c r="N18" i="4" s="1"/>
  <c r="M28" i="1"/>
  <c r="M18" i="4" s="1"/>
  <c r="L28" i="1"/>
  <c r="L18" i="4" s="1"/>
  <c r="K28" i="1"/>
  <c r="K18" i="4" s="1"/>
  <c r="J28" i="1"/>
  <c r="J18" i="4" s="1"/>
  <c r="B28" i="1"/>
  <c r="N27" i="1"/>
  <c r="M27" i="1"/>
  <c r="L27" i="1"/>
  <c r="K27" i="1"/>
  <c r="J27" i="1"/>
  <c r="I27" i="1"/>
  <c r="H27" i="1"/>
  <c r="G27" i="1"/>
  <c r="F27" i="1"/>
  <c r="E27" i="1"/>
  <c r="D27" i="1"/>
  <c r="C27" i="1"/>
  <c r="B27" i="1"/>
  <c r="N26" i="1"/>
  <c r="M26" i="1"/>
  <c r="L26" i="1"/>
  <c r="K26" i="1"/>
  <c r="I26" i="1"/>
  <c r="H26" i="1"/>
  <c r="G26" i="1"/>
  <c r="F26" i="1"/>
  <c r="E26" i="1"/>
  <c r="D26" i="1"/>
  <c r="C26" i="1"/>
  <c r="B26" i="1"/>
  <c r="N22" i="1"/>
  <c r="M22" i="1"/>
  <c r="L22" i="1"/>
  <c r="J22" i="1"/>
  <c r="I22" i="1"/>
  <c r="H22" i="1"/>
  <c r="G22" i="1"/>
  <c r="F22" i="1"/>
  <c r="E22" i="1"/>
  <c r="D22" i="1"/>
  <c r="C22" i="1"/>
  <c r="B22" i="1"/>
  <c r="B21" i="1"/>
  <c r="N18" i="1"/>
  <c r="N12" i="4" s="1"/>
  <c r="L12" i="22" s="1"/>
  <c r="M18" i="1"/>
  <c r="M12" i="4" s="1"/>
  <c r="K12" i="22" s="1"/>
  <c r="F18" i="1"/>
  <c r="F12" i="4" s="1"/>
  <c r="D12" i="22" s="1"/>
  <c r="E18" i="1"/>
  <c r="E12" i="4" s="1"/>
  <c r="C18" i="1"/>
  <c r="C12" i="4" s="1"/>
  <c r="B18" i="1"/>
  <c r="B12" i="4" s="1"/>
  <c r="B17" i="1"/>
  <c r="B16" i="1"/>
  <c r="B15" i="1"/>
  <c r="B14" i="1"/>
  <c r="B13" i="1"/>
  <c r="B12" i="1"/>
  <c r="B11" i="1"/>
  <c r="B10" i="1"/>
  <c r="B7" i="1"/>
  <c r="B6" i="1"/>
  <c r="B5" i="1"/>
  <c r="N2" i="1"/>
  <c r="M2" i="1"/>
  <c r="L2" i="1"/>
  <c r="K2" i="1"/>
  <c r="J2" i="1"/>
  <c r="I2" i="1"/>
  <c r="H2" i="1"/>
  <c r="G2" i="1"/>
  <c r="F2" i="1"/>
  <c r="E2" i="1"/>
  <c r="D2" i="1"/>
  <c r="C2" i="1"/>
  <c r="B2" i="1"/>
  <c r="N1" i="1"/>
  <c r="M1" i="1"/>
  <c r="L1" i="1"/>
  <c r="K1" i="1"/>
  <c r="J1" i="1"/>
  <c r="I1" i="1"/>
  <c r="H1" i="1"/>
  <c r="G1" i="1"/>
  <c r="F1" i="1"/>
  <c r="E1" i="1"/>
  <c r="D1" i="1"/>
  <c r="C1" i="1"/>
  <c r="B1" i="1"/>
  <c r="W51" i="33" l="1"/>
  <c r="W80" i="28" s="1"/>
  <c r="W49" i="33"/>
  <c r="W78" i="28" s="1"/>
  <c r="W50" i="33"/>
  <c r="W79" i="28" s="1"/>
  <c r="W48" i="33"/>
  <c r="W77" i="28" s="1"/>
  <c r="V51" i="33"/>
  <c r="V80" i="28" s="1"/>
  <c r="V49" i="33"/>
  <c r="V78" i="28" s="1"/>
  <c r="V50" i="33"/>
  <c r="V79" i="28" s="1"/>
  <c r="V48" i="33"/>
  <c r="V77" i="28" s="1"/>
  <c r="U51" i="33"/>
  <c r="U80" i="28" s="1"/>
  <c r="U50" i="33"/>
  <c r="U79" i="28" s="1"/>
  <c r="U49" i="33"/>
  <c r="U78" i="28" s="1"/>
  <c r="U26" i="24" s="1"/>
  <c r="U48" i="33"/>
  <c r="U77" i="28" s="1"/>
  <c r="T51" i="33"/>
  <c r="T80" i="28" s="1"/>
  <c r="T49" i="33"/>
  <c r="T78" i="28" s="1"/>
  <c r="T50" i="33"/>
  <c r="T79" i="28" s="1"/>
  <c r="T48" i="33"/>
  <c r="T77" i="28" s="1"/>
  <c r="S51" i="33"/>
  <c r="S80" i="28" s="1"/>
  <c r="S49" i="33"/>
  <c r="S78" i="28" s="1"/>
  <c r="S26" i="24" s="1"/>
  <c r="S50" i="33"/>
  <c r="S79" i="28" s="1"/>
  <c r="S48" i="33"/>
  <c r="S77" i="28" s="1"/>
  <c r="R51" i="33"/>
  <c r="R80" i="28" s="1"/>
  <c r="R50" i="33"/>
  <c r="R79" i="28" s="1"/>
  <c r="R49" i="33"/>
  <c r="R78" i="28" s="1"/>
  <c r="R26" i="24" s="1"/>
  <c r="R48" i="33"/>
  <c r="R77" i="28" s="1"/>
  <c r="Q50" i="33"/>
  <c r="Q79" i="28" s="1"/>
  <c r="Q49" i="33"/>
  <c r="Q78" i="28" s="1"/>
  <c r="Q51" i="33"/>
  <c r="Q80" i="28" s="1"/>
  <c r="Q48" i="33"/>
  <c r="Q77" i="28" s="1"/>
  <c r="P50" i="33"/>
  <c r="P79" i="28" s="1"/>
  <c r="P49" i="33"/>
  <c r="P78" i="28" s="1"/>
  <c r="P26" i="24" s="1"/>
  <c r="P51" i="33"/>
  <c r="P80" i="28" s="1"/>
  <c r="P48" i="33"/>
  <c r="P77" i="28" s="1"/>
  <c r="O49" i="33"/>
  <c r="O78" i="28" s="1"/>
  <c r="O51" i="33"/>
  <c r="O80" i="28" s="1"/>
  <c r="O50" i="33"/>
  <c r="O79" i="28" s="1"/>
  <c r="O48" i="33"/>
  <c r="O77" i="28" s="1"/>
  <c r="N51" i="33"/>
  <c r="N80" i="28" s="1"/>
  <c r="N50" i="33"/>
  <c r="N79" i="28" s="1"/>
  <c r="N49" i="33"/>
  <c r="N78" i="28" s="1"/>
  <c r="N48" i="33"/>
  <c r="N77" i="28" s="1"/>
  <c r="M49" i="33"/>
  <c r="M78" i="28" s="1"/>
  <c r="M26" i="24" s="1"/>
  <c r="M50" i="33"/>
  <c r="M79" i="28" s="1"/>
  <c r="M51" i="33"/>
  <c r="M80" i="28" s="1"/>
  <c r="M48" i="33"/>
  <c r="M77" i="28" s="1"/>
  <c r="L49" i="33"/>
  <c r="L78" i="28" s="1"/>
  <c r="L51" i="33"/>
  <c r="L80" i="28" s="1"/>
  <c r="L50" i="33"/>
  <c r="L79" i="28" s="1"/>
  <c r="L48" i="33"/>
  <c r="L77" i="28" s="1"/>
  <c r="W48" i="32"/>
  <c r="W80" i="27" s="1"/>
  <c r="W45" i="32"/>
  <c r="W77" i="27" s="1"/>
  <c r="W46" i="32"/>
  <c r="W78" i="27" s="1"/>
  <c r="W47" i="32"/>
  <c r="W79" i="27" s="1"/>
  <c r="V48" i="32"/>
  <c r="V80" i="27" s="1"/>
  <c r="V45" i="32"/>
  <c r="V77" i="27" s="1"/>
  <c r="V46" i="32"/>
  <c r="V78" i="27" s="1"/>
  <c r="V57" i="27" s="1"/>
  <c r="V58" i="27" s="1"/>
  <c r="V47" i="32"/>
  <c r="V79" i="27" s="1"/>
  <c r="U48" i="32"/>
  <c r="U80" i="27" s="1"/>
  <c r="U46" i="32"/>
  <c r="U78" i="27" s="1"/>
  <c r="U57" i="27" s="1"/>
  <c r="U58" i="27" s="1"/>
  <c r="U45" i="32"/>
  <c r="U77" i="27" s="1"/>
  <c r="U47" i="32"/>
  <c r="U79" i="27" s="1"/>
  <c r="T48" i="32"/>
  <c r="T80" i="27" s="1"/>
  <c r="T45" i="32"/>
  <c r="T77" i="27" s="1"/>
  <c r="T47" i="32"/>
  <c r="T79" i="27" s="1"/>
  <c r="T46" i="32"/>
  <c r="T78" i="27" s="1"/>
  <c r="T57" i="27" s="1"/>
  <c r="T58" i="27" s="1"/>
  <c r="T69" i="27" s="1"/>
  <c r="S48" i="32"/>
  <c r="S80" i="27" s="1"/>
  <c r="S46" i="32"/>
  <c r="S78" i="27" s="1"/>
  <c r="S47" i="32"/>
  <c r="S79" i="27" s="1"/>
  <c r="S45" i="32"/>
  <c r="S77" i="27" s="1"/>
  <c r="R48" i="32"/>
  <c r="R80" i="27" s="1"/>
  <c r="R47" i="32"/>
  <c r="R79" i="27" s="1"/>
  <c r="R46" i="32"/>
  <c r="R78" i="27" s="1"/>
  <c r="R45" i="32"/>
  <c r="R77" i="27" s="1"/>
  <c r="Q48" i="32"/>
  <c r="Q80" i="27" s="1"/>
  <c r="Q47" i="32"/>
  <c r="Q79" i="27" s="1"/>
  <c r="Q46" i="32"/>
  <c r="Q78" i="27" s="1"/>
  <c r="Q45" i="32"/>
  <c r="Q77" i="27" s="1"/>
  <c r="P48" i="32"/>
  <c r="P80" i="27" s="1"/>
  <c r="P47" i="32"/>
  <c r="P79" i="27" s="1"/>
  <c r="P46" i="32"/>
  <c r="P78" i="27" s="1"/>
  <c r="P27" i="24" s="1"/>
  <c r="P45" i="32"/>
  <c r="P77" i="27" s="1"/>
  <c r="O45" i="32"/>
  <c r="O77" i="27" s="1"/>
  <c r="O48" i="32"/>
  <c r="O80" i="27" s="1"/>
  <c r="O47" i="32"/>
  <c r="O79" i="27" s="1"/>
  <c r="O46" i="32"/>
  <c r="O78" i="27" s="1"/>
  <c r="O27" i="24" s="1"/>
  <c r="N47" i="32"/>
  <c r="N79" i="27" s="1"/>
  <c r="N45" i="32"/>
  <c r="N77" i="27" s="1"/>
  <c r="N46" i="32"/>
  <c r="N78" i="27" s="1"/>
  <c r="N27" i="24" s="1"/>
  <c r="N48" i="32"/>
  <c r="N80" i="27" s="1"/>
  <c r="M47" i="32"/>
  <c r="M79" i="27" s="1"/>
  <c r="M48" i="32"/>
  <c r="M80" i="27" s="1"/>
  <c r="M46" i="32"/>
  <c r="M78" i="27" s="1"/>
  <c r="M27" i="24" s="1"/>
  <c r="M45" i="32"/>
  <c r="M77" i="27" s="1"/>
  <c r="L47" i="32"/>
  <c r="L79" i="27" s="1"/>
  <c r="L48" i="32"/>
  <c r="L80" i="27" s="1"/>
  <c r="L46" i="32"/>
  <c r="L78" i="27" s="1"/>
  <c r="L27" i="24" s="1"/>
  <c r="L45" i="32"/>
  <c r="L77" i="27" s="1"/>
  <c r="W34" i="31"/>
  <c r="W80" i="26" s="1"/>
  <c r="W33" i="31"/>
  <c r="W79" i="26" s="1"/>
  <c r="W31" i="31"/>
  <c r="W77" i="26" s="1"/>
  <c r="W32" i="31"/>
  <c r="W78" i="26" s="1"/>
  <c r="W25" i="24" s="1"/>
  <c r="V34" i="31"/>
  <c r="V80" i="26" s="1"/>
  <c r="V33" i="31"/>
  <c r="V79" i="26" s="1"/>
  <c r="V31" i="31"/>
  <c r="V77" i="26" s="1"/>
  <c r="V32" i="31"/>
  <c r="V78" i="26" s="1"/>
  <c r="U34" i="31"/>
  <c r="U80" i="26" s="1"/>
  <c r="U33" i="31"/>
  <c r="U79" i="26" s="1"/>
  <c r="U31" i="31"/>
  <c r="U77" i="26" s="1"/>
  <c r="U32" i="31"/>
  <c r="U78" i="26" s="1"/>
  <c r="T34" i="31"/>
  <c r="T80" i="26" s="1"/>
  <c r="T32" i="31"/>
  <c r="T78" i="26" s="1"/>
  <c r="T57" i="26" s="1"/>
  <c r="T58" i="26" s="1"/>
  <c r="T69" i="26" s="1"/>
  <c r="T33" i="31"/>
  <c r="T79" i="26" s="1"/>
  <c r="T31" i="31"/>
  <c r="T77" i="26" s="1"/>
  <c r="S34" i="31"/>
  <c r="S80" i="26" s="1"/>
  <c r="S32" i="31"/>
  <c r="S78" i="26" s="1"/>
  <c r="S57" i="26" s="1"/>
  <c r="S58" i="26" s="1"/>
  <c r="S69" i="26" s="1"/>
  <c r="S33" i="31"/>
  <c r="S79" i="26" s="1"/>
  <c r="S31" i="31"/>
  <c r="S77" i="26" s="1"/>
  <c r="R32" i="31"/>
  <c r="R78" i="26" s="1"/>
  <c r="R57" i="26" s="1"/>
  <c r="R58" i="26" s="1"/>
  <c r="R69" i="26" s="1"/>
  <c r="R31" i="31"/>
  <c r="R77" i="26" s="1"/>
  <c r="R34" i="31"/>
  <c r="R80" i="26" s="1"/>
  <c r="R33" i="31"/>
  <c r="R79" i="26" s="1"/>
  <c r="Q33" i="31"/>
  <c r="Q79" i="26" s="1"/>
  <c r="Q34" i="31"/>
  <c r="Q80" i="26" s="1"/>
  <c r="Q31" i="31"/>
  <c r="Q77" i="26" s="1"/>
  <c r="Q32" i="31"/>
  <c r="Q78" i="26" s="1"/>
  <c r="P34" i="31"/>
  <c r="P80" i="26" s="1"/>
  <c r="P31" i="31"/>
  <c r="P77" i="26" s="1"/>
  <c r="P33" i="31"/>
  <c r="P79" i="26" s="1"/>
  <c r="P32" i="31"/>
  <c r="P78" i="26" s="1"/>
  <c r="P25" i="24" s="1"/>
  <c r="O34" i="31"/>
  <c r="O80" i="26" s="1"/>
  <c r="O33" i="31"/>
  <c r="O79" i="26" s="1"/>
  <c r="O32" i="31"/>
  <c r="O78" i="26" s="1"/>
  <c r="O25" i="24" s="1"/>
  <c r="O31" i="31"/>
  <c r="O77" i="26" s="1"/>
  <c r="N32" i="31"/>
  <c r="N78" i="26" s="1"/>
  <c r="N34" i="31"/>
  <c r="N80" i="26" s="1"/>
  <c r="N33" i="31"/>
  <c r="N79" i="26" s="1"/>
  <c r="N31" i="31"/>
  <c r="N77" i="26" s="1"/>
  <c r="M32" i="31"/>
  <c r="M78" i="26" s="1"/>
  <c r="M34" i="31"/>
  <c r="M80" i="26" s="1"/>
  <c r="M33" i="31"/>
  <c r="M79" i="26" s="1"/>
  <c r="M31" i="31"/>
  <c r="M77" i="26" s="1"/>
  <c r="L32" i="31"/>
  <c r="L78" i="26" s="1"/>
  <c r="L33" i="31"/>
  <c r="L79" i="26" s="1"/>
  <c r="L34" i="31"/>
  <c r="L80" i="26" s="1"/>
  <c r="L31" i="31"/>
  <c r="L77" i="26" s="1"/>
  <c r="W33" i="30"/>
  <c r="W81" i="24" s="1"/>
  <c r="W41" i="24" s="1"/>
  <c r="W43" i="24" s="1"/>
  <c r="W30" i="30"/>
  <c r="W78" i="24" s="1"/>
  <c r="W31" i="30"/>
  <c r="W79" i="24" s="1"/>
  <c r="W32" i="30"/>
  <c r="W80" i="24" s="1"/>
  <c r="V33" i="30"/>
  <c r="V81" i="24" s="1"/>
  <c r="V41" i="24" s="1"/>
  <c r="V43" i="24" s="1"/>
  <c r="V30" i="30"/>
  <c r="V78" i="24" s="1"/>
  <c r="V28" i="24" s="1"/>
  <c r="V31" i="30"/>
  <c r="V79" i="24" s="1"/>
  <c r="V32" i="30"/>
  <c r="V80" i="24" s="1"/>
  <c r="U33" i="30"/>
  <c r="U81" i="24" s="1"/>
  <c r="U41" i="24" s="1"/>
  <c r="U43" i="24" s="1"/>
  <c r="U30" i="30"/>
  <c r="U78" i="24" s="1"/>
  <c r="U28" i="24" s="1"/>
  <c r="U31" i="30"/>
  <c r="U79" i="24" s="1"/>
  <c r="U32" i="30"/>
  <c r="U80" i="24" s="1"/>
  <c r="T33" i="30"/>
  <c r="T81" i="24" s="1"/>
  <c r="T41" i="24" s="1"/>
  <c r="T43" i="24" s="1"/>
  <c r="T32" i="30"/>
  <c r="T80" i="24" s="1"/>
  <c r="T31" i="30"/>
  <c r="T79" i="24" s="1"/>
  <c r="T30" i="30"/>
  <c r="T78" i="24" s="1"/>
  <c r="S33" i="30"/>
  <c r="S81" i="24" s="1"/>
  <c r="S41" i="24" s="1"/>
  <c r="S43" i="24" s="1"/>
  <c r="S30" i="30"/>
  <c r="S78" i="24" s="1"/>
  <c r="S28" i="24" s="1"/>
  <c r="S32" i="30"/>
  <c r="S80" i="24" s="1"/>
  <c r="S31" i="30"/>
  <c r="S79" i="24" s="1"/>
  <c r="R33" i="30"/>
  <c r="R81" i="24" s="1"/>
  <c r="R41" i="24" s="1"/>
  <c r="R43" i="24" s="1"/>
  <c r="R32" i="30"/>
  <c r="R80" i="24" s="1"/>
  <c r="R31" i="30"/>
  <c r="R79" i="24" s="1"/>
  <c r="R30" i="30"/>
  <c r="R78" i="24" s="1"/>
  <c r="R28" i="24" s="1"/>
  <c r="Q33" i="30"/>
  <c r="Q81" i="24" s="1"/>
  <c r="Q41" i="24" s="1"/>
  <c r="Q43" i="24" s="1"/>
  <c r="Q30" i="30"/>
  <c r="Q78" i="24" s="1"/>
  <c r="Q28" i="24" s="1"/>
  <c r="Q31" i="30"/>
  <c r="Q79" i="24" s="1"/>
  <c r="Q32" i="30"/>
  <c r="Q80" i="24" s="1"/>
  <c r="P33" i="30"/>
  <c r="P81" i="24" s="1"/>
  <c r="P41" i="24" s="1"/>
  <c r="P43" i="24" s="1"/>
  <c r="P32" i="30"/>
  <c r="P80" i="24" s="1"/>
  <c r="P31" i="30"/>
  <c r="P79" i="24" s="1"/>
  <c r="P30" i="30"/>
  <c r="P78" i="24" s="1"/>
  <c r="P28" i="24" s="1"/>
  <c r="O33" i="30"/>
  <c r="O81" i="24" s="1"/>
  <c r="O41" i="24" s="1"/>
  <c r="O43" i="24" s="1"/>
  <c r="O32" i="30"/>
  <c r="O80" i="24" s="1"/>
  <c r="O30" i="30"/>
  <c r="O78" i="24" s="1"/>
  <c r="O28" i="24" s="1"/>
  <c r="O31" i="30"/>
  <c r="O79" i="24" s="1"/>
  <c r="N33" i="30"/>
  <c r="N81" i="24" s="1"/>
  <c r="N41" i="24" s="1"/>
  <c r="N43" i="24" s="1"/>
  <c r="N32" i="30"/>
  <c r="N80" i="24" s="1"/>
  <c r="N31" i="30"/>
  <c r="N79" i="24" s="1"/>
  <c r="N30" i="30"/>
  <c r="N78" i="24" s="1"/>
  <c r="N28" i="24" s="1"/>
  <c r="M33" i="30"/>
  <c r="M81" i="24" s="1"/>
  <c r="M41" i="24" s="1"/>
  <c r="M43" i="24" s="1"/>
  <c r="M31" i="30"/>
  <c r="M79" i="24" s="1"/>
  <c r="M32" i="30"/>
  <c r="M80" i="24" s="1"/>
  <c r="M30" i="30"/>
  <c r="M78" i="24" s="1"/>
  <c r="M28" i="24" s="1"/>
  <c r="L33" i="30"/>
  <c r="L81" i="24" s="1"/>
  <c r="L41" i="24" s="1"/>
  <c r="L43" i="24" s="1"/>
  <c r="L32" i="30"/>
  <c r="L80" i="24" s="1"/>
  <c r="L31" i="30"/>
  <c r="L79" i="24" s="1"/>
  <c r="L30" i="30"/>
  <c r="L78" i="24" s="1"/>
  <c r="L28" i="24" s="1"/>
  <c r="W73" i="28"/>
  <c r="W72" i="28"/>
  <c r="V73" i="28"/>
  <c r="V72" i="28"/>
  <c r="U73" i="28"/>
  <c r="U72" i="28"/>
  <c r="T73" i="28"/>
  <c r="T72" i="28"/>
  <c r="S73" i="28"/>
  <c r="S72" i="28"/>
  <c r="R73" i="28"/>
  <c r="R72" i="28"/>
  <c r="Q72" i="28"/>
  <c r="Q73" i="28"/>
  <c r="P73" i="28"/>
  <c r="P72" i="28"/>
  <c r="O73" i="28"/>
  <c r="O72" i="28"/>
  <c r="N72" i="28"/>
  <c r="N73" i="28"/>
  <c r="M72" i="28"/>
  <c r="M73" i="28"/>
  <c r="L72" i="28"/>
  <c r="L73" i="28"/>
  <c r="L68" i="28"/>
  <c r="P58" i="28"/>
  <c r="V57" i="28"/>
  <c r="V58" i="28" s="1"/>
  <c r="V69" i="28" s="1"/>
  <c r="O58" i="28"/>
  <c r="U57" i="28"/>
  <c r="U58" i="28" s="1"/>
  <c r="U69" i="28" s="1"/>
  <c r="N58" i="28"/>
  <c r="T57" i="28"/>
  <c r="T58" i="28" s="1"/>
  <c r="M58" i="28"/>
  <c r="S57" i="28"/>
  <c r="S58" i="28" s="1"/>
  <c r="R57" i="28"/>
  <c r="R58" i="28" s="1"/>
  <c r="L58" i="28"/>
  <c r="V39" i="28"/>
  <c r="U46" i="28"/>
  <c r="U52" i="28" s="1"/>
  <c r="L62" i="28"/>
  <c r="L66" i="24" s="1"/>
  <c r="M29" i="28"/>
  <c r="M68" i="28" s="1"/>
  <c r="M70" i="28" s="1"/>
  <c r="M7" i="24" s="1"/>
  <c r="W72" i="27"/>
  <c r="W68" i="27"/>
  <c r="W73" i="27"/>
  <c r="V72" i="27"/>
  <c r="V73" i="27"/>
  <c r="V68" i="27"/>
  <c r="U73" i="27"/>
  <c r="U68" i="27"/>
  <c r="U72" i="27"/>
  <c r="T73" i="27"/>
  <c r="T72" i="27"/>
  <c r="S73" i="27"/>
  <c r="S72" i="27"/>
  <c r="R73" i="27"/>
  <c r="R72" i="27"/>
  <c r="Q73" i="27"/>
  <c r="Q72" i="27"/>
  <c r="P73" i="27"/>
  <c r="P72" i="27"/>
  <c r="O73" i="27"/>
  <c r="O72" i="27"/>
  <c r="O68" i="27"/>
  <c r="N73" i="27"/>
  <c r="N68" i="27"/>
  <c r="N72" i="27"/>
  <c r="M72" i="27"/>
  <c r="M73" i="27"/>
  <c r="L72" i="27"/>
  <c r="L73" i="27"/>
  <c r="P58" i="27"/>
  <c r="P69" i="27" s="1"/>
  <c r="O58" i="27"/>
  <c r="N58" i="27"/>
  <c r="M58" i="27"/>
  <c r="M69" i="27" s="1"/>
  <c r="L58" i="27"/>
  <c r="L69" i="27" s="1"/>
  <c r="M31" i="27"/>
  <c r="L31" i="27"/>
  <c r="L29" i="27"/>
  <c r="R14" i="27"/>
  <c r="R25" i="27" s="1"/>
  <c r="R31" i="27" s="1"/>
  <c r="S14" i="27"/>
  <c r="S25" i="27" s="1"/>
  <c r="S31" i="27" s="1"/>
  <c r="Q14" i="27"/>
  <c r="Q25" i="27" s="1"/>
  <c r="Q31" i="27" s="1"/>
  <c r="P14" i="27"/>
  <c r="T14" i="27" s="1"/>
  <c r="T25" i="27" s="1"/>
  <c r="T31" i="27" s="1"/>
  <c r="P25" i="27"/>
  <c r="P31" i="27" s="1"/>
  <c r="T12" i="27"/>
  <c r="W72" i="26"/>
  <c r="S73" i="26"/>
  <c r="R73" i="26"/>
  <c r="Q73" i="26"/>
  <c r="P73" i="26"/>
  <c r="O72" i="26"/>
  <c r="O73" i="26"/>
  <c r="N72" i="26"/>
  <c r="N73" i="26"/>
  <c r="N68" i="26"/>
  <c r="M72" i="26"/>
  <c r="M73" i="26"/>
  <c r="M68" i="26"/>
  <c r="L72" i="26"/>
  <c r="L73" i="26"/>
  <c r="L68" i="26"/>
  <c r="P58" i="26"/>
  <c r="P69" i="26" s="1"/>
  <c r="O58" i="26"/>
  <c r="O69" i="26" s="1"/>
  <c r="N58" i="26"/>
  <c r="M58" i="26"/>
  <c r="L58" i="26"/>
  <c r="L69" i="26" s="1"/>
  <c r="O27" i="26"/>
  <c r="P9" i="26"/>
  <c r="Q7" i="26"/>
  <c r="T6" i="26"/>
  <c r="E13" i="25"/>
  <c r="E18" i="25" s="1"/>
  <c r="L6" i="25"/>
  <c r="M52" i="24"/>
  <c r="L59" i="24"/>
  <c r="L9" i="25" s="1"/>
  <c r="U35" i="24"/>
  <c r="T30" i="24"/>
  <c r="AG34" i="22"/>
  <c r="BB34" i="22"/>
  <c r="AF34" i="22"/>
  <c r="BA34" i="22"/>
  <c r="AE34" i="22"/>
  <c r="AZ34" i="22"/>
  <c r="AD34" i="22"/>
  <c r="AY34" i="22"/>
  <c r="AX34" i="22"/>
  <c r="AC34" i="22"/>
  <c r="AW34" i="22"/>
  <c r="AB34" i="22"/>
  <c r="AV34" i="22"/>
  <c r="AA34" i="22"/>
  <c r="AU34" i="22"/>
  <c r="Z34" i="22"/>
  <c r="AT34" i="22"/>
  <c r="Y34" i="22"/>
  <c r="BB28" i="22"/>
  <c r="AG28" i="22"/>
  <c r="BA28" i="22"/>
  <c r="AF28" i="22"/>
  <c r="AZ28" i="22"/>
  <c r="AE28" i="22"/>
  <c r="AD28" i="22"/>
  <c r="AY28" i="22"/>
  <c r="AX28" i="22"/>
  <c r="AC28" i="22"/>
  <c r="AB28" i="22"/>
  <c r="AW28" i="22"/>
  <c r="AA28" i="22"/>
  <c r="AV28" i="22"/>
  <c r="Z28" i="22"/>
  <c r="AU28" i="22"/>
  <c r="AT28" i="22"/>
  <c r="Y28" i="22"/>
  <c r="E33" i="21"/>
  <c r="D78" i="1"/>
  <c r="D20" i="4" s="1"/>
  <c r="D19" i="4" s="1"/>
  <c r="G33" i="21"/>
  <c r="G78" i="1" s="1"/>
  <c r="G20" i="4" s="1"/>
  <c r="J33" i="21"/>
  <c r="R28" i="21"/>
  <c r="S28" i="21" s="1"/>
  <c r="Q29" i="21"/>
  <c r="Q26" i="21"/>
  <c r="Q27" i="21"/>
  <c r="Q30" i="21" s="1"/>
  <c r="H68" i="20"/>
  <c r="G70" i="20"/>
  <c r="G69" i="20" s="1"/>
  <c r="G63" i="20"/>
  <c r="G64" i="20"/>
  <c r="D48" i="20" s="1"/>
  <c r="F65" i="20"/>
  <c r="C60" i="20" s="1"/>
  <c r="C28" i="1" s="1"/>
  <c r="C18" i="4" s="1"/>
  <c r="C17" i="4" s="1"/>
  <c r="H44" i="20"/>
  <c r="F38" i="20"/>
  <c r="F42" i="20" s="1"/>
  <c r="G34" i="20"/>
  <c r="F89" i="19"/>
  <c r="F94" i="19" s="1"/>
  <c r="F42" i="19" s="1"/>
  <c r="F46" i="19" s="1"/>
  <c r="F51" i="19" s="1"/>
  <c r="F58" i="19" s="1"/>
  <c r="F62" i="19" s="1"/>
  <c r="F102" i="19"/>
  <c r="D66" i="19"/>
  <c r="E64" i="19"/>
  <c r="N41" i="19"/>
  <c r="N46" i="19" s="1"/>
  <c r="N51" i="19" s="1"/>
  <c r="N58" i="19" s="1"/>
  <c r="N62" i="19" s="1"/>
  <c r="M46" i="19"/>
  <c r="M51" i="19" s="1"/>
  <c r="M58" i="19" s="1"/>
  <c r="M62" i="19" s="1"/>
  <c r="L36" i="19"/>
  <c r="K46" i="19"/>
  <c r="L29" i="19"/>
  <c r="L21" i="1"/>
  <c r="L32" i="7" s="1"/>
  <c r="K21" i="1"/>
  <c r="K32" i="7" s="1"/>
  <c r="J29" i="19"/>
  <c r="J21" i="1"/>
  <c r="J32" i="7" s="1"/>
  <c r="I29" i="19"/>
  <c r="I21" i="1"/>
  <c r="I32" i="7" s="1"/>
  <c r="H29" i="19"/>
  <c r="H21" i="1"/>
  <c r="H32" i="7" s="1"/>
  <c r="G29" i="19"/>
  <c r="G21" i="1"/>
  <c r="G32" i="7" s="1"/>
  <c r="F29" i="19"/>
  <c r="F21" i="1"/>
  <c r="F32" i="7" s="1"/>
  <c r="E29" i="19"/>
  <c r="E21" i="1"/>
  <c r="E32" i="7" s="1"/>
  <c r="D29" i="19"/>
  <c r="D21" i="1"/>
  <c r="D32" i="7" s="1"/>
  <c r="C29" i="19"/>
  <c r="C21" i="1"/>
  <c r="C32" i="7" s="1"/>
  <c r="N9" i="19"/>
  <c r="N15" i="19" s="1"/>
  <c r="N20" i="19" s="1"/>
  <c r="N10" i="19"/>
  <c r="M9" i="19"/>
  <c r="M15" i="19" s="1"/>
  <c r="M20" i="19" s="1"/>
  <c r="M10" i="19"/>
  <c r="K10" i="19"/>
  <c r="K11" i="19" s="1"/>
  <c r="L11" i="19" s="1"/>
  <c r="M11" i="19" s="1"/>
  <c r="N11" i="19" s="1"/>
  <c r="K24" i="19"/>
  <c r="K27" i="19" s="1"/>
  <c r="H124" i="18"/>
  <c r="G123" i="18"/>
  <c r="Q120" i="18"/>
  <c r="Q119" i="18" s="1"/>
  <c r="Q131" i="18"/>
  <c r="Q130" i="18"/>
  <c r="P131" i="18"/>
  <c r="P130" i="18"/>
  <c r="P120" i="18"/>
  <c r="P119" i="18" s="1"/>
  <c r="O131" i="18"/>
  <c r="O120" i="18"/>
  <c r="O119" i="18" s="1"/>
  <c r="O130" i="18"/>
  <c r="N120" i="18"/>
  <c r="N119" i="18" s="1"/>
  <c r="N130" i="18"/>
  <c r="N131" i="18"/>
  <c r="M120" i="18"/>
  <c r="M119" i="18" s="1"/>
  <c r="M130" i="18"/>
  <c r="M131" i="18"/>
  <c r="L120" i="18"/>
  <c r="L119" i="18" s="1"/>
  <c r="L130" i="18"/>
  <c r="L131" i="18"/>
  <c r="K130" i="18"/>
  <c r="K120" i="18"/>
  <c r="K119" i="18" s="1"/>
  <c r="K131" i="18"/>
  <c r="J130" i="18"/>
  <c r="J131" i="18"/>
  <c r="J120" i="18"/>
  <c r="J119" i="18" s="1"/>
  <c r="I130" i="18"/>
  <c r="I120" i="18"/>
  <c r="I119" i="18" s="1"/>
  <c r="I131" i="18"/>
  <c r="H129" i="18"/>
  <c r="H120" i="18"/>
  <c r="H130" i="18"/>
  <c r="H131" i="18"/>
  <c r="G129" i="18"/>
  <c r="G120" i="18"/>
  <c r="G130" i="18"/>
  <c r="G131" i="18"/>
  <c r="F130" i="18"/>
  <c r="F129" i="18"/>
  <c r="F131" i="18"/>
  <c r="F120" i="18"/>
  <c r="H112" i="18"/>
  <c r="H113" i="18" s="1"/>
  <c r="G62" i="18"/>
  <c r="G113" i="18"/>
  <c r="F113" i="18"/>
  <c r="G96" i="18"/>
  <c r="F95" i="18"/>
  <c r="E101" i="18"/>
  <c r="K64" i="18"/>
  <c r="G18" i="1"/>
  <c r="G12" i="4" s="1"/>
  <c r="E12" i="22" s="1"/>
  <c r="N51" i="18"/>
  <c r="M52" i="18"/>
  <c r="K45" i="18"/>
  <c r="J49" i="18"/>
  <c r="J54" i="18" s="1"/>
  <c r="Q30" i="18"/>
  <c r="N10" i="1"/>
  <c r="N31" i="7" s="1"/>
  <c r="P30" i="18"/>
  <c r="M10" i="1"/>
  <c r="M31" i="7" s="1"/>
  <c r="L10" i="1"/>
  <c r="L31" i="7" s="1"/>
  <c r="N9" i="18"/>
  <c r="N10" i="18"/>
  <c r="Q40" i="18"/>
  <c r="Q41" i="18" s="1"/>
  <c r="Q44" i="18" s="1"/>
  <c r="P40" i="18"/>
  <c r="P41" i="18" s="1"/>
  <c r="P44" i="18" s="1"/>
  <c r="P49" i="18" s="1"/>
  <c r="P54" i="18" s="1"/>
  <c r="P37" i="18"/>
  <c r="O40" i="18"/>
  <c r="O41" i="18" s="1"/>
  <c r="O44" i="18" s="1"/>
  <c r="O37" i="18"/>
  <c r="M8" i="18"/>
  <c r="M40" i="18"/>
  <c r="M41" i="18" s="1"/>
  <c r="L8" i="18"/>
  <c r="L40" i="18"/>
  <c r="L41" i="18" s="1"/>
  <c r="K8" i="18"/>
  <c r="K40" i="18"/>
  <c r="K41" i="18" s="1"/>
  <c r="J8" i="18"/>
  <c r="J40" i="18"/>
  <c r="I40" i="18"/>
  <c r="I8" i="18"/>
  <c r="H8" i="18"/>
  <c r="H40" i="18"/>
  <c r="G8" i="18"/>
  <c r="G40" i="18"/>
  <c r="F8" i="18"/>
  <c r="F40" i="18"/>
  <c r="L69" i="17"/>
  <c r="K73" i="17"/>
  <c r="K78" i="17" s="1"/>
  <c r="K37" i="17" s="1"/>
  <c r="N33" i="17"/>
  <c r="N40" i="17" s="1"/>
  <c r="N45" i="17" s="1"/>
  <c r="K33" i="17"/>
  <c r="N26" i="17"/>
  <c r="N31" i="1"/>
  <c r="N35" i="7" s="1"/>
  <c r="M26" i="17"/>
  <c r="M31" i="1"/>
  <c r="M35" i="7" s="1"/>
  <c r="L26" i="17"/>
  <c r="L31" i="1"/>
  <c r="L35" i="7" s="1"/>
  <c r="K26" i="17"/>
  <c r="K31" i="1"/>
  <c r="K35" i="7" s="1"/>
  <c r="J26" i="17"/>
  <c r="J31" i="1"/>
  <c r="J35" i="7" s="1"/>
  <c r="I26" i="17"/>
  <c r="I31" i="1"/>
  <c r="I35" i="7" s="1"/>
  <c r="H26" i="17"/>
  <c r="H31" i="1"/>
  <c r="H35" i="7" s="1"/>
  <c r="G26" i="17"/>
  <c r="G31" i="1"/>
  <c r="G35" i="7" s="1"/>
  <c r="E31" i="1"/>
  <c r="E35" i="7" s="1"/>
  <c r="E26" i="17"/>
  <c r="D26" i="17"/>
  <c r="D31" i="1"/>
  <c r="D35" i="7" s="1"/>
  <c r="C26" i="17"/>
  <c r="C31" i="1"/>
  <c r="C35" i="7" s="1"/>
  <c r="F26" i="17"/>
  <c r="F31" i="1"/>
  <c r="F35" i="7" s="1"/>
  <c r="C73" i="16"/>
  <c r="C74" i="16"/>
  <c r="C78" i="16" s="1"/>
  <c r="H69" i="16"/>
  <c r="H70" i="16" s="1"/>
  <c r="E75" i="16"/>
  <c r="D78" i="16"/>
  <c r="D83" i="16" s="1"/>
  <c r="E48" i="16"/>
  <c r="J39" i="16"/>
  <c r="K39" i="16" s="1"/>
  <c r="L39" i="16" s="1"/>
  <c r="M39" i="16" s="1"/>
  <c r="N39" i="16" s="1"/>
  <c r="G39" i="16"/>
  <c r="H39" i="16" s="1"/>
  <c r="I39" i="16" s="1"/>
  <c r="F45" i="16"/>
  <c r="H37" i="16"/>
  <c r="G45" i="16"/>
  <c r="D32" i="16"/>
  <c r="C96" i="1"/>
  <c r="C24" i="7" s="1"/>
  <c r="J5" i="1"/>
  <c r="J30" i="7" s="1"/>
  <c r="I19" i="16"/>
  <c r="I25" i="16" s="1"/>
  <c r="I6" i="1" s="1"/>
  <c r="I38" i="7" s="1"/>
  <c r="I44" i="7" s="1"/>
  <c r="I27" i="16"/>
  <c r="I5" i="1"/>
  <c r="I30" i="7" s="1"/>
  <c r="H27" i="16"/>
  <c r="H5" i="1"/>
  <c r="H30" i="7" s="1"/>
  <c r="G27" i="16"/>
  <c r="G5" i="1"/>
  <c r="G30" i="7" s="1"/>
  <c r="F27" i="16"/>
  <c r="F5" i="1"/>
  <c r="F30" i="7" s="1"/>
  <c r="E27" i="16"/>
  <c r="E5" i="1"/>
  <c r="E30" i="7" s="1"/>
  <c r="D27" i="16"/>
  <c r="D5" i="1"/>
  <c r="D30" i="7" s="1"/>
  <c r="C27" i="16"/>
  <c r="C5" i="1"/>
  <c r="C30" i="7" s="1"/>
  <c r="M9" i="16"/>
  <c r="M12" i="16" s="1"/>
  <c r="M17" i="16" s="1"/>
  <c r="M10" i="16"/>
  <c r="L9" i="16"/>
  <c r="L12" i="16" s="1"/>
  <c r="L17" i="16" s="1"/>
  <c r="L10" i="16"/>
  <c r="K9" i="16"/>
  <c r="K12" i="16" s="1"/>
  <c r="K17" i="16" s="1"/>
  <c r="K10" i="16"/>
  <c r="N9" i="16"/>
  <c r="K37" i="16"/>
  <c r="J45" i="16"/>
  <c r="J60" i="16" s="1"/>
  <c r="D8" i="15"/>
  <c r="E4" i="15"/>
  <c r="D39" i="14"/>
  <c r="F37" i="14"/>
  <c r="G37" i="14" s="1"/>
  <c r="H37" i="14" s="1"/>
  <c r="I37" i="14" s="1"/>
  <c r="J37" i="14" s="1"/>
  <c r="K37" i="14" s="1"/>
  <c r="L37" i="14" s="1"/>
  <c r="M37" i="14" s="1"/>
  <c r="N37" i="14" s="1"/>
  <c r="C19" i="13"/>
  <c r="L35" i="14"/>
  <c r="L91" i="1" s="1"/>
  <c r="L30" i="4" s="1"/>
  <c r="J30" i="22" s="1"/>
  <c r="M34" i="14"/>
  <c r="L32" i="14"/>
  <c r="L79" i="1"/>
  <c r="L22" i="4" s="1"/>
  <c r="AD29" i="13" a="1"/>
  <c r="AD29" i="13" s="1"/>
  <c r="N72" i="1" s="1"/>
  <c r="N54" i="7" s="1"/>
  <c r="AE3" i="13"/>
  <c r="AC3" i="13"/>
  <c r="AB29" i="13" a="1"/>
  <c r="AB29" i="13" s="1"/>
  <c r="M72" i="1" s="1"/>
  <c r="M54" i="7" s="1"/>
  <c r="AA3" i="13"/>
  <c r="Z29" i="13" a="1"/>
  <c r="Z29" i="13" s="1"/>
  <c r="L72" i="1" s="1"/>
  <c r="L54" i="7" s="1"/>
  <c r="Y3" i="13"/>
  <c r="W3" i="13"/>
  <c r="V22" i="13"/>
  <c r="X22" i="13" s="1"/>
  <c r="Z22" i="13" s="1"/>
  <c r="AB22" i="13" s="1"/>
  <c r="AD22" i="13" s="1"/>
  <c r="T29" i="13" a="1"/>
  <c r="T29" i="13" s="1"/>
  <c r="I72" i="1" s="1"/>
  <c r="I54" i="7" s="1"/>
  <c r="T21" i="13"/>
  <c r="V21" i="13" s="1"/>
  <c r="X21" i="13" s="1"/>
  <c r="Z21" i="13" s="1"/>
  <c r="AB21" i="13" s="1"/>
  <c r="AD21" i="13" s="1"/>
  <c r="U3" i="13"/>
  <c r="S3" i="13"/>
  <c r="R17" i="13"/>
  <c r="R20" i="13"/>
  <c r="T20" i="13" s="1"/>
  <c r="V20" i="13" s="1"/>
  <c r="X20" i="13" s="1"/>
  <c r="Z20" i="13" s="1"/>
  <c r="AB20" i="13" s="1"/>
  <c r="AD20" i="13" s="1"/>
  <c r="R12" i="13"/>
  <c r="T12" i="13" s="1"/>
  <c r="V12" i="13" s="1"/>
  <c r="X12" i="13" s="1"/>
  <c r="Z12" i="13" s="1"/>
  <c r="AB12" i="13" s="1"/>
  <c r="AD12" i="13" s="1"/>
  <c r="P14" i="13"/>
  <c r="R14" i="13" s="1"/>
  <c r="T14" i="13" s="1"/>
  <c r="V14" i="13" s="1"/>
  <c r="P5" i="13"/>
  <c r="R5" i="13" s="1"/>
  <c r="T5" i="13" s="1"/>
  <c r="V5" i="13" s="1"/>
  <c r="X5" i="13" s="1"/>
  <c r="Z5" i="13" s="1"/>
  <c r="AB5" i="13" s="1"/>
  <c r="AD5" i="13" s="1"/>
  <c r="Q3" i="13"/>
  <c r="N18" i="13"/>
  <c r="P18" i="13" s="1"/>
  <c r="R18" i="13" s="1"/>
  <c r="T18" i="13" s="1"/>
  <c r="V18" i="13" s="1"/>
  <c r="N13" i="13"/>
  <c r="P13" i="13" s="1"/>
  <c r="N11" i="13"/>
  <c r="P11" i="13" s="1"/>
  <c r="R11" i="13" s="1"/>
  <c r="T11" i="13" s="1"/>
  <c r="V11" i="13" s="1"/>
  <c r="O3" i="13"/>
  <c r="L29" i="13" a="1"/>
  <c r="L29" i="13" s="1"/>
  <c r="E72" i="1" s="1"/>
  <c r="E54" i="7" s="1"/>
  <c r="M3" i="13"/>
  <c r="J19" i="13"/>
  <c r="L19" i="13" s="1"/>
  <c r="N19" i="13" s="1"/>
  <c r="P19" i="13" s="1"/>
  <c r="R19" i="13" s="1"/>
  <c r="T19" i="13" s="1"/>
  <c r="V19" i="13" s="1"/>
  <c r="K3" i="13"/>
  <c r="J29" i="13" a="1"/>
  <c r="J29" i="13" s="1"/>
  <c r="D72" i="1" s="1"/>
  <c r="D54" i="7" s="1"/>
  <c r="H11" i="13"/>
  <c r="J11" i="13" s="1"/>
  <c r="L11" i="13" s="1"/>
  <c r="H18" i="13"/>
  <c r="J18" i="13" s="1"/>
  <c r="L18" i="13" s="1"/>
  <c r="H6" i="13"/>
  <c r="J6" i="13" s="1"/>
  <c r="L6" i="13" s="1"/>
  <c r="N6" i="13" s="1"/>
  <c r="P6" i="13" s="1"/>
  <c r="R6" i="13" s="1"/>
  <c r="T6" i="13" s="1"/>
  <c r="V6" i="13" s="1"/>
  <c r="X6" i="13" s="1"/>
  <c r="Z6" i="13" s="1"/>
  <c r="AB6" i="13" s="1"/>
  <c r="AD6" i="13" s="1"/>
  <c r="H7" i="13"/>
  <c r="J7" i="13" s="1"/>
  <c r="L7" i="13" s="1"/>
  <c r="N7" i="13" s="1"/>
  <c r="H16" i="13"/>
  <c r="J16" i="13" s="1"/>
  <c r="L16" i="13" s="1"/>
  <c r="N16" i="13" s="1"/>
  <c r="P16" i="13" s="1"/>
  <c r="R16" i="13" s="1"/>
  <c r="H9" i="13"/>
  <c r="J9" i="13" s="1"/>
  <c r="L9" i="13" s="1"/>
  <c r="N9" i="13" s="1"/>
  <c r="P9" i="13" s="1"/>
  <c r="R9" i="13" s="1"/>
  <c r="T9" i="13" s="1"/>
  <c r="V9" i="13" s="1"/>
  <c r="X9" i="13" s="1"/>
  <c r="Z9" i="13" s="1"/>
  <c r="AB9" i="13" s="1"/>
  <c r="AD9" i="13" s="1"/>
  <c r="H19" i="13"/>
  <c r="I3" i="13"/>
  <c r="H10" i="13"/>
  <c r="J10" i="13" s="1"/>
  <c r="L10" i="13" s="1"/>
  <c r="N10" i="13" s="1"/>
  <c r="P10" i="13" s="1"/>
  <c r="R10" i="13" s="1"/>
  <c r="T10" i="13" s="1"/>
  <c r="V10" i="13" s="1"/>
  <c r="H21" i="13"/>
  <c r="J21" i="13" s="1"/>
  <c r="L21" i="13" s="1"/>
  <c r="N21" i="13" s="1"/>
  <c r="P21" i="13" s="1"/>
  <c r="R21" i="13" s="1"/>
  <c r="H14" i="13"/>
  <c r="J14" i="13" s="1"/>
  <c r="L14" i="13" s="1"/>
  <c r="N14" i="13" s="1"/>
  <c r="H20" i="13"/>
  <c r="J20" i="13" s="1"/>
  <c r="L20" i="13" s="1"/>
  <c r="N20" i="13" s="1"/>
  <c r="P20" i="13" s="1"/>
  <c r="H8" i="13"/>
  <c r="J8" i="13" s="1"/>
  <c r="L8" i="13" s="1"/>
  <c r="N8" i="13" s="1"/>
  <c r="P8" i="13" s="1"/>
  <c r="R8" i="13" s="1"/>
  <c r="T8" i="13" s="1"/>
  <c r="V8" i="13" s="1"/>
  <c r="X8" i="13" s="1"/>
  <c r="Z8" i="13" s="1"/>
  <c r="AB8" i="13" s="1"/>
  <c r="AD8" i="13" s="1"/>
  <c r="H15" i="13"/>
  <c r="J15" i="13" s="1"/>
  <c r="L15" i="13" s="1"/>
  <c r="N15" i="13" s="1"/>
  <c r="H22" i="13"/>
  <c r="J22" i="13" s="1"/>
  <c r="L22" i="13" s="1"/>
  <c r="N22" i="13" s="1"/>
  <c r="P22" i="13" s="1"/>
  <c r="R22" i="13" s="1"/>
  <c r="T22" i="13" s="1"/>
  <c r="H12" i="13"/>
  <c r="J12" i="13" s="1"/>
  <c r="L12" i="13" s="1"/>
  <c r="N12" i="13" s="1"/>
  <c r="H29" i="13" a="1"/>
  <c r="H29" i="13" s="1"/>
  <c r="C72" i="1" s="1"/>
  <c r="C54" i="7" s="1"/>
  <c r="H5" i="13"/>
  <c r="J5" i="13" s="1"/>
  <c r="L5" i="13" s="1"/>
  <c r="N5" i="13" s="1"/>
  <c r="H17" i="13"/>
  <c r="J17" i="13" s="1"/>
  <c r="L17" i="13" s="1"/>
  <c r="N17" i="13" s="1"/>
  <c r="P17" i="13" s="1"/>
  <c r="H13" i="13"/>
  <c r="J13" i="13" s="1"/>
  <c r="L13" i="13" s="1"/>
  <c r="AE39" i="12" a="1"/>
  <c r="AE39" i="12" s="1"/>
  <c r="AF2" i="12"/>
  <c r="AC39" i="12" a="1"/>
  <c r="AC39" i="12" s="1"/>
  <c r="AA39" i="12" a="1"/>
  <c r="AA39" i="12" s="1"/>
  <c r="M67" i="1" s="1"/>
  <c r="M53" i="7" s="1"/>
  <c r="AB2" i="12"/>
  <c r="Y39" i="12" a="1"/>
  <c r="Y39" i="12" s="1"/>
  <c r="K67" i="1" s="1"/>
  <c r="K53" i="7" s="1"/>
  <c r="Z2" i="12"/>
  <c r="X2" i="12"/>
  <c r="W39" i="12" a="1"/>
  <c r="W39" i="12" s="1"/>
  <c r="J67" i="1" s="1"/>
  <c r="J53" i="7" s="1"/>
  <c r="U39" i="12" a="1"/>
  <c r="U39" i="12" s="1"/>
  <c r="I67" i="1" s="1"/>
  <c r="I53" i="7" s="1"/>
  <c r="V2" i="12"/>
  <c r="S10" i="12"/>
  <c r="U10" i="12" s="1"/>
  <c r="W10" i="12" s="1"/>
  <c r="Y10" i="12" s="1"/>
  <c r="AA10" i="12" s="1"/>
  <c r="AC10" i="12" s="1"/>
  <c r="AE10" i="12" s="1"/>
  <c r="S15" i="12"/>
  <c r="U15" i="12" s="1"/>
  <c r="W15" i="12" s="1"/>
  <c r="Y15" i="12" s="1"/>
  <c r="AA15" i="12" s="1"/>
  <c r="AC15" i="12" s="1"/>
  <c r="AE15" i="12" s="1"/>
  <c r="S11" i="12"/>
  <c r="U11" i="12" s="1"/>
  <c r="W11" i="12" s="1"/>
  <c r="Y11" i="12" s="1"/>
  <c r="AA11" i="12" s="1"/>
  <c r="AC11" i="12" s="1"/>
  <c r="AE11" i="12" s="1"/>
  <c r="T2" i="12"/>
  <c r="S39" i="12" a="1"/>
  <c r="S39" i="12" s="1"/>
  <c r="H67" i="1" s="1"/>
  <c r="H53" i="7" s="1"/>
  <c r="S21" i="12"/>
  <c r="U21" i="12" s="1"/>
  <c r="W21" i="12" s="1"/>
  <c r="Y21" i="12" s="1"/>
  <c r="S16" i="12"/>
  <c r="U16" i="12" s="1"/>
  <c r="W16" i="12" s="1"/>
  <c r="Y16" i="12" s="1"/>
  <c r="AA16" i="12" s="1"/>
  <c r="AC16" i="12" s="1"/>
  <c r="AE16" i="12" s="1"/>
  <c r="Q18" i="12"/>
  <c r="S18" i="12" s="1"/>
  <c r="U18" i="12" s="1"/>
  <c r="Q39" i="12" a="1"/>
  <c r="Q39" i="12" s="1"/>
  <c r="G67" i="1" s="1"/>
  <c r="G53" i="7" s="1"/>
  <c r="R2" i="12"/>
  <c r="O5" i="12"/>
  <c r="Q5" i="12" s="1"/>
  <c r="S5" i="12" s="1"/>
  <c r="U5" i="12" s="1"/>
  <c r="W5" i="12" s="1"/>
  <c r="O17" i="12"/>
  <c r="Q17" i="12" s="1"/>
  <c r="S17" i="12" s="1"/>
  <c r="U17" i="12" s="1"/>
  <c r="O7" i="12"/>
  <c r="Q7" i="12" s="1"/>
  <c r="S7" i="12" s="1"/>
  <c r="U7" i="12" s="1"/>
  <c r="W7" i="12" s="1"/>
  <c r="Y7" i="12" s="1"/>
  <c r="AA7" i="12" s="1"/>
  <c r="AC7" i="12" s="1"/>
  <c r="AE7" i="12" s="1"/>
  <c r="P2" i="12"/>
  <c r="O39" i="12" a="1"/>
  <c r="O39" i="12" s="1"/>
  <c r="F67" i="1" s="1"/>
  <c r="F53" i="7" s="1"/>
  <c r="O19" i="12"/>
  <c r="Q19" i="12" s="1"/>
  <c r="S19" i="12" s="1"/>
  <c r="U19" i="12" s="1"/>
  <c r="W19" i="12" s="1"/>
  <c r="O9" i="12"/>
  <c r="Q9" i="12" s="1"/>
  <c r="S9" i="12" s="1"/>
  <c r="U9" i="12" s="1"/>
  <c r="W9" i="12" s="1"/>
  <c r="Y9" i="12" s="1"/>
  <c r="AA9" i="12" s="1"/>
  <c r="AC9" i="12" s="1"/>
  <c r="AE9" i="12" s="1"/>
  <c r="O8" i="12"/>
  <c r="Q8" i="12" s="1"/>
  <c r="S8" i="12" s="1"/>
  <c r="U8" i="12" s="1"/>
  <c r="W8" i="12" s="1"/>
  <c r="Y8" i="12" s="1"/>
  <c r="AA8" i="12" s="1"/>
  <c r="AC8" i="12" s="1"/>
  <c r="AE8" i="12" s="1"/>
  <c r="N2" i="12"/>
  <c r="M39" i="12" a="1"/>
  <c r="M39" i="12" s="1"/>
  <c r="E67" i="1" s="1"/>
  <c r="E53" i="7" s="1"/>
  <c r="L2" i="12"/>
  <c r="K16" i="12"/>
  <c r="M16" i="12" s="1"/>
  <c r="O16" i="12" s="1"/>
  <c r="K39" i="12" a="1"/>
  <c r="K39" i="12" s="1"/>
  <c r="D67" i="1" s="1"/>
  <c r="D53" i="7" s="1"/>
  <c r="I15" i="12"/>
  <c r="K15" i="12" s="1"/>
  <c r="M15" i="12" s="1"/>
  <c r="O15" i="12" s="1"/>
  <c r="I12" i="12"/>
  <c r="I28" i="12"/>
  <c r="K28" i="12" s="1"/>
  <c r="M28" i="12" s="1"/>
  <c r="O28" i="12" s="1"/>
  <c r="Q28" i="12" s="1"/>
  <c r="S28" i="12" s="1"/>
  <c r="U28" i="12" s="1"/>
  <c r="W28" i="12" s="1"/>
  <c r="Y28" i="12" s="1"/>
  <c r="AA28" i="12" s="1"/>
  <c r="AC28" i="12" s="1"/>
  <c r="AE28" i="12" s="1"/>
  <c r="AF28" i="12" s="1"/>
  <c r="I20" i="12"/>
  <c r="K20" i="12" s="1"/>
  <c r="M20" i="12" s="1"/>
  <c r="O20" i="12" s="1"/>
  <c r="I39" i="12" a="1"/>
  <c r="I39" i="12" s="1"/>
  <c r="C67" i="1" s="1"/>
  <c r="C53" i="7" s="1"/>
  <c r="I5" i="12"/>
  <c r="K5" i="12" s="1"/>
  <c r="M5" i="12" s="1"/>
  <c r="I27" i="12"/>
  <c r="K27" i="12" s="1"/>
  <c r="M27" i="12" s="1"/>
  <c r="O27" i="12" s="1"/>
  <c r="Q27" i="12" s="1"/>
  <c r="S27" i="12" s="1"/>
  <c r="U27" i="12" s="1"/>
  <c r="W27" i="12" s="1"/>
  <c r="Y27" i="12" s="1"/>
  <c r="AA27" i="12" s="1"/>
  <c r="AC27" i="12" s="1"/>
  <c r="AE27" i="12" s="1"/>
  <c r="AF27" i="12" s="1"/>
  <c r="I7" i="12"/>
  <c r="K7" i="12" s="1"/>
  <c r="I24" i="12"/>
  <c r="K24" i="12" s="1"/>
  <c r="M24" i="12" s="1"/>
  <c r="O24" i="12" s="1"/>
  <c r="Q24" i="12" s="1"/>
  <c r="I22" i="12"/>
  <c r="K22" i="12" s="1"/>
  <c r="M22" i="12" s="1"/>
  <c r="O22" i="12" s="1"/>
  <c r="Q22" i="12" s="1"/>
  <c r="I21" i="12"/>
  <c r="K21" i="12" s="1"/>
  <c r="M21" i="12" s="1"/>
  <c r="O21" i="12" s="1"/>
  <c r="Q21" i="12" s="1"/>
  <c r="R21" i="12" s="1"/>
  <c r="I17" i="12"/>
  <c r="K17" i="12" s="1"/>
  <c r="M17" i="12" s="1"/>
  <c r="I14" i="12"/>
  <c r="J2" i="12"/>
  <c r="I23" i="12"/>
  <c r="K23" i="12" s="1"/>
  <c r="M23" i="12" s="1"/>
  <c r="O23" i="12" s="1"/>
  <c r="Q23" i="12" s="1"/>
  <c r="I9" i="12"/>
  <c r="K9" i="12" s="1"/>
  <c r="I29" i="12"/>
  <c r="K29" i="12" s="1"/>
  <c r="M29" i="12" s="1"/>
  <c r="O29" i="12" s="1"/>
  <c r="Q29" i="12" s="1"/>
  <c r="I6" i="12"/>
  <c r="K6" i="12" s="1"/>
  <c r="M6" i="12" s="1"/>
  <c r="O6" i="12" s="1"/>
  <c r="Q6" i="12" s="1"/>
  <c r="I10" i="12"/>
  <c r="K10" i="12" s="1"/>
  <c r="M10" i="12" s="1"/>
  <c r="O10" i="12" s="1"/>
  <c r="I25" i="12"/>
  <c r="K25" i="12" s="1"/>
  <c r="M25" i="12" s="1"/>
  <c r="O25" i="12" s="1"/>
  <c r="Q25" i="12" s="1"/>
  <c r="I11" i="12"/>
  <c r="K11" i="12" s="1"/>
  <c r="M11" i="12" s="1"/>
  <c r="O11" i="12" s="1"/>
  <c r="I16" i="12"/>
  <c r="I8" i="12"/>
  <c r="K8" i="12" s="1"/>
  <c r="I26" i="12"/>
  <c r="K26" i="12" s="1"/>
  <c r="M26" i="12" s="1"/>
  <c r="O26" i="12" s="1"/>
  <c r="Q26" i="12" s="1"/>
  <c r="S26" i="12" s="1"/>
  <c r="U26" i="12" s="1"/>
  <c r="W26" i="12" s="1"/>
  <c r="Y26" i="12" s="1"/>
  <c r="I19" i="12"/>
  <c r="K19" i="12" s="1"/>
  <c r="M19" i="12" s="1"/>
  <c r="I4" i="12"/>
  <c r="K4" i="12" s="1"/>
  <c r="M4" i="12" s="1"/>
  <c r="O4" i="12" s="1"/>
  <c r="I18" i="12"/>
  <c r="K18" i="12" s="1"/>
  <c r="M18" i="12" s="1"/>
  <c r="O18" i="12" s="1"/>
  <c r="I13" i="12"/>
  <c r="D95" i="11"/>
  <c r="E95" i="11" a="1"/>
  <c r="E95" i="11" s="1"/>
  <c r="G95" i="11" s="1"/>
  <c r="I95" i="11" a="1"/>
  <c r="I95" i="11" s="1"/>
  <c r="A136" i="11"/>
  <c r="D94" i="11"/>
  <c r="E94" i="11" a="1"/>
  <c r="E94" i="11" s="1"/>
  <c r="G94" i="11"/>
  <c r="I94" i="11" a="1"/>
  <c r="I94" i="11" s="1"/>
  <c r="A135" i="11"/>
  <c r="D93" i="11"/>
  <c r="E93" i="11" a="1"/>
  <c r="E93" i="11" s="1"/>
  <c r="I93" i="11" a="1"/>
  <c r="I93" i="11" s="1"/>
  <c r="A134" i="11"/>
  <c r="I37" i="11"/>
  <c r="J37" i="11" s="1"/>
  <c r="K37" i="11" s="1"/>
  <c r="L37" i="11" s="1"/>
  <c r="C47" i="11"/>
  <c r="C44" i="11"/>
  <c r="G37" i="11"/>
  <c r="D92" i="11"/>
  <c r="E92" i="11" a="1"/>
  <c r="E92" i="11" s="1"/>
  <c r="G92" i="11" s="1"/>
  <c r="H92" i="11" s="1"/>
  <c r="I92" i="11" a="1"/>
  <c r="I92" i="11" s="1"/>
  <c r="A133" i="11"/>
  <c r="D91" i="11"/>
  <c r="E91" i="11" a="1"/>
  <c r="E91" i="11" s="1"/>
  <c r="G91" i="11"/>
  <c r="I91" i="11" a="1"/>
  <c r="I91" i="11" s="1"/>
  <c r="A132" i="11"/>
  <c r="D90" i="11"/>
  <c r="E90" i="11" a="1"/>
  <c r="E90" i="11" s="1"/>
  <c r="G90" i="11" s="1"/>
  <c r="H90" i="11" s="1"/>
  <c r="I90" i="11" a="1"/>
  <c r="I90" i="11" s="1"/>
  <c r="A131" i="11"/>
  <c r="D89" i="11"/>
  <c r="E89" i="11" a="1"/>
  <c r="E89" i="11" s="1"/>
  <c r="G89" i="11" s="1"/>
  <c r="H89" i="11" s="1"/>
  <c r="I89" i="11" a="1"/>
  <c r="I89" i="11" s="1"/>
  <c r="A130" i="11"/>
  <c r="D88" i="11"/>
  <c r="E88" i="11" a="1"/>
  <c r="E88" i="11" s="1"/>
  <c r="G88" i="11" s="1"/>
  <c r="I88" i="11" a="1"/>
  <c r="I88" i="11" s="1"/>
  <c r="A129" i="11"/>
  <c r="D87" i="11"/>
  <c r="E87" i="11" a="1"/>
  <c r="E87" i="11" s="1"/>
  <c r="G87" i="11" s="1"/>
  <c r="H87" i="11" s="1"/>
  <c r="I87" i="11" a="1"/>
  <c r="I87" i="11" s="1"/>
  <c r="A128" i="11"/>
  <c r="D86" i="11"/>
  <c r="E86" i="11" a="1"/>
  <c r="E86" i="11" s="1"/>
  <c r="G86" i="11" s="1"/>
  <c r="I86" i="11" a="1"/>
  <c r="I86" i="11" s="1"/>
  <c r="A127" i="11"/>
  <c r="D85" i="11"/>
  <c r="E85" i="11" a="1"/>
  <c r="E85" i="11" s="1"/>
  <c r="G85" i="11" s="1"/>
  <c r="H85" i="11" s="1"/>
  <c r="I85" i="11" a="1"/>
  <c r="I85" i="11" s="1"/>
  <c r="A126" i="11"/>
  <c r="D84" i="11"/>
  <c r="E84" i="11" a="1"/>
  <c r="E84" i="11" s="1"/>
  <c r="G84" i="11"/>
  <c r="I84" i="11" a="1"/>
  <c r="I84" i="11" s="1"/>
  <c r="A125" i="11"/>
  <c r="D83" i="11"/>
  <c r="E83" i="11" a="1"/>
  <c r="E83" i="11" s="1"/>
  <c r="G83" i="11"/>
  <c r="I83" i="11" a="1"/>
  <c r="I83" i="11" s="1"/>
  <c r="A124" i="11"/>
  <c r="D82" i="11"/>
  <c r="E82" i="11" a="1"/>
  <c r="E82" i="11" s="1"/>
  <c r="G82" i="11"/>
  <c r="I82" i="11" a="1"/>
  <c r="I82" i="11" s="1"/>
  <c r="A123" i="11"/>
  <c r="D81" i="11"/>
  <c r="E81" i="11" a="1"/>
  <c r="E81" i="11" s="1"/>
  <c r="G81" i="11"/>
  <c r="I81" i="11" a="1"/>
  <c r="I81" i="11" s="1"/>
  <c r="A122" i="11"/>
  <c r="D80" i="11"/>
  <c r="E80" i="11" a="1"/>
  <c r="E80" i="11" s="1"/>
  <c r="G80" i="11"/>
  <c r="I80" i="11" a="1"/>
  <c r="I80" i="11" s="1"/>
  <c r="A121" i="11"/>
  <c r="D79" i="11"/>
  <c r="E79" i="11" a="1"/>
  <c r="E79" i="11" s="1"/>
  <c r="G79" i="11"/>
  <c r="I79" i="11" a="1"/>
  <c r="I79" i="11" s="1"/>
  <c r="A120" i="11"/>
  <c r="D78" i="11"/>
  <c r="E78" i="11" a="1"/>
  <c r="E78" i="11" s="1"/>
  <c r="G78" i="11"/>
  <c r="I78" i="11" a="1"/>
  <c r="I78" i="11" s="1"/>
  <c r="A119" i="11"/>
  <c r="D77" i="11"/>
  <c r="E77" i="11" a="1"/>
  <c r="E77" i="11" s="1"/>
  <c r="G77" i="11"/>
  <c r="I77" i="11" a="1"/>
  <c r="I77" i="11" s="1"/>
  <c r="A118" i="11"/>
  <c r="D76" i="11"/>
  <c r="E76" i="11" a="1"/>
  <c r="E76" i="11" s="1"/>
  <c r="G76" i="11"/>
  <c r="I76" i="11" a="1"/>
  <c r="I76" i="11" s="1"/>
  <c r="A117" i="11"/>
  <c r="D75" i="11"/>
  <c r="E75" i="11" a="1"/>
  <c r="E75" i="11" s="1"/>
  <c r="G75" i="11"/>
  <c r="I75" i="11" a="1"/>
  <c r="I75" i="11" s="1"/>
  <c r="A116" i="11"/>
  <c r="D74" i="11"/>
  <c r="E74" i="11" a="1"/>
  <c r="E74" i="11" s="1"/>
  <c r="G74" i="11"/>
  <c r="I74" i="11" a="1"/>
  <c r="I74" i="11" s="1"/>
  <c r="A115" i="11"/>
  <c r="D73" i="11"/>
  <c r="E73" i="11" a="1"/>
  <c r="E73" i="11" s="1"/>
  <c r="G73" i="11"/>
  <c r="I73" i="11" a="1"/>
  <c r="I73" i="11" s="1"/>
  <c r="A114" i="11"/>
  <c r="D72" i="11"/>
  <c r="E72" i="11" a="1"/>
  <c r="E72" i="11" s="1"/>
  <c r="G72" i="11"/>
  <c r="I72" i="11" a="1"/>
  <c r="I72" i="11" s="1"/>
  <c r="A113" i="11"/>
  <c r="D71" i="11"/>
  <c r="E71" i="11" a="1"/>
  <c r="E71" i="11" s="1"/>
  <c r="G71" i="11"/>
  <c r="I71" i="11" a="1"/>
  <c r="I71" i="11" s="1"/>
  <c r="A112" i="11"/>
  <c r="D70" i="11"/>
  <c r="E70" i="11" a="1"/>
  <c r="E70" i="11" s="1"/>
  <c r="G70" i="11"/>
  <c r="I70" i="11" a="1"/>
  <c r="I70" i="11" s="1"/>
  <c r="A111" i="11"/>
  <c r="D69" i="11"/>
  <c r="E69" i="11" a="1"/>
  <c r="E69" i="11" s="1"/>
  <c r="G69" i="11"/>
  <c r="I69" i="11" a="1"/>
  <c r="I69" i="11" s="1"/>
  <c r="A110" i="11"/>
  <c r="D68" i="11"/>
  <c r="E68" i="11" a="1"/>
  <c r="E68" i="11" s="1"/>
  <c r="G68" i="11"/>
  <c r="I68" i="11" a="1"/>
  <c r="I68" i="11" s="1"/>
  <c r="A109" i="11"/>
  <c r="D67" i="11"/>
  <c r="E67" i="11" a="1"/>
  <c r="E67" i="11" s="1"/>
  <c r="G67" i="11"/>
  <c r="I67" i="11" a="1"/>
  <c r="I67" i="11" s="1"/>
  <c r="A108" i="11"/>
  <c r="D66" i="11"/>
  <c r="E66" i="11" a="1"/>
  <c r="E66" i="11" s="1"/>
  <c r="G66" i="11"/>
  <c r="I66" i="11" a="1"/>
  <c r="I66" i="11" s="1"/>
  <c r="A107" i="11"/>
  <c r="D65" i="11"/>
  <c r="E65" i="11" a="1"/>
  <c r="E65" i="11" s="1"/>
  <c r="G65" i="11"/>
  <c r="I65" i="11" a="1"/>
  <c r="I65" i="11" s="1"/>
  <c r="A106" i="11"/>
  <c r="D64" i="11"/>
  <c r="E64" i="11" a="1"/>
  <c r="E64" i="11" s="1"/>
  <c r="G64" i="11"/>
  <c r="I64" i="11" a="1"/>
  <c r="I64" i="11" s="1"/>
  <c r="A105" i="11"/>
  <c r="D63" i="11"/>
  <c r="E63" i="11" a="1"/>
  <c r="E63" i="11" s="1"/>
  <c r="G63" i="11" s="1"/>
  <c r="I63" i="11" a="1"/>
  <c r="I63" i="11" s="1"/>
  <c r="A104" i="11"/>
  <c r="D62" i="11"/>
  <c r="E62" i="11" a="1"/>
  <c r="E62" i="11" s="1"/>
  <c r="G62" i="11" s="1"/>
  <c r="H62" i="11" s="1"/>
  <c r="I62" i="11" a="1"/>
  <c r="I62" i="11" s="1"/>
  <c r="A103" i="11"/>
  <c r="D61" i="11"/>
  <c r="E61" i="11" a="1"/>
  <c r="E61" i="11" s="1"/>
  <c r="I61" i="11" a="1"/>
  <c r="I61" i="11" s="1"/>
  <c r="A102" i="11"/>
  <c r="O55" i="11" a="1"/>
  <c r="O55" i="11" s="1"/>
  <c r="E63" i="1" s="1"/>
  <c r="E52" i="7" s="1"/>
  <c r="G5" i="11"/>
  <c r="I5" i="11"/>
  <c r="E97" i="11" a="1"/>
  <c r="E97" i="11" s="1"/>
  <c r="C50" i="11"/>
  <c r="I55" i="11" a="1"/>
  <c r="I55" i="11" s="1"/>
  <c r="J55" i="11" a="1"/>
  <c r="J55" i="11" s="1"/>
  <c r="K55" i="11" a="1"/>
  <c r="K55" i="11" s="1"/>
  <c r="L55" i="11" a="1"/>
  <c r="L55" i="11" s="1"/>
  <c r="B63" i="1" s="1"/>
  <c r="M55" i="11" a="1"/>
  <c r="M55" i="11" s="1"/>
  <c r="C63" i="1" s="1"/>
  <c r="C52" i="7" s="1"/>
  <c r="N55" i="11" a="1"/>
  <c r="N55" i="11" s="1"/>
  <c r="D63" i="1" s="1"/>
  <c r="D52" i="7" s="1"/>
  <c r="P55" i="11" a="1"/>
  <c r="P55" i="11" s="1"/>
  <c r="F63" i="1" s="1"/>
  <c r="F52" i="7" s="1"/>
  <c r="Q55" i="11" a="1"/>
  <c r="Q55" i="11" s="1"/>
  <c r="G63" i="1" s="1"/>
  <c r="G52" i="7" s="1"/>
  <c r="R55" i="11" a="1"/>
  <c r="R55" i="11" s="1"/>
  <c r="H63" i="1" s="1"/>
  <c r="H52" i="7" s="1"/>
  <c r="S55" i="11" a="1"/>
  <c r="S55" i="11" s="1"/>
  <c r="I63" i="1" s="1"/>
  <c r="I52" i="7" s="1"/>
  <c r="T55" i="11" a="1"/>
  <c r="T55" i="11" s="1"/>
  <c r="J63" i="1" s="1"/>
  <c r="J52" i="7" s="1"/>
  <c r="U55" i="11" a="1"/>
  <c r="U55" i="11" s="1"/>
  <c r="K63" i="1" s="1"/>
  <c r="K52" i="7" s="1"/>
  <c r="V55" i="11" a="1"/>
  <c r="V55" i="11" s="1"/>
  <c r="L63" i="1" s="1"/>
  <c r="L52" i="7" s="1"/>
  <c r="W55" i="11" a="1"/>
  <c r="W55" i="11" s="1"/>
  <c r="M63" i="1" s="1"/>
  <c r="M52" i="7" s="1"/>
  <c r="X55" i="11" a="1"/>
  <c r="X55" i="11" s="1"/>
  <c r="N63" i="1" s="1"/>
  <c r="N52" i="7" s="1"/>
  <c r="D49" i="10"/>
  <c r="C26" i="10"/>
  <c r="C25" i="10"/>
  <c r="D25" i="10" s="1"/>
  <c r="E25" i="10" s="1"/>
  <c r="F25" i="10" s="1"/>
  <c r="G25" i="10" s="1"/>
  <c r="H25" i="10" s="1"/>
  <c r="I25" i="10" s="1"/>
  <c r="J25" i="10" s="1"/>
  <c r="K25" i="10" s="1"/>
  <c r="L25" i="10" s="1"/>
  <c r="M25" i="10" s="1"/>
  <c r="N25" i="10" s="1"/>
  <c r="C51" i="10"/>
  <c r="C41" i="10" a="1"/>
  <c r="C41" i="10" s="1"/>
  <c r="D41" i="10" s="1" a="1"/>
  <c r="D41" i="10" s="1"/>
  <c r="E41" i="10" s="1" a="1"/>
  <c r="E41" i="10" s="1"/>
  <c r="F41" i="10" s="1" a="1"/>
  <c r="F41" i="10" s="1"/>
  <c r="G41" i="10" s="1" a="1"/>
  <c r="G41" i="10" s="1"/>
  <c r="H41" i="10" s="1" a="1"/>
  <c r="H41" i="10" s="1"/>
  <c r="I41" i="10" s="1" a="1"/>
  <c r="I41" i="10" s="1"/>
  <c r="J41" i="10" s="1" a="1"/>
  <c r="J41" i="10" s="1"/>
  <c r="K41" i="10" s="1" a="1"/>
  <c r="K41" i="10" s="1"/>
  <c r="L41" i="10" s="1" a="1"/>
  <c r="L41" i="10" s="1"/>
  <c r="M41" i="10" s="1" a="1"/>
  <c r="M41" i="10" s="1"/>
  <c r="N41" i="10" s="1" a="1"/>
  <c r="N41" i="10" s="1"/>
  <c r="C42" i="10" a="1"/>
  <c r="C42" i="10" s="1"/>
  <c r="D42" i="10" s="1" a="1"/>
  <c r="D42" i="10" s="1"/>
  <c r="E42" i="10" s="1" a="1"/>
  <c r="E42" i="10" s="1"/>
  <c r="F42" i="10" s="1" a="1"/>
  <c r="F42" i="10" s="1"/>
  <c r="G42" i="10" s="1" a="1"/>
  <c r="G42" i="10" s="1"/>
  <c r="H42" i="10" s="1" a="1"/>
  <c r="H42" i="10" s="1"/>
  <c r="I42" i="10" s="1" a="1"/>
  <c r="I42" i="10" s="1"/>
  <c r="J42" i="10" s="1" a="1"/>
  <c r="J42" i="10" s="1"/>
  <c r="K42" i="10" s="1" a="1"/>
  <c r="K42" i="10" s="1"/>
  <c r="L42" i="10" s="1" a="1"/>
  <c r="L42" i="10" s="1"/>
  <c r="M42" i="10" s="1" a="1"/>
  <c r="M42" i="10" s="1"/>
  <c r="N42" i="10" s="1" a="1"/>
  <c r="N42" i="10" s="1"/>
  <c r="N20" i="10"/>
  <c r="N13" i="10"/>
  <c r="N14" i="10" s="1"/>
  <c r="N97" i="1" s="1"/>
  <c r="N51" i="7" s="1"/>
  <c r="M20" i="10"/>
  <c r="M13" i="10"/>
  <c r="M14" i="10" s="1"/>
  <c r="M97" i="1" s="1"/>
  <c r="M51" i="7" s="1"/>
  <c r="L13" i="10"/>
  <c r="L14" i="10" s="1"/>
  <c r="L97" i="1" s="1"/>
  <c r="L51" i="7" s="1"/>
  <c r="L20" i="10"/>
  <c r="K13" i="10"/>
  <c r="K14" i="10" s="1"/>
  <c r="K97" i="1" s="1"/>
  <c r="K51" i="7" s="1"/>
  <c r="K20" i="10"/>
  <c r="J20" i="10"/>
  <c r="J13" i="10"/>
  <c r="J14" i="10" s="1"/>
  <c r="J97" i="1" s="1"/>
  <c r="J51" i="7" s="1"/>
  <c r="I20" i="10"/>
  <c r="I13" i="10"/>
  <c r="I14" i="10" s="1"/>
  <c r="I97" i="1" s="1"/>
  <c r="I51" i="7" s="1"/>
  <c r="H13" i="10"/>
  <c r="H14" i="10" s="1"/>
  <c r="H97" i="1" s="1"/>
  <c r="H51" i="7" s="1"/>
  <c r="H20" i="10"/>
  <c r="G20" i="10"/>
  <c r="G13" i="10"/>
  <c r="G14" i="10" s="1"/>
  <c r="G97" i="1" s="1"/>
  <c r="G51" i="7" s="1"/>
  <c r="E20" i="10"/>
  <c r="E13" i="10"/>
  <c r="E14" i="10" s="1"/>
  <c r="E97" i="1" s="1"/>
  <c r="E51" i="7" s="1"/>
  <c r="D20" i="10"/>
  <c r="D13" i="10"/>
  <c r="D14" i="10" s="1"/>
  <c r="D97" i="1" s="1"/>
  <c r="D51" i="7" s="1"/>
  <c r="C13" i="10"/>
  <c r="C14" i="10" s="1"/>
  <c r="C97" i="1" s="1"/>
  <c r="C51" i="7" s="1"/>
  <c r="C20" i="10"/>
  <c r="F13" i="10"/>
  <c r="F14" i="10" s="1"/>
  <c r="F97" i="1" s="1"/>
  <c r="F51" i="7" s="1"/>
  <c r="F20" i="10"/>
  <c r="C19" i="9"/>
  <c r="C99" i="1" s="1"/>
  <c r="C61" i="7" s="1"/>
  <c r="C94" i="1"/>
  <c r="C37" i="4" s="1"/>
  <c r="C48" i="4" s="1"/>
  <c r="D11" i="9"/>
  <c r="C93" i="1"/>
  <c r="C50" i="14" s="1"/>
  <c r="N48" i="4"/>
  <c r="L37" i="22"/>
  <c r="M48" i="4"/>
  <c r="K37" i="22"/>
  <c r="L48" i="4"/>
  <c r="J37" i="22"/>
  <c r="K48" i="4"/>
  <c r="I37" i="22"/>
  <c r="J48" i="4"/>
  <c r="H37" i="22"/>
  <c r="I48" i="4"/>
  <c r="G37" i="22"/>
  <c r="H48" i="4"/>
  <c r="F37" i="22"/>
  <c r="G48" i="4"/>
  <c r="E37" i="22"/>
  <c r="F48" i="4"/>
  <c r="D37" i="22"/>
  <c r="AD30" i="22"/>
  <c r="AY30" i="22"/>
  <c r="AC30" i="22"/>
  <c r="AX30" i="22"/>
  <c r="AB30" i="22"/>
  <c r="AW30" i="22"/>
  <c r="AA30" i="22"/>
  <c r="AV30" i="22"/>
  <c r="Z30" i="22"/>
  <c r="AU30" i="22"/>
  <c r="Y30" i="22"/>
  <c r="AT30" i="22"/>
  <c r="L22" i="22"/>
  <c r="N21" i="4"/>
  <c r="L21" i="22" s="1"/>
  <c r="K22" i="22"/>
  <c r="M21" i="4"/>
  <c r="K21" i="22" s="1"/>
  <c r="I22" i="22"/>
  <c r="K21" i="4"/>
  <c r="I21" i="22" s="1"/>
  <c r="H22" i="22"/>
  <c r="J21" i="4"/>
  <c r="H21" i="22" s="1"/>
  <c r="G22" i="22"/>
  <c r="I21" i="4"/>
  <c r="G21" i="22" s="1"/>
  <c r="F22" i="22"/>
  <c r="H21" i="4"/>
  <c r="F21" i="22" s="1"/>
  <c r="E22" i="22"/>
  <c r="G21" i="4"/>
  <c r="E21" i="22" s="1"/>
  <c r="D22" i="22"/>
  <c r="F21" i="4"/>
  <c r="D21" i="22" s="1"/>
  <c r="G20" i="22"/>
  <c r="I19" i="4"/>
  <c r="G19" i="22" s="1"/>
  <c r="F20" i="22"/>
  <c r="H19" i="4"/>
  <c r="F19" i="22" s="1"/>
  <c r="AG43" i="22"/>
  <c r="BB43" i="22"/>
  <c r="AF43" i="22"/>
  <c r="BA43" i="22"/>
  <c r="AE43" i="22"/>
  <c r="AZ43" i="22"/>
  <c r="AD43" i="22"/>
  <c r="AY43" i="22"/>
  <c r="AC43" i="22"/>
  <c r="AX43" i="22"/>
  <c r="AB43" i="22"/>
  <c r="AW43" i="22"/>
  <c r="AA43" i="22"/>
  <c r="AV43" i="22"/>
  <c r="Z43" i="22"/>
  <c r="AU43" i="22"/>
  <c r="Y43" i="22"/>
  <c r="AT43" i="22"/>
  <c r="L18" i="22"/>
  <c r="N17" i="4"/>
  <c r="L17" i="22" s="1"/>
  <c r="K18" i="22"/>
  <c r="M17" i="4"/>
  <c r="K17" i="22" s="1"/>
  <c r="J18" i="22"/>
  <c r="L17" i="4"/>
  <c r="J17" i="22" s="1"/>
  <c r="I18" i="22"/>
  <c r="K17" i="4"/>
  <c r="I17" i="22" s="1"/>
  <c r="H18" i="22"/>
  <c r="J17" i="4"/>
  <c r="H17" i="22" s="1"/>
  <c r="AG12" i="22"/>
  <c r="BB12" i="22"/>
  <c r="AF12" i="22"/>
  <c r="BA12" i="22"/>
  <c r="Y12" i="22"/>
  <c r="AT12" i="22"/>
  <c r="W53" i="27"/>
  <c r="V53" i="27"/>
  <c r="U53" i="27"/>
  <c r="T53" i="27"/>
  <c r="M50" i="27"/>
  <c r="N50" i="27" s="1"/>
  <c r="O50" i="27" s="1"/>
  <c r="P50" i="27" s="1"/>
  <c r="Q50" i="27" s="1"/>
  <c r="R50" i="27" s="1"/>
  <c r="S50" i="27" s="1"/>
  <c r="T50" i="27" s="1"/>
  <c r="U50" i="27" s="1"/>
  <c r="V50" i="27" s="1"/>
  <c r="W50" i="27" s="1"/>
  <c r="R50" i="26"/>
  <c r="S50" i="26" s="1"/>
  <c r="T50" i="26" s="1"/>
  <c r="U50" i="26" s="1"/>
  <c r="V50" i="26" s="1"/>
  <c r="W50" i="26" s="1"/>
  <c r="L60" i="26"/>
  <c r="M29" i="26"/>
  <c r="K26" i="21"/>
  <c r="M62" i="7"/>
  <c r="D9" i="20"/>
  <c r="E9" i="20" s="1"/>
  <c r="F9" i="20" s="1"/>
  <c r="G9" i="20" s="1"/>
  <c r="H9" i="20"/>
  <c r="I9" i="20" s="1"/>
  <c r="J9" i="20" s="1"/>
  <c r="K9" i="20" s="1"/>
  <c r="L9" i="20" s="1"/>
  <c r="M9" i="20" s="1"/>
  <c r="N9" i="20" s="1"/>
  <c r="J94" i="19"/>
  <c r="J42" i="19" s="1"/>
  <c r="J46" i="19" s="1"/>
  <c r="J51" i="19" s="1"/>
  <c r="J58" i="19" s="1"/>
  <c r="J62" i="19" s="1"/>
  <c r="I94" i="19"/>
  <c r="I42" i="19" s="1"/>
  <c r="I46" i="19" s="1"/>
  <c r="I51" i="19" s="1"/>
  <c r="I58" i="19" s="1"/>
  <c r="I62" i="19" s="1"/>
  <c r="H94" i="19"/>
  <c r="H42" i="19" s="1"/>
  <c r="H46" i="19" s="1"/>
  <c r="H51" i="19" s="1"/>
  <c r="H58" i="19" s="1"/>
  <c r="H62" i="19" s="1"/>
  <c r="G94" i="19"/>
  <c r="G42" i="19" s="1"/>
  <c r="G46" i="19" s="1"/>
  <c r="G51" i="19" s="1"/>
  <c r="G58" i="19" s="1"/>
  <c r="G62" i="19" s="1"/>
  <c r="E94" i="19"/>
  <c r="E42" i="19" s="1"/>
  <c r="E46" i="19" s="1"/>
  <c r="E51" i="19" s="1"/>
  <c r="E58" i="19" s="1"/>
  <c r="E62" i="19" s="1"/>
  <c r="D94" i="19"/>
  <c r="D42" i="19" s="1"/>
  <c r="D46" i="19" s="1"/>
  <c r="D51" i="19" s="1"/>
  <c r="D58" i="19" s="1"/>
  <c r="D62" i="19" s="1"/>
  <c r="C94" i="19"/>
  <c r="C42" i="19" s="1"/>
  <c r="C46" i="19" s="1"/>
  <c r="C51" i="19" s="1"/>
  <c r="C58" i="19" s="1"/>
  <c r="C62" i="19" s="1"/>
  <c r="C70" i="19" s="1"/>
  <c r="C23" i="1" s="1"/>
  <c r="C14" i="4" s="1"/>
  <c r="C13" i="4" s="1"/>
  <c r="B94" i="19"/>
  <c r="B42" i="19" s="1"/>
  <c r="B46" i="19" s="1"/>
  <c r="B51" i="19" s="1"/>
  <c r="B58" i="19" s="1"/>
  <c r="B62" i="19" s="1"/>
  <c r="B70" i="19" s="1"/>
  <c r="B23" i="1" s="1"/>
  <c r="N62" i="7"/>
  <c r="N44" i="7"/>
  <c r="M44" i="7"/>
  <c r="H44" i="7"/>
  <c r="G44" i="7"/>
  <c r="F44" i="7"/>
  <c r="D44" i="7"/>
  <c r="C44" i="7"/>
  <c r="E44" i="7"/>
  <c r="L62" i="7"/>
  <c r="D62" i="7"/>
  <c r="B52" i="14"/>
  <c r="D28" i="16"/>
  <c r="E28" i="16" s="1"/>
  <c r="F28" i="16" s="1"/>
  <c r="G28" i="16" s="1"/>
  <c r="H28" i="16" s="1"/>
  <c r="I28" i="16" s="1"/>
  <c r="J28" i="16" s="1"/>
  <c r="E62" i="7"/>
  <c r="Q26" i="24" l="1"/>
  <c r="Q57" i="28"/>
  <c r="Q27" i="24"/>
  <c r="Q57" i="27"/>
  <c r="Q25" i="24"/>
  <c r="Q57" i="26"/>
  <c r="P36" i="24"/>
  <c r="P37" i="24"/>
  <c r="W39" i="28"/>
  <c r="W46" i="28" s="1"/>
  <c r="W52" i="28" s="1"/>
  <c r="V46" i="28"/>
  <c r="V52" i="28" s="1"/>
  <c r="N29" i="28"/>
  <c r="M62" i="28"/>
  <c r="M66" i="24" s="1"/>
  <c r="O31" i="26"/>
  <c r="O29" i="26"/>
  <c r="O62" i="26" s="1"/>
  <c r="O65" i="24" s="1"/>
  <c r="P25" i="26"/>
  <c r="Q9" i="26"/>
  <c r="R9" i="26" s="1"/>
  <c r="S9" i="26" s="1"/>
  <c r="T9" i="26" s="1"/>
  <c r="U9" i="26" s="1"/>
  <c r="V9" i="26" s="1"/>
  <c r="W9" i="26" s="1"/>
  <c r="Q25" i="26"/>
  <c r="R7" i="26"/>
  <c r="Q27" i="26"/>
  <c r="U6" i="26"/>
  <c r="V13" i="26"/>
  <c r="N52" i="24"/>
  <c r="M59" i="24"/>
  <c r="M9" i="25" s="1"/>
  <c r="V35" i="24"/>
  <c r="U30" i="24"/>
  <c r="F33" i="21"/>
  <c r="F78" i="1" s="1"/>
  <c r="F20" i="4" s="1"/>
  <c r="E78" i="1"/>
  <c r="E20" i="4" s="1"/>
  <c r="E19" i="4" s="1"/>
  <c r="E20" i="22"/>
  <c r="G19" i="4"/>
  <c r="E19" i="22" s="1"/>
  <c r="K33" i="21"/>
  <c r="J78" i="1"/>
  <c r="J20" i="4" s="1"/>
  <c r="I68" i="20"/>
  <c r="H70" i="20"/>
  <c r="H69" i="20" s="1"/>
  <c r="H63" i="20"/>
  <c r="H64" i="20"/>
  <c r="E48" i="20" s="1"/>
  <c r="G65" i="20"/>
  <c r="D47" i="20"/>
  <c r="D52" i="20" s="1"/>
  <c r="D54" i="20" s="1"/>
  <c r="D58" i="20" s="1"/>
  <c r="D60" i="20" s="1"/>
  <c r="D28" i="1" s="1"/>
  <c r="D18" i="4" s="1"/>
  <c r="D17" i="4" s="1"/>
  <c r="I44" i="20"/>
  <c r="H34" i="20"/>
  <c r="G38" i="20"/>
  <c r="G42" i="20" s="1"/>
  <c r="F64" i="19"/>
  <c r="E66" i="19"/>
  <c r="E70" i="19" s="1"/>
  <c r="E23" i="1" s="1"/>
  <c r="E14" i="4" s="1"/>
  <c r="E13" i="4" s="1"/>
  <c r="L46" i="19"/>
  <c r="L35" i="19"/>
  <c r="K51" i="19"/>
  <c r="K58" i="19" s="1"/>
  <c r="K62" i="19" s="1"/>
  <c r="K53" i="19"/>
  <c r="N29" i="19"/>
  <c r="N21" i="1"/>
  <c r="N32" i="7" s="1"/>
  <c r="M29" i="19"/>
  <c r="M21" i="1"/>
  <c r="M32" i="7" s="1"/>
  <c r="I124" i="18"/>
  <c r="H123" i="18"/>
  <c r="I112" i="18"/>
  <c r="H62" i="18"/>
  <c r="H96" i="18"/>
  <c r="I96" i="18" s="1"/>
  <c r="F101" i="18"/>
  <c r="G95" i="18"/>
  <c r="E104" i="18"/>
  <c r="E105" i="18" s="1"/>
  <c r="F60" i="18" s="1"/>
  <c r="F79" i="18"/>
  <c r="F59" i="18"/>
  <c r="L64" i="18"/>
  <c r="H18" i="1"/>
  <c r="H12" i="4" s="1"/>
  <c r="F12" i="22" s="1"/>
  <c r="Z12" i="22"/>
  <c r="AU12" i="22"/>
  <c r="O51" i="18"/>
  <c r="N52" i="18"/>
  <c r="K49" i="18"/>
  <c r="K54" i="18" s="1"/>
  <c r="L45" i="18"/>
  <c r="O49" i="18"/>
  <c r="O43" i="18"/>
  <c r="M9" i="18"/>
  <c r="M15" i="18" s="1"/>
  <c r="M10" i="18"/>
  <c r="L9" i="18"/>
  <c r="L15" i="18" s="1"/>
  <c r="L10" i="18"/>
  <c r="K9" i="18"/>
  <c r="K15" i="18" s="1"/>
  <c r="K10" i="18"/>
  <c r="J9" i="18"/>
  <c r="J15" i="18" s="1"/>
  <c r="J10" i="18"/>
  <c r="F41" i="18"/>
  <c r="G41" i="18"/>
  <c r="H41" i="18"/>
  <c r="I41" i="18"/>
  <c r="J41" i="18"/>
  <c r="I9" i="18"/>
  <c r="I10" i="18"/>
  <c r="H9" i="18"/>
  <c r="H15" i="18" s="1"/>
  <c r="H19" i="18" s="1"/>
  <c r="H10" i="18"/>
  <c r="G9" i="18"/>
  <c r="G15" i="18" s="1"/>
  <c r="G10" i="18"/>
  <c r="F9" i="18"/>
  <c r="F15" i="18" s="1"/>
  <c r="F19" i="18" s="1"/>
  <c r="F10" i="18"/>
  <c r="F11" i="18" s="1"/>
  <c r="G11" i="18" s="1"/>
  <c r="H11" i="18" s="1"/>
  <c r="I11" i="18" s="1"/>
  <c r="J11" i="18" s="1"/>
  <c r="K11" i="18" s="1"/>
  <c r="L11" i="18" s="1"/>
  <c r="M11" i="18" s="1"/>
  <c r="N11" i="18" s="1"/>
  <c r="M69" i="17"/>
  <c r="M73" i="17" s="1"/>
  <c r="M78" i="17" s="1"/>
  <c r="M37" i="17" s="1"/>
  <c r="L73" i="17"/>
  <c r="L78" i="17" s="1"/>
  <c r="L37" i="17" s="1"/>
  <c r="L40" i="17" s="1"/>
  <c r="L45" i="17" s="1"/>
  <c r="L53" i="17" s="1"/>
  <c r="K40" i="17"/>
  <c r="K45" i="17" s="1"/>
  <c r="K53" i="17" s="1"/>
  <c r="J33" i="17"/>
  <c r="L56" i="17"/>
  <c r="L61" i="17" s="1"/>
  <c r="L33" i="1"/>
  <c r="L16" i="4" s="1"/>
  <c r="C79" i="16"/>
  <c r="C83" i="16" s="1"/>
  <c r="H73" i="16"/>
  <c r="C54" i="16" s="1"/>
  <c r="C55" i="16" s="1"/>
  <c r="C60" i="16" s="1"/>
  <c r="C7" i="1" s="1"/>
  <c r="C7" i="4" s="1"/>
  <c r="C6" i="4" s="1"/>
  <c r="H74" i="16"/>
  <c r="D54" i="16" s="1"/>
  <c r="D55" i="16" s="1"/>
  <c r="D60" i="16" s="1"/>
  <c r="D7" i="1" s="1"/>
  <c r="D7" i="4" s="1"/>
  <c r="D6" i="4" s="1"/>
  <c r="K74" i="16"/>
  <c r="K85" i="16" s="1"/>
  <c r="H54" i="16" s="1"/>
  <c r="H55" i="16" s="1"/>
  <c r="H75" i="16"/>
  <c r="E54" i="16" s="1"/>
  <c r="J74" i="16"/>
  <c r="J85" i="16" s="1"/>
  <c r="G54" i="16" s="1"/>
  <c r="G55" i="16" s="1"/>
  <c r="G60" i="16" s="1"/>
  <c r="L74" i="16"/>
  <c r="L85" i="16" s="1"/>
  <c r="I54" i="16" s="1"/>
  <c r="M74" i="16"/>
  <c r="M85" i="16" s="1"/>
  <c r="H76" i="16"/>
  <c r="H85" i="16" s="1"/>
  <c r="F54" i="16" s="1"/>
  <c r="D86" i="16"/>
  <c r="D89" i="16" s="1"/>
  <c r="E90" i="16" s="1"/>
  <c r="E84" i="16"/>
  <c r="F48" i="16"/>
  <c r="F55" i="16" s="1"/>
  <c r="F60" i="16" s="1"/>
  <c r="E55" i="16"/>
  <c r="E60" i="16" s="1"/>
  <c r="E7" i="1" s="1"/>
  <c r="E7" i="4" s="1"/>
  <c r="E6" i="4" s="1"/>
  <c r="L64" i="16"/>
  <c r="F7" i="1"/>
  <c r="F7" i="4" s="1"/>
  <c r="H45" i="16"/>
  <c r="H60" i="16" s="1"/>
  <c r="H7" i="1" s="1"/>
  <c r="H7" i="4" s="1"/>
  <c r="I37" i="16"/>
  <c r="I45" i="16" s="1"/>
  <c r="G7" i="1"/>
  <c r="G7" i="4" s="1"/>
  <c r="D96" i="1"/>
  <c r="D24" i="7" s="1"/>
  <c r="E32" i="16"/>
  <c r="M27" i="16"/>
  <c r="M5" i="1"/>
  <c r="M30" i="7" s="1"/>
  <c r="M36" i="7" s="1"/>
  <c r="M46" i="7" s="1"/>
  <c r="L27" i="16"/>
  <c r="L5" i="1"/>
  <c r="L30" i="7" s="1"/>
  <c r="K27" i="16"/>
  <c r="K5" i="1"/>
  <c r="K30" i="7" s="1"/>
  <c r="L37" i="16"/>
  <c r="K45" i="16"/>
  <c r="K60" i="16" s="1"/>
  <c r="J7" i="1"/>
  <c r="J7" i="4" s="1"/>
  <c r="D10" i="15"/>
  <c r="C50" i="1" s="1"/>
  <c r="C42" i="4" s="1"/>
  <c r="C49" i="1"/>
  <c r="C24" i="4" s="1"/>
  <c r="C23" i="4" s="1"/>
  <c r="D12" i="15"/>
  <c r="F4" i="15"/>
  <c r="E8" i="15"/>
  <c r="AE30" i="22"/>
  <c r="AZ30" i="22"/>
  <c r="N34" i="14"/>
  <c r="N35" i="14" s="1"/>
  <c r="N91" i="1" s="1"/>
  <c r="N30" i="4" s="1"/>
  <c r="L30" i="22" s="1"/>
  <c r="M35" i="14"/>
  <c r="M91" i="1" s="1"/>
  <c r="M30" i="4" s="1"/>
  <c r="K30" i="22" s="1"/>
  <c r="J22" i="22"/>
  <c r="L21" i="4"/>
  <c r="J21" i="22" s="1"/>
  <c r="P28" i="13"/>
  <c r="N24" i="13"/>
  <c r="L24" i="13"/>
  <c r="L23" i="13"/>
  <c r="E71" i="1" s="1"/>
  <c r="E31" i="4" s="1"/>
  <c r="J23" i="13"/>
  <c r="D71" i="1" s="1"/>
  <c r="D31" i="4" s="1"/>
  <c r="J24" i="13"/>
  <c r="H23" i="13"/>
  <c r="C71" i="1" s="1"/>
  <c r="C31" i="4" s="1"/>
  <c r="H24" i="13"/>
  <c r="P4" i="12"/>
  <c r="O33" i="12" s="1"/>
  <c r="F66" i="1" s="1"/>
  <c r="F29" i="4" s="1"/>
  <c r="I34" i="12"/>
  <c r="I33" i="12"/>
  <c r="C66" i="1" s="1"/>
  <c r="C29" i="4" s="1"/>
  <c r="C32" i="4" s="1"/>
  <c r="C136" i="11" a="1"/>
  <c r="C136" i="11" s="1"/>
  <c r="D136" i="11" s="1" a="1"/>
  <c r="D136" i="11" s="1"/>
  <c r="G136" i="11" a="1"/>
  <c r="G136" i="11" s="1"/>
  <c r="I136" i="11" a="1"/>
  <c r="I136" i="11" s="1"/>
  <c r="A182" i="11"/>
  <c r="H136" i="11" a="1"/>
  <c r="H136" i="11" s="1"/>
  <c r="J136" i="11" a="1"/>
  <c r="J136" i="11" s="1"/>
  <c r="K136" i="11" s="1" a="1"/>
  <c r="K136" i="11" s="1"/>
  <c r="J94" i="11"/>
  <c r="C135" i="11" a="1"/>
  <c r="C135" i="11" s="1"/>
  <c r="D135" i="11" s="1" a="1"/>
  <c r="D135" i="11" s="1"/>
  <c r="A181" i="11"/>
  <c r="J93" i="11"/>
  <c r="C134" i="11" a="1"/>
  <c r="C134" i="11" s="1"/>
  <c r="D134" i="11" a="1"/>
  <c r="D134" i="11" s="1"/>
  <c r="E134" i="11" a="1"/>
  <c r="E134" i="11" s="1"/>
  <c r="F134" i="11" a="1"/>
  <c r="F134" i="11" s="1"/>
  <c r="G134" i="11" a="1"/>
  <c r="G134" i="11" s="1"/>
  <c r="H134" i="11" s="1" a="1"/>
  <c r="H134" i="11" s="1"/>
  <c r="A180" i="11"/>
  <c r="C133" i="11" a="1"/>
  <c r="C133" i="11" s="1"/>
  <c r="D133" i="11" s="1" a="1"/>
  <c r="D133" i="11" s="1"/>
  <c r="G133" i="11" a="1"/>
  <c r="G133" i="11" s="1"/>
  <c r="H133" i="11" a="1"/>
  <c r="H133" i="11" s="1"/>
  <c r="I133" i="11" a="1"/>
  <c r="I133" i="11" s="1"/>
  <c r="J133" i="11" a="1"/>
  <c r="J133" i="11" s="1"/>
  <c r="K133" i="11" s="1" a="1"/>
  <c r="K133" i="11" s="1"/>
  <c r="A179" i="11"/>
  <c r="C132" i="11" a="1"/>
  <c r="C132" i="11" s="1"/>
  <c r="D132" i="11" a="1"/>
  <c r="D132" i="11" s="1"/>
  <c r="E132" i="11" a="1"/>
  <c r="E132" i="11" s="1"/>
  <c r="F132" i="11" a="1"/>
  <c r="F132" i="11" s="1"/>
  <c r="G132" i="11" s="1" a="1"/>
  <c r="G132" i="11" s="1"/>
  <c r="A178" i="11"/>
  <c r="C131" i="11" a="1"/>
  <c r="C131" i="11" s="1"/>
  <c r="D131" i="11" a="1"/>
  <c r="D131" i="11" s="1"/>
  <c r="E131" i="11" a="1"/>
  <c r="E131" i="11" s="1"/>
  <c r="F131" i="11" a="1"/>
  <c r="F131" i="11" s="1"/>
  <c r="G131" i="11" s="1" a="1"/>
  <c r="G131" i="11" s="1"/>
  <c r="A177" i="11"/>
  <c r="C130" i="11" a="1"/>
  <c r="C130" i="11" s="1"/>
  <c r="D130" i="11" a="1"/>
  <c r="D130" i="11" s="1"/>
  <c r="E130" i="11" a="1"/>
  <c r="E130" i="11" s="1"/>
  <c r="F130" i="11" s="1" a="1"/>
  <c r="F130" i="11" s="1"/>
  <c r="A176" i="11"/>
  <c r="C129" i="11" a="1"/>
  <c r="C129" i="11" s="1"/>
  <c r="D129" i="11" s="1" a="1"/>
  <c r="D129" i="11" s="1"/>
  <c r="A175" i="11"/>
  <c r="C128" i="11" a="1"/>
  <c r="C128" i="11" s="1"/>
  <c r="D128" i="11" a="1"/>
  <c r="D128" i="11" s="1"/>
  <c r="A174" i="11"/>
  <c r="C127" i="11" a="1"/>
  <c r="C127" i="11" s="1"/>
  <c r="D127" i="11" a="1"/>
  <c r="D127" i="11" s="1"/>
  <c r="E127" i="11" s="1" a="1"/>
  <c r="E127" i="11" s="1"/>
  <c r="A173" i="11"/>
  <c r="C126" i="11" a="1"/>
  <c r="C126" i="11" s="1"/>
  <c r="D126" i="11" a="1"/>
  <c r="D126" i="11" s="1"/>
  <c r="E126" i="11" a="1"/>
  <c r="E126" i="11" s="1"/>
  <c r="F126" i="11" a="1"/>
  <c r="F126" i="11" s="1"/>
  <c r="G126" i="11" a="1"/>
  <c r="G126" i="11" s="1"/>
  <c r="H126" i="11" s="1" a="1"/>
  <c r="H126" i="11" s="1"/>
  <c r="A172" i="11"/>
  <c r="C125" i="11" a="1"/>
  <c r="C125" i="11" s="1"/>
  <c r="D125" i="11" s="1" a="1"/>
  <c r="D125" i="11" s="1"/>
  <c r="A171" i="11"/>
  <c r="C124" i="11" a="1"/>
  <c r="C124" i="11" s="1"/>
  <c r="D124" i="11" a="1"/>
  <c r="D124" i="11" s="1"/>
  <c r="E124" i="11" s="1" a="1"/>
  <c r="E124" i="11" s="1"/>
  <c r="A170" i="11"/>
  <c r="C123" i="11" a="1"/>
  <c r="C123" i="11" s="1"/>
  <c r="D123" i="11" s="1" a="1"/>
  <c r="D123" i="11" s="1"/>
  <c r="A169" i="11"/>
  <c r="C122" i="11" a="1"/>
  <c r="C122" i="11" s="1"/>
  <c r="D122" i="11" a="1"/>
  <c r="D122" i="11" s="1"/>
  <c r="E122" i="11" a="1"/>
  <c r="E122" i="11" s="1"/>
  <c r="F122" i="11" a="1"/>
  <c r="F122" i="11" s="1"/>
  <c r="G122" i="11" a="1"/>
  <c r="G122" i="11" s="1"/>
  <c r="H122" i="11" a="1"/>
  <c r="H122" i="11" s="1"/>
  <c r="I122" i="11" a="1"/>
  <c r="I122" i="11" s="1"/>
  <c r="J122" i="11" a="1"/>
  <c r="J122" i="11" s="1"/>
  <c r="K122" i="11" a="1"/>
  <c r="K122" i="11" s="1"/>
  <c r="L122" i="11" a="1"/>
  <c r="L122" i="11" s="1"/>
  <c r="M122" i="11" a="1"/>
  <c r="M122" i="11" s="1"/>
  <c r="N122" i="11" a="1"/>
  <c r="N122" i="11" s="1"/>
  <c r="A168" i="11"/>
  <c r="C121" i="11" a="1"/>
  <c r="C121" i="11" s="1"/>
  <c r="D121" i="11" a="1"/>
  <c r="D121" i="11" s="1"/>
  <c r="E121" i="11" a="1"/>
  <c r="E121" i="11" s="1"/>
  <c r="F121" i="11" a="1"/>
  <c r="F121" i="11" s="1"/>
  <c r="G121" i="11" a="1"/>
  <c r="G121" i="11" s="1"/>
  <c r="H121" i="11" a="1"/>
  <c r="H121" i="11" s="1"/>
  <c r="I121" i="11" a="1"/>
  <c r="I121" i="11" s="1"/>
  <c r="J121" i="11" a="1"/>
  <c r="J121" i="11" s="1"/>
  <c r="K121" i="11" a="1"/>
  <c r="K121" i="11" s="1"/>
  <c r="L121" i="11" a="1"/>
  <c r="L121" i="11" s="1"/>
  <c r="M121" i="11" a="1"/>
  <c r="M121" i="11" s="1"/>
  <c r="N121" i="11" a="1"/>
  <c r="N121" i="11" s="1"/>
  <c r="A167" i="11"/>
  <c r="C120" i="11" a="1"/>
  <c r="C120" i="11" s="1"/>
  <c r="D120" i="11" a="1"/>
  <c r="D120" i="11" s="1"/>
  <c r="E120" i="11" a="1"/>
  <c r="E120" i="11" s="1"/>
  <c r="F120" i="11" a="1"/>
  <c r="F120" i="11" s="1"/>
  <c r="G120" i="11" a="1"/>
  <c r="G120" i="11" s="1"/>
  <c r="H120" i="11" a="1"/>
  <c r="H120" i="11" s="1"/>
  <c r="I120" i="11" a="1"/>
  <c r="I120" i="11" s="1"/>
  <c r="J120" i="11" a="1"/>
  <c r="J120" i="11" s="1"/>
  <c r="K120" i="11" a="1"/>
  <c r="K120" i="11" s="1"/>
  <c r="L120" i="11" a="1"/>
  <c r="L120" i="11" s="1"/>
  <c r="M120" i="11" a="1"/>
  <c r="M120" i="11" s="1"/>
  <c r="N120" i="11" a="1"/>
  <c r="N120" i="11" s="1"/>
  <c r="A166" i="11"/>
  <c r="C119" i="11" a="1"/>
  <c r="C119" i="11" s="1"/>
  <c r="D119" i="11" a="1"/>
  <c r="D119" i="11" s="1"/>
  <c r="E119" i="11" a="1"/>
  <c r="E119" i="11" s="1"/>
  <c r="F119" i="11" a="1"/>
  <c r="F119" i="11" s="1"/>
  <c r="G119" i="11" a="1"/>
  <c r="G119" i="11" s="1"/>
  <c r="H119" i="11" a="1"/>
  <c r="H119" i="11" s="1"/>
  <c r="I119" i="11" s="1" a="1"/>
  <c r="I119" i="11" s="1"/>
  <c r="A165" i="11"/>
  <c r="C118" i="11" a="1"/>
  <c r="C118" i="11" s="1"/>
  <c r="D118" i="11" s="1" a="1"/>
  <c r="D118" i="11" s="1"/>
  <c r="A164" i="11"/>
  <c r="C117" i="11" a="1"/>
  <c r="C117" i="11" s="1"/>
  <c r="D117" i="11" a="1"/>
  <c r="D117" i="11" s="1"/>
  <c r="E117" i="11" s="1" a="1"/>
  <c r="E117" i="11" s="1"/>
  <c r="A163" i="11"/>
  <c r="C116" i="11" a="1"/>
  <c r="C116" i="11" s="1"/>
  <c r="D116" i="11" a="1"/>
  <c r="D116" i="11" s="1"/>
  <c r="E116" i="11" a="1"/>
  <c r="E116" i="11" s="1"/>
  <c r="F116" i="11" s="1" a="1"/>
  <c r="F116" i="11" s="1"/>
  <c r="A162" i="11"/>
  <c r="C115" i="11" a="1"/>
  <c r="C115" i="11" s="1"/>
  <c r="D115" i="11" a="1"/>
  <c r="D115" i="11" s="1"/>
  <c r="E115" i="11" a="1"/>
  <c r="E115" i="11" s="1"/>
  <c r="F115" i="11" a="1"/>
  <c r="F115" i="11" s="1"/>
  <c r="G115" i="11" a="1"/>
  <c r="G115" i="11" s="1"/>
  <c r="H115" i="11" a="1"/>
  <c r="H115" i="11" s="1"/>
  <c r="I115" i="11" a="1"/>
  <c r="I115" i="11" s="1"/>
  <c r="J115" i="11" a="1"/>
  <c r="J115" i="11" s="1"/>
  <c r="K115" i="11" a="1"/>
  <c r="K115" i="11" s="1"/>
  <c r="L115" i="11" a="1"/>
  <c r="L115" i="11" s="1"/>
  <c r="M115" i="11" a="1"/>
  <c r="M115" i="11" s="1"/>
  <c r="N115" i="11" a="1"/>
  <c r="N115" i="11" s="1"/>
  <c r="A161" i="11"/>
  <c r="C114" i="11" a="1"/>
  <c r="C114" i="11" s="1"/>
  <c r="D114" i="11" a="1"/>
  <c r="D114" i="11" s="1"/>
  <c r="E114" i="11" a="1"/>
  <c r="E114" i="11" s="1"/>
  <c r="F114" i="11" a="1"/>
  <c r="F114" i="11" s="1"/>
  <c r="G114" i="11" a="1"/>
  <c r="G114" i="11" s="1"/>
  <c r="H114" i="11" a="1"/>
  <c r="H114" i="11" s="1"/>
  <c r="I114" i="11" a="1"/>
  <c r="I114" i="11" s="1"/>
  <c r="J114" i="11" a="1"/>
  <c r="J114" i="11" s="1"/>
  <c r="K114" i="11" a="1"/>
  <c r="K114" i="11" s="1"/>
  <c r="L114" i="11" a="1"/>
  <c r="L114" i="11" s="1"/>
  <c r="M114" i="11" a="1"/>
  <c r="M114" i="11" s="1"/>
  <c r="N114" i="11" a="1"/>
  <c r="N114" i="11" s="1"/>
  <c r="A160" i="11"/>
  <c r="C113" i="11" a="1"/>
  <c r="C113" i="11" s="1"/>
  <c r="D113" i="11" a="1"/>
  <c r="D113" i="11" s="1"/>
  <c r="E113" i="11" a="1"/>
  <c r="E113" i="11" s="1"/>
  <c r="F113" i="11" a="1"/>
  <c r="F113" i="11" s="1"/>
  <c r="G113" i="11" a="1"/>
  <c r="G113" i="11" s="1"/>
  <c r="H113" i="11" a="1"/>
  <c r="H113" i="11" s="1"/>
  <c r="I113" i="11" a="1"/>
  <c r="I113" i="11" s="1"/>
  <c r="J113" i="11" a="1"/>
  <c r="J113" i="11" s="1"/>
  <c r="K113" i="11" a="1"/>
  <c r="K113" i="11" s="1"/>
  <c r="L113" i="11" a="1"/>
  <c r="L113" i="11" s="1"/>
  <c r="M113" i="11" a="1"/>
  <c r="M113" i="11" s="1"/>
  <c r="N113" i="11" a="1"/>
  <c r="N113" i="11" s="1"/>
  <c r="A159" i="11"/>
  <c r="C112" i="11" a="1"/>
  <c r="C112" i="11" s="1"/>
  <c r="D112" i="11" a="1"/>
  <c r="D112" i="11" s="1"/>
  <c r="E112" i="11" a="1"/>
  <c r="E112" i="11" s="1"/>
  <c r="F112" i="11" a="1"/>
  <c r="F112" i="11" s="1"/>
  <c r="G112" i="11" a="1"/>
  <c r="G112" i="11" s="1"/>
  <c r="H112" i="11" a="1"/>
  <c r="H112" i="11" s="1"/>
  <c r="I112" i="11" a="1"/>
  <c r="I112" i="11" s="1"/>
  <c r="J112" i="11" a="1"/>
  <c r="J112" i="11" s="1"/>
  <c r="K112" i="11" a="1"/>
  <c r="K112" i="11" s="1"/>
  <c r="L112" i="11" a="1"/>
  <c r="L112" i="11" s="1"/>
  <c r="M112" i="11" a="1"/>
  <c r="M112" i="11" s="1"/>
  <c r="N112" i="11" a="1"/>
  <c r="N112" i="11" s="1"/>
  <c r="A158" i="11"/>
  <c r="C111" i="11" a="1"/>
  <c r="C111" i="11" s="1"/>
  <c r="D111" i="11" a="1"/>
  <c r="D111" i="11" s="1"/>
  <c r="E111" i="11" a="1"/>
  <c r="E111" i="11" s="1"/>
  <c r="F111" i="11" a="1"/>
  <c r="F111" i="11" s="1"/>
  <c r="G111" i="11" a="1"/>
  <c r="G111" i="11" s="1"/>
  <c r="H111" i="11" a="1"/>
  <c r="H111" i="11" s="1"/>
  <c r="I111" i="11" a="1"/>
  <c r="I111" i="11" s="1"/>
  <c r="J111" i="11" a="1"/>
  <c r="J111" i="11" s="1"/>
  <c r="K111" i="11" a="1"/>
  <c r="K111" i="11" s="1"/>
  <c r="L111" i="11" a="1"/>
  <c r="L111" i="11" s="1"/>
  <c r="M111" i="11" a="1"/>
  <c r="M111" i="11" s="1"/>
  <c r="N111" i="11" a="1"/>
  <c r="N111" i="11" s="1"/>
  <c r="A157" i="11"/>
  <c r="C110" i="11" a="1"/>
  <c r="C110" i="11" s="1"/>
  <c r="D110" i="11" a="1"/>
  <c r="D110" i="11" s="1"/>
  <c r="E110" i="11" a="1"/>
  <c r="E110" i="11" s="1"/>
  <c r="F110" i="11" a="1"/>
  <c r="F110" i="11" s="1"/>
  <c r="G110" i="11" a="1"/>
  <c r="G110" i="11" s="1"/>
  <c r="H110" i="11" a="1"/>
  <c r="H110" i="11" s="1"/>
  <c r="I110" i="11" a="1"/>
  <c r="I110" i="11" s="1"/>
  <c r="J110" i="11" a="1"/>
  <c r="J110" i="11" s="1"/>
  <c r="K110" i="11" a="1"/>
  <c r="K110" i="11" s="1"/>
  <c r="L110" i="11" a="1"/>
  <c r="L110" i="11" s="1"/>
  <c r="M110" i="11" a="1"/>
  <c r="M110" i="11" s="1"/>
  <c r="N110" i="11" s="1" a="1"/>
  <c r="N110" i="11" s="1"/>
  <c r="A156" i="11"/>
  <c r="C109" i="11" a="1"/>
  <c r="C109" i="11" s="1"/>
  <c r="D109" i="11" a="1"/>
  <c r="D109" i="11" s="1"/>
  <c r="E109" i="11" s="1" a="1"/>
  <c r="E109" i="11" s="1"/>
  <c r="A155" i="11"/>
  <c r="C108" i="11" a="1"/>
  <c r="C108" i="11" s="1"/>
  <c r="D108" i="11" a="1"/>
  <c r="D108" i="11" s="1"/>
  <c r="E108" i="11" a="1"/>
  <c r="E108" i="11" s="1"/>
  <c r="F108" i="11" s="1" a="1"/>
  <c r="F108" i="11" s="1"/>
  <c r="A154" i="11"/>
  <c r="C107" i="11" a="1"/>
  <c r="C107" i="11" s="1"/>
  <c r="D107" i="11" a="1"/>
  <c r="D107" i="11" s="1"/>
  <c r="E107" i="11" a="1"/>
  <c r="E107" i="11" s="1"/>
  <c r="F107" i="11" a="1"/>
  <c r="F107" i="11" s="1"/>
  <c r="G107" i="11" a="1"/>
  <c r="G107" i="11" s="1"/>
  <c r="H107" i="11" a="1"/>
  <c r="H107" i="11" s="1"/>
  <c r="I107" i="11" a="1"/>
  <c r="I107" i="11" s="1"/>
  <c r="J107" i="11" a="1"/>
  <c r="J107" i="11" s="1"/>
  <c r="K107" i="11" a="1"/>
  <c r="K107" i="11" s="1"/>
  <c r="L107" i="11" a="1"/>
  <c r="L107" i="11" s="1"/>
  <c r="M107" i="11" a="1"/>
  <c r="M107" i="11" s="1"/>
  <c r="N107" i="11" a="1"/>
  <c r="N107" i="11" s="1"/>
  <c r="A153" i="11"/>
  <c r="C106" i="11" a="1"/>
  <c r="C106" i="11" s="1"/>
  <c r="D106" i="11" a="1"/>
  <c r="D106" i="11" s="1"/>
  <c r="E106" i="11" a="1"/>
  <c r="E106" i="11" s="1"/>
  <c r="F106" i="11" a="1"/>
  <c r="F106" i="11" s="1"/>
  <c r="G106" i="11" a="1"/>
  <c r="G106" i="11" s="1"/>
  <c r="H106" i="11" a="1"/>
  <c r="H106" i="11" s="1"/>
  <c r="I106" i="11" a="1"/>
  <c r="I106" i="11" s="1"/>
  <c r="J106" i="11" a="1"/>
  <c r="J106" i="11" s="1"/>
  <c r="K106" i="11" a="1"/>
  <c r="K106" i="11" s="1"/>
  <c r="L106" i="11" a="1"/>
  <c r="L106" i="11" s="1"/>
  <c r="M106" i="11" a="1"/>
  <c r="M106" i="11" s="1"/>
  <c r="N106" i="11" a="1"/>
  <c r="N106" i="11" s="1"/>
  <c r="A152" i="11"/>
  <c r="C105" i="11" a="1"/>
  <c r="C105" i="11" s="1"/>
  <c r="D105" i="11" a="1"/>
  <c r="D105" i="11" s="1"/>
  <c r="E105" i="11" a="1"/>
  <c r="E105" i="11" s="1"/>
  <c r="F105" i="11" a="1"/>
  <c r="F105" i="11" s="1"/>
  <c r="G105" i="11" a="1"/>
  <c r="G105" i="11" s="1"/>
  <c r="H105" i="11" a="1"/>
  <c r="H105" i="11" s="1"/>
  <c r="I105" i="11" a="1"/>
  <c r="I105" i="11" s="1"/>
  <c r="J105" i="11" a="1"/>
  <c r="J105" i="11" s="1"/>
  <c r="K105" i="11" a="1"/>
  <c r="K105" i="11" s="1"/>
  <c r="L105" i="11" a="1"/>
  <c r="L105" i="11" s="1"/>
  <c r="M105" i="11" a="1"/>
  <c r="M105" i="11" s="1"/>
  <c r="N105" i="11" a="1"/>
  <c r="N105" i="11" s="1"/>
  <c r="A151" i="11"/>
  <c r="C104" i="11" a="1"/>
  <c r="C104" i="11" s="1"/>
  <c r="D104" i="11" a="1"/>
  <c r="D104" i="11" s="1"/>
  <c r="E104" i="11" a="1"/>
  <c r="E104" i="11" s="1"/>
  <c r="F104" i="11" a="1"/>
  <c r="F104" i="11" s="1"/>
  <c r="G104" i="11" a="1"/>
  <c r="G104" i="11" s="1"/>
  <c r="H104" i="11" a="1"/>
  <c r="H104" i="11" s="1"/>
  <c r="I104" i="11" a="1"/>
  <c r="I104" i="11" s="1"/>
  <c r="J104" i="11" a="1"/>
  <c r="J104" i="11" s="1"/>
  <c r="K104" i="11" a="1"/>
  <c r="K104" i="11" s="1"/>
  <c r="L104" i="11" a="1"/>
  <c r="L104" i="11" s="1"/>
  <c r="M104" i="11" a="1"/>
  <c r="M104" i="11" s="1"/>
  <c r="N104" i="11" a="1"/>
  <c r="N104" i="11" s="1"/>
  <c r="A150" i="11"/>
  <c r="C103" i="11" a="1"/>
  <c r="C103" i="11" s="1"/>
  <c r="D103" i="11" a="1"/>
  <c r="D103" i="11" s="1"/>
  <c r="E103" i="11" a="1"/>
  <c r="E103" i="11" s="1"/>
  <c r="F103" i="11" a="1"/>
  <c r="F103" i="11" s="1"/>
  <c r="G103" i="11" a="1"/>
  <c r="G103" i="11" s="1"/>
  <c r="H103" i="11" s="1" a="1"/>
  <c r="H103" i="11" s="1"/>
  <c r="A149" i="11"/>
  <c r="C102" i="11" a="1"/>
  <c r="C102" i="11" s="1"/>
  <c r="D102" i="11" a="1"/>
  <c r="D102" i="11" s="1"/>
  <c r="E102" i="11" s="1" a="1"/>
  <c r="E102" i="11" s="1"/>
  <c r="A148" i="11"/>
  <c r="G44" i="11"/>
  <c r="F97" i="11" a="1"/>
  <c r="F97" i="11" s="1"/>
  <c r="J5" i="11"/>
  <c r="I47" i="11"/>
  <c r="I48" i="11"/>
  <c r="D26" i="10"/>
  <c r="E11" i="9"/>
  <c r="D93" i="1"/>
  <c r="D50" i="14" s="1"/>
  <c r="L48" i="22"/>
  <c r="AG37" i="22"/>
  <c r="BB37" i="22"/>
  <c r="K48" i="22"/>
  <c r="AF37" i="22"/>
  <c r="BA37" i="22"/>
  <c r="J48" i="22"/>
  <c r="AE37" i="22"/>
  <c r="AZ37" i="22"/>
  <c r="I48" i="22"/>
  <c r="AD37" i="22"/>
  <c r="AY37" i="22"/>
  <c r="H48" i="22"/>
  <c r="AC37" i="22"/>
  <c r="AX37" i="22"/>
  <c r="G48" i="22"/>
  <c r="AB37" i="22"/>
  <c r="AW37" i="22"/>
  <c r="F48" i="22"/>
  <c r="AA37" i="22"/>
  <c r="AV37" i="22"/>
  <c r="E48" i="22"/>
  <c r="Z37" i="22"/>
  <c r="AU37" i="22"/>
  <c r="D48" i="22"/>
  <c r="Y37" i="22"/>
  <c r="AT37" i="22"/>
  <c r="AG22" i="22"/>
  <c r="BB22" i="22"/>
  <c r="AG21" i="22"/>
  <c r="BB21" i="22"/>
  <c r="AF22" i="22"/>
  <c r="BA22" i="22"/>
  <c r="AF21" i="22"/>
  <c r="BA21" i="22"/>
  <c r="AD22" i="22"/>
  <c r="AY22" i="22"/>
  <c r="AD21" i="22"/>
  <c r="AY21" i="22"/>
  <c r="AC22" i="22"/>
  <c r="AX22" i="22"/>
  <c r="AC21" i="22"/>
  <c r="AX21" i="22"/>
  <c r="AB22" i="22"/>
  <c r="AW22" i="22"/>
  <c r="AB21" i="22"/>
  <c r="AW21" i="22"/>
  <c r="AA22" i="22"/>
  <c r="AV22" i="22"/>
  <c r="AA21" i="22"/>
  <c r="AV21" i="22"/>
  <c r="Z22" i="22"/>
  <c r="AU22" i="22"/>
  <c r="Z21" i="22"/>
  <c r="AU21" i="22"/>
  <c r="Y22" i="22"/>
  <c r="AT22" i="22"/>
  <c r="Y21" i="22"/>
  <c r="AT21" i="22"/>
  <c r="AB20" i="22"/>
  <c r="AW20" i="22"/>
  <c r="AB19" i="22"/>
  <c r="AW19" i="22"/>
  <c r="AA20" i="22"/>
  <c r="AV20" i="22"/>
  <c r="AA19" i="22"/>
  <c r="AV19" i="22"/>
  <c r="AG18" i="22"/>
  <c r="BB18" i="22"/>
  <c r="AG17" i="22"/>
  <c r="BB17" i="22"/>
  <c r="AF18" i="22"/>
  <c r="BA18" i="22"/>
  <c r="AF17" i="22"/>
  <c r="BA17" i="22"/>
  <c r="AE18" i="22"/>
  <c r="AZ18" i="22"/>
  <c r="AE17" i="22"/>
  <c r="AZ17" i="22"/>
  <c r="AD18" i="22"/>
  <c r="AY18" i="22"/>
  <c r="AD17" i="22"/>
  <c r="AY17" i="22"/>
  <c r="AC18" i="22"/>
  <c r="AX18" i="22"/>
  <c r="AC17" i="22"/>
  <c r="AX17" i="22"/>
  <c r="C46" i="1"/>
  <c r="L84" i="24"/>
  <c r="N29" i="26"/>
  <c r="N62" i="26" s="1"/>
  <c r="N65" i="24" s="1"/>
  <c r="M62" i="26"/>
  <c r="M65" i="24" s="1"/>
  <c r="B54" i="14"/>
  <c r="B53" i="14"/>
  <c r="W26" i="24"/>
  <c r="V26" i="24"/>
  <c r="T26" i="24"/>
  <c r="T25" i="24"/>
  <c r="T28" i="24"/>
  <c r="L74" i="28"/>
  <c r="L74" i="27"/>
  <c r="L74" i="26"/>
  <c r="H128" i="18"/>
  <c r="G128" i="18"/>
  <c r="G132" i="18" s="1"/>
  <c r="F128" i="18"/>
  <c r="F132" i="18" s="1"/>
  <c r="L70" i="26"/>
  <c r="Q31" i="21"/>
  <c r="H88" i="11"/>
  <c r="H86" i="11"/>
  <c r="H63" i="11"/>
  <c r="K28" i="16"/>
  <c r="L28" i="16" s="1"/>
  <c r="M28" i="16" s="1"/>
  <c r="H94" i="11"/>
  <c r="H95" i="11"/>
  <c r="H84" i="11"/>
  <c r="H83" i="11"/>
  <c r="H82" i="11"/>
  <c r="H81" i="11"/>
  <c r="H80" i="11"/>
  <c r="H79" i="11"/>
  <c r="H78" i="11"/>
  <c r="H77" i="11"/>
  <c r="H76" i="11"/>
  <c r="H75" i="11"/>
  <c r="H74" i="11"/>
  <c r="H73" i="11"/>
  <c r="H72" i="11"/>
  <c r="H71" i="11"/>
  <c r="H70" i="11"/>
  <c r="H69" i="11"/>
  <c r="H68" i="11"/>
  <c r="H67" i="11"/>
  <c r="H66" i="11"/>
  <c r="H65" i="11"/>
  <c r="H64" i="11"/>
  <c r="N56" i="7"/>
  <c r="N64" i="7" s="1"/>
  <c r="M56" i="7"/>
  <c r="M64" i="7" s="1"/>
  <c r="L56" i="7"/>
  <c r="L64" i="7" s="1"/>
  <c r="I56" i="7"/>
  <c r="E56" i="7"/>
  <c r="E64" i="7" s="1"/>
  <c r="D56" i="7"/>
  <c r="D64" i="7" s="1"/>
  <c r="C56" i="7"/>
  <c r="D70" i="19"/>
  <c r="D23" i="1" s="1"/>
  <c r="D14" i="4" s="1"/>
  <c r="D13" i="4" s="1"/>
  <c r="O26" i="24"/>
  <c r="O36" i="24" s="1"/>
  <c r="O39" i="24" s="1"/>
  <c r="N26" i="24"/>
  <c r="L26" i="24"/>
  <c r="W27" i="24"/>
  <c r="V27" i="24"/>
  <c r="U27" i="24"/>
  <c r="T27" i="24"/>
  <c r="S25" i="24"/>
  <c r="R25" i="24"/>
  <c r="N25" i="24"/>
  <c r="N36" i="24" s="1"/>
  <c r="N39" i="24" s="1"/>
  <c r="M25" i="24"/>
  <c r="M36" i="24" s="1"/>
  <c r="M39" i="24" s="1"/>
  <c r="L25" i="24"/>
  <c r="L36" i="24" s="1"/>
  <c r="L39" i="24" s="1"/>
  <c r="W28" i="24"/>
  <c r="H91" i="11"/>
  <c r="V60" i="27"/>
  <c r="V69" i="27"/>
  <c r="V70" i="27" s="1"/>
  <c r="U60" i="27"/>
  <c r="U69" i="27"/>
  <c r="U70" i="27" s="1"/>
  <c r="S27" i="24"/>
  <c r="S57" i="27"/>
  <c r="S58" i="27" s="1"/>
  <c r="S69" i="27" s="1"/>
  <c r="R27" i="24"/>
  <c r="R57" i="27"/>
  <c r="R58" i="27" s="1"/>
  <c r="R69" i="27" s="1"/>
  <c r="V25" i="24"/>
  <c r="V57" i="26"/>
  <c r="V58" i="26" s="1"/>
  <c r="V69" i="26" s="1"/>
  <c r="U25" i="24"/>
  <c r="U57" i="26"/>
  <c r="U58" i="26" s="1"/>
  <c r="U69" i="26" s="1"/>
  <c r="P69" i="28"/>
  <c r="P60" i="28"/>
  <c r="P86" i="24" s="1"/>
  <c r="O69" i="28"/>
  <c r="O60" i="28"/>
  <c r="O86" i="24" s="1"/>
  <c r="N69" i="28"/>
  <c r="N60" i="28"/>
  <c r="N86" i="24" s="1"/>
  <c r="T69" i="28"/>
  <c r="T60" i="28"/>
  <c r="T86" i="24" s="1"/>
  <c r="M69" i="28"/>
  <c r="M60" i="28"/>
  <c r="M86" i="24" s="1"/>
  <c r="S69" i="28"/>
  <c r="S60" i="28"/>
  <c r="S86" i="24" s="1"/>
  <c r="R69" i="28"/>
  <c r="R60" i="28"/>
  <c r="R86" i="24" s="1"/>
  <c r="L69" i="28"/>
  <c r="L70" i="28" s="1"/>
  <c r="L7" i="24" s="1"/>
  <c r="L60" i="28"/>
  <c r="L86" i="24" s="1"/>
  <c r="U53" i="28"/>
  <c r="U60" i="28" s="1"/>
  <c r="U86" i="24" s="1"/>
  <c r="O69" i="27"/>
  <c r="O70" i="27" s="1"/>
  <c r="O60" i="27"/>
  <c r="N69" i="27"/>
  <c r="N70" i="27" s="1"/>
  <c r="N60" i="27"/>
  <c r="M32" i="27"/>
  <c r="M60" i="27" s="1"/>
  <c r="M68" i="27"/>
  <c r="M70" i="27" s="1"/>
  <c r="L32" i="27"/>
  <c r="L60" i="27" s="1"/>
  <c r="L68" i="27"/>
  <c r="L70" i="27" s="1"/>
  <c r="L62" i="27"/>
  <c r="L67" i="24" s="1"/>
  <c r="L68" i="24" s="1"/>
  <c r="C105" i="1" s="1"/>
  <c r="C42" i="14" s="1"/>
  <c r="M29" i="27"/>
  <c r="R32" i="27"/>
  <c r="R60" i="27" s="1"/>
  <c r="R68" i="27"/>
  <c r="S32" i="27"/>
  <c r="S60" i="27" s="1"/>
  <c r="S68" i="27"/>
  <c r="Q32" i="27"/>
  <c r="Q68" i="27"/>
  <c r="T68" i="27"/>
  <c r="T70" i="27" s="1"/>
  <c r="T32" i="27"/>
  <c r="T60" i="27" s="1"/>
  <c r="P32" i="27"/>
  <c r="P60" i="27" s="1"/>
  <c r="P68" i="27"/>
  <c r="P70" i="27" s="1"/>
  <c r="N69" i="26"/>
  <c r="N70" i="26" s="1"/>
  <c r="N60" i="26"/>
  <c r="M69" i="26"/>
  <c r="M70" i="26" s="1"/>
  <c r="M60" i="26"/>
  <c r="K22" i="1"/>
  <c r="K40" i="7" s="1"/>
  <c r="K44" i="7" s="1"/>
  <c r="K29" i="19"/>
  <c r="H119" i="18"/>
  <c r="H109" i="18"/>
  <c r="G119" i="18"/>
  <c r="G61" i="18" s="1"/>
  <c r="G82" i="18"/>
  <c r="G109" i="18"/>
  <c r="F119" i="18"/>
  <c r="F61" i="18" s="1"/>
  <c r="F82" i="18"/>
  <c r="F109" i="18"/>
  <c r="Q49" i="18"/>
  <c r="Q54" i="18" s="1"/>
  <c r="Q37" i="18"/>
  <c r="N12" i="16"/>
  <c r="N17" i="16" s="1"/>
  <c r="N10" i="16"/>
  <c r="N28" i="16" s="1"/>
  <c r="R28" i="13"/>
  <c r="T17" i="13"/>
  <c r="V17" i="13" s="1"/>
  <c r="X17" i="13" s="1"/>
  <c r="Z17" i="13" s="1"/>
  <c r="AB17" i="13" s="1"/>
  <c r="AD17" i="13" s="1"/>
  <c r="W14" i="13"/>
  <c r="X14" i="13" s="1"/>
  <c r="Z14" i="13" s="1"/>
  <c r="AB14" i="13" s="1"/>
  <c r="AD14" i="13" s="1"/>
  <c r="W18" i="13"/>
  <c r="X18" i="13" s="1"/>
  <c r="Z18" i="13" s="1"/>
  <c r="AB18" i="13" s="1"/>
  <c r="AD18" i="13" s="1"/>
  <c r="Q13" i="13"/>
  <c r="R13" i="13" s="1"/>
  <c r="T13" i="13" s="1"/>
  <c r="V13" i="13" s="1"/>
  <c r="X13" i="13" s="1"/>
  <c r="W11" i="13"/>
  <c r="X11" i="13" s="1"/>
  <c r="W19" i="13"/>
  <c r="X19" i="13" s="1"/>
  <c r="Z19" i="13" s="1"/>
  <c r="AB19" i="13" s="1"/>
  <c r="AD19" i="13" s="1"/>
  <c r="O7" i="13"/>
  <c r="S16" i="13"/>
  <c r="T16" i="13" s="1"/>
  <c r="V16" i="13" s="1"/>
  <c r="X16" i="13" s="1"/>
  <c r="W10" i="13"/>
  <c r="X10" i="13" s="1"/>
  <c r="Z10" i="13" s="1"/>
  <c r="AB10" i="13" s="1"/>
  <c r="AD10" i="13" s="1"/>
  <c r="O15" i="13"/>
  <c r="P15" i="13" s="1"/>
  <c r="R15" i="13" s="1"/>
  <c r="T15" i="13" s="1"/>
  <c r="V15" i="13" s="1"/>
  <c r="X15" i="13" s="1"/>
  <c r="Z15" i="13" s="1"/>
  <c r="AB15" i="13" s="1"/>
  <c r="AD15" i="13" s="1"/>
  <c r="Z21" i="12"/>
  <c r="AA21" i="12" s="1"/>
  <c r="AC21" i="12" s="1"/>
  <c r="AE21" i="12" s="1"/>
  <c r="V18" i="12"/>
  <c r="W18" i="12" s="1"/>
  <c r="X5" i="12"/>
  <c r="Y5" i="12" s="1"/>
  <c r="AA5" i="12" s="1"/>
  <c r="AC5" i="12" s="1"/>
  <c r="AE5" i="12" s="1"/>
  <c r="V17" i="12"/>
  <c r="X19" i="12"/>
  <c r="Y19" i="12" s="1"/>
  <c r="AA19" i="12" s="1"/>
  <c r="AC19" i="12" s="1"/>
  <c r="AE19" i="12" s="1"/>
  <c r="J12" i="12"/>
  <c r="K12" i="12"/>
  <c r="P20" i="12"/>
  <c r="Q20" i="12" s="1"/>
  <c r="S20" i="12" s="1"/>
  <c r="U20" i="12" s="1"/>
  <c r="W20" i="12" s="1"/>
  <c r="R24" i="12"/>
  <c r="S24" i="12" s="1"/>
  <c r="U24" i="12" s="1"/>
  <c r="W24" i="12" s="1"/>
  <c r="Y24" i="12" s="1"/>
  <c r="AA24" i="12" s="1"/>
  <c r="AC24" i="12" s="1"/>
  <c r="AE24" i="12" s="1"/>
  <c r="R22" i="12"/>
  <c r="S22" i="12" s="1"/>
  <c r="U22" i="12" s="1"/>
  <c r="W22" i="12" s="1"/>
  <c r="Y22" i="12" s="1"/>
  <c r="AA22" i="12" s="1"/>
  <c r="AC22" i="12" s="1"/>
  <c r="AE22" i="12" s="1"/>
  <c r="J14" i="12"/>
  <c r="K14" i="12"/>
  <c r="M14" i="12" s="1"/>
  <c r="O14" i="12" s="1"/>
  <c r="Q14" i="12" s="1"/>
  <c r="S14" i="12" s="1"/>
  <c r="U14" i="12" s="1"/>
  <c r="W14" i="12" s="1"/>
  <c r="Y14" i="12" s="1"/>
  <c r="AA14" i="12" s="1"/>
  <c r="AC14" i="12" s="1"/>
  <c r="AE14" i="12" s="1"/>
  <c r="R23" i="12"/>
  <c r="S23" i="12" s="1"/>
  <c r="U23" i="12" s="1"/>
  <c r="W23" i="12" s="1"/>
  <c r="Y23" i="12" s="1"/>
  <c r="AA23" i="12" s="1"/>
  <c r="AC23" i="12" s="1"/>
  <c r="AE23" i="12" s="1"/>
  <c r="R29" i="12"/>
  <c r="S29" i="12" s="1"/>
  <c r="U29" i="12" s="1"/>
  <c r="W29" i="12" s="1"/>
  <c r="Y29" i="12" s="1"/>
  <c r="AA29" i="12" s="1"/>
  <c r="AC29" i="12" s="1"/>
  <c r="AE29" i="12" s="1"/>
  <c r="AF29" i="12" s="1"/>
  <c r="AF43" i="12" s="1"/>
  <c r="R6" i="12"/>
  <c r="S6" i="12" s="1"/>
  <c r="U6" i="12" s="1"/>
  <c r="W6" i="12" s="1"/>
  <c r="Y6" i="12" s="1"/>
  <c r="AA6" i="12" s="1"/>
  <c r="AC6" i="12" s="1"/>
  <c r="AE6" i="12" s="1"/>
  <c r="R25" i="12"/>
  <c r="S25" i="12" s="1"/>
  <c r="U25" i="12" s="1"/>
  <c r="W25" i="12" s="1"/>
  <c r="Y25" i="12" s="1"/>
  <c r="AA25" i="12" s="1"/>
  <c r="AC25" i="12" s="1"/>
  <c r="AE25" i="12" s="1"/>
  <c r="Z26" i="12"/>
  <c r="AA26" i="12" s="1"/>
  <c r="AC26" i="12" s="1"/>
  <c r="AE26" i="12" s="1"/>
  <c r="J13" i="12"/>
  <c r="J43" i="12" s="1"/>
  <c r="C68" i="1" s="1"/>
  <c r="C59" i="7" s="1"/>
  <c r="C62" i="7" s="1"/>
  <c r="K13" i="12"/>
  <c r="M13" i="12" s="1"/>
  <c r="O13" i="12" s="1"/>
  <c r="Q13" i="12" s="1"/>
  <c r="S13" i="12" s="1"/>
  <c r="U13" i="12" s="1"/>
  <c r="W13" i="12" s="1"/>
  <c r="Y13" i="12" s="1"/>
  <c r="AA13" i="12" s="1"/>
  <c r="AC13" i="12" s="1"/>
  <c r="AE13" i="12" s="1"/>
  <c r="M37" i="11"/>
  <c r="N37" i="11" s="1"/>
  <c r="O37" i="11" s="1"/>
  <c r="P37" i="11" s="1"/>
  <c r="Q37" i="11" s="1"/>
  <c r="R37" i="11" s="1"/>
  <c r="S37" i="11" s="1"/>
  <c r="T37" i="11" s="1"/>
  <c r="U37" i="11" s="1"/>
  <c r="V37" i="11" s="1"/>
  <c r="W37" i="11" s="1"/>
  <c r="X37" i="11" s="1"/>
  <c r="G93" i="11"/>
  <c r="H93" i="11" s="1"/>
  <c r="F64" i="11" a="1"/>
  <c r="F64" i="11" s="1"/>
  <c r="F74" i="11" a="1"/>
  <c r="F74" i="11" s="1"/>
  <c r="J74" i="11" s="1"/>
  <c r="F76" i="11" a="1"/>
  <c r="F76" i="11" s="1"/>
  <c r="F77" i="11" a="1"/>
  <c r="F77" i="11" s="1"/>
  <c r="F78" i="11" a="1"/>
  <c r="F78" i="11" s="1"/>
  <c r="F79" i="11" a="1"/>
  <c r="F79" i="11" s="1"/>
  <c r="F80" i="11" a="1"/>
  <c r="F80" i="11" s="1"/>
  <c r="F81" i="11" a="1"/>
  <c r="F81" i="11" s="1"/>
  <c r="F91" i="11" a="1"/>
  <c r="F91" i="11" s="1"/>
  <c r="F92" i="11" a="1"/>
  <c r="F92" i="11" s="1"/>
  <c r="F95" i="11" a="1"/>
  <c r="F95" i="11" s="1"/>
  <c r="J95" i="11" s="1"/>
  <c r="F89" i="11" a="1"/>
  <c r="F89" i="11" s="1"/>
  <c r="F82" i="11" a="1"/>
  <c r="F82" i="11" s="1"/>
  <c r="F83" i="11" a="1"/>
  <c r="F83" i="11" s="1"/>
  <c r="F84" i="11" a="1"/>
  <c r="F84" i="11" s="1"/>
  <c r="F67" i="11" a="1"/>
  <c r="F67" i="11" s="1"/>
  <c r="F94" i="11" a="1"/>
  <c r="F94" i="11" s="1"/>
  <c r="F70" i="11" a="1"/>
  <c r="F70" i="11" s="1"/>
  <c r="F69" i="11" a="1"/>
  <c r="F69" i="11" s="1"/>
  <c r="F87" i="11" a="1"/>
  <c r="F87" i="11" s="1"/>
  <c r="F68" i="11" a="1"/>
  <c r="F68" i="11" s="1"/>
  <c r="F62" i="11" a="1"/>
  <c r="F62" i="11" s="1"/>
  <c r="F63" i="11" a="1"/>
  <c r="F63" i="11" s="1"/>
  <c r="F75" i="11" a="1"/>
  <c r="F75" i="11" s="1"/>
  <c r="F66" i="11" a="1"/>
  <c r="F66" i="11" s="1"/>
  <c r="J66" i="11" s="1"/>
  <c r="F88" i="11" a="1"/>
  <c r="F88" i="11" s="1"/>
  <c r="F65" i="11" a="1"/>
  <c r="F65" i="11" s="1"/>
  <c r="F90" i="11" a="1"/>
  <c r="F90" i="11" s="1"/>
  <c r="F93" i="11" a="1"/>
  <c r="F93" i="11" s="1"/>
  <c r="F73" i="11" a="1"/>
  <c r="F73" i="11" s="1"/>
  <c r="F72" i="11" a="1"/>
  <c r="F72" i="11" s="1"/>
  <c r="F71" i="11" a="1"/>
  <c r="F71" i="11" s="1"/>
  <c r="F86" i="11" a="1"/>
  <c r="F86" i="11" s="1"/>
  <c r="F85" i="11" a="1"/>
  <c r="F85" i="11" s="1"/>
  <c r="F61" i="11" a="1"/>
  <c r="F61" i="11" s="1"/>
  <c r="W57" i="28" l="1"/>
  <c r="W58" i="28" s="1"/>
  <c r="W69" i="28" s="1"/>
  <c r="Q58" i="28"/>
  <c r="W57" i="27"/>
  <c r="W58" i="27" s="1"/>
  <c r="Q58" i="27"/>
  <c r="Q36" i="24"/>
  <c r="Q37" i="24"/>
  <c r="W37" i="24" s="1"/>
  <c r="W57" i="26"/>
  <c r="W58" i="26" s="1"/>
  <c r="W69" i="26" s="1"/>
  <c r="Q58" i="26"/>
  <c r="Q69" i="26" s="1"/>
  <c r="W53" i="28"/>
  <c r="W60" i="28" s="1"/>
  <c r="W86" i="24" s="1"/>
  <c r="V53" i="28"/>
  <c r="V60" i="28" s="1"/>
  <c r="V86" i="24" s="1"/>
  <c r="N68" i="28"/>
  <c r="N70" i="28" s="1"/>
  <c r="N7" i="24" s="1"/>
  <c r="O29" i="28"/>
  <c r="N62" i="28"/>
  <c r="N66" i="24" s="1"/>
  <c r="O68" i="26"/>
  <c r="O70" i="26" s="1"/>
  <c r="O32" i="26"/>
  <c r="O60" i="26" s="1"/>
  <c r="P27" i="26"/>
  <c r="P31" i="26" s="1"/>
  <c r="R25" i="26"/>
  <c r="S7" i="26"/>
  <c r="T28" i="26" s="1"/>
  <c r="R27" i="26"/>
  <c r="Q72" i="26"/>
  <c r="V6" i="26"/>
  <c r="W13" i="26"/>
  <c r="O52" i="24"/>
  <c r="O59" i="24" s="1"/>
  <c r="O9" i="25" s="1"/>
  <c r="N59" i="24"/>
  <c r="N9" i="25" s="1"/>
  <c r="W35" i="24"/>
  <c r="V30" i="24"/>
  <c r="V36" i="24" s="1"/>
  <c r="U39" i="24"/>
  <c r="D20" i="22"/>
  <c r="F19" i="4"/>
  <c r="D19" i="22" s="1"/>
  <c r="Z20" i="22"/>
  <c r="AU20" i="22"/>
  <c r="Z19" i="22"/>
  <c r="AU19" i="22"/>
  <c r="L33" i="21"/>
  <c r="K78" i="1"/>
  <c r="K20" i="4" s="1"/>
  <c r="H20" i="22"/>
  <c r="J19" i="4"/>
  <c r="H19" i="22" s="1"/>
  <c r="J68" i="20"/>
  <c r="I70" i="20"/>
  <c r="I69" i="20" s="1"/>
  <c r="I63" i="20"/>
  <c r="I64" i="20"/>
  <c r="F48" i="20" s="1"/>
  <c r="H65" i="20"/>
  <c r="E47" i="20"/>
  <c r="E52" i="20" s="1"/>
  <c r="E54" i="20" s="1"/>
  <c r="E58" i="20" s="1"/>
  <c r="E60" i="20" s="1"/>
  <c r="E28" i="1" s="1"/>
  <c r="E18" i="4" s="1"/>
  <c r="E17" i="4" s="1"/>
  <c r="J44" i="20"/>
  <c r="I34" i="20"/>
  <c r="H38" i="20"/>
  <c r="H42" i="20" s="1"/>
  <c r="G64" i="19"/>
  <c r="F66" i="19"/>
  <c r="F70" i="19" s="1"/>
  <c r="F23" i="1" s="1"/>
  <c r="F14" i="4" s="1"/>
  <c r="F104" i="19"/>
  <c r="F105" i="19" s="1"/>
  <c r="L51" i="19"/>
  <c r="L58" i="19" s="1"/>
  <c r="L62" i="19" s="1"/>
  <c r="L53" i="19"/>
  <c r="I129" i="18"/>
  <c r="I128" i="18" s="1"/>
  <c r="J124" i="18"/>
  <c r="I123" i="18"/>
  <c r="I109" i="18" s="1"/>
  <c r="I113" i="18"/>
  <c r="I61" i="18" s="1"/>
  <c r="J112" i="18"/>
  <c r="I62" i="18"/>
  <c r="J96" i="18"/>
  <c r="K96" i="18" s="1"/>
  <c r="L96" i="18" s="1"/>
  <c r="M96" i="18" s="1"/>
  <c r="N96" i="18" s="1"/>
  <c r="G59" i="18"/>
  <c r="F104" i="18"/>
  <c r="F105" i="18" s="1"/>
  <c r="G101" i="18"/>
  <c r="H95" i="18"/>
  <c r="F65" i="18"/>
  <c r="F68" i="18" s="1"/>
  <c r="F71" i="18"/>
  <c r="F80" i="18" s="1"/>
  <c r="M64" i="18"/>
  <c r="I18" i="1"/>
  <c r="I12" i="4" s="1"/>
  <c r="G12" i="22" s="1"/>
  <c r="AA12" i="22"/>
  <c r="AV12" i="22"/>
  <c r="P51" i="18"/>
  <c r="O52" i="18"/>
  <c r="M45" i="18"/>
  <c r="L49" i="18"/>
  <c r="L54" i="18" s="1"/>
  <c r="O54" i="18"/>
  <c r="O57" i="18"/>
  <c r="H30" i="18"/>
  <c r="E10" i="1"/>
  <c r="E31" i="7" s="1"/>
  <c r="E36" i="7" s="1"/>
  <c r="E46" i="7" s="1"/>
  <c r="F30" i="18"/>
  <c r="C10" i="1"/>
  <c r="C31" i="7" s="1"/>
  <c r="C36" i="7" s="1"/>
  <c r="C46" i="7" s="1"/>
  <c r="M40" i="17"/>
  <c r="M45" i="17" s="1"/>
  <c r="M53" i="17" s="1"/>
  <c r="N48" i="17"/>
  <c r="K56" i="17"/>
  <c r="K61" i="17" s="1"/>
  <c r="K33" i="1"/>
  <c r="K16" i="4" s="1"/>
  <c r="J40" i="17"/>
  <c r="J45" i="17" s="1"/>
  <c r="J53" i="17" s="1"/>
  <c r="I33" i="17"/>
  <c r="J16" i="22"/>
  <c r="L15" i="4"/>
  <c r="J15" i="22" s="1"/>
  <c r="I55" i="16"/>
  <c r="I60" i="16" s="1"/>
  <c r="I7" i="1" s="1"/>
  <c r="I7" i="4" s="1"/>
  <c r="J21" i="16"/>
  <c r="J25" i="16" s="1"/>
  <c r="D7" i="22"/>
  <c r="F6" i="4"/>
  <c r="D6" i="22" s="1"/>
  <c r="F7" i="22"/>
  <c r="H6" i="4"/>
  <c r="F6" i="22" s="1"/>
  <c r="G7" i="22"/>
  <c r="I6" i="4"/>
  <c r="G6" i="22" s="1"/>
  <c r="E7" i="22"/>
  <c r="G6" i="4"/>
  <c r="E6" i="22" s="1"/>
  <c r="F32" i="16"/>
  <c r="E96" i="1"/>
  <c r="E24" i="7" s="1"/>
  <c r="M37" i="16"/>
  <c r="L45" i="16"/>
  <c r="L60" i="16" s="1"/>
  <c r="K61" i="16"/>
  <c r="K7" i="1"/>
  <c r="K7" i="4" s="1"/>
  <c r="H7" i="22"/>
  <c r="J6" i="4"/>
  <c r="H6" i="22" s="1"/>
  <c r="G4" i="15"/>
  <c r="F8" i="15"/>
  <c r="E10" i="15"/>
  <c r="D50" i="1" s="1"/>
  <c r="D42" i="4" s="1"/>
  <c r="E12" i="15"/>
  <c r="D49" i="1"/>
  <c r="D24" i="4" s="1"/>
  <c r="D23" i="4" s="1"/>
  <c r="AG30" i="22"/>
  <c r="BB30" i="22"/>
  <c r="AF30" i="22"/>
  <c r="BA30" i="22"/>
  <c r="AE22" i="22"/>
  <c r="AZ22" i="22"/>
  <c r="AE21" i="22"/>
  <c r="AZ21" i="22"/>
  <c r="D29" i="22"/>
  <c r="Q4" i="12"/>
  <c r="P43" i="12"/>
  <c r="F68" i="1" s="1"/>
  <c r="F59" i="7" s="1"/>
  <c r="D138" i="11"/>
  <c r="C139" i="11" a="1"/>
  <c r="C139" i="11" s="1"/>
  <c r="D139" i="11" a="1"/>
  <c r="D139" i="11" s="1"/>
  <c r="K5" i="11"/>
  <c r="J47" i="11"/>
  <c r="J45" i="11" s="1"/>
  <c r="J48" i="11"/>
  <c r="E26" i="10"/>
  <c r="F11" i="9"/>
  <c r="E93" i="1"/>
  <c r="E50" i="14" s="1"/>
  <c r="AG48" i="22"/>
  <c r="BB48" i="22"/>
  <c r="AF48" i="22"/>
  <c r="BA48" i="22"/>
  <c r="AE48" i="22"/>
  <c r="AZ48" i="22"/>
  <c r="AD48" i="22"/>
  <c r="AY48" i="22"/>
  <c r="AC48" i="22"/>
  <c r="AX48" i="22"/>
  <c r="AB48" i="22"/>
  <c r="AW48" i="22"/>
  <c r="AA48" i="22"/>
  <c r="AV48" i="22"/>
  <c r="Z48" i="22"/>
  <c r="AU48" i="22"/>
  <c r="Y48" i="22"/>
  <c r="AT48" i="22"/>
  <c r="T36" i="24"/>
  <c r="T37" i="24"/>
  <c r="L72" i="24"/>
  <c r="M74" i="28"/>
  <c r="L73" i="24"/>
  <c r="M74" i="27"/>
  <c r="L71" i="24"/>
  <c r="L74" i="24" s="1"/>
  <c r="M74" i="26"/>
  <c r="H61" i="18"/>
  <c r="H132" i="18"/>
  <c r="L6" i="24"/>
  <c r="C47" i="1"/>
  <c r="O45" i="24"/>
  <c r="F95" i="1"/>
  <c r="F16" i="7" s="1"/>
  <c r="O20" i="24"/>
  <c r="S36" i="24"/>
  <c r="S37" i="24"/>
  <c r="R36" i="24"/>
  <c r="R37" i="24"/>
  <c r="N45" i="24"/>
  <c r="E95" i="1"/>
  <c r="E16" i="7" s="1"/>
  <c r="N20" i="24"/>
  <c r="M45" i="24"/>
  <c r="D95" i="1"/>
  <c r="D16" i="7" s="1"/>
  <c r="M20" i="24"/>
  <c r="L45" i="24"/>
  <c r="C95" i="1"/>
  <c r="C16" i="7" s="1"/>
  <c r="L20" i="24"/>
  <c r="M55" i="1"/>
  <c r="V85" i="24"/>
  <c r="M56" i="1"/>
  <c r="V8" i="24"/>
  <c r="L55" i="1"/>
  <c r="U85" i="24"/>
  <c r="L56" i="1"/>
  <c r="U8" i="24"/>
  <c r="F56" i="1"/>
  <c r="O8" i="24"/>
  <c r="F55" i="1"/>
  <c r="O85" i="24"/>
  <c r="E56" i="1"/>
  <c r="N8" i="24"/>
  <c r="E55" i="1"/>
  <c r="N85" i="24"/>
  <c r="D55" i="1"/>
  <c r="M85" i="24"/>
  <c r="D56" i="1"/>
  <c r="M8" i="24"/>
  <c r="C55" i="1"/>
  <c r="L85" i="24"/>
  <c r="L87" i="24" s="1"/>
  <c r="C59" i="1" s="1"/>
  <c r="C5" i="7" s="1"/>
  <c r="C11" i="7" s="1"/>
  <c r="C56" i="1"/>
  <c r="L8" i="24"/>
  <c r="M62" i="27"/>
  <c r="M67" i="24" s="1"/>
  <c r="N29" i="27"/>
  <c r="I55" i="1"/>
  <c r="R85" i="24"/>
  <c r="J55" i="1"/>
  <c r="S85" i="24"/>
  <c r="K56" i="1"/>
  <c r="T8" i="24"/>
  <c r="K55" i="1"/>
  <c r="T85" i="24"/>
  <c r="G55" i="1"/>
  <c r="P85" i="24"/>
  <c r="G56" i="1"/>
  <c r="P8" i="24"/>
  <c r="N6" i="24"/>
  <c r="E47" i="1"/>
  <c r="N84" i="24"/>
  <c r="N87" i="24" s="1"/>
  <c r="E59" i="1" s="1"/>
  <c r="E5" i="7" s="1"/>
  <c r="E11" i="7" s="1"/>
  <c r="E46" i="1"/>
  <c r="M6" i="24"/>
  <c r="M10" i="24" s="1"/>
  <c r="D58" i="1" s="1"/>
  <c r="D14" i="7" s="1"/>
  <c r="D18" i="7" s="1"/>
  <c r="D47" i="1"/>
  <c r="M84" i="24"/>
  <c r="M87" i="24" s="1"/>
  <c r="D59" i="1" s="1"/>
  <c r="D5" i="7" s="1"/>
  <c r="D11" i="7" s="1"/>
  <c r="D20" i="7" s="1"/>
  <c r="D46" i="1"/>
  <c r="N5" i="1"/>
  <c r="N30" i="7" s="1"/>
  <c r="N36" i="7" s="1"/>
  <c r="N46" i="7" s="1"/>
  <c r="N27" i="16"/>
  <c r="Y13" i="13"/>
  <c r="Z13" i="13" s="1"/>
  <c r="AB13" i="13" s="1"/>
  <c r="AD13" i="13" s="1"/>
  <c r="P29" i="13" a="1"/>
  <c r="P29" i="13" s="1"/>
  <c r="G72" i="1" s="1"/>
  <c r="G54" i="7" s="1"/>
  <c r="G56" i="7" s="1"/>
  <c r="Q33" i="13"/>
  <c r="G73" i="1" s="1"/>
  <c r="G60" i="7" s="1"/>
  <c r="Y11" i="13"/>
  <c r="Z11" i="13" s="1"/>
  <c r="AB11" i="13" s="1"/>
  <c r="AD11" i="13" s="1"/>
  <c r="N29" i="13" a="1"/>
  <c r="N29" i="13" s="1"/>
  <c r="F72" i="1" s="1"/>
  <c r="F54" i="7" s="1"/>
  <c r="F56" i="7" s="1"/>
  <c r="O33" i="13"/>
  <c r="F73" i="1" s="1"/>
  <c r="F60" i="7" s="1"/>
  <c r="Z16" i="13"/>
  <c r="AB16" i="13" s="1"/>
  <c r="AD16" i="13" s="1"/>
  <c r="Y16" i="13"/>
  <c r="R29" i="13" a="1"/>
  <c r="R29" i="13" s="1"/>
  <c r="H72" i="1" s="1"/>
  <c r="H54" i="7" s="1"/>
  <c r="H56" i="7" s="1"/>
  <c r="H64" i="7" s="1"/>
  <c r="S33" i="13"/>
  <c r="H73" i="1" s="1"/>
  <c r="H60" i="7" s="1"/>
  <c r="H62" i="7" s="1"/>
  <c r="V29" i="13" a="1"/>
  <c r="V29" i="13" s="1"/>
  <c r="J72" i="1" s="1"/>
  <c r="J54" i="7" s="1"/>
  <c r="J56" i="7" s="1"/>
  <c r="W33" i="13"/>
  <c r="J73" i="1" s="1"/>
  <c r="J60" i="7" s="1"/>
  <c r="X18" i="12"/>
  <c r="Y18" i="12" s="1"/>
  <c r="AA18" i="12" s="1"/>
  <c r="AC18" i="12" s="1"/>
  <c r="AE18" i="12" s="1"/>
  <c r="Y20" i="12"/>
  <c r="AA20" i="12" s="1"/>
  <c r="AC20" i="12" s="1"/>
  <c r="AE20" i="12" s="1"/>
  <c r="X20" i="12"/>
  <c r="P39" i="24"/>
  <c r="V37" i="24"/>
  <c r="Q31" i="26"/>
  <c r="M68" i="24"/>
  <c r="D105" i="1" s="1"/>
  <c r="D42" i="14" s="1"/>
  <c r="C64" i="7"/>
  <c r="S70" i="27"/>
  <c r="R70" i="27"/>
  <c r="Z43" i="12"/>
  <c r="K68" i="1" s="1"/>
  <c r="K59" i="7" s="1"/>
  <c r="P64" i="16"/>
  <c r="O64" i="16"/>
  <c r="N64" i="16"/>
  <c r="E136" i="11" a="1"/>
  <c r="E136" i="11" s="1"/>
  <c r="L136" i="11" a="1"/>
  <c r="L136" i="11" s="1"/>
  <c r="E135" i="11" a="1"/>
  <c r="E135" i="11" s="1"/>
  <c r="I134" i="11" a="1"/>
  <c r="I134" i="11" s="1"/>
  <c r="E133" i="11" a="1"/>
  <c r="E133" i="11" s="1"/>
  <c r="L133" i="11" a="1"/>
  <c r="L133" i="11" s="1"/>
  <c r="H132" i="11" a="1"/>
  <c r="H132" i="11" s="1"/>
  <c r="H131" i="11" a="1"/>
  <c r="H131" i="11" s="1"/>
  <c r="G130" i="11" a="1"/>
  <c r="G130" i="11" s="1"/>
  <c r="E129" i="11" a="1"/>
  <c r="E129" i="11" s="1"/>
  <c r="F127" i="11" a="1"/>
  <c r="F127" i="11" s="1"/>
  <c r="I126" i="11" a="1"/>
  <c r="I126" i="11" s="1"/>
  <c r="E125" i="11" a="1"/>
  <c r="E125" i="11" s="1"/>
  <c r="F124" i="11" a="1"/>
  <c r="F124" i="11" s="1"/>
  <c r="E123" i="11" a="1"/>
  <c r="E123" i="11" s="1"/>
  <c r="J119" i="11" a="1"/>
  <c r="J119" i="11" s="1"/>
  <c r="E118" i="11" a="1"/>
  <c r="E118" i="11" s="1"/>
  <c r="F117" i="11" a="1"/>
  <c r="F117" i="11" s="1"/>
  <c r="G116" i="11" a="1"/>
  <c r="G116" i="11" s="1"/>
  <c r="F109" i="11" a="1"/>
  <c r="F109" i="11" s="1"/>
  <c r="G108" i="11" a="1"/>
  <c r="G108" i="11" s="1"/>
  <c r="I103" i="11" a="1"/>
  <c r="I103" i="11" s="1"/>
  <c r="F102" i="11" a="1"/>
  <c r="F102" i="11" s="1"/>
  <c r="J89" i="11"/>
  <c r="K89" i="11"/>
  <c r="J85" i="11"/>
  <c r="K85" i="11"/>
  <c r="J84" i="11"/>
  <c r="K84" i="11"/>
  <c r="J68" i="11"/>
  <c r="K68" i="11"/>
  <c r="J67" i="11"/>
  <c r="K67" i="11"/>
  <c r="K95" i="11"/>
  <c r="K94" i="11"/>
  <c r="J88" i="11"/>
  <c r="K88" i="11"/>
  <c r="J82" i="11"/>
  <c r="K82" i="11"/>
  <c r="J81" i="11"/>
  <c r="K81" i="11"/>
  <c r="J80" i="11"/>
  <c r="K80" i="11"/>
  <c r="J79" i="11"/>
  <c r="K79" i="11"/>
  <c r="J78" i="11"/>
  <c r="K78" i="11"/>
  <c r="K74" i="11"/>
  <c r="J73" i="11"/>
  <c r="K73" i="11"/>
  <c r="J72" i="11"/>
  <c r="K72" i="11"/>
  <c r="J71" i="11"/>
  <c r="K71" i="11"/>
  <c r="J70" i="11"/>
  <c r="K70" i="11"/>
  <c r="J69" i="11"/>
  <c r="K69" i="11"/>
  <c r="K66" i="11"/>
  <c r="J65" i="11"/>
  <c r="K65" i="11"/>
  <c r="J64" i="11"/>
  <c r="K64" i="11"/>
  <c r="J63" i="11"/>
  <c r="K63" i="11"/>
  <c r="J62" i="11"/>
  <c r="K62" i="11"/>
  <c r="K93" i="11"/>
  <c r="J92" i="11"/>
  <c r="K92" i="11"/>
  <c r="J90" i="11"/>
  <c r="K90" i="11"/>
  <c r="J87" i="11"/>
  <c r="K87" i="11"/>
  <c r="J86" i="11"/>
  <c r="K86" i="11"/>
  <c r="J83" i="11"/>
  <c r="K83" i="11"/>
  <c r="J77" i="11"/>
  <c r="K77" i="11"/>
  <c r="J76" i="11"/>
  <c r="K76" i="11"/>
  <c r="J75" i="11"/>
  <c r="K75" i="11"/>
  <c r="J91" i="11"/>
  <c r="K91" i="11" s="1"/>
  <c r="J61" i="11"/>
  <c r="K61" i="11" s="1"/>
  <c r="K97" i="11" s="1" a="1"/>
  <c r="K97" i="11" s="1"/>
  <c r="U37" i="24"/>
  <c r="U36" i="24"/>
  <c r="P7" i="13"/>
  <c r="N23" i="13"/>
  <c r="F71" i="1" s="1"/>
  <c r="F31" i="4" s="1"/>
  <c r="V43" i="12"/>
  <c r="I68" i="1" s="1"/>
  <c r="I59" i="7" s="1"/>
  <c r="I62" i="7" s="1"/>
  <c r="I64" i="7" s="1"/>
  <c r="W17" i="12"/>
  <c r="M12" i="12"/>
  <c r="K34" i="12"/>
  <c r="K33" i="12"/>
  <c r="D66" i="1" s="1"/>
  <c r="D29" i="4" s="1"/>
  <c r="D32" i="4" s="1"/>
  <c r="Q60" i="28" l="1"/>
  <c r="Q86" i="24" s="1"/>
  <c r="Q69" i="28"/>
  <c r="W60" i="27"/>
  <c r="W69" i="27"/>
  <c r="W70" i="27" s="1"/>
  <c r="Q60" i="27"/>
  <c r="Q69" i="27"/>
  <c r="Q70" i="27" s="1"/>
  <c r="O68" i="28"/>
  <c r="O70" i="28" s="1"/>
  <c r="O7" i="24" s="1"/>
  <c r="P29" i="28"/>
  <c r="O62" i="28"/>
  <c r="O66" i="24" s="1"/>
  <c r="O6" i="24"/>
  <c r="O10" i="24" s="1"/>
  <c r="F47" i="1"/>
  <c r="F46" i="1"/>
  <c r="O84" i="24"/>
  <c r="O87" i="24" s="1"/>
  <c r="F59" i="1" s="1"/>
  <c r="F5" i="7" s="1"/>
  <c r="F11" i="7" s="1"/>
  <c r="P68" i="26"/>
  <c r="P70" i="26" s="1"/>
  <c r="P32" i="26"/>
  <c r="P60" i="26" s="1"/>
  <c r="P72" i="26"/>
  <c r="P29" i="26"/>
  <c r="T73" i="26"/>
  <c r="S25" i="26"/>
  <c r="T7" i="26"/>
  <c r="S27" i="26"/>
  <c r="R72" i="26"/>
  <c r="W6" i="26"/>
  <c r="W30" i="24"/>
  <c r="V39" i="24"/>
  <c r="U45" i="24"/>
  <c r="L95" i="1"/>
  <c r="L16" i="7" s="1"/>
  <c r="U20" i="24"/>
  <c r="Y20" i="22"/>
  <c r="AT20" i="22"/>
  <c r="Y19" i="22"/>
  <c r="AT19" i="22"/>
  <c r="M33" i="21"/>
  <c r="M78" i="1" s="1"/>
  <c r="M20" i="4" s="1"/>
  <c r="P35" i="21"/>
  <c r="L78" i="1"/>
  <c r="L20" i="4" s="1"/>
  <c r="I20" i="22"/>
  <c r="K19" i="4"/>
  <c r="I19" i="22" s="1"/>
  <c r="AC20" i="22"/>
  <c r="AX20" i="22"/>
  <c r="AC19" i="22"/>
  <c r="AX19" i="22"/>
  <c r="K68" i="20"/>
  <c r="J70" i="20"/>
  <c r="J69" i="20" s="1"/>
  <c r="J63" i="20"/>
  <c r="J64" i="20"/>
  <c r="G48" i="20" s="1"/>
  <c r="I65" i="20"/>
  <c r="F47" i="20"/>
  <c r="F52" i="20" s="1"/>
  <c r="F54" i="20" s="1"/>
  <c r="F58" i="20" s="1"/>
  <c r="F60" i="20" s="1"/>
  <c r="F28" i="1" s="1"/>
  <c r="F18" i="4" s="1"/>
  <c r="J34" i="20"/>
  <c r="J38" i="20" s="1"/>
  <c r="J42" i="20" s="1"/>
  <c r="I38" i="20"/>
  <c r="I42" i="20" s="1"/>
  <c r="H64" i="19"/>
  <c r="G66" i="19"/>
  <c r="G70" i="19" s="1"/>
  <c r="D14" i="22"/>
  <c r="F13" i="4"/>
  <c r="D13" i="22" s="1"/>
  <c r="J129" i="18"/>
  <c r="J128" i="18" s="1"/>
  <c r="J132" i="18" s="1"/>
  <c r="K124" i="18"/>
  <c r="J123" i="18"/>
  <c r="I82" i="18"/>
  <c r="J113" i="18"/>
  <c r="J61" i="18" s="1"/>
  <c r="K112" i="18"/>
  <c r="J62" i="18"/>
  <c r="G65" i="18"/>
  <c r="G68" i="18" s="1"/>
  <c r="G71" i="18"/>
  <c r="G104" i="18"/>
  <c r="G105" i="18" s="1"/>
  <c r="H59" i="18"/>
  <c r="H101" i="18"/>
  <c r="C95" i="18"/>
  <c r="C101" i="18" s="1"/>
  <c r="I95" i="18"/>
  <c r="F69" i="18"/>
  <c r="F75" i="18"/>
  <c r="F78" i="18"/>
  <c r="C13" i="1"/>
  <c r="C11" i="4" s="1"/>
  <c r="N64" i="18"/>
  <c r="J18" i="1"/>
  <c r="J12" i="4" s="1"/>
  <c r="H12" i="22" s="1"/>
  <c r="AB12" i="22"/>
  <c r="AW12" i="22"/>
  <c r="Q51" i="18"/>
  <c r="Q52" i="18" s="1"/>
  <c r="P52" i="18"/>
  <c r="N45" i="18"/>
  <c r="N49" i="18" s="1"/>
  <c r="M49" i="18"/>
  <c r="M54" i="18" s="1"/>
  <c r="P57" i="18"/>
  <c r="Q57" i="18"/>
  <c r="O6" i="18"/>
  <c r="O8" i="18" s="1"/>
  <c r="O55" i="18"/>
  <c r="O56" i="18"/>
  <c r="M33" i="1"/>
  <c r="M16" i="4" s="1"/>
  <c r="M56" i="17"/>
  <c r="M61" i="17" s="1"/>
  <c r="M62" i="17" s="1"/>
  <c r="N47" i="17"/>
  <c r="N51" i="17"/>
  <c r="N53" i="17" s="1"/>
  <c r="L62" i="17"/>
  <c r="I16" i="22"/>
  <c r="K15" i="4"/>
  <c r="I15" i="22" s="1"/>
  <c r="J56" i="17"/>
  <c r="J61" i="17" s="1"/>
  <c r="K62" i="17" s="1"/>
  <c r="J33" i="1"/>
  <c r="J16" i="4" s="1"/>
  <c r="I40" i="17"/>
  <c r="I45" i="17" s="1"/>
  <c r="I53" i="17" s="1"/>
  <c r="H33" i="17"/>
  <c r="AE16" i="22"/>
  <c r="AZ16" i="22"/>
  <c r="AE15" i="22"/>
  <c r="AZ15" i="22"/>
  <c r="J27" i="16"/>
  <c r="J6" i="1"/>
  <c r="J38" i="7" s="1"/>
  <c r="J44" i="7" s="1"/>
  <c r="Y7" i="22"/>
  <c r="AT7" i="22"/>
  <c r="Y6" i="22"/>
  <c r="AT6" i="22"/>
  <c r="AA7" i="22"/>
  <c r="AV7" i="22"/>
  <c r="AA6" i="22"/>
  <c r="AV6" i="22"/>
  <c r="AB7" i="22"/>
  <c r="AW7" i="22"/>
  <c r="AB6" i="22"/>
  <c r="AW6" i="22"/>
  <c r="Z7" i="22"/>
  <c r="AU7" i="22"/>
  <c r="Z6" i="22"/>
  <c r="AU6" i="22"/>
  <c r="F96" i="1"/>
  <c r="F24" i="7" s="1"/>
  <c r="G32" i="16"/>
  <c r="N37" i="16"/>
  <c r="N45" i="16" s="1"/>
  <c r="N60" i="16" s="1"/>
  <c r="Q64" i="16" s="1"/>
  <c r="M45" i="16"/>
  <c r="M60" i="16" s="1"/>
  <c r="L61" i="16"/>
  <c r="L7" i="1"/>
  <c r="L7" i="4" s="1"/>
  <c r="I7" i="22"/>
  <c r="K6" i="4"/>
  <c r="I6" i="22" s="1"/>
  <c r="AC7" i="22"/>
  <c r="AX7" i="22"/>
  <c r="AC6" i="22"/>
  <c r="AX6" i="22"/>
  <c r="H4" i="15"/>
  <c r="G8" i="15"/>
  <c r="E49" i="1"/>
  <c r="E24" i="4" s="1"/>
  <c r="E23" i="4" s="1"/>
  <c r="F10" i="15"/>
  <c r="Y29" i="22"/>
  <c r="AT29" i="22"/>
  <c r="R4" i="12"/>
  <c r="Q34" i="12"/>
  <c r="S4" i="12"/>
  <c r="C142" i="11"/>
  <c r="C50" i="10"/>
  <c r="D50" i="10"/>
  <c r="L5" i="11"/>
  <c r="K47" i="11"/>
  <c r="K45" i="11" s="1"/>
  <c r="K48" i="11"/>
  <c r="F26" i="10"/>
  <c r="G11" i="9"/>
  <c r="F93" i="1"/>
  <c r="F50" i="14" s="1"/>
  <c r="N74" i="28"/>
  <c r="M72" i="24"/>
  <c r="N74" i="27"/>
  <c r="M73" i="24"/>
  <c r="L12" i="25"/>
  <c r="C106" i="1"/>
  <c r="C45" i="14" s="1"/>
  <c r="C48" i="14" s="1"/>
  <c r="C52" i="14" s="1"/>
  <c r="N74" i="26"/>
  <c r="M71" i="24"/>
  <c r="M74" i="24" s="1"/>
  <c r="H82" i="18"/>
  <c r="O29" i="27"/>
  <c r="N62" i="27"/>
  <c r="N67" i="24" s="1"/>
  <c r="N68" i="24" s="1"/>
  <c r="E105" i="1" s="1"/>
  <c r="E42" i="14" s="1"/>
  <c r="N62" i="16"/>
  <c r="X29" i="13" a="1"/>
  <c r="X29" i="13" s="1"/>
  <c r="K72" i="1" s="1"/>
  <c r="K54" i="7" s="1"/>
  <c r="K56" i="7" s="1"/>
  <c r="Y33" i="13"/>
  <c r="K73" i="1" s="1"/>
  <c r="K60" i="7" s="1"/>
  <c r="K62" i="7" s="1"/>
  <c r="P45" i="24"/>
  <c r="G95" i="1"/>
  <c r="G16" i="7" s="1"/>
  <c r="P20" i="24"/>
  <c r="Q32" i="26"/>
  <c r="Q60" i="26" s="1"/>
  <c r="Q68" i="26"/>
  <c r="Q70" i="26" s="1"/>
  <c r="S8" i="24"/>
  <c r="J56" i="1"/>
  <c r="R8" i="24"/>
  <c r="I56" i="1"/>
  <c r="F136" i="11" a="1"/>
  <c r="F136" i="11" s="1"/>
  <c r="M136" i="11" a="1"/>
  <c r="M136" i="11" s="1"/>
  <c r="F135" i="11" a="1"/>
  <c r="F135" i="11" s="1"/>
  <c r="J134" i="11" a="1"/>
  <c r="J134" i="11" s="1"/>
  <c r="F133" i="11" a="1"/>
  <c r="F133" i="11" s="1"/>
  <c r="M133" i="11" a="1"/>
  <c r="M133" i="11" s="1"/>
  <c r="I132" i="11" a="1"/>
  <c r="I132" i="11" s="1"/>
  <c r="I131" i="11" a="1"/>
  <c r="I131" i="11" s="1"/>
  <c r="H130" i="11" a="1"/>
  <c r="H130" i="11" s="1"/>
  <c r="F129" i="11" a="1"/>
  <c r="F129" i="11" s="1"/>
  <c r="G127" i="11" a="1"/>
  <c r="G127" i="11" s="1"/>
  <c r="J126" i="11" a="1"/>
  <c r="J126" i="11" s="1"/>
  <c r="F125" i="11" a="1"/>
  <c r="F125" i="11" s="1"/>
  <c r="G124" i="11" a="1"/>
  <c r="G124" i="11" s="1"/>
  <c r="F123" i="11" a="1"/>
  <c r="F123" i="11" s="1"/>
  <c r="K119" i="11" a="1"/>
  <c r="K119" i="11" s="1"/>
  <c r="F118" i="11" a="1"/>
  <c r="F118" i="11" s="1"/>
  <c r="G117" i="11" a="1"/>
  <c r="G117" i="11" s="1"/>
  <c r="H116" i="11" a="1"/>
  <c r="H116" i="11" s="1"/>
  <c r="G109" i="11" a="1"/>
  <c r="G109" i="11" s="1"/>
  <c r="H108" i="11" a="1"/>
  <c r="H108" i="11" s="1"/>
  <c r="J103" i="11" a="1"/>
  <c r="J103" i="11" s="1"/>
  <c r="F139" i="11" a="1"/>
  <c r="F139" i="11" s="1"/>
  <c r="G102" i="11" a="1"/>
  <c r="G102" i="11" s="1"/>
  <c r="P23" i="13"/>
  <c r="G71" i="1" s="1"/>
  <c r="G31" i="4" s="1"/>
  <c r="E31" i="22" s="1"/>
  <c r="P24" i="13"/>
  <c r="R7" i="13"/>
  <c r="X17" i="12"/>
  <c r="X43" i="12" s="1"/>
  <c r="J68" i="1" s="1"/>
  <c r="J59" i="7" s="1"/>
  <c r="J62" i="7" s="1"/>
  <c r="J64" i="7" s="1"/>
  <c r="Y17" i="12"/>
  <c r="AA17" i="12" s="1"/>
  <c r="AC17" i="12" s="1"/>
  <c r="AE17" i="12" s="1"/>
  <c r="M33" i="12"/>
  <c r="E66" i="1" s="1"/>
  <c r="E29" i="4" s="1"/>
  <c r="E32" i="4" s="1"/>
  <c r="M34" i="12"/>
  <c r="O12" i="12"/>
  <c r="Q39" i="24"/>
  <c r="R31" i="26"/>
  <c r="I132" i="18"/>
  <c r="F62" i="7"/>
  <c r="F64" i="7" s="1"/>
  <c r="D140" i="11"/>
  <c r="T39" i="24"/>
  <c r="L10" i="24"/>
  <c r="S39" i="24"/>
  <c r="R39" i="24"/>
  <c r="M22" i="24"/>
  <c r="M47" i="24" s="1"/>
  <c r="N10" i="24"/>
  <c r="G60" i="18"/>
  <c r="G79" i="18"/>
  <c r="E139" i="11" a="1"/>
  <c r="E139" i="11" s="1"/>
  <c r="D31" i="22"/>
  <c r="F32" i="4"/>
  <c r="D32" i="22" s="1"/>
  <c r="N55" i="1" l="1"/>
  <c r="W85" i="24"/>
  <c r="W8" i="24"/>
  <c r="N56" i="1"/>
  <c r="Q85" i="24"/>
  <c r="H55" i="1"/>
  <c r="Q8" i="24"/>
  <c r="H56" i="1"/>
  <c r="P68" i="28"/>
  <c r="P70" i="28" s="1"/>
  <c r="P7" i="24" s="1"/>
  <c r="Q29" i="28"/>
  <c r="P62" i="28"/>
  <c r="P66" i="24" s="1"/>
  <c r="O22" i="24"/>
  <c r="O47" i="24" s="1"/>
  <c r="F58" i="1"/>
  <c r="F14" i="7" s="1"/>
  <c r="F18" i="7" s="1"/>
  <c r="F20" i="7" s="1"/>
  <c r="P6" i="24"/>
  <c r="P10" i="24" s="1"/>
  <c r="G47" i="1"/>
  <c r="G46" i="1"/>
  <c r="P84" i="24"/>
  <c r="P87" i="24" s="1"/>
  <c r="G59" i="1" s="1"/>
  <c r="G5" i="7" s="1"/>
  <c r="G11" i="7" s="1"/>
  <c r="Q29" i="26"/>
  <c r="P62" i="26"/>
  <c r="P65" i="24" s="1"/>
  <c r="T25" i="26"/>
  <c r="U7" i="26"/>
  <c r="T27" i="26"/>
  <c r="U28" i="26"/>
  <c r="S72" i="26"/>
  <c r="W36" i="24"/>
  <c r="W39" i="24"/>
  <c r="V45" i="24"/>
  <c r="M95" i="1"/>
  <c r="M16" i="7" s="1"/>
  <c r="V20" i="24"/>
  <c r="K20" i="22"/>
  <c r="M19" i="4"/>
  <c r="K19" i="22" s="1"/>
  <c r="N33" i="21"/>
  <c r="N78" i="1" s="1"/>
  <c r="N20" i="4" s="1"/>
  <c r="P36" i="21"/>
  <c r="L23" i="21" s="1"/>
  <c r="L24" i="21" s="1"/>
  <c r="P34" i="21"/>
  <c r="J20" i="22"/>
  <c r="L19" i="4"/>
  <c r="J19" i="22" s="1"/>
  <c r="AD20" i="22"/>
  <c r="AY20" i="22"/>
  <c r="AD19" i="22"/>
  <c r="AY19" i="22"/>
  <c r="L68" i="20"/>
  <c r="K70" i="20"/>
  <c r="K69" i="20" s="1"/>
  <c r="K63" i="20"/>
  <c r="K64" i="20"/>
  <c r="H48" i="20" s="1"/>
  <c r="J65" i="20"/>
  <c r="G47" i="20"/>
  <c r="G52" i="20" s="1"/>
  <c r="G54" i="20" s="1"/>
  <c r="G58" i="20" s="1"/>
  <c r="G60" i="20" s="1"/>
  <c r="G28" i="1" s="1"/>
  <c r="G18" i="4" s="1"/>
  <c r="F17" i="4"/>
  <c r="D17" i="22" s="1"/>
  <c r="D18" i="22"/>
  <c r="I64" i="19"/>
  <c r="H66" i="19"/>
  <c r="H70" i="19" s="1"/>
  <c r="H23" i="1" s="1"/>
  <c r="H14" i="4" s="1"/>
  <c r="G23" i="1"/>
  <c r="G14" i="4" s="1"/>
  <c r="Y14" i="22"/>
  <c r="AT14" i="22"/>
  <c r="Y13" i="22"/>
  <c r="AT13" i="22"/>
  <c r="K129" i="18"/>
  <c r="K128" i="18" s="1"/>
  <c r="K132" i="18" s="1"/>
  <c r="L124" i="18"/>
  <c r="K123" i="18"/>
  <c r="K62" i="18" s="1"/>
  <c r="J82" i="18"/>
  <c r="K113" i="18"/>
  <c r="L112" i="18"/>
  <c r="G69" i="18"/>
  <c r="G75" i="18"/>
  <c r="H65" i="18"/>
  <c r="H68" i="18" s="1"/>
  <c r="H71" i="18"/>
  <c r="H80" i="18" s="1"/>
  <c r="I59" i="18"/>
  <c r="H104" i="18"/>
  <c r="H105" i="18" s="1"/>
  <c r="I60" i="18" s="1"/>
  <c r="J95" i="18"/>
  <c r="I101" i="18"/>
  <c r="F83" i="18"/>
  <c r="C14" i="1" s="1"/>
  <c r="C10" i="4" s="1"/>
  <c r="F70" i="18"/>
  <c r="F84" i="18" s="1"/>
  <c r="C12" i="1"/>
  <c r="C9" i="4" s="1"/>
  <c r="C8" i="4" s="1"/>
  <c r="F76" i="18"/>
  <c r="C17" i="1" s="1"/>
  <c r="C41" i="4" s="1"/>
  <c r="O64" i="18"/>
  <c r="K18" i="1"/>
  <c r="K12" i="4" s="1"/>
  <c r="I12" i="22" s="1"/>
  <c r="AC12" i="22"/>
  <c r="AX12" i="22"/>
  <c r="N56" i="18"/>
  <c r="N54" i="18"/>
  <c r="P6" i="18"/>
  <c r="P8" i="18" s="1"/>
  <c r="P56" i="18"/>
  <c r="Q6" i="18"/>
  <c r="Q8" i="18" s="1"/>
  <c r="Q56" i="18"/>
  <c r="O9" i="18"/>
  <c r="O10" i="18" s="1"/>
  <c r="O11" i="18" s="1"/>
  <c r="K16" i="22"/>
  <c r="M15" i="4"/>
  <c r="K15" i="22" s="1"/>
  <c r="N33" i="1"/>
  <c r="N16" i="4" s="1"/>
  <c r="N56" i="17"/>
  <c r="N61" i="17" s="1"/>
  <c r="N62" i="17" s="1"/>
  <c r="AD16" i="22"/>
  <c r="AY16" i="22"/>
  <c r="AD15" i="22"/>
  <c r="AY15" i="22"/>
  <c r="H16" i="22"/>
  <c r="J15" i="4"/>
  <c r="H15" i="22" s="1"/>
  <c r="I56" i="17"/>
  <c r="I61" i="17" s="1"/>
  <c r="I33" i="1"/>
  <c r="I16" i="4" s="1"/>
  <c r="G33" i="17"/>
  <c r="H40" i="17"/>
  <c r="H45" i="17" s="1"/>
  <c r="H53" i="17" s="1"/>
  <c r="L62" i="16"/>
  <c r="K62" i="16"/>
  <c r="J61" i="16"/>
  <c r="J62" i="16"/>
  <c r="M64" i="16"/>
  <c r="K64" i="16" s="1"/>
  <c r="H32" i="16"/>
  <c r="G96" i="1"/>
  <c r="G24" i="7" s="1"/>
  <c r="N61" i="16"/>
  <c r="N7" i="1"/>
  <c r="N7" i="4" s="1"/>
  <c r="M62" i="16"/>
  <c r="M61" i="16"/>
  <c r="M7" i="1"/>
  <c r="M7" i="4" s="1"/>
  <c r="J7" i="22"/>
  <c r="L6" i="4"/>
  <c r="J6" i="22" s="1"/>
  <c r="AD7" i="22"/>
  <c r="AY7" i="22"/>
  <c r="AD6" i="22"/>
  <c r="AY6" i="22"/>
  <c r="H8" i="15"/>
  <c r="I4" i="15"/>
  <c r="G10" i="15"/>
  <c r="F49" i="1"/>
  <c r="F24" i="4" s="1"/>
  <c r="S33" i="12"/>
  <c r="H66" i="1" s="1"/>
  <c r="H29" i="4" s="1"/>
  <c r="S34" i="12"/>
  <c r="U4" i="12"/>
  <c r="C186" i="11"/>
  <c r="C52" i="10"/>
  <c r="D51" i="10"/>
  <c r="C27" i="10"/>
  <c r="C28" i="10" s="1"/>
  <c r="E51" i="10"/>
  <c r="D27" i="10"/>
  <c r="G61" i="11"/>
  <c r="H61" i="11" s="1"/>
  <c r="M5" i="11"/>
  <c r="L47" i="11"/>
  <c r="L48" i="11"/>
  <c r="G26" i="10"/>
  <c r="H11" i="9"/>
  <c r="G93" i="1"/>
  <c r="G50" i="14" s="1"/>
  <c r="O74" i="28"/>
  <c r="N72" i="24"/>
  <c r="O74" i="27"/>
  <c r="N73" i="24"/>
  <c r="O74" i="26"/>
  <c r="N71" i="24"/>
  <c r="N74" i="24" s="1"/>
  <c r="M12" i="25"/>
  <c r="D106" i="1"/>
  <c r="D45" i="14" s="1"/>
  <c r="D48" i="14" s="1"/>
  <c r="D52" i="14" s="1"/>
  <c r="P29" i="27"/>
  <c r="O62" i="27"/>
  <c r="O67" i="24" s="1"/>
  <c r="O68" i="24" s="1"/>
  <c r="F105" i="1" s="1"/>
  <c r="F42" i="14" s="1"/>
  <c r="H46" i="1"/>
  <c r="Q84" i="24"/>
  <c r="Q87" i="24" s="1"/>
  <c r="H59" i="1" s="1"/>
  <c r="H5" i="7" s="1"/>
  <c r="H11" i="7" s="1"/>
  <c r="Q6" i="24"/>
  <c r="H47" i="1"/>
  <c r="N136" i="11" a="1"/>
  <c r="N136" i="11" s="1"/>
  <c r="G135" i="11" a="1"/>
  <c r="G135" i="11" s="1"/>
  <c r="K134" i="11" a="1"/>
  <c r="K134" i="11" s="1"/>
  <c r="N133" i="11" a="1"/>
  <c r="N133" i="11" s="1"/>
  <c r="J132" i="11" a="1"/>
  <c r="J132" i="11" s="1"/>
  <c r="J131" i="11" a="1"/>
  <c r="J131" i="11" s="1"/>
  <c r="I130" i="11" a="1"/>
  <c r="I130" i="11" s="1"/>
  <c r="G129" i="11" a="1"/>
  <c r="G129" i="11" s="1"/>
  <c r="H127" i="11" a="1"/>
  <c r="H127" i="11" s="1"/>
  <c r="K126" i="11" a="1"/>
  <c r="K126" i="11" s="1"/>
  <c r="G125" i="11" a="1"/>
  <c r="G125" i="11" s="1"/>
  <c r="H124" i="11" a="1"/>
  <c r="H124" i="11" s="1"/>
  <c r="G123" i="11" a="1"/>
  <c r="G123" i="11" s="1"/>
  <c r="L119" i="11" a="1"/>
  <c r="L119" i="11" s="1"/>
  <c r="G118" i="11" a="1"/>
  <c r="G118" i="11" s="1"/>
  <c r="H117" i="11" a="1"/>
  <c r="H117" i="11" s="1"/>
  <c r="I116" i="11" a="1"/>
  <c r="I116" i="11" s="1"/>
  <c r="H109" i="11" a="1"/>
  <c r="H109" i="11" s="1"/>
  <c r="I108" i="11" a="1"/>
  <c r="I108" i="11" s="1"/>
  <c r="K103" i="11" a="1"/>
  <c r="K103" i="11" s="1"/>
  <c r="F50" i="10"/>
  <c r="H102" i="11" a="1"/>
  <c r="H102" i="11" s="1"/>
  <c r="AU31" i="22"/>
  <c r="Z31" i="22"/>
  <c r="R24" i="13"/>
  <c r="R23" i="13"/>
  <c r="H71" i="1" s="1"/>
  <c r="H31" i="4" s="1"/>
  <c r="F31" i="22" s="1"/>
  <c r="T7" i="13"/>
  <c r="O34" i="12"/>
  <c r="Q12" i="12"/>
  <c r="S12" i="12" s="1"/>
  <c r="U12" i="12" s="1"/>
  <c r="W12" i="12" s="1"/>
  <c r="Y12" i="12" s="1"/>
  <c r="AA12" i="12" s="1"/>
  <c r="AC12" i="12" s="1"/>
  <c r="AE12" i="12" s="1"/>
  <c r="Q20" i="24"/>
  <c r="H95" i="1"/>
  <c r="H16" i="7" s="1"/>
  <c r="Q45" i="24"/>
  <c r="R32" i="26"/>
  <c r="R60" i="26" s="1"/>
  <c r="R68" i="26"/>
  <c r="R70" i="26" s="1"/>
  <c r="T45" i="24"/>
  <c r="K95" i="1"/>
  <c r="K16" i="7" s="1"/>
  <c r="T20" i="24"/>
  <c r="L22" i="24"/>
  <c r="L47" i="24" s="1"/>
  <c r="C58" i="1"/>
  <c r="C14" i="7" s="1"/>
  <c r="C18" i="7" s="1"/>
  <c r="C20" i="7" s="1"/>
  <c r="J95" i="1"/>
  <c r="J16" i="7" s="1"/>
  <c r="S20" i="24"/>
  <c r="S45" i="24"/>
  <c r="R20" i="24"/>
  <c r="I95" i="1"/>
  <c r="I16" i="7" s="1"/>
  <c r="R45" i="24"/>
  <c r="M7" i="25"/>
  <c r="M60" i="24"/>
  <c r="M48" i="24"/>
  <c r="N22" i="24"/>
  <c r="N47" i="24" s="1"/>
  <c r="E58" i="1"/>
  <c r="E14" i="7" s="1"/>
  <c r="E18" i="7" s="1"/>
  <c r="E20" i="7" s="1"/>
  <c r="E50" i="10"/>
  <c r="Y31" i="22"/>
  <c r="AT31" i="22"/>
  <c r="AT32" i="22"/>
  <c r="Y32" i="22"/>
  <c r="S31" i="26"/>
  <c r="G80" i="18"/>
  <c r="J109" i="18"/>
  <c r="K64" i="7"/>
  <c r="H60" i="18"/>
  <c r="H79" i="18"/>
  <c r="E50" i="1"/>
  <c r="E42" i="4" s="1"/>
  <c r="F12" i="15"/>
  <c r="R43" i="12"/>
  <c r="G68" i="1" s="1"/>
  <c r="G59" i="7" s="1"/>
  <c r="G62" i="7" s="1"/>
  <c r="G64" i="7" s="1"/>
  <c r="Q33" i="12"/>
  <c r="G66" i="1" s="1"/>
  <c r="G29" i="4" s="1"/>
  <c r="E140" i="11"/>
  <c r="D142" i="11"/>
  <c r="Q68" i="28" l="1"/>
  <c r="Q70" i="28" s="1"/>
  <c r="Q7" i="24" s="1"/>
  <c r="Q10" i="24" s="1"/>
  <c r="R29" i="28"/>
  <c r="Q62" i="28"/>
  <c r="Q66" i="24" s="1"/>
  <c r="O7" i="25"/>
  <c r="O60" i="24"/>
  <c r="O48" i="24"/>
  <c r="P22" i="24"/>
  <c r="P47" i="24" s="1"/>
  <c r="G58" i="1"/>
  <c r="G14" i="7" s="1"/>
  <c r="G18" i="7" s="1"/>
  <c r="G20" i="7" s="1"/>
  <c r="R29" i="26"/>
  <c r="Q62" i="26"/>
  <c r="Q65" i="24" s="1"/>
  <c r="U25" i="26"/>
  <c r="V7" i="26"/>
  <c r="U27" i="26"/>
  <c r="V28" i="26"/>
  <c r="T72" i="26"/>
  <c r="U73" i="26"/>
  <c r="W45" i="24"/>
  <c r="N95" i="1"/>
  <c r="N16" i="7" s="1"/>
  <c r="W20" i="24"/>
  <c r="AF20" i="22"/>
  <c r="BA20" i="22"/>
  <c r="AF19" i="22"/>
  <c r="BA19" i="22"/>
  <c r="N19" i="4"/>
  <c r="L19" i="22" s="1"/>
  <c r="L20" i="22"/>
  <c r="L26" i="21"/>
  <c r="L36" i="1"/>
  <c r="L34" i="7" s="1"/>
  <c r="L36" i="7" s="1"/>
  <c r="AE20" i="22"/>
  <c r="AZ20" i="22"/>
  <c r="AE19" i="22"/>
  <c r="AZ19" i="22"/>
  <c r="M68" i="20"/>
  <c r="L70" i="20"/>
  <c r="L69" i="20" s="1"/>
  <c r="L63" i="20"/>
  <c r="L64" i="20"/>
  <c r="I48" i="20" s="1"/>
  <c r="K65" i="20"/>
  <c r="H47" i="20"/>
  <c r="H52" i="20" s="1"/>
  <c r="H54" i="20" s="1"/>
  <c r="H58" i="20" s="1"/>
  <c r="H60" i="20" s="1"/>
  <c r="H28" i="1" s="1"/>
  <c r="H18" i="4" s="1"/>
  <c r="G17" i="4"/>
  <c r="E17" i="22" s="1"/>
  <c r="E18" i="22"/>
  <c r="Y17" i="22"/>
  <c r="AT17" i="22"/>
  <c r="Y18" i="22"/>
  <c r="AT18" i="22"/>
  <c r="J64" i="19"/>
  <c r="I66" i="19"/>
  <c r="I70" i="19" s="1"/>
  <c r="I23" i="1" s="1"/>
  <c r="I14" i="4" s="1"/>
  <c r="F14" i="22"/>
  <c r="H13" i="4"/>
  <c r="F13" i="22" s="1"/>
  <c r="E14" i="22"/>
  <c r="G13" i="4"/>
  <c r="E13" i="22" s="1"/>
  <c r="L129" i="18"/>
  <c r="L128" i="18" s="1"/>
  <c r="L132" i="18" s="1"/>
  <c r="M124" i="18"/>
  <c r="L123" i="18"/>
  <c r="L62" i="18" s="1"/>
  <c r="L113" i="18"/>
  <c r="M112" i="18"/>
  <c r="G83" i="18"/>
  <c r="D14" i="1" s="1"/>
  <c r="D10" i="4" s="1"/>
  <c r="G70" i="18"/>
  <c r="G84" i="18" s="1"/>
  <c r="D12" i="1"/>
  <c r="D9" i="4" s="1"/>
  <c r="D8" i="4" s="1"/>
  <c r="G76" i="18"/>
  <c r="D17" i="1" s="1"/>
  <c r="D41" i="4" s="1"/>
  <c r="H69" i="18"/>
  <c r="H75" i="18"/>
  <c r="E13" i="1"/>
  <c r="E11" i="4" s="1"/>
  <c r="H78" i="18"/>
  <c r="I65" i="18"/>
  <c r="I68" i="18" s="1"/>
  <c r="I71" i="18"/>
  <c r="I80" i="18" s="1"/>
  <c r="J101" i="18"/>
  <c r="K95" i="18"/>
  <c r="J59" i="18"/>
  <c r="I104" i="18"/>
  <c r="I105" i="18" s="1"/>
  <c r="F85" i="18"/>
  <c r="C15" i="1" s="1"/>
  <c r="C16" i="1"/>
  <c r="C40" i="4" s="1"/>
  <c r="N103" i="18"/>
  <c r="O91" i="18" s="1"/>
  <c r="O25" i="18" s="1"/>
  <c r="O28" i="18" s="1"/>
  <c r="L18" i="1"/>
  <c r="L12" i="4" s="1"/>
  <c r="J12" i="22" s="1"/>
  <c r="AD12" i="22"/>
  <c r="AY12" i="22"/>
  <c r="P9" i="18"/>
  <c r="P10" i="18" s="1"/>
  <c r="P11" i="18" s="1"/>
  <c r="Q9" i="18"/>
  <c r="Q10" i="18" s="1"/>
  <c r="AF16" i="22"/>
  <c r="BA16" i="22"/>
  <c r="AF15" i="22"/>
  <c r="BA15" i="22"/>
  <c r="L16" i="22"/>
  <c r="N15" i="4"/>
  <c r="L15" i="22" s="1"/>
  <c r="AC16" i="22"/>
  <c r="AX16" i="22"/>
  <c r="AC15" i="22"/>
  <c r="AX15" i="22"/>
  <c r="G16" i="22"/>
  <c r="I15" i="4"/>
  <c r="G15" i="22" s="1"/>
  <c r="G40" i="17"/>
  <c r="G45" i="17" s="1"/>
  <c r="G53" i="17" s="1"/>
  <c r="F33" i="17"/>
  <c r="H56" i="17"/>
  <c r="H61" i="17" s="1"/>
  <c r="H33" i="1"/>
  <c r="H16" i="4" s="1"/>
  <c r="H96" i="1"/>
  <c r="H24" i="7" s="1"/>
  <c r="I32" i="16"/>
  <c r="L7" i="22"/>
  <c r="N6" i="4"/>
  <c r="L6" i="22" s="1"/>
  <c r="K7" i="22"/>
  <c r="M6" i="4"/>
  <c r="K6" i="22" s="1"/>
  <c r="AE7" i="22"/>
  <c r="AZ7" i="22"/>
  <c r="AE6" i="22"/>
  <c r="AZ6" i="22"/>
  <c r="H10" i="15"/>
  <c r="G50" i="1" s="1"/>
  <c r="G42" i="4" s="1"/>
  <c r="E42" i="22" s="1"/>
  <c r="G49" i="1"/>
  <c r="G24" i="4" s="1"/>
  <c r="H12" i="15"/>
  <c r="J4" i="15"/>
  <c r="I8" i="15"/>
  <c r="D24" i="22"/>
  <c r="F23" i="4"/>
  <c r="D23" i="22" s="1"/>
  <c r="H32" i="4"/>
  <c r="F32" i="22" s="1"/>
  <c r="F29" i="22"/>
  <c r="U34" i="12"/>
  <c r="U33" i="12"/>
  <c r="I66" i="1" s="1"/>
  <c r="I29" i="4" s="1"/>
  <c r="W4" i="12"/>
  <c r="C29" i="10"/>
  <c r="C40" i="10" s="1"/>
  <c r="C47" i="10" s="1"/>
  <c r="C53" i="10" s="1"/>
  <c r="D28" i="10"/>
  <c r="N5" i="11"/>
  <c r="M47" i="11"/>
  <c r="C62" i="1" s="1"/>
  <c r="C36" i="4" s="1"/>
  <c r="M48" i="11"/>
  <c r="B62" i="1"/>
  <c r="L45" i="11"/>
  <c r="L49" i="11" s="1"/>
  <c r="H26" i="10"/>
  <c r="I11" i="9"/>
  <c r="H93" i="1"/>
  <c r="H50" i="14" s="1"/>
  <c r="P74" i="28"/>
  <c r="O72" i="24"/>
  <c r="P74" i="27"/>
  <c r="O73" i="24"/>
  <c r="P74" i="26"/>
  <c r="O71" i="24"/>
  <c r="O74" i="24" s="1"/>
  <c r="N12" i="25"/>
  <c r="E106" i="1"/>
  <c r="E45" i="14" s="1"/>
  <c r="E48" i="14" s="1"/>
  <c r="E52" i="14" s="1"/>
  <c r="Q29" i="27"/>
  <c r="P62" i="27"/>
  <c r="P67" i="24" s="1"/>
  <c r="P68" i="24" s="1"/>
  <c r="G105" i="1" s="1"/>
  <c r="G42" i="14" s="1"/>
  <c r="H135" i="11" a="1"/>
  <c r="H135" i="11" s="1"/>
  <c r="L134" i="11" a="1"/>
  <c r="L134" i="11" s="1"/>
  <c r="K132" i="11" a="1"/>
  <c r="K132" i="11" s="1"/>
  <c r="K131" i="11" a="1"/>
  <c r="K131" i="11" s="1"/>
  <c r="J130" i="11" a="1"/>
  <c r="J130" i="11" s="1"/>
  <c r="H129" i="11" a="1"/>
  <c r="H129" i="11" s="1"/>
  <c r="I127" i="11" a="1"/>
  <c r="I127" i="11" s="1"/>
  <c r="L126" i="11" a="1"/>
  <c r="L126" i="11" s="1"/>
  <c r="H125" i="11" a="1"/>
  <c r="H125" i="11" s="1"/>
  <c r="I124" i="11" a="1"/>
  <c r="I124" i="11" s="1"/>
  <c r="H123" i="11" a="1"/>
  <c r="H123" i="11" s="1"/>
  <c r="M119" i="11" a="1"/>
  <c r="M119" i="11" s="1"/>
  <c r="H118" i="11" a="1"/>
  <c r="H118" i="11" s="1"/>
  <c r="I117" i="11" a="1"/>
  <c r="I117" i="11" s="1"/>
  <c r="J116" i="11" a="1"/>
  <c r="J116" i="11" s="1"/>
  <c r="I109" i="11" a="1"/>
  <c r="I109" i="11" s="1"/>
  <c r="J108" i="11" a="1"/>
  <c r="J108" i="11" s="1"/>
  <c r="L103" i="11" a="1"/>
  <c r="L103" i="11" s="1"/>
  <c r="F27" i="10"/>
  <c r="I102" i="11" a="1"/>
  <c r="I102" i="11" s="1"/>
  <c r="AV31" i="22"/>
  <c r="AA31" i="22"/>
  <c r="T24" i="13"/>
  <c r="T23" i="13"/>
  <c r="I71" i="1" s="1"/>
  <c r="I31" i="4" s="1"/>
  <c r="G31" i="22" s="1"/>
  <c r="V7" i="13"/>
  <c r="I46" i="1"/>
  <c r="R84" i="24"/>
  <c r="R87" i="24" s="1"/>
  <c r="I59" i="1" s="1"/>
  <c r="I5" i="7" s="1"/>
  <c r="I11" i="7" s="1"/>
  <c r="R6" i="24"/>
  <c r="I47" i="1"/>
  <c r="L7" i="25"/>
  <c r="L60" i="24"/>
  <c r="L62" i="24" s="1"/>
  <c r="L48" i="24"/>
  <c r="N7" i="25"/>
  <c r="N60" i="24"/>
  <c r="N48" i="24"/>
  <c r="F51" i="10"/>
  <c r="G51" i="10" s="1"/>
  <c r="E27" i="10"/>
  <c r="S32" i="26"/>
  <c r="S60" i="26" s="1"/>
  <c r="S68" i="26"/>
  <c r="S70" i="26" s="1"/>
  <c r="G78" i="18"/>
  <c r="G16" i="18" s="1"/>
  <c r="G19" i="18" s="1"/>
  <c r="D13" i="1"/>
  <c r="D11" i="4" s="1"/>
  <c r="E29" i="22"/>
  <c r="G32" i="4"/>
  <c r="E32" i="22" s="1"/>
  <c r="D186" i="11"/>
  <c r="D52" i="10"/>
  <c r="K109" i="18"/>
  <c r="K61" i="18"/>
  <c r="T31" i="26"/>
  <c r="F50" i="1"/>
  <c r="F42" i="4" s="1"/>
  <c r="D42" i="22" s="1"/>
  <c r="G12" i="15"/>
  <c r="G139" i="11" a="1"/>
  <c r="G139" i="11" s="1"/>
  <c r="E142" i="11"/>
  <c r="F140" i="11"/>
  <c r="Q22" i="24" l="1"/>
  <c r="Q47" i="24" s="1"/>
  <c r="H58" i="1"/>
  <c r="H14" i="7" s="1"/>
  <c r="H18" i="7" s="1"/>
  <c r="H20" i="7" s="1"/>
  <c r="R68" i="28"/>
  <c r="R70" i="28" s="1"/>
  <c r="R7" i="24" s="1"/>
  <c r="R10" i="24" s="1"/>
  <c r="S29" i="28"/>
  <c r="R62" i="28"/>
  <c r="R66" i="24" s="1"/>
  <c r="P48" i="24"/>
  <c r="P60" i="24"/>
  <c r="P7" i="25"/>
  <c r="S29" i="26"/>
  <c r="R62" i="26"/>
  <c r="R65" i="24" s="1"/>
  <c r="V25" i="26"/>
  <c r="W7" i="26"/>
  <c r="W25" i="26" s="1"/>
  <c r="W31" i="26" s="1"/>
  <c r="V27" i="26"/>
  <c r="U72" i="26"/>
  <c r="V73" i="26"/>
  <c r="AG19" i="22"/>
  <c r="BB19" i="22"/>
  <c r="AG20" i="22"/>
  <c r="BB20" i="22"/>
  <c r="N68" i="20"/>
  <c r="M70" i="20"/>
  <c r="M69" i="20" s="1"/>
  <c r="M63" i="20"/>
  <c r="M64" i="20"/>
  <c r="J48" i="20" s="1"/>
  <c r="L65" i="20"/>
  <c r="I47" i="20"/>
  <c r="I52" i="20" s="1"/>
  <c r="I54" i="20" s="1"/>
  <c r="I58" i="20" s="1"/>
  <c r="I60" i="20" s="1"/>
  <c r="I28" i="1" s="1"/>
  <c r="I18" i="4" s="1"/>
  <c r="H17" i="4"/>
  <c r="F17" i="22" s="1"/>
  <c r="F18" i="22"/>
  <c r="Z17" i="22"/>
  <c r="AU17" i="22"/>
  <c r="Z18" i="22"/>
  <c r="AU18" i="22"/>
  <c r="K64" i="19"/>
  <c r="J66" i="19"/>
  <c r="J70" i="19" s="1"/>
  <c r="G14" i="22"/>
  <c r="I13" i="4"/>
  <c r="G13" i="22" s="1"/>
  <c r="AA14" i="22"/>
  <c r="AV14" i="22"/>
  <c r="AA13" i="22"/>
  <c r="AV13" i="22"/>
  <c r="Z14" i="22"/>
  <c r="AU14" i="22"/>
  <c r="Z13" i="22"/>
  <c r="AU13" i="22"/>
  <c r="M129" i="18"/>
  <c r="M128" i="18" s="1"/>
  <c r="M132" i="18" s="1"/>
  <c r="N124" i="18"/>
  <c r="M123" i="18"/>
  <c r="M113" i="18"/>
  <c r="N112" i="18"/>
  <c r="M62" i="18"/>
  <c r="G85" i="18"/>
  <c r="D15" i="1" s="1"/>
  <c r="D16" i="1"/>
  <c r="D40" i="4" s="1"/>
  <c r="H83" i="18"/>
  <c r="E14" i="1" s="1"/>
  <c r="E10" i="4" s="1"/>
  <c r="H70" i="18"/>
  <c r="H84" i="18" s="1"/>
  <c r="E12" i="1"/>
  <c r="E9" i="4" s="1"/>
  <c r="H76" i="18"/>
  <c r="E17" i="1" s="1"/>
  <c r="E41" i="4" s="1"/>
  <c r="I69" i="18"/>
  <c r="I75" i="18"/>
  <c r="I78" i="18"/>
  <c r="I16" i="18" s="1"/>
  <c r="I19" i="18" s="1"/>
  <c r="F13" i="1"/>
  <c r="F11" i="4" s="1"/>
  <c r="D11" i="22" s="1"/>
  <c r="J104" i="18"/>
  <c r="J105" i="18" s="1"/>
  <c r="K60" i="18" s="1"/>
  <c r="K59" i="18"/>
  <c r="L95" i="18"/>
  <c r="K101" i="18"/>
  <c r="J65" i="18"/>
  <c r="J68" i="18" s="1"/>
  <c r="J71" i="18"/>
  <c r="J80" i="18" s="1"/>
  <c r="L11" i="1"/>
  <c r="L39" i="7" s="1"/>
  <c r="L44" i="7" s="1"/>
  <c r="L46" i="7" s="1"/>
  <c r="O30" i="18"/>
  <c r="AE12" i="22"/>
  <c r="AZ12" i="22"/>
  <c r="AG16" i="22"/>
  <c r="BB16" i="22"/>
  <c r="AG15" i="22"/>
  <c r="BB15" i="22"/>
  <c r="AB16" i="22"/>
  <c r="AW16" i="22"/>
  <c r="AB15" i="22"/>
  <c r="AW15" i="22"/>
  <c r="G56" i="17"/>
  <c r="G61" i="17" s="1"/>
  <c r="G33" i="1"/>
  <c r="G16" i="4" s="1"/>
  <c r="F40" i="17"/>
  <c r="F45" i="17" s="1"/>
  <c r="F53" i="17" s="1"/>
  <c r="E33" i="17"/>
  <c r="F16" i="22"/>
  <c r="H15" i="4"/>
  <c r="F15" i="22" s="1"/>
  <c r="J32" i="16"/>
  <c r="I96" i="1"/>
  <c r="I24" i="7" s="1"/>
  <c r="AG7" i="22"/>
  <c r="BB7" i="22"/>
  <c r="AG6" i="22"/>
  <c r="BB6" i="22"/>
  <c r="AF7" i="22"/>
  <c r="BA7" i="22"/>
  <c r="AF6" i="22"/>
  <c r="BA6" i="22"/>
  <c r="Z42" i="22"/>
  <c r="AU42" i="22"/>
  <c r="E24" i="22"/>
  <c r="G23" i="4"/>
  <c r="E23" i="22" s="1"/>
  <c r="K4" i="15"/>
  <c r="J8" i="15"/>
  <c r="I10" i="15"/>
  <c r="H50" i="1" s="1"/>
  <c r="H42" i="4" s="1"/>
  <c r="F42" i="22" s="1"/>
  <c r="I12" i="15"/>
  <c r="H49" i="1"/>
  <c r="H24" i="4" s="1"/>
  <c r="Y24" i="22"/>
  <c r="AT24" i="22"/>
  <c r="Y23" i="22"/>
  <c r="AT23" i="22"/>
  <c r="AA32" i="22"/>
  <c r="AV32" i="22"/>
  <c r="AA29" i="22"/>
  <c r="AV29" i="22"/>
  <c r="I32" i="4"/>
  <c r="G32" i="22" s="1"/>
  <c r="G29" i="22"/>
  <c r="W34" i="12"/>
  <c r="W33" i="12"/>
  <c r="J66" i="1" s="1"/>
  <c r="J29" i="4" s="1"/>
  <c r="Y4" i="12"/>
  <c r="D29" i="10"/>
  <c r="D40" i="10" s="1"/>
  <c r="D47" i="10" s="1"/>
  <c r="D53" i="10" s="1"/>
  <c r="E28" i="10"/>
  <c r="O5" i="11"/>
  <c r="N47" i="11"/>
  <c r="D62" i="1" s="1"/>
  <c r="D36" i="4" s="1"/>
  <c r="N48" i="11"/>
  <c r="C46" i="4"/>
  <c r="C49" i="4"/>
  <c r="I26" i="10"/>
  <c r="J11" i="9"/>
  <c r="I93" i="1"/>
  <c r="I50" i="14" s="1"/>
  <c r="Q74" i="28"/>
  <c r="P72" i="24"/>
  <c r="Q74" i="27"/>
  <c r="P73" i="24"/>
  <c r="Q74" i="26"/>
  <c r="P71" i="24"/>
  <c r="P74" i="24" s="1"/>
  <c r="O12" i="25"/>
  <c r="F106" i="1"/>
  <c r="F45" i="14" s="1"/>
  <c r="F48" i="14" s="1"/>
  <c r="F52" i="14" s="1"/>
  <c r="Q62" i="27"/>
  <c r="Q67" i="24" s="1"/>
  <c r="Q68" i="24" s="1"/>
  <c r="H105" i="1" s="1"/>
  <c r="H42" i="14" s="1"/>
  <c r="R29" i="27"/>
  <c r="I135" i="11" a="1"/>
  <c r="I135" i="11" s="1"/>
  <c r="M134" i="11" a="1"/>
  <c r="M134" i="11" s="1"/>
  <c r="L132" i="11" a="1"/>
  <c r="L132" i="11" s="1"/>
  <c r="L131" i="11" a="1"/>
  <c r="L131" i="11" s="1"/>
  <c r="K130" i="11" a="1"/>
  <c r="K130" i="11" s="1"/>
  <c r="I129" i="11" a="1"/>
  <c r="I129" i="11" s="1"/>
  <c r="J127" i="11" a="1"/>
  <c r="J127" i="11" s="1"/>
  <c r="M126" i="11" a="1"/>
  <c r="M126" i="11" s="1"/>
  <c r="I125" i="11" a="1"/>
  <c r="I125" i="11" s="1"/>
  <c r="J124" i="11" a="1"/>
  <c r="J124" i="11" s="1"/>
  <c r="I123" i="11" a="1"/>
  <c r="I123" i="11" s="1"/>
  <c r="N119" i="11" a="1"/>
  <c r="N119" i="11" s="1"/>
  <c r="I118" i="11" a="1"/>
  <c r="I118" i="11" s="1"/>
  <c r="J117" i="11" a="1"/>
  <c r="J117" i="11" s="1"/>
  <c r="K116" i="11" a="1"/>
  <c r="K116" i="11" s="1"/>
  <c r="J109" i="11" a="1"/>
  <c r="J109" i="11" s="1"/>
  <c r="K108" i="11" a="1"/>
  <c r="K108" i="11" s="1"/>
  <c r="M103" i="11" a="1"/>
  <c r="M103" i="11" s="1"/>
  <c r="J102" i="11" a="1"/>
  <c r="J102" i="11" s="1"/>
  <c r="AW31" i="22"/>
  <c r="AB31" i="22"/>
  <c r="V24" i="13"/>
  <c r="V23" i="13"/>
  <c r="J71" i="1" s="1"/>
  <c r="J31" i="4" s="1"/>
  <c r="H31" i="22" s="1"/>
  <c r="X7" i="13"/>
  <c r="R22" i="24"/>
  <c r="R47" i="24" s="1"/>
  <c r="I58" i="1"/>
  <c r="I14" i="7" s="1"/>
  <c r="I18" i="7" s="1"/>
  <c r="I20" i="7" s="1"/>
  <c r="M62" i="24"/>
  <c r="L8" i="25"/>
  <c r="L11" i="25" s="1"/>
  <c r="L16" i="25"/>
  <c r="C104" i="1"/>
  <c r="C43" i="14" s="1"/>
  <c r="S84" i="24"/>
  <c r="S87" i="24" s="1"/>
  <c r="J59" i="1" s="1"/>
  <c r="J5" i="7" s="1"/>
  <c r="J11" i="7" s="1"/>
  <c r="J46" i="1"/>
  <c r="S6" i="24"/>
  <c r="J47" i="1"/>
  <c r="D10" i="1"/>
  <c r="D31" i="7" s="1"/>
  <c r="D36" i="7" s="1"/>
  <c r="D46" i="7" s="1"/>
  <c r="G30" i="18"/>
  <c r="Z29" i="22"/>
  <c r="AU29" i="22"/>
  <c r="Z32" i="22"/>
  <c r="AU32" i="22"/>
  <c r="K82" i="18"/>
  <c r="T68" i="26"/>
  <c r="T70" i="26" s="1"/>
  <c r="T32" i="26"/>
  <c r="T60" i="26" s="1"/>
  <c r="AT42" i="22"/>
  <c r="Y42" i="22"/>
  <c r="G50" i="10"/>
  <c r="E186" i="11"/>
  <c r="E52" i="10"/>
  <c r="G140" i="11"/>
  <c r="F142" i="11"/>
  <c r="U31" i="26"/>
  <c r="L61" i="18"/>
  <c r="L109" i="18"/>
  <c r="J60" i="18"/>
  <c r="I102" i="18"/>
  <c r="H139" i="11" a="1"/>
  <c r="H139" i="11" s="1"/>
  <c r="Q11" i="18"/>
  <c r="Q7" i="25" l="1"/>
  <c r="Q60" i="24"/>
  <c r="Q48" i="24"/>
  <c r="S68" i="28"/>
  <c r="S70" i="28" s="1"/>
  <c r="S7" i="24" s="1"/>
  <c r="S10" i="24" s="1"/>
  <c r="T29" i="28"/>
  <c r="S62" i="28"/>
  <c r="S66" i="24" s="1"/>
  <c r="T29" i="26"/>
  <c r="S62" i="26"/>
  <c r="S65" i="24" s="1"/>
  <c r="V72" i="26"/>
  <c r="O68" i="20"/>
  <c r="N70" i="20"/>
  <c r="N69" i="20" s="1"/>
  <c r="N63" i="20"/>
  <c r="N64" i="20"/>
  <c r="J47" i="20"/>
  <c r="I17" i="4"/>
  <c r="G17" i="22" s="1"/>
  <c r="G18" i="22"/>
  <c r="AA17" i="22"/>
  <c r="AV17" i="22"/>
  <c r="AA18" i="22"/>
  <c r="AV18" i="22"/>
  <c r="L64" i="19"/>
  <c r="K66" i="19"/>
  <c r="K70" i="19" s="1"/>
  <c r="J72" i="19"/>
  <c r="J71" i="19"/>
  <c r="J23" i="1"/>
  <c r="J14" i="4" s="1"/>
  <c r="AB14" i="22"/>
  <c r="AW14" i="22"/>
  <c r="AB13" i="22"/>
  <c r="AW13" i="22"/>
  <c r="N129" i="18"/>
  <c r="N128" i="18" s="1"/>
  <c r="N132" i="18" s="1"/>
  <c r="O124" i="18"/>
  <c r="N123" i="18"/>
  <c r="N109" i="18" s="1"/>
  <c r="N113" i="18"/>
  <c r="O112" i="18"/>
  <c r="N62" i="18"/>
  <c r="E16" i="1"/>
  <c r="E40" i="4" s="1"/>
  <c r="H85" i="18"/>
  <c r="E15" i="1" s="1"/>
  <c r="I83" i="18"/>
  <c r="F14" i="1" s="1"/>
  <c r="F10" i="4" s="1"/>
  <c r="D10" i="22" s="1"/>
  <c r="F12" i="1"/>
  <c r="F9" i="4" s="1"/>
  <c r="I30" i="18"/>
  <c r="F10" i="1"/>
  <c r="F31" i="7" s="1"/>
  <c r="F36" i="7" s="1"/>
  <c r="F46" i="7" s="1"/>
  <c r="Y11" i="22"/>
  <c r="AT11" i="22"/>
  <c r="K65" i="18"/>
  <c r="K68" i="18" s="1"/>
  <c r="K71" i="18"/>
  <c r="K80" i="18" s="1"/>
  <c r="M95" i="18"/>
  <c r="L101" i="18"/>
  <c r="L59" i="18"/>
  <c r="K104" i="18"/>
  <c r="K105" i="18" s="1"/>
  <c r="L60" i="18" s="1"/>
  <c r="J69" i="18"/>
  <c r="J75" i="18"/>
  <c r="G13" i="1"/>
  <c r="G11" i="4" s="1"/>
  <c r="E11" i="22" s="1"/>
  <c r="J78" i="18"/>
  <c r="J16" i="18" s="1"/>
  <c r="J19" i="18" s="1"/>
  <c r="J62" i="17"/>
  <c r="J63" i="17"/>
  <c r="K63" i="17"/>
  <c r="L63" i="17"/>
  <c r="M63" i="17"/>
  <c r="N63" i="17"/>
  <c r="E16" i="22"/>
  <c r="G15" i="4"/>
  <c r="E15" i="22" s="1"/>
  <c r="F56" i="17"/>
  <c r="F61" i="17" s="1"/>
  <c r="F33" i="1"/>
  <c r="F16" i="4" s="1"/>
  <c r="E40" i="17"/>
  <c r="E45" i="17" s="1"/>
  <c r="E53" i="17" s="1"/>
  <c r="D33" i="17"/>
  <c r="AA16" i="22"/>
  <c r="AV16" i="22"/>
  <c r="AA15" i="22"/>
  <c r="AV15" i="22"/>
  <c r="J96" i="1"/>
  <c r="J24" i="7" s="1"/>
  <c r="K32" i="16"/>
  <c r="Z24" i="22"/>
  <c r="AU24" i="22"/>
  <c r="Z23" i="22"/>
  <c r="AU23" i="22"/>
  <c r="L4" i="15"/>
  <c r="K8" i="15"/>
  <c r="J10" i="15"/>
  <c r="I50" i="1" s="1"/>
  <c r="I42" i="4" s="1"/>
  <c r="G42" i="22" s="1"/>
  <c r="I49" i="1"/>
  <c r="I24" i="4" s="1"/>
  <c r="J12" i="15"/>
  <c r="AA42" i="22"/>
  <c r="AV42" i="22"/>
  <c r="F24" i="22"/>
  <c r="H23" i="4"/>
  <c r="F23" i="22" s="1"/>
  <c r="AB32" i="22"/>
  <c r="AW32" i="22"/>
  <c r="AB29" i="22"/>
  <c r="AW29" i="22"/>
  <c r="J32" i="4"/>
  <c r="H32" i="22" s="1"/>
  <c r="H29" i="22"/>
  <c r="Y33" i="12"/>
  <c r="K66" i="1" s="1"/>
  <c r="K29" i="4" s="1"/>
  <c r="Y34" i="12"/>
  <c r="AA4" i="12"/>
  <c r="E29" i="10"/>
  <c r="E40" i="10" s="1"/>
  <c r="E47" i="10" s="1"/>
  <c r="E53" i="10" s="1"/>
  <c r="F28" i="10"/>
  <c r="P5" i="11"/>
  <c r="O47" i="11"/>
  <c r="E62" i="1" s="1"/>
  <c r="E36" i="4" s="1"/>
  <c r="O48" i="11"/>
  <c r="D46" i="4"/>
  <c r="D49" i="4"/>
  <c r="J26" i="10"/>
  <c r="K11" i="9"/>
  <c r="J93" i="1"/>
  <c r="J50" i="14" s="1"/>
  <c r="R74" i="28"/>
  <c r="Q72" i="24"/>
  <c r="R74" i="27"/>
  <c r="Q73" i="24"/>
  <c r="R74" i="26"/>
  <c r="Q71" i="24"/>
  <c r="Q74" i="24" s="1"/>
  <c r="P12" i="25"/>
  <c r="G106" i="1"/>
  <c r="G45" i="14" s="1"/>
  <c r="G48" i="14" s="1"/>
  <c r="G52" i="14" s="1"/>
  <c r="S29" i="27"/>
  <c r="R62" i="27"/>
  <c r="R67" i="24" s="1"/>
  <c r="R68" i="24" s="1"/>
  <c r="I105" i="1" s="1"/>
  <c r="I42" i="14" s="1"/>
  <c r="J135" i="11" a="1"/>
  <c r="J135" i="11" s="1"/>
  <c r="N134" i="11" a="1"/>
  <c r="N134" i="11" s="1"/>
  <c r="M132" i="11" a="1"/>
  <c r="M132" i="11" s="1"/>
  <c r="M131" i="11" a="1"/>
  <c r="M131" i="11" s="1"/>
  <c r="L130" i="11" a="1"/>
  <c r="L130" i="11" s="1"/>
  <c r="J129" i="11" a="1"/>
  <c r="J129" i="11" s="1"/>
  <c r="K127" i="11" a="1"/>
  <c r="K127" i="11" s="1"/>
  <c r="N126" i="11" a="1"/>
  <c r="N126" i="11" s="1"/>
  <c r="J125" i="11" a="1"/>
  <c r="J125" i="11" s="1"/>
  <c r="K124" i="11" a="1"/>
  <c r="K124" i="11" s="1"/>
  <c r="J123" i="11" a="1"/>
  <c r="J123" i="11" s="1"/>
  <c r="J118" i="11" a="1"/>
  <c r="J118" i="11" s="1"/>
  <c r="K117" i="11" a="1"/>
  <c r="K117" i="11" s="1"/>
  <c r="L116" i="11" a="1"/>
  <c r="L116" i="11" s="1"/>
  <c r="K109" i="11" a="1"/>
  <c r="K109" i="11" s="1"/>
  <c r="L108" i="11" a="1"/>
  <c r="L108" i="11" s="1"/>
  <c r="N103" i="11" a="1"/>
  <c r="N103" i="11" s="1"/>
  <c r="K102" i="11" a="1"/>
  <c r="K102" i="11" s="1"/>
  <c r="AX31" i="22"/>
  <c r="AC31" i="22"/>
  <c r="X24" i="13"/>
  <c r="X23" i="13"/>
  <c r="K71" i="1" s="1"/>
  <c r="K31" i="4" s="1"/>
  <c r="I31" i="22" s="1"/>
  <c r="Z7" i="13"/>
  <c r="R7" i="25"/>
  <c r="R60" i="24"/>
  <c r="R48" i="24"/>
  <c r="N62" i="24"/>
  <c r="D104" i="1"/>
  <c r="D43" i="14" s="1"/>
  <c r="M16" i="25"/>
  <c r="M8" i="25"/>
  <c r="L13" i="25"/>
  <c r="L18" i="25" s="1"/>
  <c r="M6" i="25"/>
  <c r="M11" i="25" s="1"/>
  <c r="C53" i="14"/>
  <c r="C46" i="14"/>
  <c r="C77" i="1" s="1"/>
  <c r="C26" i="4" s="1"/>
  <c r="C25" i="4" s="1"/>
  <c r="C23" i="14"/>
  <c r="C24" i="14" s="1"/>
  <c r="C26" i="14" s="1"/>
  <c r="C101" i="1" s="1"/>
  <c r="C68" i="7" s="1"/>
  <c r="C70" i="7" s="1"/>
  <c r="C73" i="7" s="1"/>
  <c r="C54" i="14"/>
  <c r="S22" i="24"/>
  <c r="S47" i="24" s="1"/>
  <c r="J58" i="1"/>
  <c r="J14" i="7" s="1"/>
  <c r="J18" i="7" s="1"/>
  <c r="J20" i="7" s="1"/>
  <c r="K47" i="1"/>
  <c r="T6" i="24"/>
  <c r="K46" i="1"/>
  <c r="T84" i="24"/>
  <c r="T87" i="24" s="1"/>
  <c r="K59" i="1" s="1"/>
  <c r="K5" i="7" s="1"/>
  <c r="K11" i="7" s="1"/>
  <c r="H51" i="10"/>
  <c r="G27" i="10"/>
  <c r="F52" i="10"/>
  <c r="F186" i="11"/>
  <c r="U32" i="26"/>
  <c r="U60" i="26" s="1"/>
  <c r="U68" i="26"/>
  <c r="U70" i="26" s="1"/>
  <c r="L82" i="18"/>
  <c r="H50" i="10"/>
  <c r="M61" i="18"/>
  <c r="E8" i="4"/>
  <c r="V31" i="26"/>
  <c r="M109" i="18"/>
  <c r="I139" i="11" a="1"/>
  <c r="I139" i="11" s="1"/>
  <c r="G142" i="11"/>
  <c r="H140" i="11"/>
  <c r="T68" i="28" l="1"/>
  <c r="T70" i="28" s="1"/>
  <c r="T7" i="24" s="1"/>
  <c r="T10" i="24" s="1"/>
  <c r="U29" i="28"/>
  <c r="T62" i="28"/>
  <c r="T66" i="24" s="1"/>
  <c r="U29" i="26"/>
  <c r="T62" i="26"/>
  <c r="T65" i="24" s="1"/>
  <c r="P68" i="20"/>
  <c r="O70" i="20"/>
  <c r="O69" i="20" s="1"/>
  <c r="O63" i="20"/>
  <c r="J52" i="20"/>
  <c r="J54" i="20" s="1"/>
  <c r="J58" i="20" s="1"/>
  <c r="O47" i="20"/>
  <c r="J14" i="20" s="1"/>
  <c r="J17" i="20" s="1"/>
  <c r="AB17" i="22"/>
  <c r="AW17" i="22"/>
  <c r="AB18" i="22"/>
  <c r="AW18" i="22"/>
  <c r="M64" i="19"/>
  <c r="L66" i="19"/>
  <c r="L70" i="19" s="1"/>
  <c r="K72" i="19"/>
  <c r="K23" i="1"/>
  <c r="K14" i="4" s="1"/>
  <c r="K71" i="19"/>
  <c r="H14" i="22"/>
  <c r="J13" i="4"/>
  <c r="H13" i="22" s="1"/>
  <c r="O129" i="18"/>
  <c r="O128" i="18" s="1"/>
  <c r="O132" i="18" s="1"/>
  <c r="P124" i="18"/>
  <c r="O123" i="18"/>
  <c r="O62" i="18" s="1"/>
  <c r="O113" i="18"/>
  <c r="P112" i="18"/>
  <c r="Y10" i="22"/>
  <c r="AT10" i="22"/>
  <c r="D9" i="22"/>
  <c r="F8" i="4"/>
  <c r="D8" i="22" s="1"/>
  <c r="K69" i="18"/>
  <c r="K75" i="18"/>
  <c r="H13" i="1"/>
  <c r="H11" i="4" s="1"/>
  <c r="F11" i="22" s="1"/>
  <c r="K78" i="18"/>
  <c r="K16" i="18" s="1"/>
  <c r="K19" i="18" s="1"/>
  <c r="N95" i="18"/>
  <c r="M101" i="18"/>
  <c r="L104" i="18"/>
  <c r="L105" i="18" s="1"/>
  <c r="M60" i="18" s="1"/>
  <c r="M59" i="18"/>
  <c r="L65" i="18"/>
  <c r="L68" i="18" s="1"/>
  <c r="L71" i="18"/>
  <c r="L80" i="18" s="1"/>
  <c r="J83" i="18"/>
  <c r="G14" i="1" s="1"/>
  <c r="G10" i="4" s="1"/>
  <c r="E10" i="22" s="1"/>
  <c r="G12" i="1"/>
  <c r="G9" i="4" s="1"/>
  <c r="Z11" i="22"/>
  <c r="AU11" i="22"/>
  <c r="G10" i="1"/>
  <c r="G31" i="7" s="1"/>
  <c r="G36" i="7" s="1"/>
  <c r="G46" i="7" s="1"/>
  <c r="J30" i="18"/>
  <c r="Z16" i="22"/>
  <c r="AU16" i="22"/>
  <c r="Z15" i="22"/>
  <c r="AU15" i="22"/>
  <c r="D16" i="22"/>
  <c r="F15" i="4"/>
  <c r="D15" i="22" s="1"/>
  <c r="E56" i="17"/>
  <c r="E61" i="17" s="1"/>
  <c r="E33" i="1"/>
  <c r="E16" i="4" s="1"/>
  <c r="E15" i="4" s="1"/>
  <c r="C33" i="17"/>
  <c r="C40" i="17" s="1"/>
  <c r="C45" i="17" s="1"/>
  <c r="C53" i="17" s="1"/>
  <c r="D40" i="17"/>
  <c r="D45" i="17" s="1"/>
  <c r="D53" i="17" s="1"/>
  <c r="L32" i="16"/>
  <c r="K96" i="1"/>
  <c r="K24" i="7" s="1"/>
  <c r="M4" i="15"/>
  <c r="L8" i="15"/>
  <c r="K10" i="15"/>
  <c r="J50" i="1" s="1"/>
  <c r="J42" i="4" s="1"/>
  <c r="H42" i="22" s="1"/>
  <c r="K12" i="15"/>
  <c r="J49" i="1"/>
  <c r="J24" i="4" s="1"/>
  <c r="AB42" i="22"/>
  <c r="AW42" i="22"/>
  <c r="G24" i="22"/>
  <c r="I23" i="4"/>
  <c r="G23" i="22" s="1"/>
  <c r="AA24" i="22"/>
  <c r="AV24" i="22"/>
  <c r="AA23" i="22"/>
  <c r="AV23" i="22"/>
  <c r="AC32" i="22"/>
  <c r="AX32" i="22"/>
  <c r="AC29" i="22"/>
  <c r="AX29" i="22"/>
  <c r="K32" i="4"/>
  <c r="I32" i="22" s="1"/>
  <c r="I29" i="22"/>
  <c r="AA34" i="12"/>
  <c r="AA33" i="12"/>
  <c r="L66" i="1" s="1"/>
  <c r="L29" i="4" s="1"/>
  <c r="AC4" i="12"/>
  <c r="F29" i="10"/>
  <c r="F40" i="10" s="1"/>
  <c r="F47" i="10" s="1"/>
  <c r="F53" i="10" s="1"/>
  <c r="G28" i="10"/>
  <c r="Q5" i="11"/>
  <c r="P47" i="11"/>
  <c r="F62" i="1" s="1"/>
  <c r="F36" i="4" s="1"/>
  <c r="P48" i="11"/>
  <c r="E46" i="4"/>
  <c r="E49" i="4" s="1"/>
  <c r="K26" i="10"/>
  <c r="L11" i="9"/>
  <c r="K93" i="1"/>
  <c r="K50" i="14" s="1"/>
  <c r="S74" i="28"/>
  <c r="R72" i="24"/>
  <c r="S74" i="27"/>
  <c r="R73" i="24"/>
  <c r="S74" i="26"/>
  <c r="R71" i="24"/>
  <c r="R74" i="24" s="1"/>
  <c r="Q12" i="25"/>
  <c r="H106" i="1"/>
  <c r="H45" i="14" s="1"/>
  <c r="H48" i="14" s="1"/>
  <c r="H52" i="14" s="1"/>
  <c r="T29" i="27"/>
  <c r="S62" i="27"/>
  <c r="S67" i="24" s="1"/>
  <c r="S68" i="24" s="1"/>
  <c r="J105" i="1" s="1"/>
  <c r="J42" i="14" s="1"/>
  <c r="K135" i="11" a="1"/>
  <c r="K135" i="11" s="1"/>
  <c r="N132" i="11" a="1"/>
  <c r="N132" i="11" s="1"/>
  <c r="N131" i="11" a="1"/>
  <c r="N131" i="11" s="1"/>
  <c r="M130" i="11" a="1"/>
  <c r="M130" i="11" s="1"/>
  <c r="K129" i="11" a="1"/>
  <c r="K129" i="11" s="1"/>
  <c r="L127" i="11" a="1"/>
  <c r="L127" i="11" s="1"/>
  <c r="K125" i="11" a="1"/>
  <c r="K125" i="11" s="1"/>
  <c r="L124" i="11" a="1"/>
  <c r="L124" i="11" s="1"/>
  <c r="K123" i="11" a="1"/>
  <c r="K123" i="11" s="1"/>
  <c r="K118" i="11" a="1"/>
  <c r="K118" i="11" s="1"/>
  <c r="L117" i="11" a="1"/>
  <c r="L117" i="11" s="1"/>
  <c r="M116" i="11" a="1"/>
  <c r="M116" i="11" s="1"/>
  <c r="L109" i="11" a="1"/>
  <c r="L109" i="11" s="1"/>
  <c r="M108" i="11" a="1"/>
  <c r="M108" i="11" s="1"/>
  <c r="L102" i="11" a="1"/>
  <c r="L102" i="11" s="1"/>
  <c r="AY31" i="22"/>
  <c r="AD31" i="22"/>
  <c r="Z24" i="13"/>
  <c r="Z23" i="13"/>
  <c r="L71" i="1" s="1"/>
  <c r="L31" i="4" s="1"/>
  <c r="J31" i="22" s="1"/>
  <c r="AB7" i="13"/>
  <c r="O62" i="24"/>
  <c r="E104" i="1"/>
  <c r="E43" i="14" s="1"/>
  <c r="N16" i="25"/>
  <c r="N8" i="25"/>
  <c r="D53" i="14"/>
  <c r="D46" i="14"/>
  <c r="D77" i="1" s="1"/>
  <c r="D26" i="4" s="1"/>
  <c r="D25" i="4" s="1"/>
  <c r="D54" i="14"/>
  <c r="D23" i="14"/>
  <c r="D24" i="14" s="1"/>
  <c r="D26" i="14" s="1"/>
  <c r="D101" i="1" s="1"/>
  <c r="D68" i="7" s="1"/>
  <c r="D70" i="7" s="1"/>
  <c r="D73" i="7" s="1"/>
  <c r="M13" i="25"/>
  <c r="M18" i="25" s="1"/>
  <c r="N6" i="25"/>
  <c r="C82" i="1"/>
  <c r="C5" i="4" s="1"/>
  <c r="S7" i="25"/>
  <c r="S60" i="24"/>
  <c r="S48" i="24"/>
  <c r="T22" i="24"/>
  <c r="T47" i="24" s="1"/>
  <c r="K58" i="1"/>
  <c r="K14" i="7" s="1"/>
  <c r="K18" i="7" s="1"/>
  <c r="K20" i="7" s="1"/>
  <c r="U84" i="24"/>
  <c r="U87" i="24" s="1"/>
  <c r="L59" i="1" s="1"/>
  <c r="L5" i="7" s="1"/>
  <c r="L11" i="7" s="1"/>
  <c r="L46" i="1"/>
  <c r="U6" i="24"/>
  <c r="L47" i="1"/>
  <c r="I51" i="10"/>
  <c r="H27" i="10"/>
  <c r="M82" i="18"/>
  <c r="V32" i="26"/>
  <c r="V60" i="26" s="1"/>
  <c r="V68" i="26"/>
  <c r="V70" i="26" s="1"/>
  <c r="I50" i="10"/>
  <c r="G186" i="11"/>
  <c r="G52" i="10"/>
  <c r="O64" i="20"/>
  <c r="N61" i="18"/>
  <c r="J139" i="11" a="1"/>
  <c r="J139" i="11" s="1"/>
  <c r="I140" i="11"/>
  <c r="H142" i="11"/>
  <c r="U68" i="28" l="1"/>
  <c r="U70" i="28" s="1"/>
  <c r="U7" i="24" s="1"/>
  <c r="U10" i="24" s="1"/>
  <c r="V29" i="28"/>
  <c r="U62" i="28"/>
  <c r="U66" i="24" s="1"/>
  <c r="V29" i="26"/>
  <c r="U62" i="26"/>
  <c r="U65" i="24" s="1"/>
  <c r="Q68" i="20"/>
  <c r="P70" i="20"/>
  <c r="P69" i="20" s="1"/>
  <c r="P63" i="20"/>
  <c r="J26" i="20"/>
  <c r="J26" i="1"/>
  <c r="J33" i="7" s="1"/>
  <c r="N64" i="19"/>
  <c r="N66" i="19" s="1"/>
  <c r="N70" i="19" s="1"/>
  <c r="M66" i="19"/>
  <c r="M70" i="19" s="1"/>
  <c r="L72" i="19"/>
  <c r="L23" i="1"/>
  <c r="L14" i="4" s="1"/>
  <c r="L71" i="19"/>
  <c r="I14" i="22"/>
  <c r="K13" i="4"/>
  <c r="I13" i="22" s="1"/>
  <c r="AC14" i="22"/>
  <c r="AX14" i="22"/>
  <c r="AC13" i="22"/>
  <c r="AX13" i="22"/>
  <c r="P129" i="18"/>
  <c r="P128" i="18" s="1"/>
  <c r="Q124" i="18"/>
  <c r="P123" i="18"/>
  <c r="P109" i="18" s="1"/>
  <c r="P113" i="18"/>
  <c r="P61" i="18" s="1"/>
  <c r="Q112" i="18"/>
  <c r="P62" i="18"/>
  <c r="Y9" i="22"/>
  <c r="AT9" i="22"/>
  <c r="Y8" i="22"/>
  <c r="AT8" i="22"/>
  <c r="K83" i="18"/>
  <c r="H14" i="1" s="1"/>
  <c r="H10" i="4" s="1"/>
  <c r="F10" i="22" s="1"/>
  <c r="H12" i="1"/>
  <c r="H9" i="4" s="1"/>
  <c r="AA11" i="22"/>
  <c r="AV11" i="22"/>
  <c r="H10" i="1"/>
  <c r="H31" i="7" s="1"/>
  <c r="H36" i="7" s="1"/>
  <c r="H46" i="7" s="1"/>
  <c r="K30" i="18"/>
  <c r="O95" i="18"/>
  <c r="N101" i="18"/>
  <c r="N59" i="18"/>
  <c r="M104" i="18"/>
  <c r="M105" i="18" s="1"/>
  <c r="N60" i="18" s="1"/>
  <c r="M65" i="18"/>
  <c r="M68" i="18" s="1"/>
  <c r="M71" i="18"/>
  <c r="M80" i="18" s="1"/>
  <c r="L69" i="18"/>
  <c r="L75" i="18"/>
  <c r="L78" i="18"/>
  <c r="L16" i="18" s="1"/>
  <c r="L19" i="18" s="1"/>
  <c r="I13" i="1"/>
  <c r="I11" i="4" s="1"/>
  <c r="G11" i="22" s="1"/>
  <c r="Z10" i="22"/>
  <c r="AU10" i="22"/>
  <c r="E9" i="22"/>
  <c r="G8" i="4"/>
  <c r="E8" i="22" s="1"/>
  <c r="Y16" i="22"/>
  <c r="AT16" i="22"/>
  <c r="Y15" i="22"/>
  <c r="AT15" i="22"/>
  <c r="C56" i="17"/>
  <c r="C61" i="17" s="1"/>
  <c r="C33" i="1"/>
  <c r="C16" i="4" s="1"/>
  <c r="C15" i="4" s="1"/>
  <c r="C27" i="4" s="1"/>
  <c r="C33" i="4" s="1"/>
  <c r="D56" i="17"/>
  <c r="D61" i="17" s="1"/>
  <c r="D33" i="1"/>
  <c r="D16" i="4" s="1"/>
  <c r="D15" i="4" s="1"/>
  <c r="L96" i="1"/>
  <c r="L24" i="7" s="1"/>
  <c r="M32" i="16"/>
  <c r="N4" i="15"/>
  <c r="M8" i="15"/>
  <c r="K49" i="1"/>
  <c r="K24" i="4" s="1"/>
  <c r="L10" i="15"/>
  <c r="K50" i="1" s="1"/>
  <c r="K42" i="4" s="1"/>
  <c r="I42" i="22" s="1"/>
  <c r="L12" i="15"/>
  <c r="AC42" i="22"/>
  <c r="AX42" i="22"/>
  <c r="H24" i="22"/>
  <c r="J23" i="4"/>
  <c r="H23" i="22" s="1"/>
  <c r="AB24" i="22"/>
  <c r="AW24" i="22"/>
  <c r="AB23" i="22"/>
  <c r="AW23" i="22"/>
  <c r="AD32" i="22"/>
  <c r="AY32" i="22"/>
  <c r="AD29" i="22"/>
  <c r="AY29" i="22"/>
  <c r="L32" i="4"/>
  <c r="J32" i="22" s="1"/>
  <c r="J29" i="22"/>
  <c r="AC34" i="12"/>
  <c r="AC33" i="12"/>
  <c r="M66" i="1" s="1"/>
  <c r="M29" i="4" s="1"/>
  <c r="AE4" i="12"/>
  <c r="G29" i="10"/>
  <c r="G40" i="10" s="1"/>
  <c r="G47" i="10" s="1"/>
  <c r="G53" i="10" s="1"/>
  <c r="H28" i="10"/>
  <c r="R5" i="11"/>
  <c r="Q47" i="11"/>
  <c r="G62" i="1" s="1"/>
  <c r="G36" i="4" s="1"/>
  <c r="Q48" i="11"/>
  <c r="F46" i="4"/>
  <c r="D46" i="22" s="1"/>
  <c r="F49" i="4"/>
  <c r="D36" i="22"/>
  <c r="L26" i="10"/>
  <c r="M11" i="9"/>
  <c r="L93" i="1"/>
  <c r="L50" i="14" s="1"/>
  <c r="T74" i="28"/>
  <c r="S72" i="24"/>
  <c r="T74" i="27"/>
  <c r="S73" i="24"/>
  <c r="T74" i="26"/>
  <c r="S71" i="24"/>
  <c r="S74" i="24" s="1"/>
  <c r="R12" i="25"/>
  <c r="I106" i="1"/>
  <c r="I45" i="14" s="1"/>
  <c r="I48" i="14" s="1"/>
  <c r="I52" i="14" s="1"/>
  <c r="U29" i="27"/>
  <c r="T62" i="27"/>
  <c r="T67" i="24" s="1"/>
  <c r="T68" i="24" s="1"/>
  <c r="K105" i="1" s="1"/>
  <c r="K42" i="14" s="1"/>
  <c r="L135" i="11" a="1"/>
  <c r="L135" i="11" s="1"/>
  <c r="N130" i="11" a="1"/>
  <c r="N130" i="11" s="1"/>
  <c r="L129" i="11" a="1"/>
  <c r="L129" i="11" s="1"/>
  <c r="M127" i="11" a="1"/>
  <c r="M127" i="11" s="1"/>
  <c r="L125" i="11" a="1"/>
  <c r="L125" i="11" s="1"/>
  <c r="M124" i="11" a="1"/>
  <c r="M124" i="11" s="1"/>
  <c r="L123" i="11" a="1"/>
  <c r="L123" i="11" s="1"/>
  <c r="L118" i="11" a="1"/>
  <c r="L118" i="11" s="1"/>
  <c r="M117" i="11" a="1"/>
  <c r="M117" i="11" s="1"/>
  <c r="N116" i="11" a="1"/>
  <c r="N116" i="11" s="1"/>
  <c r="M109" i="11" a="1"/>
  <c r="M109" i="11" s="1"/>
  <c r="N108" i="11" a="1"/>
  <c r="N108" i="11" s="1"/>
  <c r="L139" i="11" a="1"/>
  <c r="L139" i="11" s="1"/>
  <c r="M102" i="11" a="1"/>
  <c r="M102" i="11" s="1"/>
  <c r="AZ31" i="22"/>
  <c r="AE31" i="22"/>
  <c r="AB24" i="13"/>
  <c r="AB23" i="13"/>
  <c r="M71" i="1" s="1"/>
  <c r="M31" i="4" s="1"/>
  <c r="K31" i="22" s="1"/>
  <c r="AD7" i="13"/>
  <c r="P62" i="24"/>
  <c r="F104" i="1"/>
  <c r="F43" i="14" s="1"/>
  <c r="O16" i="25"/>
  <c r="O8" i="25"/>
  <c r="E53" i="14"/>
  <c r="E46" i="14"/>
  <c r="E77" i="1" s="1"/>
  <c r="E26" i="4" s="1"/>
  <c r="E25" i="4" s="1"/>
  <c r="E23" i="14"/>
  <c r="E24" i="14" s="1"/>
  <c r="E26" i="14" s="1"/>
  <c r="E101" i="1" s="1"/>
  <c r="E68" i="7" s="1"/>
  <c r="E70" i="7" s="1"/>
  <c r="E54" i="14"/>
  <c r="C162" i="11"/>
  <c r="C163" i="11"/>
  <c r="C170" i="11"/>
  <c r="C177" i="11"/>
  <c r="C180" i="11"/>
  <c r="C152" i="11"/>
  <c r="C156" i="11"/>
  <c r="C174" i="11"/>
  <c r="C149" i="11"/>
  <c r="C150" i="11"/>
  <c r="C151" i="11"/>
  <c r="C153" i="11"/>
  <c r="C158" i="11"/>
  <c r="C159" i="11"/>
  <c r="C164" i="11"/>
  <c r="C169" i="11"/>
  <c r="C181" i="11"/>
  <c r="C182" i="11"/>
  <c r="C154" i="11"/>
  <c r="C155" i="11"/>
  <c r="C171" i="11"/>
  <c r="C172" i="11"/>
  <c r="C176" i="11"/>
  <c r="C178" i="11"/>
  <c r="C148" i="11"/>
  <c r="C173" i="11"/>
  <c r="C179" i="11"/>
  <c r="C157" i="11"/>
  <c r="C161" i="11"/>
  <c r="C166" i="11"/>
  <c r="C167" i="11"/>
  <c r="C168" i="11"/>
  <c r="C175" i="11"/>
  <c r="C160" i="11"/>
  <c r="C165" i="11"/>
  <c r="C185" i="11"/>
  <c r="C187" i="11" s="1"/>
  <c r="C4" i="8"/>
  <c r="C10" i="8" s="1"/>
  <c r="C11" i="8" s="1"/>
  <c r="C86" i="1" s="1"/>
  <c r="C35" i="4" s="1"/>
  <c r="C38" i="4" s="1"/>
  <c r="D82" i="1"/>
  <c r="D5" i="4" s="1"/>
  <c r="D27" i="4" s="1"/>
  <c r="D33" i="4" s="1"/>
  <c r="E73" i="7"/>
  <c r="T7" i="25"/>
  <c r="T60" i="24"/>
  <c r="T48" i="24"/>
  <c r="U22" i="24"/>
  <c r="U47" i="24" s="1"/>
  <c r="L58" i="1"/>
  <c r="L14" i="7" s="1"/>
  <c r="L18" i="7" s="1"/>
  <c r="L20" i="7" s="1"/>
  <c r="V84" i="24"/>
  <c r="V87" i="24" s="1"/>
  <c r="M59" i="1" s="1"/>
  <c r="M5" i="7" s="1"/>
  <c r="M11" i="7" s="1"/>
  <c r="M46" i="1"/>
  <c r="M47" i="1"/>
  <c r="V6" i="24"/>
  <c r="J51" i="10"/>
  <c r="I27" i="10"/>
  <c r="N82" i="18"/>
  <c r="J50" i="10"/>
  <c r="H186" i="11"/>
  <c r="H52" i="10"/>
  <c r="P64" i="20"/>
  <c r="O61" i="18"/>
  <c r="N11" i="25"/>
  <c r="O109" i="18"/>
  <c r="K139" i="11" a="1"/>
  <c r="K139" i="11" s="1"/>
  <c r="I142" i="11"/>
  <c r="J140" i="11"/>
  <c r="V68" i="28" l="1"/>
  <c r="V70" i="28" s="1"/>
  <c r="V7" i="24" s="1"/>
  <c r="V10" i="24" s="1"/>
  <c r="W29" i="28"/>
  <c r="V62" i="28"/>
  <c r="V66" i="24" s="1"/>
  <c r="W28" i="26"/>
  <c r="V62" i="26"/>
  <c r="V65" i="24" s="1"/>
  <c r="W29" i="26"/>
  <c r="W62" i="26" s="1"/>
  <c r="W65" i="24" s="1"/>
  <c r="Q70" i="20"/>
  <c r="Q69" i="20" s="1"/>
  <c r="Q63" i="20"/>
  <c r="N72" i="19"/>
  <c r="N23" i="1"/>
  <c r="N14" i="4" s="1"/>
  <c r="N71" i="19"/>
  <c r="M72" i="19"/>
  <c r="M23" i="1"/>
  <c r="M14" i="4" s="1"/>
  <c r="M71" i="19"/>
  <c r="J14" i="22"/>
  <c r="L13" i="4"/>
  <c r="J13" i="22" s="1"/>
  <c r="AD14" i="22"/>
  <c r="AY14" i="22"/>
  <c r="AD13" i="22"/>
  <c r="AY13" i="22"/>
  <c r="Q129" i="18"/>
  <c r="Q128" i="18" s="1"/>
  <c r="Q132" i="18" s="1"/>
  <c r="Q123" i="18"/>
  <c r="P82" i="18"/>
  <c r="Q113" i="18"/>
  <c r="AA10" i="22"/>
  <c r="AV10" i="22"/>
  <c r="F9" i="22"/>
  <c r="H8" i="4"/>
  <c r="F8" i="22" s="1"/>
  <c r="P95" i="18"/>
  <c r="P101" i="18" s="1"/>
  <c r="Q59" i="18" s="1"/>
  <c r="O101" i="18"/>
  <c r="P59" i="18" s="1"/>
  <c r="O59" i="18"/>
  <c r="N102" i="18"/>
  <c r="N104" i="18"/>
  <c r="N65" i="18"/>
  <c r="N68" i="18" s="1"/>
  <c r="N71" i="18"/>
  <c r="N80" i="18" s="1"/>
  <c r="M69" i="18"/>
  <c r="M75" i="18"/>
  <c r="M78" i="18"/>
  <c r="M16" i="18" s="1"/>
  <c r="M19" i="18" s="1"/>
  <c r="J13" i="1"/>
  <c r="J11" i="4" s="1"/>
  <c r="H11" i="22" s="1"/>
  <c r="L83" i="18"/>
  <c r="I14" i="1" s="1"/>
  <c r="I10" i="4" s="1"/>
  <c r="G10" i="22" s="1"/>
  <c r="I12" i="1"/>
  <c r="I9" i="4" s="1"/>
  <c r="I10" i="1"/>
  <c r="I31" i="7" s="1"/>
  <c r="I36" i="7" s="1"/>
  <c r="I46" i="7" s="1"/>
  <c r="L30" i="18"/>
  <c r="AB11" i="22"/>
  <c r="AW11" i="22"/>
  <c r="Z9" i="22"/>
  <c r="AU9" i="22"/>
  <c r="Z8" i="22"/>
  <c r="AU8" i="22"/>
  <c r="N32" i="16"/>
  <c r="N96" i="1" s="1"/>
  <c r="N24" i="7" s="1"/>
  <c r="M96" i="1"/>
  <c r="M24" i="7" s="1"/>
  <c r="O4" i="15"/>
  <c r="O8" i="15" s="1"/>
  <c r="N8" i="15"/>
  <c r="M10" i="15"/>
  <c r="L50" i="1" s="1"/>
  <c r="L42" i="4" s="1"/>
  <c r="J42" i="22" s="1"/>
  <c r="M12" i="15"/>
  <c r="L49" i="1"/>
  <c r="L24" i="4" s="1"/>
  <c r="I24" i="22"/>
  <c r="K23" i="4"/>
  <c r="I23" i="22" s="1"/>
  <c r="AD42" i="22"/>
  <c r="AY42" i="22"/>
  <c r="AC24" i="22"/>
  <c r="AX24" i="22"/>
  <c r="AC23" i="22"/>
  <c r="AX23" i="22"/>
  <c r="AE32" i="22"/>
  <c r="AZ32" i="22"/>
  <c r="AE29" i="22"/>
  <c r="AZ29" i="22"/>
  <c r="M32" i="4"/>
  <c r="K32" i="22" s="1"/>
  <c r="K29" i="22"/>
  <c r="AE34" i="12"/>
  <c r="AE33" i="12"/>
  <c r="N66" i="1" s="1"/>
  <c r="N29" i="4" s="1"/>
  <c r="H29" i="10"/>
  <c r="H40" i="10" s="1"/>
  <c r="H47" i="10" s="1"/>
  <c r="H53" i="10" s="1"/>
  <c r="I28" i="10"/>
  <c r="S5" i="11"/>
  <c r="R47" i="11"/>
  <c r="H62" i="1" s="1"/>
  <c r="H36" i="4" s="1"/>
  <c r="R48" i="11"/>
  <c r="G46" i="4"/>
  <c r="E46" i="22" s="1"/>
  <c r="G49" i="4"/>
  <c r="E36" i="22"/>
  <c r="Y46" i="22"/>
  <c r="AT46" i="22"/>
  <c r="D49" i="22"/>
  <c r="Y36" i="22"/>
  <c r="AT36" i="22"/>
  <c r="M26" i="10"/>
  <c r="N11" i="9"/>
  <c r="N93" i="1" s="1"/>
  <c r="N50" i="14" s="1"/>
  <c r="M93" i="1"/>
  <c r="M50" i="14" s="1"/>
  <c r="U74" i="28"/>
  <c r="T72" i="24"/>
  <c r="U74" i="27"/>
  <c r="T73" i="24"/>
  <c r="U74" i="26"/>
  <c r="T71" i="24"/>
  <c r="T74" i="24" s="1"/>
  <c r="S12" i="25"/>
  <c r="J106" i="1"/>
  <c r="J45" i="14" s="1"/>
  <c r="J48" i="14" s="1"/>
  <c r="J52" i="14" s="1"/>
  <c r="U62" i="27"/>
  <c r="U67" i="24" s="1"/>
  <c r="U68" i="24" s="1"/>
  <c r="L105" i="1" s="1"/>
  <c r="L42" i="14" s="1"/>
  <c r="V29" i="27"/>
  <c r="M135" i="11" a="1"/>
  <c r="M135" i="11" s="1"/>
  <c r="M129" i="11" a="1"/>
  <c r="M129" i="11" s="1"/>
  <c r="N127" i="11" a="1"/>
  <c r="N127" i="11" s="1"/>
  <c r="M125" i="11" a="1"/>
  <c r="M125" i="11" s="1"/>
  <c r="N124" i="11" a="1"/>
  <c r="N124" i="11" s="1"/>
  <c r="M123" i="11" a="1"/>
  <c r="M123" i="11" s="1"/>
  <c r="M118" i="11" a="1"/>
  <c r="M118" i="11" s="1"/>
  <c r="N117" i="11" a="1"/>
  <c r="N117" i="11" s="1"/>
  <c r="N109" i="11" a="1"/>
  <c r="N109" i="11" s="1"/>
  <c r="L50" i="10"/>
  <c r="N102" i="11" a="1"/>
  <c r="N102" i="11" s="1"/>
  <c r="BA31" i="22"/>
  <c r="AF31" i="22"/>
  <c r="AD24" i="13"/>
  <c r="AD23" i="13"/>
  <c r="N71" i="1" s="1"/>
  <c r="N31" i="4" s="1"/>
  <c r="L31" i="22" s="1"/>
  <c r="Q62" i="24"/>
  <c r="G104" i="1"/>
  <c r="G43" i="14" s="1"/>
  <c r="P16" i="25"/>
  <c r="P8" i="25"/>
  <c r="F53" i="14"/>
  <c r="F46" i="14"/>
  <c r="F77" i="1" s="1"/>
  <c r="F26" i="4" s="1"/>
  <c r="F23" i="14"/>
  <c r="F24" i="14" s="1"/>
  <c r="F26" i="14" s="1"/>
  <c r="F101" i="1" s="1"/>
  <c r="F68" i="7" s="1"/>
  <c r="F70" i="7" s="1"/>
  <c r="F54" i="14"/>
  <c r="C39" i="4"/>
  <c r="C44" i="4" s="1"/>
  <c r="D181" i="11"/>
  <c r="D182" i="11"/>
  <c r="D154" i="11"/>
  <c r="D172" i="11"/>
  <c r="D171" i="11"/>
  <c r="D179" i="11"/>
  <c r="D153" i="11"/>
  <c r="D169" i="11"/>
  <c r="D175" i="11"/>
  <c r="D149" i="11"/>
  <c r="D150" i="11"/>
  <c r="D151" i="11"/>
  <c r="D159" i="11"/>
  <c r="D163" i="11"/>
  <c r="D157" i="11"/>
  <c r="D161" i="11"/>
  <c r="D155" i="11"/>
  <c r="D166" i="11"/>
  <c r="D167" i="11"/>
  <c r="D168" i="11"/>
  <c r="D170" i="11"/>
  <c r="D173" i="11"/>
  <c r="D177" i="11"/>
  <c r="D162" i="11"/>
  <c r="D180" i="11"/>
  <c r="D148" i="11"/>
  <c r="D174" i="11"/>
  <c r="D164" i="11"/>
  <c r="D156" i="11"/>
  <c r="D160" i="11"/>
  <c r="D165" i="11"/>
  <c r="D176" i="11"/>
  <c r="D178" i="11"/>
  <c r="D152" i="11"/>
  <c r="D158" i="11"/>
  <c r="D185" i="11"/>
  <c r="D187" i="11" s="1"/>
  <c r="D4" i="8"/>
  <c r="D10" i="8" s="1"/>
  <c r="D11" i="8" s="1"/>
  <c r="D86" i="1" s="1"/>
  <c r="D35" i="4" s="1"/>
  <c r="D38" i="4" s="1"/>
  <c r="E82" i="1"/>
  <c r="E5" i="4" s="1"/>
  <c r="E27" i="4" s="1"/>
  <c r="E33" i="4" s="1"/>
  <c r="F73" i="7"/>
  <c r="U7" i="25"/>
  <c r="U60" i="24"/>
  <c r="U48" i="24"/>
  <c r="V22" i="24"/>
  <c r="V47" i="24" s="1"/>
  <c r="M58" i="1"/>
  <c r="M14" i="7" s="1"/>
  <c r="M18" i="7" s="1"/>
  <c r="M20" i="7" s="1"/>
  <c r="K51" i="10"/>
  <c r="J27" i="10"/>
  <c r="O82" i="18"/>
  <c r="O6" i="25"/>
  <c r="O11" i="25" s="1"/>
  <c r="N13" i="25"/>
  <c r="N18" i="25" s="1"/>
  <c r="K50" i="10"/>
  <c r="I52" i="10"/>
  <c r="I186" i="11"/>
  <c r="Q64" i="20"/>
  <c r="P132" i="18"/>
  <c r="C184" i="11"/>
  <c r="C47" i="4" s="1"/>
  <c r="K140" i="11"/>
  <c r="J142" i="11"/>
  <c r="W68" i="28" l="1"/>
  <c r="W70" i="28" s="1"/>
  <c r="W7" i="24" s="1"/>
  <c r="W62" i="28"/>
  <c r="W66" i="24" s="1"/>
  <c r="W68" i="26"/>
  <c r="W70" i="26" s="1"/>
  <c r="W73" i="26"/>
  <c r="W32" i="26"/>
  <c r="W60" i="26" s="1"/>
  <c r="N13" i="4"/>
  <c r="L13" i="22" s="1"/>
  <c r="L14" i="22"/>
  <c r="K14" i="22"/>
  <c r="M13" i="4"/>
  <c r="K13" i="22" s="1"/>
  <c r="AE14" i="22"/>
  <c r="AZ14" i="22"/>
  <c r="AE13" i="22"/>
  <c r="AZ13" i="22"/>
  <c r="AA9" i="22"/>
  <c r="AV9" i="22"/>
  <c r="AA8" i="22"/>
  <c r="AV8" i="22"/>
  <c r="O65" i="18"/>
  <c r="O68" i="18" s="1"/>
  <c r="O104" i="18"/>
  <c r="N105" i="18"/>
  <c r="O60" i="18" s="1"/>
  <c r="O71" i="18" s="1"/>
  <c r="O80" i="18" s="1"/>
  <c r="N69" i="18"/>
  <c r="N75" i="18"/>
  <c r="K13" i="1"/>
  <c r="K11" i="4" s="1"/>
  <c r="I11" i="22" s="1"/>
  <c r="N78" i="18"/>
  <c r="N16" i="18" s="1"/>
  <c r="N19" i="18" s="1"/>
  <c r="M83" i="18"/>
  <c r="J14" i="1" s="1"/>
  <c r="J10" i="4" s="1"/>
  <c r="H10" i="22" s="1"/>
  <c r="J12" i="1"/>
  <c r="J9" i="4" s="1"/>
  <c r="J10" i="1"/>
  <c r="J31" i="7" s="1"/>
  <c r="J36" i="7" s="1"/>
  <c r="J46" i="7" s="1"/>
  <c r="M30" i="18"/>
  <c r="AC11" i="22"/>
  <c r="AX11" i="22"/>
  <c r="AB10" i="22"/>
  <c r="AW10" i="22"/>
  <c r="G9" i="22"/>
  <c r="I8" i="4"/>
  <c r="G8" i="22" s="1"/>
  <c r="O10" i="15"/>
  <c r="N50" i="1" s="1"/>
  <c r="N42" i="4" s="1"/>
  <c r="L42" i="22" s="1"/>
  <c r="O12" i="15"/>
  <c r="N49" i="1"/>
  <c r="N24" i="4" s="1"/>
  <c r="N10" i="15"/>
  <c r="M50" i="1" s="1"/>
  <c r="M42" i="4" s="1"/>
  <c r="K42" i="22" s="1"/>
  <c r="M49" i="1"/>
  <c r="M24" i="4" s="1"/>
  <c r="N12" i="15"/>
  <c r="AE42" i="22"/>
  <c r="AZ42" i="22"/>
  <c r="J24" i="22"/>
  <c r="L23" i="4"/>
  <c r="J23" i="22" s="1"/>
  <c r="AD24" i="22"/>
  <c r="AY24" i="22"/>
  <c r="AD23" i="22"/>
  <c r="AY23" i="22"/>
  <c r="AF32" i="22"/>
  <c r="BA32" i="22"/>
  <c r="AF29" i="22"/>
  <c r="BA29" i="22"/>
  <c r="N32" i="4"/>
  <c r="L32" i="22" s="1"/>
  <c r="L29" i="22"/>
  <c r="I29" i="10"/>
  <c r="I40" i="10" s="1"/>
  <c r="I47" i="10" s="1"/>
  <c r="I53" i="10" s="1"/>
  <c r="J28" i="10"/>
  <c r="T5" i="11"/>
  <c r="S47" i="11"/>
  <c r="I62" i="1" s="1"/>
  <c r="I36" i="4" s="1"/>
  <c r="S48" i="11"/>
  <c r="H46" i="4"/>
  <c r="F36" i="22"/>
  <c r="Z46" i="22"/>
  <c r="AU46" i="22"/>
  <c r="E49" i="22"/>
  <c r="Z36" i="22"/>
  <c r="AU36" i="22"/>
  <c r="Y49" i="22"/>
  <c r="AT49" i="22"/>
  <c r="N26" i="10"/>
  <c r="V74" i="28"/>
  <c r="U72" i="24"/>
  <c r="V74" i="27"/>
  <c r="U73" i="24"/>
  <c r="V74" i="26"/>
  <c r="U71" i="24"/>
  <c r="U74" i="24" s="1"/>
  <c r="T12" i="25"/>
  <c r="K106" i="1"/>
  <c r="K45" i="14" s="1"/>
  <c r="K48" i="14" s="1"/>
  <c r="K52" i="14" s="1"/>
  <c r="W29" i="27"/>
  <c r="W62" i="27" s="1"/>
  <c r="W67" i="24" s="1"/>
  <c r="V62" i="27"/>
  <c r="V67" i="24" s="1"/>
  <c r="V68" i="24" s="1"/>
  <c r="M105" i="1" s="1"/>
  <c r="M42" i="14" s="1"/>
  <c r="N135" i="11" a="1"/>
  <c r="N135" i="11" s="1"/>
  <c r="N129" i="11" a="1"/>
  <c r="N129" i="11" s="1"/>
  <c r="N125" i="11" a="1"/>
  <c r="N125" i="11" s="1"/>
  <c r="N123" i="11" a="1"/>
  <c r="N123" i="11" s="1"/>
  <c r="N118" i="11" a="1"/>
  <c r="N118" i="11" s="1"/>
  <c r="L27" i="10"/>
  <c r="BB31" i="22"/>
  <c r="AG31" i="22"/>
  <c r="H104" i="1"/>
  <c r="H43" i="14" s="1"/>
  <c r="Q16" i="25"/>
  <c r="Q8" i="25"/>
  <c r="R62" i="24"/>
  <c r="G53" i="14"/>
  <c r="G46" i="14"/>
  <c r="G77" i="1" s="1"/>
  <c r="G26" i="4" s="1"/>
  <c r="G54" i="14"/>
  <c r="G23" i="14"/>
  <c r="G24" i="14" s="1"/>
  <c r="G26" i="14" s="1"/>
  <c r="G101" i="1" s="1"/>
  <c r="G68" i="7" s="1"/>
  <c r="G70" i="7" s="1"/>
  <c r="F25" i="4"/>
  <c r="D25" i="22" s="1"/>
  <c r="D26" i="22"/>
  <c r="C21" i="7"/>
  <c r="C5" i="8"/>
  <c r="C15" i="8" s="1"/>
  <c r="C87" i="1" s="1"/>
  <c r="C45" i="4" s="1"/>
  <c r="D39" i="4"/>
  <c r="D44" i="4" s="1"/>
  <c r="E171" i="11"/>
  <c r="E167" i="11"/>
  <c r="E159" i="11"/>
  <c r="E153" i="11"/>
  <c r="E157" i="11"/>
  <c r="E173" i="11"/>
  <c r="E172" i="11"/>
  <c r="E179" i="11"/>
  <c r="E181" i="11"/>
  <c r="E154" i="11"/>
  <c r="E158" i="11"/>
  <c r="E149" i="11"/>
  <c r="E150" i="11"/>
  <c r="E165" i="11"/>
  <c r="E177" i="11"/>
  <c r="E169" i="11"/>
  <c r="E175" i="11"/>
  <c r="E176" i="11"/>
  <c r="E166" i="11"/>
  <c r="E161" i="11"/>
  <c r="E156" i="11"/>
  <c r="E152" i="11"/>
  <c r="E163" i="11"/>
  <c r="E170" i="11"/>
  <c r="E178" i="11"/>
  <c r="E164" i="11"/>
  <c r="E168" i="11"/>
  <c r="E162" i="11"/>
  <c r="E151" i="11"/>
  <c r="E180" i="11"/>
  <c r="E148" i="11"/>
  <c r="E155" i="11"/>
  <c r="E182" i="11"/>
  <c r="E160" i="11"/>
  <c r="E4" i="8"/>
  <c r="E10" i="8" s="1"/>
  <c r="E11" i="8" s="1"/>
  <c r="E86" i="1" s="1"/>
  <c r="E35" i="4" s="1"/>
  <c r="E38" i="4" s="1"/>
  <c r="E174" i="11"/>
  <c r="E185" i="11"/>
  <c r="E187" i="11" s="1"/>
  <c r="G73" i="7"/>
  <c r="G72" i="7"/>
  <c r="F82" i="1"/>
  <c r="F5" i="4" s="1"/>
  <c r="V7" i="25"/>
  <c r="V60" i="24"/>
  <c r="V48" i="24"/>
  <c r="O13" i="25"/>
  <c r="O18" i="25" s="1"/>
  <c r="P6" i="25"/>
  <c r="P11" i="25" s="1"/>
  <c r="L51" i="10"/>
  <c r="M51" i="10" s="1"/>
  <c r="K27" i="10"/>
  <c r="J52" i="10"/>
  <c r="J186" i="11"/>
  <c r="Q61" i="18"/>
  <c r="D184" i="11"/>
  <c r="D47" i="4" s="1"/>
  <c r="Q109" i="18"/>
  <c r="Q62" i="18"/>
  <c r="M139" i="11" a="1"/>
  <c r="M139" i="11" s="1"/>
  <c r="L140" i="11"/>
  <c r="K142" i="11"/>
  <c r="W6" i="24" l="1"/>
  <c r="W10" i="24" s="1"/>
  <c r="N47" i="1"/>
  <c r="N46" i="1"/>
  <c r="W84" i="24"/>
  <c r="W87" i="24" s="1"/>
  <c r="N59" i="1" s="1"/>
  <c r="N5" i="7" s="1"/>
  <c r="N11" i="7" s="1"/>
  <c r="AG13" i="22"/>
  <c r="BB13" i="22"/>
  <c r="AG14" i="22"/>
  <c r="BB14" i="22"/>
  <c r="AF14" i="22"/>
  <c r="BA14" i="22"/>
  <c r="AF13" i="22"/>
  <c r="BA13" i="22"/>
  <c r="O69" i="18"/>
  <c r="O75" i="18"/>
  <c r="L13" i="1"/>
  <c r="L11" i="4" s="1"/>
  <c r="J11" i="22" s="1"/>
  <c r="O78" i="18"/>
  <c r="P104" i="18"/>
  <c r="P105" i="18" s="1"/>
  <c r="Q60" i="18" s="1"/>
  <c r="O105" i="18"/>
  <c r="P60" i="18" s="1"/>
  <c r="N83" i="18"/>
  <c r="K14" i="1" s="1"/>
  <c r="K10" i="4" s="1"/>
  <c r="I10" i="22" s="1"/>
  <c r="K12" i="1"/>
  <c r="K9" i="4" s="1"/>
  <c r="AD11" i="22"/>
  <c r="AY11" i="22"/>
  <c r="N30" i="18"/>
  <c r="K10" i="1"/>
  <c r="K31" i="7" s="1"/>
  <c r="K36" i="7" s="1"/>
  <c r="K46" i="7" s="1"/>
  <c r="AC10" i="22"/>
  <c r="AX10" i="22"/>
  <c r="H9" i="22"/>
  <c r="J8" i="4"/>
  <c r="H8" i="22" s="1"/>
  <c r="AB9" i="22"/>
  <c r="AW9" i="22"/>
  <c r="AB8" i="22"/>
  <c r="AW8" i="22"/>
  <c r="AG42" i="22"/>
  <c r="BB42" i="22"/>
  <c r="L24" i="22"/>
  <c r="N23" i="4"/>
  <c r="L23" i="22" s="1"/>
  <c r="AF42" i="22"/>
  <c r="BA42" i="22"/>
  <c r="K24" i="22"/>
  <c r="M23" i="4"/>
  <c r="K23" i="22" s="1"/>
  <c r="AE24" i="22"/>
  <c r="AZ24" i="22"/>
  <c r="AE23" i="22"/>
  <c r="AZ23" i="22"/>
  <c r="AG32" i="22"/>
  <c r="BB32" i="22"/>
  <c r="AG29" i="22"/>
  <c r="BB29" i="22"/>
  <c r="J29" i="10"/>
  <c r="J40" i="10" s="1"/>
  <c r="J47" i="10" s="1"/>
  <c r="J53" i="10" s="1"/>
  <c r="K28" i="10"/>
  <c r="U5" i="11"/>
  <c r="T47" i="11"/>
  <c r="J62" i="1" s="1"/>
  <c r="J36" i="4" s="1"/>
  <c r="T48" i="11"/>
  <c r="I46" i="4"/>
  <c r="G46" i="22" s="1"/>
  <c r="I49" i="4"/>
  <c r="G36" i="22"/>
  <c r="AA36" i="22"/>
  <c r="AV36" i="22"/>
  <c r="Z49" i="22"/>
  <c r="AU49" i="22"/>
  <c r="W74" i="28"/>
  <c r="W72" i="24" s="1"/>
  <c r="V72" i="24"/>
  <c r="W74" i="27"/>
  <c r="W73" i="24" s="1"/>
  <c r="V73" i="24"/>
  <c r="W74" i="26"/>
  <c r="W71" i="24" s="1"/>
  <c r="W74" i="24" s="1"/>
  <c r="V71" i="24"/>
  <c r="U12" i="25"/>
  <c r="L106" i="1"/>
  <c r="L45" i="14" s="1"/>
  <c r="L48" i="14" s="1"/>
  <c r="L52" i="14" s="1"/>
  <c r="H53" i="14"/>
  <c r="H46" i="14"/>
  <c r="H77" i="1" s="1"/>
  <c r="H26" i="4" s="1"/>
  <c r="H23" i="14"/>
  <c r="H24" i="14" s="1"/>
  <c r="H26" i="14" s="1"/>
  <c r="H101" i="1" s="1"/>
  <c r="H68" i="7" s="1"/>
  <c r="H70" i="7" s="1"/>
  <c r="H54" i="14"/>
  <c r="S62" i="24"/>
  <c r="I104" i="1"/>
  <c r="I43" i="14" s="1"/>
  <c r="R16" i="25"/>
  <c r="R8" i="25"/>
  <c r="E26" i="22"/>
  <c r="G25" i="4"/>
  <c r="E25" i="22" s="1"/>
  <c r="Y25" i="22"/>
  <c r="AT25" i="22"/>
  <c r="Y26" i="22"/>
  <c r="AT26" i="22"/>
  <c r="C50" i="4"/>
  <c r="C51" i="4"/>
  <c r="D21" i="7"/>
  <c r="D5" i="8"/>
  <c r="D15" i="8" s="1"/>
  <c r="D87" i="1" s="1"/>
  <c r="D45" i="4" s="1"/>
  <c r="E39" i="4"/>
  <c r="E44" i="4" s="1"/>
  <c r="H72" i="7"/>
  <c r="G82" i="1"/>
  <c r="G5" i="4" s="1"/>
  <c r="H73" i="7"/>
  <c r="F27" i="4"/>
  <c r="D5" i="22"/>
  <c r="P13" i="25"/>
  <c r="P18" i="25" s="1"/>
  <c r="Q6" i="25"/>
  <c r="Q11" i="25" s="1"/>
  <c r="Q82" i="18"/>
  <c r="M50" i="10"/>
  <c r="M140" i="11"/>
  <c r="L142" i="11"/>
  <c r="K186" i="11"/>
  <c r="K52" i="10"/>
  <c r="W68" i="24"/>
  <c r="N105" i="1" s="1"/>
  <c r="N42" i="14" s="1"/>
  <c r="E184" i="11"/>
  <c r="E47" i="4" s="1"/>
  <c r="F46" i="22"/>
  <c r="H49" i="4"/>
  <c r="N139" i="11" a="1"/>
  <c r="N139" i="11" s="1"/>
  <c r="W22" i="24" l="1"/>
  <c r="W47" i="24" s="1"/>
  <c r="N58" i="1"/>
  <c r="N14" i="7" s="1"/>
  <c r="N18" i="7" s="1"/>
  <c r="N20" i="7" s="1"/>
  <c r="O83" i="18"/>
  <c r="L14" i="1" s="1"/>
  <c r="L10" i="4" s="1"/>
  <c r="J10" i="22" s="1"/>
  <c r="L12" i="1"/>
  <c r="L9" i="4" s="1"/>
  <c r="AE11" i="22"/>
  <c r="AZ11" i="22"/>
  <c r="Q65" i="18"/>
  <c r="Q68" i="18" s="1"/>
  <c r="Q71" i="18" s="1"/>
  <c r="Q80" i="18" s="1"/>
  <c r="P65" i="18"/>
  <c r="P68" i="18" s="1"/>
  <c r="P71" i="18" s="1"/>
  <c r="P80" i="18" s="1"/>
  <c r="AD10" i="22"/>
  <c r="AY10" i="22"/>
  <c r="I9" i="22"/>
  <c r="K8" i="4"/>
  <c r="I8" i="22" s="1"/>
  <c r="AC9" i="22"/>
  <c r="AX9" i="22"/>
  <c r="AC8" i="22"/>
  <c r="AX8" i="22"/>
  <c r="AG24" i="22"/>
  <c r="BB24" i="22"/>
  <c r="AG23" i="22"/>
  <c r="BB23" i="22"/>
  <c r="AF24" i="22"/>
  <c r="BA24" i="22"/>
  <c r="AF23" i="22"/>
  <c r="BA23" i="22"/>
  <c r="K29" i="10"/>
  <c r="K40" i="10" s="1"/>
  <c r="K47" i="10" s="1"/>
  <c r="K53" i="10" s="1"/>
  <c r="L28" i="10"/>
  <c r="V5" i="11"/>
  <c r="U47" i="11"/>
  <c r="K62" i="1" s="1"/>
  <c r="K36" i="4" s="1"/>
  <c r="U48" i="11"/>
  <c r="J46" i="4"/>
  <c r="H46" i="22" s="1"/>
  <c r="J49" i="4"/>
  <c r="H36" i="22"/>
  <c r="AB46" i="22"/>
  <c r="AW46" i="22"/>
  <c r="G49" i="22"/>
  <c r="AB36" i="22"/>
  <c r="AW36" i="22"/>
  <c r="W12" i="25"/>
  <c r="N106" i="1"/>
  <c r="N45" i="14" s="1"/>
  <c r="N48" i="14" s="1"/>
  <c r="N52" i="14" s="1"/>
  <c r="H25" i="4"/>
  <c r="F25" i="22" s="1"/>
  <c r="F26" i="22"/>
  <c r="T62" i="24"/>
  <c r="J104" i="1"/>
  <c r="J43" i="14" s="1"/>
  <c r="S16" i="25"/>
  <c r="S8" i="25"/>
  <c r="I53" i="14"/>
  <c r="I46" i="14"/>
  <c r="I77" i="1" s="1"/>
  <c r="I26" i="4" s="1"/>
  <c r="I23" i="14"/>
  <c r="I24" i="14" s="1"/>
  <c r="I26" i="14" s="1"/>
  <c r="I101" i="1" s="1"/>
  <c r="I68" i="7" s="1"/>
  <c r="I70" i="7" s="1"/>
  <c r="I54" i="14"/>
  <c r="Z26" i="22"/>
  <c r="AU26" i="22"/>
  <c r="Z25" i="22"/>
  <c r="AU25" i="22"/>
  <c r="D50" i="4"/>
  <c r="D51" i="4"/>
  <c r="E21" i="7"/>
  <c r="E5" i="8"/>
  <c r="E15" i="8" s="1"/>
  <c r="E87" i="1" s="1"/>
  <c r="E45" i="4" s="1"/>
  <c r="G27" i="4"/>
  <c r="E5" i="22"/>
  <c r="I73" i="7"/>
  <c r="I72" i="7"/>
  <c r="H82" i="1"/>
  <c r="H5" i="4" s="1"/>
  <c r="F33" i="4"/>
  <c r="D27" i="22"/>
  <c r="Y5" i="22"/>
  <c r="AT5" i="22"/>
  <c r="Q13" i="25"/>
  <c r="Q18" i="25" s="1"/>
  <c r="R6" i="25"/>
  <c r="R11" i="25" s="1"/>
  <c r="N51" i="10"/>
  <c r="M27" i="10"/>
  <c r="L52" i="10"/>
  <c r="L186" i="11"/>
  <c r="AV46" i="22"/>
  <c r="AA46" i="22"/>
  <c r="F49" i="22"/>
  <c r="N50" i="10"/>
  <c r="N27" i="10" s="1"/>
  <c r="C52" i="4"/>
  <c r="C53" i="4" s="1"/>
  <c r="V74" i="24"/>
  <c r="M142" i="11"/>
  <c r="N140" i="11"/>
  <c r="N142" i="11" s="1"/>
  <c r="W7" i="25" l="1"/>
  <c r="W60" i="24"/>
  <c r="W48" i="24"/>
  <c r="AE10" i="22"/>
  <c r="AZ10" i="22"/>
  <c r="J9" i="22"/>
  <c r="L8" i="4"/>
  <c r="J8" i="22" s="1"/>
  <c r="Q78" i="18"/>
  <c r="N13" i="1"/>
  <c r="N11" i="4" s="1"/>
  <c r="L11" i="22" s="1"/>
  <c r="Q69" i="18"/>
  <c r="Q75" i="18"/>
  <c r="P78" i="18"/>
  <c r="M13" i="1"/>
  <c r="M11" i="4" s="1"/>
  <c r="K11" i="22" s="1"/>
  <c r="P75" i="18"/>
  <c r="P69" i="18"/>
  <c r="AD9" i="22"/>
  <c r="AY9" i="22"/>
  <c r="AD8" i="22"/>
  <c r="AY8" i="22"/>
  <c r="L29" i="10"/>
  <c r="L40" i="10" s="1"/>
  <c r="L47" i="10" s="1"/>
  <c r="L53" i="10" s="1"/>
  <c r="M28" i="10"/>
  <c r="W5" i="11"/>
  <c r="V47" i="11"/>
  <c r="L62" i="1" s="1"/>
  <c r="L36" i="4" s="1"/>
  <c r="V48" i="11"/>
  <c r="K46" i="4"/>
  <c r="I36" i="22"/>
  <c r="AC46" i="22"/>
  <c r="AX46" i="22"/>
  <c r="H49" i="22"/>
  <c r="AC36" i="22"/>
  <c r="AX36" i="22"/>
  <c r="AB49" i="22"/>
  <c r="AW49" i="22"/>
  <c r="AA25" i="22"/>
  <c r="AV25" i="22"/>
  <c r="AA26" i="22"/>
  <c r="AV26" i="22"/>
  <c r="U62" i="24"/>
  <c r="K104" i="1"/>
  <c r="K43" i="14" s="1"/>
  <c r="T16" i="25"/>
  <c r="T8" i="25"/>
  <c r="J53" i="14"/>
  <c r="J46" i="14"/>
  <c r="J77" i="1" s="1"/>
  <c r="J26" i="4" s="1"/>
  <c r="J23" i="14"/>
  <c r="J24" i="14" s="1"/>
  <c r="J26" i="14" s="1"/>
  <c r="J101" i="1" s="1"/>
  <c r="J68" i="7" s="1"/>
  <c r="J70" i="7" s="1"/>
  <c r="J54" i="14"/>
  <c r="I25" i="4"/>
  <c r="G25" i="22" s="1"/>
  <c r="G26" i="22"/>
  <c r="E50" i="4"/>
  <c r="E51" i="4"/>
  <c r="G33" i="4"/>
  <c r="E27" i="22"/>
  <c r="Z5" i="22"/>
  <c r="AU5" i="22"/>
  <c r="J73" i="7"/>
  <c r="I82" i="1"/>
  <c r="I5" i="4" s="1"/>
  <c r="J72" i="7"/>
  <c r="H27" i="4"/>
  <c r="F5" i="22"/>
  <c r="F169" i="11"/>
  <c r="F170" i="11"/>
  <c r="F173" i="11"/>
  <c r="F163" i="11"/>
  <c r="F182" i="11"/>
  <c r="F179" i="11"/>
  <c r="F164" i="11"/>
  <c r="F175" i="11"/>
  <c r="F181" i="11"/>
  <c r="F171" i="11"/>
  <c r="F178" i="11"/>
  <c r="F166" i="11"/>
  <c r="F160" i="11"/>
  <c r="F157" i="11"/>
  <c r="F152" i="11"/>
  <c r="F150" i="11"/>
  <c r="F177" i="11"/>
  <c r="F155" i="11"/>
  <c r="F162" i="11"/>
  <c r="F180" i="11"/>
  <c r="F167" i="11"/>
  <c r="F161" i="11"/>
  <c r="F158" i="11"/>
  <c r="F156" i="11"/>
  <c r="F151" i="11"/>
  <c r="F172" i="11"/>
  <c r="F154" i="11"/>
  <c r="F148" i="11"/>
  <c r="F184" i="11" s="1"/>
  <c r="F47" i="4" s="1"/>
  <c r="D47" i="22" s="1"/>
  <c r="F168" i="11"/>
  <c r="F165" i="11"/>
  <c r="F159" i="11"/>
  <c r="F153" i="11"/>
  <c r="F149" i="11"/>
  <c r="F176" i="11"/>
  <c r="F185" i="11"/>
  <c r="F187" i="11" s="1"/>
  <c r="D33" i="22"/>
  <c r="F174" i="11"/>
  <c r="F4" i="8"/>
  <c r="F10" i="8" s="1"/>
  <c r="F11" i="8" s="1"/>
  <c r="F86" i="1" s="1"/>
  <c r="F35" i="4" s="1"/>
  <c r="F38" i="4" s="1"/>
  <c r="Y27" i="22"/>
  <c r="AT27" i="22"/>
  <c r="R13" i="25"/>
  <c r="R18" i="25" s="1"/>
  <c r="S6" i="25"/>
  <c r="S11" i="25" s="1"/>
  <c r="AA49" i="22"/>
  <c r="AV49" i="22"/>
  <c r="N186" i="11"/>
  <c r="N52" i="10"/>
  <c r="M106" i="1"/>
  <c r="M45" i="14" s="1"/>
  <c r="M48" i="14" s="1"/>
  <c r="M52" i="14" s="1"/>
  <c r="V12" i="25"/>
  <c r="M186" i="11"/>
  <c r="M52" i="10"/>
  <c r="D52" i="4"/>
  <c r="D53" i="4" s="1"/>
  <c r="AE9" i="22" l="1"/>
  <c r="AZ9" i="22"/>
  <c r="AE8" i="22"/>
  <c r="AZ8" i="22"/>
  <c r="AG11" i="22"/>
  <c r="BB11" i="22"/>
  <c r="Q70" i="18"/>
  <c r="Q84" i="18" s="1"/>
  <c r="I70" i="18"/>
  <c r="I84" i="18" s="1"/>
  <c r="Q83" i="18"/>
  <c r="N14" i="1" s="1"/>
  <c r="N10" i="4" s="1"/>
  <c r="L10" i="22" s="1"/>
  <c r="Q76" i="18"/>
  <c r="N17" i="1" s="1"/>
  <c r="N41" i="4" s="1"/>
  <c r="L41" i="22" s="1"/>
  <c r="N12" i="1"/>
  <c r="N9" i="4" s="1"/>
  <c r="I76" i="18"/>
  <c r="F17" i="1" s="1"/>
  <c r="F41" i="4" s="1"/>
  <c r="D41" i="22" s="1"/>
  <c r="AF11" i="22"/>
  <c r="BA11" i="22"/>
  <c r="O76" i="18"/>
  <c r="L17" i="1" s="1"/>
  <c r="L41" i="4" s="1"/>
  <c r="J41" i="22" s="1"/>
  <c r="M76" i="18"/>
  <c r="J17" i="1" s="1"/>
  <c r="J41" i="4" s="1"/>
  <c r="H41" i="22" s="1"/>
  <c r="J76" i="18"/>
  <c r="G17" i="1" s="1"/>
  <c r="G41" i="4" s="1"/>
  <c r="E41" i="22" s="1"/>
  <c r="N76" i="18"/>
  <c r="K17" i="1" s="1"/>
  <c r="K41" i="4" s="1"/>
  <c r="I41" i="22" s="1"/>
  <c r="L76" i="18"/>
  <c r="I17" i="1" s="1"/>
  <c r="I41" i="4" s="1"/>
  <c r="G41" i="22" s="1"/>
  <c r="K76" i="18"/>
  <c r="H17" i="1" s="1"/>
  <c r="H41" i="4" s="1"/>
  <c r="F41" i="22" s="1"/>
  <c r="P76" i="18"/>
  <c r="M17" i="1" s="1"/>
  <c r="M41" i="4" s="1"/>
  <c r="K41" i="22" s="1"/>
  <c r="M12" i="1"/>
  <c r="M9" i="4" s="1"/>
  <c r="O70" i="18"/>
  <c r="O84" i="18" s="1"/>
  <c r="M70" i="18"/>
  <c r="M84" i="18" s="1"/>
  <c r="K70" i="18"/>
  <c r="K84" i="18" s="1"/>
  <c r="N70" i="18"/>
  <c r="N84" i="18" s="1"/>
  <c r="J70" i="18"/>
  <c r="J84" i="18" s="1"/>
  <c r="L70" i="18"/>
  <c r="L84" i="18" s="1"/>
  <c r="P83" i="18"/>
  <c r="M14" i="1" s="1"/>
  <c r="M10" i="4" s="1"/>
  <c r="K10" i="22" s="1"/>
  <c r="P70" i="18"/>
  <c r="P84" i="18" s="1"/>
  <c r="M29" i="10"/>
  <c r="M40" i="10" s="1"/>
  <c r="M47" i="10" s="1"/>
  <c r="M53" i="10" s="1"/>
  <c r="N28" i="10"/>
  <c r="N29" i="10" s="1"/>
  <c r="N40" i="10" s="1"/>
  <c r="N47" i="10" s="1"/>
  <c r="N53" i="10" s="1"/>
  <c r="X5" i="11"/>
  <c r="W47" i="11"/>
  <c r="M62" i="1" s="1"/>
  <c r="M36" i="4" s="1"/>
  <c r="W48" i="11"/>
  <c r="L46" i="4"/>
  <c r="J46" i="22" s="1"/>
  <c r="L49" i="4"/>
  <c r="J36" i="22"/>
  <c r="AD36" i="22"/>
  <c r="AY36" i="22"/>
  <c r="AC49" i="22"/>
  <c r="AX49" i="22"/>
  <c r="V62" i="24"/>
  <c r="L104" i="1"/>
  <c r="L43" i="14" s="1"/>
  <c r="U16" i="25"/>
  <c r="U8" i="25"/>
  <c r="K53" i="14"/>
  <c r="K46" i="14"/>
  <c r="K77" i="1" s="1"/>
  <c r="K26" i="4" s="1"/>
  <c r="K23" i="14"/>
  <c r="K24" i="14" s="1"/>
  <c r="K26" i="14" s="1"/>
  <c r="K101" i="1" s="1"/>
  <c r="K68" i="7" s="1"/>
  <c r="K70" i="7" s="1"/>
  <c r="K54" i="14"/>
  <c r="J25" i="4"/>
  <c r="H25" i="22" s="1"/>
  <c r="H26" i="22"/>
  <c r="AB25" i="22"/>
  <c r="AW25" i="22"/>
  <c r="AB26" i="22"/>
  <c r="AW26" i="22"/>
  <c r="G164" i="11"/>
  <c r="G154" i="11"/>
  <c r="G162" i="11"/>
  <c r="G176" i="11"/>
  <c r="G173" i="11"/>
  <c r="G168" i="11"/>
  <c r="G167" i="11"/>
  <c r="G166" i="11"/>
  <c r="G161" i="11"/>
  <c r="G160" i="11"/>
  <c r="G159" i="11"/>
  <c r="G158" i="11"/>
  <c r="G157" i="11"/>
  <c r="G156" i="11"/>
  <c r="G163" i="11"/>
  <c r="G152" i="11"/>
  <c r="G151" i="11"/>
  <c r="G150" i="11"/>
  <c r="G149" i="11"/>
  <c r="G179" i="11"/>
  <c r="G148" i="11"/>
  <c r="G182" i="11"/>
  <c r="G165" i="11"/>
  <c r="G180" i="11"/>
  <c r="G172" i="11"/>
  <c r="G155" i="11"/>
  <c r="G170" i="11"/>
  <c r="G153" i="11"/>
  <c r="G175" i="11"/>
  <c r="G169" i="11"/>
  <c r="G181" i="11"/>
  <c r="G171" i="11"/>
  <c r="G177" i="11"/>
  <c r="G178" i="11"/>
  <c r="G4" i="8"/>
  <c r="G10" i="8" s="1"/>
  <c r="G11" i="8" s="1"/>
  <c r="G86" i="1" s="1"/>
  <c r="G35" i="4" s="1"/>
  <c r="G38" i="4" s="1"/>
  <c r="G185" i="11"/>
  <c r="G187" i="11" s="1"/>
  <c r="G174" i="11"/>
  <c r="E33" i="22"/>
  <c r="Z27" i="22"/>
  <c r="AU27" i="22"/>
  <c r="K72" i="7"/>
  <c r="J82" i="1"/>
  <c r="J5" i="4" s="1"/>
  <c r="K73" i="7"/>
  <c r="I27" i="4"/>
  <c r="G5" i="22"/>
  <c r="H33" i="4"/>
  <c r="F27" i="22"/>
  <c r="AA5" i="22"/>
  <c r="AV5" i="22"/>
  <c r="AT47" i="22"/>
  <c r="Y47" i="22"/>
  <c r="D38" i="22"/>
  <c r="Y33" i="22"/>
  <c r="AT33" i="22"/>
  <c r="F39" i="4"/>
  <c r="D35" i="22"/>
  <c r="S13" i="25"/>
  <c r="S18" i="25" s="1"/>
  <c r="T6" i="25"/>
  <c r="T11" i="25" s="1"/>
  <c r="E52" i="4"/>
  <c r="E53" i="4" s="1"/>
  <c r="I46" i="22"/>
  <c r="K49" i="4"/>
  <c r="N16" i="1" l="1"/>
  <c r="N40" i="4" s="1"/>
  <c r="L40" i="22" s="1"/>
  <c r="Q85" i="18"/>
  <c r="F16" i="1"/>
  <c r="F40" i="4" s="1"/>
  <c r="F44" i="4" s="1"/>
  <c r="I85" i="18"/>
  <c r="F15" i="1" s="1"/>
  <c r="AG10" i="22"/>
  <c r="BB10" i="22"/>
  <c r="AG41" i="22"/>
  <c r="BB41" i="22"/>
  <c r="L9" i="22"/>
  <c r="N8" i="4"/>
  <c r="L8" i="22" s="1"/>
  <c r="AT41" i="22"/>
  <c r="Y41" i="22"/>
  <c r="AZ41" i="22"/>
  <c r="AE41" i="22"/>
  <c r="AC41" i="22"/>
  <c r="AX41" i="22"/>
  <c r="AU41" i="22"/>
  <c r="Z41" i="22"/>
  <c r="AY41" i="22"/>
  <c r="AD41" i="22"/>
  <c r="AB41" i="22"/>
  <c r="AW41" i="22"/>
  <c r="AV41" i="22"/>
  <c r="AA41" i="22"/>
  <c r="AF41" i="22"/>
  <c r="BA41" i="22"/>
  <c r="K9" i="22"/>
  <c r="M8" i="4"/>
  <c r="K8" i="22" s="1"/>
  <c r="L16" i="1"/>
  <c r="L40" i="4" s="1"/>
  <c r="J40" i="22" s="1"/>
  <c r="O85" i="18"/>
  <c r="M85" i="18"/>
  <c r="J16" i="1"/>
  <c r="J40" i="4" s="1"/>
  <c r="H40" i="22" s="1"/>
  <c r="H16" i="1"/>
  <c r="H40" i="4" s="1"/>
  <c r="F40" i="22" s="1"/>
  <c r="K85" i="18"/>
  <c r="H15" i="1" s="1"/>
  <c r="N85" i="18"/>
  <c r="K16" i="1"/>
  <c r="K40" i="4" s="1"/>
  <c r="I40" i="22" s="1"/>
  <c r="J85" i="18"/>
  <c r="G16" i="1"/>
  <c r="G40" i="4" s="1"/>
  <c r="L85" i="18"/>
  <c r="I15" i="1" s="1"/>
  <c r="I16" i="1"/>
  <c r="I40" i="4" s="1"/>
  <c r="G40" i="22" s="1"/>
  <c r="AF10" i="22"/>
  <c r="BA10" i="22"/>
  <c r="P85" i="18"/>
  <c r="M16" i="1"/>
  <c r="M40" i="4" s="1"/>
  <c r="K40" i="22" s="1"/>
  <c r="X47" i="11"/>
  <c r="N62" i="1" s="1"/>
  <c r="N36" i="4" s="1"/>
  <c r="X48" i="11"/>
  <c r="M46" i="4"/>
  <c r="K46" i="22" s="1"/>
  <c r="M49" i="4"/>
  <c r="K36" i="22"/>
  <c r="AE46" i="22"/>
  <c r="AZ46" i="22"/>
  <c r="J49" i="22"/>
  <c r="AE36" i="22"/>
  <c r="AZ36" i="22"/>
  <c r="W62" i="24"/>
  <c r="M104" i="1"/>
  <c r="M43" i="14" s="1"/>
  <c r="V16" i="25"/>
  <c r="V8" i="25"/>
  <c r="L53" i="14"/>
  <c r="L46" i="14"/>
  <c r="L77" i="1" s="1"/>
  <c r="L26" i="4" s="1"/>
  <c r="L23" i="14"/>
  <c r="L24" i="14" s="1"/>
  <c r="L26" i="14" s="1"/>
  <c r="L101" i="1" s="1"/>
  <c r="L68" i="7" s="1"/>
  <c r="L70" i="7" s="1"/>
  <c r="L54" i="14"/>
  <c r="K25" i="4"/>
  <c r="I25" i="22" s="1"/>
  <c r="I26" i="22"/>
  <c r="AC25" i="22"/>
  <c r="AX25" i="22"/>
  <c r="AC26" i="22"/>
  <c r="AX26" i="22"/>
  <c r="E38" i="22"/>
  <c r="G39" i="4"/>
  <c r="E35" i="22"/>
  <c r="Z33" i="22"/>
  <c r="AU33" i="22"/>
  <c r="J27" i="4"/>
  <c r="H5" i="22"/>
  <c r="K82" i="1"/>
  <c r="K5" i="4" s="1"/>
  <c r="L73" i="7"/>
  <c r="L72" i="7"/>
  <c r="I33" i="4"/>
  <c r="G27" i="22"/>
  <c r="AB5" i="22"/>
  <c r="AW5" i="22"/>
  <c r="H175" i="11"/>
  <c r="H148" i="11"/>
  <c r="H182" i="11"/>
  <c r="H168" i="11"/>
  <c r="H166" i="11"/>
  <c r="H155" i="11"/>
  <c r="H154" i="11"/>
  <c r="H176" i="11"/>
  <c r="H162" i="11"/>
  <c r="H163" i="11"/>
  <c r="H173" i="11"/>
  <c r="H179" i="11"/>
  <c r="H167" i="11"/>
  <c r="H165" i="11"/>
  <c r="H161" i="11"/>
  <c r="H160" i="11"/>
  <c r="H159" i="11"/>
  <c r="H158" i="11"/>
  <c r="H157" i="11"/>
  <c r="H156" i="11"/>
  <c r="H153" i="11"/>
  <c r="H152" i="11"/>
  <c r="H151" i="11"/>
  <c r="H150" i="11"/>
  <c r="H180" i="11"/>
  <c r="H172" i="11"/>
  <c r="H149" i="11"/>
  <c r="H178" i="11"/>
  <c r="H177" i="11"/>
  <c r="H170" i="11"/>
  <c r="H169" i="11"/>
  <c r="H171" i="11"/>
  <c r="H164" i="11"/>
  <c r="H181" i="11"/>
  <c r="H4" i="8"/>
  <c r="H10" i="8" s="1"/>
  <c r="H11" i="8" s="1"/>
  <c r="H86" i="1" s="1"/>
  <c r="H35" i="4" s="1"/>
  <c r="H38" i="4" s="1"/>
  <c r="F33" i="22"/>
  <c r="H174" i="11"/>
  <c r="H185" i="11"/>
  <c r="H187" i="11" s="1"/>
  <c r="AA27" i="22"/>
  <c r="AV27" i="22"/>
  <c r="Y38" i="22"/>
  <c r="AT38" i="22"/>
  <c r="D39" i="22"/>
  <c r="Y35" i="22"/>
  <c r="AT35" i="22"/>
  <c r="T13" i="25"/>
  <c r="T18" i="25" s="1"/>
  <c r="U6" i="25"/>
  <c r="U11" i="25" s="1"/>
  <c r="AY46" i="22"/>
  <c r="AD46" i="22"/>
  <c r="I49" i="22"/>
  <c r="G184" i="11"/>
  <c r="G47" i="4" s="1"/>
  <c r="E47" i="22" s="1"/>
  <c r="AG40" i="22" l="1"/>
  <c r="BB40" i="22"/>
  <c r="N15" i="1"/>
  <c r="Q86" i="18"/>
  <c r="D40" i="22"/>
  <c r="AG9" i="22"/>
  <c r="BB9" i="22"/>
  <c r="AG8" i="22"/>
  <c r="BB8" i="22"/>
  <c r="AF9" i="22"/>
  <c r="BA9" i="22"/>
  <c r="AF8" i="22"/>
  <c r="BA8" i="22"/>
  <c r="AE40" i="22"/>
  <c r="AZ40" i="22"/>
  <c r="L15" i="1"/>
  <c r="O86" i="18"/>
  <c r="M86" i="18"/>
  <c r="J15" i="1"/>
  <c r="AC40" i="22"/>
  <c r="AX40" i="22"/>
  <c r="AA40" i="22"/>
  <c r="AV40" i="22"/>
  <c r="N86" i="18"/>
  <c r="K15" i="1"/>
  <c r="AD40" i="22"/>
  <c r="AY40" i="22"/>
  <c r="N87" i="18"/>
  <c r="P87" i="18"/>
  <c r="Q87" i="18"/>
  <c r="M87" i="18"/>
  <c r="O87" i="18"/>
  <c r="G15" i="1"/>
  <c r="AB40" i="22"/>
  <c r="AW40" i="22"/>
  <c r="P86" i="18"/>
  <c r="M15" i="1"/>
  <c r="AF40" i="22"/>
  <c r="BA40" i="22"/>
  <c r="N46" i="4"/>
  <c r="L36" i="22"/>
  <c r="AF46" i="22"/>
  <c r="BA46" i="22"/>
  <c r="K49" i="22"/>
  <c r="AF36" i="22"/>
  <c r="BA36" i="22"/>
  <c r="AE49" i="22"/>
  <c r="AZ49" i="22"/>
  <c r="N104" i="1"/>
  <c r="N43" i="14" s="1"/>
  <c r="W16" i="25"/>
  <c r="W8" i="25"/>
  <c r="M53" i="14"/>
  <c r="M46" i="14"/>
  <c r="M77" i="1" s="1"/>
  <c r="M26" i="4" s="1"/>
  <c r="M23" i="14"/>
  <c r="M24" i="14" s="1"/>
  <c r="M26" i="14" s="1"/>
  <c r="M101" i="1" s="1"/>
  <c r="M68" i="7" s="1"/>
  <c r="M70" i="7" s="1"/>
  <c r="M73" i="7" s="1"/>
  <c r="M54" i="14"/>
  <c r="L25" i="4"/>
  <c r="J25" i="22" s="1"/>
  <c r="J26" i="22"/>
  <c r="AD25" i="22"/>
  <c r="AY25" i="22"/>
  <c r="AD26" i="22"/>
  <c r="AY26" i="22"/>
  <c r="Z38" i="22"/>
  <c r="AU38" i="22"/>
  <c r="G44" i="4"/>
  <c r="E39" i="22"/>
  <c r="Z35" i="22"/>
  <c r="AU35" i="22"/>
  <c r="J33" i="4"/>
  <c r="H27" i="22"/>
  <c r="AC5" i="22"/>
  <c r="AX5" i="22"/>
  <c r="K27" i="4"/>
  <c r="I5" i="22"/>
  <c r="M72" i="7"/>
  <c r="L82" i="1"/>
  <c r="L5" i="4" s="1"/>
  <c r="I171" i="11"/>
  <c r="I163" i="11"/>
  <c r="I173" i="11"/>
  <c r="I154" i="11"/>
  <c r="I176" i="11"/>
  <c r="I162" i="11"/>
  <c r="I182" i="11"/>
  <c r="I179" i="11"/>
  <c r="I170" i="11"/>
  <c r="I148" i="11"/>
  <c r="I165" i="11"/>
  <c r="I178" i="11"/>
  <c r="I150" i="11"/>
  <c r="I149" i="11"/>
  <c r="I172" i="11"/>
  <c r="I180" i="11"/>
  <c r="I177" i="11"/>
  <c r="I155" i="11"/>
  <c r="I169" i="11"/>
  <c r="I181" i="11"/>
  <c r="I164" i="11"/>
  <c r="I175" i="11"/>
  <c r="I160" i="11"/>
  <c r="I153" i="11"/>
  <c r="I166" i="11"/>
  <c r="I158" i="11"/>
  <c r="I152" i="11"/>
  <c r="I167" i="11"/>
  <c r="I168" i="11"/>
  <c r="I161" i="11"/>
  <c r="I159" i="11"/>
  <c r="I157" i="11"/>
  <c r="I156" i="11"/>
  <c r="I151" i="11"/>
  <c r="I4" i="8"/>
  <c r="I10" i="8" s="1"/>
  <c r="I11" i="8" s="1"/>
  <c r="I86" i="1" s="1"/>
  <c r="I35" i="4" s="1"/>
  <c r="I38" i="4" s="1"/>
  <c r="I174" i="11"/>
  <c r="I185" i="11"/>
  <c r="I187" i="11" s="1"/>
  <c r="G33" i="22"/>
  <c r="AB27" i="22"/>
  <c r="AW27" i="22"/>
  <c r="F38" i="22"/>
  <c r="H39" i="4"/>
  <c r="F35" i="22"/>
  <c r="AA33" i="22"/>
  <c r="AV33" i="22"/>
  <c r="F21" i="7"/>
  <c r="F5" i="8"/>
  <c r="F15" i="8" s="1"/>
  <c r="F87" i="1" s="1"/>
  <c r="F45" i="4" s="1"/>
  <c r="F51" i="4" s="1"/>
  <c r="D51" i="22" s="1"/>
  <c r="D44" i="22"/>
  <c r="Y39" i="22"/>
  <c r="AT39" i="22"/>
  <c r="U13" i="25"/>
  <c r="U18" i="25" s="1"/>
  <c r="V6" i="25"/>
  <c r="V11" i="25" s="1"/>
  <c r="AD49" i="22"/>
  <c r="AY49" i="22"/>
  <c r="AU47" i="22"/>
  <c r="Z47" i="22"/>
  <c r="H184" i="11"/>
  <c r="H47" i="4" s="1"/>
  <c r="F47" i="22" s="1"/>
  <c r="E40" i="22"/>
  <c r="AT51" i="22" l="1"/>
  <c r="Y51" i="22"/>
  <c r="Y40" i="22"/>
  <c r="AT40" i="22"/>
  <c r="AG36" i="22"/>
  <c r="BB36" i="22"/>
  <c r="AF49" i="22"/>
  <c r="BA49" i="22"/>
  <c r="N53" i="14"/>
  <c r="N46" i="14"/>
  <c r="N77" i="1" s="1"/>
  <c r="N26" i="4" s="1"/>
  <c r="N23" i="14"/>
  <c r="N24" i="14" s="1"/>
  <c r="N26" i="14" s="1"/>
  <c r="N101" i="1" s="1"/>
  <c r="N68" i="7" s="1"/>
  <c r="N70" i="7" s="1"/>
  <c r="N54" i="14"/>
  <c r="K26" i="22"/>
  <c r="M25" i="4"/>
  <c r="K25" i="22" s="1"/>
  <c r="AE25" i="22"/>
  <c r="AZ25" i="22"/>
  <c r="AE26" i="22"/>
  <c r="AZ26" i="22"/>
  <c r="G21" i="7"/>
  <c r="G5" i="8"/>
  <c r="G15" i="8" s="1"/>
  <c r="G87" i="1" s="1"/>
  <c r="G45" i="4" s="1"/>
  <c r="E44" i="22"/>
  <c r="Z39" i="22"/>
  <c r="AU39" i="22"/>
  <c r="J164" i="11"/>
  <c r="J175" i="11"/>
  <c r="J148" i="11"/>
  <c r="J182" i="11"/>
  <c r="J179" i="11"/>
  <c r="J168" i="11"/>
  <c r="J167" i="11"/>
  <c r="J166" i="11"/>
  <c r="J161" i="11"/>
  <c r="J160" i="11"/>
  <c r="J159" i="11"/>
  <c r="J158" i="11"/>
  <c r="J157" i="11"/>
  <c r="J156" i="11"/>
  <c r="J153" i="11"/>
  <c r="J152" i="11"/>
  <c r="J151" i="11"/>
  <c r="J150" i="11"/>
  <c r="J165" i="11"/>
  <c r="J180" i="11"/>
  <c r="J172" i="11"/>
  <c r="J149" i="11"/>
  <c r="J178" i="11"/>
  <c r="J177" i="11"/>
  <c r="J155" i="11"/>
  <c r="J176" i="11"/>
  <c r="J154" i="11"/>
  <c r="J170" i="11"/>
  <c r="J173" i="11"/>
  <c r="J169" i="11"/>
  <c r="J163" i="11"/>
  <c r="J162" i="11"/>
  <c r="J181" i="11"/>
  <c r="J171" i="11"/>
  <c r="J185" i="11"/>
  <c r="J187" i="11" s="1"/>
  <c r="H33" i="22"/>
  <c r="J174" i="11"/>
  <c r="J4" i="8"/>
  <c r="J10" i="8" s="1"/>
  <c r="J11" i="8" s="1"/>
  <c r="J86" i="1" s="1"/>
  <c r="J35" i="4" s="1"/>
  <c r="J38" i="4" s="1"/>
  <c r="AC27" i="22"/>
  <c r="AX27" i="22"/>
  <c r="K33" i="4"/>
  <c r="I27" i="22"/>
  <c r="AD5" i="22"/>
  <c r="AY5" i="22"/>
  <c r="M82" i="1"/>
  <c r="M5" i="4" s="1"/>
  <c r="N73" i="7"/>
  <c r="N82" i="1" s="1"/>
  <c r="N5" i="4" s="1"/>
  <c r="N72" i="7"/>
  <c r="L27" i="4"/>
  <c r="J5" i="22"/>
  <c r="G38" i="22"/>
  <c r="I39" i="4"/>
  <c r="G35" i="22"/>
  <c r="AB33" i="22"/>
  <c r="AW33" i="22"/>
  <c r="AA38" i="22"/>
  <c r="AV38" i="22"/>
  <c r="H44" i="4"/>
  <c r="F39" i="22"/>
  <c r="AA35" i="22"/>
  <c r="AV35" i="22"/>
  <c r="F50" i="4"/>
  <c r="D45" i="22"/>
  <c r="Y44" i="22"/>
  <c r="AT44" i="22"/>
  <c r="V13" i="25"/>
  <c r="V18" i="25" s="1"/>
  <c r="W6" i="25"/>
  <c r="W11" i="25" s="1"/>
  <c r="W13" i="25" s="1"/>
  <c r="W18" i="25" s="1"/>
  <c r="AV47" i="22"/>
  <c r="AA47" i="22"/>
  <c r="AU40" i="22"/>
  <c r="Z40" i="22"/>
  <c r="I184" i="11"/>
  <c r="I47" i="4" s="1"/>
  <c r="G47" i="22" s="1"/>
  <c r="L46" i="22"/>
  <c r="N49" i="4"/>
  <c r="L26" i="22" l="1"/>
  <c r="N25" i="4"/>
  <c r="L25" i="22" s="1"/>
  <c r="AF26" i="22"/>
  <c r="BA26" i="22"/>
  <c r="AF25" i="22"/>
  <c r="BA25" i="22"/>
  <c r="G51" i="4"/>
  <c r="G50" i="4"/>
  <c r="E45" i="22"/>
  <c r="Z44" i="22"/>
  <c r="AU44" i="22"/>
  <c r="H38" i="22"/>
  <c r="C11" i="2"/>
  <c r="AC33" i="22"/>
  <c r="AX33" i="22"/>
  <c r="J39" i="4"/>
  <c r="H35" i="22"/>
  <c r="K162" i="11"/>
  <c r="K176" i="11"/>
  <c r="K161" i="11"/>
  <c r="K160" i="11"/>
  <c r="K159" i="11"/>
  <c r="K158" i="11"/>
  <c r="K157" i="11"/>
  <c r="K156" i="11"/>
  <c r="K153" i="11"/>
  <c r="K152" i="11"/>
  <c r="K151" i="11"/>
  <c r="K150" i="11"/>
  <c r="K148" i="11"/>
  <c r="K166" i="11"/>
  <c r="K165" i="11"/>
  <c r="K155" i="11"/>
  <c r="K170" i="11"/>
  <c r="K177" i="11"/>
  <c r="K154" i="11"/>
  <c r="K168" i="11"/>
  <c r="K167" i="11"/>
  <c r="K179" i="11"/>
  <c r="K182" i="11"/>
  <c r="K149" i="11"/>
  <c r="K173" i="11"/>
  <c r="K163" i="11"/>
  <c r="K172" i="11"/>
  <c r="K178" i="11"/>
  <c r="K180" i="11"/>
  <c r="K171" i="11"/>
  <c r="K169" i="11"/>
  <c r="K175" i="11"/>
  <c r="K181" i="11"/>
  <c r="K164" i="11"/>
  <c r="K174" i="11"/>
  <c r="I33" i="22"/>
  <c r="K185" i="11"/>
  <c r="K187" i="11" s="1"/>
  <c r="K4" i="8"/>
  <c r="K10" i="8" s="1"/>
  <c r="K11" i="8" s="1"/>
  <c r="K86" i="1" s="1"/>
  <c r="K35" i="4" s="1"/>
  <c r="K38" i="4" s="1"/>
  <c r="AD27" i="22"/>
  <c r="AY27" i="22"/>
  <c r="M27" i="4"/>
  <c r="K5" i="22"/>
  <c r="N27" i="4"/>
  <c r="L5" i="22"/>
  <c r="L33" i="4"/>
  <c r="J27" i="22"/>
  <c r="AE5" i="22"/>
  <c r="AZ5" i="22"/>
  <c r="AB38" i="22"/>
  <c r="AW38" i="22"/>
  <c r="I44" i="4"/>
  <c r="G39" i="22"/>
  <c r="AB35" i="22"/>
  <c r="AW35" i="22"/>
  <c r="H21" i="7"/>
  <c r="H5" i="8"/>
  <c r="H15" i="8" s="1"/>
  <c r="H87" i="1" s="1"/>
  <c r="H45" i="4" s="1"/>
  <c r="F44" i="22"/>
  <c r="AA39" i="22"/>
  <c r="AV39" i="22"/>
  <c r="D50" i="22"/>
  <c r="F52" i="4"/>
  <c r="Y45" i="22"/>
  <c r="AT45" i="22"/>
  <c r="AW47" i="22"/>
  <c r="AB47" i="22"/>
  <c r="BB46" i="22"/>
  <c r="AG46" i="22"/>
  <c r="L49" i="22"/>
  <c r="J184" i="11"/>
  <c r="J47" i="4" s="1"/>
  <c r="H47" i="22" s="1"/>
  <c r="BB26" i="22" l="1"/>
  <c r="AG26" i="22"/>
  <c r="BB25" i="22"/>
  <c r="AG25" i="22"/>
  <c r="E51" i="22"/>
  <c r="E3" i="2"/>
  <c r="E50" i="22"/>
  <c r="G52" i="4"/>
  <c r="Z45" i="22"/>
  <c r="AU45" i="22"/>
  <c r="AC38" i="22"/>
  <c r="AX38" i="22"/>
  <c r="C12" i="2"/>
  <c r="C13" i="2"/>
  <c r="C14" i="2"/>
  <c r="C17" i="2"/>
  <c r="J44" i="4"/>
  <c r="H39" i="22"/>
  <c r="J11" i="2"/>
  <c r="AC35" i="22"/>
  <c r="AX35" i="22"/>
  <c r="I38" i="22"/>
  <c r="D11" i="2"/>
  <c r="AD33" i="22"/>
  <c r="AY33" i="22"/>
  <c r="K39" i="4"/>
  <c r="I35" i="22"/>
  <c r="M33" i="4"/>
  <c r="K27" i="22"/>
  <c r="AF5" i="22"/>
  <c r="BA5" i="22"/>
  <c r="N33" i="4"/>
  <c r="L27" i="22"/>
  <c r="AG5" i="22"/>
  <c r="BB5" i="22"/>
  <c r="L162" i="11"/>
  <c r="L154" i="11"/>
  <c r="L176" i="11"/>
  <c r="L168" i="11"/>
  <c r="L167" i="11"/>
  <c r="L166" i="11"/>
  <c r="L163" i="11"/>
  <c r="L170" i="11"/>
  <c r="L173" i="11"/>
  <c r="L169" i="11"/>
  <c r="L181" i="11"/>
  <c r="L164" i="11"/>
  <c r="L171" i="11"/>
  <c r="L175" i="11"/>
  <c r="L161" i="11"/>
  <c r="L159" i="11"/>
  <c r="L156" i="11"/>
  <c r="L152" i="11"/>
  <c r="L150" i="11"/>
  <c r="L148" i="11"/>
  <c r="L182" i="11"/>
  <c r="L149" i="11"/>
  <c r="L180" i="11"/>
  <c r="L178" i="11"/>
  <c r="L177" i="11"/>
  <c r="L155" i="11"/>
  <c r="L179" i="11"/>
  <c r="L172" i="11"/>
  <c r="L160" i="11"/>
  <c r="L157" i="11"/>
  <c r="L153" i="11"/>
  <c r="L151" i="11"/>
  <c r="L165" i="11"/>
  <c r="L158" i="11"/>
  <c r="L4" i="8"/>
  <c r="L10" i="8" s="1"/>
  <c r="L11" i="8" s="1"/>
  <c r="L86" i="1" s="1"/>
  <c r="L35" i="4" s="1"/>
  <c r="L38" i="4" s="1"/>
  <c r="L174" i="11"/>
  <c r="L185" i="11"/>
  <c r="L187" i="11" s="1"/>
  <c r="J33" i="22"/>
  <c r="AE27" i="22"/>
  <c r="AZ27" i="22"/>
  <c r="I21" i="7"/>
  <c r="G44" i="22"/>
  <c r="I5" i="8"/>
  <c r="I15" i="8" s="1"/>
  <c r="I87" i="1" s="1"/>
  <c r="I45" i="4" s="1"/>
  <c r="AB39" i="22"/>
  <c r="AW39" i="22"/>
  <c r="H51" i="4"/>
  <c r="F51" i="22" s="1"/>
  <c r="H50" i="4"/>
  <c r="F45" i="22"/>
  <c r="AA44" i="22"/>
  <c r="AV44" i="22"/>
  <c r="Y50" i="22"/>
  <c r="AT50" i="22"/>
  <c r="F53" i="4"/>
  <c r="D53" i="22" s="1"/>
  <c r="D52" i="22"/>
  <c r="AG49" i="22"/>
  <c r="BB49" i="22"/>
  <c r="AX47" i="22"/>
  <c r="AC47" i="22"/>
  <c r="K184" i="11"/>
  <c r="K47" i="4" s="1"/>
  <c r="I47" i="22" s="1"/>
  <c r="Z51" i="22" l="1"/>
  <c r="AU51" i="22"/>
  <c r="Z50" i="22"/>
  <c r="AU50" i="22"/>
  <c r="G53" i="4"/>
  <c r="E52" i="22"/>
  <c r="C18" i="2"/>
  <c r="C19" i="2"/>
  <c r="C20" i="2"/>
  <c r="J21" i="7"/>
  <c r="J5" i="8"/>
  <c r="J15" i="8" s="1"/>
  <c r="J87" i="1" s="1"/>
  <c r="J45" i="4" s="1"/>
  <c r="H44" i="22"/>
  <c r="AC39" i="22"/>
  <c r="AX39" i="22"/>
  <c r="J17" i="2"/>
  <c r="AD38" i="22"/>
  <c r="AY38" i="22"/>
  <c r="D12" i="2"/>
  <c r="D13" i="2"/>
  <c r="D14" i="2"/>
  <c r="D17" i="2"/>
  <c r="K44" i="4"/>
  <c r="I39" i="22"/>
  <c r="K11" i="2"/>
  <c r="AD35" i="22"/>
  <c r="AY35" i="22"/>
  <c r="M154" i="11"/>
  <c r="M162" i="11"/>
  <c r="M176" i="11"/>
  <c r="M148" i="11"/>
  <c r="M168" i="11"/>
  <c r="M167" i="11"/>
  <c r="M166" i="11"/>
  <c r="M161" i="11"/>
  <c r="M159" i="11"/>
  <c r="M157" i="11"/>
  <c r="M153" i="11"/>
  <c r="M151" i="11"/>
  <c r="M182" i="11"/>
  <c r="M163" i="11"/>
  <c r="M170" i="11"/>
  <c r="M173" i="11"/>
  <c r="M160" i="11"/>
  <c r="M158" i="11"/>
  <c r="M156" i="11"/>
  <c r="M152" i="11"/>
  <c r="M150" i="11"/>
  <c r="M179" i="11"/>
  <c r="M165" i="11"/>
  <c r="M172" i="11"/>
  <c r="M180" i="11"/>
  <c r="M149" i="11"/>
  <c r="M178" i="11"/>
  <c r="M177" i="11"/>
  <c r="M155" i="11"/>
  <c r="M169" i="11"/>
  <c r="M175" i="11"/>
  <c r="M181" i="11"/>
  <c r="M164" i="11"/>
  <c r="M171" i="11"/>
  <c r="M4" i="8"/>
  <c r="M10" i="8" s="1"/>
  <c r="M11" i="8" s="1"/>
  <c r="M86" i="1" s="1"/>
  <c r="M35" i="4" s="1"/>
  <c r="M38" i="4" s="1"/>
  <c r="M174" i="11"/>
  <c r="M185" i="11"/>
  <c r="M187" i="11" s="1"/>
  <c r="K33" i="22"/>
  <c r="AF27" i="22"/>
  <c r="BA27" i="22"/>
  <c r="N182" i="11"/>
  <c r="N165" i="11"/>
  <c r="N180" i="11"/>
  <c r="N178" i="11"/>
  <c r="N176" i="11"/>
  <c r="N162" i="11"/>
  <c r="N154" i="11"/>
  <c r="N150" i="11"/>
  <c r="N168" i="11"/>
  <c r="N161" i="11"/>
  <c r="N158" i="11"/>
  <c r="N152" i="11"/>
  <c r="N156" i="11"/>
  <c r="N167" i="11"/>
  <c r="N160" i="11"/>
  <c r="N157" i="11"/>
  <c r="N151" i="11"/>
  <c r="N163" i="11"/>
  <c r="N170" i="11"/>
  <c r="N173" i="11"/>
  <c r="N148" i="11"/>
  <c r="N179" i="11"/>
  <c r="N172" i="11"/>
  <c r="N149" i="11"/>
  <c r="N177" i="11"/>
  <c r="N166" i="11"/>
  <c r="N159" i="11"/>
  <c r="N153" i="11"/>
  <c r="N169" i="11"/>
  <c r="N181" i="11"/>
  <c r="N171" i="11"/>
  <c r="N164" i="11"/>
  <c r="N155" i="11"/>
  <c r="N175" i="11"/>
  <c r="N38" i="4"/>
  <c r="N4" i="8"/>
  <c r="N10" i="8" s="1"/>
  <c r="N11" i="8" s="1"/>
  <c r="N86" i="1" s="1"/>
  <c r="N35" i="4" s="1"/>
  <c r="L33" i="22"/>
  <c r="N174" i="11"/>
  <c r="N185" i="11"/>
  <c r="N187" i="11" s="1"/>
  <c r="AG27" i="22"/>
  <c r="BB27" i="22"/>
  <c r="J38" i="22"/>
  <c r="E11" i="2"/>
  <c r="L39" i="4"/>
  <c r="J35" i="22"/>
  <c r="AE33" i="22"/>
  <c r="AZ33" i="22"/>
  <c r="AB44" i="22"/>
  <c r="AW44" i="22"/>
  <c r="I50" i="4"/>
  <c r="I51" i="4"/>
  <c r="G51" i="22" s="1"/>
  <c r="G45" i="22"/>
  <c r="AV51" i="22"/>
  <c r="AA51" i="22"/>
  <c r="F50" i="22"/>
  <c r="H52" i="4"/>
  <c r="AA45" i="22"/>
  <c r="AV45" i="22"/>
  <c r="Y53" i="22"/>
  <c r="AT53" i="22"/>
  <c r="Y52" i="22"/>
  <c r="AT52" i="22"/>
  <c r="AY47" i="22"/>
  <c r="AD47" i="22"/>
  <c r="L184" i="11"/>
  <c r="L47" i="4" s="1"/>
  <c r="J47" i="22" s="1"/>
  <c r="E53" i="22" l="1"/>
  <c r="L3" i="2"/>
  <c r="Z52" i="22"/>
  <c r="AU52" i="22"/>
  <c r="J50" i="4"/>
  <c r="J51" i="4"/>
  <c r="H45" i="22"/>
  <c r="AC44" i="22"/>
  <c r="AX44" i="22"/>
  <c r="D18" i="2"/>
  <c r="D19" i="2"/>
  <c r="D20" i="2"/>
  <c r="K21" i="7"/>
  <c r="K5" i="8"/>
  <c r="K15" i="8" s="1"/>
  <c r="K87" i="1" s="1"/>
  <c r="K45" i="4" s="1"/>
  <c r="I44" i="22"/>
  <c r="AD39" i="22"/>
  <c r="AY39" i="22"/>
  <c r="K13" i="2"/>
  <c r="K17" i="2"/>
  <c r="K38" i="22"/>
  <c r="F11" i="2"/>
  <c r="M39" i="4"/>
  <c r="K35" i="22"/>
  <c r="AF33" i="22"/>
  <c r="BA33" i="22"/>
  <c r="L38" i="22"/>
  <c r="G11" i="2"/>
  <c r="N39" i="4"/>
  <c r="L35" i="22"/>
  <c r="AG33" i="22"/>
  <c r="BB33" i="22"/>
  <c r="AE38" i="22"/>
  <c r="AZ38" i="22"/>
  <c r="E12" i="2"/>
  <c r="E13" i="2"/>
  <c r="E14" i="2"/>
  <c r="E17" i="2"/>
  <c r="L44" i="4"/>
  <c r="J39" i="22"/>
  <c r="L11" i="2"/>
  <c r="AE35" i="22"/>
  <c r="AZ35" i="22"/>
  <c r="G50" i="22"/>
  <c r="I52" i="4"/>
  <c r="AW51" i="22"/>
  <c r="AB51" i="22"/>
  <c r="AB45" i="22"/>
  <c r="AW45" i="22"/>
  <c r="AA50" i="22"/>
  <c r="AV50" i="22"/>
  <c r="H53" i="4"/>
  <c r="F53" i="22" s="1"/>
  <c r="F52" i="22"/>
  <c r="AE47" i="22"/>
  <c r="AZ47" i="22"/>
  <c r="N184" i="11"/>
  <c r="N47" i="4" s="1"/>
  <c r="L47" i="22" s="1"/>
  <c r="M184" i="11"/>
  <c r="M47" i="4" s="1"/>
  <c r="K47" i="22" s="1"/>
  <c r="Z53" i="22" l="1"/>
  <c r="AU53" i="22"/>
  <c r="J12" i="2"/>
  <c r="J14" i="2"/>
  <c r="J13" i="2"/>
  <c r="H50" i="22"/>
  <c r="J52" i="4"/>
  <c r="C23" i="2"/>
  <c r="H51" i="22"/>
  <c r="AC45" i="22"/>
  <c r="AX45" i="22"/>
  <c r="K50" i="4"/>
  <c r="K51" i="4"/>
  <c r="I45" i="22"/>
  <c r="AD44" i="22"/>
  <c r="AY44" i="22"/>
  <c r="K18" i="2"/>
  <c r="K19" i="2"/>
  <c r="K20" i="2"/>
  <c r="AF38" i="22"/>
  <c r="BA38" i="22"/>
  <c r="F12" i="2"/>
  <c r="F13" i="2"/>
  <c r="F14" i="2"/>
  <c r="F17" i="2"/>
  <c r="M44" i="4"/>
  <c r="K39" i="22"/>
  <c r="M11" i="2"/>
  <c r="AF35" i="22"/>
  <c r="BA35" i="22"/>
  <c r="AG38" i="22"/>
  <c r="BB38" i="22"/>
  <c r="G12" i="2"/>
  <c r="G13" i="2"/>
  <c r="G14" i="2"/>
  <c r="G17" i="2"/>
  <c r="N44" i="4"/>
  <c r="L39" i="22"/>
  <c r="N11" i="2"/>
  <c r="AG35" i="22"/>
  <c r="BB35" i="22"/>
  <c r="E18" i="2"/>
  <c r="E19" i="2"/>
  <c r="E20" i="2"/>
  <c r="L21" i="7"/>
  <c r="L5" i="8"/>
  <c r="L15" i="8" s="1"/>
  <c r="L87" i="1" s="1"/>
  <c r="L45" i="4" s="1"/>
  <c r="J44" i="22"/>
  <c r="AE39" i="22"/>
  <c r="AZ39" i="22"/>
  <c r="L12" i="2"/>
  <c r="L13" i="2"/>
  <c r="L14" i="2"/>
  <c r="L17" i="2"/>
  <c r="AB50" i="22"/>
  <c r="AW50" i="22"/>
  <c r="I53" i="4"/>
  <c r="G53" i="22" s="1"/>
  <c r="G52" i="22"/>
  <c r="AA53" i="22"/>
  <c r="AV53" i="22"/>
  <c r="AA52" i="22"/>
  <c r="AV52" i="22"/>
  <c r="BB47" i="22"/>
  <c r="AG47" i="22"/>
  <c r="BA47" i="22"/>
  <c r="AF47" i="22"/>
  <c r="J18" i="2"/>
  <c r="J19" i="2"/>
  <c r="J20" i="2"/>
  <c r="K12" i="2"/>
  <c r="K14" i="2"/>
  <c r="AC50" i="22" l="1"/>
  <c r="AX50" i="22"/>
  <c r="J53" i="4"/>
  <c r="H52" i="22"/>
  <c r="C24" i="2"/>
  <c r="C25" i="2"/>
  <c r="C26" i="2"/>
  <c r="AC51" i="22"/>
  <c r="AX51" i="22"/>
  <c r="I50" i="22"/>
  <c r="K52" i="4"/>
  <c r="D23" i="2"/>
  <c r="I51" i="22"/>
  <c r="AD45" i="22"/>
  <c r="AY45" i="22"/>
  <c r="F18" i="2"/>
  <c r="F19" i="2"/>
  <c r="F20" i="2"/>
  <c r="M21" i="7"/>
  <c r="K44" i="22"/>
  <c r="M5" i="8"/>
  <c r="M15" i="8" s="1"/>
  <c r="M87" i="1" s="1"/>
  <c r="M45" i="4" s="1"/>
  <c r="AF39" i="22"/>
  <c r="BA39" i="22"/>
  <c r="M12" i="2"/>
  <c r="M13" i="2"/>
  <c r="M14" i="2"/>
  <c r="M17" i="2"/>
  <c r="G18" i="2"/>
  <c r="G19" i="2"/>
  <c r="G20" i="2"/>
  <c r="N21" i="7"/>
  <c r="N5" i="8"/>
  <c r="N15" i="8" s="1"/>
  <c r="N87" i="1" s="1"/>
  <c r="N45" i="4" s="1"/>
  <c r="L44" i="22"/>
  <c r="AG39" i="22"/>
  <c r="BB39" i="22"/>
  <c r="N12" i="2"/>
  <c r="N13" i="2"/>
  <c r="N14" i="2"/>
  <c r="N17" i="2"/>
  <c r="L50" i="4"/>
  <c r="L51" i="4"/>
  <c r="J45" i="22"/>
  <c r="AE44" i="22"/>
  <c r="AZ44" i="22"/>
  <c r="L18" i="2"/>
  <c r="L19" i="2"/>
  <c r="L20" i="2"/>
  <c r="AB53" i="22"/>
  <c r="AW53" i="22"/>
  <c r="AB52" i="22"/>
  <c r="AW52" i="22"/>
  <c r="H53" i="22" l="1"/>
  <c r="J23" i="2"/>
  <c r="AC52" i="22"/>
  <c r="AX52" i="22"/>
  <c r="AD50" i="22"/>
  <c r="AY50" i="22"/>
  <c r="K53" i="4"/>
  <c r="I52" i="22"/>
  <c r="D24" i="2"/>
  <c r="D25" i="2"/>
  <c r="D26" i="2"/>
  <c r="AD51" i="22"/>
  <c r="AY51" i="22"/>
  <c r="AF44" i="22"/>
  <c r="BA44" i="22"/>
  <c r="M50" i="4"/>
  <c r="M51" i="4"/>
  <c r="K45" i="22"/>
  <c r="M18" i="2"/>
  <c r="M19" i="2"/>
  <c r="M20" i="2"/>
  <c r="N50" i="4"/>
  <c r="N51" i="4"/>
  <c r="L45" i="22"/>
  <c r="AG44" i="22"/>
  <c r="BB44" i="22"/>
  <c r="N18" i="2"/>
  <c r="N19" i="2"/>
  <c r="N20" i="2"/>
  <c r="J50" i="22"/>
  <c r="L52" i="4"/>
  <c r="E23" i="2"/>
  <c r="J51" i="22"/>
  <c r="AE45" i="22"/>
  <c r="AZ45" i="22"/>
  <c r="AC53" i="22" l="1"/>
  <c r="AX53" i="22"/>
  <c r="J24" i="2"/>
  <c r="J25" i="2"/>
  <c r="J26" i="2"/>
  <c r="I53" i="22"/>
  <c r="K23" i="2"/>
  <c r="AD52" i="22"/>
  <c r="AY52" i="22"/>
  <c r="K50" i="22"/>
  <c r="M52" i="4"/>
  <c r="F23" i="2"/>
  <c r="K51" i="22"/>
  <c r="AF45" i="22"/>
  <c r="BA45" i="22"/>
  <c r="L50" i="22"/>
  <c r="N52" i="4"/>
  <c r="G23" i="2"/>
  <c r="L51" i="22"/>
  <c r="AG45" i="22"/>
  <c r="BB45" i="22"/>
  <c r="AE50" i="22"/>
  <c r="AZ50" i="22"/>
  <c r="L53" i="4"/>
  <c r="J52" i="22"/>
  <c r="E24" i="2"/>
  <c r="E25" i="2"/>
  <c r="E26" i="2"/>
  <c r="AE51" i="22"/>
  <c r="AZ51" i="22"/>
  <c r="AD53" i="22" l="1"/>
  <c r="AY53" i="22"/>
  <c r="K24" i="2"/>
  <c r="K25" i="2"/>
  <c r="K26" i="2"/>
  <c r="AF50" i="22"/>
  <c r="BA50" i="22"/>
  <c r="M53" i="4"/>
  <c r="K52" i="22"/>
  <c r="F24" i="2"/>
  <c r="F25" i="2"/>
  <c r="F26" i="2"/>
  <c r="AF51" i="22"/>
  <c r="BA51" i="22"/>
  <c r="AG50" i="22"/>
  <c r="BB50" i="22"/>
  <c r="N53" i="4"/>
  <c r="L52" i="22"/>
  <c r="G24" i="2"/>
  <c r="G25" i="2"/>
  <c r="G26" i="2"/>
  <c r="AG51" i="22"/>
  <c r="BB51" i="22"/>
  <c r="J53" i="22"/>
  <c r="L23" i="2"/>
  <c r="AE52" i="22"/>
  <c r="AZ52" i="22"/>
  <c r="K53" i="22" l="1"/>
  <c r="M23" i="2"/>
  <c r="AF52" i="22"/>
  <c r="BA52" i="22"/>
  <c r="L53" i="22"/>
  <c r="N23" i="2"/>
  <c r="AG52" i="22"/>
  <c r="BB52" i="22"/>
  <c r="AE53" i="22"/>
  <c r="AZ53" i="22"/>
  <c r="L24" i="2"/>
  <c r="L25" i="2"/>
  <c r="L26" i="2"/>
  <c r="AF53" i="22" l="1"/>
  <c r="BA53" i="22"/>
  <c r="M24" i="2"/>
  <c r="M25" i="2"/>
  <c r="M26" i="2"/>
  <c r="AG53" i="22"/>
  <c r="BB53" i="22"/>
  <c r="N24" i="2"/>
  <c r="N25" i="2"/>
  <c r="N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7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9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C00-000001000000}">
      <text>
        <r>
          <rPr>
            <sz val="11"/>
            <color theme="1"/>
            <rFont val="Calibri"/>
            <family val="2"/>
            <scheme val="minor"/>
          </rPr>
          <t>Thomas_work:
7.04% for benefits and 7.48% for taxes (TM)</t>
        </r>
      </text>
    </comment>
    <comment ref="E6" authorId="0" shapeId="0" xr:uid="{00000000-0006-0000-1C00-000002000000}">
      <text>
        <r>
          <rPr>
            <sz val="11"/>
            <color theme="1"/>
            <rFont val="Calibri"/>
            <family val="2"/>
            <scheme val="minor"/>
          </rPr>
          <t xml:space="preserve">Thomas_work:
Per Charity email 2.17.26
</t>
        </r>
      </text>
    </comment>
    <comment ref="E9" authorId="0" shapeId="0" xr:uid="{00000000-0006-0000-1C00-000003000000}">
      <text>
        <r>
          <rPr>
            <sz val="11"/>
            <color theme="1"/>
            <rFont val="Calibri"/>
            <family val="2"/>
            <scheme val="minor"/>
          </rPr>
          <t>Thomas_work:
7.04% for benefits and 7.48% for taxes (TM)</t>
        </r>
      </text>
    </comment>
    <comment ref="E20" authorId="0" shapeId="0" xr:uid="{00000000-0006-0000-1C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<sst xmlns="http://schemas.openxmlformats.org/spreadsheetml/2006/main" count="3076" uniqueCount="1199">
  <si>
    <t>Year</t>
  </si>
  <si>
    <t>Period</t>
  </si>
  <si>
    <t>i/o</t>
  </si>
  <si>
    <t>field_name</t>
  </si>
  <si>
    <t>index</t>
  </si>
  <si>
    <t xml:space="preserve">cost inflation </t>
  </si>
  <si>
    <t>i</t>
  </si>
  <si>
    <t>cost_inflation_rate_actual</t>
  </si>
  <si>
    <t>Charge Back Percentage</t>
  </si>
  <si>
    <t>chargeback_pct_actual</t>
  </si>
  <si>
    <t>participation%</t>
  </si>
  <si>
    <t>participation_pct_actual</t>
  </si>
  <si>
    <t>actual thru</t>
  </si>
  <si>
    <t>actuals_thru</t>
  </si>
  <si>
    <t>projections from</t>
  </si>
  <si>
    <t>projections_from</t>
  </si>
  <si>
    <t>projections_to</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</si>
  <si>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</si>
  <si>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</si>
  <si>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</si>
  <si>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</si>
  <si>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</si>
  <si>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</si>
  <si>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</si>
  <si>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</si>
  <si>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</si>
  <si>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</si>
  <si>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</si>
  <si>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</si>
  <si>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</si>
  <si>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</si>
  <si>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</si>
  <si>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</si>
  <si>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</si>
  <si>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</si>
  <si>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</si>
  <si>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</si>
  <si>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</si>
  <si>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</si>
  <si>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</si>
  <si>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</si>
  <si>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</si>
  <si>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</si>
  <si>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</si>
  <si>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</si>
  <si>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</si>
  <si>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</si>
  <si>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</si>
  <si>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</si>
  <si>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</si>
  <si>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</si>
  <si>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</si>
  <si>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</si>
  <si>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</si>
  <si>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</si>
  <si>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</si>
  <si>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</si>
  <si>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</si>
  <si>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</si>
  <si>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</si>
  <si>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</si>
  <si>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</si>
  <si>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Advanced</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</si>
  <si>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</si>
  <si>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</si>
  <si>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</si>
  <si>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</si>
  <si>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</si>
  <si>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</si>
  <si>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</si>
  <si>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</si>
  <si>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</si>
  <si>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</si>
  <si>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</si>
  <si>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</si>
  <si>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</si>
  <si>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</si>
  <si>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</si>
  <si>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</si>
  <si>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</si>
  <si>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</si>
  <si>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</si>
  <si>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</si>
  <si>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</si>
  <si>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</si>
  <si>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</si>
  <si>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</si>
  <si>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</si>
  <si>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</si>
  <si>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</si>
  <si>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Inflation</t>
  </si>
  <si>
    <t>from lgh_manco</t>
  </si>
  <si>
    <t>Q4</t>
  </si>
  <si>
    <t>Q1</t>
  </si>
  <si>
    <t>Q2</t>
  </si>
  <si>
    <t>Q3</t>
  </si>
  <si>
    <t>Assets</t>
  </si>
  <si>
    <t>Cash</t>
  </si>
  <si>
    <t>Bermuda</t>
  </si>
  <si>
    <t>Equity</t>
  </si>
  <si>
    <t>Austin</t>
  </si>
  <si>
    <t>Preferred Equity</t>
  </si>
  <si>
    <t>Mezz Loan</t>
  </si>
  <si>
    <t>STL</t>
  </si>
  <si>
    <t>Turks</t>
  </si>
  <si>
    <t>Elbow</t>
  </si>
  <si>
    <t>Elbow Beach</t>
  </si>
  <si>
    <t>Fritholme</t>
  </si>
  <si>
    <t>[LSAT]</t>
  </si>
  <si>
    <t>[L4]</t>
  </si>
  <si>
    <t>Other</t>
  </si>
  <si>
    <t>Other Assets</t>
  </si>
  <si>
    <t>Total assets incl. Cash</t>
  </si>
  <si>
    <t>Liabilities</t>
  </si>
  <si>
    <t>LGH Debt</t>
  </si>
  <si>
    <t>Other Project Capital needs</t>
  </si>
  <si>
    <t>LGH other</t>
  </si>
  <si>
    <t>Total Liabilities</t>
  </si>
  <si>
    <t>Shareholders' Equity</t>
  </si>
  <si>
    <t>Carried Interest</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</si>
  <si>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</si>
  <si>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</si>
  <si>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</si>
  <si>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</si>
  <si>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</si>
  <si>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</si>
  <si>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</si>
  <si>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</si>
  <si>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</si>
  <si>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</si>
  <si>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</si>
  <si>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</si>
  <si>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</si>
  <si>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</si>
  <si>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</si>
  <si>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</si>
  <si>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</si>
  <si>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</si>
  <si>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</si>
  <si>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</si>
  <si>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</si>
  <si>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</si>
  <si>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</si>
  <si>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</si>
  <si>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</si>
  <si>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</si>
  <si>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</si>
  <si>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</si>
  <si>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</si>
  <si>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</si>
  <si>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</si>
  <si>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</si>
  <si>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</si>
  <si>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</si>
  <si>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</si>
  <si>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</si>
  <si>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</si>
  <si>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</si>
  <si>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</si>
  <si>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</si>
  <si>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</si>
  <si>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</si>
  <si>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Net Asset Value</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</si>
  <si>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</si>
  <si>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</si>
  <si>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</si>
  <si>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</si>
  <si>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</si>
  <si>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</si>
  <si>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</si>
  <si>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</si>
  <si>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</si>
  <si>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</si>
  <si>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</si>
  <si>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</si>
  <si>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</si>
  <si>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</si>
  <si>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chk</t>
  </si>
  <si>
    <t>Entity</t>
  </si>
  <si>
    <t>Subcategory</t>
  </si>
  <si>
    <t>lgh_oc</t>
  </si>
  <si>
    <t>Bermuda Pink Beach</t>
  </si>
  <si>
    <t>Level 1</t>
  </si>
  <si>
    <t>Austin Lady Bird Lake</t>
  </si>
  <si>
    <t>Turks &amp; Caicos</t>
  </si>
  <si>
    <t>Bermuda: Elbow Beach</t>
  </si>
  <si>
    <t>lgh_other_assets</t>
  </si>
  <si>
    <t>c12_hm_oc</t>
  </si>
  <si>
    <t>lgh_debt</t>
  </si>
  <si>
    <t>lgh_other_liabs</t>
  </si>
  <si>
    <t>lgh_ci</t>
  </si>
  <si>
    <t>lgh_pref</t>
  </si>
  <si>
    <t>cuda</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</si>
  <si>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</si>
  <si>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</si>
  <si>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</si>
  <si>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</si>
  <si>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</si>
  <si>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</si>
  <si>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</si>
  <si>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</si>
  <si>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</si>
  <si>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</si>
  <si>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</si>
  <si>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</si>
  <si>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</si>
  <si>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</si>
  <si>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</si>
  <si>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</si>
  <si>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</si>
  <si>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Bermuda PB</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</si>
  <si>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</si>
  <si>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</si>
  <si>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</si>
  <si>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</si>
  <si>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</si>
  <si>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</si>
  <si>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</si>
  <si>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</si>
  <si>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</si>
  <si>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</si>
  <si>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</si>
  <si>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</si>
  <si>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</si>
  <si>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</si>
  <si>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</si>
  <si>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</si>
  <si>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</si>
  <si>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</si>
  <si>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</si>
  <si>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</si>
  <si>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NAV</t>
  </si>
  <si>
    <t>adjusted NAV</t>
  </si>
  <si>
    <t>Common carried interest</t>
  </si>
  <si>
    <t>Additional CI Val.</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</si>
  <si>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</si>
  <si>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</si>
  <si>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</si>
  <si>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</si>
  <si>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</si>
  <si>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</si>
  <si>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</si>
  <si>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</si>
  <si>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</si>
  <si>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</si>
  <si>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</si>
  <si>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</si>
  <si>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</si>
  <si>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</si>
  <si>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</si>
  <si>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</si>
  <si>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</si>
  <si>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</si>
  <si>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</si>
  <si>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</si>
  <si>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</si>
  <si>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</si>
  <si>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</si>
  <si>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</si>
  <si>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</si>
  <si>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</si>
  <si>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</si>
  <si>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</si>
  <si>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</si>
  <si>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</si>
  <si>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</si>
  <si>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</si>
  <si>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Total</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</si>
  <si>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</si>
  <si>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</si>
  <si>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</si>
  <si>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</si>
  <si>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</si>
  <si>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</si>
  <si>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</si>
  <si>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</si>
  <si>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</si>
  <si>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</si>
  <si>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</si>
  <si>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</si>
  <si>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</si>
  <si>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</si>
  <si>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</si>
  <si>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</si>
  <si>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</si>
  <si>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</si>
  <si>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</si>
  <si>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</si>
  <si>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</si>
  <si>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</si>
  <si>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</si>
  <si>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</si>
  <si>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</si>
  <si>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</si>
  <si>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</si>
  <si>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</si>
  <si>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</si>
  <si>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</si>
  <si>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</si>
  <si>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</si>
  <si>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</si>
  <si>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</si>
  <si>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</si>
  <si>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</si>
  <si>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</si>
  <si>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</si>
  <si>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</si>
  <si>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</si>
  <si>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</si>
  <si>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</si>
  <si>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</si>
  <si>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</si>
  <si>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</si>
  <si>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</si>
  <si>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</si>
  <si>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</si>
  <si>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</si>
  <si>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</si>
  <si>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</si>
  <si>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</si>
  <si>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</si>
  <si>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</si>
  <si>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</si>
  <si>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</si>
  <si>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</si>
  <si>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</si>
  <si>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</si>
  <si>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</si>
  <si>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</si>
  <si>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</si>
  <si>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</si>
  <si>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</si>
  <si>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</si>
  <si>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</si>
  <si>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</si>
  <si>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</si>
  <si>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</si>
  <si>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</si>
  <si>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</si>
  <si>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</si>
  <si>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</si>
  <si>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</si>
  <si>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</si>
  <si>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</si>
  <si>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</si>
  <si>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</si>
  <si>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</si>
  <si>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</si>
  <si>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</si>
  <si>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</si>
  <si>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</si>
  <si>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</si>
  <si>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</si>
  <si>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</si>
  <si>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</si>
  <si>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</si>
  <si>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</si>
  <si>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</si>
  <si>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</si>
  <si>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</si>
  <si>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</si>
  <si>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</si>
  <si>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</si>
  <si>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</si>
  <si>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</si>
  <si>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</si>
  <si>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</si>
  <si>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</si>
  <si>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</si>
  <si>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</si>
  <si>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</si>
  <si>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</si>
  <si>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</si>
  <si>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</si>
  <si>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</si>
  <si>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</si>
  <si>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</si>
  <si>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</si>
  <si>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</si>
  <si>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</si>
  <si>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</si>
  <si>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</si>
  <si>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</si>
  <si>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</si>
  <si>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</si>
  <si>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</si>
  <si>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</si>
  <si>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</si>
  <si>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</si>
  <si>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</si>
  <si>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</si>
  <si>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</si>
  <si>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</si>
  <si>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</si>
  <si>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</si>
  <si>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</si>
  <si>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</si>
  <si>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</si>
  <si>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</si>
  <si>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</si>
  <si>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</si>
  <si>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</si>
  <si>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</si>
  <si>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</si>
  <si>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</si>
  <si>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</si>
  <si>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</si>
  <si>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</si>
  <si>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</si>
  <si>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</si>
  <si>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</si>
  <si>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</si>
  <si>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</si>
  <si>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</si>
  <si>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</si>
  <si>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</si>
  <si>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</si>
  <si>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</si>
  <si>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</si>
  <si>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</si>
  <si>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</si>
  <si>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</si>
  <si>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</si>
  <si>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</si>
  <si>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</si>
  <si>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</si>
  <si>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</si>
  <si>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</si>
  <si>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</si>
  <si>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</si>
  <si>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</si>
  <si>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</si>
  <si>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</si>
  <si>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</si>
  <si>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</si>
  <si>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</si>
  <si>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</si>
  <si>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</si>
  <si>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</si>
  <si>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</si>
  <si>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</si>
  <si>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</si>
  <si>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</si>
  <si>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</si>
  <si>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</si>
  <si>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</si>
  <si>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</si>
  <si>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</si>
  <si>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</si>
  <si>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</si>
  <si>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</si>
  <si>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</si>
  <si>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</si>
  <si>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</si>
  <si>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</si>
  <si>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</si>
  <si>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</si>
  <si>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</si>
  <si>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</si>
  <si>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</si>
  <si>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</si>
  <si>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</si>
  <si>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</si>
  <si>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</si>
  <si>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</si>
  <si>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</si>
  <si>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</si>
  <si>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</si>
  <si>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</si>
  <si>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</si>
  <si>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</si>
  <si>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</si>
  <si>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Balance Sheet</t>
  </si>
  <si>
    <t>debt</t>
  </si>
  <si>
    <t>equity</t>
  </si>
  <si>
    <t>Total Future Assets</t>
  </si>
  <si>
    <t>L4 Capital</t>
  </si>
  <si>
    <t>Due to Related Party (Roots GL 2021) appears in other liabilities</t>
  </si>
  <si>
    <t>c12 loc</t>
  </si>
  <si>
    <t>not cash change in c12 loc</t>
  </si>
  <si>
    <t>Total Othe Assets</t>
  </si>
  <si>
    <t>c12loc borrow base from participation</t>
  </si>
  <si>
    <t>guarantee borrow base@0%</t>
  </si>
  <si>
    <t>cuda borrow base @50%</t>
  </si>
  <si>
    <t>art borrow base @100</t>
  </si>
  <si>
    <t>net borrow base</t>
  </si>
  <si>
    <t>net borrow base %</t>
  </si>
  <si>
    <t>Valuation</t>
  </si>
  <si>
    <t>Existing Key money valuation</t>
  </si>
  <si>
    <t>elbow</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</si>
  <si>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</si>
  <si>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</si>
  <si>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</si>
  <si>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</si>
  <si>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</si>
  <si>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</si>
  <si>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</si>
  <si>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</si>
  <si>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</si>
  <si>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</si>
  <si>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</si>
  <si>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</si>
  <si>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</si>
  <si>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</si>
  <si>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</si>
  <si>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</si>
  <si>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</si>
  <si>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</si>
  <si>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</si>
  <si>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</si>
  <si>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</si>
  <si>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</si>
  <si>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</si>
  <si>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</si>
  <si>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</si>
  <si>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</si>
  <si>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</si>
  <si>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</si>
  <si>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</si>
  <si>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</si>
  <si>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</si>
  <si>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</si>
  <si>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</si>
  <si>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</si>
  <si>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</si>
  <si>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</si>
  <si>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</si>
  <si>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</si>
  <si>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</si>
  <si>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</si>
  <si>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</si>
  <si>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</si>
  <si>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</si>
  <si>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</si>
  <si>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</si>
  <si>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</si>
  <si>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</si>
  <si>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</si>
  <si>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</si>
  <si>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</si>
  <si>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</si>
  <si>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</si>
  <si>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</si>
  <si>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</si>
  <si>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</si>
  <si>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</si>
  <si>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</si>
  <si>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</si>
  <si>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</si>
  <si>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</si>
  <si>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</si>
  <si>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</si>
  <si>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</si>
  <si>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</si>
  <si>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</si>
  <si>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</si>
  <si>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</si>
  <si>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</si>
  <si>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</si>
  <si>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</si>
  <si>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</si>
  <si>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</si>
  <si>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</si>
  <si>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</si>
  <si>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</si>
  <si>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</si>
  <si>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</si>
  <si>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</si>
  <si>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</si>
  <si>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</si>
  <si>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</si>
  <si>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</si>
  <si>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</si>
  <si>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</si>
  <si>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</si>
  <si>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</si>
  <si>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</si>
  <si>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</si>
  <si>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</si>
  <si>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</si>
  <si>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</si>
  <si>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</si>
  <si>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</si>
  <si>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</si>
  <si>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</si>
  <si>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</si>
  <si>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</si>
  <si>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</si>
  <si>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</si>
  <si>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</si>
  <si>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</si>
  <si>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</si>
  <si>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</si>
  <si>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</si>
  <si>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</si>
  <si>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</si>
  <si>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</si>
  <si>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</si>
  <si>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</si>
  <si>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</si>
  <si>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</si>
  <si>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</si>
  <si>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</si>
  <si>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</si>
  <si>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</si>
  <si>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</si>
  <si>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</si>
  <si>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</si>
  <si>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</si>
  <si>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</si>
  <si>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</si>
  <si>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</si>
  <si>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</si>
  <si>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</si>
  <si>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</si>
  <si>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</si>
  <si>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</si>
  <si>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</si>
  <si>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</si>
  <si>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</si>
  <si>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</si>
  <si>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</si>
  <si>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</si>
  <si>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</si>
  <si>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</si>
  <si>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</si>
  <si>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</si>
  <si>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</si>
  <si>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</si>
  <si>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</si>
  <si>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</si>
  <si>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</si>
  <si>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</si>
  <si>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</si>
  <si>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</si>
  <si>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</si>
  <si>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</si>
  <si>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</si>
  <si>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</si>
  <si>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</si>
  <si>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</si>
  <si>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</si>
  <si>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</si>
  <si>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</si>
  <si>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</si>
  <si>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</si>
  <si>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</si>
  <si>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</si>
  <si>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</si>
  <si>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</si>
  <si>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</si>
  <si>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</si>
  <si>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</si>
  <si>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</si>
  <si>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</si>
  <si>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</si>
  <si>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</si>
  <si>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</si>
  <si>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</si>
  <si>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</si>
  <si>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</si>
  <si>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</si>
  <si>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</si>
  <si>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</si>
  <si>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</si>
  <si>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</si>
  <si>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</si>
  <si>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</si>
  <si>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</si>
  <si>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</si>
  <si>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</si>
  <si>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</si>
  <si>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</si>
  <si>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</si>
  <si>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</si>
  <si>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</si>
  <si>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</si>
  <si>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</si>
  <si>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</si>
  <si>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</si>
  <si>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</si>
  <si>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</si>
  <si>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</si>
  <si>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</si>
  <si>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</si>
  <si>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</si>
  <si>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</si>
  <si>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</si>
  <si>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</si>
  <si>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</si>
  <si>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</si>
  <si>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</si>
  <si>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</si>
  <si>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</si>
  <si>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</si>
  <si>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</si>
  <si>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</si>
  <si>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</si>
  <si>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</si>
  <si>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</si>
  <si>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</si>
  <si>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</si>
  <si>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</si>
  <si>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</si>
  <si>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</si>
  <si>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</si>
  <si>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</si>
  <si>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</si>
  <si>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</si>
  <si>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</si>
  <si>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</si>
  <si>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</si>
  <si>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</si>
  <si>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</si>
  <si>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</si>
  <si>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</si>
  <si>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</si>
  <si>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</si>
  <si>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</si>
  <si>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</si>
  <si>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</si>
  <si>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</si>
  <si>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</si>
  <si>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</si>
  <si>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</si>
  <si>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</si>
  <si>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</si>
  <si>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</si>
  <si>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</si>
  <si>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</si>
  <si>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</si>
  <si>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</si>
  <si>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</si>
  <si>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</si>
  <si>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</si>
  <si>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</si>
  <si>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</si>
  <si>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</si>
  <si>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</si>
  <si>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</si>
  <si>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</si>
  <si>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</si>
  <si>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</si>
  <si>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</si>
  <si>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</si>
  <si>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</si>
  <si>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</si>
  <si>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</si>
  <si>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</si>
  <si>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</si>
  <si>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</si>
  <si>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</si>
  <si>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</si>
  <si>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</si>
  <si>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</si>
  <si>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</si>
  <si>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</si>
  <si>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</si>
  <si>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</si>
  <si>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</si>
  <si>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</si>
  <si>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</si>
  <si>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</si>
  <si>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</si>
  <si>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</si>
  <si>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</si>
  <si>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</si>
  <si>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</si>
  <si>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</si>
  <si>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</si>
  <si>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</si>
  <si>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</si>
  <si>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</si>
  <si>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</si>
  <si>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</si>
  <si>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</si>
  <si>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</si>
  <si>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</si>
  <si>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</si>
  <si>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</si>
  <si>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</si>
  <si>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</si>
  <si>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</si>
  <si>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</si>
  <si>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</si>
  <si>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</si>
  <si>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</si>
  <si>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</si>
  <si>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</si>
  <si>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</si>
  <si>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</si>
  <si>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</si>
  <si>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</si>
  <si>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</si>
  <si>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</si>
  <si>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</si>
  <si>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</si>
  <si>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</si>
  <si>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</si>
  <si>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</si>
  <si>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</si>
  <si>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VERSUS QE REPORT</t>
  </si>
  <si>
    <t>actual</t>
  </si>
  <si>
    <t>C12 Participation Revenue (not c/b reimb)</t>
  </si>
  <si>
    <t>HM Fees</t>
  </si>
  <si>
    <t>BI&amp;F Fees</t>
  </si>
  <si>
    <t>DS Fees</t>
  </si>
  <si>
    <t>total participation revenue</t>
  </si>
  <si>
    <t>o</t>
  </si>
  <si>
    <t>total_participation_revenue_actual</t>
  </si>
  <si>
    <t>revenues in nominal dollars</t>
  </si>
  <si>
    <t>Infrastructure</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</si>
  <si>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</si>
  <si>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</si>
  <si>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</si>
  <si>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</si>
  <si>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</si>
  <si>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</si>
  <si>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</si>
  <si>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</si>
  <si>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</si>
  <si>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</si>
  <si>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</si>
  <si>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</si>
  <si>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</si>
  <si>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</si>
  <si>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c</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</si>
  <si>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</si>
  <si>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</si>
  <si>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</si>
  <si>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</si>
  <si>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</si>
  <si>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</si>
  <si>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</si>
  <si>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</si>
  <si>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</si>
  <si>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</si>
  <si>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</si>
  <si>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</si>
  <si>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</si>
  <si>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</si>
  <si>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</si>
  <si>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dept_oop_via_sk</t>
  </si>
  <si>
    <t>should come from danielle</t>
  </si>
  <si>
    <t>Departmental OOP not paid via sk</t>
  </si>
  <si>
    <t>dept_oop_not_via_sk</t>
  </si>
  <si>
    <t>added mastercard cos not all paid by sk</t>
  </si>
  <si>
    <t>Non-recurring Items paid by LGH</t>
  </si>
  <si>
    <t>nonrecur_paid_by_lgh</t>
  </si>
  <si>
    <t>C12 Accounts Payable</t>
  </si>
  <si>
    <t>accounts_payable</t>
  </si>
  <si>
    <t>WHAT IS THIS? Not double counting?</t>
  </si>
  <si>
    <t>inflation multiplier</t>
  </si>
  <si>
    <t>inflation_multiplier</t>
  </si>
  <si>
    <t>inflation</t>
  </si>
  <si>
    <t>revs in nominal dollars cos business forecast nominal, but personnel costs real</t>
  </si>
  <si>
    <t>Compensation - total</t>
  </si>
  <si>
    <t>compensation_total</t>
  </si>
  <si>
    <t>Direct compensation not via trinet</t>
  </si>
  <si>
    <t>compensation_direct</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</si>
  <si>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</si>
  <si>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</si>
  <si>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</si>
  <si>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</si>
  <si>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</si>
  <si>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</si>
  <si>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</si>
  <si>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</si>
  <si>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</si>
  <si>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</si>
  <si>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</si>
  <si>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</si>
  <si>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</si>
  <si>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</si>
  <si>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</si>
  <si>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actual_bank_transfers</t>
  </si>
  <si>
    <t>oop</t>
  </si>
  <si>
    <t>art</t>
  </si>
  <si>
    <t>pay</t>
  </si>
  <si>
    <t>guarantess</t>
  </si>
  <si>
    <t>cuda buy back</t>
  </si>
  <si>
    <t>Distributions</t>
  </si>
  <si>
    <t>sk_dist_required_actual</t>
  </si>
  <si>
    <t>Distribution after c12 profit</t>
  </si>
  <si>
    <t>sk_dist_top_up_actual</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</si>
  <si>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</si>
  <si>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</si>
  <si>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</si>
  <si>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</si>
  <si>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</si>
  <si>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</si>
  <si>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</si>
  <si>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</si>
  <si>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</si>
  <si>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</si>
  <si>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</si>
  <si>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</si>
  <si>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</si>
  <si>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</si>
  <si>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</si>
  <si>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</si>
  <si>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</si>
  <si>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assets</t>
  </si>
  <si>
    <t>cash open</t>
  </si>
  <si>
    <t>c12 profit</t>
  </si>
  <si>
    <t>borrow from c12 loc</t>
  </si>
  <si>
    <t>LGH to sk (from danielle)</t>
  </si>
  <si>
    <t>c12 to sk (jp dist)</t>
  </si>
  <si>
    <t>cash close</t>
  </si>
  <si>
    <t>participation accrual</t>
  </si>
  <si>
    <t>total assets</t>
  </si>
  <si>
    <t>liabilities</t>
  </si>
  <si>
    <t>c12loc</t>
  </si>
  <si>
    <t>LGH Fee Revenue</t>
  </si>
  <si>
    <t>lgh_fee_revenue_section</t>
  </si>
  <si>
    <t>Bermuda PB Mgt</t>
  </si>
  <si>
    <t>mgmt_fee_actual</t>
  </si>
  <si>
    <t>bermuda_pb</t>
  </si>
  <si>
    <t>INPUT</t>
  </si>
  <si>
    <t>Bermuda PB Inc</t>
  </si>
  <si>
    <t>incentive_fee_actual</t>
  </si>
  <si>
    <t>Austin Mgt</t>
  </si>
  <si>
    <t>austin</t>
  </si>
  <si>
    <t>Austin Inc</t>
  </si>
  <si>
    <t>incentive_fee</t>
  </si>
  <si>
    <t>Turks Mgt</t>
  </si>
  <si>
    <t>mgmt_fee</t>
  </si>
  <si>
    <t>turks</t>
  </si>
  <si>
    <t>Turks Inc</t>
  </si>
  <si>
    <t>fritholme</t>
  </si>
  <si>
    <t>lsat</t>
  </si>
  <si>
    <t>[blank]</t>
  </si>
  <si>
    <t>l4</t>
  </si>
  <si>
    <t>Total LGH Fees Earned</t>
  </si>
  <si>
    <t>total_fees_earned</t>
  </si>
  <si>
    <t>Deferred Period Fee</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</si>
  <si>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</si>
  <si>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</si>
  <si>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</si>
  <si>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</si>
  <si>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</si>
  <si>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</si>
  <si>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</si>
  <si>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</si>
  <si>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</si>
  <si>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</si>
  <si>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</si>
  <si>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service_fee</t>
  </si>
  <si>
    <t>Frith</t>
  </si>
  <si>
    <t>Total LGH HM Service Revenue</t>
  </si>
  <si>
    <t>total_service_revenue</t>
  </si>
  <si>
    <t>deferred_service_fee</t>
  </si>
  <si>
    <t>Paid Service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</si>
  <si>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</si>
  <si>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</si>
  <si>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</si>
  <si>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</si>
  <si>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</si>
  <si>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</si>
  <si>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</si>
  <si>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</si>
  <si>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lgh_chargebacks_section</t>
  </si>
  <si>
    <t>chargeback fee</t>
  </si>
  <si>
    <t>chargeback_multiplier</t>
  </si>
  <si>
    <t>reimbursable by hotels to LGH</t>
  </si>
  <si>
    <t>reimbursable_by_hotels</t>
  </si>
  <si>
    <t>Total LGH HM Charge Back</t>
  </si>
  <si>
    <t>total_chargeback</t>
  </si>
  <si>
    <t>total LGH HM revenue</t>
  </si>
  <si>
    <t>total_lgh_hm_revenue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</si>
  <si>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</si>
  <si>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</si>
  <si>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</si>
  <si>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</si>
  <si>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</si>
  <si>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</si>
  <si>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</si>
  <si>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</si>
  <si>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</si>
  <si>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</si>
  <si>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</si>
  <si>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</si>
  <si>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 fees</t>
  </si>
  <si>
    <t>chargeback_fees</t>
  </si>
  <si>
    <t>Total C12 HM revenue</t>
  </si>
  <si>
    <t>total_c12_hm_revenue</t>
  </si>
  <si>
    <t>increase in accrued participation</t>
  </si>
  <si>
    <t>increase_accrued_participation</t>
  </si>
  <si>
    <t>decrease in accrued partipation</t>
  </si>
  <si>
    <t>decrease_accrued_participation</t>
  </si>
  <si>
    <t>Cumm. Total Accrued Participation</t>
  </si>
  <si>
    <t>cumm_accrued_participation</t>
  </si>
  <si>
    <t>if paydown % were correct then this last number would be zeri</t>
  </si>
  <si>
    <t>from HR sheet</t>
  </si>
  <si>
    <t>Grand Total</t>
  </si>
  <si>
    <t>hr_grand_total</t>
  </si>
  <si>
    <t>reimbersable to hotel</t>
  </si>
  <si>
    <t>hr_reimbursable</t>
  </si>
  <si>
    <t>not reimbersable by hotel, but paid by lgh</t>
  </si>
  <si>
    <t>hr_not_reimbursable</t>
  </si>
  <si>
    <t>only paid by c12</t>
  </si>
  <si>
    <t>hr_only_c12</t>
  </si>
  <si>
    <t xml:space="preserve"> </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</si>
  <si>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</si>
  <si>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</si>
  <si>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</si>
  <si>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</si>
  <si>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</si>
  <si>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</si>
  <si>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</si>
  <si>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</si>
  <si>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</si>
  <si>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</si>
  <si>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development_fee_actual</t>
  </si>
  <si>
    <t>Turks Structuring Fee</t>
  </si>
  <si>
    <t>Elbow Design Fee</t>
  </si>
  <si>
    <t>Elbow Development Fee</t>
  </si>
  <si>
    <t>Elbow Structuring Fee</t>
  </si>
  <si>
    <t>Elbow Construction Fee</t>
  </si>
  <si>
    <t>construction_fee</t>
  </si>
  <si>
    <t>Elbow Acquisition Fee</t>
  </si>
  <si>
    <t>acquisition_fee</t>
  </si>
  <si>
    <t>Frith Sale Fees</t>
  </si>
  <si>
    <t>sale_fee</t>
  </si>
  <si>
    <t>Frith Acq Fee</t>
  </si>
  <si>
    <t>Frith Real Estate Fee</t>
  </si>
  <si>
    <t>real_estate_fee</t>
  </si>
  <si>
    <t>Frith Disposition fee</t>
  </si>
  <si>
    <t>disposition_fee</t>
  </si>
  <si>
    <t>fee_unknown</t>
  </si>
  <si>
    <t>Bermuda PB Design Services</t>
  </si>
  <si>
    <t>design_service_fee</t>
  </si>
  <si>
    <t>Austin Design Services</t>
  </si>
  <si>
    <t>design_service_fee_actual</t>
  </si>
  <si>
    <t>Turks Design Services</t>
  </si>
  <si>
    <t>Elbow Design Services</t>
  </si>
  <si>
    <t>Elbow AM</t>
  </si>
  <si>
    <t>am_fee</t>
  </si>
  <si>
    <t>Frith Design Services</t>
  </si>
  <si>
    <t>Frith AM</t>
  </si>
  <si>
    <t>Bermuda PB AM</t>
  </si>
  <si>
    <t>AustinAM</t>
  </si>
  <si>
    <t>Paid Accruals</t>
  </si>
  <si>
    <t>Total LGH D&amp;S Charge Back chk</t>
  </si>
  <si>
    <t>total LGH D&amp;S revenue</t>
  </si>
  <si>
    <t>total_lgh_ds_revenue</t>
  </si>
  <si>
    <t>pre_mod_extra_pct_actual</t>
  </si>
  <si>
    <t>catchup_extra_pct_actual</t>
  </si>
  <si>
    <t>Total C12 D&amp;S revenue</t>
  </si>
  <si>
    <t>total_c12_ds_revenue</t>
  </si>
  <si>
    <t>7f</t>
  </si>
  <si>
    <t>Total LGH Bi&amp;F Service Revenue</t>
  </si>
  <si>
    <t>Total LGH Bi&amp;F Charge Back chk</t>
  </si>
  <si>
    <t>total LGH Bi&amp;F revenue</t>
  </si>
  <si>
    <t>total_lgh_bif_revenue</t>
  </si>
  <si>
    <t>chargebacks</t>
  </si>
  <si>
    <t>Total C12 Bi&amp;f revenue</t>
  </si>
  <si>
    <t>total_c12_bif_revenue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</si>
  <si>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</si>
  <si>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</si>
  <si>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</si>
  <si>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</si>
  <si>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</si>
  <si>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</si>
  <si>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</si>
  <si>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</si>
  <si>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</si>
  <si>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</si>
  <si>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</si>
  <si>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</si>
  <si>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</si>
  <si>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</si>
  <si>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</si>
  <si>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</si>
  <si>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</si>
  <si>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sk</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</si>
  <si>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</si>
  <si>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</si>
  <si>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</si>
  <si>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</si>
  <si>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</si>
  <si>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</si>
  <si>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</si>
  <si>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</si>
  <si>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</si>
  <si>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</si>
  <si>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</si>
  <si>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</si>
  <si>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</si>
  <si>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</si>
  <si>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</si>
  <si>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</si>
  <si>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</si>
  <si>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</si>
  <si>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</si>
  <si>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</si>
  <si>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</si>
  <si>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</si>
  <si>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</si>
  <si>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</si>
  <si>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</si>
  <si>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</si>
  <si>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</si>
  <si>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</si>
  <si>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</si>
  <si>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</si>
  <si>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</si>
  <si>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</si>
  <si>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</si>
  <si>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</si>
  <si>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</si>
  <si>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</si>
  <si>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</si>
  <si>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</si>
  <si>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</si>
  <si>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</si>
  <si>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</si>
  <si>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</si>
  <si>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</si>
  <si>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</si>
  <si>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</si>
  <si>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</si>
  <si>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</si>
  <si>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</si>
  <si>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</si>
  <si>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</si>
  <si>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</si>
  <si>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</si>
  <si>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</si>
  <si>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</si>
  <si>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</si>
  <si>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</si>
  <si>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</si>
  <si>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</si>
  <si>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</si>
  <si>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</si>
  <si>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</si>
  <si>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</si>
  <si>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</si>
  <si>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</si>
  <si>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</si>
  <si>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</si>
  <si>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</si>
  <si>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</si>
  <si>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</si>
  <si>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</si>
  <si>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</si>
  <si>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</si>
  <si>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</si>
  <si>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</si>
  <si>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</si>
  <si>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</si>
  <si>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</si>
  <si>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</si>
  <si>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</si>
  <si>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</si>
  <si>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</si>
  <si>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sat</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</si>
  <si>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</si>
  <si>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</si>
  <si>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</si>
  <si>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</si>
  <si>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</si>
  <si>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</si>
  <si>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</si>
  <si>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</si>
  <si>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</si>
  <si>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</si>
  <si>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</si>
  <si>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</si>
  <si>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</si>
  <si>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</si>
  <si>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</si>
  <si>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</si>
  <si>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</si>
  <si>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</si>
  <si>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</si>
  <si>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</si>
  <si>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</si>
  <si>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</si>
  <si>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</si>
  <si>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</si>
  <si>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</si>
  <si>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</si>
  <si>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</si>
  <si>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Bi&amp;F</t>
  </si>
  <si>
    <t>bif_cw</t>
  </si>
  <si>
    <t>bif_zs</t>
  </si>
  <si>
    <t>bif_nr</t>
  </si>
  <si>
    <t>bif_tb</t>
  </si>
  <si>
    <t>bif_am</t>
  </si>
  <si>
    <t>bif_pt</t>
  </si>
  <si>
    <t>bif_dv</t>
  </si>
  <si>
    <t>bif_tw</t>
  </si>
  <si>
    <t>bif_hr</t>
  </si>
  <si>
    <t>bif_legal</t>
  </si>
  <si>
    <t>bif_tech1</t>
  </si>
  <si>
    <t>bif_tech2</t>
  </si>
  <si>
    <t>projections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</si>
</sst>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409]d\-mmm\-yy;@"/>
    <numFmt numFmtId="182" formatCode="_-* #,##0.00_-;\-* #,##0.00_-;_-* &quot;-&quot;??_-;_-@_-"/>
  </numFmts>
  <fonts count="49">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sz val="11"/>
      <color rgb="FF000000"/>
      <name val="Calibri Light"/>
      <family val="2"/>
    </font>
    <font>
      <sz val="14"/>
      <color rgb="FF000000"/>
      <name val="Calibri Light"/>
      <family val="2"/>
    </font>
    <font>
      <sz val="11"/>
      <color rgb="FF000000"/>
      <name val="Aptos Narrow"/>
      <family val="2"/>
    </font>
    <font>
      <sz val="11"/>
      <color rgb="FF000000"/>
      <name val="Calibri"/>
      <family val="2"/>
    </font>
    <font>
      <sz val="14"/>
      <color rgb="FF000000"/>
      <name val="Calibri"/>
      <family val="2"/>
    </font>
    <font>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
      <sz val="11"/>
      <color rgb="FF000000"/>
      <name val="Calibri"/>
    </font>
    <font>
      <sz val="14"/>
      <color rgb="FF000000"/>
      <name val="Calibri"/>
    </font>
    <font>
      <sz val="11"/>
      <color rgb="FF000000"/>
      <name val="Calibri Light"/>
    </font>
    <font>
      <sz val="11"/>
      <color rgb="FF000000"/>
      <name val="Aptos Narrow"/>
    </font>
  </fonts>
  <fills count="21">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s>
  <borders count="18">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bottom/>
      <diagonal/>
    </border>
  </borders>
  <cellStyleXfs count="20">
    <xf numFmtId="0" fontId="0" fillId="0" borderId="17"/>
    <xf numFmtId="43" fontId="1" fillId="0" borderId="17"/>
    <xf numFmtId="44" fontId="1" fillId="0" borderId="17"/>
    <xf numFmtId="9" fontId="1" fillId="0" borderId="17"/>
    <xf numFmtId="0" fontId="1" fillId="0" borderId="17"/>
    <xf numFmtId="182" fontId="1" fillId="0" borderId="17"/>
    <xf numFmtId="43" fontId="4" fillId="0" borderId="17"/>
    <xf numFmtId="43" fontId="1" fillId="0" borderId="17"/>
    <xf numFmtId="0" fontId="4" fillId="0" borderId="17"/>
    <xf numFmtId="37" fontId="6" fillId="0" borderId="17"/>
    <xf numFmtId="43" fontId="7" fillId="0" borderId="17"/>
    <xf numFmtId="9" fontId="7" fillId="0" borderId="17"/>
    <xf numFmtId="44" fontId="7" fillId="0" borderId="17"/>
    <xf numFmtId="0" fontId="5" fillId="0" borderId="17"/>
    <xf numFmtId="43" fontId="5" fillId="0" borderId="17"/>
    <xf numFmtId="0" fontId="4" fillId="0" borderId="17"/>
    <xf numFmtId="0" fontId="1" fillId="0" borderId="17"/>
    <xf numFmtId="0" fontId="12" fillId="0" borderId="17"/>
    <xf numFmtId="44" fontId="3" fillId="0" borderId="17"/>
    <xf numFmtId="0" fontId="16" fillId="0" borderId="17"/>
  </cellStyleXfs>
  <cellXfs count="816">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35" fillId="9" borderId="9" xfId="0" applyFont="1" applyFill="1" applyBorder="1"/>
    <xf numFmtId="0" fontId="32" fillId="9" borderId="9" xfId="0" applyFont="1" applyFill="1" applyBorder="1" applyAlignment="1">
      <alignment horizontal="left"/>
    </xf>
    <xf numFmtId="0" fontId="32" fillId="9" borderId="9" xfId="0" applyFont="1" applyFill="1" applyBorder="1"/>
    <xf numFmtId="0" fontId="35" fillId="16" borderId="9" xfId="13" applyFont="1" applyFill="1" applyBorder="1" applyAlignment="1">
      <alignment vertical="center"/>
    </xf>
    <xf numFmtId="0" fontId="35" fillId="16" borderId="9" xfId="13" applyFont="1" applyFill="1" applyBorder="1" applyAlignment="1">
      <alignment horizontal="left" vertical="center"/>
    </xf>
    <xf numFmtId="165" fontId="35" fillId="16" borderId="9" xfId="13" applyNumberFormat="1" applyFont="1" applyFill="1" applyBorder="1" applyAlignment="1">
      <alignment horizontal="right" vertical="center"/>
    </xf>
    <xf numFmtId="165" fontId="35" fillId="16" borderId="9" xfId="13" applyNumberFormat="1" applyFont="1" applyFill="1" applyBorder="1" applyAlignment="1">
      <alignment horizontal="center" vertical="center"/>
    </xf>
    <xf numFmtId="0" fontId="35" fillId="16" borderId="9" xfId="0" applyFont="1" applyFill="1" applyBorder="1"/>
    <xf numFmtId="0" fontId="35" fillId="16" borderId="9" xfId="13" applyFont="1" applyFill="1" applyBorder="1" applyAlignment="1">
      <alignment horizontal="right" vertical="center"/>
    </xf>
    <xf numFmtId="0" fontId="35" fillId="16" borderId="9" xfId="13" applyFont="1" applyFill="1" applyBorder="1" applyAlignment="1">
      <alignment horizontal="center" vertical="center"/>
    </xf>
    <xf numFmtId="168" fontId="36" fillId="12" borderId="9" xfId="3" applyNumberFormat="1" applyFont="1" applyFill="1" applyBorder="1" applyAlignment="1">
      <alignment horizontal="left" vertical="center"/>
    </xf>
    <xf numFmtId="168" fontId="36" fillId="12" borderId="9" xfId="3" applyNumberFormat="1" applyFont="1" applyFill="1" applyBorder="1" applyAlignment="1">
      <alignment vertical="center"/>
    </xf>
    <xf numFmtId="0" fontId="35" fillId="12" borderId="9" xfId="0" applyFont="1" applyFill="1" applyBorder="1"/>
    <xf numFmtId="0" fontId="35" fillId="12" borderId="9" xfId="13" applyFont="1" applyFill="1" applyBorder="1" applyAlignment="1">
      <alignment horizontal="left" vertical="center"/>
    </xf>
    <xf numFmtId="0" fontId="35" fillId="12" borderId="9" xfId="13" applyFont="1" applyFill="1" applyBorder="1" applyAlignment="1">
      <alignment vertical="center"/>
    </xf>
    <xf numFmtId="0" fontId="35" fillId="9" borderId="9" xfId="13" applyFont="1" applyFill="1" applyBorder="1" applyAlignment="1">
      <alignment horizontal="left" vertical="center"/>
    </xf>
    <xf numFmtId="9" fontId="35" fillId="5" borderId="9" xfId="3" applyFont="1" applyFill="1" applyBorder="1"/>
    <xf numFmtId="0" fontId="35" fillId="9" borderId="9" xfId="13" applyFont="1" applyFill="1" applyBorder="1" applyAlignment="1">
      <alignment vertical="center"/>
    </xf>
    <xf numFmtId="0" fontId="35" fillId="9" borderId="9" xfId="13" applyFont="1" applyFill="1" applyBorder="1" applyAlignment="1">
      <alignment horizontal="left" vertical="center" indent="1"/>
    </xf>
    <xf numFmtId="168" fontId="35" fillId="5" borderId="9" xfId="0" applyNumberFormat="1" applyFont="1" applyFill="1" applyBorder="1"/>
    <xf numFmtId="9" fontId="35" fillId="5" borderId="9" xfId="0" applyNumberFormat="1" applyFont="1" applyFill="1" applyBorder="1"/>
    <xf numFmtId="0" fontId="35" fillId="9" borderId="9" xfId="0" applyFont="1" applyFill="1" applyBorder="1" applyAlignment="1">
      <alignment horizontal="left"/>
    </xf>
    <xf numFmtId="168" fontId="36" fillId="9" borderId="9" xfId="3" applyNumberFormat="1" applyFont="1" applyFill="1" applyBorder="1" applyAlignment="1">
      <alignment horizontal="left" vertical="center"/>
    </xf>
    <xf numFmtId="168" fontId="36" fillId="9" borderId="9" xfId="3" applyNumberFormat="1" applyFont="1" applyFill="1" applyBorder="1" applyAlignment="1">
      <alignment horizontal="center" vertical="center"/>
    </xf>
    <xf numFmtId="0" fontId="35" fillId="9" borderId="9" xfId="0" applyFont="1" applyFill="1" applyBorder="1" applyAlignment="1">
      <alignment horizontal="center"/>
    </xf>
    <xf numFmtId="0" fontId="35" fillId="9" borderId="9" xfId="13" applyFont="1" applyFill="1" applyBorder="1" applyAlignment="1">
      <alignment horizontal="center" vertical="center"/>
    </xf>
    <xf numFmtId="0" fontId="35" fillId="9" borderId="9" xfId="13" applyFont="1" applyFill="1" applyBorder="1" applyAlignment="1">
      <alignment horizontal="right" vertical="center"/>
    </xf>
    <xf numFmtId="174" fontId="35" fillId="9" borderId="9" xfId="13" applyNumberFormat="1" applyFont="1" applyFill="1" applyBorder="1" applyAlignment="1">
      <alignment horizontal="right" vertical="center"/>
    </xf>
    <xf numFmtId="0" fontId="35" fillId="12" borderId="9" xfId="13" applyFont="1" applyFill="1" applyBorder="1" applyAlignment="1">
      <alignment horizontal="left" vertical="center" indent="1"/>
    </xf>
    <xf numFmtId="164" fontId="35" fillId="9" borderId="9" xfId="1" applyNumberFormat="1" applyFont="1" applyFill="1" applyBorder="1" applyAlignment="1">
      <alignment vertical="center"/>
    </xf>
    <xf numFmtId="0" fontId="35" fillId="12" borderId="9" xfId="13" applyFont="1" applyFill="1" applyBorder="1" applyAlignment="1">
      <alignment horizontal="right" vertical="center"/>
    </xf>
    <xf numFmtId="164" fontId="35" fillId="11" borderId="10" xfId="1" applyNumberFormat="1" applyFont="1" applyFill="1" applyBorder="1" applyAlignment="1">
      <alignment vertical="center"/>
    </xf>
    <xf numFmtId="3" fontId="35" fillId="9" borderId="9" xfId="0" applyNumberFormat="1" applyFont="1" applyFill="1" applyBorder="1"/>
    <xf numFmtId="164" fontId="35" fillId="14" borderId="10" xfId="1" applyNumberFormat="1" applyFont="1" applyFill="1" applyBorder="1" applyAlignment="1">
      <alignment vertical="center"/>
    </xf>
    <xf numFmtId="164" fontId="35" fillId="9" borderId="10" xfId="1" applyNumberFormat="1" applyFont="1" applyFill="1" applyBorder="1" applyAlignment="1">
      <alignment vertical="center"/>
    </xf>
    <xf numFmtId="0" fontId="35" fillId="12" borderId="9" xfId="0" applyFont="1" applyFill="1" applyBorder="1" applyAlignment="1">
      <alignment horizontal="left"/>
    </xf>
    <xf numFmtId="164" fontId="35" fillId="9" borderId="9" xfId="1" applyNumberFormat="1" applyFont="1" applyFill="1" applyBorder="1" applyAlignment="1">
      <alignment horizontal="center"/>
    </xf>
    <xf numFmtId="44" fontId="35" fillId="9" borderId="9" xfId="2" applyFont="1" applyFill="1" applyBorder="1" applyAlignment="1">
      <alignment horizontal="right" vertical="top" wrapText="1"/>
    </xf>
    <xf numFmtId="0" fontId="35" fillId="5" borderId="9" xfId="0" applyFont="1" applyFill="1" applyBorder="1" applyAlignment="1">
      <alignment horizontal="center"/>
    </xf>
    <xf numFmtId="164" fontId="35" fillId="5" borderId="9" xfId="1" applyNumberFormat="1" applyFont="1" applyFill="1" applyBorder="1" applyAlignment="1">
      <alignment horizontal="center"/>
    </xf>
    <xf numFmtId="11" fontId="35" fillId="5" borderId="9" xfId="0" applyNumberFormat="1" applyFont="1" applyFill="1" applyBorder="1" applyAlignment="1">
      <alignment horizontal="center"/>
    </xf>
    <xf numFmtId="1" fontId="35" fillId="9" borderId="9" xfId="0" applyNumberFormat="1" applyFont="1" applyFill="1" applyBorder="1"/>
    <xf numFmtId="0" fontId="35" fillId="12" borderId="9" xfId="0" applyFont="1" applyFill="1" applyBorder="1" applyAlignment="1">
      <alignment horizontal="right"/>
    </xf>
    <xf numFmtId="0" fontId="35" fillId="9" borderId="9" xfId="13" applyFont="1" applyFill="1" applyBorder="1" applyAlignment="1">
      <alignment horizontal="right" indent="1"/>
    </xf>
    <xf numFmtId="0" fontId="35" fillId="9" borderId="9" xfId="13" applyFont="1" applyFill="1" applyBorder="1" applyAlignment="1">
      <alignment horizontal="left"/>
    </xf>
    <xf numFmtId="0" fontId="35" fillId="9" borderId="9" xfId="13" applyFont="1" applyFill="1" applyBorder="1" applyAlignment="1">
      <alignment horizontal="left" indent="1"/>
    </xf>
    <xf numFmtId="4" fontId="35" fillId="9" borderId="9" xfId="0" applyNumberFormat="1" applyFont="1" applyFill="1" applyBorder="1"/>
    <xf numFmtId="0" fontId="35" fillId="12" borderId="9" xfId="13" applyFont="1" applyFill="1" applyBorder="1" applyAlignment="1">
      <alignment horizontal="left" indent="1"/>
    </xf>
    <xf numFmtId="0" fontId="35" fillId="12" borderId="9" xfId="13" applyFont="1" applyFill="1" applyBorder="1" applyAlignment="1">
      <alignment horizontal="left"/>
    </xf>
    <xf numFmtId="164" fontId="35" fillId="5" borderId="9" xfId="1" applyNumberFormat="1" applyFont="1" applyFill="1" applyBorder="1" applyAlignment="1">
      <alignment vertical="center"/>
    </xf>
    <xf numFmtId="0" fontId="35" fillId="12" borderId="9" xfId="0" applyFont="1" applyFill="1" applyBorder="1" applyAlignment="1">
      <alignment horizontal="left" indent="1"/>
    </xf>
    <xf numFmtId="164" fontId="35" fillId="5" borderId="9" xfId="0" applyNumberFormat="1" applyFont="1" applyFill="1" applyBorder="1"/>
    <xf numFmtId="164" fontId="35" fillId="9" borderId="9" xfId="0" applyNumberFormat="1" applyFont="1" applyFill="1" applyBorder="1"/>
    <xf numFmtId="43" fontId="35" fillId="12" borderId="9" xfId="1" applyFont="1" applyFill="1" applyBorder="1"/>
    <xf numFmtId="43" fontId="35" fillId="12" borderId="9" xfId="1" applyFont="1" applyFill="1" applyBorder="1" applyAlignment="1">
      <alignment horizontal="left"/>
    </xf>
    <xf numFmtId="43" fontId="35" fillId="9" borderId="9" xfId="1" applyFont="1" applyFill="1" applyBorder="1" applyAlignment="1">
      <alignment horizontal="left"/>
    </xf>
    <xf numFmtId="43" fontId="35" fillId="9" borderId="9" xfId="1" applyFont="1" applyFill="1" applyBorder="1"/>
    <xf numFmtId="43" fontId="35" fillId="5" borderId="9" xfId="1" applyFont="1" applyFill="1" applyBorder="1"/>
    <xf numFmtId="3" fontId="32" fillId="9" borderId="9" xfId="0" applyNumberFormat="1" applyFont="1" applyFill="1" applyBorder="1"/>
    <xf numFmtId="164" fontId="35" fillId="11" borderId="9" xfId="1" applyNumberFormat="1" applyFont="1" applyFill="1" applyBorder="1" applyAlignment="1">
      <alignment vertical="center"/>
    </xf>
    <xf numFmtId="164" fontId="35" fillId="9" borderId="9" xfId="1" applyNumberFormat="1" applyFont="1" applyFill="1" applyBorder="1"/>
    <xf numFmtId="164" fontId="35" fillId="11" borderId="9" xfId="1" applyNumberFormat="1" applyFont="1" applyFill="1" applyBorder="1" applyAlignment="1">
      <alignment horizontal="right" vertical="center"/>
    </xf>
    <xf numFmtId="164" fontId="35" fillId="14" borderId="9" xfId="1" applyNumberFormat="1" applyFont="1" applyFill="1" applyBorder="1" applyAlignment="1">
      <alignment horizontal="right" vertical="center"/>
    </xf>
    <xf numFmtId="164" fontId="35" fillId="9" borderId="9" xfId="1" applyNumberFormat="1" applyFont="1" applyFill="1" applyBorder="1" applyAlignment="1">
      <alignment horizontal="right" vertical="center"/>
    </xf>
    <xf numFmtId="4" fontId="35" fillId="9" borderId="9" xfId="1" applyNumberFormat="1" applyFont="1" applyFill="1" applyBorder="1" applyAlignment="1">
      <alignment horizontal="center"/>
    </xf>
    <xf numFmtId="9" fontId="35" fillId="9" borderId="9" xfId="3" applyFont="1" applyFill="1" applyBorder="1" applyAlignment="1">
      <alignment horizontal="center"/>
    </xf>
    <xf numFmtId="0" fontId="37" fillId="12" borderId="9" xfId="0" applyFont="1" applyFill="1" applyBorder="1"/>
    <xf numFmtId="0" fontId="37" fillId="12" borderId="9" xfId="0" applyFont="1" applyFill="1" applyBorder="1" applyAlignment="1">
      <alignment horizontal="left"/>
    </xf>
    <xf numFmtId="0" fontId="37" fillId="9" borderId="9" xfId="0" applyFont="1" applyFill="1" applyBorder="1" applyAlignment="1">
      <alignment horizontal="left"/>
    </xf>
    <xf numFmtId="164" fontId="32" fillId="9" borderId="9" xfId="1" applyNumberFormat="1" applyFont="1" applyFill="1" applyBorder="1" applyAlignment="1">
      <alignment vertical="center"/>
    </xf>
    <xf numFmtId="9" fontId="37" fillId="9" borderId="9" xfId="3" applyFont="1" applyFill="1" applyBorder="1"/>
    <xf numFmtId="9" fontId="37" fillId="9" borderId="9" xfId="3" applyFont="1" applyFill="1" applyBorder="1" applyAlignment="1">
      <alignment horizontal="center"/>
    </xf>
    <xf numFmtId="9" fontId="37" fillId="9" borderId="9" xfId="0" applyNumberFormat="1" applyFont="1" applyFill="1" applyBorder="1" applyAlignment="1">
      <alignment horizontal="center"/>
    </xf>
    <xf numFmtId="9" fontId="37" fillId="9" borderId="9" xfId="0" applyNumberFormat="1" applyFont="1" applyFill="1" applyBorder="1"/>
    <xf numFmtId="0" fontId="37" fillId="9" borderId="9" xfId="0" applyFont="1" applyFill="1" applyBorder="1"/>
    <xf numFmtId="10" fontId="37" fillId="9" borderId="9" xfId="1" applyNumberFormat="1" applyFont="1" applyFill="1" applyBorder="1"/>
    <xf numFmtId="4" fontId="37" fillId="9" borderId="9" xfId="3" applyNumberFormat="1" applyFont="1" applyFill="1" applyBorder="1"/>
    <xf numFmtId="164" fontId="35" fillId="12" borderId="9" xfId="1" applyNumberFormat="1" applyFont="1" applyFill="1" applyBorder="1" applyAlignment="1">
      <alignment horizontal="right"/>
    </xf>
    <xf numFmtId="164" fontId="35" fillId="12" borderId="9" xfId="1" applyNumberFormat="1" applyFont="1" applyFill="1" applyBorder="1"/>
    <xf numFmtId="164" fontId="35" fillId="5" borderId="9" xfId="1" applyNumberFormat="1" applyFont="1" applyFill="1" applyBorder="1"/>
    <xf numFmtId="0" fontId="37" fillId="9" borderId="9" xfId="0" applyFont="1" applyFill="1" applyBorder="1" applyAlignment="1">
      <alignment horizontal="right"/>
    </xf>
    <xf numFmtId="164" fontId="37" fillId="9" borderId="9" xfId="3" applyNumberFormat="1" applyFont="1" applyFill="1" applyBorder="1"/>
    <xf numFmtId="3" fontId="37" fillId="9" borderId="9" xfId="3" applyNumberFormat="1" applyFont="1" applyFill="1" applyBorder="1"/>
    <xf numFmtId="0" fontId="37" fillId="12" borderId="9" xfId="0" applyFont="1" applyFill="1" applyBorder="1" applyAlignment="1">
      <alignment horizontal="right"/>
    </xf>
    <xf numFmtId="164" fontId="37" fillId="11" borderId="9" xfId="1" applyNumberFormat="1" applyFont="1" applyFill="1" applyBorder="1"/>
    <xf numFmtId="164" fontId="37" fillId="14" borderId="9" xfId="1" applyNumberFormat="1" applyFont="1" applyFill="1" applyBorder="1"/>
    <xf numFmtId="164" fontId="37" fillId="9" borderId="9" xfId="1" applyNumberFormat="1" applyFont="1" applyFill="1" applyBorder="1"/>
    <xf numFmtId="164" fontId="37" fillId="5" borderId="9" xfId="1" applyNumberFormat="1" applyFont="1" applyFill="1" applyBorder="1"/>
    <xf numFmtId="164" fontId="37" fillId="11" borderId="10" xfId="3" applyNumberFormat="1" applyFont="1" applyFill="1" applyBorder="1"/>
    <xf numFmtId="164" fontId="37" fillId="14" borderId="10" xfId="3" applyNumberFormat="1" applyFont="1" applyFill="1" applyBorder="1"/>
    <xf numFmtId="164" fontId="37" fillId="9" borderId="10" xfId="3" applyNumberFormat="1" applyFont="1" applyFill="1" applyBorder="1"/>
    <xf numFmtId="9" fontId="35" fillId="9" borderId="9" xfId="3" applyFont="1" applyFill="1" applyBorder="1"/>
    <xf numFmtId="9" fontId="35" fillId="9" borderId="9" xfId="0" applyNumberFormat="1" applyFont="1" applyFill="1" applyBorder="1" applyAlignment="1">
      <alignment horizontal="center"/>
    </xf>
    <xf numFmtId="9" fontId="35" fillId="9" borderId="9" xfId="0" applyNumberFormat="1" applyFont="1" applyFill="1" applyBorder="1"/>
    <xf numFmtId="164" fontId="35" fillId="9" borderId="10" xfId="1" applyNumberFormat="1" applyFont="1" applyFill="1" applyBorder="1"/>
    <xf numFmtId="164" fontId="35" fillId="14" borderId="10" xfId="1" applyNumberFormat="1" applyFont="1" applyFill="1" applyBorder="1"/>
    <xf numFmtId="0" fontId="35" fillId="9" borderId="9" xfId="0" applyFont="1" applyFill="1" applyBorder="1" applyAlignment="1">
      <alignment horizontal="right"/>
    </xf>
    <xf numFmtId="164" fontId="35" fillId="9" borderId="10" xfId="0" applyNumberFormat="1" applyFont="1" applyFill="1" applyBorder="1"/>
    <xf numFmtId="164" fontId="35" fillId="14" borderId="10" xfId="0" applyNumberFormat="1" applyFont="1" applyFill="1" applyBorder="1"/>
    <xf numFmtId="164" fontId="35" fillId="9" borderId="9" xfId="1" applyNumberFormat="1" applyFont="1" applyFill="1" applyBorder="1" applyAlignment="1">
      <alignment horizontal="left"/>
    </xf>
    <xf numFmtId="0" fontId="34" fillId="9" borderId="9" xfId="0" applyFont="1" applyFill="1" applyBorder="1" applyAlignment="1">
      <alignment horizontal="center"/>
    </xf>
    <xf numFmtId="0" fontId="32" fillId="12" borderId="9" xfId="0" applyFont="1" applyFill="1" applyBorder="1"/>
    <xf numFmtId="164" fontId="35" fillId="11" borderId="9" xfId="1" applyNumberFormat="1" applyFont="1" applyFill="1" applyBorder="1"/>
    <xf numFmtId="0" fontId="32" fillId="12" borderId="9" xfId="0" applyFont="1" applyFill="1" applyBorder="1" applyAlignment="1">
      <alignment horizontal="left"/>
    </xf>
    <xf numFmtId="164" fontId="32" fillId="9" borderId="10" xfId="0" applyNumberFormat="1" applyFont="1" applyFill="1" applyBorder="1"/>
    <xf numFmtId="164" fontId="32" fillId="14" borderId="10" xfId="0" applyNumberFormat="1" applyFont="1" applyFill="1" applyBorder="1"/>
    <xf numFmtId="164" fontId="35" fillId="12" borderId="9" xfId="1" applyNumberFormat="1" applyFont="1" applyFill="1" applyBorder="1" applyAlignment="1">
      <alignment horizontal="left" indent="2"/>
    </xf>
    <xf numFmtId="0" fontId="35" fillId="5" borderId="9" xfId="0" applyFont="1" applyFill="1" applyBorder="1"/>
    <xf numFmtId="0" fontId="32" fillId="9" borderId="9" xfId="13" applyFont="1" applyFill="1" applyBorder="1" applyAlignment="1">
      <alignment vertical="center"/>
    </xf>
    <xf numFmtId="168" fontId="33" fillId="9" borderId="9" xfId="3" applyNumberFormat="1" applyFont="1" applyFill="1" applyBorder="1" applyAlignment="1">
      <alignment horizontal="center" vertical="center"/>
    </xf>
    <xf numFmtId="0" fontId="32" fillId="9" borderId="9" xfId="13" applyFont="1" applyFill="1" applyBorder="1" applyAlignment="1">
      <alignment horizontal="center" vertical="center"/>
    </xf>
    <xf numFmtId="174" fontId="32" fillId="9" borderId="9" xfId="13" applyNumberFormat="1" applyFont="1" applyFill="1" applyBorder="1" applyAlignment="1">
      <alignment horizontal="center" vertical="center"/>
    </xf>
    <xf numFmtId="174" fontId="32" fillId="9" borderId="9" xfId="13" applyNumberFormat="1" applyFont="1" applyFill="1" applyBorder="1" applyAlignment="1">
      <alignment horizontal="right" vertical="center"/>
    </xf>
    <xf numFmtId="0" fontId="32" fillId="12" borderId="9" xfId="13" applyFont="1" applyFill="1" applyBorder="1" applyAlignment="1">
      <alignment vertical="center"/>
    </xf>
    <xf numFmtId="164" fontId="32" fillId="9" borderId="9" xfId="13" applyNumberFormat="1" applyFont="1" applyFill="1" applyBorder="1" applyAlignment="1">
      <alignment vertical="center"/>
    </xf>
    <xf numFmtId="164" fontId="32" fillId="11" borderId="9" xfId="1" applyNumberFormat="1" applyFont="1" applyFill="1" applyBorder="1" applyAlignment="1">
      <alignment vertical="center"/>
    </xf>
    <xf numFmtId="164" fontId="32" fillId="5" borderId="9" xfId="1" applyNumberFormat="1" applyFont="1" applyFill="1" applyBorder="1" applyAlignment="1">
      <alignment vertical="center"/>
    </xf>
    <xf numFmtId="164" fontId="32" fillId="12" borderId="9" xfId="1" applyNumberFormat="1" applyFont="1" applyFill="1" applyBorder="1" applyAlignment="1">
      <alignment vertical="center"/>
    </xf>
    <xf numFmtId="168" fontId="35" fillId="9" borderId="9" xfId="0" applyNumberFormat="1" applyFont="1" applyFill="1" applyBorder="1" applyAlignment="1">
      <alignment horizontal="center"/>
    </xf>
    <xf numFmtId="9" fontId="32" fillId="9" borderId="9" xfId="0" applyNumberFormat="1" applyFont="1" applyFill="1" applyBorder="1"/>
    <xf numFmtId="10" fontId="32" fillId="9" borderId="9" xfId="0" applyNumberFormat="1" applyFont="1" applyFill="1" applyBorder="1"/>
    <xf numFmtId="43" fontId="32" fillId="9" borderId="9" xfId="1" applyFont="1" applyFill="1" applyBorder="1" applyAlignment="1">
      <alignment vertical="center"/>
    </xf>
    <xf numFmtId="168" fontId="32" fillId="9" borderId="9" xfId="0" applyNumberFormat="1" applyFont="1" applyFill="1" applyBorder="1"/>
    <xf numFmtId="0" fontId="32" fillId="12" borderId="9" xfId="13" applyFont="1" applyFill="1" applyBorder="1" applyAlignment="1">
      <alignment horizontal="right" vertical="center"/>
    </xf>
    <xf numFmtId="4" fontId="34" fillId="9" borderId="9" xfId="0" applyNumberFormat="1" applyFont="1" applyFill="1" applyBorder="1" applyAlignment="1">
      <alignment horizontal="center"/>
    </xf>
    <xf numFmtId="0" fontId="32" fillId="5" borderId="9" xfId="0" applyFont="1" applyFill="1" applyBorder="1"/>
    <xf numFmtId="164" fontId="32" fillId="5" borderId="9" xfId="1" applyNumberFormat="1" applyFont="1" applyFill="1" applyBorder="1"/>
    <xf numFmtId="164" fontId="32" fillId="9" borderId="9" xfId="1" applyNumberFormat="1" applyFont="1" applyFill="1" applyBorder="1"/>
    <xf numFmtId="10" fontId="34" fillId="9" borderId="9" xfId="0" applyNumberFormat="1" applyFont="1" applyFill="1" applyBorder="1" applyAlignment="1">
      <alignment horizontal="center"/>
    </xf>
    <xf numFmtId="9" fontId="32" fillId="9" borderId="9" xfId="1" applyNumberFormat="1" applyFont="1" applyFill="1" applyBorder="1" applyAlignment="1">
      <alignment vertical="center"/>
    </xf>
    <xf numFmtId="0" fontId="35" fillId="9" borderId="9" xfId="0" applyFont="1" applyFill="1" applyBorder="1" applyAlignment="1">
      <alignment horizontal="centerContinuous"/>
    </xf>
    <xf numFmtId="164" fontId="32" fillId="9" borderId="9" xfId="0" applyNumberFormat="1" applyFont="1" applyFill="1" applyBorder="1"/>
    <xf numFmtId="43" fontId="32" fillId="9" borderId="9" xfId="0" applyNumberFormat="1" applyFont="1" applyFill="1" applyBorder="1"/>
    <xf numFmtId="164" fontId="32" fillId="9" borderId="10" xfId="1" applyNumberFormat="1" applyFont="1" applyFill="1" applyBorder="1" applyAlignment="1">
      <alignment vertical="center"/>
    </xf>
    <xf numFmtId="164" fontId="32" fillId="14" borderId="10" xfId="1" applyNumberFormat="1" applyFont="1" applyFill="1" applyBorder="1" applyAlignment="1">
      <alignment vertical="center"/>
    </xf>
    <xf numFmtId="0" fontId="32" fillId="9" borderId="9" xfId="13" applyFont="1" applyFill="1" applyBorder="1" applyAlignment="1">
      <alignment horizontal="right" vertical="center"/>
    </xf>
    <xf numFmtId="164" fontId="32" fillId="14" borderId="9" xfId="1" applyNumberFormat="1" applyFont="1" applyFill="1" applyBorder="1" applyAlignment="1">
      <alignment vertical="center"/>
    </xf>
    <xf numFmtId="168" fontId="32" fillId="9" borderId="9" xfId="1" applyNumberFormat="1" applyFont="1" applyFill="1" applyBorder="1" applyAlignment="1">
      <alignment vertical="center"/>
    </xf>
    <xf numFmtId="164" fontId="35" fillId="14" borderId="9" xfId="1" applyNumberFormat="1" applyFont="1" applyFill="1" applyBorder="1"/>
    <xf numFmtId="0" fontId="32" fillId="12" borderId="9" xfId="13" applyFont="1" applyFill="1" applyBorder="1" applyAlignment="1">
      <alignment horizontal="left" vertical="center" indent="1"/>
    </xf>
    <xf numFmtId="0" fontId="32" fillId="12" borderId="9" xfId="13" applyFont="1" applyFill="1" applyBorder="1" applyAlignment="1">
      <alignment horizontal="left" vertical="center"/>
    </xf>
    <xf numFmtId="4" fontId="35" fillId="9" borderId="9" xfId="1" applyNumberFormat="1" applyFont="1" applyFill="1" applyBorder="1" applyAlignment="1">
      <alignment horizontal="centerContinuous"/>
    </xf>
    <xf numFmtId="4" fontId="35" fillId="9" borderId="9" xfId="1" applyNumberFormat="1" applyFont="1" applyFill="1" applyBorder="1"/>
    <xf numFmtId="10" fontId="35" fillId="9" borderId="9" xfId="0" applyNumberFormat="1" applyFont="1" applyFill="1" applyBorder="1"/>
    <xf numFmtId="168" fontId="35" fillId="9" borderId="9" xfId="0" applyNumberFormat="1" applyFont="1" applyFill="1" applyBorder="1"/>
    <xf numFmtId="0" fontId="35" fillId="16" borderId="9" xfId="0" applyFont="1" applyFill="1" applyBorder="1" applyAlignment="1">
      <alignment horizontal="center"/>
    </xf>
    <xf numFmtId="4" fontId="35" fillId="16" borderId="9" xfId="0" applyNumberFormat="1" applyFont="1" applyFill="1" applyBorder="1"/>
    <xf numFmtId="168" fontId="36" fillId="16" borderId="9" xfId="3" applyNumberFormat="1" applyFont="1" applyFill="1" applyBorder="1" applyAlignment="1">
      <alignment horizontal="left" vertical="center"/>
    </xf>
    <xf numFmtId="168" fontId="36" fillId="16" borderId="9" xfId="3" applyNumberFormat="1" applyFont="1" applyFill="1" applyBorder="1" applyAlignment="1">
      <alignment vertical="center"/>
    </xf>
    <xf numFmtId="0" fontId="32" fillId="16" borderId="9" xfId="0" applyFont="1" applyFill="1" applyBorder="1" applyAlignment="1">
      <alignment horizontal="left"/>
    </xf>
    <xf numFmtId="0" fontId="32" fillId="16" borderId="9" xfId="0" applyFont="1" applyFill="1" applyBorder="1"/>
    <xf numFmtId="4" fontId="35" fillId="16" borderId="9" xfId="0" applyNumberFormat="1" applyFont="1" applyFill="1" applyBorder="1" applyAlignment="1">
      <alignment horizontal="centerContinuous"/>
    </xf>
    <xf numFmtId="0" fontId="35" fillId="16" borderId="9" xfId="0" applyFont="1" applyFill="1" applyBorder="1" applyAlignment="1">
      <alignment horizontal="centerContinuous"/>
    </xf>
    <xf numFmtId="4" fontId="35" fillId="16" borderId="9" xfId="1" applyNumberFormat="1" applyFont="1" applyFill="1" applyBorder="1" applyAlignment="1">
      <alignment horizontal="center"/>
    </xf>
    <xf numFmtId="9" fontId="35" fillId="16" borderId="9" xfId="3" applyFont="1" applyFill="1" applyBorder="1" applyAlignment="1">
      <alignment horizontal="center"/>
    </xf>
    <xf numFmtId="9" fontId="35" fillId="5" borderId="9" xfId="1" applyNumberFormat="1" applyFont="1" applyFill="1" applyBorder="1" applyAlignment="1">
      <alignment horizontal="center"/>
    </xf>
    <xf numFmtId="9" fontId="35" fillId="5" borderId="9" xfId="0" applyNumberFormat="1" applyFont="1" applyFill="1" applyBorder="1" applyAlignment="1">
      <alignment horizontal="center"/>
    </xf>
    <xf numFmtId="4" fontId="35" fillId="12" borderId="9" xfId="1" applyNumberFormat="1" applyFont="1" applyFill="1" applyBorder="1" applyAlignment="1">
      <alignment horizontal="center"/>
    </xf>
    <xf numFmtId="9" fontId="35" fillId="12" borderId="9" xfId="3" applyFont="1" applyFill="1" applyBorder="1" applyAlignment="1">
      <alignment horizontal="center"/>
    </xf>
    <xf numFmtId="0" fontId="13" fillId="9" borderId="2" xfId="0" applyFont="1" applyFill="1" applyBorder="1" applyAlignment="1">
      <alignment horizontal="left"/>
    </xf>
    <xf numFmtId="168" fontId="28" fillId="9" borderId="9" xfId="3" applyNumberFormat="1" applyFont="1" applyFill="1" applyBorder="1" applyAlignment="1">
      <alignment horizontal="left" vertical="center"/>
    </xf>
    <xf numFmtId="0" fontId="19" fillId="9" borderId="9" xfId="13" applyFont="1" applyFill="1" applyBorder="1" applyAlignment="1">
      <alignment horizontal="left" vertical="center" indent="1"/>
    </xf>
    <xf numFmtId="0" fontId="19" fillId="12" borderId="9" xfId="13" applyFont="1" applyFill="1" applyBorder="1" applyAlignment="1">
      <alignment horizontal="left" indent="1"/>
    </xf>
    <xf numFmtId="0" fontId="19" fillId="9" borderId="9" xfId="13" applyFont="1" applyFill="1" applyBorder="1" applyAlignment="1">
      <alignment horizontal="left" vertical="center"/>
    </xf>
    <xf numFmtId="0" fontId="0" fillId="0" borderId="9" xfId="0" applyBorder="1"/>
    <xf numFmtId="164" fontId="1" fillId="17" borderId="9" xfId="1" applyNumberFormat="1" applyFill="1" applyBorder="1"/>
    <xf numFmtId="164" fontId="35" fillId="7" borderId="9" xfId="1" applyNumberFormat="1" applyFont="1" applyFill="1" applyBorder="1" applyAlignment="1">
      <alignment vertical="center"/>
    </xf>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0" fontId="19" fillId="12" borderId="9" xfId="13" applyFont="1" applyFill="1" applyBorder="1" applyAlignment="1">
      <alignment horizontal="left"/>
    </xf>
    <xf numFmtId="0" fontId="19" fillId="12" borderId="9" xfId="0" applyFont="1" applyFill="1" applyBorder="1"/>
    <xf numFmtId="4" fontId="39" fillId="18" borderId="11" xfId="0" applyNumberFormat="1" applyFont="1" applyFill="1" applyBorder="1"/>
    <xf numFmtId="4" fontId="39" fillId="18" borderId="12" xfId="0" applyNumberFormat="1" applyFont="1" applyFill="1" applyBorder="1" applyAlignment="1">
      <alignment horizontal="centerContinuous"/>
    </xf>
    <xf numFmtId="4" fontId="38" fillId="18" borderId="12" xfId="1" applyNumberFormat="1" applyFont="1" applyFill="1" applyBorder="1" applyAlignment="1">
      <alignment horizontal="centerContinuous" vertical="center"/>
    </xf>
    <xf numFmtId="4" fontId="38" fillId="18" borderId="12" xfId="1" applyNumberFormat="1" applyFont="1" applyFill="1" applyBorder="1" applyAlignment="1">
      <alignment horizontal="centerContinuous" vertical="center" wrapText="1"/>
    </xf>
    <xf numFmtId="4" fontId="38" fillId="18" borderId="12" xfId="0" applyNumberFormat="1" applyFont="1" applyFill="1" applyBorder="1" applyAlignment="1">
      <alignment horizontal="centerContinuous" vertical="center"/>
    </xf>
    <xf numFmtId="0" fontId="0" fillId="0" borderId="8" xfId="0" applyBorder="1"/>
    <xf numFmtId="4" fontId="40" fillId="0" borderId="13" xfId="0" applyNumberFormat="1" applyFont="1" applyBorder="1"/>
    <xf numFmtId="0" fontId="40"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applyBorder="1"/>
    <xf numFmtId="0" fontId="41"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42"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43"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43" fillId="0" borderId="14" xfId="1" applyNumberFormat="1" applyFont="1" applyBorder="1" applyAlignment="1">
      <alignment wrapText="1"/>
    </xf>
    <xf numFmtId="164" fontId="43" fillId="0" borderId="14" xfId="1" applyNumberFormat="1" applyFont="1" applyBorder="1"/>
    <xf numFmtId="169" fontId="43" fillId="0" borderId="14" xfId="1" quotePrefix="1" applyNumberFormat="1" applyFont="1" applyBorder="1" applyAlignment="1">
      <alignment wrapText="1"/>
    </xf>
    <xf numFmtId="169" fontId="43"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41"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Border="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applyBorder="1"/>
    <xf numFmtId="169" fontId="8" fillId="19" borderId="14" xfId="1" applyNumberFormat="1" applyFont="1" applyFill="1" applyBorder="1" applyAlignment="1">
      <alignment horizontal="center" vertical="center"/>
    </xf>
    <xf numFmtId="43" fontId="9" fillId="0" borderId="9" xfId="1" applyFont="1" applyBorder="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9" fillId="18" borderId="14" xfId="0" applyNumberFormat="1" applyFont="1" applyFill="1" applyBorder="1"/>
    <xf numFmtId="169" fontId="39" fillId="18" borderId="14" xfId="1" applyNumberFormat="1" applyFont="1" applyFill="1" applyBorder="1" applyAlignment="1">
      <alignment horizontal="right"/>
    </xf>
    <xf numFmtId="169" fontId="39" fillId="18" borderId="14" xfId="0" applyNumberFormat="1" applyFont="1" applyFill="1" applyBorder="1" applyAlignment="1">
      <alignment horizontal="right"/>
    </xf>
    <xf numFmtId="169" fontId="39"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Border="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Border="1" applyAlignment="1">
      <alignment horizontal="center" vertical="center" wrapText="1"/>
    </xf>
    <xf numFmtId="0" fontId="11" fillId="0" borderId="8" xfId="0" applyFont="1" applyBorder="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9" fillId="18" borderId="12" xfId="1" applyNumberFormat="1" applyFont="1" applyFill="1" applyBorder="1" applyAlignment="1">
      <alignment horizontal="right" wrapText="1"/>
    </xf>
    <xf numFmtId="0" fontId="44" fillId="0" borderId="8" xfId="0" quotePrefix="1" applyFont="1" applyBorder="1" applyAlignment="1">
      <alignment horizontal="right"/>
    </xf>
    <xf numFmtId="169" fontId="44" fillId="0" borderId="8" xfId="0" quotePrefix="1" applyNumberFormat="1" applyFont="1" applyBorder="1"/>
    <xf numFmtId="169" fontId="2" fillId="0" borderId="8" xfId="1" applyNumberFormat="1" applyFont="1" applyBorder="1" applyAlignment="1">
      <alignment horizontal="center" vertical="center"/>
    </xf>
    <xf numFmtId="169" fontId="2" fillId="0" borderId="8" xfId="1" applyNumberFormat="1" applyFont="1" applyBorder="1" applyAlignment="1">
      <alignment horizontal="center" vertical="center" wrapText="1"/>
    </xf>
    <xf numFmtId="169" fontId="2" fillId="0" borderId="8" xfId="0" applyNumberFormat="1" applyFont="1" applyBorder="1" applyAlignment="1">
      <alignment horizontal="center" vertical="center"/>
    </xf>
    <xf numFmtId="0" fontId="0" fillId="0" borderId="8" xfId="0" applyBorder="1" applyAlignment="1">
      <alignment wrapText="1"/>
    </xf>
    <xf numFmtId="0" fontId="14" fillId="0" borderId="8" xfId="0" quotePrefix="1" applyFont="1" applyBorder="1"/>
    <xf numFmtId="164" fontId="0" fillId="0" borderId="8" xfId="1" applyNumberFormat="1" applyFont="1" applyBorder="1" applyAlignment="1">
      <alignment horizontal="center" vertical="center"/>
    </xf>
    <xf numFmtId="164" fontId="0" fillId="0" borderId="8" xfId="1" applyNumberFormat="1" applyFont="1" applyBorder="1" applyAlignment="1">
      <alignment horizontal="center" vertical="center" wrapText="1"/>
    </xf>
    <xf numFmtId="0" fontId="0" fillId="0" borderId="8" xfId="0" applyBorder="1" applyAlignment="1">
      <alignment horizontal="center" vertical="center"/>
    </xf>
    <xf numFmtId="164" fontId="0" fillId="0" borderId="8" xfId="1" applyNumberFormat="1" applyFont="1" applyBorder="1"/>
    <xf numFmtId="43" fontId="0" fillId="0" borderId="8" xfId="0" applyNumberFormat="1" applyBorder="1" applyAlignment="1">
      <alignment horizontal="center" vertical="center"/>
    </xf>
    <xf numFmtId="43" fontId="0" fillId="0" borderId="8" xfId="0" applyNumberFormat="1" applyBorder="1" applyAlignment="1">
      <alignment wrapText="1"/>
    </xf>
    <xf numFmtId="43" fontId="0" fillId="0" borderId="8" xfId="0" applyNumberFormat="1" applyBorder="1"/>
    <xf numFmtId="168" fontId="0" fillId="0" borderId="9" xfId="3" applyNumberFormat="1" applyFont="1" applyBorder="1"/>
    <xf numFmtId="0" fontId="19" fillId="12" borderId="8" xfId="0" applyFont="1" applyFill="1" applyBorder="1" applyAlignment="1">
      <alignment horizontal="left"/>
    </xf>
    <xf numFmtId="0" fontId="19" fillId="9" borderId="8" xfId="0" applyFont="1" applyFill="1" applyBorder="1" applyAlignment="1">
      <alignment horizontal="left"/>
    </xf>
    <xf numFmtId="0" fontId="0" fillId="0" borderId="9" xfId="0" applyBorder="1" applyAlignment="1">
      <alignment horizontal="left"/>
    </xf>
    <xf numFmtId="0" fontId="19" fillId="9" borderId="8" xfId="0" applyFont="1" applyFill="1" applyBorder="1"/>
    <xf numFmtId="0" fontId="19" fillId="12" borderId="8" xfId="0" applyFont="1" applyFill="1" applyBorder="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applyBorder="1"/>
    <xf numFmtId="164" fontId="19" fillId="9" borderId="8" xfId="0" applyNumberFormat="1" applyFont="1" applyFill="1" applyBorder="1"/>
    <xf numFmtId="164" fontId="19" fillId="9" borderId="8" xfId="0" applyNumberFormat="1" applyFont="1" applyFill="1" applyBorder="1" applyAlignment="1">
      <alignment horizontal="center"/>
    </xf>
    <xf numFmtId="0" fontId="19" fillId="12" borderId="8" xfId="0" applyFont="1" applyFill="1" applyBorder="1"/>
    <xf numFmtId="43" fontId="19" fillId="5" borderId="8" xfId="1" applyFont="1" applyFill="1" applyBorder="1"/>
    <xf numFmtId="43" fontId="19" fillId="9" borderId="8" xfId="1" applyFont="1" applyFill="1" applyBorder="1"/>
    <xf numFmtId="11" fontId="0" fillId="0" borderId="9" xfId="0" applyNumberFormat="1" applyBorder="1"/>
    <xf numFmtId="43" fontId="19" fillId="14" borderId="8" xfId="1" applyFont="1" applyFill="1" applyBorder="1"/>
    <xf numFmtId="0" fontId="19" fillId="13" borderId="8" xfId="0" applyFont="1" applyFill="1" applyBorder="1"/>
    <xf numFmtId="0" fontId="2" fillId="0" borderId="9" xfId="0" applyFont="1" applyBorder="1"/>
    <xf numFmtId="43" fontId="19" fillId="9" borderId="8" xfId="0" applyNumberFormat="1" applyFont="1" applyFill="1" applyBorder="1" applyAlignment="1">
      <alignment horizontal="center"/>
    </xf>
    <xf numFmtId="43" fontId="19" fillId="10" borderId="8" xfId="1" applyFont="1" applyFill="1" applyBorder="1"/>
    <xf numFmtId="43" fontId="19" fillId="5" borderId="8" xfId="0" applyNumberFormat="1" applyFont="1" applyFill="1" applyBorder="1"/>
    <xf numFmtId="43" fontId="19" fillId="9" borderId="8" xfId="0" applyNumberFormat="1" applyFont="1" applyFill="1" applyBorder="1"/>
    <xf numFmtId="0" fontId="19" fillId="9" borderId="8" xfId="0" applyFont="1" applyFill="1" applyBorder="1" applyAlignment="1">
      <alignment horizontal="right"/>
    </xf>
    <xf numFmtId="168" fontId="19" fillId="9" borderId="8" xfId="0" applyNumberFormat="1" applyFont="1" applyFill="1" applyBorder="1"/>
    <xf numFmtId="0" fontId="25" fillId="9" borderId="8" xfId="0" applyFont="1" applyFill="1" applyBorder="1"/>
    <xf numFmtId="0" fontId="24" fillId="9" borderId="8" xfId="0" applyFont="1" applyFill="1" applyBorder="1"/>
    <xf numFmtId="9" fontId="19" fillId="9" borderId="8" xfId="0" applyNumberFormat="1" applyFont="1" applyFill="1" applyBorder="1" applyAlignment="1">
      <alignment horizontal="right"/>
    </xf>
    <xf numFmtId="0" fontId="19" fillId="9" borderId="8" xfId="0" applyFont="1" applyFill="1" applyBorder="1" applyAlignment="1">
      <alignment horizontal="center"/>
    </xf>
    <xf numFmtId="0" fontId="24" fillId="9" borderId="8" xfId="0" applyFont="1" applyFill="1" applyBorder="1" applyAlignment="1">
      <alignment horizontal="center"/>
    </xf>
    <xf numFmtId="0" fontId="24" fillId="9" borderId="8" xfId="0" applyFont="1" applyFill="1" applyBorder="1" applyAlignment="1">
      <alignment wrapText="1"/>
    </xf>
    <xf numFmtId="171" fontId="24" fillId="9" borderId="8" xfId="0" applyNumberFormat="1" applyFont="1" applyFill="1" applyBorder="1"/>
    <xf numFmtId="9" fontId="24" fillId="9" borderId="8" xfId="0" applyNumberFormat="1" applyFont="1" applyFill="1" applyBorder="1" applyAlignment="1">
      <alignment horizontal="right" wrapText="1"/>
    </xf>
    <xf numFmtId="0" fontId="24" fillId="9" borderId="8" xfId="0" applyFont="1" applyFill="1" applyBorder="1" applyAlignment="1">
      <alignment horizontal="right" wrapText="1"/>
    </xf>
    <xf numFmtId="0" fontId="19" fillId="9" borderId="8" xfId="0" applyFont="1" applyFill="1" applyBorder="1" applyAlignment="1">
      <alignment horizontal="right" wrapText="1"/>
    </xf>
    <xf numFmtId="0" fontId="19" fillId="9" borderId="8" xfId="0" applyFont="1" applyFill="1" applyBorder="1" applyAlignment="1">
      <alignment wrapText="1"/>
    </xf>
    <xf numFmtId="172" fontId="24" fillId="9" borderId="8" xfId="0" applyNumberFormat="1" applyFont="1" applyFill="1" applyBorder="1"/>
    <xf numFmtId="168" fontId="24" fillId="9" borderId="8" xfId="0" applyNumberFormat="1" applyFont="1" applyFill="1" applyBorder="1"/>
    <xf numFmtId="173" fontId="24" fillId="9" borderId="8" xfId="0" applyNumberFormat="1" applyFont="1" applyFill="1" applyBorder="1"/>
    <xf numFmtId="0" fontId="8" fillId="0" borderId="9" xfId="0" applyFont="1" applyBorder="1"/>
    <xf numFmtId="164" fontId="22" fillId="9" borderId="9" xfId="1" applyNumberFormat="1" applyFont="1" applyFill="1" applyBorder="1"/>
    <xf numFmtId="0" fontId="22" fillId="9" borderId="9" xfId="0" applyFont="1" applyFill="1" applyBorder="1"/>
    <xf numFmtId="164" fontId="1" fillId="0" borderId="9" xfId="1" applyNumberFormat="1" applyBorder="1"/>
    <xf numFmtId="164" fontId="19" fillId="12" borderId="9" xfId="1" applyNumberFormat="1" applyFont="1" applyFill="1" applyBorder="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14" fontId="35" fillId="16" borderId="9" xfId="13" applyNumberFormat="1" applyFont="1" applyFill="1" applyBorder="1" applyAlignment="1">
      <alignment horizontal="left" vertical="center"/>
    </xf>
    <xf numFmtId="14" fontId="35" fillId="16" borderId="9" xfId="13" applyNumberFormat="1" applyFont="1" applyFill="1" applyBorder="1" applyAlignment="1">
      <alignment horizontal="right" vertical="center"/>
    </xf>
    <xf numFmtId="181" fontId="35" fillId="16" borderId="9" xfId="13" applyNumberFormat="1" applyFont="1" applyFill="1" applyBorder="1" applyAlignment="1">
      <alignment horizontal="right" vertical="center"/>
    </xf>
    <xf numFmtId="14" fontId="35" fillId="16" borderId="9" xfId="0" applyNumberFormat="1" applyFont="1" applyFill="1" applyBorder="1" applyAlignment="1">
      <alignment horizontal="right"/>
    </xf>
    <xf numFmtId="14" fontId="0" fillId="0" borderId="0" xfId="0" applyNumberFormat="1" applyBorder="1" applyAlignment="1">
      <alignment horizontal="right"/>
    </xf>
    <xf numFmtId="0" fontId="35" fillId="16" borderId="9" xfId="0" applyFont="1" applyFill="1" applyBorder="1" applyAlignment="1">
      <alignment horizontal="right"/>
    </xf>
    <xf numFmtId="0" fontId="19" fillId="16" borderId="9" xfId="13" applyFont="1" applyFill="1" applyBorder="1" applyAlignment="1">
      <alignment horizontal="right" vertical="center"/>
    </xf>
    <xf numFmtId="0" fontId="0" fillId="0" borderId="0" xfId="0" applyBorder="1" applyAlignment="1">
      <alignment horizontal="right"/>
    </xf>
    <xf numFmtId="0" fontId="45" fillId="9" borderId="17" xfId="0" applyFont="1" applyFill="1"/>
    <xf numFmtId="0" fontId="45" fillId="9" borderId="17" xfId="0" applyFont="1" applyFill="1" applyAlignment="1">
      <alignment horizontal="center"/>
    </xf>
    <xf numFmtId="4" fontId="45" fillId="9" borderId="17" xfId="0" applyNumberFormat="1" applyFont="1" applyFill="1"/>
    <xf numFmtId="14" fontId="45" fillId="16" borderId="17" xfId="13" applyNumberFormat="1" applyFont="1" applyFill="1" applyAlignment="1">
      <alignment horizontal="left" vertical="center"/>
    </xf>
    <xf numFmtId="14" fontId="45" fillId="16" borderId="17" xfId="13" applyNumberFormat="1" applyFont="1" applyFill="1" applyAlignment="1">
      <alignment horizontal="right" vertical="center"/>
    </xf>
    <xf numFmtId="181" fontId="45" fillId="16" borderId="17" xfId="13" applyNumberFormat="1" applyFont="1" applyFill="1" applyAlignment="1">
      <alignment horizontal="right" vertical="center"/>
    </xf>
    <xf numFmtId="14" fontId="45" fillId="16" borderId="17" xfId="0" applyNumberFormat="1" applyFont="1" applyFill="1" applyAlignment="1">
      <alignment horizontal="right"/>
    </xf>
    <xf numFmtId="168" fontId="46" fillId="12" borderId="17" xfId="3" applyNumberFormat="1" applyFont="1" applyFill="1" applyAlignment="1">
      <alignment horizontal="left" vertical="center"/>
    </xf>
    <xf numFmtId="168" fontId="46" fillId="12" borderId="17" xfId="3" applyNumberFormat="1" applyFont="1" applyFill="1" applyAlignment="1">
      <alignment vertical="center"/>
    </xf>
    <xf numFmtId="0" fontId="45" fillId="9" borderId="17" xfId="13" applyFont="1" applyFill="1" applyAlignment="1">
      <alignment horizontal="center" vertical="center"/>
    </xf>
    <xf numFmtId="174" fontId="45" fillId="9" borderId="17" xfId="13" applyNumberFormat="1" applyFont="1" applyFill="1" applyAlignment="1">
      <alignment horizontal="center" vertical="center"/>
    </xf>
    <xf numFmtId="174" fontId="45" fillId="9" borderId="17" xfId="13" applyNumberFormat="1" applyFont="1" applyFill="1" applyAlignment="1">
      <alignment horizontal="right" vertical="center"/>
    </xf>
    <xf numFmtId="4" fontId="45" fillId="12" borderId="17" xfId="0" applyNumberFormat="1" applyFont="1" applyFill="1"/>
    <xf numFmtId="0" fontId="45" fillId="9" borderId="17" xfId="13" applyFont="1" applyFill="1" applyAlignment="1">
      <alignment horizontal="left" vertical="center"/>
    </xf>
    <xf numFmtId="0" fontId="45" fillId="9" borderId="17" xfId="13" applyFont="1" applyFill="1" applyAlignment="1">
      <alignment vertical="center"/>
    </xf>
    <xf numFmtId="0" fontId="45" fillId="12" borderId="17" xfId="0" applyFont="1" applyFill="1" applyAlignment="1">
      <alignment vertical="top" wrapText="1"/>
    </xf>
    <xf numFmtId="0" fontId="45" fillId="12" borderId="17" xfId="13" applyFont="1" applyFill="1" applyAlignment="1">
      <alignment horizontal="left" vertical="center"/>
    </xf>
    <xf numFmtId="0" fontId="45" fillId="12" borderId="17" xfId="13" applyFont="1" applyFill="1" applyAlignment="1">
      <alignment vertical="center"/>
    </xf>
    <xf numFmtId="0" fontId="45" fillId="12" borderId="17" xfId="13" applyFont="1" applyFill="1" applyAlignment="1">
      <alignment horizontal="left" vertical="center" indent="1"/>
    </xf>
    <xf numFmtId="164" fontId="45" fillId="9" borderId="17" xfId="1" applyNumberFormat="1" applyFont="1" applyFill="1"/>
    <xf numFmtId="3" fontId="45" fillId="11" borderId="17" xfId="0" applyNumberFormat="1" applyFont="1" applyFill="1"/>
    <xf numFmtId="3" fontId="45" fillId="5" borderId="17" xfId="0" applyNumberFormat="1" applyFont="1" applyFill="1"/>
    <xf numFmtId="44" fontId="45" fillId="5" borderId="17" xfId="2" applyFont="1" applyFill="1" applyAlignment="1">
      <alignment horizontal="right" vertical="top" wrapText="1"/>
    </xf>
    <xf numFmtId="164" fontId="45" fillId="5" borderId="17" xfId="1" applyNumberFormat="1" applyFont="1" applyFill="1"/>
    <xf numFmtId="3" fontId="45" fillId="9" borderId="17" xfId="0" applyNumberFormat="1" applyFont="1" applyFill="1"/>
    <xf numFmtId="164" fontId="45" fillId="5" borderId="17" xfId="1" applyNumberFormat="1" applyFont="1" applyFill="1" applyAlignment="1">
      <alignment horizontal="right" vertical="top" wrapText="1"/>
    </xf>
    <xf numFmtId="0" fontId="45" fillId="12" borderId="17" xfId="0" applyFont="1" applyFill="1"/>
    <xf numFmtId="0" fontId="45" fillId="12" borderId="17" xfId="0" applyFont="1" applyFill="1" applyAlignment="1">
      <alignment horizontal="right"/>
    </xf>
    <xf numFmtId="44" fontId="45" fillId="9" borderId="17" xfId="2" applyFont="1" applyFill="1" applyAlignment="1">
      <alignment horizontal="right" vertical="top" wrapText="1"/>
    </xf>
    <xf numFmtId="164" fontId="45" fillId="11" borderId="17" xfId="1" applyNumberFormat="1" applyFont="1" applyFill="1"/>
    <xf numFmtId="1" fontId="45" fillId="9" borderId="17" xfId="0" applyNumberFormat="1" applyFont="1" applyFill="1"/>
    <xf numFmtId="0" fontId="45" fillId="9" borderId="17" xfId="0" applyFont="1" applyFill="1" applyAlignment="1">
      <alignment horizontal="right"/>
    </xf>
    <xf numFmtId="164" fontId="47" fillId="9" borderId="17" xfId="1" applyNumberFormat="1" applyFont="1" applyFill="1" applyAlignment="1">
      <alignment vertical="center"/>
    </xf>
    <xf numFmtId="3" fontId="45" fillId="14" borderId="17" xfId="0" applyNumberFormat="1" applyFont="1" applyFill="1"/>
    <xf numFmtId="164" fontId="47" fillId="11" borderId="17" xfId="1" applyNumberFormat="1" applyFont="1" applyFill="1" applyAlignment="1">
      <alignment vertical="center"/>
    </xf>
    <xf numFmtId="164" fontId="47" fillId="14" borderId="17" xfId="1" applyNumberFormat="1" applyFont="1" applyFill="1" applyAlignment="1">
      <alignment vertical="center"/>
    </xf>
    <xf numFmtId="164" fontId="45" fillId="9" borderId="17" xfId="0" applyNumberFormat="1" applyFont="1" applyFill="1"/>
    <xf numFmtId="3" fontId="47" fillId="9" borderId="17" xfId="0" applyNumberFormat="1" applyFont="1" applyFill="1"/>
    <xf numFmtId="0" fontId="47" fillId="9" borderId="17" xfId="0" applyFont="1" applyFill="1"/>
    <xf numFmtId="0" fontId="45" fillId="9" borderId="17" xfId="0" applyFont="1" applyFill="1" applyAlignment="1">
      <alignment horizontal="left"/>
    </xf>
    <xf numFmtId="168" fontId="47" fillId="12" borderId="17" xfId="0" applyNumberFormat="1" applyFont="1" applyFill="1"/>
    <xf numFmtId="0" fontId="48" fillId="9" borderId="17" xfId="0" applyFont="1" applyFill="1" applyAlignment="1">
      <alignment horizontal="center"/>
    </xf>
    <xf numFmtId="166" fontId="45" fillId="11" borderId="17" xfId="2" applyNumberFormat="1" applyFont="1" applyFill="1" applyAlignment="1">
      <alignment horizontal="right" vertical="top" wrapText="1"/>
    </xf>
    <xf numFmtId="166" fontId="45" fillId="5" borderId="17" xfId="2" applyNumberFormat="1" applyFont="1" applyFill="1" applyAlignment="1">
      <alignment horizontal="right" vertical="top" wrapText="1"/>
    </xf>
    <xf numFmtId="0" fontId="47" fillId="12" borderId="17" xfId="0" applyFont="1" applyFill="1" applyAlignment="1">
      <alignment horizontal="left"/>
    </xf>
    <xf numFmtId="0" fontId="47" fillId="12" borderId="17" xfId="0" applyFont="1" applyFill="1"/>
    <xf numFmtId="0" fontId="47" fillId="12" borderId="17" xfId="0" applyFont="1" applyFill="1" applyAlignment="1">
      <alignment horizontal="right"/>
    </xf>
    <xf numFmtId="0" fontId="47" fillId="9" borderId="17" xfId="0" applyFont="1" applyFill="1" applyAlignment="1">
      <alignment horizontal="right"/>
    </xf>
    <xf numFmtId="0" fontId="45" fillId="9" borderId="17" xfId="0" applyFont="1" applyFill="1" applyAlignment="1">
      <alignment horizontal="centerContinuous"/>
    </xf>
    <xf numFmtId="3" fontId="47" fillId="11" borderId="17" xfId="0" applyNumberFormat="1" applyFont="1" applyFill="1"/>
    <xf numFmtId="3" fontId="47" fillId="14" borderId="17" xfId="0" applyNumberFormat="1" applyFont="1" applyFill="1"/>
    <xf numFmtId="3" fontId="45" fillId="5" borderId="17" xfId="1" applyNumberFormat="1" applyFont="1" applyFill="1"/>
    <xf numFmtId="44" fontId="45" fillId="11" borderId="17" xfId="2" applyFont="1" applyFill="1" applyAlignment="1">
      <alignment horizontal="right" vertical="top" wrapText="1"/>
    </xf>
    <xf numFmtId="0" fontId="47" fillId="9" borderId="17" xfId="0" applyFont="1" applyFill="1" applyAlignment="1">
      <alignment horizontal="centerContinuous"/>
    </xf>
    <xf numFmtId="0" fontId="47" fillId="9" borderId="17" xfId="13" applyFont="1" applyFill="1" applyAlignment="1">
      <alignment horizontal="left" vertical="center" indent="1"/>
    </xf>
    <xf numFmtId="3" fontId="45" fillId="9" borderId="17" xfId="0" applyNumberFormat="1" applyFont="1" applyFill="1" applyAlignment="1">
      <alignment horizontal="center"/>
    </xf>
    <xf numFmtId="164" fontId="45" fillId="9" borderId="17" xfId="0" applyNumberFormat="1" applyFont="1" applyFill="1" applyAlignment="1">
      <alignment horizontal="center"/>
    </xf>
    <xf numFmtId="0" fontId="47" fillId="9" borderId="17" xfId="13" applyFont="1" applyFill="1" applyAlignment="1">
      <alignment horizontal="right" vertical="center" indent="1"/>
    </xf>
    <xf numFmtId="181" fontId="35" fillId="17" borderId="9" xfId="13" applyNumberFormat="1" applyFont="1" applyFill="1" applyBorder="1" applyAlignment="1">
      <alignment horizontal="right" vertical="center"/>
    </xf>
    <xf numFmtId="0" fontId="19" fillId="2" borderId="9" xfId="0" applyFont="1" applyFill="1" applyBorder="1"/>
    <xf numFmtId="0" fontId="35" fillId="9" borderId="17" xfId="0" applyFont="1" applyFill="1" applyAlignment="1">
      <alignment horizontal="center"/>
    </xf>
    <xf numFmtId="0" fontId="0" fillId="0" borderId="0" xfId="0" applyBorder="1"/>
    <xf numFmtId="0" fontId="35" fillId="2" borderId="9" xfId="0" applyFont="1" applyFill="1" applyBorder="1"/>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81" activePane="bottomRight" state="frozen"/>
      <selection pane="topRight" activeCell="B1" sqref="B1"/>
      <selection pane="bottomLeft" activeCell="A3" sqref="A3"/>
      <selection pane="bottomRight" activeCell="B101" sqref="B101"/>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17</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18</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19</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20</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18</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19</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21</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22</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23</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20</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24</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25</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18</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19</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21</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18</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19</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21</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18</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19</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21</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26</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27</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28</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29</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30</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31</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32</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33</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34</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35</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36</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37</v>
      </c>
      <c r="B60" s="65">
        <f>lgh_oc!B8</f>
        <v>0</v>
      </c>
      <c r="C60" s="65">
        <f>lgh_oc!C8</f>
        <v>0</v>
      </c>
      <c r="D60" s="65">
        <f>lgh_oc!D8</f>
        <v>0</v>
      </c>
      <c r="E60" s="65">
        <f>lgh_oc!E8</f>
        <v>0</v>
      </c>
      <c r="F60" s="65">
        <f>lgh_oc!F8</f>
        <v>0</v>
      </c>
      <c r="G60" s="65">
        <f>lgh_oc!G8</f>
        <v>50000</v>
      </c>
      <c r="H60" s="65">
        <f>lgh_oc!H8</f>
        <v>50000</v>
      </c>
      <c r="I60" s="65">
        <f>lgh_oc!I8</f>
        <v>50000</v>
      </c>
      <c r="J60" s="65">
        <f>lgh_oc!J8</f>
        <v>50000</v>
      </c>
      <c r="K60" s="65">
        <f>lgh_oc!K8</f>
        <v>250000</v>
      </c>
      <c r="L60" s="65">
        <f>lgh_oc!L8</f>
        <v>250000</v>
      </c>
      <c r="M60" s="65">
        <f>lgh_oc!M8</f>
        <v>250000</v>
      </c>
      <c r="N60" s="65">
        <f>lgh_oc!N8</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38</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39</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40</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41</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42</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38</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43</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44</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45</v>
      </c>
      <c r="B77" s="50">
        <f>+lgh_other_assets!B46</f>
        <v>3570254</v>
      </c>
      <c r="C77" s="50">
        <f>+lgh_other_assets!C46</f>
        <v>4318174.1939285714</v>
      </c>
      <c r="D77" s="50">
        <f>+lgh_other_assets!D46</f>
        <v>6116942.3878571428</v>
      </c>
      <c r="E77" s="50">
        <f>+lgh_other_assets!E46</f>
        <v>4951761.5817857143</v>
      </c>
      <c r="F77" s="50">
        <f>+lgh_other_assets!F46</f>
        <v>2784794.7757142857</v>
      </c>
      <c r="G77" s="50">
        <f>+lgh_other_assets!G46</f>
        <v>3150708.9751250003</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46</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47</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48</v>
      </c>
      <c r="B82" s="50">
        <f>lgh_oc!B73</f>
        <v>251128</v>
      </c>
      <c r="C82" s="50">
        <f>lgh_oc!C73</f>
        <v>1854835.2390672918</v>
      </c>
      <c r="D82" s="50">
        <f>lgh_oc!D73</f>
        <v>-2432355.9798612781</v>
      </c>
      <c r="E82" s="50">
        <f>lgh_oc!E73</f>
        <v>-5195946.3163174521</v>
      </c>
      <c r="F82" s="50">
        <f>lgh_oc!F73</f>
        <v>421309.51999999979</v>
      </c>
      <c r="G82" s="50">
        <f>lgh_oc!G73</f>
        <v>5587282.1152380947</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49</v>
      </c>
      <c r="B83" s="50">
        <f>lgh_oc!B25</f>
        <v>0</v>
      </c>
      <c r="C83" s="50">
        <f>lgh_oc!C25</f>
        <v>-250000</v>
      </c>
      <c r="D83" s="50">
        <f>lgh_oc!D25</f>
        <v>-250000</v>
      </c>
      <c r="E83" s="50">
        <f>lgh_oc!E25</f>
        <v>-250000</v>
      </c>
      <c r="F83" s="50">
        <f>lgh_oc!F25</f>
        <v>-250000</v>
      </c>
      <c r="G83" s="50">
        <f>lgh_oc!G25</f>
        <v>-250000</v>
      </c>
      <c r="H83" s="50">
        <f>lgh_oc!H25</f>
        <v>-250000</v>
      </c>
      <c r="I83" s="50">
        <f>lgh_oc!I25</f>
        <v>-250000</v>
      </c>
      <c r="J83" s="50">
        <f>lgh_oc!J25</f>
        <v>-250000</v>
      </c>
      <c r="K83" s="50">
        <f>lgh_oc!K25</f>
        <v>-1000000</v>
      </c>
      <c r="L83" s="50">
        <f>lgh_oc!L25</f>
        <v>-1000000</v>
      </c>
      <c r="M83" s="50">
        <f>lgh_oc!M25</f>
        <v>-1000000</v>
      </c>
      <c r="N83" s="50">
        <f>lgh_oc!N25</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50</v>
      </c>
      <c r="B86" s="50">
        <f>+lgh_ci!B11</f>
        <v>0</v>
      </c>
      <c r="C86" s="50">
        <f>+lgh_ci!C11</f>
        <v>0</v>
      </c>
      <c r="D86" s="50">
        <f>+lgh_ci!D11</f>
        <v>0</v>
      </c>
      <c r="E86" s="50">
        <f>+lgh_ci!E11</f>
        <v>3030197.3462850195</v>
      </c>
      <c r="F86" s="50">
        <f>+lgh_ci!F11</f>
        <v>657052.17089763575</v>
      </c>
      <c r="G86" s="50">
        <f>+lgh_ci!G11</f>
        <v>2764280.6065831347</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51</v>
      </c>
      <c r="B87" s="50">
        <f>+lgh_ci!B15</f>
        <v>0</v>
      </c>
      <c r="C87" s="50">
        <f>+lgh_ci!C15</f>
        <v>0</v>
      </c>
      <c r="D87" s="50">
        <f>+lgh_ci!D15</f>
        <v>0</v>
      </c>
      <c r="E87" s="50">
        <f>+lgh_ci!E15</f>
        <v>3499999.9999999995</v>
      </c>
      <c r="F87" s="50">
        <f>+lgh_ci!F15</f>
        <v>-657052.17089763575</v>
      </c>
      <c r="G87" s="50">
        <f>+lgh_ci!G15</f>
        <v>-130542.9950569733</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52</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53</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54</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55</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56</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57</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58</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59</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60</v>
      </c>
      <c r="B101" s="50">
        <f>+lgh_other_assets!B26</f>
        <v>-1540999</v>
      </c>
      <c r="C101" s="50">
        <f>+lgh_other_assets!C26</f>
        <v>-596442.81892857142</v>
      </c>
      <c r="D101" s="50">
        <f>+lgh_other_assets!D26</f>
        <v>769541.18107142858</v>
      </c>
      <c r="E101" s="50">
        <f>+lgh_other_assets!E26</f>
        <v>1124903.1810714286</v>
      </c>
      <c r="F101" s="50">
        <f>+lgh_other_assets!F26</f>
        <v>-531053.81892857142</v>
      </c>
      <c r="G101" s="50">
        <f>+lgh_other_assets!G26</f>
        <v>1924884.2757142857</v>
      </c>
      <c r="H101" s="50">
        <f>+lgh_other_assets!H26</f>
        <v>0</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61</v>
      </c>
      <c r="B102" s="50">
        <f>lgh_cuda!B7</f>
        <v>0</v>
      </c>
      <c r="C102" s="50">
        <f>lgh_cuda!C7</f>
        <v>0</v>
      </c>
      <c r="D102" s="50">
        <f>lgh_cuda!D7</f>
        <v>-1200000</v>
      </c>
      <c r="E102" s="50">
        <f>lgh_cuda!E7</f>
        <v>0</v>
      </c>
      <c r="F102" s="50">
        <f>lgh_cuda!F7</f>
        <v>0</v>
      </c>
      <c r="G102" s="50">
        <f>lgh_cuda!G7</f>
        <v>0</v>
      </c>
      <c r="H102" s="50">
        <f>lgh_cuda!H7</f>
        <v>0</v>
      </c>
      <c r="I102" s="50">
        <f>lgh_cuda!I7</f>
        <v>0</v>
      </c>
      <c r="J102" s="50">
        <f>lgh_cuda!J7</f>
        <v>0</v>
      </c>
      <c r="K102" s="50">
        <f>lgh_cuda!K7</f>
        <v>0</v>
      </c>
      <c r="L102" s="50">
        <f>lgh_cuda!L7</f>
        <v>0</v>
      </c>
      <c r="M102" s="50">
        <f>lgh_cuda!M7</f>
        <v>0</v>
      </c>
      <c r="N102" s="50">
        <f>lgh_cuda!N7</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46" t="s">
        <v>62</v>
      </c>
      <c r="B104" s="59">
        <f>-'c12_oc'!E62</f>
        <v>1540999</v>
      </c>
      <c r="C104" s="59">
        <f>-'c12_oc'!L62</f>
        <v>2137441.8189285714</v>
      </c>
      <c r="D104" s="59">
        <f>-'c12_oc'!M62</f>
        <v>2659732.6378571428</v>
      </c>
      <c r="E104" s="59">
        <f>-'c12_oc'!N62</f>
        <v>2934829.4567857143</v>
      </c>
      <c r="F104" s="59">
        <f>-'c12_oc'!O62</f>
        <v>1924884.2757142857</v>
      </c>
      <c r="G104" s="59">
        <f>-'c12_oc'!P62</f>
        <v>0</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63</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64</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65</v>
      </c>
      <c r="E2" s="62"/>
      <c r="F2" s="43"/>
      <c r="G2" s="43"/>
      <c r="H2" s="43"/>
      <c r="I2" s="43"/>
      <c r="J2" s="43"/>
      <c r="K2" s="87" t="s">
        <v>66</v>
      </c>
      <c r="L2" s="62"/>
      <c r="M2" s="43"/>
      <c r="N2" s="43"/>
      <c r="O2" s="43"/>
      <c r="P2" s="43"/>
      <c r="Q2" s="43"/>
      <c r="R2" s="87" t="s">
        <v>66</v>
      </c>
      <c r="S2" s="62"/>
      <c r="T2" s="43"/>
      <c r="U2" s="43"/>
    </row>
    <row r="3" spans="1:21">
      <c r="A3" s="43"/>
      <c r="B3" s="43"/>
      <c r="C3" s="43"/>
      <c r="D3" s="88" t="s">
        <v>67</v>
      </c>
      <c r="E3" s="89">
        <f>(lgh_bs!G51*E4)/1000000</f>
        <v>107.16182193046978</v>
      </c>
      <c r="F3" s="43"/>
      <c r="G3" s="43"/>
      <c r="H3" s="43"/>
      <c r="I3" s="43"/>
      <c r="J3" s="43"/>
      <c r="K3" s="88" t="s">
        <v>68</v>
      </c>
      <c r="L3" s="89">
        <f>(lgh_bs!G53*$L$4)/1000000</f>
        <v>154.89122699283433</v>
      </c>
      <c r="M3" s="43"/>
      <c r="N3" s="43"/>
      <c r="O3" s="43"/>
      <c r="P3" s="43"/>
      <c r="Q3" s="43"/>
      <c r="R3" s="88" t="s">
        <v>68</v>
      </c>
      <c r="S3" s="90">
        <v>154.4599119321139</v>
      </c>
      <c r="T3" s="43"/>
      <c r="U3" s="43"/>
    </row>
    <row r="4" spans="1:21">
      <c r="A4" s="43"/>
      <c r="B4" s="43"/>
      <c r="C4" s="43"/>
      <c r="D4" s="86" t="s">
        <v>69</v>
      </c>
      <c r="E4" s="91">
        <f>1-E5</f>
        <v>1</v>
      </c>
      <c r="F4" s="43"/>
      <c r="G4" s="43"/>
      <c r="H4" s="43"/>
      <c r="I4" s="43"/>
      <c r="J4" s="43"/>
      <c r="K4" s="92" t="s">
        <v>69</v>
      </c>
      <c r="L4" s="91">
        <f>1-L5</f>
        <v>1</v>
      </c>
      <c r="M4" s="43"/>
      <c r="N4" s="43"/>
      <c r="O4" s="43"/>
      <c r="P4" s="43"/>
      <c r="Q4" s="43"/>
      <c r="R4" s="92" t="s">
        <v>69</v>
      </c>
      <c r="S4" s="93">
        <v>1</v>
      </c>
      <c r="T4" s="43"/>
      <c r="U4" s="43"/>
    </row>
    <row r="5" spans="1:21">
      <c r="A5" s="43"/>
      <c r="B5" s="43"/>
      <c r="C5" s="43"/>
      <c r="D5" s="86" t="s">
        <v>70</v>
      </c>
      <c r="E5" s="78">
        <v>0</v>
      </c>
      <c r="F5" s="43"/>
      <c r="G5" s="43"/>
      <c r="H5" s="43"/>
      <c r="I5" s="43"/>
      <c r="J5" s="43"/>
      <c r="K5" s="94" t="s">
        <v>70</v>
      </c>
      <c r="L5" s="78">
        <v>0</v>
      </c>
      <c r="M5" s="43"/>
      <c r="N5" s="43"/>
      <c r="O5" s="43"/>
      <c r="P5" s="43"/>
      <c r="Q5" s="43"/>
      <c r="R5" s="94" t="s">
        <v>70</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71</v>
      </c>
      <c r="F8" s="43"/>
      <c r="G8" s="43"/>
      <c r="H8" s="43"/>
      <c r="I8" s="43"/>
      <c r="J8" s="43"/>
      <c r="K8" s="43"/>
      <c r="L8" s="95" t="s">
        <v>72</v>
      </c>
      <c r="M8" s="43"/>
      <c r="N8" s="43"/>
      <c r="O8" s="43"/>
      <c r="P8" s="43"/>
      <c r="Q8" s="43"/>
      <c r="R8" s="43"/>
      <c r="S8" s="95" t="s">
        <v>72</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73</v>
      </c>
      <c r="D10" s="98"/>
      <c r="E10" s="98"/>
      <c r="F10" s="98"/>
      <c r="G10" s="98"/>
      <c r="H10" s="43"/>
      <c r="I10" s="43"/>
      <c r="J10" s="97" t="s">
        <v>74</v>
      </c>
      <c r="K10" s="98"/>
      <c r="L10" s="98"/>
      <c r="M10" s="98"/>
      <c r="N10" s="98"/>
      <c r="O10" s="43"/>
      <c r="P10" s="43"/>
      <c r="Q10" s="97" t="s">
        <v>74</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75</v>
      </c>
      <c r="C12" s="102">
        <f>+C11/$E3</f>
        <v>1.0391771208799732</v>
      </c>
      <c r="D12" s="102">
        <f>+D11/$E3</f>
        <v>1.1896039516970029</v>
      </c>
      <c r="E12" s="102">
        <f>+E11/$E3</f>
        <v>1.4274388459936804</v>
      </c>
      <c r="F12" s="102">
        <f>+F11/$E3</f>
        <v>1.7088950150765927</v>
      </c>
      <c r="G12" s="102">
        <f>+G11/$E3</f>
        <v>1.9784358150436687</v>
      </c>
      <c r="H12" s="43"/>
      <c r="I12" s="101" t="s">
        <v>75</v>
      </c>
      <c r="J12" s="102">
        <f>+J11/$L$3</f>
        <v>1.0829185840393885</v>
      </c>
      <c r="K12" s="102">
        <f>+K11/$L$3</f>
        <v>1.2456890991635132</v>
      </c>
      <c r="L12" s="102">
        <f>+L11/$L$3</f>
        <v>1.4653050459977808</v>
      </c>
      <c r="M12" s="102">
        <f>+M11/$L$3</f>
        <v>1.7000661234331877</v>
      </c>
      <c r="N12" s="102">
        <f>+N11/$L$3</f>
        <v>1.9333521615853115</v>
      </c>
      <c r="O12" s="43"/>
      <c r="P12" s="101" t="s">
        <v>75</v>
      </c>
      <c r="Q12" s="103">
        <v>1.091155379884605</v>
      </c>
      <c r="R12" s="103">
        <v>1.2575797189221929</v>
      </c>
      <c r="S12" s="103">
        <v>1.4818516210023509</v>
      </c>
      <c r="T12" s="103">
        <v>1.7229628406684141</v>
      </c>
      <c r="U12" s="103">
        <v>1.963956559134155</v>
      </c>
    </row>
    <row r="13" spans="1:21">
      <c r="A13" s="43"/>
      <c r="B13" s="101" t="s">
        <v>76</v>
      </c>
      <c r="C13" s="104">
        <f>+C11/E3-1</f>
        <v>3.917712087997316E-2</v>
      </c>
      <c r="D13" s="104">
        <f>+D11/C11-1</f>
        <v>0.14475571853395763</v>
      </c>
      <c r="E13" s="104">
        <f>+E11/D11-1</f>
        <v>0.19992779442048714</v>
      </c>
      <c r="F13" s="104">
        <f>+F11/E11-1</f>
        <v>0.19717564074486349</v>
      </c>
      <c r="G13" s="104">
        <f>+G11/F11-1</f>
        <v>0.15772812114791912</v>
      </c>
      <c r="H13" s="43"/>
      <c r="I13" s="101" t="s">
        <v>76</v>
      </c>
      <c r="J13" s="104">
        <f>+J11/L3-1</f>
        <v>8.2918584039388454E-2</v>
      </c>
      <c r="K13" s="104">
        <f>+K11/J11-1</f>
        <v>0.15030725072329587</v>
      </c>
      <c r="L13" s="104">
        <f>+L11/K11-1</f>
        <v>0.17630076957544283</v>
      </c>
      <c r="M13" s="104">
        <f>+M11/L11-1</f>
        <v>0.16021310926118426</v>
      </c>
      <c r="N13" s="104">
        <f>+N11/M11-1</f>
        <v>0.13722174387018304</v>
      </c>
      <c r="O13" s="43"/>
      <c r="P13" s="101" t="s">
        <v>76</v>
      </c>
      <c r="Q13" s="105">
        <v>9.1155379884604537E-2</v>
      </c>
      <c r="R13" s="105">
        <v>0.1525212101829059</v>
      </c>
      <c r="S13" s="105">
        <v>0.17833613146399149</v>
      </c>
      <c r="T13" s="105">
        <v>0.16270942127321189</v>
      </c>
      <c r="U13" s="105">
        <v>0.13987168659554411</v>
      </c>
    </row>
    <row r="14" spans="1:21">
      <c r="A14" s="43"/>
      <c r="B14" s="106" t="s">
        <v>77</v>
      </c>
      <c r="C14" s="104">
        <f>(C11/$E3)^(1/((lgh_bs!J$2-lgh_bs!$G$2)/365))-1</f>
        <v>5.2329196010341583E-2</v>
      </c>
      <c r="D14" s="104">
        <f>(D11/$E3)^(1/((lgh_bs!K$2-lgh_bs!$G$2)/365))-1</f>
        <v>0.10408606921684505</v>
      </c>
      <c r="E14" s="104">
        <f>($E$11/$E$3)^(1/((lgh_bs!$L$2-lgh_bs!$G$2)/365))-1</f>
        <v>0.13782908116502957</v>
      </c>
      <c r="F14" s="104">
        <f>(F11/$E3)^(1/((lgh_bs!M$2-lgh_bs!$G$2)/365))-1</f>
        <v>0.15333531595332084</v>
      </c>
      <c r="G14" s="104">
        <f>($G$11/$E$3)^(1/((lgh_bs!$N$2-lgh_bs!$G$2)/365))-1</f>
        <v>0.15425753248984031</v>
      </c>
      <c r="H14" s="43"/>
      <c r="I14" s="106" t="s">
        <v>77</v>
      </c>
      <c r="J14" s="104">
        <f>+(J11/$L$3)^(1/((lgh_bs!J$2-lgh_bs!$G$2)/365))-1</f>
        <v>0.11152201992439226</v>
      </c>
      <c r="K14" s="104">
        <f>+(K11/$L$3)^(1/((lgh_bs!K$2-lgh_bs!$G$2)/365))-1</f>
        <v>0.13347859718680466</v>
      </c>
      <c r="L14" s="104">
        <f>+(L11/$L$3)^(1/((lgh_bs!L$2-lgh_bs!$G$2)/365))-1</f>
        <v>0.14868915640626779</v>
      </c>
      <c r="M14" s="104">
        <f>+(M11/$L$3)^(1/((lgh_bs!M$2-lgh_bs!$G$2)/365))-1</f>
        <v>0.15174593981907503</v>
      </c>
      <c r="N14" s="104">
        <f>+(N11/$L$3)^(1/((lgh_bs!N$2-lgh_bs!$G$2)/365))-1</f>
        <v>0.14867685553462628</v>
      </c>
      <c r="O14" s="43"/>
      <c r="P14" s="106" t="s">
        <v>77</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78</v>
      </c>
      <c r="D16" s="98"/>
      <c r="E16" s="98"/>
      <c r="F16" s="98"/>
      <c r="G16" s="98"/>
      <c r="H16" s="43"/>
      <c r="I16" s="43"/>
      <c r="J16" s="97" t="s">
        <v>79</v>
      </c>
      <c r="K16" s="107"/>
      <c r="L16" s="107"/>
      <c r="M16" s="107"/>
      <c r="N16" s="107"/>
      <c r="O16" s="43"/>
      <c r="P16" s="43"/>
      <c r="Q16" s="97" t="s">
        <v>79</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75</v>
      </c>
      <c r="C18" s="102">
        <f>+C17/$E$3</f>
        <v>1.1938183781376095</v>
      </c>
      <c r="D18" s="102">
        <f>+D17/$E$3</f>
        <v>1.3994527352009403</v>
      </c>
      <c r="E18" s="102">
        <f>+E17/$E$3</f>
        <v>1.7253574387157908</v>
      </c>
      <c r="F18" s="102">
        <f>+F17/$E$3</f>
        <v>2.0405427561828695</v>
      </c>
      <c r="G18" s="102">
        <f>+G17/$E$3</f>
        <v>2.4030273270237648</v>
      </c>
      <c r="H18" s="43"/>
      <c r="I18" s="101" t="s">
        <v>75</v>
      </c>
      <c r="J18" s="108">
        <f>+J17/$L$3</f>
        <v>1.1668484505165995</v>
      </c>
      <c r="K18" s="108">
        <f>+K17/$L$3</f>
        <v>1.3610926655696787</v>
      </c>
      <c r="L18" s="108">
        <f>+L17/$L$3</f>
        <v>1.6415577655999245</v>
      </c>
      <c r="M18" s="108">
        <f>+M17/$L$3</f>
        <v>1.9140872829500764</v>
      </c>
      <c r="N18" s="108">
        <f>+N17/$L$3</f>
        <v>2.2271066942555509</v>
      </c>
      <c r="O18" s="43"/>
      <c r="P18" s="101" t="s">
        <v>75</v>
      </c>
      <c r="Q18" s="109">
        <v>1.1842752803434471</v>
      </c>
      <c r="R18" s="109">
        <v>1.389460777947028</v>
      </c>
      <c r="S18" s="109">
        <v>1.684193181708173</v>
      </c>
      <c r="T18" s="109">
        <v>1.97603432123691</v>
      </c>
      <c r="U18" s="109">
        <v>2.3127017637973748</v>
      </c>
    </row>
    <row r="19" spans="1:21">
      <c r="A19" s="43"/>
      <c r="B19" s="101" t="s">
        <v>76</v>
      </c>
      <c r="C19" s="104">
        <f>+C17/E3-1</f>
        <v>0.19381837813760949</v>
      </c>
      <c r="D19" s="104">
        <f>+D17/C17-1</f>
        <v>0.17224928081952151</v>
      </c>
      <c r="E19" s="104">
        <f>+E17/D17-1</f>
        <v>0.23288010757151834</v>
      </c>
      <c r="F19" s="104">
        <f>+F17/E17-1</f>
        <v>0.18267827314766483</v>
      </c>
      <c r="G19" s="104">
        <f>+G17/F17-1</f>
        <v>0.17764125242784701</v>
      </c>
      <c r="H19" s="43"/>
      <c r="I19" s="101" t="s">
        <v>76</v>
      </c>
      <c r="J19" s="104">
        <f>+J17/L3-1</f>
        <v>0.16684845051659947</v>
      </c>
      <c r="K19" s="104">
        <f>+K17/J17-1</f>
        <v>0.16646910313595664</v>
      </c>
      <c r="L19" s="104">
        <f>+L17/K17-1</f>
        <v>0.2060587843318209</v>
      </c>
      <c r="M19" s="104">
        <f>+M17/L17-1</f>
        <v>0.16601884079939944</v>
      </c>
      <c r="N19" s="104">
        <f>+N17/M17-1</f>
        <v>0.1635345546118645</v>
      </c>
      <c r="O19" s="43"/>
      <c r="P19" s="101" t="s">
        <v>76</v>
      </c>
      <c r="Q19" s="105">
        <v>0.18427528034344709</v>
      </c>
      <c r="R19" s="105">
        <v>0.1732582795649307</v>
      </c>
      <c r="S19" s="105">
        <v>0.21211998815585201</v>
      </c>
      <c r="T19" s="105">
        <v>0.1732824611204877</v>
      </c>
      <c r="U19" s="105">
        <v>0.17037530114847679</v>
      </c>
    </row>
    <row r="20" spans="1:21">
      <c r="A20" s="43"/>
      <c r="B20" s="106" t="s">
        <v>77</v>
      </c>
      <c r="C20" s="104">
        <f>(C17/$E$3)^(1/((lgh_bs!J$2-lgh_bs!$G$2)/365))-1</f>
        <v>0.26508018845636117</v>
      </c>
      <c r="D20" s="104">
        <f>(D17/$E$3)^(1/((lgh_bs!K$2-lgh_bs!$G$2)/365))-1</f>
        <v>0.21127235688853707</v>
      </c>
      <c r="E20" s="104">
        <f>(E17/$E$3)^(1/((lgh_bs!L$2-lgh_bs!$G$2)/365))-1</f>
        <v>0.21883577559263023</v>
      </c>
      <c r="F20" s="104">
        <f>(F17/$E$3)^(1/((lgh_bs!M$2-lgh_bs!$G$2)/365))-1</f>
        <v>0.20910299516431596</v>
      </c>
      <c r="G20" s="104">
        <f>(G17/$E$3)^(1/((lgh_bs!N$2-lgh_bs!$G$2)/365))-1</f>
        <v>0.20241901259566109</v>
      </c>
      <c r="H20" s="43"/>
      <c r="I20" s="106" t="s">
        <v>77</v>
      </c>
      <c r="J20" s="104">
        <f>(J17/$L3)^(1/((lgh_bs!J$2-lgh_bs!$G$2)/365))-1</f>
        <v>0.22728791254550385</v>
      </c>
      <c r="K20" s="104">
        <f>(K17/$L3)^(1/((lgh_bs!K$2-lgh_bs!$G$2)/365))-1</f>
        <v>0.19222390450051474</v>
      </c>
      <c r="L20" s="104">
        <f>(L17/$L3)^(1/((lgh_bs!L$2-lgh_bs!$G$2)/365))-1</f>
        <v>0.19701585430345414</v>
      </c>
      <c r="M20" s="104">
        <f>(M17/$L3)^(1/((lgh_bs!M$2-lgh_bs!$G$2)/365))-1</f>
        <v>0.18868395322650189</v>
      </c>
      <c r="N20" s="104">
        <f>(N17/$L3)^(1/((lgh_bs!N$2-lgh_bs!$G$2)/365))-1</f>
        <v>0.18335146295002525</v>
      </c>
      <c r="O20" s="43"/>
      <c r="P20" s="106" t="s">
        <v>77</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80</v>
      </c>
      <c r="D22" s="98"/>
      <c r="E22" s="98"/>
      <c r="F22" s="98"/>
      <c r="G22" s="98"/>
      <c r="H22" s="43"/>
      <c r="I22" s="72"/>
      <c r="J22" s="97" t="s">
        <v>81</v>
      </c>
      <c r="K22" s="82"/>
      <c r="L22" s="82"/>
      <c r="M22" s="82"/>
      <c r="N22" s="82"/>
      <c r="O22" s="43"/>
      <c r="P22" s="72"/>
      <c r="Q22" s="97" t="s">
        <v>81</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75</v>
      </c>
      <c r="C24" s="102">
        <f>+C23/$E3</f>
        <v>1.1938183781376095</v>
      </c>
      <c r="D24" s="102">
        <f>+D23/$E3</f>
        <v>1.3994527352009403</v>
      </c>
      <c r="E24" s="102">
        <f>+E23/$E3</f>
        <v>1.876997264422968</v>
      </c>
      <c r="F24" s="102">
        <f>+F23/$E3</f>
        <v>2.3438224075972238</v>
      </c>
      <c r="G24" s="102">
        <f>+G23/$E3</f>
        <v>3.0095866298524738</v>
      </c>
      <c r="H24" s="43"/>
      <c r="I24" s="101" t="s">
        <v>75</v>
      </c>
      <c r="J24" s="108">
        <f>+J23/$L3</f>
        <v>1.1847026586319511</v>
      </c>
      <c r="K24" s="108">
        <f>+K23/$L3</f>
        <v>1.3700220497112134</v>
      </c>
      <c r="L24" s="108">
        <f>+L23/$L3</f>
        <v>1.7486740074564884</v>
      </c>
      <c r="M24" s="108">
        <f>+M23/$L3</f>
        <v>2.1256563060702613</v>
      </c>
      <c r="N24" s="108">
        <f>+N23/$L3</f>
        <v>2.6467560266416066</v>
      </c>
      <c r="O24" s="43"/>
      <c r="P24" s="101" t="s">
        <v>75</v>
      </c>
      <c r="Q24" s="109">
        <v>1.2021793446885549</v>
      </c>
      <c r="R24" s="109">
        <v>1.398415096570365</v>
      </c>
      <c r="S24" s="109">
        <v>1.791608535792516</v>
      </c>
      <c r="T24" s="109">
        <v>2.188194131344555</v>
      </c>
      <c r="U24" s="109">
        <v>2.7335229282466189</v>
      </c>
    </row>
    <row r="25" spans="1:21">
      <c r="A25" s="43"/>
      <c r="B25" s="101" t="s">
        <v>76</v>
      </c>
      <c r="C25" s="104">
        <f>+C23/E3-1</f>
        <v>0.19381837813760949</v>
      </c>
      <c r="D25" s="104">
        <f>+D23/C23-1</f>
        <v>0.17224928081952151</v>
      </c>
      <c r="E25" s="104">
        <f>+E23/D23-1</f>
        <v>0.3412366257253121</v>
      </c>
      <c r="F25" s="104">
        <f>+F23/E23-1</f>
        <v>0.2487084835031812</v>
      </c>
      <c r="G25" s="104">
        <f>+G23/F23-1</f>
        <v>0.28405062606162224</v>
      </c>
      <c r="H25" s="43"/>
      <c r="I25" s="101" t="s">
        <v>76</v>
      </c>
      <c r="J25" s="104">
        <f>+J23/L3-1</f>
        <v>0.18470265863195112</v>
      </c>
      <c r="K25" s="104">
        <f>+K23/J23-1</f>
        <v>0.15642692259445257</v>
      </c>
      <c r="L25" s="104">
        <f>+L23/K23-1</f>
        <v>0.27638384201560173</v>
      </c>
      <c r="M25" s="104">
        <f>+M23/L23-1</f>
        <v>0.21558180484543699</v>
      </c>
      <c r="N25" s="104">
        <f>+N23/M23-1</f>
        <v>0.24514768407443621</v>
      </c>
      <c r="O25" s="43"/>
      <c r="P25" s="101" t="s">
        <v>76</v>
      </c>
      <c r="Q25" s="105">
        <v>0.2021793446885547</v>
      </c>
      <c r="R25" s="105">
        <v>0.16323334180446181</v>
      </c>
      <c r="S25" s="105">
        <v>0.28117076266300561</v>
      </c>
      <c r="T25" s="105">
        <v>0.2213572818107892</v>
      </c>
      <c r="U25" s="105">
        <v>0.2492140843860973</v>
      </c>
    </row>
    <row r="26" spans="1:21">
      <c r="A26" s="43"/>
      <c r="B26" s="106" t="s">
        <v>77</v>
      </c>
      <c r="C26" s="104">
        <f>(C23/$E3)^(1/((lgh_bs!J$2-lgh_bs!$G$2)/365))-1</f>
        <v>0.26508018845636117</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77</v>
      </c>
      <c r="J26" s="104">
        <f>(J23/$L3)^(1/((lgh_bs!J$2-lgh_bs!$G$2)/365))-1</f>
        <v>0.25227496978087549</v>
      </c>
      <c r="K26" s="104">
        <f>(K23/$L3)^(1/((lgh_bs!K$2-lgh_bs!$G$2)/365))-1</f>
        <v>0.19667835236052511</v>
      </c>
      <c r="L26" s="104">
        <f>(L23/$L3)^(1/((lgh_bs!L$2-lgh_bs!$G$2)/365))-1</f>
        <v>0.22478644065414843</v>
      </c>
      <c r="M26" s="104">
        <f>(M23/$L3)^(1/((lgh_bs!M$2-lgh_bs!$G$2)/365))-1</f>
        <v>0.22232911312951886</v>
      </c>
      <c r="N26" s="104">
        <f>(N23/$L3)^(1/((lgh_bs!N$2-lgh_bs!$G$2)/365))-1</f>
        <v>0.22709181905787501</v>
      </c>
      <c r="O26" s="43"/>
      <c r="P26" s="106" t="s">
        <v>77</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82</v>
      </c>
      <c r="K27" s="75"/>
      <c r="L27" s="75"/>
      <c r="M27" s="75"/>
      <c r="N27" s="75"/>
      <c r="O27" s="43"/>
      <c r="P27" s="43"/>
      <c r="Q27" s="46" t="s">
        <v>82</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83</v>
      </c>
      <c r="D3" s="74"/>
      <c r="E3" s="43"/>
      <c r="F3" s="43"/>
      <c r="G3" s="43"/>
      <c r="H3" s="43"/>
      <c r="I3" s="75"/>
      <c r="J3" s="76"/>
      <c r="K3" s="43"/>
    </row>
    <row r="4" spans="1:11">
      <c r="A4" s="43"/>
      <c r="B4" s="43"/>
      <c r="C4" s="73" t="s">
        <v>84</v>
      </c>
      <c r="D4" s="77">
        <v>0.35</v>
      </c>
      <c r="E4" s="43"/>
      <c r="F4" s="43"/>
      <c r="G4" s="43"/>
      <c r="H4" s="43"/>
      <c r="I4" s="75"/>
      <c r="J4" s="76"/>
      <c r="K4" s="76"/>
    </row>
    <row r="5" spans="1:11">
      <c r="A5" s="43"/>
      <c r="B5" s="72"/>
      <c r="C5" s="50"/>
      <c r="D5" s="43"/>
      <c r="E5" s="43"/>
      <c r="F5" s="43"/>
      <c r="G5" s="43"/>
      <c r="H5" s="43"/>
      <c r="I5" s="75"/>
      <c r="J5" s="76"/>
      <c r="K5" s="76"/>
    </row>
    <row r="6" spans="1:11">
      <c r="A6" s="43"/>
      <c r="B6" s="72"/>
      <c r="C6" s="73" t="s">
        <v>85</v>
      </c>
      <c r="D6" s="78">
        <v>0.12</v>
      </c>
      <c r="E6" s="43"/>
      <c r="F6" s="43"/>
      <c r="G6" s="43"/>
      <c r="H6" s="43"/>
      <c r="I6" s="76"/>
      <c r="J6" s="76"/>
      <c r="K6" s="76"/>
    </row>
    <row r="7" spans="1:11">
      <c r="A7" s="43"/>
      <c r="B7" s="72"/>
      <c r="C7" s="50"/>
      <c r="D7" s="43"/>
      <c r="E7" s="43"/>
      <c r="F7" s="43"/>
      <c r="G7" s="43"/>
      <c r="H7" s="43"/>
      <c r="I7" s="43"/>
      <c r="J7" s="43"/>
      <c r="K7" s="43"/>
    </row>
    <row r="8" spans="1:11">
      <c r="A8" s="43"/>
      <c r="B8" s="72"/>
      <c r="C8" s="46" t="s">
        <v>86</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87</v>
      </c>
      <c r="D10" s="80">
        <v>25</v>
      </c>
      <c r="E10" s="43"/>
      <c r="F10" s="43"/>
      <c r="G10" s="43"/>
      <c r="H10" s="43"/>
      <c r="I10" s="43"/>
      <c r="J10" s="43"/>
      <c r="K10" s="43"/>
    </row>
    <row r="11" spans="1:11">
      <c r="A11" s="43"/>
      <c r="B11" s="43"/>
      <c r="C11" s="46" t="s">
        <v>88</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89</v>
      </c>
      <c r="D13" s="82"/>
      <c r="E13" s="43"/>
      <c r="F13" s="43"/>
      <c r="G13" s="43"/>
      <c r="H13" s="43"/>
      <c r="I13" s="43"/>
      <c r="J13" s="43"/>
      <c r="K13" s="43"/>
    </row>
    <row r="14" spans="1:11">
      <c r="A14" s="43"/>
      <c r="B14" s="43"/>
      <c r="C14" s="83" t="s">
        <v>90</v>
      </c>
      <c r="D14" s="78">
        <v>0</v>
      </c>
      <c r="E14" s="43"/>
      <c r="F14" s="43"/>
      <c r="G14" s="43"/>
      <c r="H14" s="43"/>
      <c r="I14" s="43"/>
      <c r="J14" s="43"/>
      <c r="K14" s="43"/>
    </row>
    <row r="15" spans="1:11">
      <c r="A15" s="43"/>
      <c r="B15" s="43"/>
      <c r="C15" s="84" t="s">
        <v>91</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D9E1F2"/>
    <outlinePr summaryBelow="0"/>
  </sheetPr>
  <dimension ref="A1:N124"/>
  <sheetViews>
    <sheetView showGridLines="0" zoomScale="82" zoomScaleNormal="80" workbookViewId="0">
      <pane xSplit="1" ySplit="3" topLeftCell="B17"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customHeight="1"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customHeight="1" thickTop="1" thickBot="1">
      <c r="A3" s="101" t="s">
        <v>1</v>
      </c>
      <c r="B3" s="135" t="s">
        <v>92</v>
      </c>
      <c r="C3" s="135" t="s">
        <v>93</v>
      </c>
      <c r="D3" s="135" t="s">
        <v>94</v>
      </c>
      <c r="E3" s="135" t="s">
        <v>95</v>
      </c>
      <c r="F3" s="135" t="s">
        <v>92</v>
      </c>
      <c r="G3" s="135" t="s">
        <v>93</v>
      </c>
      <c r="H3" s="135" t="s">
        <v>94</v>
      </c>
      <c r="I3" s="135" t="s">
        <v>95</v>
      </c>
      <c r="J3" s="135" t="s">
        <v>92</v>
      </c>
      <c r="K3" s="135" t="s">
        <v>92</v>
      </c>
      <c r="L3" s="135" t="s">
        <v>92</v>
      </c>
      <c r="M3" s="135" t="s">
        <v>92</v>
      </c>
      <c r="N3" s="135" t="s">
        <v>92</v>
      </c>
    </row>
    <row r="4" spans="1:14" ht="15" customHeight="1" thickTop="1">
      <c r="A4" s="83" t="s">
        <v>96</v>
      </c>
      <c r="B4" s="61"/>
      <c r="C4" s="55"/>
      <c r="D4" s="55"/>
      <c r="E4" s="116"/>
      <c r="F4" s="116"/>
      <c r="G4" s="116"/>
      <c r="H4" s="61"/>
      <c r="I4" s="61"/>
      <c r="J4" s="61"/>
      <c r="K4" s="61"/>
      <c r="L4" s="61"/>
      <c r="M4" s="61"/>
      <c r="N4" s="61"/>
    </row>
    <row r="5" spans="1:14">
      <c r="A5" s="46" t="s">
        <v>97</v>
      </c>
      <c r="B5" s="68">
        <v>251128</v>
      </c>
      <c r="C5" s="50">
        <f>+registry!C82</f>
        <v>1854835.2390672918</v>
      </c>
      <c r="D5" s="50">
        <f>+registry!D82</f>
        <v>-2432355.9798612781</v>
      </c>
      <c r="E5" s="50">
        <f>+registry!E82</f>
        <v>-5195946.3163174521</v>
      </c>
      <c r="F5" s="50">
        <f>+registry!F82</f>
        <v>421309.51999999979</v>
      </c>
      <c r="G5" s="50">
        <f>+registry!G82</f>
        <v>5587282.1152380947</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98</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99</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100</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99</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101</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102</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103</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104</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99</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105</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106</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107</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107</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108</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109</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30</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110</v>
      </c>
      <c r="B25" s="68">
        <v>3570254</v>
      </c>
      <c r="C25" s="136">
        <f t="shared" ref="C25:N25" si="8">SUM(C26:C26)</f>
        <v>4318174.1939285714</v>
      </c>
      <c r="D25" s="136">
        <f t="shared" si="8"/>
        <v>6116942.3878571428</v>
      </c>
      <c r="E25" s="136">
        <f t="shared" si="8"/>
        <v>4951761.5817857143</v>
      </c>
      <c r="F25" s="136">
        <f t="shared" si="8"/>
        <v>2784794.7757142857</v>
      </c>
      <c r="G25" s="136">
        <f t="shared" si="8"/>
        <v>3150708.9751250003</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111</v>
      </c>
      <c r="B26" s="68">
        <v>3570254</v>
      </c>
      <c r="C26" s="50">
        <f>+registry!C77</f>
        <v>4318174.1939285714</v>
      </c>
      <c r="D26" s="50">
        <f>+registry!D77</f>
        <v>6116942.3878571428</v>
      </c>
      <c r="E26" s="50">
        <f>+registry!E77</f>
        <v>4951761.5817857143</v>
      </c>
      <c r="F26" s="50">
        <f>+registry!F77</f>
        <v>2784794.7757142857</v>
      </c>
      <c r="G26" s="50">
        <f>+registry!G77</f>
        <v>3150708.9751250003</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112</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173799417.84675279</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113</v>
      </c>
      <c r="B28" s="62"/>
      <c r="C28" s="62"/>
      <c r="D28" s="62"/>
      <c r="E28" s="62"/>
      <c r="F28" s="62"/>
      <c r="G28" s="62"/>
      <c r="H28" s="62"/>
      <c r="I28" s="62"/>
      <c r="J28" s="62"/>
      <c r="K28" s="62"/>
      <c r="L28" s="62"/>
      <c r="M28" s="62"/>
      <c r="N28" s="62"/>
    </row>
    <row r="29" spans="1:14">
      <c r="A29" s="46" t="s">
        <v>114</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115</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116</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117</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20</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157897944.59023753</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118</v>
      </c>
      <c r="B34" s="50"/>
      <c r="C34" s="50"/>
      <c r="D34" s="50"/>
      <c r="E34" s="50"/>
      <c r="F34" s="50"/>
      <c r="G34" s="50"/>
      <c r="H34" s="50"/>
      <c r="I34" s="50"/>
      <c r="J34" s="50"/>
      <c r="K34" s="50"/>
      <c r="L34" s="50"/>
      <c r="M34" s="50"/>
      <c r="N34" s="50"/>
    </row>
    <row r="35" spans="1:14">
      <c r="A35" s="83" t="s">
        <v>119</v>
      </c>
      <c r="B35" s="68">
        <v>0</v>
      </c>
      <c r="C35" s="50">
        <f>+registry!C86</f>
        <v>0</v>
      </c>
      <c r="D35" s="50">
        <f>+registry!D86</f>
        <v>0</v>
      </c>
      <c r="E35" s="50">
        <f>+registry!E86</f>
        <v>3030197.3462850195</v>
      </c>
      <c r="F35" s="50">
        <f>+registry!F86</f>
        <v>657052.17089763575</v>
      </c>
      <c r="G35" s="50">
        <f>+registry!G86</f>
        <v>2764280.6065831347</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101</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120</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73</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121</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122</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123</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124</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125</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126</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127</v>
      </c>
      <c r="B45" s="68">
        <v>0</v>
      </c>
      <c r="C45" s="50">
        <f>+registry!C87</f>
        <v>0</v>
      </c>
      <c r="D45" s="50">
        <f>+registry!D87</f>
        <v>0</v>
      </c>
      <c r="E45" s="50">
        <f>+registry!E87</f>
        <v>3499999.9999999995</v>
      </c>
      <c r="F45" s="50">
        <f>+registry!F87</f>
        <v>-657052.17089763575</v>
      </c>
      <c r="G45" s="50">
        <f>+registry!G87</f>
        <v>-130542.9950569733</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128</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129</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120</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130</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131</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132</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107161821.93046978</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133</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157524964.60436049</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134</v>
      </c>
      <c r="B53" s="68">
        <v>129773010.1849418</v>
      </c>
      <c r="C53" s="50">
        <f t="shared" ref="C53:N53" si="20">+C52-C50</f>
        <v>143373609.36738586</v>
      </c>
      <c r="D53" s="50">
        <f t="shared" si="20"/>
        <v>145662934.85874093</v>
      </c>
      <c r="E53" s="50">
        <f t="shared" si="20"/>
        <v>162127509.35738644</v>
      </c>
      <c r="F53" s="50">
        <f t="shared" si="20"/>
        <v>149926988.80455321</v>
      </c>
      <c r="G53" s="50">
        <f t="shared" si="20"/>
        <v>154891226.99283433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1F2"/>
  </sheetPr>
  <dimension ref="A1:M54"/>
  <sheetViews>
    <sheetView workbookViewId="0">
      <selection activeCell="I8" sqref="I8"/>
    </sheetView>
  </sheetViews>
  <sheetFormatPr defaultColWidth="9.26953125" defaultRowHeight="14.5" outlineLevelRow="1"/>
  <cols>
    <col min="1" max="1" width="31.26953125" style="605" bestFit="1" customWidth="1"/>
    <col min="2" max="2" width="13.26953125" style="605" customWidth="1"/>
    <col min="3" max="3" width="13.26953125" style="682" customWidth="1"/>
    <col min="4" max="4" width="7.1796875" style="682" bestFit="1" customWidth="1"/>
    <col min="5" max="5" width="27.26953125" style="683" customWidth="1"/>
    <col min="6" max="6" width="9.26953125" style="684" customWidth="1"/>
    <col min="7" max="7" width="9" style="684" bestFit="1" customWidth="1"/>
    <col min="8" max="8" width="7.453125" style="684" bestFit="1" customWidth="1"/>
    <col min="9" max="9" width="40.54296875" style="680" customWidth="1"/>
    <col min="10" max="10" width="9.26953125" style="684" customWidth="1"/>
    <col min="11" max="11" width="9" style="684" bestFit="1" customWidth="1"/>
    <col min="12" max="12" width="7.453125" style="684" bestFit="1" customWidth="1"/>
    <col min="13" max="13" width="40.54296875" style="605" customWidth="1"/>
    <col min="14" max="15" width="9.26953125" style="605" customWidth="1"/>
    <col min="16" max="16384" width="9.26953125" style="605"/>
  </cols>
  <sheetData>
    <row r="1" spans="1:13" ht="15.5" customHeight="1">
      <c r="A1" s="600" t="s">
        <v>135</v>
      </c>
      <c r="B1" s="601"/>
      <c r="C1" s="602"/>
      <c r="D1" s="602"/>
      <c r="E1" s="603"/>
      <c r="F1" s="604"/>
      <c r="G1" s="604"/>
      <c r="H1" s="604"/>
      <c r="I1" s="603"/>
      <c r="J1" s="604"/>
      <c r="K1" s="604"/>
      <c r="L1" s="604"/>
      <c r="M1" s="602"/>
    </row>
    <row r="2" spans="1:13" s="614" customFormat="1" ht="15.5" customHeight="1">
      <c r="A2" s="606"/>
      <c r="B2" s="607">
        <v>2024</v>
      </c>
      <c r="C2" s="608"/>
      <c r="D2" s="608"/>
      <c r="E2" s="609"/>
      <c r="F2" s="610">
        <v>2025</v>
      </c>
      <c r="G2" s="611"/>
      <c r="H2" s="611"/>
      <c r="I2" s="612"/>
      <c r="J2" s="610">
        <v>2026</v>
      </c>
      <c r="K2" s="611"/>
      <c r="L2" s="611"/>
      <c r="M2" s="613"/>
    </row>
    <row r="3" spans="1:13" ht="43.5" customHeight="1">
      <c r="A3" s="615" t="s">
        <v>96</v>
      </c>
      <c r="B3" s="616" t="s">
        <v>136</v>
      </c>
      <c r="C3" s="617" t="s">
        <v>137</v>
      </c>
      <c r="D3" s="618" t="s">
        <v>138</v>
      </c>
      <c r="E3" s="619" t="s">
        <v>139</v>
      </c>
      <c r="F3" s="620" t="s">
        <v>140</v>
      </c>
      <c r="G3" s="620" t="s">
        <v>141</v>
      </c>
      <c r="H3" s="618" t="s">
        <v>138</v>
      </c>
      <c r="I3" s="619" t="s">
        <v>142</v>
      </c>
      <c r="J3" s="620" t="s">
        <v>143</v>
      </c>
      <c r="K3" s="620" t="s">
        <v>144</v>
      </c>
      <c r="L3" s="618" t="s">
        <v>138</v>
      </c>
      <c r="M3" s="621" t="s">
        <v>145</v>
      </c>
    </row>
    <row r="4" spans="1:13">
      <c r="A4" s="622" t="s">
        <v>97</v>
      </c>
      <c r="B4" s="623"/>
      <c r="C4" s="623"/>
      <c r="D4" s="623"/>
      <c r="E4" s="624"/>
      <c r="F4" s="623"/>
      <c r="G4" s="623"/>
      <c r="H4" s="623"/>
      <c r="I4" s="624"/>
      <c r="J4" s="623"/>
      <c r="K4" s="623"/>
      <c r="L4" s="623"/>
      <c r="M4" s="623"/>
    </row>
    <row r="5" spans="1:13" ht="43.5" customHeight="1">
      <c r="A5" s="622" t="s">
        <v>146</v>
      </c>
      <c r="B5" s="623"/>
      <c r="C5" s="623"/>
      <c r="D5" s="623"/>
      <c r="E5" s="624"/>
      <c r="F5" s="623"/>
      <c r="G5" s="623"/>
      <c r="H5" s="623"/>
      <c r="I5" s="625" t="s">
        <v>147</v>
      </c>
      <c r="J5" s="623"/>
      <c r="K5" s="623"/>
      <c r="L5" s="623"/>
      <c r="M5" s="626"/>
    </row>
    <row r="6" spans="1:13" outlineLevel="1">
      <c r="A6" s="627" t="s">
        <v>99</v>
      </c>
      <c r="B6" s="628"/>
      <c r="C6" s="628"/>
      <c r="D6" s="628"/>
      <c r="E6" s="624"/>
      <c r="F6" s="628"/>
      <c r="G6" s="628"/>
      <c r="H6" s="628"/>
      <c r="I6" s="625"/>
      <c r="J6" s="628"/>
      <c r="K6" s="628"/>
      <c r="L6" s="628"/>
      <c r="M6" s="626"/>
    </row>
    <row r="7" spans="1:13">
      <c r="A7" s="622" t="s">
        <v>100</v>
      </c>
      <c r="B7" s="623"/>
      <c r="C7" s="623"/>
      <c r="D7" s="623"/>
      <c r="E7" s="624"/>
      <c r="F7" s="623"/>
      <c r="G7" s="623"/>
      <c r="H7" s="623"/>
      <c r="I7" s="625" t="s">
        <v>148</v>
      </c>
      <c r="J7" s="623"/>
      <c r="K7" s="623"/>
      <c r="L7" s="623"/>
      <c r="M7" s="626"/>
    </row>
    <row r="8" spans="1:13" outlineLevel="1">
      <c r="A8" s="627" t="s">
        <v>99</v>
      </c>
      <c r="B8" s="628"/>
      <c r="C8" s="628"/>
      <c r="D8" s="628"/>
      <c r="E8" s="624"/>
      <c r="F8" s="628"/>
      <c r="G8" s="628"/>
      <c r="H8" s="628"/>
      <c r="I8" s="625"/>
      <c r="J8" s="628"/>
      <c r="K8" s="628"/>
      <c r="L8" s="628"/>
      <c r="M8" s="626"/>
    </row>
    <row r="9" spans="1:13" outlineLevel="1">
      <c r="A9" s="627" t="s">
        <v>149</v>
      </c>
      <c r="B9" s="629"/>
      <c r="C9" s="628"/>
      <c r="D9" s="629"/>
      <c r="E9" s="630" t="s">
        <v>150</v>
      </c>
      <c r="F9" s="629"/>
      <c r="G9" s="629"/>
      <c r="H9" s="629"/>
      <c r="I9" s="631"/>
      <c r="J9" s="629"/>
      <c r="K9" s="629"/>
      <c r="L9" s="629"/>
      <c r="M9" s="632"/>
    </row>
    <row r="10" spans="1:13">
      <c r="A10" s="622" t="s">
        <v>104</v>
      </c>
      <c r="B10" s="623"/>
      <c r="C10" s="623"/>
      <c r="D10" s="623"/>
      <c r="E10" s="624"/>
      <c r="F10" s="623"/>
      <c r="G10" s="623"/>
      <c r="H10" s="623"/>
      <c r="I10" s="625" t="s">
        <v>151</v>
      </c>
      <c r="J10" s="623"/>
      <c r="K10" s="623"/>
      <c r="L10" s="623"/>
      <c r="M10" s="626"/>
    </row>
    <row r="11" spans="1:13" outlineLevel="1">
      <c r="A11" s="627" t="s">
        <v>99</v>
      </c>
      <c r="B11" s="628"/>
      <c r="C11" s="628"/>
      <c r="D11" s="628"/>
      <c r="E11" s="633"/>
      <c r="F11" s="629"/>
      <c r="G11" s="629"/>
      <c r="H11" s="629"/>
      <c r="I11" s="625"/>
      <c r="J11" s="629"/>
      <c r="K11" s="629"/>
      <c r="L11" s="629"/>
      <c r="M11" s="626"/>
    </row>
    <row r="12" spans="1:13" ht="29" customHeight="1">
      <c r="A12" s="622" t="s">
        <v>105</v>
      </c>
      <c r="B12" s="623"/>
      <c r="C12" s="623"/>
      <c r="D12" s="623"/>
      <c r="E12" s="624"/>
      <c r="F12" s="623"/>
      <c r="G12" s="623"/>
      <c r="H12" s="623"/>
      <c r="I12" s="625" t="s">
        <v>152</v>
      </c>
      <c r="J12" s="623"/>
      <c r="K12" s="623"/>
      <c r="L12" s="623"/>
      <c r="M12" s="626"/>
    </row>
    <row r="13" spans="1:13" outlineLevel="1">
      <c r="A13" s="627" t="s">
        <v>106</v>
      </c>
      <c r="B13" s="628"/>
      <c r="C13" s="628"/>
      <c r="D13" s="628"/>
      <c r="E13" s="633"/>
      <c r="F13" s="628"/>
      <c r="G13" s="628"/>
      <c r="H13" s="628"/>
      <c r="I13" s="625"/>
      <c r="J13" s="628"/>
      <c r="K13" s="628"/>
      <c r="L13" s="628"/>
      <c r="M13" s="626"/>
    </row>
    <row r="14" spans="1:13">
      <c r="A14" s="622" t="s">
        <v>153</v>
      </c>
      <c r="B14" s="623"/>
      <c r="C14" s="623"/>
      <c r="D14" s="623"/>
      <c r="E14" s="624"/>
      <c r="F14" s="623"/>
      <c r="G14" s="623"/>
      <c r="H14" s="623"/>
      <c r="I14" s="634" t="s">
        <v>154</v>
      </c>
      <c r="J14" s="623"/>
      <c r="K14" s="623"/>
      <c r="L14" s="623"/>
      <c r="M14" s="635"/>
    </row>
    <row r="15" spans="1:13" outlineLevel="1">
      <c r="A15" s="627" t="s">
        <v>107</v>
      </c>
      <c r="B15" s="629"/>
      <c r="C15" s="629"/>
      <c r="D15" s="629"/>
      <c r="E15" s="636"/>
      <c r="F15" s="628"/>
      <c r="G15" s="628"/>
      <c r="H15" s="628"/>
      <c r="I15" s="634"/>
      <c r="J15" s="628"/>
      <c r="K15" s="628"/>
      <c r="L15" s="628"/>
      <c r="M15" s="635"/>
    </row>
    <row r="16" spans="1:13">
      <c r="A16" s="622" t="s">
        <v>110</v>
      </c>
      <c r="B16" s="623"/>
      <c r="C16" s="623"/>
      <c r="D16" s="623"/>
      <c r="E16" s="624"/>
      <c r="F16" s="623"/>
      <c r="G16" s="623"/>
      <c r="H16" s="623"/>
      <c r="I16" s="624"/>
      <c r="J16" s="623"/>
      <c r="K16" s="623"/>
      <c r="L16" s="623"/>
      <c r="M16" s="623"/>
    </row>
    <row r="17" spans="1:13">
      <c r="A17" s="627" t="s">
        <v>111</v>
      </c>
      <c r="B17" s="629"/>
      <c r="C17" s="629"/>
      <c r="D17" s="629"/>
      <c r="E17" s="637"/>
      <c r="F17" s="629"/>
      <c r="G17" s="629"/>
      <c r="H17" s="629"/>
      <c r="I17" s="638"/>
      <c r="J17" s="629"/>
      <c r="K17" s="629"/>
      <c r="L17" s="629"/>
      <c r="M17" s="639"/>
    </row>
    <row r="18" spans="1:13" ht="29" customHeight="1">
      <c r="A18" s="627" t="s">
        <v>155</v>
      </c>
      <c r="B18" s="629"/>
      <c r="C18" s="629"/>
      <c r="D18" s="629"/>
      <c r="E18" s="636"/>
      <c r="F18" s="629"/>
      <c r="G18" s="629"/>
      <c r="H18" s="629"/>
      <c r="I18" s="640" t="s">
        <v>156</v>
      </c>
      <c r="J18" s="629"/>
      <c r="K18" s="629"/>
      <c r="L18" s="629"/>
      <c r="M18" s="641"/>
    </row>
    <row r="19" spans="1:13" ht="29" customHeight="1">
      <c r="A19" s="627" t="s">
        <v>157</v>
      </c>
      <c r="B19" s="629"/>
      <c r="C19" s="629"/>
      <c r="D19" s="629"/>
      <c r="E19" s="630" t="s">
        <v>158</v>
      </c>
      <c r="F19" s="629"/>
      <c r="G19" s="629"/>
      <c r="H19" s="629"/>
      <c r="I19" s="638" t="s">
        <v>159</v>
      </c>
      <c r="J19" s="629"/>
      <c r="K19" s="629"/>
      <c r="L19" s="629"/>
      <c r="M19" s="639"/>
    </row>
    <row r="20" spans="1:13">
      <c r="A20" s="642" t="s">
        <v>112</v>
      </c>
      <c r="B20" s="643"/>
      <c r="C20" s="643"/>
      <c r="D20" s="643"/>
      <c r="E20" s="644"/>
      <c r="F20" s="643"/>
      <c r="G20" s="643"/>
      <c r="H20" s="643"/>
      <c r="I20" s="644"/>
      <c r="J20" s="643"/>
      <c r="K20" s="643"/>
      <c r="L20" s="643"/>
      <c r="M20" s="643"/>
    </row>
    <row r="21" spans="1:13" s="651" customFormat="1">
      <c r="A21" s="645" t="s">
        <v>113</v>
      </c>
      <c r="B21" s="646"/>
      <c r="C21" s="646"/>
      <c r="D21" s="646"/>
      <c r="E21" s="647"/>
      <c r="F21" s="648"/>
      <c r="G21" s="648"/>
      <c r="H21" s="648"/>
      <c r="I21" s="649"/>
      <c r="J21" s="648"/>
      <c r="K21" s="648"/>
      <c r="L21" s="648"/>
      <c r="M21" s="650"/>
    </row>
    <row r="22" spans="1:13" ht="29" customHeight="1">
      <c r="A22" s="622" t="s">
        <v>114</v>
      </c>
      <c r="B22" s="652"/>
      <c r="C22" s="652"/>
      <c r="D22" s="652"/>
      <c r="E22" s="629"/>
      <c r="F22" s="652"/>
      <c r="G22" s="652"/>
      <c r="H22" s="652"/>
      <c r="I22" s="638" t="s">
        <v>160</v>
      </c>
      <c r="J22" s="652"/>
      <c r="K22" s="652"/>
      <c r="L22" s="652"/>
      <c r="M22" s="639"/>
    </row>
    <row r="23" spans="1:13" ht="43.5" customHeight="1">
      <c r="A23" s="622" t="s">
        <v>116</v>
      </c>
      <c r="B23" s="652"/>
      <c r="C23" s="652"/>
      <c r="D23" s="652"/>
      <c r="E23" s="629"/>
      <c r="F23" s="652"/>
      <c r="G23" s="652"/>
      <c r="H23" s="652"/>
      <c r="I23" s="638" t="s">
        <v>161</v>
      </c>
      <c r="J23" s="652"/>
      <c r="K23" s="652"/>
      <c r="L23" s="652"/>
      <c r="M23" s="639"/>
    </row>
    <row r="24" spans="1:13">
      <c r="A24" s="642" t="s">
        <v>117</v>
      </c>
      <c r="B24" s="643"/>
      <c r="C24" s="643"/>
      <c r="D24" s="643"/>
      <c r="E24" s="653"/>
      <c r="F24" s="643"/>
      <c r="G24" s="643"/>
      <c r="H24" s="643"/>
      <c r="I24" s="654"/>
      <c r="J24" s="643"/>
      <c r="K24" s="643"/>
      <c r="L24" s="643"/>
      <c r="M24" s="655"/>
    </row>
    <row r="25" spans="1:13" s="614" customFormat="1" ht="15.5" customHeight="1">
      <c r="A25" s="656" t="s">
        <v>162</v>
      </c>
      <c r="B25" s="657"/>
      <c r="C25" s="657"/>
      <c r="D25" s="657"/>
      <c r="E25" s="657"/>
      <c r="F25" s="658"/>
      <c r="G25" s="658"/>
      <c r="H25" s="658"/>
      <c r="I25" s="659"/>
      <c r="J25" s="657"/>
      <c r="K25" s="657"/>
      <c r="L25" s="657"/>
      <c r="M25" s="657"/>
    </row>
    <row r="26" spans="1:13" s="651" customFormat="1" ht="87" customHeight="1">
      <c r="A26" s="645" t="s">
        <v>163</v>
      </c>
      <c r="B26" s="646"/>
      <c r="C26" s="646"/>
      <c r="D26" s="646"/>
      <c r="E26" s="647"/>
      <c r="F26" s="648"/>
      <c r="G26" s="648"/>
      <c r="H26" s="648"/>
      <c r="I26" s="660" t="s">
        <v>164</v>
      </c>
      <c r="J26" s="648"/>
      <c r="K26" s="648"/>
      <c r="L26" s="648"/>
      <c r="M26" s="650"/>
    </row>
    <row r="27" spans="1:13">
      <c r="A27" s="661" t="s">
        <v>119</v>
      </c>
      <c r="B27" s="629"/>
      <c r="C27" s="629"/>
      <c r="D27" s="629"/>
      <c r="E27" s="629"/>
      <c r="F27" s="629"/>
      <c r="G27" s="629"/>
      <c r="H27" s="629"/>
      <c r="I27" s="638" t="s">
        <v>165</v>
      </c>
      <c r="J27" s="629"/>
      <c r="K27" s="629"/>
      <c r="L27" s="629"/>
      <c r="M27" s="639"/>
    </row>
    <row r="28" spans="1:13" ht="43.5" customHeight="1">
      <c r="A28" s="661" t="s">
        <v>101</v>
      </c>
      <c r="B28" s="628"/>
      <c r="C28" s="628"/>
      <c r="D28" s="628"/>
      <c r="E28" s="628"/>
      <c r="F28" s="628"/>
      <c r="G28" s="628"/>
      <c r="H28" s="628"/>
      <c r="I28" s="625" t="s">
        <v>166</v>
      </c>
      <c r="J28" s="628"/>
      <c r="K28" s="628"/>
      <c r="L28" s="628"/>
      <c r="M28" s="626"/>
    </row>
    <row r="29" spans="1:13">
      <c r="A29" s="661" t="s">
        <v>120</v>
      </c>
      <c r="B29" s="629"/>
      <c r="C29" s="629"/>
      <c r="D29" s="629"/>
      <c r="E29" s="629"/>
      <c r="F29" s="629"/>
      <c r="G29" s="629"/>
      <c r="H29" s="629"/>
      <c r="I29" s="631"/>
      <c r="J29" s="629"/>
      <c r="K29" s="629"/>
      <c r="L29" s="629"/>
      <c r="M29" s="632"/>
    </row>
    <row r="30" spans="1:13">
      <c r="A30" s="661" t="s">
        <v>73</v>
      </c>
      <c r="B30" s="628"/>
      <c r="C30" s="628"/>
      <c r="D30" s="628"/>
      <c r="E30" s="662" t="s">
        <v>167</v>
      </c>
      <c r="F30" s="628"/>
      <c r="G30" s="628"/>
      <c r="H30" s="628"/>
      <c r="I30" s="663" t="s">
        <v>167</v>
      </c>
      <c r="J30" s="628"/>
      <c r="K30" s="628"/>
      <c r="L30" s="628"/>
      <c r="M30" s="664"/>
    </row>
    <row r="31" spans="1:13">
      <c r="A31" s="642" t="s">
        <v>121</v>
      </c>
      <c r="B31" s="643"/>
      <c r="C31" s="643"/>
      <c r="D31" s="643"/>
      <c r="E31" s="665"/>
      <c r="F31" s="643"/>
      <c r="G31" s="643"/>
      <c r="H31" s="643"/>
      <c r="I31" s="644"/>
      <c r="J31" s="643"/>
      <c r="K31" s="643"/>
      <c r="L31" s="643"/>
      <c r="M31" s="643"/>
    </row>
    <row r="32" spans="1:13" ht="29" customHeight="1">
      <c r="A32" s="627" t="s">
        <v>31</v>
      </c>
      <c r="B32" s="629"/>
      <c r="C32" s="629"/>
      <c r="D32" s="629"/>
      <c r="E32" s="630" t="s">
        <v>168</v>
      </c>
      <c r="F32" s="629"/>
      <c r="G32" s="629"/>
      <c r="H32" s="629"/>
      <c r="I32" s="631" t="s">
        <v>169</v>
      </c>
      <c r="J32" s="629"/>
      <c r="K32" s="629"/>
      <c r="L32" s="629"/>
      <c r="M32" s="632"/>
    </row>
    <row r="33" spans="1:13">
      <c r="A33" s="627" t="s">
        <v>170</v>
      </c>
      <c r="B33" s="629"/>
      <c r="C33" s="629"/>
      <c r="D33" s="629"/>
      <c r="E33" s="629"/>
      <c r="F33" s="629"/>
      <c r="G33" s="629"/>
      <c r="H33" s="629"/>
      <c r="I33" s="631"/>
      <c r="J33" s="629"/>
      <c r="K33" s="629"/>
      <c r="L33" s="629"/>
      <c r="M33" s="632"/>
    </row>
    <row r="34" spans="1:13">
      <c r="A34" s="627" t="s">
        <v>171</v>
      </c>
      <c r="B34" s="628"/>
      <c r="C34" s="628"/>
      <c r="D34" s="628"/>
      <c r="E34" s="628"/>
      <c r="F34" s="628"/>
      <c r="G34" s="628"/>
      <c r="H34" s="628"/>
      <c r="I34" s="634"/>
      <c r="J34" s="628"/>
      <c r="K34" s="628"/>
      <c r="L34" s="628"/>
      <c r="M34" s="635"/>
    </row>
    <row r="35" spans="1:13" ht="15.5" customHeight="1">
      <c r="A35" s="656" t="s">
        <v>172</v>
      </c>
      <c r="B35" s="657"/>
      <c r="C35" s="657"/>
      <c r="D35" s="657"/>
      <c r="E35" s="659"/>
      <c r="F35" s="657"/>
      <c r="G35" s="657"/>
      <c r="H35" s="657"/>
      <c r="I35" s="659"/>
      <c r="J35" s="657"/>
      <c r="K35" s="657"/>
      <c r="L35" s="657"/>
      <c r="M35" s="657"/>
    </row>
    <row r="36" spans="1:13" s="668" customFormat="1">
      <c r="A36" s="627" t="s">
        <v>127</v>
      </c>
      <c r="B36" s="666"/>
      <c r="C36" s="666"/>
      <c r="D36" s="666"/>
      <c r="E36" s="667"/>
      <c r="F36" s="666"/>
      <c r="G36" s="666"/>
      <c r="H36" s="666"/>
      <c r="I36" s="625" t="s">
        <v>173</v>
      </c>
      <c r="J36" s="666"/>
      <c r="K36" s="666"/>
      <c r="L36" s="666"/>
      <c r="M36" s="626"/>
    </row>
    <row r="37" spans="1:13" s="668" customFormat="1" ht="29" customHeight="1">
      <c r="A37" s="627" t="s">
        <v>128</v>
      </c>
      <c r="B37" s="666"/>
      <c r="C37" s="666"/>
      <c r="D37" s="666"/>
      <c r="E37" s="669" t="s">
        <v>174</v>
      </c>
      <c r="F37" s="666"/>
      <c r="G37" s="666"/>
      <c r="H37" s="666"/>
      <c r="I37" s="625" t="s">
        <v>175</v>
      </c>
      <c r="J37" s="666"/>
      <c r="K37" s="666"/>
      <c r="L37" s="666"/>
      <c r="M37" s="626"/>
    </row>
    <row r="38" spans="1:13">
      <c r="A38" s="627" t="s">
        <v>120</v>
      </c>
      <c r="B38" s="670"/>
      <c r="C38" s="670"/>
      <c r="D38" s="670"/>
      <c r="E38" s="671">
        <f>E29</f>
        <v>0</v>
      </c>
      <c r="F38" s="670"/>
      <c r="G38" s="670"/>
      <c r="H38" s="670"/>
      <c r="I38" s="672"/>
      <c r="J38" s="670"/>
      <c r="K38" s="670"/>
      <c r="L38" s="670"/>
      <c r="M38" s="673"/>
    </row>
    <row r="39" spans="1:13">
      <c r="A39" s="627" t="s">
        <v>130</v>
      </c>
      <c r="B39" s="628"/>
      <c r="C39" s="628"/>
      <c r="D39" s="628"/>
      <c r="E39" s="624"/>
      <c r="F39" s="628"/>
      <c r="G39" s="628"/>
      <c r="H39" s="628"/>
      <c r="I39" s="634"/>
      <c r="J39" s="628"/>
      <c r="K39" s="628"/>
      <c r="L39" s="628"/>
      <c r="M39" s="635"/>
    </row>
    <row r="40" spans="1:13">
      <c r="A40" s="627" t="s">
        <v>176</v>
      </c>
      <c r="B40" s="628"/>
      <c r="C40" s="628"/>
      <c r="D40" s="628"/>
      <c r="E40" s="624">
        <f>E27+E36</f>
        <v>0</v>
      </c>
      <c r="F40" s="628"/>
      <c r="G40" s="628"/>
      <c r="H40" s="628"/>
      <c r="I40" s="634"/>
      <c r="J40" s="628"/>
      <c r="K40" s="628"/>
      <c r="L40" s="628"/>
      <c r="M40" s="635"/>
    </row>
    <row r="41" spans="1:13">
      <c r="A41" s="627" t="s">
        <v>132</v>
      </c>
      <c r="B41" s="628"/>
      <c r="C41" s="628"/>
      <c r="D41" s="628"/>
      <c r="E41" s="624"/>
      <c r="F41" s="628"/>
      <c r="G41" s="628"/>
      <c r="H41" s="628"/>
      <c r="I41" s="634"/>
      <c r="J41" s="628"/>
      <c r="K41" s="628"/>
      <c r="L41" s="628"/>
      <c r="M41" s="635"/>
    </row>
    <row r="42" spans="1:13" ht="15.5" customHeight="1">
      <c r="A42" s="656" t="s">
        <v>133</v>
      </c>
      <c r="B42" s="657"/>
      <c r="C42" s="657"/>
      <c r="D42" s="657"/>
      <c r="E42" s="674"/>
      <c r="F42" s="658"/>
      <c r="G42" s="658"/>
      <c r="H42" s="658"/>
      <c r="I42" s="659"/>
      <c r="J42" s="658"/>
      <c r="K42" s="658"/>
      <c r="L42" s="658"/>
      <c r="M42" s="657"/>
    </row>
    <row r="43" spans="1:13">
      <c r="A43" s="627" t="s">
        <v>134</v>
      </c>
      <c r="B43" s="670"/>
      <c r="C43" s="670"/>
      <c r="D43" s="670"/>
      <c r="E43" s="671"/>
      <c r="F43" s="670"/>
      <c r="G43" s="670"/>
      <c r="H43" s="670"/>
      <c r="I43" s="672"/>
      <c r="J43" s="670"/>
      <c r="K43" s="670"/>
      <c r="L43" s="670"/>
      <c r="M43" s="673"/>
    </row>
    <row r="44" spans="1:13" ht="13.15" customHeight="1">
      <c r="A44" s="675" t="s">
        <v>177</v>
      </c>
      <c r="B44" s="676"/>
      <c r="C44" s="677"/>
      <c r="D44" s="677"/>
      <c r="E44" s="678"/>
      <c r="F44" s="679"/>
      <c r="G44" s="679"/>
      <c r="H44" s="679"/>
      <c r="J44" s="679"/>
      <c r="K44" s="679"/>
      <c r="L44" s="679"/>
    </row>
    <row r="45" spans="1:13" ht="13.15" customHeight="1">
      <c r="A45" s="681"/>
      <c r="B45" s="681"/>
    </row>
    <row r="46" spans="1:13">
      <c r="A46" s="685"/>
      <c r="B46" s="685"/>
    </row>
    <row r="47" spans="1:13">
      <c r="F47" s="686"/>
      <c r="G47" s="686"/>
      <c r="H47" s="686"/>
      <c r="I47" s="687"/>
      <c r="J47" s="686"/>
      <c r="K47" s="686"/>
      <c r="L47" s="686"/>
      <c r="M47" s="688"/>
    </row>
    <row r="48" spans="1:13">
      <c r="F48" s="686"/>
      <c r="G48" s="686"/>
      <c r="H48" s="686"/>
      <c r="I48" s="687"/>
      <c r="J48" s="686"/>
      <c r="K48" s="686"/>
      <c r="L48" s="686"/>
      <c r="M48" s="688"/>
    </row>
    <row r="49" spans="1:13">
      <c r="F49" s="686"/>
      <c r="G49" s="686"/>
      <c r="H49" s="686"/>
      <c r="I49" s="687"/>
      <c r="J49" s="686"/>
      <c r="K49" s="686"/>
      <c r="L49" s="686"/>
      <c r="M49" s="688"/>
    </row>
    <row r="50" spans="1:13">
      <c r="F50" s="686"/>
      <c r="G50" s="686"/>
      <c r="H50" s="686"/>
      <c r="I50" s="687"/>
      <c r="J50" s="686"/>
      <c r="K50" s="686"/>
      <c r="L50" s="686"/>
      <c r="M50" s="688"/>
    </row>
    <row r="52" spans="1:13">
      <c r="A52" s="689"/>
      <c r="B52" s="689"/>
      <c r="F52" s="686"/>
      <c r="G52" s="686"/>
      <c r="H52" s="686"/>
      <c r="I52" s="687"/>
      <c r="J52" s="686"/>
      <c r="K52" s="686"/>
      <c r="L52" s="686"/>
      <c r="M52" s="688"/>
    </row>
    <row r="53" spans="1:13">
      <c r="A53" s="689"/>
      <c r="B53" s="689"/>
    </row>
    <row r="54" spans="1:13">
      <c r="A54" s="689"/>
      <c r="B54" s="68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727" customWidth="1"/>
    <col min="3" max="3" width="35" style="591" bestFit="1" customWidth="1"/>
    <col min="4" max="4" width="8" style="591" bestFit="1" customWidth="1"/>
    <col min="5" max="7" width="8" style="591" customWidth="1" outlineLevel="1"/>
    <col min="8" max="16" width="8" style="591" bestFit="1" customWidth="1"/>
    <col min="17" max="18" width="9.26953125" style="591" customWidth="1"/>
    <col min="19" max="16384" width="9.26953125" style="591"/>
  </cols>
  <sheetData>
    <row r="1" spans="1:18" s="692" customFormat="1" ht="14.65" customHeight="1" thickBot="1">
      <c r="A1" s="690" t="s">
        <v>178</v>
      </c>
      <c r="B1" s="690" t="s">
        <v>179</v>
      </c>
      <c r="C1" s="691" t="str">
        <f t="array" aca="1" ref="C1" ca="1">_xlfn.TEXTAFTER(CELL("filename",C1),"]")</f>
        <v>lgh_bs_qr</v>
      </c>
      <c r="D1" s="691"/>
      <c r="E1" s="691"/>
      <c r="F1" s="691"/>
      <c r="G1" s="691"/>
      <c r="H1" s="691"/>
      <c r="I1" s="691"/>
      <c r="J1" s="691"/>
      <c r="K1" s="691"/>
      <c r="L1" s="691"/>
      <c r="M1" s="691"/>
      <c r="N1" s="691"/>
      <c r="O1" s="691"/>
      <c r="P1" s="691"/>
    </row>
    <row r="2" spans="1:18" ht="15.5" customHeight="1" thickTop="1" thickBot="1">
      <c r="A2" s="693"/>
      <c r="B2" s="693"/>
      <c r="C2" s="694" t="s">
        <v>0</v>
      </c>
      <c r="D2" s="695">
        <v>45657</v>
      </c>
      <c r="E2" s="695">
        <v>45747</v>
      </c>
      <c r="F2" s="695">
        <v>45838</v>
      </c>
      <c r="G2" s="695">
        <v>45930</v>
      </c>
      <c r="H2" s="695">
        <v>46022</v>
      </c>
      <c r="I2" s="695">
        <v>46112</v>
      </c>
      <c r="J2" s="695">
        <v>46203</v>
      </c>
      <c r="K2" s="695">
        <v>46295</v>
      </c>
      <c r="L2" s="695">
        <v>46387</v>
      </c>
      <c r="M2" s="695">
        <v>46752</v>
      </c>
      <c r="N2" s="695">
        <v>47118</v>
      </c>
      <c r="O2" s="695">
        <v>47483</v>
      </c>
      <c r="P2" s="695">
        <v>47848</v>
      </c>
    </row>
    <row r="3" spans="1:18" ht="15.5" customHeight="1" thickTop="1" thickBot="1">
      <c r="A3" s="693"/>
      <c r="B3" s="693"/>
      <c r="C3" s="694" t="s">
        <v>1</v>
      </c>
      <c r="D3" s="696" t="s">
        <v>92</v>
      </c>
      <c r="E3" s="696" t="s">
        <v>93</v>
      </c>
      <c r="F3" s="696" t="s">
        <v>94</v>
      </c>
      <c r="G3" s="696" t="s">
        <v>95</v>
      </c>
      <c r="H3" s="696" t="s">
        <v>92</v>
      </c>
      <c r="I3" s="696" t="s">
        <v>93</v>
      </c>
      <c r="J3" s="696" t="s">
        <v>94</v>
      </c>
      <c r="K3" s="696" t="s">
        <v>95</v>
      </c>
      <c r="L3" s="696" t="s">
        <v>92</v>
      </c>
      <c r="M3" s="696" t="s">
        <v>92</v>
      </c>
      <c r="N3" s="696" t="s">
        <v>92</v>
      </c>
      <c r="O3" s="696" t="s">
        <v>92</v>
      </c>
      <c r="P3" s="696" t="s">
        <v>92</v>
      </c>
    </row>
    <row r="4" spans="1:18" ht="15" customHeight="1" thickTop="1">
      <c r="A4" s="693"/>
      <c r="B4" s="693"/>
      <c r="C4" s="690" t="s">
        <v>96</v>
      </c>
      <c r="D4" s="697"/>
      <c r="E4" s="698"/>
      <c r="F4" s="698"/>
      <c r="G4" s="699"/>
      <c r="H4" s="699"/>
      <c r="I4" s="699"/>
      <c r="J4" s="697"/>
      <c r="K4" s="697"/>
      <c r="L4" s="697"/>
      <c r="M4" s="697"/>
      <c r="N4" s="697"/>
      <c r="O4" s="697"/>
      <c r="P4" s="697"/>
    </row>
    <row r="5" spans="1:18">
      <c r="A5" s="700" t="s">
        <v>180</v>
      </c>
      <c r="B5" s="700" t="s">
        <v>48</v>
      </c>
      <c r="C5" s="700" t="s">
        <v>97</v>
      </c>
      <c r="D5" s="701"/>
      <c r="E5" s="702"/>
      <c r="F5" s="702"/>
      <c r="G5" s="702"/>
      <c r="H5" s="702"/>
      <c r="I5" s="702"/>
      <c r="J5" s="702"/>
      <c r="K5" s="702"/>
      <c r="L5" s="702"/>
      <c r="M5" s="702"/>
      <c r="N5" s="702"/>
      <c r="O5" s="702"/>
      <c r="P5" s="702"/>
      <c r="R5" s="703"/>
    </row>
    <row r="6" spans="1:18">
      <c r="A6" s="693"/>
      <c r="B6" s="693"/>
      <c r="C6" s="700" t="s">
        <v>98</v>
      </c>
      <c r="D6" s="701"/>
      <c r="E6" s="704"/>
      <c r="F6" s="704"/>
      <c r="G6" s="704"/>
      <c r="H6" s="704"/>
      <c r="I6" s="704"/>
      <c r="J6" s="704"/>
      <c r="K6" s="704"/>
      <c r="L6" s="704"/>
      <c r="M6" s="704"/>
      <c r="N6" s="704"/>
      <c r="O6" s="704"/>
      <c r="P6" s="704"/>
    </row>
    <row r="7" spans="1:18">
      <c r="A7" s="700" t="s">
        <v>181</v>
      </c>
      <c r="B7" s="700" t="s">
        <v>182</v>
      </c>
      <c r="C7" s="700" t="s">
        <v>99</v>
      </c>
      <c r="D7" s="701"/>
      <c r="E7" s="702"/>
      <c r="F7" s="702"/>
      <c r="G7" s="702"/>
      <c r="H7" s="702"/>
      <c r="I7" s="702"/>
      <c r="J7" s="702"/>
      <c r="K7" s="702"/>
      <c r="L7" s="702"/>
      <c r="M7" s="702"/>
      <c r="N7" s="702"/>
      <c r="O7" s="702"/>
      <c r="P7" s="702"/>
    </row>
    <row r="8" spans="1:18">
      <c r="A8" s="693"/>
      <c r="B8" s="693"/>
      <c r="C8" s="700" t="s">
        <v>100</v>
      </c>
      <c r="D8" s="701"/>
      <c r="E8" s="704"/>
      <c r="F8" s="704"/>
      <c r="G8" s="704"/>
      <c r="H8" s="704"/>
      <c r="I8" s="704"/>
      <c r="J8" s="704"/>
      <c r="K8" s="704"/>
      <c r="L8" s="704"/>
      <c r="M8" s="704"/>
      <c r="N8" s="704"/>
      <c r="O8" s="704"/>
      <c r="P8" s="704"/>
    </row>
    <row r="9" spans="1:18">
      <c r="A9" s="700" t="s">
        <v>183</v>
      </c>
      <c r="B9" s="700" t="s">
        <v>21</v>
      </c>
      <c r="C9" s="700" t="s">
        <v>99</v>
      </c>
      <c r="D9" s="701"/>
      <c r="E9" s="702"/>
      <c r="F9" s="702"/>
      <c r="G9" s="702"/>
      <c r="H9" s="702"/>
      <c r="I9" s="702"/>
      <c r="J9" s="702"/>
      <c r="K9" s="702"/>
      <c r="L9" s="702"/>
      <c r="M9" s="702"/>
      <c r="N9" s="702"/>
      <c r="O9" s="702"/>
      <c r="P9" s="702"/>
    </row>
    <row r="10" spans="1:18">
      <c r="A10" s="700" t="s">
        <v>183</v>
      </c>
      <c r="B10" s="700" t="s">
        <v>23</v>
      </c>
      <c r="C10" s="700" t="s">
        <v>101</v>
      </c>
      <c r="D10" s="701"/>
      <c r="E10" s="702"/>
      <c r="F10" s="702"/>
      <c r="G10" s="702"/>
      <c r="H10" s="702"/>
      <c r="I10" s="702"/>
      <c r="J10" s="702"/>
      <c r="K10" s="702"/>
      <c r="L10" s="702"/>
      <c r="M10" s="702"/>
      <c r="N10" s="702"/>
      <c r="O10" s="702"/>
      <c r="P10" s="702"/>
    </row>
    <row r="11" spans="1:18">
      <c r="A11" s="700" t="s">
        <v>183</v>
      </c>
      <c r="B11" s="700" t="s">
        <v>22</v>
      </c>
      <c r="C11" s="700" t="s">
        <v>102</v>
      </c>
      <c r="D11" s="701"/>
      <c r="E11" s="702"/>
      <c r="F11" s="702"/>
      <c r="G11" s="702"/>
      <c r="H11" s="702"/>
      <c r="I11" s="702"/>
      <c r="J11" s="702"/>
      <c r="K11" s="702"/>
      <c r="L11" s="702"/>
      <c r="M11" s="702"/>
      <c r="N11" s="702"/>
      <c r="O11" s="702"/>
      <c r="P11" s="702"/>
    </row>
    <row r="12" spans="1:18">
      <c r="A12" s="693"/>
      <c r="B12" s="693"/>
      <c r="C12" s="700" t="s">
        <v>103</v>
      </c>
      <c r="D12" s="702"/>
      <c r="E12" s="702"/>
      <c r="F12" s="702"/>
      <c r="G12" s="702"/>
      <c r="H12" s="702"/>
      <c r="I12" s="702"/>
      <c r="J12" s="702"/>
      <c r="K12" s="702"/>
      <c r="L12" s="702"/>
      <c r="M12" s="702"/>
      <c r="N12" s="702"/>
      <c r="O12" s="702"/>
      <c r="P12" s="702"/>
    </row>
    <row r="13" spans="1:18">
      <c r="A13" s="693"/>
      <c r="B13" s="693"/>
      <c r="C13" s="700" t="s">
        <v>104</v>
      </c>
      <c r="D13" s="701"/>
      <c r="E13" s="704"/>
      <c r="F13" s="704"/>
      <c r="G13" s="704"/>
      <c r="H13" s="704"/>
      <c r="I13" s="704"/>
      <c r="J13" s="704"/>
      <c r="K13" s="704"/>
      <c r="L13" s="704"/>
      <c r="M13" s="704"/>
      <c r="N13" s="704"/>
      <c r="O13" s="704"/>
      <c r="P13" s="704"/>
    </row>
    <row r="14" spans="1:18">
      <c r="A14" s="700" t="s">
        <v>184</v>
      </c>
      <c r="B14" s="700" t="s">
        <v>21</v>
      </c>
      <c r="C14" s="700" t="s">
        <v>99</v>
      </c>
      <c r="D14" s="701"/>
      <c r="E14" s="702"/>
      <c r="F14" s="702"/>
      <c r="G14" s="702"/>
      <c r="H14" s="702"/>
      <c r="I14" s="702"/>
      <c r="J14" s="702"/>
      <c r="K14" s="702"/>
      <c r="L14" s="702"/>
      <c r="M14" s="702"/>
      <c r="N14" s="702"/>
      <c r="O14" s="702"/>
      <c r="P14" s="702"/>
    </row>
    <row r="15" spans="1:18">
      <c r="A15" s="693"/>
      <c r="B15" s="693"/>
      <c r="C15" s="700" t="s">
        <v>105</v>
      </c>
      <c r="D15" s="701"/>
      <c r="E15" s="704"/>
      <c r="F15" s="704"/>
      <c r="G15" s="704"/>
      <c r="H15" s="704"/>
      <c r="I15" s="704"/>
      <c r="J15" s="704"/>
      <c r="K15" s="704"/>
      <c r="L15" s="704"/>
      <c r="M15" s="704"/>
      <c r="N15" s="704"/>
      <c r="O15" s="704"/>
      <c r="P15" s="704"/>
    </row>
    <row r="16" spans="1:18">
      <c r="A16" s="700" t="s">
        <v>185</v>
      </c>
      <c r="B16" s="700" t="s">
        <v>21</v>
      </c>
      <c r="C16" s="700" t="s">
        <v>106</v>
      </c>
      <c r="D16" s="701"/>
      <c r="E16" s="702"/>
      <c r="F16" s="702"/>
      <c r="G16" s="702"/>
      <c r="H16" s="702"/>
      <c r="I16" s="702"/>
      <c r="J16" s="702"/>
      <c r="K16" s="702"/>
      <c r="L16" s="702"/>
      <c r="M16" s="702"/>
      <c r="N16" s="702"/>
      <c r="O16" s="702"/>
      <c r="P16" s="702"/>
    </row>
    <row r="17" spans="1:16">
      <c r="A17" s="693"/>
      <c r="B17" s="693"/>
      <c r="C17" s="700" t="s">
        <v>107</v>
      </c>
      <c r="D17" s="701"/>
      <c r="E17" s="704"/>
      <c r="F17" s="704"/>
      <c r="G17" s="704"/>
      <c r="H17" s="704"/>
      <c r="I17" s="704"/>
      <c r="J17" s="704"/>
      <c r="K17" s="704"/>
      <c r="L17" s="704"/>
      <c r="M17" s="704"/>
      <c r="N17" s="704"/>
      <c r="O17" s="704"/>
      <c r="P17" s="704"/>
    </row>
    <row r="18" spans="1:16">
      <c r="A18" s="700" t="s">
        <v>107</v>
      </c>
      <c r="B18" s="700" t="s">
        <v>21</v>
      </c>
      <c r="C18" s="700" t="s">
        <v>107</v>
      </c>
      <c r="D18" s="701"/>
      <c r="E18" s="702"/>
      <c r="F18" s="702"/>
      <c r="G18" s="702"/>
      <c r="H18" s="702"/>
      <c r="I18" s="702"/>
      <c r="J18" s="702"/>
      <c r="K18" s="702"/>
      <c r="L18" s="702"/>
      <c r="M18" s="702"/>
      <c r="N18" s="702"/>
      <c r="O18" s="702"/>
      <c r="P18" s="702"/>
    </row>
    <row r="19" spans="1:16">
      <c r="A19" s="693"/>
      <c r="B19" s="693"/>
      <c r="C19" s="705" t="str">
        <f>+C20</f>
        <v>[LSAT]</v>
      </c>
      <c r="D19" s="701"/>
      <c r="E19" s="704"/>
      <c r="F19" s="704"/>
      <c r="G19" s="704"/>
      <c r="H19" s="704"/>
      <c r="I19" s="704"/>
      <c r="J19" s="704"/>
      <c r="K19" s="704"/>
      <c r="L19" s="704"/>
      <c r="M19" s="704"/>
      <c r="N19" s="704"/>
      <c r="O19" s="704"/>
      <c r="P19" s="704"/>
    </row>
    <row r="20" spans="1:16">
      <c r="A20" s="700" t="s">
        <v>186</v>
      </c>
      <c r="B20" s="700" t="s">
        <v>46</v>
      </c>
      <c r="C20" s="700" t="s">
        <v>108</v>
      </c>
      <c r="D20" s="701"/>
      <c r="E20" s="702"/>
      <c r="F20" s="702"/>
      <c r="G20" s="702"/>
      <c r="H20" s="702"/>
      <c r="I20" s="702"/>
      <c r="J20" s="702"/>
      <c r="K20" s="702"/>
      <c r="L20" s="702"/>
      <c r="M20" s="702"/>
      <c r="N20" s="702"/>
      <c r="O20" s="702"/>
      <c r="P20" s="702"/>
    </row>
    <row r="21" spans="1:16">
      <c r="A21" s="693"/>
      <c r="B21" s="693"/>
      <c r="C21" s="705" t="str">
        <f>+C22</f>
        <v>[L4]</v>
      </c>
      <c r="D21" s="701"/>
      <c r="E21" s="704"/>
      <c r="F21" s="704"/>
      <c r="G21" s="704"/>
      <c r="H21" s="704"/>
      <c r="I21" s="704"/>
      <c r="J21" s="704"/>
      <c r="K21" s="704"/>
      <c r="L21" s="704"/>
      <c r="M21" s="704"/>
      <c r="N21" s="704"/>
      <c r="O21" s="704"/>
      <c r="P21" s="704"/>
    </row>
    <row r="22" spans="1:16">
      <c r="A22" s="700" t="s">
        <v>186</v>
      </c>
      <c r="B22" s="700" t="s">
        <v>47</v>
      </c>
      <c r="C22" s="700" t="s">
        <v>109</v>
      </c>
      <c r="D22" s="701"/>
      <c r="E22" s="702"/>
      <c r="F22" s="702"/>
      <c r="G22" s="702"/>
      <c r="H22" s="702"/>
      <c r="I22" s="702"/>
      <c r="J22" s="702"/>
      <c r="K22" s="702"/>
      <c r="L22" s="702"/>
      <c r="M22" s="702"/>
      <c r="N22" s="702"/>
      <c r="O22" s="702"/>
      <c r="P22" s="702"/>
    </row>
    <row r="23" spans="1:16">
      <c r="A23" s="693"/>
      <c r="B23" s="693"/>
      <c r="C23" s="705" t="str">
        <f>+C24</f>
        <v>PV Loren fees (Key money)</v>
      </c>
      <c r="D23" s="701"/>
      <c r="E23" s="704"/>
      <c r="F23" s="704"/>
      <c r="G23" s="704"/>
      <c r="H23" s="704"/>
      <c r="I23" s="704"/>
      <c r="J23" s="704"/>
      <c r="K23" s="704"/>
      <c r="L23" s="704"/>
      <c r="M23" s="704"/>
      <c r="N23" s="704"/>
      <c r="O23" s="704"/>
      <c r="P23" s="704"/>
    </row>
    <row r="24" spans="1:16">
      <c r="A24" s="700" t="s">
        <v>187</v>
      </c>
      <c r="B24" s="700" t="s">
        <v>30</v>
      </c>
      <c r="C24" s="700" t="s">
        <v>30</v>
      </c>
      <c r="D24" s="701"/>
      <c r="E24" s="702"/>
      <c r="F24" s="702"/>
      <c r="G24" s="702"/>
      <c r="H24" s="702"/>
      <c r="I24" s="702"/>
      <c r="J24" s="702"/>
      <c r="K24" s="702"/>
      <c r="L24" s="702"/>
      <c r="M24" s="702"/>
      <c r="N24" s="702"/>
      <c r="O24" s="702"/>
      <c r="P24" s="702"/>
    </row>
    <row r="25" spans="1:16">
      <c r="A25" s="693"/>
      <c r="B25" s="693"/>
      <c r="C25" s="700" t="s">
        <v>110</v>
      </c>
      <c r="D25" s="701"/>
      <c r="E25" s="704"/>
      <c r="F25" s="704"/>
      <c r="G25" s="704"/>
      <c r="H25" s="704"/>
      <c r="I25" s="704"/>
      <c r="J25" s="704"/>
      <c r="K25" s="704"/>
      <c r="L25" s="704"/>
      <c r="M25" s="704"/>
      <c r="N25" s="704"/>
      <c r="O25" s="704"/>
      <c r="P25" s="704"/>
    </row>
    <row r="26" spans="1:16">
      <c r="A26" s="700" t="s">
        <v>186</v>
      </c>
      <c r="B26" s="700" t="s">
        <v>45</v>
      </c>
      <c r="C26" s="700" t="s">
        <v>111</v>
      </c>
      <c r="D26" s="701"/>
      <c r="E26" s="702"/>
      <c r="F26" s="702"/>
      <c r="G26" s="702"/>
      <c r="H26" s="702"/>
      <c r="I26" s="702"/>
      <c r="J26" s="702"/>
      <c r="K26" s="702"/>
      <c r="L26" s="702"/>
      <c r="M26" s="702"/>
      <c r="N26" s="702"/>
      <c r="O26" s="702"/>
      <c r="P26" s="702"/>
    </row>
    <row r="27" spans="1:16" s="706" customFormat="1">
      <c r="A27" s="693"/>
      <c r="B27" s="693"/>
      <c r="C27" s="700" t="s">
        <v>112</v>
      </c>
      <c r="D27" s="701"/>
      <c r="E27" s="704"/>
      <c r="F27" s="704"/>
      <c r="G27" s="704"/>
      <c r="H27" s="704"/>
      <c r="I27" s="704"/>
      <c r="J27" s="704"/>
      <c r="K27" s="704"/>
      <c r="L27" s="704"/>
      <c r="M27" s="704"/>
      <c r="N27" s="704"/>
      <c r="O27" s="704"/>
      <c r="P27" s="704"/>
    </row>
    <row r="28" spans="1:16">
      <c r="A28" s="693"/>
      <c r="B28" s="693"/>
      <c r="C28" s="690" t="s">
        <v>113</v>
      </c>
      <c r="D28" s="707"/>
      <c r="E28" s="707"/>
      <c r="F28" s="707"/>
      <c r="G28" s="707"/>
      <c r="H28" s="707"/>
      <c r="I28" s="707"/>
      <c r="J28" s="707"/>
      <c r="K28" s="707"/>
      <c r="L28" s="707"/>
      <c r="M28" s="707"/>
      <c r="N28" s="707"/>
      <c r="O28" s="707"/>
      <c r="P28" s="707"/>
    </row>
    <row r="29" spans="1:16">
      <c r="A29" s="700" t="s">
        <v>188</v>
      </c>
      <c r="B29" s="700" t="s">
        <v>40</v>
      </c>
      <c r="C29" s="700" t="s">
        <v>114</v>
      </c>
      <c r="D29" s="701"/>
      <c r="E29" s="702"/>
      <c r="F29" s="702"/>
      <c r="G29" s="702"/>
      <c r="H29" s="702"/>
      <c r="I29" s="702"/>
      <c r="J29" s="702"/>
      <c r="K29" s="702"/>
      <c r="L29" s="702"/>
      <c r="M29" s="702"/>
      <c r="N29" s="702"/>
      <c r="O29" s="702"/>
      <c r="P29" s="702"/>
    </row>
    <row r="30" spans="1:16">
      <c r="A30" s="700" t="s">
        <v>186</v>
      </c>
      <c r="B30" s="700" t="s">
        <v>52</v>
      </c>
      <c r="C30" s="700" t="s">
        <v>115</v>
      </c>
      <c r="D30" s="701"/>
      <c r="E30" s="702"/>
      <c r="F30" s="702"/>
      <c r="G30" s="702"/>
      <c r="H30" s="702"/>
      <c r="I30" s="702"/>
      <c r="J30" s="702"/>
      <c r="K30" s="702"/>
      <c r="L30" s="702"/>
      <c r="M30" s="702"/>
      <c r="N30" s="702"/>
      <c r="O30" s="702"/>
      <c r="P30" s="702"/>
    </row>
    <row r="31" spans="1:16">
      <c r="A31" s="700" t="s">
        <v>189</v>
      </c>
      <c r="B31" s="700" t="s">
        <v>38</v>
      </c>
      <c r="C31" s="700" t="s">
        <v>116</v>
      </c>
      <c r="D31" s="701"/>
      <c r="E31" s="702"/>
      <c r="F31" s="702"/>
      <c r="G31" s="702"/>
      <c r="H31" s="702"/>
      <c r="I31" s="702"/>
      <c r="J31" s="702"/>
      <c r="K31" s="702"/>
      <c r="L31" s="702"/>
      <c r="M31" s="702"/>
      <c r="N31" s="702"/>
      <c r="O31" s="702"/>
      <c r="P31" s="702"/>
    </row>
    <row r="32" spans="1:16">
      <c r="A32" s="693"/>
      <c r="B32" s="693"/>
      <c r="C32" s="700" t="s">
        <v>117</v>
      </c>
      <c r="D32" s="701"/>
      <c r="E32" s="704"/>
      <c r="F32" s="704"/>
      <c r="G32" s="704"/>
      <c r="H32" s="704"/>
      <c r="I32" s="704"/>
      <c r="J32" s="704"/>
      <c r="K32" s="704"/>
      <c r="L32" s="704"/>
      <c r="M32" s="704"/>
      <c r="N32" s="704"/>
      <c r="O32" s="704"/>
      <c r="P32" s="704"/>
    </row>
    <row r="33" spans="1:16">
      <c r="A33" s="693"/>
      <c r="B33" s="693"/>
      <c r="C33" s="700" t="s">
        <v>20</v>
      </c>
      <c r="D33" s="701"/>
      <c r="E33" s="702"/>
      <c r="F33" s="702"/>
      <c r="G33" s="702"/>
      <c r="H33" s="702"/>
      <c r="I33" s="702"/>
      <c r="J33" s="702"/>
      <c r="K33" s="702"/>
      <c r="L33" s="702"/>
      <c r="M33" s="702"/>
      <c r="N33" s="702"/>
      <c r="O33" s="702"/>
      <c r="P33" s="702"/>
    </row>
    <row r="34" spans="1:16">
      <c r="A34" s="693"/>
      <c r="B34" s="693"/>
      <c r="C34" s="690" t="s">
        <v>118</v>
      </c>
      <c r="D34" s="702"/>
      <c r="E34" s="702"/>
      <c r="F34" s="702"/>
      <c r="G34" s="702"/>
      <c r="H34" s="702"/>
      <c r="I34" s="702"/>
      <c r="J34" s="702"/>
      <c r="K34" s="702"/>
      <c r="L34" s="702"/>
      <c r="M34" s="702"/>
      <c r="N34" s="702"/>
      <c r="O34" s="702"/>
      <c r="P34" s="702"/>
    </row>
    <row r="35" spans="1:16">
      <c r="A35" s="700" t="s">
        <v>190</v>
      </c>
      <c r="B35" s="700" t="s">
        <v>50</v>
      </c>
      <c r="C35" s="690" t="s">
        <v>119</v>
      </c>
      <c r="D35" s="701"/>
      <c r="E35" s="702"/>
      <c r="F35" s="702"/>
      <c r="G35" s="702"/>
      <c r="H35" s="702"/>
      <c r="I35" s="702"/>
      <c r="J35" s="702"/>
      <c r="K35" s="702"/>
      <c r="L35" s="702"/>
      <c r="M35" s="702"/>
      <c r="N35" s="702"/>
      <c r="O35" s="702"/>
      <c r="P35" s="702"/>
    </row>
    <row r="36" spans="1:16">
      <c r="A36" s="700" t="s">
        <v>191</v>
      </c>
      <c r="B36" s="700" t="s">
        <v>38</v>
      </c>
      <c r="C36" s="690" t="s">
        <v>101</v>
      </c>
      <c r="D36" s="701"/>
      <c r="E36" s="702"/>
      <c r="F36" s="702"/>
      <c r="G36" s="702"/>
      <c r="H36" s="702"/>
      <c r="I36" s="702"/>
      <c r="J36" s="702"/>
      <c r="K36" s="702"/>
      <c r="L36" s="702"/>
      <c r="M36" s="702"/>
      <c r="N36" s="702"/>
      <c r="O36" s="702"/>
      <c r="P36" s="702"/>
    </row>
    <row r="37" spans="1:16" outlineLevel="1">
      <c r="A37" s="700" t="s">
        <v>192</v>
      </c>
      <c r="B37" s="700" t="s">
        <v>53</v>
      </c>
      <c r="C37" s="690" t="s">
        <v>120</v>
      </c>
      <c r="D37" s="701"/>
      <c r="E37" s="702"/>
      <c r="F37" s="702"/>
      <c r="G37" s="702"/>
      <c r="H37" s="702"/>
      <c r="I37" s="702"/>
      <c r="J37" s="702"/>
      <c r="K37" s="702"/>
      <c r="L37" s="702"/>
      <c r="M37" s="702"/>
      <c r="N37" s="702"/>
      <c r="O37" s="702"/>
      <c r="P37" s="702"/>
    </row>
    <row r="38" spans="1:16" outlineLevel="1">
      <c r="A38" s="693"/>
      <c r="B38" s="693"/>
      <c r="C38" s="690" t="s">
        <v>73</v>
      </c>
      <c r="D38" s="701"/>
      <c r="E38" s="702"/>
      <c r="F38" s="702"/>
      <c r="G38" s="702"/>
      <c r="H38" s="702"/>
      <c r="I38" s="702"/>
      <c r="J38" s="702"/>
      <c r="K38" s="702"/>
      <c r="L38" s="702"/>
      <c r="M38" s="702"/>
      <c r="N38" s="702"/>
      <c r="O38" s="702"/>
      <c r="P38" s="702"/>
    </row>
    <row r="39" spans="1:16">
      <c r="A39" s="693"/>
      <c r="B39" s="693"/>
      <c r="C39" s="700" t="s">
        <v>121</v>
      </c>
      <c r="D39" s="701"/>
      <c r="E39" s="704"/>
      <c r="F39" s="704"/>
      <c r="G39" s="704"/>
      <c r="H39" s="704"/>
      <c r="I39" s="704"/>
      <c r="J39" s="704"/>
      <c r="K39" s="704"/>
      <c r="L39" s="704"/>
      <c r="M39" s="704"/>
      <c r="N39" s="704"/>
      <c r="O39" s="704"/>
      <c r="P39" s="704"/>
    </row>
    <row r="40" spans="1:16">
      <c r="A40" s="700" t="s">
        <v>183</v>
      </c>
      <c r="B40" s="700" t="s">
        <v>24</v>
      </c>
      <c r="C40" s="700" t="s">
        <v>122</v>
      </c>
      <c r="D40" s="701"/>
      <c r="E40" s="702"/>
      <c r="F40" s="702"/>
      <c r="G40" s="702"/>
      <c r="H40" s="702"/>
      <c r="I40" s="702"/>
      <c r="J40" s="702"/>
      <c r="K40" s="702"/>
      <c r="L40" s="702"/>
      <c r="M40" s="702"/>
      <c r="N40" s="702"/>
      <c r="O40" s="702"/>
      <c r="P40" s="702"/>
    </row>
    <row r="41" spans="1:16">
      <c r="A41" s="700" t="s">
        <v>183</v>
      </c>
      <c r="B41" s="700" t="s">
        <v>25</v>
      </c>
      <c r="C41" s="700" t="s">
        <v>123</v>
      </c>
      <c r="D41" s="701"/>
      <c r="E41" s="702"/>
      <c r="F41" s="702"/>
      <c r="G41" s="702"/>
      <c r="H41" s="702"/>
      <c r="I41" s="702"/>
      <c r="J41" s="702"/>
      <c r="K41" s="702"/>
      <c r="L41" s="702"/>
      <c r="M41" s="702"/>
      <c r="N41" s="702"/>
      <c r="O41" s="702"/>
      <c r="P41" s="702"/>
    </row>
    <row r="42" spans="1:16">
      <c r="A42" s="700" t="s">
        <v>187</v>
      </c>
      <c r="B42" s="700" t="s">
        <v>31</v>
      </c>
      <c r="C42" s="700" t="s">
        <v>124</v>
      </c>
      <c r="D42" s="701"/>
      <c r="E42" s="702"/>
      <c r="F42" s="702"/>
      <c r="G42" s="702"/>
      <c r="H42" s="702"/>
      <c r="I42" s="702"/>
      <c r="J42" s="702"/>
      <c r="K42" s="702"/>
      <c r="L42" s="702"/>
      <c r="M42" s="702"/>
      <c r="N42" s="702"/>
      <c r="O42" s="702"/>
      <c r="P42" s="702"/>
    </row>
    <row r="43" spans="1:16">
      <c r="A43" s="700" t="s">
        <v>187</v>
      </c>
      <c r="B43" s="700" t="s">
        <v>32</v>
      </c>
      <c r="C43" s="700" t="s">
        <v>125</v>
      </c>
      <c r="D43" s="701"/>
      <c r="E43" s="702"/>
      <c r="F43" s="702"/>
      <c r="G43" s="702"/>
      <c r="H43" s="702"/>
      <c r="I43" s="702"/>
      <c r="J43" s="702"/>
      <c r="K43" s="702"/>
      <c r="L43" s="702"/>
      <c r="M43" s="702"/>
      <c r="N43" s="702"/>
      <c r="O43" s="702"/>
      <c r="P43" s="702"/>
    </row>
    <row r="44" spans="1:16">
      <c r="A44" s="693"/>
      <c r="B44" s="693"/>
      <c r="C44" s="700" t="s">
        <v>126</v>
      </c>
      <c r="D44" s="701"/>
      <c r="E44" s="704"/>
      <c r="F44" s="704"/>
      <c r="G44" s="704"/>
      <c r="H44" s="704"/>
      <c r="I44" s="704"/>
      <c r="J44" s="704"/>
      <c r="K44" s="704"/>
      <c r="L44" s="704"/>
      <c r="M44" s="704"/>
      <c r="N44" s="704"/>
      <c r="O44" s="704"/>
      <c r="P44" s="704"/>
    </row>
    <row r="45" spans="1:16">
      <c r="A45" s="693"/>
      <c r="B45" s="693"/>
      <c r="C45" s="700" t="s">
        <v>127</v>
      </c>
      <c r="D45" s="701"/>
      <c r="E45" s="702"/>
      <c r="F45" s="702"/>
      <c r="G45" s="702"/>
      <c r="H45" s="702"/>
      <c r="I45" s="702"/>
      <c r="J45" s="702"/>
      <c r="K45" s="702"/>
      <c r="L45" s="702"/>
      <c r="M45" s="702"/>
      <c r="N45" s="702"/>
      <c r="O45" s="702"/>
      <c r="P45" s="702"/>
    </row>
    <row r="46" spans="1:16">
      <c r="A46" s="693"/>
      <c r="B46" s="693"/>
      <c r="C46" s="700" t="s">
        <v>128</v>
      </c>
      <c r="D46" s="701"/>
      <c r="E46" s="708"/>
      <c r="F46" s="708"/>
      <c r="G46" s="708"/>
      <c r="H46" s="708"/>
      <c r="I46" s="708"/>
      <c r="J46" s="708"/>
      <c r="K46" s="708"/>
      <c r="L46" s="708"/>
      <c r="M46" s="708"/>
      <c r="N46" s="708"/>
      <c r="O46" s="708"/>
      <c r="P46" s="708"/>
    </row>
    <row r="47" spans="1:16">
      <c r="A47" s="693"/>
      <c r="B47" s="693"/>
      <c r="C47" s="700" t="s">
        <v>129</v>
      </c>
      <c r="D47" s="701"/>
      <c r="E47" s="702"/>
      <c r="F47" s="702"/>
      <c r="G47" s="702"/>
      <c r="H47" s="702"/>
      <c r="I47" s="702"/>
      <c r="J47" s="702"/>
      <c r="K47" s="702"/>
      <c r="L47" s="702"/>
      <c r="M47" s="702"/>
      <c r="N47" s="702"/>
      <c r="O47" s="702"/>
      <c r="P47" s="702"/>
    </row>
    <row r="48" spans="1:16">
      <c r="A48" s="693"/>
      <c r="B48" s="693"/>
      <c r="C48" s="700" t="s">
        <v>120</v>
      </c>
      <c r="D48" s="701"/>
      <c r="E48" s="702"/>
      <c r="F48" s="702"/>
      <c r="G48" s="702"/>
      <c r="H48" s="702"/>
      <c r="I48" s="702"/>
      <c r="J48" s="702"/>
      <c r="K48" s="702"/>
      <c r="L48" s="702"/>
      <c r="M48" s="702"/>
      <c r="N48" s="702"/>
      <c r="O48" s="702"/>
      <c r="P48" s="702"/>
    </row>
    <row r="49" spans="1:16">
      <c r="A49" s="693"/>
      <c r="B49" s="693"/>
      <c r="C49" s="700" t="s">
        <v>130</v>
      </c>
      <c r="D49" s="709"/>
      <c r="E49" s="710"/>
      <c r="F49" s="710"/>
      <c r="G49" s="710"/>
      <c r="H49" s="710"/>
      <c r="I49" s="710"/>
      <c r="J49" s="710"/>
      <c r="K49" s="710"/>
      <c r="L49" s="710"/>
      <c r="M49" s="710"/>
      <c r="N49" s="710"/>
      <c r="O49" s="710"/>
      <c r="P49" s="710"/>
    </row>
    <row r="50" spans="1:16">
      <c r="A50" s="693"/>
      <c r="B50" s="693"/>
      <c r="C50" s="700" t="s">
        <v>131</v>
      </c>
      <c r="D50" s="709"/>
      <c r="E50" s="710"/>
      <c r="F50" s="710"/>
      <c r="G50" s="710"/>
      <c r="H50" s="710"/>
      <c r="I50" s="710"/>
      <c r="J50" s="710"/>
      <c r="K50" s="710"/>
      <c r="L50" s="710"/>
      <c r="M50" s="710"/>
      <c r="N50" s="710"/>
      <c r="O50" s="710"/>
      <c r="P50" s="710"/>
    </row>
    <row r="51" spans="1:16">
      <c r="A51" s="693"/>
      <c r="B51" s="693"/>
      <c r="C51" s="700" t="s">
        <v>132</v>
      </c>
      <c r="D51" s="701"/>
      <c r="E51" s="702"/>
      <c r="F51" s="702"/>
      <c r="G51" s="702"/>
      <c r="H51" s="702"/>
      <c r="I51" s="702"/>
      <c r="J51" s="702"/>
      <c r="K51" s="702"/>
      <c r="L51" s="702"/>
      <c r="M51" s="702"/>
      <c r="N51" s="702"/>
      <c r="O51" s="702"/>
      <c r="P51" s="702"/>
    </row>
    <row r="52" spans="1:16">
      <c r="A52" s="693"/>
      <c r="B52" s="693"/>
      <c r="C52" s="700" t="s">
        <v>133</v>
      </c>
      <c r="D52" s="701"/>
      <c r="E52" s="704"/>
      <c r="F52" s="704"/>
      <c r="G52" s="704"/>
      <c r="H52" s="704"/>
      <c r="I52" s="704"/>
      <c r="J52" s="704"/>
      <c r="K52" s="704"/>
      <c r="L52" s="704"/>
      <c r="M52" s="704"/>
      <c r="N52" s="704"/>
      <c r="O52" s="704"/>
      <c r="P52" s="704"/>
    </row>
    <row r="53" spans="1:16">
      <c r="A53" s="693"/>
      <c r="B53" s="693"/>
      <c r="C53" s="700" t="s">
        <v>134</v>
      </c>
      <c r="D53" s="701"/>
      <c r="E53" s="702"/>
      <c r="F53" s="702"/>
      <c r="G53" s="702"/>
      <c r="H53" s="702"/>
      <c r="I53" s="702"/>
      <c r="J53" s="702"/>
      <c r="K53" s="702"/>
      <c r="L53" s="702"/>
      <c r="M53" s="702"/>
      <c r="N53" s="702"/>
      <c r="O53" s="702"/>
      <c r="P53" s="702"/>
    </row>
    <row r="54" spans="1:16">
      <c r="A54" s="693"/>
      <c r="B54" s="693"/>
      <c r="C54" s="711"/>
      <c r="D54" s="693"/>
      <c r="E54" s="693"/>
      <c r="F54" s="693"/>
      <c r="G54" s="693"/>
      <c r="H54" s="693"/>
      <c r="I54" s="698"/>
      <c r="J54" s="693"/>
      <c r="K54" s="693"/>
      <c r="L54" s="712"/>
      <c r="M54" s="712"/>
      <c r="N54" s="712"/>
      <c r="O54" s="712"/>
      <c r="P54" s="712"/>
    </row>
    <row r="55" spans="1:16">
      <c r="A55" s="693"/>
      <c r="B55" s="693"/>
      <c r="C55" s="693"/>
      <c r="D55" s="693"/>
      <c r="E55" s="693"/>
      <c r="F55" s="693"/>
      <c r="G55" s="693"/>
      <c r="H55" s="693"/>
      <c r="I55" s="693"/>
      <c r="J55" s="693"/>
      <c r="K55" s="693"/>
      <c r="L55" s="693"/>
      <c r="M55" s="693"/>
      <c r="N55" s="693"/>
      <c r="O55" s="693"/>
      <c r="P55" s="693"/>
    </row>
    <row r="56" spans="1:16">
      <c r="A56" s="693"/>
      <c r="B56" s="693"/>
      <c r="C56" s="693"/>
      <c r="D56" s="693"/>
      <c r="E56" s="693"/>
      <c r="F56" s="693"/>
      <c r="G56" s="693"/>
      <c r="H56" s="693"/>
      <c r="I56" s="693"/>
      <c r="J56" s="693"/>
      <c r="K56" s="693"/>
      <c r="L56" s="693"/>
      <c r="M56" s="693"/>
      <c r="N56" s="693"/>
      <c r="O56" s="693"/>
      <c r="P56" s="693"/>
    </row>
    <row r="57" spans="1:16">
      <c r="A57" s="693"/>
      <c r="B57" s="693"/>
      <c r="C57" s="693"/>
      <c r="D57" s="693"/>
      <c r="E57" s="693"/>
      <c r="F57" s="693"/>
      <c r="G57" s="693"/>
      <c r="H57" s="693"/>
      <c r="I57" s="693"/>
      <c r="J57" s="693"/>
      <c r="K57" s="693"/>
      <c r="L57" s="693"/>
      <c r="M57" s="693"/>
      <c r="N57" s="693"/>
      <c r="O57" s="693"/>
      <c r="P57" s="693"/>
    </row>
    <row r="58" spans="1:16">
      <c r="A58" s="693"/>
      <c r="B58" s="693"/>
      <c r="C58" s="693"/>
      <c r="D58" s="693"/>
      <c r="E58" s="693"/>
      <c r="F58" s="693"/>
      <c r="G58" s="693"/>
      <c r="H58" s="693"/>
      <c r="I58" s="693"/>
      <c r="J58" s="693"/>
      <c r="K58" s="693"/>
      <c r="L58" s="693"/>
      <c r="M58" s="693"/>
      <c r="N58" s="693"/>
      <c r="O58" s="693"/>
      <c r="P58" s="693"/>
    </row>
    <row r="59" spans="1:16">
      <c r="A59" s="693"/>
      <c r="B59" s="693"/>
      <c r="C59" s="693"/>
      <c r="D59" s="693"/>
      <c r="E59" s="693"/>
      <c r="F59" s="693"/>
      <c r="G59" s="693"/>
      <c r="H59" s="693"/>
      <c r="I59" s="693"/>
      <c r="J59" s="693"/>
      <c r="K59" s="693"/>
      <c r="L59" s="693"/>
      <c r="M59" s="693"/>
      <c r="N59" s="693"/>
      <c r="O59" s="693"/>
      <c r="P59" s="693"/>
    </row>
    <row r="60" spans="1:16">
      <c r="A60" s="693"/>
      <c r="B60" s="693"/>
      <c r="C60" s="693"/>
      <c r="D60" s="693"/>
      <c r="E60" s="693"/>
      <c r="F60" s="693"/>
      <c r="G60" s="693"/>
      <c r="H60" s="693"/>
      <c r="I60" s="693"/>
      <c r="J60" s="693"/>
      <c r="K60" s="693"/>
      <c r="L60" s="693"/>
      <c r="M60" s="693"/>
      <c r="N60" s="693"/>
      <c r="O60" s="693"/>
      <c r="P60" s="693"/>
    </row>
    <row r="61" spans="1:16">
      <c r="A61" s="693"/>
      <c r="B61" s="693"/>
      <c r="C61" s="693"/>
      <c r="D61" s="693"/>
      <c r="E61" s="693"/>
      <c r="F61" s="693"/>
      <c r="G61" s="693"/>
      <c r="H61" s="693"/>
      <c r="I61" s="693"/>
      <c r="J61" s="693"/>
      <c r="K61" s="693"/>
      <c r="L61" s="693"/>
      <c r="M61" s="693"/>
      <c r="N61" s="693"/>
      <c r="O61" s="693"/>
      <c r="P61" s="693"/>
    </row>
    <row r="62" spans="1:16">
      <c r="A62" s="693"/>
      <c r="B62" s="693"/>
      <c r="C62" s="693"/>
      <c r="D62" s="693"/>
      <c r="E62" s="693"/>
      <c r="F62" s="693"/>
      <c r="G62" s="693"/>
      <c r="H62" s="693"/>
      <c r="I62" s="693"/>
      <c r="J62" s="693"/>
      <c r="K62" s="693"/>
      <c r="L62" s="693"/>
      <c r="M62" s="693"/>
      <c r="N62" s="693"/>
      <c r="O62" s="693"/>
      <c r="P62" s="693"/>
    </row>
    <row r="63" spans="1:16">
      <c r="A63" s="693"/>
      <c r="B63" s="693"/>
      <c r="C63" s="693"/>
      <c r="D63" s="693"/>
      <c r="E63" s="693"/>
      <c r="F63" s="693"/>
      <c r="G63" s="693"/>
      <c r="H63" s="693"/>
      <c r="I63" s="693"/>
      <c r="J63" s="693"/>
      <c r="K63" s="693"/>
      <c r="L63" s="693"/>
      <c r="M63" s="693"/>
      <c r="N63" s="693"/>
      <c r="O63" s="693"/>
      <c r="P63" s="693"/>
    </row>
    <row r="64" spans="1:16">
      <c r="A64" s="693"/>
      <c r="B64" s="693"/>
      <c r="C64" s="693"/>
      <c r="D64" s="693"/>
      <c r="E64" s="693"/>
      <c r="F64" s="693"/>
      <c r="G64" s="693"/>
      <c r="H64" s="693"/>
      <c r="I64" s="693"/>
      <c r="J64" s="693"/>
      <c r="K64" s="693"/>
      <c r="L64" s="693"/>
      <c r="M64" s="693"/>
      <c r="N64" s="693"/>
      <c r="O64" s="693"/>
      <c r="P64" s="693"/>
    </row>
    <row r="65" spans="1:16">
      <c r="A65" s="693"/>
      <c r="B65" s="693"/>
      <c r="C65" s="693"/>
      <c r="D65" s="693"/>
      <c r="E65" s="693"/>
      <c r="F65" s="693"/>
      <c r="G65" s="693"/>
      <c r="H65" s="693"/>
      <c r="I65" s="693"/>
      <c r="J65" s="693"/>
      <c r="K65" s="693"/>
      <c r="L65" s="693"/>
      <c r="M65" s="693"/>
      <c r="N65" s="693"/>
      <c r="O65" s="693"/>
      <c r="P65" s="693"/>
    </row>
    <row r="66" spans="1:16">
      <c r="A66" s="693"/>
      <c r="B66" s="693"/>
      <c r="C66" s="693"/>
      <c r="D66" s="693"/>
      <c r="E66" s="693"/>
      <c r="F66" s="693"/>
      <c r="G66" s="693"/>
      <c r="H66" s="693"/>
      <c r="I66" s="693"/>
      <c r="J66" s="693"/>
      <c r="K66" s="693"/>
      <c r="L66" s="693"/>
      <c r="M66" s="693"/>
      <c r="N66" s="693"/>
      <c r="O66" s="693"/>
      <c r="P66" s="693"/>
    </row>
    <row r="67" spans="1:16">
      <c r="A67" s="693"/>
      <c r="B67" s="693"/>
      <c r="C67" s="693"/>
      <c r="D67" s="693"/>
      <c r="E67" s="693"/>
      <c r="F67" s="693"/>
      <c r="G67" s="693"/>
      <c r="H67" s="693"/>
      <c r="I67" s="693"/>
      <c r="J67" s="693"/>
      <c r="K67" s="693"/>
      <c r="L67" s="693"/>
      <c r="M67" s="693"/>
      <c r="N67" s="693"/>
      <c r="O67" s="693"/>
      <c r="P67" s="693"/>
    </row>
    <row r="68" spans="1:16">
      <c r="A68" s="693"/>
      <c r="B68" s="693"/>
      <c r="C68" s="693"/>
      <c r="D68" s="693"/>
      <c r="E68" s="693"/>
      <c r="F68" s="693"/>
      <c r="G68" s="693"/>
      <c r="H68" s="693"/>
      <c r="I68" s="693"/>
      <c r="J68" s="693"/>
      <c r="K68" s="693"/>
      <c r="L68" s="693"/>
      <c r="M68" s="693"/>
      <c r="N68" s="693"/>
      <c r="O68" s="693"/>
      <c r="P68" s="693"/>
    </row>
    <row r="69" spans="1:16">
      <c r="A69" s="693"/>
      <c r="B69" s="693"/>
      <c r="C69" s="693"/>
      <c r="D69" s="693"/>
      <c r="E69" s="693"/>
      <c r="F69" s="693"/>
      <c r="G69" s="693"/>
      <c r="H69" s="693"/>
      <c r="I69" s="693"/>
      <c r="J69" s="693"/>
      <c r="K69" s="693"/>
      <c r="L69" s="693"/>
      <c r="M69" s="693"/>
      <c r="N69" s="693"/>
      <c r="O69" s="693"/>
      <c r="P69" s="693"/>
    </row>
    <row r="70" spans="1:16">
      <c r="A70" s="693"/>
      <c r="B70" s="693"/>
      <c r="C70" s="693"/>
      <c r="D70" s="693"/>
      <c r="E70" s="693"/>
      <c r="F70" s="693"/>
      <c r="G70" s="693"/>
      <c r="H70" s="693"/>
      <c r="I70" s="693"/>
      <c r="J70" s="693"/>
      <c r="K70" s="693"/>
      <c r="L70" s="693"/>
      <c r="M70" s="693"/>
      <c r="N70" s="693"/>
      <c r="O70" s="693"/>
      <c r="P70" s="693"/>
    </row>
    <row r="71" spans="1:16">
      <c r="A71" s="693"/>
      <c r="B71" s="693"/>
      <c r="C71" s="693"/>
      <c r="D71" s="693"/>
      <c r="E71" s="693"/>
      <c r="F71" s="693"/>
      <c r="G71" s="693"/>
      <c r="H71" s="693"/>
      <c r="I71" s="693"/>
      <c r="J71" s="693"/>
      <c r="K71" s="693"/>
      <c r="L71" s="693"/>
      <c r="M71" s="693"/>
      <c r="N71" s="693"/>
      <c r="O71" s="693"/>
      <c r="P71" s="693"/>
    </row>
    <row r="72" spans="1:16">
      <c r="A72" s="693"/>
      <c r="B72" s="693"/>
      <c r="C72" s="693"/>
      <c r="D72" s="693"/>
      <c r="E72" s="693"/>
      <c r="F72" s="693"/>
      <c r="G72" s="693"/>
      <c r="H72" s="693"/>
      <c r="I72" s="693"/>
      <c r="J72" s="693"/>
      <c r="K72" s="693"/>
      <c r="L72" s="693"/>
      <c r="M72" s="693"/>
      <c r="N72" s="693"/>
      <c r="O72" s="693"/>
      <c r="P72" s="693"/>
    </row>
    <row r="73" spans="1:16">
      <c r="A73" s="693"/>
      <c r="B73" s="693"/>
      <c r="C73" s="693"/>
      <c r="D73" s="693"/>
      <c r="E73" s="693"/>
      <c r="F73" s="693"/>
      <c r="G73" s="693"/>
      <c r="H73" s="693"/>
      <c r="I73" s="693"/>
      <c r="J73" s="693"/>
      <c r="K73" s="693"/>
      <c r="L73" s="693"/>
      <c r="M73" s="693"/>
      <c r="N73" s="693"/>
      <c r="O73" s="693"/>
      <c r="P73" s="693"/>
    </row>
    <row r="74" spans="1:16">
      <c r="A74" s="693"/>
      <c r="B74" s="693"/>
      <c r="C74" s="693"/>
      <c r="D74" s="693"/>
      <c r="E74" s="693"/>
      <c r="F74" s="693"/>
      <c r="G74" s="693"/>
      <c r="H74" s="693"/>
      <c r="I74" s="693"/>
      <c r="J74" s="693"/>
      <c r="K74" s="693"/>
      <c r="L74" s="693"/>
      <c r="M74" s="693"/>
      <c r="N74" s="693"/>
      <c r="O74" s="693"/>
      <c r="P74" s="693"/>
    </row>
    <row r="75" spans="1:16">
      <c r="A75" s="693"/>
      <c r="B75" s="693"/>
      <c r="C75" s="693"/>
      <c r="D75" s="693"/>
      <c r="E75" s="693"/>
      <c r="F75" s="693"/>
      <c r="G75" s="693"/>
      <c r="H75" s="693"/>
      <c r="I75" s="693"/>
      <c r="J75" s="693"/>
      <c r="K75" s="693"/>
      <c r="L75" s="693"/>
      <c r="M75" s="693"/>
      <c r="N75" s="693"/>
      <c r="O75" s="693"/>
      <c r="P75" s="693"/>
    </row>
    <row r="76" spans="1:16">
      <c r="A76" s="693"/>
      <c r="B76" s="693"/>
      <c r="C76" s="693"/>
      <c r="D76" s="693"/>
      <c r="E76" s="693"/>
      <c r="F76" s="693"/>
      <c r="G76" s="693"/>
      <c r="H76" s="693"/>
      <c r="I76" s="693"/>
      <c r="J76" s="693"/>
      <c r="K76" s="693"/>
      <c r="L76" s="693"/>
      <c r="M76" s="693"/>
      <c r="N76" s="693"/>
      <c r="O76" s="693"/>
      <c r="P76" s="693"/>
    </row>
    <row r="77" spans="1:16">
      <c r="A77" s="693"/>
      <c r="B77" s="693"/>
      <c r="C77" s="693"/>
      <c r="D77" s="693"/>
      <c r="E77" s="693"/>
      <c r="F77" s="693"/>
      <c r="G77" s="693"/>
      <c r="H77" s="693"/>
      <c r="I77" s="693"/>
      <c r="J77" s="693"/>
      <c r="K77" s="693"/>
      <c r="L77" s="693"/>
      <c r="M77" s="693"/>
      <c r="N77" s="693"/>
      <c r="O77" s="693"/>
      <c r="P77" s="693"/>
    </row>
    <row r="78" spans="1:16">
      <c r="A78" s="693"/>
      <c r="B78" s="693"/>
      <c r="C78" s="693"/>
      <c r="D78" s="693"/>
      <c r="E78" s="693"/>
      <c r="F78" s="693"/>
      <c r="G78" s="693"/>
      <c r="H78" s="693"/>
      <c r="I78" s="693"/>
      <c r="J78" s="693"/>
      <c r="K78" s="693"/>
      <c r="L78" s="693"/>
      <c r="M78" s="693"/>
      <c r="N78" s="693"/>
      <c r="O78" s="693"/>
      <c r="P78" s="693"/>
    </row>
    <row r="79" spans="1:16">
      <c r="A79" s="693"/>
      <c r="B79" s="693"/>
      <c r="C79" s="693"/>
      <c r="D79" s="693"/>
      <c r="E79" s="693"/>
      <c r="F79" s="693"/>
      <c r="G79" s="693"/>
      <c r="H79" s="693"/>
      <c r="I79" s="693"/>
      <c r="J79" s="693"/>
      <c r="K79" s="693"/>
      <c r="L79" s="693"/>
      <c r="M79" s="693"/>
      <c r="N79" s="693"/>
      <c r="O79" s="693"/>
      <c r="P79" s="693"/>
    </row>
    <row r="80" spans="1:16">
      <c r="A80" s="693"/>
      <c r="B80" s="693"/>
      <c r="C80" s="693"/>
      <c r="D80" s="693"/>
      <c r="E80" s="693"/>
      <c r="F80" s="693"/>
      <c r="G80" s="693"/>
      <c r="H80" s="693"/>
      <c r="I80" s="693"/>
      <c r="J80" s="693"/>
      <c r="K80" s="693"/>
      <c r="L80" s="693"/>
      <c r="M80" s="693"/>
      <c r="N80" s="693"/>
      <c r="O80" s="693"/>
      <c r="P80" s="693"/>
    </row>
    <row r="81" spans="1:16">
      <c r="A81" s="693"/>
      <c r="B81" s="693"/>
      <c r="C81" s="693"/>
      <c r="D81" s="693"/>
      <c r="E81" s="693"/>
      <c r="F81" s="693"/>
      <c r="G81" s="693"/>
      <c r="H81" s="693"/>
      <c r="I81" s="693"/>
      <c r="J81" s="693"/>
      <c r="K81" s="693"/>
      <c r="L81" s="693"/>
      <c r="M81" s="693"/>
      <c r="N81" s="693"/>
      <c r="O81" s="693"/>
      <c r="P81" s="693"/>
    </row>
    <row r="82" spans="1:16">
      <c r="A82" s="693"/>
      <c r="B82" s="693"/>
      <c r="C82" s="693"/>
      <c r="D82" s="693"/>
      <c r="E82" s="693"/>
      <c r="F82" s="693"/>
      <c r="G82" s="693"/>
      <c r="H82" s="693"/>
      <c r="I82" s="693"/>
      <c r="J82" s="693"/>
      <c r="K82" s="693"/>
      <c r="L82" s="693"/>
      <c r="M82" s="693"/>
      <c r="N82" s="693"/>
      <c r="O82" s="693"/>
      <c r="P82" s="693"/>
    </row>
    <row r="83" spans="1:16">
      <c r="A83" s="693"/>
      <c r="B83" s="693"/>
      <c r="C83" s="693"/>
      <c r="D83" s="693"/>
      <c r="E83" s="693"/>
      <c r="F83" s="693"/>
      <c r="G83" s="693"/>
      <c r="H83" s="693"/>
      <c r="I83" s="693"/>
      <c r="J83" s="693"/>
      <c r="K83" s="693"/>
      <c r="L83" s="693"/>
      <c r="M83" s="693"/>
      <c r="N83" s="693"/>
      <c r="O83" s="693"/>
      <c r="P83" s="693"/>
    </row>
    <row r="84" spans="1:16">
      <c r="A84" s="693"/>
      <c r="B84" s="693"/>
      <c r="C84" s="693"/>
      <c r="D84" s="693"/>
      <c r="E84" s="693"/>
      <c r="F84" s="693"/>
      <c r="G84" s="693"/>
      <c r="H84" s="693"/>
      <c r="I84" s="693"/>
      <c r="J84" s="693"/>
      <c r="K84" s="693"/>
      <c r="L84" s="693"/>
      <c r="M84" s="693"/>
      <c r="N84" s="693"/>
      <c r="O84" s="693"/>
      <c r="P84" s="693"/>
    </row>
    <row r="85" spans="1:16">
      <c r="A85" s="693"/>
      <c r="B85" s="693"/>
      <c r="C85" s="693"/>
      <c r="D85" s="693"/>
      <c r="E85" s="693"/>
      <c r="F85" s="693"/>
      <c r="G85" s="693"/>
      <c r="H85" s="693"/>
      <c r="I85" s="693"/>
      <c r="J85" s="693"/>
      <c r="K85" s="693"/>
      <c r="L85" s="693"/>
      <c r="M85" s="693"/>
      <c r="N85" s="693"/>
      <c r="O85" s="693"/>
      <c r="P85" s="693"/>
    </row>
    <row r="86" spans="1:16">
      <c r="A86" s="693"/>
      <c r="B86" s="693"/>
      <c r="C86" s="693"/>
      <c r="D86" s="693"/>
      <c r="E86" s="693"/>
      <c r="F86" s="693"/>
      <c r="G86" s="693"/>
      <c r="H86" s="693"/>
      <c r="I86" s="693"/>
      <c r="J86" s="693"/>
      <c r="K86" s="693"/>
      <c r="L86" s="693"/>
      <c r="M86" s="693"/>
      <c r="N86" s="693"/>
      <c r="O86" s="693"/>
      <c r="P86" s="693"/>
    </row>
    <row r="87" spans="1:16">
      <c r="A87" s="693"/>
      <c r="B87" s="693"/>
      <c r="C87" s="693"/>
      <c r="D87" s="693"/>
      <c r="E87" s="693"/>
      <c r="F87" s="693"/>
      <c r="G87" s="693"/>
      <c r="H87" s="693"/>
      <c r="I87" s="693"/>
      <c r="J87" s="693"/>
      <c r="K87" s="693"/>
      <c r="L87" s="693"/>
      <c r="M87" s="693"/>
      <c r="N87" s="693"/>
      <c r="O87" s="693"/>
      <c r="P87" s="693"/>
    </row>
    <row r="88" spans="1:16">
      <c r="A88" s="693"/>
      <c r="B88" s="693"/>
      <c r="C88" s="693"/>
      <c r="D88" s="693"/>
      <c r="E88" s="693"/>
      <c r="F88" s="693"/>
      <c r="G88" s="693"/>
      <c r="H88" s="693"/>
      <c r="I88" s="693"/>
      <c r="J88" s="693"/>
      <c r="K88" s="693"/>
      <c r="L88" s="693"/>
      <c r="M88" s="693"/>
      <c r="N88" s="693"/>
      <c r="O88" s="693"/>
      <c r="P88" s="693"/>
    </row>
    <row r="89" spans="1:16">
      <c r="A89" s="693"/>
      <c r="B89" s="693"/>
      <c r="C89" s="693"/>
      <c r="D89" s="693"/>
      <c r="E89" s="693"/>
      <c r="F89" s="693"/>
      <c r="G89" s="693"/>
      <c r="H89" s="693"/>
      <c r="I89" s="693"/>
      <c r="J89" s="693"/>
      <c r="K89" s="693"/>
      <c r="L89" s="693"/>
      <c r="M89" s="693"/>
      <c r="N89" s="693"/>
      <c r="O89" s="693"/>
      <c r="P89" s="693"/>
    </row>
    <row r="90" spans="1:16">
      <c r="A90" s="693"/>
      <c r="B90" s="693"/>
      <c r="C90" s="693"/>
      <c r="D90" s="693"/>
      <c r="E90" s="693"/>
      <c r="F90" s="693"/>
      <c r="G90" s="693"/>
      <c r="H90" s="693"/>
      <c r="I90" s="693"/>
      <c r="J90" s="693"/>
      <c r="K90" s="693"/>
      <c r="L90" s="693"/>
      <c r="M90" s="693"/>
      <c r="N90" s="693"/>
      <c r="O90" s="693"/>
      <c r="P90" s="693"/>
    </row>
    <row r="91" spans="1:16">
      <c r="A91" s="693"/>
      <c r="B91" s="693"/>
      <c r="C91" s="693"/>
      <c r="D91" s="693"/>
      <c r="E91" s="693"/>
      <c r="F91" s="693"/>
      <c r="G91" s="693"/>
      <c r="H91" s="693"/>
      <c r="I91" s="693"/>
      <c r="J91" s="693"/>
      <c r="K91" s="693"/>
      <c r="L91" s="693"/>
      <c r="M91" s="693"/>
      <c r="N91" s="693"/>
      <c r="O91" s="693"/>
      <c r="P91" s="693"/>
    </row>
    <row r="92" spans="1:16" ht="15.65" customHeight="1">
      <c r="A92" s="693"/>
      <c r="B92" s="713"/>
      <c r="C92" s="693"/>
      <c r="D92" s="693"/>
      <c r="E92" s="693"/>
      <c r="F92" s="693"/>
      <c r="G92" s="693"/>
      <c r="H92" s="693"/>
      <c r="I92" s="693"/>
      <c r="J92" s="693"/>
      <c r="K92" s="693"/>
      <c r="L92" s="693"/>
      <c r="M92" s="693"/>
      <c r="N92" s="693"/>
      <c r="O92" s="693"/>
      <c r="P92" s="693"/>
    </row>
    <row r="93" spans="1:16">
      <c r="A93" s="693"/>
      <c r="B93" s="714"/>
      <c r="C93" s="715"/>
      <c r="D93" s="693"/>
      <c r="E93" s="693"/>
      <c r="F93" s="693"/>
      <c r="G93" s="693"/>
      <c r="H93" s="693"/>
      <c r="I93" s="693"/>
      <c r="J93" s="693"/>
      <c r="K93" s="693"/>
      <c r="L93" s="693"/>
      <c r="M93" s="693"/>
      <c r="N93" s="693"/>
      <c r="O93" s="693"/>
      <c r="P93" s="693"/>
    </row>
    <row r="94" spans="1:16">
      <c r="A94" s="693"/>
      <c r="B94" s="693"/>
      <c r="C94" s="711"/>
      <c r="D94" s="693"/>
      <c r="E94" s="693"/>
      <c r="F94" s="693"/>
      <c r="G94" s="693"/>
      <c r="H94" s="693"/>
      <c r="I94" s="693"/>
      <c r="J94" s="693"/>
      <c r="K94" s="693"/>
      <c r="L94" s="693"/>
      <c r="M94" s="693"/>
      <c r="N94" s="693"/>
      <c r="O94" s="693"/>
      <c r="P94" s="693"/>
    </row>
    <row r="95" spans="1:16">
      <c r="A95" s="693"/>
      <c r="B95" s="693"/>
      <c r="C95" s="711"/>
      <c r="D95" s="693"/>
      <c r="E95" s="716"/>
      <c r="F95" s="693"/>
      <c r="G95" s="716"/>
      <c r="H95" s="693"/>
      <c r="I95" s="693"/>
      <c r="J95" s="693"/>
      <c r="K95" s="693"/>
      <c r="L95" s="693"/>
      <c r="M95" s="693"/>
      <c r="N95" s="693"/>
      <c r="O95" s="693"/>
      <c r="P95" s="693"/>
    </row>
    <row r="96" spans="1:16">
      <c r="A96" s="693"/>
      <c r="B96" s="693"/>
      <c r="C96" s="711"/>
      <c r="D96" s="717"/>
      <c r="E96" s="717"/>
      <c r="F96" s="717"/>
      <c r="G96" s="717"/>
      <c r="H96" s="717"/>
      <c r="I96" s="693"/>
      <c r="J96" s="693"/>
      <c r="K96" s="693"/>
      <c r="L96" s="693"/>
      <c r="M96" s="693"/>
      <c r="N96" s="693"/>
      <c r="O96" s="693"/>
      <c r="P96" s="693"/>
    </row>
    <row r="97" spans="1:16">
      <c r="A97" s="693"/>
      <c r="B97" s="714"/>
      <c r="C97" s="711"/>
      <c r="D97" s="693"/>
      <c r="E97" s="693"/>
      <c r="F97" s="693"/>
      <c r="G97" s="693"/>
      <c r="H97" s="693"/>
      <c r="I97" s="693"/>
      <c r="J97" s="693"/>
      <c r="K97" s="693"/>
      <c r="L97" s="693"/>
      <c r="M97" s="693"/>
      <c r="N97" s="693"/>
      <c r="O97" s="693"/>
      <c r="P97" s="693"/>
    </row>
    <row r="98" spans="1:16">
      <c r="A98" s="693"/>
      <c r="B98" s="693"/>
      <c r="C98" s="718"/>
      <c r="D98" s="719"/>
      <c r="E98" s="719"/>
      <c r="F98" s="719"/>
      <c r="G98" s="719"/>
      <c r="H98" s="719"/>
      <c r="I98" s="693"/>
      <c r="J98" s="693"/>
      <c r="K98" s="693"/>
      <c r="L98" s="693"/>
      <c r="M98" s="693"/>
      <c r="N98" s="693"/>
      <c r="O98" s="693"/>
      <c r="P98" s="693"/>
    </row>
    <row r="99" spans="1:16">
      <c r="A99" s="693"/>
      <c r="B99" s="693"/>
      <c r="C99" s="720"/>
      <c r="D99" s="719"/>
      <c r="E99" s="714"/>
      <c r="F99" s="719"/>
      <c r="G99" s="714"/>
      <c r="H99" s="719"/>
      <c r="I99" s="693"/>
      <c r="J99" s="693"/>
      <c r="K99" s="693"/>
      <c r="L99" s="693"/>
      <c r="M99" s="693"/>
      <c r="N99" s="693"/>
      <c r="O99" s="693"/>
      <c r="P99" s="693"/>
    </row>
    <row r="100" spans="1:16">
      <c r="A100" s="693"/>
      <c r="B100" s="693"/>
      <c r="C100" s="721"/>
      <c r="D100" s="719"/>
      <c r="E100" s="714"/>
      <c r="F100" s="719"/>
      <c r="G100" s="714"/>
      <c r="H100" s="719"/>
      <c r="I100" s="693"/>
      <c r="J100" s="693"/>
      <c r="K100" s="693"/>
      <c r="L100" s="693"/>
      <c r="M100" s="693"/>
      <c r="N100" s="693"/>
      <c r="O100" s="693"/>
      <c r="P100" s="693"/>
    </row>
    <row r="101" spans="1:16">
      <c r="A101" s="693"/>
      <c r="B101" s="693"/>
      <c r="C101" s="721"/>
      <c r="D101" s="719"/>
      <c r="E101" s="714"/>
      <c r="F101" s="719"/>
      <c r="G101" s="714"/>
      <c r="H101" s="719"/>
      <c r="I101" s="693"/>
      <c r="J101" s="693"/>
      <c r="K101" s="693"/>
      <c r="L101" s="693"/>
      <c r="M101" s="693"/>
      <c r="N101" s="693"/>
      <c r="O101" s="693"/>
      <c r="P101" s="693"/>
    </row>
    <row r="102" spans="1:16">
      <c r="A102" s="693"/>
      <c r="B102" s="693"/>
      <c r="C102" s="721"/>
      <c r="D102" s="719"/>
      <c r="E102" s="719"/>
      <c r="F102" s="719"/>
      <c r="G102" s="719"/>
      <c r="H102" s="719"/>
      <c r="I102" s="693"/>
      <c r="J102" s="693"/>
      <c r="K102" s="693"/>
      <c r="L102" s="693"/>
      <c r="M102" s="693"/>
      <c r="N102" s="693"/>
      <c r="O102" s="693"/>
      <c r="P102" s="693"/>
    </row>
    <row r="103" spans="1:16">
      <c r="A103" s="693"/>
      <c r="B103" s="693"/>
      <c r="C103" s="722"/>
      <c r="D103" s="693"/>
      <c r="E103" s="693"/>
      <c r="F103" s="693"/>
      <c r="G103" s="693"/>
      <c r="H103" s="693"/>
      <c r="I103" s="693"/>
      <c r="J103" s="693"/>
      <c r="K103" s="693"/>
      <c r="L103" s="693"/>
      <c r="M103" s="693"/>
      <c r="N103" s="693"/>
      <c r="O103" s="693"/>
      <c r="P103" s="693"/>
    </row>
    <row r="104" spans="1:16">
      <c r="A104" s="693"/>
      <c r="B104" s="714"/>
      <c r="C104" s="723"/>
      <c r="D104" s="693"/>
      <c r="E104" s="693"/>
      <c r="F104" s="693"/>
      <c r="G104" s="693"/>
      <c r="H104" s="693"/>
      <c r="I104" s="693"/>
      <c r="J104" s="693"/>
      <c r="K104" s="693"/>
      <c r="L104" s="693"/>
      <c r="M104" s="693"/>
      <c r="N104" s="693"/>
      <c r="O104" s="693"/>
      <c r="P104" s="693"/>
    </row>
    <row r="105" spans="1:16">
      <c r="A105" s="693"/>
      <c r="B105" s="714"/>
      <c r="C105" s="723"/>
      <c r="D105" s="693"/>
      <c r="E105" s="693"/>
      <c r="F105" s="693"/>
      <c r="G105" s="693"/>
      <c r="H105" s="693"/>
      <c r="I105" s="693"/>
      <c r="J105" s="693"/>
      <c r="K105" s="693"/>
      <c r="L105" s="693"/>
      <c r="M105" s="693"/>
      <c r="N105" s="693"/>
      <c r="O105" s="693"/>
      <c r="P105" s="693"/>
    </row>
    <row r="106" spans="1:16">
      <c r="A106" s="693"/>
      <c r="B106" s="693"/>
      <c r="C106" s="718"/>
      <c r="D106" s="693"/>
      <c r="E106" s="719"/>
      <c r="F106" s="693"/>
      <c r="G106" s="719"/>
      <c r="H106" s="693"/>
      <c r="I106" s="693"/>
      <c r="J106" s="693"/>
      <c r="K106" s="693"/>
      <c r="L106" s="693"/>
      <c r="M106" s="693"/>
      <c r="N106" s="693"/>
      <c r="O106" s="693"/>
      <c r="P106" s="693"/>
    </row>
    <row r="107" spans="1:16">
      <c r="A107" s="693"/>
      <c r="B107" s="693"/>
      <c r="C107" s="721"/>
      <c r="D107" s="719"/>
      <c r="E107" s="693"/>
      <c r="F107" s="719"/>
      <c r="G107" s="693"/>
      <c r="H107" s="719"/>
      <c r="I107" s="693"/>
      <c r="J107" s="693"/>
      <c r="K107" s="693"/>
      <c r="L107" s="693"/>
      <c r="M107" s="693"/>
      <c r="N107" s="693"/>
      <c r="O107" s="693"/>
      <c r="P107" s="693"/>
    </row>
    <row r="108" spans="1:16">
      <c r="A108" s="693"/>
      <c r="B108" s="693"/>
      <c r="C108" s="718"/>
      <c r="D108" s="719"/>
      <c r="E108" s="719"/>
      <c r="F108" s="719"/>
      <c r="G108" s="719"/>
      <c r="H108" s="719"/>
      <c r="I108" s="693"/>
      <c r="J108" s="693"/>
      <c r="K108" s="693"/>
      <c r="L108" s="693"/>
      <c r="M108" s="693"/>
      <c r="N108" s="693"/>
      <c r="O108" s="693"/>
      <c r="P108" s="693"/>
    </row>
    <row r="109" spans="1:16">
      <c r="A109" s="693"/>
      <c r="B109" s="693"/>
      <c r="C109" s="718"/>
      <c r="D109" s="724"/>
      <c r="E109" s="724"/>
      <c r="F109" s="724"/>
      <c r="G109" s="724"/>
      <c r="H109" s="724"/>
      <c r="I109" s="693"/>
      <c r="J109" s="693"/>
      <c r="K109" s="693"/>
      <c r="L109" s="693"/>
      <c r="M109" s="693"/>
      <c r="N109" s="693"/>
      <c r="O109" s="693"/>
      <c r="P109" s="693"/>
    </row>
    <row r="110" spans="1:16">
      <c r="A110" s="693"/>
      <c r="B110" s="693"/>
      <c r="C110" s="718"/>
      <c r="D110" s="725"/>
      <c r="E110" s="725"/>
      <c r="F110" s="725"/>
      <c r="G110" s="725"/>
      <c r="H110" s="725"/>
      <c r="I110" s="693"/>
      <c r="J110" s="693"/>
      <c r="K110" s="693"/>
      <c r="L110" s="693"/>
      <c r="M110" s="693"/>
      <c r="N110" s="693"/>
      <c r="O110" s="693"/>
      <c r="P110" s="693"/>
    </row>
    <row r="111" spans="1:16">
      <c r="A111" s="693"/>
      <c r="B111" s="693"/>
      <c r="C111" s="723"/>
      <c r="D111" s="693"/>
      <c r="E111" s="693"/>
      <c r="F111" s="693"/>
      <c r="G111" s="693"/>
      <c r="H111" s="693"/>
      <c r="I111" s="693"/>
      <c r="J111" s="693"/>
      <c r="K111" s="693"/>
      <c r="L111" s="693"/>
      <c r="M111" s="693"/>
      <c r="N111" s="693"/>
      <c r="O111" s="693"/>
      <c r="P111" s="693"/>
    </row>
    <row r="112" spans="1:16">
      <c r="A112" s="693"/>
      <c r="B112" s="714"/>
      <c r="C112" s="723"/>
      <c r="D112" s="693"/>
      <c r="E112" s="693"/>
      <c r="F112" s="693"/>
      <c r="G112" s="693"/>
      <c r="H112" s="693"/>
      <c r="I112" s="693"/>
      <c r="J112" s="693"/>
      <c r="K112" s="693"/>
      <c r="L112" s="693"/>
      <c r="M112" s="693"/>
      <c r="N112" s="693"/>
      <c r="O112" s="693"/>
      <c r="P112" s="693"/>
    </row>
    <row r="113" spans="1:16">
      <c r="A113" s="693"/>
      <c r="B113" s="693"/>
      <c r="C113" s="718"/>
      <c r="D113" s="719"/>
      <c r="E113" s="719"/>
      <c r="F113" s="719"/>
      <c r="G113" s="719"/>
      <c r="H113" s="719"/>
      <c r="I113" s="693"/>
      <c r="J113" s="693"/>
      <c r="K113" s="693"/>
      <c r="L113" s="693"/>
      <c r="M113" s="693"/>
      <c r="N113" s="693"/>
      <c r="O113" s="693"/>
      <c r="P113" s="693"/>
    </row>
    <row r="114" spans="1:16">
      <c r="A114" s="693"/>
      <c r="B114" s="693"/>
      <c r="C114" s="718"/>
      <c r="D114" s="719"/>
      <c r="E114" s="719"/>
      <c r="F114" s="719"/>
      <c r="G114" s="719"/>
      <c r="H114" s="719"/>
      <c r="I114" s="693"/>
      <c r="J114" s="693"/>
      <c r="K114" s="693"/>
      <c r="L114" s="693"/>
      <c r="M114" s="693"/>
      <c r="N114" s="693"/>
      <c r="O114" s="693"/>
      <c r="P114" s="693"/>
    </row>
    <row r="115" spans="1:16">
      <c r="A115" s="693"/>
      <c r="B115" s="693"/>
      <c r="C115" s="718"/>
      <c r="D115" s="719"/>
      <c r="E115" s="719"/>
      <c r="F115" s="719"/>
      <c r="G115" s="719"/>
      <c r="H115" s="719"/>
      <c r="I115" s="693"/>
      <c r="J115" s="693"/>
      <c r="K115" s="693"/>
      <c r="L115" s="693"/>
      <c r="M115" s="693"/>
      <c r="N115" s="693"/>
      <c r="O115" s="693"/>
      <c r="P115" s="693"/>
    </row>
    <row r="116" spans="1:16">
      <c r="A116" s="693"/>
      <c r="B116" s="693"/>
      <c r="C116" s="718"/>
      <c r="D116" s="719"/>
      <c r="E116" s="719"/>
      <c r="F116" s="719"/>
      <c r="G116" s="719"/>
      <c r="H116" s="719"/>
      <c r="I116" s="693"/>
      <c r="J116" s="693"/>
      <c r="K116" s="693"/>
      <c r="L116" s="693"/>
      <c r="M116" s="693"/>
      <c r="N116" s="693"/>
      <c r="O116" s="693"/>
      <c r="P116" s="693"/>
    </row>
    <row r="117" spans="1:16">
      <c r="A117" s="693"/>
      <c r="B117" s="693"/>
      <c r="C117" s="718"/>
      <c r="D117" s="717"/>
      <c r="E117" s="719"/>
      <c r="F117" s="717"/>
      <c r="G117" s="719"/>
      <c r="H117" s="717"/>
      <c r="I117" s="693"/>
      <c r="J117" s="693"/>
      <c r="K117" s="693"/>
      <c r="L117" s="693"/>
      <c r="M117" s="693"/>
      <c r="N117" s="693"/>
      <c r="O117" s="693"/>
      <c r="P117" s="693"/>
    </row>
    <row r="118" spans="1:16">
      <c r="A118" s="693"/>
      <c r="B118" s="693"/>
      <c r="C118" s="718"/>
      <c r="D118" s="717"/>
      <c r="E118" s="719"/>
      <c r="F118" s="717"/>
      <c r="G118" s="719"/>
      <c r="H118" s="717"/>
      <c r="I118" s="693"/>
      <c r="J118" s="693"/>
      <c r="K118" s="693"/>
      <c r="L118" s="693"/>
      <c r="M118" s="693"/>
      <c r="N118" s="693"/>
      <c r="O118" s="693"/>
      <c r="P118" s="693"/>
    </row>
    <row r="119" spans="1:16">
      <c r="A119" s="693"/>
      <c r="B119" s="693"/>
      <c r="C119" s="718"/>
      <c r="D119" s="717"/>
      <c r="E119" s="719"/>
      <c r="F119" s="717"/>
      <c r="G119" s="719"/>
      <c r="H119" s="717"/>
      <c r="I119" s="693"/>
      <c r="J119" s="693"/>
      <c r="K119" s="693"/>
      <c r="L119" s="693"/>
      <c r="M119" s="693"/>
      <c r="N119" s="693"/>
      <c r="O119" s="693"/>
      <c r="P119" s="693"/>
    </row>
    <row r="120" spans="1:16">
      <c r="A120" s="693"/>
      <c r="B120" s="693"/>
      <c r="C120" s="718"/>
      <c r="D120" s="719"/>
      <c r="E120" s="719"/>
      <c r="F120" s="719"/>
      <c r="G120" s="719"/>
      <c r="H120" s="719"/>
      <c r="I120" s="693"/>
      <c r="J120" s="693"/>
      <c r="K120" s="693"/>
      <c r="L120" s="693"/>
      <c r="M120" s="693"/>
      <c r="N120" s="693"/>
      <c r="O120" s="693"/>
      <c r="P120" s="693"/>
    </row>
    <row r="121" spans="1:16">
      <c r="A121" s="693"/>
      <c r="B121" s="693"/>
      <c r="C121" s="718"/>
      <c r="D121" s="724"/>
      <c r="E121" s="724"/>
      <c r="F121" s="724"/>
      <c r="G121" s="724"/>
      <c r="H121" s="724"/>
      <c r="I121" s="693"/>
      <c r="J121" s="693"/>
      <c r="K121" s="693"/>
      <c r="L121" s="693"/>
      <c r="M121" s="693"/>
      <c r="N121" s="693"/>
      <c r="O121" s="693"/>
      <c r="P121" s="693"/>
    </row>
    <row r="122" spans="1:16">
      <c r="A122" s="693"/>
      <c r="B122" s="693"/>
      <c r="C122" s="718"/>
      <c r="D122" s="725"/>
      <c r="E122" s="725"/>
      <c r="F122" s="725"/>
      <c r="G122" s="725"/>
      <c r="H122" s="725"/>
      <c r="I122" s="693"/>
      <c r="J122" s="693"/>
      <c r="K122" s="693"/>
      <c r="L122" s="693"/>
      <c r="M122" s="693"/>
      <c r="N122" s="693"/>
      <c r="O122" s="693"/>
      <c r="P122" s="693"/>
    </row>
    <row r="123" spans="1:16">
      <c r="A123" s="693"/>
      <c r="B123" s="693"/>
      <c r="C123" s="723"/>
      <c r="D123" s="693"/>
      <c r="E123" s="693"/>
      <c r="F123" s="693"/>
      <c r="G123" s="693"/>
      <c r="H123" s="693"/>
      <c r="I123" s="693"/>
      <c r="J123" s="693"/>
      <c r="K123" s="693"/>
      <c r="L123" s="693"/>
      <c r="M123" s="693"/>
      <c r="N123" s="693"/>
      <c r="O123" s="693"/>
      <c r="P123" s="693"/>
    </row>
    <row r="124" spans="1:16">
      <c r="A124" s="693"/>
      <c r="B124" s="693"/>
      <c r="C124" s="718"/>
      <c r="D124" s="693"/>
      <c r="E124" s="726"/>
      <c r="F124" s="693"/>
      <c r="G124" s="726"/>
      <c r="H124" s="693"/>
      <c r="I124" s="693"/>
      <c r="J124" s="693"/>
      <c r="K124" s="693"/>
      <c r="L124" s="693"/>
      <c r="M124" s="693"/>
      <c r="N124" s="693"/>
      <c r="O124" s="693"/>
      <c r="P124" s="6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G68" sqref="G68"/>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733"/>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734">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v>
      </c>
      <c r="B3" s="150" t="s">
        <v>92</v>
      </c>
      <c r="C3" s="151" t="str">
        <f>+lgh_bs!C3</f>
        <v>Q1</v>
      </c>
      <c r="D3" s="151" t="str">
        <f>+lgh_bs!D3</f>
        <v>Q2</v>
      </c>
      <c r="E3" s="151" t="str">
        <f>+lgh_bs!E3</f>
        <v>Q3</v>
      </c>
      <c r="F3" s="151" t="str">
        <f>+lgh_bs!F3</f>
        <v>Q4</v>
      </c>
      <c r="G3" s="735"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193</v>
      </c>
      <c r="B4" s="49"/>
      <c r="C4" s="49"/>
      <c r="D4" s="49"/>
      <c r="E4" s="49"/>
      <c r="F4" s="49"/>
      <c r="G4" s="736"/>
      <c r="H4" s="49"/>
      <c r="I4" s="49"/>
      <c r="J4" s="49"/>
      <c r="K4" s="49"/>
      <c r="L4" s="49"/>
      <c r="M4" s="49"/>
      <c r="N4" s="49"/>
      <c r="O4" s="43"/>
      <c r="P4" s="85"/>
      <c r="Q4" s="43"/>
      <c r="R4" s="43"/>
      <c r="S4" s="43"/>
      <c r="T4" s="43"/>
      <c r="U4" s="43"/>
      <c r="V4" s="43"/>
      <c r="W4" s="43"/>
      <c r="X4" s="43"/>
      <c r="Y4" s="43"/>
      <c r="Z4" s="43"/>
      <c r="AA4" s="43"/>
    </row>
    <row r="5" spans="1:27" s="30" customFormat="1">
      <c r="A5" s="146" t="s">
        <v>194</v>
      </c>
      <c r="B5" s="154">
        <f>registry!B59</f>
        <v>0</v>
      </c>
      <c r="C5" s="154">
        <f>registry!C59</f>
        <v>687682.5</v>
      </c>
      <c r="D5" s="154">
        <f>registry!D59</f>
        <v>687682.5</v>
      </c>
      <c r="E5" s="154">
        <f>registry!E59</f>
        <v>1258082.5</v>
      </c>
      <c r="F5" s="154">
        <f>registry!F59</f>
        <v>1358832.5</v>
      </c>
      <c r="G5" s="737">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738"/>
      <c r="H6" s="43"/>
      <c r="I6" s="43"/>
      <c r="J6" s="43"/>
      <c r="K6" s="43"/>
      <c r="L6" s="43"/>
      <c r="M6" s="43"/>
      <c r="N6" s="43"/>
      <c r="O6" s="76"/>
      <c r="P6" s="85"/>
      <c r="Q6" s="66"/>
      <c r="R6" s="66"/>
      <c r="S6" s="43"/>
      <c r="T6" s="43"/>
      <c r="U6" s="43"/>
      <c r="V6" s="43"/>
      <c r="W6" s="43"/>
      <c r="X6" s="43"/>
      <c r="Y6" s="43"/>
      <c r="Z6" s="43"/>
      <c r="AA6" s="43"/>
    </row>
    <row r="7" spans="1:27">
      <c r="A7" s="44" t="s">
        <v>195</v>
      </c>
      <c r="B7" s="155"/>
      <c r="C7" s="155"/>
      <c r="D7" s="156"/>
      <c r="E7" s="156"/>
      <c r="F7" s="156"/>
      <c r="G7" s="739"/>
      <c r="H7" s="156"/>
      <c r="I7" s="156"/>
      <c r="J7" s="156"/>
      <c r="K7" s="156"/>
      <c r="L7" s="156"/>
      <c r="M7" s="156"/>
      <c r="N7" s="156"/>
      <c r="O7" s="157"/>
      <c r="P7" s="85"/>
      <c r="Q7" s="158"/>
      <c r="R7" s="159"/>
      <c r="S7" s="160"/>
      <c r="T7" s="43"/>
      <c r="U7" s="43"/>
      <c r="V7" s="43"/>
      <c r="W7" s="43"/>
      <c r="X7" s="43"/>
      <c r="Y7" s="43"/>
      <c r="Z7" s="43"/>
      <c r="AA7" s="43"/>
    </row>
    <row r="8" spans="1:27" s="419" customFormat="1">
      <c r="A8" s="44" t="s">
        <v>196</v>
      </c>
      <c r="B8" s="417">
        <v>0</v>
      </c>
      <c r="C8" s="417">
        <v>0</v>
      </c>
      <c r="D8" s="417">
        <v>0</v>
      </c>
      <c r="E8" s="417">
        <v>0</v>
      </c>
      <c r="F8" s="417">
        <v>0</v>
      </c>
      <c r="G8" s="740">
        <v>50000</v>
      </c>
      <c r="H8" s="417">
        <v>50000</v>
      </c>
      <c r="I8" s="417">
        <v>50000</v>
      </c>
      <c r="J8" s="417">
        <v>50000</v>
      </c>
      <c r="K8" s="417">
        <v>250000</v>
      </c>
      <c r="L8" s="417">
        <v>250000</v>
      </c>
      <c r="M8" s="417">
        <v>250000</v>
      </c>
      <c r="N8" s="417">
        <v>250000</v>
      </c>
      <c r="O8" s="43"/>
      <c r="P8" s="85"/>
      <c r="Q8" s="43"/>
      <c r="R8" s="43"/>
      <c r="S8" s="43"/>
      <c r="T8" s="43"/>
      <c r="U8" s="43"/>
      <c r="V8" s="43"/>
      <c r="W8" s="43"/>
      <c r="X8" s="43"/>
      <c r="Y8" s="43"/>
      <c r="Z8" s="43"/>
      <c r="AA8" s="43"/>
    </row>
    <row r="9" spans="1:27">
      <c r="A9" s="146" t="s">
        <v>197</v>
      </c>
      <c r="B9" s="161">
        <v>0</v>
      </c>
      <c r="C9" s="162">
        <f t="shared" ref="C9:N9" si="0">SUM(C8:C8)</f>
        <v>0</v>
      </c>
      <c r="D9" s="162">
        <f t="shared" si="0"/>
        <v>0</v>
      </c>
      <c r="E9" s="162">
        <f t="shared" si="0"/>
        <v>0</v>
      </c>
      <c r="F9" s="162">
        <f t="shared" si="0"/>
        <v>0</v>
      </c>
      <c r="G9" s="737">
        <f t="shared" si="0"/>
        <v>50000</v>
      </c>
      <c r="H9" s="162">
        <f t="shared" si="0"/>
        <v>50000</v>
      </c>
      <c r="I9" s="162">
        <f t="shared" si="0"/>
        <v>50000</v>
      </c>
      <c r="J9" s="162">
        <f t="shared" si="0"/>
        <v>50000</v>
      </c>
      <c r="K9" s="162">
        <f t="shared" si="0"/>
        <v>250000</v>
      </c>
      <c r="L9" s="162">
        <f t="shared" si="0"/>
        <v>250000</v>
      </c>
      <c r="M9" s="162">
        <f t="shared" si="0"/>
        <v>250000</v>
      </c>
      <c r="N9" s="162">
        <f t="shared" si="0"/>
        <v>250000</v>
      </c>
      <c r="O9" s="43"/>
      <c r="P9" s="85"/>
      <c r="Q9" s="43"/>
      <c r="R9" s="43"/>
      <c r="S9" s="43"/>
      <c r="T9" s="43"/>
      <c r="U9" s="43"/>
      <c r="V9" s="43"/>
      <c r="W9" s="43"/>
      <c r="X9" s="43"/>
      <c r="Y9" s="43"/>
      <c r="Z9" s="43"/>
      <c r="AA9" s="43"/>
    </row>
    <row r="10" spans="1:27">
      <c r="A10" s="163"/>
      <c r="B10" s="154"/>
      <c r="C10" s="154"/>
      <c r="D10" s="154"/>
      <c r="E10" s="154"/>
      <c r="F10" s="154"/>
      <c r="G10" s="737"/>
      <c r="H10" s="154"/>
      <c r="I10" s="154"/>
      <c r="J10" s="154"/>
      <c r="K10" s="154"/>
      <c r="L10" s="154"/>
      <c r="M10" s="154"/>
      <c r="N10" s="154"/>
      <c r="O10" s="43"/>
      <c r="P10" s="85"/>
      <c r="Q10" s="43"/>
      <c r="R10" s="43"/>
      <c r="S10" s="43"/>
      <c r="T10" s="43"/>
      <c r="U10" s="43"/>
      <c r="V10" s="43"/>
      <c r="W10" s="43"/>
      <c r="X10" s="43"/>
      <c r="Y10" s="43"/>
      <c r="Z10" s="43"/>
      <c r="AA10" s="43"/>
    </row>
    <row r="11" spans="1:27">
      <c r="A11" s="164" t="s">
        <v>198</v>
      </c>
      <c r="B11" s="154">
        <f t="shared" ref="B11:N11" si="1">B9+B5</f>
        <v>0</v>
      </c>
      <c r="C11" s="154">
        <f t="shared" si="1"/>
        <v>687682.5</v>
      </c>
      <c r="D11" s="154">
        <f t="shared" si="1"/>
        <v>687682.5</v>
      </c>
      <c r="E11" s="154">
        <f t="shared" si="1"/>
        <v>1258082.5</v>
      </c>
      <c r="F11" s="154">
        <f t="shared" si="1"/>
        <v>1358832.5</v>
      </c>
      <c r="G11" s="737">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738"/>
      <c r="H12" s="43"/>
      <c r="I12" s="43"/>
      <c r="J12" s="43"/>
      <c r="K12" s="43"/>
      <c r="L12" s="43"/>
      <c r="M12" s="43"/>
      <c r="N12" s="43"/>
      <c r="O12" s="43"/>
      <c r="P12" s="85"/>
      <c r="Q12" s="43"/>
      <c r="R12" s="43"/>
      <c r="S12" s="43"/>
      <c r="T12" s="43"/>
      <c r="U12" s="43"/>
      <c r="V12" s="43"/>
      <c r="W12" s="43"/>
      <c r="X12" s="43"/>
      <c r="Y12" s="43"/>
      <c r="Z12" s="43"/>
      <c r="AA12" s="43"/>
    </row>
    <row r="13" spans="1:27">
      <c r="A13" s="44" t="s">
        <v>199</v>
      </c>
      <c r="B13" s="65"/>
      <c r="C13" s="65"/>
      <c r="D13" s="65"/>
      <c r="E13" s="65"/>
      <c r="F13" s="65"/>
      <c r="G13" s="741"/>
      <c r="H13" s="65"/>
      <c r="I13" s="65"/>
      <c r="J13" s="65"/>
      <c r="K13" s="65"/>
      <c r="L13" s="65"/>
      <c r="M13" s="65"/>
      <c r="N13" s="65"/>
      <c r="O13" s="50"/>
      <c r="P13" s="85"/>
      <c r="Q13" s="43"/>
      <c r="R13" s="43"/>
      <c r="S13" s="43"/>
      <c r="T13" s="43"/>
      <c r="U13" s="43"/>
      <c r="V13" s="43"/>
      <c r="W13" s="43"/>
      <c r="X13" s="43"/>
      <c r="Y13" s="43"/>
      <c r="Z13" s="43"/>
      <c r="AA13" s="43"/>
    </row>
    <row r="14" spans="1:27" s="19" customFormat="1">
      <c r="A14" s="165" t="s">
        <v>200</v>
      </c>
      <c r="B14" s="154">
        <f>-registry!B58</f>
        <v>-2452451</v>
      </c>
      <c r="C14" s="154">
        <f>-registry!C58</f>
        <v>-623314.75</v>
      </c>
      <c r="D14" s="154">
        <f>-registry!D58</f>
        <v>-623314.75</v>
      </c>
      <c r="E14" s="154">
        <f>-registry!E58</f>
        <v>-908514.75</v>
      </c>
      <c r="F14" s="154">
        <f>-registry!F58</f>
        <v>-903214.75</v>
      </c>
      <c r="G14" s="737">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737"/>
      <c r="H15" s="154"/>
      <c r="I15" s="154"/>
      <c r="J15" s="154"/>
      <c r="K15" s="154"/>
      <c r="L15" s="154"/>
      <c r="M15" s="154"/>
      <c r="N15" s="154"/>
      <c r="O15" s="43"/>
      <c r="P15" s="85"/>
      <c r="Q15" s="43"/>
      <c r="R15" s="43"/>
      <c r="S15" s="43"/>
      <c r="T15" s="43"/>
      <c r="U15" s="43"/>
      <c r="V15" s="43"/>
      <c r="W15" s="43"/>
      <c r="X15" s="43"/>
      <c r="Y15" s="43"/>
      <c r="Z15" s="43"/>
      <c r="AA15" s="43"/>
    </row>
    <row r="16" spans="1:27">
      <c r="A16" s="165" t="s">
        <v>54</v>
      </c>
      <c r="B16" s="154">
        <f>+registry!B95</f>
        <v>-5450569</v>
      </c>
      <c r="C16" s="154">
        <f>+registry!C95</f>
        <v>-1637186</v>
      </c>
      <c r="D16" s="154">
        <f>+registry!D95</f>
        <v>-1733477</v>
      </c>
      <c r="E16" s="154">
        <f>+registry!E95</f>
        <v>-1694124</v>
      </c>
      <c r="F16" s="154">
        <f>+registry!F95</f>
        <v>-2917273</v>
      </c>
      <c r="G16" s="737">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737"/>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201</v>
      </c>
      <c r="B18" s="161">
        <v>-8570520</v>
      </c>
      <c r="C18" s="154">
        <f t="shared" ref="C18:N18" si="2">+C14+C16</f>
        <v>-2260500.75</v>
      </c>
      <c r="D18" s="154">
        <f t="shared" si="2"/>
        <v>-2356791.75</v>
      </c>
      <c r="E18" s="154">
        <f t="shared" si="2"/>
        <v>-2602638.75</v>
      </c>
      <c r="F18" s="154">
        <f t="shared" si="2"/>
        <v>-3820487.75</v>
      </c>
      <c r="G18" s="737">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737"/>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202</v>
      </c>
      <c r="B20" s="154">
        <f t="shared" ref="B20:N20" si="3">+B11+B18+B23</f>
        <v>-8570520</v>
      </c>
      <c r="C20" s="154">
        <f t="shared" si="3"/>
        <v>-1572818.25</v>
      </c>
      <c r="D20" s="154">
        <f t="shared" si="3"/>
        <v>-1669109.25</v>
      </c>
      <c r="E20" s="154">
        <f t="shared" si="3"/>
        <v>-1344556.25</v>
      </c>
      <c r="F20" s="154">
        <f t="shared" si="3"/>
        <v>-2461655.25</v>
      </c>
      <c r="G20" s="737">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203</v>
      </c>
      <c r="B21" s="156"/>
      <c r="C21" s="156">
        <f>-C20/lgh_bs!C44</f>
        <v>1.0970068040693264E-2</v>
      </c>
      <c r="D21" s="156">
        <f>-D20/lgh_bs!D44</f>
        <v>1.1458709462490555E-2</v>
      </c>
      <c r="E21" s="156">
        <f>-E20/lgh_bs!E44</f>
        <v>7.9721008679571395E-3</v>
      </c>
      <c r="F21" s="156">
        <f>-F20/lgh_bs!F44</f>
        <v>1.6419026818507283E-2</v>
      </c>
      <c r="G21" s="739">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739"/>
      <c r="H22" s="156"/>
      <c r="I22" s="156"/>
      <c r="J22" s="156"/>
      <c r="K22" s="156"/>
      <c r="L22" s="156"/>
      <c r="M22" s="156"/>
      <c r="N22" s="156"/>
      <c r="O22" s="157"/>
      <c r="P22" s="85"/>
      <c r="Q22" s="158"/>
      <c r="R22" s="159"/>
      <c r="S22" s="160"/>
      <c r="T22" s="43"/>
      <c r="U22" s="43"/>
      <c r="V22" s="43"/>
      <c r="W22" s="43"/>
      <c r="X22" s="43"/>
      <c r="Y22" s="43"/>
      <c r="Z22" s="43"/>
      <c r="AA22" s="43"/>
    </row>
    <row r="23" spans="1:27">
      <c r="A23" s="165" t="s">
        <v>204</v>
      </c>
      <c r="B23" s="161">
        <v>0</v>
      </c>
      <c r="C23" s="154">
        <f>+registry!C43</f>
        <v>0</v>
      </c>
      <c r="D23" s="154">
        <f>+registry!D43</f>
        <v>0</v>
      </c>
      <c r="E23" s="154">
        <f>+registry!E43</f>
        <v>0</v>
      </c>
      <c r="F23" s="154">
        <f>+registry!F43</f>
        <v>0</v>
      </c>
      <c r="G23" s="737">
        <f>+registry!G43</f>
        <v>0</v>
      </c>
      <c r="H23" s="154">
        <f>+registry!H43</f>
        <v>0</v>
      </c>
      <c r="I23" s="154">
        <f>+registry!I43</f>
        <v>0</v>
      </c>
      <c r="J23" s="154">
        <f>+registry!J43</f>
        <v>1000000</v>
      </c>
      <c r="K23" s="154">
        <f>+registry!K43</f>
        <v>2300000</v>
      </c>
      <c r="L23" s="154">
        <f>+registry!L43</f>
        <v>0</v>
      </c>
      <c r="M23" s="154">
        <f>+registry!M43</f>
        <v>3500000</v>
      </c>
      <c r="N23" s="154">
        <f>+registry!N43</f>
        <v>0</v>
      </c>
      <c r="O23" s="46" t="s">
        <v>205</v>
      </c>
      <c r="P23" s="85"/>
      <c r="Q23" s="43"/>
      <c r="R23" s="43"/>
      <c r="S23" s="43"/>
      <c r="T23" s="43"/>
      <c r="U23" s="43"/>
      <c r="V23" s="43"/>
      <c r="W23" s="43"/>
      <c r="X23" s="43"/>
      <c r="Y23" s="43"/>
      <c r="Z23" s="43"/>
      <c r="AA23" s="43"/>
    </row>
    <row r="24" spans="1:27" ht="15" customHeight="1">
      <c r="A24" s="165" t="s">
        <v>206</v>
      </c>
      <c r="B24" s="154">
        <f>+registry!B96</f>
        <v>0</v>
      </c>
      <c r="C24" s="154">
        <f>+registry!C96</f>
        <v>350000</v>
      </c>
      <c r="D24" s="154">
        <f>+registry!D96</f>
        <v>700000</v>
      </c>
      <c r="E24" s="154">
        <f>+registry!E96</f>
        <v>1050000</v>
      </c>
      <c r="F24" s="154">
        <f>+registry!F96</f>
        <v>1600000</v>
      </c>
      <c r="G24" s="737">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207</v>
      </c>
      <c r="B25" s="417">
        <v>0</v>
      </c>
      <c r="C25" s="417">
        <v>-250000</v>
      </c>
      <c r="D25" s="417">
        <v>-250000</v>
      </c>
      <c r="E25" s="417">
        <v>-250000</v>
      </c>
      <c r="F25" s="417">
        <v>-250000</v>
      </c>
      <c r="G25" s="740">
        <v>-250000</v>
      </c>
      <c r="H25" s="417">
        <v>-250000</v>
      </c>
      <c r="I25" s="417">
        <v>-250000</v>
      </c>
      <c r="J25" s="417">
        <v>-250000</v>
      </c>
      <c r="K25" s="417">
        <v>-1000000</v>
      </c>
      <c r="L25" s="417">
        <v>-1000000</v>
      </c>
      <c r="M25" s="417">
        <v>-1000000</v>
      </c>
      <c r="N25" s="417">
        <v>-1000000</v>
      </c>
      <c r="O25" s="43"/>
      <c r="P25" s="85"/>
      <c r="Q25" s="43"/>
      <c r="R25" s="43"/>
      <c r="S25" s="43"/>
      <c r="T25" s="43"/>
      <c r="U25" s="43"/>
      <c r="V25" s="43"/>
      <c r="W25" s="43"/>
      <c r="X25" s="43"/>
      <c r="Y25" s="43"/>
      <c r="Z25" s="43"/>
      <c r="AA25" s="43"/>
    </row>
    <row r="26" spans="1:27" ht="15" customHeight="1">
      <c r="A26" s="165" t="s">
        <v>208</v>
      </c>
      <c r="B26" s="154">
        <f t="shared" ref="B26:N26" si="4">B23+B25</f>
        <v>0</v>
      </c>
      <c r="C26" s="154">
        <f t="shared" si="4"/>
        <v>-250000</v>
      </c>
      <c r="D26" s="154">
        <f t="shared" si="4"/>
        <v>-250000</v>
      </c>
      <c r="E26" s="154">
        <f t="shared" si="4"/>
        <v>-250000</v>
      </c>
      <c r="F26" s="154">
        <f t="shared" si="4"/>
        <v>-250000</v>
      </c>
      <c r="G26" s="737">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737"/>
      <c r="H27" s="154"/>
      <c r="I27" s="154"/>
      <c r="J27" s="154"/>
      <c r="K27" s="154"/>
      <c r="L27" s="154"/>
      <c r="M27" s="154"/>
      <c r="N27" s="154"/>
      <c r="O27" s="43"/>
      <c r="P27" s="85"/>
      <c r="Q27" s="43"/>
      <c r="R27" s="43"/>
      <c r="S27" s="43"/>
      <c r="T27" s="43"/>
      <c r="U27" s="43"/>
      <c r="V27" s="43"/>
      <c r="W27" s="43"/>
      <c r="X27" s="43"/>
      <c r="Y27" s="43"/>
      <c r="Z27" s="43"/>
      <c r="AA27" s="43"/>
    </row>
    <row r="28" spans="1:27">
      <c r="A28" s="172" t="s">
        <v>209</v>
      </c>
      <c r="B28" s="49"/>
      <c r="C28" s="49"/>
      <c r="D28" s="49"/>
      <c r="E28" s="49"/>
      <c r="F28" s="49"/>
      <c r="G28" s="736"/>
      <c r="H28" s="49"/>
      <c r="I28" s="49"/>
      <c r="J28" s="49"/>
      <c r="K28" s="49"/>
      <c r="L28" s="49"/>
      <c r="M28" s="49"/>
      <c r="N28" s="49"/>
      <c r="O28" s="43"/>
      <c r="P28" s="85"/>
      <c r="Q28" s="43"/>
      <c r="R28" s="43"/>
      <c r="S28" s="43"/>
      <c r="T28" s="43"/>
      <c r="U28" s="43"/>
      <c r="V28" s="43"/>
      <c r="W28" s="43"/>
      <c r="X28" s="43"/>
      <c r="Y28" s="43"/>
      <c r="Z28" s="43"/>
      <c r="AA28" s="43"/>
    </row>
    <row r="29" spans="1:27">
      <c r="A29" s="46" t="s">
        <v>56</v>
      </c>
      <c r="B29" s="43"/>
      <c r="C29" s="43"/>
      <c r="D29" s="43"/>
      <c r="E29" s="50"/>
      <c r="F29" s="43"/>
      <c r="G29" s="742"/>
      <c r="H29" s="43"/>
      <c r="I29" s="43"/>
      <c r="J29" s="43"/>
      <c r="K29" s="43"/>
      <c r="L29" s="43"/>
      <c r="M29" s="43"/>
      <c r="N29" s="43"/>
      <c r="O29" s="43"/>
      <c r="P29" s="85"/>
      <c r="Q29" s="43"/>
      <c r="R29" s="43"/>
      <c r="S29" s="43"/>
      <c r="T29" s="43"/>
      <c r="U29" s="43"/>
      <c r="V29" s="43"/>
      <c r="W29" s="43"/>
      <c r="X29" s="43"/>
      <c r="Y29" s="43"/>
      <c r="Z29" s="43"/>
      <c r="AA29" s="43"/>
    </row>
    <row r="30" spans="1:27">
      <c r="A30" s="46" t="s">
        <v>210</v>
      </c>
      <c r="B30" s="68">
        <v>1562074</v>
      </c>
      <c r="C30" s="50">
        <f>+registry!C5</f>
        <v>3250000</v>
      </c>
      <c r="D30" s="50">
        <f>+registry!D5</f>
        <v>3388588</v>
      </c>
      <c r="E30" s="50">
        <f>+registry!E5</f>
        <v>1475962</v>
      </c>
      <c r="F30" s="50">
        <f>+registry!F5</f>
        <v>8336733</v>
      </c>
      <c r="G30" s="742">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100</v>
      </c>
      <c r="B31" s="68">
        <v>814451.63400000008</v>
      </c>
      <c r="C31" s="50">
        <f>+registry!C10</f>
        <v>5515000</v>
      </c>
      <c r="D31" s="50">
        <f>+registry!D10</f>
        <v>0</v>
      </c>
      <c r="E31" s="50">
        <f>+registry!E10</f>
        <v>525000</v>
      </c>
      <c r="F31" s="50">
        <f>+registry!F10</f>
        <v>0</v>
      </c>
      <c r="G31" s="742">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104</v>
      </c>
      <c r="B32" s="68">
        <v>0</v>
      </c>
      <c r="C32" s="50">
        <f>+registry!C21</f>
        <v>0</v>
      </c>
      <c r="D32" s="50">
        <f>+registry!D21</f>
        <v>0</v>
      </c>
      <c r="E32" s="50">
        <f>+registry!E21</f>
        <v>0</v>
      </c>
      <c r="F32" s="50">
        <f>+registry!F21</f>
        <v>350000</v>
      </c>
      <c r="G32" s="742">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211</v>
      </c>
      <c r="B33" s="68">
        <v>0</v>
      </c>
      <c r="C33" s="50">
        <f>+registry!C26</f>
        <v>0</v>
      </c>
      <c r="D33" s="50">
        <f>+registry!D26</f>
        <v>0</v>
      </c>
      <c r="E33" s="50">
        <f>+registry!E26</f>
        <v>0</v>
      </c>
      <c r="F33" s="50">
        <f>+registry!F26</f>
        <v>0</v>
      </c>
      <c r="G33" s="742">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212</v>
      </c>
      <c r="B34" s="50">
        <f>registry!B36</f>
        <v>0</v>
      </c>
      <c r="C34" s="50">
        <f>registry!C36</f>
        <v>0</v>
      </c>
      <c r="D34" s="50">
        <f>registry!D36</f>
        <v>0</v>
      </c>
      <c r="E34" s="50">
        <f>registry!E36</f>
        <v>0</v>
      </c>
      <c r="F34" s="50">
        <f>registry!F36</f>
        <v>0</v>
      </c>
      <c r="G34" s="742">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213</v>
      </c>
      <c r="B35" s="68">
        <v>0</v>
      </c>
      <c r="C35" s="50">
        <f>+registry!C31</f>
        <v>0</v>
      </c>
      <c r="D35" s="50">
        <f>+registry!D31</f>
        <v>2500000</v>
      </c>
      <c r="E35" s="50">
        <f>+registry!E31</f>
        <v>2500000</v>
      </c>
      <c r="F35" s="50">
        <f>+registry!F31</f>
        <v>6137500</v>
      </c>
      <c r="G35" s="742">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214</v>
      </c>
      <c r="B36" s="68">
        <v>2376525.6340000001</v>
      </c>
      <c r="C36" s="136">
        <f t="shared" ref="C36:N36" si="5">SUM(C30:C35)</f>
        <v>8765000</v>
      </c>
      <c r="D36" s="136">
        <f t="shared" si="5"/>
        <v>5888588</v>
      </c>
      <c r="E36" s="136">
        <f t="shared" si="5"/>
        <v>4500962</v>
      </c>
      <c r="F36" s="136">
        <f t="shared" si="5"/>
        <v>14824233</v>
      </c>
      <c r="G36" s="742">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215</v>
      </c>
      <c r="B37" s="50"/>
      <c r="C37" s="50"/>
      <c r="D37" s="50"/>
      <c r="E37" s="50"/>
      <c r="F37" s="50"/>
      <c r="G37" s="742"/>
      <c r="H37" s="50"/>
      <c r="I37" s="50"/>
      <c r="J37" s="50"/>
      <c r="K37" s="50"/>
      <c r="L37" s="50"/>
      <c r="M37" s="50"/>
      <c r="N37" s="50"/>
      <c r="O37" s="43"/>
      <c r="P37" s="85"/>
      <c r="Q37" s="43"/>
      <c r="R37" s="43"/>
      <c r="S37" s="43"/>
      <c r="T37" s="43"/>
      <c r="U37" s="43"/>
      <c r="V37" s="43"/>
      <c r="W37" s="43"/>
      <c r="X37" s="43"/>
      <c r="Y37" s="43"/>
      <c r="Z37" s="43"/>
      <c r="AA37" s="43"/>
    </row>
    <row r="38" spans="1:27">
      <c r="A38" s="46" t="s">
        <v>210</v>
      </c>
      <c r="B38" s="68">
        <v>0</v>
      </c>
      <c r="C38" s="50">
        <f>+registry!C6</f>
        <v>-125000</v>
      </c>
      <c r="D38" s="50">
        <f>+registry!D6</f>
        <v>-3717883</v>
      </c>
      <c r="E38" s="50">
        <f>+registry!E6</f>
        <v>-3472013.2675276021</v>
      </c>
      <c r="F38" s="50">
        <f>+registry!F6</f>
        <v>0</v>
      </c>
      <c r="G38" s="742">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100</v>
      </c>
      <c r="B39" s="68">
        <v>0</v>
      </c>
      <c r="C39" s="50">
        <f>+registry!C11</f>
        <v>-50000</v>
      </c>
      <c r="D39" s="50">
        <f>+registry!D11</f>
        <v>-2025000</v>
      </c>
      <c r="E39" s="50">
        <f>+registry!E11</f>
        <v>-230000</v>
      </c>
      <c r="F39" s="50">
        <f>+registry!F11</f>
        <v>-289495</v>
      </c>
      <c r="G39" s="742">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104</v>
      </c>
      <c r="B40" s="68">
        <v>0</v>
      </c>
      <c r="C40" s="50">
        <f>+registry!C22</f>
        <v>-382967</v>
      </c>
      <c r="D40" s="50">
        <f>+registry!D22</f>
        <v>-2326328</v>
      </c>
      <c r="E40" s="50">
        <f>+registry!E22</f>
        <v>-3292886</v>
      </c>
      <c r="F40" s="50">
        <f>+registry!F22</f>
        <v>-5106622</v>
      </c>
      <c r="G40" s="742">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211</v>
      </c>
      <c r="B41" s="68">
        <v>0</v>
      </c>
      <c r="C41" s="50">
        <f>+registry!C27</f>
        <v>0</v>
      </c>
      <c r="D41" s="50">
        <f>+registry!D27</f>
        <v>0</v>
      </c>
      <c r="E41" s="50">
        <f>+registry!E27</f>
        <v>0</v>
      </c>
      <c r="F41" s="50">
        <f>+registry!F27</f>
        <v>-860000</v>
      </c>
      <c r="G41" s="742">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212</v>
      </c>
      <c r="B42" s="50">
        <f>registry!B37</f>
        <v>0</v>
      </c>
      <c r="C42" s="50">
        <f>registry!C37</f>
        <v>0</v>
      </c>
      <c r="D42" s="50">
        <f>registry!D37</f>
        <v>0</v>
      </c>
      <c r="E42" s="50">
        <f>registry!E37</f>
        <v>0</v>
      </c>
      <c r="F42" s="50">
        <f>registry!F37</f>
        <v>0</v>
      </c>
      <c r="G42" s="742">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213</v>
      </c>
      <c r="B43" s="68">
        <v>0</v>
      </c>
      <c r="C43" s="50">
        <f>+registry!C32</f>
        <v>-2500000</v>
      </c>
      <c r="D43" s="50">
        <f>+registry!D32</f>
        <v>0</v>
      </c>
      <c r="E43" s="50">
        <f>+registry!E32</f>
        <v>0</v>
      </c>
      <c r="F43" s="50">
        <f>+registry!F32</f>
        <v>0</v>
      </c>
      <c r="G43" s="742">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216</v>
      </c>
      <c r="B44" s="68">
        <v>0</v>
      </c>
      <c r="C44" s="136">
        <f t="shared" ref="C44:N44" si="6">SUM(C38:C43)</f>
        <v>-3057967</v>
      </c>
      <c r="D44" s="136">
        <f t="shared" si="6"/>
        <v>-8069211</v>
      </c>
      <c r="E44" s="136">
        <f t="shared" si="6"/>
        <v>-6994899.2675276026</v>
      </c>
      <c r="F44" s="136">
        <f t="shared" si="6"/>
        <v>-6256117</v>
      </c>
      <c r="G44" s="742">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742"/>
      <c r="H45" s="50"/>
      <c r="I45" s="50"/>
      <c r="J45" s="50"/>
      <c r="K45" s="50"/>
      <c r="L45" s="50"/>
      <c r="M45" s="50"/>
      <c r="N45" s="50"/>
      <c r="O45" s="43"/>
      <c r="P45" s="85"/>
      <c r="Q45" s="43"/>
      <c r="R45" s="43"/>
      <c r="S45" s="43"/>
      <c r="T45" s="43"/>
      <c r="U45" s="43"/>
      <c r="V45" s="43"/>
      <c r="W45" s="43"/>
      <c r="X45" s="43"/>
      <c r="Y45" s="43"/>
      <c r="Z45" s="43"/>
      <c r="AA45" s="43"/>
    </row>
    <row r="46" spans="1:27" ht="14.65" customHeight="1">
      <c r="A46" s="46" t="s">
        <v>217</v>
      </c>
      <c r="B46" s="68">
        <v>2376525.6340000001</v>
      </c>
      <c r="C46" s="50">
        <f t="shared" ref="C46:N46" si="7">+C36+C44</f>
        <v>5707033</v>
      </c>
      <c r="D46" s="50">
        <f t="shared" si="7"/>
        <v>-2180623</v>
      </c>
      <c r="E46" s="50">
        <f t="shared" si="7"/>
        <v>-2493937.2675276026</v>
      </c>
      <c r="F46" s="50">
        <f t="shared" si="7"/>
        <v>8568116</v>
      </c>
      <c r="G46" s="742">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738"/>
      <c r="H47" s="43"/>
      <c r="I47" s="43"/>
      <c r="J47" s="43"/>
      <c r="K47" s="43"/>
      <c r="L47" s="43"/>
      <c r="M47" s="43"/>
      <c r="N47" s="43"/>
      <c r="O47" s="43"/>
      <c r="P47" s="85"/>
      <c r="Q47" s="43"/>
      <c r="R47" s="43"/>
      <c r="S47" s="43"/>
      <c r="T47" s="43"/>
      <c r="U47" s="43"/>
      <c r="V47" s="43"/>
      <c r="W47" s="43"/>
      <c r="X47" s="43"/>
      <c r="Y47" s="43"/>
      <c r="Z47" s="43"/>
      <c r="AA47" s="43"/>
    </row>
    <row r="48" spans="1:27">
      <c r="A48" s="172" t="s">
        <v>218</v>
      </c>
      <c r="B48" s="49"/>
      <c r="C48" s="49"/>
      <c r="D48" s="49"/>
      <c r="E48" s="49"/>
      <c r="F48" s="49"/>
      <c r="G48" s="736"/>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736"/>
      <c r="H49" s="49"/>
      <c r="I49" s="49"/>
      <c r="J49" s="49"/>
      <c r="K49" s="49"/>
      <c r="L49" s="49"/>
      <c r="M49" s="49"/>
      <c r="N49" s="49"/>
      <c r="O49" s="43"/>
      <c r="P49" s="85"/>
      <c r="Q49" s="43"/>
      <c r="R49" s="43"/>
      <c r="S49" s="43"/>
      <c r="T49" s="43"/>
      <c r="U49" s="43"/>
      <c r="V49" s="43"/>
      <c r="W49" s="43"/>
      <c r="X49" s="43"/>
      <c r="Y49" s="43"/>
      <c r="Z49" s="43"/>
      <c r="AA49" s="43"/>
    </row>
    <row r="50" spans="1:27">
      <c r="A50" s="44" t="s">
        <v>56</v>
      </c>
      <c r="B50" s="49"/>
      <c r="C50" s="49"/>
      <c r="D50" s="49"/>
      <c r="E50" s="49"/>
      <c r="F50" s="49"/>
      <c r="G50" s="736"/>
      <c r="H50" s="49"/>
      <c r="I50" s="49"/>
      <c r="J50" s="49"/>
      <c r="K50" s="49"/>
      <c r="L50" s="49"/>
      <c r="M50" s="49"/>
      <c r="N50" s="49"/>
      <c r="O50" s="43"/>
      <c r="P50" s="85"/>
      <c r="Q50" s="43"/>
      <c r="R50" s="43"/>
      <c r="S50" s="43"/>
      <c r="T50" s="43"/>
      <c r="U50" s="43"/>
      <c r="V50" s="43"/>
      <c r="W50" s="43"/>
      <c r="X50" s="43"/>
      <c r="Y50" s="43"/>
      <c r="Z50" s="43"/>
      <c r="AA50" s="43"/>
    </row>
    <row r="51" spans="1:27">
      <c r="A51" s="46" t="s">
        <v>219</v>
      </c>
      <c r="B51" s="161">
        <v>0</v>
      </c>
      <c r="C51" s="154">
        <f>+registry!C97</f>
        <v>0</v>
      </c>
      <c r="D51" s="154">
        <f>+registry!D97</f>
        <v>23600000</v>
      </c>
      <c r="E51" s="154">
        <f>+registry!E97</f>
        <v>200000</v>
      </c>
      <c r="F51" s="154">
        <f>+registry!F97</f>
        <v>0</v>
      </c>
      <c r="G51" s="737">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220</v>
      </c>
      <c r="B52" s="161">
        <v>0</v>
      </c>
      <c r="C52" s="154">
        <f>+registry!C63</f>
        <v>6050000</v>
      </c>
      <c r="D52" s="154">
        <f>+registry!D63</f>
        <v>0</v>
      </c>
      <c r="E52" s="154">
        <f>+registry!E63</f>
        <v>0</v>
      </c>
      <c r="F52" s="154">
        <f>+registry!F63</f>
        <v>1200000</v>
      </c>
      <c r="G52" s="737">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221</v>
      </c>
      <c r="B53" s="161">
        <v>23600000</v>
      </c>
      <c r="C53" s="154">
        <f>+registry!C67</f>
        <v>500000</v>
      </c>
      <c r="D53" s="154">
        <f>+registry!D67</f>
        <v>100000</v>
      </c>
      <c r="E53" s="154">
        <f>+registry!E67</f>
        <v>0</v>
      </c>
      <c r="F53" s="154">
        <f>+registry!F67</f>
        <v>2250000</v>
      </c>
      <c r="G53" s="737">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222</v>
      </c>
      <c r="B54" s="161">
        <v>62241.099999999977</v>
      </c>
      <c r="C54" s="154">
        <f>+registry!C72</f>
        <v>-86000</v>
      </c>
      <c r="D54" s="154">
        <f>+registry!D72</f>
        <v>142999.85000000009</v>
      </c>
      <c r="E54" s="154">
        <f>+registry!E72</f>
        <v>0</v>
      </c>
      <c r="F54" s="154">
        <f>+registry!F72</f>
        <v>1625000</v>
      </c>
      <c r="G54" s="737">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120</v>
      </c>
      <c r="B55" s="68">
        <v>6000000</v>
      </c>
      <c r="C55" s="50">
        <f>+registry!C100</f>
        <v>0</v>
      </c>
      <c r="D55" s="50">
        <f>+registry!D100</f>
        <v>0</v>
      </c>
      <c r="E55" s="50">
        <f>+registry!E100</f>
        <v>0</v>
      </c>
      <c r="F55" s="50">
        <f>+registry!F100</f>
        <v>0</v>
      </c>
      <c r="G55" s="742">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214</v>
      </c>
      <c r="B56" s="161">
        <v>29662241.100000001</v>
      </c>
      <c r="C56" s="162">
        <f t="shared" ref="C56:N56" si="8">SUM(C51:C55)</f>
        <v>6464000</v>
      </c>
      <c r="D56" s="162">
        <f t="shared" si="8"/>
        <v>23842999.850000001</v>
      </c>
      <c r="E56" s="162">
        <f t="shared" si="8"/>
        <v>200000</v>
      </c>
      <c r="F56" s="162">
        <f t="shared" si="8"/>
        <v>5075000</v>
      </c>
      <c r="G56" s="737">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57</v>
      </c>
      <c r="B57" s="154"/>
      <c r="C57" s="154"/>
      <c r="D57" s="154"/>
      <c r="E57" s="154"/>
      <c r="F57" s="154"/>
      <c r="G57" s="737"/>
      <c r="H57" s="154"/>
      <c r="I57" s="154"/>
      <c r="J57" s="154"/>
      <c r="K57" s="154"/>
      <c r="L57" s="154"/>
      <c r="M57" s="154"/>
      <c r="N57" s="154"/>
      <c r="O57" s="43"/>
      <c r="P57" s="85"/>
      <c r="Q57" s="43"/>
      <c r="R57" s="43"/>
      <c r="S57" s="43"/>
      <c r="T57" s="43"/>
      <c r="U57" s="43"/>
      <c r="V57" s="43"/>
      <c r="W57" s="43"/>
      <c r="X57" s="43"/>
      <c r="Y57" s="43"/>
      <c r="Z57" s="43"/>
      <c r="AA57" s="43"/>
    </row>
    <row r="58" spans="1:27">
      <c r="A58" s="46" t="s">
        <v>219</v>
      </c>
      <c r="B58" s="68">
        <v>0</v>
      </c>
      <c r="C58" s="50">
        <f>+registry!C98</f>
        <v>0</v>
      </c>
      <c r="D58" s="50">
        <f>+registry!D98</f>
        <v>-23600000</v>
      </c>
      <c r="E58" s="50">
        <f>+registry!E98</f>
        <v>0</v>
      </c>
      <c r="F58" s="50">
        <f>+registry!F98</f>
        <v>0</v>
      </c>
      <c r="G58" s="742">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221</v>
      </c>
      <c r="B59" s="68">
        <v>0</v>
      </c>
      <c r="C59" s="50">
        <f>+registry!C68</f>
        <v>-2098064.6920041367</v>
      </c>
      <c r="D59" s="50">
        <f>+registry!D68</f>
        <v>0</v>
      </c>
      <c r="E59" s="50">
        <f>+registry!E68</f>
        <v>0</v>
      </c>
      <c r="F59" s="50">
        <f>+registry!F68</f>
        <v>-3200000</v>
      </c>
      <c r="G59" s="742">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222</v>
      </c>
      <c r="B60" s="68">
        <v>0</v>
      </c>
      <c r="C60" s="50">
        <f>+registry!C73</f>
        <v>0</v>
      </c>
      <c r="D60" s="50">
        <f>+registry!D73</f>
        <v>0</v>
      </c>
      <c r="E60" s="50">
        <f>+registry!E73</f>
        <v>0</v>
      </c>
      <c r="F60" s="50">
        <f>+registry!F73</f>
        <v>-2671203.5474885241</v>
      </c>
      <c r="G60" s="742">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120</v>
      </c>
      <c r="B61" s="68">
        <v>0</v>
      </c>
      <c r="C61" s="50">
        <f>+registry!C99</f>
        <v>-6050000</v>
      </c>
      <c r="D61" s="50">
        <f>+registry!D99</f>
        <v>-1200000</v>
      </c>
      <c r="E61" s="50">
        <f>+registry!E99</f>
        <v>0</v>
      </c>
      <c r="F61" s="50">
        <f>+registry!F99</f>
        <v>0</v>
      </c>
      <c r="G61" s="742">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216</v>
      </c>
      <c r="B62" s="68">
        <v>0</v>
      </c>
      <c r="C62" s="136">
        <f t="shared" ref="C62:N62" si="9">SUM(C58:C61)</f>
        <v>-8148064.6920041367</v>
      </c>
      <c r="D62" s="136">
        <f t="shared" si="9"/>
        <v>-24800000</v>
      </c>
      <c r="E62" s="136">
        <f t="shared" si="9"/>
        <v>0</v>
      </c>
      <c r="F62" s="136">
        <f t="shared" si="9"/>
        <v>-5871203.5474885236</v>
      </c>
      <c r="G62" s="742">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742"/>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223</v>
      </c>
      <c r="B64" s="68">
        <v>29662241.100000001</v>
      </c>
      <c r="C64" s="50">
        <f t="shared" ref="C64:N64" si="10">+C56+C62</f>
        <v>-1684064.6920041367</v>
      </c>
      <c r="D64" s="50">
        <f t="shared" si="10"/>
        <v>-957000.14999999851</v>
      </c>
      <c r="E64" s="50">
        <f t="shared" si="10"/>
        <v>200000</v>
      </c>
      <c r="F64" s="50">
        <f t="shared" si="10"/>
        <v>-796203.54748852365</v>
      </c>
      <c r="G64" s="742">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742"/>
      <c r="H65" s="50"/>
      <c r="I65" s="50"/>
      <c r="J65" s="50"/>
      <c r="K65" s="50"/>
      <c r="L65" s="50"/>
      <c r="M65" s="50"/>
      <c r="N65" s="50"/>
      <c r="O65" s="43"/>
      <c r="P65" s="85"/>
      <c r="Q65" s="43"/>
      <c r="R65" s="43"/>
      <c r="S65" s="43"/>
      <c r="T65" s="43"/>
      <c r="U65" s="43"/>
      <c r="V65" s="43"/>
      <c r="W65" s="43"/>
      <c r="X65" s="43"/>
      <c r="Y65" s="43"/>
      <c r="Z65" s="43"/>
      <c r="AA65" s="43"/>
    </row>
    <row r="66" spans="1:27">
      <c r="A66" s="172" t="s">
        <v>224</v>
      </c>
      <c r="B66" s="49"/>
      <c r="C66" s="49"/>
      <c r="D66" s="49"/>
      <c r="E66" s="49"/>
      <c r="F66" s="49"/>
      <c r="G66" s="736"/>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736"/>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225</v>
      </c>
      <c r="B68" s="68">
        <v>-1540999</v>
      </c>
      <c r="C68" s="50">
        <f>+registry!C101</f>
        <v>-596442.81892857142</v>
      </c>
      <c r="D68" s="50">
        <f>+registry!D101</f>
        <v>769541.18107142858</v>
      </c>
      <c r="E68" s="50">
        <f>+registry!E101</f>
        <v>1124903.1810714286</v>
      </c>
      <c r="F68" s="50">
        <f>+registry!F101</f>
        <v>-531053.81892857142</v>
      </c>
      <c r="G68" s="742">
        <f>+registry!G101</f>
        <v>1924884.2757142857</v>
      </c>
      <c r="H68" s="50">
        <f>+registry!H101</f>
        <v>0</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742"/>
      <c r="H69" s="50"/>
      <c r="I69" s="50"/>
      <c r="J69" s="50"/>
      <c r="K69" s="50"/>
      <c r="L69" s="50"/>
      <c r="M69" s="50"/>
      <c r="N69" s="50"/>
      <c r="O69" s="43"/>
      <c r="P69" s="85"/>
      <c r="Q69" s="43"/>
      <c r="R69" s="43"/>
      <c r="S69" s="43"/>
      <c r="T69" s="43"/>
      <c r="U69" s="43"/>
      <c r="V69" s="43"/>
      <c r="W69" s="43"/>
      <c r="X69" s="43"/>
      <c r="Y69" s="43"/>
      <c r="Z69" s="43"/>
      <c r="AA69" s="43"/>
    </row>
    <row r="70" spans="1:27" ht="14.65" customHeight="1">
      <c r="A70" s="46" t="s">
        <v>226</v>
      </c>
      <c r="B70" s="68">
        <v>25047198.734000001</v>
      </c>
      <c r="C70" s="50">
        <f t="shared" ref="C70:N70" si="11">+C20+C26+C46+C64+C68</f>
        <v>1603707.2390672918</v>
      </c>
      <c r="D70" s="50">
        <f t="shared" si="11"/>
        <v>-4287191.2189285699</v>
      </c>
      <c r="E70" s="50">
        <f t="shared" si="11"/>
        <v>-2763590.336456174</v>
      </c>
      <c r="F70" s="50">
        <f t="shared" si="11"/>
        <v>4529203.3835829049</v>
      </c>
      <c r="G70" s="742">
        <f t="shared" si="11"/>
        <v>5165972.5952380951</v>
      </c>
      <c r="H70" s="50">
        <f t="shared" si="11"/>
        <v>5230810.2541666655</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227</v>
      </c>
      <c r="B71" s="68">
        <v>251128</v>
      </c>
      <c r="C71" s="50"/>
      <c r="D71" s="50"/>
      <c r="E71" s="50"/>
      <c r="F71" s="68">
        <v>421309.52</v>
      </c>
      <c r="G71" s="742"/>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228</v>
      </c>
      <c r="B72" s="50"/>
      <c r="C72" s="50"/>
      <c r="D72" s="50"/>
      <c r="E72" s="50"/>
      <c r="F72" s="50"/>
      <c r="G72" s="742">
        <f>F73*lgh_inputs!$D$8/4</f>
        <v>3159.8213999999984</v>
      </c>
      <c r="H72" s="137">
        <f>G73*lgh_inputs!$D$8/4</f>
        <v>41904.615864285712</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229</v>
      </c>
      <c r="B73" s="140">
        <v>251128</v>
      </c>
      <c r="C73" s="141">
        <f>+B73+C70</f>
        <v>1854835.2390672918</v>
      </c>
      <c r="D73" s="141">
        <f>+C73+D70</f>
        <v>-2432355.9798612781</v>
      </c>
      <c r="E73" s="141">
        <f>+D73+E70</f>
        <v>-5195946.3163174521</v>
      </c>
      <c r="F73" s="141">
        <f>+E73+F70+F74</f>
        <v>421309.51999999979</v>
      </c>
      <c r="G73" s="743">
        <f t="shared" ref="G73:N73" si="12">+F73+G70</f>
        <v>5587282.1152380947</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230</v>
      </c>
      <c r="B74" s="140"/>
      <c r="C74" s="140"/>
      <c r="D74" s="140"/>
      <c r="E74" s="140"/>
      <c r="F74" s="140">
        <v>1088052.452734547</v>
      </c>
      <c r="G74" s="743"/>
      <c r="H74" s="140"/>
      <c r="I74" s="140"/>
      <c r="J74" s="140"/>
      <c r="K74" s="140"/>
      <c r="L74" s="140"/>
      <c r="M74" s="140"/>
      <c r="N74" s="140"/>
      <c r="O74" s="43"/>
      <c r="P74" s="43"/>
      <c r="Q74" s="43"/>
      <c r="R74" s="43"/>
      <c r="S74" s="43"/>
      <c r="T74" s="43"/>
      <c r="U74" s="43"/>
      <c r="V74" s="43"/>
      <c r="W74" s="43"/>
      <c r="X74" s="43"/>
      <c r="Y74" s="43"/>
      <c r="Z74" s="43"/>
      <c r="AA74" s="43"/>
    </row>
    <row r="75" spans="1:27" ht="15" customHeight="1" thickTop="1">
      <c r="A75" s="43"/>
      <c r="B75" s="176"/>
      <c r="C75" s="43"/>
      <c r="D75" s="43"/>
      <c r="E75" s="43"/>
      <c r="F75" s="55"/>
      <c r="G75" s="738"/>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744"/>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738"/>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738"/>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738"/>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738"/>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738"/>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738"/>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738"/>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738"/>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738"/>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738"/>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738"/>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738"/>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738"/>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738"/>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v>
      </c>
      <c r="B3" s="114" t="s">
        <v>92</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231</v>
      </c>
      <c r="B4" s="68">
        <v>119773010.1849418</v>
      </c>
      <c r="C4" s="50">
        <f>+lgh_bs!C33</f>
        <v>133373609.36738586</v>
      </c>
      <c r="D4" s="50">
        <f>+lgh_bs!D33</f>
        <v>135662934.85874093</v>
      </c>
      <c r="E4" s="50">
        <f>+lgh_bs!E33</f>
        <v>158657706.70367149</v>
      </c>
      <c r="F4" s="50">
        <f>+lgh_bs!F33</f>
        <v>151877291.91685039</v>
      </c>
      <c r="G4" s="50">
        <f>+lgh_bs!G33</f>
        <v>157897944.59023753</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232</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233</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2764280.6065831347</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50</v>
      </c>
      <c r="B11" s="140">
        <v>0</v>
      </c>
      <c r="C11" s="141">
        <f t="shared" ref="C11:N11" si="2">+C10</f>
        <v>0</v>
      </c>
      <c r="D11" s="141">
        <f t="shared" si="2"/>
        <v>0</v>
      </c>
      <c r="E11" s="141">
        <f t="shared" si="2"/>
        <v>3030197.3462850195</v>
      </c>
      <c r="F11" s="141">
        <f t="shared" si="2"/>
        <v>657052.17089763575</v>
      </c>
      <c r="G11" s="141">
        <f t="shared" si="2"/>
        <v>2764280.6065831347</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234</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-130542.9950569733</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tabColor rgb="FFD9E1F2"/>
  </sheetPr>
  <dimension ref="A1:N66"/>
  <sheetViews>
    <sheetView showGridLines="0" zoomScale="85" zoomScaleNormal="85" workbookViewId="0">
      <selection activeCell="D33" sqref="D33:E49"/>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235</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v>
      </c>
      <c r="B3" s="180" t="s">
        <v>92</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236</v>
      </c>
      <c r="B4" s="59"/>
      <c r="C4" s="59"/>
      <c r="D4" s="59"/>
      <c r="E4" s="59"/>
      <c r="F4" s="59"/>
      <c r="G4" s="59"/>
      <c r="H4" s="59"/>
      <c r="I4" s="59"/>
      <c r="J4" s="59"/>
      <c r="K4" s="59"/>
      <c r="L4" s="59"/>
      <c r="M4" s="59"/>
      <c r="N4" s="59"/>
    </row>
    <row r="5" spans="1:14">
      <c r="A5" s="46" t="s">
        <v>237</v>
      </c>
      <c r="B5" s="58">
        <v>3000000</v>
      </c>
      <c r="C5" s="182">
        <f>3000000/4</f>
        <v>750000</v>
      </c>
      <c r="D5" s="59"/>
      <c r="E5" s="59"/>
      <c r="F5" s="59"/>
      <c r="G5" s="59"/>
      <c r="H5" s="59"/>
      <c r="I5" s="59"/>
      <c r="J5" s="59"/>
      <c r="K5" s="59"/>
      <c r="L5" s="59"/>
      <c r="M5" s="59"/>
      <c r="N5" s="59"/>
    </row>
    <row r="6" spans="1:14">
      <c r="A6" s="46" t="s">
        <v>53</v>
      </c>
      <c r="B6" s="183">
        <v>6000000</v>
      </c>
      <c r="C6" s="184">
        <f>-6050000</f>
        <v>-6050000</v>
      </c>
      <c r="D6" s="185"/>
      <c r="E6" s="185"/>
      <c r="F6" s="185"/>
      <c r="G6" s="185"/>
      <c r="H6" s="185"/>
      <c r="I6" s="185"/>
      <c r="J6" s="185"/>
      <c r="K6" s="185"/>
      <c r="L6" s="185"/>
      <c r="M6" s="185"/>
      <c r="N6" s="185"/>
    </row>
    <row r="7" spans="1:14">
      <c r="A7" s="46" t="s">
        <v>238</v>
      </c>
      <c r="B7" s="185"/>
      <c r="C7" s="186"/>
      <c r="D7" s="183">
        <v>-1200000</v>
      </c>
      <c r="E7" s="185"/>
      <c r="F7" s="185"/>
      <c r="G7" s="185"/>
      <c r="H7" s="185"/>
      <c r="I7" s="185"/>
      <c r="J7" s="185"/>
      <c r="K7" s="185"/>
      <c r="L7" s="185"/>
      <c r="M7" s="185"/>
      <c r="N7" s="185"/>
    </row>
    <row r="8" spans="1:14">
      <c r="A8" s="46" t="s">
        <v>239</v>
      </c>
      <c r="B8" s="59"/>
      <c r="C8" s="43"/>
      <c r="D8" s="58">
        <v>-350000</v>
      </c>
      <c r="E8" s="59"/>
      <c r="F8" s="59"/>
      <c r="G8" s="59"/>
      <c r="H8" s="59"/>
      <c r="I8" s="59"/>
      <c r="J8" s="59"/>
      <c r="K8" s="59"/>
      <c r="L8" s="59"/>
      <c r="M8" s="59"/>
      <c r="N8" s="59"/>
    </row>
    <row r="9" spans="1:14" s="9" customFormat="1">
      <c r="A9" s="46" t="s">
        <v>240</v>
      </c>
      <c r="B9" s="59"/>
      <c r="C9" s="182">
        <f>-2150000</f>
        <v>-2150000</v>
      </c>
      <c r="D9" s="59"/>
      <c r="E9" s="59"/>
      <c r="F9" s="59"/>
      <c r="G9" s="59"/>
      <c r="H9" s="59"/>
      <c r="I9" s="59"/>
      <c r="J9" s="59"/>
      <c r="K9" s="59"/>
      <c r="L9" s="59"/>
      <c r="M9" s="59"/>
      <c r="N9" s="59"/>
    </row>
    <row r="10" spans="1:14">
      <c r="A10" s="46" t="s">
        <v>50</v>
      </c>
      <c r="B10" s="187">
        <v>9000000</v>
      </c>
      <c r="C10" s="188">
        <f t="shared" ref="C10:N10" si="0">SUM(C5:C9)</f>
        <v>-7450000</v>
      </c>
      <c r="D10" s="188">
        <f t="shared" si="0"/>
        <v>-1550000</v>
      </c>
      <c r="E10" s="188">
        <f t="shared" si="0"/>
        <v>0</v>
      </c>
      <c r="F10" s="188">
        <f t="shared" si="0"/>
        <v>0</v>
      </c>
      <c r="G10" s="188">
        <f t="shared" si="0"/>
        <v>0</v>
      </c>
      <c r="H10" s="188">
        <f t="shared" si="0"/>
        <v>0</v>
      </c>
      <c r="I10" s="188">
        <f t="shared" si="0"/>
        <v>0</v>
      </c>
      <c r="J10" s="188">
        <f t="shared" si="0"/>
        <v>0</v>
      </c>
      <c r="K10" s="188">
        <f t="shared" si="0"/>
        <v>0</v>
      </c>
      <c r="L10" s="188">
        <f t="shared" si="0"/>
        <v>0</v>
      </c>
      <c r="M10" s="188">
        <f t="shared" si="0"/>
        <v>0</v>
      </c>
      <c r="N10" s="188">
        <f t="shared" si="0"/>
        <v>0</v>
      </c>
    </row>
    <row r="11" spans="1:14">
      <c r="A11" s="46" t="s">
        <v>45</v>
      </c>
      <c r="B11" s="189">
        <v>9000000</v>
      </c>
      <c r="C11" s="190">
        <f t="shared" ref="C11:N11" si="1">+B11+C10</f>
        <v>1550000</v>
      </c>
      <c r="D11" s="190">
        <f t="shared" si="1"/>
        <v>0</v>
      </c>
      <c r="E11" s="190">
        <f t="shared" si="1"/>
        <v>0</v>
      </c>
      <c r="F11" s="190">
        <f t="shared" si="1"/>
        <v>0</v>
      </c>
      <c r="G11" s="190">
        <f t="shared" si="1"/>
        <v>0</v>
      </c>
      <c r="H11" s="190">
        <f t="shared" si="1"/>
        <v>0</v>
      </c>
      <c r="I11" s="190">
        <f t="shared" si="1"/>
        <v>0</v>
      </c>
      <c r="J11" s="190">
        <f t="shared" si="1"/>
        <v>0</v>
      </c>
      <c r="K11" s="190">
        <f t="shared" si="1"/>
        <v>0</v>
      </c>
      <c r="L11" s="190">
        <f t="shared" si="1"/>
        <v>0</v>
      </c>
      <c r="M11" s="190">
        <f t="shared" si="1"/>
        <v>0</v>
      </c>
      <c r="N11" s="190">
        <f t="shared" si="1"/>
        <v>0</v>
      </c>
    </row>
    <row r="12" spans="1:14" ht="14.65" customHeight="1" thickBot="1">
      <c r="A12" s="43"/>
      <c r="B12" s="59"/>
      <c r="C12" s="59"/>
      <c r="D12" s="59"/>
      <c r="E12" s="59"/>
      <c r="F12" s="59"/>
      <c r="G12" s="59"/>
      <c r="H12" s="59"/>
      <c r="I12" s="59"/>
      <c r="J12" s="59"/>
      <c r="K12" s="59"/>
      <c r="L12" s="59"/>
      <c r="M12" s="59"/>
      <c r="N12" s="59"/>
    </row>
    <row r="13" spans="1:14">
      <c r="A13" s="44" t="s">
        <v>241</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242</v>
      </c>
      <c r="B15" s="59"/>
      <c r="C15" s="59"/>
      <c r="D15" s="59"/>
      <c r="E15" s="59"/>
      <c r="F15" s="59"/>
      <c r="G15" s="59"/>
      <c r="H15" s="59"/>
      <c r="I15" s="59"/>
      <c r="J15" s="59"/>
      <c r="K15" s="59"/>
      <c r="L15" s="59"/>
      <c r="M15" s="59"/>
      <c r="N15" s="59"/>
    </row>
    <row r="16" spans="1:14">
      <c r="A16" s="46" t="s">
        <v>243</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244</v>
      </c>
      <c r="B18" s="50"/>
      <c r="C18" s="50"/>
      <c r="D18" s="50"/>
      <c r="E18" s="50"/>
      <c r="F18" s="50"/>
      <c r="G18" s="50"/>
      <c r="H18" s="50"/>
      <c r="I18" s="50"/>
      <c r="J18" s="50"/>
      <c r="K18" s="50"/>
      <c r="L18" s="50"/>
      <c r="M18" s="50"/>
      <c r="N18" s="50"/>
    </row>
    <row r="19" spans="1:14">
      <c r="A19" s="46" t="s">
        <v>245</v>
      </c>
      <c r="B19" s="140">
        <v>0</v>
      </c>
      <c r="C19" s="191">
        <f t="shared" ref="C19:N19" si="2">SUM(C6:C7)</f>
        <v>-6050000</v>
      </c>
      <c r="D19" s="191">
        <f t="shared" si="2"/>
        <v>-1200000</v>
      </c>
      <c r="E19" s="191">
        <f t="shared" si="2"/>
        <v>0</v>
      </c>
      <c r="F19" s="191">
        <f t="shared" si="2"/>
        <v>0</v>
      </c>
      <c r="G19" s="191">
        <f t="shared" si="2"/>
        <v>0</v>
      </c>
      <c r="H19" s="191">
        <f t="shared" si="2"/>
        <v>0</v>
      </c>
      <c r="I19" s="191">
        <f t="shared" si="2"/>
        <v>0</v>
      </c>
      <c r="J19" s="191">
        <f t="shared" si="2"/>
        <v>0</v>
      </c>
      <c r="K19" s="191">
        <f t="shared" si="2"/>
        <v>0</v>
      </c>
      <c r="L19" s="191">
        <f t="shared" si="2"/>
        <v>0</v>
      </c>
      <c r="M19" s="191">
        <f t="shared" si="2"/>
        <v>0</v>
      </c>
      <c r="N19" s="191">
        <f t="shared" si="2"/>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246</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v>
      </c>
      <c r="B3" s="180" t="s">
        <v>92</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247</v>
      </c>
      <c r="B5" s="43"/>
      <c r="C5" s="43"/>
      <c r="D5" s="43"/>
      <c r="E5" s="43"/>
      <c r="F5" s="43"/>
      <c r="G5" s="43"/>
      <c r="H5" s="43"/>
      <c r="I5" s="43"/>
      <c r="J5" s="43"/>
      <c r="K5" s="43"/>
      <c r="L5" s="43"/>
      <c r="M5" s="43"/>
      <c r="N5" s="43"/>
      <c r="O5" s="43"/>
      <c r="P5" s="43"/>
      <c r="Q5" s="43"/>
      <c r="R5" s="43"/>
      <c r="S5" s="43"/>
      <c r="T5" s="43"/>
    </row>
    <row r="6" spans="1:20" s="20" customFormat="1">
      <c r="A6" s="46" t="s">
        <v>248</v>
      </c>
      <c r="B6" s="43"/>
      <c r="C6" s="43"/>
      <c r="D6" s="43"/>
      <c r="E6" s="43"/>
      <c r="F6" s="43"/>
      <c r="G6" s="43"/>
      <c r="H6" s="43"/>
      <c r="I6" s="43"/>
      <c r="J6" s="43"/>
      <c r="K6" s="43"/>
      <c r="L6" s="43"/>
      <c r="M6" s="43"/>
      <c r="N6" s="43"/>
      <c r="O6" s="43"/>
      <c r="P6" s="43"/>
      <c r="Q6" s="43"/>
      <c r="R6" s="43"/>
      <c r="S6" s="43"/>
      <c r="T6" s="43"/>
    </row>
    <row r="7" spans="1:20" s="20" customFormat="1">
      <c r="A7" s="46" t="s">
        <v>249</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250</v>
      </c>
      <c r="B8" s="50"/>
      <c r="C8" s="50"/>
      <c r="D8" s="50"/>
      <c r="E8" s="50"/>
      <c r="F8" s="50"/>
      <c r="G8" s="50"/>
      <c r="H8" s="50"/>
      <c r="I8" s="50"/>
      <c r="J8" s="50"/>
      <c r="K8" s="50"/>
      <c r="L8" s="50"/>
      <c r="M8" s="50"/>
      <c r="N8" s="50"/>
      <c r="O8" s="43"/>
      <c r="P8" s="43"/>
      <c r="Q8" s="43"/>
      <c r="R8" s="43"/>
      <c r="S8" s="43"/>
      <c r="T8" s="43"/>
    </row>
    <row r="9" spans="1:20" s="20" customFormat="1">
      <c r="A9" s="46" t="s">
        <v>251</v>
      </c>
      <c r="B9" s="50"/>
      <c r="C9" s="50"/>
      <c r="D9" s="50"/>
      <c r="E9" s="68">
        <v>200000</v>
      </c>
      <c r="F9" s="50"/>
      <c r="G9" s="50"/>
      <c r="H9" s="50"/>
      <c r="I9" s="50"/>
      <c r="J9" s="50"/>
      <c r="K9" s="50"/>
      <c r="L9" s="50"/>
      <c r="M9" s="50"/>
      <c r="N9" s="50"/>
      <c r="O9" s="43"/>
      <c r="P9" s="43"/>
      <c r="Q9" s="43"/>
      <c r="R9" s="43"/>
      <c r="S9" s="43"/>
      <c r="T9" s="43"/>
    </row>
    <row r="10" spans="1:20">
      <c r="A10" s="46" t="s">
        <v>45</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56</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252</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57</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44</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253</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254</v>
      </c>
      <c r="B22" s="43"/>
      <c r="C22" s="43"/>
      <c r="D22" s="43"/>
      <c r="E22" s="43"/>
      <c r="F22" s="43"/>
      <c r="G22" s="43"/>
      <c r="H22" s="43"/>
      <c r="I22" s="43"/>
      <c r="J22" s="43"/>
      <c r="K22" s="43"/>
      <c r="L22" s="43"/>
      <c r="M22" s="43"/>
      <c r="N22" s="43"/>
      <c r="O22" s="43"/>
      <c r="P22" s="43"/>
      <c r="Q22" s="43"/>
      <c r="R22" s="43"/>
      <c r="S22" s="43"/>
      <c r="T22" s="43"/>
    </row>
    <row r="23" spans="1:20">
      <c r="A23" s="46" t="s">
        <v>255</v>
      </c>
      <c r="B23" s="43"/>
      <c r="C23" s="76"/>
      <c r="D23" s="43"/>
      <c r="E23" s="43"/>
      <c r="F23" s="43"/>
      <c r="G23" s="43"/>
      <c r="H23" s="43"/>
      <c r="I23" s="43"/>
      <c r="J23" s="43"/>
      <c r="K23" s="43"/>
      <c r="L23" s="43"/>
      <c r="M23" s="43"/>
      <c r="N23" s="43"/>
      <c r="O23" s="43"/>
      <c r="P23" s="43"/>
      <c r="Q23" s="43"/>
      <c r="R23" s="43"/>
      <c r="S23" s="43"/>
      <c r="T23" s="43"/>
    </row>
    <row r="24" spans="1:20">
      <c r="A24" s="46" t="s">
        <v>256</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257</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258</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259</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260</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258</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261</v>
      </c>
      <c r="B31" s="43"/>
      <c r="C31" s="43"/>
      <c r="D31" s="43"/>
      <c r="E31" s="43"/>
      <c r="F31" s="43"/>
      <c r="G31" s="43"/>
      <c r="H31" s="43"/>
      <c r="I31" s="43"/>
      <c r="J31" s="43"/>
      <c r="K31" s="43"/>
      <c r="L31" s="43"/>
      <c r="M31" s="43"/>
      <c r="N31" s="43"/>
      <c r="O31" s="43"/>
      <c r="P31" s="43"/>
      <c r="Q31" s="43"/>
      <c r="R31" s="43"/>
      <c r="S31" s="43"/>
      <c r="T31" s="43"/>
    </row>
    <row r="32" spans="1:20">
      <c r="A32" s="46" t="s">
        <v>262</v>
      </c>
      <c r="B32" s="43"/>
      <c r="C32" s="76"/>
      <c r="D32" s="43"/>
      <c r="E32" s="43"/>
      <c r="F32" s="43"/>
      <c r="G32" s="43"/>
      <c r="H32" s="43"/>
      <c r="I32" s="43"/>
      <c r="J32" s="43"/>
      <c r="K32" s="43"/>
      <c r="L32" s="43"/>
      <c r="M32" s="43"/>
      <c r="N32" s="43"/>
      <c r="O32" s="43"/>
      <c r="P32" s="43"/>
      <c r="Q32" s="43"/>
      <c r="R32" s="43"/>
      <c r="S32" s="43"/>
      <c r="T32" s="43"/>
    </row>
    <row r="33" spans="1:20">
      <c r="A33" s="46" t="s">
        <v>263</v>
      </c>
      <c r="B33" s="43"/>
      <c r="C33" s="43"/>
      <c r="D33" s="76"/>
      <c r="E33" s="76"/>
      <c r="F33" s="76"/>
      <c r="G33" s="43"/>
      <c r="H33" s="43"/>
      <c r="I33" s="43"/>
      <c r="J33" s="43"/>
      <c r="K33" s="43"/>
      <c r="L33" s="43"/>
      <c r="M33" s="43"/>
      <c r="N33" s="43"/>
      <c r="O33" s="43"/>
      <c r="P33" s="43"/>
      <c r="Q33" s="43"/>
      <c r="R33" s="43"/>
      <c r="S33" s="43"/>
      <c r="T33" s="43"/>
    </row>
    <row r="34" spans="1:20">
      <c r="A34" s="46" t="s">
        <v>264</v>
      </c>
      <c r="B34" s="76"/>
      <c r="C34" s="76"/>
      <c r="D34" s="76"/>
      <c r="E34" s="43"/>
      <c r="F34" s="43"/>
      <c r="G34" s="43"/>
      <c r="H34" s="43"/>
      <c r="I34" s="43"/>
      <c r="J34" s="43"/>
      <c r="K34" s="43"/>
      <c r="L34" s="43"/>
      <c r="M34" s="43"/>
      <c r="N34" s="43"/>
      <c r="O34" s="43"/>
      <c r="P34" s="43"/>
    </row>
    <row r="35" spans="1:20" s="10" customFormat="1">
      <c r="A35" s="46" t="s">
        <v>249</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265</v>
      </c>
      <c r="B36" s="43"/>
      <c r="C36" s="43"/>
      <c r="D36" s="79">
        <v>0.25</v>
      </c>
      <c r="E36" s="43"/>
      <c r="F36" s="43"/>
      <c r="G36" s="43"/>
      <c r="H36" s="43"/>
      <c r="I36" s="43"/>
      <c r="J36" s="43"/>
      <c r="K36" s="43"/>
      <c r="L36" s="43"/>
      <c r="M36" s="43"/>
      <c r="N36" s="43"/>
      <c r="O36" s="43"/>
      <c r="P36" s="43"/>
    </row>
    <row r="37" spans="1:20" s="10" customFormat="1">
      <c r="A37" s="46" t="s">
        <v>266</v>
      </c>
      <c r="B37" s="43"/>
      <c r="C37" s="43"/>
      <c r="D37" s="76"/>
      <c r="E37" s="79">
        <v>3.2000000000000002E-3</v>
      </c>
      <c r="F37" s="43"/>
      <c r="G37" s="43"/>
      <c r="H37" s="43"/>
      <c r="I37" s="43"/>
      <c r="J37" s="43"/>
      <c r="K37" s="43"/>
      <c r="L37" s="43"/>
      <c r="M37" s="43"/>
      <c r="N37" s="43"/>
      <c r="O37" s="43"/>
      <c r="P37" s="43"/>
    </row>
    <row r="38" spans="1:20">
      <c r="A38" s="101" t="s">
        <v>267</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268</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269</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270</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271</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272</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273</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267</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51" width="9.26953125" style="11" customWidth="1"/>
    <col min="52"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274</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275</v>
      </c>
      <c r="B4" s="202" t="s">
        <v>276</v>
      </c>
      <c r="C4" s="202" t="s">
        <v>277</v>
      </c>
      <c r="D4" s="202" t="s">
        <v>278</v>
      </c>
      <c r="E4" s="202" t="s">
        <v>279</v>
      </c>
      <c r="F4" s="202" t="s">
        <v>280</v>
      </c>
      <c r="G4" s="205" t="s">
        <v>281</v>
      </c>
      <c r="H4" s="205" t="s">
        <v>282</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283</v>
      </c>
    </row>
    <row r="5" spans="1:25">
      <c r="A5" s="202" t="s">
        <v>284</v>
      </c>
      <c r="B5" s="202" t="s">
        <v>285</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286</v>
      </c>
      <c r="B6" s="202" t="s">
        <v>287</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288</v>
      </c>
      <c r="B7" s="202" t="s">
        <v>287</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289</v>
      </c>
      <c r="B8" s="202" t="s">
        <v>290</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291</v>
      </c>
      <c r="B9" s="202" t="s">
        <v>290</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292</v>
      </c>
      <c r="B10" s="202" t="s">
        <v>290</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293</v>
      </c>
      <c r="B11" s="202" t="s">
        <v>294</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295</v>
      </c>
      <c r="B12" s="202" t="s">
        <v>294</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296</v>
      </c>
      <c r="B13" s="202" t="s">
        <v>294</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297</v>
      </c>
      <c r="B14" s="202" t="s">
        <v>298</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299</v>
      </c>
      <c r="B15" s="202" t="s">
        <v>298</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300</v>
      </c>
      <c r="B16" s="202" t="s">
        <v>301</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302</v>
      </c>
      <c r="B17" s="202" t="s">
        <v>301</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303</v>
      </c>
      <c r="B18" s="202" t="s">
        <v>301</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304</v>
      </c>
      <c r="B19" s="202" t="s">
        <v>305</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306</v>
      </c>
      <c r="B20" s="202" t="s">
        <v>305</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307</v>
      </c>
      <c r="B21" s="202" t="s">
        <v>308</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309</v>
      </c>
      <c r="B22" s="202" t="s">
        <v>310</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311</v>
      </c>
      <c r="B23" s="202" t="s">
        <v>310</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312</v>
      </c>
      <c r="B24" s="202" t="s">
        <v>310</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313</v>
      </c>
      <c r="B25" s="202" t="s">
        <v>310</v>
      </c>
      <c r="C25" s="214">
        <v>1000000</v>
      </c>
      <c r="D25" s="208">
        <v>0.08</v>
      </c>
      <c r="E25" s="208">
        <v>0.1</v>
      </c>
      <c r="F25" s="210">
        <v>44768</v>
      </c>
      <c r="G25" s="215">
        <f>+C25/lgh_inputs!$D$10</f>
        <v>40000</v>
      </c>
      <c r="H25" s="212"/>
      <c r="I25" s="213">
        <f t="shared" si="0"/>
        <v>0</v>
      </c>
      <c r="J25" s="213">
        <f t="shared" ref="J25:L44" si="6">IF(AND(YEAR($F25)=YEAR(J$3),ROUNDUP(MONTH($F25)/3,0)&lt;=J$4),$C25*(1+$D25)^((J$3-$F25)/365),IF(ROUND(I25,0)=0,0,I25*(1+$D25)))</f>
        <v>1033875.7892961168</v>
      </c>
      <c r="K25" s="213">
        <f t="shared" si="6"/>
        <v>1116585.8524398061</v>
      </c>
      <c r="L25" s="213">
        <f t="shared" si="6"/>
        <v>1205912.7206349906</v>
      </c>
      <c r="M25" s="213">
        <f t="shared" ref="M25:T34"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4"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314</v>
      </c>
      <c r="B26" s="202" t="s">
        <v>315</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316</v>
      </c>
      <c r="B27" s="202" t="s">
        <v>317</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318</v>
      </c>
      <c r="B28" s="202" t="s">
        <v>317</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319</v>
      </c>
      <c r="B29" s="202" t="s">
        <v>320</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321</v>
      </c>
      <c r="B30" s="202" t="s">
        <v>322</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323</v>
      </c>
      <c r="B31" s="202" t="s">
        <v>324</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325</v>
      </c>
      <c r="B32" s="202" t="s">
        <v>294</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326</v>
      </c>
      <c r="B33" s="202" t="s">
        <v>294</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327</v>
      </c>
      <c r="B34" s="202" t="s">
        <v>328</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329</v>
      </c>
      <c r="B35" s="202" t="s">
        <v>330</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331</v>
      </c>
      <c r="B36" s="202" t="s">
        <v>332</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333</v>
      </c>
      <c r="B37" s="202" t="s">
        <v>285</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334</v>
      </c>
      <c r="B38" s="202" t="s">
        <v>249</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335</v>
      </c>
      <c r="B39" s="219" t="s">
        <v>336</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337</v>
      </c>
      <c r="B40" s="219" t="s">
        <v>294</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338</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339</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340</v>
      </c>
      <c r="B45" s="43"/>
      <c r="C45" s="43"/>
      <c r="D45" s="43"/>
      <c r="E45" s="43"/>
      <c r="F45" s="43"/>
      <c r="G45" s="43"/>
      <c r="H45" s="202" t="s">
        <v>341</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342</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45</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343</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344</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345</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346</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347</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348</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349</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350</v>
      </c>
      <c r="K57" s="205" t="s">
        <v>281</v>
      </c>
      <c r="L57" s="229"/>
      <c r="M57" s="229"/>
      <c r="N57" s="229"/>
      <c r="O57" s="229"/>
      <c r="P57" s="229"/>
      <c r="Q57" s="229"/>
      <c r="R57" s="229"/>
      <c r="S57" s="229"/>
      <c r="T57" s="229"/>
      <c r="U57" s="229"/>
      <c r="V57" s="229"/>
      <c r="W57" s="229"/>
      <c r="X57" s="229"/>
      <c r="Y57" s="43"/>
    </row>
    <row r="58" spans="1:25" ht="16" customHeight="1" thickBot="1">
      <c r="A58" s="202" t="s">
        <v>351</v>
      </c>
      <c r="B58" s="229"/>
      <c r="C58" s="229"/>
      <c r="D58" s="229"/>
      <c r="E58" s="229"/>
      <c r="F58" s="232" t="s">
        <v>352</v>
      </c>
      <c r="G58" s="210">
        <v>45657</v>
      </c>
      <c r="H58" s="229"/>
      <c r="I58" s="232" t="s">
        <v>353</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178</v>
      </c>
      <c r="B60" s="205" t="s">
        <v>354</v>
      </c>
      <c r="C60" s="205" t="s">
        <v>354</v>
      </c>
      <c r="D60" s="205" t="s">
        <v>0</v>
      </c>
      <c r="E60" s="205" t="s">
        <v>355</v>
      </c>
      <c r="F60" s="205" t="s">
        <v>281</v>
      </c>
      <c r="G60" s="205" t="s">
        <v>356</v>
      </c>
      <c r="H60" s="205" t="s">
        <v>45</v>
      </c>
      <c r="I60" s="205" t="s">
        <v>357</v>
      </c>
      <c r="J60" s="205" t="s">
        <v>358</v>
      </c>
      <c r="K60" s="241" t="s">
        <v>359</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360</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93</v>
      </c>
      <c r="D101" s="96" t="s">
        <v>94</v>
      </c>
      <c r="E101" s="96" t="s">
        <v>95</v>
      </c>
      <c r="F101" s="96" t="s">
        <v>92</v>
      </c>
      <c r="G101" s="96" t="s">
        <v>93</v>
      </c>
      <c r="H101" s="96" t="s">
        <v>94</v>
      </c>
      <c r="I101" s="96" t="s">
        <v>95</v>
      </c>
      <c r="J101" s="96" t="s">
        <v>92</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361</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272</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272</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362</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363</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178</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92</v>
      </c>
      <c r="C147" s="248" t="s">
        <v>93</v>
      </c>
      <c r="D147" s="248" t="s">
        <v>94</v>
      </c>
      <c r="E147" s="248" t="s">
        <v>95</v>
      </c>
      <c r="F147" s="248" t="s">
        <v>92</v>
      </c>
      <c r="G147" s="248" t="s">
        <v>93</v>
      </c>
      <c r="H147" s="248" t="s">
        <v>94</v>
      </c>
      <c r="I147" s="248" t="s">
        <v>95</v>
      </c>
      <c r="J147" s="248" t="s">
        <v>92</v>
      </c>
      <c r="K147" s="248" t="s">
        <v>92</v>
      </c>
      <c r="L147" s="247" t="s">
        <v>92</v>
      </c>
      <c r="M147" s="247" t="s">
        <v>92</v>
      </c>
      <c r="N147" s="247" t="s">
        <v>92</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2174118.8098599967</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869647.52394399839</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1391436.0383103976</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695718.01915519882</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776471.00352142716</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776471.00352142716</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313694.28542265663</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111811.8245070855</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12423.536056342837</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13300.637701920637</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39901.913105761909</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124235.36056342834</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124235.36056342834</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248470.72112685663</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80752.984366228411</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24847.072112685666</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248470.72112685663</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248470.72112685663</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66503.188509603191</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16625.797127400798</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33251.594254801596</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33251.594254801596</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1254777.1416906265</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1254777.1416906265</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997777.79034965881</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197906.33858175055</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247382.92322718815</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164921.94881812547</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364</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231</v>
      </c>
      <c r="B185" s="249">
        <v>119773010.1849418</v>
      </c>
      <c r="C185" s="250">
        <f>+lgh_bs!C33</f>
        <v>133373609.36738586</v>
      </c>
      <c r="D185" s="250">
        <f>+lgh_bs!D33</f>
        <v>135662934.85874093</v>
      </c>
      <c r="E185" s="250">
        <f>+lgh_bs!E33</f>
        <v>158657706.70367149</v>
      </c>
      <c r="F185" s="250">
        <f>+lgh_bs!F33</f>
        <v>151877291.91685039</v>
      </c>
      <c r="G185" s="250">
        <f>+lgh_bs!G33</f>
        <v>157897944.59023753</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365</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366</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15808093.819260592</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49" width="9.26953125" style="11" customWidth="1"/>
    <col min="50" max="16384" width="9.26953125" style="11"/>
  </cols>
  <sheetData>
    <row r="1" spans="1:33">
      <c r="A1" s="43"/>
      <c r="B1" s="43"/>
      <c r="C1" s="43"/>
      <c r="D1" s="43"/>
      <c r="E1" s="43"/>
      <c r="F1" s="43"/>
      <c r="G1" s="43"/>
      <c r="H1" s="202" t="s">
        <v>367</v>
      </c>
      <c r="I1" s="43"/>
      <c r="J1" s="202" t="s">
        <v>367</v>
      </c>
      <c r="K1" s="43"/>
      <c r="L1" s="202" t="s">
        <v>367</v>
      </c>
      <c r="M1" s="43"/>
      <c r="N1" s="202" t="s">
        <v>367</v>
      </c>
      <c r="O1" s="43"/>
      <c r="P1" s="202" t="s">
        <v>367</v>
      </c>
      <c r="Q1" s="43"/>
      <c r="R1" s="202" t="s">
        <v>367</v>
      </c>
      <c r="S1" s="43"/>
      <c r="T1" s="202" t="s">
        <v>367</v>
      </c>
      <c r="U1" s="43"/>
      <c r="V1" s="202" t="s">
        <v>367</v>
      </c>
      <c r="W1" s="43"/>
      <c r="X1" s="202" t="s">
        <v>367</v>
      </c>
      <c r="Y1" s="43"/>
      <c r="Z1" s="202" t="s">
        <v>367</v>
      </c>
      <c r="AA1" s="43"/>
      <c r="AB1" s="202" t="s">
        <v>367</v>
      </c>
      <c r="AC1" s="43"/>
      <c r="AD1" s="202" t="s">
        <v>367</v>
      </c>
      <c r="AE1" s="43"/>
      <c r="AF1" s="202" t="s">
        <v>367</v>
      </c>
      <c r="AG1" s="43"/>
    </row>
    <row r="2" spans="1:33" s="25" customFormat="1">
      <c r="A2" s="202" t="s">
        <v>274</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368</v>
      </c>
    </row>
    <row r="3" spans="1:33">
      <c r="A3" s="202" t="s">
        <v>369</v>
      </c>
      <c r="B3" s="202" t="s">
        <v>276</v>
      </c>
      <c r="C3" s="202" t="s">
        <v>277</v>
      </c>
      <c r="D3" s="202" t="s">
        <v>278</v>
      </c>
      <c r="E3" s="202" t="s">
        <v>280</v>
      </c>
      <c r="F3" s="205" t="s">
        <v>370</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371</v>
      </c>
    </row>
    <row r="4" spans="1:33">
      <c r="A4" s="202" t="s">
        <v>372</v>
      </c>
      <c r="B4" s="202" t="s">
        <v>373</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374</v>
      </c>
    </row>
    <row r="5" spans="1:33">
      <c r="A5" s="202" t="s">
        <v>375</v>
      </c>
      <c r="B5" s="202" t="s">
        <v>376</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377</v>
      </c>
    </row>
    <row r="6" spans="1:33">
      <c r="A6" s="202" t="s">
        <v>378</v>
      </c>
      <c r="B6" s="202" t="s">
        <v>379</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380</v>
      </c>
    </row>
    <row r="7" spans="1:33">
      <c r="A7" s="202" t="s">
        <v>381</v>
      </c>
      <c r="B7" s="202" t="s">
        <v>382</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383</v>
      </c>
      <c r="B8" s="202" t="s">
        <v>384</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385</v>
      </c>
      <c r="B9" s="202" t="s">
        <v>386</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387</v>
      </c>
      <c r="B10" s="202" t="s">
        <v>388</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389</v>
      </c>
      <c r="B11" s="202" t="s">
        <v>390</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391</v>
      </c>
      <c r="B12" s="202" t="s">
        <v>392</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393</v>
      </c>
      <c r="B13" s="202" t="s">
        <v>392</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394</v>
      </c>
      <c r="B14" s="202" t="s">
        <v>392</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395</v>
      </c>
      <c r="B15" s="202" t="s">
        <v>396</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397</v>
      </c>
      <c r="B16" s="202" t="s">
        <v>398</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399</v>
      </c>
      <c r="B17" s="202" t="s">
        <v>400</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401</v>
      </c>
      <c r="B18" s="202" t="s">
        <v>400</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402</v>
      </c>
      <c r="B19" s="202" t="s">
        <v>403</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404</v>
      </c>
      <c r="B20" s="202" t="s">
        <v>405</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406</v>
      </c>
      <c r="B21" s="202" t="s">
        <v>407</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408</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409</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410</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411</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412</v>
      </c>
      <c r="B26" s="202" t="s">
        <v>413</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414</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415</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416</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340</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342</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45</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346</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347</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342</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349</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417</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342</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418</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48" width="9.26953125" style="11" customWidth="1"/>
    <col min="49"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419</v>
      </c>
      <c r="H2" s="229"/>
      <c r="I2" s="202" t="s">
        <v>419</v>
      </c>
      <c r="J2" s="229"/>
      <c r="K2" s="202" t="s">
        <v>419</v>
      </c>
      <c r="L2" s="229"/>
      <c r="M2" s="202" t="s">
        <v>419</v>
      </c>
      <c r="N2" s="229"/>
      <c r="O2" s="202" t="s">
        <v>419</v>
      </c>
      <c r="P2" s="229"/>
      <c r="Q2" s="202" t="s">
        <v>419</v>
      </c>
      <c r="R2" s="229"/>
      <c r="S2" s="202" t="s">
        <v>419</v>
      </c>
      <c r="T2" s="229"/>
      <c r="U2" s="202" t="s">
        <v>419</v>
      </c>
      <c r="V2" s="229"/>
      <c r="W2" s="202" t="s">
        <v>419</v>
      </c>
      <c r="X2" s="43"/>
      <c r="Y2" s="202" t="s">
        <v>419</v>
      </c>
      <c r="Z2" s="43"/>
      <c r="AA2" s="202" t="s">
        <v>419</v>
      </c>
      <c r="AB2" s="43"/>
      <c r="AC2" s="202" t="s">
        <v>419</v>
      </c>
      <c r="AD2" s="43"/>
      <c r="AE2" s="202" t="s">
        <v>419</v>
      </c>
      <c r="AF2" s="43"/>
    </row>
    <row r="3" spans="1:32" s="25" customFormat="1">
      <c r="A3" s="202" t="s">
        <v>274</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368</v>
      </c>
    </row>
    <row r="4" spans="1:32">
      <c r="A4" s="202" t="s">
        <v>420</v>
      </c>
      <c r="B4" s="202" t="s">
        <v>421</v>
      </c>
      <c r="C4" s="202" t="s">
        <v>277</v>
      </c>
      <c r="D4" s="202" t="s">
        <v>278</v>
      </c>
      <c r="E4" s="202" t="s">
        <v>280</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371</v>
      </c>
    </row>
    <row r="5" spans="1:32">
      <c r="A5" s="202" t="s">
        <v>422</v>
      </c>
      <c r="B5" s="202" t="s">
        <v>423</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424</v>
      </c>
      <c r="B6" s="202" t="s">
        <v>425</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426</v>
      </c>
      <c r="B7" s="202" t="s">
        <v>427</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428</v>
      </c>
      <c r="B8" s="202" t="s">
        <v>429</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430</v>
      </c>
      <c r="B9" s="202" t="s">
        <v>431</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432</v>
      </c>
      <c r="B10" s="202" t="s">
        <v>433</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434</v>
      </c>
      <c r="B11" s="202" t="s">
        <v>435</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436</v>
      </c>
      <c r="B12" s="202" t="s">
        <v>437</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438</v>
      </c>
      <c r="B13" s="264" t="s">
        <v>439</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440</v>
      </c>
      <c r="B14" s="202" t="s">
        <v>441</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442</v>
      </c>
      <c r="B15" s="202" t="s">
        <v>443</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444</v>
      </c>
      <c r="B16" s="202" t="s">
        <v>445</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446</v>
      </c>
      <c r="B17" s="202" t="s">
        <v>447</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448</v>
      </c>
      <c r="B18" s="202" t="s">
        <v>449</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450</v>
      </c>
      <c r="B19" s="202" t="s">
        <v>451</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452</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452</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453</v>
      </c>
      <c r="B22" s="46" t="s">
        <v>452</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45</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343</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346</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347</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454</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349</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417</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342</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418</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455</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456</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457</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4">
    <tabColor rgb="FFD9E1F2"/>
  </sheetPr>
  <dimension ref="A1:T56"/>
  <sheetViews>
    <sheetView showGridLines="0" zoomScale="91" zoomScaleNormal="70" workbookViewId="0">
      <pane xSplit="1" ySplit="3" topLeftCell="B4" activePane="bottomRight" state="frozen"/>
      <selection pane="topRight" activeCell="B1" sqref="B1"/>
      <selection pane="bottomLeft" activeCell="A4" sqref="A4"/>
      <selection pane="bottomRight" activeCell="K30" sqref="K30"/>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458</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92</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459</v>
      </c>
      <c r="P3" s="43"/>
      <c r="Q3" s="43"/>
      <c r="R3" s="43"/>
      <c r="S3" s="43"/>
      <c r="T3" s="43"/>
    </row>
    <row r="4" spans="1:20" s="37" customFormat="1">
      <c r="A4" s="67" t="s">
        <v>460</v>
      </c>
      <c r="B4" s="43"/>
      <c r="C4" s="43"/>
      <c r="D4" s="43"/>
      <c r="E4" s="43"/>
      <c r="F4" s="43"/>
      <c r="G4" s="43"/>
      <c r="H4" s="43"/>
      <c r="I4" s="43"/>
      <c r="J4" s="43"/>
      <c r="K4" s="43"/>
      <c r="L4" s="43"/>
      <c r="M4" s="43"/>
      <c r="N4" s="43"/>
      <c r="O4" s="43"/>
      <c r="P4" s="43"/>
      <c r="Q4" s="43"/>
      <c r="R4" s="43"/>
      <c r="S4" s="43"/>
      <c r="T4" s="43"/>
    </row>
    <row r="5" spans="1:20" s="37" customFormat="1">
      <c r="A5" s="67" t="s">
        <v>461</v>
      </c>
      <c r="B5" s="43"/>
      <c r="C5" s="43"/>
      <c r="D5" s="43"/>
      <c r="E5" s="43"/>
      <c r="F5" s="43"/>
      <c r="G5" s="43"/>
      <c r="H5" s="43"/>
      <c r="I5" s="43"/>
      <c r="J5" s="43"/>
      <c r="K5" s="43"/>
      <c r="L5" s="43"/>
      <c r="M5" s="43"/>
      <c r="N5" s="43"/>
      <c r="O5" s="43"/>
      <c r="P5" s="43"/>
      <c r="Q5" s="43"/>
      <c r="R5" s="43"/>
      <c r="S5" s="43"/>
      <c r="T5" s="43"/>
    </row>
    <row r="6" spans="1:20" s="37" customFormat="1">
      <c r="A6" s="67" t="s">
        <v>462</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463</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464</v>
      </c>
      <c r="B9" s="43"/>
      <c r="C9" s="43"/>
      <c r="D9" s="43"/>
      <c r="E9" s="43"/>
      <c r="F9" s="43"/>
      <c r="G9" s="43"/>
      <c r="H9" s="43"/>
      <c r="I9" s="43"/>
      <c r="J9" s="43"/>
      <c r="K9" s="43"/>
      <c r="L9" s="43"/>
      <c r="M9" s="43"/>
      <c r="N9" s="43"/>
      <c r="O9" s="43"/>
      <c r="P9" s="43"/>
      <c r="Q9" s="43"/>
      <c r="R9" s="43"/>
      <c r="S9" s="43"/>
      <c r="T9" s="43"/>
    </row>
    <row r="10" spans="1:20" s="37" customFormat="1">
      <c r="A10" s="67" t="s">
        <v>465</v>
      </c>
      <c r="B10" s="43"/>
      <c r="C10" s="43"/>
      <c r="D10" s="43"/>
      <c r="E10" s="43"/>
      <c r="F10" s="43"/>
      <c r="G10" s="43"/>
      <c r="H10" s="43"/>
      <c r="I10" s="43"/>
      <c r="J10" s="43"/>
      <c r="K10" s="43"/>
      <c r="L10" s="43"/>
      <c r="M10" s="43"/>
      <c r="N10" s="43"/>
      <c r="O10" s="43"/>
      <c r="P10" s="43"/>
      <c r="Q10" s="43"/>
      <c r="R10" s="43"/>
      <c r="S10" s="43"/>
      <c r="T10" s="43"/>
    </row>
    <row r="11" spans="1:20" s="37" customFormat="1">
      <c r="A11" s="67" t="s">
        <v>466</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467</v>
      </c>
      <c r="B12" s="43"/>
      <c r="C12" s="43"/>
      <c r="D12" s="43"/>
      <c r="E12" s="43"/>
      <c r="F12" s="43"/>
      <c r="G12" s="43"/>
      <c r="H12" s="43"/>
      <c r="I12" s="43"/>
      <c r="J12" s="43"/>
      <c r="K12" s="43"/>
      <c r="L12" s="43"/>
      <c r="M12" s="43"/>
      <c r="N12" s="43"/>
      <c r="O12" s="43"/>
      <c r="P12" s="43"/>
      <c r="Q12" s="43"/>
      <c r="R12" s="43"/>
      <c r="S12" s="43"/>
      <c r="T12" s="43"/>
    </row>
    <row r="13" spans="1:20" s="37" customFormat="1">
      <c r="A13" s="67" t="s">
        <v>468</v>
      </c>
      <c r="B13" s="43"/>
      <c r="C13" s="43"/>
      <c r="D13" s="43"/>
      <c r="E13" s="43"/>
      <c r="F13" s="43"/>
      <c r="G13" s="43"/>
      <c r="H13" s="43"/>
      <c r="I13" s="43"/>
      <c r="J13" s="43"/>
      <c r="K13" s="43"/>
      <c r="L13" s="43"/>
      <c r="M13" s="43"/>
      <c r="N13" s="43"/>
      <c r="O13" s="43"/>
      <c r="P13" s="43"/>
      <c r="Q13" s="43"/>
      <c r="R13" s="43"/>
      <c r="S13" s="43"/>
      <c r="T13" s="43"/>
    </row>
    <row r="14" spans="1:20" s="37" customFormat="1">
      <c r="A14" s="67" t="s">
        <v>469</v>
      </c>
      <c r="B14" s="43"/>
      <c r="C14" s="43"/>
      <c r="D14" s="43"/>
      <c r="E14" s="43"/>
      <c r="F14" s="43"/>
      <c r="G14" s="43"/>
      <c r="H14" s="43"/>
      <c r="I14" s="43"/>
      <c r="J14" s="43"/>
      <c r="K14" s="43"/>
      <c r="L14" s="43"/>
      <c r="M14" s="43"/>
      <c r="N14" s="43"/>
      <c r="O14" s="43"/>
      <c r="P14" s="43"/>
      <c r="Q14" s="43"/>
      <c r="R14" s="43"/>
      <c r="S14" s="43"/>
      <c r="T14" s="43"/>
    </row>
    <row r="15" spans="1:20" s="37" customFormat="1">
      <c r="A15" s="67" t="s">
        <v>470</v>
      </c>
      <c r="B15" s="43"/>
      <c r="C15" s="43"/>
      <c r="D15" s="68">
        <v>1291832</v>
      </c>
      <c r="E15" s="43"/>
      <c r="F15" s="43"/>
      <c r="G15" s="43"/>
      <c r="H15" s="43"/>
      <c r="I15" s="43"/>
      <c r="J15" s="43"/>
      <c r="K15" s="43"/>
      <c r="L15" s="43"/>
      <c r="M15" s="43"/>
      <c r="N15" s="43"/>
      <c r="O15" s="43"/>
      <c r="P15" s="43"/>
      <c r="Q15" s="43"/>
      <c r="R15" s="43"/>
      <c r="S15" s="43"/>
      <c r="T15" s="43"/>
    </row>
    <row r="16" spans="1:20" s="37" customFormat="1">
      <c r="A16" s="67" t="s">
        <v>214</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471</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62</v>
      </c>
      <c r="B23" s="68">
        <v>-1540999</v>
      </c>
      <c r="C23" s="50">
        <f t="shared" ref="C23:N23" si="2">-(C43-B43)+C44</f>
        <v>-596442.81892857142</v>
      </c>
      <c r="D23" s="50">
        <f t="shared" si="2"/>
        <v>-522290.81892857142</v>
      </c>
      <c r="E23" s="50">
        <f t="shared" si="2"/>
        <v>-275096.81892857142</v>
      </c>
      <c r="F23" s="50">
        <f t="shared" si="2"/>
        <v>-531053.81892857142</v>
      </c>
      <c r="G23" s="50">
        <f t="shared" si="2"/>
        <v>1924884.2757142857</v>
      </c>
      <c r="H23" s="50">
        <f t="shared" si="2"/>
        <v>0</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216</v>
      </c>
      <c r="B24" s="68">
        <v>-1540999</v>
      </c>
      <c r="C24" s="136">
        <f t="shared" ref="C24:N24" si="3">SUM(C19:C23)</f>
        <v>-596442.81892857142</v>
      </c>
      <c r="D24" s="136">
        <f t="shared" si="3"/>
        <v>-522290.81892857142</v>
      </c>
      <c r="E24" s="136">
        <f t="shared" si="3"/>
        <v>-575096.81892857142</v>
      </c>
      <c r="F24" s="136">
        <f t="shared" si="3"/>
        <v>-531053.81892857142</v>
      </c>
      <c r="G24" s="136">
        <f t="shared" si="3"/>
        <v>1924884.2757142857</v>
      </c>
      <c r="H24" s="136">
        <f t="shared" si="3"/>
        <v>0</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463</v>
      </c>
      <c r="B26" s="140">
        <v>-1540999</v>
      </c>
      <c r="C26" s="141">
        <f t="shared" ref="C26:N26" si="4">C24+C16+C8</f>
        <v>-596442.81892857142</v>
      </c>
      <c r="D26" s="141">
        <f t="shared" si="4"/>
        <v>769541.18107142858</v>
      </c>
      <c r="E26" s="141">
        <f t="shared" si="4"/>
        <v>1124903.1810714286</v>
      </c>
      <c r="F26" s="141">
        <f t="shared" si="4"/>
        <v>-531053.81892857142</v>
      </c>
      <c r="G26" s="141">
        <f t="shared" si="4"/>
        <v>1924884.2757142857</v>
      </c>
      <c r="H26" s="141">
        <f t="shared" si="4"/>
        <v>0</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472</v>
      </c>
      <c r="B29" s="43"/>
      <c r="C29" s="43"/>
      <c r="D29" s="43"/>
      <c r="E29" s="43"/>
      <c r="F29" s="43"/>
      <c r="G29" s="43"/>
      <c r="H29" s="43"/>
      <c r="I29" s="43"/>
      <c r="J29" s="43"/>
      <c r="K29" s="43"/>
      <c r="L29" s="43"/>
      <c r="M29" s="43"/>
      <c r="N29" s="43"/>
      <c r="O29" s="67" t="s">
        <v>473</v>
      </c>
      <c r="P29" s="43"/>
      <c r="Q29" s="43"/>
      <c r="R29" s="43"/>
      <c r="S29" s="43"/>
      <c r="T29" s="43"/>
    </row>
    <row r="30" spans="1:20" s="37" customFormat="1">
      <c r="A30" s="67" t="s">
        <v>108</v>
      </c>
      <c r="B30" s="43"/>
      <c r="C30" s="43"/>
      <c r="D30" s="43"/>
      <c r="E30" s="43"/>
      <c r="F30" s="43"/>
      <c r="G30" s="43"/>
      <c r="H30" s="43"/>
      <c r="I30" s="43"/>
      <c r="J30" s="43"/>
      <c r="K30" s="43"/>
      <c r="L30" s="43"/>
      <c r="M30" s="43"/>
      <c r="N30" s="43"/>
      <c r="O30" s="67" t="s">
        <v>474</v>
      </c>
      <c r="P30" s="43"/>
      <c r="Q30" s="43"/>
      <c r="R30" s="43"/>
      <c r="S30" s="43"/>
      <c r="T30" s="43"/>
    </row>
    <row r="31" spans="1:20" s="37" customFormat="1">
      <c r="A31" s="67" t="s">
        <v>109</v>
      </c>
      <c r="B31" s="186"/>
      <c r="C31" s="186"/>
      <c r="D31" s="186"/>
      <c r="E31" s="186"/>
      <c r="F31" s="186"/>
      <c r="G31" s="186"/>
      <c r="H31" s="186"/>
      <c r="I31" s="186"/>
      <c r="J31" s="186"/>
      <c r="K31" s="140">
        <v>12500000</v>
      </c>
      <c r="L31" s="141">
        <f>+AVERAGE(M31,K31)</f>
        <v>18750000</v>
      </c>
      <c r="M31" s="140">
        <v>25000000</v>
      </c>
      <c r="N31" s="140">
        <v>45000000</v>
      </c>
      <c r="O31" s="67" t="s">
        <v>50</v>
      </c>
      <c r="P31" s="43"/>
      <c r="Q31" s="43"/>
      <c r="R31" s="43"/>
      <c r="S31" s="43"/>
      <c r="T31" s="43"/>
    </row>
    <row r="32" spans="1:20" s="37" customFormat="1">
      <c r="A32" s="67" t="s">
        <v>475</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476</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52</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477</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63</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732" t="s">
        <v>478</v>
      </c>
      <c r="B43" s="50">
        <f>registry!B104</f>
        <v>1540999</v>
      </c>
      <c r="C43" s="50">
        <f>registry!C104</f>
        <v>2137441.8189285714</v>
      </c>
      <c r="D43" s="50">
        <f>registry!D104</f>
        <v>2659732.6378571428</v>
      </c>
      <c r="E43" s="50">
        <f>registry!E104</f>
        <v>2934829.4567857143</v>
      </c>
      <c r="F43" s="50">
        <f>registry!F104</f>
        <v>1924884.2757142857</v>
      </c>
      <c r="G43" s="50">
        <f>registry!G104</f>
        <v>0</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730" customFormat="1">
      <c r="A44" s="731" t="s">
        <v>479</v>
      </c>
      <c r="B44" s="728">
        <v>0</v>
      </c>
      <c r="C44" s="728">
        <v>0</v>
      </c>
      <c r="D44" s="728">
        <v>0</v>
      </c>
      <c r="E44" s="728">
        <v>0</v>
      </c>
      <c r="F44" s="728">
        <v>-1540999</v>
      </c>
      <c r="G44" s="728">
        <v>0</v>
      </c>
      <c r="H44" s="728">
        <v>0</v>
      </c>
      <c r="I44" s="728">
        <v>0</v>
      </c>
      <c r="J44" s="728">
        <v>0</v>
      </c>
      <c r="K44" s="728">
        <v>0</v>
      </c>
      <c r="L44" s="728">
        <v>0</v>
      </c>
      <c r="M44" s="728">
        <v>0</v>
      </c>
      <c r="N44" s="728">
        <v>0</v>
      </c>
      <c r="O44" s="729"/>
      <c r="P44" s="729"/>
      <c r="Q44" s="729"/>
      <c r="R44" s="729"/>
      <c r="S44" s="729"/>
      <c r="T44" s="729"/>
    </row>
    <row r="45" spans="1:20" s="37" customFormat="1">
      <c r="A45" s="67" t="s">
        <v>64</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480</v>
      </c>
      <c r="B46" s="140">
        <v>3570254</v>
      </c>
      <c r="C46" s="191">
        <f t="shared" ref="C46:N46" si="8">SUM(C39:C45)</f>
        <v>4318174.1939285714</v>
      </c>
      <c r="D46" s="191">
        <f t="shared" si="8"/>
        <v>6116942.3878571428</v>
      </c>
      <c r="E46" s="191">
        <f t="shared" si="8"/>
        <v>4951761.5817857143</v>
      </c>
      <c r="F46" s="191">
        <f t="shared" si="8"/>
        <v>2784794.7757142857</v>
      </c>
      <c r="G46" s="191">
        <f t="shared" si="8"/>
        <v>3150708.9751250003</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481</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482</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483</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484</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50</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485</v>
      </c>
      <c r="B53" s="50">
        <f t="shared" ref="B53:N53" si="12">B52-B43</f>
        <v>8783256</v>
      </c>
      <c r="C53" s="50">
        <f t="shared" si="12"/>
        <v>1001368.3060714286</v>
      </c>
      <c r="D53" s="50">
        <f t="shared" si="12"/>
        <v>318632.61214285716</v>
      </c>
      <c r="E53" s="50">
        <f t="shared" si="12"/>
        <v>745590.91821428575</v>
      </c>
      <c r="F53" s="50">
        <f t="shared" si="12"/>
        <v>2363941.2242857143</v>
      </c>
      <c r="G53" s="50">
        <f t="shared" si="12"/>
        <v>4294414.2973749992</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486</v>
      </c>
      <c r="B54" s="54">
        <f t="shared" ref="B54:N54" si="13">B43/B52</f>
        <v>0.14926006767558531</v>
      </c>
      <c r="C54" s="54">
        <f t="shared" si="13"/>
        <v>0.68097200334109775</v>
      </c>
      <c r="D54" s="54">
        <f t="shared" si="13"/>
        <v>0.89301761691489745</v>
      </c>
      <c r="E54" s="54">
        <f t="shared" si="13"/>
        <v>0.79741691376374746</v>
      </c>
      <c r="F54" s="54">
        <f t="shared" si="13"/>
        <v>0.44881384792043549</v>
      </c>
      <c r="G54" s="54">
        <f t="shared" si="13"/>
        <v>0</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487</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92</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488</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489</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490</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491</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492</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493</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494</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495</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496</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181</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497</v>
      </c>
      <c r="B2" s="275" t="s">
        <v>92</v>
      </c>
      <c r="C2" s="275" t="s">
        <v>93</v>
      </c>
      <c r="D2" s="275" t="s">
        <v>94</v>
      </c>
      <c r="E2" s="275" t="s">
        <v>95</v>
      </c>
      <c r="F2" s="275" t="s">
        <v>92</v>
      </c>
      <c r="G2" s="275" t="s">
        <v>93</v>
      </c>
      <c r="H2" s="275" t="s">
        <v>94</v>
      </c>
      <c r="I2" s="275" t="s">
        <v>95</v>
      </c>
      <c r="J2" s="275" t="s">
        <v>92</v>
      </c>
      <c r="K2" s="275" t="s">
        <v>92</v>
      </c>
      <c r="L2" s="275" t="s">
        <v>92</v>
      </c>
      <c r="M2" s="275" t="s">
        <v>92</v>
      </c>
      <c r="N2" s="275" t="s">
        <v>92</v>
      </c>
      <c r="O2" s="50"/>
      <c r="P2" s="43"/>
      <c r="Q2" s="43"/>
      <c r="R2" s="43"/>
      <c r="S2" s="43"/>
      <c r="T2" s="43"/>
      <c r="U2" s="43"/>
    </row>
    <row r="3" spans="1:21" ht="18.649999999999999" customHeight="1" thickBot="1">
      <c r="A3" s="278" t="s">
        <v>498</v>
      </c>
      <c r="B3" s="50"/>
      <c r="C3" s="51"/>
      <c r="D3" s="51"/>
      <c r="E3" s="51"/>
      <c r="F3" s="52"/>
      <c r="G3" s="53"/>
      <c r="H3" s="53"/>
      <c r="I3" s="53"/>
      <c r="J3" s="53"/>
      <c r="K3" s="53"/>
      <c r="L3" s="53"/>
      <c r="M3" s="50"/>
      <c r="N3" s="279">
        <f>+N4/SUM(C4:F4)</f>
        <v>1.7156524256088908</v>
      </c>
      <c r="O3" s="50"/>
      <c r="P3" s="62"/>
      <c r="Q3" s="62"/>
      <c r="R3" s="43"/>
      <c r="S3" s="280"/>
      <c r="T3" s="43"/>
      <c r="U3" s="43"/>
    </row>
    <row r="4" spans="1:21">
      <c r="A4" s="56" t="s">
        <v>499</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500</v>
      </c>
      <c r="P4" s="69"/>
      <c r="Q4" s="111"/>
      <c r="R4" s="43"/>
      <c r="S4" s="59"/>
      <c r="T4" s="43"/>
      <c r="U4" s="43"/>
    </row>
    <row r="5" spans="1:21">
      <c r="A5" s="281" t="s">
        <v>501</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502</v>
      </c>
      <c r="B6" s="50"/>
      <c r="C6" s="50"/>
      <c r="D6" s="50"/>
      <c r="E6" s="50"/>
      <c r="F6" s="50"/>
      <c r="G6" s="50"/>
      <c r="H6" s="284"/>
      <c r="I6" s="287">
        <v>-1300000</v>
      </c>
      <c r="J6" s="284"/>
      <c r="K6" s="287">
        <v>-2550000</v>
      </c>
      <c r="L6" s="284"/>
      <c r="M6" s="284"/>
      <c r="N6" s="284"/>
      <c r="O6" s="284"/>
      <c r="P6" s="62"/>
      <c r="Q6" s="62"/>
      <c r="R6" s="176"/>
      <c r="S6" s="286"/>
      <c r="T6" s="176"/>
      <c r="U6" s="176"/>
    </row>
    <row r="7" spans="1:21">
      <c r="A7" s="281" t="s">
        <v>503</v>
      </c>
      <c r="B7" s="50"/>
      <c r="C7" s="50"/>
      <c r="D7" s="50"/>
      <c r="E7" s="50"/>
      <c r="F7" s="50"/>
      <c r="G7" s="50"/>
      <c r="H7" s="284"/>
      <c r="I7" s="284"/>
      <c r="J7" s="284"/>
      <c r="K7" s="284"/>
      <c r="L7" s="284"/>
      <c r="M7" s="284"/>
      <c r="N7" s="284"/>
      <c r="O7" s="284"/>
      <c r="P7" s="62"/>
      <c r="Q7" s="62"/>
      <c r="R7" s="176"/>
      <c r="S7" s="176"/>
      <c r="T7" s="176"/>
      <c r="U7" s="176"/>
    </row>
    <row r="8" spans="1:21" s="2" customFormat="1">
      <c r="A8" s="46" t="s">
        <v>504</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505</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506</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507</v>
      </c>
      <c r="B11" s="50"/>
      <c r="C11" s="50"/>
      <c r="D11" s="50"/>
      <c r="E11" s="50"/>
      <c r="F11" s="50"/>
      <c r="G11" s="50"/>
      <c r="H11" s="50"/>
      <c r="I11" s="50"/>
      <c r="J11" s="50"/>
      <c r="K11" s="50"/>
      <c r="L11" s="50"/>
      <c r="M11" s="50"/>
      <c r="N11" s="50"/>
      <c r="O11" s="50"/>
      <c r="P11" s="62"/>
      <c r="Q11" s="43"/>
      <c r="R11" s="43"/>
      <c r="S11" s="43"/>
      <c r="T11" s="43"/>
      <c r="U11" s="43"/>
    </row>
    <row r="12" spans="1:21">
      <c r="A12" s="46" t="s">
        <v>508</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509</v>
      </c>
      <c r="B13" s="50"/>
      <c r="C13" s="68">
        <v>750000</v>
      </c>
      <c r="D13" s="50"/>
      <c r="E13" s="50"/>
      <c r="F13" s="50"/>
      <c r="G13" s="50"/>
      <c r="H13" s="50"/>
      <c r="I13" s="50"/>
      <c r="J13" s="50"/>
      <c r="K13" s="50"/>
      <c r="L13" s="50"/>
      <c r="M13" s="50"/>
      <c r="N13" s="50"/>
      <c r="O13" s="50"/>
      <c r="P13" s="62"/>
      <c r="Q13" s="43"/>
      <c r="R13" s="43"/>
      <c r="S13" s="43"/>
      <c r="T13" s="43"/>
      <c r="U13" s="43"/>
    </row>
    <row r="14" spans="1:21">
      <c r="A14" s="46" t="s">
        <v>510</v>
      </c>
      <c r="B14" s="50"/>
      <c r="C14" s="68">
        <v>2500000</v>
      </c>
      <c r="D14" s="50"/>
      <c r="E14" s="50"/>
      <c r="F14" s="50"/>
      <c r="G14" s="50"/>
      <c r="H14" s="50"/>
      <c r="I14" s="50"/>
      <c r="J14" s="50"/>
      <c r="K14" s="50"/>
      <c r="L14" s="50"/>
      <c r="M14" s="50"/>
      <c r="N14" s="50"/>
      <c r="O14" s="50"/>
      <c r="P14" s="62"/>
      <c r="Q14" s="43"/>
      <c r="R14" s="43"/>
      <c r="S14" s="43"/>
      <c r="T14" s="43"/>
      <c r="U14" s="43"/>
    </row>
    <row r="15" spans="1:21">
      <c r="A15" s="46" t="s">
        <v>511</v>
      </c>
      <c r="B15" s="50"/>
      <c r="C15" s="50"/>
      <c r="D15" s="50"/>
      <c r="E15" s="50"/>
      <c r="F15" s="50"/>
      <c r="G15" s="50"/>
      <c r="H15" s="50"/>
      <c r="I15" s="50"/>
      <c r="J15" s="50"/>
      <c r="K15" s="50"/>
      <c r="L15" s="50"/>
      <c r="M15" s="50"/>
      <c r="N15" s="50"/>
      <c r="O15" s="50"/>
      <c r="P15" s="62"/>
      <c r="Q15" s="43"/>
      <c r="R15" s="43"/>
      <c r="S15" s="43"/>
      <c r="T15" s="43"/>
      <c r="U15" s="43"/>
    </row>
    <row r="16" spans="1:21">
      <c r="A16" s="281" t="s">
        <v>512</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267</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513</v>
      </c>
      <c r="B18" s="50"/>
      <c r="C18" s="50"/>
      <c r="D18" s="50"/>
      <c r="E18" s="50"/>
      <c r="F18" s="50"/>
      <c r="G18" s="50"/>
      <c r="H18" s="50"/>
      <c r="I18" s="50"/>
      <c r="J18" s="50"/>
      <c r="K18" s="50"/>
      <c r="L18" s="50"/>
      <c r="M18" s="50"/>
      <c r="N18" s="50"/>
      <c r="O18" s="43"/>
      <c r="P18" s="62"/>
      <c r="Q18" s="62"/>
      <c r="R18" s="43"/>
      <c r="S18" s="43"/>
      <c r="T18" s="43"/>
      <c r="U18" s="43"/>
    </row>
    <row r="19" spans="1:21">
      <c r="A19" s="46" t="s">
        <v>514</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515</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516</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517</v>
      </c>
      <c r="B22" s="50"/>
      <c r="C22" s="50"/>
      <c r="D22" s="50"/>
      <c r="E22" s="50"/>
      <c r="F22" s="50"/>
      <c r="G22" s="50"/>
      <c r="H22" s="50"/>
      <c r="I22" s="50"/>
      <c r="J22" s="50"/>
      <c r="K22" s="50"/>
      <c r="L22" s="50"/>
      <c r="M22" s="50"/>
      <c r="N22" s="50"/>
      <c r="O22" s="50"/>
      <c r="P22" s="62"/>
      <c r="Q22" s="62"/>
      <c r="R22" s="43"/>
      <c r="S22" s="43"/>
      <c r="T22" s="43"/>
      <c r="U22" s="43"/>
    </row>
    <row r="23" spans="1:21">
      <c r="A23" s="46" t="s">
        <v>518</v>
      </c>
      <c r="B23" s="50"/>
      <c r="C23" s="50"/>
      <c r="D23" s="50"/>
      <c r="E23" s="50"/>
      <c r="F23" s="50"/>
      <c r="G23" s="50"/>
      <c r="H23" s="50"/>
      <c r="I23" s="50"/>
      <c r="J23" s="50"/>
      <c r="K23" s="50"/>
      <c r="L23" s="50"/>
      <c r="M23" s="68">
        <v>-2000000</v>
      </c>
      <c r="N23" s="50"/>
      <c r="O23" s="50"/>
      <c r="P23" s="62"/>
      <c r="Q23" s="62"/>
      <c r="R23" s="43"/>
      <c r="S23" s="43"/>
      <c r="T23" s="43"/>
      <c r="U23" s="43"/>
    </row>
    <row r="24" spans="1:21">
      <c r="A24" s="46" t="s">
        <v>519</v>
      </c>
      <c r="B24" s="50"/>
      <c r="C24" s="50"/>
      <c r="D24" s="50"/>
      <c r="E24" s="68">
        <v>-2390342</v>
      </c>
      <c r="F24" s="50"/>
      <c r="G24" s="50"/>
      <c r="H24" s="50"/>
      <c r="I24" s="50"/>
      <c r="J24" s="50"/>
      <c r="K24" s="50"/>
      <c r="L24" s="50"/>
      <c r="M24" s="50"/>
      <c r="N24" s="50"/>
      <c r="O24" s="50"/>
      <c r="P24" s="62"/>
      <c r="Q24" s="62"/>
      <c r="R24" s="43"/>
      <c r="S24" s="43"/>
      <c r="T24" s="43"/>
      <c r="U24" s="43"/>
    </row>
    <row r="25" spans="1:21">
      <c r="A25" s="101" t="s">
        <v>267</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463</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520</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521</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522</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523</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524</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525</v>
      </c>
      <c r="B36" s="68">
        <v>4575000</v>
      </c>
      <c r="C36" s="50"/>
      <c r="D36" s="50"/>
      <c r="E36" s="50"/>
      <c r="F36" s="50"/>
      <c r="G36" s="50"/>
      <c r="H36" s="50"/>
      <c r="I36" s="50"/>
      <c r="J36" s="50"/>
      <c r="K36" s="50"/>
      <c r="L36" s="50"/>
      <c r="M36" s="50"/>
      <c r="N36" s="50"/>
      <c r="O36" s="67" t="s">
        <v>526</v>
      </c>
      <c r="P36" s="62"/>
      <c r="Q36" s="62"/>
      <c r="R36" s="43"/>
      <c r="S36" s="43"/>
      <c r="T36" s="43"/>
      <c r="U36" s="43"/>
    </row>
    <row r="37" spans="1:21" ht="14.65" customHeight="1" thickBot="1">
      <c r="A37" s="56" t="s">
        <v>527</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528</v>
      </c>
      <c r="Q37" s="77">
        <v>0.03</v>
      </c>
      <c r="R37" s="43"/>
      <c r="S37" s="43"/>
      <c r="T37" s="43"/>
      <c r="U37" s="43"/>
    </row>
    <row r="38" spans="1:21">
      <c r="A38" s="56" t="s">
        <v>529</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530</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531</v>
      </c>
      <c r="B40" s="50"/>
      <c r="C40" s="50"/>
      <c r="D40" s="50"/>
      <c r="E40" s="50"/>
      <c r="F40" s="50"/>
      <c r="G40" s="50"/>
      <c r="H40" s="50"/>
      <c r="I40" s="50"/>
      <c r="J40" s="50"/>
      <c r="K40" s="50"/>
      <c r="L40" s="50"/>
      <c r="M40" s="50"/>
      <c r="N40" s="50"/>
      <c r="O40" s="50"/>
      <c r="P40" s="62"/>
      <c r="Q40" s="62"/>
      <c r="R40" s="176"/>
      <c r="S40" s="121"/>
      <c r="T40" s="175"/>
      <c r="U40" s="175"/>
    </row>
    <row r="41" spans="1:21">
      <c r="A41" s="56" t="s">
        <v>532</v>
      </c>
      <c r="B41" s="50"/>
      <c r="C41" s="50"/>
      <c r="D41" s="50"/>
      <c r="E41" s="50"/>
      <c r="F41" s="50"/>
      <c r="G41" s="50"/>
      <c r="H41" s="50"/>
      <c r="I41" s="50"/>
      <c r="J41" s="50"/>
      <c r="K41" s="50"/>
      <c r="L41" s="50"/>
      <c r="M41" s="50"/>
      <c r="N41" s="50"/>
      <c r="O41" s="50"/>
      <c r="P41" s="62"/>
      <c r="Q41" s="62"/>
      <c r="R41" s="176"/>
      <c r="S41" s="121"/>
      <c r="T41" s="175"/>
      <c r="U41" s="175"/>
    </row>
    <row r="42" spans="1:21">
      <c r="A42" s="56" t="s">
        <v>533</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534</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535</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536</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537</v>
      </c>
      <c r="B47" s="50"/>
      <c r="C47" s="50"/>
      <c r="D47" s="50"/>
      <c r="E47" s="50"/>
      <c r="F47" s="50"/>
      <c r="G47" s="50"/>
      <c r="H47" s="50"/>
      <c r="I47" s="50"/>
      <c r="J47" s="50"/>
      <c r="K47" s="50"/>
      <c r="L47" s="50"/>
      <c r="M47" s="50"/>
      <c r="N47" s="50"/>
      <c r="O47" s="50"/>
      <c r="P47" s="62"/>
      <c r="Q47" s="62"/>
      <c r="R47" s="43"/>
      <c r="S47" s="43"/>
      <c r="T47" s="43"/>
      <c r="U47" s="43"/>
    </row>
    <row r="48" spans="1:21">
      <c r="A48" s="281" t="s">
        <v>538</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539</v>
      </c>
      <c r="P48" s="293">
        <v>8.7499999999999994E-2</v>
      </c>
      <c r="Q48" s="62"/>
      <c r="R48" s="43"/>
      <c r="S48" s="43"/>
      <c r="T48" s="43"/>
      <c r="U48" s="43"/>
    </row>
    <row r="49" spans="1:21">
      <c r="A49" s="281" t="s">
        <v>540</v>
      </c>
      <c r="B49" s="284"/>
      <c r="C49" s="284"/>
      <c r="D49" s="50"/>
      <c r="E49" s="284"/>
      <c r="F49" s="284"/>
      <c r="G49" s="284"/>
      <c r="H49" s="284"/>
      <c r="I49" s="284"/>
      <c r="J49" s="284"/>
      <c r="K49" s="284"/>
      <c r="L49" s="284"/>
      <c r="M49" s="287">
        <v>-69000000</v>
      </c>
      <c r="N49" s="284">
        <f>+M49</f>
        <v>-69000000</v>
      </c>
      <c r="O49" s="292" t="s">
        <v>541</v>
      </c>
      <c r="P49" s="77">
        <v>0.08</v>
      </c>
      <c r="Q49" s="62"/>
      <c r="R49" s="43"/>
      <c r="S49" s="43"/>
      <c r="T49" s="43"/>
      <c r="U49" s="43"/>
    </row>
    <row r="50" spans="1:21">
      <c r="A50" s="281" t="s">
        <v>542</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543</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544</v>
      </c>
      <c r="B52" s="50"/>
      <c r="C52" s="50"/>
      <c r="D52" s="50"/>
      <c r="E52" s="50"/>
      <c r="F52" s="50"/>
      <c r="G52" s="50">
        <f>+F52</f>
        <v>0</v>
      </c>
      <c r="H52" s="50"/>
      <c r="I52" s="50"/>
      <c r="J52" s="50"/>
      <c r="K52" s="50"/>
      <c r="L52" s="50"/>
      <c r="M52" s="50"/>
      <c r="N52" s="50"/>
      <c r="O52" s="50"/>
      <c r="P52" s="62"/>
      <c r="Q52" s="62"/>
      <c r="R52" s="43"/>
      <c r="S52" s="43"/>
      <c r="T52" s="43"/>
      <c r="U52" s="43"/>
    </row>
    <row r="53" spans="1:21">
      <c r="A53" s="281" t="s">
        <v>545</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546</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547</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548</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549</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550</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551</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552</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553</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554</v>
      </c>
      <c r="C65" s="229"/>
      <c r="D65" s="300"/>
      <c r="E65" s="300"/>
      <c r="F65" s="43"/>
      <c r="G65" s="202" t="s">
        <v>555</v>
      </c>
      <c r="H65" s="229"/>
      <c r="I65" s="43"/>
      <c r="J65" s="43"/>
      <c r="K65" s="43"/>
      <c r="L65" s="43"/>
      <c r="M65" s="43"/>
      <c r="N65" s="43"/>
      <c r="O65" s="43"/>
      <c r="P65" s="43"/>
      <c r="Q65" s="43"/>
      <c r="R65" s="43"/>
      <c r="S65" s="62"/>
      <c r="T65" s="62"/>
      <c r="U65" s="43"/>
    </row>
    <row r="66" spans="1:21" ht="15.65" customHeight="1">
      <c r="A66" s="229"/>
      <c r="B66" s="202" t="s">
        <v>556</v>
      </c>
      <c r="C66" s="208">
        <v>0.12</v>
      </c>
      <c r="D66" s="229"/>
      <c r="E66" s="229"/>
      <c r="F66" s="43"/>
      <c r="G66" s="202" t="s">
        <v>556</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557</v>
      </c>
      <c r="H67" s="255">
        <v>3062884</v>
      </c>
      <c r="I67" s="43"/>
      <c r="J67" s="43"/>
      <c r="K67" s="43"/>
      <c r="L67" s="43"/>
      <c r="M67" s="43"/>
      <c r="N67" s="43"/>
      <c r="O67" s="43"/>
      <c r="P67" s="43"/>
      <c r="Q67" s="43"/>
      <c r="R67" s="43"/>
      <c r="S67" s="62"/>
      <c r="T67" s="62"/>
      <c r="U67" s="43"/>
    </row>
    <row r="68" spans="1:21" ht="15.65" customHeight="1">
      <c r="A68" s="229"/>
      <c r="B68" s="202" t="s">
        <v>558</v>
      </c>
      <c r="C68" s="302">
        <v>1000000</v>
      </c>
      <c r="D68" s="300">
        <f>C68</f>
        <v>1000000</v>
      </c>
      <c r="E68" s="229"/>
      <c r="F68" s="43"/>
      <c r="G68" s="202" t="s">
        <v>559</v>
      </c>
      <c r="H68" s="244">
        <f>+H67*H66</f>
        <v>347127.99999999994</v>
      </c>
      <c r="I68" s="43"/>
      <c r="J68" s="43"/>
      <c r="K68" s="43"/>
      <c r="L68" s="43"/>
      <c r="M68" s="43"/>
      <c r="N68" s="43"/>
      <c r="O68" s="43"/>
      <c r="P68" s="43"/>
      <c r="Q68" s="43"/>
      <c r="R68" s="43"/>
      <c r="S68" s="62"/>
      <c r="T68" s="62"/>
      <c r="U68" s="43"/>
    </row>
    <row r="69" spans="1:21" ht="15.65" customHeight="1">
      <c r="A69" s="229"/>
      <c r="B69" s="202" t="s">
        <v>560</v>
      </c>
      <c r="C69" s="303">
        <f>+C68*12%</f>
        <v>120000</v>
      </c>
      <c r="D69" s="229"/>
      <c r="E69" s="229"/>
      <c r="F69" s="43"/>
      <c r="G69" s="202" t="s">
        <v>561</v>
      </c>
      <c r="H69" s="244">
        <f>-H68</f>
        <v>-347127.99999999994</v>
      </c>
      <c r="I69" s="43"/>
      <c r="J69" s="43"/>
      <c r="K69" s="43"/>
      <c r="L69" s="43"/>
      <c r="M69" s="43"/>
      <c r="N69" s="43"/>
      <c r="O69" s="43"/>
      <c r="P69" s="43"/>
      <c r="Q69" s="43"/>
      <c r="R69" s="43"/>
      <c r="S69" s="62"/>
      <c r="T69" s="62"/>
      <c r="U69" s="43"/>
    </row>
    <row r="70" spans="1:21" ht="15.65" customHeight="1">
      <c r="A70" s="229"/>
      <c r="B70" s="202" t="s">
        <v>562</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562</v>
      </c>
      <c r="C72" s="303">
        <f>-20000*B75*12</f>
        <v>-180164.38356164383</v>
      </c>
      <c r="D72" s="300">
        <f>C72</f>
        <v>-180164.38356164383</v>
      </c>
      <c r="E72" s="229"/>
      <c r="F72" s="43"/>
      <c r="G72" s="202" t="s">
        <v>563</v>
      </c>
      <c r="H72" s="95" t="s">
        <v>564</v>
      </c>
      <c r="I72" s="43"/>
      <c r="J72" s="95" t="s">
        <v>564</v>
      </c>
      <c r="K72" s="43"/>
      <c r="L72" s="43"/>
      <c r="M72" s="43"/>
      <c r="N72" s="43"/>
      <c r="O72" s="43"/>
      <c r="P72" s="43"/>
      <c r="Q72" s="43"/>
      <c r="R72" s="43"/>
      <c r="S72" s="43"/>
      <c r="T72" s="43"/>
      <c r="U72" s="43"/>
    </row>
    <row r="73" spans="1:21" ht="15.65" customHeight="1">
      <c r="A73" s="229"/>
      <c r="B73" s="305" t="s">
        <v>560</v>
      </c>
      <c r="C73" s="303">
        <f>C71*B75*12%</f>
        <v>79272.328767123297</v>
      </c>
      <c r="D73" s="229"/>
      <c r="E73" s="306" t="s">
        <v>565</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566</v>
      </c>
      <c r="C78" s="300">
        <f>+C74</f>
        <v>779107.94520547951</v>
      </c>
      <c r="D78" s="314">
        <f>D74</f>
        <v>579835.61643835623</v>
      </c>
      <c r="E78" s="314"/>
      <c r="F78" s="43"/>
      <c r="G78" s="46" t="s">
        <v>567</v>
      </c>
      <c r="H78" s="95" t="s">
        <v>564</v>
      </c>
      <c r="I78" s="43"/>
      <c r="J78" s="95" t="s">
        <v>564</v>
      </c>
      <c r="K78" s="43"/>
      <c r="L78" s="43"/>
      <c r="M78" s="43"/>
      <c r="N78" s="43"/>
      <c r="O78" s="43"/>
      <c r="P78" s="43"/>
      <c r="Q78" s="43"/>
      <c r="R78" s="43"/>
      <c r="S78" s="43"/>
      <c r="T78" s="43"/>
      <c r="U78" s="43"/>
    </row>
    <row r="79" spans="1:21" ht="15.65" customHeight="1">
      <c r="A79" s="229"/>
      <c r="B79" s="202" t="s">
        <v>560</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562</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568</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569</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570</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45</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562</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560</v>
      </c>
      <c r="C88" s="302">
        <v>121474.62838356161</v>
      </c>
      <c r="D88" s="229"/>
      <c r="E88" s="306" t="s">
        <v>571</v>
      </c>
      <c r="F88" s="43"/>
      <c r="G88" s="43"/>
      <c r="H88" s="43"/>
      <c r="I88" s="43"/>
      <c r="J88" s="43"/>
      <c r="K88" s="43"/>
      <c r="L88" s="43"/>
      <c r="M88" s="43"/>
      <c r="N88" s="43"/>
      <c r="O88" s="43"/>
      <c r="P88" s="43"/>
      <c r="Q88" s="43"/>
      <c r="R88" s="43"/>
      <c r="S88" s="43"/>
      <c r="T88" s="43"/>
      <c r="U88" s="43"/>
    </row>
    <row r="89" spans="1:21" ht="15.65" customHeight="1">
      <c r="A89" s="210">
        <v>45657</v>
      </c>
      <c r="B89" s="202" t="s">
        <v>572</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573</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574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575</v>
      </c>
      <c r="B2" s="275" t="s">
        <v>92</v>
      </c>
      <c r="C2" s="275" t="s">
        <v>93</v>
      </c>
      <c r="D2" s="275" t="s">
        <v>94</v>
      </c>
      <c r="E2" s="275" t="s">
        <v>95</v>
      </c>
      <c r="F2" s="275" t="s">
        <v>92</v>
      </c>
      <c r="G2" s="275" t="s">
        <v>93</v>
      </c>
      <c r="H2" s="275" t="s">
        <v>94</v>
      </c>
      <c r="I2" s="275" t="s">
        <v>95</v>
      </c>
      <c r="J2" s="275" t="s">
        <v>92</v>
      </c>
      <c r="K2" s="275" t="s">
        <v>92</v>
      </c>
      <c r="L2" s="275" t="s">
        <v>92</v>
      </c>
      <c r="M2" s="275" t="s">
        <v>92</v>
      </c>
      <c r="N2" s="275" t="s">
        <v>92</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576</v>
      </c>
      <c r="B4" s="50"/>
      <c r="C4" s="51"/>
      <c r="D4" s="51"/>
      <c r="E4" s="51"/>
      <c r="F4" s="51"/>
      <c r="G4" s="50"/>
      <c r="H4" s="50"/>
      <c r="I4" s="50"/>
      <c r="J4" s="50"/>
      <c r="K4" s="50"/>
      <c r="L4" s="50"/>
      <c r="M4" s="50"/>
      <c r="N4" s="50"/>
      <c r="O4" s="50"/>
      <c r="P4" s="43"/>
      <c r="Q4" s="43"/>
      <c r="R4" s="43"/>
      <c r="S4" s="43"/>
      <c r="T4" s="43"/>
      <c r="U4" s="43"/>
      <c r="V4" s="43"/>
      <c r="W4" s="43"/>
    </row>
    <row r="5" spans="1:23">
      <c r="A5" s="56" t="s">
        <v>577</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501</v>
      </c>
      <c r="B6" s="50"/>
      <c r="C6" s="51"/>
      <c r="D6" s="51"/>
      <c r="E6" s="51"/>
      <c r="F6" s="51"/>
      <c r="G6" s="50"/>
      <c r="H6" s="50"/>
      <c r="I6" s="50"/>
      <c r="J6" s="50"/>
      <c r="K6" s="50"/>
      <c r="L6" s="50"/>
      <c r="M6" s="50"/>
      <c r="N6" s="50"/>
      <c r="O6" s="50"/>
      <c r="P6" s="43"/>
      <c r="Q6" s="318"/>
      <c r="R6" s="43"/>
      <c r="S6" s="43"/>
      <c r="T6" s="43"/>
      <c r="U6" s="43"/>
      <c r="V6" s="43"/>
      <c r="W6" s="43"/>
    </row>
    <row r="7" spans="1:23">
      <c r="A7" s="46" t="s">
        <v>503</v>
      </c>
      <c r="B7" s="50"/>
      <c r="C7" s="51"/>
      <c r="D7" s="51"/>
      <c r="E7" s="51"/>
      <c r="F7" s="51"/>
      <c r="G7" s="50"/>
      <c r="H7" s="50"/>
      <c r="I7" s="50"/>
      <c r="J7" s="50"/>
      <c r="K7" s="50"/>
      <c r="L7" s="50"/>
      <c r="M7" s="50"/>
      <c r="N7" s="50"/>
      <c r="O7" s="50"/>
      <c r="P7" s="43"/>
      <c r="Q7" s="59"/>
      <c r="R7" s="43"/>
      <c r="S7" s="43"/>
      <c r="T7" s="43"/>
      <c r="U7" s="43"/>
      <c r="V7" s="43"/>
      <c r="W7" s="43"/>
    </row>
    <row r="8" spans="1:23">
      <c r="A8" s="46" t="s">
        <v>578</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579</v>
      </c>
      <c r="B9" s="50"/>
      <c r="C9" s="51"/>
      <c r="D9" s="51"/>
      <c r="E9" s="51"/>
      <c r="F9" s="51"/>
      <c r="G9" s="50"/>
      <c r="H9" s="68">
        <v>0</v>
      </c>
      <c r="I9" s="68">
        <v>0</v>
      </c>
      <c r="J9" s="50"/>
      <c r="K9" s="50"/>
      <c r="L9" s="50"/>
      <c r="M9" s="50"/>
      <c r="N9" s="50"/>
      <c r="O9" s="50"/>
      <c r="P9" s="43"/>
      <c r="Q9" s="43"/>
      <c r="R9" s="43"/>
      <c r="S9" s="43"/>
      <c r="T9" s="43"/>
      <c r="U9" s="43"/>
      <c r="V9" s="43"/>
      <c r="W9" s="43"/>
    </row>
    <row r="10" spans="1:23">
      <c r="A10" s="46" t="s">
        <v>506</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580</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581</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582</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583</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584</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214</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585</v>
      </c>
      <c r="B20" s="50"/>
      <c r="C20" s="50"/>
      <c r="D20" s="50"/>
      <c r="E20" s="50"/>
      <c r="F20" s="50"/>
      <c r="G20" s="67" t="s">
        <v>177</v>
      </c>
      <c r="H20" s="137">
        <f>13290000+SUM(G22:J22)</f>
        <v>0</v>
      </c>
      <c r="I20" s="50"/>
      <c r="J20" s="50"/>
      <c r="K20" s="50"/>
      <c r="L20" s="50"/>
      <c r="M20" s="50"/>
      <c r="N20" s="50"/>
      <c r="O20" s="50"/>
      <c r="P20" s="43"/>
      <c r="Q20" s="43"/>
      <c r="R20" s="43"/>
      <c r="S20" s="43"/>
      <c r="T20" s="43"/>
      <c r="U20" s="43"/>
      <c r="V20" s="43"/>
      <c r="W20" s="43"/>
    </row>
    <row r="21" spans="1:23">
      <c r="A21" s="46" t="s">
        <v>586</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587</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588</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216</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463</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521</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522</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523</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589</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590</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528</v>
      </c>
      <c r="Q33" s="294">
        <v>0.05</v>
      </c>
      <c r="R33" s="50"/>
      <c r="S33" s="50"/>
      <c r="T33" s="50"/>
      <c r="U33" s="50"/>
      <c r="V33" s="43"/>
      <c r="W33" s="43"/>
    </row>
    <row r="34" spans="1:23" ht="14.65" customHeight="1" thickBot="1">
      <c r="A34" s="56" t="s">
        <v>591</v>
      </c>
      <c r="B34" s="50"/>
      <c r="C34" s="68">
        <v>0</v>
      </c>
      <c r="D34" s="68">
        <v>0</v>
      </c>
      <c r="E34" s="68">
        <v>0</v>
      </c>
      <c r="F34" s="68">
        <v>0</v>
      </c>
      <c r="G34" s="68">
        <v>0</v>
      </c>
      <c r="H34" s="68">
        <v>0</v>
      </c>
      <c r="I34" s="68">
        <v>0</v>
      </c>
      <c r="J34" s="68">
        <v>0</v>
      </c>
      <c r="K34" s="68">
        <v>0</v>
      </c>
      <c r="L34" s="68">
        <v>0</v>
      </c>
      <c r="M34" s="68">
        <v>0</v>
      </c>
      <c r="N34" s="68">
        <v>0</v>
      </c>
      <c r="O34" s="50"/>
      <c r="P34" s="67" t="s">
        <v>592</v>
      </c>
      <c r="Q34" s="309">
        <v>47209</v>
      </c>
      <c r="R34" s="50"/>
      <c r="S34" s="50"/>
      <c r="T34" s="50"/>
      <c r="U34" s="50"/>
      <c r="V34" s="43"/>
      <c r="W34" s="43"/>
    </row>
    <row r="35" spans="1:23">
      <c r="A35" s="56" t="s">
        <v>593</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594</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595</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596</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597</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598</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599</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600</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601</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231</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537</v>
      </c>
      <c r="B47" s="50"/>
      <c r="C47" s="50"/>
      <c r="D47" s="50"/>
      <c r="E47" s="50"/>
      <c r="F47" s="50"/>
      <c r="G47" s="50"/>
      <c r="H47" s="50"/>
      <c r="I47" s="50"/>
      <c r="J47" s="50"/>
      <c r="K47" s="50"/>
      <c r="L47" s="50"/>
      <c r="M47" s="50"/>
      <c r="N47" s="279">
        <f>-N48/N45</f>
        <v>0.30150099900099903</v>
      </c>
      <c r="O47" s="67" t="s">
        <v>602</v>
      </c>
      <c r="P47" s="50"/>
      <c r="Q47" s="50"/>
      <c r="R47" s="50"/>
      <c r="S47" s="50"/>
      <c r="T47" s="50"/>
      <c r="U47" s="64"/>
      <c r="V47" s="43"/>
      <c r="W47" s="43"/>
    </row>
    <row r="48" spans="1:23">
      <c r="A48" s="56" t="s">
        <v>603</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604</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605</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547</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162</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606</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607</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608</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609</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610</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610</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551</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552</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611</v>
      </c>
      <c r="B66" s="330" t="s">
        <v>92</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612</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613</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614</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615</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616</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617</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618</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619</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620</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621</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622</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623</v>
      </c>
      <c r="B2" s="334"/>
      <c r="C2" s="334"/>
      <c r="D2" s="334"/>
      <c r="E2" s="275" t="s">
        <v>92</v>
      </c>
      <c r="F2" s="275" t="s">
        <v>93</v>
      </c>
      <c r="G2" s="275" t="s">
        <v>94</v>
      </c>
      <c r="H2" s="275" t="s">
        <v>95</v>
      </c>
      <c r="I2" s="275" t="s">
        <v>92</v>
      </c>
      <c r="J2" s="275" t="s">
        <v>93</v>
      </c>
      <c r="K2" s="275" t="s">
        <v>94</v>
      </c>
      <c r="L2" s="275" t="s">
        <v>95</v>
      </c>
      <c r="M2" s="275" t="s">
        <v>92</v>
      </c>
      <c r="N2" s="275" t="s">
        <v>92</v>
      </c>
      <c r="O2" s="275" t="s">
        <v>92</v>
      </c>
      <c r="P2" s="275" t="s">
        <v>92</v>
      </c>
      <c r="Q2" s="275" t="s">
        <v>92</v>
      </c>
      <c r="R2" s="50"/>
      <c r="S2" s="43"/>
      <c r="T2" s="43"/>
      <c r="U2" s="43"/>
      <c r="V2" s="43"/>
      <c r="W2" s="43"/>
      <c r="X2" s="43"/>
      <c r="Y2" s="43"/>
      <c r="Z2" s="43"/>
      <c r="AA2" s="43"/>
      <c r="AB2" s="43"/>
      <c r="AC2" s="43"/>
      <c r="AD2" s="43"/>
      <c r="AE2" s="43"/>
    </row>
    <row r="3" spans="1:31" ht="14.65" customHeight="1" thickBot="1">
      <c r="A3" s="46" t="s">
        <v>498</v>
      </c>
      <c r="B3" s="43"/>
      <c r="C3" s="43"/>
      <c r="D3" s="43"/>
      <c r="E3" s="50"/>
      <c r="F3" s="51"/>
      <c r="G3" s="51"/>
      <c r="H3" s="51"/>
      <c r="I3" s="51"/>
      <c r="J3" s="50"/>
      <c r="K3" s="50"/>
      <c r="L3" s="50"/>
      <c r="M3" s="335" t="s">
        <v>624</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577</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625</v>
      </c>
      <c r="S4" s="69"/>
      <c r="T4" s="62"/>
      <c r="U4" s="43"/>
      <c r="V4" s="59"/>
      <c r="W4" s="43"/>
      <c r="X4" s="43"/>
      <c r="Y4" s="43"/>
      <c r="Z4" s="43"/>
      <c r="AA4" s="43"/>
      <c r="AB4" s="43"/>
      <c r="AC4" s="43"/>
      <c r="AD4" s="43"/>
      <c r="AE4" s="43"/>
    </row>
    <row r="5" spans="1:31">
      <c r="A5" s="56" t="s">
        <v>626</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501</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503</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578</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579</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506</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580</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581</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465</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508</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627</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628</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629</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267</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471</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630</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631</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632</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633</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634</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635</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636</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463</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521</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522</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523</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589</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637</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638</v>
      </c>
      <c r="S37" s="62"/>
      <c r="T37" s="62"/>
      <c r="U37" s="64"/>
      <c r="V37" s="280"/>
      <c r="W37" s="43"/>
      <c r="X37" s="43"/>
      <c r="Y37" s="43"/>
      <c r="Z37" s="43"/>
      <c r="AA37" s="43"/>
      <c r="AB37" s="43"/>
      <c r="AC37" s="43"/>
      <c r="AD37" s="43"/>
      <c r="AE37" s="43"/>
    </row>
    <row r="38" spans="1:31">
      <c r="A38" s="46" t="s">
        <v>639</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640</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641</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642</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643</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644</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528</v>
      </c>
      <c r="T44" s="78">
        <v>0.03</v>
      </c>
      <c r="U44" s="64"/>
      <c r="V44" s="55"/>
      <c r="W44" s="55"/>
      <c r="X44" s="59"/>
      <c r="Y44" s="59"/>
      <c r="Z44" s="59"/>
      <c r="AA44" s="59"/>
      <c r="AB44" s="59"/>
      <c r="AC44" s="59"/>
      <c r="AD44" s="43"/>
      <c r="AE44" s="43"/>
    </row>
    <row r="45" spans="1:31" ht="14.65" customHeight="1" thickBot="1">
      <c r="A45" s="56" t="s">
        <v>645</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646</v>
      </c>
      <c r="T45" s="78">
        <v>0.03</v>
      </c>
      <c r="U45" s="43"/>
      <c r="V45" s="59"/>
      <c r="W45" s="43"/>
      <c r="X45" s="43"/>
      <c r="Y45" s="43"/>
      <c r="Z45" s="43"/>
      <c r="AA45" s="43"/>
      <c r="AB45" s="43"/>
      <c r="AC45" s="43"/>
      <c r="AD45" s="43"/>
      <c r="AE45" s="43"/>
    </row>
    <row r="46" spans="1:31">
      <c r="A46" s="56" t="s">
        <v>647</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648</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649</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650</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651</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652</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653</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537</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654</v>
      </c>
      <c r="S56" s="62"/>
      <c r="T56" s="62"/>
      <c r="U56" s="43"/>
      <c r="V56" s="43"/>
      <c r="W56" s="43"/>
      <c r="X56" s="43"/>
      <c r="Y56" s="59"/>
      <c r="Z56" s="43"/>
      <c r="AA56" s="43"/>
      <c r="AB56" s="43"/>
      <c r="AC56" s="43"/>
      <c r="AD56" s="43"/>
      <c r="AE56" s="43"/>
    </row>
    <row r="57" spans="1:31">
      <c r="A57" s="281" t="s">
        <v>538</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655</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656</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657</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658</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659</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544</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660</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661</v>
      </c>
      <c r="T64" s="78">
        <v>0.15</v>
      </c>
      <c r="U64" s="43"/>
      <c r="V64" s="50"/>
      <c r="W64" s="50"/>
      <c r="X64" s="50"/>
      <c r="Y64" s="50"/>
      <c r="Z64" s="50"/>
      <c r="AA64" s="344"/>
      <c r="AB64" s="50"/>
      <c r="AC64" s="50"/>
      <c r="AD64" s="55"/>
      <c r="AE64" s="344"/>
    </row>
    <row r="65" spans="1:31">
      <c r="A65" s="46" t="s">
        <v>547</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662</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269</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663</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664</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665</v>
      </c>
      <c r="T70" s="78">
        <v>0.14000000000000001</v>
      </c>
      <c r="U70" s="43"/>
      <c r="V70" s="59"/>
      <c r="W70" s="43"/>
      <c r="X70" s="43"/>
      <c r="Y70" s="43"/>
      <c r="Z70" s="43"/>
      <c r="AA70" s="43"/>
      <c r="AB70" s="43"/>
      <c r="AC70" s="43"/>
      <c r="AD70" s="43"/>
      <c r="AE70" s="43"/>
    </row>
    <row r="71" spans="1:31">
      <c r="A71" s="101" t="s">
        <v>666</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667</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668</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669</v>
      </c>
      <c r="T75" s="78">
        <v>0.2</v>
      </c>
      <c r="U75" s="43"/>
      <c r="V75" s="59"/>
      <c r="W75" s="43"/>
      <c r="X75" s="43"/>
      <c r="Y75" s="43"/>
      <c r="Z75" s="43"/>
      <c r="AA75" s="43"/>
      <c r="AB75" s="43"/>
      <c r="AC75" s="43"/>
      <c r="AD75" s="43"/>
      <c r="AE75" s="43"/>
    </row>
    <row r="76" spans="1:31">
      <c r="A76" s="101" t="s">
        <v>670</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671</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672</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673</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674</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675</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676</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677</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678</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246</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551</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552</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679</v>
      </c>
      <c r="N90" s="363">
        <f>SUM(N97:N100)</f>
        <v>10847000</v>
      </c>
      <c r="O90" s="364">
        <f>+N90*(1+$B$105)^((N93-D92)/365)</f>
        <v>24292992.068343677</v>
      </c>
      <c r="P90" s="46" t="s">
        <v>680</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681</v>
      </c>
      <c r="Q91" s="43"/>
      <c r="R91" s="43"/>
      <c r="S91" s="43"/>
      <c r="T91" s="43"/>
      <c r="U91" s="43"/>
      <c r="V91" s="43"/>
      <c r="W91" s="43"/>
      <c r="X91" s="43"/>
      <c r="Y91" s="43"/>
      <c r="Z91" s="43"/>
      <c r="AA91" s="43"/>
      <c r="AB91" s="43"/>
      <c r="AC91" s="43"/>
      <c r="AD91" s="43"/>
      <c r="AE91" s="43"/>
    </row>
    <row r="92" spans="1:31" ht="14.65" customHeight="1" thickBot="1">
      <c r="A92" s="43"/>
      <c r="B92" s="43"/>
      <c r="C92" s="101" t="s">
        <v>682</v>
      </c>
      <c r="D92" s="366">
        <v>45638</v>
      </c>
      <c r="E92" s="55"/>
      <c r="F92" s="55"/>
      <c r="G92" s="55"/>
      <c r="H92" s="55"/>
      <c r="I92" s="43"/>
      <c r="J92" s="43"/>
      <c r="K92" s="43"/>
      <c r="L92" s="43"/>
      <c r="M92" s="43"/>
      <c r="N92" s="43"/>
      <c r="O92" s="367" t="s">
        <v>683</v>
      </c>
      <c r="P92" s="46" t="s">
        <v>684</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685</v>
      </c>
      <c r="B94" s="43"/>
      <c r="C94" s="46" t="s">
        <v>686</v>
      </c>
      <c r="D94" s="62"/>
      <c r="E94" s="96" t="s">
        <v>93</v>
      </c>
      <c r="F94" s="96" t="s">
        <v>94</v>
      </c>
      <c r="G94" s="96" t="s">
        <v>95</v>
      </c>
      <c r="H94" s="96" t="s">
        <v>92</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687</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688</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689</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690</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691</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692</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693</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694</v>
      </c>
      <c r="R102" s="43"/>
      <c r="S102" s="43"/>
      <c r="T102" s="43"/>
      <c r="U102" s="43"/>
      <c r="V102" s="43"/>
      <c r="W102" s="43"/>
      <c r="X102" s="43"/>
      <c r="Y102" s="43"/>
      <c r="Z102" s="43"/>
      <c r="AA102" s="43"/>
      <c r="AB102" s="43"/>
      <c r="AC102" s="43"/>
      <c r="AD102" s="43"/>
      <c r="AE102" s="43"/>
    </row>
    <row r="103" spans="1:31">
      <c r="A103" s="46" t="s">
        <v>560</v>
      </c>
      <c r="B103" s="43"/>
      <c r="C103" s="76"/>
      <c r="D103" s="320"/>
      <c r="E103" s="320"/>
      <c r="F103" s="320"/>
      <c r="G103" s="320"/>
      <c r="H103" s="320"/>
      <c r="I103" s="320"/>
      <c r="J103" s="320"/>
      <c r="K103" s="320"/>
      <c r="L103" s="320"/>
      <c r="M103" s="320"/>
      <c r="N103" s="368">
        <f>+O55-(O64*(1+$T$64))</f>
        <v>-9186160.9081607126</v>
      </c>
      <c r="O103" s="320"/>
      <c r="P103" s="320"/>
      <c r="Q103" s="46" t="s">
        <v>695</v>
      </c>
      <c r="R103" s="43"/>
      <c r="S103" s="43"/>
      <c r="T103" s="43"/>
      <c r="U103" s="43"/>
      <c r="V103" s="43"/>
      <c r="W103" s="43"/>
      <c r="X103" s="43"/>
      <c r="Y103" s="43"/>
      <c r="Z103" s="43"/>
      <c r="AA103" s="43"/>
      <c r="AB103" s="43"/>
      <c r="AC103" s="43"/>
      <c r="AD103" s="43"/>
      <c r="AE103" s="43"/>
    </row>
    <row r="104" spans="1:31">
      <c r="A104" s="371" t="s">
        <v>696</v>
      </c>
      <c r="B104" s="307">
        <v>46732</v>
      </c>
      <c r="C104" s="46" t="s">
        <v>697</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698</v>
      </c>
      <c r="B105" s="105">
        <v>0.22</v>
      </c>
      <c r="C105" s="46" t="s">
        <v>556</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101</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699</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700</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701</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267</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700</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701</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267</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702</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703</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392</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704</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705</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706</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392</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704</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705</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267</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184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707</v>
      </c>
      <c r="B2" s="372" t="s">
        <v>92</v>
      </c>
      <c r="C2" s="372" t="s">
        <v>93</v>
      </c>
      <c r="D2" s="372" t="s">
        <v>94</v>
      </c>
      <c r="E2" s="372" t="s">
        <v>95</v>
      </c>
      <c r="F2" s="372" t="s">
        <v>92</v>
      </c>
      <c r="G2" s="372" t="s">
        <v>93</v>
      </c>
      <c r="H2" s="372" t="s">
        <v>94</v>
      </c>
      <c r="I2" s="372" t="s">
        <v>95</v>
      </c>
      <c r="J2" s="372" t="s">
        <v>92</v>
      </c>
      <c r="K2" s="372" t="s">
        <v>92</v>
      </c>
      <c r="L2" s="372" t="s">
        <v>92</v>
      </c>
      <c r="M2" s="372" t="s">
        <v>92</v>
      </c>
      <c r="N2" s="372" t="s">
        <v>92</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576</v>
      </c>
      <c r="B4" s="50"/>
      <c r="C4" s="51"/>
      <c r="D4" s="51"/>
      <c r="E4" s="51"/>
      <c r="F4" s="51"/>
      <c r="G4" s="50"/>
      <c r="H4" s="50"/>
      <c r="I4" s="50"/>
      <c r="J4" s="50"/>
      <c r="K4" s="50"/>
      <c r="L4" s="50"/>
      <c r="M4" s="50"/>
      <c r="N4" s="50"/>
      <c r="O4" s="50"/>
      <c r="P4" s="43"/>
      <c r="Q4" s="43"/>
      <c r="R4" s="43"/>
      <c r="S4" s="43"/>
      <c r="T4" s="43"/>
      <c r="U4" s="43"/>
    </row>
    <row r="5" spans="1:21" ht="14.65" customHeight="1" thickBot="1">
      <c r="A5" s="56" t="s">
        <v>577</v>
      </c>
      <c r="B5" s="68">
        <v>0</v>
      </c>
      <c r="C5" s="317">
        <v>0</v>
      </c>
      <c r="D5" s="317">
        <v>0</v>
      </c>
      <c r="E5" s="317">
        <v>0</v>
      </c>
      <c r="F5" s="317">
        <v>0</v>
      </c>
      <c r="G5" s="68">
        <v>0</v>
      </c>
      <c r="H5" s="50"/>
      <c r="I5" s="50"/>
      <c r="J5" s="50"/>
      <c r="K5" s="68">
        <v>0</v>
      </c>
      <c r="L5" s="68">
        <v>3348930</v>
      </c>
      <c r="M5" s="68">
        <v>7372674.5376320239</v>
      </c>
      <c r="N5" s="68">
        <v>8142574</v>
      </c>
      <c r="O5" s="67" t="s">
        <v>708</v>
      </c>
      <c r="P5" s="43"/>
      <c r="Q5" s="76"/>
      <c r="R5" s="43"/>
      <c r="S5" s="43"/>
      <c r="T5" s="43"/>
      <c r="U5" s="43"/>
    </row>
    <row r="6" spans="1:21" ht="14.65" customHeight="1" thickBot="1">
      <c r="A6" s="46" t="s">
        <v>501</v>
      </c>
      <c r="B6" s="50"/>
      <c r="C6" s="51"/>
      <c r="D6" s="51"/>
      <c r="E6" s="51"/>
      <c r="F6" s="51"/>
      <c r="G6" s="50"/>
      <c r="H6" s="50"/>
      <c r="I6" s="50"/>
      <c r="J6" s="50"/>
      <c r="K6" s="137">
        <f>-K54*$P$6*(Q37-DATE(YEAR(K1),12,31))/365</f>
        <v>-2722191.7808219176</v>
      </c>
      <c r="L6" s="50">
        <f>+L54*$P$6</f>
        <v>-5400000</v>
      </c>
      <c r="M6" s="50">
        <f>+M54*$P$6</f>
        <v>-5400000</v>
      </c>
      <c r="N6" s="50">
        <f>+N54*$P$6</f>
        <v>-5400000</v>
      </c>
      <c r="O6" s="67" t="s">
        <v>709</v>
      </c>
      <c r="P6" s="78">
        <v>0.09</v>
      </c>
      <c r="Q6" s="318"/>
      <c r="R6" s="43"/>
      <c r="S6" s="43"/>
      <c r="T6" s="43"/>
      <c r="U6" s="43"/>
    </row>
    <row r="7" spans="1:21">
      <c r="A7" s="46" t="s">
        <v>503</v>
      </c>
      <c r="B7" s="50"/>
      <c r="C7" s="51"/>
      <c r="D7" s="51"/>
      <c r="E7" s="51"/>
      <c r="F7" s="51"/>
      <c r="G7" s="50"/>
      <c r="H7" s="50"/>
      <c r="I7" s="50"/>
      <c r="J7" s="50"/>
      <c r="K7" s="50"/>
      <c r="L7" s="50"/>
      <c r="M7" s="50"/>
      <c r="N7" s="50"/>
      <c r="O7" s="50"/>
      <c r="P7" s="43"/>
      <c r="Q7" s="59"/>
      <c r="R7" s="43"/>
      <c r="S7" s="43"/>
      <c r="T7" s="43"/>
      <c r="U7" s="43"/>
    </row>
    <row r="8" spans="1:21">
      <c r="A8" s="46" t="s">
        <v>578</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579</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506</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580</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581</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465</v>
      </c>
      <c r="B14" s="50"/>
      <c r="C14" s="50"/>
      <c r="D14" s="50"/>
      <c r="E14" s="50"/>
      <c r="F14" s="50"/>
      <c r="G14" s="50"/>
      <c r="H14" s="50"/>
      <c r="I14" s="50"/>
      <c r="J14" s="50"/>
      <c r="K14" s="50"/>
      <c r="L14" s="50"/>
      <c r="M14" s="50"/>
      <c r="N14" s="50"/>
      <c r="O14" s="50"/>
      <c r="P14" s="43"/>
      <c r="Q14" s="43"/>
      <c r="R14" s="43"/>
      <c r="S14" s="43"/>
      <c r="T14" s="43"/>
      <c r="U14" s="43"/>
    </row>
    <row r="15" spans="1:21">
      <c r="A15" s="46" t="s">
        <v>710</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626</v>
      </c>
      <c r="B16" s="50"/>
      <c r="C16" s="50"/>
      <c r="D16" s="50"/>
      <c r="E16" s="50"/>
      <c r="F16" s="50"/>
      <c r="G16" s="50"/>
      <c r="H16" s="50"/>
      <c r="I16" s="50"/>
      <c r="J16" s="50"/>
      <c r="K16" s="50">
        <f>K32</f>
        <v>-2300000</v>
      </c>
      <c r="L16" s="50"/>
      <c r="M16" s="50"/>
      <c r="N16" s="50"/>
      <c r="O16" s="50"/>
      <c r="P16" s="43"/>
      <c r="Q16" s="43"/>
      <c r="R16" s="43"/>
      <c r="S16" s="43"/>
      <c r="T16" s="43"/>
      <c r="U16" s="43"/>
    </row>
    <row r="17" spans="1:21">
      <c r="A17" s="46" t="s">
        <v>711</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712</v>
      </c>
      <c r="B18" s="50"/>
      <c r="C18" s="50"/>
      <c r="D18" s="50"/>
      <c r="E18" s="50"/>
      <c r="F18" s="50"/>
      <c r="G18" s="50"/>
      <c r="H18" s="68">
        <v>350000</v>
      </c>
      <c r="I18" s="50"/>
      <c r="J18" s="50"/>
      <c r="K18" s="50"/>
      <c r="L18" s="50"/>
      <c r="M18" s="50"/>
      <c r="N18" s="50"/>
      <c r="O18" s="50"/>
      <c r="P18" s="43"/>
      <c r="Q18" s="43"/>
      <c r="R18" s="43"/>
      <c r="S18" s="43"/>
      <c r="T18" s="43"/>
      <c r="U18" s="43"/>
    </row>
    <row r="19" spans="1:21">
      <c r="A19" s="281" t="s">
        <v>713</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267</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471</v>
      </c>
      <c r="B22" s="50"/>
      <c r="C22" s="50"/>
      <c r="D22" s="50"/>
      <c r="E22" s="50"/>
      <c r="F22" s="50"/>
      <c r="G22" s="50"/>
      <c r="H22" s="50"/>
      <c r="I22" s="50"/>
      <c r="J22" s="50"/>
      <c r="K22" s="50"/>
      <c r="L22" s="50"/>
      <c r="M22" s="50"/>
      <c r="N22" s="50"/>
      <c r="O22" s="50"/>
      <c r="P22" s="43"/>
      <c r="Q22" s="43"/>
      <c r="R22" s="43"/>
      <c r="S22" s="43"/>
      <c r="T22" s="43"/>
      <c r="U22" s="43"/>
    </row>
    <row r="23" spans="1:21">
      <c r="A23" s="46" t="s">
        <v>714</v>
      </c>
      <c r="B23" s="50"/>
      <c r="C23" s="50"/>
      <c r="D23" s="50"/>
      <c r="E23" s="50"/>
      <c r="F23" s="68">
        <v>0</v>
      </c>
      <c r="G23" s="50"/>
      <c r="H23" s="50"/>
      <c r="I23" s="50"/>
      <c r="J23" s="50"/>
      <c r="K23" s="50"/>
      <c r="L23" s="50"/>
      <c r="M23" s="50"/>
      <c r="N23" s="50"/>
      <c r="O23" s="50"/>
      <c r="P23" s="43"/>
      <c r="Q23" s="43"/>
      <c r="R23" s="43"/>
      <c r="S23" s="43"/>
      <c r="T23" s="43"/>
      <c r="U23" s="43"/>
    </row>
    <row r="24" spans="1:21">
      <c r="A24" s="46" t="s">
        <v>715</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716</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717</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267</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463</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521</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522</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523</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589</v>
      </c>
      <c r="B35" s="50"/>
      <c r="C35" s="51"/>
      <c r="D35" s="324"/>
      <c r="E35" s="324"/>
      <c r="F35" s="324"/>
      <c r="G35" s="66"/>
      <c r="H35" s="50"/>
      <c r="I35" s="50"/>
      <c r="J35" s="50"/>
      <c r="K35" s="50"/>
      <c r="L35" s="349">
        <f>+L5/L36</f>
        <v>2.9159164127122335E-2</v>
      </c>
      <c r="M35" s="349">
        <f>+M5/M36</f>
        <v>6.2960499894381072E-2</v>
      </c>
      <c r="N35" s="349">
        <f>+N5/N36</f>
        <v>6.7509920157860268E-2</v>
      </c>
      <c r="O35" s="67" t="s">
        <v>718</v>
      </c>
      <c r="P35" s="50"/>
      <c r="Q35" s="50"/>
      <c r="R35" s="50"/>
      <c r="S35" s="50"/>
      <c r="T35" s="50"/>
      <c r="U35" s="50"/>
    </row>
    <row r="36" spans="1:21" ht="14.65" customHeight="1" thickBot="1">
      <c r="A36" s="56" t="s">
        <v>590</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528</v>
      </c>
      <c r="Q36" s="294">
        <v>0.03</v>
      </c>
      <c r="R36" s="50"/>
      <c r="S36" s="50"/>
      <c r="T36" s="50"/>
      <c r="U36" s="50"/>
    </row>
    <row r="37" spans="1:21" ht="14.65" customHeight="1" thickBot="1">
      <c r="A37" s="56" t="s">
        <v>719</v>
      </c>
      <c r="B37" s="50"/>
      <c r="C37" s="68">
        <v>0</v>
      </c>
      <c r="D37" s="68">
        <v>0</v>
      </c>
      <c r="E37" s="68">
        <v>0</v>
      </c>
      <c r="F37" s="68">
        <v>0</v>
      </c>
      <c r="G37" s="68">
        <v>0</v>
      </c>
      <c r="H37" s="68">
        <v>0</v>
      </c>
      <c r="I37" s="68">
        <v>0</v>
      </c>
      <c r="J37" s="68">
        <v>0</v>
      </c>
      <c r="K37" s="68">
        <v>0</v>
      </c>
      <c r="L37" s="68">
        <v>0</v>
      </c>
      <c r="M37" s="68">
        <v>0</v>
      </c>
      <c r="N37" s="68">
        <v>0</v>
      </c>
      <c r="O37" s="50"/>
      <c r="P37" s="67" t="s">
        <v>720</v>
      </c>
      <c r="Q37" s="307">
        <v>46568</v>
      </c>
      <c r="R37" s="50"/>
      <c r="S37" s="50"/>
      <c r="T37" s="50"/>
      <c r="U37" s="50"/>
    </row>
    <row r="38" spans="1:21">
      <c r="A38" s="56" t="s">
        <v>721</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722</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723</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724</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595</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725</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726</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605</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598</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599</v>
      </c>
      <c r="B48" s="50"/>
      <c r="C48" s="50"/>
      <c r="D48" s="50"/>
      <c r="E48" s="50"/>
      <c r="F48" s="50"/>
      <c r="G48" s="50"/>
      <c r="H48" s="50"/>
      <c r="I48" s="50"/>
      <c r="J48" s="50"/>
      <c r="K48" s="280"/>
      <c r="L48" s="280"/>
      <c r="M48" s="50"/>
      <c r="N48" s="50"/>
      <c r="O48" s="50"/>
      <c r="P48" s="50"/>
      <c r="Q48" s="50"/>
      <c r="R48" s="50"/>
      <c r="S48" s="50"/>
      <c r="T48" s="50"/>
      <c r="U48" s="43"/>
    </row>
    <row r="49" spans="1:21">
      <c r="A49" s="56" t="s">
        <v>600</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601</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727</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537</v>
      </c>
      <c r="B53" s="50"/>
      <c r="C53" s="50"/>
      <c r="D53" s="50"/>
      <c r="E53" s="50"/>
      <c r="F53" s="50"/>
      <c r="G53" s="50"/>
      <c r="H53" s="50"/>
      <c r="I53" s="50"/>
      <c r="J53" s="50"/>
      <c r="K53" s="279">
        <f>-K54/K46</f>
        <v>0.47894956780788372</v>
      </c>
      <c r="L53" s="279">
        <f>-L54/L46</f>
        <v>0.46910045285433144</v>
      </c>
      <c r="M53" s="50"/>
      <c r="N53" s="279"/>
      <c r="O53" s="67" t="s">
        <v>654</v>
      </c>
      <c r="P53" s="50"/>
      <c r="Q53" s="50"/>
      <c r="R53" s="50"/>
      <c r="S53" s="50"/>
      <c r="T53" s="50"/>
      <c r="U53" s="64"/>
    </row>
    <row r="54" spans="1:21">
      <c r="A54" s="56" t="s">
        <v>728</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547</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729</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162</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730</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606</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607</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608</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609</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731</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732</v>
      </c>
      <c r="B67" s="50"/>
      <c r="C67" s="50"/>
      <c r="D67" s="50"/>
      <c r="E67" s="50"/>
      <c r="F67" s="50"/>
      <c r="G67" s="50"/>
      <c r="H67" s="50"/>
      <c r="I67" s="50"/>
      <c r="J67" s="50"/>
      <c r="K67" s="50"/>
      <c r="L67" s="50"/>
      <c r="M67" s="50"/>
      <c r="N67" s="50"/>
      <c r="O67" s="50"/>
      <c r="P67" s="43"/>
      <c r="Q67" s="43"/>
      <c r="R67" s="43"/>
      <c r="S67" s="43"/>
      <c r="T67" s="43"/>
      <c r="U67" s="43"/>
    </row>
    <row r="68" spans="1:21">
      <c r="A68" s="46" t="s">
        <v>733</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610</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551</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552</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734</v>
      </c>
      <c r="B74" s="50"/>
      <c r="C74" s="50"/>
      <c r="D74" s="50"/>
      <c r="E74" s="50"/>
      <c r="F74" s="68">
        <v>2300000</v>
      </c>
      <c r="G74" s="68">
        <v>2300000</v>
      </c>
      <c r="H74" s="68">
        <v>2300000</v>
      </c>
      <c r="I74" s="68">
        <v>2300000</v>
      </c>
      <c r="J74" s="68">
        <v>2300000</v>
      </c>
      <c r="K74" s="50"/>
      <c r="L74" s="50"/>
      <c r="M74" s="50"/>
      <c r="N74" s="50"/>
      <c r="O74" s="67" t="s">
        <v>735</v>
      </c>
      <c r="P74" s="50"/>
      <c r="Q74" s="59"/>
      <c r="R74" s="318"/>
      <c r="S74" s="318"/>
      <c r="T74" s="318"/>
      <c r="U74" s="59"/>
    </row>
    <row r="75" spans="1:21">
      <c r="A75" s="101" t="s">
        <v>736</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611</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612</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613</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99</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737</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616</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618</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619</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620</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621</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738</v>
      </c>
      <c r="H98" s="43"/>
      <c r="I98" s="374">
        <v>0.4</v>
      </c>
      <c r="J98" s="46" t="s">
        <v>739</v>
      </c>
      <c r="K98" s="43"/>
      <c r="L98" s="43"/>
      <c r="M98" s="43"/>
      <c r="N98" s="43"/>
      <c r="O98" s="43"/>
      <c r="P98" s="43"/>
      <c r="Q98" s="43"/>
      <c r="R98" s="43"/>
      <c r="S98" s="43"/>
      <c r="T98" s="43"/>
      <c r="U98" s="43"/>
    </row>
    <row r="99" spans="1:21">
      <c r="A99" s="43"/>
      <c r="B99" s="43"/>
      <c r="C99" s="43"/>
      <c r="D99" s="43"/>
      <c r="E99" s="43"/>
      <c r="F99" s="375">
        <v>45000000</v>
      </c>
      <c r="G99" s="46" t="s">
        <v>740</v>
      </c>
      <c r="H99" s="43"/>
      <c r="I99" s="376">
        <f>+(1-I98)*E91</f>
        <v>90248924.318092078</v>
      </c>
      <c r="J99" s="46" t="s">
        <v>741</v>
      </c>
      <c r="K99" s="43"/>
      <c r="L99" s="43"/>
      <c r="M99" s="43"/>
      <c r="N99" s="43"/>
      <c r="O99" s="43"/>
      <c r="P99" s="43"/>
      <c r="Q99" s="43"/>
      <c r="R99" s="43"/>
      <c r="S99" s="43"/>
      <c r="T99" s="43"/>
      <c r="U99" s="43"/>
    </row>
    <row r="100" spans="1:21">
      <c r="A100" s="43"/>
      <c r="B100" s="43"/>
      <c r="C100" s="43"/>
      <c r="D100" s="43"/>
      <c r="E100" s="43"/>
      <c r="F100" s="377">
        <f>SUM(F98:F99)</f>
        <v>87165949.545394719</v>
      </c>
      <c r="G100" s="46" t="s">
        <v>742</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743</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744</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474</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745</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tabColor rgb="FFB4C6E7"/>
  </sheetPr>
  <dimension ref="A1:U73"/>
  <sheetViews>
    <sheetView showGridLines="0" zoomScale="85" zoomScaleNormal="85" workbookViewId="0">
      <pane xSplit="1" ySplit="2" topLeftCell="B3"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746</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747</v>
      </c>
      <c r="B2" s="372" t="s">
        <v>92</v>
      </c>
      <c r="C2" s="372" t="s">
        <v>93</v>
      </c>
      <c r="D2" s="372" t="s">
        <v>94</v>
      </c>
      <c r="E2" s="372" t="s">
        <v>95</v>
      </c>
      <c r="F2" s="372" t="s">
        <v>92</v>
      </c>
      <c r="G2" s="372" t="s">
        <v>93</v>
      </c>
      <c r="H2" s="372" t="s">
        <v>94</v>
      </c>
      <c r="I2" s="372" t="s">
        <v>95</v>
      </c>
      <c r="J2" s="372" t="s">
        <v>92</v>
      </c>
      <c r="K2" s="372" t="s">
        <v>92</v>
      </c>
      <c r="L2" s="372" t="s">
        <v>92</v>
      </c>
      <c r="M2" s="372" t="s">
        <v>92</v>
      </c>
      <c r="N2" s="372" t="s">
        <v>92</v>
      </c>
      <c r="O2" s="50"/>
      <c r="P2" s="43"/>
      <c r="Q2" s="43"/>
      <c r="R2" s="43"/>
      <c r="S2" s="43"/>
      <c r="T2" s="43"/>
      <c r="U2" s="43"/>
    </row>
    <row r="3" spans="1:21" ht="15" customHeight="1">
      <c r="A3" s="46" t="s">
        <v>637</v>
      </c>
      <c r="B3" s="378"/>
      <c r="C3" s="379"/>
      <c r="D3" s="379"/>
      <c r="E3" s="379"/>
      <c r="F3" s="379"/>
      <c r="G3" s="378"/>
      <c r="H3" s="378"/>
      <c r="I3" s="378"/>
      <c r="J3" s="378"/>
      <c r="K3" s="378"/>
      <c r="L3" s="378"/>
      <c r="M3" s="378"/>
      <c r="N3" s="378"/>
      <c r="O3" s="62"/>
      <c r="P3" s="378"/>
      <c r="Q3" s="378"/>
      <c r="R3" s="378"/>
      <c r="S3" s="43"/>
      <c r="T3" s="43"/>
      <c r="U3" s="378"/>
    </row>
    <row r="4" spans="1:21" ht="15" customHeight="1">
      <c r="A4" s="56" t="s">
        <v>577</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501</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578</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579</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506</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580</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581</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465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748</v>
      </c>
      <c r="B13" s="378"/>
      <c r="C13" s="378"/>
      <c r="D13" s="378"/>
      <c r="E13" s="378"/>
      <c r="F13" s="378"/>
      <c r="G13" s="378"/>
      <c r="H13" s="378"/>
      <c r="I13" s="381">
        <v>0</v>
      </c>
      <c r="J13" s="381">
        <v>0</v>
      </c>
      <c r="K13" s="381">
        <v>0</v>
      </c>
      <c r="L13" s="381">
        <v>0</v>
      </c>
      <c r="M13" s="381">
        <v>0</v>
      </c>
      <c r="N13" s="381">
        <v>0</v>
      </c>
      <c r="O13" s="95" t="s">
        <v>749</v>
      </c>
      <c r="P13" s="43"/>
      <c r="Q13" s="43"/>
      <c r="R13" s="43"/>
      <c r="S13" s="43"/>
      <c r="T13" s="43"/>
      <c r="U13" s="43"/>
    </row>
    <row r="14" spans="1:21" ht="15" customHeight="1">
      <c r="A14" s="56" t="s">
        <v>750</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751</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752</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214</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471</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753</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754</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755</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756</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757</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216</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758</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521</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522</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523</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589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759</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760</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761</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762</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763</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598</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764</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600</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765</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536</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766</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767</v>
      </c>
      <c r="P43" s="397">
        <v>46387</v>
      </c>
      <c r="Q43" s="378"/>
      <c r="R43" s="378"/>
      <c r="S43" s="378"/>
      <c r="T43" s="378"/>
      <c r="U43" s="378"/>
    </row>
    <row r="44" spans="1:21" ht="15" customHeight="1">
      <c r="A44" s="56" t="s">
        <v>768</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769</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770</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771</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772</v>
      </c>
      <c r="Q47" s="378"/>
      <c r="R47" s="378"/>
      <c r="S47" s="378"/>
      <c r="T47" s="378"/>
      <c r="U47" s="378"/>
    </row>
    <row r="48" spans="1:21" ht="15" customHeight="1">
      <c r="A48" s="56" t="s">
        <v>773</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517</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774</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775</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547</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729</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776</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549</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21</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777</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778</v>
      </c>
      <c r="B62" s="43"/>
      <c r="C62" s="95" t="s">
        <v>556</v>
      </c>
      <c r="D62" s="95" t="s">
        <v>779</v>
      </c>
      <c r="E62" s="95" t="s">
        <v>780</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781</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782</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699</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702</v>
      </c>
      <c r="B67" s="43"/>
      <c r="C67" s="95" t="s">
        <v>556</v>
      </c>
      <c r="D67" s="95" t="s">
        <v>779</v>
      </c>
      <c r="E67" s="95" t="s">
        <v>780</v>
      </c>
      <c r="F67" s="43"/>
      <c r="G67" s="378"/>
      <c r="H67" s="43"/>
      <c r="I67" s="43"/>
      <c r="J67" s="43"/>
      <c r="K67" s="43"/>
      <c r="L67" s="43"/>
      <c r="M67" s="43"/>
      <c r="N67" s="43"/>
      <c r="O67" s="43"/>
      <c r="P67" s="43"/>
      <c r="Q67" s="43"/>
      <c r="R67" s="62"/>
      <c r="S67" s="43"/>
      <c r="T67" s="43"/>
      <c r="U67" s="43"/>
    </row>
    <row r="68" spans="1:21" ht="15" customHeight="1">
      <c r="A68" s="46" t="s">
        <v>783</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784</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699</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785</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92</v>
      </c>
      <c r="C2" s="372" t="s">
        <v>93</v>
      </c>
      <c r="D2" s="372" t="s">
        <v>94</v>
      </c>
      <c r="E2" s="372" t="s">
        <v>95</v>
      </c>
      <c r="F2" s="372" t="s">
        <v>92</v>
      </c>
      <c r="G2" s="372" t="s">
        <v>93</v>
      </c>
      <c r="H2" s="372" t="s">
        <v>94</v>
      </c>
      <c r="I2" s="372" t="s">
        <v>95</v>
      </c>
      <c r="J2" s="372" t="s">
        <v>92</v>
      </c>
      <c r="K2" s="372" t="s">
        <v>92</v>
      </c>
      <c r="L2" s="372" t="s">
        <v>92</v>
      </c>
      <c r="M2" s="372" t="s">
        <v>92</v>
      </c>
      <c r="N2" s="372" t="s">
        <v>92</v>
      </c>
      <c r="O2" s="50"/>
      <c r="P2" s="43"/>
      <c r="Q2" s="43"/>
      <c r="R2" s="43"/>
      <c r="S2" s="43"/>
      <c r="T2" s="43"/>
      <c r="U2" s="43"/>
    </row>
    <row r="3" spans="1:21" ht="15" customHeight="1">
      <c r="A3" s="46" t="s">
        <v>637</v>
      </c>
      <c r="B3" s="378"/>
      <c r="C3" s="379"/>
      <c r="D3" s="379"/>
      <c r="E3" s="379"/>
      <c r="F3" s="379"/>
      <c r="G3" s="378"/>
      <c r="H3" s="378"/>
      <c r="I3" s="378"/>
      <c r="J3" s="378"/>
      <c r="K3" s="378"/>
      <c r="L3" s="378"/>
      <c r="M3" s="378"/>
      <c r="N3" s="378"/>
      <c r="O3" s="62"/>
      <c r="P3" s="378"/>
      <c r="Q3" s="378"/>
      <c r="R3" s="378"/>
      <c r="S3" s="43"/>
      <c r="T3" s="43"/>
      <c r="U3" s="378"/>
    </row>
    <row r="4" spans="1:21" ht="15" customHeight="1">
      <c r="A4" s="56" t="s">
        <v>577</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501</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578</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579</v>
      </c>
      <c r="B7" s="378"/>
      <c r="C7" s="378"/>
      <c r="D7" s="378"/>
      <c r="E7" s="378"/>
      <c r="F7" s="378"/>
      <c r="G7" s="381">
        <v>0</v>
      </c>
      <c r="H7" s="378"/>
      <c r="I7" s="378"/>
      <c r="J7" s="378"/>
      <c r="K7" s="378"/>
      <c r="L7" s="378"/>
      <c r="M7" s="378"/>
      <c r="N7" s="378"/>
      <c r="O7" s="62"/>
      <c r="P7" s="46" t="s">
        <v>786</v>
      </c>
      <c r="Q7" s="297">
        <v>2030</v>
      </c>
      <c r="R7" s="43"/>
      <c r="S7" s="43"/>
      <c r="T7" s="43"/>
      <c r="U7" s="43"/>
    </row>
    <row r="8" spans="1:21" s="14" customFormat="1" ht="15" customHeight="1">
      <c r="A8" s="83" t="s">
        <v>506</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787</v>
      </c>
      <c r="Q8" s="120">
        <v>5.5</v>
      </c>
      <c r="R8" s="43"/>
      <c r="S8" s="43"/>
      <c r="T8" s="43"/>
      <c r="U8" s="43"/>
    </row>
    <row r="9" spans="1:21" s="14" customFormat="1" ht="15" customHeight="1">
      <c r="A9" s="101" t="s">
        <v>580</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581</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465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788</v>
      </c>
      <c r="B13" s="58">
        <v>0</v>
      </c>
      <c r="C13" s="58">
        <v>0</v>
      </c>
      <c r="D13" s="58">
        <v>0</v>
      </c>
      <c r="E13" s="58">
        <v>0</v>
      </c>
      <c r="F13" s="43"/>
      <c r="G13" s="59"/>
      <c r="H13" s="59"/>
      <c r="I13" s="59"/>
      <c r="J13" s="58">
        <v>-16000000</v>
      </c>
      <c r="K13" s="182">
        <f>20000000*0</f>
        <v>0</v>
      </c>
      <c r="L13" s="43"/>
      <c r="M13" s="43"/>
      <c r="N13" s="43"/>
      <c r="O13" s="46" t="s">
        <v>789</v>
      </c>
      <c r="P13" s="43"/>
      <c r="Q13" s="43"/>
      <c r="R13" s="43"/>
      <c r="S13" s="43"/>
      <c r="T13" s="43"/>
      <c r="U13" s="43"/>
    </row>
    <row r="14" spans="1:21" ht="15" customHeight="1">
      <c r="A14" s="56" t="s">
        <v>790</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790</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790</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214</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791</v>
      </c>
      <c r="Q17" s="374">
        <v>7.0000000000000007E-2</v>
      </c>
      <c r="R17" s="43"/>
      <c r="S17" s="43"/>
      <c r="T17" s="43"/>
      <c r="U17" s="43"/>
    </row>
    <row r="18" spans="1:21" ht="15" customHeight="1">
      <c r="A18" s="386" t="s">
        <v>471</v>
      </c>
      <c r="B18" s="378"/>
      <c r="C18" s="378"/>
      <c r="D18" s="378"/>
      <c r="E18" s="378"/>
      <c r="F18" s="378"/>
      <c r="G18" s="378"/>
      <c r="H18" s="378"/>
      <c r="I18" s="378"/>
      <c r="J18" s="378"/>
      <c r="K18" s="378"/>
      <c r="L18" s="378"/>
      <c r="M18" s="378"/>
      <c r="N18" s="378"/>
      <c r="O18" s="62"/>
      <c r="P18" s="46" t="s">
        <v>792</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793</v>
      </c>
      <c r="Q19" s="120">
        <v>5</v>
      </c>
      <c r="R19" s="43"/>
      <c r="S19" s="43"/>
      <c r="T19" s="43"/>
      <c r="U19" s="43"/>
    </row>
    <row r="20" spans="1:21">
      <c r="A20" s="46" t="s">
        <v>794</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795</v>
      </c>
      <c r="B21" s="59"/>
      <c r="C21" s="59"/>
      <c r="D21" s="59"/>
      <c r="E21" s="59"/>
      <c r="F21" s="43"/>
      <c r="G21" s="59"/>
      <c r="H21" s="59"/>
      <c r="I21" s="59"/>
      <c r="J21" s="58">
        <v>1000000</v>
      </c>
      <c r="K21" s="59"/>
      <c r="L21" s="43"/>
      <c r="M21" s="43"/>
      <c r="N21" s="43"/>
      <c r="O21" s="46" t="s">
        <v>796</v>
      </c>
      <c r="P21" s="43"/>
      <c r="Q21" s="43"/>
      <c r="R21" s="43"/>
      <c r="S21" s="43"/>
      <c r="T21" s="43"/>
      <c r="U21" s="43"/>
    </row>
    <row r="22" spans="1:21">
      <c r="A22" s="46" t="s">
        <v>797</v>
      </c>
      <c r="B22" s="59"/>
      <c r="C22" s="59"/>
      <c r="D22" s="59"/>
      <c r="E22" s="59"/>
      <c r="F22" s="43"/>
      <c r="G22" s="59"/>
      <c r="H22" s="59"/>
      <c r="I22" s="59"/>
      <c r="J22" s="59"/>
      <c r="K22" s="59"/>
      <c r="L22" s="59"/>
      <c r="M22" s="59"/>
      <c r="N22" s="58">
        <v>1750000</v>
      </c>
      <c r="O22" s="43"/>
      <c r="P22" s="43"/>
      <c r="Q22" s="43"/>
      <c r="R22" s="43"/>
      <c r="S22" s="43"/>
      <c r="T22" s="43"/>
      <c r="U22" s="43"/>
    </row>
    <row r="23" spans="1:21">
      <c r="A23" s="46" t="s">
        <v>798</v>
      </c>
      <c r="B23" s="59"/>
      <c r="C23" s="59"/>
      <c r="D23" s="59"/>
      <c r="E23" s="59"/>
      <c r="F23" s="43"/>
      <c r="G23" s="59"/>
      <c r="H23" s="59"/>
      <c r="I23" s="59"/>
      <c r="J23" s="59"/>
      <c r="K23" s="59"/>
      <c r="L23" s="59">
        <f>+sat_cs2!P36</f>
        <v>20862012.987012967</v>
      </c>
      <c r="M23" s="59"/>
      <c r="N23" s="59"/>
      <c r="O23" s="43"/>
      <c r="P23" s="101" t="s">
        <v>787</v>
      </c>
      <c r="Q23" s="120">
        <v>5.5</v>
      </c>
      <c r="R23" s="43"/>
      <c r="S23" s="43"/>
      <c r="T23" s="43"/>
      <c r="U23" s="43"/>
    </row>
    <row r="24" spans="1:21" ht="15" customHeight="1">
      <c r="A24" s="327" t="s">
        <v>214</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463</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521</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522</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523</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589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799</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800</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654</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776</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549</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21</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D9E1F2"/>
  </sheetPr>
  <dimension ref="A1:BB123"/>
  <sheetViews>
    <sheetView topLeftCell="X1" zoomScale="94" workbookViewId="0">
      <selection activeCell="AC32" sqref="AC32"/>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178</v>
      </c>
      <c r="B1" s="83" t="s">
        <v>179</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586" t="s">
        <v>801</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v>
      </c>
      <c r="D3" s="114" t="s">
        <v>92</v>
      </c>
      <c r="E3" s="114" t="s">
        <v>93</v>
      </c>
      <c r="F3" s="114" t="s">
        <v>94</v>
      </c>
      <c r="G3" s="114" t="s">
        <v>95</v>
      </c>
      <c r="H3" s="114" t="s">
        <v>92</v>
      </c>
      <c r="I3" s="114" t="s">
        <v>92</v>
      </c>
      <c r="J3" s="114" t="s">
        <v>92</v>
      </c>
      <c r="K3" s="114" t="s">
        <v>92</v>
      </c>
      <c r="L3" s="114" t="s">
        <v>92</v>
      </c>
      <c r="M3" s="43"/>
      <c r="N3" s="114" t="s">
        <v>92</v>
      </c>
      <c r="O3" s="114" t="s">
        <v>93</v>
      </c>
      <c r="P3" s="114" t="s">
        <v>94</v>
      </c>
      <c r="Q3" s="114" t="s">
        <v>95</v>
      </c>
      <c r="R3" s="114" t="s">
        <v>92</v>
      </c>
      <c r="S3" s="114" t="s">
        <v>92</v>
      </c>
      <c r="T3" s="114" t="s">
        <v>92</v>
      </c>
      <c r="U3" s="114" t="s">
        <v>92</v>
      </c>
      <c r="V3" s="114" t="s">
        <v>92</v>
      </c>
      <c r="W3" s="115"/>
      <c r="X3" s="101" t="s">
        <v>1</v>
      </c>
      <c r="Y3" s="114" t="s">
        <v>92</v>
      </c>
      <c r="Z3" s="114" t="s">
        <v>93</v>
      </c>
      <c r="AA3" s="114" t="s">
        <v>94</v>
      </c>
      <c r="AB3" s="114" t="s">
        <v>95</v>
      </c>
      <c r="AC3" s="114" t="s">
        <v>92</v>
      </c>
      <c r="AD3" s="114" t="s">
        <v>92</v>
      </c>
      <c r="AE3" s="114" t="s">
        <v>92</v>
      </c>
      <c r="AF3" s="114" t="s">
        <v>92</v>
      </c>
      <c r="AG3" s="114" t="s">
        <v>92</v>
      </c>
      <c r="AI3" s="114" t="s">
        <v>92</v>
      </c>
      <c r="AJ3" s="114" t="s">
        <v>93</v>
      </c>
      <c r="AK3" s="114" t="s">
        <v>94</v>
      </c>
      <c r="AL3" s="114" t="s">
        <v>95</v>
      </c>
      <c r="AM3" s="114" t="s">
        <v>92</v>
      </c>
      <c r="AN3" s="114" t="s">
        <v>92</v>
      </c>
      <c r="AO3" s="114" t="s">
        <v>92</v>
      </c>
      <c r="AP3" s="114" t="s">
        <v>92</v>
      </c>
      <c r="AQ3" s="114" t="s">
        <v>92</v>
      </c>
      <c r="AR3" s="115"/>
      <c r="AS3" s="101" t="s">
        <v>1</v>
      </c>
      <c r="AT3" s="114" t="s">
        <v>92</v>
      </c>
      <c r="AU3" s="114" t="s">
        <v>93</v>
      </c>
      <c r="AV3" s="114" t="s">
        <v>94</v>
      </c>
      <c r="AW3" s="114" t="s">
        <v>95</v>
      </c>
      <c r="AX3" s="114" t="s">
        <v>92</v>
      </c>
      <c r="AY3" s="114" t="s">
        <v>92</v>
      </c>
      <c r="AZ3" s="114" t="s">
        <v>92</v>
      </c>
      <c r="BA3" s="114" t="s">
        <v>92</v>
      </c>
      <c r="BB3" s="114" t="s">
        <v>92</v>
      </c>
    </row>
    <row r="4" spans="1:54" ht="15" customHeight="1">
      <c r="A4" s="43"/>
      <c r="B4" s="43"/>
      <c r="C4" s="83" t="s">
        <v>96</v>
      </c>
      <c r="D4" s="116"/>
      <c r="E4" s="116"/>
      <c r="F4" s="61"/>
      <c r="G4" s="61"/>
      <c r="H4" s="61"/>
      <c r="I4" s="61"/>
      <c r="J4" s="61"/>
      <c r="K4" s="61"/>
      <c r="L4" s="61"/>
      <c r="M4" s="43"/>
      <c r="N4" s="116"/>
      <c r="O4" s="116"/>
      <c r="P4" s="61"/>
      <c r="Q4" s="61"/>
      <c r="R4" s="61"/>
      <c r="S4" s="61"/>
      <c r="T4" s="61"/>
      <c r="U4" s="61"/>
      <c r="V4" s="61"/>
      <c r="W4" s="61"/>
      <c r="X4" s="83" t="s">
        <v>96</v>
      </c>
      <c r="Y4" s="116"/>
      <c r="Z4" s="116"/>
      <c r="AA4" s="61"/>
      <c r="AB4" s="61"/>
      <c r="AC4" s="61"/>
      <c r="AD4" s="61"/>
      <c r="AE4" s="61"/>
      <c r="AF4" s="61"/>
      <c r="AG4" s="61"/>
      <c r="AI4" s="116"/>
      <c r="AJ4" s="116"/>
      <c r="AK4" s="61"/>
      <c r="AL4" s="61"/>
      <c r="AM4" s="61"/>
      <c r="AN4" s="61"/>
      <c r="AO4" s="61"/>
      <c r="AP4" s="61"/>
      <c r="AQ4" s="61"/>
      <c r="AR4" s="61"/>
      <c r="AS4" s="83" t="s">
        <v>96</v>
      </c>
      <c r="AT4" s="116"/>
      <c r="AU4" s="116"/>
      <c r="AV4" s="61"/>
      <c r="AW4" s="61"/>
      <c r="AX4" s="61"/>
      <c r="AY4" s="61"/>
      <c r="AZ4" s="61"/>
      <c r="BA4" s="61"/>
      <c r="BB4" s="61"/>
    </row>
    <row r="5" spans="1:54">
      <c r="A5" s="46" t="s">
        <v>180</v>
      </c>
      <c r="B5" s="46" t="s">
        <v>48</v>
      </c>
      <c r="C5" s="46" t="s">
        <v>97</v>
      </c>
      <c r="D5" s="50">
        <f>lgh_bs!F5</f>
        <v>421309.51999999979</v>
      </c>
      <c r="E5" s="50">
        <f>lgh_bs!G5</f>
        <v>5587282.1152380947</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12936331.809163369</v>
      </c>
      <c r="U5" s="68">
        <v>22368834.65267041</v>
      </c>
      <c r="V5" s="68">
        <v>26342113.079452369</v>
      </c>
      <c r="W5" s="50"/>
      <c r="X5" s="46" t="s">
        <v>97</v>
      </c>
      <c r="Y5" s="50">
        <f t="shared" ref="Y5:Y36" si="0">D5-N5</f>
        <v>0</v>
      </c>
      <c r="Z5" s="50">
        <f t="shared" ref="Z5:Z36" si="1">E5-O5</f>
        <v>0</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594">
        <v>421309.35297973832</v>
      </c>
      <c r="AJ5" s="595">
        <v>3004754.9189604199</v>
      </c>
      <c r="AK5" s="595">
        <v>8121004.3843232896</v>
      </c>
      <c r="AL5" s="595">
        <v>4353548.6234584805</v>
      </c>
      <c r="AM5" s="595">
        <v>418312.49682895752</v>
      </c>
      <c r="AN5" s="595">
        <v>2435212.221451723</v>
      </c>
      <c r="AO5" s="595">
        <v>6750563.7603085078</v>
      </c>
      <c r="AP5" s="595">
        <v>6873131.0546805738</v>
      </c>
      <c r="AQ5" s="595">
        <v>9816011.4440200888</v>
      </c>
      <c r="AR5" s="50"/>
      <c r="AS5" s="46" t="s">
        <v>97</v>
      </c>
      <c r="AT5" s="50">
        <f t="shared" ref="AT5:AT36" si="9">D5-AI5</f>
        <v>0.16702026146231219</v>
      </c>
      <c r="AU5" s="50">
        <f t="shared" ref="AU5:AU36" si="10">E5-AJ5</f>
        <v>2582527.1962776748</v>
      </c>
      <c r="AV5" s="50">
        <f t="shared" ref="AV5:AV36" si="11">F5-AK5</f>
        <v>2697087.9850814696</v>
      </c>
      <c r="AW5" s="50">
        <f t="shared" ref="AW5:AW36" si="12">G5-AL5</f>
        <v>2825626.2637184486</v>
      </c>
      <c r="AX5" s="50">
        <f t="shared" ref="AX5:AX36" si="13">H5-AM5</f>
        <v>2457862.9246758437</v>
      </c>
      <c r="AY5" s="50">
        <f t="shared" ref="AY5:AY36" si="14">I5-AN5</f>
        <v>3377089.5519583048</v>
      </c>
      <c r="AZ5" s="50">
        <f t="shared" ref="AZ5:AZ36" si="15">J5-AO5</f>
        <v>6185768.0488548577</v>
      </c>
      <c r="BA5" s="50">
        <f t="shared" ref="BA5:BA36" si="16">K5-AP5</f>
        <v>15495703.597989839</v>
      </c>
      <c r="BB5" s="50">
        <f t="shared" ref="BB5:BB36" si="17">L5-AQ5</f>
        <v>16526101.635432284</v>
      </c>
    </row>
    <row r="6" spans="1:54">
      <c r="A6" s="43"/>
      <c r="B6" s="43"/>
      <c r="C6" s="46" t="s">
        <v>98</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47318458.658028983</v>
      </c>
      <c r="Q6" s="68">
        <v>47193848.832517847</v>
      </c>
      <c r="R6" s="68">
        <v>60232309.356816709</v>
      </c>
      <c r="S6" s="68">
        <v>68658852.64218013</v>
      </c>
      <c r="T6" s="68">
        <v>78031616.129979655</v>
      </c>
      <c r="U6" s="68">
        <v>73752764.644625396</v>
      </c>
      <c r="V6" s="68">
        <v>85421359.86438784</v>
      </c>
      <c r="W6" s="50"/>
      <c r="X6" s="46" t="s">
        <v>98</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595">
        <v>46803856.975500621</v>
      </c>
      <c r="AJ6" s="595">
        <v>46688396.145441398</v>
      </c>
      <c r="AK6" s="595">
        <v>47318458.658028983</v>
      </c>
      <c r="AL6" s="595">
        <v>47193848.832517847</v>
      </c>
      <c r="AM6" s="595">
        <v>60232309.356816709</v>
      </c>
      <c r="AN6" s="595">
        <v>68658852.64218013</v>
      </c>
      <c r="AO6" s="595">
        <v>78031616.129979655</v>
      </c>
      <c r="AP6" s="595">
        <v>73752764.644625396</v>
      </c>
      <c r="AQ6" s="595">
        <v>85421359.86438784</v>
      </c>
      <c r="AR6" s="50"/>
      <c r="AS6" s="46" t="s">
        <v>98</v>
      </c>
      <c r="AT6" s="50">
        <f t="shared" si="9"/>
        <v>0</v>
      </c>
      <c r="AU6" s="50">
        <f t="shared" si="10"/>
        <v>0</v>
      </c>
      <c r="AV6" s="50">
        <f t="shared" si="11"/>
        <v>0</v>
      </c>
      <c r="AW6" s="50">
        <f t="shared" si="12"/>
        <v>0</v>
      </c>
      <c r="AX6" s="50">
        <f t="shared" si="13"/>
        <v>0</v>
      </c>
      <c r="AY6" s="50">
        <f t="shared" si="14"/>
        <v>0</v>
      </c>
      <c r="AZ6" s="50">
        <f t="shared" si="15"/>
        <v>0</v>
      </c>
      <c r="BA6" s="50">
        <f t="shared" si="16"/>
        <v>0</v>
      </c>
      <c r="BB6" s="50">
        <f t="shared" si="17"/>
        <v>0</v>
      </c>
    </row>
    <row r="7" spans="1:54">
      <c r="A7" s="46" t="s">
        <v>181</v>
      </c>
      <c r="B7" s="46" t="s">
        <v>182</v>
      </c>
      <c r="C7" s="46" t="s">
        <v>99</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47318458.658028983</v>
      </c>
      <c r="Q7" s="68">
        <v>47193848.832517847</v>
      </c>
      <c r="R7" s="68">
        <v>60232309.356816709</v>
      </c>
      <c r="S7" s="68">
        <v>68658852.64218013</v>
      </c>
      <c r="T7" s="68">
        <v>78031616.129979655</v>
      </c>
      <c r="U7" s="68">
        <v>73752764.644625396</v>
      </c>
      <c r="V7" s="68">
        <v>85421359.86438784</v>
      </c>
      <c r="W7" s="50"/>
      <c r="X7" s="46" t="s">
        <v>99</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595">
        <v>46803856.975500621</v>
      </c>
      <c r="AJ7" s="595">
        <v>46688396.145441398</v>
      </c>
      <c r="AK7" s="595">
        <v>47318458.658028983</v>
      </c>
      <c r="AL7" s="595">
        <v>47193848.832517847</v>
      </c>
      <c r="AM7" s="595">
        <v>60232309.356816709</v>
      </c>
      <c r="AN7" s="595">
        <v>68658852.64218013</v>
      </c>
      <c r="AO7" s="595">
        <v>78031616.129979655</v>
      </c>
      <c r="AP7" s="595">
        <v>73752764.644625396</v>
      </c>
      <c r="AQ7" s="595">
        <v>85421359.86438784</v>
      </c>
      <c r="AR7" s="50"/>
      <c r="AS7" s="46" t="s">
        <v>99</v>
      </c>
      <c r="AT7" s="50">
        <f t="shared" si="9"/>
        <v>0</v>
      </c>
      <c r="AU7" s="50">
        <f t="shared" si="10"/>
        <v>0</v>
      </c>
      <c r="AV7" s="50">
        <f t="shared" si="11"/>
        <v>0</v>
      </c>
      <c r="AW7" s="50">
        <f t="shared" si="12"/>
        <v>0</v>
      </c>
      <c r="AX7" s="50">
        <f t="shared" si="13"/>
        <v>0</v>
      </c>
      <c r="AY7" s="50">
        <f t="shared" si="14"/>
        <v>0</v>
      </c>
      <c r="AZ7" s="50">
        <f t="shared" si="15"/>
        <v>0</v>
      </c>
      <c r="BA7" s="50">
        <f t="shared" si="16"/>
        <v>0</v>
      </c>
      <c r="BB7" s="50">
        <f t="shared" si="17"/>
        <v>0</v>
      </c>
    </row>
    <row r="8" spans="1:54">
      <c r="A8" s="43"/>
      <c r="B8" s="43"/>
      <c r="C8" s="46" t="s">
        <v>100</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18560900.092840679</v>
      </c>
      <c r="O8" s="68">
        <v>18168834.975128651</v>
      </c>
      <c r="P8" s="68">
        <v>20455751.332310472</v>
      </c>
      <c r="Q8" s="68">
        <v>20019625.632090211</v>
      </c>
      <c r="R8" s="68">
        <v>20380869.458477151</v>
      </c>
      <c r="S8" s="68">
        <v>20527641.94701767</v>
      </c>
      <c r="T8" s="68">
        <v>17612726.1428825</v>
      </c>
      <c r="U8" s="68">
        <v>39638789.311446823</v>
      </c>
      <c r="V8" s="68">
        <v>47083185.362348847</v>
      </c>
      <c r="W8" s="50"/>
      <c r="X8" s="46" t="s">
        <v>100</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595">
        <v>17920353.40434067</v>
      </c>
      <c r="AJ8" s="595">
        <v>16879339.975128651</v>
      </c>
      <c r="AK8" s="595">
        <v>18546256.332310472</v>
      </c>
      <c r="AL8" s="595">
        <v>18110130.632090211</v>
      </c>
      <c r="AM8" s="595">
        <v>17721374.458477151</v>
      </c>
      <c r="AN8" s="595">
        <v>17469222.69701767</v>
      </c>
      <c r="AO8" s="595">
        <v>14095544.005382501</v>
      </c>
      <c r="AP8" s="595">
        <v>39638789.311446823</v>
      </c>
      <c r="AQ8" s="595">
        <v>47083185.362348847</v>
      </c>
      <c r="AR8" s="50"/>
      <c r="AS8" s="46" t="s">
        <v>100</v>
      </c>
      <c r="AT8" s="50">
        <f t="shared" si="9"/>
        <v>640546.68850000575</v>
      </c>
      <c r="AU8" s="50">
        <f t="shared" si="10"/>
        <v>1289495.0000000037</v>
      </c>
      <c r="AV8" s="50">
        <f t="shared" si="11"/>
        <v>1909494.9999999963</v>
      </c>
      <c r="AW8" s="50">
        <f t="shared" si="12"/>
        <v>1909495</v>
      </c>
      <c r="AX8" s="50">
        <f t="shared" si="13"/>
        <v>2659495</v>
      </c>
      <c r="AY8" s="50">
        <f t="shared" si="14"/>
        <v>3058419.25</v>
      </c>
      <c r="AZ8" s="50">
        <f t="shared" si="15"/>
        <v>3517182.1374999955</v>
      </c>
      <c r="BA8" s="50">
        <f t="shared" si="16"/>
        <v>0</v>
      </c>
      <c r="BB8" s="50">
        <f t="shared" si="17"/>
        <v>0</v>
      </c>
    </row>
    <row r="9" spans="1:54">
      <c r="A9" s="46" t="s">
        <v>183</v>
      </c>
      <c r="B9" s="46" t="s">
        <v>21</v>
      </c>
      <c r="C9" s="46" t="s">
        <v>99</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3116853.7677923311</v>
      </c>
      <c r="S9" s="68">
        <v>0</v>
      </c>
      <c r="T9" s="68">
        <v>0</v>
      </c>
      <c r="U9" s="68">
        <v>0</v>
      </c>
      <c r="V9" s="68">
        <v>0</v>
      </c>
      <c r="W9" s="50"/>
      <c r="X9" s="46" t="s">
        <v>99</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595">
        <v>7402355.7264415808</v>
      </c>
      <c r="AJ9" s="595">
        <v>6038275.3593691019</v>
      </c>
      <c r="AK9" s="595">
        <v>4849926.1457863338</v>
      </c>
      <c r="AL9" s="595">
        <v>3974250.1732844282</v>
      </c>
      <c r="AM9" s="595">
        <v>3116853.7677923311</v>
      </c>
      <c r="AN9" s="595">
        <v>0</v>
      </c>
      <c r="AO9" s="595">
        <v>0</v>
      </c>
      <c r="AP9" s="595">
        <v>0</v>
      </c>
      <c r="AQ9" s="595">
        <v>0</v>
      </c>
      <c r="AR9" s="50"/>
      <c r="AS9" s="46" t="s">
        <v>99</v>
      </c>
      <c r="AT9" s="50">
        <f t="shared" si="9"/>
        <v>351051.68850000016</v>
      </c>
      <c r="AU9" s="50">
        <f t="shared" si="10"/>
        <v>0</v>
      </c>
      <c r="AV9" s="50">
        <f t="shared" si="11"/>
        <v>0</v>
      </c>
      <c r="AW9" s="50">
        <f t="shared" si="12"/>
        <v>0</v>
      </c>
      <c r="AX9" s="50">
        <f t="shared" si="13"/>
        <v>0</v>
      </c>
      <c r="AY9" s="50">
        <f t="shared" si="14"/>
        <v>0</v>
      </c>
      <c r="AZ9" s="50">
        <f t="shared" si="15"/>
        <v>0</v>
      </c>
      <c r="BA9" s="50">
        <f t="shared" si="16"/>
        <v>0</v>
      </c>
      <c r="BB9" s="50">
        <f t="shared" si="17"/>
        <v>0</v>
      </c>
    </row>
    <row r="10" spans="1:54">
      <c r="A10" s="46" t="s">
        <v>183</v>
      </c>
      <c r="B10" s="46" t="s">
        <v>23</v>
      </c>
      <c r="C10" s="46" t="s">
        <v>101</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101</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595">
        <v>6393440.7741542654</v>
      </c>
      <c r="AJ10" s="595">
        <v>6603375.2805657405</v>
      </c>
      <c r="AK10" s="595">
        <v>6822651.9460751358</v>
      </c>
      <c r="AL10" s="595">
        <v>7051741.0686642267</v>
      </c>
      <c r="AM10" s="595">
        <v>7288522.4825358614</v>
      </c>
      <c r="AN10" s="595">
        <v>6806296.4560152246</v>
      </c>
      <c r="AO10" s="595">
        <v>4230778.4205505513</v>
      </c>
      <c r="AP10" s="595">
        <v>4951306.8763720598</v>
      </c>
      <c r="AQ10" s="595">
        <v>4764456.7915576464</v>
      </c>
      <c r="AR10" s="50"/>
      <c r="AS10" s="46" t="s">
        <v>101</v>
      </c>
      <c r="AT10" s="50">
        <f t="shared" si="9"/>
        <v>0</v>
      </c>
      <c r="AU10" s="50">
        <f t="shared" si="10"/>
        <v>0</v>
      </c>
      <c r="AV10" s="50">
        <f t="shared" si="11"/>
        <v>0</v>
      </c>
      <c r="AW10" s="50">
        <f t="shared" si="12"/>
        <v>0</v>
      </c>
      <c r="AX10" s="50">
        <f t="shared" si="13"/>
        <v>0</v>
      </c>
      <c r="AY10" s="50">
        <f t="shared" si="14"/>
        <v>0</v>
      </c>
      <c r="AZ10" s="50">
        <f t="shared" si="15"/>
        <v>0</v>
      </c>
      <c r="BA10" s="50">
        <f t="shared" si="16"/>
        <v>0</v>
      </c>
      <c r="BB10" s="50">
        <f t="shared" si="17"/>
        <v>0</v>
      </c>
    </row>
    <row r="11" spans="1:54">
      <c r="A11" s="46" t="s">
        <v>183</v>
      </c>
      <c r="B11" s="46" t="s">
        <v>22</v>
      </c>
      <c r="C11" s="46" t="s">
        <v>102</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10662926.24100245</v>
      </c>
      <c r="T11" s="68">
        <v>9864765.5848319475</v>
      </c>
      <c r="U11" s="68">
        <v>34687482.435074747</v>
      </c>
      <c r="V11" s="68">
        <v>42318728.5707912</v>
      </c>
      <c r="W11" s="50"/>
      <c r="X11" s="46" t="s">
        <v>102</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595">
        <v>4124556.903744827</v>
      </c>
      <c r="AJ11" s="595">
        <v>4237689.3351938138</v>
      </c>
      <c r="AK11" s="595">
        <v>6873678.2404489974</v>
      </c>
      <c r="AL11" s="595">
        <v>7084139.3901415551</v>
      </c>
      <c r="AM11" s="595">
        <v>7315998.2081489582</v>
      </c>
      <c r="AN11" s="595">
        <v>10662926.24100245</v>
      </c>
      <c r="AO11" s="595">
        <v>9864765.5848319475</v>
      </c>
      <c r="AP11" s="595">
        <v>34687482.435074747</v>
      </c>
      <c r="AQ11" s="595">
        <v>42318728.5707912</v>
      </c>
      <c r="AR11" s="50"/>
      <c r="AS11" s="46" t="s">
        <v>102</v>
      </c>
      <c r="AT11" s="50">
        <f t="shared" si="9"/>
        <v>0</v>
      </c>
      <c r="AU11" s="50">
        <f t="shared" si="10"/>
        <v>0</v>
      </c>
      <c r="AV11" s="50">
        <f t="shared" si="11"/>
        <v>0</v>
      </c>
      <c r="AW11" s="50">
        <f t="shared" si="12"/>
        <v>0</v>
      </c>
      <c r="AX11" s="50">
        <f t="shared" si="13"/>
        <v>0</v>
      </c>
      <c r="AY11" s="50">
        <f t="shared" si="14"/>
        <v>0</v>
      </c>
      <c r="AZ11" s="50">
        <f t="shared" si="15"/>
        <v>0</v>
      </c>
      <c r="BA11" s="50">
        <f t="shared" si="16"/>
        <v>0</v>
      </c>
      <c r="BB11" s="50">
        <f t="shared" si="17"/>
        <v>0</v>
      </c>
    </row>
    <row r="12" spans="1:54">
      <c r="A12" s="43"/>
      <c r="B12" s="43"/>
      <c r="C12" s="46" t="s">
        <v>103</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3058419.25</v>
      </c>
      <c r="T12" s="68">
        <v>3517182.1374999988</v>
      </c>
      <c r="U12" s="68">
        <v>0</v>
      </c>
      <c r="V12" s="68">
        <v>0</v>
      </c>
      <c r="W12" s="50"/>
      <c r="X12" s="46" t="s">
        <v>103</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595"/>
      <c r="AJ12" s="595"/>
      <c r="AK12" s="595"/>
      <c r="AL12" s="595"/>
      <c r="AM12" s="595"/>
      <c r="AN12" s="595"/>
      <c r="AO12" s="595"/>
      <c r="AP12" s="595"/>
      <c r="AQ12" s="595"/>
      <c r="AR12" s="50"/>
      <c r="AS12" s="46" t="s">
        <v>103</v>
      </c>
      <c r="AT12" s="50">
        <f t="shared" si="9"/>
        <v>289495</v>
      </c>
      <c r="AU12" s="50">
        <f t="shared" si="10"/>
        <v>1289495</v>
      </c>
      <c r="AV12" s="50">
        <f t="shared" si="11"/>
        <v>1909495</v>
      </c>
      <c r="AW12" s="50">
        <f t="shared" si="12"/>
        <v>1909495</v>
      </c>
      <c r="AX12" s="50">
        <f t="shared" si="13"/>
        <v>2659495</v>
      </c>
      <c r="AY12" s="50">
        <f t="shared" si="14"/>
        <v>3058419.2499999995</v>
      </c>
      <c r="AZ12" s="50">
        <f t="shared" si="15"/>
        <v>3517182.1374999993</v>
      </c>
      <c r="BA12" s="50">
        <f t="shared" si="16"/>
        <v>0</v>
      </c>
      <c r="BB12" s="50">
        <f t="shared" si="17"/>
        <v>0</v>
      </c>
    </row>
    <row r="13" spans="1:54">
      <c r="A13" s="43"/>
      <c r="B13" s="43"/>
      <c r="C13" s="46" t="s">
        <v>104</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40032700.798691437</v>
      </c>
      <c r="O13" s="68">
        <v>36265000.089758404</v>
      </c>
      <c r="P13" s="68">
        <v>38900747.169811323</v>
      </c>
      <c r="Q13" s="68">
        <v>41760245.297078438</v>
      </c>
      <c r="R13" s="68">
        <v>50265874.093843371</v>
      </c>
      <c r="S13" s="68">
        <v>32637075</v>
      </c>
      <c r="T13" s="68">
        <v>33952187.25</v>
      </c>
      <c r="U13" s="68">
        <v>35273002.8675</v>
      </c>
      <c r="V13" s="68">
        <v>37231192.953525007</v>
      </c>
      <c r="W13" s="50"/>
      <c r="X13" s="46" t="s">
        <v>104</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595">
        <v>40032700.798691459</v>
      </c>
      <c r="AJ13" s="595">
        <v>36265000.089758404</v>
      </c>
      <c r="AK13" s="595">
        <v>38900747.169811323</v>
      </c>
      <c r="AL13" s="595">
        <v>41760245.297078438</v>
      </c>
      <c r="AM13" s="595">
        <v>50265874.093843371</v>
      </c>
      <c r="AN13" s="595">
        <v>32637075</v>
      </c>
      <c r="AO13" s="595">
        <v>33952187.25</v>
      </c>
      <c r="AP13" s="595">
        <v>35273002.8675</v>
      </c>
      <c r="AQ13" s="595">
        <v>37231192.953525007</v>
      </c>
      <c r="AR13" s="50"/>
      <c r="AS13" s="46" t="s">
        <v>104</v>
      </c>
      <c r="AT13" s="50">
        <f t="shared" si="9"/>
        <v>0</v>
      </c>
      <c r="AU13" s="50">
        <f t="shared" si="10"/>
        <v>0</v>
      </c>
      <c r="AV13" s="50">
        <f t="shared" si="11"/>
        <v>0</v>
      </c>
      <c r="AW13" s="50">
        <f t="shared" si="12"/>
        <v>0</v>
      </c>
      <c r="AX13" s="50">
        <f t="shared" si="13"/>
        <v>0</v>
      </c>
      <c r="AY13" s="50">
        <f t="shared" si="14"/>
        <v>0</v>
      </c>
      <c r="AZ13" s="50">
        <f t="shared" si="15"/>
        <v>0</v>
      </c>
      <c r="BA13" s="50">
        <f t="shared" si="16"/>
        <v>0</v>
      </c>
      <c r="BB13" s="50">
        <f t="shared" si="17"/>
        <v>0</v>
      </c>
    </row>
    <row r="14" spans="1:54">
      <c r="A14" s="46" t="s">
        <v>184</v>
      </c>
      <c r="B14" s="46" t="s">
        <v>21</v>
      </c>
      <c r="C14" s="46" t="s">
        <v>99</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40032700.798691437</v>
      </c>
      <c r="O14" s="68">
        <v>36265000.089758404</v>
      </c>
      <c r="P14" s="68">
        <v>38900747.169811323</v>
      </c>
      <c r="Q14" s="68">
        <v>41760245.297078438</v>
      </c>
      <c r="R14" s="68">
        <v>50265874.093843371</v>
      </c>
      <c r="S14" s="68">
        <v>32637075</v>
      </c>
      <c r="T14" s="68">
        <v>33952187.25</v>
      </c>
      <c r="U14" s="68">
        <v>35273002.8675</v>
      </c>
      <c r="V14" s="68">
        <v>37231192.953525007</v>
      </c>
      <c r="W14" s="50"/>
      <c r="X14" s="46" t="s">
        <v>99</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595">
        <v>40032700.798691459</v>
      </c>
      <c r="AJ14" s="595">
        <v>36265000.089758404</v>
      </c>
      <c r="AK14" s="595">
        <v>38900747.169811323</v>
      </c>
      <c r="AL14" s="595">
        <v>41760245.297078438</v>
      </c>
      <c r="AM14" s="595">
        <v>50265874.093843371</v>
      </c>
      <c r="AN14" s="595">
        <v>32637075</v>
      </c>
      <c r="AO14" s="595">
        <v>33952187.25</v>
      </c>
      <c r="AP14" s="595">
        <v>35273002.8675</v>
      </c>
      <c r="AQ14" s="595">
        <v>37231192.953525007</v>
      </c>
      <c r="AR14" s="50"/>
      <c r="AS14" s="46" t="s">
        <v>99</v>
      </c>
      <c r="AT14" s="50">
        <f t="shared" si="9"/>
        <v>0</v>
      </c>
      <c r="AU14" s="50">
        <f t="shared" si="10"/>
        <v>0</v>
      </c>
      <c r="AV14" s="50">
        <f t="shared" si="11"/>
        <v>0</v>
      </c>
      <c r="AW14" s="50">
        <f t="shared" si="12"/>
        <v>0</v>
      </c>
      <c r="AX14" s="50">
        <f t="shared" si="13"/>
        <v>0</v>
      </c>
      <c r="AY14" s="50">
        <f t="shared" si="14"/>
        <v>0</v>
      </c>
      <c r="AZ14" s="50">
        <f t="shared" si="15"/>
        <v>0</v>
      </c>
      <c r="BA14" s="50">
        <f t="shared" si="16"/>
        <v>0</v>
      </c>
      <c r="BB14" s="50">
        <f t="shared" si="17"/>
        <v>0</v>
      </c>
    </row>
    <row r="15" spans="1:54">
      <c r="A15" s="43"/>
      <c r="B15" s="43"/>
      <c r="C15" s="46" t="s">
        <v>105</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28009536.13666467</v>
      </c>
      <c r="P15" s="68">
        <v>30460556.806394599</v>
      </c>
      <c r="Q15" s="68">
        <v>33156609.146139551</v>
      </c>
      <c r="R15" s="68">
        <v>36091288.056792043</v>
      </c>
      <c r="S15" s="68">
        <v>56628545.428496853</v>
      </c>
      <c r="T15" s="68">
        <v>76968139.315230623</v>
      </c>
      <c r="U15" s="68">
        <v>97729625</v>
      </c>
      <c r="V15" s="68">
        <v>104879625</v>
      </c>
      <c r="W15" s="50"/>
      <c r="X15" s="46" t="s">
        <v>105</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595">
        <v>22999221.710629381</v>
      </c>
      <c r="AJ15" s="595">
        <v>28009536.13666467</v>
      </c>
      <c r="AK15" s="595">
        <v>30460556.806394599</v>
      </c>
      <c r="AL15" s="595">
        <v>33156609.146139551</v>
      </c>
      <c r="AM15" s="595">
        <v>36091288.056792043</v>
      </c>
      <c r="AN15" s="595">
        <v>56628545.428496853</v>
      </c>
      <c r="AO15" s="595">
        <v>76968139.315230623</v>
      </c>
      <c r="AP15" s="595">
        <v>97729625</v>
      </c>
      <c r="AQ15" s="595">
        <v>104879625</v>
      </c>
      <c r="AR15" s="50"/>
      <c r="AS15" s="46" t="s">
        <v>105</v>
      </c>
      <c r="AT15" s="50">
        <f t="shared" si="9"/>
        <v>0</v>
      </c>
      <c r="AU15" s="50">
        <f t="shared" si="10"/>
        <v>0</v>
      </c>
      <c r="AV15" s="50">
        <f t="shared" si="11"/>
        <v>0</v>
      </c>
      <c r="AW15" s="50">
        <f t="shared" si="12"/>
        <v>0</v>
      </c>
      <c r="AX15" s="50">
        <f t="shared" si="13"/>
        <v>0</v>
      </c>
      <c r="AY15" s="50">
        <f t="shared" si="14"/>
        <v>0</v>
      </c>
      <c r="AZ15" s="50">
        <f t="shared" si="15"/>
        <v>0</v>
      </c>
      <c r="BA15" s="50">
        <f t="shared" si="16"/>
        <v>0</v>
      </c>
      <c r="BB15" s="50">
        <f t="shared" si="17"/>
        <v>0</v>
      </c>
    </row>
    <row r="16" spans="1:54">
      <c r="A16" s="46" t="s">
        <v>185</v>
      </c>
      <c r="B16" s="46" t="s">
        <v>21</v>
      </c>
      <c r="C16" s="46" t="s">
        <v>106</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28009536.13666467</v>
      </c>
      <c r="P16" s="68">
        <v>30460556.806394599</v>
      </c>
      <c r="Q16" s="68">
        <v>33156609.146139551</v>
      </c>
      <c r="R16" s="68">
        <v>36091288.056792043</v>
      </c>
      <c r="S16" s="68">
        <v>56628545.428496853</v>
      </c>
      <c r="T16" s="68">
        <v>76968139.315230623</v>
      </c>
      <c r="U16" s="68">
        <v>97729625</v>
      </c>
      <c r="V16" s="68">
        <v>104879625</v>
      </c>
      <c r="W16" s="50"/>
      <c r="X16" s="46" t="s">
        <v>106</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595">
        <v>22999221.710629381</v>
      </c>
      <c r="AJ16" s="595">
        <v>28009536.13666467</v>
      </c>
      <c r="AK16" s="595">
        <v>30460556.806394599</v>
      </c>
      <c r="AL16" s="595">
        <v>33156609.146139551</v>
      </c>
      <c r="AM16" s="595">
        <v>36091288.056792043</v>
      </c>
      <c r="AN16" s="595">
        <v>56628545.428496853</v>
      </c>
      <c r="AO16" s="595">
        <v>76968139.315230623</v>
      </c>
      <c r="AP16" s="595">
        <v>97729625</v>
      </c>
      <c r="AQ16" s="595">
        <v>104879625</v>
      </c>
      <c r="AR16" s="50"/>
      <c r="AS16" s="46" t="s">
        <v>106</v>
      </c>
      <c r="AT16" s="50">
        <f t="shared" si="9"/>
        <v>0</v>
      </c>
      <c r="AU16" s="50">
        <f t="shared" si="10"/>
        <v>0</v>
      </c>
      <c r="AV16" s="50">
        <f t="shared" si="11"/>
        <v>0</v>
      </c>
      <c r="AW16" s="50">
        <f t="shared" si="12"/>
        <v>0</v>
      </c>
      <c r="AX16" s="50">
        <f t="shared" si="13"/>
        <v>0</v>
      </c>
      <c r="AY16" s="50">
        <f t="shared" si="14"/>
        <v>0</v>
      </c>
      <c r="AZ16" s="50">
        <f t="shared" si="15"/>
        <v>0</v>
      </c>
      <c r="BA16" s="50">
        <f t="shared" si="16"/>
        <v>0</v>
      </c>
      <c r="BB16" s="50">
        <f t="shared" si="17"/>
        <v>0</v>
      </c>
    </row>
    <row r="17" spans="1:54">
      <c r="A17" s="43"/>
      <c r="B17" s="43"/>
      <c r="C17" s="46" t="s">
        <v>107</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v>
      </c>
      <c r="P17" s="68">
        <v>15182357.23099955</v>
      </c>
      <c r="Q17" s="68">
        <v>17072719.8789321</v>
      </c>
      <c r="R17" s="68">
        <v>0</v>
      </c>
      <c r="S17" s="68">
        <v>0</v>
      </c>
      <c r="T17" s="68">
        <v>0</v>
      </c>
      <c r="U17" s="68">
        <v>0</v>
      </c>
      <c r="V17" s="68">
        <v>0</v>
      </c>
      <c r="W17" s="50"/>
      <c r="X17" s="46" t="s">
        <v>107</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595">
        <v>15839974.24952361</v>
      </c>
      <c r="AJ17" s="595">
        <v>15929659.40939655</v>
      </c>
      <c r="AK17" s="595">
        <v>15182357.23099955</v>
      </c>
      <c r="AL17" s="595">
        <v>17072719.8789321</v>
      </c>
      <c r="AM17" s="595">
        <v>0</v>
      </c>
      <c r="AN17" s="595">
        <v>0</v>
      </c>
      <c r="AO17" s="595">
        <v>0</v>
      </c>
      <c r="AP17" s="595">
        <v>0</v>
      </c>
      <c r="AQ17" s="595">
        <v>0</v>
      </c>
      <c r="AR17" s="50"/>
      <c r="AS17" s="46" t="s">
        <v>107</v>
      </c>
      <c r="AT17" s="50">
        <f t="shared" si="9"/>
        <v>0</v>
      </c>
      <c r="AU17" s="50">
        <f t="shared" si="10"/>
        <v>0</v>
      </c>
      <c r="AV17" s="50">
        <f t="shared" si="11"/>
        <v>0</v>
      </c>
      <c r="AW17" s="50">
        <f t="shared" si="12"/>
        <v>0</v>
      </c>
      <c r="AX17" s="50">
        <f t="shared" si="13"/>
        <v>0</v>
      </c>
      <c r="AY17" s="50">
        <f t="shared" si="14"/>
        <v>0</v>
      </c>
      <c r="AZ17" s="50">
        <f t="shared" si="15"/>
        <v>0</v>
      </c>
      <c r="BA17" s="50">
        <f t="shared" si="16"/>
        <v>0</v>
      </c>
      <c r="BB17" s="50">
        <f t="shared" si="17"/>
        <v>0</v>
      </c>
    </row>
    <row r="18" spans="1:54">
      <c r="A18" s="46" t="s">
        <v>107</v>
      </c>
      <c r="B18" s="46" t="s">
        <v>21</v>
      </c>
      <c r="C18" s="46" t="s">
        <v>107</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v>
      </c>
      <c r="P18" s="68">
        <v>15182357.23099955</v>
      </c>
      <c r="Q18" s="68">
        <v>17072719.8789321</v>
      </c>
      <c r="R18" s="68">
        <v>0</v>
      </c>
      <c r="S18" s="68">
        <v>0</v>
      </c>
      <c r="T18" s="68">
        <v>0</v>
      </c>
      <c r="U18" s="68">
        <v>0</v>
      </c>
      <c r="V18" s="68">
        <v>0</v>
      </c>
      <c r="W18" s="50"/>
      <c r="X18" s="46" t="s">
        <v>107</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595">
        <v>15839974.24952361</v>
      </c>
      <c r="AJ18" s="595">
        <v>15929659.40939655</v>
      </c>
      <c r="AK18" s="595">
        <v>15182357.23099955</v>
      </c>
      <c r="AL18" s="595">
        <v>17072719.8789321</v>
      </c>
      <c r="AM18" s="595">
        <v>0</v>
      </c>
      <c r="AN18" s="595">
        <v>0</v>
      </c>
      <c r="AO18" s="595">
        <v>0</v>
      </c>
      <c r="AP18" s="595">
        <v>0</v>
      </c>
      <c r="AQ18" s="595">
        <v>0</v>
      </c>
      <c r="AR18" s="50"/>
      <c r="AS18" s="46" t="s">
        <v>107</v>
      </c>
      <c r="AT18" s="50">
        <f t="shared" si="9"/>
        <v>0</v>
      </c>
      <c r="AU18" s="50">
        <f t="shared" si="10"/>
        <v>0</v>
      </c>
      <c r="AV18" s="50">
        <f t="shared" si="11"/>
        <v>0</v>
      </c>
      <c r="AW18" s="50">
        <f t="shared" si="12"/>
        <v>0</v>
      </c>
      <c r="AX18" s="50">
        <f t="shared" si="13"/>
        <v>0</v>
      </c>
      <c r="AY18" s="50">
        <f t="shared" si="14"/>
        <v>0</v>
      </c>
      <c r="AZ18" s="50">
        <f t="shared" si="15"/>
        <v>0</v>
      </c>
      <c r="BA18" s="50">
        <f t="shared" si="16"/>
        <v>0</v>
      </c>
      <c r="BB18" s="50">
        <f t="shared" si="17"/>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20333333.333333328</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595">
        <v>0</v>
      </c>
      <c r="AJ19" s="595">
        <v>0</v>
      </c>
      <c r="AK19" s="595">
        <v>4000000</v>
      </c>
      <c r="AL19" s="595">
        <v>10000000</v>
      </c>
      <c r="AM19" s="595">
        <v>16000000</v>
      </c>
      <c r="AN19" s="595">
        <v>16000000</v>
      </c>
      <c r="AO19" s="595">
        <v>20333333.333333328</v>
      </c>
      <c r="AP19" s="595">
        <v>22077380.952380951</v>
      </c>
      <c r="AQ19" s="595">
        <v>21709415.5844156</v>
      </c>
      <c r="AR19" s="50"/>
      <c r="AS19" s="117" t="str">
        <f>+AS20</f>
        <v>[LSAT]</v>
      </c>
      <c r="AT19" s="50">
        <f t="shared" si="9"/>
        <v>0</v>
      </c>
      <c r="AU19" s="50">
        <f t="shared" si="10"/>
        <v>0</v>
      </c>
      <c r="AV19" s="50">
        <f t="shared" si="11"/>
        <v>-4000000</v>
      </c>
      <c r="AW19" s="50">
        <f t="shared" si="12"/>
        <v>-10000000</v>
      </c>
      <c r="AX19" s="50">
        <f t="shared" si="13"/>
        <v>0</v>
      </c>
      <c r="AY19" s="50">
        <f t="shared" si="14"/>
        <v>0</v>
      </c>
      <c r="AZ19" s="50">
        <f t="shared" si="15"/>
        <v>0</v>
      </c>
      <c r="BA19" s="50">
        <f t="shared" si="16"/>
        <v>0</v>
      </c>
      <c r="BB19" s="50">
        <f t="shared" si="17"/>
        <v>0</v>
      </c>
    </row>
    <row r="20" spans="1:54">
      <c r="A20" s="46" t="s">
        <v>186</v>
      </c>
      <c r="B20" s="46" t="s">
        <v>46</v>
      </c>
      <c r="C20" s="46" t="s">
        <v>108</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20333333.333333328</v>
      </c>
      <c r="U20" s="68">
        <v>22077380.952380951</v>
      </c>
      <c r="V20" s="68">
        <v>21709415.5844156</v>
      </c>
      <c r="W20" s="50"/>
      <c r="X20" s="46" t="s">
        <v>108</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595">
        <v>0</v>
      </c>
      <c r="AJ20" s="595">
        <v>0</v>
      </c>
      <c r="AK20" s="595">
        <v>4000000</v>
      </c>
      <c r="AL20" s="595">
        <v>10000000</v>
      </c>
      <c r="AM20" s="595">
        <v>16000000</v>
      </c>
      <c r="AN20" s="595">
        <v>16000000</v>
      </c>
      <c r="AO20" s="595">
        <v>20333333.333333328</v>
      </c>
      <c r="AP20" s="595">
        <v>22077380.952380951</v>
      </c>
      <c r="AQ20" s="595">
        <v>21709415.5844156</v>
      </c>
      <c r="AR20" s="50"/>
      <c r="AS20" s="46" t="s">
        <v>108</v>
      </c>
      <c r="AT20" s="50">
        <f t="shared" si="9"/>
        <v>0</v>
      </c>
      <c r="AU20" s="50">
        <f t="shared" si="10"/>
        <v>0</v>
      </c>
      <c r="AV20" s="50">
        <f t="shared" si="11"/>
        <v>-4000000</v>
      </c>
      <c r="AW20" s="50">
        <f t="shared" si="12"/>
        <v>-10000000</v>
      </c>
      <c r="AX20" s="50">
        <f t="shared" si="13"/>
        <v>0</v>
      </c>
      <c r="AY20" s="50">
        <f t="shared" si="14"/>
        <v>0</v>
      </c>
      <c r="AZ20" s="50">
        <f t="shared" si="15"/>
        <v>0</v>
      </c>
      <c r="BA20" s="50">
        <f t="shared" si="16"/>
        <v>0</v>
      </c>
      <c r="BB20" s="50">
        <f t="shared" si="17"/>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595">
        <v>0</v>
      </c>
      <c r="AJ21" s="595">
        <v>0</v>
      </c>
      <c r="AK21" s="595">
        <v>0</v>
      </c>
      <c r="AL21" s="595">
        <v>0</v>
      </c>
      <c r="AM21" s="595">
        <v>0</v>
      </c>
      <c r="AN21" s="595">
        <v>12500000</v>
      </c>
      <c r="AO21" s="595">
        <v>18750000</v>
      </c>
      <c r="AP21" s="595">
        <v>25000000</v>
      </c>
      <c r="AQ21" s="595">
        <v>45000000</v>
      </c>
      <c r="AR21" s="50"/>
      <c r="AS21" s="117" t="str">
        <f>+AS22</f>
        <v>[L4]</v>
      </c>
      <c r="AT21" s="50">
        <f t="shared" si="9"/>
        <v>0</v>
      </c>
      <c r="AU21" s="50">
        <f t="shared" si="10"/>
        <v>0</v>
      </c>
      <c r="AV21" s="50">
        <f t="shared" si="11"/>
        <v>0</v>
      </c>
      <c r="AW21" s="50">
        <f t="shared" si="12"/>
        <v>0</v>
      </c>
      <c r="AX21" s="50">
        <f t="shared" si="13"/>
        <v>0</v>
      </c>
      <c r="AY21" s="50">
        <f t="shared" si="14"/>
        <v>0</v>
      </c>
      <c r="AZ21" s="50">
        <f t="shared" si="15"/>
        <v>0</v>
      </c>
      <c r="BA21" s="50">
        <f t="shared" si="16"/>
        <v>0</v>
      </c>
      <c r="BB21" s="50">
        <f t="shared" si="17"/>
        <v>0</v>
      </c>
    </row>
    <row r="22" spans="1:54">
      <c r="A22" s="46" t="s">
        <v>186</v>
      </c>
      <c r="B22" s="46" t="s">
        <v>47</v>
      </c>
      <c r="C22" s="46" t="s">
        <v>109</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109</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595">
        <v>0</v>
      </c>
      <c r="AJ22" s="595">
        <v>0</v>
      </c>
      <c r="AK22" s="595">
        <v>0</v>
      </c>
      <c r="AL22" s="595">
        <v>0</v>
      </c>
      <c r="AM22" s="595">
        <v>0</v>
      </c>
      <c r="AN22" s="595">
        <v>12500000</v>
      </c>
      <c r="AO22" s="595">
        <v>18750000</v>
      </c>
      <c r="AP22" s="595">
        <v>25000000</v>
      </c>
      <c r="AQ22" s="595">
        <v>45000000</v>
      </c>
      <c r="AR22" s="50"/>
      <c r="AS22" s="46" t="s">
        <v>109</v>
      </c>
      <c r="AT22" s="50">
        <f t="shared" si="9"/>
        <v>0</v>
      </c>
      <c r="AU22" s="50">
        <f t="shared" si="10"/>
        <v>0</v>
      </c>
      <c r="AV22" s="50">
        <f t="shared" si="11"/>
        <v>0</v>
      </c>
      <c r="AW22" s="50">
        <f t="shared" si="12"/>
        <v>0</v>
      </c>
      <c r="AX22" s="50">
        <f t="shared" si="13"/>
        <v>0</v>
      </c>
      <c r="AY22" s="50">
        <f t="shared" si="14"/>
        <v>0</v>
      </c>
      <c r="AZ22" s="50">
        <f t="shared" si="15"/>
        <v>0</v>
      </c>
      <c r="BA22" s="50">
        <f t="shared" si="16"/>
        <v>0</v>
      </c>
      <c r="BB22" s="50">
        <f t="shared" si="17"/>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595">
        <v>20000000</v>
      </c>
      <c r="AJ23" s="595">
        <v>20600000</v>
      </c>
      <c r="AK23" s="595">
        <v>21218000</v>
      </c>
      <c r="AL23" s="595">
        <v>26854540</v>
      </c>
      <c r="AM23" s="595">
        <v>27660176.199999999</v>
      </c>
      <c r="AN23" s="595">
        <v>28489981.486000001</v>
      </c>
      <c r="AO23" s="595">
        <v>34344680.930580013</v>
      </c>
      <c r="AP23" s="595">
        <v>35375021.358497404</v>
      </c>
      <c r="AQ23" s="595">
        <v>41436271.999252327</v>
      </c>
      <c r="AR23" s="50"/>
      <c r="AS23" s="117" t="str">
        <f>+AS24</f>
        <v>PV Loren fees (Key money)</v>
      </c>
      <c r="AT23" s="50">
        <f t="shared" si="9"/>
        <v>0</v>
      </c>
      <c r="AU23" s="50">
        <f t="shared" si="10"/>
        <v>-600000</v>
      </c>
      <c r="AV23" s="50">
        <f t="shared" si="11"/>
        <v>-1218000</v>
      </c>
      <c r="AW23" s="50">
        <f t="shared" si="12"/>
        <v>-1854540</v>
      </c>
      <c r="AX23" s="50">
        <f t="shared" si="13"/>
        <v>-2660176.1999999993</v>
      </c>
      <c r="AY23" s="50">
        <f t="shared" si="14"/>
        <v>-3489981.4860000014</v>
      </c>
      <c r="AZ23" s="50">
        <f t="shared" si="15"/>
        <v>-4344680.9305800125</v>
      </c>
      <c r="BA23" s="50">
        <f t="shared" si="16"/>
        <v>-5375021.3584974036</v>
      </c>
      <c r="BB23" s="50">
        <f t="shared" si="17"/>
        <v>-6436271.9992523268</v>
      </c>
    </row>
    <row r="24" spans="1:54">
      <c r="A24" s="46" t="s">
        <v>187</v>
      </c>
      <c r="B24" s="46" t="s">
        <v>30</v>
      </c>
      <c r="C24" s="46" t="s">
        <v>30</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30</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595">
        <v>20000000</v>
      </c>
      <c r="AJ24" s="595">
        <v>20600000</v>
      </c>
      <c r="AK24" s="595">
        <v>21218000</v>
      </c>
      <c r="AL24" s="595">
        <v>26854540</v>
      </c>
      <c r="AM24" s="595">
        <v>27660176.199999999</v>
      </c>
      <c r="AN24" s="595">
        <v>28489981.486000001</v>
      </c>
      <c r="AO24" s="595">
        <v>34344680.930580013</v>
      </c>
      <c r="AP24" s="595">
        <v>35375021.358497404</v>
      </c>
      <c r="AQ24" s="595">
        <v>41436271.999252327</v>
      </c>
      <c r="AR24" s="50"/>
      <c r="AS24" s="46" t="s">
        <v>30</v>
      </c>
      <c r="AT24" s="50">
        <f t="shared" si="9"/>
        <v>0</v>
      </c>
      <c r="AU24" s="50">
        <f t="shared" si="10"/>
        <v>-600000</v>
      </c>
      <c r="AV24" s="50">
        <f t="shared" si="11"/>
        <v>-1218000</v>
      </c>
      <c r="AW24" s="50">
        <f t="shared" si="12"/>
        <v>-1854540</v>
      </c>
      <c r="AX24" s="50">
        <f t="shared" si="13"/>
        <v>-2660176.1999999993</v>
      </c>
      <c r="AY24" s="50">
        <f t="shared" si="14"/>
        <v>-3489981.4860000014</v>
      </c>
      <c r="AZ24" s="50">
        <f t="shared" si="15"/>
        <v>-4344680.9305800125</v>
      </c>
      <c r="BA24" s="50">
        <f t="shared" si="16"/>
        <v>-5375021.3584974036</v>
      </c>
      <c r="BB24" s="50">
        <f t="shared" si="17"/>
        <v>-6436271.9992523268</v>
      </c>
    </row>
    <row r="25" spans="1:54">
      <c r="A25" s="43"/>
      <c r="B25" s="43"/>
      <c r="C25" s="46" t="s">
        <v>110</v>
      </c>
      <c r="D25" s="50">
        <f>lgh_bs!F25</f>
        <v>2784794.7757142857</v>
      </c>
      <c r="E25" s="50">
        <f>lgh_bs!G25</f>
        <v>3150708.9751250003</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2784794.7757142861</v>
      </c>
      <c r="O25" s="68">
        <v>3150708.9751249999</v>
      </c>
      <c r="P25" s="68">
        <v>3175738.27275</v>
      </c>
      <c r="Q25" s="68">
        <v>3356358.0703750001</v>
      </c>
      <c r="R25" s="68">
        <v>3280322.0304999999</v>
      </c>
      <c r="S25" s="68">
        <v>3183766.1042149998</v>
      </c>
      <c r="T25" s="68">
        <v>2489194.6254014499</v>
      </c>
      <c r="U25" s="68">
        <v>4037736.002223494</v>
      </c>
      <c r="V25" s="68">
        <v>5265898.3396666665</v>
      </c>
      <c r="W25" s="50"/>
      <c r="X25" s="46" t="s">
        <v>110</v>
      </c>
      <c r="Y25" s="50">
        <f t="shared" si="0"/>
        <v>0</v>
      </c>
      <c r="Z25" s="50">
        <f t="shared" si="1"/>
        <v>0</v>
      </c>
      <c r="AA25" s="50">
        <f t="shared" si="2"/>
        <v>0</v>
      </c>
      <c r="AB25" s="50">
        <f t="shared" si="3"/>
        <v>0</v>
      </c>
      <c r="AC25" s="50">
        <f t="shared" si="4"/>
        <v>0</v>
      </c>
      <c r="AD25" s="50">
        <f t="shared" si="5"/>
        <v>0</v>
      </c>
      <c r="AE25" s="50">
        <f t="shared" si="6"/>
        <v>0</v>
      </c>
      <c r="AF25" s="50">
        <f t="shared" si="7"/>
        <v>0</v>
      </c>
      <c r="AG25" s="50">
        <f t="shared" si="8"/>
        <v>0</v>
      </c>
      <c r="AI25" s="595">
        <v>4397214.49</v>
      </c>
      <c r="AJ25" s="595">
        <v>8130085.6322500007</v>
      </c>
      <c r="AK25" s="595">
        <v>8361313.9869999997</v>
      </c>
      <c r="AL25" s="595">
        <v>8205723.3417500006</v>
      </c>
      <c r="AM25" s="595">
        <v>7808593.6465000007</v>
      </c>
      <c r="AN25" s="595">
        <v>6597505.9230199996</v>
      </c>
      <c r="AO25" s="595">
        <v>6303210.2286530994</v>
      </c>
      <c r="AP25" s="595">
        <v>4448477.7518301923</v>
      </c>
      <c r="AQ25" s="595">
        <v>5600000.2333333343</v>
      </c>
      <c r="AR25" s="50"/>
      <c r="AS25" s="46" t="s">
        <v>110</v>
      </c>
      <c r="AT25" s="50">
        <f t="shared" si="9"/>
        <v>-1612419.7142857146</v>
      </c>
      <c r="AU25" s="50">
        <f t="shared" si="10"/>
        <v>-4979376.6571249999</v>
      </c>
      <c r="AV25" s="50">
        <f t="shared" si="11"/>
        <v>-5185575.7142499993</v>
      </c>
      <c r="AW25" s="50">
        <f t="shared" si="12"/>
        <v>-4849365.2713750005</v>
      </c>
      <c r="AX25" s="50">
        <f t="shared" si="13"/>
        <v>-4528271.6160000004</v>
      </c>
      <c r="AY25" s="50">
        <f t="shared" si="14"/>
        <v>-3413739.8188049998</v>
      </c>
      <c r="AZ25" s="50">
        <f t="shared" si="15"/>
        <v>-3814015.6032516491</v>
      </c>
      <c r="BA25" s="50">
        <f t="shared" si="16"/>
        <v>-410741.74960669875</v>
      </c>
      <c r="BB25" s="50">
        <f t="shared" si="17"/>
        <v>-334101.89366666786</v>
      </c>
    </row>
    <row r="26" spans="1:54">
      <c r="A26" s="46" t="s">
        <v>186</v>
      </c>
      <c r="B26" s="46" t="s">
        <v>45</v>
      </c>
      <c r="C26" s="46" t="s">
        <v>111</v>
      </c>
      <c r="D26" s="50">
        <f>lgh_bs!F26</f>
        <v>2784794.7757142857</v>
      </c>
      <c r="E26" s="50">
        <f>lgh_bs!G26</f>
        <v>3150708.9751250003</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2784794.7757142861</v>
      </c>
      <c r="O26" s="68">
        <v>3150708.9751249999</v>
      </c>
      <c r="P26" s="68">
        <v>3175738.27275</v>
      </c>
      <c r="Q26" s="68">
        <v>3356358.0703750001</v>
      </c>
      <c r="R26" s="68">
        <v>3280322.0304999999</v>
      </c>
      <c r="S26" s="68">
        <v>3183766.1042149998</v>
      </c>
      <c r="T26" s="68">
        <v>2489194.6254014499</v>
      </c>
      <c r="U26" s="68">
        <v>4037736.002223494</v>
      </c>
      <c r="V26" s="68">
        <v>5265898.3396666665</v>
      </c>
      <c r="W26" s="50"/>
      <c r="X26" s="46" t="s">
        <v>111</v>
      </c>
      <c r="Y26" s="50">
        <f t="shared" si="0"/>
        <v>0</v>
      </c>
      <c r="Z26" s="50">
        <f t="shared" si="1"/>
        <v>0</v>
      </c>
      <c r="AA26" s="50">
        <f t="shared" si="2"/>
        <v>0</v>
      </c>
      <c r="AB26" s="50">
        <f t="shared" si="3"/>
        <v>0</v>
      </c>
      <c r="AC26" s="50">
        <f t="shared" si="4"/>
        <v>0</v>
      </c>
      <c r="AD26" s="50">
        <f t="shared" si="5"/>
        <v>0</v>
      </c>
      <c r="AE26" s="50">
        <f t="shared" si="6"/>
        <v>0</v>
      </c>
      <c r="AF26" s="50">
        <f t="shared" si="7"/>
        <v>0</v>
      </c>
      <c r="AG26" s="50">
        <f t="shared" si="8"/>
        <v>0</v>
      </c>
      <c r="AI26" s="595">
        <v>4397214.49</v>
      </c>
      <c r="AJ26" s="595">
        <v>8130085.6322500007</v>
      </c>
      <c r="AK26" s="595">
        <v>8361313.9869999997</v>
      </c>
      <c r="AL26" s="595">
        <v>8205723.3417500006</v>
      </c>
      <c r="AM26" s="595">
        <v>7808593.6465000007</v>
      </c>
      <c r="AN26" s="595">
        <v>6597505.9230199996</v>
      </c>
      <c r="AO26" s="595">
        <v>6303210.2286530994</v>
      </c>
      <c r="AP26" s="595">
        <v>4448477.7518301923</v>
      </c>
      <c r="AQ26" s="595">
        <v>5600000.2333333343</v>
      </c>
      <c r="AR26" s="50"/>
      <c r="AS26" s="46" t="s">
        <v>111</v>
      </c>
      <c r="AT26" s="50">
        <f t="shared" si="9"/>
        <v>-1612419.7142857146</v>
      </c>
      <c r="AU26" s="50">
        <f t="shared" si="10"/>
        <v>-4979376.6571249999</v>
      </c>
      <c r="AV26" s="50">
        <f t="shared" si="11"/>
        <v>-5185575.7142499993</v>
      </c>
      <c r="AW26" s="50">
        <f t="shared" si="12"/>
        <v>-4849365.2713750005</v>
      </c>
      <c r="AX26" s="50">
        <f t="shared" si="13"/>
        <v>-4528271.6160000004</v>
      </c>
      <c r="AY26" s="50">
        <f t="shared" si="14"/>
        <v>-3413739.8188049998</v>
      </c>
      <c r="AZ26" s="50">
        <f t="shared" si="15"/>
        <v>-3814015.6032516491</v>
      </c>
      <c r="BA26" s="50">
        <f t="shared" si="16"/>
        <v>-410741.74960669875</v>
      </c>
      <c r="BB26" s="50">
        <f t="shared" si="17"/>
        <v>-334101.89366666786</v>
      </c>
    </row>
    <row r="27" spans="1:54" s="2" customFormat="1">
      <c r="A27" s="43"/>
      <c r="B27" s="43"/>
      <c r="C27" s="46" t="s">
        <v>112</v>
      </c>
      <c r="D27" s="50">
        <f>lgh_bs!F27</f>
        <v>167442758.12290001</v>
      </c>
      <c r="E27" s="50">
        <f>lgh_bs!G27</f>
        <v>173799417.84675279</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214126838.41793409</v>
      </c>
      <c r="S27" s="68">
        <v>240948182.8953197</v>
      </c>
      <c r="T27" s="68">
        <v>291073528.60599089</v>
      </c>
      <c r="U27" s="68">
        <v>349878133.43084711</v>
      </c>
      <c r="V27" s="68">
        <v>407932790.18379629</v>
      </c>
      <c r="W27" s="50"/>
      <c r="X27" s="46" t="s">
        <v>112</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595">
        <v>168414630.98166549</v>
      </c>
      <c r="AJ27" s="595">
        <v>175506772.30760011</v>
      </c>
      <c r="AK27" s="595">
        <v>192108694.56886819</v>
      </c>
      <c r="AL27" s="595">
        <v>206707365.7519666</v>
      </c>
      <c r="AM27" s="595">
        <v>216197928.30925819</v>
      </c>
      <c r="AN27" s="595">
        <v>241416395.39816639</v>
      </c>
      <c r="AO27" s="595">
        <v>289529274.95346773</v>
      </c>
      <c r="AP27" s="595">
        <v>340168192.9409613</v>
      </c>
      <c r="AQ27" s="595">
        <v>398177062.44128299</v>
      </c>
      <c r="AR27" s="50"/>
      <c r="AS27" s="46" t="s">
        <v>112</v>
      </c>
      <c r="AT27" s="50">
        <f t="shared" si="9"/>
        <v>-971872.8587654829</v>
      </c>
      <c r="AU27" s="50">
        <f t="shared" si="10"/>
        <v>-1707354.4608473182</v>
      </c>
      <c r="AV27" s="50">
        <f t="shared" si="11"/>
        <v>-5796992.7291685045</v>
      </c>
      <c r="AW27" s="50">
        <f t="shared" si="12"/>
        <v>-11968784.007656485</v>
      </c>
      <c r="AX27" s="50">
        <f t="shared" si="13"/>
        <v>-2071089.8913241327</v>
      </c>
      <c r="AY27" s="50">
        <f t="shared" si="14"/>
        <v>-468212.50284671783</v>
      </c>
      <c r="AZ27" s="50">
        <f t="shared" si="15"/>
        <v>1544253.6525232196</v>
      </c>
      <c r="BA27" s="50">
        <f t="shared" si="16"/>
        <v>9709940.489885807</v>
      </c>
      <c r="BB27" s="50">
        <f t="shared" si="17"/>
        <v>9755727.7425133586</v>
      </c>
    </row>
    <row r="28" spans="1:54">
      <c r="A28" s="43"/>
      <c r="B28" s="43"/>
      <c r="C28" s="83" t="s">
        <v>113</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113</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596"/>
      <c r="AJ28" s="596"/>
      <c r="AK28" s="596"/>
      <c r="AL28" s="596"/>
      <c r="AM28" s="596"/>
      <c r="AN28" s="596"/>
      <c r="AO28" s="596"/>
      <c r="AP28" s="596"/>
      <c r="AQ28" s="596"/>
      <c r="AR28" s="62"/>
      <c r="AS28" s="83" t="s">
        <v>113</v>
      </c>
      <c r="AT28" s="50">
        <f t="shared" si="9"/>
        <v>0</v>
      </c>
      <c r="AU28" s="50">
        <f t="shared" si="10"/>
        <v>0</v>
      </c>
      <c r="AV28" s="50">
        <f t="shared" si="11"/>
        <v>0</v>
      </c>
      <c r="AW28" s="50">
        <f t="shared" si="12"/>
        <v>0</v>
      </c>
      <c r="AX28" s="50">
        <f t="shared" si="13"/>
        <v>0</v>
      </c>
      <c r="AY28" s="50">
        <f t="shared" si="14"/>
        <v>0</v>
      </c>
      <c r="AZ28" s="50">
        <f t="shared" si="15"/>
        <v>0</v>
      </c>
      <c r="BA28" s="50">
        <f t="shared" si="16"/>
        <v>0</v>
      </c>
      <c r="BB28" s="50">
        <f t="shared" si="17"/>
        <v>0</v>
      </c>
    </row>
    <row r="29" spans="1:54">
      <c r="A29" s="46" t="s">
        <v>188</v>
      </c>
      <c r="B29" s="46" t="s">
        <v>40</v>
      </c>
      <c r="C29" s="46" t="s">
        <v>114</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12239223.025316531</v>
      </c>
      <c r="Q29" s="68">
        <v>12195991.877848441</v>
      </c>
      <c r="R29" s="68">
        <v>7400513.4327920657</v>
      </c>
      <c r="S29" s="68">
        <v>0</v>
      </c>
      <c r="T29" s="68">
        <v>0</v>
      </c>
      <c r="U29" s="68">
        <v>0</v>
      </c>
      <c r="V29" s="68">
        <v>0</v>
      </c>
      <c r="W29" s="50"/>
      <c r="X29" s="46" t="s">
        <v>114</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595">
        <v>8575632.538205862</v>
      </c>
      <c r="AJ29" s="595">
        <v>7900128.8430335149</v>
      </c>
      <c r="AK29" s="595">
        <v>12239223.025316531</v>
      </c>
      <c r="AL29" s="595">
        <v>12195991.877848441</v>
      </c>
      <c r="AM29" s="595">
        <v>7400513.4327920657</v>
      </c>
      <c r="AN29" s="595">
        <v>0</v>
      </c>
      <c r="AO29" s="595">
        <v>0</v>
      </c>
      <c r="AP29" s="595">
        <v>0</v>
      </c>
      <c r="AQ29" s="595">
        <v>0</v>
      </c>
      <c r="AR29" s="50"/>
      <c r="AS29" s="46" t="s">
        <v>114</v>
      </c>
      <c r="AT29" s="50">
        <f t="shared" si="9"/>
        <v>0</v>
      </c>
      <c r="AU29" s="50">
        <f t="shared" si="10"/>
        <v>0</v>
      </c>
      <c r="AV29" s="50">
        <f t="shared" si="11"/>
        <v>0</v>
      </c>
      <c r="AW29" s="50">
        <f t="shared" si="12"/>
        <v>0</v>
      </c>
      <c r="AX29" s="50">
        <f t="shared" si="13"/>
        <v>0</v>
      </c>
      <c r="AY29" s="50">
        <f t="shared" si="14"/>
        <v>0</v>
      </c>
      <c r="AZ29" s="50">
        <f t="shared" si="15"/>
        <v>0</v>
      </c>
      <c r="BA29" s="50">
        <f t="shared" si="16"/>
        <v>0</v>
      </c>
      <c r="BB29" s="50">
        <f t="shared" si="17"/>
        <v>0</v>
      </c>
    </row>
    <row r="30" spans="1:54">
      <c r="A30" s="46" t="s">
        <v>186</v>
      </c>
      <c r="B30" s="46" t="s">
        <v>52</v>
      </c>
      <c r="C30" s="46" t="s">
        <v>115</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115</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595">
        <v>0</v>
      </c>
      <c r="AJ30" s="595">
        <v>0</v>
      </c>
      <c r="AK30" s="595">
        <v>4000000</v>
      </c>
      <c r="AL30" s="595">
        <v>10000000</v>
      </c>
      <c r="AM30" s="595">
        <v>16000000</v>
      </c>
      <c r="AN30" s="595">
        <v>18400000</v>
      </c>
      <c r="AO30" s="595">
        <v>21160000</v>
      </c>
      <c r="AP30" s="595">
        <v>24334000</v>
      </c>
      <c r="AQ30" s="595">
        <v>27984099.999999989</v>
      </c>
      <c r="AR30" s="50"/>
      <c r="AS30" s="46" t="s">
        <v>115</v>
      </c>
      <c r="AT30" s="50">
        <f t="shared" si="9"/>
        <v>0</v>
      </c>
      <c r="AU30" s="50">
        <f t="shared" si="10"/>
        <v>0</v>
      </c>
      <c r="AV30" s="50">
        <f t="shared" si="11"/>
        <v>-4000000</v>
      </c>
      <c r="AW30" s="50">
        <f t="shared" si="12"/>
        <v>-10000000</v>
      </c>
      <c r="AX30" s="50">
        <f t="shared" si="13"/>
        <v>-16000000</v>
      </c>
      <c r="AY30" s="50">
        <f t="shared" si="14"/>
        <v>-18400000</v>
      </c>
      <c r="AZ30" s="50">
        <f t="shared" si="15"/>
        <v>-21160000</v>
      </c>
      <c r="BA30" s="50">
        <f t="shared" si="16"/>
        <v>-24334000</v>
      </c>
      <c r="BB30" s="50">
        <f t="shared" si="17"/>
        <v>-27984099.999999989</v>
      </c>
    </row>
    <row r="31" spans="1:54">
      <c r="A31" s="46" t="s">
        <v>189</v>
      </c>
      <c r="B31" s="46" t="s">
        <v>38</v>
      </c>
      <c r="C31" s="46" t="s">
        <v>116</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17286474.095939841</v>
      </c>
      <c r="S31" s="68">
        <v>18797445.21033081</v>
      </c>
      <c r="T31" s="68">
        <v>21168561.991880439</v>
      </c>
      <c r="U31" s="68">
        <v>24343846.290662501</v>
      </c>
      <c r="V31" s="68">
        <v>27995423.23426187</v>
      </c>
      <c r="W31" s="50"/>
      <c r="X31" s="46" t="s">
        <v>116</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595">
        <v>6989833.6678437497</v>
      </c>
      <c r="AJ31" s="595">
        <v>8001344.413481757</v>
      </c>
      <c r="AK31" s="595">
        <v>8575801.243056858</v>
      </c>
      <c r="AL31" s="595">
        <v>8582691.7381072436</v>
      </c>
      <c r="AM31" s="595">
        <v>1280000</v>
      </c>
      <c r="AN31" s="595">
        <v>390000</v>
      </c>
      <c r="AO31" s="595">
        <v>0</v>
      </c>
      <c r="AP31" s="595">
        <v>0</v>
      </c>
      <c r="AQ31" s="595">
        <v>0</v>
      </c>
      <c r="AR31" s="50"/>
      <c r="AS31" s="46" t="s">
        <v>116</v>
      </c>
      <c r="AT31" s="50">
        <f t="shared" si="9"/>
        <v>0</v>
      </c>
      <c r="AU31" s="50">
        <f t="shared" si="10"/>
        <v>0</v>
      </c>
      <c r="AV31" s="50">
        <f t="shared" si="11"/>
        <v>0</v>
      </c>
      <c r="AW31" s="50">
        <f t="shared" si="12"/>
        <v>0</v>
      </c>
      <c r="AX31" s="50">
        <f t="shared" si="13"/>
        <v>16006474.095939837</v>
      </c>
      <c r="AY31" s="50">
        <f t="shared" si="14"/>
        <v>18407445.210330814</v>
      </c>
      <c r="AZ31" s="50">
        <f t="shared" si="15"/>
        <v>21168561.991880435</v>
      </c>
      <c r="BA31" s="50">
        <f t="shared" si="16"/>
        <v>24343846.290662497</v>
      </c>
      <c r="BB31" s="50">
        <f t="shared" si="17"/>
        <v>27995423.23426187</v>
      </c>
    </row>
    <row r="32" spans="1:54">
      <c r="A32" s="43"/>
      <c r="B32" s="43"/>
      <c r="C32" s="46" t="s">
        <v>117</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v>
      </c>
      <c r="O32" s="68">
        <v>15901473.25651527</v>
      </c>
      <c r="P32" s="68">
        <v>20815024.268373389</v>
      </c>
      <c r="Q32" s="68">
        <v>20778683.615955692</v>
      </c>
      <c r="R32" s="68">
        <v>24686987.528731901</v>
      </c>
      <c r="S32" s="68">
        <v>18797445.21033081</v>
      </c>
      <c r="T32" s="68">
        <v>21168561.991880439</v>
      </c>
      <c r="U32" s="68">
        <v>24343846.290662501</v>
      </c>
      <c r="V32" s="68">
        <v>27995423.23426187</v>
      </c>
      <c r="W32" s="50"/>
      <c r="X32" s="46" t="s">
        <v>117</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595">
        <v>15565466.20604961</v>
      </c>
      <c r="AJ32" s="595">
        <v>15901473.25651527</v>
      </c>
      <c r="AK32" s="595">
        <v>24815024.268373389</v>
      </c>
      <c r="AL32" s="595">
        <v>30778683.615955692</v>
      </c>
      <c r="AM32" s="595">
        <v>24680513.432792071</v>
      </c>
      <c r="AN32" s="595">
        <v>18790000</v>
      </c>
      <c r="AO32" s="595">
        <v>21160000</v>
      </c>
      <c r="AP32" s="595">
        <v>24334000</v>
      </c>
      <c r="AQ32" s="595">
        <v>27984099.999999989</v>
      </c>
      <c r="AR32" s="50"/>
      <c r="AS32" s="46" t="s">
        <v>117</v>
      </c>
      <c r="AT32" s="50">
        <f t="shared" si="9"/>
        <v>0</v>
      </c>
      <c r="AU32" s="50">
        <f t="shared" si="10"/>
        <v>0</v>
      </c>
      <c r="AV32" s="50">
        <f t="shared" si="11"/>
        <v>-4000000.0000000037</v>
      </c>
      <c r="AW32" s="50">
        <f t="shared" si="12"/>
        <v>-10000000.000000004</v>
      </c>
      <c r="AX32" s="50">
        <f t="shared" si="13"/>
        <v>6474.0959398336709</v>
      </c>
      <c r="AY32" s="50">
        <f t="shared" si="14"/>
        <v>7445.2103308141232</v>
      </c>
      <c r="AZ32" s="50">
        <f t="shared" si="15"/>
        <v>8561.9918804354966</v>
      </c>
      <c r="BA32" s="50">
        <f t="shared" si="16"/>
        <v>9846.290662497282</v>
      </c>
      <c r="BB32" s="50">
        <f t="shared" si="17"/>
        <v>11323.23426188156</v>
      </c>
    </row>
    <row r="33" spans="1:54">
      <c r="A33" s="43"/>
      <c r="B33" s="43"/>
      <c r="C33" s="46" t="s">
        <v>20</v>
      </c>
      <c r="D33" s="50">
        <f>lgh_bs!F33</f>
        <v>151877291.91685039</v>
      </c>
      <c r="E33" s="50">
        <f>lgh_bs!G33</f>
        <v>157897944.59023753</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v>
      </c>
      <c r="P33" s="68">
        <v>165496677.57132629</v>
      </c>
      <c r="Q33" s="68">
        <v>173959898.1283544</v>
      </c>
      <c r="R33" s="68">
        <v>189439850.88920209</v>
      </c>
      <c r="S33" s="68">
        <v>222150737.68498889</v>
      </c>
      <c r="T33" s="68">
        <v>269904966.61411053</v>
      </c>
      <c r="U33" s="68">
        <v>325534287.14018458</v>
      </c>
      <c r="V33" s="68">
        <v>379937366.94953448</v>
      </c>
      <c r="W33" s="50"/>
      <c r="X33" s="46" t="s">
        <v>20</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595">
        <v>152849164.7756159</v>
      </c>
      <c r="AJ33" s="595">
        <v>159605299.05108479</v>
      </c>
      <c r="AK33" s="595">
        <v>167293670.30049479</v>
      </c>
      <c r="AL33" s="595">
        <v>175928682.13601089</v>
      </c>
      <c r="AM33" s="595">
        <v>191517414.87646621</v>
      </c>
      <c r="AN33" s="595">
        <v>222626395.39816639</v>
      </c>
      <c r="AO33" s="595">
        <v>268369274.9534677</v>
      </c>
      <c r="AP33" s="595">
        <v>315834192.9409613</v>
      </c>
      <c r="AQ33" s="595">
        <v>370192962.44128299</v>
      </c>
      <c r="AR33" s="50"/>
      <c r="AS33" s="46" t="s">
        <v>20</v>
      </c>
      <c r="AT33" s="50">
        <f t="shared" si="9"/>
        <v>-971872.8587655127</v>
      </c>
      <c r="AU33" s="50">
        <f t="shared" si="10"/>
        <v>-1707354.4608472586</v>
      </c>
      <c r="AV33" s="50">
        <f t="shared" si="11"/>
        <v>-1796992.7291684747</v>
      </c>
      <c r="AW33" s="50">
        <f t="shared" si="12"/>
        <v>-1968784.007656455</v>
      </c>
      <c r="AX33" s="50">
        <f t="shared" si="13"/>
        <v>-2077563.9872640669</v>
      </c>
      <c r="AY33" s="50">
        <f t="shared" si="14"/>
        <v>-475657.71317753196</v>
      </c>
      <c r="AZ33" s="50">
        <f t="shared" si="15"/>
        <v>1535691.6606428325</v>
      </c>
      <c r="BA33" s="50">
        <f t="shared" si="16"/>
        <v>9700094.1992233396</v>
      </c>
      <c r="BB33" s="50">
        <f t="shared" si="17"/>
        <v>9744404.5082514882</v>
      </c>
    </row>
    <row r="34" spans="1:54">
      <c r="A34" s="43"/>
      <c r="B34" s="43"/>
      <c r="C34" s="83" t="s">
        <v>118</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118</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595"/>
      <c r="AJ34" s="595"/>
      <c r="AK34" s="595"/>
      <c r="AL34" s="595"/>
      <c r="AM34" s="595"/>
      <c r="AN34" s="595"/>
      <c r="AO34" s="595"/>
      <c r="AP34" s="595"/>
      <c r="AQ34" s="595"/>
      <c r="AR34" s="50"/>
      <c r="AS34" s="83" t="s">
        <v>118</v>
      </c>
      <c r="AT34" s="50">
        <f t="shared" si="9"/>
        <v>0</v>
      </c>
      <c r="AU34" s="50">
        <f t="shared" si="10"/>
        <v>0</v>
      </c>
      <c r="AV34" s="50">
        <f t="shared" si="11"/>
        <v>0</v>
      </c>
      <c r="AW34" s="50">
        <f t="shared" si="12"/>
        <v>0</v>
      </c>
      <c r="AX34" s="50">
        <f t="shared" si="13"/>
        <v>0</v>
      </c>
      <c r="AY34" s="50">
        <f t="shared" si="14"/>
        <v>0</v>
      </c>
      <c r="AZ34" s="50">
        <f t="shared" si="15"/>
        <v>0</v>
      </c>
      <c r="BA34" s="50">
        <f t="shared" si="16"/>
        <v>0</v>
      </c>
      <c r="BB34" s="50">
        <f t="shared" si="17"/>
        <v>0</v>
      </c>
    </row>
    <row r="35" spans="1:54">
      <c r="A35" s="46" t="s">
        <v>190</v>
      </c>
      <c r="B35" s="46" t="s">
        <v>50</v>
      </c>
      <c r="C35" s="83" t="s">
        <v>119</v>
      </c>
      <c r="D35" s="50">
        <f>lgh_bs!F35</f>
        <v>657052.17089763575</v>
      </c>
      <c r="E35" s="50">
        <f>lgh_bs!G35</f>
        <v>2764280.6065831347</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2764280.6065831352</v>
      </c>
      <c r="P35" s="68">
        <v>5423837.1499642096</v>
      </c>
      <c r="Q35" s="68">
        <v>8385964.3449240504</v>
      </c>
      <c r="R35" s="68">
        <v>13803947.81122075</v>
      </c>
      <c r="S35" s="68">
        <v>25252758.1897461</v>
      </c>
      <c r="T35" s="68">
        <v>41966738.314938679</v>
      </c>
      <c r="U35" s="68">
        <v>61437000.499064617</v>
      </c>
      <c r="V35" s="68">
        <v>80478078.432337061</v>
      </c>
      <c r="W35" s="50"/>
      <c r="X35" s="83" t="s">
        <v>119</v>
      </c>
      <c r="Y35" s="50">
        <f t="shared" si="0"/>
        <v>0</v>
      </c>
      <c r="Z35" s="50">
        <f t="shared" si="1"/>
        <v>0</v>
      </c>
      <c r="AA35" s="50">
        <f t="shared" si="2"/>
        <v>0</v>
      </c>
      <c r="AB35" s="50">
        <f t="shared" si="3"/>
        <v>0</v>
      </c>
      <c r="AC35" s="50">
        <f t="shared" si="4"/>
        <v>0</v>
      </c>
      <c r="AD35" s="50">
        <f t="shared" si="5"/>
        <v>0</v>
      </c>
      <c r="AE35" s="50">
        <f t="shared" si="6"/>
        <v>0</v>
      </c>
      <c r="AF35" s="50">
        <f t="shared" si="7"/>
        <v>0</v>
      </c>
      <c r="AG35" s="50">
        <f t="shared" si="8"/>
        <v>0</v>
      </c>
      <c r="AI35" s="595">
        <v>854749.43268476124</v>
      </c>
      <c r="AJ35" s="595">
        <v>2881589.7153254538</v>
      </c>
      <c r="AK35" s="595">
        <v>5188101.0901484555</v>
      </c>
      <c r="AL35" s="595">
        <v>7778604.6408032831</v>
      </c>
      <c r="AM35" s="595">
        <v>12455224.462939849</v>
      </c>
      <c r="AN35" s="595">
        <v>21787918.619449921</v>
      </c>
      <c r="AO35" s="595">
        <v>35510782.486040317</v>
      </c>
      <c r="AP35" s="595">
        <v>49750257.882288389</v>
      </c>
      <c r="AQ35" s="595">
        <v>66057888.732384913</v>
      </c>
      <c r="AR35" s="50"/>
      <c r="AS35" s="83" t="s">
        <v>119</v>
      </c>
      <c r="AT35" s="50">
        <f t="shared" si="9"/>
        <v>-197697.26178712549</v>
      </c>
      <c r="AU35" s="50">
        <f t="shared" si="10"/>
        <v>-117309.10874231905</v>
      </c>
      <c r="AV35" s="50">
        <f t="shared" si="11"/>
        <v>235736.05981575418</v>
      </c>
      <c r="AW35" s="50">
        <f t="shared" si="12"/>
        <v>607359.7041207673</v>
      </c>
      <c r="AX35" s="50">
        <f t="shared" si="13"/>
        <v>1348723.3482809011</v>
      </c>
      <c r="AY35" s="50">
        <f t="shared" si="14"/>
        <v>3464839.5702961758</v>
      </c>
      <c r="AZ35" s="50">
        <f t="shared" si="15"/>
        <v>6455955.8288983628</v>
      </c>
      <c r="BA35" s="50">
        <f t="shared" si="16"/>
        <v>11686742.616776228</v>
      </c>
      <c r="BB35" s="50">
        <f t="shared" si="17"/>
        <v>14420189.699952148</v>
      </c>
    </row>
    <row r="36" spans="1:54">
      <c r="A36" s="46" t="s">
        <v>191</v>
      </c>
      <c r="B36" s="46" t="s">
        <v>38</v>
      </c>
      <c r="C36" s="83" t="s">
        <v>101</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101</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595">
        <v>54144868.927339561</v>
      </c>
      <c r="AJ36" s="595">
        <v>56742197.629923344</v>
      </c>
      <c r="AK36" s="595">
        <v>58896375.909288213</v>
      </c>
      <c r="AL36" s="595">
        <v>60074303.427473977</v>
      </c>
      <c r="AM36" s="595">
        <v>64275789.496023461</v>
      </c>
      <c r="AN36" s="595">
        <v>69417852.655705363</v>
      </c>
      <c r="AO36" s="595">
        <v>74971280.868161783</v>
      </c>
      <c r="AP36" s="595">
        <v>80968983.337614715</v>
      </c>
      <c r="AQ36" s="595">
        <v>87446502.004623935</v>
      </c>
      <c r="AR36" s="50"/>
      <c r="AS36" s="83" t="s">
        <v>101</v>
      </c>
      <c r="AT36" s="50">
        <f t="shared" si="9"/>
        <v>0</v>
      </c>
      <c r="AU36" s="50">
        <f t="shared" si="10"/>
        <v>0</v>
      </c>
      <c r="AV36" s="50">
        <f t="shared" si="11"/>
        <v>0</v>
      </c>
      <c r="AW36" s="50">
        <f t="shared" si="12"/>
        <v>0</v>
      </c>
      <c r="AX36" s="50">
        <f t="shared" si="13"/>
        <v>0</v>
      </c>
      <c r="AY36" s="50">
        <f t="shared" si="14"/>
        <v>0</v>
      </c>
      <c r="AZ36" s="50">
        <f t="shared" si="15"/>
        <v>0</v>
      </c>
      <c r="BA36" s="50">
        <f t="shared" si="16"/>
        <v>0</v>
      </c>
      <c r="BB36" s="50">
        <f t="shared" si="17"/>
        <v>0</v>
      </c>
    </row>
    <row r="37" spans="1:54">
      <c r="A37" s="46" t="s">
        <v>192</v>
      </c>
      <c r="B37" s="46" t="s">
        <v>53</v>
      </c>
      <c r="C37" s="83" t="s">
        <v>120</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120</v>
      </c>
      <c r="Y37" s="50">
        <f t="shared" ref="Y37:Y53" si="18">D37-N37</f>
        <v>0</v>
      </c>
      <c r="Z37" s="50">
        <f t="shared" ref="Z37:Z53" si="19">E37-O37</f>
        <v>0</v>
      </c>
      <c r="AA37" s="50">
        <f t="shared" ref="AA37:AA53" si="20">F37-P37</f>
        <v>0</v>
      </c>
      <c r="AB37" s="50">
        <f t="shared" ref="AB37:AB53" si="21">G37-Q37</f>
        <v>0</v>
      </c>
      <c r="AC37" s="50">
        <f t="shared" ref="AC37:AC53" si="22">H37-R37</f>
        <v>0</v>
      </c>
      <c r="AD37" s="50">
        <f t="shared" ref="AD37:AD53" si="23">I37-S37</f>
        <v>0</v>
      </c>
      <c r="AE37" s="50">
        <f t="shared" ref="AE37:AE53" si="24">J37-T37</f>
        <v>0</v>
      </c>
      <c r="AF37" s="50">
        <f t="shared" ref="AF37:AF53" si="25">K37-U37</f>
        <v>0</v>
      </c>
      <c r="AG37" s="50">
        <f t="shared" ref="AG37:AG53" si="26">L37-V37</f>
        <v>0</v>
      </c>
      <c r="AI37" s="595">
        <v>0</v>
      </c>
      <c r="AJ37" s="595">
        <v>0</v>
      </c>
      <c r="AK37" s="595">
        <v>0</v>
      </c>
      <c r="AL37" s="595">
        <v>0</v>
      </c>
      <c r="AM37" s="595">
        <v>0</v>
      </c>
      <c r="AN37" s="595">
        <v>0</v>
      </c>
      <c r="AO37" s="595">
        <v>0</v>
      </c>
      <c r="AP37" s="595">
        <v>0</v>
      </c>
      <c r="AQ37" s="595">
        <v>0</v>
      </c>
      <c r="AR37" s="50"/>
      <c r="AS37" s="83" t="s">
        <v>120</v>
      </c>
      <c r="AT37" s="50">
        <f t="shared" ref="AT37:AT53" si="27">D37-AI37</f>
        <v>0</v>
      </c>
      <c r="AU37" s="50">
        <f t="shared" ref="AU37:AU53" si="28">E37-AJ37</f>
        <v>0</v>
      </c>
      <c r="AV37" s="50">
        <f t="shared" ref="AV37:AV53" si="29">F37-AK37</f>
        <v>0</v>
      </c>
      <c r="AW37" s="50">
        <f t="shared" ref="AW37:AW53" si="30">G37-AL37</f>
        <v>0</v>
      </c>
      <c r="AX37" s="50">
        <f t="shared" ref="AX37:AX53" si="31">H37-AM37</f>
        <v>0</v>
      </c>
      <c r="AY37" s="50">
        <f t="shared" ref="AY37:AY53" si="32">I37-AN37</f>
        <v>0</v>
      </c>
      <c r="AZ37" s="50">
        <f t="shared" ref="AZ37:AZ53" si="33">J37-AO37</f>
        <v>0</v>
      </c>
      <c r="BA37" s="50">
        <f t="shared" ref="BA37:BA53" si="34">K37-AP37</f>
        <v>0</v>
      </c>
      <c r="BB37" s="50">
        <f t="shared" ref="BB37:BB53" si="35">L37-AQ37</f>
        <v>0</v>
      </c>
    </row>
    <row r="38" spans="1:54">
      <c r="A38" s="43"/>
      <c r="B38" s="43"/>
      <c r="C38" s="83" t="s">
        <v>73</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101176464.5120739</v>
      </c>
      <c r="Q38" s="68">
        <v>105499630.35595641</v>
      </c>
      <c r="R38" s="68">
        <v>111360113.581958</v>
      </c>
      <c r="S38" s="68">
        <v>127480126.8395374</v>
      </c>
      <c r="T38" s="68">
        <v>152966947.4310101</v>
      </c>
      <c r="U38" s="68">
        <v>183128303.3035053</v>
      </c>
      <c r="V38" s="68">
        <v>212012786.51257351</v>
      </c>
      <c r="W38" s="50"/>
      <c r="X38" s="83" t="s">
        <v>73</v>
      </c>
      <c r="Y38" s="50">
        <f t="shared" si="18"/>
        <v>0</v>
      </c>
      <c r="Z38" s="50">
        <f t="shared" si="19"/>
        <v>0</v>
      </c>
      <c r="AA38" s="50">
        <f t="shared" si="20"/>
        <v>0</v>
      </c>
      <c r="AB38" s="50">
        <f t="shared" si="21"/>
        <v>0</v>
      </c>
      <c r="AC38" s="50">
        <f t="shared" si="22"/>
        <v>0</v>
      </c>
      <c r="AD38" s="50">
        <f t="shared" si="23"/>
        <v>0</v>
      </c>
      <c r="AE38" s="50">
        <f t="shared" si="24"/>
        <v>0</v>
      </c>
      <c r="AF38" s="50">
        <f t="shared" si="25"/>
        <v>0</v>
      </c>
      <c r="AG38" s="50">
        <f t="shared" si="26"/>
        <v>0</v>
      </c>
      <c r="AI38" s="595">
        <v>97849546.415591568</v>
      </c>
      <c r="AJ38" s="595">
        <v>99981511.705836058</v>
      </c>
      <c r="AK38" s="595">
        <v>103209193.3010582</v>
      </c>
      <c r="AL38" s="595">
        <v>108075774.06773371</v>
      </c>
      <c r="AM38" s="595">
        <v>114786400.91750281</v>
      </c>
      <c r="AN38" s="595">
        <v>131420624.1230111</v>
      </c>
      <c r="AO38" s="595">
        <v>157887211.59926561</v>
      </c>
      <c r="AP38" s="595">
        <v>185114951.72105819</v>
      </c>
      <c r="AQ38" s="595">
        <v>216688571.70427421</v>
      </c>
      <c r="AR38" s="50"/>
      <c r="AS38" s="83" t="s">
        <v>73</v>
      </c>
      <c r="AT38" s="50">
        <f t="shared" si="27"/>
        <v>-774175.59697836637</v>
      </c>
      <c r="AU38" s="50">
        <f t="shared" si="28"/>
        <v>-1590045.3521050215</v>
      </c>
      <c r="AV38" s="50">
        <f t="shared" si="29"/>
        <v>-2032728.7889843136</v>
      </c>
      <c r="AW38" s="50">
        <f t="shared" si="30"/>
        <v>-2576143.7117773145</v>
      </c>
      <c r="AX38" s="50">
        <f t="shared" si="31"/>
        <v>-3426287.3355448544</v>
      </c>
      <c r="AY38" s="50">
        <f t="shared" si="32"/>
        <v>-3940497.2834736854</v>
      </c>
      <c r="AZ38" s="50">
        <f t="shared" si="33"/>
        <v>-4920264.1682555377</v>
      </c>
      <c r="BA38" s="50">
        <f t="shared" si="34"/>
        <v>-1986648.4175528884</v>
      </c>
      <c r="BB38" s="50">
        <f t="shared" si="35"/>
        <v>-4675785.1917007267</v>
      </c>
    </row>
    <row r="39" spans="1:54">
      <c r="A39" s="43"/>
      <c r="B39" s="43"/>
      <c r="C39" s="46" t="s">
        <v>121</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165496677.57132629</v>
      </c>
      <c r="Q39" s="68">
        <v>173959898.1283544</v>
      </c>
      <c r="R39" s="68">
        <v>189439850.88920221</v>
      </c>
      <c r="S39" s="68">
        <v>222150737.68498889</v>
      </c>
      <c r="T39" s="68">
        <v>269904966.61411053</v>
      </c>
      <c r="U39" s="68">
        <v>325534287.14018458</v>
      </c>
      <c r="V39" s="68">
        <v>379937366.94953448</v>
      </c>
      <c r="W39" s="50"/>
      <c r="X39" s="46" t="s">
        <v>121</v>
      </c>
      <c r="Y39" s="50">
        <f t="shared" si="18"/>
        <v>0</v>
      </c>
      <c r="Z39" s="50">
        <f t="shared" si="19"/>
        <v>0</v>
      </c>
      <c r="AA39" s="50">
        <f t="shared" si="20"/>
        <v>0</v>
      </c>
      <c r="AB39" s="50">
        <f t="shared" si="21"/>
        <v>0</v>
      </c>
      <c r="AC39" s="50">
        <f t="shared" si="22"/>
        <v>0</v>
      </c>
      <c r="AD39" s="50">
        <f t="shared" si="23"/>
        <v>0</v>
      </c>
      <c r="AE39" s="50">
        <f t="shared" si="24"/>
        <v>0</v>
      </c>
      <c r="AF39" s="50">
        <f t="shared" si="25"/>
        <v>0</v>
      </c>
      <c r="AG39" s="50">
        <f t="shared" si="26"/>
        <v>0</v>
      </c>
      <c r="AI39" s="595">
        <v>152849164.7756159</v>
      </c>
      <c r="AJ39" s="595">
        <v>159605299.05108479</v>
      </c>
      <c r="AK39" s="595">
        <v>167293670.30049479</v>
      </c>
      <c r="AL39" s="595">
        <v>175928682.13601089</v>
      </c>
      <c r="AM39" s="595">
        <v>191517414.87646621</v>
      </c>
      <c r="AN39" s="595">
        <v>222626395.39816639</v>
      </c>
      <c r="AO39" s="595">
        <v>268369274.9534677</v>
      </c>
      <c r="AP39" s="595">
        <v>315834192.9409613</v>
      </c>
      <c r="AQ39" s="595">
        <v>370192962.44128299</v>
      </c>
      <c r="AR39" s="50"/>
      <c r="AS39" s="46" t="s">
        <v>121</v>
      </c>
      <c r="AT39" s="50">
        <f t="shared" si="27"/>
        <v>-971872.8587655127</v>
      </c>
      <c r="AU39" s="50">
        <f t="shared" si="28"/>
        <v>-1707354.4608472884</v>
      </c>
      <c r="AV39" s="50">
        <f t="shared" si="29"/>
        <v>-1796992.7291684747</v>
      </c>
      <c r="AW39" s="50">
        <f t="shared" si="30"/>
        <v>-1968784.007656455</v>
      </c>
      <c r="AX39" s="50">
        <f t="shared" si="31"/>
        <v>-2077563.9872640371</v>
      </c>
      <c r="AY39" s="50">
        <f t="shared" si="32"/>
        <v>-475657.71317753196</v>
      </c>
      <c r="AZ39" s="50">
        <f t="shared" si="33"/>
        <v>1535691.6606428325</v>
      </c>
      <c r="BA39" s="50">
        <f t="shared" si="34"/>
        <v>9700094.1992233396</v>
      </c>
      <c r="BB39" s="50">
        <f t="shared" si="35"/>
        <v>9744404.5082514882</v>
      </c>
    </row>
    <row r="40" spans="1:54">
      <c r="A40" s="46" t="s">
        <v>183</v>
      </c>
      <c r="B40" s="46" t="s">
        <v>24</v>
      </c>
      <c r="C40" s="46" t="s">
        <v>122</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122</v>
      </c>
      <c r="Y40" s="50">
        <f t="shared" si="18"/>
        <v>0</v>
      </c>
      <c r="Z40" s="50">
        <f t="shared" si="19"/>
        <v>0</v>
      </c>
      <c r="AA40" s="50">
        <f t="shared" si="20"/>
        <v>0</v>
      </c>
      <c r="AB40" s="50">
        <f t="shared" si="21"/>
        <v>0</v>
      </c>
      <c r="AC40" s="50">
        <f t="shared" si="22"/>
        <v>0</v>
      </c>
      <c r="AD40" s="50">
        <f t="shared" si="23"/>
        <v>0</v>
      </c>
      <c r="AE40" s="50">
        <f t="shared" si="24"/>
        <v>0</v>
      </c>
      <c r="AF40" s="50">
        <f t="shared" si="25"/>
        <v>0</v>
      </c>
      <c r="AG40" s="50">
        <f t="shared" si="26"/>
        <v>0</v>
      </c>
      <c r="AI40" s="595">
        <v>-4196895.6973556336</v>
      </c>
      <c r="AJ40" s="595">
        <v>-4334704.6265079249</v>
      </c>
      <c r="AK40" s="595">
        <v>-4478646.1012967657</v>
      </c>
      <c r="AL40" s="595">
        <v>-4629028.8430579603</v>
      </c>
      <c r="AM40" s="595">
        <v>-4784461.0949854217</v>
      </c>
      <c r="AN40" s="595">
        <v>-3951666.4742077221</v>
      </c>
      <c r="AO40" s="595">
        <v>-975331.80578404618</v>
      </c>
      <c r="AP40" s="595">
        <v>-771958.81360219419</v>
      </c>
      <c r="AQ40" s="595">
        <v>0</v>
      </c>
      <c r="AR40" s="50"/>
      <c r="AS40" s="46" t="s">
        <v>122</v>
      </c>
      <c r="AT40" s="50">
        <f t="shared" si="27"/>
        <v>0</v>
      </c>
      <c r="AU40" s="50">
        <f t="shared" si="28"/>
        <v>0</v>
      </c>
      <c r="AV40" s="50">
        <f t="shared" si="29"/>
        <v>0</v>
      </c>
      <c r="AW40" s="50">
        <f t="shared" si="30"/>
        <v>0</v>
      </c>
      <c r="AX40" s="50">
        <f t="shared" si="31"/>
        <v>0</v>
      </c>
      <c r="AY40" s="50">
        <f t="shared" si="32"/>
        <v>0</v>
      </c>
      <c r="AZ40" s="50">
        <f t="shared" si="33"/>
        <v>0</v>
      </c>
      <c r="BA40" s="50">
        <f t="shared" si="34"/>
        <v>0</v>
      </c>
      <c r="BB40" s="50">
        <f t="shared" si="35"/>
        <v>0</v>
      </c>
    </row>
    <row r="41" spans="1:54">
      <c r="A41" s="46" t="s">
        <v>183</v>
      </c>
      <c r="B41" s="46" t="s">
        <v>25</v>
      </c>
      <c r="C41" s="46" t="s">
        <v>123</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-3116853.7677923311</v>
      </c>
      <c r="S41" s="68">
        <v>0</v>
      </c>
      <c r="T41" s="68">
        <v>0</v>
      </c>
      <c r="U41" s="68">
        <v>0</v>
      </c>
      <c r="V41" s="68">
        <v>0</v>
      </c>
      <c r="W41" s="50"/>
      <c r="X41" s="46" t="s">
        <v>123</v>
      </c>
      <c r="Y41" s="50">
        <f t="shared" si="18"/>
        <v>0</v>
      </c>
      <c r="Z41" s="50">
        <f t="shared" si="19"/>
        <v>0</v>
      </c>
      <c r="AA41" s="50">
        <f t="shared" si="20"/>
        <v>0</v>
      </c>
      <c r="AB41" s="50">
        <f t="shared" si="21"/>
        <v>0</v>
      </c>
      <c r="AC41" s="50">
        <f t="shared" si="22"/>
        <v>0</v>
      </c>
      <c r="AD41" s="50">
        <f t="shared" si="23"/>
        <v>0</v>
      </c>
      <c r="AE41" s="50">
        <f t="shared" si="24"/>
        <v>0</v>
      </c>
      <c r="AF41" s="50">
        <f t="shared" si="25"/>
        <v>0</v>
      </c>
      <c r="AG41" s="50">
        <f t="shared" si="26"/>
        <v>0</v>
      </c>
      <c r="AI41" s="595">
        <v>-7402355.7264415808</v>
      </c>
      <c r="AJ41" s="595">
        <v>-6038275.3593691019</v>
      </c>
      <c r="AK41" s="595">
        <v>-4849926.1457863338</v>
      </c>
      <c r="AL41" s="595">
        <v>-3974250.1732844282</v>
      </c>
      <c r="AM41" s="595">
        <v>-3116853.7677923311</v>
      </c>
      <c r="AN41" s="595">
        <v>0</v>
      </c>
      <c r="AO41" s="595">
        <v>0</v>
      </c>
      <c r="AP41" s="595">
        <v>0</v>
      </c>
      <c r="AQ41" s="595">
        <v>0</v>
      </c>
      <c r="AR41" s="50"/>
      <c r="AS41" s="46" t="s">
        <v>123</v>
      </c>
      <c r="AT41" s="50">
        <f t="shared" si="27"/>
        <v>-351051.68850000016</v>
      </c>
      <c r="AU41" s="50">
        <f t="shared" si="28"/>
        <v>0</v>
      </c>
      <c r="AV41" s="50">
        <f t="shared" si="29"/>
        <v>0</v>
      </c>
      <c r="AW41" s="50">
        <f t="shared" si="30"/>
        <v>0</v>
      </c>
      <c r="AX41" s="50">
        <f t="shared" si="31"/>
        <v>0</v>
      </c>
      <c r="AY41" s="50">
        <f t="shared" si="32"/>
        <v>0</v>
      </c>
      <c r="AZ41" s="50">
        <f t="shared" si="33"/>
        <v>0</v>
      </c>
      <c r="BA41" s="50">
        <f t="shared" si="34"/>
        <v>0</v>
      </c>
      <c r="BB41" s="50">
        <f t="shared" si="35"/>
        <v>0</v>
      </c>
    </row>
    <row r="42" spans="1:54">
      <c r="A42" s="46" t="s">
        <v>187</v>
      </c>
      <c r="B42" s="46" t="s">
        <v>31</v>
      </c>
      <c r="C42" s="46" t="s">
        <v>124</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v>
      </c>
      <c r="T42" s="68">
        <v>42000000</v>
      </c>
      <c r="U42" s="68">
        <v>51000000</v>
      </c>
      <c r="V42" s="68">
        <v>70000000</v>
      </c>
      <c r="W42" s="50"/>
      <c r="X42" s="46" t="s">
        <v>124</v>
      </c>
      <c r="Y42" s="50">
        <f t="shared" si="18"/>
        <v>0</v>
      </c>
      <c r="Z42" s="50">
        <f t="shared" si="19"/>
        <v>0</v>
      </c>
      <c r="AA42" s="50">
        <f t="shared" si="20"/>
        <v>0</v>
      </c>
      <c r="AB42" s="50">
        <f t="shared" si="21"/>
        <v>0</v>
      </c>
      <c r="AC42" s="50">
        <f t="shared" si="22"/>
        <v>0</v>
      </c>
      <c r="AD42" s="50">
        <f t="shared" si="23"/>
        <v>0</v>
      </c>
      <c r="AE42" s="50">
        <f t="shared" si="24"/>
        <v>0</v>
      </c>
      <c r="AF42" s="50">
        <f t="shared" si="25"/>
        <v>0</v>
      </c>
      <c r="AG42" s="50">
        <f t="shared" si="26"/>
        <v>0</v>
      </c>
      <c r="AI42" s="595">
        <v>10000000</v>
      </c>
      <c r="AJ42" s="595">
        <v>10300000</v>
      </c>
      <c r="AK42" s="595">
        <v>12730800</v>
      </c>
      <c r="AL42" s="595">
        <v>18798178</v>
      </c>
      <c r="AM42" s="595">
        <v>22128140.960000001</v>
      </c>
      <c r="AN42" s="595">
        <v>31338979.634599999</v>
      </c>
      <c r="AO42" s="595">
        <v>48082553.302812003</v>
      </c>
      <c r="AP42" s="595">
        <v>60137536.309445582</v>
      </c>
      <c r="AQ42" s="595">
        <v>82872543.998504654</v>
      </c>
      <c r="AR42" s="50"/>
      <c r="AS42" s="46" t="s">
        <v>124</v>
      </c>
      <c r="AT42" s="50">
        <f t="shared" si="27"/>
        <v>0</v>
      </c>
      <c r="AU42" s="50">
        <f t="shared" si="28"/>
        <v>-300000</v>
      </c>
      <c r="AV42" s="50">
        <f t="shared" si="29"/>
        <v>-730800</v>
      </c>
      <c r="AW42" s="50">
        <f t="shared" si="30"/>
        <v>-1298178</v>
      </c>
      <c r="AX42" s="50">
        <f t="shared" si="31"/>
        <v>-2128140.9600000009</v>
      </c>
      <c r="AY42" s="50">
        <f t="shared" si="32"/>
        <v>-3838979.6345999949</v>
      </c>
      <c r="AZ42" s="50">
        <f t="shared" si="33"/>
        <v>-6082553.3028120026</v>
      </c>
      <c r="BA42" s="50">
        <f t="shared" si="34"/>
        <v>-9137536.3094455823</v>
      </c>
      <c r="BB42" s="50">
        <f t="shared" si="35"/>
        <v>-12872543.998504654</v>
      </c>
    </row>
    <row r="43" spans="1:54">
      <c r="A43" s="46" t="s">
        <v>187</v>
      </c>
      <c r="B43" s="46" t="s">
        <v>32</v>
      </c>
      <c r="C43" s="46" t="s">
        <v>125</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125</v>
      </c>
      <c r="Y43" s="50">
        <f t="shared" si="18"/>
        <v>0</v>
      </c>
      <c r="Z43" s="50">
        <f t="shared" si="19"/>
        <v>0</v>
      </c>
      <c r="AA43" s="50">
        <f t="shared" si="20"/>
        <v>0</v>
      </c>
      <c r="AB43" s="50">
        <f t="shared" si="21"/>
        <v>0</v>
      </c>
      <c r="AC43" s="50">
        <f t="shared" si="22"/>
        <v>0</v>
      </c>
      <c r="AD43" s="50">
        <f t="shared" si="23"/>
        <v>0</v>
      </c>
      <c r="AE43" s="50">
        <f t="shared" si="24"/>
        <v>0</v>
      </c>
      <c r="AF43" s="50">
        <f t="shared" si="25"/>
        <v>0</v>
      </c>
      <c r="AG43" s="50">
        <f t="shared" si="26"/>
        <v>0</v>
      </c>
      <c r="AI43" s="595">
        <v>0</v>
      </c>
      <c r="AJ43" s="595">
        <v>0</v>
      </c>
      <c r="AK43" s="595">
        <v>0</v>
      </c>
      <c r="AL43" s="595">
        <v>0</v>
      </c>
      <c r="AM43" s="595">
        <v>0</v>
      </c>
      <c r="AN43" s="595">
        <v>0</v>
      </c>
      <c r="AO43" s="595">
        <v>25000000</v>
      </c>
      <c r="AP43" s="595">
        <v>50000000</v>
      </c>
      <c r="AQ43" s="595">
        <v>100000000</v>
      </c>
      <c r="AR43" s="50"/>
      <c r="AS43" s="46" t="s">
        <v>125</v>
      </c>
      <c r="AT43" s="50">
        <f t="shared" si="27"/>
        <v>0</v>
      </c>
      <c r="AU43" s="50">
        <f t="shared" si="28"/>
        <v>0</v>
      </c>
      <c r="AV43" s="50">
        <f t="shared" si="29"/>
        <v>0</v>
      </c>
      <c r="AW43" s="50">
        <f t="shared" si="30"/>
        <v>0</v>
      </c>
      <c r="AX43" s="50">
        <f t="shared" si="31"/>
        <v>0</v>
      </c>
      <c r="AY43" s="50">
        <f t="shared" si="32"/>
        <v>0</v>
      </c>
      <c r="AZ43" s="50">
        <f t="shared" si="33"/>
        <v>0</v>
      </c>
      <c r="BA43" s="50">
        <f t="shared" si="34"/>
        <v>0</v>
      </c>
      <c r="BB43" s="50">
        <f t="shared" si="35"/>
        <v>0</v>
      </c>
    </row>
    <row r="44" spans="1:54">
      <c r="A44" s="43"/>
      <c r="B44" s="43"/>
      <c r="C44" s="46" t="s">
        <v>126</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149926988.80455321</v>
      </c>
      <c r="O44" s="68">
        <v>157524964.60436049</v>
      </c>
      <c r="P44" s="68">
        <v>168168105.32424319</v>
      </c>
      <c r="Q44" s="68">
        <v>182856619.112012</v>
      </c>
      <c r="R44" s="68">
        <v>201538536.02642441</v>
      </c>
      <c r="S44" s="68">
        <v>245699071.2107811</v>
      </c>
      <c r="T44" s="68">
        <v>335929634.80832648</v>
      </c>
      <c r="U44" s="68">
        <v>425762328.32658237</v>
      </c>
      <c r="V44" s="68">
        <v>549937366.94953442</v>
      </c>
      <c r="W44" s="50"/>
      <c r="X44" s="46" t="s">
        <v>126</v>
      </c>
      <c r="Y44" s="50">
        <f t="shared" si="18"/>
        <v>0</v>
      </c>
      <c r="Z44" s="50">
        <f t="shared" si="19"/>
        <v>0</v>
      </c>
      <c r="AA44" s="50">
        <f t="shared" si="20"/>
        <v>0</v>
      </c>
      <c r="AB44" s="50">
        <f t="shared" si="21"/>
        <v>0</v>
      </c>
      <c r="AC44" s="50">
        <f t="shared" si="22"/>
        <v>0</v>
      </c>
      <c r="AD44" s="50">
        <f t="shared" si="23"/>
        <v>0</v>
      </c>
      <c r="AE44" s="50">
        <f t="shared" si="24"/>
        <v>0</v>
      </c>
      <c r="AF44" s="50">
        <f t="shared" si="25"/>
        <v>0</v>
      </c>
      <c r="AG44" s="50">
        <f t="shared" si="26"/>
        <v>0</v>
      </c>
      <c r="AI44" s="595">
        <v>151249913.35181871</v>
      </c>
      <c r="AJ44" s="595">
        <v>159532319.06520781</v>
      </c>
      <c r="AK44" s="595">
        <v>170695898.05341181</v>
      </c>
      <c r="AL44" s="595">
        <v>186123581.11966851</v>
      </c>
      <c r="AM44" s="595">
        <v>205744240.97368839</v>
      </c>
      <c r="AN44" s="595">
        <v>250013708.5585587</v>
      </c>
      <c r="AO44" s="595">
        <v>340476496.45049572</v>
      </c>
      <c r="AP44" s="595">
        <v>425199770.43680471</v>
      </c>
      <c r="AQ44" s="595">
        <v>553065506.43978763</v>
      </c>
      <c r="AR44" s="50"/>
      <c r="AS44" s="46" t="s">
        <v>126</v>
      </c>
      <c r="AT44" s="50">
        <f t="shared" si="27"/>
        <v>-1322924.5472655296</v>
      </c>
      <c r="AU44" s="50">
        <f t="shared" si="28"/>
        <v>-2007354.460847348</v>
      </c>
      <c r="AV44" s="50">
        <f t="shared" si="29"/>
        <v>-2527792.7291685939</v>
      </c>
      <c r="AW44" s="50">
        <f t="shared" si="30"/>
        <v>-3266962.0076564848</v>
      </c>
      <c r="AX44" s="50">
        <f t="shared" si="31"/>
        <v>-4205704.9472639859</v>
      </c>
      <c r="AY44" s="50">
        <f t="shared" si="32"/>
        <v>-4314637.3477775753</v>
      </c>
      <c r="AZ44" s="50">
        <f t="shared" si="33"/>
        <v>-4546861.6421692371</v>
      </c>
      <c r="BA44" s="50">
        <f t="shared" si="34"/>
        <v>562557.88977771997</v>
      </c>
      <c r="BB44" s="50">
        <f t="shared" si="35"/>
        <v>-3128139.4902532101</v>
      </c>
    </row>
    <row r="45" spans="1:54">
      <c r="A45" s="43"/>
      <c r="B45" s="43"/>
      <c r="C45" s="46" t="s">
        <v>127</v>
      </c>
      <c r="D45" s="50">
        <f>lgh_bs!F45</f>
        <v>-657052.17089763575</v>
      </c>
      <c r="E45" s="50">
        <f>lgh_bs!G45</f>
        <v>-130542.9950569733</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23108633.867975589</v>
      </c>
      <c r="U45" s="68">
        <v>35079814.415239222</v>
      </c>
      <c r="V45" s="68">
        <v>59499999.999999993</v>
      </c>
      <c r="W45" s="50"/>
      <c r="X45" s="46" t="s">
        <v>127</v>
      </c>
      <c r="Y45" s="50">
        <f t="shared" si="18"/>
        <v>0</v>
      </c>
      <c r="Z45" s="50">
        <f t="shared" si="19"/>
        <v>0</v>
      </c>
      <c r="AA45" s="50">
        <f t="shared" si="20"/>
        <v>0</v>
      </c>
      <c r="AB45" s="50">
        <f t="shared" si="21"/>
        <v>0</v>
      </c>
      <c r="AC45" s="50">
        <f t="shared" si="22"/>
        <v>0</v>
      </c>
      <c r="AD45" s="50">
        <f t="shared" si="23"/>
        <v>0</v>
      </c>
      <c r="AE45" s="50">
        <f t="shared" si="24"/>
        <v>0</v>
      </c>
      <c r="AF45" s="50">
        <f t="shared" si="25"/>
        <v>0</v>
      </c>
      <c r="AG45" s="50">
        <f t="shared" si="26"/>
        <v>0</v>
      </c>
      <c r="AI45" s="595">
        <v>-479775.42713916599</v>
      </c>
      <c r="AJ45" s="595">
        <v>-21893.995763110928</v>
      </c>
      <c r="AK45" s="595">
        <v>1020668.325875071</v>
      </c>
      <c r="AL45" s="595">
        <v>3058469.6950972788</v>
      </c>
      <c r="AM45" s="595">
        <v>4268047.8291666713</v>
      </c>
      <c r="AN45" s="595">
        <v>8216193.9481176846</v>
      </c>
      <c r="AO45" s="595">
        <v>21632166.449108381</v>
      </c>
      <c r="AP45" s="595">
        <v>32809673.248753</v>
      </c>
      <c r="AQ45" s="595">
        <v>54861763.199551374</v>
      </c>
      <c r="AR45" s="50"/>
      <c r="AS45" s="46" t="s">
        <v>127</v>
      </c>
      <c r="AT45" s="50">
        <f t="shared" si="27"/>
        <v>-177276.74375846976</v>
      </c>
      <c r="AU45" s="50">
        <f t="shared" si="28"/>
        <v>-108648.99929386238</v>
      </c>
      <c r="AV45" s="50">
        <f t="shared" si="29"/>
        <v>-85668.612354154815</v>
      </c>
      <c r="AW45" s="50">
        <f t="shared" si="30"/>
        <v>55382.649182879366</v>
      </c>
      <c r="AX45" s="50">
        <f t="shared" si="31"/>
        <v>-33508.031138880178</v>
      </c>
      <c r="AY45" s="50">
        <f t="shared" si="32"/>
        <v>25722.785909611732</v>
      </c>
      <c r="AZ45" s="50">
        <f t="shared" si="33"/>
        <v>1476467.4188672043</v>
      </c>
      <c r="BA45" s="50">
        <f t="shared" si="34"/>
        <v>2270141.1664862223</v>
      </c>
      <c r="BB45" s="50">
        <f t="shared" si="35"/>
        <v>4638236.8004486114</v>
      </c>
    </row>
    <row r="46" spans="1:54">
      <c r="A46" s="43"/>
      <c r="B46" s="43"/>
      <c r="C46" s="46" t="s">
        <v>128</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128</v>
      </c>
      <c r="Y46" s="50">
        <f t="shared" si="18"/>
        <v>0</v>
      </c>
      <c r="Z46" s="50">
        <f t="shared" si="19"/>
        <v>0</v>
      </c>
      <c r="AA46" s="50">
        <f t="shared" si="20"/>
        <v>0</v>
      </c>
      <c r="AB46" s="50">
        <f t="shared" si="21"/>
        <v>0</v>
      </c>
      <c r="AC46" s="50">
        <f t="shared" si="22"/>
        <v>0</v>
      </c>
      <c r="AD46" s="50">
        <f t="shared" si="23"/>
        <v>0</v>
      </c>
      <c r="AE46" s="50">
        <f t="shared" si="24"/>
        <v>0</v>
      </c>
      <c r="AF46" s="50">
        <f t="shared" si="25"/>
        <v>0</v>
      </c>
      <c r="AG46" s="50">
        <f t="shared" si="26"/>
        <v>0</v>
      </c>
      <c r="AI46" s="595">
        <v>9006828.7425699625</v>
      </c>
      <c r="AJ46" s="595">
        <v>9012792.5675587952</v>
      </c>
      <c r="AK46" s="595">
        <v>8903722.2915154323</v>
      </c>
      <c r="AL46" s="595">
        <v>8612217.8910127003</v>
      </c>
      <c r="AM46" s="595">
        <v>8707493.5341523308</v>
      </c>
      <c r="AN46" s="595">
        <v>7181361.1784096779</v>
      </c>
      <c r="AO46" s="595">
        <v>5259464.856822568</v>
      </c>
      <c r="AP46" s="595">
        <v>2891749.4049148099</v>
      </c>
      <c r="AQ46" s="595">
        <v>0</v>
      </c>
      <c r="AR46" s="50"/>
      <c r="AS46" s="46" t="s">
        <v>128</v>
      </c>
      <c r="AT46" s="50">
        <f t="shared" si="27"/>
        <v>0</v>
      </c>
      <c r="AU46" s="50">
        <f t="shared" si="28"/>
        <v>0</v>
      </c>
      <c r="AV46" s="50">
        <f t="shared" si="29"/>
        <v>0</v>
      </c>
      <c r="AW46" s="50">
        <f t="shared" si="30"/>
        <v>0</v>
      </c>
      <c r="AX46" s="50">
        <f t="shared" si="31"/>
        <v>0</v>
      </c>
      <c r="AY46" s="50">
        <f t="shared" si="32"/>
        <v>0</v>
      </c>
      <c r="AZ46" s="50">
        <f t="shared" si="33"/>
        <v>0</v>
      </c>
      <c r="BA46" s="50">
        <f t="shared" si="34"/>
        <v>0</v>
      </c>
      <c r="BB46" s="50">
        <f t="shared" si="35"/>
        <v>0</v>
      </c>
    </row>
    <row r="47" spans="1:54">
      <c r="A47" s="43"/>
      <c r="B47" s="43"/>
      <c r="C47" s="46" t="s">
        <v>129</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14802855.973267481</v>
      </c>
      <c r="O47" s="68">
        <v>15808093.819260599</v>
      </c>
      <c r="P47" s="68">
        <v>16568847.76184224</v>
      </c>
      <c r="Q47" s="68">
        <v>17416150.650589719</v>
      </c>
      <c r="R47" s="68">
        <v>18965939.954030279</v>
      </c>
      <c r="S47" s="68">
        <v>22240819.615832921</v>
      </c>
      <c r="T47" s="68">
        <v>27021776.917950179</v>
      </c>
      <c r="U47" s="68">
        <v>32591156.052428599</v>
      </c>
      <c r="V47" s="68">
        <v>38037769.001791202</v>
      </c>
      <c r="W47" s="50"/>
      <c r="X47" s="46" t="s">
        <v>129</v>
      </c>
      <c r="Y47" s="50">
        <f t="shared" si="18"/>
        <v>0</v>
      </c>
      <c r="Z47" s="50">
        <f t="shared" si="19"/>
        <v>0</v>
      </c>
      <c r="AA47" s="50">
        <f t="shared" si="20"/>
        <v>0</v>
      </c>
      <c r="AB47" s="50">
        <f t="shared" si="21"/>
        <v>0</v>
      </c>
      <c r="AC47" s="50">
        <f t="shared" si="22"/>
        <v>0</v>
      </c>
      <c r="AD47" s="50">
        <f t="shared" si="23"/>
        <v>0</v>
      </c>
      <c r="AE47" s="50">
        <f t="shared" si="24"/>
        <v>0</v>
      </c>
      <c r="AF47" s="50">
        <f t="shared" si="25"/>
        <v>0</v>
      </c>
      <c r="AG47" s="50">
        <f t="shared" si="26"/>
        <v>0</v>
      </c>
      <c r="AI47" s="595">
        <v>14897580.429906519</v>
      </c>
      <c r="AJ47" s="595">
        <v>15979027.136789519</v>
      </c>
      <c r="AK47" s="595">
        <v>16748755.294704329</v>
      </c>
      <c r="AL47" s="595">
        <v>17613257.220809229</v>
      </c>
      <c r="AM47" s="595">
        <v>19173937.12911332</v>
      </c>
      <c r="AN47" s="595">
        <v>22288440.512832429</v>
      </c>
      <c r="AO47" s="595">
        <v>26868029.775060549</v>
      </c>
      <c r="AP47" s="595">
        <v>31620022.45373027</v>
      </c>
      <c r="AQ47" s="595">
        <v>37062199.236909099</v>
      </c>
      <c r="AR47" s="50"/>
      <c r="AS47" s="46" t="s">
        <v>129</v>
      </c>
      <c r="AT47" s="50">
        <f t="shared" si="27"/>
        <v>-94724.456639043987</v>
      </c>
      <c r="AU47" s="50">
        <f t="shared" si="28"/>
        <v>-170933.31752892211</v>
      </c>
      <c r="AV47" s="50">
        <f t="shared" si="29"/>
        <v>-179907.53286208957</v>
      </c>
      <c r="AW47" s="50">
        <f t="shared" si="30"/>
        <v>-197106.57021951303</v>
      </c>
      <c r="AX47" s="50">
        <f t="shared" si="31"/>
        <v>-207997.17508303747</v>
      </c>
      <c r="AY47" s="50">
        <f t="shared" si="32"/>
        <v>-47620.896999508142</v>
      </c>
      <c r="AZ47" s="50">
        <f t="shared" si="33"/>
        <v>153747.14288963377</v>
      </c>
      <c r="BA47" s="50">
        <f t="shared" si="34"/>
        <v>971133.59869832918</v>
      </c>
      <c r="BB47" s="50">
        <f t="shared" si="35"/>
        <v>975569.76488210261</v>
      </c>
    </row>
    <row r="48" spans="1:54">
      <c r="A48" s="43"/>
      <c r="B48" s="43"/>
      <c r="C48" s="46" t="s">
        <v>120</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120</v>
      </c>
      <c r="Y48" s="50">
        <f t="shared" si="18"/>
        <v>0</v>
      </c>
      <c r="Z48" s="50">
        <f t="shared" si="19"/>
        <v>0</v>
      </c>
      <c r="AA48" s="50">
        <f t="shared" si="20"/>
        <v>0</v>
      </c>
      <c r="AB48" s="50">
        <f t="shared" si="21"/>
        <v>0</v>
      </c>
      <c r="AC48" s="50">
        <f t="shared" si="22"/>
        <v>0</v>
      </c>
      <c r="AD48" s="50">
        <f t="shared" si="23"/>
        <v>0</v>
      </c>
      <c r="AE48" s="50">
        <f t="shared" si="24"/>
        <v>0</v>
      </c>
      <c r="AF48" s="50">
        <f t="shared" si="25"/>
        <v>0</v>
      </c>
      <c r="AG48" s="50">
        <f t="shared" si="26"/>
        <v>0</v>
      </c>
      <c r="AI48" s="595">
        <v>0</v>
      </c>
      <c r="AJ48" s="595">
        <v>0</v>
      </c>
      <c r="AK48" s="595">
        <v>0</v>
      </c>
      <c r="AL48" s="595">
        <v>0</v>
      </c>
      <c r="AM48" s="595">
        <v>0</v>
      </c>
      <c r="AN48" s="595">
        <v>0</v>
      </c>
      <c r="AO48" s="595">
        <v>0</v>
      </c>
      <c r="AP48" s="595">
        <v>0</v>
      </c>
      <c r="AQ48" s="595">
        <v>0</v>
      </c>
      <c r="AR48" s="50"/>
      <c r="AS48" s="46" t="s">
        <v>120</v>
      </c>
      <c r="AT48" s="50">
        <f t="shared" si="27"/>
        <v>0</v>
      </c>
      <c r="AU48" s="50">
        <f t="shared" si="28"/>
        <v>0</v>
      </c>
      <c r="AV48" s="50">
        <f t="shared" si="29"/>
        <v>0</v>
      </c>
      <c r="AW48" s="50">
        <f t="shared" si="30"/>
        <v>0</v>
      </c>
      <c r="AX48" s="50">
        <f t="shared" si="31"/>
        <v>0</v>
      </c>
      <c r="AY48" s="50">
        <f t="shared" si="32"/>
        <v>0</v>
      </c>
      <c r="AZ48" s="50">
        <f t="shared" si="33"/>
        <v>0</v>
      </c>
      <c r="BA48" s="50">
        <f t="shared" si="34"/>
        <v>0</v>
      </c>
      <c r="BB48" s="50">
        <f t="shared" si="35"/>
        <v>0</v>
      </c>
    </row>
    <row r="49" spans="1:54">
      <c r="A49" s="43"/>
      <c r="B49" s="43"/>
      <c r="C49" s="46" t="s">
        <v>130</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130</v>
      </c>
      <c r="Y49" s="50">
        <f t="shared" si="18"/>
        <v>0</v>
      </c>
      <c r="Z49" s="50">
        <f t="shared" si="19"/>
        <v>0</v>
      </c>
      <c r="AA49" s="50">
        <f t="shared" si="20"/>
        <v>0</v>
      </c>
      <c r="AB49" s="50">
        <f t="shared" si="21"/>
        <v>0</v>
      </c>
      <c r="AC49" s="50">
        <f t="shared" si="22"/>
        <v>0</v>
      </c>
      <c r="AD49" s="50">
        <f t="shared" si="23"/>
        <v>0</v>
      </c>
      <c r="AE49" s="50">
        <f t="shared" si="24"/>
        <v>0</v>
      </c>
      <c r="AF49" s="50">
        <f t="shared" si="25"/>
        <v>0</v>
      </c>
      <c r="AG49" s="50">
        <f t="shared" si="26"/>
        <v>0</v>
      </c>
      <c r="AI49" s="597">
        <v>45138040.184769601</v>
      </c>
      <c r="AJ49" s="597">
        <v>47729405.062364548</v>
      </c>
      <c r="AK49" s="597">
        <v>49992653.61777278</v>
      </c>
      <c r="AL49" s="597">
        <v>51462085.536461279</v>
      </c>
      <c r="AM49" s="597">
        <v>55568295.961871132</v>
      </c>
      <c r="AN49" s="597">
        <v>62236491.477295682</v>
      </c>
      <c r="AO49" s="597">
        <v>69711816.011339217</v>
      </c>
      <c r="AP49" s="597">
        <v>78077233.932699904</v>
      </c>
      <c r="AQ49" s="597">
        <v>87446502.004623935</v>
      </c>
      <c r="AR49" s="55"/>
      <c r="AS49" s="46" t="s">
        <v>130</v>
      </c>
      <c r="AT49" s="50">
        <f t="shared" si="27"/>
        <v>0</v>
      </c>
      <c r="AU49" s="50">
        <f t="shared" si="28"/>
        <v>0</v>
      </c>
      <c r="AV49" s="50">
        <f t="shared" si="29"/>
        <v>0</v>
      </c>
      <c r="AW49" s="50">
        <f t="shared" si="30"/>
        <v>0</v>
      </c>
      <c r="AX49" s="50">
        <f t="shared" si="31"/>
        <v>0</v>
      </c>
      <c r="AY49" s="50">
        <f t="shared" si="32"/>
        <v>0</v>
      </c>
      <c r="AZ49" s="50">
        <f t="shared" si="33"/>
        <v>0</v>
      </c>
      <c r="BA49" s="50">
        <f t="shared" si="34"/>
        <v>0</v>
      </c>
      <c r="BB49" s="50">
        <f t="shared" si="35"/>
        <v>0</v>
      </c>
    </row>
    <row r="50" spans="1:54">
      <c r="A50" s="43"/>
      <c r="B50" s="43"/>
      <c r="C50" s="46" t="s">
        <v>131</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v>
      </c>
      <c r="P50" s="119">
        <v>6358836.8634851258</v>
      </c>
      <c r="Q50" s="119">
        <v>11499816.68920421</v>
      </c>
      <c r="R50" s="119">
        <v>18038487.609248541</v>
      </c>
      <c r="S50" s="119">
        <v>33494674.923773389</v>
      </c>
      <c r="T50" s="119">
        <v>65075372.182914257</v>
      </c>
      <c r="U50" s="119">
        <v>96516814.914303839</v>
      </c>
      <c r="V50" s="119">
        <v>139978078.43233699</v>
      </c>
      <c r="W50" s="55"/>
      <c r="X50" s="46" t="s">
        <v>131</v>
      </c>
      <c r="Y50" s="50">
        <f t="shared" si="18"/>
        <v>0</v>
      </c>
      <c r="Z50" s="50">
        <f t="shared" si="19"/>
        <v>0</v>
      </c>
      <c r="AA50" s="50">
        <f t="shared" si="20"/>
        <v>0</v>
      </c>
      <c r="AB50" s="50">
        <f t="shared" si="21"/>
        <v>0</v>
      </c>
      <c r="AC50" s="50">
        <f t="shared" si="22"/>
        <v>0</v>
      </c>
      <c r="AD50" s="50">
        <f t="shared" si="23"/>
        <v>0</v>
      </c>
      <c r="AE50" s="50">
        <f t="shared" si="24"/>
        <v>0</v>
      </c>
      <c r="AF50" s="50">
        <f t="shared" si="25"/>
        <v>0</v>
      </c>
      <c r="AG50" s="50">
        <f t="shared" si="26"/>
        <v>0</v>
      </c>
      <c r="AI50" s="597">
        <v>374974.00554559531</v>
      </c>
      <c r="AJ50" s="597">
        <v>2859695.7195623429</v>
      </c>
      <c r="AK50" s="597">
        <v>6208769.4160235254</v>
      </c>
      <c r="AL50" s="597">
        <v>10837074.33590056</v>
      </c>
      <c r="AM50" s="597">
        <v>16723272.29210652</v>
      </c>
      <c r="AN50" s="597">
        <v>30004112.567567602</v>
      </c>
      <c r="AO50" s="597">
        <v>57142948.935148694</v>
      </c>
      <c r="AP50" s="597">
        <v>82559931.131041393</v>
      </c>
      <c r="AQ50" s="597">
        <v>120919651.93193629</v>
      </c>
      <c r="AR50" s="55"/>
      <c r="AS50" s="46" t="s">
        <v>131</v>
      </c>
      <c r="AT50" s="50">
        <f t="shared" si="27"/>
        <v>-374974.00554559531</v>
      </c>
      <c r="AU50" s="50">
        <f t="shared" si="28"/>
        <v>-225958.10803618142</v>
      </c>
      <c r="AV50" s="50">
        <f t="shared" si="29"/>
        <v>150067.44746160042</v>
      </c>
      <c r="AW50" s="50">
        <f t="shared" si="30"/>
        <v>662742.35330364853</v>
      </c>
      <c r="AX50" s="50">
        <f t="shared" si="31"/>
        <v>1315215.3171420209</v>
      </c>
      <c r="AY50" s="50">
        <f t="shared" si="32"/>
        <v>3490562.3562057912</v>
      </c>
      <c r="AZ50" s="50">
        <f t="shared" si="33"/>
        <v>7932423.2477655709</v>
      </c>
      <c r="BA50" s="50">
        <f t="shared" si="34"/>
        <v>13956883.783262447</v>
      </c>
      <c r="BB50" s="50">
        <f t="shared" si="35"/>
        <v>19058426.500400752</v>
      </c>
    </row>
    <row r="51" spans="1:54">
      <c r="A51" s="43"/>
      <c r="B51" s="43"/>
      <c r="C51" s="46" t="s">
        <v>132</v>
      </c>
      <c r="D51" s="50">
        <f>lgh_bs!F51</f>
        <v>104788948.6197836</v>
      </c>
      <c r="E51" s="50">
        <f>lgh_bs!G51</f>
        <v>107161821.93046978</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107161821.9304698</v>
      </c>
      <c r="P51" s="68">
        <v>111816614.8429853</v>
      </c>
      <c r="Q51" s="68">
        <v>119894716.8863465</v>
      </c>
      <c r="R51" s="68">
        <v>127931752.4553047</v>
      </c>
      <c r="S51" s="68">
        <v>149967904.80971211</v>
      </c>
      <c r="T51" s="68">
        <v>201142446.61407301</v>
      </c>
      <c r="U51" s="68">
        <v>251168279.4795787</v>
      </c>
      <c r="V51" s="68">
        <v>322512786.51257348</v>
      </c>
      <c r="W51" s="50"/>
      <c r="X51" s="46" t="s">
        <v>132</v>
      </c>
      <c r="Y51" s="50">
        <f t="shared" si="18"/>
        <v>0</v>
      </c>
      <c r="Z51" s="50">
        <f t="shared" si="19"/>
        <v>0</v>
      </c>
      <c r="AA51" s="50">
        <f t="shared" si="20"/>
        <v>0</v>
      </c>
      <c r="AB51" s="50">
        <f t="shared" si="21"/>
        <v>0</v>
      </c>
      <c r="AC51" s="50">
        <f t="shared" si="22"/>
        <v>0</v>
      </c>
      <c r="AD51" s="50">
        <f t="shared" si="23"/>
        <v>0</v>
      </c>
      <c r="AE51" s="50">
        <f t="shared" si="24"/>
        <v>0</v>
      </c>
      <c r="AF51" s="50">
        <f t="shared" si="25"/>
        <v>0</v>
      </c>
      <c r="AG51" s="50">
        <f t="shared" si="26"/>
        <v>0</v>
      </c>
      <c r="AI51" s="595">
        <v>105736899.16150349</v>
      </c>
      <c r="AJ51" s="595">
        <v>108943218.28328089</v>
      </c>
      <c r="AK51" s="595">
        <v>114494475.0196154</v>
      </c>
      <c r="AL51" s="595">
        <v>123824421.2473067</v>
      </c>
      <c r="AM51" s="595">
        <v>133452672.7197108</v>
      </c>
      <c r="AN51" s="595">
        <v>157773104.51369539</v>
      </c>
      <c r="AO51" s="595">
        <v>213621731.50400779</v>
      </c>
      <c r="AP51" s="595">
        <v>264562605.3730633</v>
      </c>
      <c r="AQ51" s="595">
        <v>344699352.50322747</v>
      </c>
      <c r="AR51" s="50"/>
      <c r="AS51" s="46" t="s">
        <v>132</v>
      </c>
      <c r="AT51" s="50">
        <f t="shared" si="27"/>
        <v>-947950.54171989858</v>
      </c>
      <c r="AU51" s="50">
        <f t="shared" si="28"/>
        <v>-1781396.352811113</v>
      </c>
      <c r="AV51" s="50">
        <f t="shared" si="29"/>
        <v>-2677860.1766300946</v>
      </c>
      <c r="AW51" s="50">
        <f t="shared" si="30"/>
        <v>-3929704.3609601557</v>
      </c>
      <c r="AX51" s="50">
        <f t="shared" si="31"/>
        <v>-5520920.2644060552</v>
      </c>
      <c r="AY51" s="50">
        <f t="shared" si="32"/>
        <v>-7805199.7039833367</v>
      </c>
      <c r="AZ51" s="50">
        <f t="shared" si="33"/>
        <v>-12479284.889934778</v>
      </c>
      <c r="BA51" s="50">
        <f t="shared" si="34"/>
        <v>-13394325.893484622</v>
      </c>
      <c r="BB51" s="50">
        <f t="shared" si="35"/>
        <v>-22186565.990653992</v>
      </c>
    </row>
    <row r="52" spans="1:54">
      <c r="A52" s="43"/>
      <c r="B52" s="43"/>
      <c r="C52" s="46" t="s">
        <v>133</v>
      </c>
      <c r="D52" s="50">
        <f>lgh_bs!F52</f>
        <v>149926988.80455321</v>
      </c>
      <c r="E52" s="50">
        <f>lgh_bs!G52</f>
        <v>157524964.60436049</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168168105.32424319</v>
      </c>
      <c r="Q52" s="68">
        <v>182856619.112012</v>
      </c>
      <c r="R52" s="68">
        <v>201538536.02642441</v>
      </c>
      <c r="S52" s="68">
        <v>245699071.2107811</v>
      </c>
      <c r="T52" s="68">
        <v>335929634.80832648</v>
      </c>
      <c r="U52" s="68">
        <v>425762328.32658237</v>
      </c>
      <c r="V52" s="68">
        <v>549937366.94953442</v>
      </c>
      <c r="W52" s="50"/>
      <c r="X52" s="46" t="s">
        <v>133</v>
      </c>
      <c r="Y52" s="50">
        <f t="shared" si="18"/>
        <v>0</v>
      </c>
      <c r="Z52" s="50">
        <f t="shared" si="19"/>
        <v>0</v>
      </c>
      <c r="AA52" s="50">
        <f t="shared" si="20"/>
        <v>0</v>
      </c>
      <c r="AB52" s="50">
        <f t="shared" si="21"/>
        <v>0</v>
      </c>
      <c r="AC52" s="50">
        <f t="shared" si="22"/>
        <v>0</v>
      </c>
      <c r="AD52" s="50">
        <f t="shared" si="23"/>
        <v>0</v>
      </c>
      <c r="AE52" s="50">
        <f t="shared" si="24"/>
        <v>0</v>
      </c>
      <c r="AF52" s="50">
        <f t="shared" si="25"/>
        <v>0</v>
      </c>
      <c r="AG52" s="50">
        <f t="shared" si="26"/>
        <v>0</v>
      </c>
      <c r="AI52" s="595">
        <v>151249913.35181871</v>
      </c>
      <c r="AJ52" s="595">
        <v>159532319.06520781</v>
      </c>
      <c r="AK52" s="595">
        <v>170695898.05341181</v>
      </c>
      <c r="AL52" s="595">
        <v>186123581.11966851</v>
      </c>
      <c r="AM52" s="595">
        <v>205744240.97368839</v>
      </c>
      <c r="AN52" s="595">
        <v>250013708.5585587</v>
      </c>
      <c r="AO52" s="595">
        <v>340476496.45049572</v>
      </c>
      <c r="AP52" s="595">
        <v>425199770.43680471</v>
      </c>
      <c r="AQ52" s="595">
        <v>553065506.43978763</v>
      </c>
      <c r="AR52" s="50"/>
      <c r="AS52" s="46" t="s">
        <v>133</v>
      </c>
      <c r="AT52" s="50">
        <f t="shared" si="27"/>
        <v>-1322924.5472654998</v>
      </c>
      <c r="AU52" s="50">
        <f t="shared" si="28"/>
        <v>-2007354.4608473182</v>
      </c>
      <c r="AV52" s="50">
        <f t="shared" si="29"/>
        <v>-2527792.7291685939</v>
      </c>
      <c r="AW52" s="50">
        <f t="shared" si="30"/>
        <v>-3266962.0076564848</v>
      </c>
      <c r="AX52" s="50">
        <f t="shared" si="31"/>
        <v>-4205704.9472639859</v>
      </c>
      <c r="AY52" s="50">
        <f t="shared" si="32"/>
        <v>-4314637.3477775753</v>
      </c>
      <c r="AZ52" s="50">
        <f t="shared" si="33"/>
        <v>-4546861.6421692371</v>
      </c>
      <c r="BA52" s="50">
        <f t="shared" si="34"/>
        <v>562557.88977771997</v>
      </c>
      <c r="BB52" s="50">
        <f t="shared" si="35"/>
        <v>-3128139.4902532101</v>
      </c>
    </row>
    <row r="53" spans="1:54">
      <c r="A53" s="43"/>
      <c r="B53" s="43"/>
      <c r="C53" s="46" t="s">
        <v>134</v>
      </c>
      <c r="D53" s="50">
        <f>lgh_bs!F53</f>
        <v>149926988.80455321</v>
      </c>
      <c r="E53" s="50">
        <f>lgh_bs!G53</f>
        <v>154891226.99283433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v>
      </c>
      <c r="P53" s="68">
        <v>161809268.46075809</v>
      </c>
      <c r="Q53" s="68">
        <v>171356802.42280781</v>
      </c>
      <c r="R53" s="68">
        <v>183500048.41717589</v>
      </c>
      <c r="S53" s="68">
        <v>212204396.28700769</v>
      </c>
      <c r="T53" s="68">
        <v>270854262.62541223</v>
      </c>
      <c r="U53" s="68">
        <v>329245513.41227859</v>
      </c>
      <c r="V53" s="68">
        <v>409959288.51719737</v>
      </c>
      <c r="W53" s="50"/>
      <c r="X53" s="46" t="s">
        <v>134</v>
      </c>
      <c r="Y53" s="50">
        <f t="shared" si="18"/>
        <v>0</v>
      </c>
      <c r="Z53" s="50">
        <f t="shared" si="19"/>
        <v>0</v>
      </c>
      <c r="AA53" s="50">
        <f t="shared" si="20"/>
        <v>0</v>
      </c>
      <c r="AB53" s="50">
        <f t="shared" si="21"/>
        <v>0</v>
      </c>
      <c r="AC53" s="50">
        <f t="shared" si="22"/>
        <v>0</v>
      </c>
      <c r="AD53" s="50">
        <f t="shared" si="23"/>
        <v>0</v>
      </c>
      <c r="AE53" s="50">
        <f t="shared" si="24"/>
        <v>0</v>
      </c>
      <c r="AF53" s="50">
        <f t="shared" si="25"/>
        <v>0</v>
      </c>
      <c r="AG53" s="50">
        <f t="shared" si="26"/>
        <v>0</v>
      </c>
      <c r="AI53" s="595">
        <v>150874939.34627309</v>
      </c>
      <c r="AJ53" s="595">
        <v>156672623.34564549</v>
      </c>
      <c r="AK53" s="595">
        <v>164487128.6373882</v>
      </c>
      <c r="AL53" s="595">
        <v>175286506.783768</v>
      </c>
      <c r="AM53" s="595">
        <v>189020968.68158191</v>
      </c>
      <c r="AN53" s="595">
        <v>220009595.99099109</v>
      </c>
      <c r="AO53" s="595">
        <v>283333547.515347</v>
      </c>
      <c r="AP53" s="595">
        <v>342639839.30576319</v>
      </c>
      <c r="AQ53" s="595">
        <v>432145854.50785142</v>
      </c>
      <c r="AR53" s="50"/>
      <c r="AS53" s="46" t="s">
        <v>134</v>
      </c>
      <c r="AT53" s="50">
        <f t="shared" si="27"/>
        <v>-947950.54171988368</v>
      </c>
      <c r="AU53" s="50">
        <f t="shared" si="28"/>
        <v>-1781396.3528111577</v>
      </c>
      <c r="AV53" s="50">
        <f t="shared" si="29"/>
        <v>-2677860.1766301095</v>
      </c>
      <c r="AW53" s="50">
        <f t="shared" si="30"/>
        <v>-3929704.3609601855</v>
      </c>
      <c r="AX53" s="50">
        <f t="shared" si="31"/>
        <v>-5520920.2644060552</v>
      </c>
      <c r="AY53" s="50">
        <f t="shared" si="32"/>
        <v>-7805199.7039833367</v>
      </c>
      <c r="AZ53" s="50">
        <f t="shared" si="33"/>
        <v>-12479284.889934778</v>
      </c>
      <c r="BA53" s="50">
        <f t="shared" si="34"/>
        <v>-13394325.893484592</v>
      </c>
      <c r="BB53" s="50">
        <f t="shared" si="35"/>
        <v>-22186565.990654051</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4B084"/>
  </sheetPr>
  <dimension ref="A1:BE150"/>
  <sheetViews>
    <sheetView zoomScale="193" workbookViewId="0">
      <pane xSplit="4" ySplit="3" topLeftCell="E4" activePane="bottomRight" state="frozen"/>
      <selection pane="topRight"/>
      <selection pane="bottomLeft"/>
      <selection pane="bottomRight" activeCell="A14" sqref="A14"/>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30" t="s">
        <v>0</v>
      </c>
      <c r="B2" s="431"/>
      <c r="C2" s="431"/>
      <c r="D2" s="431"/>
      <c r="E2" s="432"/>
      <c r="F2" s="433"/>
      <c r="G2" s="433"/>
      <c r="H2" s="433"/>
      <c r="I2" s="433"/>
      <c r="J2" s="433"/>
      <c r="K2" s="433"/>
      <c r="L2" s="433"/>
      <c r="M2" s="433"/>
      <c r="N2" s="433"/>
      <c r="O2" s="433"/>
      <c r="P2" s="433"/>
      <c r="Q2" s="433"/>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row>
    <row r="3" spans="1:57">
      <c r="A3" s="430" t="s">
        <v>1</v>
      </c>
      <c r="B3" s="431"/>
      <c r="C3" s="431"/>
      <c r="D3" s="431"/>
      <c r="E3" s="435"/>
      <c r="F3" s="436"/>
      <c r="G3" s="436"/>
      <c r="H3" s="436"/>
      <c r="I3" s="436"/>
      <c r="J3" s="436"/>
      <c r="K3" s="436"/>
      <c r="L3" s="436"/>
      <c r="M3" s="436"/>
      <c r="N3" s="436"/>
      <c r="O3" s="436"/>
      <c r="P3" s="436"/>
      <c r="Q3" s="436"/>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row>
    <row r="5" spans="1:57">
      <c r="A5" s="439" t="s">
        <v>5</v>
      </c>
      <c r="B5" s="440" t="s">
        <v>6</v>
      </c>
      <c r="C5" s="441" t="s">
        <v>7</v>
      </c>
      <c r="D5" s="442"/>
      <c r="E5" s="443">
        <v>0.03</v>
      </c>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row>
    <row r="6" spans="1:57">
      <c r="A6" s="427"/>
      <c r="B6" s="442"/>
      <c r="C6" s="444"/>
      <c r="D6" s="445"/>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8</v>
      </c>
      <c r="B7" s="440" t="s">
        <v>6</v>
      </c>
      <c r="C7" s="441" t="s">
        <v>9</v>
      </c>
      <c r="D7" s="445"/>
      <c r="E7" s="446">
        <v>0.05</v>
      </c>
      <c r="F7" s="427"/>
      <c r="G7" s="427"/>
      <c r="H7" s="427"/>
      <c r="I7" s="427"/>
      <c r="J7" s="427"/>
      <c r="K7" s="427"/>
      <c r="L7" s="427"/>
      <c r="M7" s="427"/>
      <c r="N7" s="427"/>
      <c r="O7" s="427"/>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v>
      </c>
      <c r="B8" s="440" t="s">
        <v>6</v>
      </c>
      <c r="C8" s="441" t="s">
        <v>11</v>
      </c>
      <c r="D8" s="445"/>
      <c r="E8" s="447">
        <v>0.35</v>
      </c>
      <c r="F8" s="427"/>
      <c r="G8" s="427"/>
      <c r="H8" s="427"/>
      <c r="I8" s="427"/>
      <c r="J8" s="427"/>
      <c r="K8" s="427"/>
      <c r="L8" s="427"/>
      <c r="M8" s="427"/>
      <c r="N8" s="427"/>
      <c r="O8" s="427"/>
      <c r="P8" s="427"/>
      <c r="Q8" s="427"/>
      <c r="R8" s="427"/>
      <c r="S8" s="427"/>
      <c r="T8" s="427"/>
      <c r="U8" s="427"/>
      <c r="V8" s="427"/>
      <c r="W8" s="427"/>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27"/>
      <c r="B9" s="427"/>
      <c r="C9" s="427"/>
      <c r="D9" s="427"/>
      <c r="E9" s="427"/>
      <c r="F9" s="427"/>
      <c r="G9" s="427"/>
      <c r="H9" s="427"/>
      <c r="I9" s="427"/>
      <c r="J9" s="427"/>
      <c r="K9" s="427"/>
      <c r="L9" s="427"/>
      <c r="M9" s="427"/>
      <c r="N9" s="427"/>
      <c r="O9" s="427"/>
      <c r="P9" s="427"/>
      <c r="Q9" s="427"/>
      <c r="R9" s="427"/>
      <c r="S9" s="427"/>
      <c r="T9" s="427"/>
      <c r="U9" s="427"/>
      <c r="V9" s="427"/>
      <c r="W9" s="427"/>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27"/>
      <c r="B10" s="427"/>
      <c r="C10" s="427"/>
      <c r="D10" s="427"/>
      <c r="E10" s="427"/>
      <c r="F10" s="427"/>
      <c r="G10" s="427"/>
      <c r="H10" s="427"/>
      <c r="I10" s="427"/>
      <c r="J10" s="427"/>
      <c r="K10" s="427"/>
      <c r="L10" s="427"/>
      <c r="M10" s="427"/>
      <c r="N10" s="427"/>
      <c r="O10" s="427"/>
      <c r="P10" s="427"/>
      <c r="Q10" s="427"/>
      <c r="R10" s="427"/>
      <c r="S10" s="427"/>
      <c r="T10" s="427"/>
      <c r="U10" s="427"/>
      <c r="V10" s="427"/>
      <c r="W10" s="42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812" t="s">
        <v>12</v>
      </c>
      <c r="B11" s="812" t="s">
        <v>6</v>
      </c>
      <c r="C11" s="812" t="s">
        <v>13</v>
      </c>
      <c r="D11" s="427"/>
      <c r="E11" s="811">
        <v>46112</v>
      </c>
      <c r="F11" s="427"/>
      <c r="G11" s="427"/>
      <c r="H11" s="427"/>
      <c r="I11" s="427"/>
      <c r="J11" s="427"/>
      <c r="K11" s="427"/>
      <c r="L11" s="427"/>
      <c r="M11" s="427"/>
      <c r="N11" s="427"/>
      <c r="O11" s="427"/>
      <c r="P11" s="427"/>
      <c r="Q11" s="427"/>
      <c r="R11" s="427"/>
      <c r="S11" s="427"/>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c r="A12" s="812" t="s">
        <v>14</v>
      </c>
      <c r="B12" s="812" t="s">
        <v>6</v>
      </c>
      <c r="C12" s="812" t="s">
        <v>15</v>
      </c>
      <c r="D12" s="427"/>
      <c r="E12" s="811">
        <v>46203</v>
      </c>
      <c r="F12" s="427"/>
      <c r="G12" s="427"/>
      <c r="H12" s="427"/>
      <c r="I12" s="427"/>
      <c r="J12" s="427"/>
      <c r="K12" s="427"/>
      <c r="L12" s="427"/>
      <c r="M12" s="427"/>
      <c r="N12" s="427"/>
      <c r="O12" s="427"/>
      <c r="P12" s="427"/>
      <c r="Q12" s="427"/>
      <c r="R12" s="427"/>
      <c r="S12" s="427"/>
      <c r="T12" s="427"/>
      <c r="U12" s="427"/>
      <c r="V12" s="427"/>
      <c r="W12" s="42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c r="A13" s="812" t="s">
        <v>1198</v>
      </c>
      <c r="B13" s="815" t="s">
        <v>6</v>
      </c>
      <c r="C13" s="815" t="s">
        <v>16</v>
      </c>
      <c r="D13" s="427"/>
      <c r="E13" s="811">
        <v>46387</v>
      </c>
      <c r="F13" s="427"/>
      <c r="G13" s="427"/>
      <c r="H13" s="427"/>
      <c r="I13" s="427"/>
      <c r="J13" s="427"/>
      <c r="K13" s="427"/>
      <c r="L13" s="427"/>
      <c r="M13" s="427"/>
      <c r="N13" s="427"/>
      <c r="O13" s="427"/>
      <c r="P13" s="427"/>
      <c r="Q13" s="427"/>
      <c r="R13" s="427"/>
      <c r="S13" s="427"/>
      <c r="T13" s="427"/>
      <c r="U13" s="427"/>
      <c r="V13" s="427"/>
      <c r="W13" s="42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row>
    <row r="14" spans="1:57">
      <c r="A14" s="427"/>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row>
    <row r="15" spans="1:57">
      <c r="A15" s="427"/>
      <c r="B15" s="427"/>
      <c r="C15" s="427"/>
      <c r="D15" s="427"/>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27"/>
      <c r="B16" s="427"/>
      <c r="C16" s="427"/>
      <c r="D16" s="427"/>
      <c r="E16" s="427"/>
      <c r="F16" s="427"/>
      <c r="G16" s="427"/>
      <c r="H16" s="427"/>
      <c r="I16" s="427"/>
      <c r="J16" s="427"/>
      <c r="K16" s="427"/>
      <c r="L16" s="427"/>
      <c r="M16" s="427"/>
      <c r="N16" s="427"/>
      <c r="O16" s="427"/>
      <c r="P16" s="427"/>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27"/>
      <c r="B17" s="427"/>
      <c r="C17" s="427"/>
      <c r="D17" s="427"/>
      <c r="E17" s="427"/>
      <c r="F17" s="427"/>
      <c r="G17" s="427"/>
      <c r="H17" s="427"/>
      <c r="I17" s="427"/>
      <c r="J17" s="427"/>
      <c r="K17" s="427"/>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27"/>
      <c r="B18" s="427"/>
      <c r="C18" s="427"/>
      <c r="D18" s="427"/>
      <c r="E18" s="427"/>
      <c r="F18" s="427"/>
      <c r="G18" s="427"/>
      <c r="H18" s="427"/>
      <c r="I18" s="427"/>
      <c r="J18" s="427"/>
      <c r="K18" s="427"/>
      <c r="L18" s="427"/>
      <c r="M18" s="427"/>
      <c r="N18" s="427"/>
      <c r="O18" s="427"/>
      <c r="P18" s="427"/>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27"/>
      <c r="B19" s="427"/>
      <c r="C19" s="427"/>
      <c r="D19" s="427"/>
      <c r="E19" s="427"/>
      <c r="F19" s="427"/>
      <c r="G19" s="427"/>
      <c r="H19" s="427"/>
      <c r="I19" s="427"/>
      <c r="J19" s="427"/>
      <c r="K19" s="427"/>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c r="A21" s="427"/>
      <c r="B21" s="427"/>
      <c r="C21" s="427"/>
      <c r="D21" s="427"/>
      <c r="E21" s="427"/>
      <c r="F21" s="427"/>
      <c r="G21" s="427"/>
      <c r="H21" s="427"/>
      <c r="I21" s="427"/>
      <c r="J21" s="427"/>
      <c r="K21" s="427"/>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c r="A22" s="427"/>
      <c r="B22" s="427"/>
      <c r="C22" s="427"/>
      <c r="D22" s="427"/>
      <c r="E22" s="427"/>
      <c r="F22" s="427"/>
      <c r="G22" s="427"/>
      <c r="H22" s="427"/>
      <c r="I22" s="427"/>
      <c r="J22" s="427"/>
      <c r="K22" s="427"/>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row>
    <row r="23" spans="1:57">
      <c r="A23" s="427"/>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row>
    <row r="24" spans="1:57">
      <c r="A24" s="427"/>
      <c r="B24" s="427"/>
      <c r="C24" s="427"/>
      <c r="D24" s="427"/>
      <c r="E24" s="427"/>
      <c r="F24" s="427"/>
      <c r="G24" s="427"/>
      <c r="H24" s="427"/>
      <c r="I24" s="427"/>
      <c r="J24" s="427"/>
      <c r="K24" s="427"/>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27"/>
      <c r="B25" s="427"/>
      <c r="C25" s="427"/>
      <c r="D25" s="427"/>
      <c r="E25" s="427"/>
      <c r="F25" s="427"/>
      <c r="G25" s="427"/>
      <c r="H25" s="427"/>
      <c r="I25" s="427"/>
      <c r="J25" s="427"/>
      <c r="K25" s="427"/>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27"/>
      <c r="B26" s="427"/>
      <c r="C26" s="427"/>
      <c r="D26" s="427"/>
      <c r="E26" s="427"/>
      <c r="F26" s="427"/>
      <c r="G26" s="427"/>
      <c r="H26" s="427"/>
      <c r="I26" s="427"/>
      <c r="J26" s="427"/>
      <c r="K26" s="427"/>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27"/>
      <c r="B27" s="427"/>
      <c r="C27" s="427"/>
      <c r="D27" s="427"/>
      <c r="E27" s="427"/>
      <c r="F27" s="427"/>
      <c r="G27" s="427"/>
      <c r="H27" s="427"/>
      <c r="I27" s="427"/>
      <c r="J27" s="427"/>
      <c r="K27" s="427"/>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27"/>
      <c r="B28" s="427"/>
      <c r="C28" s="427"/>
      <c r="D28" s="427"/>
      <c r="E28" s="427"/>
      <c r="F28" s="427"/>
      <c r="G28" s="427"/>
      <c r="H28" s="427"/>
      <c r="I28" s="427"/>
      <c r="J28" s="427"/>
      <c r="K28" s="427"/>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27"/>
      <c r="B29" s="427"/>
      <c r="C29" s="427"/>
      <c r="D29" s="427"/>
      <c r="E29" s="427"/>
      <c r="F29" s="427"/>
      <c r="G29" s="427"/>
      <c r="H29" s="427"/>
      <c r="I29" s="427"/>
      <c r="J29" s="427"/>
      <c r="K29" s="427"/>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27"/>
      <c r="B30" s="427"/>
      <c r="C30" s="427"/>
      <c r="D30" s="427"/>
      <c r="E30" s="427"/>
      <c r="F30" s="427"/>
      <c r="G30" s="427"/>
      <c r="H30" s="427"/>
      <c r="I30" s="427"/>
      <c r="J30" s="427"/>
      <c r="K30" s="427"/>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27"/>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27"/>
      <c r="B32" s="427"/>
      <c r="C32" s="427"/>
      <c r="D32" s="427"/>
      <c r="E32" s="427"/>
      <c r="F32" s="427"/>
      <c r="G32" s="427"/>
      <c r="H32" s="427"/>
      <c r="I32" s="427"/>
      <c r="J32" s="427"/>
      <c r="K32" s="427"/>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27"/>
      <c r="B33" s="427"/>
      <c r="C33" s="427"/>
      <c r="D33" s="427"/>
      <c r="E33" s="427"/>
      <c r="F33" s="427"/>
      <c r="G33" s="427"/>
      <c r="H33" s="427"/>
      <c r="I33" s="427"/>
      <c r="J33" s="427"/>
      <c r="K33" s="427"/>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27"/>
      <c r="B34" s="427"/>
      <c r="C34" s="427"/>
      <c r="D34" s="427"/>
      <c r="E34" s="427"/>
      <c r="F34" s="427"/>
      <c r="G34" s="427"/>
      <c r="H34" s="427"/>
      <c r="I34" s="427"/>
      <c r="J34" s="427"/>
      <c r="K34" s="427"/>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c r="A36" s="427"/>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c r="A37" s="427"/>
      <c r="B37" s="427"/>
      <c r="C37" s="427"/>
      <c r="D37" s="427"/>
      <c r="E37" s="427"/>
      <c r="F37" s="427"/>
      <c r="G37" s="427"/>
      <c r="H37" s="427"/>
      <c r="I37" s="427"/>
      <c r="J37" s="427"/>
      <c r="K37" s="42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c r="A38" s="427"/>
      <c r="B38" s="427"/>
      <c r="C38" s="427"/>
      <c r="D38" s="427"/>
      <c r="E38" s="427"/>
      <c r="F38" s="427"/>
      <c r="G38" s="427"/>
      <c r="H38" s="427"/>
      <c r="I38" s="427"/>
      <c r="J38" s="427"/>
      <c r="K38" s="42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27"/>
      <c r="B39" s="427"/>
      <c r="C39" s="427"/>
      <c r="D39" s="427"/>
      <c r="E39" s="427"/>
      <c r="F39" s="427"/>
      <c r="G39" s="427"/>
      <c r="H39" s="427"/>
      <c r="I39" s="427"/>
      <c r="J39" s="427"/>
      <c r="K39" s="42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27"/>
      <c r="B40" s="427"/>
      <c r="C40" s="427"/>
      <c r="D40" s="427"/>
      <c r="E40" s="427"/>
      <c r="F40" s="427"/>
      <c r="G40" s="427"/>
      <c r="H40" s="427"/>
      <c r="I40" s="427"/>
      <c r="J40" s="427"/>
      <c r="K40" s="427"/>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27"/>
      <c r="B41" s="427"/>
      <c r="C41" s="427"/>
      <c r="D41" s="427"/>
      <c r="E41" s="427"/>
      <c r="F41" s="427"/>
      <c r="G41" s="427"/>
      <c r="H41" s="427"/>
      <c r="I41" s="427"/>
      <c r="J41" s="427"/>
      <c r="K41" s="42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27"/>
      <c r="B42" s="427"/>
      <c r="C42" s="427"/>
      <c r="D42" s="427"/>
      <c r="E42" s="427"/>
      <c r="F42" s="427"/>
      <c r="G42" s="427"/>
      <c r="H42" s="427"/>
      <c r="I42" s="427"/>
      <c r="J42" s="427"/>
      <c r="K42" s="42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27"/>
      <c r="B43" s="427"/>
      <c r="C43" s="427"/>
      <c r="D43" s="427"/>
      <c r="E43" s="427"/>
      <c r="F43" s="427"/>
      <c r="G43" s="427"/>
      <c r="H43" s="427"/>
      <c r="I43" s="427"/>
      <c r="J43" s="427"/>
      <c r="K43" s="42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2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27"/>
      <c r="B45" s="427"/>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27"/>
      <c r="B46" s="427"/>
      <c r="C46" s="427"/>
      <c r="D46" s="427"/>
      <c r="E46" s="427"/>
      <c r="F46" s="427"/>
      <c r="G46" s="427"/>
      <c r="H46" s="427"/>
      <c r="I46" s="427"/>
      <c r="J46" s="427"/>
      <c r="K46" s="42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27"/>
      <c r="B47" s="427"/>
      <c r="C47" s="427"/>
      <c r="D47" s="427"/>
      <c r="E47" s="427"/>
      <c r="F47" s="427"/>
      <c r="G47" s="427"/>
      <c r="H47" s="427"/>
      <c r="I47" s="427"/>
      <c r="J47" s="427"/>
      <c r="K47" s="42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27"/>
      <c r="B48" s="427"/>
      <c r="C48" s="427"/>
      <c r="D48" s="427"/>
      <c r="E48" s="427"/>
      <c r="F48" s="427"/>
      <c r="G48" s="427"/>
      <c r="H48" s="427"/>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row r="50" spans="1:57">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row>
    <row r="51" spans="1:57">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row>
    <row r="52" spans="1:57">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row>
    <row r="53" spans="1:57">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row>
    <row r="54" spans="1:57">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row>
    <row r="55" spans="1:57">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row>
    <row r="56" spans="1:57">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row>
    <row r="57" spans="1: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row>
    <row r="58" spans="1:57">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row>
    <row r="59" spans="1:57">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row>
    <row r="60" spans="1:57">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row>
    <row r="61" spans="1:57">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row>
    <row r="62" spans="1:57">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row>
    <row r="63" spans="1:57">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row>
    <row r="64" spans="1:57">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row>
    <row r="65" spans="1:57">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row>
    <row r="66" spans="1:57">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row>
    <row r="67" spans="1:5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row>
    <row r="68" spans="1:57">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row>
    <row r="69" spans="1:57">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row>
    <row r="70" spans="1:57">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row>
    <row r="71" spans="1:57">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row>
    <row r="72" spans="1:57">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row>
    <row r="73" spans="1:57">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row>
    <row r="74" spans="1:57">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row>
    <row r="75" spans="1:57">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row>
    <row r="76" spans="1:57">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row>
    <row r="77" spans="1:5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row>
    <row r="78" spans="1:57">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row>
    <row r="79" spans="1:57">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row>
    <row r="80" spans="1:57">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row>
    <row r="81" spans="1:57">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row>
    <row r="82" spans="1:57">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row>
    <row r="83" spans="1:57">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row>
    <row r="84" spans="1:57">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row>
    <row r="85" spans="1:57">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row>
    <row r="86" spans="1:57">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row>
    <row r="87" spans="1:5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row>
    <row r="88" spans="1:57">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row>
    <row r="89" spans="1:57">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row>
    <row r="90" spans="1:57">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row>
    <row r="91" spans="1:57">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row>
    <row r="92" spans="1:57">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row>
    <row r="93" spans="1:57">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row>
    <row r="94" spans="1:57">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row>
    <row r="95" spans="1:57">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row>
    <row r="96" spans="1:57">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row>
    <row r="97" spans="1:5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row>
    <row r="98" spans="1:57">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row>
    <row r="99" spans="1:57">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row>
    <row r="100" spans="1:57">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row>
    <row r="101" spans="1:57">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row>
    <row r="102" spans="1:57">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row>
    <row r="103" spans="1:57">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row>
    <row r="104" spans="1:57">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row>
    <row r="105" spans="1:57">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row>
    <row r="106" spans="1:57">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row>
    <row r="107" spans="1:5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row>
    <row r="108" spans="1:57">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row>
    <row r="109" spans="1:57">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row>
    <row r="110" spans="1:57">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row>
    <row r="111" spans="1:57">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row>
    <row r="112" spans="1:57">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row>
    <row r="113" spans="1:57">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row>
    <row r="114" spans="1:57">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row>
    <row r="115" spans="1:57">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row>
    <row r="116" spans="1:57">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row>
    <row r="117" spans="1:57">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row>
    <row r="118" spans="1:57">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row>
    <row r="119" spans="1:57">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row>
    <row r="120" spans="1:57">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row>
    <row r="121" spans="1:57">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row>
    <row r="122" spans="1:57">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row>
    <row r="123" spans="1:57">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row>
    <row r="124" spans="1:57">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row>
    <row r="125" spans="1:57">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row>
    <row r="126" spans="1:57">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row>
    <row r="127" spans="1:57">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row>
    <row r="128" spans="1:57">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row>
    <row r="129" spans="1:57">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row>
    <row r="130" spans="1:57">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row>
    <row r="131" spans="1:57">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row>
    <row r="132" spans="1:57">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row>
    <row r="133" spans="1:57">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row>
    <row r="134" spans="1:57">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row>
    <row r="135" spans="1:57">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row>
    <row r="136" spans="1:57">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row>
    <row r="137" spans="1:57">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row>
    <row r="138" spans="1:57">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row>
    <row r="139" spans="1:57">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row>
    <row r="140" spans="1:57">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row>
    <row r="141" spans="1:57">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row>
    <row r="142" spans="1:57">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row>
    <row r="143" spans="1:57">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row>
    <row r="144" spans="1:57">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row>
    <row r="145" spans="1:57">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row>
    <row r="146" spans="1:57">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row>
    <row r="147" spans="1:57">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row>
    <row r="148" spans="1:57">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row>
    <row r="149" spans="1:57">
      <c r="A149" s="427"/>
      <c r="B149" s="448"/>
      <c r="C149" s="427"/>
      <c r="D149" s="448"/>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row>
    <row r="150" spans="1:57">
      <c r="A150" s="427"/>
      <c r="B150" s="448"/>
      <c r="C150" s="427"/>
      <c r="D150" s="448"/>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tabColor rgb="FFF4B084"/>
    <pageSetUpPr autoPageBreaks="0"/>
  </sheetPr>
  <dimension ref="A1:BK148"/>
  <sheetViews>
    <sheetView showGridLines="0" zoomScale="99" zoomScaleNormal="85" workbookViewId="0">
      <pane xSplit="4" ySplit="3" topLeftCell="E4" activePane="bottomRight" state="frozen"/>
      <selection pane="topRight"/>
      <selection pane="bottomLeft" activeCell="E16" sqref="E16"/>
      <selection pane="bottomRight" activeCell="A3" sqref="A3:XFD3"/>
    </sheetView>
  </sheetViews>
  <sheetFormatPr defaultRowHeight="14.5"/>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customWidth="1"/>
    <col min="10" max="11" width="10.7265625" style="591" customWidth="1"/>
    <col min="12" max="12" width="19.6328125" style="5" customWidth="1"/>
    <col min="13" max="13" width="16" style="5" customWidth="1"/>
    <col min="14" max="14" width="16.26953125" style="5" customWidth="1"/>
    <col min="15" max="15" width="28.08984375" style="5" bestFit="1" customWidth="1"/>
    <col min="16" max="16" width="21.81640625" style="5" bestFit="1" customWidth="1"/>
    <col min="17" max="17" width="20.1796875" style="5" bestFit="1" customWidth="1"/>
    <col min="18" max="18" width="28.6328125" style="5" bestFit="1" customWidth="1"/>
    <col min="19" max="19" width="26" style="5" bestFit="1" customWidth="1"/>
    <col min="20" max="20" width="23.26953125" style="5" bestFit="1" customWidth="1"/>
    <col min="21" max="21" width="24.26953125" style="5" bestFit="1" customWidth="1"/>
    <col min="22" max="23" width="25.0898437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449"/>
      <c r="B1" s="449"/>
      <c r="C1" s="449"/>
      <c r="D1" s="449"/>
      <c r="E1" s="587"/>
      <c r="F1" s="427"/>
      <c r="G1" s="427"/>
      <c r="H1" s="427"/>
      <c r="I1" s="427"/>
      <c r="J1" s="427"/>
      <c r="K1" s="427"/>
      <c r="L1" s="587"/>
      <c r="M1" s="450"/>
      <c r="N1" s="450"/>
      <c r="O1" s="450"/>
      <c r="P1" s="450"/>
      <c r="Q1" s="450"/>
      <c r="R1" s="450"/>
      <c r="S1" s="450"/>
      <c r="T1" s="450"/>
      <c r="U1" s="450"/>
      <c r="V1" s="450"/>
      <c r="W1" s="450"/>
      <c r="X1" s="427"/>
      <c r="Y1" s="451"/>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444"/>
      <c r="B4" s="437" t="s">
        <v>2</v>
      </c>
      <c r="C4" s="437" t="s">
        <v>3</v>
      </c>
      <c r="D4" s="437" t="s">
        <v>4</v>
      </c>
      <c r="E4" s="452"/>
      <c r="F4" s="427"/>
      <c r="G4" s="427"/>
      <c r="H4" s="427"/>
      <c r="I4" s="427"/>
      <c r="J4" s="427"/>
      <c r="K4" s="427"/>
      <c r="L4" s="452"/>
      <c r="M4" s="452"/>
      <c r="N4" s="452"/>
      <c r="O4" s="452"/>
      <c r="P4" s="452"/>
      <c r="Q4" s="452"/>
      <c r="R4" s="452"/>
      <c r="S4" s="452"/>
      <c r="T4" s="452"/>
      <c r="U4" s="452"/>
      <c r="V4" s="452"/>
      <c r="W4" s="452"/>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441" t="s">
        <v>803</v>
      </c>
      <c r="B5" s="442"/>
      <c r="C5" s="442"/>
      <c r="D5" s="442"/>
      <c r="E5" s="444"/>
      <c r="F5" s="427"/>
      <c r="G5" s="427"/>
      <c r="H5" s="427"/>
      <c r="I5" s="427"/>
      <c r="J5" s="427"/>
      <c r="K5" s="427"/>
      <c r="L5" s="452"/>
      <c r="M5" s="452"/>
      <c r="N5" s="452"/>
      <c r="O5" s="452"/>
      <c r="P5" s="453"/>
      <c r="Q5" s="453"/>
      <c r="R5" s="453"/>
      <c r="S5" s="453"/>
      <c r="T5" s="454"/>
      <c r="U5" s="454"/>
      <c r="V5" s="454"/>
      <c r="W5" s="454"/>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455" t="s">
        <v>804</v>
      </c>
      <c r="B6" s="442"/>
      <c r="C6" s="445"/>
      <c r="D6" s="445"/>
      <c r="E6" s="456"/>
      <c r="F6" s="427"/>
      <c r="G6" s="427"/>
      <c r="H6" s="427"/>
      <c r="I6" s="427"/>
      <c r="J6" s="427"/>
      <c r="K6" s="427"/>
      <c r="L6" s="456">
        <f>'c12_hm'!L70</f>
        <v>558947</v>
      </c>
      <c r="M6" s="456">
        <f>'c12_hm'!M70</f>
        <v>558947</v>
      </c>
      <c r="N6" s="456">
        <f>'c12_hm'!N70</f>
        <v>558947</v>
      </c>
      <c r="O6" s="456">
        <f>'c12_hm'!O70</f>
        <v>447597</v>
      </c>
      <c r="P6" s="456">
        <f>'c12_hm'!P70</f>
        <v>63035.789473684214</v>
      </c>
      <c r="Q6" s="456">
        <f>'c12_hm'!Q70</f>
        <v>398173.6519736842</v>
      </c>
      <c r="R6" s="456">
        <f>'c12_hm'!R70</f>
        <v>400447.33618421049</v>
      </c>
      <c r="S6" s="456">
        <f>'c12_hm'!S70</f>
        <v>662529.63026315777</v>
      </c>
      <c r="T6" s="456">
        <f>'c12_hm'!T70</f>
        <v>1158059.7503684212</v>
      </c>
      <c r="U6" s="456">
        <f>'c12_hm'!U70</f>
        <v>1728329.2744584209</v>
      </c>
      <c r="V6" s="456">
        <f>'c12_hm'!V70</f>
        <v>2694175.9822711209</v>
      </c>
      <c r="W6" s="456">
        <f>'c12_hm'!W70</f>
        <v>2432050.7995836935</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455" t="s">
        <v>805</v>
      </c>
      <c r="B7" s="442"/>
      <c r="C7" s="445"/>
      <c r="D7" s="445"/>
      <c r="E7" s="456"/>
      <c r="F7" s="427"/>
      <c r="G7" s="427"/>
      <c r="H7" s="427"/>
      <c r="I7" s="427"/>
      <c r="J7" s="427"/>
      <c r="K7" s="427"/>
      <c r="L7" s="456">
        <f>'c12_bi&amp;F'!L70</f>
        <v>0</v>
      </c>
      <c r="M7" s="456">
        <f>'c12_bi&amp;F'!M70</f>
        <v>0</v>
      </c>
      <c r="N7" s="456">
        <f>'c12_bi&amp;F'!N70</f>
        <v>0</v>
      </c>
      <c r="O7" s="456">
        <f>'c12_bi&amp;F'!O70</f>
        <v>0</v>
      </c>
      <c r="P7" s="456">
        <f>'c12_bi&amp;F'!P70</f>
        <v>16714.736842105263</v>
      </c>
      <c r="Q7" s="456">
        <f>'c12_bi&amp;F'!Q70</f>
        <v>16714.736842105263</v>
      </c>
      <c r="R7" s="456">
        <f>'c12_bi&amp;F'!R70</f>
        <v>22398.947368421053</v>
      </c>
      <c r="S7" s="456">
        <f>'c12_bi&amp;F'!S70</f>
        <v>27047.105263157893</v>
      </c>
      <c r="T7" s="456">
        <f>'c12_bi&amp;F'!T70</f>
        <v>105837.63157894737</v>
      </c>
      <c r="U7" s="456">
        <f>'c12_bi&amp;F'!U70</f>
        <v>137337.63157894736</v>
      </c>
      <c r="V7" s="456">
        <f>'c12_bi&amp;F'!V70</f>
        <v>137337.63157894736</v>
      </c>
      <c r="W7" s="456">
        <f>'c12_bi&amp;F'!W70</f>
        <v>137337.63157894736</v>
      </c>
      <c r="X7" s="427"/>
      <c r="Y7" s="451"/>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455" t="s">
        <v>806</v>
      </c>
      <c r="B8" s="442"/>
      <c r="C8" s="445"/>
      <c r="D8" s="445"/>
      <c r="E8" s="456"/>
      <c r="F8" s="427"/>
      <c r="G8" s="427"/>
      <c r="H8" s="427"/>
      <c r="I8" s="427"/>
      <c r="J8" s="427"/>
      <c r="K8" s="427"/>
      <c r="L8" s="456">
        <f>'c12_d&amp;s'!L70</f>
        <v>64367.75</v>
      </c>
      <c r="M8" s="456">
        <f>'c12_d&amp;s'!M70</f>
        <v>64367.75</v>
      </c>
      <c r="N8" s="456">
        <f>'c12_d&amp;s'!N70</f>
        <v>349567.75</v>
      </c>
      <c r="O8" s="456">
        <f>'c12_d&amp;s'!O70</f>
        <v>455617.75</v>
      </c>
      <c r="P8" s="456">
        <f>'c12_d&amp;s'!P70</f>
        <v>806580.95035087725</v>
      </c>
      <c r="Q8" s="456">
        <f>'c12_d&amp;s'!Q70</f>
        <v>1015405.0903508773</v>
      </c>
      <c r="R8" s="456">
        <f>'c12_d&amp;s'!R70</f>
        <v>935314.59035087726</v>
      </c>
      <c r="S8" s="456">
        <f>'c12_d&amp;s'!S70</f>
        <v>2208920.6166666662</v>
      </c>
      <c r="T8" s="456">
        <f>'c12_d&amp;s'!T70</f>
        <v>3652224.3497192976</v>
      </c>
      <c r="U8" s="456">
        <f>'c12_d&amp;s'!U70</f>
        <v>2410340.1441059648</v>
      </c>
      <c r="V8" s="456">
        <f>'c12_d&amp;s'!V70</f>
        <v>1422418.8082975647</v>
      </c>
      <c r="W8" s="456">
        <f>'c12_d&amp;s'!W70</f>
        <v>1408540.132414913</v>
      </c>
      <c r="X8" s="427"/>
      <c r="Y8" s="451"/>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ht="15" customHeight="1" thickBot="1">
      <c r="A9" s="445"/>
      <c r="B9" s="442"/>
      <c r="C9" s="445"/>
      <c r="D9" s="445"/>
      <c r="E9" s="456"/>
      <c r="F9" s="427"/>
      <c r="G9" s="427"/>
      <c r="H9" s="427"/>
      <c r="I9" s="427"/>
      <c r="J9" s="427"/>
      <c r="K9" s="427"/>
      <c r="L9" s="456"/>
      <c r="M9" s="456"/>
      <c r="N9" s="456"/>
      <c r="O9" s="456"/>
      <c r="P9" s="456"/>
      <c r="Q9" s="456"/>
      <c r="R9" s="456"/>
      <c r="S9" s="456"/>
      <c r="T9" s="456"/>
      <c r="U9" s="456"/>
      <c r="V9" s="456"/>
      <c r="W9" s="456"/>
      <c r="X9" s="427"/>
      <c r="Y9" s="451"/>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414" customFormat="1" ht="14.65" customHeight="1" thickTop="1" thickBot="1">
      <c r="A10" s="457" t="s">
        <v>807</v>
      </c>
      <c r="B10" s="440" t="s">
        <v>808</v>
      </c>
      <c r="C10" s="440" t="s">
        <v>809</v>
      </c>
      <c r="D10" s="442"/>
      <c r="E10" s="458">
        <v>2452451</v>
      </c>
      <c r="F10" s="459"/>
      <c r="G10" s="459"/>
      <c r="H10" s="459"/>
      <c r="I10" s="459"/>
      <c r="J10" s="459"/>
      <c r="K10" s="459"/>
      <c r="L10" s="460">
        <f t="shared" ref="L10:W10" si="0">SUM(L6:L9)</f>
        <v>623314.75</v>
      </c>
      <c r="M10" s="460">
        <f t="shared" si="0"/>
        <v>623314.75</v>
      </c>
      <c r="N10" s="460">
        <f t="shared" si="0"/>
        <v>908514.75</v>
      </c>
      <c r="O10" s="460">
        <f t="shared" si="0"/>
        <v>903214.75</v>
      </c>
      <c r="P10" s="460">
        <f t="shared" si="0"/>
        <v>886331.47666666668</v>
      </c>
      <c r="Q10" s="460">
        <f t="shared" si="0"/>
        <v>1430293.4791666667</v>
      </c>
      <c r="R10" s="460">
        <f t="shared" si="0"/>
        <v>1358160.8739035088</v>
      </c>
      <c r="S10" s="460">
        <f t="shared" si="0"/>
        <v>2898497.3521929821</v>
      </c>
      <c r="T10" s="461">
        <f t="shared" si="0"/>
        <v>4916121.7316666665</v>
      </c>
      <c r="U10" s="461">
        <f t="shared" si="0"/>
        <v>4276007.0501433332</v>
      </c>
      <c r="V10" s="461">
        <f t="shared" si="0"/>
        <v>4253932.4221476335</v>
      </c>
      <c r="W10" s="461">
        <f t="shared" si="0"/>
        <v>3977928.5635775542</v>
      </c>
      <c r="X10" s="439" t="s">
        <v>810</v>
      </c>
      <c r="Y10" s="451"/>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28" customFormat="1" ht="15" customHeight="1" thickTop="1">
      <c r="A11" s="453"/>
      <c r="B11" s="442"/>
      <c r="C11" s="442"/>
      <c r="D11" s="442"/>
      <c r="E11" s="444"/>
      <c r="F11" s="427"/>
      <c r="G11" s="427"/>
      <c r="H11" s="427"/>
      <c r="I11" s="427"/>
      <c r="J11" s="427"/>
      <c r="K11" s="427"/>
      <c r="L11" s="456"/>
      <c r="M11" s="456"/>
      <c r="N11" s="456"/>
      <c r="O11" s="456"/>
      <c r="P11" s="456"/>
      <c r="Q11" s="456"/>
      <c r="R11" s="456"/>
      <c r="S11" s="456"/>
      <c r="T11" s="456"/>
      <c r="U11" s="456"/>
      <c r="V11" s="456"/>
      <c r="W11" s="456"/>
      <c r="X11" s="427"/>
      <c r="Y11" s="451"/>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ht="15" customHeight="1">
      <c r="A12" s="439" t="s">
        <v>811</v>
      </c>
      <c r="B12" s="462" t="s">
        <v>6</v>
      </c>
      <c r="C12" s="462" t="s">
        <v>812</v>
      </c>
      <c r="D12" s="462" t="s">
        <v>813</v>
      </c>
      <c r="E12" s="463"/>
      <c r="F12" s="464"/>
      <c r="G12" s="464"/>
      <c r="H12" s="464"/>
      <c r="I12" s="464"/>
      <c r="J12" s="464"/>
      <c r="K12" s="464"/>
      <c r="L12" s="465"/>
      <c r="M12" s="465"/>
      <c r="N12" s="465"/>
      <c r="O12" s="465"/>
      <c r="P12" s="466"/>
      <c r="Q12" s="467"/>
      <c r="R12" s="466"/>
      <c r="S12" s="466"/>
      <c r="T12" s="463">
        <v>0</v>
      </c>
      <c r="U12" s="451"/>
      <c r="V12" s="451"/>
      <c r="W12" s="451"/>
      <c r="X12" s="439" t="s">
        <v>814</v>
      </c>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ht="15" customHeight="1">
      <c r="A13" s="439" t="s">
        <v>815</v>
      </c>
      <c r="B13" s="462" t="s">
        <v>6</v>
      </c>
      <c r="C13" s="462" t="s">
        <v>812</v>
      </c>
      <c r="D13" s="462" t="s">
        <v>816</v>
      </c>
      <c r="E13" s="463"/>
      <c r="F13" s="464"/>
      <c r="G13" s="464"/>
      <c r="H13" s="464"/>
      <c r="I13" s="464"/>
      <c r="J13" s="464"/>
      <c r="K13" s="464"/>
      <c r="L13" s="465"/>
      <c r="M13" s="465"/>
      <c r="N13" s="466"/>
      <c r="O13" s="466"/>
      <c r="P13" s="465"/>
      <c r="Q13" s="466">
        <v>100000</v>
      </c>
      <c r="R13" s="466">
        <v>100000</v>
      </c>
      <c r="S13" s="466"/>
      <c r="T13" s="463">
        <v>100000</v>
      </c>
      <c r="U13" s="451"/>
      <c r="V13" s="451"/>
      <c r="W13" s="463"/>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0" customFormat="1">
      <c r="A14" s="439" t="s">
        <v>817</v>
      </c>
      <c r="B14" s="462" t="s">
        <v>6</v>
      </c>
      <c r="C14" s="462" t="s">
        <v>812</v>
      </c>
      <c r="D14" s="462" t="s">
        <v>818</v>
      </c>
      <c r="E14" s="463"/>
      <c r="F14" s="427"/>
      <c r="G14" s="427"/>
      <c r="H14" s="427"/>
      <c r="I14" s="427"/>
      <c r="J14" s="427"/>
      <c r="K14" s="427"/>
      <c r="L14" s="465"/>
      <c r="M14" s="465"/>
      <c r="N14" s="466"/>
      <c r="O14" s="466"/>
      <c r="P14" s="466"/>
      <c r="Q14" s="466">
        <v>100000</v>
      </c>
      <c r="R14" s="465"/>
      <c r="S14" s="465"/>
      <c r="T14" s="451"/>
      <c r="U14" s="451"/>
      <c r="V14" s="451"/>
      <c r="W14" s="451"/>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0" customFormat="1">
      <c r="A15" s="439" t="s">
        <v>819</v>
      </c>
      <c r="B15" s="462" t="s">
        <v>6</v>
      </c>
      <c r="C15" s="462" t="s">
        <v>812</v>
      </c>
      <c r="D15" s="462" t="s">
        <v>820</v>
      </c>
      <c r="E15" s="463"/>
      <c r="F15" s="427"/>
      <c r="G15" s="427"/>
      <c r="H15" s="427"/>
      <c r="I15" s="427"/>
      <c r="J15" s="427"/>
      <c r="K15" s="427"/>
      <c r="L15" s="465"/>
      <c r="M15" s="465"/>
      <c r="N15" s="465"/>
      <c r="O15" s="465"/>
      <c r="P15" s="465"/>
      <c r="Q15" s="465"/>
      <c r="R15" s="465"/>
      <c r="S15" s="465"/>
      <c r="T15" s="451"/>
      <c r="U15" s="451"/>
      <c r="V15" s="451"/>
      <c r="W15" s="451"/>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0" customFormat="1">
      <c r="A16" s="439" t="s">
        <v>821</v>
      </c>
      <c r="B16" s="462" t="s">
        <v>6</v>
      </c>
      <c r="C16" s="462" t="s">
        <v>812</v>
      </c>
      <c r="D16" s="462" t="s">
        <v>822</v>
      </c>
      <c r="E16" s="463"/>
      <c r="F16" s="427"/>
      <c r="G16" s="427"/>
      <c r="H16" s="427"/>
      <c r="I16" s="427"/>
      <c r="J16" s="427"/>
      <c r="K16" s="427"/>
      <c r="L16" s="465"/>
      <c r="M16" s="465"/>
      <c r="N16" s="465"/>
      <c r="O16" s="465"/>
      <c r="P16" s="466">
        <v>0</v>
      </c>
      <c r="Q16" s="466">
        <v>0</v>
      </c>
      <c r="R16" s="465">
        <v>0</v>
      </c>
      <c r="S16" s="466">
        <v>0</v>
      </c>
      <c r="T16" s="451"/>
      <c r="U16" s="451"/>
      <c r="V16" s="451"/>
      <c r="W16" s="451"/>
      <c r="X16" s="439" t="s">
        <v>823</v>
      </c>
      <c r="Y16" s="451"/>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0" customFormat="1" ht="15" customHeight="1">
      <c r="A17" s="439" t="s">
        <v>824</v>
      </c>
      <c r="B17" s="462" t="s">
        <v>6</v>
      </c>
      <c r="C17" s="462" t="s">
        <v>812</v>
      </c>
      <c r="D17" s="462" t="s">
        <v>824</v>
      </c>
      <c r="E17" s="463"/>
      <c r="F17" s="468"/>
      <c r="G17" s="468"/>
      <c r="H17" s="468"/>
      <c r="I17" s="468"/>
      <c r="J17" s="468"/>
      <c r="K17" s="468"/>
      <c r="L17" s="465"/>
      <c r="M17" s="465"/>
      <c r="N17" s="465"/>
      <c r="O17" s="465"/>
      <c r="P17" s="466">
        <v>0</v>
      </c>
      <c r="Q17" s="466">
        <v>0</v>
      </c>
      <c r="R17" s="466">
        <v>0</v>
      </c>
      <c r="S17" s="466">
        <v>0</v>
      </c>
      <c r="T17" s="451"/>
      <c r="U17" s="451"/>
      <c r="V17" s="451"/>
      <c r="W17" s="451"/>
      <c r="X17" s="439" t="s">
        <v>825</v>
      </c>
      <c r="Y17" s="451"/>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0" customFormat="1" ht="14.65" customHeight="1">
      <c r="A18" s="469" t="s">
        <v>267</v>
      </c>
      <c r="B18" s="462" t="s">
        <v>826</v>
      </c>
      <c r="C18" s="462" t="s">
        <v>827</v>
      </c>
      <c r="D18" s="448"/>
      <c r="E18" s="463"/>
      <c r="F18" s="468"/>
      <c r="G18" s="468"/>
      <c r="H18" s="468"/>
      <c r="I18" s="468"/>
      <c r="J18" s="468"/>
      <c r="K18" s="468"/>
      <c r="L18" s="463">
        <f t="shared" ref="L18:W18" si="1">SUM(L12:L17)</f>
        <v>0</v>
      </c>
      <c r="M18" s="463">
        <f t="shared" si="1"/>
        <v>0</v>
      </c>
      <c r="N18" s="463">
        <f t="shared" si="1"/>
        <v>0</v>
      </c>
      <c r="O18" s="463">
        <f t="shared" si="1"/>
        <v>0</v>
      </c>
      <c r="P18" s="463">
        <f t="shared" si="1"/>
        <v>0</v>
      </c>
      <c r="Q18" s="463">
        <f t="shared" si="1"/>
        <v>200000</v>
      </c>
      <c r="R18" s="463">
        <f t="shared" si="1"/>
        <v>100000</v>
      </c>
      <c r="S18" s="463">
        <f t="shared" si="1"/>
        <v>0</v>
      </c>
      <c r="T18" s="463">
        <f t="shared" si="1"/>
        <v>100000</v>
      </c>
      <c r="U18" s="463">
        <f t="shared" si="1"/>
        <v>0</v>
      </c>
      <c r="V18" s="463">
        <f t="shared" si="1"/>
        <v>0</v>
      </c>
      <c r="W18" s="463">
        <f t="shared" si="1"/>
        <v>0</v>
      </c>
      <c r="X18" s="427"/>
      <c r="Y18" s="451"/>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8" customFormat="1">
      <c r="A19" s="470"/>
      <c r="B19" s="471"/>
      <c r="C19" s="472"/>
      <c r="D19" s="472"/>
      <c r="E19" s="456"/>
      <c r="F19" s="459"/>
      <c r="G19" s="459"/>
      <c r="H19" s="459"/>
      <c r="I19" s="459"/>
      <c r="J19" s="459"/>
      <c r="K19" s="459"/>
      <c r="L19" s="456"/>
      <c r="M19" s="456"/>
      <c r="N19" s="456"/>
      <c r="O19" s="456"/>
      <c r="P19" s="456"/>
      <c r="Q19" s="456"/>
      <c r="R19" s="456"/>
      <c r="S19" s="456"/>
      <c r="T19" s="456"/>
      <c r="U19" s="456"/>
      <c r="V19" s="456"/>
      <c r="W19" s="456"/>
      <c r="X19" s="427"/>
      <c r="Y19" s="451"/>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41" t="s">
        <v>828</v>
      </c>
      <c r="B20" s="442"/>
      <c r="C20" s="442"/>
      <c r="D20" s="442"/>
      <c r="E20" s="456"/>
      <c r="F20" s="427"/>
      <c r="G20" s="427"/>
      <c r="H20" s="427"/>
      <c r="I20" s="427"/>
      <c r="J20" s="427"/>
      <c r="K20" s="427"/>
      <c r="L20" s="456">
        <f t="shared" ref="L20:W20" si="2">-L39</f>
        <v>1637186</v>
      </c>
      <c r="M20" s="456">
        <f t="shared" si="2"/>
        <v>1733477</v>
      </c>
      <c r="N20" s="456">
        <f t="shared" si="2"/>
        <v>1694124</v>
      </c>
      <c r="O20" s="456">
        <f t="shared" si="2"/>
        <v>2917273</v>
      </c>
      <c r="P20" s="456">
        <f t="shared" si="2"/>
        <v>4057849.8571428573</v>
      </c>
      <c r="Q20" s="456">
        <f t="shared" si="2"/>
        <v>4457407</v>
      </c>
      <c r="R20" s="456">
        <f t="shared" si="2"/>
        <v>2834607</v>
      </c>
      <c r="S20" s="456">
        <f t="shared" si="2"/>
        <v>4930793.25</v>
      </c>
      <c r="T20" s="456">
        <f t="shared" si="2"/>
        <v>12027143.140000001</v>
      </c>
      <c r="U20" s="456">
        <f t="shared" si="2"/>
        <v>11730729.884199999</v>
      </c>
      <c r="V20" s="456">
        <f t="shared" si="2"/>
        <v>12082651.780726001</v>
      </c>
      <c r="W20" s="456">
        <f t="shared" si="2"/>
        <v>12445131.334147781</v>
      </c>
      <c r="X20" s="427"/>
      <c r="Y20" s="451"/>
      <c r="Z20" s="427"/>
      <c r="AA20" s="473"/>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44"/>
      <c r="B21" s="442"/>
      <c r="C21" s="442"/>
      <c r="D21" s="442"/>
      <c r="E21" s="456"/>
      <c r="F21" s="473"/>
      <c r="G21" s="473"/>
      <c r="H21" s="473"/>
      <c r="I21" s="473"/>
      <c r="J21" s="473"/>
      <c r="K21" s="473"/>
      <c r="L21" s="456"/>
      <c r="M21" s="456"/>
      <c r="N21" s="456"/>
      <c r="O21" s="456"/>
      <c r="P21" s="456"/>
      <c r="Q21" s="456"/>
      <c r="R21" s="456"/>
      <c r="S21" s="456"/>
      <c r="T21" s="456"/>
      <c r="U21" s="456"/>
      <c r="V21" s="456"/>
      <c r="W21" s="456"/>
      <c r="X21" s="427"/>
      <c r="Y21" s="451"/>
      <c r="Z21" s="427"/>
      <c r="AA21" s="473"/>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41" t="s">
        <v>829</v>
      </c>
      <c r="B22" s="442"/>
      <c r="C22" s="442"/>
      <c r="D22" s="442"/>
      <c r="E22" s="456"/>
      <c r="F22" s="459"/>
      <c r="G22" s="459"/>
      <c r="H22" s="459"/>
      <c r="I22" s="459"/>
      <c r="J22" s="459"/>
      <c r="K22" s="459"/>
      <c r="L22" s="456">
        <f t="shared" ref="L22:W22" si="3">L20+L10</f>
        <v>2260500.75</v>
      </c>
      <c r="M22" s="456">
        <f t="shared" si="3"/>
        <v>2356791.75</v>
      </c>
      <c r="N22" s="456">
        <f t="shared" si="3"/>
        <v>2602638.75</v>
      </c>
      <c r="O22" s="456">
        <f t="shared" si="3"/>
        <v>3820487.75</v>
      </c>
      <c r="P22" s="456">
        <f t="shared" si="3"/>
        <v>4944181.3338095238</v>
      </c>
      <c r="Q22" s="456">
        <f t="shared" si="3"/>
        <v>5887700.479166667</v>
      </c>
      <c r="R22" s="456">
        <f t="shared" si="3"/>
        <v>4192767.8739035088</v>
      </c>
      <c r="S22" s="456">
        <f t="shared" si="3"/>
        <v>7829290.6021929821</v>
      </c>
      <c r="T22" s="456">
        <f t="shared" si="3"/>
        <v>16943264.871666666</v>
      </c>
      <c r="U22" s="456">
        <f t="shared" si="3"/>
        <v>16006736.934343332</v>
      </c>
      <c r="V22" s="456">
        <f t="shared" si="3"/>
        <v>16336584.202873634</v>
      </c>
      <c r="W22" s="456">
        <f t="shared" si="3"/>
        <v>16423059.897725336</v>
      </c>
      <c r="X22" s="427"/>
      <c r="Y22" s="451"/>
      <c r="Z22" s="427"/>
      <c r="AA22" s="473"/>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44"/>
      <c r="B23" s="442"/>
      <c r="C23" s="442"/>
      <c r="D23" s="442"/>
      <c r="E23" s="456"/>
      <c r="F23" s="459"/>
      <c r="G23" s="459"/>
      <c r="H23" s="459"/>
      <c r="I23" s="459"/>
      <c r="J23" s="459"/>
      <c r="K23" s="459"/>
      <c r="L23" s="456"/>
      <c r="M23" s="456"/>
      <c r="N23" s="456"/>
      <c r="O23" s="456"/>
      <c r="P23" s="456"/>
      <c r="Q23" s="456"/>
      <c r="R23" s="456"/>
      <c r="S23" s="456"/>
      <c r="T23" s="456"/>
      <c r="U23" s="456"/>
      <c r="V23" s="456"/>
      <c r="W23" s="456"/>
      <c r="X23" s="427"/>
      <c r="Y23" s="451"/>
      <c r="Z23" s="427"/>
      <c r="AA23" s="473"/>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41" t="s">
        <v>830</v>
      </c>
      <c r="B24" s="442"/>
      <c r="C24" s="442"/>
      <c r="D24" s="442"/>
      <c r="E24" s="456"/>
      <c r="F24" s="459"/>
      <c r="G24" s="459"/>
      <c r="H24" s="459"/>
      <c r="I24" s="459"/>
      <c r="J24" s="459"/>
      <c r="K24" s="459"/>
      <c r="L24" s="456"/>
      <c r="M24" s="456"/>
      <c r="N24" s="456"/>
      <c r="O24" s="456"/>
      <c r="P24" s="456"/>
      <c r="Q24" s="456"/>
      <c r="R24" s="456"/>
      <c r="S24" s="456"/>
      <c r="T24" s="456"/>
      <c r="U24" s="456"/>
      <c r="V24" s="456"/>
      <c r="W24" s="456"/>
      <c r="X24" s="427"/>
      <c r="Y24" s="451"/>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55" t="s">
        <v>831</v>
      </c>
      <c r="B25" s="442"/>
      <c r="C25" s="445"/>
      <c r="D25" s="445"/>
      <c r="E25" s="456"/>
      <c r="F25" s="459"/>
      <c r="G25" s="459"/>
      <c r="H25" s="459"/>
      <c r="I25" s="459"/>
      <c r="J25" s="459"/>
      <c r="K25" s="459"/>
      <c r="L25" s="456">
        <f>-('c12_hm'!L78+'c12_hm'!L79)</f>
        <v>-298080</v>
      </c>
      <c r="M25" s="456">
        <f>-('c12_hm'!M78+'c12_hm'!M79)</f>
        <v>-298080</v>
      </c>
      <c r="N25" s="456">
        <f>-('c12_hm'!N78+'c12_hm'!N79)</f>
        <v>-298080</v>
      </c>
      <c r="O25" s="456">
        <f>-('c12_hm'!O78+'c12_hm'!O79)</f>
        <v>-770825</v>
      </c>
      <c r="P25" s="456">
        <f>-('c12_hm'!P78+'c12_hm'!P79)</f>
        <v>-391680</v>
      </c>
      <c r="Q25" s="456">
        <f>-('c12_hm'!Q78+'c12_hm'!Q79)</f>
        <v>-391680</v>
      </c>
      <c r="R25" s="456">
        <f>-('c12_hm'!R78+'c12_hm'!R79)</f>
        <v>-434880</v>
      </c>
      <c r="S25" s="456">
        <f>-('c12_hm'!S78+'c12_hm'!S79)</f>
        <v>-949185</v>
      </c>
      <c r="T25" s="456">
        <f>-('c12_hm'!T78+'c12_hm'!T79)</f>
        <v>-2518770</v>
      </c>
      <c r="U25" s="456">
        <f>-('c12_hm'!U78+'c12_hm'!U79)</f>
        <v>-2518770</v>
      </c>
      <c r="V25" s="456">
        <f>-('c12_hm'!V78+'c12_hm'!V79)</f>
        <v>-2518770</v>
      </c>
      <c r="W25" s="456">
        <f>-('c12_hm'!W78+'c12_hm'!W79)</f>
        <v>-2518770</v>
      </c>
      <c r="X25" s="427"/>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55" t="s">
        <v>832</v>
      </c>
      <c r="B26" s="442"/>
      <c r="C26" s="445"/>
      <c r="D26" s="445"/>
      <c r="E26" s="456"/>
      <c r="F26" s="459"/>
      <c r="G26" s="459"/>
      <c r="H26" s="459"/>
      <c r="I26" s="459"/>
      <c r="J26" s="459"/>
      <c r="K26" s="459"/>
      <c r="L26" s="456">
        <f>-('c12_bi&amp;F'!L78+'c12_bi&amp;F'!L79)</f>
        <v>-250560</v>
      </c>
      <c r="M26" s="456">
        <f>-('c12_bi&amp;F'!M78+'c12_bi&amp;F'!M79)</f>
        <v>-250560</v>
      </c>
      <c r="N26" s="456">
        <f>-('c12_bi&amp;F'!N78+'c12_bi&amp;F'!N79)</f>
        <v>-336959.99999999994</v>
      </c>
      <c r="O26" s="456">
        <f>-('c12_bi&amp;F'!O78+'c12_bi&amp;F'!O79)</f>
        <v>-602497.5</v>
      </c>
      <c r="P26" s="456">
        <f>-('c12_bi&amp;F'!P78+'c12_bi&amp;F'!P79)</f>
        <v>-296639.99999999994</v>
      </c>
      <c r="Q26" s="456">
        <f>-('c12_bi&amp;F'!Q78+'c12_bi&amp;F'!Q79)</f>
        <v>-477677.14285714284</v>
      </c>
      <c r="R26" s="456">
        <f>-('c12_bi&amp;F'!R78+'c12_bi&amp;F'!R79)</f>
        <v>-672077.14285714284</v>
      </c>
      <c r="S26" s="456">
        <f>-('c12_bi&amp;F'!S78+'c12_bi&amp;F'!S79)</f>
        <v>-1173394.6428571427</v>
      </c>
      <c r="T26" s="456">
        <f>-('c12_bi&amp;F'!T78+'c12_bi&amp;F'!T79)</f>
        <v>-3289116.0714285714</v>
      </c>
      <c r="U26" s="456">
        <f>-('c12_bi&amp;F'!U78+'c12_bi&amp;F'!U79)</f>
        <v>-3289116.0714285714</v>
      </c>
      <c r="V26" s="456">
        <f>-('c12_bi&amp;F'!V78+'c12_bi&amp;F'!V79)</f>
        <v>-3289116.0714285714</v>
      </c>
      <c r="W26" s="456">
        <f>-('c12_bi&amp;F'!W78+'c12_bi&amp;F'!W79)</f>
        <v>-3289116.0714285714</v>
      </c>
      <c r="X26" s="427"/>
      <c r="Y26" s="451"/>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55" t="s">
        <v>833</v>
      </c>
      <c r="B27" s="442"/>
      <c r="C27" s="445"/>
      <c r="D27" s="445"/>
      <c r="E27" s="456"/>
      <c r="F27" s="459"/>
      <c r="G27" s="459"/>
      <c r="H27" s="459"/>
      <c r="I27" s="459"/>
      <c r="J27" s="459"/>
      <c r="K27" s="459"/>
      <c r="L27" s="456">
        <f>-('c12_d&amp;s'!L78+'c12_d&amp;s'!L79)</f>
        <v>-515520</v>
      </c>
      <c r="M27" s="456">
        <f>-('c12_d&amp;s'!M78+'c12_d&amp;s'!M79)</f>
        <v>-515520</v>
      </c>
      <c r="N27" s="456">
        <f>-('c12_d&amp;s'!N78+'c12_d&amp;s'!N79)</f>
        <v>-515520</v>
      </c>
      <c r="O27" s="456">
        <f>-('c12_d&amp;s'!O78+'c12_d&amp;s'!O79)</f>
        <v>-1652177.5</v>
      </c>
      <c r="P27" s="456">
        <f>-('c12_d&amp;s'!P78+'c12_d&amp;s'!P79)</f>
        <v>-560160</v>
      </c>
      <c r="Q27" s="456">
        <f>-('c12_d&amp;s'!Q78+'c12_d&amp;s'!Q79)</f>
        <v>-520560</v>
      </c>
      <c r="R27" s="456">
        <f>-('c12_d&amp;s'!R78+'c12_d&amp;s'!R79)</f>
        <v>-560160</v>
      </c>
      <c r="S27" s="456">
        <f>-('c12_d&amp;s'!S78+'c12_d&amp;s'!S79)</f>
        <v>-1221223.75</v>
      </c>
      <c r="T27" s="456">
        <f>-('c12_d&amp;s'!T78+'c12_d&amp;s'!T79)</f>
        <v>-2809492.4999999995</v>
      </c>
      <c r="U27" s="456">
        <f>-('c12_d&amp;s'!U78+'c12_d&amp;s'!U79)</f>
        <v>-2809492.4999999995</v>
      </c>
      <c r="V27" s="456">
        <f>-('c12_d&amp;s'!V78+'c12_d&amp;s'!V79)</f>
        <v>-2809492.4999999995</v>
      </c>
      <c r="W27" s="456">
        <f>-('c12_d&amp;s'!W78+'c12_d&amp;s'!W79)</f>
        <v>-2809492.4999999995</v>
      </c>
      <c r="X27" s="427"/>
      <c r="Y27" s="451"/>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8" customFormat="1">
      <c r="A28" s="474" t="s">
        <v>834</v>
      </c>
      <c r="B28" s="471"/>
      <c r="C28" s="472"/>
      <c r="D28" s="472"/>
      <c r="E28" s="456"/>
      <c r="F28" s="459"/>
      <c r="G28" s="459"/>
      <c r="H28" s="459"/>
      <c r="I28" s="459"/>
      <c r="J28" s="459"/>
      <c r="K28" s="459"/>
      <c r="L28" s="456">
        <f t="shared" ref="L28:W28" si="4">-(L78-L81)</f>
        <v>-472542.85714285716</v>
      </c>
      <c r="M28" s="456">
        <f t="shared" si="4"/>
        <v>-472542.85714285716</v>
      </c>
      <c r="N28" s="456">
        <f t="shared" si="4"/>
        <v>-472542.85714285716</v>
      </c>
      <c r="O28" s="456">
        <f t="shared" si="4"/>
        <v>-472542.85714285716</v>
      </c>
      <c r="P28" s="456">
        <f t="shared" si="4"/>
        <v>-805022.85714285704</v>
      </c>
      <c r="Q28" s="456">
        <f t="shared" si="4"/>
        <v>-383142.85714285716</v>
      </c>
      <c r="R28" s="456">
        <f t="shared" si="4"/>
        <v>-383142.85714285716</v>
      </c>
      <c r="S28" s="456">
        <f t="shared" si="4"/>
        <v>-902642.85714285704</v>
      </c>
      <c r="T28" s="456">
        <f t="shared" si="4"/>
        <v>-2052071.4285714282</v>
      </c>
      <c r="U28" s="456">
        <f t="shared" si="4"/>
        <v>-1532571.4285714286</v>
      </c>
      <c r="V28" s="456">
        <f t="shared" si="4"/>
        <v>-1532571.4285714286</v>
      </c>
      <c r="W28" s="456">
        <f t="shared" si="4"/>
        <v>-1532571.4285714286</v>
      </c>
      <c r="X28" s="439" t="s">
        <v>835</v>
      </c>
      <c r="Y28" s="451"/>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40" t="s">
        <v>836</v>
      </c>
      <c r="B29" s="442"/>
      <c r="C29" s="442"/>
      <c r="D29" s="442"/>
      <c r="E29" s="456"/>
      <c r="F29" s="459"/>
      <c r="G29" s="459"/>
      <c r="H29" s="459"/>
      <c r="I29" s="459"/>
      <c r="J29" s="459"/>
      <c r="K29" s="459"/>
      <c r="L29" s="456"/>
      <c r="M29" s="456"/>
      <c r="N29" s="456"/>
      <c r="O29" s="456"/>
      <c r="P29" s="456"/>
      <c r="Q29" s="456"/>
      <c r="R29" s="456"/>
      <c r="S29" s="456"/>
      <c r="T29" s="456"/>
      <c r="U29" s="456"/>
      <c r="V29" s="456"/>
      <c r="W29" s="456"/>
      <c r="X29" s="427"/>
      <c r="Y29" s="451"/>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4" t="s">
        <v>837</v>
      </c>
      <c r="B30" s="475" t="s">
        <v>6</v>
      </c>
      <c r="C30" s="474" t="s">
        <v>838</v>
      </c>
      <c r="D30" s="474" t="s">
        <v>839</v>
      </c>
      <c r="E30" s="456"/>
      <c r="F30" s="459"/>
      <c r="G30" s="459"/>
      <c r="H30" s="459"/>
      <c r="I30" s="459"/>
      <c r="J30" s="459"/>
      <c r="K30" s="459"/>
      <c r="L30" s="476">
        <f>-189940/4</f>
        <v>-47485</v>
      </c>
      <c r="M30" s="476">
        <f>-189940/4</f>
        <v>-47485</v>
      </c>
      <c r="N30" s="476">
        <f>-189940/4</f>
        <v>-47485</v>
      </c>
      <c r="O30" s="476">
        <f>-189940/4</f>
        <v>-47485</v>
      </c>
      <c r="P30" s="476">
        <f>-540000/4</f>
        <v>-135000</v>
      </c>
      <c r="Q30" s="476">
        <f>-540000/4</f>
        <v>-135000</v>
      </c>
      <c r="R30" s="476">
        <f>-540000/4</f>
        <v>-135000</v>
      </c>
      <c r="S30" s="476">
        <f>-540000/4</f>
        <v>-135000</v>
      </c>
      <c r="T30" s="456">
        <f>S30</f>
        <v>-135000</v>
      </c>
      <c r="U30" s="456">
        <f>T30</f>
        <v>-135000</v>
      </c>
      <c r="V30" s="456">
        <f>U30</f>
        <v>-135000</v>
      </c>
      <c r="W30" s="456">
        <f>V30</f>
        <v>-135000</v>
      </c>
      <c r="X30" s="439" t="s">
        <v>840</v>
      </c>
      <c r="Y30" s="451"/>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18" customFormat="1">
      <c r="A31" s="477" t="s">
        <v>841</v>
      </c>
      <c r="B31" s="462" t="s">
        <v>6</v>
      </c>
      <c r="C31" s="477" t="s">
        <v>838</v>
      </c>
      <c r="D31" s="477" t="s">
        <v>842</v>
      </c>
      <c r="E31" s="456"/>
      <c r="F31" s="459"/>
      <c r="G31" s="459"/>
      <c r="H31" s="459"/>
      <c r="I31" s="459"/>
      <c r="J31" s="459"/>
      <c r="K31" s="459"/>
      <c r="L31" s="478">
        <v>-112553</v>
      </c>
      <c r="M31" s="478">
        <v>-186705</v>
      </c>
      <c r="N31" s="478">
        <v>-148699</v>
      </c>
      <c r="O31" s="478">
        <v>-249431</v>
      </c>
      <c r="P31" s="476">
        <v>-174347</v>
      </c>
      <c r="Q31" s="478">
        <v>-174347</v>
      </c>
      <c r="R31" s="478">
        <v>-174347</v>
      </c>
      <c r="S31" s="478">
        <v>-174347</v>
      </c>
      <c r="T31" s="479">
        <v>-697388</v>
      </c>
      <c r="U31" s="479">
        <v>-697388</v>
      </c>
      <c r="V31" s="479">
        <v>-697388</v>
      </c>
      <c r="W31" s="479">
        <v>-697388</v>
      </c>
      <c r="X31" s="439" t="s">
        <v>843</v>
      </c>
      <c r="Y31" s="451"/>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18" customFormat="1">
      <c r="A32" s="477" t="s">
        <v>844</v>
      </c>
      <c r="B32" s="462" t="s">
        <v>6</v>
      </c>
      <c r="C32" s="477" t="s">
        <v>838</v>
      </c>
      <c r="D32" s="477" t="s">
        <v>845</v>
      </c>
      <c r="E32" s="456"/>
      <c r="F32" s="459"/>
      <c r="G32" s="459"/>
      <c r="H32" s="459"/>
      <c r="I32" s="459"/>
      <c r="J32" s="459"/>
      <c r="K32" s="459"/>
      <c r="L32" s="478"/>
      <c r="M32" s="478"/>
      <c r="N32" s="478"/>
      <c r="O32" s="478"/>
      <c r="P32" s="476">
        <v>-75000</v>
      </c>
      <c r="Q32" s="476">
        <v>-75000</v>
      </c>
      <c r="R32" s="476">
        <v>-75000</v>
      </c>
      <c r="S32" s="476">
        <v>-75000</v>
      </c>
      <c r="T32" s="456">
        <v>-75000</v>
      </c>
      <c r="U32" s="456">
        <v>-75000</v>
      </c>
      <c r="V32" s="456">
        <v>-75000</v>
      </c>
      <c r="W32" s="456">
        <v>-75000</v>
      </c>
      <c r="X32" s="439" t="s">
        <v>846</v>
      </c>
      <c r="Y32" s="451"/>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s="30" customFormat="1">
      <c r="A33" s="474" t="s">
        <v>847</v>
      </c>
      <c r="B33" s="475" t="s">
        <v>6</v>
      </c>
      <c r="C33" s="474" t="s">
        <v>838</v>
      </c>
      <c r="D33" s="474" t="s">
        <v>848</v>
      </c>
      <c r="E33" s="479"/>
      <c r="F33" s="468"/>
      <c r="G33" s="468"/>
      <c r="H33" s="468"/>
      <c r="I33" s="468"/>
      <c r="J33" s="468"/>
      <c r="K33" s="468"/>
      <c r="L33" s="478">
        <f t="shared" ref="L33:W33" si="5">-L18</f>
        <v>0</v>
      </c>
      <c r="M33" s="478">
        <f t="shared" si="5"/>
        <v>0</v>
      </c>
      <c r="N33" s="478">
        <f t="shared" si="5"/>
        <v>0</v>
      </c>
      <c r="O33" s="478">
        <f t="shared" si="5"/>
        <v>0</v>
      </c>
      <c r="P33" s="478">
        <f t="shared" si="5"/>
        <v>0</v>
      </c>
      <c r="Q33" s="478">
        <f t="shared" si="5"/>
        <v>-200000</v>
      </c>
      <c r="R33" s="478">
        <f t="shared" si="5"/>
        <v>-100000</v>
      </c>
      <c r="S33" s="478">
        <f t="shared" si="5"/>
        <v>0</v>
      </c>
      <c r="T33" s="479">
        <f t="shared" si="5"/>
        <v>-100000</v>
      </c>
      <c r="U33" s="479">
        <f t="shared" si="5"/>
        <v>0</v>
      </c>
      <c r="V33" s="479">
        <f t="shared" si="5"/>
        <v>0</v>
      </c>
      <c r="W33" s="479">
        <f t="shared" si="5"/>
        <v>0</v>
      </c>
      <c r="X33" s="427"/>
      <c r="Y33" s="451"/>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74" t="s">
        <v>849</v>
      </c>
      <c r="B34" s="475" t="s">
        <v>6</v>
      </c>
      <c r="C34" s="474" t="s">
        <v>838</v>
      </c>
      <c r="D34" s="474" t="s">
        <v>850</v>
      </c>
      <c r="E34" s="456"/>
      <c r="F34" s="459"/>
      <c r="G34" s="459"/>
      <c r="H34" s="459"/>
      <c r="I34" s="459"/>
      <c r="J34" s="459"/>
      <c r="K34" s="459"/>
      <c r="L34" s="476"/>
      <c r="M34" s="476"/>
      <c r="N34" s="476">
        <v>-45000</v>
      </c>
      <c r="O34" s="476">
        <v>-599728</v>
      </c>
      <c r="P34" s="476">
        <v>-1620000</v>
      </c>
      <c r="Q34" s="476">
        <v>-2100000</v>
      </c>
      <c r="R34" s="476">
        <v>-300000</v>
      </c>
      <c r="S34" s="476">
        <v>-300000</v>
      </c>
      <c r="T34" s="456">
        <v>0</v>
      </c>
      <c r="U34" s="456">
        <v>0</v>
      </c>
      <c r="V34" s="456">
        <v>0</v>
      </c>
      <c r="W34" s="456">
        <v>0</v>
      </c>
      <c r="X34" s="439" t="s">
        <v>851</v>
      </c>
      <c r="Y34" s="451"/>
      <c r="Z34" s="427"/>
      <c r="AA34" s="473"/>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s="36" customFormat="1">
      <c r="A35" s="480" t="s">
        <v>852</v>
      </c>
      <c r="B35" s="475" t="s">
        <v>6</v>
      </c>
      <c r="C35" s="481" t="s">
        <v>853</v>
      </c>
      <c r="D35" s="482"/>
      <c r="E35" s="483"/>
      <c r="F35" s="427"/>
      <c r="G35" s="427"/>
      <c r="H35" s="427"/>
      <c r="I35" s="427"/>
      <c r="J35" s="427"/>
      <c r="K35" s="427"/>
      <c r="L35" s="484">
        <v>1</v>
      </c>
      <c r="M35" s="484">
        <v>1</v>
      </c>
      <c r="N35" s="484">
        <v>1</v>
      </c>
      <c r="O35" s="484">
        <v>1</v>
      </c>
      <c r="P35" s="484">
        <v>1</v>
      </c>
      <c r="Q35" s="484">
        <v>1</v>
      </c>
      <c r="R35" s="484">
        <v>1</v>
      </c>
      <c r="S35" s="484">
        <v>1</v>
      </c>
      <c r="T35" s="483">
        <f>(1+'c12_inputs'!$E$5)</f>
        <v>1.03</v>
      </c>
      <c r="U35" s="483">
        <f>T35*(1+'c12_inputs'!$E$5)</f>
        <v>1.0609</v>
      </c>
      <c r="V35" s="483">
        <f>U35*(1+'c12_inputs'!$E$5)</f>
        <v>1.092727</v>
      </c>
      <c r="W35" s="483">
        <f>V35*(1+'c12_inputs'!$E$5)</f>
        <v>1.1255088100000001</v>
      </c>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s="30" customFormat="1">
      <c r="A36" s="474" t="s">
        <v>90</v>
      </c>
      <c r="B36" s="475" t="s">
        <v>826</v>
      </c>
      <c r="C36" s="474" t="s">
        <v>854</v>
      </c>
      <c r="D36" s="472"/>
      <c r="E36" s="456"/>
      <c r="F36" s="485"/>
      <c r="G36" s="485"/>
      <c r="H36" s="485"/>
      <c r="I36" s="485"/>
      <c r="J36" s="485"/>
      <c r="K36" s="485"/>
      <c r="L36" s="456">
        <f t="shared" ref="L36:W36" si="6">(L35-1)*SUM(L25:L34)</f>
        <v>0</v>
      </c>
      <c r="M36" s="456">
        <f t="shared" si="6"/>
        <v>0</v>
      </c>
      <c r="N36" s="456">
        <f t="shared" si="6"/>
        <v>0</v>
      </c>
      <c r="O36" s="456">
        <f t="shared" si="6"/>
        <v>0</v>
      </c>
      <c r="P36" s="456">
        <f t="shared" si="6"/>
        <v>0</v>
      </c>
      <c r="Q36" s="456">
        <f t="shared" si="6"/>
        <v>0</v>
      </c>
      <c r="R36" s="456">
        <f t="shared" si="6"/>
        <v>0</v>
      </c>
      <c r="S36" s="456">
        <f t="shared" si="6"/>
        <v>0</v>
      </c>
      <c r="T36" s="456">
        <f t="shared" si="6"/>
        <v>-350305.14000000031</v>
      </c>
      <c r="U36" s="456">
        <f t="shared" si="6"/>
        <v>-673391.88419999951</v>
      </c>
      <c r="V36" s="456">
        <f t="shared" si="6"/>
        <v>-1025313.7807260001</v>
      </c>
      <c r="W36" s="456">
        <f t="shared" si="6"/>
        <v>-1387793.3341477816</v>
      </c>
      <c r="X36" s="439" t="s">
        <v>855</v>
      </c>
      <c r="Y36" s="451"/>
      <c r="Z36" s="427"/>
      <c r="AA36" s="473"/>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589" t="s">
        <v>856</v>
      </c>
      <c r="B37" s="598" t="s">
        <v>808</v>
      </c>
      <c r="C37" s="589" t="s">
        <v>857</v>
      </c>
      <c r="D37" s="472"/>
      <c r="E37" s="486">
        <v>-3970569</v>
      </c>
      <c r="F37" s="476">
        <v>-1102148</v>
      </c>
      <c r="G37" s="476">
        <v>-1124287</v>
      </c>
      <c r="H37" s="476">
        <v>-1077940</v>
      </c>
      <c r="I37" s="476">
        <v>-1645629</v>
      </c>
      <c r="J37" s="476"/>
      <c r="K37" s="476"/>
      <c r="L37" s="593">
        <f t="shared" ref="L37:W37" si="7">IF(AND((F37&lt;&gt;""),(L$2&lt;46204)),(F37),SUM(L25:L28))</f>
        <v>-1102148</v>
      </c>
      <c r="M37" s="593">
        <f t="shared" si="7"/>
        <v>-1124287</v>
      </c>
      <c r="N37" s="593">
        <f t="shared" si="7"/>
        <v>-1077940</v>
      </c>
      <c r="O37" s="593">
        <f t="shared" si="7"/>
        <v>-1645629</v>
      </c>
      <c r="P37" s="593">
        <f t="shared" si="7"/>
        <v>-2053502.857142857</v>
      </c>
      <c r="Q37" s="593">
        <f t="shared" si="7"/>
        <v>-1773060</v>
      </c>
      <c r="R37" s="593">
        <f t="shared" si="7"/>
        <v>-2050260</v>
      </c>
      <c r="S37" s="593">
        <f t="shared" si="7"/>
        <v>-4246446.25</v>
      </c>
      <c r="T37" s="593">
        <f t="shared" si="7"/>
        <v>-10669450</v>
      </c>
      <c r="U37" s="593">
        <f t="shared" si="7"/>
        <v>-10149950</v>
      </c>
      <c r="V37" s="593">
        <f t="shared" si="7"/>
        <v>-10149950</v>
      </c>
      <c r="W37" s="593">
        <f t="shared" si="7"/>
        <v>-10149950</v>
      </c>
      <c r="X37" s="427"/>
      <c r="Y37" s="451"/>
      <c r="Z37" s="427"/>
      <c r="AA37" s="473"/>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ht="15" customHeight="1" thickBot="1">
      <c r="A38" s="588" t="s">
        <v>858</v>
      </c>
      <c r="B38" s="590" t="s">
        <v>6</v>
      </c>
      <c r="C38" s="588" t="s">
        <v>859</v>
      </c>
      <c r="D38" s="445"/>
      <c r="E38" s="456"/>
      <c r="F38" s="476">
        <v>-375000</v>
      </c>
      <c r="G38" s="476">
        <v>-375000</v>
      </c>
      <c r="H38" s="476">
        <v>-375000</v>
      </c>
      <c r="I38" s="476">
        <v>-375000</v>
      </c>
      <c r="J38" s="476"/>
      <c r="K38" s="476"/>
      <c r="L38" s="593">
        <f t="shared" ref="L38:W38" si="8">IF(AND((F38&lt;&gt;""),(L$2&lt;46204)),(F38),0)</f>
        <v>-375000</v>
      </c>
      <c r="M38" s="593">
        <f t="shared" si="8"/>
        <v>-375000</v>
      </c>
      <c r="N38" s="593">
        <f t="shared" si="8"/>
        <v>-375000</v>
      </c>
      <c r="O38" s="593">
        <f t="shared" si="8"/>
        <v>-375000</v>
      </c>
      <c r="P38" s="593">
        <f t="shared" si="8"/>
        <v>0</v>
      </c>
      <c r="Q38" s="593">
        <f t="shared" si="8"/>
        <v>0</v>
      </c>
      <c r="R38" s="593">
        <f t="shared" si="8"/>
        <v>0</v>
      </c>
      <c r="S38" s="593">
        <f t="shared" si="8"/>
        <v>0</v>
      </c>
      <c r="T38" s="593">
        <f t="shared" si="8"/>
        <v>0</v>
      </c>
      <c r="U38" s="593">
        <f t="shared" si="8"/>
        <v>0</v>
      </c>
      <c r="V38" s="593">
        <f t="shared" si="8"/>
        <v>0</v>
      </c>
      <c r="W38" s="593">
        <f t="shared" si="8"/>
        <v>0</v>
      </c>
      <c r="X38" s="427"/>
      <c r="Y38" s="451"/>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87"/>
      <c r="BG38" s="427"/>
      <c r="BH38" s="427"/>
      <c r="BI38" s="427"/>
      <c r="BJ38" s="427"/>
      <c r="BK38" s="427"/>
    </row>
    <row r="39" spans="1:63" s="42" customFormat="1" ht="15.5" customHeight="1" thickTop="1" thickBot="1">
      <c r="A39" s="441" t="s">
        <v>860</v>
      </c>
      <c r="B39" s="440" t="s">
        <v>808</v>
      </c>
      <c r="C39" s="440" t="s">
        <v>861</v>
      </c>
      <c r="D39" s="442"/>
      <c r="E39" s="458">
        <v>-5450569</v>
      </c>
      <c r="F39" s="485"/>
      <c r="G39" s="485"/>
      <c r="H39" s="485"/>
      <c r="I39" s="485"/>
      <c r="J39" s="485"/>
      <c r="K39" s="485"/>
      <c r="L39" s="460">
        <f t="shared" ref="L39:W39" si="9">SUM(L30:L34,L36,L37:L38)</f>
        <v>-1637186</v>
      </c>
      <c r="M39" s="460">
        <f t="shared" si="9"/>
        <v>-1733477</v>
      </c>
      <c r="N39" s="460">
        <f t="shared" si="9"/>
        <v>-1694124</v>
      </c>
      <c r="O39" s="460">
        <f t="shared" si="9"/>
        <v>-2917273</v>
      </c>
      <c r="P39" s="460">
        <f t="shared" si="9"/>
        <v>-4057849.8571428573</v>
      </c>
      <c r="Q39" s="460">
        <f t="shared" si="9"/>
        <v>-4457407</v>
      </c>
      <c r="R39" s="460">
        <f t="shared" si="9"/>
        <v>-2834607</v>
      </c>
      <c r="S39" s="460">
        <f t="shared" si="9"/>
        <v>-4930793.25</v>
      </c>
      <c r="T39" s="460">
        <f t="shared" si="9"/>
        <v>-12027143.140000001</v>
      </c>
      <c r="U39" s="460">
        <f t="shared" si="9"/>
        <v>-11730729.884199999</v>
      </c>
      <c r="V39" s="460">
        <f t="shared" si="9"/>
        <v>-12082651.780726001</v>
      </c>
      <c r="W39" s="460">
        <f t="shared" si="9"/>
        <v>-12445131.334147781</v>
      </c>
      <c r="X39" s="427"/>
      <c r="Y39" s="451"/>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s="42" customFormat="1" ht="15" customHeight="1" thickTop="1">
      <c r="A40" s="444"/>
      <c r="B40" s="442"/>
      <c r="C40" s="442"/>
      <c r="D40" s="442"/>
      <c r="E40" s="456"/>
      <c r="F40" s="459"/>
      <c r="G40" s="459"/>
      <c r="H40" s="459"/>
      <c r="I40" s="459"/>
      <c r="J40" s="459"/>
      <c r="K40" s="459"/>
      <c r="L40" s="456"/>
      <c r="M40" s="456"/>
      <c r="N40" s="456"/>
      <c r="O40" s="456"/>
      <c r="P40" s="456"/>
      <c r="Q40" s="456"/>
      <c r="R40" s="456"/>
      <c r="S40" s="456"/>
      <c r="T40" s="456"/>
      <c r="U40" s="456"/>
      <c r="V40" s="456"/>
      <c r="W40" s="456"/>
      <c r="X40" s="427"/>
      <c r="Y40" s="451"/>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75" t="s">
        <v>862</v>
      </c>
      <c r="B41" s="471"/>
      <c r="C41" s="471"/>
      <c r="D41" s="471"/>
      <c r="E41" s="487"/>
      <c r="F41" s="485"/>
      <c r="G41" s="485"/>
      <c r="H41" s="485"/>
      <c r="I41" s="485"/>
      <c r="J41" s="485"/>
      <c r="K41" s="485"/>
      <c r="L41" s="487">
        <f t="shared" ref="L41:W41" si="10">-L81</f>
        <v>-31928.571428571431</v>
      </c>
      <c r="M41" s="487">
        <f t="shared" si="10"/>
        <v>-31928.571428571431</v>
      </c>
      <c r="N41" s="487">
        <f t="shared" si="10"/>
        <v>-31928.571428571431</v>
      </c>
      <c r="O41" s="487">
        <f t="shared" si="10"/>
        <v>-42318.571428571435</v>
      </c>
      <c r="P41" s="487">
        <f t="shared" si="10"/>
        <v>-58237.71428571429</v>
      </c>
      <c r="Q41" s="487">
        <f t="shared" si="10"/>
        <v>-58237.71428571429</v>
      </c>
      <c r="R41" s="487">
        <f t="shared" si="10"/>
        <v>-58237.71428571429</v>
      </c>
      <c r="S41" s="487">
        <f t="shared" si="10"/>
        <v>-79017.71428571429</v>
      </c>
      <c r="T41" s="487">
        <f t="shared" si="10"/>
        <v>-253730.85714285716</v>
      </c>
      <c r="U41" s="487">
        <f t="shared" si="10"/>
        <v>-253730.85714285716</v>
      </c>
      <c r="V41" s="487">
        <f t="shared" si="10"/>
        <v>-253730.85714285716</v>
      </c>
      <c r="W41" s="487">
        <f t="shared" si="10"/>
        <v>-253730.85714285716</v>
      </c>
      <c r="X41" s="427"/>
      <c r="Y41" s="451"/>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s="8" customFormat="1">
      <c r="A42" s="475" t="s">
        <v>863</v>
      </c>
      <c r="B42" s="475" t="s">
        <v>6</v>
      </c>
      <c r="C42" s="475" t="s">
        <v>864</v>
      </c>
      <c r="D42" s="471"/>
      <c r="E42" s="463"/>
      <c r="F42" s="485"/>
      <c r="G42" s="485"/>
      <c r="H42" s="485"/>
      <c r="I42" s="485"/>
      <c r="J42" s="485"/>
      <c r="K42" s="485"/>
      <c r="L42" s="476"/>
      <c r="M42" s="476"/>
      <c r="N42" s="476"/>
      <c r="O42" s="476"/>
      <c r="P42" s="476"/>
      <c r="Q42" s="476"/>
      <c r="R42" s="476"/>
      <c r="S42" s="476">
        <v>-200000</v>
      </c>
      <c r="T42" s="456">
        <v>-200000</v>
      </c>
      <c r="U42" s="456">
        <v>-200000</v>
      </c>
      <c r="V42" s="456">
        <v>-200000</v>
      </c>
      <c r="W42" s="456">
        <v>-200000</v>
      </c>
      <c r="X42" s="427"/>
      <c r="Y42" s="451"/>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41" t="s">
        <v>865</v>
      </c>
      <c r="B43" s="440" t="s">
        <v>826</v>
      </c>
      <c r="C43" s="440" t="s">
        <v>866</v>
      </c>
      <c r="D43" s="442"/>
      <c r="E43" s="456"/>
      <c r="F43" s="485"/>
      <c r="G43" s="485"/>
      <c r="H43" s="485"/>
      <c r="I43" s="485"/>
      <c r="J43" s="485"/>
      <c r="K43" s="485"/>
      <c r="L43" s="456">
        <f t="shared" ref="L43:W43" si="11">SUM(L41:L42)</f>
        <v>-31928.571428571431</v>
      </c>
      <c r="M43" s="456">
        <f t="shared" si="11"/>
        <v>-31928.571428571431</v>
      </c>
      <c r="N43" s="456">
        <f t="shared" si="11"/>
        <v>-31928.571428571431</v>
      </c>
      <c r="O43" s="456">
        <f t="shared" si="11"/>
        <v>-42318.571428571435</v>
      </c>
      <c r="P43" s="456">
        <f t="shared" si="11"/>
        <v>-58237.71428571429</v>
      </c>
      <c r="Q43" s="456">
        <f t="shared" si="11"/>
        <v>-58237.71428571429</v>
      </c>
      <c r="R43" s="456">
        <f t="shared" si="11"/>
        <v>-58237.71428571429</v>
      </c>
      <c r="S43" s="456">
        <f t="shared" si="11"/>
        <v>-279017.71428571432</v>
      </c>
      <c r="T43" s="456">
        <f t="shared" si="11"/>
        <v>-453730.85714285716</v>
      </c>
      <c r="U43" s="456">
        <f t="shared" si="11"/>
        <v>-453730.85714285716</v>
      </c>
      <c r="V43" s="456">
        <f t="shared" si="11"/>
        <v>-453730.85714285716</v>
      </c>
      <c r="W43" s="456">
        <f t="shared" si="11"/>
        <v>-453730.85714285716</v>
      </c>
      <c r="X43" s="427"/>
      <c r="Y43" s="451"/>
      <c r="Z43" s="427"/>
      <c r="AA43" s="473"/>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44"/>
      <c r="B44" s="442"/>
      <c r="C44" s="442"/>
      <c r="D44" s="442"/>
      <c r="E44" s="456"/>
      <c r="F44" s="485"/>
      <c r="G44" s="485"/>
      <c r="H44" s="485"/>
      <c r="I44" s="485"/>
      <c r="J44" s="485"/>
      <c r="K44" s="485"/>
      <c r="L44" s="456"/>
      <c r="M44" s="456"/>
      <c r="N44" s="456"/>
      <c r="O44" s="456"/>
      <c r="P44" s="456"/>
      <c r="Q44" s="456"/>
      <c r="R44" s="456"/>
      <c r="S44" s="456"/>
      <c r="T44" s="456"/>
      <c r="U44" s="456"/>
      <c r="V44" s="456"/>
      <c r="W44" s="456"/>
      <c r="X44" s="427"/>
      <c r="Y44" s="451"/>
      <c r="Z44" s="427"/>
      <c r="AA44" s="473"/>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41" t="s">
        <v>867</v>
      </c>
      <c r="B45" s="440" t="s">
        <v>826</v>
      </c>
      <c r="C45" s="440" t="s">
        <v>868</v>
      </c>
      <c r="D45" s="442"/>
      <c r="E45" s="456"/>
      <c r="F45" s="485"/>
      <c r="G45" s="485"/>
      <c r="H45" s="485"/>
      <c r="I45" s="485"/>
      <c r="J45" s="485"/>
      <c r="K45" s="485"/>
      <c r="L45" s="456">
        <f t="shared" ref="L45:W45" si="12">L43+L39</f>
        <v>-1669114.5714285714</v>
      </c>
      <c r="M45" s="456">
        <f t="shared" si="12"/>
        <v>-1765405.5714285714</v>
      </c>
      <c r="N45" s="456">
        <f t="shared" si="12"/>
        <v>-1726052.5714285714</v>
      </c>
      <c r="O45" s="456">
        <f t="shared" si="12"/>
        <v>-2959591.5714285714</v>
      </c>
      <c r="P45" s="456">
        <f t="shared" si="12"/>
        <v>-4116087.5714285714</v>
      </c>
      <c r="Q45" s="456">
        <f t="shared" si="12"/>
        <v>-4515644.7142857146</v>
      </c>
      <c r="R45" s="456">
        <f t="shared" si="12"/>
        <v>-2892844.7142857141</v>
      </c>
      <c r="S45" s="456">
        <f t="shared" si="12"/>
        <v>-5209810.9642857146</v>
      </c>
      <c r="T45" s="456">
        <f t="shared" si="12"/>
        <v>-12480873.997142857</v>
      </c>
      <c r="U45" s="456">
        <f t="shared" si="12"/>
        <v>-12184460.741342856</v>
      </c>
      <c r="V45" s="456">
        <f t="shared" si="12"/>
        <v>-12536382.637868857</v>
      </c>
      <c r="W45" s="456">
        <f t="shared" si="12"/>
        <v>-12898862.191290637</v>
      </c>
      <c r="X45" s="427"/>
      <c r="Y45" s="451"/>
      <c r="Z45" s="427"/>
      <c r="AA45" s="473"/>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44"/>
      <c r="B46" s="442"/>
      <c r="C46" s="442"/>
      <c r="D46" s="442"/>
      <c r="E46" s="456"/>
      <c r="F46" s="485"/>
      <c r="G46" s="485"/>
      <c r="H46" s="485"/>
      <c r="I46" s="485"/>
      <c r="J46" s="485"/>
      <c r="K46" s="485"/>
      <c r="L46" s="456"/>
      <c r="M46" s="456"/>
      <c r="N46" s="456"/>
      <c r="O46" s="456"/>
      <c r="P46" s="456"/>
      <c r="Q46" s="456"/>
      <c r="R46" s="456"/>
      <c r="S46" s="456"/>
      <c r="T46" s="456"/>
      <c r="U46" s="456"/>
      <c r="V46" s="456"/>
      <c r="W46" s="456"/>
      <c r="X46" s="427"/>
      <c r="Y46" s="451"/>
      <c r="Z46" s="427"/>
      <c r="AA46" s="473"/>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41" t="s">
        <v>869</v>
      </c>
      <c r="B47" s="440" t="s">
        <v>808</v>
      </c>
      <c r="C47" s="440" t="s">
        <v>870</v>
      </c>
      <c r="D47" s="442"/>
      <c r="E47" s="488">
        <v>3119951</v>
      </c>
      <c r="F47" s="485"/>
      <c r="G47" s="485"/>
      <c r="H47" s="485"/>
      <c r="I47" s="485"/>
      <c r="J47" s="485"/>
      <c r="K47" s="485"/>
      <c r="L47" s="489">
        <f t="shared" ref="L47:W47" si="13">L22+L45</f>
        <v>591386.17857142864</v>
      </c>
      <c r="M47" s="489">
        <f t="shared" si="13"/>
        <v>591386.17857142864</v>
      </c>
      <c r="N47" s="489">
        <f t="shared" si="13"/>
        <v>876586.17857142864</v>
      </c>
      <c r="O47" s="489">
        <f t="shared" si="13"/>
        <v>860896.17857142864</v>
      </c>
      <c r="P47" s="489">
        <f t="shared" si="13"/>
        <v>828093.76238095248</v>
      </c>
      <c r="Q47" s="489">
        <f t="shared" si="13"/>
        <v>1372055.7648809524</v>
      </c>
      <c r="R47" s="489">
        <f t="shared" si="13"/>
        <v>1299923.1596177947</v>
      </c>
      <c r="S47" s="489">
        <f t="shared" si="13"/>
        <v>2619479.6379072675</v>
      </c>
      <c r="T47" s="490">
        <f t="shared" si="13"/>
        <v>4462390.8745238092</v>
      </c>
      <c r="U47" s="490">
        <f t="shared" si="13"/>
        <v>3822276.1930004768</v>
      </c>
      <c r="V47" s="490">
        <f t="shared" si="13"/>
        <v>3800201.5650047772</v>
      </c>
      <c r="W47" s="490">
        <f t="shared" si="13"/>
        <v>3524197.7064346988</v>
      </c>
      <c r="X47" s="427"/>
      <c r="Y47" s="451"/>
      <c r="Z47" s="427"/>
      <c r="AA47" s="427"/>
      <c r="AB47" s="427"/>
      <c r="AC47" s="427"/>
      <c r="AD47" s="427"/>
      <c r="AE47" s="427"/>
      <c r="AF47" s="427"/>
      <c r="AG47" s="491"/>
      <c r="AH47" s="491"/>
      <c r="AI47" s="492"/>
      <c r="AJ47" s="492"/>
      <c r="AK47" s="492"/>
      <c r="AL47" s="492"/>
      <c r="AM47" s="492"/>
      <c r="AN47" s="492"/>
      <c r="AO47" s="492"/>
      <c r="AP47" s="492"/>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s="39" customFormat="1">
      <c r="A48" s="493" t="s">
        <v>871</v>
      </c>
      <c r="B48" s="494" t="s">
        <v>826</v>
      </c>
      <c r="C48" s="494" t="s">
        <v>872</v>
      </c>
      <c r="D48" s="495"/>
      <c r="E48" s="463"/>
      <c r="F48" s="496"/>
      <c r="G48" s="496"/>
      <c r="H48" s="496"/>
      <c r="I48" s="496"/>
      <c r="J48" s="496"/>
      <c r="K48" s="496"/>
      <c r="L48" s="497">
        <f t="shared" ref="L48:W48" si="14">L47/L22</f>
        <v>0.26161733349189492</v>
      </c>
      <c r="M48" s="497">
        <f t="shared" si="14"/>
        <v>0.25092848299873277</v>
      </c>
      <c r="N48" s="497">
        <f t="shared" si="14"/>
        <v>0.33680670380068256</v>
      </c>
      <c r="O48" s="497">
        <f t="shared" si="14"/>
        <v>0.22533672004874997</v>
      </c>
      <c r="P48" s="497">
        <f t="shared" si="14"/>
        <v>0.16748854996847393</v>
      </c>
      <c r="Q48" s="497">
        <f t="shared" si="14"/>
        <v>0.23303762984137916</v>
      </c>
      <c r="R48" s="497">
        <f t="shared" si="14"/>
        <v>0.31003938179090113</v>
      </c>
      <c r="S48" s="497">
        <f t="shared" si="14"/>
        <v>0.33457432748422339</v>
      </c>
      <c r="T48" s="497">
        <f t="shared" si="14"/>
        <v>0.26337254999690357</v>
      </c>
      <c r="U48" s="497">
        <f t="shared" si="14"/>
        <v>0.23879171680516431</v>
      </c>
      <c r="V48" s="497">
        <f t="shared" si="14"/>
        <v>0.23261910310089884</v>
      </c>
      <c r="W48" s="497">
        <f t="shared" si="14"/>
        <v>0.21458837320095356</v>
      </c>
      <c r="X48" s="427"/>
      <c r="Y48" s="451"/>
      <c r="Z48" s="427"/>
      <c r="AA48" s="427"/>
      <c r="AB48" s="427"/>
      <c r="AC48" s="427"/>
      <c r="AD48" s="427"/>
      <c r="AE48" s="427"/>
      <c r="AF48" s="427"/>
      <c r="AG48" s="498"/>
      <c r="AH48" s="498"/>
      <c r="AI48" s="499"/>
      <c r="AJ48" s="499"/>
      <c r="AK48" s="499"/>
      <c r="AL48" s="499"/>
      <c r="AM48" s="500"/>
      <c r="AN48" s="49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s="38" customFormat="1">
      <c r="A49" s="501"/>
      <c r="B49" s="495"/>
      <c r="C49" s="495"/>
      <c r="D49" s="495"/>
      <c r="E49" s="502"/>
      <c r="F49" s="496"/>
      <c r="G49" s="496"/>
      <c r="H49" s="496"/>
      <c r="I49" s="496"/>
      <c r="J49" s="496"/>
      <c r="K49" s="496"/>
      <c r="L49" s="497"/>
      <c r="M49" s="497"/>
      <c r="N49" s="497"/>
      <c r="O49" s="497"/>
      <c r="P49" s="497"/>
      <c r="Q49" s="497"/>
      <c r="R49" s="497"/>
      <c r="S49" s="497"/>
      <c r="T49" s="497"/>
      <c r="U49" s="497"/>
      <c r="V49" s="497"/>
      <c r="W49" s="497"/>
      <c r="X49" s="427"/>
      <c r="Y49" s="451"/>
      <c r="Z49" s="427"/>
      <c r="AA49" s="427"/>
      <c r="AB49" s="427"/>
      <c r="AC49" s="427"/>
      <c r="AD49" s="427"/>
      <c r="AE49" s="427"/>
      <c r="AF49" s="427"/>
      <c r="AG49" s="498"/>
      <c r="AH49" s="498"/>
      <c r="AI49" s="499"/>
      <c r="AJ49" s="499"/>
      <c r="AK49" s="499"/>
      <c r="AL49" s="499"/>
      <c r="AM49" s="500"/>
      <c r="AN49" s="49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s="38" customFormat="1">
      <c r="A50" s="501"/>
      <c r="B50" s="495"/>
      <c r="C50" s="495"/>
      <c r="D50" s="495"/>
      <c r="E50" s="502"/>
      <c r="F50" s="496"/>
      <c r="G50" s="496"/>
      <c r="H50" s="496"/>
      <c r="I50" s="496"/>
      <c r="J50" s="496"/>
      <c r="K50" s="496"/>
      <c r="L50" s="497"/>
      <c r="M50" s="497"/>
      <c r="N50" s="497"/>
      <c r="O50" s="497"/>
      <c r="P50" s="497"/>
      <c r="Q50" s="497"/>
      <c r="R50" s="497"/>
      <c r="S50" s="497"/>
      <c r="T50" s="497"/>
      <c r="U50" s="497"/>
      <c r="V50" s="497"/>
      <c r="W50" s="497"/>
      <c r="X50" s="427"/>
      <c r="Y50" s="451"/>
      <c r="Z50" s="427"/>
      <c r="AA50" s="427"/>
      <c r="AB50" s="427"/>
      <c r="AC50" s="427"/>
      <c r="AD50" s="427"/>
      <c r="AE50" s="427"/>
      <c r="AF50" s="427"/>
      <c r="AG50" s="498"/>
      <c r="AH50" s="498"/>
      <c r="AI50" s="499"/>
      <c r="AJ50" s="499"/>
      <c r="AK50" s="499"/>
      <c r="AL50" s="499"/>
      <c r="AM50" s="500"/>
      <c r="AN50" s="49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s="16" customFormat="1">
      <c r="A51" s="493" t="s">
        <v>873</v>
      </c>
      <c r="B51" s="495"/>
      <c r="C51" s="495"/>
      <c r="D51" s="495"/>
      <c r="E51" s="502"/>
      <c r="F51" s="496"/>
      <c r="G51" s="496"/>
      <c r="H51" s="496"/>
      <c r="I51" s="496"/>
      <c r="J51" s="496"/>
      <c r="K51" s="496"/>
      <c r="L51" s="503"/>
      <c r="M51" s="427"/>
      <c r="N51" s="427"/>
      <c r="O51" s="427"/>
      <c r="P51" s="427"/>
      <c r="Q51" s="427"/>
      <c r="R51" s="427"/>
      <c r="S51" s="427"/>
      <c r="T51" s="427"/>
      <c r="U51" s="427"/>
      <c r="V51" s="427"/>
      <c r="W51" s="427"/>
      <c r="X51" s="427"/>
      <c r="Y51" s="451"/>
      <c r="Z51" s="427"/>
      <c r="AA51" s="427"/>
      <c r="AB51" s="427"/>
      <c r="AC51" s="427"/>
      <c r="AD51" s="427"/>
      <c r="AE51" s="427"/>
      <c r="AF51" s="427"/>
      <c r="AG51" s="498"/>
      <c r="AH51" s="498"/>
      <c r="AI51" s="499"/>
      <c r="AJ51" s="499"/>
      <c r="AK51" s="499"/>
      <c r="AL51" s="499"/>
      <c r="AM51" s="500"/>
      <c r="AN51" s="49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s="422" customFormat="1">
      <c r="A52" s="504" t="s">
        <v>874</v>
      </c>
      <c r="B52" s="505" t="s">
        <v>6</v>
      </c>
      <c r="C52" s="505" t="s">
        <v>875</v>
      </c>
      <c r="D52" s="427"/>
      <c r="E52" s="427"/>
      <c r="F52" s="496"/>
      <c r="G52" s="496"/>
      <c r="H52" s="496"/>
      <c r="I52" s="496"/>
      <c r="J52" s="496"/>
      <c r="K52" s="496"/>
      <c r="L52" s="506">
        <f>-7701527.99/4</f>
        <v>-1925381.9975000001</v>
      </c>
      <c r="M52" s="506">
        <f>L52</f>
        <v>-1925381.9975000001</v>
      </c>
      <c r="N52" s="506">
        <f>M52</f>
        <v>-1925381.9975000001</v>
      </c>
      <c r="O52" s="506">
        <f>N52</f>
        <v>-1925381.9975000001</v>
      </c>
      <c r="P52" s="506">
        <f>+P51</f>
        <v>0</v>
      </c>
      <c r="Q52" s="506">
        <f>+Q51</f>
        <v>0</v>
      </c>
      <c r="R52" s="506">
        <f>+R51</f>
        <v>0</v>
      </c>
      <c r="S52" s="506">
        <f>+S51</f>
        <v>0</v>
      </c>
      <c r="T52" s="487">
        <v>-5500000</v>
      </c>
      <c r="U52" s="487">
        <v>-5500000</v>
      </c>
      <c r="V52" s="487">
        <v>-5500000</v>
      </c>
      <c r="W52" s="487">
        <v>-5500000</v>
      </c>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s="422" customFormat="1">
      <c r="A53" s="504" t="s">
        <v>876</v>
      </c>
      <c r="B53" s="427"/>
      <c r="C53" s="427"/>
      <c r="D53" s="427"/>
      <c r="E53" s="427"/>
      <c r="F53" s="427"/>
      <c r="G53" s="427"/>
      <c r="H53" s="427"/>
      <c r="I53" s="427"/>
      <c r="J53" s="427"/>
      <c r="K53" s="427"/>
      <c r="L53" s="487">
        <f t="shared" ref="L53:W53" si="15">-L31</f>
        <v>112553</v>
      </c>
      <c r="M53" s="487">
        <f t="shared" si="15"/>
        <v>186705</v>
      </c>
      <c r="N53" s="487">
        <f t="shared" si="15"/>
        <v>148699</v>
      </c>
      <c r="O53" s="487">
        <f t="shared" si="15"/>
        <v>249431</v>
      </c>
      <c r="P53" s="487">
        <f t="shared" si="15"/>
        <v>174347</v>
      </c>
      <c r="Q53" s="487">
        <f t="shared" si="15"/>
        <v>174347</v>
      </c>
      <c r="R53" s="487">
        <f t="shared" si="15"/>
        <v>174347</v>
      </c>
      <c r="S53" s="487">
        <f t="shared" si="15"/>
        <v>174347</v>
      </c>
      <c r="T53" s="487">
        <f t="shared" si="15"/>
        <v>697388</v>
      </c>
      <c r="U53" s="487">
        <f t="shared" si="15"/>
        <v>697388</v>
      </c>
      <c r="V53" s="487">
        <f t="shared" si="15"/>
        <v>697388</v>
      </c>
      <c r="W53" s="487">
        <f t="shared" si="15"/>
        <v>697388</v>
      </c>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s="422" customFormat="1">
      <c r="A54" s="504" t="s">
        <v>877</v>
      </c>
      <c r="B54" s="427"/>
      <c r="C54" s="427"/>
      <c r="D54" s="427"/>
      <c r="E54" s="427"/>
      <c r="F54" s="427"/>
      <c r="G54" s="427"/>
      <c r="H54" s="427"/>
      <c r="I54" s="427"/>
      <c r="J54" s="427"/>
      <c r="K54" s="427"/>
      <c r="L54" s="487">
        <f>registry!C60</f>
        <v>0</v>
      </c>
      <c r="M54" s="487">
        <f>registry!D60</f>
        <v>0</v>
      </c>
      <c r="N54" s="487">
        <f>registry!E60</f>
        <v>0</v>
      </c>
      <c r="O54" s="487">
        <f>registry!F60</f>
        <v>0</v>
      </c>
      <c r="P54" s="487">
        <f>registry!G60</f>
        <v>50000</v>
      </c>
      <c r="Q54" s="487">
        <f>registry!H60</f>
        <v>50000</v>
      </c>
      <c r="R54" s="487">
        <f>registry!I60</f>
        <v>50000</v>
      </c>
      <c r="S54" s="487">
        <f>registry!J60</f>
        <v>50000</v>
      </c>
      <c r="T54" s="487">
        <f>registry!K60</f>
        <v>250000</v>
      </c>
      <c r="U54" s="487">
        <f>registry!L60</f>
        <v>250000</v>
      </c>
      <c r="V54" s="487">
        <f>registry!M60</f>
        <v>250000</v>
      </c>
      <c r="W54" s="487">
        <f>registry!N60</f>
        <v>250000</v>
      </c>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s="422" customFormat="1">
      <c r="A55" s="504" t="s">
        <v>878</v>
      </c>
      <c r="B55" s="427"/>
      <c r="C55" s="427"/>
      <c r="D55" s="427"/>
      <c r="E55" s="427"/>
      <c r="F55" s="427"/>
      <c r="G55" s="427"/>
      <c r="H55" s="427"/>
      <c r="I55" s="427"/>
      <c r="J55" s="427"/>
      <c r="K55" s="427"/>
      <c r="L55" s="487">
        <f>'.c12_oc_hr'!L6</f>
        <v>375000</v>
      </c>
      <c r="M55" s="487">
        <f>'.c12_oc_hr'!M6</f>
        <v>375000</v>
      </c>
      <c r="N55" s="487">
        <f>'.c12_oc_hr'!N6</f>
        <v>375000</v>
      </c>
      <c r="O55" s="487">
        <f>'.c12_oc_hr'!O6</f>
        <v>375000</v>
      </c>
      <c r="P55" s="487">
        <f>'.c12_oc_hr'!P6</f>
        <v>375000</v>
      </c>
      <c r="Q55" s="487">
        <f>'.c12_oc_hr'!Q6</f>
        <v>375000</v>
      </c>
      <c r="R55" s="487">
        <f>'.c12_oc_hr'!R6</f>
        <v>375000</v>
      </c>
      <c r="S55" s="487">
        <f>'.c12_oc_hr'!S6</f>
        <v>375000</v>
      </c>
      <c r="T55" s="487">
        <f>'.c12_oc_hr'!T6</f>
        <v>1500000</v>
      </c>
      <c r="U55" s="487">
        <f>'.c12_oc_hr'!U6</f>
        <v>1500000</v>
      </c>
      <c r="V55" s="487">
        <f>'.c12_oc_hr'!V6</f>
        <v>1500000</v>
      </c>
      <c r="W55" s="487">
        <f>'.c12_oc_hr'!W6</f>
        <v>1500000</v>
      </c>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s="422" customFormat="1">
      <c r="A56" s="504" t="s">
        <v>879</v>
      </c>
      <c r="B56" s="427"/>
      <c r="C56" s="427"/>
      <c r="D56" s="427"/>
      <c r="E56" s="427"/>
      <c r="F56" s="427"/>
      <c r="G56" s="427"/>
      <c r="H56" s="427"/>
      <c r="I56" s="427"/>
      <c r="J56" s="427"/>
      <c r="K56" s="427"/>
      <c r="L56" s="487">
        <f>-registry!C83</f>
        <v>250000</v>
      </c>
      <c r="M56" s="487">
        <f>-registry!D83</f>
        <v>250000</v>
      </c>
      <c r="N56" s="487">
        <f>-registry!E83</f>
        <v>250000</v>
      </c>
      <c r="O56" s="487">
        <f>-registry!F83</f>
        <v>250000</v>
      </c>
      <c r="P56" s="487">
        <f>-registry!G83</f>
        <v>250000</v>
      </c>
      <c r="Q56" s="487">
        <f>-registry!H83</f>
        <v>250000</v>
      </c>
      <c r="R56" s="487">
        <f>-registry!I83</f>
        <v>250000</v>
      </c>
      <c r="S56" s="487">
        <f>-registry!J83</f>
        <v>250000</v>
      </c>
      <c r="T56" s="487">
        <f>-registry!K83</f>
        <v>1000000</v>
      </c>
      <c r="U56" s="487">
        <f>-registry!L83</f>
        <v>1000000</v>
      </c>
      <c r="V56" s="487">
        <f>-registry!M83</f>
        <v>1000000</v>
      </c>
      <c r="W56" s="487">
        <f>-registry!N83</f>
        <v>1000000</v>
      </c>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s="29" customFormat="1">
      <c r="A57" s="507"/>
      <c r="B57" s="495"/>
      <c r="C57" s="495"/>
      <c r="D57" s="495"/>
      <c r="E57" s="497"/>
      <c r="F57" s="427"/>
      <c r="G57" s="427"/>
      <c r="H57" s="427"/>
      <c r="I57" s="427"/>
      <c r="J57" s="427"/>
      <c r="K57" s="427"/>
      <c r="L57" s="508"/>
      <c r="M57" s="509"/>
      <c r="N57" s="497"/>
      <c r="O57" s="508"/>
      <c r="P57" s="509"/>
      <c r="Q57" s="509"/>
      <c r="R57" s="509"/>
      <c r="S57" s="509"/>
      <c r="T57" s="509"/>
      <c r="U57" s="509"/>
      <c r="V57" s="509"/>
      <c r="W57" s="509"/>
      <c r="X57" s="427"/>
      <c r="Y57" s="451"/>
      <c r="Z57" s="427"/>
      <c r="AA57" s="427"/>
      <c r="AB57" s="427"/>
      <c r="AC57" s="427"/>
      <c r="AD57" s="427"/>
      <c r="AE57" s="427"/>
      <c r="AF57" s="427"/>
      <c r="AG57" s="498"/>
      <c r="AH57" s="498"/>
      <c r="AI57" s="499"/>
      <c r="AJ57" s="499"/>
      <c r="AK57" s="499"/>
      <c r="AL57" s="499"/>
      <c r="AM57" s="500"/>
      <c r="AN57" s="49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s="29" customFormat="1">
      <c r="A58" s="510" t="s">
        <v>880</v>
      </c>
      <c r="B58" s="495"/>
      <c r="C58" s="495"/>
      <c r="D58" s="495"/>
      <c r="E58" s="497"/>
      <c r="F58" s="427"/>
      <c r="G58" s="427"/>
      <c r="H58" s="427"/>
      <c r="I58" s="427"/>
      <c r="J58" s="427"/>
      <c r="K58" s="427"/>
      <c r="L58" s="508"/>
      <c r="M58" s="508">
        <f>registry!B102</f>
        <v>0</v>
      </c>
      <c r="N58" s="508">
        <f>registry!C102</f>
        <v>0</v>
      </c>
      <c r="O58" s="508">
        <f>-registry!D102</f>
        <v>1200000</v>
      </c>
      <c r="P58" s="508">
        <f>registry!C102</f>
        <v>0</v>
      </c>
      <c r="Q58" s="427"/>
      <c r="R58" s="508">
        <f>registry!E102</f>
        <v>0</v>
      </c>
      <c r="S58" s="508"/>
      <c r="T58" s="508">
        <f>registry!G102</f>
        <v>0</v>
      </c>
      <c r="U58" s="508">
        <f>registry!H102</f>
        <v>0</v>
      </c>
      <c r="V58" s="508">
        <f>registry!I102</f>
        <v>0</v>
      </c>
      <c r="W58" s="508">
        <f>registry!J102</f>
        <v>0</v>
      </c>
      <c r="X58" s="427"/>
      <c r="Y58" s="451"/>
      <c r="Z58" s="427"/>
      <c r="AA58" s="427"/>
      <c r="AB58" s="427"/>
      <c r="AC58" s="427"/>
      <c r="AD58" s="427"/>
      <c r="AE58" s="427"/>
      <c r="AF58" s="427"/>
      <c r="AG58" s="498"/>
      <c r="AH58" s="498"/>
      <c r="AI58" s="499"/>
      <c r="AJ58" s="499"/>
      <c r="AK58" s="499"/>
      <c r="AL58" s="499"/>
      <c r="AM58" s="500"/>
      <c r="AN58" s="49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s="16" customFormat="1">
      <c r="A59" s="493" t="s">
        <v>881</v>
      </c>
      <c r="B59" s="494" t="s">
        <v>808</v>
      </c>
      <c r="C59" s="494" t="s">
        <v>882</v>
      </c>
      <c r="D59" s="495"/>
      <c r="E59" s="511">
        <v>-4651000</v>
      </c>
      <c r="F59" s="427"/>
      <c r="G59" s="427"/>
      <c r="H59" s="427"/>
      <c r="I59" s="427"/>
      <c r="J59" s="427"/>
      <c r="K59" s="427"/>
      <c r="L59" s="512">
        <f t="shared" ref="L59:W59" si="16">SUM(L52:L58)</f>
        <v>-1187828.9975000001</v>
      </c>
      <c r="M59" s="512">
        <f t="shared" si="16"/>
        <v>-1113676.9975000001</v>
      </c>
      <c r="N59" s="512">
        <f t="shared" si="16"/>
        <v>-1151682.9975000001</v>
      </c>
      <c r="O59" s="512">
        <f t="shared" si="16"/>
        <v>149049.00249999994</v>
      </c>
      <c r="P59" s="512">
        <f t="shared" si="16"/>
        <v>849347</v>
      </c>
      <c r="Q59" s="512">
        <f t="shared" si="16"/>
        <v>849347</v>
      </c>
      <c r="R59" s="512">
        <f t="shared" si="16"/>
        <v>849347</v>
      </c>
      <c r="S59" s="512">
        <f t="shared" si="16"/>
        <v>849347</v>
      </c>
      <c r="T59" s="513">
        <f t="shared" si="16"/>
        <v>-2052612</v>
      </c>
      <c r="U59" s="513">
        <f t="shared" si="16"/>
        <v>-2052612</v>
      </c>
      <c r="V59" s="513">
        <f t="shared" si="16"/>
        <v>-2052612</v>
      </c>
      <c r="W59" s="513">
        <f t="shared" si="16"/>
        <v>-2052612</v>
      </c>
      <c r="X59" s="427"/>
      <c r="Y59" s="451"/>
      <c r="Z59" s="427"/>
      <c r="AA59" s="427"/>
      <c r="AB59" s="427"/>
      <c r="AC59" s="427"/>
      <c r="AD59" s="427"/>
      <c r="AE59" s="427"/>
      <c r="AF59" s="427"/>
      <c r="AG59" s="498"/>
      <c r="AH59" s="498"/>
      <c r="AI59" s="499"/>
      <c r="AJ59" s="499"/>
      <c r="AK59" s="499"/>
      <c r="AL59" s="499"/>
      <c r="AM59" s="500"/>
      <c r="AN59" s="49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s="16" customFormat="1">
      <c r="A60" s="493" t="s">
        <v>883</v>
      </c>
      <c r="B60" s="494" t="s">
        <v>826</v>
      </c>
      <c r="C60" s="494" t="s">
        <v>884</v>
      </c>
      <c r="D60" s="495"/>
      <c r="E60" s="511">
        <v>-1531049</v>
      </c>
      <c r="F60" s="427"/>
      <c r="G60" s="427"/>
      <c r="H60" s="427"/>
      <c r="I60" s="427"/>
      <c r="J60" s="427"/>
      <c r="K60" s="427"/>
      <c r="L60" s="513">
        <f t="shared" ref="L60:W60" si="17">+(L47+L59)</f>
        <v>-596442.81892857142</v>
      </c>
      <c r="M60" s="513">
        <f t="shared" si="17"/>
        <v>-522290.81892857142</v>
      </c>
      <c r="N60" s="513">
        <f t="shared" si="17"/>
        <v>-275096.81892857142</v>
      </c>
      <c r="O60" s="513">
        <f t="shared" si="17"/>
        <v>1009945.1810714286</v>
      </c>
      <c r="P60" s="513">
        <f t="shared" si="17"/>
        <v>1677440.7623809525</v>
      </c>
      <c r="Q60" s="513">
        <f t="shared" si="17"/>
        <v>2221402.7648809524</v>
      </c>
      <c r="R60" s="513">
        <f t="shared" si="17"/>
        <v>2149270.1596177947</v>
      </c>
      <c r="S60" s="513">
        <f t="shared" si="17"/>
        <v>3468826.6379072675</v>
      </c>
      <c r="T60" s="513">
        <f t="shared" si="17"/>
        <v>2409778.8745238092</v>
      </c>
      <c r="U60" s="513">
        <f t="shared" si="17"/>
        <v>1769664.1930004768</v>
      </c>
      <c r="V60" s="513">
        <f t="shared" si="17"/>
        <v>1747589.5650047772</v>
      </c>
      <c r="W60" s="513">
        <f t="shared" si="17"/>
        <v>1471585.7064346988</v>
      </c>
      <c r="X60" s="427"/>
      <c r="Y60" s="451"/>
      <c r="Z60" s="427"/>
      <c r="AA60" s="427"/>
      <c r="AB60" s="427"/>
      <c r="AC60" s="427"/>
      <c r="AD60" s="427"/>
      <c r="AE60" s="427"/>
      <c r="AF60" s="427"/>
      <c r="AG60" s="498"/>
      <c r="AH60" s="498"/>
      <c r="AI60" s="499"/>
      <c r="AJ60" s="499"/>
      <c r="AK60" s="499"/>
      <c r="AL60" s="499"/>
      <c r="AM60" s="500"/>
      <c r="AN60" s="49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s="33" customFormat="1" ht="15" customHeight="1" thickBot="1">
      <c r="A61" s="493" t="s">
        <v>885</v>
      </c>
      <c r="B61" s="494" t="s">
        <v>6</v>
      </c>
      <c r="C61" s="494" t="s">
        <v>886</v>
      </c>
      <c r="D61" s="495"/>
      <c r="E61" s="513"/>
      <c r="F61" s="427"/>
      <c r="G61" s="427"/>
      <c r="H61" s="427"/>
      <c r="I61" s="427"/>
      <c r="J61" s="427"/>
      <c r="K61" s="427"/>
      <c r="L61" s="514"/>
      <c r="M61" s="514"/>
      <c r="N61" s="514"/>
      <c r="O61" s="514"/>
      <c r="P61" s="514">
        <v>1540999</v>
      </c>
      <c r="Q61" s="514"/>
      <c r="R61" s="514"/>
      <c r="S61" s="514"/>
      <c r="T61" s="513"/>
      <c r="U61" s="513"/>
      <c r="V61" s="513"/>
      <c r="W61" s="513"/>
      <c r="X61" s="427"/>
      <c r="Y61" s="451"/>
      <c r="Z61" s="427"/>
      <c r="AA61" s="427"/>
      <c r="AB61" s="427"/>
      <c r="AC61" s="427"/>
      <c r="AD61" s="427"/>
      <c r="AE61" s="427"/>
      <c r="AF61" s="427"/>
      <c r="AG61" s="498"/>
      <c r="AH61" s="498"/>
      <c r="AI61" s="499"/>
      <c r="AJ61" s="499"/>
      <c r="AK61" s="499"/>
      <c r="AL61" s="499"/>
      <c r="AM61" s="500"/>
      <c r="AN61" s="49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s="416" customFormat="1" ht="15.5" customHeight="1" thickTop="1" thickBot="1">
      <c r="A62" s="493" t="s">
        <v>887</v>
      </c>
      <c r="B62" s="494" t="s">
        <v>808</v>
      </c>
      <c r="C62" s="494" t="s">
        <v>888</v>
      </c>
      <c r="D62" s="495"/>
      <c r="E62" s="515">
        <v>-1540999</v>
      </c>
      <c r="F62" s="427"/>
      <c r="G62" s="427"/>
      <c r="H62" s="427"/>
      <c r="I62" s="427"/>
      <c r="J62" s="427"/>
      <c r="K62" s="427"/>
      <c r="L62" s="516">
        <f>MIN(L60+E62+L61,0)</f>
        <v>-2137441.8189285714</v>
      </c>
      <c r="M62" s="516">
        <f t="shared" ref="M62:W62" si="18">MIN(M60+L62+M61,0)</f>
        <v>-2659732.6378571428</v>
      </c>
      <c r="N62" s="516">
        <f t="shared" si="18"/>
        <v>-2934829.4567857143</v>
      </c>
      <c r="O62" s="516">
        <f t="shared" si="18"/>
        <v>-1924884.2757142857</v>
      </c>
      <c r="P62" s="516">
        <f t="shared" si="18"/>
        <v>0</v>
      </c>
      <c r="Q62" s="516">
        <f t="shared" si="18"/>
        <v>0</v>
      </c>
      <c r="R62" s="516">
        <f t="shared" si="18"/>
        <v>0</v>
      </c>
      <c r="S62" s="516">
        <f t="shared" si="18"/>
        <v>0</v>
      </c>
      <c r="T62" s="517">
        <f t="shared" si="18"/>
        <v>0</v>
      </c>
      <c r="U62" s="517">
        <f t="shared" si="18"/>
        <v>0</v>
      </c>
      <c r="V62" s="517">
        <f t="shared" si="18"/>
        <v>0</v>
      </c>
      <c r="W62" s="517">
        <f t="shared" si="18"/>
        <v>0</v>
      </c>
      <c r="X62" s="427"/>
      <c r="Y62" s="451"/>
      <c r="Z62" s="427"/>
      <c r="AA62" s="427"/>
      <c r="AB62" s="427"/>
      <c r="AC62" s="427"/>
      <c r="AD62" s="427"/>
      <c r="AE62" s="427"/>
      <c r="AF62" s="427"/>
      <c r="AG62" s="498"/>
      <c r="AH62" s="498"/>
      <c r="AI62" s="499"/>
      <c r="AJ62" s="499"/>
      <c r="AK62" s="499"/>
      <c r="AL62" s="499"/>
      <c r="AM62" s="500"/>
      <c r="AN62" s="49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ht="15" customHeight="1" thickTop="1">
      <c r="A63" s="427"/>
      <c r="B63" s="448"/>
      <c r="C63" s="448"/>
      <c r="D63" s="448"/>
      <c r="E63" s="518"/>
      <c r="F63" s="427"/>
      <c r="G63" s="427"/>
      <c r="H63" s="427"/>
      <c r="I63" s="427"/>
      <c r="J63" s="427"/>
      <c r="K63" s="427"/>
      <c r="L63" s="518"/>
      <c r="M63" s="518"/>
      <c r="N63" s="518"/>
      <c r="O63" s="518"/>
      <c r="P63" s="518"/>
      <c r="Q63" s="518"/>
      <c r="R63" s="518"/>
      <c r="S63" s="518"/>
      <c r="T63" s="518"/>
      <c r="U63" s="518"/>
      <c r="V63" s="518"/>
      <c r="W63" s="518"/>
      <c r="X63" s="427"/>
      <c r="Y63" s="451"/>
      <c r="Z63" s="427"/>
      <c r="AA63" s="427"/>
      <c r="AB63" s="427"/>
      <c r="AC63" s="427"/>
      <c r="AD63" s="427"/>
      <c r="AE63" s="427"/>
      <c r="AF63" s="427"/>
      <c r="AG63" s="492"/>
      <c r="AH63" s="492"/>
      <c r="AI63" s="519"/>
      <c r="AJ63" s="519"/>
      <c r="AK63" s="519"/>
      <c r="AL63" s="519"/>
      <c r="AM63" s="520"/>
      <c r="AN63" s="518"/>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39" t="s">
        <v>889</v>
      </c>
      <c r="B64" s="448"/>
      <c r="C64" s="448"/>
      <c r="D64" s="448"/>
      <c r="E64" s="487"/>
      <c r="F64" s="427"/>
      <c r="G64" s="427"/>
      <c r="H64" s="427"/>
      <c r="I64" s="427"/>
      <c r="J64" s="427"/>
      <c r="K64" s="427"/>
      <c r="L64" s="487"/>
      <c r="M64" s="487"/>
      <c r="N64" s="487"/>
      <c r="O64" s="487"/>
      <c r="P64" s="487"/>
      <c r="Q64" s="487"/>
      <c r="R64" s="487"/>
      <c r="S64" s="487"/>
      <c r="T64" s="487"/>
      <c r="U64" s="487"/>
      <c r="V64" s="487"/>
      <c r="W64" s="487"/>
      <c r="X64" s="427"/>
      <c r="Y64" s="451"/>
      <c r="Z64" s="427"/>
      <c r="AA64" s="427"/>
      <c r="AB64" s="427"/>
      <c r="AC64" s="427"/>
      <c r="AD64" s="427"/>
      <c r="AE64" s="427"/>
      <c r="AF64" s="427"/>
      <c r="AG64" s="492"/>
      <c r="AH64" s="492"/>
      <c r="AI64" s="519"/>
      <c r="AJ64" s="519"/>
      <c r="AK64" s="519"/>
      <c r="AL64" s="519"/>
      <c r="AM64" s="520"/>
      <c r="AN64" s="518"/>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39" t="s">
        <v>831</v>
      </c>
      <c r="B65" s="448"/>
      <c r="C65" s="448"/>
      <c r="D65" s="448"/>
      <c r="E65" s="487"/>
      <c r="F65" s="427"/>
      <c r="G65" s="427"/>
      <c r="H65" s="427"/>
      <c r="I65" s="427"/>
      <c r="J65" s="427"/>
      <c r="K65" s="427"/>
      <c r="L65" s="487">
        <f>-'c12_hm'!L62</f>
        <v>113077.75</v>
      </c>
      <c r="M65" s="487">
        <f>-'c12_hm'!M62</f>
        <v>226155.5</v>
      </c>
      <c r="N65" s="487">
        <f>-'c12_hm'!N62</f>
        <v>339233.25</v>
      </c>
      <c r="O65" s="487">
        <f>-'c12_hm'!O62</f>
        <v>563661</v>
      </c>
      <c r="P65" s="487">
        <f>-'c12_hm'!P62</f>
        <v>1162988.5925</v>
      </c>
      <c r="Q65" s="487">
        <f>-'c12_hm'!Q62</f>
        <v>1170394.6850000001</v>
      </c>
      <c r="R65" s="487">
        <f>-'c12_hm'!R62</f>
        <v>1177800.7775000001</v>
      </c>
      <c r="S65" s="487">
        <f>-'c12_hm'!S62</f>
        <v>16206.870000000112</v>
      </c>
      <c r="T65" s="487">
        <f>-'c12_hm'!T62</f>
        <v>1046719.9711</v>
      </c>
      <c r="U65" s="487">
        <f>-'c12_hm'!U62</f>
        <v>1078148.4652329998</v>
      </c>
      <c r="V65" s="487">
        <f>-'c12_hm'!V62</f>
        <v>110519.81418999005</v>
      </c>
      <c r="W65" s="487">
        <f>-'c12_hm'!W62</f>
        <v>0</v>
      </c>
      <c r="X65" s="427"/>
      <c r="Y65" s="451"/>
      <c r="Z65" s="427"/>
      <c r="AA65" s="427"/>
      <c r="AB65" s="427"/>
      <c r="AC65" s="427"/>
      <c r="AD65" s="427"/>
      <c r="AE65" s="427"/>
      <c r="AF65" s="427"/>
      <c r="AG65" s="492"/>
      <c r="AH65" s="492"/>
      <c r="AI65" s="519"/>
      <c r="AJ65" s="519"/>
      <c r="AK65" s="519"/>
      <c r="AL65" s="519"/>
      <c r="AM65" s="520"/>
      <c r="AN65" s="518"/>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39" t="s">
        <v>832</v>
      </c>
      <c r="B66" s="448"/>
      <c r="C66" s="448"/>
      <c r="D66" s="448"/>
      <c r="E66" s="487"/>
      <c r="F66" s="427"/>
      <c r="G66" s="427"/>
      <c r="H66" s="427"/>
      <c r="I66" s="427"/>
      <c r="J66" s="427"/>
      <c r="K66" s="427"/>
      <c r="L66" s="487">
        <f>'c12_bi&amp;F'!L62</f>
        <v>0</v>
      </c>
      <c r="M66" s="487">
        <f>'c12_bi&amp;F'!M62</f>
        <v>0</v>
      </c>
      <c r="N66" s="487">
        <f>'c12_bi&amp;F'!N62</f>
        <v>0</v>
      </c>
      <c r="O66" s="487">
        <f>'c12_bi&amp;F'!O62</f>
        <v>0</v>
      </c>
      <c r="P66" s="487">
        <f>'c12_bi&amp;F'!P62</f>
        <v>0</v>
      </c>
      <c r="Q66" s="487">
        <f>'c12_bi&amp;F'!Q62</f>
        <v>0</v>
      </c>
      <c r="R66" s="487">
        <f>'c12_bi&amp;F'!R62</f>
        <v>0</v>
      </c>
      <c r="S66" s="487">
        <f>'c12_bi&amp;F'!S62</f>
        <v>0</v>
      </c>
      <c r="T66" s="487">
        <f>'c12_bi&amp;F'!T62</f>
        <v>0</v>
      </c>
      <c r="U66" s="487">
        <f>'c12_bi&amp;F'!U62</f>
        <v>0</v>
      </c>
      <c r="V66" s="487">
        <f>'c12_bi&amp;F'!V62</f>
        <v>0</v>
      </c>
      <c r="W66" s="487">
        <f>'c12_bi&amp;F'!W62</f>
        <v>0</v>
      </c>
      <c r="X66" s="427"/>
      <c r="Y66" s="451"/>
      <c r="Z66" s="427"/>
      <c r="AA66" s="427"/>
      <c r="AB66" s="427"/>
      <c r="AC66" s="427"/>
      <c r="AD66" s="427"/>
      <c r="AE66" s="427"/>
      <c r="AF66" s="427"/>
      <c r="AG66" s="492"/>
      <c r="AH66" s="492"/>
      <c r="AI66" s="519"/>
      <c r="AJ66" s="519"/>
      <c r="AK66" s="519"/>
      <c r="AL66" s="519"/>
      <c r="AM66" s="520"/>
      <c r="AN66" s="518"/>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ht="15" customHeight="1" thickBot="1">
      <c r="A67" s="439" t="s">
        <v>890</v>
      </c>
      <c r="B67" s="448"/>
      <c r="C67" s="448"/>
      <c r="D67" s="448"/>
      <c r="E67" s="487"/>
      <c r="F67" s="427"/>
      <c r="G67" s="427"/>
      <c r="H67" s="427"/>
      <c r="I67" s="427"/>
      <c r="J67" s="427"/>
      <c r="K67" s="427"/>
      <c r="L67" s="487">
        <f>-'c12_d&amp;s'!L62</f>
        <v>302954.75</v>
      </c>
      <c r="M67" s="487">
        <f>-'c12_d&amp;s'!M62</f>
        <v>2855909.5</v>
      </c>
      <c r="N67" s="487">
        <f>-'c12_d&amp;s'!N62</f>
        <v>4033864.25</v>
      </c>
      <c r="O67" s="487">
        <f>-'c12_d&amp;s'!O62</f>
        <v>4801819</v>
      </c>
      <c r="P67" s="487">
        <f>-'c12_d&amp;s'!P62</f>
        <v>4957879.68</v>
      </c>
      <c r="Q67" s="487">
        <f>-'c12_d&amp;s'!Q62</f>
        <v>4470379.68</v>
      </c>
      <c r="R67" s="487">
        <f>-'c12_d&amp;s'!R62</f>
        <v>4201060.68</v>
      </c>
      <c r="S67" s="487">
        <f>-'c12_d&amp;s'!S62</f>
        <v>4929060.68</v>
      </c>
      <c r="T67" s="487">
        <f>-'c12_d&amp;s'!T62</f>
        <v>3750000</v>
      </c>
      <c r="U67" s="487">
        <f>-'c12_d&amp;s'!U62</f>
        <v>2650000</v>
      </c>
      <c r="V67" s="487">
        <f>-'c12_d&amp;s'!V62</f>
        <v>6000000</v>
      </c>
      <c r="W67" s="487">
        <f>-'c12_d&amp;s'!W62</f>
        <v>8000000.333333333</v>
      </c>
      <c r="X67" s="427"/>
      <c r="Y67" s="451"/>
      <c r="Z67" s="427"/>
      <c r="AA67" s="427"/>
      <c r="AB67" s="427"/>
      <c r="AC67" s="427"/>
      <c r="AD67" s="427"/>
      <c r="AE67" s="427"/>
      <c r="AF67" s="427"/>
      <c r="AG67" s="492"/>
      <c r="AH67" s="492"/>
      <c r="AI67" s="519"/>
      <c r="AJ67" s="519"/>
      <c r="AK67" s="519"/>
      <c r="AL67" s="519"/>
      <c r="AM67" s="520"/>
      <c r="AN67" s="518"/>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s="414" customFormat="1" ht="15.5" customHeight="1" thickTop="1" thickBot="1">
      <c r="A68" s="469" t="s">
        <v>267</v>
      </c>
      <c r="B68" s="462" t="s">
        <v>808</v>
      </c>
      <c r="C68" s="462" t="s">
        <v>891</v>
      </c>
      <c r="D68" s="448"/>
      <c r="E68" s="521"/>
      <c r="F68" s="427"/>
      <c r="G68" s="427"/>
      <c r="H68" s="427"/>
      <c r="I68" s="427"/>
      <c r="J68" s="427"/>
      <c r="K68" s="427"/>
      <c r="L68" s="522">
        <f t="shared" ref="L68:W68" si="19">SUM(L65:L67)</f>
        <v>416032.5</v>
      </c>
      <c r="M68" s="522">
        <f t="shared" si="19"/>
        <v>3082065</v>
      </c>
      <c r="N68" s="522">
        <f t="shared" si="19"/>
        <v>4373097.5</v>
      </c>
      <c r="O68" s="522">
        <f t="shared" si="19"/>
        <v>5365480</v>
      </c>
      <c r="P68" s="522">
        <f t="shared" si="19"/>
        <v>6120868.2725</v>
      </c>
      <c r="Q68" s="522">
        <f t="shared" si="19"/>
        <v>5640774.3650000002</v>
      </c>
      <c r="R68" s="522">
        <f t="shared" si="19"/>
        <v>5378861.4574999996</v>
      </c>
      <c r="S68" s="522">
        <f t="shared" si="19"/>
        <v>4945267.55</v>
      </c>
      <c r="T68" s="521">
        <f t="shared" si="19"/>
        <v>4796719.9710999997</v>
      </c>
      <c r="U68" s="521">
        <f t="shared" si="19"/>
        <v>3728148.465233</v>
      </c>
      <c r="V68" s="521">
        <f t="shared" si="19"/>
        <v>6110519.8141899901</v>
      </c>
      <c r="W68" s="521">
        <f t="shared" si="19"/>
        <v>8000000.333333333</v>
      </c>
      <c r="X68" s="427"/>
      <c r="Y68" s="451"/>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ht="15" customHeight="1" thickTop="1">
      <c r="A69" s="523"/>
      <c r="B69" s="448"/>
      <c r="C69" s="448"/>
      <c r="D69" s="448"/>
      <c r="E69" s="487"/>
      <c r="F69" s="427"/>
      <c r="G69" s="427"/>
      <c r="H69" s="427"/>
      <c r="I69" s="427"/>
      <c r="J69" s="427"/>
      <c r="K69" s="427"/>
      <c r="L69" s="487"/>
      <c r="M69" s="487"/>
      <c r="N69" s="487"/>
      <c r="O69" s="487"/>
      <c r="P69" s="487"/>
      <c r="Q69" s="487"/>
      <c r="R69" s="487"/>
      <c r="S69" s="487"/>
      <c r="T69" s="487"/>
      <c r="U69" s="487"/>
      <c r="V69" s="487"/>
      <c r="W69" s="487"/>
      <c r="X69" s="427"/>
      <c r="Y69" s="451"/>
      <c r="Z69" s="427"/>
      <c r="AA69" s="427"/>
      <c r="AB69" s="427"/>
      <c r="AC69" s="427"/>
      <c r="AD69" s="427"/>
      <c r="AE69" s="427"/>
      <c r="AF69" s="427"/>
      <c r="AG69" s="492"/>
      <c r="AH69" s="492"/>
      <c r="AI69" s="519"/>
      <c r="AJ69" s="519"/>
      <c r="AK69" s="519"/>
      <c r="AL69" s="519"/>
      <c r="AM69" s="519"/>
      <c r="AN69" s="520"/>
      <c r="AO69" s="518"/>
      <c r="AP69" s="459"/>
      <c r="AQ69" s="459"/>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62" t="s">
        <v>892</v>
      </c>
      <c r="B70" s="448"/>
      <c r="C70" s="448"/>
      <c r="D70" s="448"/>
      <c r="E70" s="487"/>
      <c r="F70" s="427"/>
      <c r="G70" s="427"/>
      <c r="H70" s="427"/>
      <c r="I70" s="427"/>
      <c r="J70" s="427"/>
      <c r="K70" s="427"/>
      <c r="L70" s="487"/>
      <c r="M70" s="487"/>
      <c r="N70" s="487"/>
      <c r="O70" s="487"/>
      <c r="P70" s="487"/>
      <c r="Q70" s="487"/>
      <c r="R70" s="487"/>
      <c r="S70" s="487"/>
      <c r="T70" s="487"/>
      <c r="U70" s="487"/>
      <c r="V70" s="487"/>
      <c r="W70" s="487"/>
      <c r="X70" s="427"/>
      <c r="Y70" s="451"/>
      <c r="Z70" s="427"/>
      <c r="AA70" s="427"/>
      <c r="AB70" s="427"/>
      <c r="AC70" s="427"/>
      <c r="AD70" s="427"/>
      <c r="AE70" s="427"/>
      <c r="AF70" s="427"/>
      <c r="AG70" s="492"/>
      <c r="AH70" s="492"/>
      <c r="AI70" s="519"/>
      <c r="AJ70" s="519"/>
      <c r="AK70" s="519"/>
      <c r="AL70" s="519"/>
      <c r="AM70" s="519"/>
      <c r="AN70" s="520"/>
      <c r="AO70" s="518"/>
      <c r="AP70" s="459"/>
      <c r="AQ70" s="459"/>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39" t="s">
        <v>831</v>
      </c>
      <c r="B71" s="448"/>
      <c r="C71" s="448"/>
      <c r="D71" s="448"/>
      <c r="E71" s="487"/>
      <c r="F71" s="427"/>
      <c r="G71" s="427"/>
      <c r="H71" s="427"/>
      <c r="I71" s="427"/>
      <c r="J71" s="427"/>
      <c r="K71" s="427"/>
      <c r="L71" s="487">
        <f>+'c12_hm'!L74</f>
        <v>113077.75</v>
      </c>
      <c r="M71" s="487">
        <f>+'c12_hm'!M74</f>
        <v>226155.5</v>
      </c>
      <c r="N71" s="487">
        <f>+'c12_hm'!N74</f>
        <v>339233.25</v>
      </c>
      <c r="O71" s="487">
        <f>+'c12_hm'!O74</f>
        <v>563661</v>
      </c>
      <c r="P71" s="487">
        <f>+'c12_hm'!P74</f>
        <v>740925.65737499995</v>
      </c>
      <c r="Q71" s="487">
        <f>+'c12_hm'!Q74</f>
        <v>583052.45224999997</v>
      </c>
      <c r="R71" s="487">
        <f>+'c12_hm'!R74</f>
        <v>425179.24712499999</v>
      </c>
      <c r="S71" s="487">
        <f>+'c12_hm'!S74</f>
        <v>18621.379500000039</v>
      </c>
      <c r="T71" s="487">
        <f>+'c12_hm'!T74</f>
        <v>379300.96488499996</v>
      </c>
      <c r="U71" s="487">
        <f>+'c12_hm'!U74</f>
        <v>390300.93783154996</v>
      </c>
      <c r="V71" s="487">
        <f>+'c12_hm'!V74</f>
        <v>51630.909966496518</v>
      </c>
      <c r="W71" s="487">
        <f>+'c12_hm'!W74</f>
        <v>12948.975000000006</v>
      </c>
      <c r="X71" s="427"/>
      <c r="Y71" s="451"/>
      <c r="Z71" s="427"/>
      <c r="AA71" s="427"/>
      <c r="AB71" s="427"/>
      <c r="AC71" s="427"/>
      <c r="AD71" s="427"/>
      <c r="AE71" s="427"/>
      <c r="AF71" s="427"/>
      <c r="AG71" s="492"/>
      <c r="AH71" s="492"/>
      <c r="AI71" s="519"/>
      <c r="AJ71" s="519"/>
      <c r="AK71" s="519"/>
      <c r="AL71" s="519"/>
      <c r="AM71" s="519"/>
      <c r="AN71" s="520"/>
      <c r="AO71" s="518"/>
      <c r="AP71" s="459"/>
      <c r="AQ71" s="459"/>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39" t="s">
        <v>893</v>
      </c>
      <c r="B72" s="448"/>
      <c r="C72" s="448"/>
      <c r="D72" s="448"/>
      <c r="E72" s="487"/>
      <c r="F72" s="427"/>
      <c r="G72" s="427"/>
      <c r="H72" s="427"/>
      <c r="I72" s="427"/>
      <c r="J72" s="427"/>
      <c r="K72" s="427"/>
      <c r="L72" s="487">
        <f>'c12_bi&amp;F'!L74</f>
        <v>0</v>
      </c>
      <c r="M72" s="487">
        <f>'c12_bi&amp;F'!M74</f>
        <v>0</v>
      </c>
      <c r="N72" s="487">
        <f>'c12_bi&amp;F'!N74</f>
        <v>0</v>
      </c>
      <c r="O72" s="487">
        <f>'c12_bi&amp;F'!O74</f>
        <v>0</v>
      </c>
      <c r="P72" s="487">
        <f>'c12_bi&amp;F'!P74</f>
        <v>0</v>
      </c>
      <c r="Q72" s="487">
        <f>'c12_bi&amp;F'!Q74</f>
        <v>0</v>
      </c>
      <c r="R72" s="487">
        <f>'c12_bi&amp;F'!R74</f>
        <v>0</v>
      </c>
      <c r="S72" s="487">
        <f>'c12_bi&amp;F'!S74</f>
        <v>0</v>
      </c>
      <c r="T72" s="487">
        <f>'c12_bi&amp;F'!T74</f>
        <v>0</v>
      </c>
      <c r="U72" s="487">
        <f>'c12_bi&amp;F'!U74</f>
        <v>0</v>
      </c>
      <c r="V72" s="487">
        <f>'c12_bi&amp;F'!V74</f>
        <v>0</v>
      </c>
      <c r="W72" s="487">
        <f>'c12_bi&amp;F'!W74</f>
        <v>0</v>
      </c>
      <c r="X72" s="427"/>
      <c r="Y72" s="451"/>
      <c r="Z72" s="427"/>
      <c r="AA72" s="427"/>
      <c r="AB72" s="427"/>
      <c r="AC72" s="427"/>
      <c r="AD72" s="427"/>
      <c r="AE72" s="427"/>
      <c r="AF72" s="427"/>
      <c r="AG72" s="492"/>
      <c r="AH72" s="492"/>
      <c r="AI72" s="519"/>
      <c r="AJ72" s="519"/>
      <c r="AK72" s="519"/>
      <c r="AL72" s="519"/>
      <c r="AM72" s="519"/>
      <c r="AN72" s="520"/>
      <c r="AO72" s="518"/>
      <c r="AP72" s="459"/>
      <c r="AQ72" s="459"/>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ht="15" customHeight="1" thickBot="1">
      <c r="A73" s="439" t="s">
        <v>890</v>
      </c>
      <c r="B73" s="448"/>
      <c r="C73" s="448"/>
      <c r="D73" s="448"/>
      <c r="E73" s="479"/>
      <c r="F73" s="427"/>
      <c r="G73" s="427"/>
      <c r="H73" s="427"/>
      <c r="I73" s="427"/>
      <c r="J73" s="427"/>
      <c r="K73" s="427"/>
      <c r="L73" s="479">
        <f>'c12_d&amp;s'!L74</f>
        <v>151477.375</v>
      </c>
      <c r="M73" s="479">
        <f>'c12_d&amp;s'!M74</f>
        <v>1427954.75</v>
      </c>
      <c r="N73" s="479">
        <f>'c12_d&amp;s'!N74</f>
        <v>2016932.125</v>
      </c>
      <c r="O73" s="479">
        <f>'c12_d&amp;s'!O74</f>
        <v>2400909.5</v>
      </c>
      <c r="P73" s="479">
        <f>'c12_d&amp;s'!P74</f>
        <v>2229233.6399999997</v>
      </c>
      <c r="Q73" s="479">
        <f>'c12_d&amp;s'!Q74</f>
        <v>1881983.6399999997</v>
      </c>
      <c r="R73" s="479">
        <f>'c12_d&amp;s'!R74</f>
        <v>1597324.1399999997</v>
      </c>
      <c r="S73" s="479">
        <f>'c12_d&amp;s'!S74</f>
        <v>1646324.1399999997</v>
      </c>
      <c r="T73" s="479">
        <f>'c12_d&amp;s'!T74</f>
        <v>1233652.9019999998</v>
      </c>
      <c r="U73" s="479">
        <f>'c12_d&amp;s'!U74</f>
        <v>848652.90199999965</v>
      </c>
      <c r="V73" s="479">
        <f>'c12_d&amp;s'!V74</f>
        <v>2021152.9019999998</v>
      </c>
      <c r="W73" s="479">
        <f>'c12_d&amp;s'!W74</f>
        <v>2721153.0186666665</v>
      </c>
      <c r="X73" s="479"/>
      <c r="Y73" s="451"/>
      <c r="Z73" s="427"/>
      <c r="AA73" s="427"/>
      <c r="AB73" s="427"/>
      <c r="AC73" s="427"/>
      <c r="AD73" s="427"/>
      <c r="AE73" s="427"/>
      <c r="AF73" s="427"/>
      <c r="AG73" s="427"/>
      <c r="AH73" s="427"/>
      <c r="AI73" s="427"/>
      <c r="AJ73" s="427"/>
      <c r="AK73" s="427"/>
      <c r="AL73" s="427"/>
      <c r="AM73" s="427"/>
      <c r="AN73" s="427"/>
      <c r="AO73" s="487"/>
      <c r="AP73" s="487"/>
      <c r="AQ73" s="487"/>
      <c r="AR73" s="487"/>
      <c r="AS73" s="487"/>
      <c r="AT73" s="487"/>
      <c r="AU73" s="487"/>
      <c r="AV73" s="487"/>
      <c r="AW73" s="487"/>
      <c r="AX73" s="427"/>
      <c r="AY73" s="487"/>
      <c r="AZ73" s="487"/>
      <c r="BA73" s="487"/>
      <c r="BB73" s="487"/>
      <c r="BC73" s="487"/>
      <c r="BD73" s="487"/>
      <c r="BE73" s="487"/>
      <c r="BF73" s="427"/>
      <c r="BG73" s="427"/>
      <c r="BH73" s="427"/>
      <c r="BI73" s="427"/>
      <c r="BJ73" s="427"/>
      <c r="BK73" s="427"/>
    </row>
    <row r="74" spans="1:63" s="414" customFormat="1" ht="15.5" customHeight="1" thickTop="1" thickBot="1">
      <c r="A74" s="469" t="s">
        <v>267</v>
      </c>
      <c r="B74" s="462" t="s">
        <v>808</v>
      </c>
      <c r="C74" s="462" t="s">
        <v>894</v>
      </c>
      <c r="D74" s="448"/>
      <c r="E74" s="524"/>
      <c r="F74" s="427"/>
      <c r="G74" s="427"/>
      <c r="H74" s="427"/>
      <c r="I74" s="427"/>
      <c r="J74" s="427"/>
      <c r="K74" s="427"/>
      <c r="L74" s="525">
        <f t="shared" ref="L74:W74" si="20">SUM(L71:L73)</f>
        <v>264555.125</v>
      </c>
      <c r="M74" s="525">
        <f t="shared" si="20"/>
        <v>1654110.25</v>
      </c>
      <c r="N74" s="525">
        <f t="shared" si="20"/>
        <v>2356165.375</v>
      </c>
      <c r="O74" s="525">
        <f t="shared" si="20"/>
        <v>2964570.5</v>
      </c>
      <c r="P74" s="525">
        <f t="shared" si="20"/>
        <v>2970159.2973749996</v>
      </c>
      <c r="Q74" s="525">
        <f t="shared" si="20"/>
        <v>2465036.0922499998</v>
      </c>
      <c r="R74" s="525">
        <f t="shared" si="20"/>
        <v>2022503.3871249997</v>
      </c>
      <c r="S74" s="525">
        <f t="shared" si="20"/>
        <v>1664945.5194999997</v>
      </c>
      <c r="T74" s="524">
        <f t="shared" si="20"/>
        <v>1612953.8668849997</v>
      </c>
      <c r="U74" s="524">
        <f t="shared" si="20"/>
        <v>1238953.8398315497</v>
      </c>
      <c r="V74" s="524">
        <f t="shared" si="20"/>
        <v>2072783.8119664963</v>
      </c>
      <c r="W74" s="524">
        <f t="shared" si="20"/>
        <v>2734101.9936666666</v>
      </c>
      <c r="X74" s="427"/>
      <c r="Y74" s="451"/>
      <c r="Z74" s="427"/>
      <c r="AA74" s="427"/>
      <c r="AB74" s="427"/>
      <c r="AC74" s="427"/>
      <c r="AD74" s="427"/>
      <c r="AE74" s="427"/>
      <c r="AF74" s="427"/>
      <c r="AG74" s="427"/>
      <c r="AH74" s="427"/>
      <c r="AI74" s="427"/>
      <c r="AJ74" s="427"/>
      <c r="AK74" s="427"/>
      <c r="AL74" s="427"/>
      <c r="AM74" s="427"/>
      <c r="AN74" s="427"/>
      <c r="AO74" s="427"/>
      <c r="AP74" s="427"/>
      <c r="AQ74" s="487"/>
      <c r="AR74" s="487"/>
      <c r="AS74" s="487"/>
      <c r="AT74" s="487"/>
      <c r="AU74" s="487"/>
      <c r="AV74" s="487"/>
      <c r="AW74" s="487"/>
      <c r="AX74" s="427"/>
      <c r="AY74" s="487"/>
      <c r="AZ74" s="487"/>
      <c r="BA74" s="487"/>
      <c r="BB74" s="487"/>
      <c r="BC74" s="487"/>
      <c r="BD74" s="487"/>
      <c r="BE74" s="487"/>
      <c r="BF74" s="427"/>
      <c r="BG74" s="427"/>
      <c r="BH74" s="427"/>
      <c r="BI74" s="427"/>
      <c r="BJ74" s="427"/>
      <c r="BK74" s="427"/>
    </row>
    <row r="75" spans="1:63" ht="15" customHeight="1" thickTop="1">
      <c r="A75" s="523"/>
      <c r="B75" s="448"/>
      <c r="C75" s="448"/>
      <c r="D75" s="448"/>
      <c r="E75" s="479"/>
      <c r="F75" s="427"/>
      <c r="G75" s="427"/>
      <c r="H75" s="427"/>
      <c r="I75" s="427"/>
      <c r="J75" s="427"/>
      <c r="K75" s="427"/>
      <c r="L75" s="479"/>
      <c r="M75" s="479"/>
      <c r="N75" s="479"/>
      <c r="O75" s="479"/>
      <c r="P75" s="479"/>
      <c r="Q75" s="479"/>
      <c r="R75" s="479"/>
      <c r="S75" s="479"/>
      <c r="T75" s="479"/>
      <c r="U75" s="479"/>
      <c r="V75" s="479"/>
      <c r="W75" s="479"/>
      <c r="X75" s="427"/>
      <c r="Y75" s="451"/>
      <c r="Z75" s="427"/>
      <c r="AA75" s="427"/>
      <c r="AB75" s="427"/>
      <c r="AC75" s="427"/>
      <c r="AD75" s="427"/>
      <c r="AE75" s="427"/>
      <c r="AF75" s="427"/>
      <c r="AG75" s="427"/>
      <c r="AH75" s="427"/>
      <c r="AI75" s="427"/>
      <c r="AJ75" s="427"/>
      <c r="AK75" s="427"/>
      <c r="AL75" s="427"/>
      <c r="AM75" s="427"/>
      <c r="AN75" s="427"/>
      <c r="AO75" s="427"/>
      <c r="AP75" s="427"/>
      <c r="AQ75" s="487"/>
      <c r="AR75" s="487"/>
      <c r="AS75" s="487"/>
      <c r="AT75" s="487"/>
      <c r="AU75" s="487"/>
      <c r="AV75" s="487"/>
      <c r="AW75" s="487"/>
      <c r="AX75" s="427"/>
      <c r="AY75" s="487"/>
      <c r="AZ75" s="487"/>
      <c r="BA75" s="487"/>
      <c r="BB75" s="487"/>
      <c r="BC75" s="487"/>
      <c r="BD75" s="487"/>
      <c r="BE75" s="487"/>
      <c r="BF75" s="427"/>
      <c r="BG75" s="427"/>
      <c r="BH75" s="427"/>
      <c r="BI75" s="427"/>
      <c r="BJ75" s="427"/>
      <c r="BK75" s="427"/>
    </row>
    <row r="76" spans="1:63">
      <c r="A76" s="523"/>
      <c r="B76" s="448"/>
      <c r="C76" s="448"/>
      <c r="D76" s="448"/>
      <c r="E76" s="427"/>
      <c r="F76" s="427"/>
      <c r="G76" s="427"/>
      <c r="H76" s="427"/>
      <c r="I76" s="427"/>
      <c r="J76" s="427"/>
      <c r="K76" s="427"/>
      <c r="L76" s="427"/>
      <c r="M76" s="427"/>
      <c r="N76" s="427"/>
      <c r="O76" s="479"/>
      <c r="P76" s="479"/>
      <c r="Q76" s="479"/>
      <c r="R76" s="479"/>
      <c r="S76" s="479"/>
      <c r="T76" s="427"/>
      <c r="U76" s="427"/>
      <c r="V76" s="427"/>
      <c r="W76" s="427"/>
      <c r="X76" s="427"/>
      <c r="Y76" s="427"/>
      <c r="Z76" s="427"/>
      <c r="AA76" s="427"/>
      <c r="AB76" s="427"/>
      <c r="AC76" s="451"/>
      <c r="AD76" s="427"/>
      <c r="AE76" s="427"/>
      <c r="AF76" s="427"/>
      <c r="AG76" s="427"/>
      <c r="AH76" s="427"/>
      <c r="AI76" s="427"/>
      <c r="AJ76" s="427"/>
      <c r="AK76" s="427"/>
      <c r="AL76" s="427"/>
      <c r="AM76" s="427"/>
      <c r="AN76" s="427"/>
      <c r="AO76" s="427"/>
      <c r="AP76" s="427"/>
      <c r="AQ76" s="427"/>
      <c r="AR76" s="427"/>
      <c r="AS76" s="427"/>
      <c r="AT76" s="427"/>
      <c r="AU76" s="487"/>
      <c r="AV76" s="487"/>
      <c r="AW76" s="487"/>
      <c r="AX76" s="487"/>
      <c r="AY76" s="487"/>
      <c r="AZ76" s="487"/>
      <c r="BA76" s="487"/>
      <c r="BB76" s="427"/>
      <c r="BC76" s="487"/>
      <c r="BD76" s="487"/>
      <c r="BE76" s="487"/>
      <c r="BF76" s="487"/>
      <c r="BG76" s="487"/>
      <c r="BH76" s="487"/>
      <c r="BI76" s="487"/>
      <c r="BJ76" s="427"/>
      <c r="BK76" s="427"/>
    </row>
    <row r="77" spans="1:63">
      <c r="A77" s="462" t="s">
        <v>895</v>
      </c>
      <c r="B77" s="448"/>
      <c r="C77" s="448"/>
      <c r="D77" s="448"/>
      <c r="E77" s="427"/>
      <c r="F77" s="427"/>
      <c r="G77" s="427"/>
      <c r="H77" s="427"/>
      <c r="I77" s="427"/>
      <c r="J77" s="427"/>
      <c r="K77" s="427"/>
      <c r="L77" s="427"/>
      <c r="M77" s="427"/>
      <c r="N77" s="427"/>
      <c r="O77" s="479"/>
      <c r="P77" s="479"/>
      <c r="Q77" s="479"/>
      <c r="R77" s="479"/>
      <c r="S77" s="479"/>
      <c r="T77" s="427"/>
      <c r="U77" s="427"/>
      <c r="V77" s="427"/>
      <c r="W77" s="427"/>
      <c r="X77" s="427"/>
      <c r="Y77" s="427"/>
      <c r="Z77" s="427"/>
      <c r="AA77" s="427"/>
      <c r="AB77" s="427"/>
      <c r="AC77" s="451"/>
      <c r="AD77" s="427"/>
      <c r="AE77" s="427"/>
      <c r="AF77" s="427"/>
      <c r="AG77" s="427"/>
      <c r="AH77" s="427"/>
      <c r="AI77" s="427"/>
      <c r="AJ77" s="427"/>
      <c r="AK77" s="427"/>
      <c r="AL77" s="427"/>
      <c r="AM77" s="427"/>
      <c r="AN77" s="427"/>
      <c r="AO77" s="427"/>
      <c r="AP77" s="427"/>
      <c r="AQ77" s="427"/>
      <c r="AR77" s="427"/>
      <c r="AS77" s="427"/>
      <c r="AT77" s="427"/>
      <c r="AU77" s="487"/>
      <c r="AV77" s="487"/>
      <c r="AW77" s="487"/>
      <c r="AX77" s="487"/>
      <c r="AY77" s="487"/>
      <c r="AZ77" s="487"/>
      <c r="BA77" s="487"/>
      <c r="BB77" s="427"/>
      <c r="BC77" s="487"/>
      <c r="BD77" s="487"/>
      <c r="BE77" s="487"/>
      <c r="BF77" s="487"/>
      <c r="BG77" s="487"/>
      <c r="BH77" s="487"/>
      <c r="BI77" s="487"/>
      <c r="BJ77" s="427"/>
      <c r="BK77" s="427"/>
    </row>
    <row r="78" spans="1:63" s="30" customFormat="1" ht="14.65" customHeight="1">
      <c r="A78" s="487" t="str">
        <f>'.c12_oc_hr'!A30</f>
        <v>Grand Total</v>
      </c>
      <c r="B78" s="526"/>
      <c r="C78" s="526"/>
      <c r="D78" s="526"/>
      <c r="E78" s="487"/>
      <c r="F78" s="427"/>
      <c r="G78" s="427"/>
      <c r="H78" s="427"/>
      <c r="I78" s="427"/>
      <c r="J78" s="427"/>
      <c r="K78" s="427"/>
      <c r="L78" s="487">
        <f>'.c12_oc_hr'!L30</f>
        <v>504471.42857142858</v>
      </c>
      <c r="M78" s="487">
        <f>'.c12_oc_hr'!M30</f>
        <v>504471.42857142858</v>
      </c>
      <c r="N78" s="487">
        <f>'.c12_oc_hr'!N30</f>
        <v>504471.42857142858</v>
      </c>
      <c r="O78" s="487">
        <f>'.c12_oc_hr'!O30</f>
        <v>514861.42857142858</v>
      </c>
      <c r="P78" s="487">
        <f>'.c12_oc_hr'!P30</f>
        <v>863260.57142857136</v>
      </c>
      <c r="Q78" s="487">
        <f>'.c12_oc_hr'!Q30</f>
        <v>441380.57142857142</v>
      </c>
      <c r="R78" s="487">
        <f>'.c12_oc_hr'!R30</f>
        <v>441380.57142857142</v>
      </c>
      <c r="S78" s="487">
        <f>'.c12_oc_hr'!S30</f>
        <v>981660.57142857136</v>
      </c>
      <c r="T78" s="487">
        <f>'.c12_oc_hr'!T30</f>
        <v>2305802.2857142854</v>
      </c>
      <c r="U78" s="487">
        <f>'.c12_oc_hr'!U30</f>
        <v>1786302.2857142857</v>
      </c>
      <c r="V78" s="487">
        <f>'.c12_oc_hr'!V30</f>
        <v>1786302.2857142857</v>
      </c>
      <c r="W78" s="487">
        <f>'.c12_oc_hr'!W30</f>
        <v>1786302.2857142857</v>
      </c>
      <c r="X78" s="485"/>
      <c r="Y78" s="5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s="30" customFormat="1" ht="14.65" customHeight="1">
      <c r="A79" s="487" t="str">
        <f>'.c12_oc_hr'!A31</f>
        <v>reimbersable to hotel</v>
      </c>
      <c r="B79" s="526"/>
      <c r="C79" s="526"/>
      <c r="D79" s="526"/>
      <c r="E79" s="487"/>
      <c r="F79" s="427"/>
      <c r="G79" s="427"/>
      <c r="H79" s="427"/>
      <c r="I79" s="427"/>
      <c r="J79" s="427"/>
      <c r="K79" s="427"/>
      <c r="L79" s="487">
        <f>'.c12_oc_hr'!L31</f>
        <v>0</v>
      </c>
      <c r="M79" s="487">
        <f>'.c12_oc_hr'!M31</f>
        <v>0</v>
      </c>
      <c r="N79" s="487">
        <f>'.c12_oc_hr'!N31</f>
        <v>0</v>
      </c>
      <c r="O79" s="487">
        <f>'.c12_oc_hr'!O31</f>
        <v>0</v>
      </c>
      <c r="P79" s="487">
        <f>'.c12_oc_hr'!P31</f>
        <v>0</v>
      </c>
      <c r="Q79" s="487">
        <f>'.c12_oc_hr'!Q31</f>
        <v>0</v>
      </c>
      <c r="R79" s="487">
        <f>'.c12_oc_hr'!R31</f>
        <v>0</v>
      </c>
      <c r="S79" s="487">
        <f>'.c12_oc_hr'!S31</f>
        <v>0</v>
      </c>
      <c r="T79" s="487">
        <f>'.c12_oc_hr'!T31</f>
        <v>0</v>
      </c>
      <c r="U79" s="487">
        <f>'.c12_oc_hr'!U31</f>
        <v>0</v>
      </c>
      <c r="V79" s="487">
        <f>'.c12_oc_hr'!V31</f>
        <v>0</v>
      </c>
      <c r="W79" s="487">
        <f>'.c12_oc_hr'!W31</f>
        <v>0</v>
      </c>
      <c r="X79" s="485"/>
      <c r="Y79" s="5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s="30" customFormat="1">
      <c r="A80" s="487" t="str">
        <f>'.c12_oc_hr'!A32</f>
        <v>not reimbersable by hotel, but paid by lgh</v>
      </c>
      <c r="B80" s="526"/>
      <c r="C80" s="526"/>
      <c r="D80" s="526"/>
      <c r="E80" s="487"/>
      <c r="F80" s="427"/>
      <c r="G80" s="427"/>
      <c r="H80" s="427"/>
      <c r="I80" s="427"/>
      <c r="J80" s="427"/>
      <c r="K80" s="427"/>
      <c r="L80" s="487">
        <f>'.c12_oc_hr'!L32</f>
        <v>472542.85714285716</v>
      </c>
      <c r="M80" s="487">
        <f>'.c12_oc_hr'!M32</f>
        <v>472542.85714285716</v>
      </c>
      <c r="N80" s="487">
        <f>'.c12_oc_hr'!N32</f>
        <v>472542.85714285716</v>
      </c>
      <c r="O80" s="487">
        <f>'.c12_oc_hr'!O32</f>
        <v>472542.85714285716</v>
      </c>
      <c r="P80" s="487">
        <f>'.c12_oc_hr'!P32</f>
        <v>805022.85714285716</v>
      </c>
      <c r="Q80" s="487">
        <f>'.c12_oc_hr'!Q32</f>
        <v>383142.85714285716</v>
      </c>
      <c r="R80" s="487">
        <f>'.c12_oc_hr'!R32</f>
        <v>383142.85714285716</v>
      </c>
      <c r="S80" s="487">
        <f>'.c12_oc_hr'!S32</f>
        <v>902642.85714285704</v>
      </c>
      <c r="T80" s="487">
        <f>'.c12_oc_hr'!T32</f>
        <v>2052071.4285714286</v>
      </c>
      <c r="U80" s="487">
        <f>'.c12_oc_hr'!U32</f>
        <v>1532571.4285714286</v>
      </c>
      <c r="V80" s="487">
        <f>'.c12_oc_hr'!V32</f>
        <v>1532571.4285714286</v>
      </c>
      <c r="W80" s="487">
        <f>'.c12_oc_hr'!W32</f>
        <v>1532571.4285714286</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s="30" customFormat="1">
      <c r="A81" s="487" t="str">
        <f>'.c12_oc_hr'!A33</f>
        <v>only paid by c12</v>
      </c>
      <c r="B81" s="526"/>
      <c r="C81" s="526"/>
      <c r="D81" s="526"/>
      <c r="E81" s="487"/>
      <c r="F81" s="427"/>
      <c r="G81" s="427"/>
      <c r="H81" s="427"/>
      <c r="I81" s="427"/>
      <c r="J81" s="427"/>
      <c r="K81" s="427"/>
      <c r="L81" s="487">
        <f>'.c12_oc_hr'!L33</f>
        <v>31928.571428571431</v>
      </c>
      <c r="M81" s="487">
        <f>'.c12_oc_hr'!M33</f>
        <v>31928.571428571431</v>
      </c>
      <c r="N81" s="487">
        <f>'.c12_oc_hr'!N33</f>
        <v>31928.571428571431</v>
      </c>
      <c r="O81" s="487">
        <f>'.c12_oc_hr'!O33</f>
        <v>42318.571428571435</v>
      </c>
      <c r="P81" s="487">
        <f>'.c12_oc_hr'!P33</f>
        <v>58237.71428571429</v>
      </c>
      <c r="Q81" s="487">
        <f>'.c12_oc_hr'!Q33</f>
        <v>58237.71428571429</v>
      </c>
      <c r="R81" s="487">
        <f>'.c12_oc_hr'!R33</f>
        <v>58237.71428571429</v>
      </c>
      <c r="S81" s="487">
        <f>'.c12_oc_hr'!S33</f>
        <v>79017.71428571429</v>
      </c>
      <c r="T81" s="487">
        <f>'.c12_oc_hr'!T33</f>
        <v>253730.85714285716</v>
      </c>
      <c r="U81" s="487">
        <f>'.c12_oc_hr'!U33</f>
        <v>253730.85714285716</v>
      </c>
      <c r="V81" s="487">
        <f>'.c12_oc_hr'!V33</f>
        <v>253730.85714285716</v>
      </c>
      <c r="W81" s="487">
        <f>'.c12_oc_hr'!W33</f>
        <v>253730.85714285716</v>
      </c>
      <c r="X81" s="427"/>
      <c r="Y81" s="427"/>
      <c r="Z81" s="427"/>
      <c r="AA81" s="427"/>
      <c r="AB81" s="427"/>
      <c r="AC81" s="427"/>
      <c r="AD81" s="427"/>
      <c r="AE81" s="427"/>
      <c r="AF81" s="427"/>
      <c r="AG81" s="427"/>
      <c r="AH81" s="427"/>
      <c r="AI81" s="473"/>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48"/>
      <c r="C82" s="448"/>
      <c r="D82" s="448"/>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s="30" customFormat="1">
      <c r="A83" s="528" t="s">
        <v>896</v>
      </c>
      <c r="B83" s="428"/>
      <c r="C83" s="428"/>
      <c r="D83" s="428"/>
      <c r="E83" s="429"/>
      <c r="F83" s="427"/>
      <c r="G83" s="427"/>
      <c r="H83" s="427"/>
      <c r="I83" s="427"/>
      <c r="J83" s="427"/>
      <c r="K83" s="427"/>
      <c r="L83" s="429"/>
      <c r="M83" s="429"/>
      <c r="N83" s="429"/>
      <c r="O83" s="429"/>
      <c r="P83" s="429"/>
      <c r="Q83" s="429"/>
      <c r="R83" s="429"/>
      <c r="S83" s="429"/>
      <c r="T83" s="429"/>
      <c r="U83" s="429"/>
      <c r="V83" s="429"/>
      <c r="W83" s="429"/>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s="30" customFormat="1">
      <c r="A84" s="528" t="s">
        <v>897</v>
      </c>
      <c r="B84" s="428"/>
      <c r="C84" s="428"/>
      <c r="D84" s="428"/>
      <c r="E84" s="529">
        <v>1639651</v>
      </c>
      <c r="F84" s="427"/>
      <c r="G84" s="427"/>
      <c r="H84" s="427"/>
      <c r="I84" s="427"/>
      <c r="J84" s="427"/>
      <c r="K84" s="427"/>
      <c r="L84" s="487">
        <f>'c12_hm'!L60</f>
        <v>558947</v>
      </c>
      <c r="M84" s="487">
        <f>'c12_hm'!M60</f>
        <v>558947</v>
      </c>
      <c r="N84" s="487">
        <f>'c12_hm'!N60</f>
        <v>558947</v>
      </c>
      <c r="O84" s="487">
        <f>'c12_hm'!O60</f>
        <v>447597</v>
      </c>
      <c r="P84" s="487">
        <f>'c12_hm'!P60</f>
        <v>310715.78947368416</v>
      </c>
      <c r="Q84" s="487">
        <f>'c12_hm'!Q60</f>
        <v>902637.28947368416</v>
      </c>
      <c r="R84" s="487">
        <f>'c12_hm'!R60</f>
        <v>948110.97368421056</v>
      </c>
      <c r="S84" s="487">
        <f>'c12_hm'!S60</f>
        <v>2385063.6052631577</v>
      </c>
      <c r="T84" s="487">
        <f>'c12_hm'!T60</f>
        <v>4592895.5273684207</v>
      </c>
      <c r="U84" s="487">
        <f>'c12_hm'!U60</f>
        <v>6222237.0247684205</v>
      </c>
      <c r="V84" s="487">
        <f>'c12_hm'!V60</f>
        <v>8981799.0470904205</v>
      </c>
      <c r="W84" s="487">
        <f>'c12_hm'!W60</f>
        <v>8232869.9536977708</v>
      </c>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s="30" customFormat="1">
      <c r="A85" s="528" t="s">
        <v>898</v>
      </c>
      <c r="B85" s="428"/>
      <c r="C85" s="428"/>
      <c r="D85" s="428"/>
      <c r="E85" s="529">
        <v>1480300</v>
      </c>
      <c r="F85" s="427"/>
      <c r="G85" s="427"/>
      <c r="H85" s="427"/>
      <c r="I85" s="427"/>
      <c r="J85" s="427"/>
      <c r="K85" s="427"/>
      <c r="L85" s="487">
        <f>'c12_d&amp;s'!L60</f>
        <v>128735.5</v>
      </c>
      <c r="M85" s="487">
        <f>'c12_d&amp;s'!M60</f>
        <v>128735.5</v>
      </c>
      <c r="N85" s="487">
        <f>'c12_d&amp;s'!N60</f>
        <v>699135.5</v>
      </c>
      <c r="O85" s="487">
        <f>'c12_d&amp;s'!O60</f>
        <v>911235.5</v>
      </c>
      <c r="P85" s="487">
        <f>'c12_d&amp;s'!P60</f>
        <v>1735259.1270175439</v>
      </c>
      <c r="Q85" s="487">
        <f>'c12_d&amp;s'!Q60</f>
        <v>2473819.8070175434</v>
      </c>
      <c r="R85" s="487">
        <f>'c12_d&amp;s'!R60</f>
        <v>2205638.8070175434</v>
      </c>
      <c r="S85" s="487">
        <f>'c12_d&amp;s'!S60</f>
        <v>5828630.333333333</v>
      </c>
      <c r="T85" s="487">
        <f>'c12_d&amp;s'!T60</f>
        <v>10772271.074385963</v>
      </c>
      <c r="U85" s="487">
        <f>'c12_d&amp;s'!U60</f>
        <v>7224030.4869192978</v>
      </c>
      <c r="V85" s="487">
        <f>'c12_d&amp;s'!V60</f>
        <v>4401398.0988952974</v>
      </c>
      <c r="W85" s="487">
        <f>'c12_d&amp;s'!W60</f>
        <v>4361744.7392305788</v>
      </c>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s="30" customFormat="1" ht="15" customHeight="1" thickBot="1">
      <c r="A86" s="528" t="s">
        <v>899</v>
      </c>
      <c r="B86" s="428"/>
      <c r="C86" s="428"/>
      <c r="D86" s="428"/>
      <c r="E86" s="487"/>
      <c r="F86" s="427"/>
      <c r="G86" s="427"/>
      <c r="H86" s="427"/>
      <c r="I86" s="427"/>
      <c r="J86" s="427"/>
      <c r="K86" s="427"/>
      <c r="L86" s="487">
        <f>'c12_bi&amp;F'!L60</f>
        <v>0</v>
      </c>
      <c r="M86" s="487">
        <f>'c12_bi&amp;F'!M60</f>
        <v>0</v>
      </c>
      <c r="N86" s="487">
        <f>'c12_bi&amp;F'!N60</f>
        <v>0</v>
      </c>
      <c r="O86" s="487">
        <f>'c12_bi&amp;F'!O60</f>
        <v>0</v>
      </c>
      <c r="P86" s="487">
        <f>'c12_bi&amp;F'!P60</f>
        <v>154294.73684210525</v>
      </c>
      <c r="Q86" s="487">
        <f>'c12_bi&amp;F'!Q60</f>
        <v>154294.73684210522</v>
      </c>
      <c r="R86" s="487">
        <f>'c12_bi&amp;F'!R60</f>
        <v>267978.94736842101</v>
      </c>
      <c r="S86" s="487">
        <f>'c12_bi&amp;F'!S60</f>
        <v>360942.10526315786</v>
      </c>
      <c r="T86" s="487">
        <f>'c12_bi&amp;F'!T60</f>
        <v>1216752.6315789474</v>
      </c>
      <c r="U86" s="487">
        <f>'c12_bi&amp;F'!U60</f>
        <v>1306752.6315789474</v>
      </c>
      <c r="V86" s="487">
        <f>'c12_bi&amp;F'!V60</f>
        <v>1306752.6315789474</v>
      </c>
      <c r="W86" s="487">
        <f>'c12_bi&amp;F'!W60</f>
        <v>1306752.6315789474</v>
      </c>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s="30" customFormat="1" ht="15.5" customHeight="1" thickTop="1" thickBot="1">
      <c r="A87" s="528" t="s">
        <v>900</v>
      </c>
      <c r="B87" s="530" t="s">
        <v>808</v>
      </c>
      <c r="C87" s="530" t="s">
        <v>901</v>
      </c>
      <c r="D87" s="428"/>
      <c r="E87" s="531"/>
      <c r="F87" s="427"/>
      <c r="G87" s="427"/>
      <c r="H87" s="427"/>
      <c r="I87" s="427"/>
      <c r="J87" s="427"/>
      <c r="K87" s="427"/>
      <c r="L87" s="532">
        <f t="shared" ref="L87:W87" si="21">SUM(L84:L86)</f>
        <v>687682.5</v>
      </c>
      <c r="M87" s="532">
        <f t="shared" si="21"/>
        <v>687682.5</v>
      </c>
      <c r="N87" s="532">
        <f t="shared" si="21"/>
        <v>1258082.5</v>
      </c>
      <c r="O87" s="532">
        <f t="shared" si="21"/>
        <v>1358832.5</v>
      </c>
      <c r="P87" s="532">
        <f t="shared" si="21"/>
        <v>2200269.6533333333</v>
      </c>
      <c r="Q87" s="532">
        <f t="shared" si="21"/>
        <v>3530751.8333333326</v>
      </c>
      <c r="R87" s="532">
        <f t="shared" si="21"/>
        <v>3421728.7280701748</v>
      </c>
      <c r="S87" s="532">
        <f t="shared" si="21"/>
        <v>8574636.0438596494</v>
      </c>
      <c r="T87" s="531">
        <f t="shared" si="21"/>
        <v>16581919.233333331</v>
      </c>
      <c r="U87" s="531">
        <f t="shared" si="21"/>
        <v>14753020.143266667</v>
      </c>
      <c r="V87" s="531">
        <f t="shared" si="21"/>
        <v>14689949.777564667</v>
      </c>
      <c r="W87" s="531">
        <f t="shared" si="21"/>
        <v>13901367.324507296</v>
      </c>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ht="15" customHeight="1" thickTop="1">
      <c r="A88" s="427"/>
      <c r="B88" s="448"/>
      <c r="C88" s="448"/>
      <c r="D88" s="448"/>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48"/>
      <c r="C89" s="448"/>
      <c r="D89" s="448"/>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48"/>
      <c r="C90" s="448"/>
      <c r="D90" s="448"/>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48"/>
      <c r="C91" s="448"/>
      <c r="D91" s="448"/>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48"/>
      <c r="C92" s="448"/>
      <c r="D92" s="448"/>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48"/>
      <c r="C93" s="448"/>
      <c r="D93" s="448"/>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48"/>
      <c r="C94" s="448"/>
      <c r="D94" s="448"/>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48"/>
      <c r="C95" s="448"/>
      <c r="D95" s="448"/>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48"/>
      <c r="C96" s="448"/>
      <c r="D96" s="448"/>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48"/>
      <c r="C97" s="448"/>
      <c r="D97" s="448"/>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48"/>
      <c r="C98" s="448"/>
      <c r="D98" s="448"/>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48"/>
      <c r="C99" s="448"/>
      <c r="D99" s="448"/>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48"/>
      <c r="C100" s="448"/>
      <c r="D100" s="448"/>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48"/>
      <c r="C101" s="448"/>
      <c r="D101" s="448"/>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48"/>
      <c r="C102" s="448"/>
      <c r="D102" s="448"/>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48"/>
      <c r="C103" s="448"/>
      <c r="D103" s="448"/>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48"/>
      <c r="C104" s="448"/>
      <c r="D104" s="448"/>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48"/>
      <c r="C105" s="448"/>
      <c r="D105" s="448"/>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48"/>
      <c r="C106" s="448"/>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48"/>
      <c r="C107" s="448"/>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48"/>
      <c r="C108" s="448"/>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48"/>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48"/>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48"/>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48"/>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48"/>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48"/>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48"/>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48"/>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48"/>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48"/>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48"/>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48"/>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48"/>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48"/>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48"/>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48"/>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48"/>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48"/>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48"/>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48"/>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48"/>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48"/>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48"/>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48"/>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48"/>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48"/>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48"/>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48"/>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48"/>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48"/>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48"/>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48"/>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48"/>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48"/>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48"/>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48"/>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ht="14.65" customHeight="1">
      <c r="A145" s="427"/>
      <c r="B145" s="448"/>
      <c r="C145" s="448"/>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ht="14.65" customHeight="1">
      <c r="A146" s="427"/>
      <c r="B146" s="448"/>
      <c r="C146" s="448"/>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sheetData>
  <pageMargins left="0.7" right="0.7" top="0.75" bottom="0.75" header="0.3" footer="0.3"/>
  <pageSetup orientation="portrait"/>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zoomScale="81" workbookViewId="0">
      <selection activeCell="A3" sqref="A3:XFD3"/>
    </sheetView>
  </sheetViews>
  <sheetFormatPr defaultColWidth="12.54296875" defaultRowHeight="14.5"/>
  <cols>
    <col min="1" max="1" width="26" customWidth="1"/>
    <col min="2" max="2" width="4.453125" style="421" customWidth="1"/>
    <col min="3" max="3" width="19.90625" style="415" customWidth="1"/>
    <col min="4" max="4" width="7.6328125" style="421"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32" customFormat="1">
      <c r="A5" s="505" t="s">
        <v>902</v>
      </c>
      <c r="B5" s="442"/>
      <c r="C5" s="444"/>
      <c r="D5" s="442"/>
      <c r="E5" s="427"/>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32" customFormat="1">
      <c r="A6" s="533" t="s">
        <v>903</v>
      </c>
      <c r="B6" s="442"/>
      <c r="C6" s="444"/>
      <c r="D6" s="445"/>
      <c r="E6" s="487">
        <f>0</f>
        <v>0</v>
      </c>
      <c r="F6" s="427"/>
      <c r="G6" s="427"/>
      <c r="H6" s="427"/>
      <c r="I6" s="487">
        <v>9950</v>
      </c>
      <c r="J6" s="487">
        <v>9950</v>
      </c>
      <c r="K6" s="427"/>
      <c r="L6" s="487">
        <f>E11</f>
        <v>9950</v>
      </c>
      <c r="M6" s="487">
        <f t="shared" ref="M6:W6" si="0">L11</f>
        <v>9950</v>
      </c>
      <c r="N6" s="487">
        <f t="shared" si="0"/>
        <v>9950</v>
      </c>
      <c r="O6" s="487">
        <f t="shared" si="0"/>
        <v>9950</v>
      </c>
      <c r="P6" s="487">
        <f t="shared" si="0"/>
        <v>9950</v>
      </c>
      <c r="Q6" s="487">
        <f t="shared" si="0"/>
        <v>1303505.4866666668</v>
      </c>
      <c r="R6" s="487">
        <f t="shared" si="0"/>
        <v>3524908.2515476192</v>
      </c>
      <c r="S6" s="487">
        <f t="shared" si="0"/>
        <v>5674178.4111654144</v>
      </c>
      <c r="T6" s="487">
        <f t="shared" si="0"/>
        <v>9143005.0490726829</v>
      </c>
      <c r="U6" s="487">
        <f t="shared" si="0"/>
        <v>11552783.923596492</v>
      </c>
      <c r="V6" s="487">
        <f t="shared" si="0"/>
        <v>12122448.116596969</v>
      </c>
      <c r="W6" s="487">
        <f t="shared" si="0"/>
        <v>13870037.681601746</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533" t="s">
        <v>904</v>
      </c>
      <c r="B7" s="442"/>
      <c r="C7" s="444"/>
      <c r="D7" s="445"/>
      <c r="E7" s="487">
        <f>'c12_oc'!E47</f>
        <v>3119951</v>
      </c>
      <c r="F7" s="427"/>
      <c r="G7" s="427"/>
      <c r="H7" s="427"/>
      <c r="I7" s="487">
        <v>860896.17857142864</v>
      </c>
      <c r="J7" s="487">
        <v>828093.76238095248</v>
      </c>
      <c r="K7" s="427"/>
      <c r="L7" s="487">
        <f>'c12_oc'!L47</f>
        <v>591386.17857142864</v>
      </c>
      <c r="M7" s="487">
        <f>'c12_oc'!M47</f>
        <v>591386.17857142864</v>
      </c>
      <c r="N7" s="487">
        <f>'c12_oc'!N47</f>
        <v>876586.17857142864</v>
      </c>
      <c r="O7" s="487">
        <f>'c12_oc'!O47</f>
        <v>860896.17857142864</v>
      </c>
      <c r="P7" s="487">
        <f>'c12_oc'!P47</f>
        <v>828093.76238095248</v>
      </c>
      <c r="Q7" s="487">
        <f>'c12_oc'!Q47</f>
        <v>1372055.7648809524</v>
      </c>
      <c r="R7" s="487">
        <f>'c12_oc'!R47</f>
        <v>1299923.1596177947</v>
      </c>
      <c r="S7" s="487">
        <f>'c12_oc'!S47</f>
        <v>2619479.6379072675</v>
      </c>
      <c r="T7" s="487">
        <f>'c12_oc'!T47</f>
        <v>4462390.8745238092</v>
      </c>
      <c r="U7" s="487">
        <f>'c12_oc'!U47</f>
        <v>3822276.1930004768</v>
      </c>
      <c r="V7" s="487">
        <f>'c12_oc'!V47</f>
        <v>3800201.5650047772</v>
      </c>
      <c r="W7" s="487">
        <f>'c12_oc'!W47</f>
        <v>3524197.7064346988</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c r="A8" s="533" t="s">
        <v>905</v>
      </c>
      <c r="B8" s="442"/>
      <c r="C8" s="444"/>
      <c r="D8" s="445"/>
      <c r="E8" s="487">
        <f>-'c12_oc'!E62</f>
        <v>1540999</v>
      </c>
      <c r="F8" s="427"/>
      <c r="G8" s="427"/>
      <c r="H8" s="427"/>
      <c r="I8" s="487">
        <v>-1009945.181071429</v>
      </c>
      <c r="J8" s="487">
        <v>-383885.27571428567</v>
      </c>
      <c r="K8" s="427"/>
      <c r="L8" s="487">
        <f>-'c12_oc'!L62+'c12_oc'!E62+'c12_oc'!L61</f>
        <v>596442.81892857142</v>
      </c>
      <c r="M8" s="487">
        <f>-'c12_oc'!M62+'c12_oc'!L62+'c12_oc'!M61</f>
        <v>522290.81892857142</v>
      </c>
      <c r="N8" s="487">
        <f>-'c12_oc'!N62+'c12_oc'!M62+'c12_oc'!N61</f>
        <v>275096.81892857142</v>
      </c>
      <c r="O8" s="487">
        <f>-'c12_oc'!O62+'c12_oc'!N62+'c12_oc'!O61</f>
        <v>-1009945.1810714286</v>
      </c>
      <c r="P8" s="487">
        <f>-'c12_oc'!P62+'c12_oc'!O62+'c12_oc'!P61</f>
        <v>-383885.27571428567</v>
      </c>
      <c r="Q8" s="487">
        <f>-'c12_oc'!Q62+'c12_oc'!P62+'c12_oc'!Q61</f>
        <v>0</v>
      </c>
      <c r="R8" s="487">
        <f>-'c12_oc'!R62+'c12_oc'!Q62+'c12_oc'!R61</f>
        <v>0</v>
      </c>
      <c r="S8" s="487">
        <f>-'c12_oc'!S62+'c12_oc'!R62+'c12_oc'!S61</f>
        <v>0</v>
      </c>
      <c r="T8" s="487">
        <f>-'c12_oc'!T62+'c12_oc'!S62+'c12_oc'!T61</f>
        <v>0</v>
      </c>
      <c r="U8" s="487">
        <f>-'c12_oc'!U62+'c12_oc'!T62+'c12_oc'!U61</f>
        <v>0</v>
      </c>
      <c r="V8" s="487">
        <f>-'c12_oc'!V62+'c12_oc'!U62+'c12_oc'!V61</f>
        <v>0</v>
      </c>
      <c r="W8" s="487">
        <f>-'c12_oc'!W62+'c12_oc'!V62+'c12_oc'!W61</f>
        <v>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c r="A9" s="533" t="s">
        <v>906</v>
      </c>
      <c r="B9" s="428"/>
      <c r="C9" s="429"/>
      <c r="D9" s="428"/>
      <c r="E9" s="487">
        <f>'c12_oc'!E59</f>
        <v>-4651000</v>
      </c>
      <c r="F9" s="427"/>
      <c r="G9" s="427"/>
      <c r="H9" s="427"/>
      <c r="I9" s="487">
        <v>149049.00249999989</v>
      </c>
      <c r="J9" s="487">
        <v>849347</v>
      </c>
      <c r="K9" s="427"/>
      <c r="L9" s="487">
        <f>'c12_oc'!L59</f>
        <v>-1187828.9975000001</v>
      </c>
      <c r="M9" s="487">
        <f>'c12_oc'!M59</f>
        <v>-1113676.9975000001</v>
      </c>
      <c r="N9" s="487">
        <f>'c12_oc'!N59</f>
        <v>-1151682.9975000001</v>
      </c>
      <c r="O9" s="487">
        <f>'c12_oc'!O59</f>
        <v>149049.00249999994</v>
      </c>
      <c r="P9" s="487">
        <f>'c12_oc'!P59</f>
        <v>849347</v>
      </c>
      <c r="Q9" s="487">
        <f>'c12_oc'!Q59</f>
        <v>849347</v>
      </c>
      <c r="R9" s="487">
        <f>'c12_oc'!R59</f>
        <v>849347</v>
      </c>
      <c r="S9" s="487">
        <f>'c12_oc'!S59</f>
        <v>849347</v>
      </c>
      <c r="T9" s="487">
        <f>'c12_oc'!T59</f>
        <v>-2052612</v>
      </c>
      <c r="U9" s="487">
        <f>'c12_oc'!U59</f>
        <v>-2052612</v>
      </c>
      <c r="V9" s="487">
        <f>'c12_oc'!V59</f>
        <v>-2052612</v>
      </c>
      <c r="W9" s="487">
        <f>'c12_oc'!W59</f>
        <v>-2052612</v>
      </c>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c r="A10" s="533" t="s">
        <v>907</v>
      </c>
      <c r="B10" s="530" t="s">
        <v>6</v>
      </c>
      <c r="C10" s="429"/>
      <c r="D10" s="428"/>
      <c r="E10" s="427"/>
      <c r="F10" s="459"/>
      <c r="G10" s="459"/>
      <c r="H10" s="459"/>
      <c r="I10" s="534"/>
      <c r="J10" s="534"/>
      <c r="K10" s="459"/>
      <c r="L10" s="534"/>
      <c r="M10" s="534"/>
      <c r="N10" s="534"/>
      <c r="O10" s="534"/>
      <c r="P10" s="534"/>
      <c r="Q10" s="534"/>
      <c r="R10" s="534"/>
      <c r="S10" s="534"/>
      <c r="T10" s="427"/>
      <c r="U10" s="487">
        <v>-1200000</v>
      </c>
      <c r="V10" s="427"/>
      <c r="W10" s="487">
        <v>-4200000</v>
      </c>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t="s">
        <v>908</v>
      </c>
      <c r="B11" s="428"/>
      <c r="C11" s="429"/>
      <c r="D11" s="428"/>
      <c r="E11" s="487">
        <f>SUM(E6:E10)</f>
        <v>9950</v>
      </c>
      <c r="F11" s="427"/>
      <c r="G11" s="427"/>
      <c r="H11" s="427"/>
      <c r="I11" s="487">
        <v>9950</v>
      </c>
      <c r="J11" s="487">
        <v>1303505.486666667</v>
      </c>
      <c r="K11" s="427"/>
      <c r="L11" s="487">
        <f t="shared" ref="L11:W11" si="1">SUM(L6:L10)</f>
        <v>9950</v>
      </c>
      <c r="M11" s="487">
        <f t="shared" si="1"/>
        <v>9950</v>
      </c>
      <c r="N11" s="487">
        <f t="shared" si="1"/>
        <v>9950</v>
      </c>
      <c r="O11" s="487">
        <f t="shared" si="1"/>
        <v>9950</v>
      </c>
      <c r="P11" s="487">
        <f t="shared" si="1"/>
        <v>1303505.4866666668</v>
      </c>
      <c r="Q11" s="487">
        <f t="shared" si="1"/>
        <v>3524908.2515476192</v>
      </c>
      <c r="R11" s="487">
        <f t="shared" si="1"/>
        <v>5674178.4111654144</v>
      </c>
      <c r="S11" s="487">
        <f t="shared" si="1"/>
        <v>9143005.0490726829</v>
      </c>
      <c r="T11" s="487">
        <f t="shared" si="1"/>
        <v>11552783.923596492</v>
      </c>
      <c r="U11" s="487">
        <f t="shared" si="1"/>
        <v>12122448.116596969</v>
      </c>
      <c r="V11" s="487">
        <f t="shared" si="1"/>
        <v>13870037.681601746</v>
      </c>
      <c r="W11" s="487">
        <f t="shared" si="1"/>
        <v>11141623.388036445</v>
      </c>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t="s">
        <v>909</v>
      </c>
      <c r="B12" s="428"/>
      <c r="C12" s="429"/>
      <c r="D12" s="428"/>
      <c r="E12" s="487">
        <f>-'c12_oc'!E74</f>
        <v>0</v>
      </c>
      <c r="F12" s="464"/>
      <c r="G12" s="464"/>
      <c r="H12" s="464"/>
      <c r="I12" s="487">
        <v>-2964570.5</v>
      </c>
      <c r="J12" s="487">
        <v>-2970159.2973750001</v>
      </c>
      <c r="K12" s="464"/>
      <c r="L12" s="487">
        <f>-'c12_oc'!L74</f>
        <v>-264555.125</v>
      </c>
      <c r="M12" s="487">
        <f>-'c12_oc'!M74</f>
        <v>-1654110.25</v>
      </c>
      <c r="N12" s="487">
        <f>-'c12_oc'!N74</f>
        <v>-2356165.375</v>
      </c>
      <c r="O12" s="487">
        <f>-'c12_oc'!O74</f>
        <v>-2964570.5</v>
      </c>
      <c r="P12" s="487">
        <f>-'c12_oc'!P74</f>
        <v>-2970159.2973749996</v>
      </c>
      <c r="Q12" s="487">
        <f>-'c12_oc'!Q74</f>
        <v>-2465036.0922499998</v>
      </c>
      <c r="R12" s="487">
        <f>-'c12_oc'!R74</f>
        <v>-2022503.3871249997</v>
      </c>
      <c r="S12" s="487">
        <f>-'c12_oc'!S74</f>
        <v>-1664945.5194999997</v>
      </c>
      <c r="T12" s="487">
        <f>-'c12_oc'!T74</f>
        <v>-1612953.8668849997</v>
      </c>
      <c r="U12" s="487">
        <f>-'c12_oc'!U74</f>
        <v>-1238953.8398315497</v>
      </c>
      <c r="V12" s="487">
        <f>-'c12_oc'!V74</f>
        <v>-2072783.8119664963</v>
      </c>
      <c r="W12" s="487">
        <f>-'c12_oc'!W74</f>
        <v>-2734101.9936666666</v>
      </c>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t="s">
        <v>910</v>
      </c>
      <c r="B13" s="428"/>
      <c r="C13" s="429"/>
      <c r="D13" s="428"/>
      <c r="E13" s="487">
        <f>SUM(E11:E12)</f>
        <v>9950</v>
      </c>
      <c r="F13" s="464"/>
      <c r="G13" s="464"/>
      <c r="H13" s="464"/>
      <c r="I13" s="487">
        <v>-2954620.5</v>
      </c>
      <c r="J13" s="487">
        <v>-1666653.810708333</v>
      </c>
      <c r="K13" s="464"/>
      <c r="L13" s="487">
        <f t="shared" ref="L13:W13" si="2">SUM(L11:L12)</f>
        <v>-254605.125</v>
      </c>
      <c r="M13" s="487">
        <f t="shared" si="2"/>
        <v>-1644160.25</v>
      </c>
      <c r="N13" s="487">
        <f t="shared" si="2"/>
        <v>-2346215.375</v>
      </c>
      <c r="O13" s="487">
        <f t="shared" si="2"/>
        <v>-2954620.5</v>
      </c>
      <c r="P13" s="487">
        <f t="shared" si="2"/>
        <v>-1666653.8107083328</v>
      </c>
      <c r="Q13" s="487">
        <f t="shared" si="2"/>
        <v>1059872.1592976195</v>
      </c>
      <c r="R13" s="487">
        <f t="shared" si="2"/>
        <v>3651675.024040415</v>
      </c>
      <c r="S13" s="487">
        <f t="shared" si="2"/>
        <v>7478059.5295726834</v>
      </c>
      <c r="T13" s="487">
        <f t="shared" si="2"/>
        <v>9939830.0567114931</v>
      </c>
      <c r="U13" s="487">
        <f t="shared" si="2"/>
        <v>10883494.276765419</v>
      </c>
      <c r="V13" s="487">
        <f t="shared" si="2"/>
        <v>11797253.86963525</v>
      </c>
      <c r="W13" s="487">
        <f t="shared" si="2"/>
        <v>8407521.3943697773</v>
      </c>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8"/>
      <c r="C14" s="429"/>
      <c r="D14" s="428"/>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t="s">
        <v>911</v>
      </c>
      <c r="B15" s="428"/>
      <c r="C15" s="429"/>
      <c r="D15" s="428"/>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t="s">
        <v>912</v>
      </c>
      <c r="B16" s="428"/>
      <c r="C16" s="429"/>
      <c r="D16" s="428"/>
      <c r="E16" s="487">
        <f>'c12_oc'!E62</f>
        <v>-1540999</v>
      </c>
      <c r="F16" s="427"/>
      <c r="G16" s="427"/>
      <c r="H16" s="427"/>
      <c r="I16" s="487">
        <v>-1924884.2757142859</v>
      </c>
      <c r="J16" s="487">
        <v>0</v>
      </c>
      <c r="K16" s="427"/>
      <c r="L16" s="487">
        <f>'c12_oc'!L62</f>
        <v>-2137441.8189285714</v>
      </c>
      <c r="M16" s="487">
        <f>'c12_oc'!M62</f>
        <v>-2659732.6378571428</v>
      </c>
      <c r="N16" s="487">
        <f>'c12_oc'!N62</f>
        <v>-2934829.4567857143</v>
      </c>
      <c r="O16" s="487">
        <f>'c12_oc'!O62</f>
        <v>-1924884.2757142857</v>
      </c>
      <c r="P16" s="487">
        <f>'c12_oc'!P62</f>
        <v>0</v>
      </c>
      <c r="Q16" s="487">
        <f>'c12_oc'!Q62</f>
        <v>0</v>
      </c>
      <c r="R16" s="487">
        <f>'c12_oc'!R62</f>
        <v>0</v>
      </c>
      <c r="S16" s="487">
        <f>'c12_oc'!S62</f>
        <v>0</v>
      </c>
      <c r="T16" s="487">
        <f>'c12_oc'!T62</f>
        <v>0</v>
      </c>
      <c r="U16" s="487">
        <f>'c12_oc'!U62</f>
        <v>0</v>
      </c>
      <c r="V16" s="487">
        <f>'c12_oc'!V62</f>
        <v>0</v>
      </c>
      <c r="W16" s="487">
        <f>'c12_oc'!W62</f>
        <v>0</v>
      </c>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8"/>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t="s">
        <v>231</v>
      </c>
      <c r="B18" s="428"/>
      <c r="C18" s="429"/>
      <c r="D18" s="428"/>
      <c r="E18" s="487">
        <f>E16+E13</f>
        <v>-1531049</v>
      </c>
      <c r="F18" s="468"/>
      <c r="G18" s="468"/>
      <c r="H18" s="468"/>
      <c r="I18" s="487">
        <v>-4879504.7757142857</v>
      </c>
      <c r="J18" s="487">
        <v>-1666653.810708333</v>
      </c>
      <c r="K18" s="468"/>
      <c r="L18" s="487">
        <f t="shared" ref="L18:W18" si="3">L16+L13</f>
        <v>-2392046.9439285714</v>
      </c>
      <c r="M18" s="487">
        <f t="shared" si="3"/>
        <v>-4303892.8878571428</v>
      </c>
      <c r="N18" s="487">
        <f t="shared" si="3"/>
        <v>-5281044.8317857143</v>
      </c>
      <c r="O18" s="487">
        <f t="shared" si="3"/>
        <v>-4879504.7757142857</v>
      </c>
      <c r="P18" s="487">
        <f t="shared" si="3"/>
        <v>-1666653.8107083328</v>
      </c>
      <c r="Q18" s="487">
        <f t="shared" si="3"/>
        <v>1059872.1592976195</v>
      </c>
      <c r="R18" s="487">
        <f t="shared" si="3"/>
        <v>3651675.024040415</v>
      </c>
      <c r="S18" s="487">
        <f t="shared" si="3"/>
        <v>7478059.5295726834</v>
      </c>
      <c r="T18" s="487">
        <f t="shared" si="3"/>
        <v>9939830.0567114931</v>
      </c>
      <c r="U18" s="487">
        <f t="shared" si="3"/>
        <v>10883494.276765419</v>
      </c>
      <c r="V18" s="487">
        <f t="shared" si="3"/>
        <v>11797253.86963525</v>
      </c>
      <c r="W18" s="487">
        <f t="shared" si="3"/>
        <v>8407521.3943697773</v>
      </c>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8"/>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pageSetUpPr autoPageBreaks="0"/>
  </sheetPr>
  <dimension ref="A1:BK149"/>
  <sheetViews>
    <sheetView showGridLines="0" zoomScale="99" zoomScaleNormal="85" workbookViewId="0">
      <pane xSplit="4" ySplit="3" topLeftCell="E4" activePane="bottomRight" state="frozen"/>
      <selection pane="topRight"/>
      <selection pane="bottomLeft" activeCell="E16" sqref="E16"/>
      <selection pane="bottomRight" activeCell="E3" sqref="E3"/>
    </sheetView>
  </sheetViews>
  <sheetFormatPr defaultRowHeight="14.5"/>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8" width="10.7265625" style="426" customWidth="1"/>
    <col min="9" max="10" width="14.26953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9"/>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8"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row>
    <row r="5" spans="1:63" ht="15" customHeight="1">
      <c r="A5" s="540" t="s">
        <v>913</v>
      </c>
      <c r="B5" s="442"/>
      <c r="C5" s="441" t="s">
        <v>914</v>
      </c>
      <c r="D5" s="444"/>
      <c r="E5" s="535"/>
      <c r="F5" s="427"/>
      <c r="G5" s="427"/>
      <c r="H5" s="427"/>
      <c r="I5" s="541"/>
      <c r="J5" s="541"/>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row>
    <row r="6" spans="1:63">
      <c r="A6" s="540" t="s">
        <v>915</v>
      </c>
      <c r="B6" s="440" t="s">
        <v>6</v>
      </c>
      <c r="C6" s="441" t="s">
        <v>916</v>
      </c>
      <c r="D6" s="441" t="s">
        <v>917</v>
      </c>
      <c r="E6" s="542">
        <v>535096.5</v>
      </c>
      <c r="F6" s="427"/>
      <c r="G6" s="427"/>
      <c r="H6" s="427"/>
      <c r="I6" s="506">
        <v>174125</v>
      </c>
      <c r="J6" s="506">
        <v>186369</v>
      </c>
      <c r="K6" s="427"/>
      <c r="L6" s="543">
        <f>696500/4</f>
        <v>174125</v>
      </c>
      <c r="M6" s="543">
        <f>696500/4</f>
        <v>174125</v>
      </c>
      <c r="N6" s="543">
        <f>696500/4</f>
        <v>174125</v>
      </c>
      <c r="O6" s="506">
        <f>696500/4</f>
        <v>174125</v>
      </c>
      <c r="P6" s="506">
        <f>745476/4</f>
        <v>186369</v>
      </c>
      <c r="Q6" s="506">
        <f>745476/4</f>
        <v>186369</v>
      </c>
      <c r="R6" s="506">
        <f>745476/4</f>
        <v>186369</v>
      </c>
      <c r="S6" s="506">
        <f>745476/4</f>
        <v>186369</v>
      </c>
      <c r="T6" s="496">
        <f>+S6*4*1.03</f>
        <v>767840.28</v>
      </c>
      <c r="U6" s="496">
        <f t="shared" ref="U6:W9" si="0">+T6*1.03</f>
        <v>790875.48840000003</v>
      </c>
      <c r="V6" s="496">
        <f t="shared" si="0"/>
        <v>814601.75305200007</v>
      </c>
      <c r="W6" s="496">
        <f t="shared" si="0"/>
        <v>839039.80564356013</v>
      </c>
      <c r="X6" s="544" t="s">
        <v>918</v>
      </c>
      <c r="Y6" s="473"/>
      <c r="Z6" s="545"/>
      <c r="AA6" s="427"/>
      <c r="AB6" s="427"/>
      <c r="AC6" s="427"/>
      <c r="AD6" s="427"/>
      <c r="AE6" s="487"/>
      <c r="AF6" s="487"/>
      <c r="AG6" s="487"/>
      <c r="AH6" s="487"/>
      <c r="AI6" s="496"/>
      <c r="AJ6" s="427"/>
      <c r="AK6" s="427"/>
      <c r="AL6" s="427"/>
      <c r="AM6" s="427"/>
      <c r="AN6" s="427"/>
      <c r="AO6" s="427"/>
      <c r="AP6" s="427"/>
      <c r="AQ6" s="427"/>
      <c r="AR6" s="427"/>
      <c r="AS6" s="427"/>
      <c r="AT6" s="427"/>
      <c r="AU6" s="427"/>
      <c r="AV6" s="427"/>
      <c r="AW6" s="427"/>
      <c r="AX6" s="427"/>
    </row>
    <row r="7" spans="1:63">
      <c r="A7" s="540" t="s">
        <v>919</v>
      </c>
      <c r="B7" s="440" t="s">
        <v>6</v>
      </c>
      <c r="C7" s="441" t="s">
        <v>920</v>
      </c>
      <c r="D7" s="441" t="s">
        <v>917</v>
      </c>
      <c r="E7" s="542">
        <v>535096.5</v>
      </c>
      <c r="F7" s="427"/>
      <c r="G7" s="427"/>
      <c r="H7" s="427"/>
      <c r="I7" s="543">
        <v>176042</v>
      </c>
      <c r="J7" s="543">
        <v>181323.26</v>
      </c>
      <c r="K7" s="427"/>
      <c r="L7" s="543">
        <f>704168/4</f>
        <v>176042</v>
      </c>
      <c r="M7" s="543">
        <f>704168/4</f>
        <v>176042</v>
      </c>
      <c r="N7" s="543">
        <f>704168/4</f>
        <v>176042</v>
      </c>
      <c r="O7" s="543">
        <f>704168/4</f>
        <v>176042</v>
      </c>
      <c r="P7" s="543">
        <f>+O7*1.03</f>
        <v>181323.26</v>
      </c>
      <c r="Q7" s="543">
        <f>+P7</f>
        <v>181323.26</v>
      </c>
      <c r="R7" s="543">
        <f>+Q7</f>
        <v>181323.26</v>
      </c>
      <c r="S7" s="543">
        <f>+R7</f>
        <v>181323.26</v>
      </c>
      <c r="T7" s="496">
        <f>+S7*4*1.03</f>
        <v>747051.83120000002</v>
      </c>
      <c r="U7" s="496">
        <f t="shared" si="0"/>
        <v>769463.38613600004</v>
      </c>
      <c r="V7" s="496">
        <f t="shared" si="0"/>
        <v>792547.28772008012</v>
      </c>
      <c r="W7" s="496">
        <f t="shared" si="0"/>
        <v>816323.70635168254</v>
      </c>
      <c r="X7" s="496"/>
      <c r="Y7" s="427"/>
      <c r="Z7" s="545"/>
      <c r="AA7" s="427"/>
      <c r="AB7" s="427"/>
      <c r="AC7" s="496"/>
      <c r="AD7" s="496"/>
      <c r="AE7" s="496"/>
      <c r="AF7" s="496"/>
      <c r="AG7" s="496"/>
      <c r="AH7" s="496"/>
      <c r="AI7" s="496"/>
      <c r="AJ7" s="427"/>
      <c r="AK7" s="427"/>
      <c r="AL7" s="427"/>
      <c r="AM7" s="427"/>
      <c r="AN7" s="427"/>
      <c r="AO7" s="427"/>
      <c r="AP7" s="427"/>
      <c r="AQ7" s="427"/>
      <c r="AR7" s="427"/>
      <c r="AS7" s="427"/>
      <c r="AT7" s="427"/>
      <c r="AU7" s="427"/>
      <c r="AV7" s="427"/>
      <c r="AW7" s="427"/>
      <c r="AX7" s="427"/>
    </row>
    <row r="8" spans="1:63">
      <c r="A8" s="540" t="s">
        <v>921</v>
      </c>
      <c r="B8" s="440" t="s">
        <v>6</v>
      </c>
      <c r="C8" s="441" t="s">
        <v>916</v>
      </c>
      <c r="D8" s="441" t="s">
        <v>922</v>
      </c>
      <c r="E8" s="542">
        <v>569458</v>
      </c>
      <c r="F8" s="427"/>
      <c r="G8" s="427"/>
      <c r="H8" s="427"/>
      <c r="I8" s="506">
        <v>161030</v>
      </c>
      <c r="J8" s="506">
        <v>208682.75</v>
      </c>
      <c r="K8" s="427"/>
      <c r="L8" s="543">
        <f>644120/4</f>
        <v>161030</v>
      </c>
      <c r="M8" s="543">
        <f>644120/4</f>
        <v>161030</v>
      </c>
      <c r="N8" s="543">
        <f>644120/4</f>
        <v>161030</v>
      </c>
      <c r="O8" s="506">
        <f>644120/4</f>
        <v>161030</v>
      </c>
      <c r="P8" s="506">
        <f>834731/4</f>
        <v>208682.75</v>
      </c>
      <c r="Q8" s="506">
        <f>834731/4</f>
        <v>208682.75</v>
      </c>
      <c r="R8" s="506">
        <f>834731/4</f>
        <v>208682.75</v>
      </c>
      <c r="S8" s="506">
        <f>834731/4</f>
        <v>208682.75</v>
      </c>
      <c r="T8" s="496">
        <f>+S8*4*1.03</f>
        <v>859772.93</v>
      </c>
      <c r="U8" s="496">
        <f t="shared" si="0"/>
        <v>885566.11790000007</v>
      </c>
      <c r="V8" s="496">
        <f t="shared" si="0"/>
        <v>912133.10143700009</v>
      </c>
      <c r="W8" s="496">
        <f t="shared" si="0"/>
        <v>939497.0944801101</v>
      </c>
      <c r="X8" s="496"/>
      <c r="Y8" s="429"/>
      <c r="Z8" s="546"/>
      <c r="AA8" s="427"/>
      <c r="AB8" s="427"/>
      <c r="AC8" s="496"/>
      <c r="AD8" s="487"/>
      <c r="AE8" s="487"/>
      <c r="AF8" s="487"/>
      <c r="AG8" s="487"/>
      <c r="AH8" s="487"/>
      <c r="AI8" s="496"/>
      <c r="AJ8" s="427"/>
      <c r="AK8" s="427"/>
      <c r="AL8" s="427"/>
      <c r="AM8" s="427"/>
      <c r="AN8" s="427"/>
      <c r="AO8" s="427"/>
      <c r="AP8" s="427"/>
      <c r="AQ8" s="427"/>
      <c r="AR8" s="427"/>
      <c r="AS8" s="427"/>
      <c r="AT8" s="427"/>
      <c r="AU8" s="427"/>
      <c r="AV8" s="427"/>
      <c r="AW8" s="427"/>
      <c r="AX8" s="427"/>
    </row>
    <row r="9" spans="1:63">
      <c r="A9" s="540" t="s">
        <v>923</v>
      </c>
      <c r="B9" s="439" t="s">
        <v>6</v>
      </c>
      <c r="C9" s="439" t="s">
        <v>924</v>
      </c>
      <c r="D9" s="439" t="s">
        <v>922</v>
      </c>
      <c r="E9" s="496"/>
      <c r="F9" s="427"/>
      <c r="G9" s="427"/>
      <c r="H9" s="427"/>
      <c r="I9" s="543">
        <v>70827.75</v>
      </c>
      <c r="J9" s="543">
        <v>72952.582500000004</v>
      </c>
      <c r="K9" s="427"/>
      <c r="L9" s="543">
        <f>283311/4</f>
        <v>70827.75</v>
      </c>
      <c r="M9" s="543">
        <f>283311/4</f>
        <v>70827.75</v>
      </c>
      <c r="N9" s="543">
        <f>283311/4</f>
        <v>70827.75</v>
      </c>
      <c r="O9" s="543">
        <f>283311/4</f>
        <v>70827.75</v>
      </c>
      <c r="P9" s="543">
        <f>+O9*1.03</f>
        <v>72952.582500000004</v>
      </c>
      <c r="Q9" s="543">
        <f>+P9</f>
        <v>72952.582500000004</v>
      </c>
      <c r="R9" s="543">
        <f>+Q9</f>
        <v>72952.582500000004</v>
      </c>
      <c r="S9" s="543">
        <f>+R9</f>
        <v>72952.582500000004</v>
      </c>
      <c r="T9" s="496">
        <f>+S9*4*1.03</f>
        <v>300564.63990000001</v>
      </c>
      <c r="U9" s="496">
        <f t="shared" si="0"/>
        <v>309581.57909700001</v>
      </c>
      <c r="V9" s="496">
        <f t="shared" si="0"/>
        <v>318869.02646990999</v>
      </c>
      <c r="W9" s="496">
        <f t="shared" si="0"/>
        <v>328435.09726400732</v>
      </c>
      <c r="X9" s="496"/>
      <c r="Y9" s="429"/>
      <c r="Z9" s="547"/>
      <c r="AA9" s="427"/>
      <c r="AB9" s="427"/>
      <c r="AC9" s="496"/>
      <c r="AD9" s="496"/>
      <c r="AE9" s="496"/>
      <c r="AF9" s="496"/>
      <c r="AG9" s="496"/>
      <c r="AH9" s="496"/>
      <c r="AI9" s="496"/>
      <c r="AJ9" s="427"/>
      <c r="AK9" s="427"/>
      <c r="AL9" s="427"/>
      <c r="AM9" s="427"/>
      <c r="AN9" s="427"/>
      <c r="AO9" s="427"/>
      <c r="AP9" s="427"/>
      <c r="AQ9" s="427"/>
      <c r="AR9" s="427"/>
      <c r="AS9" s="427"/>
      <c r="AT9" s="427"/>
      <c r="AU9" s="427"/>
      <c r="AV9" s="427"/>
      <c r="AW9" s="427"/>
      <c r="AX9" s="427"/>
    </row>
    <row r="10" spans="1:63">
      <c r="A10" s="540" t="s">
        <v>925</v>
      </c>
      <c r="B10" s="439" t="s">
        <v>6</v>
      </c>
      <c r="C10" s="439" t="s">
        <v>926</v>
      </c>
      <c r="D10" s="439" t="s">
        <v>927</v>
      </c>
      <c r="E10" s="496"/>
      <c r="F10" s="459"/>
      <c r="G10" s="459"/>
      <c r="H10" s="459"/>
      <c r="I10" s="543">
        <v>0</v>
      </c>
      <c r="J10" s="543">
        <v>0</v>
      </c>
      <c r="K10" s="459"/>
      <c r="L10" s="543">
        <v>0</v>
      </c>
      <c r="M10" s="543">
        <v>0</v>
      </c>
      <c r="N10" s="543">
        <v>0</v>
      </c>
      <c r="O10" s="543">
        <v>0</v>
      </c>
      <c r="P10" s="543">
        <v>0</v>
      </c>
      <c r="Q10" s="506">
        <v>0</v>
      </c>
      <c r="R10" s="506">
        <v>0</v>
      </c>
      <c r="S10" s="506">
        <v>0</v>
      </c>
      <c r="T10" s="496">
        <v>450000</v>
      </c>
      <c r="U10" s="496">
        <v>1000000</v>
      </c>
      <c r="V10" s="496">
        <v>1214000</v>
      </c>
      <c r="W10" s="496">
        <f>+V10</f>
        <v>1214000</v>
      </c>
      <c r="X10" s="496"/>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row>
    <row r="11" spans="1:63">
      <c r="A11" s="540" t="s">
        <v>928</v>
      </c>
      <c r="B11" s="439" t="s">
        <v>6</v>
      </c>
      <c r="C11" s="439" t="s">
        <v>924</v>
      </c>
      <c r="D11" s="439" t="s">
        <v>927</v>
      </c>
      <c r="E11" s="496"/>
      <c r="F11" s="427"/>
      <c r="G11" s="427"/>
      <c r="H11" s="427"/>
      <c r="I11" s="543"/>
      <c r="J11" s="543"/>
      <c r="K11" s="427"/>
      <c r="L11" s="543"/>
      <c r="M11" s="543"/>
      <c r="N11" s="543"/>
      <c r="O11" s="543"/>
      <c r="P11" s="543"/>
      <c r="Q11" s="506"/>
      <c r="R11" s="506"/>
      <c r="S11" s="506"/>
      <c r="T11" s="496"/>
      <c r="U11" s="496"/>
      <c r="V11" s="496">
        <v>696000</v>
      </c>
      <c r="W11" s="496">
        <f>+V11</f>
        <v>696000</v>
      </c>
      <c r="X11" s="496"/>
      <c r="Y11" s="429"/>
      <c r="Z11" s="548"/>
      <c r="AA11" s="427"/>
      <c r="AB11" s="427"/>
      <c r="AC11" s="496"/>
      <c r="AD11" s="496"/>
      <c r="AE11" s="496"/>
      <c r="AF11" s="487"/>
      <c r="AG11" s="487"/>
      <c r="AH11" s="487"/>
      <c r="AI11" s="496"/>
      <c r="AJ11" s="427"/>
      <c r="AK11" s="427"/>
      <c r="AL11" s="427"/>
      <c r="AM11" s="427"/>
      <c r="AN11" s="427"/>
      <c r="AO11" s="427"/>
      <c r="AP11" s="427"/>
      <c r="AQ11" s="427"/>
      <c r="AR11" s="427"/>
      <c r="AS11" s="427"/>
      <c r="AT11" s="427"/>
      <c r="AU11" s="427"/>
      <c r="AV11" s="427"/>
      <c r="AW11" s="427"/>
      <c r="AX11" s="427"/>
    </row>
    <row r="12" spans="1:63">
      <c r="A12" s="540" t="s">
        <v>211</v>
      </c>
      <c r="B12" s="439" t="s">
        <v>6</v>
      </c>
      <c r="C12" s="439" t="s">
        <v>926</v>
      </c>
      <c r="D12" s="439" t="s">
        <v>929</v>
      </c>
      <c r="E12" s="496"/>
      <c r="F12" s="464"/>
      <c r="G12" s="464"/>
      <c r="H12" s="464"/>
      <c r="I12" s="543">
        <v>0</v>
      </c>
      <c r="J12" s="543">
        <v>0</v>
      </c>
      <c r="K12" s="464"/>
      <c r="L12" s="543">
        <v>0</v>
      </c>
      <c r="M12" s="543">
        <v>0</v>
      </c>
      <c r="N12" s="543">
        <v>0</v>
      </c>
      <c r="O12" s="543">
        <v>0</v>
      </c>
      <c r="P12" s="543">
        <v>0</v>
      </c>
      <c r="Q12" s="543">
        <v>0</v>
      </c>
      <c r="R12" s="543">
        <v>0</v>
      </c>
      <c r="S12" s="543">
        <v>0</v>
      </c>
      <c r="T12" s="496">
        <v>0</v>
      </c>
      <c r="U12" s="496">
        <v>0</v>
      </c>
      <c r="V12" s="496">
        <v>0</v>
      </c>
      <c r="W12" s="496">
        <v>0</v>
      </c>
      <c r="X12" s="496"/>
      <c r="Y12" s="429"/>
      <c r="Z12" s="549"/>
      <c r="AA12" s="427"/>
      <c r="AB12" s="427"/>
      <c r="AC12" s="496"/>
      <c r="AD12" s="496"/>
      <c r="AE12" s="496"/>
      <c r="AF12" s="496"/>
      <c r="AG12" s="496"/>
      <c r="AH12" s="496"/>
      <c r="AI12" s="496"/>
      <c r="AJ12" s="427"/>
      <c r="AK12" s="427"/>
      <c r="AL12" s="427"/>
      <c r="AM12" s="427"/>
      <c r="AN12" s="427"/>
      <c r="AO12" s="427"/>
      <c r="AP12" s="427"/>
      <c r="AQ12" s="427"/>
      <c r="AR12" s="427"/>
      <c r="AS12" s="427"/>
      <c r="AT12" s="427"/>
      <c r="AU12" s="427"/>
      <c r="AV12" s="427"/>
      <c r="AW12" s="427"/>
      <c r="AX12" s="427"/>
    </row>
    <row r="13" spans="1:63">
      <c r="A13" s="540" t="s">
        <v>105</v>
      </c>
      <c r="B13" s="439" t="s">
        <v>6</v>
      </c>
      <c r="C13" s="439" t="s">
        <v>926</v>
      </c>
      <c r="D13" s="439" t="s">
        <v>489</v>
      </c>
      <c r="E13" s="496"/>
      <c r="F13" s="464"/>
      <c r="G13" s="464"/>
      <c r="H13" s="464"/>
      <c r="I13" s="543">
        <v>0</v>
      </c>
      <c r="J13" s="543">
        <v>0</v>
      </c>
      <c r="K13" s="464"/>
      <c r="L13" s="543">
        <v>0</v>
      </c>
      <c r="M13" s="543">
        <v>0</v>
      </c>
      <c r="N13" s="543">
        <v>0</v>
      </c>
      <c r="O13" s="543">
        <v>0</v>
      </c>
      <c r="P13" s="543">
        <v>0</v>
      </c>
      <c r="Q13" s="543"/>
      <c r="R13" s="543"/>
      <c r="S13" s="543"/>
      <c r="T13" s="496"/>
      <c r="U13" s="496"/>
      <c r="V13" s="496">
        <f>T6</f>
        <v>767840.28</v>
      </c>
      <c r="W13" s="496">
        <f>U6</f>
        <v>790875.48840000003</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row>
    <row r="14" spans="1:63">
      <c r="A14" s="540" t="s">
        <v>108</v>
      </c>
      <c r="B14" s="439" t="s">
        <v>6</v>
      </c>
      <c r="C14" s="439" t="s">
        <v>926</v>
      </c>
      <c r="D14" s="439" t="s">
        <v>930</v>
      </c>
      <c r="E14" s="496"/>
      <c r="F14" s="427"/>
      <c r="G14" s="427"/>
      <c r="H14" s="427"/>
      <c r="I14" s="543"/>
      <c r="J14" s="543"/>
      <c r="K14" s="427"/>
      <c r="L14" s="543"/>
      <c r="M14" s="543"/>
      <c r="N14" s="543"/>
      <c r="O14" s="543"/>
      <c r="P14" s="543"/>
      <c r="Q14" s="543"/>
      <c r="R14" s="543"/>
      <c r="S14" s="543">
        <v>0</v>
      </c>
      <c r="T14" s="496">
        <v>1000000</v>
      </c>
      <c r="U14" s="496">
        <v>1000000</v>
      </c>
      <c r="V14" s="496">
        <v>1000000</v>
      </c>
      <c r="W14" s="496">
        <v>1000000</v>
      </c>
      <c r="X14" s="496"/>
      <c r="Y14" s="429"/>
      <c r="Z14" s="549"/>
      <c r="AA14" s="479"/>
      <c r="AB14" s="479"/>
      <c r="AC14" s="479"/>
      <c r="AD14" s="479"/>
      <c r="AE14" s="479"/>
      <c r="AF14" s="479"/>
      <c r="AG14" s="479"/>
      <c r="AH14" s="479"/>
      <c r="AI14" s="479"/>
      <c r="AJ14" s="427"/>
      <c r="AK14" s="427"/>
      <c r="AL14" s="427"/>
      <c r="AM14" s="427"/>
      <c r="AN14" s="427"/>
      <c r="AO14" s="427"/>
      <c r="AP14" s="427"/>
      <c r="AQ14" s="427"/>
      <c r="AR14" s="427"/>
      <c r="AS14" s="427"/>
      <c r="AT14" s="427"/>
      <c r="AU14" s="427"/>
      <c r="AV14" s="427"/>
      <c r="AW14" s="427"/>
      <c r="AX14" s="427"/>
    </row>
    <row r="15" spans="1:63" s="414" customFormat="1">
      <c r="A15" s="540" t="s">
        <v>931</v>
      </c>
      <c r="B15" s="428"/>
      <c r="C15" s="429"/>
      <c r="D15" s="429"/>
      <c r="E15" s="496"/>
      <c r="F15" s="427"/>
      <c r="G15" s="427"/>
      <c r="H15" s="427"/>
      <c r="I15" s="496"/>
      <c r="J15" s="496"/>
      <c r="K15" s="427"/>
      <c r="L15" s="496"/>
      <c r="M15" s="496"/>
      <c r="N15" s="496"/>
      <c r="O15" s="496"/>
      <c r="P15" s="496"/>
      <c r="Q15" s="496"/>
      <c r="R15" s="496"/>
      <c r="S15" s="496"/>
      <c r="T15" s="496"/>
      <c r="U15" s="496"/>
      <c r="V15" s="496"/>
      <c r="W15" s="496"/>
      <c r="X15" s="496"/>
      <c r="Y15" s="429"/>
      <c r="Z15" s="549"/>
      <c r="AA15" s="479"/>
      <c r="AB15" s="479"/>
      <c r="AC15" s="479"/>
      <c r="AD15" s="479"/>
      <c r="AE15" s="479"/>
      <c r="AF15" s="479"/>
      <c r="AG15" s="479"/>
      <c r="AH15" s="479"/>
      <c r="AI15" s="479"/>
      <c r="AJ15" s="427"/>
      <c r="AK15" s="427"/>
      <c r="AL15" s="427"/>
      <c r="AM15" s="427"/>
      <c r="AN15" s="427"/>
      <c r="AO15" s="427"/>
      <c r="AP15" s="427"/>
      <c r="AQ15" s="427"/>
      <c r="AR15" s="427"/>
      <c r="AS15" s="427"/>
      <c r="AT15" s="427"/>
      <c r="AU15" s="427"/>
      <c r="AV15" s="427"/>
      <c r="AW15" s="427"/>
      <c r="AX15" s="427"/>
    </row>
    <row r="16" spans="1:63" s="414" customFormat="1">
      <c r="A16" s="540" t="s">
        <v>931</v>
      </c>
      <c r="B16" s="428"/>
      <c r="C16" s="429"/>
      <c r="D16" s="429"/>
      <c r="E16" s="496"/>
      <c r="F16" s="427"/>
      <c r="G16" s="427"/>
      <c r="H16" s="427"/>
      <c r="I16" s="496"/>
      <c r="J16" s="496"/>
      <c r="K16" s="427"/>
      <c r="L16" s="496"/>
      <c r="M16" s="496"/>
      <c r="N16" s="496"/>
      <c r="O16" s="496"/>
      <c r="P16" s="496"/>
      <c r="Q16" s="496"/>
      <c r="R16" s="496"/>
      <c r="S16" s="496"/>
      <c r="T16" s="496"/>
      <c r="U16" s="496"/>
      <c r="V16" s="496"/>
      <c r="W16" s="496"/>
      <c r="X16" s="496"/>
      <c r="Y16" s="429"/>
      <c r="Z16" s="549"/>
      <c r="AA16" s="479"/>
      <c r="AB16" s="479"/>
      <c r="AC16" s="479"/>
      <c r="AD16" s="479"/>
      <c r="AE16" s="479"/>
      <c r="AF16" s="479"/>
      <c r="AG16" s="479"/>
      <c r="AH16" s="479"/>
      <c r="AI16" s="479"/>
      <c r="AJ16" s="427"/>
      <c r="AK16" s="427"/>
      <c r="AL16" s="427"/>
      <c r="AM16" s="427"/>
      <c r="AN16" s="427"/>
      <c r="AO16" s="427"/>
      <c r="AP16" s="427"/>
      <c r="AQ16" s="427"/>
      <c r="AR16" s="427"/>
      <c r="AS16" s="427"/>
      <c r="AT16" s="427"/>
      <c r="AU16" s="427"/>
      <c r="AV16" s="427"/>
      <c r="AW16" s="427"/>
      <c r="AX16" s="427"/>
    </row>
    <row r="17" spans="1:50" s="414" customFormat="1">
      <c r="A17" s="540" t="s">
        <v>931</v>
      </c>
      <c r="B17" s="428"/>
      <c r="C17" s="429"/>
      <c r="D17" s="429"/>
      <c r="E17" s="496"/>
      <c r="F17" s="468"/>
      <c r="G17" s="468"/>
      <c r="H17" s="468"/>
      <c r="I17" s="496"/>
      <c r="J17" s="496"/>
      <c r="K17" s="468"/>
      <c r="L17" s="496"/>
      <c r="M17" s="496"/>
      <c r="N17" s="496"/>
      <c r="O17" s="496"/>
      <c r="P17" s="496"/>
      <c r="Q17" s="496"/>
      <c r="R17" s="496"/>
      <c r="S17" s="496"/>
      <c r="T17" s="496"/>
      <c r="U17" s="496"/>
      <c r="V17" s="496"/>
      <c r="W17" s="496"/>
      <c r="X17" s="496"/>
      <c r="Y17" s="429"/>
      <c r="Z17" s="549"/>
      <c r="AA17" s="479"/>
      <c r="AB17" s="479"/>
      <c r="AC17" s="479"/>
      <c r="AD17" s="479"/>
      <c r="AE17" s="479"/>
      <c r="AF17" s="479"/>
      <c r="AG17" s="479"/>
      <c r="AH17" s="479"/>
      <c r="AI17" s="479"/>
      <c r="AJ17" s="427"/>
      <c r="AK17" s="427"/>
      <c r="AL17" s="427"/>
      <c r="AM17" s="427"/>
      <c r="AN17" s="427"/>
      <c r="AO17" s="427"/>
      <c r="AP17" s="427"/>
      <c r="AQ17" s="427"/>
      <c r="AR17" s="427"/>
      <c r="AS17" s="427"/>
      <c r="AT17" s="427"/>
      <c r="AU17" s="427"/>
      <c r="AV17" s="427"/>
      <c r="AW17" s="427"/>
      <c r="AX17" s="427"/>
    </row>
    <row r="18" spans="1:50" s="414" customFormat="1">
      <c r="A18" s="540" t="s">
        <v>931</v>
      </c>
      <c r="B18" s="428"/>
      <c r="C18" s="429"/>
      <c r="D18" s="429"/>
      <c r="E18" s="496"/>
      <c r="F18" s="468"/>
      <c r="G18" s="468"/>
      <c r="H18" s="468"/>
      <c r="I18" s="496"/>
      <c r="J18" s="496"/>
      <c r="K18" s="468"/>
      <c r="L18" s="496"/>
      <c r="M18" s="496"/>
      <c r="N18" s="496"/>
      <c r="O18" s="496"/>
      <c r="P18" s="496"/>
      <c r="Q18" s="496"/>
      <c r="R18" s="496"/>
      <c r="S18" s="496"/>
      <c r="T18" s="496"/>
      <c r="U18" s="496"/>
      <c r="V18" s="496"/>
      <c r="W18" s="496"/>
      <c r="X18" s="496"/>
      <c r="Y18" s="429"/>
      <c r="Z18" s="549"/>
      <c r="AA18" s="479"/>
      <c r="AB18" s="479"/>
      <c r="AC18" s="479"/>
      <c r="AD18" s="479"/>
      <c r="AE18" s="479"/>
      <c r="AF18" s="479"/>
      <c r="AG18" s="479"/>
      <c r="AH18" s="479"/>
      <c r="AI18" s="479"/>
      <c r="AJ18" s="427"/>
      <c r="AK18" s="427"/>
      <c r="AL18" s="427"/>
      <c r="AM18" s="427"/>
      <c r="AN18" s="427"/>
      <c r="AO18" s="427"/>
      <c r="AP18" s="427"/>
      <c r="AQ18" s="427"/>
      <c r="AR18" s="427"/>
      <c r="AS18" s="427"/>
      <c r="AT18" s="427"/>
      <c r="AU18" s="427"/>
      <c r="AV18" s="427"/>
      <c r="AW18" s="427"/>
      <c r="AX18" s="427"/>
    </row>
    <row r="19" spans="1:50" s="414" customFormat="1">
      <c r="A19" s="540" t="s">
        <v>931</v>
      </c>
      <c r="B19" s="428"/>
      <c r="C19" s="429"/>
      <c r="D19" s="429"/>
      <c r="E19" s="496"/>
      <c r="F19" s="459"/>
      <c r="G19" s="459"/>
      <c r="H19" s="459"/>
      <c r="I19" s="496"/>
      <c r="J19" s="496"/>
      <c r="K19" s="459"/>
      <c r="L19" s="496"/>
      <c r="M19" s="496"/>
      <c r="N19" s="496"/>
      <c r="O19" s="496"/>
      <c r="P19" s="496"/>
      <c r="Q19" s="496"/>
      <c r="R19" s="496"/>
      <c r="S19" s="496"/>
      <c r="T19" s="496"/>
      <c r="U19" s="496"/>
      <c r="V19" s="496"/>
      <c r="W19" s="496"/>
      <c r="X19" s="496"/>
      <c r="Y19" s="429"/>
      <c r="Z19" s="549"/>
      <c r="AA19" s="479"/>
      <c r="AB19" s="479"/>
      <c r="AC19" s="479"/>
      <c r="AD19" s="479"/>
      <c r="AE19" s="479"/>
      <c r="AF19" s="479"/>
      <c r="AG19" s="479"/>
      <c r="AH19" s="479"/>
      <c r="AI19" s="479"/>
      <c r="AJ19" s="427"/>
      <c r="AK19" s="427"/>
      <c r="AL19" s="427"/>
      <c r="AM19" s="427"/>
      <c r="AN19" s="427"/>
      <c r="AO19" s="427"/>
      <c r="AP19" s="427"/>
      <c r="AQ19" s="427"/>
      <c r="AR19" s="427"/>
      <c r="AS19" s="427"/>
      <c r="AT19" s="427"/>
      <c r="AU19" s="427"/>
      <c r="AV19" s="427"/>
      <c r="AW19" s="427"/>
      <c r="AX19" s="427"/>
    </row>
    <row r="20" spans="1:50" s="414" customFormat="1">
      <c r="A20" s="540" t="s">
        <v>931</v>
      </c>
      <c r="B20" s="428"/>
      <c r="C20" s="429"/>
      <c r="D20" s="429"/>
      <c r="E20" s="496"/>
      <c r="F20" s="427"/>
      <c r="G20" s="427"/>
      <c r="H20" s="427"/>
      <c r="I20" s="496"/>
      <c r="J20" s="496"/>
      <c r="K20" s="427"/>
      <c r="L20" s="496"/>
      <c r="M20" s="496"/>
      <c r="N20" s="496"/>
      <c r="O20" s="496"/>
      <c r="P20" s="496"/>
      <c r="Q20" s="496"/>
      <c r="R20" s="496"/>
      <c r="S20" s="496"/>
      <c r="T20" s="496"/>
      <c r="U20" s="496"/>
      <c r="V20" s="496"/>
      <c r="W20" s="496"/>
      <c r="X20" s="496"/>
      <c r="Y20" s="429"/>
      <c r="Z20" s="549"/>
      <c r="AA20" s="479"/>
      <c r="AB20" s="479"/>
      <c r="AC20" s="479"/>
      <c r="AD20" s="479"/>
      <c r="AE20" s="479"/>
      <c r="AF20" s="479"/>
      <c r="AG20" s="479"/>
      <c r="AH20" s="479"/>
      <c r="AI20" s="479"/>
      <c r="AJ20" s="427"/>
      <c r="AK20" s="427"/>
      <c r="AL20" s="427"/>
      <c r="AM20" s="427"/>
      <c r="AN20" s="427"/>
      <c r="AO20" s="427"/>
      <c r="AP20" s="427"/>
      <c r="AQ20" s="427"/>
      <c r="AR20" s="427"/>
      <c r="AS20" s="427"/>
      <c r="AT20" s="427"/>
      <c r="AU20" s="427"/>
      <c r="AV20" s="427"/>
      <c r="AW20" s="427"/>
      <c r="AX20" s="427"/>
    </row>
    <row r="21" spans="1:50" s="414" customFormat="1">
      <c r="A21" s="540" t="s">
        <v>931</v>
      </c>
      <c r="B21" s="428"/>
      <c r="C21" s="429"/>
      <c r="D21" s="429"/>
      <c r="E21" s="496"/>
      <c r="F21" s="473"/>
      <c r="G21" s="473"/>
      <c r="H21" s="473"/>
      <c r="I21" s="496"/>
      <c r="J21" s="496"/>
      <c r="K21" s="473"/>
      <c r="L21" s="496"/>
      <c r="M21" s="496"/>
      <c r="N21" s="496"/>
      <c r="O21" s="496"/>
      <c r="P21" s="496"/>
      <c r="Q21" s="496"/>
      <c r="R21" s="496"/>
      <c r="S21" s="496"/>
      <c r="T21" s="496"/>
      <c r="U21" s="496"/>
      <c r="V21" s="496"/>
      <c r="W21" s="496"/>
      <c r="X21" s="496"/>
      <c r="Y21" s="429"/>
      <c r="Z21" s="549"/>
      <c r="AA21" s="479"/>
      <c r="AB21" s="479"/>
      <c r="AC21" s="479"/>
      <c r="AD21" s="479"/>
      <c r="AE21" s="479"/>
      <c r="AF21" s="479"/>
      <c r="AG21" s="479"/>
      <c r="AH21" s="479"/>
      <c r="AI21" s="479"/>
      <c r="AJ21" s="427"/>
      <c r="AK21" s="427"/>
      <c r="AL21" s="427"/>
      <c r="AM21" s="427"/>
      <c r="AN21" s="427"/>
      <c r="AO21" s="427"/>
      <c r="AP21" s="427"/>
      <c r="AQ21" s="427"/>
      <c r="AR21" s="427"/>
      <c r="AS21" s="427"/>
      <c r="AT21" s="427"/>
      <c r="AU21" s="427"/>
      <c r="AV21" s="427"/>
      <c r="AW21" s="427"/>
      <c r="AX21" s="427"/>
    </row>
    <row r="22" spans="1:50" s="414" customFormat="1">
      <c r="A22" s="540" t="s">
        <v>931</v>
      </c>
      <c r="B22" s="428"/>
      <c r="C22" s="429"/>
      <c r="D22" s="429"/>
      <c r="E22" s="496"/>
      <c r="F22" s="459"/>
      <c r="G22" s="459"/>
      <c r="H22" s="459"/>
      <c r="I22" s="496"/>
      <c r="J22" s="496"/>
      <c r="K22" s="459"/>
      <c r="L22" s="496"/>
      <c r="M22" s="496"/>
      <c r="N22" s="496"/>
      <c r="O22" s="496"/>
      <c r="P22" s="496"/>
      <c r="Q22" s="496"/>
      <c r="R22" s="496"/>
      <c r="S22" s="496"/>
      <c r="T22" s="496"/>
      <c r="U22" s="496"/>
      <c r="V22" s="496"/>
      <c r="W22" s="496"/>
      <c r="X22" s="496"/>
      <c r="Y22" s="429"/>
      <c r="Z22" s="549"/>
      <c r="AA22" s="479"/>
      <c r="AB22" s="479"/>
      <c r="AC22" s="479"/>
      <c r="AD22" s="479"/>
      <c r="AE22" s="479"/>
      <c r="AF22" s="479"/>
      <c r="AG22" s="479"/>
      <c r="AH22" s="479"/>
      <c r="AI22" s="479"/>
      <c r="AJ22" s="427"/>
      <c r="AK22" s="427"/>
      <c r="AL22" s="427"/>
      <c r="AM22" s="427"/>
      <c r="AN22" s="427"/>
      <c r="AO22" s="427"/>
      <c r="AP22" s="427"/>
      <c r="AQ22" s="427"/>
      <c r="AR22" s="427"/>
      <c r="AS22" s="427"/>
      <c r="AT22" s="427"/>
      <c r="AU22" s="427"/>
      <c r="AV22" s="427"/>
      <c r="AW22" s="427"/>
      <c r="AX22" s="427"/>
    </row>
    <row r="23" spans="1:50" s="414" customFormat="1">
      <c r="A23" s="540" t="s">
        <v>931</v>
      </c>
      <c r="B23" s="428"/>
      <c r="C23" s="429"/>
      <c r="D23" s="429"/>
      <c r="E23" s="496"/>
      <c r="F23" s="459"/>
      <c r="G23" s="459"/>
      <c r="H23" s="459"/>
      <c r="I23" s="496"/>
      <c r="J23" s="496"/>
      <c r="K23" s="459"/>
      <c r="L23" s="496"/>
      <c r="M23" s="496"/>
      <c r="N23" s="496"/>
      <c r="O23" s="496"/>
      <c r="P23" s="496"/>
      <c r="Q23" s="496"/>
      <c r="R23" s="496"/>
      <c r="S23" s="496"/>
      <c r="T23" s="496"/>
      <c r="U23" s="496"/>
      <c r="V23" s="496"/>
      <c r="W23" s="496"/>
      <c r="X23" s="496"/>
      <c r="Y23" s="429"/>
      <c r="Z23" s="549"/>
      <c r="AA23" s="479"/>
      <c r="AB23" s="479"/>
      <c r="AC23" s="479"/>
      <c r="AD23" s="479"/>
      <c r="AE23" s="479"/>
      <c r="AF23" s="479"/>
      <c r="AG23" s="479"/>
      <c r="AH23" s="479"/>
      <c r="AI23" s="479"/>
      <c r="AJ23" s="427"/>
      <c r="AK23" s="427"/>
      <c r="AL23" s="427"/>
      <c r="AM23" s="427"/>
      <c r="AN23" s="427"/>
      <c r="AO23" s="427"/>
      <c r="AP23" s="427"/>
      <c r="AQ23" s="427"/>
      <c r="AR23" s="427"/>
      <c r="AS23" s="427"/>
      <c r="AT23" s="427"/>
      <c r="AU23" s="427"/>
      <c r="AV23" s="427"/>
      <c r="AW23" s="427"/>
      <c r="AX23" s="427"/>
    </row>
    <row r="24" spans="1:50" ht="15" customHeight="1">
      <c r="A24" s="540" t="s">
        <v>109</v>
      </c>
      <c r="B24" s="439" t="s">
        <v>6</v>
      </c>
      <c r="C24" s="439" t="s">
        <v>926</v>
      </c>
      <c r="D24" s="439" t="s">
        <v>932</v>
      </c>
      <c r="E24" s="496"/>
      <c r="F24" s="459"/>
      <c r="G24" s="459"/>
      <c r="H24" s="459"/>
      <c r="I24" s="543"/>
      <c r="J24" s="543"/>
      <c r="K24" s="459"/>
      <c r="L24" s="543"/>
      <c r="M24" s="543"/>
      <c r="N24" s="543"/>
      <c r="O24" s="543"/>
      <c r="P24" s="543"/>
      <c r="Q24" s="543"/>
      <c r="R24" s="543"/>
      <c r="S24" s="543"/>
      <c r="T24" s="496"/>
      <c r="U24" s="496"/>
      <c r="V24" s="496"/>
      <c r="W24" s="496"/>
      <c r="X24" s="496"/>
      <c r="Y24" s="527"/>
      <c r="Z24" s="527"/>
      <c r="AA24" s="427"/>
      <c r="AB24" s="427"/>
      <c r="AC24" s="427"/>
      <c r="AD24" s="479"/>
      <c r="AE24" s="479"/>
      <c r="AF24" s="479"/>
      <c r="AG24" s="479"/>
      <c r="AH24" s="479"/>
      <c r="AI24" s="479"/>
      <c r="AJ24" s="427"/>
      <c r="AK24" s="427"/>
      <c r="AL24" s="427"/>
      <c r="AM24" s="427"/>
      <c r="AN24" s="427"/>
      <c r="AO24" s="427"/>
      <c r="AP24" s="427"/>
      <c r="AQ24" s="427"/>
      <c r="AR24" s="427"/>
      <c r="AS24" s="427"/>
      <c r="AT24" s="427"/>
      <c r="AU24" s="427"/>
      <c r="AV24" s="427"/>
      <c r="AW24" s="427"/>
      <c r="AX24" s="427"/>
    </row>
    <row r="25" spans="1:50">
      <c r="A25" s="550" t="s">
        <v>933</v>
      </c>
      <c r="B25" s="439" t="s">
        <v>826</v>
      </c>
      <c r="C25" s="439" t="s">
        <v>934</v>
      </c>
      <c r="D25" s="427"/>
      <c r="E25" s="496"/>
      <c r="F25" s="459"/>
      <c r="G25" s="459"/>
      <c r="H25" s="459"/>
      <c r="I25" s="496">
        <v>582024.75</v>
      </c>
      <c r="J25" s="496">
        <v>649327.59250000003</v>
      </c>
      <c r="K25" s="459"/>
      <c r="L25" s="496">
        <f t="shared" ref="L25:W25" si="1">SUM(L6:L24)</f>
        <v>582024.75</v>
      </c>
      <c r="M25" s="496">
        <f t="shared" si="1"/>
        <v>582024.75</v>
      </c>
      <c r="N25" s="496">
        <f t="shared" si="1"/>
        <v>582024.75</v>
      </c>
      <c r="O25" s="496">
        <f t="shared" si="1"/>
        <v>582024.75</v>
      </c>
      <c r="P25" s="496">
        <f t="shared" si="1"/>
        <v>649327.59250000003</v>
      </c>
      <c r="Q25" s="496">
        <f t="shared" si="1"/>
        <v>649327.59250000003</v>
      </c>
      <c r="R25" s="496">
        <f t="shared" si="1"/>
        <v>649327.59250000003</v>
      </c>
      <c r="S25" s="496">
        <f t="shared" si="1"/>
        <v>649327.59250000003</v>
      </c>
      <c r="T25" s="496">
        <f t="shared" si="1"/>
        <v>4125229.6811000002</v>
      </c>
      <c r="U25" s="496">
        <f t="shared" si="1"/>
        <v>4755486.5715330001</v>
      </c>
      <c r="V25" s="496">
        <f t="shared" si="1"/>
        <v>6515991.4486789899</v>
      </c>
      <c r="W25" s="496">
        <f t="shared" si="1"/>
        <v>6624171.1921393601</v>
      </c>
      <c r="X25" s="496"/>
      <c r="Y25" s="551"/>
      <c r="Z25" s="5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row>
    <row r="26" spans="1:50" ht="15" customHeight="1">
      <c r="A26" s="427"/>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51"/>
      <c r="Z26" s="5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row>
    <row r="27" spans="1:50">
      <c r="A27" s="540" t="s">
        <v>935</v>
      </c>
      <c r="B27" s="439" t="s">
        <v>6</v>
      </c>
      <c r="C27" s="439" t="s">
        <v>936</v>
      </c>
      <c r="D27" s="427"/>
      <c r="E27" s="496"/>
      <c r="F27" s="459"/>
      <c r="G27" s="459"/>
      <c r="H27" s="459"/>
      <c r="I27" s="543">
        <v>-182177.75</v>
      </c>
      <c r="J27" s="543">
        <v>-649327.59250000003</v>
      </c>
      <c r="K27" s="459"/>
      <c r="L27" s="543">
        <f>-L9</f>
        <v>-70827.75</v>
      </c>
      <c r="M27" s="543">
        <f>-M9</f>
        <v>-70827.75</v>
      </c>
      <c r="N27" s="543">
        <f>-N9</f>
        <v>-70827.75</v>
      </c>
      <c r="O27" s="543">
        <f>-O9-111350</f>
        <v>-182177.75</v>
      </c>
      <c r="P27" s="543">
        <f>-P25</f>
        <v>-649327.59250000003</v>
      </c>
      <c r="Q27" s="543">
        <f>-Q7-Q9</f>
        <v>-254275.84250000003</v>
      </c>
      <c r="R27" s="543">
        <f>-R7-R9</f>
        <v>-254275.84250000003</v>
      </c>
      <c r="S27" s="543">
        <f>-S7-S9-S14</f>
        <v>-254275.84250000003</v>
      </c>
      <c r="T27" s="496">
        <f>-T7-T9-T14</f>
        <v>-2047616.4711</v>
      </c>
      <c r="U27" s="496">
        <f>-U7-U9</f>
        <v>-1079044.965233</v>
      </c>
      <c r="V27" s="496">
        <f>-V7-V9</f>
        <v>-1111416.3141899901</v>
      </c>
      <c r="W27" s="496"/>
      <c r="X27" s="544" t="s">
        <v>918</v>
      </c>
      <c r="Y27" s="527"/>
      <c r="Z27" s="5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row>
    <row r="28" spans="1:50" ht="15" customHeight="1">
      <c r="A28" s="540" t="s">
        <v>937</v>
      </c>
      <c r="B28" s="439" t="s">
        <v>6</v>
      </c>
      <c r="C28" s="439" t="s">
        <v>938</v>
      </c>
      <c r="D28" s="427"/>
      <c r="E28" s="429"/>
      <c r="F28" s="459"/>
      <c r="G28" s="459"/>
      <c r="H28" s="459"/>
      <c r="I28" s="553"/>
      <c r="J28" s="553">
        <v>50000</v>
      </c>
      <c r="K28" s="459"/>
      <c r="L28" s="552"/>
      <c r="M28" s="552"/>
      <c r="N28" s="552"/>
      <c r="O28" s="553"/>
      <c r="P28" s="553">
        <v>50000</v>
      </c>
      <c r="Q28" s="553">
        <v>246869.75</v>
      </c>
      <c r="R28" s="553">
        <v>246869.75</v>
      </c>
      <c r="S28" s="553">
        <v>1246869.75</v>
      </c>
      <c r="T28" s="479">
        <f>SUM(P7:S7)+SUM(P9:S9)</f>
        <v>1017103.3700000001</v>
      </c>
      <c r="U28" s="479">
        <f>+T7+T9</f>
        <v>1047616.4711</v>
      </c>
      <c r="V28" s="487">
        <f>+U7+U9+T14</f>
        <v>2079044.965233</v>
      </c>
      <c r="W28" s="487">
        <f>-V29</f>
        <v>110519.81418999005</v>
      </c>
      <c r="X28" s="427"/>
      <c r="Y28" s="527"/>
      <c r="Z28" s="5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row>
    <row r="29" spans="1:50" s="5" customFormat="1">
      <c r="A29" s="540" t="s">
        <v>939</v>
      </c>
      <c r="B29" s="530" t="s">
        <v>826</v>
      </c>
      <c r="C29" s="528" t="s">
        <v>940</v>
      </c>
      <c r="D29" s="429"/>
      <c r="E29" s="496"/>
      <c r="F29" s="459"/>
      <c r="G29" s="459"/>
      <c r="H29" s="459"/>
      <c r="I29" s="496">
        <v>-394661</v>
      </c>
      <c r="J29" s="496">
        <v>-993988.59250000003</v>
      </c>
      <c r="K29" s="459"/>
      <c r="L29" s="496">
        <f>+L27+E29+L28</f>
        <v>-70827.75</v>
      </c>
      <c r="M29" s="496">
        <f t="shared" ref="M29:W29" si="2">+M27+L29+M28</f>
        <v>-141655.5</v>
      </c>
      <c r="N29" s="496">
        <f t="shared" si="2"/>
        <v>-212483.25</v>
      </c>
      <c r="O29" s="496">
        <f t="shared" si="2"/>
        <v>-394661</v>
      </c>
      <c r="P29" s="496">
        <f t="shared" si="2"/>
        <v>-993988.59250000003</v>
      </c>
      <c r="Q29" s="496">
        <f t="shared" si="2"/>
        <v>-1001394.6850000001</v>
      </c>
      <c r="R29" s="496">
        <f t="shared" si="2"/>
        <v>-1008800.7775000001</v>
      </c>
      <c r="S29" s="496">
        <f t="shared" si="2"/>
        <v>-16206.870000000112</v>
      </c>
      <c r="T29" s="496">
        <f t="shared" si="2"/>
        <v>-1046719.9711</v>
      </c>
      <c r="U29" s="496">
        <f t="shared" si="2"/>
        <v>-1078148.4652329998</v>
      </c>
      <c r="V29" s="496">
        <f t="shared" si="2"/>
        <v>-110519.81418999005</v>
      </c>
      <c r="W29" s="496">
        <f t="shared" si="2"/>
        <v>0</v>
      </c>
      <c r="X29" s="427"/>
      <c r="Y29" s="5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row>
    <row r="30" spans="1:50">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row>
    <row r="31" spans="1:50">
      <c r="A31" s="540" t="s">
        <v>941</v>
      </c>
      <c r="B31" s="439" t="s">
        <v>826</v>
      </c>
      <c r="C31" s="439" t="s">
        <v>942</v>
      </c>
      <c r="D31" s="427"/>
      <c r="E31" s="554"/>
      <c r="F31" s="459"/>
      <c r="G31" s="459"/>
      <c r="H31" s="459"/>
      <c r="I31" s="554">
        <v>399847</v>
      </c>
      <c r="J31" s="554">
        <v>0</v>
      </c>
      <c r="K31" s="459"/>
      <c r="L31" s="554">
        <f t="shared" ref="L31:W31" si="3">+L25+L27</f>
        <v>511197</v>
      </c>
      <c r="M31" s="554">
        <f t="shared" si="3"/>
        <v>511197</v>
      </c>
      <c r="N31" s="554">
        <f t="shared" si="3"/>
        <v>511197</v>
      </c>
      <c r="O31" s="554">
        <f t="shared" si="3"/>
        <v>399847</v>
      </c>
      <c r="P31" s="554">
        <f t="shared" si="3"/>
        <v>0</v>
      </c>
      <c r="Q31" s="554">
        <f t="shared" si="3"/>
        <v>395051.75</v>
      </c>
      <c r="R31" s="554">
        <f t="shared" si="3"/>
        <v>395051.75</v>
      </c>
      <c r="S31" s="554">
        <f t="shared" si="3"/>
        <v>395051.75</v>
      </c>
      <c r="T31" s="487">
        <f t="shared" si="3"/>
        <v>2077613.2100000002</v>
      </c>
      <c r="U31" s="487">
        <f t="shared" si="3"/>
        <v>3676441.6063000001</v>
      </c>
      <c r="V31" s="487">
        <f t="shared" si="3"/>
        <v>5404575.1344889998</v>
      </c>
      <c r="W31" s="487">
        <f t="shared" si="3"/>
        <v>6624171.1921393601</v>
      </c>
      <c r="X31" s="427"/>
      <c r="Y31" s="527"/>
      <c r="Z31" s="5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row>
    <row r="32" spans="1:50">
      <c r="A32" s="540" t="s">
        <v>943</v>
      </c>
      <c r="B32" s="439" t="s">
        <v>826</v>
      </c>
      <c r="C32" s="439" t="s">
        <v>944</v>
      </c>
      <c r="D32" s="427"/>
      <c r="E32" s="554"/>
      <c r="F32" s="459"/>
      <c r="G32" s="459"/>
      <c r="H32" s="459"/>
      <c r="I32" s="554">
        <v>399847</v>
      </c>
      <c r="J32" s="554">
        <v>50000</v>
      </c>
      <c r="K32" s="459"/>
      <c r="L32" s="554">
        <f t="shared" ref="L32:W32" si="4">+L28+L31</f>
        <v>511197</v>
      </c>
      <c r="M32" s="554">
        <f t="shared" si="4"/>
        <v>511197</v>
      </c>
      <c r="N32" s="554">
        <f t="shared" si="4"/>
        <v>511197</v>
      </c>
      <c r="O32" s="554">
        <f t="shared" si="4"/>
        <v>399847</v>
      </c>
      <c r="P32" s="554">
        <f t="shared" si="4"/>
        <v>50000</v>
      </c>
      <c r="Q32" s="554">
        <f t="shared" si="4"/>
        <v>641921.5</v>
      </c>
      <c r="R32" s="554">
        <f t="shared" si="4"/>
        <v>641921.5</v>
      </c>
      <c r="S32" s="554">
        <f t="shared" si="4"/>
        <v>1641921.5</v>
      </c>
      <c r="T32" s="487">
        <f t="shared" si="4"/>
        <v>3094716.58</v>
      </c>
      <c r="U32" s="487">
        <f t="shared" si="4"/>
        <v>4724058.0773999998</v>
      </c>
      <c r="V32" s="487">
        <f t="shared" si="4"/>
        <v>7483620.0997219998</v>
      </c>
      <c r="W32" s="487">
        <f t="shared" si="4"/>
        <v>6734691.0063293502</v>
      </c>
      <c r="X32" s="427"/>
      <c r="Y32" s="527"/>
      <c r="Z32" s="5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row>
    <row r="33" spans="1:50">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55"/>
      <c r="Z33" s="5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row>
    <row r="34" spans="1:50" ht="15" customHeight="1">
      <c r="A34" s="540" t="s">
        <v>945</v>
      </c>
      <c r="B34" s="427"/>
      <c r="C34" s="439" t="s">
        <v>946</v>
      </c>
      <c r="D34" s="427"/>
      <c r="E34" s="496"/>
      <c r="F34" s="459"/>
      <c r="G34" s="459"/>
      <c r="H34" s="459"/>
      <c r="I34" s="427"/>
      <c r="J34" s="427"/>
      <c r="K34" s="459"/>
      <c r="L34" s="496"/>
      <c r="M34" s="496"/>
      <c r="N34" s="427"/>
      <c r="O34" s="427"/>
      <c r="P34" s="496"/>
      <c r="Q34" s="556"/>
      <c r="R34" s="556"/>
      <c r="S34" s="556"/>
      <c r="T34" s="556"/>
      <c r="U34" s="556"/>
      <c r="V34" s="556"/>
      <c r="W34" s="556"/>
      <c r="X34" s="496"/>
      <c r="Y34" s="555"/>
      <c r="Z34" s="5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row>
    <row r="35" spans="1:50">
      <c r="A35" s="540" t="s">
        <v>210</v>
      </c>
      <c r="B35" s="439" t="s">
        <v>6</v>
      </c>
      <c r="C35" s="439" t="s">
        <v>947</v>
      </c>
      <c r="D35" s="439" t="s">
        <v>917</v>
      </c>
      <c r="E35" s="496"/>
      <c r="F35" s="427"/>
      <c r="G35" s="427"/>
      <c r="H35" s="427"/>
      <c r="I35" s="543">
        <v>47750</v>
      </c>
      <c r="J35" s="543">
        <v>0</v>
      </c>
      <c r="K35" s="427"/>
      <c r="L35" s="543">
        <f>191000/4</f>
        <v>47750</v>
      </c>
      <c r="M35" s="543">
        <f>191000/4</f>
        <v>47750</v>
      </c>
      <c r="N35" s="543">
        <f>191000/4</f>
        <v>47750</v>
      </c>
      <c r="O35" s="543">
        <f>191000/4</f>
        <v>47750</v>
      </c>
      <c r="P35" s="543">
        <v>0</v>
      </c>
      <c r="Q35" s="543">
        <v>0</v>
      </c>
      <c r="R35" s="543">
        <v>0</v>
      </c>
      <c r="S35" s="543">
        <v>0</v>
      </c>
      <c r="T35" s="496">
        <v>0</v>
      </c>
      <c r="U35" s="496">
        <v>0</v>
      </c>
      <c r="V35" s="496">
        <v>0</v>
      </c>
      <c r="W35" s="496">
        <v>0</v>
      </c>
      <c r="X35" s="544" t="s">
        <v>918</v>
      </c>
      <c r="Y35" s="555"/>
      <c r="Z35" s="5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row>
    <row r="36" spans="1:50">
      <c r="A36" s="540" t="s">
        <v>100</v>
      </c>
      <c r="B36" s="439" t="s">
        <v>6</v>
      </c>
      <c r="C36" s="439" t="s">
        <v>947</v>
      </c>
      <c r="D36" s="439" t="s">
        <v>922</v>
      </c>
      <c r="E36" s="496"/>
      <c r="F36" s="485"/>
      <c r="G36" s="485"/>
      <c r="H36" s="485"/>
      <c r="I36" s="543">
        <v>42250</v>
      </c>
      <c r="J36" s="543">
        <v>0</v>
      </c>
      <c r="K36" s="485"/>
      <c r="L36" s="543">
        <f>169000/4</f>
        <v>42250</v>
      </c>
      <c r="M36" s="543">
        <f>169000/4</f>
        <v>42250</v>
      </c>
      <c r="N36" s="543">
        <f>169000/4</f>
        <v>42250</v>
      </c>
      <c r="O36" s="543">
        <f>169000/4</f>
        <v>42250</v>
      </c>
      <c r="P36" s="543">
        <v>0</v>
      </c>
      <c r="Q36" s="543">
        <v>0</v>
      </c>
      <c r="R36" s="543">
        <v>0</v>
      </c>
      <c r="S36" s="543">
        <v>0</v>
      </c>
      <c r="T36" s="496">
        <v>0</v>
      </c>
      <c r="U36" s="496">
        <v>0</v>
      </c>
      <c r="V36" s="496">
        <v>0</v>
      </c>
      <c r="W36" s="496">
        <v>0</v>
      </c>
      <c r="X36" s="496"/>
      <c r="Y36" s="527"/>
      <c r="Z36" s="527"/>
      <c r="AA36" s="427"/>
      <c r="AB36" s="427"/>
      <c r="AC36" s="427"/>
      <c r="AD36" s="427"/>
      <c r="AE36" s="427"/>
      <c r="AF36" s="427"/>
      <c r="AG36" s="427"/>
      <c r="AH36" s="427"/>
      <c r="AI36" s="427"/>
      <c r="AJ36" s="557"/>
      <c r="AK36" s="427"/>
      <c r="AL36" s="427"/>
      <c r="AM36" s="427"/>
      <c r="AN36" s="427"/>
      <c r="AO36" s="427"/>
      <c r="AP36" s="427"/>
      <c r="AQ36" s="427"/>
      <c r="AR36" s="427"/>
      <c r="AS36" s="427"/>
      <c r="AT36" s="427"/>
      <c r="AU36" s="427"/>
      <c r="AV36" s="427"/>
      <c r="AW36" s="427"/>
      <c r="AX36" s="427"/>
    </row>
    <row r="37" spans="1:50">
      <c r="A37" s="540" t="s">
        <v>104</v>
      </c>
      <c r="B37" s="439" t="s">
        <v>6</v>
      </c>
      <c r="C37" s="439" t="s">
        <v>947</v>
      </c>
      <c r="D37" s="439" t="s">
        <v>927</v>
      </c>
      <c r="E37" s="496"/>
      <c r="F37" s="485"/>
      <c r="G37" s="485"/>
      <c r="H37" s="485"/>
      <c r="I37" s="543">
        <v>0</v>
      </c>
      <c r="J37" s="543">
        <v>0</v>
      </c>
      <c r="K37" s="485"/>
      <c r="L37" s="543">
        <v>0</v>
      </c>
      <c r="M37" s="543">
        <v>0</v>
      </c>
      <c r="N37" s="543">
        <v>0</v>
      </c>
      <c r="O37" s="543">
        <v>0</v>
      </c>
      <c r="P37" s="543">
        <v>0</v>
      </c>
      <c r="Q37" s="543">
        <v>0</v>
      </c>
      <c r="R37" s="543">
        <v>0</v>
      </c>
      <c r="S37" s="543">
        <v>0</v>
      </c>
      <c r="T37" s="496">
        <v>0</v>
      </c>
      <c r="U37" s="496">
        <v>0</v>
      </c>
      <c r="V37" s="496">
        <v>0</v>
      </c>
      <c r="W37" s="496">
        <v>0</v>
      </c>
      <c r="X37" s="496"/>
      <c r="Y37" s="555"/>
      <c r="Z37" s="5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row>
    <row r="38" spans="1:50">
      <c r="A38" s="540" t="s">
        <v>105</v>
      </c>
      <c r="B38" s="439" t="s">
        <v>6</v>
      </c>
      <c r="C38" s="439" t="s">
        <v>947</v>
      </c>
      <c r="D38" s="439" t="s">
        <v>489</v>
      </c>
      <c r="E38" s="496"/>
      <c r="F38" s="485"/>
      <c r="G38" s="485"/>
      <c r="H38" s="485"/>
      <c r="I38" s="543">
        <v>0</v>
      </c>
      <c r="J38" s="543">
        <v>0</v>
      </c>
      <c r="K38" s="485"/>
      <c r="L38" s="543">
        <v>0</v>
      </c>
      <c r="M38" s="543">
        <v>0</v>
      </c>
      <c r="N38" s="543">
        <v>0</v>
      </c>
      <c r="O38" s="543">
        <v>0</v>
      </c>
      <c r="P38" s="543">
        <v>0</v>
      </c>
      <c r="Q38" s="543">
        <v>0</v>
      </c>
      <c r="R38" s="543">
        <v>0</v>
      </c>
      <c r="S38" s="543">
        <v>0</v>
      </c>
      <c r="T38" s="496">
        <v>0</v>
      </c>
      <c r="U38" s="496">
        <v>0</v>
      </c>
      <c r="V38" s="496">
        <v>0</v>
      </c>
      <c r="W38" s="496">
        <v>0</v>
      </c>
      <c r="X38" s="496"/>
      <c r="Y38" s="555"/>
      <c r="Z38" s="5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row>
    <row r="39" spans="1:50" s="414" customFormat="1">
      <c r="A39" s="540" t="s">
        <v>931</v>
      </c>
      <c r="B39" s="428"/>
      <c r="C39" s="429"/>
      <c r="D39" s="429"/>
      <c r="E39" s="496"/>
      <c r="F39" s="485"/>
      <c r="G39" s="485"/>
      <c r="H39" s="485"/>
      <c r="I39" s="496"/>
      <c r="J39" s="496"/>
      <c r="K39" s="485"/>
      <c r="L39" s="496"/>
      <c r="M39" s="496"/>
      <c r="N39" s="496"/>
      <c r="O39" s="496"/>
      <c r="P39" s="496"/>
      <c r="Q39" s="496"/>
      <c r="R39" s="496"/>
      <c r="S39" s="496"/>
      <c r="T39" s="496"/>
      <c r="U39" s="496"/>
      <c r="V39" s="496"/>
      <c r="W39" s="496"/>
      <c r="X39" s="496"/>
      <c r="Y39" s="555"/>
      <c r="Z39" s="5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row>
    <row r="40" spans="1:50" s="414" customFormat="1">
      <c r="A40" s="540" t="s">
        <v>931</v>
      </c>
      <c r="B40" s="428"/>
      <c r="C40" s="429"/>
      <c r="D40" s="429"/>
      <c r="E40" s="496"/>
      <c r="F40" s="459"/>
      <c r="G40" s="459"/>
      <c r="H40" s="459"/>
      <c r="I40" s="496"/>
      <c r="J40" s="496"/>
      <c r="K40" s="459"/>
      <c r="L40" s="496"/>
      <c r="M40" s="496"/>
      <c r="N40" s="496"/>
      <c r="O40" s="496"/>
      <c r="P40" s="496"/>
      <c r="Q40" s="496"/>
      <c r="R40" s="496"/>
      <c r="S40" s="496"/>
      <c r="T40" s="496"/>
      <c r="U40" s="496"/>
      <c r="V40" s="496"/>
      <c r="W40" s="496"/>
      <c r="X40" s="496"/>
      <c r="Y40" s="555"/>
      <c r="Z40" s="5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row>
    <row r="41" spans="1:50" s="414" customFormat="1">
      <c r="A41" s="540" t="s">
        <v>931</v>
      </c>
      <c r="B41" s="428"/>
      <c r="C41" s="429"/>
      <c r="D41" s="429"/>
      <c r="E41" s="496"/>
      <c r="F41" s="485"/>
      <c r="G41" s="485"/>
      <c r="H41" s="485"/>
      <c r="I41" s="496"/>
      <c r="J41" s="496"/>
      <c r="K41" s="485"/>
      <c r="L41" s="496"/>
      <c r="M41" s="496"/>
      <c r="N41" s="496"/>
      <c r="O41" s="496"/>
      <c r="P41" s="496"/>
      <c r="Q41" s="496"/>
      <c r="R41" s="496"/>
      <c r="S41" s="496"/>
      <c r="T41" s="496"/>
      <c r="U41" s="496"/>
      <c r="V41" s="496"/>
      <c r="W41" s="496"/>
      <c r="X41" s="496"/>
      <c r="Y41" s="555"/>
      <c r="Z41" s="5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row>
    <row r="42" spans="1:50" s="414" customFormat="1">
      <c r="A42" s="540" t="s">
        <v>931</v>
      </c>
      <c r="B42" s="428"/>
      <c r="C42" s="429"/>
      <c r="D42" s="429"/>
      <c r="E42" s="496"/>
      <c r="F42" s="485"/>
      <c r="G42" s="485"/>
      <c r="H42" s="485"/>
      <c r="I42" s="496"/>
      <c r="J42" s="496"/>
      <c r="K42" s="485"/>
      <c r="L42" s="496"/>
      <c r="M42" s="496"/>
      <c r="N42" s="496"/>
      <c r="O42" s="496"/>
      <c r="P42" s="496"/>
      <c r="Q42" s="496"/>
      <c r="R42" s="496"/>
      <c r="S42" s="496"/>
      <c r="T42" s="496"/>
      <c r="U42" s="496"/>
      <c r="V42" s="496"/>
      <c r="W42" s="496"/>
      <c r="X42" s="496"/>
      <c r="Y42" s="555"/>
      <c r="Z42" s="5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row>
    <row r="43" spans="1:50" s="414" customFormat="1">
      <c r="A43" s="540" t="s">
        <v>931</v>
      </c>
      <c r="B43" s="428"/>
      <c r="C43" s="429"/>
      <c r="D43" s="429"/>
      <c r="E43" s="496"/>
      <c r="F43" s="485"/>
      <c r="G43" s="485"/>
      <c r="H43" s="485"/>
      <c r="I43" s="496"/>
      <c r="J43" s="496"/>
      <c r="K43" s="485"/>
      <c r="L43" s="496"/>
      <c r="M43" s="496"/>
      <c r="N43" s="496"/>
      <c r="O43" s="496"/>
      <c r="P43" s="496"/>
      <c r="Q43" s="496"/>
      <c r="R43" s="496"/>
      <c r="S43" s="496"/>
      <c r="T43" s="496"/>
      <c r="U43" s="496"/>
      <c r="V43" s="496"/>
      <c r="W43" s="496"/>
      <c r="X43" s="496"/>
      <c r="Y43" s="555"/>
      <c r="Z43" s="5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row>
    <row r="44" spans="1:50" s="414" customFormat="1">
      <c r="A44" s="540" t="s">
        <v>931</v>
      </c>
      <c r="B44" s="428"/>
      <c r="C44" s="429"/>
      <c r="D44" s="429"/>
      <c r="E44" s="496"/>
      <c r="F44" s="485"/>
      <c r="G44" s="485"/>
      <c r="H44" s="485"/>
      <c r="I44" s="496"/>
      <c r="J44" s="496"/>
      <c r="K44" s="485"/>
      <c r="L44" s="496"/>
      <c r="M44" s="496"/>
      <c r="N44" s="496"/>
      <c r="O44" s="496"/>
      <c r="P44" s="496"/>
      <c r="Q44" s="496"/>
      <c r="R44" s="496"/>
      <c r="S44" s="496"/>
      <c r="T44" s="496"/>
      <c r="U44" s="496"/>
      <c r="V44" s="496"/>
      <c r="W44" s="496"/>
      <c r="X44" s="496"/>
      <c r="Y44" s="555"/>
      <c r="Z44" s="5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row>
    <row r="45" spans="1:50" ht="15" customHeight="1">
      <c r="A45" s="540" t="s">
        <v>948</v>
      </c>
      <c r="B45" s="439" t="s">
        <v>6</v>
      </c>
      <c r="C45" s="439" t="s">
        <v>947</v>
      </c>
      <c r="D45" s="439" t="s">
        <v>929</v>
      </c>
      <c r="E45" s="496"/>
      <c r="F45" s="485"/>
      <c r="G45" s="485"/>
      <c r="H45" s="485"/>
      <c r="I45" s="543">
        <v>0</v>
      </c>
      <c r="J45" s="543">
        <v>0</v>
      </c>
      <c r="K45" s="485"/>
      <c r="L45" s="543">
        <v>0</v>
      </c>
      <c r="M45" s="543">
        <v>0</v>
      </c>
      <c r="N45" s="543">
        <v>0</v>
      </c>
      <c r="O45" s="543">
        <v>0</v>
      </c>
      <c r="P45" s="543">
        <v>0</v>
      </c>
      <c r="Q45" s="543">
        <v>0</v>
      </c>
      <c r="R45" s="543">
        <v>0</v>
      </c>
      <c r="S45" s="543">
        <v>0</v>
      </c>
      <c r="T45" s="496">
        <v>0</v>
      </c>
      <c r="U45" s="496">
        <v>0</v>
      </c>
      <c r="V45" s="496">
        <v>0</v>
      </c>
      <c r="W45" s="496">
        <v>0</v>
      </c>
      <c r="X45" s="496"/>
      <c r="Y45" s="527"/>
      <c r="Z45" s="527"/>
      <c r="AA45" s="427"/>
      <c r="AB45" s="427"/>
      <c r="AC45" s="496"/>
      <c r="AD45" s="496"/>
      <c r="AE45" s="496"/>
      <c r="AF45" s="496"/>
      <c r="AG45" s="496"/>
      <c r="AH45" s="496"/>
      <c r="AI45" s="496"/>
      <c r="AJ45" s="427"/>
      <c r="AK45" s="427"/>
      <c r="AL45" s="427"/>
      <c r="AM45" s="427"/>
      <c r="AN45" s="427"/>
      <c r="AO45" s="427"/>
      <c r="AP45" s="427"/>
      <c r="AQ45" s="427"/>
      <c r="AR45" s="427"/>
      <c r="AS45" s="427"/>
      <c r="AT45" s="427"/>
      <c r="AU45" s="427"/>
      <c r="AV45" s="427"/>
      <c r="AW45" s="427"/>
      <c r="AX45" s="427"/>
    </row>
    <row r="46" spans="1:50">
      <c r="A46" s="550" t="s">
        <v>949</v>
      </c>
      <c r="B46" s="439" t="s">
        <v>826</v>
      </c>
      <c r="C46" s="439" t="s">
        <v>950</v>
      </c>
      <c r="D46" s="427"/>
      <c r="E46" s="496"/>
      <c r="F46" s="485"/>
      <c r="G46" s="485"/>
      <c r="H46" s="485"/>
      <c r="I46" s="496">
        <v>90000</v>
      </c>
      <c r="J46" s="496">
        <v>0</v>
      </c>
      <c r="K46" s="485"/>
      <c r="L46" s="496">
        <f t="shared" ref="L46:W46" si="5">SUM(L35:L45)</f>
        <v>90000</v>
      </c>
      <c r="M46" s="496">
        <f t="shared" si="5"/>
        <v>90000</v>
      </c>
      <c r="N46" s="496">
        <f t="shared" si="5"/>
        <v>90000</v>
      </c>
      <c r="O46" s="496">
        <f t="shared" si="5"/>
        <v>90000</v>
      </c>
      <c r="P46" s="496">
        <f t="shared" si="5"/>
        <v>0</v>
      </c>
      <c r="Q46" s="496">
        <f t="shared" si="5"/>
        <v>0</v>
      </c>
      <c r="R46" s="496">
        <f t="shared" si="5"/>
        <v>0</v>
      </c>
      <c r="S46" s="496">
        <f t="shared" si="5"/>
        <v>0</v>
      </c>
      <c r="T46" s="496">
        <f t="shared" si="5"/>
        <v>0</v>
      </c>
      <c r="U46" s="496">
        <f t="shared" si="5"/>
        <v>0</v>
      </c>
      <c r="V46" s="496">
        <f t="shared" si="5"/>
        <v>0</v>
      </c>
      <c r="W46" s="496">
        <f t="shared" si="5"/>
        <v>0</v>
      </c>
      <c r="X46" s="496"/>
      <c r="Y46" s="551"/>
      <c r="Z46" s="527"/>
      <c r="AA46" s="427"/>
      <c r="AB46" s="427"/>
      <c r="AC46" s="496"/>
      <c r="AD46" s="496"/>
      <c r="AE46" s="496"/>
      <c r="AF46" s="496"/>
      <c r="AG46" s="496"/>
      <c r="AH46" s="496"/>
      <c r="AI46" s="496"/>
      <c r="AJ46" s="427"/>
      <c r="AK46" s="427"/>
      <c r="AL46" s="427"/>
      <c r="AM46" s="427"/>
      <c r="AN46" s="427"/>
      <c r="AO46" s="427"/>
      <c r="AP46" s="427"/>
      <c r="AQ46" s="427"/>
      <c r="AR46" s="427"/>
      <c r="AS46" s="427"/>
      <c r="AT46" s="427"/>
      <c r="AU46" s="427"/>
      <c r="AV46" s="427"/>
      <c r="AW46" s="427"/>
      <c r="AX46" s="427"/>
    </row>
    <row r="47" spans="1:50"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row>
    <row r="48" spans="1:50">
      <c r="A48" s="540" t="s">
        <v>935</v>
      </c>
      <c r="B48" s="439" t="s">
        <v>6</v>
      </c>
      <c r="C48" s="439" t="s">
        <v>951</v>
      </c>
      <c r="D48" s="427"/>
      <c r="E48" s="496"/>
      <c r="F48" s="496"/>
      <c r="G48" s="496"/>
      <c r="H48" s="496"/>
      <c r="I48" s="543">
        <v>-42250</v>
      </c>
      <c r="J48" s="543">
        <v>0</v>
      </c>
      <c r="K48" s="496"/>
      <c r="L48" s="543">
        <v>-42250</v>
      </c>
      <c r="M48" s="543">
        <v>-42250</v>
      </c>
      <c r="N48" s="543">
        <v>-42250</v>
      </c>
      <c r="O48" s="543">
        <v>-42250</v>
      </c>
      <c r="P48" s="543">
        <v>0</v>
      </c>
      <c r="Q48" s="543">
        <f t="shared" ref="Q48:W48" si="6">-SUM(Q35:Q45)</f>
        <v>0</v>
      </c>
      <c r="R48" s="543">
        <f t="shared" si="6"/>
        <v>0</v>
      </c>
      <c r="S48" s="543">
        <f t="shared" si="6"/>
        <v>0</v>
      </c>
      <c r="T48" s="496">
        <f t="shared" si="6"/>
        <v>0</v>
      </c>
      <c r="U48" s="496">
        <f t="shared" si="6"/>
        <v>0</v>
      </c>
      <c r="V48" s="496">
        <f t="shared" si="6"/>
        <v>0</v>
      </c>
      <c r="W48" s="496">
        <f t="shared" si="6"/>
        <v>0</v>
      </c>
      <c r="X48" s="544" t="s">
        <v>918</v>
      </c>
      <c r="Y48" s="527"/>
      <c r="Z48" s="527"/>
      <c r="AA48" s="427"/>
      <c r="AB48" s="427"/>
      <c r="AC48" s="496"/>
      <c r="AD48" s="496"/>
      <c r="AE48" s="496"/>
      <c r="AF48" s="496"/>
      <c r="AG48" s="496"/>
      <c r="AH48" s="496"/>
      <c r="AI48" s="496"/>
      <c r="AJ48" s="427"/>
      <c r="AK48" s="427"/>
      <c r="AL48" s="427"/>
      <c r="AM48" s="427"/>
      <c r="AN48" s="427"/>
      <c r="AO48" s="427"/>
      <c r="AP48" s="427"/>
      <c r="AQ48" s="427"/>
      <c r="AR48" s="427"/>
      <c r="AS48" s="427"/>
      <c r="AT48" s="427"/>
      <c r="AU48" s="427"/>
      <c r="AV48" s="427"/>
      <c r="AW48" s="427"/>
      <c r="AX48" s="427"/>
    </row>
    <row r="49" spans="1:50" ht="15" customHeight="1">
      <c r="A49" s="540" t="s">
        <v>952</v>
      </c>
      <c r="B49" s="439" t="s">
        <v>6</v>
      </c>
      <c r="C49" s="439" t="s">
        <v>953</v>
      </c>
      <c r="D49" s="427"/>
      <c r="E49" s="429"/>
      <c r="F49" s="496"/>
      <c r="G49" s="496"/>
      <c r="H49" s="496"/>
      <c r="I49" s="553"/>
      <c r="J49" s="553"/>
      <c r="K49" s="496"/>
      <c r="L49" s="552"/>
      <c r="M49" s="552"/>
      <c r="N49" s="552"/>
      <c r="O49" s="553"/>
      <c r="P49" s="553"/>
      <c r="Q49" s="553"/>
      <c r="R49" s="553"/>
      <c r="S49" s="553">
        <v>169000</v>
      </c>
      <c r="T49" s="479">
        <v>0</v>
      </c>
      <c r="U49" s="479">
        <v>0</v>
      </c>
      <c r="V49" s="487">
        <v>0</v>
      </c>
      <c r="W49" s="487">
        <v>0</v>
      </c>
      <c r="X49" s="496"/>
      <c r="Y49" s="527"/>
      <c r="Z49" s="527"/>
      <c r="AA49" s="479"/>
      <c r="AB49" s="479"/>
      <c r="AC49" s="479"/>
      <c r="AD49" s="479"/>
      <c r="AE49" s="479"/>
      <c r="AF49" s="479"/>
      <c r="AG49" s="479"/>
      <c r="AH49" s="479"/>
      <c r="AI49" s="479"/>
      <c r="AJ49" s="427"/>
      <c r="AK49" s="427"/>
      <c r="AL49" s="427"/>
      <c r="AM49" s="427"/>
      <c r="AN49" s="427"/>
      <c r="AO49" s="427"/>
      <c r="AP49" s="427"/>
      <c r="AQ49" s="427"/>
      <c r="AR49" s="427"/>
      <c r="AS49" s="427"/>
      <c r="AT49" s="427"/>
      <c r="AU49" s="427"/>
      <c r="AV49" s="427"/>
      <c r="AW49" s="427"/>
      <c r="AX49" s="427"/>
    </row>
    <row r="50" spans="1:50">
      <c r="A50" s="540" t="s">
        <v>954</v>
      </c>
      <c r="B50" s="439" t="s">
        <v>826</v>
      </c>
      <c r="C50" s="439" t="s">
        <v>955</v>
      </c>
      <c r="D50" s="427"/>
      <c r="E50" s="496"/>
      <c r="F50" s="496"/>
      <c r="G50" s="496"/>
      <c r="H50" s="496"/>
      <c r="I50" s="496">
        <v>-169000</v>
      </c>
      <c r="J50" s="496">
        <v>-169000</v>
      </c>
      <c r="K50" s="496"/>
      <c r="L50" s="496">
        <f>+L48+E50+L49</f>
        <v>-42250</v>
      </c>
      <c r="M50" s="496">
        <f t="shared" ref="M50:W50" si="7">+M48+L50+M49</f>
        <v>-84500</v>
      </c>
      <c r="N50" s="496">
        <f t="shared" si="7"/>
        <v>-126750</v>
      </c>
      <c r="O50" s="496">
        <f t="shared" si="7"/>
        <v>-169000</v>
      </c>
      <c r="P50" s="496">
        <f t="shared" si="7"/>
        <v>-169000</v>
      </c>
      <c r="Q50" s="496">
        <f t="shared" si="7"/>
        <v>-169000</v>
      </c>
      <c r="R50" s="496">
        <f t="shared" si="7"/>
        <v>-169000</v>
      </c>
      <c r="S50" s="496">
        <f t="shared" si="7"/>
        <v>0</v>
      </c>
      <c r="T50" s="496">
        <f t="shared" si="7"/>
        <v>0</v>
      </c>
      <c r="U50" s="496">
        <f t="shared" si="7"/>
        <v>0</v>
      </c>
      <c r="V50" s="496">
        <f t="shared" si="7"/>
        <v>0</v>
      </c>
      <c r="W50" s="496">
        <f t="shared" si="7"/>
        <v>0</v>
      </c>
      <c r="X50" s="496"/>
      <c r="Y50" s="527"/>
      <c r="Z50" s="527"/>
      <c r="AA50" s="427"/>
      <c r="AB50" s="473"/>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row>
    <row r="51" spans="1:50">
      <c r="A51" s="535"/>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73"/>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row>
    <row r="52" spans="1:50">
      <c r="A52" s="540" t="s">
        <v>956</v>
      </c>
      <c r="B52" s="439" t="s">
        <v>826</v>
      </c>
      <c r="C52" s="439" t="s">
        <v>957</v>
      </c>
      <c r="D52" s="427"/>
      <c r="E52" s="429"/>
      <c r="F52" s="496"/>
      <c r="G52" s="496"/>
      <c r="H52" s="496"/>
      <c r="I52" s="554">
        <v>47750</v>
      </c>
      <c r="J52" s="554">
        <v>0</v>
      </c>
      <c r="K52" s="496"/>
      <c r="L52" s="558">
        <f t="shared" ref="L52:W52" si="8">+L46+L48</f>
        <v>47750</v>
      </c>
      <c r="M52" s="554">
        <f t="shared" si="8"/>
        <v>47750</v>
      </c>
      <c r="N52" s="554">
        <f t="shared" si="8"/>
        <v>47750</v>
      </c>
      <c r="O52" s="554">
        <f t="shared" si="8"/>
        <v>47750</v>
      </c>
      <c r="P52" s="554">
        <f t="shared" si="8"/>
        <v>0</v>
      </c>
      <c r="Q52" s="554">
        <f t="shared" si="8"/>
        <v>0</v>
      </c>
      <c r="R52" s="554">
        <f t="shared" si="8"/>
        <v>0</v>
      </c>
      <c r="S52" s="554">
        <f t="shared" si="8"/>
        <v>0</v>
      </c>
      <c r="T52" s="479">
        <f t="shared" si="8"/>
        <v>0</v>
      </c>
      <c r="U52" s="479">
        <f t="shared" si="8"/>
        <v>0</v>
      </c>
      <c r="V52" s="487">
        <f t="shared" si="8"/>
        <v>0</v>
      </c>
      <c r="W52" s="487">
        <f t="shared" si="8"/>
        <v>0</v>
      </c>
      <c r="X52" s="496"/>
      <c r="Y52" s="527"/>
      <c r="Z52" s="527"/>
      <c r="AA52" s="479"/>
      <c r="AB52" s="479"/>
      <c r="AC52" s="479"/>
      <c r="AD52" s="479"/>
      <c r="AE52" s="479"/>
      <c r="AF52" s="479"/>
      <c r="AG52" s="479"/>
      <c r="AH52" s="479"/>
      <c r="AI52" s="479"/>
      <c r="AJ52" s="427"/>
      <c r="AK52" s="427"/>
      <c r="AL52" s="427"/>
      <c r="AM52" s="427"/>
      <c r="AN52" s="427"/>
      <c r="AO52" s="427"/>
      <c r="AP52" s="427"/>
      <c r="AQ52" s="427"/>
      <c r="AR52" s="427"/>
      <c r="AS52" s="427"/>
      <c r="AT52" s="427"/>
      <c r="AU52" s="427"/>
      <c r="AV52" s="427"/>
      <c r="AW52" s="427"/>
      <c r="AX52" s="427"/>
    </row>
    <row r="53" spans="1:50">
      <c r="A53" s="540" t="s">
        <v>958</v>
      </c>
      <c r="B53" s="439" t="s">
        <v>826</v>
      </c>
      <c r="C53" s="439" t="s">
        <v>959</v>
      </c>
      <c r="D53" s="427"/>
      <c r="E53" s="554"/>
      <c r="F53" s="427"/>
      <c r="G53" s="427"/>
      <c r="H53" s="427"/>
      <c r="I53" s="554">
        <v>47750</v>
      </c>
      <c r="J53" s="554">
        <v>0</v>
      </c>
      <c r="K53" s="427"/>
      <c r="L53" s="554">
        <f t="shared" ref="L53:W53" si="9">+L49+L52</f>
        <v>47750</v>
      </c>
      <c r="M53" s="554">
        <f t="shared" si="9"/>
        <v>47750</v>
      </c>
      <c r="N53" s="554">
        <f t="shared" si="9"/>
        <v>47750</v>
      </c>
      <c r="O53" s="554">
        <f t="shared" si="9"/>
        <v>47750</v>
      </c>
      <c r="P53" s="554">
        <f t="shared" si="9"/>
        <v>0</v>
      </c>
      <c r="Q53" s="554">
        <f t="shared" si="9"/>
        <v>0</v>
      </c>
      <c r="R53" s="554">
        <f t="shared" si="9"/>
        <v>0</v>
      </c>
      <c r="S53" s="554">
        <f t="shared" si="9"/>
        <v>169000</v>
      </c>
      <c r="T53" s="487">
        <f t="shared" si="9"/>
        <v>0</v>
      </c>
      <c r="U53" s="487">
        <f t="shared" si="9"/>
        <v>0</v>
      </c>
      <c r="V53" s="487">
        <f t="shared" si="9"/>
        <v>0</v>
      </c>
      <c r="W53" s="487">
        <f t="shared" si="9"/>
        <v>0</v>
      </c>
      <c r="X53" s="496"/>
      <c r="Y53" s="527"/>
      <c r="Z53" s="527"/>
      <c r="AA53" s="479"/>
      <c r="AB53" s="479"/>
      <c r="AC53" s="479"/>
      <c r="AD53" s="479"/>
      <c r="AE53" s="479"/>
      <c r="AF53" s="479"/>
      <c r="AG53" s="479"/>
      <c r="AH53" s="479"/>
      <c r="AI53" s="479"/>
      <c r="AJ53" s="427"/>
      <c r="AK53" s="427"/>
      <c r="AL53" s="427"/>
      <c r="AM53" s="427"/>
      <c r="AN53" s="427"/>
      <c r="AO53" s="427"/>
      <c r="AP53" s="427"/>
      <c r="AQ53" s="427"/>
      <c r="AR53" s="427"/>
      <c r="AS53" s="427"/>
      <c r="AT53" s="427"/>
      <c r="AU53" s="427"/>
      <c r="AV53" s="427"/>
      <c r="AW53" s="427"/>
      <c r="AX53" s="427"/>
    </row>
    <row r="54" spans="1:50">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row>
    <row r="55" spans="1:50">
      <c r="A55" s="540" t="s">
        <v>960</v>
      </c>
      <c r="B55" s="427"/>
      <c r="C55" s="439" t="s">
        <v>961</v>
      </c>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row>
    <row r="56" spans="1:50">
      <c r="A56" s="540" t="s">
        <v>962</v>
      </c>
      <c r="B56" s="439" t="s">
        <v>826</v>
      </c>
      <c r="C56" s="439" t="s">
        <v>963</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row>
    <row r="57" spans="1:50">
      <c r="A57" s="540" t="s">
        <v>964</v>
      </c>
      <c r="B57" s="599" t="s">
        <v>808</v>
      </c>
      <c r="C57" s="439" t="s">
        <v>965</v>
      </c>
      <c r="D57" s="427"/>
      <c r="E57" s="487"/>
      <c r="F57" s="592">
        <v>0</v>
      </c>
      <c r="G57" s="592">
        <v>0</v>
      </c>
      <c r="H57" s="592">
        <v>0</v>
      </c>
      <c r="I57" s="593">
        <v>0</v>
      </c>
      <c r="J57" s="593">
        <v>247680</v>
      </c>
      <c r="K57" s="427"/>
      <c r="L57" s="593">
        <f t="shared" ref="L57:W57" si="10">IF(AND((F57&lt;&gt;""),(L$2&lt;46204)),(F57),L78)</f>
        <v>0</v>
      </c>
      <c r="M57" s="593">
        <f t="shared" si="10"/>
        <v>0</v>
      </c>
      <c r="N57" s="593">
        <f t="shared" si="10"/>
        <v>0</v>
      </c>
      <c r="O57" s="593">
        <f t="shared" si="10"/>
        <v>0</v>
      </c>
      <c r="P57" s="593">
        <f t="shared" si="10"/>
        <v>247680</v>
      </c>
      <c r="Q57" s="593">
        <f t="shared" si="10"/>
        <v>247680</v>
      </c>
      <c r="R57" s="593">
        <f t="shared" si="10"/>
        <v>290880</v>
      </c>
      <c r="S57" s="593">
        <f t="shared" si="10"/>
        <v>545435</v>
      </c>
      <c r="T57" s="593">
        <f t="shared" si="10"/>
        <v>1423270</v>
      </c>
      <c r="U57" s="593">
        <f t="shared" si="10"/>
        <v>1423270</v>
      </c>
      <c r="V57" s="593">
        <f t="shared" si="10"/>
        <v>1423270</v>
      </c>
      <c r="W57" s="593">
        <f t="shared" si="10"/>
        <v>1423270</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0">
      <c r="A58" s="550" t="s">
        <v>966</v>
      </c>
      <c r="B58" s="439" t="s">
        <v>826</v>
      </c>
      <c r="C58" s="439" t="s">
        <v>967</v>
      </c>
      <c r="D58" s="427"/>
      <c r="E58" s="496"/>
      <c r="F58" s="427"/>
      <c r="G58" s="427"/>
      <c r="H58" s="427"/>
      <c r="I58" s="496">
        <v>0</v>
      </c>
      <c r="J58" s="496">
        <v>260715.78947368421</v>
      </c>
      <c r="K58" s="427"/>
      <c r="L58" s="496">
        <f t="shared" ref="L58:W58" si="11">L57*L56</f>
        <v>0</v>
      </c>
      <c r="M58" s="496">
        <f t="shared" si="11"/>
        <v>0</v>
      </c>
      <c r="N58" s="496">
        <f t="shared" si="11"/>
        <v>0</v>
      </c>
      <c r="O58" s="496">
        <f t="shared" si="11"/>
        <v>0</v>
      </c>
      <c r="P58" s="496">
        <f t="shared" si="11"/>
        <v>260715.78947368418</v>
      </c>
      <c r="Q58" s="496">
        <f t="shared" si="11"/>
        <v>260715.78947368418</v>
      </c>
      <c r="R58" s="496">
        <f t="shared" si="11"/>
        <v>306189.4736842105</v>
      </c>
      <c r="S58" s="496">
        <f t="shared" si="11"/>
        <v>574142.10526315786</v>
      </c>
      <c r="T58" s="496">
        <f t="shared" si="11"/>
        <v>1498178.9473684209</v>
      </c>
      <c r="U58" s="496">
        <f t="shared" si="11"/>
        <v>1498178.9473684209</v>
      </c>
      <c r="V58" s="496">
        <f t="shared" si="11"/>
        <v>1498178.9473684209</v>
      </c>
      <c r="W58" s="496">
        <f t="shared" si="11"/>
        <v>1498178.9473684209</v>
      </c>
      <c r="X58" s="496"/>
      <c r="Y58" s="527"/>
      <c r="Z58" s="527"/>
      <c r="AA58" s="427"/>
      <c r="AB58" s="427"/>
      <c r="AC58" s="427"/>
      <c r="AD58" s="479"/>
      <c r="AE58" s="479"/>
      <c r="AF58" s="479"/>
      <c r="AG58" s="479"/>
      <c r="AH58" s="479"/>
      <c r="AI58" s="479"/>
      <c r="AJ58" s="427"/>
      <c r="AK58" s="427"/>
      <c r="AL58" s="427"/>
      <c r="AM58" s="427"/>
      <c r="AN58" s="427"/>
      <c r="AO58" s="427"/>
      <c r="AP58" s="427"/>
      <c r="AQ58" s="427"/>
      <c r="AR58" s="427"/>
      <c r="AS58" s="427"/>
      <c r="AT58" s="427"/>
      <c r="AU58" s="427"/>
      <c r="AV58" s="427"/>
      <c r="AW58" s="427"/>
      <c r="AX58" s="427"/>
    </row>
    <row r="59" spans="1:50" ht="15" customHeight="1" thickBot="1">
      <c r="A59" s="427"/>
      <c r="B59" s="427"/>
      <c r="C59" s="427"/>
      <c r="D59" s="427"/>
      <c r="E59" s="496"/>
      <c r="F59" s="427"/>
      <c r="G59" s="427"/>
      <c r="H59" s="427"/>
      <c r="I59" s="496"/>
      <c r="J59" s="496"/>
      <c r="K59" s="427"/>
      <c r="L59" s="496"/>
      <c r="M59" s="496"/>
      <c r="N59" s="496"/>
      <c r="O59" s="496"/>
      <c r="P59" s="496"/>
      <c r="Q59" s="496"/>
      <c r="R59" s="496"/>
      <c r="S59" s="496"/>
      <c r="T59" s="496"/>
      <c r="U59" s="496"/>
      <c r="V59" s="496"/>
      <c r="W59" s="496"/>
      <c r="X59" s="496"/>
      <c r="Y59" s="527"/>
      <c r="Z59" s="527"/>
      <c r="AA59" s="479"/>
      <c r="AB59" s="479"/>
      <c r="AC59" s="479"/>
      <c r="AD59" s="479"/>
      <c r="AE59" s="479"/>
      <c r="AF59" s="479"/>
      <c r="AG59" s="479"/>
      <c r="AH59" s="479"/>
      <c r="AI59" s="479"/>
      <c r="AJ59" s="427"/>
      <c r="AK59" s="427"/>
      <c r="AL59" s="427"/>
      <c r="AM59" s="427"/>
      <c r="AN59" s="427"/>
      <c r="AO59" s="427"/>
      <c r="AP59" s="427"/>
      <c r="AQ59" s="427"/>
      <c r="AR59" s="427"/>
      <c r="AS59" s="427"/>
      <c r="AT59" s="427"/>
      <c r="AU59" s="427"/>
      <c r="AV59" s="427"/>
      <c r="AW59" s="427"/>
      <c r="AX59" s="427"/>
    </row>
    <row r="60" spans="1:50" s="415" customFormat="1" ht="15.5" customHeight="1" thickTop="1" thickBot="1">
      <c r="A60" s="550" t="s">
        <v>968</v>
      </c>
      <c r="B60" s="530" t="s">
        <v>808</v>
      </c>
      <c r="C60" s="439" t="s">
        <v>969</v>
      </c>
      <c r="D60" s="429"/>
      <c r="E60" s="560"/>
      <c r="F60" s="427"/>
      <c r="G60" s="427"/>
      <c r="H60" s="427"/>
      <c r="I60" s="561">
        <v>447597</v>
      </c>
      <c r="J60" s="561">
        <v>310715.78947368421</v>
      </c>
      <c r="K60" s="427"/>
      <c r="L60" s="561">
        <f t="shared" ref="L60:W60" si="12">+L53+L32+L58</f>
        <v>558947</v>
      </c>
      <c r="M60" s="561">
        <f t="shared" si="12"/>
        <v>558947</v>
      </c>
      <c r="N60" s="561">
        <f t="shared" si="12"/>
        <v>558947</v>
      </c>
      <c r="O60" s="561">
        <f t="shared" si="12"/>
        <v>447597</v>
      </c>
      <c r="P60" s="561">
        <f t="shared" si="12"/>
        <v>310715.78947368416</v>
      </c>
      <c r="Q60" s="561">
        <f t="shared" si="12"/>
        <v>902637.28947368416</v>
      </c>
      <c r="R60" s="561">
        <f t="shared" si="12"/>
        <v>948110.97368421056</v>
      </c>
      <c r="S60" s="561">
        <f t="shared" si="12"/>
        <v>2385063.6052631577</v>
      </c>
      <c r="T60" s="560">
        <f t="shared" si="12"/>
        <v>4592895.5273684207</v>
      </c>
      <c r="U60" s="560">
        <f t="shared" si="12"/>
        <v>6222237.0247684205</v>
      </c>
      <c r="V60" s="560">
        <f t="shared" si="12"/>
        <v>8981799.0470904205</v>
      </c>
      <c r="W60" s="560">
        <f t="shared" si="12"/>
        <v>8232869.9536977708</v>
      </c>
      <c r="X60" s="427"/>
      <c r="Y60" s="5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row>
    <row r="61" spans="1:50" s="41" customFormat="1" ht="15" customHeight="1" thickTop="1">
      <c r="A61" s="562"/>
      <c r="B61" s="428"/>
      <c r="C61" s="429"/>
      <c r="D61" s="429"/>
      <c r="E61" s="496"/>
      <c r="F61" s="427"/>
      <c r="G61" s="427"/>
      <c r="H61" s="427"/>
      <c r="I61" s="496"/>
      <c r="J61" s="496"/>
      <c r="K61" s="427"/>
      <c r="L61" s="496"/>
      <c r="M61" s="496"/>
      <c r="N61" s="496"/>
      <c r="O61" s="496"/>
      <c r="P61" s="496"/>
      <c r="Q61" s="496"/>
      <c r="R61" s="496"/>
      <c r="S61" s="496"/>
      <c r="T61" s="496"/>
      <c r="U61" s="496"/>
      <c r="V61" s="496"/>
      <c r="W61" s="496"/>
      <c r="X61" s="427"/>
      <c r="Y61" s="5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row>
    <row r="62" spans="1:50">
      <c r="A62" s="550" t="s">
        <v>970</v>
      </c>
      <c r="B62" s="439" t="s">
        <v>808</v>
      </c>
      <c r="C62" s="439" t="s">
        <v>971</v>
      </c>
      <c r="D62" s="427"/>
      <c r="E62" s="496"/>
      <c r="F62" s="427"/>
      <c r="G62" s="427"/>
      <c r="H62" s="427"/>
      <c r="I62" s="563">
        <v>-563661</v>
      </c>
      <c r="J62" s="563">
        <v>-1162988.5925</v>
      </c>
      <c r="K62" s="427"/>
      <c r="L62" s="563">
        <f t="shared" ref="L62:W62" si="13">+L29+L50</f>
        <v>-113077.75</v>
      </c>
      <c r="M62" s="563">
        <f t="shared" si="13"/>
        <v>-226155.5</v>
      </c>
      <c r="N62" s="563">
        <f t="shared" si="13"/>
        <v>-339233.25</v>
      </c>
      <c r="O62" s="563">
        <f t="shared" si="13"/>
        <v>-563661</v>
      </c>
      <c r="P62" s="563">
        <f t="shared" si="13"/>
        <v>-1162988.5925</v>
      </c>
      <c r="Q62" s="563">
        <f t="shared" si="13"/>
        <v>-1170394.6850000001</v>
      </c>
      <c r="R62" s="563">
        <f t="shared" si="13"/>
        <v>-1177800.7775000001</v>
      </c>
      <c r="S62" s="563">
        <f t="shared" si="13"/>
        <v>-16206.870000000112</v>
      </c>
      <c r="T62" s="496">
        <f t="shared" si="13"/>
        <v>-1046719.9711</v>
      </c>
      <c r="U62" s="496">
        <f t="shared" si="13"/>
        <v>-1078148.4652329998</v>
      </c>
      <c r="V62" s="496">
        <f t="shared" si="13"/>
        <v>-110519.81418999005</v>
      </c>
      <c r="W62" s="496">
        <f t="shared" si="13"/>
        <v>0</v>
      </c>
      <c r="X62" s="496"/>
      <c r="Y62" s="527"/>
      <c r="Z62" s="5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row>
    <row r="63" spans="1:50"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527"/>
      <c r="Z63" s="527"/>
      <c r="AA63" s="427"/>
      <c r="AB63" s="427"/>
      <c r="AC63" s="427"/>
      <c r="AD63" s="479"/>
      <c r="AE63" s="479"/>
      <c r="AF63" s="479"/>
      <c r="AG63" s="479"/>
      <c r="AH63" s="479"/>
      <c r="AI63" s="479"/>
      <c r="AJ63" s="427"/>
      <c r="AK63" s="427"/>
      <c r="AL63" s="427"/>
      <c r="AM63" s="427"/>
      <c r="AN63" s="427"/>
      <c r="AO63" s="427"/>
      <c r="AP63" s="427"/>
      <c r="AQ63" s="427"/>
      <c r="AR63" s="427"/>
      <c r="AS63" s="427"/>
      <c r="AT63" s="427"/>
      <c r="AU63" s="427"/>
      <c r="AV63" s="427"/>
      <c r="AW63" s="427"/>
      <c r="AX63" s="427"/>
    </row>
    <row r="64" spans="1:50" ht="15" customHeight="1">
      <c r="A64" s="540" t="s">
        <v>972</v>
      </c>
      <c r="B64" s="439" t="s">
        <v>826</v>
      </c>
      <c r="C64" s="439" t="s">
        <v>973</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row>
    <row r="65" spans="1:50" s="414" customFormat="1" ht="15" customHeight="1">
      <c r="A65" s="540" t="s">
        <v>974</v>
      </c>
      <c r="B65" s="530" t="s">
        <v>6</v>
      </c>
      <c r="C65" s="528" t="s">
        <v>975</v>
      </c>
      <c r="D65" s="429"/>
      <c r="E65" s="518"/>
      <c r="F65" s="427"/>
      <c r="G65" s="427"/>
      <c r="H65" s="427"/>
      <c r="I65" s="443">
        <v>0.65</v>
      </c>
      <c r="J65" s="443">
        <v>0</v>
      </c>
      <c r="K65" s="427"/>
      <c r="L65" s="443">
        <v>0.65</v>
      </c>
      <c r="M65" s="443">
        <v>0.65</v>
      </c>
      <c r="N65" s="443">
        <v>0.65</v>
      </c>
      <c r="O65" s="443">
        <v>0.65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row>
    <row r="66" spans="1:50" s="414" customFormat="1" ht="15" customHeight="1">
      <c r="A66" s="540" t="s">
        <v>976</v>
      </c>
      <c r="B66" s="530" t="s">
        <v>6</v>
      </c>
      <c r="C66" s="528" t="s">
        <v>977</v>
      </c>
      <c r="D66" s="429"/>
      <c r="E66" s="518"/>
      <c r="F66" s="427"/>
      <c r="G66" s="427"/>
      <c r="H66" s="427"/>
      <c r="I66" s="443">
        <v>0.65</v>
      </c>
      <c r="J66" s="443">
        <v>0.65</v>
      </c>
      <c r="K66" s="427"/>
      <c r="L66" s="443">
        <v>0.65</v>
      </c>
      <c r="M66" s="443">
        <v>0.65</v>
      </c>
      <c r="N66" s="443">
        <v>0.65</v>
      </c>
      <c r="O66" s="443">
        <v>0.65</v>
      </c>
      <c r="P66" s="443">
        <v>0.65</v>
      </c>
      <c r="Q66" s="443">
        <v>0.65</v>
      </c>
      <c r="R66" s="443">
        <v>0.65</v>
      </c>
      <c r="S66" s="443">
        <v>0</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row>
    <row r="67" spans="1:50" s="30" customFormat="1">
      <c r="A67" s="540" t="s">
        <v>978</v>
      </c>
      <c r="B67" s="530" t="s">
        <v>826</v>
      </c>
      <c r="C67" s="528" t="s">
        <v>979</v>
      </c>
      <c r="D67" s="429"/>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row>
    <row r="68" spans="1:50">
      <c r="A68" s="540" t="s">
        <v>980</v>
      </c>
      <c r="B68" s="439" t="s">
        <v>826</v>
      </c>
      <c r="C68" s="439" t="s">
        <v>981</v>
      </c>
      <c r="D68" s="427"/>
      <c r="E68" s="496"/>
      <c r="F68" s="427"/>
      <c r="G68" s="427"/>
      <c r="H68" s="427"/>
      <c r="I68" s="496">
        <v>447597</v>
      </c>
      <c r="J68" s="496">
        <v>50000</v>
      </c>
      <c r="K68" s="427"/>
      <c r="L68" s="496">
        <f t="shared" ref="L68:W68" si="14">(L64+L65)*(L31+L52)+(L64+L66)*(L49+L28)</f>
        <v>558947</v>
      </c>
      <c r="M68" s="496">
        <f t="shared" si="14"/>
        <v>558947</v>
      </c>
      <c r="N68" s="496">
        <f t="shared" si="14"/>
        <v>558947</v>
      </c>
      <c r="O68" s="496">
        <f t="shared" si="14"/>
        <v>447597</v>
      </c>
      <c r="P68" s="496">
        <f t="shared" si="14"/>
        <v>50000</v>
      </c>
      <c r="Q68" s="496">
        <f t="shared" si="14"/>
        <v>385137.86249999999</v>
      </c>
      <c r="R68" s="496">
        <f t="shared" si="14"/>
        <v>385137.86249999999</v>
      </c>
      <c r="S68" s="496">
        <f t="shared" si="14"/>
        <v>633822.52499999991</v>
      </c>
      <c r="T68" s="496">
        <f t="shared" si="14"/>
        <v>1083150.8030000001</v>
      </c>
      <c r="U68" s="496">
        <f t="shared" si="14"/>
        <v>1653420.3270899998</v>
      </c>
      <c r="V68" s="496">
        <f t="shared" si="14"/>
        <v>2619267.0349026998</v>
      </c>
      <c r="W68" s="496">
        <f t="shared" si="14"/>
        <v>2357141.8522152724</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row>
    <row r="69" spans="1:50" ht="15" customHeight="1" thickBot="1">
      <c r="A69" s="540" t="s">
        <v>982</v>
      </c>
      <c r="B69" s="439" t="s">
        <v>826</v>
      </c>
      <c r="C69" s="439" t="s">
        <v>983</v>
      </c>
      <c r="D69" s="427"/>
      <c r="E69" s="496"/>
      <c r="F69" s="427"/>
      <c r="G69" s="427"/>
      <c r="H69" s="427"/>
      <c r="I69" s="496">
        <v>0</v>
      </c>
      <c r="J69" s="496">
        <v>13035.78947368421</v>
      </c>
      <c r="K69" s="427"/>
      <c r="L69" s="496">
        <f t="shared" ref="L69:W69" si="15">L67*L58</f>
        <v>0</v>
      </c>
      <c r="M69" s="496">
        <f t="shared" si="15"/>
        <v>0</v>
      </c>
      <c r="N69" s="496">
        <f t="shared" si="15"/>
        <v>0</v>
      </c>
      <c r="O69" s="496">
        <f t="shared" si="15"/>
        <v>0</v>
      </c>
      <c r="P69" s="496">
        <f t="shared" si="15"/>
        <v>13035.78947368421</v>
      </c>
      <c r="Q69" s="496">
        <f t="shared" si="15"/>
        <v>13035.78947368421</v>
      </c>
      <c r="R69" s="496">
        <f t="shared" si="15"/>
        <v>15309.473684210527</v>
      </c>
      <c r="S69" s="496">
        <f t="shared" si="15"/>
        <v>28707.105263157893</v>
      </c>
      <c r="T69" s="496">
        <f t="shared" si="15"/>
        <v>74908.947368421053</v>
      </c>
      <c r="U69" s="496">
        <f t="shared" si="15"/>
        <v>74908.947368421053</v>
      </c>
      <c r="V69" s="496">
        <f t="shared" si="15"/>
        <v>74908.947368421053</v>
      </c>
      <c r="W69" s="496">
        <f t="shared" si="15"/>
        <v>74908.947368421053</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row>
    <row r="70" spans="1:50" s="414" customFormat="1" ht="15.5" customHeight="1" thickTop="1" thickBot="1">
      <c r="A70" s="550" t="s">
        <v>984</v>
      </c>
      <c r="B70" s="530" t="s">
        <v>808</v>
      </c>
      <c r="C70" s="528" t="s">
        <v>985</v>
      </c>
      <c r="D70" s="429"/>
      <c r="E70" s="560"/>
      <c r="F70" s="427"/>
      <c r="G70" s="427"/>
      <c r="H70" s="427"/>
      <c r="I70" s="561">
        <v>447597</v>
      </c>
      <c r="J70" s="561">
        <v>63035.789473684214</v>
      </c>
      <c r="K70" s="427"/>
      <c r="L70" s="561">
        <f t="shared" ref="L70:W70" si="16">L69+L68</f>
        <v>558947</v>
      </c>
      <c r="M70" s="561">
        <f t="shared" si="16"/>
        <v>558947</v>
      </c>
      <c r="N70" s="561">
        <f t="shared" si="16"/>
        <v>558947</v>
      </c>
      <c r="O70" s="561">
        <f t="shared" si="16"/>
        <v>447597</v>
      </c>
      <c r="P70" s="561">
        <f t="shared" si="16"/>
        <v>63035.789473684214</v>
      </c>
      <c r="Q70" s="561">
        <f t="shared" si="16"/>
        <v>398173.6519736842</v>
      </c>
      <c r="R70" s="561">
        <f t="shared" si="16"/>
        <v>400447.33618421049</v>
      </c>
      <c r="S70" s="561">
        <f t="shared" si="16"/>
        <v>662529.63026315777</v>
      </c>
      <c r="T70" s="560">
        <f t="shared" si="16"/>
        <v>1158059.7503684212</v>
      </c>
      <c r="U70" s="560">
        <f t="shared" si="16"/>
        <v>1728329.2744584209</v>
      </c>
      <c r="V70" s="560">
        <f t="shared" si="16"/>
        <v>2694175.9822711209</v>
      </c>
      <c r="W70" s="560">
        <f t="shared" si="16"/>
        <v>2432050.7995836935</v>
      </c>
      <c r="X70" s="518"/>
      <c r="Y70" s="527"/>
      <c r="Z70" s="5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row>
    <row r="71" spans="1:50"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527"/>
      <c r="Z71" s="5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row>
    <row r="72" spans="1:50" s="30" customFormat="1">
      <c r="A72" s="540" t="s">
        <v>986</v>
      </c>
      <c r="B72" s="530" t="s">
        <v>826</v>
      </c>
      <c r="C72" s="528" t="s">
        <v>987</v>
      </c>
      <c r="D72" s="429"/>
      <c r="E72" s="496"/>
      <c r="F72" s="427"/>
      <c r="G72" s="427"/>
      <c r="H72" s="427"/>
      <c r="I72" s="496">
        <v>224427.75</v>
      </c>
      <c r="J72" s="496">
        <v>227264.65737500001</v>
      </c>
      <c r="K72" s="427"/>
      <c r="L72" s="496">
        <f t="shared" ref="L72:W72" si="17">-(L64+L65)*(L27+L48)</f>
        <v>113077.75</v>
      </c>
      <c r="M72" s="496">
        <f t="shared" si="17"/>
        <v>113077.75</v>
      </c>
      <c r="N72" s="496">
        <f t="shared" si="17"/>
        <v>113077.75</v>
      </c>
      <c r="O72" s="496">
        <f t="shared" si="17"/>
        <v>224427.75</v>
      </c>
      <c r="P72" s="496">
        <f t="shared" si="17"/>
        <v>227264.65737500001</v>
      </c>
      <c r="Q72" s="496">
        <f t="shared" si="17"/>
        <v>88996.544875000007</v>
      </c>
      <c r="R72" s="496">
        <f t="shared" si="17"/>
        <v>88996.544875000007</v>
      </c>
      <c r="S72" s="496">
        <f t="shared" si="17"/>
        <v>88996.544875000007</v>
      </c>
      <c r="T72" s="496">
        <f t="shared" si="17"/>
        <v>716665.76488499995</v>
      </c>
      <c r="U72" s="496">
        <f t="shared" si="17"/>
        <v>377665.73783154995</v>
      </c>
      <c r="V72" s="496">
        <f t="shared" si="17"/>
        <v>388995.70996649651</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row>
    <row r="73" spans="1:50" s="30" customFormat="1">
      <c r="A73" s="540" t="s">
        <v>988</v>
      </c>
      <c r="B73" s="530" t="s">
        <v>826</v>
      </c>
      <c r="C73" s="528" t="s">
        <v>989</v>
      </c>
      <c r="D73" s="429"/>
      <c r="E73" s="496"/>
      <c r="F73" s="427"/>
      <c r="G73" s="427"/>
      <c r="H73" s="427"/>
      <c r="I73" s="496">
        <v>0</v>
      </c>
      <c r="J73" s="496">
        <v>-50000</v>
      </c>
      <c r="K73" s="427"/>
      <c r="L73" s="496">
        <f t="shared" ref="L73:W73" si="18">-(L64+L66)*(L28+L49)</f>
        <v>0</v>
      </c>
      <c r="M73" s="496">
        <f t="shared" si="18"/>
        <v>0</v>
      </c>
      <c r="N73" s="496">
        <f t="shared" si="18"/>
        <v>0</v>
      </c>
      <c r="O73" s="496">
        <f t="shared" si="18"/>
        <v>0</v>
      </c>
      <c r="P73" s="496">
        <f t="shared" si="18"/>
        <v>-50000</v>
      </c>
      <c r="Q73" s="496">
        <f t="shared" si="18"/>
        <v>-246869.75</v>
      </c>
      <c r="R73" s="496">
        <f t="shared" si="18"/>
        <v>-246869.75</v>
      </c>
      <c r="S73" s="496">
        <f t="shared" si="18"/>
        <v>-495554.41249999998</v>
      </c>
      <c r="T73" s="496">
        <f t="shared" si="18"/>
        <v>-355986.17950000003</v>
      </c>
      <c r="U73" s="496">
        <f t="shared" si="18"/>
        <v>-366665.76488499995</v>
      </c>
      <c r="V73" s="496">
        <f t="shared" si="18"/>
        <v>-727665.73783154995</v>
      </c>
      <c r="W73" s="496">
        <f t="shared" si="18"/>
        <v>-38681.934966496512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row>
    <row r="74" spans="1:50">
      <c r="A74" s="540" t="s">
        <v>990</v>
      </c>
      <c r="B74" s="439" t="s">
        <v>6</v>
      </c>
      <c r="C74" s="439" t="s">
        <v>991</v>
      </c>
      <c r="D74" s="427"/>
      <c r="E74" s="496"/>
      <c r="F74" s="427"/>
      <c r="G74" s="427"/>
      <c r="H74" s="427"/>
      <c r="I74" s="543">
        <v>563661</v>
      </c>
      <c r="J74" s="543">
        <v>740925.65737499995</v>
      </c>
      <c r="K74" s="427"/>
      <c r="L74" s="543">
        <f>SUM(L72:L73)+E74</f>
        <v>113077.75</v>
      </c>
      <c r="M74" s="543">
        <f t="shared" ref="M74:W74" si="19">SUM(M72:M73)+L74</f>
        <v>226155.5</v>
      </c>
      <c r="N74" s="543">
        <f t="shared" si="19"/>
        <v>339233.25</v>
      </c>
      <c r="O74" s="543">
        <f t="shared" si="19"/>
        <v>563661</v>
      </c>
      <c r="P74" s="543">
        <f t="shared" si="19"/>
        <v>740925.65737499995</v>
      </c>
      <c r="Q74" s="543">
        <f t="shared" si="19"/>
        <v>583052.45224999997</v>
      </c>
      <c r="R74" s="543">
        <f t="shared" si="19"/>
        <v>425179.24712499999</v>
      </c>
      <c r="S74" s="543">
        <f t="shared" si="19"/>
        <v>18621.379500000039</v>
      </c>
      <c r="T74" s="496">
        <f t="shared" si="19"/>
        <v>379300.96488499996</v>
      </c>
      <c r="U74" s="496">
        <f t="shared" si="19"/>
        <v>390300.93783154996</v>
      </c>
      <c r="V74" s="496">
        <f t="shared" si="19"/>
        <v>51630.909966496518</v>
      </c>
      <c r="W74" s="496">
        <f t="shared" si="19"/>
        <v>12948.975000000006</v>
      </c>
      <c r="X74" s="544" t="s">
        <v>992</v>
      </c>
      <c r="Y74" s="527"/>
      <c r="Z74" s="5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row>
    <row r="75" spans="1:50">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527"/>
      <c r="Z75" s="5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row>
    <row r="76" spans="1:50" ht="20" customHeight="1">
      <c r="A76" s="540" t="s">
        <v>993</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527"/>
      <c r="Z76" s="5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row>
    <row r="77" spans="1:50" s="30" customFormat="1" ht="14.65" customHeight="1">
      <c r="A77" s="540" t="s">
        <v>994</v>
      </c>
      <c r="B77" s="530" t="s">
        <v>826</v>
      </c>
      <c r="C77" s="528" t="s">
        <v>995</v>
      </c>
      <c r="D77" s="429"/>
      <c r="E77" s="487"/>
      <c r="F77" s="427"/>
      <c r="G77" s="427"/>
      <c r="H77" s="427"/>
      <c r="I77" s="487">
        <v>770825</v>
      </c>
      <c r="J77" s="487">
        <v>391680</v>
      </c>
      <c r="K77" s="427"/>
      <c r="L77" s="487">
        <f>'.c12_hm_hr'!L31</f>
        <v>298080</v>
      </c>
      <c r="M77" s="487">
        <f>'.c12_hm_hr'!M31</f>
        <v>298080</v>
      </c>
      <c r="N77" s="487">
        <f>'.c12_hm_hr'!N31</f>
        <v>298080</v>
      </c>
      <c r="O77" s="487">
        <f>'.c12_hm_hr'!O31</f>
        <v>770825</v>
      </c>
      <c r="P77" s="487">
        <f>'.c12_hm_hr'!P31</f>
        <v>391680</v>
      </c>
      <c r="Q77" s="487">
        <f>'.c12_hm_hr'!Q31</f>
        <v>391680</v>
      </c>
      <c r="R77" s="487">
        <f>'.c12_hm_hr'!R31</f>
        <v>434880</v>
      </c>
      <c r="S77" s="487">
        <f>'.c12_hm_hr'!S31</f>
        <v>949185</v>
      </c>
      <c r="T77" s="487">
        <f>'.c12_hm_hr'!T31</f>
        <v>2518770</v>
      </c>
      <c r="U77" s="487">
        <f>'.c12_hm_hr'!U31</f>
        <v>2518770</v>
      </c>
      <c r="V77" s="487">
        <f>'.c12_hm_hr'!V31</f>
        <v>2518770</v>
      </c>
      <c r="W77" s="487">
        <f>'.c12_hm_hr'!W31</f>
        <v>2518770</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row>
    <row r="78" spans="1:50" s="30" customFormat="1">
      <c r="A78" s="540" t="s">
        <v>996</v>
      </c>
      <c r="B78" s="530" t="s">
        <v>808</v>
      </c>
      <c r="C78" s="528" t="s">
        <v>997</v>
      </c>
      <c r="D78" s="429"/>
      <c r="E78" s="487"/>
      <c r="F78" s="427"/>
      <c r="G78" s="427"/>
      <c r="H78" s="427"/>
      <c r="I78" s="565">
        <v>367075</v>
      </c>
      <c r="J78" s="565">
        <v>247680</v>
      </c>
      <c r="K78" s="427"/>
      <c r="L78" s="565">
        <f>'.c12_hm_hr'!L32</f>
        <v>154080</v>
      </c>
      <c r="M78" s="565">
        <f>'.c12_hm_hr'!M32</f>
        <v>154080</v>
      </c>
      <c r="N78" s="565">
        <f>'.c12_hm_hr'!N32</f>
        <v>154080</v>
      </c>
      <c r="O78" s="565">
        <f>'.c12_hm_hr'!O32</f>
        <v>367075</v>
      </c>
      <c r="P78" s="565">
        <f>'.c12_hm_hr'!P32</f>
        <v>247680</v>
      </c>
      <c r="Q78" s="565">
        <f>'.c12_hm_hr'!Q32</f>
        <v>247680</v>
      </c>
      <c r="R78" s="565">
        <f>'.c12_hm_hr'!R32</f>
        <v>290880</v>
      </c>
      <c r="S78" s="565">
        <f>'.c12_hm_hr'!S32</f>
        <v>545435</v>
      </c>
      <c r="T78" s="487">
        <f>'.c12_hm_hr'!T32</f>
        <v>1423270</v>
      </c>
      <c r="U78" s="487">
        <f>'.c12_hm_hr'!U32</f>
        <v>1423270</v>
      </c>
      <c r="V78" s="487">
        <f>'.c12_hm_hr'!V32</f>
        <v>1423270</v>
      </c>
      <c r="W78" s="487">
        <f>'.c12_hm_hr'!W32</f>
        <v>1423270</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row>
    <row r="79" spans="1:50" s="30" customFormat="1">
      <c r="A79" s="540" t="s">
        <v>998</v>
      </c>
      <c r="B79" s="530" t="s">
        <v>808</v>
      </c>
      <c r="C79" s="528" t="s">
        <v>999</v>
      </c>
      <c r="D79" s="429"/>
      <c r="E79" s="487"/>
      <c r="F79" s="427"/>
      <c r="G79" s="427"/>
      <c r="H79" s="427"/>
      <c r="I79" s="565">
        <v>403750</v>
      </c>
      <c r="J79" s="565">
        <v>144000</v>
      </c>
      <c r="K79" s="427"/>
      <c r="L79" s="565">
        <f>'.c12_hm_hr'!L33</f>
        <v>144000</v>
      </c>
      <c r="M79" s="565">
        <f>'.c12_hm_hr'!M33</f>
        <v>144000</v>
      </c>
      <c r="N79" s="565">
        <f>'.c12_hm_hr'!N33</f>
        <v>144000</v>
      </c>
      <c r="O79" s="565">
        <f>'.c12_hm_hr'!O33</f>
        <v>403750</v>
      </c>
      <c r="P79" s="565">
        <f>'.c12_hm_hr'!P33</f>
        <v>144000</v>
      </c>
      <c r="Q79" s="565">
        <f>'.c12_hm_hr'!Q33</f>
        <v>144000</v>
      </c>
      <c r="R79" s="565">
        <f>'.c12_hm_hr'!R33</f>
        <v>144000</v>
      </c>
      <c r="S79" s="565">
        <f>'.c12_hm_hr'!S33</f>
        <v>403750</v>
      </c>
      <c r="T79" s="487">
        <f>'.c12_hm_hr'!T33</f>
        <v>1095500</v>
      </c>
      <c r="U79" s="487">
        <f>'.c12_hm_hr'!U33</f>
        <v>1095500</v>
      </c>
      <c r="V79" s="487">
        <f>'.c12_hm_hr'!V33</f>
        <v>1095500</v>
      </c>
      <c r="W79" s="487">
        <f>'.c12_hm_hr'!W33</f>
        <v>1095500</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row>
    <row r="80" spans="1:50" s="30" customFormat="1">
      <c r="A80" s="540" t="s">
        <v>1000</v>
      </c>
      <c r="B80" s="530" t="s">
        <v>826</v>
      </c>
      <c r="C80" s="528" t="s">
        <v>1001</v>
      </c>
      <c r="D80" s="429"/>
      <c r="E80" s="487"/>
      <c r="F80" s="427"/>
      <c r="G80" s="427"/>
      <c r="H80" s="427"/>
      <c r="I80" s="487">
        <v>0</v>
      </c>
      <c r="J80" s="487">
        <v>0</v>
      </c>
      <c r="K80" s="427"/>
      <c r="L80" s="487">
        <f>'.c12_hm_hr'!L34</f>
        <v>0</v>
      </c>
      <c r="M80" s="487">
        <f>'.c12_hm_hr'!M34</f>
        <v>0</v>
      </c>
      <c r="N80" s="487">
        <f>'.c12_hm_hr'!N34</f>
        <v>0</v>
      </c>
      <c r="O80" s="487">
        <f>'.c12_hm_hr'!O34</f>
        <v>0</v>
      </c>
      <c r="P80" s="487">
        <f>'.c12_hm_hr'!P34</f>
        <v>0</v>
      </c>
      <c r="Q80" s="487">
        <f>'.c12_hm_hr'!Q34</f>
        <v>0</v>
      </c>
      <c r="R80" s="487">
        <f>'.c12_hm_hr'!R34</f>
        <v>0</v>
      </c>
      <c r="S80" s="487">
        <f>'.c12_hm_hr'!S34</f>
        <v>0</v>
      </c>
      <c r="T80" s="487">
        <f>'.c12_hm_hr'!T34</f>
        <v>0</v>
      </c>
      <c r="U80" s="487">
        <f>'.c12_hm_hr'!U34</f>
        <v>0</v>
      </c>
      <c r="V80" s="487">
        <f>'.c12_hm_hr'!V34</f>
        <v>0</v>
      </c>
      <c r="W80" s="487">
        <f>'.c12_hm_hr'!W34</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row>
    <row r="81" spans="1:50">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row>
    <row r="82" spans="1:50">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row>
    <row r="83" spans="1:50">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row>
    <row r="84" spans="1:50">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row>
    <row r="85" spans="1:50">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row>
    <row r="86" spans="1:50">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row>
    <row r="87" spans="1:50">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row>
    <row r="88" spans="1:50">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row>
    <row r="89" spans="1:50">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row>
    <row r="90" spans="1:5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row>
    <row r="91" spans="1:50">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row>
    <row r="92" spans="1:50">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row>
    <row r="93" spans="1:50">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row>
    <row r="94" spans="1:50">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row>
    <row r="95" spans="1:50">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row>
    <row r="96" spans="1:50">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row>
    <row r="97" spans="1:50">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row>
    <row r="98" spans="1:50">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row>
    <row r="99" spans="1:50">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row>
    <row r="100" spans="1:5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row>
    <row r="101" spans="1:50">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row>
    <row r="102" spans="1:50">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row>
    <row r="103" spans="1:50">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row>
    <row r="104" spans="1:50">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row>
    <row r="105" spans="1:50">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row>
    <row r="106" spans="1:50">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row>
    <row r="107" spans="1:50">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row>
    <row r="108" spans="1:50">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row>
    <row r="109" spans="1:50">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row>
    <row r="110" spans="1:5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row>
    <row r="111" spans="1:50">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row>
    <row r="112" spans="1:50">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row>
    <row r="113" spans="1:50">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row>
    <row r="114" spans="1:50">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row>
    <row r="115" spans="1:50">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row>
    <row r="116" spans="1:50">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row>
    <row r="117" spans="1:50">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row>
    <row r="118" spans="1:50">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row>
    <row r="119" spans="1:50">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row>
    <row r="120" spans="1:50">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row>
    <row r="121" spans="1:50">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row>
    <row r="122" spans="1:50">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row>
    <row r="123" spans="1:50">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row>
    <row r="124" spans="1:50">
      <c r="A124" s="427"/>
      <c r="B124" s="448"/>
      <c r="C124" s="427"/>
      <c r="D124" s="427"/>
      <c r="E124" s="427"/>
      <c r="F124" s="427"/>
      <c r="G124" s="427"/>
      <c r="H124" s="427"/>
      <c r="I124" s="427"/>
      <c r="J124" s="427"/>
      <c r="K124" s="427"/>
      <c r="L124" s="427"/>
      <c r="M124" s="427"/>
      <c r="N124" s="427"/>
      <c r="O124" s="427"/>
      <c r="P124" s="427"/>
      <c r="Q124" s="427"/>
      <c r="R124" s="427"/>
      <c r="S124" s="427"/>
      <c r="T124" s="427"/>
      <c r="U124" s="547"/>
      <c r="V124" s="547"/>
      <c r="W124" s="427"/>
      <c r="X124" s="429"/>
      <c r="Y124" s="429"/>
      <c r="Z124" s="429"/>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row>
    <row r="125" spans="1:50">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row>
    <row r="126" spans="1:50">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row>
    <row r="127" spans="1:50">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row>
    <row r="128" spans="1:50">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row>
    <row r="129" spans="1:50">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row>
    <row r="130" spans="1:50">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row>
    <row r="131" spans="1:50">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row>
    <row r="132" spans="1:50">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row>
    <row r="133" spans="1:50">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row>
    <row r="134" spans="1:50">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row>
    <row r="135" spans="1:50">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row>
    <row r="136" spans="1:50">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row>
    <row r="137" spans="1:50">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row>
    <row r="138" spans="1:50">
      <c r="A138" s="427"/>
      <c r="B138" s="448"/>
      <c r="C138" s="427"/>
      <c r="D138" s="427"/>
      <c r="E138" s="427"/>
      <c r="F138" s="427"/>
      <c r="G138" s="427"/>
      <c r="H138" s="427"/>
      <c r="I138" s="427"/>
      <c r="J138" s="427"/>
      <c r="K138" s="427"/>
      <c r="L138" s="427"/>
      <c r="M138" s="427"/>
      <c r="N138" s="427"/>
      <c r="O138" s="427"/>
      <c r="P138" s="427"/>
      <c r="Q138" s="427"/>
      <c r="R138" s="528" t="s">
        <v>1002</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row>
    <row r="139" spans="1:50">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row>
    <row r="140" spans="1:50">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row>
    <row r="141" spans="1:50">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row>
    <row r="142" spans="1:50">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row>
    <row r="143" spans="1:50">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row>
    <row r="144" spans="1:50">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row>
    <row r="145" spans="1:50">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row>
    <row r="146" spans="1:50">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row>
    <row r="147" spans="1:50">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row>
    <row r="148" spans="1:50">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row>
    <row r="149" spans="1:50">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row>
  </sheetData>
  <pageMargins left="0.7" right="0.7" top="0.75" bottom="0.75" header="0.3" footer="0.3"/>
  <pageSetup orientation="portrait"/>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K149"/>
  <sheetViews>
    <sheetView showGridLines="0" zoomScale="99" zoomScaleNormal="85" workbookViewId="0">
      <pane xSplit="4" ySplit="3" topLeftCell="E41" activePane="bottomRight" state="frozen"/>
      <selection pane="topRight"/>
      <selection pane="bottomLeft" activeCell="E16" sqref="E16"/>
      <selection pane="bottomRight" activeCell="A3" sqref="A3:XFD3"/>
    </sheetView>
  </sheetViews>
  <sheetFormatPr defaultRowHeight="14.5"/>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913</v>
      </c>
      <c r="B5" s="442"/>
      <c r="C5" s="444"/>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c r="A6" s="462" t="s">
        <v>1003</v>
      </c>
      <c r="B6" s="440" t="s">
        <v>6</v>
      </c>
      <c r="C6" s="441" t="s">
        <v>1004</v>
      </c>
      <c r="D6" s="455" t="s">
        <v>917</v>
      </c>
      <c r="E6" s="496"/>
      <c r="F6" s="427"/>
      <c r="G6" s="427"/>
      <c r="H6" s="427"/>
      <c r="I6" s="543">
        <v>0</v>
      </c>
      <c r="J6" s="543">
        <v>0</v>
      </c>
      <c r="K6" s="427"/>
      <c r="L6" s="543"/>
      <c r="M6" s="543"/>
      <c r="N6" s="543"/>
      <c r="O6" s="543">
        <v>0</v>
      </c>
      <c r="P6" s="543">
        <v>0</v>
      </c>
      <c r="Q6" s="543">
        <v>0</v>
      </c>
      <c r="R6" s="543">
        <v>0</v>
      </c>
      <c r="S6" s="543">
        <v>0</v>
      </c>
      <c r="T6" s="496">
        <v>0</v>
      </c>
      <c r="U6" s="496">
        <v>0</v>
      </c>
      <c r="V6" s="496">
        <v>0</v>
      </c>
      <c r="W6" s="496">
        <v>0</v>
      </c>
      <c r="X6" s="439" t="s">
        <v>918</v>
      </c>
      <c r="Y6" s="427"/>
      <c r="Z6" s="545"/>
      <c r="AA6" s="427"/>
      <c r="AB6" s="427"/>
      <c r="AC6" s="496"/>
      <c r="AD6" s="496"/>
      <c r="AE6" s="496"/>
      <c r="AF6" s="496"/>
      <c r="AG6" s="496"/>
      <c r="AH6" s="496"/>
      <c r="AI6" s="496"/>
      <c r="AJ6" s="427"/>
      <c r="AK6" s="427"/>
      <c r="AL6" s="427"/>
      <c r="AM6" s="427"/>
      <c r="AN6" s="427"/>
      <c r="AO6" s="427"/>
      <c r="AP6" s="427"/>
      <c r="AQ6" s="427"/>
      <c r="AR6" s="427"/>
      <c r="AS6" s="427"/>
      <c r="AT6" s="427"/>
      <c r="AU6" s="427"/>
      <c r="AV6" s="427"/>
      <c r="AW6" s="427"/>
      <c r="AX6" s="427"/>
      <c r="AY6" s="427"/>
      <c r="AZ6" s="427"/>
      <c r="BA6" s="427"/>
      <c r="BB6" s="427"/>
    </row>
    <row r="7" spans="1:63">
      <c r="A7" s="462" t="s">
        <v>1005</v>
      </c>
      <c r="B7" s="440" t="s">
        <v>6</v>
      </c>
      <c r="C7" s="441" t="s">
        <v>1006</v>
      </c>
      <c r="D7" s="455" t="s">
        <v>917</v>
      </c>
      <c r="E7" s="496"/>
      <c r="F7" s="427"/>
      <c r="G7" s="427"/>
      <c r="H7" s="427"/>
      <c r="I7" s="543">
        <v>0</v>
      </c>
      <c r="J7" s="543">
        <v>0</v>
      </c>
      <c r="K7" s="427"/>
      <c r="L7" s="543"/>
      <c r="M7" s="543"/>
      <c r="N7" s="543"/>
      <c r="O7" s="543">
        <v>0</v>
      </c>
      <c r="P7" s="543">
        <v>0</v>
      </c>
      <c r="Q7" s="543">
        <v>0</v>
      </c>
      <c r="R7" s="543">
        <v>0</v>
      </c>
      <c r="S7" s="543">
        <v>0</v>
      </c>
      <c r="T7" s="496">
        <v>0</v>
      </c>
      <c r="U7" s="496">
        <v>0</v>
      </c>
      <c r="V7" s="496">
        <v>0</v>
      </c>
      <c r="W7" s="496">
        <v>0</v>
      </c>
      <c r="X7" s="427"/>
      <c r="Y7" s="429"/>
      <c r="Z7" s="546"/>
      <c r="AA7" s="427"/>
      <c r="AB7" s="427"/>
      <c r="AC7" s="496"/>
      <c r="AD7" s="487"/>
      <c r="AE7" s="487"/>
      <c r="AF7" s="487"/>
      <c r="AG7" s="487"/>
      <c r="AH7" s="487"/>
      <c r="AI7" s="496"/>
      <c r="AJ7" s="427"/>
      <c r="AK7" s="427"/>
      <c r="AL7" s="427"/>
      <c r="AM7" s="427"/>
      <c r="AN7" s="427"/>
      <c r="AO7" s="427"/>
      <c r="AP7" s="427"/>
      <c r="AQ7" s="427"/>
      <c r="AR7" s="427"/>
      <c r="AS7" s="427"/>
      <c r="AT7" s="427"/>
      <c r="AU7" s="427"/>
      <c r="AV7" s="427"/>
      <c r="AW7" s="427"/>
      <c r="AX7" s="427"/>
      <c r="AY7" s="427"/>
      <c r="AZ7" s="427"/>
      <c r="BA7" s="427"/>
      <c r="BB7" s="427"/>
    </row>
    <row r="8" spans="1:63">
      <c r="A8" s="462" t="s">
        <v>1007</v>
      </c>
      <c r="B8" s="440" t="s">
        <v>6</v>
      </c>
      <c r="C8" s="441" t="s">
        <v>1008</v>
      </c>
      <c r="D8" s="455" t="s">
        <v>917</v>
      </c>
      <c r="E8" s="496"/>
      <c r="F8" s="427"/>
      <c r="G8" s="427"/>
      <c r="H8" s="427"/>
      <c r="I8" s="543"/>
      <c r="J8" s="543"/>
      <c r="K8" s="427"/>
      <c r="L8" s="543"/>
      <c r="M8" s="543"/>
      <c r="N8" s="543">
        <f>520000</f>
        <v>520000</v>
      </c>
      <c r="O8" s="543"/>
      <c r="P8" s="543"/>
      <c r="Q8" s="543">
        <v>0</v>
      </c>
      <c r="R8" s="543"/>
      <c r="S8" s="543">
        <v>0</v>
      </c>
      <c r="T8" s="496">
        <v>0</v>
      </c>
      <c r="U8" s="496">
        <v>0</v>
      </c>
      <c r="V8" s="496">
        <v>0</v>
      </c>
      <c r="W8" s="496">
        <v>0</v>
      </c>
      <c r="X8" s="427"/>
      <c r="Y8" s="429"/>
      <c r="Z8" s="547"/>
      <c r="AA8" s="427"/>
      <c r="AB8" s="427"/>
      <c r="AC8" s="496"/>
      <c r="AD8" s="496"/>
      <c r="AE8" s="496"/>
      <c r="AF8" s="496"/>
      <c r="AG8" s="496"/>
      <c r="AH8" s="496"/>
      <c r="AI8" s="496"/>
      <c r="AJ8" s="427"/>
      <c r="AK8" s="427"/>
      <c r="AL8" s="427"/>
      <c r="AM8" s="427"/>
      <c r="AN8" s="427"/>
      <c r="AO8" s="427"/>
      <c r="AP8" s="427"/>
      <c r="AQ8" s="427"/>
      <c r="AR8" s="427"/>
      <c r="AS8" s="427"/>
      <c r="AT8" s="427"/>
      <c r="AU8" s="427"/>
      <c r="AV8" s="427"/>
      <c r="AW8" s="427"/>
      <c r="AX8" s="427"/>
      <c r="AY8" s="427"/>
      <c r="AZ8" s="427"/>
      <c r="BA8" s="427"/>
      <c r="BB8" s="427"/>
    </row>
    <row r="9" spans="1:63">
      <c r="A9" s="462" t="s">
        <v>1009</v>
      </c>
      <c r="B9" s="439" t="s">
        <v>6</v>
      </c>
      <c r="C9" s="439" t="s">
        <v>1004</v>
      </c>
      <c r="D9" s="439" t="s">
        <v>922</v>
      </c>
      <c r="E9" s="496"/>
      <c r="F9" s="427"/>
      <c r="G9" s="427"/>
      <c r="H9" s="427"/>
      <c r="I9" s="543">
        <v>0</v>
      </c>
      <c r="J9" s="543">
        <v>0</v>
      </c>
      <c r="K9" s="427"/>
      <c r="L9" s="543"/>
      <c r="M9" s="543"/>
      <c r="N9" s="543"/>
      <c r="O9" s="543">
        <v>0</v>
      </c>
      <c r="P9" s="543">
        <v>0</v>
      </c>
      <c r="Q9" s="543">
        <v>0</v>
      </c>
      <c r="R9" s="543">
        <v>0</v>
      </c>
      <c r="S9" s="543">
        <v>0</v>
      </c>
      <c r="T9" s="496">
        <v>0</v>
      </c>
      <c r="U9" s="496">
        <v>0</v>
      </c>
      <c r="V9" s="496">
        <v>0</v>
      </c>
      <c r="W9" s="496">
        <v>0</v>
      </c>
      <c r="X9" s="427"/>
      <c r="Y9" s="429"/>
      <c r="Z9" s="548"/>
      <c r="AA9" s="427"/>
      <c r="AB9" s="427"/>
      <c r="AC9" s="496"/>
      <c r="AD9" s="496"/>
      <c r="AE9" s="496"/>
      <c r="AF9" s="487"/>
      <c r="AG9" s="487"/>
      <c r="AH9" s="487"/>
      <c r="AI9" s="496"/>
      <c r="AJ9" s="427"/>
      <c r="AK9" s="427"/>
      <c r="AL9" s="427"/>
      <c r="AM9" s="427"/>
      <c r="AN9" s="427"/>
      <c r="AO9" s="427"/>
      <c r="AP9" s="427"/>
      <c r="AQ9" s="427"/>
      <c r="AR9" s="427"/>
      <c r="AS9" s="427"/>
      <c r="AT9" s="427"/>
      <c r="AU9" s="427"/>
      <c r="AV9" s="427"/>
      <c r="AW9" s="427"/>
      <c r="AX9" s="427"/>
      <c r="AY9" s="427"/>
      <c r="AZ9" s="427"/>
      <c r="BA9" s="427"/>
      <c r="BB9" s="427"/>
    </row>
    <row r="10" spans="1:63">
      <c r="A10" s="462" t="s">
        <v>1010</v>
      </c>
      <c r="B10" s="439" t="s">
        <v>6</v>
      </c>
      <c r="C10" s="439" t="s">
        <v>1006</v>
      </c>
      <c r="D10" s="439" t="s">
        <v>922</v>
      </c>
      <c r="E10" s="496"/>
      <c r="F10" s="459"/>
      <c r="G10" s="459"/>
      <c r="H10" s="459"/>
      <c r="I10" s="543">
        <v>0</v>
      </c>
      <c r="J10" s="543">
        <v>0</v>
      </c>
      <c r="K10" s="459"/>
      <c r="L10" s="543"/>
      <c r="M10" s="543"/>
      <c r="N10" s="543"/>
      <c r="O10" s="543">
        <v>0</v>
      </c>
      <c r="P10" s="543">
        <v>0</v>
      </c>
      <c r="Q10" s="543">
        <v>0</v>
      </c>
      <c r="R10" s="543">
        <v>0</v>
      </c>
      <c r="S10" s="543">
        <v>0</v>
      </c>
      <c r="T10" s="496">
        <v>0</v>
      </c>
      <c r="U10" s="496">
        <v>0</v>
      </c>
      <c r="V10" s="496">
        <v>0</v>
      </c>
      <c r="W10" s="496">
        <v>0</v>
      </c>
      <c r="X10" s="427"/>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c r="AY10" s="427"/>
      <c r="AZ10" s="427"/>
      <c r="BA10" s="427"/>
      <c r="BB10" s="427"/>
    </row>
    <row r="11" spans="1:63">
      <c r="A11" s="462" t="s">
        <v>1011</v>
      </c>
      <c r="B11" s="439" t="s">
        <v>6</v>
      </c>
      <c r="C11" s="439" t="s">
        <v>1004</v>
      </c>
      <c r="D11" s="439" t="s">
        <v>927</v>
      </c>
      <c r="E11" s="496"/>
      <c r="F11" s="427"/>
      <c r="G11" s="427"/>
      <c r="H11" s="427"/>
      <c r="I11" s="543">
        <v>50000</v>
      </c>
      <c r="J11" s="543">
        <v>0</v>
      </c>
      <c r="K11" s="427"/>
      <c r="L11" s="543"/>
      <c r="M11" s="543"/>
      <c r="N11" s="543"/>
      <c r="O11" s="543">
        <v>50000</v>
      </c>
      <c r="P11" s="543">
        <v>0</v>
      </c>
      <c r="Q11" s="543">
        <v>0</v>
      </c>
      <c r="R11" s="543">
        <v>0</v>
      </c>
      <c r="S11" s="543">
        <v>0</v>
      </c>
      <c r="T11" s="496">
        <v>0</v>
      </c>
      <c r="U11" s="496">
        <v>0</v>
      </c>
      <c r="V11" s="496">
        <v>0</v>
      </c>
      <c r="W11" s="496">
        <v>0</v>
      </c>
      <c r="X11" s="427"/>
      <c r="Y11" s="429"/>
      <c r="Z11" s="549"/>
      <c r="AA11" s="427"/>
      <c r="AB11" s="427"/>
      <c r="AC11" s="496"/>
      <c r="AD11" s="496"/>
      <c r="AE11" s="496"/>
      <c r="AF11" s="496"/>
      <c r="AG11" s="496"/>
      <c r="AH11" s="496"/>
      <c r="AI11" s="496"/>
      <c r="AJ11" s="427"/>
      <c r="AK11" s="427"/>
      <c r="AL11" s="427"/>
      <c r="AM11" s="427"/>
      <c r="AN11" s="427"/>
      <c r="AO11" s="427"/>
      <c r="AP11" s="427"/>
      <c r="AQ11" s="427"/>
      <c r="AR11" s="427"/>
      <c r="AS11" s="427"/>
      <c r="AT11" s="427"/>
      <c r="AU11" s="427"/>
      <c r="AV11" s="427"/>
      <c r="AW11" s="427"/>
      <c r="AX11" s="427"/>
      <c r="AY11" s="427"/>
      <c r="AZ11" s="427"/>
      <c r="BA11" s="427"/>
      <c r="BB11" s="427"/>
    </row>
    <row r="12" spans="1:63">
      <c r="A12" s="462" t="s">
        <v>1012</v>
      </c>
      <c r="B12" s="439" t="s">
        <v>6</v>
      </c>
      <c r="C12" s="439" t="s">
        <v>1013</v>
      </c>
      <c r="D12" s="439" t="s">
        <v>927</v>
      </c>
      <c r="E12" s="542">
        <v>812800</v>
      </c>
      <c r="F12" s="464"/>
      <c r="G12" s="464"/>
      <c r="H12" s="464"/>
      <c r="I12" s="543">
        <v>340000</v>
      </c>
      <c r="J12" s="543">
        <v>549375</v>
      </c>
      <c r="K12" s="464"/>
      <c r="L12" s="543">
        <v>280000</v>
      </c>
      <c r="M12" s="543">
        <v>280000</v>
      </c>
      <c r="N12" s="543">
        <v>280000</v>
      </c>
      <c r="O12" s="543">
        <v>340000</v>
      </c>
      <c r="P12" s="543">
        <f>2930000/16*3</f>
        <v>549375</v>
      </c>
      <c r="Q12" s="543">
        <f>2930000/16*3</f>
        <v>549375</v>
      </c>
      <c r="R12" s="543">
        <f>2930000/16*3</f>
        <v>549375</v>
      </c>
      <c r="S12" s="543">
        <f>2930000/16*3</f>
        <v>549375</v>
      </c>
      <c r="T12" s="496">
        <f>2930000-SUM(P12:S12)</f>
        <v>732500</v>
      </c>
      <c r="U12" s="496">
        <v>0</v>
      </c>
      <c r="V12" s="496">
        <v>0</v>
      </c>
      <c r="W12" s="496">
        <v>0</v>
      </c>
      <c r="X12" s="520"/>
      <c r="Y12" s="429"/>
      <c r="Z12" s="549"/>
      <c r="AA12" s="479"/>
      <c r="AB12" s="479"/>
      <c r="AC12" s="479"/>
      <c r="AD12" s="479"/>
      <c r="AE12" s="479"/>
      <c r="AF12" s="479"/>
      <c r="AG12" s="479"/>
      <c r="AH12" s="479"/>
      <c r="AI12" s="479"/>
      <c r="AJ12" s="427"/>
      <c r="AK12" s="427"/>
      <c r="AL12" s="427"/>
      <c r="AM12" s="427"/>
      <c r="AN12" s="427"/>
      <c r="AO12" s="427"/>
      <c r="AP12" s="427"/>
      <c r="AQ12" s="427"/>
      <c r="AR12" s="427"/>
      <c r="AS12" s="427"/>
      <c r="AT12" s="427"/>
      <c r="AU12" s="427"/>
      <c r="AV12" s="427"/>
      <c r="AW12" s="427"/>
      <c r="AX12" s="427"/>
      <c r="AY12" s="427"/>
      <c r="AZ12" s="427"/>
      <c r="BA12" s="427"/>
      <c r="BB12" s="427"/>
    </row>
    <row r="13" spans="1:63">
      <c r="A13" s="462" t="s">
        <v>1014</v>
      </c>
      <c r="B13" s="439" t="s">
        <v>6</v>
      </c>
      <c r="C13" s="439" t="s">
        <v>1008</v>
      </c>
      <c r="D13" s="439" t="s">
        <v>927</v>
      </c>
      <c r="E13" s="496"/>
      <c r="F13" s="464"/>
      <c r="G13" s="464"/>
      <c r="H13" s="464"/>
      <c r="I13" s="543">
        <v>250000</v>
      </c>
      <c r="J13" s="543">
        <v>0</v>
      </c>
      <c r="K13" s="464"/>
      <c r="L13" s="543"/>
      <c r="M13" s="543"/>
      <c r="N13" s="543"/>
      <c r="O13" s="543">
        <v>250000</v>
      </c>
      <c r="P13" s="543">
        <v>0</v>
      </c>
      <c r="Q13" s="543">
        <v>0</v>
      </c>
      <c r="R13" s="543">
        <v>0</v>
      </c>
      <c r="S13" s="543">
        <v>0</v>
      </c>
      <c r="T13" s="496">
        <v>0</v>
      </c>
      <c r="U13" s="496">
        <v>0</v>
      </c>
      <c r="V13" s="496">
        <v>0</v>
      </c>
      <c r="W13" s="496">
        <v>0</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c r="AY13" s="427"/>
      <c r="AZ13" s="427"/>
      <c r="BA13" s="427"/>
      <c r="BB13" s="427"/>
    </row>
    <row r="14" spans="1:63">
      <c r="A14" s="462" t="s">
        <v>1015</v>
      </c>
      <c r="B14" s="439" t="s">
        <v>6</v>
      </c>
      <c r="C14" s="439" t="s">
        <v>1004</v>
      </c>
      <c r="D14" s="439" t="s">
        <v>489</v>
      </c>
      <c r="E14" s="487"/>
      <c r="F14" s="427"/>
      <c r="G14" s="427"/>
      <c r="H14" s="427"/>
      <c r="I14" s="543">
        <v>375000</v>
      </c>
      <c r="J14" s="543">
        <v>487500</v>
      </c>
      <c r="K14" s="427"/>
      <c r="L14" s="543"/>
      <c r="M14" s="543"/>
      <c r="N14" s="543">
        <f>750000/2</f>
        <v>375000</v>
      </c>
      <c r="O14" s="506">
        <f>750000/2</f>
        <v>375000</v>
      </c>
      <c r="P14" s="506">
        <f>(4500000*0.6-SUM($N$14:$O$14))/4</f>
        <v>487500</v>
      </c>
      <c r="Q14" s="506">
        <f>(4500000*0.6-SUM($N$14:$O$14))/4</f>
        <v>487500</v>
      </c>
      <c r="R14" s="506">
        <f>(4500000*0.6-SUM($N$14:$O$14))/4</f>
        <v>487500</v>
      </c>
      <c r="S14" s="506">
        <f>(4500000*0.6-SUM($N$14:$O$14))/4</f>
        <v>487500</v>
      </c>
      <c r="T14" s="496">
        <f>4500000-SUM(N14:S14)</f>
        <v>1800000</v>
      </c>
      <c r="U14" s="496">
        <v>0</v>
      </c>
      <c r="V14" s="496">
        <v>0</v>
      </c>
      <c r="W14" s="496">
        <v>0</v>
      </c>
      <c r="X14" s="427"/>
      <c r="Y14" s="527"/>
      <c r="Z14" s="527"/>
      <c r="AA14" s="427"/>
      <c r="AB14" s="427"/>
      <c r="AC14" s="427"/>
      <c r="AD14" s="479"/>
      <c r="AE14" s="479"/>
      <c r="AF14" s="479"/>
      <c r="AG14" s="479"/>
      <c r="AH14" s="479"/>
      <c r="AI14" s="479"/>
      <c r="AJ14" s="427"/>
      <c r="AK14" s="427"/>
      <c r="AL14" s="427"/>
      <c r="AM14" s="427"/>
      <c r="AN14" s="427"/>
      <c r="AO14" s="427"/>
      <c r="AP14" s="427"/>
      <c r="AQ14" s="427"/>
      <c r="AR14" s="427"/>
      <c r="AS14" s="427"/>
      <c r="AT14" s="427"/>
      <c r="AU14" s="427"/>
      <c r="AV14" s="427"/>
      <c r="AW14" s="427"/>
      <c r="AX14" s="427"/>
      <c r="AY14" s="427"/>
      <c r="AZ14" s="427"/>
      <c r="BA14" s="427"/>
      <c r="BB14" s="427"/>
    </row>
    <row r="15" spans="1:63">
      <c r="A15" s="462" t="s">
        <v>1016</v>
      </c>
      <c r="B15" s="439" t="s">
        <v>6</v>
      </c>
      <c r="C15" s="439" t="s">
        <v>1006</v>
      </c>
      <c r="D15" s="439" t="s">
        <v>489</v>
      </c>
      <c r="E15" s="487"/>
      <c r="F15" s="427"/>
      <c r="G15" s="427"/>
      <c r="H15" s="427"/>
      <c r="I15" s="543">
        <v>500000</v>
      </c>
      <c r="J15" s="543">
        <v>433333.33333333331</v>
      </c>
      <c r="K15" s="427"/>
      <c r="L15" s="543"/>
      <c r="M15" s="543"/>
      <c r="N15" s="543">
        <f>1000000/2</f>
        <v>500000</v>
      </c>
      <c r="O15" s="506">
        <f>1000000/2</f>
        <v>500000</v>
      </c>
      <c r="P15" s="506">
        <f>5200000/3/4</f>
        <v>433333.33333333331</v>
      </c>
      <c r="Q15" s="506">
        <f>5200000/3/4</f>
        <v>433333.33333333331</v>
      </c>
      <c r="R15" s="506">
        <f>5200000/3/4</f>
        <v>433333.33333333331</v>
      </c>
      <c r="S15" s="506">
        <f>5200000/3/4</f>
        <v>433333.33333333331</v>
      </c>
      <c r="T15" s="496">
        <f>5200000/3</f>
        <v>1733333.3333333333</v>
      </c>
      <c r="U15" s="496">
        <f>5200000/3/2</f>
        <v>866666.66666666663</v>
      </c>
      <c r="V15" s="496">
        <f>5200000/3/2</f>
        <v>866666.66666666663</v>
      </c>
      <c r="W15" s="496">
        <v>0</v>
      </c>
      <c r="X15" s="487"/>
      <c r="Y15" s="551"/>
      <c r="Z15" s="5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c r="A16" s="462" t="s">
        <v>1017</v>
      </c>
      <c r="B16" s="439" t="s">
        <v>6</v>
      </c>
      <c r="C16" s="439" t="s">
        <v>1008</v>
      </c>
      <c r="D16" s="439" t="s">
        <v>489</v>
      </c>
      <c r="E16" s="487"/>
      <c r="F16" s="427"/>
      <c r="G16" s="427"/>
      <c r="H16" s="427"/>
      <c r="I16" s="543">
        <v>0</v>
      </c>
      <c r="J16" s="543">
        <v>0</v>
      </c>
      <c r="K16" s="427"/>
      <c r="L16" s="543">
        <v>0</v>
      </c>
      <c r="M16" s="543">
        <v>0</v>
      </c>
      <c r="N16" s="543">
        <v>0</v>
      </c>
      <c r="O16" s="506">
        <v>0</v>
      </c>
      <c r="P16" s="506">
        <v>0</v>
      </c>
      <c r="Q16" s="506">
        <v>0</v>
      </c>
      <c r="R16" s="506">
        <v>0</v>
      </c>
      <c r="S16" s="506">
        <v>0</v>
      </c>
      <c r="T16" s="496">
        <v>0</v>
      </c>
      <c r="U16" s="496">
        <v>0</v>
      </c>
      <c r="V16" s="496">
        <v>0</v>
      </c>
      <c r="W16" s="496">
        <v>0</v>
      </c>
      <c r="X16" s="427"/>
      <c r="Y16" s="551"/>
      <c r="Z16" s="5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c r="A17" s="462" t="s">
        <v>1018</v>
      </c>
      <c r="B17" s="439" t="s">
        <v>6</v>
      </c>
      <c r="C17" s="439" t="s">
        <v>1019</v>
      </c>
      <c r="D17" s="439" t="s">
        <v>489</v>
      </c>
      <c r="E17" s="496"/>
      <c r="F17" s="468"/>
      <c r="G17" s="468"/>
      <c r="H17" s="468"/>
      <c r="I17" s="543"/>
      <c r="J17" s="543">
        <v>0</v>
      </c>
      <c r="K17" s="468"/>
      <c r="L17" s="543"/>
      <c r="M17" s="543"/>
      <c r="N17" s="543"/>
      <c r="O17" s="506"/>
      <c r="P17" s="506">
        <v>0</v>
      </c>
      <c r="Q17" s="506">
        <v>0</v>
      </c>
      <c r="R17" s="506">
        <v>0</v>
      </c>
      <c r="S17" s="506">
        <v>0</v>
      </c>
      <c r="T17" s="496">
        <f>2187500*0.5</f>
        <v>1093750</v>
      </c>
      <c r="U17" s="496">
        <f>T17/2</f>
        <v>546875</v>
      </c>
      <c r="V17" s="496">
        <f>U17</f>
        <v>546875</v>
      </c>
      <c r="W17" s="496">
        <v>0</v>
      </c>
      <c r="X17" s="427"/>
      <c r="Y17" s="527"/>
      <c r="Z17" s="5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c r="A18" s="462" t="s">
        <v>1020</v>
      </c>
      <c r="B18" s="439" t="s">
        <v>6</v>
      </c>
      <c r="C18" s="439" t="s">
        <v>1021</v>
      </c>
      <c r="D18" s="439" t="s">
        <v>489</v>
      </c>
      <c r="E18" s="496"/>
      <c r="F18" s="468"/>
      <c r="G18" s="468"/>
      <c r="H18" s="468"/>
      <c r="I18" s="543"/>
      <c r="J18" s="543"/>
      <c r="K18" s="468"/>
      <c r="L18" s="543"/>
      <c r="M18" s="543">
        <v>1000000</v>
      </c>
      <c r="N18" s="543"/>
      <c r="O18" s="506"/>
      <c r="P18" s="506"/>
      <c r="Q18" s="506"/>
      <c r="R18" s="506"/>
      <c r="S18" s="506"/>
      <c r="T18" s="496"/>
      <c r="U18" s="496"/>
      <c r="V18" s="496"/>
      <c r="W18" s="496"/>
      <c r="X18" s="427"/>
      <c r="Y18" s="527"/>
      <c r="Z18" s="5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5" customFormat="1">
      <c r="A19" s="462" t="s">
        <v>1022</v>
      </c>
      <c r="B19" s="530" t="s">
        <v>6</v>
      </c>
      <c r="C19" s="528" t="s">
        <v>1023</v>
      </c>
      <c r="D19" s="530" t="s">
        <v>929</v>
      </c>
      <c r="E19" s="496"/>
      <c r="F19" s="459"/>
      <c r="G19" s="459"/>
      <c r="H19" s="459"/>
      <c r="I19" s="543">
        <v>0</v>
      </c>
      <c r="J19" s="543">
        <v>0</v>
      </c>
      <c r="K19" s="459"/>
      <c r="L19" s="543">
        <v>0</v>
      </c>
      <c r="M19" s="543">
        <v>0</v>
      </c>
      <c r="N19" s="543">
        <v>0</v>
      </c>
      <c r="O19" s="506">
        <v>0</v>
      </c>
      <c r="P19" s="506">
        <v>0</v>
      </c>
      <c r="Q19" s="506">
        <v>0</v>
      </c>
      <c r="R19" s="506">
        <v>0</v>
      </c>
      <c r="S19" s="506">
        <v>0</v>
      </c>
      <c r="T19" s="496">
        <v>0</v>
      </c>
      <c r="U19" s="496">
        <v>0</v>
      </c>
      <c r="V19" s="496">
        <v>0</v>
      </c>
      <c r="W19" s="496">
        <v>0</v>
      </c>
      <c r="X19" s="427"/>
      <c r="Y19" s="5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c r="A20" s="462" t="s">
        <v>1024</v>
      </c>
      <c r="B20" s="439" t="s">
        <v>6</v>
      </c>
      <c r="C20" s="439" t="s">
        <v>1021</v>
      </c>
      <c r="D20" s="439" t="s">
        <v>929</v>
      </c>
      <c r="E20" s="496"/>
      <c r="F20" s="427"/>
      <c r="G20" s="427"/>
      <c r="H20" s="427"/>
      <c r="I20" s="543">
        <v>0</v>
      </c>
      <c r="J20" s="543">
        <v>0</v>
      </c>
      <c r="K20" s="427"/>
      <c r="L20" s="543">
        <v>0</v>
      </c>
      <c r="M20" s="543">
        <v>1250000</v>
      </c>
      <c r="N20" s="543">
        <v>0</v>
      </c>
      <c r="O20" s="506">
        <v>0</v>
      </c>
      <c r="P20" s="506">
        <v>0</v>
      </c>
      <c r="Q20" s="506">
        <v>0</v>
      </c>
      <c r="R20" s="506">
        <v>0</v>
      </c>
      <c r="S20" s="506">
        <v>0</v>
      </c>
      <c r="T20" s="496">
        <v>0</v>
      </c>
      <c r="U20" s="496">
        <v>0</v>
      </c>
      <c r="V20" s="496">
        <v>0</v>
      </c>
      <c r="W20" s="496">
        <v>0</v>
      </c>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c r="A21" s="462" t="s">
        <v>1025</v>
      </c>
      <c r="B21" s="439" t="s">
        <v>6</v>
      </c>
      <c r="C21" s="439" t="s">
        <v>1026</v>
      </c>
      <c r="D21" s="439" t="s">
        <v>929</v>
      </c>
      <c r="E21" s="496"/>
      <c r="F21" s="473"/>
      <c r="G21" s="473"/>
      <c r="H21" s="473"/>
      <c r="I21" s="543">
        <v>0</v>
      </c>
      <c r="J21" s="543">
        <v>0</v>
      </c>
      <c r="K21" s="473"/>
      <c r="L21" s="543">
        <v>0</v>
      </c>
      <c r="M21" s="543">
        <v>0</v>
      </c>
      <c r="N21" s="543">
        <v>0</v>
      </c>
      <c r="O21" s="543">
        <v>0</v>
      </c>
      <c r="P21" s="543">
        <v>0</v>
      </c>
      <c r="Q21" s="543">
        <v>0</v>
      </c>
      <c r="R21" s="543">
        <v>0</v>
      </c>
      <c r="S21" s="543">
        <v>0</v>
      </c>
      <c r="T21" s="496">
        <v>0</v>
      </c>
      <c r="U21" s="496">
        <v>0</v>
      </c>
      <c r="V21" s="496">
        <v>0</v>
      </c>
      <c r="W21" s="496">
        <v>0</v>
      </c>
      <c r="X21" s="427"/>
      <c r="Y21" s="527"/>
      <c r="Z21" s="5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462" t="s">
        <v>1027</v>
      </c>
      <c r="B22" s="439" t="s">
        <v>6</v>
      </c>
      <c r="C22" s="439" t="s">
        <v>1028</v>
      </c>
      <c r="D22" s="439" t="s">
        <v>929</v>
      </c>
      <c r="E22" s="496"/>
      <c r="F22" s="459"/>
      <c r="G22" s="459"/>
      <c r="H22" s="459"/>
      <c r="I22" s="543">
        <v>0</v>
      </c>
      <c r="J22" s="543">
        <v>0</v>
      </c>
      <c r="K22" s="459"/>
      <c r="L22" s="543"/>
      <c r="M22" s="543"/>
      <c r="N22" s="543"/>
      <c r="O22" s="543">
        <v>0</v>
      </c>
      <c r="P22" s="543">
        <v>0</v>
      </c>
      <c r="Q22" s="543">
        <v>0</v>
      </c>
      <c r="R22" s="543">
        <v>0</v>
      </c>
      <c r="S22" s="543">
        <v>2500000</v>
      </c>
      <c r="T22" s="496">
        <v>0</v>
      </c>
      <c r="U22" s="496">
        <v>0</v>
      </c>
      <c r="V22" s="496">
        <v>0</v>
      </c>
      <c r="W22" s="496">
        <v>0</v>
      </c>
      <c r="X22" s="520"/>
      <c r="Y22" s="527"/>
      <c r="Z22" s="5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row>
    <row r="23" spans="1:54">
      <c r="A23" s="462" t="s">
        <v>108</v>
      </c>
      <c r="B23" s="439" t="s">
        <v>6</v>
      </c>
      <c r="C23" s="439" t="s">
        <v>1029</v>
      </c>
      <c r="D23" s="439" t="s">
        <v>930</v>
      </c>
      <c r="E23" s="496"/>
      <c r="F23" s="459"/>
      <c r="G23" s="459"/>
      <c r="H23" s="459"/>
      <c r="I23" s="543"/>
      <c r="J23" s="543"/>
      <c r="K23" s="459"/>
      <c r="L23" s="543"/>
      <c r="M23" s="543"/>
      <c r="N23" s="543"/>
      <c r="O23" s="543"/>
      <c r="P23" s="543"/>
      <c r="Q23" s="543"/>
      <c r="R23" s="543"/>
      <c r="S23" s="543">
        <f>500000+1600000</f>
        <v>2100000</v>
      </c>
      <c r="T23" s="496">
        <v>250000</v>
      </c>
      <c r="U23" s="496">
        <v>650000</v>
      </c>
      <c r="V23" s="496"/>
      <c r="W23" s="496"/>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462" t="s">
        <v>109</v>
      </c>
      <c r="B24" s="439" t="s">
        <v>6</v>
      </c>
      <c r="C24" s="439" t="s">
        <v>1029</v>
      </c>
      <c r="D24" s="439" t="s">
        <v>932</v>
      </c>
      <c r="E24" s="496"/>
      <c r="F24" s="459"/>
      <c r="G24" s="459"/>
      <c r="H24" s="459"/>
      <c r="I24" s="543"/>
      <c r="J24" s="543"/>
      <c r="K24" s="459"/>
      <c r="L24" s="543"/>
      <c r="M24" s="543"/>
      <c r="N24" s="543"/>
      <c r="O24" s="543"/>
      <c r="P24" s="543"/>
      <c r="Q24" s="543"/>
      <c r="R24" s="543">
        <v>0</v>
      </c>
      <c r="S24" s="543">
        <v>0</v>
      </c>
      <c r="T24" s="496">
        <v>2000000</v>
      </c>
      <c r="U24" s="496">
        <v>2000000</v>
      </c>
      <c r="V24" s="496">
        <v>4000000</v>
      </c>
      <c r="W24" s="496">
        <v>4000000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933</v>
      </c>
      <c r="B25" s="439" t="s">
        <v>826</v>
      </c>
      <c r="C25" s="439" t="s">
        <v>934</v>
      </c>
      <c r="D25" s="427"/>
      <c r="E25" s="496"/>
      <c r="F25" s="459"/>
      <c r="G25" s="459"/>
      <c r="H25" s="459"/>
      <c r="I25" s="496">
        <v>1515000</v>
      </c>
      <c r="J25" s="496">
        <v>1470208.333333333</v>
      </c>
      <c r="K25" s="459"/>
      <c r="L25" s="496">
        <f t="shared" ref="L25:W25" si="0">SUM(L6:L24)</f>
        <v>280000</v>
      </c>
      <c r="M25" s="496">
        <f t="shared" si="0"/>
        <v>2530000</v>
      </c>
      <c r="N25" s="496">
        <f t="shared" si="0"/>
        <v>1675000</v>
      </c>
      <c r="O25" s="496">
        <f t="shared" si="0"/>
        <v>1515000</v>
      </c>
      <c r="P25" s="496">
        <f t="shared" si="0"/>
        <v>1470208.3333333333</v>
      </c>
      <c r="Q25" s="496">
        <f t="shared" si="0"/>
        <v>1470208.3333333333</v>
      </c>
      <c r="R25" s="496">
        <f t="shared" si="0"/>
        <v>1470208.3333333333</v>
      </c>
      <c r="S25" s="496">
        <f t="shared" si="0"/>
        <v>6070208.333333333</v>
      </c>
      <c r="T25" s="496">
        <f t="shared" si="0"/>
        <v>7609583.333333333</v>
      </c>
      <c r="U25" s="496">
        <f t="shared" si="0"/>
        <v>4063541.6666666665</v>
      </c>
      <c r="V25" s="496">
        <f t="shared" si="0"/>
        <v>5413541.666666666</v>
      </c>
      <c r="W25" s="496">
        <f t="shared" si="0"/>
        <v>4000000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935</v>
      </c>
      <c r="B27" s="439" t="s">
        <v>6</v>
      </c>
      <c r="C27" s="427"/>
      <c r="D27" s="427"/>
      <c r="E27" s="496"/>
      <c r="F27" s="459"/>
      <c r="G27" s="459"/>
      <c r="H27" s="459"/>
      <c r="I27" s="543">
        <v>-745000</v>
      </c>
      <c r="J27" s="543">
        <v>-1470208</v>
      </c>
      <c r="K27" s="459"/>
      <c r="L27" s="543">
        <f>-SUM(L6:L24)</f>
        <v>-280000</v>
      </c>
      <c r="M27" s="543">
        <f>-SUM(M6:M24)</f>
        <v>-2530000</v>
      </c>
      <c r="N27" s="543">
        <v>-1155000</v>
      </c>
      <c r="O27" s="543">
        <v>-745000</v>
      </c>
      <c r="P27" s="543">
        <v>-1470208</v>
      </c>
      <c r="Q27" s="543">
        <f>-1000000+310000</f>
        <v>-690000</v>
      </c>
      <c r="R27" s="543">
        <v>-1000000</v>
      </c>
      <c r="S27" s="543">
        <v>-2100000</v>
      </c>
      <c r="T27" s="496">
        <f>-1500000-2000000-250000</f>
        <v>-3750000</v>
      </c>
      <c r="U27" s="496">
        <f>-2000000-650000</f>
        <v>-2650000</v>
      </c>
      <c r="V27" s="496">
        <v>-4000000</v>
      </c>
      <c r="W27" s="496">
        <v>-4000000</v>
      </c>
      <c r="X27" s="544" t="s">
        <v>918</v>
      </c>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937</v>
      </c>
      <c r="B28" s="439" t="s">
        <v>6</v>
      </c>
      <c r="C28" s="439" t="s">
        <v>938</v>
      </c>
      <c r="D28" s="427"/>
      <c r="E28" s="496"/>
      <c r="F28" s="459"/>
      <c r="G28" s="459"/>
      <c r="H28" s="459"/>
      <c r="I28" s="543"/>
      <c r="J28" s="543">
        <v>1508647.32</v>
      </c>
      <c r="K28" s="459"/>
      <c r="L28" s="543"/>
      <c r="M28" s="543"/>
      <c r="N28" s="543"/>
      <c r="O28" s="543"/>
      <c r="P28" s="543">
        <v>1508647.32</v>
      </c>
      <c r="Q28" s="543">
        <v>1177500</v>
      </c>
      <c r="R28" s="543">
        <v>1177500</v>
      </c>
      <c r="S28" s="543">
        <v>1177500</v>
      </c>
      <c r="T28" s="496">
        <v>4929060.68</v>
      </c>
      <c r="U28" s="496">
        <v>3750000</v>
      </c>
      <c r="V28" s="496">
        <v>650000</v>
      </c>
      <c r="W28" s="496">
        <v>1999999.666666667</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939</v>
      </c>
      <c r="B29" s="439" t="s">
        <v>826</v>
      </c>
      <c r="C29" s="439" t="s">
        <v>940</v>
      </c>
      <c r="D29" s="427"/>
      <c r="E29" s="496"/>
      <c r="F29" s="459"/>
      <c r="G29" s="459"/>
      <c r="H29" s="459"/>
      <c r="I29" s="496">
        <v>-4710000</v>
      </c>
      <c r="J29" s="496">
        <v>-4671560.68</v>
      </c>
      <c r="K29" s="459"/>
      <c r="L29" s="496">
        <f>+L27+E29+L28</f>
        <v>-280000</v>
      </c>
      <c r="M29" s="496">
        <f t="shared" ref="M29:W29" si="1">+M27+L29+M28</f>
        <v>-2810000</v>
      </c>
      <c r="N29" s="496">
        <f t="shared" si="1"/>
        <v>-3965000</v>
      </c>
      <c r="O29" s="496">
        <f t="shared" si="1"/>
        <v>-4710000</v>
      </c>
      <c r="P29" s="496">
        <f t="shared" si="1"/>
        <v>-4671560.68</v>
      </c>
      <c r="Q29" s="496">
        <f t="shared" si="1"/>
        <v>-4184060.6799999997</v>
      </c>
      <c r="R29" s="496">
        <f t="shared" si="1"/>
        <v>-4006560.6799999997</v>
      </c>
      <c r="S29" s="496">
        <f t="shared" si="1"/>
        <v>-4929060.68</v>
      </c>
      <c r="T29" s="496">
        <f t="shared" si="1"/>
        <v>-3750000</v>
      </c>
      <c r="U29" s="496">
        <f t="shared" si="1"/>
        <v>-2650000</v>
      </c>
      <c r="V29" s="496">
        <f t="shared" si="1"/>
        <v>-6000000</v>
      </c>
      <c r="W29" s="496">
        <f t="shared" si="1"/>
        <v>-8000000.333333333</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941</v>
      </c>
      <c r="B31" s="439" t="s">
        <v>826</v>
      </c>
      <c r="C31" s="439" t="s">
        <v>942</v>
      </c>
      <c r="D31" s="427"/>
      <c r="E31" s="554"/>
      <c r="F31" s="459"/>
      <c r="G31" s="459"/>
      <c r="H31" s="459"/>
      <c r="I31" s="554">
        <v>770000</v>
      </c>
      <c r="J31" s="554">
        <v>0.33333333325572312</v>
      </c>
      <c r="K31" s="459"/>
      <c r="L31" s="554">
        <f t="shared" ref="L31:W31" si="2">+L25+L27</f>
        <v>0</v>
      </c>
      <c r="M31" s="554">
        <f t="shared" si="2"/>
        <v>0</v>
      </c>
      <c r="N31" s="554">
        <f t="shared" si="2"/>
        <v>520000</v>
      </c>
      <c r="O31" s="554">
        <f t="shared" si="2"/>
        <v>770000</v>
      </c>
      <c r="P31" s="554">
        <f t="shared" si="2"/>
        <v>0.33333333325572312</v>
      </c>
      <c r="Q31" s="554">
        <f t="shared" si="2"/>
        <v>780208.33333333326</v>
      </c>
      <c r="R31" s="554">
        <f t="shared" si="2"/>
        <v>470208.33333333326</v>
      </c>
      <c r="S31" s="554">
        <f t="shared" si="2"/>
        <v>3970208.333333333</v>
      </c>
      <c r="T31" s="487">
        <f t="shared" si="2"/>
        <v>3859583.333333333</v>
      </c>
      <c r="U31" s="487">
        <f t="shared" si="2"/>
        <v>1413541.6666666665</v>
      </c>
      <c r="V31" s="487">
        <f t="shared" si="2"/>
        <v>1413541.666666666</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943</v>
      </c>
      <c r="B32" s="439" t="s">
        <v>826</v>
      </c>
      <c r="C32" s="439" t="s">
        <v>944</v>
      </c>
      <c r="D32" s="427"/>
      <c r="E32" s="554"/>
      <c r="F32" s="459"/>
      <c r="G32" s="459"/>
      <c r="H32" s="459"/>
      <c r="I32" s="554">
        <v>770000</v>
      </c>
      <c r="J32" s="554">
        <v>1508647.6533333331</v>
      </c>
      <c r="K32" s="459"/>
      <c r="L32" s="554">
        <f t="shared" ref="L32:W32" si="3">+L28+L31</f>
        <v>0</v>
      </c>
      <c r="M32" s="554">
        <f t="shared" si="3"/>
        <v>0</v>
      </c>
      <c r="N32" s="554">
        <f t="shared" si="3"/>
        <v>520000</v>
      </c>
      <c r="O32" s="554">
        <f t="shared" si="3"/>
        <v>770000</v>
      </c>
      <c r="P32" s="554">
        <f t="shared" si="3"/>
        <v>1508647.6533333333</v>
      </c>
      <c r="Q32" s="554">
        <f t="shared" si="3"/>
        <v>1957708.3333333333</v>
      </c>
      <c r="R32" s="554">
        <f t="shared" si="3"/>
        <v>1647708.3333333333</v>
      </c>
      <c r="S32" s="554">
        <f t="shared" si="3"/>
        <v>5147708.333333333</v>
      </c>
      <c r="T32" s="487">
        <f t="shared" si="3"/>
        <v>8788644.0133333318</v>
      </c>
      <c r="U32" s="487">
        <f t="shared" si="3"/>
        <v>5163541.666666666</v>
      </c>
      <c r="V32" s="487">
        <f t="shared" si="3"/>
        <v>2063541.666666666</v>
      </c>
      <c r="W32" s="487">
        <f t="shared" si="3"/>
        <v>1999999.666666667</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945</v>
      </c>
      <c r="B34" s="427"/>
      <c r="C34" s="427"/>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566" t="s">
        <v>1030</v>
      </c>
      <c r="B35" s="439" t="s">
        <v>6</v>
      </c>
      <c r="C35" s="439" t="s">
        <v>1031</v>
      </c>
      <c r="D35" s="439" t="s">
        <v>917</v>
      </c>
      <c r="E35" s="487"/>
      <c r="F35" s="427"/>
      <c r="G35" s="427"/>
      <c r="H35" s="427"/>
      <c r="I35" s="506">
        <v>22110.5</v>
      </c>
      <c r="J35" s="506">
        <v>45000</v>
      </c>
      <c r="K35" s="427"/>
      <c r="L35" s="506">
        <f>88442/4</f>
        <v>22110.5</v>
      </c>
      <c r="M35" s="506">
        <f>88442/4</f>
        <v>22110.5</v>
      </c>
      <c r="N35" s="506">
        <f>88442/4</f>
        <v>22110.5</v>
      </c>
      <c r="O35" s="506">
        <f>88442/4</f>
        <v>22110.5</v>
      </c>
      <c r="P35" s="506">
        <f>180000/4</f>
        <v>45000</v>
      </c>
      <c r="Q35" s="506">
        <f>180000/4</f>
        <v>45000</v>
      </c>
      <c r="R35" s="506">
        <f>180000/4</f>
        <v>45000</v>
      </c>
      <c r="S35" s="506">
        <f>180000/4</f>
        <v>45000</v>
      </c>
      <c r="T35" s="487">
        <v>180000</v>
      </c>
      <c r="U35" s="487">
        <v>180000</v>
      </c>
      <c r="V35" s="487">
        <v>180000</v>
      </c>
      <c r="W35" s="487">
        <v>180000</v>
      </c>
      <c r="X35" s="505" t="s">
        <v>918</v>
      </c>
      <c r="Y35" s="48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1032</v>
      </c>
      <c r="B36" s="439" t="s">
        <v>6</v>
      </c>
      <c r="C36" s="439" t="s">
        <v>1033</v>
      </c>
      <c r="D36" s="439" t="s">
        <v>922</v>
      </c>
      <c r="E36" s="529">
        <v>667500</v>
      </c>
      <c r="F36" s="485"/>
      <c r="G36" s="485"/>
      <c r="H36" s="485"/>
      <c r="I36" s="506">
        <v>22954.75</v>
      </c>
      <c r="J36" s="506">
        <v>60000</v>
      </c>
      <c r="K36" s="485"/>
      <c r="L36" s="506">
        <f>91819/4</f>
        <v>22954.75</v>
      </c>
      <c r="M36" s="506">
        <f>91819/4</f>
        <v>22954.75</v>
      </c>
      <c r="N36" s="506">
        <f>91819/4</f>
        <v>22954.75</v>
      </c>
      <c r="O36" s="506">
        <f>91819/4</f>
        <v>22954.75</v>
      </c>
      <c r="P36" s="506">
        <f>240000/4</f>
        <v>60000</v>
      </c>
      <c r="Q36" s="506">
        <f>240000/4</f>
        <v>60000</v>
      </c>
      <c r="R36" s="506">
        <f>240000/4</f>
        <v>60000</v>
      </c>
      <c r="S36" s="506">
        <f>240000/4</f>
        <v>60000</v>
      </c>
      <c r="T36" s="487">
        <v>240000</v>
      </c>
      <c r="U36" s="487">
        <v>240000</v>
      </c>
      <c r="V36" s="487">
        <v>240000</v>
      </c>
      <c r="W36" s="487">
        <v>240000</v>
      </c>
      <c r="X36" s="487"/>
      <c r="Y36" s="48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1034</v>
      </c>
      <c r="B37" s="439" t="s">
        <v>6</v>
      </c>
      <c r="C37" s="439" t="s">
        <v>1031</v>
      </c>
      <c r="D37" s="439" t="s">
        <v>927</v>
      </c>
      <c r="E37" s="487"/>
      <c r="F37" s="485"/>
      <c r="G37" s="485"/>
      <c r="H37" s="485"/>
      <c r="I37" s="506">
        <v>0</v>
      </c>
      <c r="J37" s="506">
        <v>50000</v>
      </c>
      <c r="K37" s="485"/>
      <c r="L37" s="506">
        <f>200000/4*0</f>
        <v>0</v>
      </c>
      <c r="M37" s="506">
        <f>200000/4*0</f>
        <v>0</v>
      </c>
      <c r="N37" s="506">
        <f>200000/4*0</f>
        <v>0</v>
      </c>
      <c r="O37" s="506">
        <f>200000/4*0</f>
        <v>0</v>
      </c>
      <c r="P37" s="506">
        <f>200000/4</f>
        <v>50000</v>
      </c>
      <c r="Q37" s="506">
        <f>400000/4</f>
        <v>100000</v>
      </c>
      <c r="R37" s="506">
        <f>200000/4</f>
        <v>50000</v>
      </c>
      <c r="S37" s="506">
        <f>200000/4</f>
        <v>50000</v>
      </c>
      <c r="T37" s="487">
        <v>200000</v>
      </c>
      <c r="U37" s="487">
        <v>200000</v>
      </c>
      <c r="V37" s="487">
        <v>200000</v>
      </c>
      <c r="W37" s="487">
        <v>200000</v>
      </c>
      <c r="X37" s="487"/>
      <c r="Y37" s="48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1035</v>
      </c>
      <c r="B38" s="439" t="s">
        <v>6</v>
      </c>
      <c r="C38" s="439" t="s">
        <v>1031</v>
      </c>
      <c r="D38" s="439" t="s">
        <v>489</v>
      </c>
      <c r="E38" s="487"/>
      <c r="F38" s="485"/>
      <c r="G38" s="485"/>
      <c r="H38" s="485"/>
      <c r="I38" s="506">
        <v>0</v>
      </c>
      <c r="J38" s="506">
        <v>0</v>
      </c>
      <c r="K38" s="485"/>
      <c r="L38" s="506">
        <v>0</v>
      </c>
      <c r="M38" s="506">
        <v>0</v>
      </c>
      <c r="N38" s="506">
        <v>0</v>
      </c>
      <c r="O38" s="506">
        <v>0</v>
      </c>
      <c r="P38" s="506">
        <v>0</v>
      </c>
      <c r="Q38" s="506">
        <f>180000/4</f>
        <v>45000</v>
      </c>
      <c r="R38" s="506">
        <f>180000/4</f>
        <v>45000</v>
      </c>
      <c r="S38" s="506">
        <f>+R38</f>
        <v>45000</v>
      </c>
      <c r="T38" s="487">
        <v>180000</v>
      </c>
      <c r="U38" s="487">
        <v>180000</v>
      </c>
      <c r="V38" s="487">
        <v>180000</v>
      </c>
      <c r="W38" s="487">
        <v>180000</v>
      </c>
      <c r="X38" s="487"/>
      <c r="Y38" s="48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1036</v>
      </c>
      <c r="B39" s="439" t="s">
        <v>6</v>
      </c>
      <c r="C39" s="439" t="s">
        <v>1037</v>
      </c>
      <c r="D39" s="439" t="s">
        <v>489</v>
      </c>
      <c r="E39" s="487"/>
      <c r="F39" s="485"/>
      <c r="G39" s="485"/>
      <c r="H39" s="485"/>
      <c r="I39" s="506">
        <v>0</v>
      </c>
      <c r="J39" s="506">
        <v>0</v>
      </c>
      <c r="K39" s="485"/>
      <c r="L39" s="506">
        <v>0</v>
      </c>
      <c r="M39" s="506">
        <v>0</v>
      </c>
      <c r="N39" s="506">
        <v>0</v>
      </c>
      <c r="O39" s="506">
        <v>0</v>
      </c>
      <c r="P39" s="506">
        <v>0</v>
      </c>
      <c r="Q39" s="506">
        <v>0</v>
      </c>
      <c r="R39" s="506">
        <v>0</v>
      </c>
      <c r="S39" s="506">
        <v>0</v>
      </c>
      <c r="T39" s="487">
        <v>0</v>
      </c>
      <c r="U39" s="487">
        <v>0</v>
      </c>
      <c r="V39" s="487">
        <v>200000</v>
      </c>
      <c r="W39" s="487">
        <v>206000</v>
      </c>
      <c r="X39" s="487"/>
      <c r="Y39" s="48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c r="A40" s="566" t="s">
        <v>1038</v>
      </c>
      <c r="B40" s="439" t="s">
        <v>6</v>
      </c>
      <c r="C40" s="439" t="s">
        <v>1031</v>
      </c>
      <c r="D40" s="439" t="s">
        <v>929</v>
      </c>
      <c r="E40" s="487"/>
      <c r="F40" s="459"/>
      <c r="G40" s="459"/>
      <c r="H40" s="459"/>
      <c r="I40" s="506">
        <v>0</v>
      </c>
      <c r="J40" s="506">
        <v>27000</v>
      </c>
      <c r="K40" s="459"/>
      <c r="L40" s="506"/>
      <c r="M40" s="506">
        <f>108000/4*0</f>
        <v>0</v>
      </c>
      <c r="N40" s="506">
        <f>108000/4*0</f>
        <v>0</v>
      </c>
      <c r="O40" s="506">
        <f>108000/4*0</f>
        <v>0</v>
      </c>
      <c r="P40" s="506">
        <f>108000/4</f>
        <v>27000</v>
      </c>
      <c r="Q40" s="506">
        <f>+P40</f>
        <v>27000</v>
      </c>
      <c r="R40" s="506">
        <f>+Q40</f>
        <v>27000</v>
      </c>
      <c r="S40" s="506">
        <f>+R40</f>
        <v>27000</v>
      </c>
      <c r="T40" s="487">
        <v>108000</v>
      </c>
      <c r="U40" s="487">
        <v>108000</v>
      </c>
      <c r="V40" s="487">
        <v>108000</v>
      </c>
      <c r="W40" s="487">
        <v>108000</v>
      </c>
      <c r="X40" s="487"/>
      <c r="Y40" s="48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66" t="s">
        <v>1039</v>
      </c>
      <c r="B41" s="530" t="s">
        <v>6</v>
      </c>
      <c r="C41" s="528" t="s">
        <v>1037</v>
      </c>
      <c r="D41" s="530" t="s">
        <v>929</v>
      </c>
      <c r="E41" s="487"/>
      <c r="F41" s="485"/>
      <c r="G41" s="485"/>
      <c r="H41" s="485"/>
      <c r="I41" s="506">
        <v>12500</v>
      </c>
      <c r="J41" s="506">
        <v>12500</v>
      </c>
      <c r="K41" s="485"/>
      <c r="L41" s="506">
        <v>0</v>
      </c>
      <c r="M41" s="506">
        <v>0</v>
      </c>
      <c r="N41" s="506">
        <v>50400</v>
      </c>
      <c r="O41" s="506">
        <v>12500</v>
      </c>
      <c r="P41" s="506">
        <v>12500</v>
      </c>
      <c r="Q41" s="506">
        <v>12500</v>
      </c>
      <c r="R41" s="506">
        <v>12500</v>
      </c>
      <c r="S41" s="506"/>
      <c r="T41" s="487"/>
      <c r="U41" s="487"/>
      <c r="V41" s="487"/>
      <c r="W41" s="487"/>
      <c r="X41" s="487"/>
      <c r="Y41" s="48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66" t="s">
        <v>1040</v>
      </c>
      <c r="B42" s="530" t="s">
        <v>6</v>
      </c>
      <c r="C42" s="528" t="s">
        <v>1037</v>
      </c>
      <c r="D42" s="530" t="s">
        <v>917</v>
      </c>
      <c r="E42" s="487"/>
      <c r="F42" s="485"/>
      <c r="G42" s="485"/>
      <c r="H42" s="485"/>
      <c r="I42" s="506">
        <v>57077.25</v>
      </c>
      <c r="J42" s="506">
        <v>72879</v>
      </c>
      <c r="K42" s="485"/>
      <c r="L42" s="506">
        <v>57077.25</v>
      </c>
      <c r="M42" s="506">
        <v>57077.25</v>
      </c>
      <c r="N42" s="506">
        <v>57077.25</v>
      </c>
      <c r="O42" s="506">
        <v>57077.25</v>
      </c>
      <c r="P42" s="506">
        <v>72879</v>
      </c>
      <c r="Q42" s="506">
        <v>72879</v>
      </c>
      <c r="R42" s="506">
        <v>72879</v>
      </c>
      <c r="S42" s="506">
        <v>72879</v>
      </c>
      <c r="T42" s="487">
        <v>300261.48</v>
      </c>
      <c r="U42" s="487">
        <v>309269.32439999998</v>
      </c>
      <c r="V42" s="487">
        <v>318547.404132</v>
      </c>
      <c r="W42" s="487">
        <v>328103.82625595998</v>
      </c>
      <c r="X42" s="487"/>
      <c r="Y42" s="48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66" t="s">
        <v>1041</v>
      </c>
      <c r="B43" s="530" t="s">
        <v>6</v>
      </c>
      <c r="C43" s="528" t="s">
        <v>1037</v>
      </c>
      <c r="D43" s="530" t="s">
        <v>922</v>
      </c>
      <c r="E43" s="487"/>
      <c r="F43" s="485"/>
      <c r="G43" s="485"/>
      <c r="H43" s="485"/>
      <c r="I43" s="506">
        <v>49547.75</v>
      </c>
      <c r="J43" s="506">
        <v>63543</v>
      </c>
      <c r="K43" s="485"/>
      <c r="L43" s="506">
        <v>49547.75</v>
      </c>
      <c r="M43" s="506">
        <v>49547.75</v>
      </c>
      <c r="N43" s="506">
        <v>49547.75</v>
      </c>
      <c r="O43" s="506">
        <v>49547.75</v>
      </c>
      <c r="P43" s="506">
        <v>63543</v>
      </c>
      <c r="Q43" s="506">
        <v>63543</v>
      </c>
      <c r="R43" s="506">
        <v>63543</v>
      </c>
      <c r="S43" s="506">
        <v>63543</v>
      </c>
      <c r="T43" s="487">
        <v>261797.16</v>
      </c>
      <c r="U43" s="487">
        <v>269651.0748</v>
      </c>
      <c r="V43" s="487">
        <v>277740.607044</v>
      </c>
      <c r="W43" s="487">
        <v>286072.82525532</v>
      </c>
      <c r="X43" s="487"/>
      <c r="Y43" s="48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30" customFormat="1">
      <c r="A44" s="566" t="s">
        <v>931</v>
      </c>
      <c r="B44" s="428"/>
      <c r="C44" s="429"/>
      <c r="D44" s="428"/>
      <c r="E44" s="487"/>
      <c r="F44" s="485"/>
      <c r="G44" s="485"/>
      <c r="H44" s="485"/>
      <c r="I44" s="487"/>
      <c r="J44" s="487"/>
      <c r="K44" s="485"/>
      <c r="L44" s="487"/>
      <c r="M44" s="487"/>
      <c r="N44" s="487"/>
      <c r="O44" s="487"/>
      <c r="P44" s="487"/>
      <c r="Q44" s="487"/>
      <c r="R44" s="487"/>
      <c r="S44" s="487"/>
      <c r="T44" s="487"/>
      <c r="U44" s="487"/>
      <c r="V44" s="487"/>
      <c r="W44" s="487"/>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c r="A45" s="566" t="s">
        <v>108</v>
      </c>
      <c r="B45" s="439" t="s">
        <v>6</v>
      </c>
      <c r="C45" s="439" t="s">
        <v>1029</v>
      </c>
      <c r="D45" s="439" t="s">
        <v>930</v>
      </c>
      <c r="E45" s="487"/>
      <c r="F45" s="485"/>
      <c r="G45" s="485"/>
      <c r="H45" s="485"/>
      <c r="I45" s="506"/>
      <c r="J45" s="506"/>
      <c r="K45" s="485"/>
      <c r="L45" s="506"/>
      <c r="M45" s="506"/>
      <c r="N45" s="506"/>
      <c r="O45" s="506"/>
      <c r="P45" s="506"/>
      <c r="Q45" s="506"/>
      <c r="R45" s="506"/>
      <c r="S45" s="506"/>
      <c r="T45" s="487">
        <f>240000*0.5</f>
        <v>120000</v>
      </c>
      <c r="U45" s="487">
        <f>240000*0.75</f>
        <v>180000</v>
      </c>
      <c r="V45" s="487">
        <v>240000</v>
      </c>
      <c r="W45" s="487">
        <v>240000</v>
      </c>
      <c r="X45" s="487"/>
      <c r="Y45" s="48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949</v>
      </c>
      <c r="B46" s="530" t="s">
        <v>826</v>
      </c>
      <c r="C46" s="528" t="s">
        <v>950</v>
      </c>
      <c r="D46" s="428"/>
      <c r="E46" s="496"/>
      <c r="F46" s="485"/>
      <c r="G46" s="485"/>
      <c r="H46" s="485"/>
      <c r="I46" s="496">
        <v>164190.25</v>
      </c>
      <c r="J46" s="496">
        <v>330922</v>
      </c>
      <c r="K46" s="485"/>
      <c r="L46" s="496">
        <f t="shared" ref="L46:W46" si="4">SUM(L35:L45)</f>
        <v>151690.25</v>
      </c>
      <c r="M46" s="496">
        <f t="shared" si="4"/>
        <v>151690.25</v>
      </c>
      <c r="N46" s="496">
        <f t="shared" si="4"/>
        <v>202090.25</v>
      </c>
      <c r="O46" s="496">
        <f t="shared" si="4"/>
        <v>164190.25</v>
      </c>
      <c r="P46" s="496">
        <f t="shared" si="4"/>
        <v>330922</v>
      </c>
      <c r="Q46" s="496">
        <f t="shared" si="4"/>
        <v>425922</v>
      </c>
      <c r="R46" s="496">
        <f t="shared" si="4"/>
        <v>375922</v>
      </c>
      <c r="S46" s="496">
        <f t="shared" si="4"/>
        <v>363422</v>
      </c>
      <c r="T46" s="496">
        <f t="shared" si="4"/>
        <v>1590058.64</v>
      </c>
      <c r="U46" s="496">
        <f t="shared" si="4"/>
        <v>1666920.3992000001</v>
      </c>
      <c r="V46" s="496">
        <f t="shared" si="4"/>
        <v>1944288.0111759999</v>
      </c>
      <c r="W46" s="496">
        <f t="shared" si="4"/>
        <v>1968176.6515112799</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935</v>
      </c>
      <c r="B48" s="439" t="s">
        <v>6</v>
      </c>
      <c r="C48" s="427"/>
      <c r="D48" s="427"/>
      <c r="E48" s="496"/>
      <c r="F48" s="496"/>
      <c r="G48" s="496"/>
      <c r="H48" s="496"/>
      <c r="I48" s="543">
        <v>-22954.75</v>
      </c>
      <c r="J48" s="543">
        <v>-194500</v>
      </c>
      <c r="K48" s="496"/>
      <c r="L48" s="543">
        <f>-L36</f>
        <v>-22954.75</v>
      </c>
      <c r="M48" s="543">
        <f>-M36</f>
        <v>-22954.75</v>
      </c>
      <c r="N48" s="543">
        <f>-N36</f>
        <v>-22954.75</v>
      </c>
      <c r="O48" s="543">
        <f>-O36</f>
        <v>-22954.75</v>
      </c>
      <c r="P48" s="543">
        <v>-194500</v>
      </c>
      <c r="Q48" s="543"/>
      <c r="R48" s="543"/>
      <c r="S48" s="543"/>
      <c r="T48" s="496"/>
      <c r="U48" s="496"/>
      <c r="V48" s="496"/>
      <c r="W48" s="496">
        <v>0</v>
      </c>
      <c r="X48" s="528" t="s">
        <v>918</v>
      </c>
      <c r="Y48" s="527"/>
      <c r="Z48" s="427"/>
      <c r="AA48" s="427"/>
      <c r="AB48" s="427"/>
      <c r="AC48" s="427"/>
      <c r="AD48" s="427"/>
      <c r="AE48" s="427"/>
      <c r="AF48" s="427"/>
      <c r="AG48" s="427"/>
      <c r="AH48" s="427"/>
      <c r="AI48" s="427"/>
      <c r="AJ48" s="568"/>
      <c r="AK48" s="568"/>
      <c r="AL48" s="568"/>
      <c r="AM48" s="568"/>
      <c r="AN48" s="569"/>
      <c r="AO48" s="813"/>
      <c r="AP48" s="814"/>
      <c r="AQ48" s="814"/>
      <c r="AR48" s="814"/>
      <c r="AS48" s="814"/>
      <c r="AT48" s="814"/>
      <c r="AU48" s="427"/>
      <c r="AV48" s="813"/>
      <c r="AW48" s="814"/>
      <c r="AX48" s="814"/>
      <c r="AY48" s="814"/>
      <c r="AZ48" s="814"/>
      <c r="BA48" s="814"/>
      <c r="BB48" s="814"/>
    </row>
    <row r="49" spans="1:54" ht="15" customHeight="1">
      <c r="A49" s="567" t="s">
        <v>1042</v>
      </c>
      <c r="B49" s="439" t="s">
        <v>6</v>
      </c>
      <c r="C49" s="439" t="s">
        <v>953</v>
      </c>
      <c r="D49" s="427"/>
      <c r="E49" s="496"/>
      <c r="F49" s="496"/>
      <c r="G49" s="496"/>
      <c r="H49" s="496"/>
      <c r="I49" s="543"/>
      <c r="J49" s="543"/>
      <c r="K49" s="496"/>
      <c r="L49" s="543"/>
      <c r="M49" s="543"/>
      <c r="N49" s="543"/>
      <c r="O49" s="543"/>
      <c r="P49" s="543"/>
      <c r="Q49" s="543"/>
      <c r="R49" s="543">
        <v>91819</v>
      </c>
      <c r="S49" s="543">
        <v>194500</v>
      </c>
      <c r="T49" s="496">
        <f>-S48</f>
        <v>0</v>
      </c>
      <c r="U49" s="496">
        <f>-T48</f>
        <v>0</v>
      </c>
      <c r="V49" s="496">
        <f>-U48</f>
        <v>0</v>
      </c>
      <c r="W49" s="496">
        <f>-V48</f>
        <v>0</v>
      </c>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954</v>
      </c>
      <c r="B50" s="439" t="s">
        <v>826</v>
      </c>
      <c r="C50" s="439" t="s">
        <v>955</v>
      </c>
      <c r="D50" s="427"/>
      <c r="E50" s="496"/>
      <c r="F50" s="496"/>
      <c r="G50" s="496"/>
      <c r="H50" s="496"/>
      <c r="I50" s="496">
        <v>-91819</v>
      </c>
      <c r="J50" s="496">
        <v>-286319</v>
      </c>
      <c r="K50" s="496"/>
      <c r="L50" s="496">
        <f>+L48+E50+L49</f>
        <v>-22954.75</v>
      </c>
      <c r="M50" s="496">
        <f t="shared" ref="M50:W50" si="5">+M48+L50+M49</f>
        <v>-45909.5</v>
      </c>
      <c r="N50" s="496">
        <f t="shared" si="5"/>
        <v>-68864.25</v>
      </c>
      <c r="O50" s="496">
        <f t="shared" si="5"/>
        <v>-91819</v>
      </c>
      <c r="P50" s="496">
        <f t="shared" si="5"/>
        <v>-286319</v>
      </c>
      <c r="Q50" s="496">
        <f t="shared" si="5"/>
        <v>-286319</v>
      </c>
      <c r="R50" s="496">
        <f t="shared" si="5"/>
        <v>-194500</v>
      </c>
      <c r="S50" s="496">
        <f t="shared" si="5"/>
        <v>0</v>
      </c>
      <c r="T50" s="496">
        <f t="shared" si="5"/>
        <v>0</v>
      </c>
      <c r="U50" s="496">
        <f t="shared" si="5"/>
        <v>0</v>
      </c>
      <c r="V50" s="496">
        <f t="shared" si="5"/>
        <v>0</v>
      </c>
      <c r="W50" s="496">
        <f t="shared" si="5"/>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956</v>
      </c>
      <c r="B52" s="530" t="s">
        <v>826</v>
      </c>
      <c r="C52" s="528" t="s">
        <v>957</v>
      </c>
      <c r="D52" s="428"/>
      <c r="E52" s="558"/>
      <c r="F52" s="496"/>
      <c r="G52" s="496"/>
      <c r="H52" s="496"/>
      <c r="I52" s="558">
        <v>141235.5</v>
      </c>
      <c r="J52" s="558">
        <v>136422</v>
      </c>
      <c r="K52" s="496"/>
      <c r="L52" s="558">
        <f t="shared" ref="L52:W52" si="6">+L46+L48</f>
        <v>128735.5</v>
      </c>
      <c r="M52" s="554">
        <f t="shared" si="6"/>
        <v>128735.5</v>
      </c>
      <c r="N52" s="554">
        <f t="shared" si="6"/>
        <v>179135.5</v>
      </c>
      <c r="O52" s="554">
        <f t="shared" si="6"/>
        <v>141235.5</v>
      </c>
      <c r="P52" s="554">
        <f t="shared" si="6"/>
        <v>136422</v>
      </c>
      <c r="Q52" s="554">
        <f t="shared" si="6"/>
        <v>425922</v>
      </c>
      <c r="R52" s="554">
        <f t="shared" si="6"/>
        <v>375922</v>
      </c>
      <c r="S52" s="554">
        <f t="shared" si="6"/>
        <v>363422</v>
      </c>
      <c r="T52" s="479">
        <f t="shared" si="6"/>
        <v>1590058.64</v>
      </c>
      <c r="U52" s="479">
        <f t="shared" si="6"/>
        <v>1666920.3992000001</v>
      </c>
      <c r="V52" s="487">
        <f t="shared" si="6"/>
        <v>1944288.0111759999</v>
      </c>
      <c r="W52" s="487">
        <f t="shared" si="6"/>
        <v>1968176.6515112799</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958</v>
      </c>
      <c r="B53" s="530" t="s">
        <v>826</v>
      </c>
      <c r="C53" s="528" t="s">
        <v>959</v>
      </c>
      <c r="D53" s="428"/>
      <c r="E53" s="554"/>
      <c r="F53" s="427"/>
      <c r="G53" s="427"/>
      <c r="H53" s="427"/>
      <c r="I53" s="554">
        <v>141235.5</v>
      </c>
      <c r="J53" s="554">
        <v>136422</v>
      </c>
      <c r="K53" s="427"/>
      <c r="L53" s="554">
        <f t="shared" ref="L53:W53" si="7">+L49+L52</f>
        <v>128735.5</v>
      </c>
      <c r="M53" s="554">
        <f t="shared" si="7"/>
        <v>128735.5</v>
      </c>
      <c r="N53" s="554">
        <f t="shared" si="7"/>
        <v>179135.5</v>
      </c>
      <c r="O53" s="554">
        <f t="shared" si="7"/>
        <v>141235.5</v>
      </c>
      <c r="P53" s="554">
        <f t="shared" si="7"/>
        <v>136422</v>
      </c>
      <c r="Q53" s="554">
        <f t="shared" si="7"/>
        <v>425922</v>
      </c>
      <c r="R53" s="554">
        <f t="shared" si="7"/>
        <v>467741</v>
      </c>
      <c r="S53" s="554">
        <f t="shared" si="7"/>
        <v>557922</v>
      </c>
      <c r="T53" s="487">
        <f t="shared" si="7"/>
        <v>1590058.64</v>
      </c>
      <c r="U53" s="487">
        <f t="shared" si="7"/>
        <v>1666920.3992000001</v>
      </c>
      <c r="V53" s="487">
        <f t="shared" si="7"/>
        <v>1944288.0111759999</v>
      </c>
      <c r="W53" s="487">
        <f t="shared" si="7"/>
        <v>1968176.6515112799</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960</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962</v>
      </c>
      <c r="B56" s="439" t="s">
        <v>826</v>
      </c>
      <c r="C56" s="439" t="s">
        <v>963</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964</v>
      </c>
      <c r="B57" s="599" t="s">
        <v>808</v>
      </c>
      <c r="C57" s="439" t="s">
        <v>965</v>
      </c>
      <c r="D57" s="427"/>
      <c r="E57" s="487"/>
      <c r="F57" s="592">
        <v>0</v>
      </c>
      <c r="G57" s="592">
        <v>0</v>
      </c>
      <c r="H57" s="592">
        <v>0</v>
      </c>
      <c r="I57" s="593">
        <v>0</v>
      </c>
      <c r="J57" s="593">
        <v>85679.999999999985</v>
      </c>
      <c r="K57" s="427"/>
      <c r="L57" s="593">
        <f t="shared" ref="L57:W57" si="8">IF(AND((F57&lt;&gt;""),(L$2&lt;46204)),(F57),L78)</f>
        <v>0</v>
      </c>
      <c r="M57" s="593">
        <f t="shared" si="8"/>
        <v>0</v>
      </c>
      <c r="N57" s="593">
        <f t="shared" si="8"/>
        <v>0</v>
      </c>
      <c r="O57" s="593">
        <f t="shared" si="8"/>
        <v>0</v>
      </c>
      <c r="P57" s="593">
        <f t="shared" si="8"/>
        <v>85679.999999999985</v>
      </c>
      <c r="Q57" s="593">
        <f t="shared" si="8"/>
        <v>85679.999999999985</v>
      </c>
      <c r="R57" s="593">
        <f t="shared" si="8"/>
        <v>85679.999999999985</v>
      </c>
      <c r="S57" s="593">
        <f t="shared" si="8"/>
        <v>116849.99999999997</v>
      </c>
      <c r="T57" s="593">
        <f t="shared" si="8"/>
        <v>373889.99999999994</v>
      </c>
      <c r="U57" s="593">
        <f t="shared" si="8"/>
        <v>373889.99999999994</v>
      </c>
      <c r="V57" s="593">
        <f t="shared" si="8"/>
        <v>373889.99999999994</v>
      </c>
      <c r="W57" s="593">
        <f t="shared" si="8"/>
        <v>373889.99999999994</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1043</v>
      </c>
      <c r="B58" s="530" t="s">
        <v>826</v>
      </c>
      <c r="C58" s="528" t="s">
        <v>967</v>
      </c>
      <c r="D58" s="428"/>
      <c r="E58" s="496"/>
      <c r="F58" s="427"/>
      <c r="G58" s="427"/>
      <c r="H58" s="427"/>
      <c r="I58" s="496">
        <v>0</v>
      </c>
      <c r="J58" s="496">
        <v>90189.473684210505</v>
      </c>
      <c r="K58" s="427"/>
      <c r="L58" s="496">
        <f t="shared" ref="L58:W58" si="9">L57*L56</f>
        <v>0</v>
      </c>
      <c r="M58" s="496">
        <f t="shared" si="9"/>
        <v>0</v>
      </c>
      <c r="N58" s="496">
        <f t="shared" si="9"/>
        <v>0</v>
      </c>
      <c r="O58" s="496">
        <f t="shared" si="9"/>
        <v>0</v>
      </c>
      <c r="P58" s="496">
        <f t="shared" si="9"/>
        <v>90189.473684210505</v>
      </c>
      <c r="Q58" s="496">
        <f t="shared" si="9"/>
        <v>90189.473684210505</v>
      </c>
      <c r="R58" s="496">
        <f t="shared" si="9"/>
        <v>90189.473684210505</v>
      </c>
      <c r="S58" s="496">
        <f t="shared" si="9"/>
        <v>122999.99999999996</v>
      </c>
      <c r="T58" s="496">
        <f t="shared" si="9"/>
        <v>393568.42105263151</v>
      </c>
      <c r="U58" s="496">
        <f t="shared" si="9"/>
        <v>393568.42105263151</v>
      </c>
      <c r="V58" s="496">
        <f t="shared" si="9"/>
        <v>393568.42105263151</v>
      </c>
      <c r="W58" s="496">
        <f t="shared" si="9"/>
        <v>393568.42105263151</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ht="15" customHeight="1" thickBo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419" customFormat="1" ht="15.5" customHeight="1" thickTop="1" thickBot="1">
      <c r="A60" s="550" t="s">
        <v>1044</v>
      </c>
      <c r="B60" s="530" t="s">
        <v>808</v>
      </c>
      <c r="C60" s="528" t="s">
        <v>1045</v>
      </c>
      <c r="D60" s="428"/>
      <c r="E60" s="560"/>
      <c r="F60" s="427"/>
      <c r="G60" s="427"/>
      <c r="H60" s="427"/>
      <c r="I60" s="561">
        <v>911235.5</v>
      </c>
      <c r="J60" s="561">
        <v>1735259.1270175439</v>
      </c>
      <c r="K60" s="427"/>
      <c r="L60" s="561">
        <f t="shared" ref="L60:W60" si="10">+L53+L32+L58</f>
        <v>128735.5</v>
      </c>
      <c r="M60" s="561">
        <f t="shared" si="10"/>
        <v>128735.5</v>
      </c>
      <c r="N60" s="561">
        <f t="shared" si="10"/>
        <v>699135.5</v>
      </c>
      <c r="O60" s="561">
        <f t="shared" si="10"/>
        <v>911235.5</v>
      </c>
      <c r="P60" s="561">
        <f t="shared" si="10"/>
        <v>1735259.1270175439</v>
      </c>
      <c r="Q60" s="561">
        <f t="shared" si="10"/>
        <v>2473819.8070175434</v>
      </c>
      <c r="R60" s="561">
        <f t="shared" si="10"/>
        <v>2205638.8070175434</v>
      </c>
      <c r="S60" s="561">
        <f t="shared" si="10"/>
        <v>5828630.333333333</v>
      </c>
      <c r="T60" s="560">
        <f t="shared" si="10"/>
        <v>10772271.074385963</v>
      </c>
      <c r="U60" s="560">
        <f t="shared" si="10"/>
        <v>7224030.4869192978</v>
      </c>
      <c r="V60" s="560">
        <f t="shared" si="10"/>
        <v>4401398.0988952974</v>
      </c>
      <c r="W60" s="560">
        <f t="shared" si="10"/>
        <v>4361744.7392305788</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ht="15" customHeight="1" thickTop="1">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970</v>
      </c>
      <c r="B62" s="439" t="s">
        <v>808</v>
      </c>
      <c r="C62" s="439" t="s">
        <v>971</v>
      </c>
      <c r="D62" s="427"/>
      <c r="E62" s="496"/>
      <c r="F62" s="427"/>
      <c r="G62" s="427"/>
      <c r="H62" s="427"/>
      <c r="I62" s="563">
        <v>-4801819</v>
      </c>
      <c r="J62" s="563">
        <v>-4957879.68</v>
      </c>
      <c r="K62" s="427"/>
      <c r="L62" s="563">
        <f t="shared" ref="L62:W62" si="11">+L29+L50</f>
        <v>-302954.75</v>
      </c>
      <c r="M62" s="563">
        <f t="shared" si="11"/>
        <v>-2855909.5</v>
      </c>
      <c r="N62" s="563">
        <f t="shared" si="11"/>
        <v>-4033864.25</v>
      </c>
      <c r="O62" s="563">
        <f t="shared" si="11"/>
        <v>-4801819</v>
      </c>
      <c r="P62" s="563">
        <f t="shared" si="11"/>
        <v>-4957879.68</v>
      </c>
      <c r="Q62" s="563">
        <f t="shared" si="11"/>
        <v>-4470379.68</v>
      </c>
      <c r="R62" s="563">
        <f t="shared" si="11"/>
        <v>-4201060.68</v>
      </c>
      <c r="S62" s="563">
        <f t="shared" si="11"/>
        <v>-4929060.68</v>
      </c>
      <c r="T62" s="496">
        <f t="shared" si="11"/>
        <v>-3750000</v>
      </c>
      <c r="U62" s="496">
        <f t="shared" si="11"/>
        <v>-2650000</v>
      </c>
      <c r="V62" s="496">
        <f t="shared" si="11"/>
        <v>-6000000</v>
      </c>
      <c r="W62" s="496">
        <f t="shared" si="11"/>
        <v>-8000000.333333333</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972</v>
      </c>
      <c r="B64" s="439" t="s">
        <v>826</v>
      </c>
      <c r="C64" s="439" t="s">
        <v>973</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974</v>
      </c>
      <c r="B65" s="530" t="s">
        <v>6</v>
      </c>
      <c r="C65" s="528" t="s">
        <v>1046</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976</v>
      </c>
      <c r="B66" s="530" t="s">
        <v>6</v>
      </c>
      <c r="C66" s="528" t="s">
        <v>1047</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978</v>
      </c>
      <c r="B67" s="530" t="s">
        <v>826</v>
      </c>
      <c r="C67" s="528" t="s">
        <v>979</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980</v>
      </c>
      <c r="B68" s="439" t="s">
        <v>826</v>
      </c>
      <c r="C68" s="439" t="s">
        <v>981</v>
      </c>
      <c r="D68" s="427"/>
      <c r="E68" s="496"/>
      <c r="F68" s="427"/>
      <c r="G68" s="427"/>
      <c r="H68" s="427"/>
      <c r="I68" s="496">
        <v>455617.75</v>
      </c>
      <c r="J68" s="496">
        <v>802071.47666666668</v>
      </c>
      <c r="K68" s="427"/>
      <c r="L68" s="496">
        <f t="shared" ref="L68:W68" si="12">(L64+L65)*(L31+L52)+(L64+L66)*(L49+L28)</f>
        <v>64367.75</v>
      </c>
      <c r="M68" s="496">
        <f t="shared" si="12"/>
        <v>64367.75</v>
      </c>
      <c r="N68" s="496">
        <f t="shared" si="12"/>
        <v>349567.75</v>
      </c>
      <c r="O68" s="496">
        <f t="shared" si="12"/>
        <v>455617.75</v>
      </c>
      <c r="P68" s="496">
        <f t="shared" si="12"/>
        <v>802071.47666666668</v>
      </c>
      <c r="Q68" s="496">
        <f t="shared" si="12"/>
        <v>1010895.6166666667</v>
      </c>
      <c r="R68" s="496">
        <f t="shared" si="12"/>
        <v>930805.1166666667</v>
      </c>
      <c r="S68" s="496">
        <f t="shared" si="12"/>
        <v>2202770.6166666662</v>
      </c>
      <c r="T68" s="496">
        <f t="shared" si="12"/>
        <v>3632545.9286666662</v>
      </c>
      <c r="U68" s="496">
        <f t="shared" si="12"/>
        <v>2390661.7230533333</v>
      </c>
      <c r="V68" s="496">
        <f t="shared" si="12"/>
        <v>1402740.3872449331</v>
      </c>
      <c r="W68" s="496">
        <f t="shared" si="12"/>
        <v>1388861.7113622813</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ht="15" customHeight="1" thickBot="1">
      <c r="A69" s="540" t="s">
        <v>982</v>
      </c>
      <c r="B69" s="439" t="s">
        <v>826</v>
      </c>
      <c r="C69" s="439" t="s">
        <v>983</v>
      </c>
      <c r="D69" s="427"/>
      <c r="E69" s="496"/>
      <c r="F69" s="427"/>
      <c r="G69" s="427"/>
      <c r="H69" s="427"/>
      <c r="I69" s="496">
        <v>0</v>
      </c>
      <c r="J69" s="496">
        <v>4509.4736842105258</v>
      </c>
      <c r="K69" s="427"/>
      <c r="L69" s="496">
        <f t="shared" ref="L69:W69" si="13">L67*L58</f>
        <v>0</v>
      </c>
      <c r="M69" s="496">
        <f t="shared" si="13"/>
        <v>0</v>
      </c>
      <c r="N69" s="496">
        <f t="shared" si="13"/>
        <v>0</v>
      </c>
      <c r="O69" s="496">
        <f t="shared" si="13"/>
        <v>0</v>
      </c>
      <c r="P69" s="496">
        <f t="shared" si="13"/>
        <v>4509.4736842105258</v>
      </c>
      <c r="Q69" s="496">
        <f t="shared" si="13"/>
        <v>4509.4736842105258</v>
      </c>
      <c r="R69" s="496">
        <f t="shared" si="13"/>
        <v>4509.4736842105258</v>
      </c>
      <c r="S69" s="496">
        <f t="shared" si="13"/>
        <v>6149.9999999999982</v>
      </c>
      <c r="T69" s="496">
        <f t="shared" si="13"/>
        <v>19678.421052631576</v>
      </c>
      <c r="U69" s="496">
        <f t="shared" si="13"/>
        <v>19678.421052631576</v>
      </c>
      <c r="V69" s="496">
        <f t="shared" si="13"/>
        <v>19678.421052631576</v>
      </c>
      <c r="W69" s="496">
        <f t="shared" si="13"/>
        <v>19678.421052631576</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c r="AY69" s="427"/>
      <c r="AZ69" s="427"/>
      <c r="BA69" s="427"/>
      <c r="BB69" s="427"/>
    </row>
    <row r="70" spans="1:54" s="414" customFormat="1" ht="15.5" customHeight="1" thickTop="1" thickBot="1">
      <c r="A70" s="550" t="s">
        <v>1048</v>
      </c>
      <c r="B70" s="530" t="s">
        <v>808</v>
      </c>
      <c r="C70" s="528" t="s">
        <v>1049</v>
      </c>
      <c r="D70" s="428"/>
      <c r="E70" s="560"/>
      <c r="F70" s="427"/>
      <c r="G70" s="427"/>
      <c r="H70" s="427"/>
      <c r="I70" s="561">
        <v>455617.75</v>
      </c>
      <c r="J70" s="561">
        <v>806580.95035087725</v>
      </c>
      <c r="K70" s="427"/>
      <c r="L70" s="561">
        <f t="shared" ref="L70:W70" si="14">L69+L68</f>
        <v>64367.75</v>
      </c>
      <c r="M70" s="561">
        <f t="shared" si="14"/>
        <v>64367.75</v>
      </c>
      <c r="N70" s="561">
        <f t="shared" si="14"/>
        <v>349567.75</v>
      </c>
      <c r="O70" s="561">
        <f t="shared" si="14"/>
        <v>455617.75</v>
      </c>
      <c r="P70" s="561">
        <f t="shared" si="14"/>
        <v>806580.95035087725</v>
      </c>
      <c r="Q70" s="561">
        <f t="shared" si="14"/>
        <v>1015405.0903508773</v>
      </c>
      <c r="R70" s="561">
        <f t="shared" si="14"/>
        <v>935314.59035087726</v>
      </c>
      <c r="S70" s="561">
        <f t="shared" si="14"/>
        <v>2208920.6166666662</v>
      </c>
      <c r="T70" s="560">
        <f t="shared" si="14"/>
        <v>3652224.3497192976</v>
      </c>
      <c r="U70" s="560">
        <f t="shared" si="14"/>
        <v>2410340.1441059648</v>
      </c>
      <c r="V70" s="560">
        <f t="shared" si="14"/>
        <v>1422418.8082975647</v>
      </c>
      <c r="W70" s="560">
        <f t="shared" si="14"/>
        <v>1408540.132414913</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986</v>
      </c>
      <c r="B72" s="530" t="s">
        <v>826</v>
      </c>
      <c r="C72" s="528" t="s">
        <v>987</v>
      </c>
      <c r="D72" s="428"/>
      <c r="E72" s="496"/>
      <c r="F72" s="427"/>
      <c r="G72" s="427"/>
      <c r="H72" s="427"/>
      <c r="I72" s="496">
        <v>383977.375</v>
      </c>
      <c r="J72" s="496">
        <v>582647.79999999993</v>
      </c>
      <c r="K72" s="427"/>
      <c r="L72" s="496">
        <f t="shared" ref="L72:W72" si="15">-(L64+L65)*(L27+L48)</f>
        <v>151477.375</v>
      </c>
      <c r="M72" s="496">
        <f t="shared" si="15"/>
        <v>1276477.375</v>
      </c>
      <c r="N72" s="496">
        <f t="shared" si="15"/>
        <v>588977.375</v>
      </c>
      <c r="O72" s="496">
        <f t="shared" si="15"/>
        <v>383977.375</v>
      </c>
      <c r="P72" s="496">
        <f t="shared" si="15"/>
        <v>582647.79999999993</v>
      </c>
      <c r="Q72" s="496">
        <f t="shared" si="15"/>
        <v>241499.99999999997</v>
      </c>
      <c r="R72" s="496">
        <f t="shared" si="15"/>
        <v>350000</v>
      </c>
      <c r="S72" s="496">
        <f t="shared" si="15"/>
        <v>735000</v>
      </c>
      <c r="T72" s="496">
        <f t="shared" si="15"/>
        <v>1312500</v>
      </c>
      <c r="U72" s="496">
        <f t="shared" si="15"/>
        <v>927499.99999999988</v>
      </c>
      <c r="V72" s="496">
        <f t="shared" si="15"/>
        <v>1400000</v>
      </c>
      <c r="W72" s="496">
        <f t="shared" si="15"/>
        <v>1400000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988</v>
      </c>
      <c r="B73" s="530" t="s">
        <v>826</v>
      </c>
      <c r="C73" s="528" t="s">
        <v>989</v>
      </c>
      <c r="D73" s="428"/>
      <c r="E73" s="496"/>
      <c r="F73" s="427"/>
      <c r="G73" s="427"/>
      <c r="H73" s="427"/>
      <c r="I73" s="496">
        <v>0</v>
      </c>
      <c r="J73" s="496">
        <v>-754323.66</v>
      </c>
      <c r="K73" s="427"/>
      <c r="L73" s="496">
        <f t="shared" ref="L73:W73" si="16">-(L64+L66)*(L28+L49)</f>
        <v>0</v>
      </c>
      <c r="M73" s="496">
        <f t="shared" si="16"/>
        <v>0</v>
      </c>
      <c r="N73" s="496">
        <f t="shared" si="16"/>
        <v>0</v>
      </c>
      <c r="O73" s="496">
        <f t="shared" si="16"/>
        <v>0</v>
      </c>
      <c r="P73" s="496">
        <f t="shared" si="16"/>
        <v>-754323.66</v>
      </c>
      <c r="Q73" s="496">
        <f t="shared" si="16"/>
        <v>-588750</v>
      </c>
      <c r="R73" s="496">
        <f t="shared" si="16"/>
        <v>-634659.5</v>
      </c>
      <c r="S73" s="496">
        <f t="shared" si="16"/>
        <v>-686000</v>
      </c>
      <c r="T73" s="496">
        <f t="shared" si="16"/>
        <v>-1725171.2379999999</v>
      </c>
      <c r="U73" s="496">
        <f t="shared" si="16"/>
        <v>-1312500</v>
      </c>
      <c r="V73" s="496">
        <f t="shared" si="16"/>
        <v>-227500</v>
      </c>
      <c r="W73" s="496">
        <f t="shared" si="16"/>
        <v>-699999.88333333342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990</v>
      </c>
      <c r="B74" s="439" t="s">
        <v>6</v>
      </c>
      <c r="C74" s="439" t="s">
        <v>991</v>
      </c>
      <c r="D74" s="427"/>
      <c r="E74" s="496"/>
      <c r="F74" s="427"/>
      <c r="G74" s="427"/>
      <c r="H74" s="427"/>
      <c r="I74" s="543">
        <v>2400909.5</v>
      </c>
      <c r="J74" s="543">
        <v>2229233.64</v>
      </c>
      <c r="K74" s="427"/>
      <c r="L74" s="543">
        <f>SUM(L72:L73)+E74</f>
        <v>151477.375</v>
      </c>
      <c r="M74" s="543">
        <f t="shared" ref="M74:W74" si="17">SUM(M72:M73)+L74</f>
        <v>1427954.75</v>
      </c>
      <c r="N74" s="543">
        <f t="shared" si="17"/>
        <v>2016932.125</v>
      </c>
      <c r="O74" s="543">
        <f t="shared" si="17"/>
        <v>2400909.5</v>
      </c>
      <c r="P74" s="543">
        <f t="shared" si="17"/>
        <v>2229233.6399999997</v>
      </c>
      <c r="Q74" s="543">
        <f t="shared" si="17"/>
        <v>1881983.6399999997</v>
      </c>
      <c r="R74" s="543">
        <f t="shared" si="17"/>
        <v>1597324.1399999997</v>
      </c>
      <c r="S74" s="543">
        <f t="shared" si="17"/>
        <v>1646324.1399999997</v>
      </c>
      <c r="T74" s="496">
        <f t="shared" si="17"/>
        <v>1233652.9019999998</v>
      </c>
      <c r="U74" s="496">
        <f t="shared" si="17"/>
        <v>848652.90199999965</v>
      </c>
      <c r="V74" s="496">
        <f t="shared" si="17"/>
        <v>2021152.9019999998</v>
      </c>
      <c r="W74" s="496">
        <f t="shared" si="17"/>
        <v>2721153.0186666665</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993</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994</v>
      </c>
      <c r="B77" s="530" t="s">
        <v>826</v>
      </c>
      <c r="C77" s="528" t="s">
        <v>995</v>
      </c>
      <c r="D77" s="428"/>
      <c r="E77" s="487"/>
      <c r="F77" s="427"/>
      <c r="G77" s="427"/>
      <c r="H77" s="427"/>
      <c r="I77" s="487">
        <v>1652177.5</v>
      </c>
      <c r="J77" s="487">
        <v>560159.99999999988</v>
      </c>
      <c r="K77" s="427"/>
      <c r="L77" s="487">
        <f>'.c12_d&amp;s_hr'!L45</f>
        <v>515519.99999999994</v>
      </c>
      <c r="M77" s="487">
        <f>'.c12_d&amp;s_hr'!M45</f>
        <v>515519.99999999994</v>
      </c>
      <c r="N77" s="487">
        <f>'.c12_d&amp;s_hr'!N45</f>
        <v>515519.99999999994</v>
      </c>
      <c r="O77" s="487">
        <f>'.c12_d&amp;s_hr'!O45</f>
        <v>1652177.5</v>
      </c>
      <c r="P77" s="487">
        <f>'.c12_d&amp;s_hr'!P45</f>
        <v>560159.99999999988</v>
      </c>
      <c r="Q77" s="487">
        <f>'.c12_d&amp;s_hr'!Q45</f>
        <v>520559.99999999994</v>
      </c>
      <c r="R77" s="487">
        <f>'.c12_d&amp;s_hr'!R45</f>
        <v>560159.99999999988</v>
      </c>
      <c r="S77" s="487">
        <f>'.c12_d&amp;s_hr'!S45</f>
        <v>1221223.75</v>
      </c>
      <c r="T77" s="487">
        <f>'.c12_d&amp;s_hr'!T45</f>
        <v>2809492.4999999995</v>
      </c>
      <c r="U77" s="487">
        <f>'.c12_d&amp;s_hr'!U45</f>
        <v>2809492.4999999995</v>
      </c>
      <c r="V77" s="487">
        <f>'.c12_d&amp;s_hr'!V45</f>
        <v>2809492.4999999995</v>
      </c>
      <c r="W77" s="487">
        <f>'.c12_d&amp;s_hr'!W45</f>
        <v>2809492.4999999995</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996</v>
      </c>
      <c r="B78" s="530" t="s">
        <v>808</v>
      </c>
      <c r="C78" s="528" t="s">
        <v>997</v>
      </c>
      <c r="D78" s="428"/>
      <c r="E78" s="487"/>
      <c r="F78" s="427"/>
      <c r="G78" s="427"/>
      <c r="H78" s="427"/>
      <c r="I78" s="565">
        <v>123922.5</v>
      </c>
      <c r="J78" s="565">
        <v>85679.999999999985</v>
      </c>
      <c r="K78" s="427"/>
      <c r="L78" s="565">
        <f>'.c12_d&amp;s_hr'!L46</f>
        <v>84959.999999999985</v>
      </c>
      <c r="M78" s="565">
        <f>'.c12_d&amp;s_hr'!M46</f>
        <v>84959.999999999985</v>
      </c>
      <c r="N78" s="565">
        <f>'.c12_d&amp;s_hr'!N46</f>
        <v>84959.999999999985</v>
      </c>
      <c r="O78" s="565">
        <f>'.c12_d&amp;s_hr'!O46</f>
        <v>123922.5</v>
      </c>
      <c r="P78" s="565">
        <f>'.c12_d&amp;s_hr'!P46</f>
        <v>85679.999999999985</v>
      </c>
      <c r="Q78" s="565">
        <f>'.c12_d&amp;s_hr'!Q46</f>
        <v>85679.999999999985</v>
      </c>
      <c r="R78" s="565">
        <f>'.c12_d&amp;s_hr'!R46</f>
        <v>85679.999999999985</v>
      </c>
      <c r="S78" s="565">
        <f>'.c12_d&amp;s_hr'!S46</f>
        <v>116849.99999999997</v>
      </c>
      <c r="T78" s="487">
        <f>'.c12_d&amp;s_hr'!T46</f>
        <v>373889.99999999994</v>
      </c>
      <c r="U78" s="487">
        <f>'.c12_d&amp;s_hr'!U46</f>
        <v>373889.99999999994</v>
      </c>
      <c r="V78" s="487">
        <f>'.c12_d&amp;s_hr'!V46</f>
        <v>373889.99999999994</v>
      </c>
      <c r="W78" s="487">
        <f>'.c12_d&amp;s_hr'!W46</f>
        <v>373889.99999999994</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998</v>
      </c>
      <c r="B79" s="530" t="s">
        <v>808</v>
      </c>
      <c r="C79" s="528" t="s">
        <v>999</v>
      </c>
      <c r="D79" s="428"/>
      <c r="E79" s="487"/>
      <c r="F79" s="427"/>
      <c r="G79" s="427"/>
      <c r="H79" s="427"/>
      <c r="I79" s="565">
        <v>1528255</v>
      </c>
      <c r="J79" s="565">
        <v>474480</v>
      </c>
      <c r="K79" s="427"/>
      <c r="L79" s="565">
        <f>'.c12_d&amp;s_hr'!L47</f>
        <v>430560</v>
      </c>
      <c r="M79" s="565">
        <f>'.c12_d&amp;s_hr'!M47</f>
        <v>430560</v>
      </c>
      <c r="N79" s="565">
        <f>'.c12_d&amp;s_hr'!N47</f>
        <v>430560</v>
      </c>
      <c r="O79" s="565">
        <f>'.c12_d&amp;s_hr'!O47</f>
        <v>1528255</v>
      </c>
      <c r="P79" s="565">
        <f>'.c12_d&amp;s_hr'!P47</f>
        <v>474480</v>
      </c>
      <c r="Q79" s="565">
        <f>'.c12_d&amp;s_hr'!Q47</f>
        <v>434880</v>
      </c>
      <c r="R79" s="565">
        <f>'.c12_d&amp;s_hr'!R47</f>
        <v>474480</v>
      </c>
      <c r="S79" s="565">
        <f>'.c12_d&amp;s_hr'!S47</f>
        <v>1104373.75</v>
      </c>
      <c r="T79" s="487">
        <f>'.c12_d&amp;s_hr'!T47</f>
        <v>2435602.4999999995</v>
      </c>
      <c r="U79" s="487">
        <f>'.c12_d&amp;s_hr'!U47</f>
        <v>2435602.4999999995</v>
      </c>
      <c r="V79" s="487">
        <f>'.c12_d&amp;s_hr'!V47</f>
        <v>2435602.4999999995</v>
      </c>
      <c r="W79" s="487">
        <f>'.c12_d&amp;s_hr'!W47</f>
        <v>2435602.4999999995</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1000</v>
      </c>
      <c r="B80" s="530" t="s">
        <v>826</v>
      </c>
      <c r="C80" s="528" t="s">
        <v>1001</v>
      </c>
      <c r="D80" s="428"/>
      <c r="E80" s="487"/>
      <c r="F80" s="427"/>
      <c r="G80" s="427"/>
      <c r="H80" s="427"/>
      <c r="I80" s="487">
        <v>0</v>
      </c>
      <c r="J80" s="487">
        <v>0</v>
      </c>
      <c r="K80" s="427"/>
      <c r="L80" s="487">
        <f>'.c12_d&amp;s_hr'!L48</f>
        <v>0</v>
      </c>
      <c r="M80" s="487">
        <f>'.c12_d&amp;s_hr'!M48</f>
        <v>0</v>
      </c>
      <c r="N80" s="487">
        <f>'.c12_d&amp;s_hr'!N48</f>
        <v>0</v>
      </c>
      <c r="O80" s="487">
        <f>'.c12_d&amp;s_hr'!O48</f>
        <v>0</v>
      </c>
      <c r="P80" s="487">
        <f>'.c12_d&amp;s_hr'!P48</f>
        <v>0</v>
      </c>
      <c r="Q80" s="487">
        <f>'.c12_d&amp;s_hr'!Q48</f>
        <v>0</v>
      </c>
      <c r="R80" s="487">
        <f>'.c12_d&amp;s_hr'!R48</f>
        <v>0</v>
      </c>
      <c r="S80" s="487">
        <f>'.c12_d&amp;s_hr'!S48</f>
        <v>0</v>
      </c>
      <c r="T80" s="487">
        <f>'.c12_d&amp;s_hr'!T48</f>
        <v>0</v>
      </c>
      <c r="U80" s="487">
        <f>'.c12_d&amp;s_hr'!U48</f>
        <v>0</v>
      </c>
      <c r="V80" s="487">
        <f>'.c12_d&amp;s_hr'!V48</f>
        <v>0</v>
      </c>
      <c r="W80" s="487">
        <f>'.c12_d&amp;s_hr'!W48</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1002</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K149"/>
  <sheetViews>
    <sheetView showGridLines="0" zoomScale="99" zoomScaleNormal="85" workbookViewId="0">
      <pane xSplit="4" ySplit="3" topLeftCell="H38" activePane="bottomRight" state="frozen"/>
      <selection pane="topRight"/>
      <selection pane="bottomLeft" activeCell="E16" sqref="E16"/>
      <selection pane="bottomRight" activeCell="A3" sqref="A3:XFD3"/>
    </sheetView>
  </sheetViews>
  <sheetFormatPr defaultRowHeight="14.5"/>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913</v>
      </c>
      <c r="B5" s="442"/>
      <c r="C5" s="441" t="s">
        <v>914</v>
      </c>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s="414" customFormat="1" ht="15" customHeight="1">
      <c r="A6" s="540" t="s">
        <v>931</v>
      </c>
      <c r="B6" s="442"/>
      <c r="C6" s="444"/>
      <c r="D6" s="445"/>
      <c r="E6" s="535"/>
      <c r="F6" s="427"/>
      <c r="G6" s="427"/>
      <c r="H6" s="427"/>
      <c r="I6" s="535"/>
      <c r="J6" s="535"/>
      <c r="K6" s="427"/>
      <c r="L6" s="535"/>
      <c r="M6" s="535"/>
      <c r="N6" s="535"/>
      <c r="O6" s="541"/>
      <c r="P6" s="535"/>
      <c r="Q6" s="535"/>
      <c r="R6" s="535"/>
      <c r="S6" s="535"/>
      <c r="T6" s="535"/>
      <c r="U6" s="535"/>
      <c r="V6" s="535"/>
      <c r="W6" s="535"/>
      <c r="X6" s="535"/>
      <c r="Y6" s="427"/>
      <c r="Z6" s="451"/>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row>
    <row r="7" spans="1:63" s="414" customFormat="1" ht="15" customHeight="1">
      <c r="A7" s="540" t="s">
        <v>931</v>
      </c>
      <c r="B7" s="442"/>
      <c r="C7" s="444"/>
      <c r="D7" s="445"/>
      <c r="E7" s="535"/>
      <c r="F7" s="427"/>
      <c r="G7" s="427"/>
      <c r="H7" s="427"/>
      <c r="I7" s="535"/>
      <c r="J7" s="535"/>
      <c r="K7" s="427"/>
      <c r="L7" s="535"/>
      <c r="M7" s="535"/>
      <c r="N7" s="535"/>
      <c r="O7" s="541"/>
      <c r="P7" s="535"/>
      <c r="Q7" s="535"/>
      <c r="R7" s="535"/>
      <c r="S7" s="535"/>
      <c r="T7" s="535"/>
      <c r="U7" s="535"/>
      <c r="V7" s="535"/>
      <c r="W7" s="535"/>
      <c r="X7" s="535"/>
      <c r="Y7" s="427"/>
      <c r="Z7" s="451"/>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row>
    <row r="8" spans="1:63" s="414" customFormat="1" ht="15" customHeight="1">
      <c r="A8" s="540" t="s">
        <v>931</v>
      </c>
      <c r="B8" s="442"/>
      <c r="C8" s="444"/>
      <c r="D8" s="445"/>
      <c r="E8" s="535"/>
      <c r="F8" s="427"/>
      <c r="G8" s="427"/>
      <c r="H8" s="427"/>
      <c r="I8" s="535"/>
      <c r="J8" s="535"/>
      <c r="K8" s="427"/>
      <c r="L8" s="535"/>
      <c r="M8" s="535"/>
      <c r="N8" s="535"/>
      <c r="O8" s="541"/>
      <c r="P8" s="535"/>
      <c r="Q8" s="535"/>
      <c r="R8" s="535"/>
      <c r="S8" s="535"/>
      <c r="T8" s="535"/>
      <c r="U8" s="535"/>
      <c r="V8" s="535"/>
      <c r="W8" s="535"/>
      <c r="X8" s="535"/>
      <c r="Y8" s="427"/>
      <c r="Z8" s="451"/>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row>
    <row r="9" spans="1:63" s="414" customFormat="1" ht="15" customHeight="1">
      <c r="A9" s="540" t="s">
        <v>931</v>
      </c>
      <c r="B9" s="428"/>
      <c r="C9" s="429"/>
      <c r="D9" s="428"/>
      <c r="E9" s="535"/>
      <c r="F9" s="427"/>
      <c r="G9" s="427"/>
      <c r="H9" s="427"/>
      <c r="I9" s="535"/>
      <c r="J9" s="535"/>
      <c r="K9" s="427"/>
      <c r="L9" s="535"/>
      <c r="M9" s="535"/>
      <c r="N9" s="535"/>
      <c r="O9" s="541"/>
      <c r="P9" s="535"/>
      <c r="Q9" s="535"/>
      <c r="R9" s="535"/>
      <c r="S9" s="535"/>
      <c r="T9" s="535"/>
      <c r="U9" s="535"/>
      <c r="V9" s="535"/>
      <c r="W9" s="535"/>
      <c r="X9" s="535"/>
      <c r="Y9" s="427"/>
      <c r="Z9" s="451"/>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row>
    <row r="10" spans="1:63" s="414" customFormat="1" ht="15" customHeight="1">
      <c r="A10" s="540" t="s">
        <v>931</v>
      </c>
      <c r="B10" s="428"/>
      <c r="C10" s="429"/>
      <c r="D10" s="428"/>
      <c r="E10" s="535"/>
      <c r="F10" s="459"/>
      <c r="G10" s="459"/>
      <c r="H10" s="459"/>
      <c r="I10" s="535"/>
      <c r="J10" s="535"/>
      <c r="K10" s="459"/>
      <c r="L10" s="535"/>
      <c r="M10" s="535"/>
      <c r="N10" s="535"/>
      <c r="O10" s="541"/>
      <c r="P10" s="535"/>
      <c r="Q10" s="535"/>
      <c r="R10" s="535"/>
      <c r="S10" s="535"/>
      <c r="T10" s="535"/>
      <c r="U10" s="535"/>
      <c r="V10" s="535"/>
      <c r="W10" s="535"/>
      <c r="X10" s="535"/>
      <c r="Y10" s="427"/>
      <c r="Z10" s="451"/>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row>
    <row r="11" spans="1:63" s="414" customFormat="1" ht="15" customHeight="1">
      <c r="A11" s="540" t="s">
        <v>931</v>
      </c>
      <c r="B11" s="428"/>
      <c r="C11" s="429"/>
      <c r="D11" s="428"/>
      <c r="E11" s="535"/>
      <c r="F11" s="427"/>
      <c r="G11" s="427"/>
      <c r="H11" s="427"/>
      <c r="I11" s="535"/>
      <c r="J11" s="535"/>
      <c r="K11" s="427"/>
      <c r="L11" s="535"/>
      <c r="M11" s="535"/>
      <c r="N11" s="535"/>
      <c r="O11" s="541"/>
      <c r="P11" s="535"/>
      <c r="Q11" s="535"/>
      <c r="R11" s="535"/>
      <c r="S11" s="535"/>
      <c r="T11" s="535"/>
      <c r="U11" s="535"/>
      <c r="V11" s="535"/>
      <c r="W11" s="535"/>
      <c r="X11" s="535"/>
      <c r="Y11" s="427"/>
      <c r="Z11" s="451"/>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row>
    <row r="12" spans="1:63" s="414" customFormat="1" ht="15" customHeight="1">
      <c r="A12" s="540" t="s">
        <v>931</v>
      </c>
      <c r="B12" s="428"/>
      <c r="C12" s="429"/>
      <c r="D12" s="428"/>
      <c r="E12" s="535"/>
      <c r="F12" s="464"/>
      <c r="G12" s="464"/>
      <c r="H12" s="464"/>
      <c r="I12" s="535"/>
      <c r="J12" s="535"/>
      <c r="K12" s="464"/>
      <c r="L12" s="535"/>
      <c r="M12" s="535"/>
      <c r="N12" s="535"/>
      <c r="O12" s="541"/>
      <c r="P12" s="535"/>
      <c r="Q12" s="535"/>
      <c r="R12" s="535"/>
      <c r="S12" s="535"/>
      <c r="T12" s="535"/>
      <c r="U12" s="535"/>
      <c r="V12" s="535"/>
      <c r="W12" s="535"/>
      <c r="X12" s="535"/>
      <c r="Y12" s="427"/>
      <c r="Z12" s="451"/>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row>
    <row r="13" spans="1:63" s="414" customFormat="1" ht="15" customHeight="1">
      <c r="A13" s="540" t="s">
        <v>931</v>
      </c>
      <c r="B13" s="428"/>
      <c r="C13" s="429"/>
      <c r="D13" s="428"/>
      <c r="E13" s="535"/>
      <c r="F13" s="464"/>
      <c r="G13" s="464"/>
      <c r="H13" s="464"/>
      <c r="I13" s="535"/>
      <c r="J13" s="535"/>
      <c r="K13" s="464"/>
      <c r="L13" s="535"/>
      <c r="M13" s="535"/>
      <c r="N13" s="535"/>
      <c r="O13" s="541"/>
      <c r="P13" s="535"/>
      <c r="Q13" s="535"/>
      <c r="R13" s="535"/>
      <c r="S13" s="535"/>
      <c r="T13" s="535"/>
      <c r="U13" s="535"/>
      <c r="V13" s="535"/>
      <c r="W13" s="535"/>
      <c r="X13" s="535"/>
      <c r="Y13" s="427"/>
      <c r="Z13" s="451"/>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row>
    <row r="14" spans="1:63" s="414" customFormat="1" ht="15" customHeight="1">
      <c r="A14" s="540" t="s">
        <v>931</v>
      </c>
      <c r="B14" s="428"/>
      <c r="C14" s="429"/>
      <c r="D14" s="428"/>
      <c r="E14" s="535"/>
      <c r="F14" s="427"/>
      <c r="G14" s="427"/>
      <c r="H14" s="427"/>
      <c r="I14" s="535"/>
      <c r="J14" s="535"/>
      <c r="K14" s="427"/>
      <c r="L14" s="535"/>
      <c r="M14" s="535"/>
      <c r="N14" s="535"/>
      <c r="O14" s="541"/>
      <c r="P14" s="535"/>
      <c r="Q14" s="535"/>
      <c r="R14" s="535"/>
      <c r="S14" s="535"/>
      <c r="T14" s="535"/>
      <c r="U14" s="535"/>
      <c r="V14" s="535"/>
      <c r="W14" s="535"/>
      <c r="X14" s="535"/>
      <c r="Y14" s="427"/>
      <c r="Z14" s="451"/>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row>
    <row r="15" spans="1:63" s="414" customFormat="1" ht="15" customHeight="1">
      <c r="A15" s="540" t="s">
        <v>931</v>
      </c>
      <c r="B15" s="428"/>
      <c r="C15" s="429"/>
      <c r="D15" s="428"/>
      <c r="E15" s="535"/>
      <c r="F15" s="427"/>
      <c r="G15" s="427"/>
      <c r="H15" s="427"/>
      <c r="I15" s="535"/>
      <c r="J15" s="535"/>
      <c r="K15" s="427"/>
      <c r="L15" s="535"/>
      <c r="M15" s="535"/>
      <c r="N15" s="535"/>
      <c r="O15" s="541"/>
      <c r="P15" s="535"/>
      <c r="Q15" s="535"/>
      <c r="R15" s="535"/>
      <c r="S15" s="535"/>
      <c r="T15" s="535"/>
      <c r="U15" s="535"/>
      <c r="V15" s="535"/>
      <c r="W15" s="535"/>
      <c r="X15" s="535"/>
      <c r="Y15" s="427"/>
      <c r="Z15" s="451"/>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s="414" customFormat="1" ht="15" customHeight="1">
      <c r="A16" s="540" t="s">
        <v>931</v>
      </c>
      <c r="B16" s="428"/>
      <c r="C16" s="429"/>
      <c r="D16" s="428"/>
      <c r="E16" s="535"/>
      <c r="F16" s="427"/>
      <c r="G16" s="427"/>
      <c r="H16" s="427"/>
      <c r="I16" s="535"/>
      <c r="J16" s="535"/>
      <c r="K16" s="427"/>
      <c r="L16" s="535"/>
      <c r="M16" s="535"/>
      <c r="N16" s="535"/>
      <c r="O16" s="541"/>
      <c r="P16" s="535"/>
      <c r="Q16" s="535"/>
      <c r="R16" s="535"/>
      <c r="S16" s="535"/>
      <c r="T16" s="535"/>
      <c r="U16" s="535"/>
      <c r="V16" s="535"/>
      <c r="W16" s="535"/>
      <c r="X16" s="535"/>
      <c r="Y16" s="427"/>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s="414" customFormat="1" ht="15" customHeight="1">
      <c r="A17" s="540" t="s">
        <v>931</v>
      </c>
      <c r="B17" s="428"/>
      <c r="C17" s="429"/>
      <c r="D17" s="428"/>
      <c r="E17" s="535"/>
      <c r="F17" s="468"/>
      <c r="G17" s="468"/>
      <c r="H17" s="468"/>
      <c r="I17" s="535"/>
      <c r="J17" s="535"/>
      <c r="K17" s="468"/>
      <c r="L17" s="535"/>
      <c r="M17" s="535"/>
      <c r="N17" s="535"/>
      <c r="O17" s="541"/>
      <c r="P17" s="535"/>
      <c r="Q17" s="535"/>
      <c r="R17" s="535"/>
      <c r="S17" s="535"/>
      <c r="T17" s="535"/>
      <c r="U17" s="535"/>
      <c r="V17" s="535"/>
      <c r="W17" s="535"/>
      <c r="X17" s="535"/>
      <c r="Y17" s="427"/>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s="414" customFormat="1" ht="15" customHeight="1">
      <c r="A18" s="540" t="s">
        <v>931</v>
      </c>
      <c r="B18" s="428"/>
      <c r="C18" s="429"/>
      <c r="D18" s="428"/>
      <c r="E18" s="535"/>
      <c r="F18" s="468"/>
      <c r="G18" s="468"/>
      <c r="H18" s="468"/>
      <c r="I18" s="535"/>
      <c r="J18" s="535"/>
      <c r="K18" s="468"/>
      <c r="L18" s="535"/>
      <c r="M18" s="535"/>
      <c r="N18" s="535"/>
      <c r="O18" s="541"/>
      <c r="P18" s="535"/>
      <c r="Q18" s="535"/>
      <c r="R18" s="535"/>
      <c r="S18" s="535"/>
      <c r="T18" s="535"/>
      <c r="U18" s="535"/>
      <c r="V18" s="535"/>
      <c r="W18" s="535"/>
      <c r="X18" s="535"/>
      <c r="Y18" s="427"/>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414" customFormat="1" ht="15" customHeight="1">
      <c r="A19" s="540" t="s">
        <v>931</v>
      </c>
      <c r="B19" s="428"/>
      <c r="C19" s="429"/>
      <c r="D19" s="428"/>
      <c r="E19" s="535"/>
      <c r="F19" s="459"/>
      <c r="G19" s="459"/>
      <c r="H19" s="459"/>
      <c r="I19" s="535"/>
      <c r="J19" s="535"/>
      <c r="K19" s="459"/>
      <c r="L19" s="535"/>
      <c r="M19" s="535"/>
      <c r="N19" s="535"/>
      <c r="O19" s="541"/>
      <c r="P19" s="535"/>
      <c r="Q19" s="535"/>
      <c r="R19" s="535"/>
      <c r="S19" s="535"/>
      <c r="T19" s="535"/>
      <c r="U19" s="535"/>
      <c r="V19" s="535"/>
      <c r="W19" s="535"/>
      <c r="X19" s="535"/>
      <c r="Y19" s="427"/>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s="414" customFormat="1" ht="15" customHeight="1">
      <c r="A20" s="540" t="s">
        <v>931</v>
      </c>
      <c r="B20" s="428"/>
      <c r="C20" s="429"/>
      <c r="D20" s="428"/>
      <c r="E20" s="535"/>
      <c r="F20" s="427"/>
      <c r="G20" s="427"/>
      <c r="H20" s="427"/>
      <c r="I20" s="535"/>
      <c r="J20" s="535"/>
      <c r="K20" s="427"/>
      <c r="L20" s="535"/>
      <c r="M20" s="535"/>
      <c r="N20" s="535"/>
      <c r="O20" s="541"/>
      <c r="P20" s="535"/>
      <c r="Q20" s="535"/>
      <c r="R20" s="535"/>
      <c r="S20" s="535"/>
      <c r="T20" s="535"/>
      <c r="U20" s="535"/>
      <c r="V20" s="535"/>
      <c r="W20" s="535"/>
      <c r="X20" s="535"/>
      <c r="Y20" s="427"/>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s="414" customFormat="1" ht="15" customHeight="1">
      <c r="A21" s="540" t="s">
        <v>931</v>
      </c>
      <c r="B21" s="428"/>
      <c r="C21" s="429"/>
      <c r="D21" s="428"/>
      <c r="E21" s="535"/>
      <c r="F21" s="473"/>
      <c r="G21" s="473"/>
      <c r="H21" s="473"/>
      <c r="I21" s="535"/>
      <c r="J21" s="535"/>
      <c r="K21" s="473"/>
      <c r="L21" s="535"/>
      <c r="M21" s="535"/>
      <c r="N21" s="535"/>
      <c r="O21" s="541"/>
      <c r="P21" s="535"/>
      <c r="Q21" s="535"/>
      <c r="R21" s="535"/>
      <c r="S21" s="535"/>
      <c r="T21" s="535"/>
      <c r="U21" s="535"/>
      <c r="V21" s="535"/>
      <c r="W21" s="535"/>
      <c r="X21" s="535"/>
      <c r="Y21" s="427"/>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540" t="s">
        <v>931</v>
      </c>
      <c r="B22" s="427"/>
      <c r="C22" s="427"/>
      <c r="D22" s="427"/>
      <c r="E22" s="496"/>
      <c r="F22" s="459"/>
      <c r="G22" s="459"/>
      <c r="H22" s="459"/>
      <c r="I22" s="496">
        <v>0</v>
      </c>
      <c r="J22" s="496">
        <v>0</v>
      </c>
      <c r="K22" s="459"/>
      <c r="L22" s="496">
        <v>0</v>
      </c>
      <c r="M22" s="496">
        <v>0</v>
      </c>
      <c r="N22" s="496">
        <v>0</v>
      </c>
      <c r="O22" s="496">
        <v>0</v>
      </c>
      <c r="P22" s="496">
        <v>0</v>
      </c>
      <c r="Q22" s="496">
        <v>0</v>
      </c>
      <c r="R22" s="496">
        <v>0</v>
      </c>
      <c r="S22" s="496">
        <v>0</v>
      </c>
      <c r="T22" s="496">
        <v>0</v>
      </c>
      <c r="U22" s="496">
        <v>0</v>
      </c>
      <c r="V22" s="496">
        <v>0</v>
      </c>
      <c r="W22" s="496">
        <v>0</v>
      </c>
      <c r="X22" s="544" t="s">
        <v>918</v>
      </c>
      <c r="Y22" s="427"/>
      <c r="Z22" s="545"/>
      <c r="AA22" s="427"/>
      <c r="AB22" s="427"/>
      <c r="AC22" s="496"/>
      <c r="AD22" s="496"/>
      <c r="AE22" s="496"/>
      <c r="AF22" s="496"/>
      <c r="AG22" s="496"/>
      <c r="AH22" s="496"/>
      <c r="AI22" s="496"/>
      <c r="AJ22" s="427"/>
      <c r="AK22" s="427"/>
      <c r="AL22" s="427"/>
      <c r="AM22" s="427"/>
      <c r="AN22" s="427"/>
      <c r="AO22" s="427"/>
      <c r="AP22" s="427"/>
      <c r="AQ22" s="427"/>
      <c r="AR22" s="427"/>
      <c r="AS22" s="427"/>
      <c r="AT22" s="427"/>
      <c r="AU22" s="427"/>
      <c r="AV22" s="427"/>
      <c r="AW22" s="427"/>
      <c r="AX22" s="427"/>
      <c r="AY22" s="427"/>
      <c r="AZ22" s="427"/>
      <c r="BA22" s="427"/>
      <c r="BB22" s="427"/>
    </row>
    <row r="23" spans="1:54">
      <c r="A23" s="540" t="s">
        <v>931</v>
      </c>
      <c r="B23" s="427"/>
      <c r="C23" s="427"/>
      <c r="D23" s="427"/>
      <c r="E23" s="496"/>
      <c r="F23" s="459"/>
      <c r="G23" s="459"/>
      <c r="H23" s="459"/>
      <c r="I23" s="496">
        <v>0</v>
      </c>
      <c r="J23" s="496">
        <v>0</v>
      </c>
      <c r="K23" s="459"/>
      <c r="L23" s="496">
        <v>0</v>
      </c>
      <c r="M23" s="496">
        <v>0</v>
      </c>
      <c r="N23" s="496">
        <v>0</v>
      </c>
      <c r="O23" s="496">
        <v>0</v>
      </c>
      <c r="P23" s="496">
        <v>0</v>
      </c>
      <c r="Q23" s="496">
        <v>0</v>
      </c>
      <c r="R23" s="496">
        <v>0</v>
      </c>
      <c r="S23" s="496">
        <v>0</v>
      </c>
      <c r="T23" s="496">
        <v>0</v>
      </c>
      <c r="U23" s="496">
        <v>0</v>
      </c>
      <c r="V23" s="496">
        <v>0</v>
      </c>
      <c r="W23" s="496">
        <v>0</v>
      </c>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540" t="s">
        <v>931</v>
      </c>
      <c r="B24" s="427"/>
      <c r="C24" s="427"/>
      <c r="D24" s="427"/>
      <c r="E24" s="496"/>
      <c r="F24" s="459"/>
      <c r="G24" s="459"/>
      <c r="H24" s="459"/>
      <c r="I24" s="496">
        <v>0</v>
      </c>
      <c r="J24" s="496">
        <v>0</v>
      </c>
      <c r="K24" s="459"/>
      <c r="L24" s="496">
        <v>0</v>
      </c>
      <c r="M24" s="496">
        <v>0</v>
      </c>
      <c r="N24" s="496">
        <v>0</v>
      </c>
      <c r="O24" s="496">
        <v>0</v>
      </c>
      <c r="P24" s="496">
        <v>0</v>
      </c>
      <c r="Q24" s="496">
        <v>0</v>
      </c>
      <c r="R24" s="496">
        <v>0</v>
      </c>
      <c r="S24" s="496">
        <v>0</v>
      </c>
      <c r="T24" s="496">
        <v>0</v>
      </c>
      <c r="U24" s="496">
        <v>0</v>
      </c>
      <c r="V24" s="496">
        <v>0</v>
      </c>
      <c r="W24" s="496">
        <v>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933</v>
      </c>
      <c r="B25" s="439" t="s">
        <v>826</v>
      </c>
      <c r="C25" s="439" t="s">
        <v>934</v>
      </c>
      <c r="D25" s="427"/>
      <c r="E25" s="496"/>
      <c r="F25" s="459"/>
      <c r="G25" s="459"/>
      <c r="H25" s="459"/>
      <c r="I25" s="496">
        <v>0</v>
      </c>
      <c r="J25" s="496">
        <v>0</v>
      </c>
      <c r="K25" s="459"/>
      <c r="L25" s="496">
        <f t="shared" ref="L25:W25" si="0">SUM(L22:L24)</f>
        <v>0</v>
      </c>
      <c r="M25" s="496">
        <f t="shared" si="0"/>
        <v>0</v>
      </c>
      <c r="N25" s="496">
        <f t="shared" si="0"/>
        <v>0</v>
      </c>
      <c r="O25" s="496">
        <f t="shared" si="0"/>
        <v>0</v>
      </c>
      <c r="P25" s="496">
        <f t="shared" si="0"/>
        <v>0</v>
      </c>
      <c r="Q25" s="496">
        <f t="shared" si="0"/>
        <v>0</v>
      </c>
      <c r="R25" s="496">
        <f t="shared" si="0"/>
        <v>0</v>
      </c>
      <c r="S25" s="496">
        <f t="shared" si="0"/>
        <v>0</v>
      </c>
      <c r="T25" s="496">
        <f t="shared" si="0"/>
        <v>0</v>
      </c>
      <c r="U25" s="496">
        <f t="shared" si="0"/>
        <v>0</v>
      </c>
      <c r="V25" s="496">
        <f t="shared" si="0"/>
        <v>0</v>
      </c>
      <c r="W25" s="496">
        <f t="shared" si="0"/>
        <v>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935</v>
      </c>
      <c r="B27" s="439" t="s">
        <v>6</v>
      </c>
      <c r="C27" s="439" t="s">
        <v>936</v>
      </c>
      <c r="D27" s="427"/>
      <c r="E27" s="496"/>
      <c r="F27" s="459"/>
      <c r="G27" s="459"/>
      <c r="H27" s="459"/>
      <c r="I27" s="543">
        <v>0</v>
      </c>
      <c r="J27" s="543">
        <v>0</v>
      </c>
      <c r="K27" s="459"/>
      <c r="L27" s="543">
        <v>0</v>
      </c>
      <c r="M27" s="543">
        <v>0</v>
      </c>
      <c r="N27" s="543">
        <v>0</v>
      </c>
      <c r="O27" s="543">
        <v>0</v>
      </c>
      <c r="P27" s="543">
        <v>0</v>
      </c>
      <c r="Q27" s="543">
        <v>0</v>
      </c>
      <c r="R27" s="543">
        <v>0</v>
      </c>
      <c r="S27" s="543">
        <v>0</v>
      </c>
      <c r="T27" s="496">
        <v>0</v>
      </c>
      <c r="U27" s="496">
        <v>0</v>
      </c>
      <c r="V27" s="496">
        <v>0</v>
      </c>
      <c r="W27" s="496">
        <v>0</v>
      </c>
      <c r="X27" s="544" t="s">
        <v>918</v>
      </c>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937</v>
      </c>
      <c r="B28" s="439" t="s">
        <v>6</v>
      </c>
      <c r="C28" s="439" t="s">
        <v>938</v>
      </c>
      <c r="D28" s="427"/>
      <c r="E28" s="496"/>
      <c r="F28" s="459"/>
      <c r="G28" s="459"/>
      <c r="H28" s="459"/>
      <c r="I28" s="543">
        <v>0</v>
      </c>
      <c r="J28" s="543">
        <v>0</v>
      </c>
      <c r="K28" s="459"/>
      <c r="L28" s="543">
        <v>0</v>
      </c>
      <c r="M28" s="543">
        <v>0</v>
      </c>
      <c r="N28" s="543">
        <v>0</v>
      </c>
      <c r="O28" s="543">
        <v>0</v>
      </c>
      <c r="P28" s="543">
        <v>0</v>
      </c>
      <c r="Q28" s="543">
        <v>0</v>
      </c>
      <c r="R28" s="543">
        <v>0</v>
      </c>
      <c r="S28" s="543">
        <v>0</v>
      </c>
      <c r="T28" s="496">
        <v>0</v>
      </c>
      <c r="U28" s="496">
        <v>0</v>
      </c>
      <c r="V28" s="496">
        <v>0</v>
      </c>
      <c r="W28" s="496">
        <v>0</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939</v>
      </c>
      <c r="B29" s="439" t="s">
        <v>826</v>
      </c>
      <c r="C29" s="439" t="s">
        <v>940</v>
      </c>
      <c r="D29" s="427"/>
      <c r="E29" s="496"/>
      <c r="F29" s="459"/>
      <c r="G29" s="459"/>
      <c r="H29" s="459"/>
      <c r="I29" s="496">
        <v>0</v>
      </c>
      <c r="J29" s="496">
        <v>0</v>
      </c>
      <c r="K29" s="459"/>
      <c r="L29" s="496">
        <f>+L27+E29+L28</f>
        <v>0</v>
      </c>
      <c r="M29" s="496">
        <f t="shared" ref="M29:W29" si="1">+M27+L29+M28</f>
        <v>0</v>
      </c>
      <c r="N29" s="496">
        <f t="shared" si="1"/>
        <v>0</v>
      </c>
      <c r="O29" s="496">
        <f t="shared" si="1"/>
        <v>0</v>
      </c>
      <c r="P29" s="496">
        <f t="shared" si="1"/>
        <v>0</v>
      </c>
      <c r="Q29" s="496">
        <f t="shared" si="1"/>
        <v>0</v>
      </c>
      <c r="R29" s="496">
        <f t="shared" si="1"/>
        <v>0</v>
      </c>
      <c r="S29" s="496">
        <f t="shared" si="1"/>
        <v>0</v>
      </c>
      <c r="T29" s="496">
        <f t="shared" si="1"/>
        <v>0</v>
      </c>
      <c r="U29" s="496">
        <f t="shared" si="1"/>
        <v>0</v>
      </c>
      <c r="V29" s="496">
        <f t="shared" si="1"/>
        <v>0</v>
      </c>
      <c r="W29" s="496">
        <f t="shared" si="1"/>
        <v>0</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941</v>
      </c>
      <c r="B31" s="439" t="s">
        <v>826</v>
      </c>
      <c r="C31" s="439" t="s">
        <v>942</v>
      </c>
      <c r="D31" s="427"/>
      <c r="E31" s="554"/>
      <c r="F31" s="459"/>
      <c r="G31" s="459"/>
      <c r="H31" s="459"/>
      <c r="I31" s="554">
        <v>0</v>
      </c>
      <c r="J31" s="554">
        <v>0</v>
      </c>
      <c r="K31" s="459"/>
      <c r="L31" s="554">
        <f t="shared" ref="L31:W31" si="2">+L25+L27</f>
        <v>0</v>
      </c>
      <c r="M31" s="554">
        <f t="shared" si="2"/>
        <v>0</v>
      </c>
      <c r="N31" s="554">
        <f t="shared" si="2"/>
        <v>0</v>
      </c>
      <c r="O31" s="554">
        <f t="shared" si="2"/>
        <v>0</v>
      </c>
      <c r="P31" s="554">
        <f t="shared" si="2"/>
        <v>0</v>
      </c>
      <c r="Q31" s="554">
        <f t="shared" si="2"/>
        <v>0</v>
      </c>
      <c r="R31" s="554">
        <f t="shared" si="2"/>
        <v>0</v>
      </c>
      <c r="S31" s="554">
        <f t="shared" si="2"/>
        <v>0</v>
      </c>
      <c r="T31" s="487">
        <f t="shared" si="2"/>
        <v>0</v>
      </c>
      <c r="U31" s="487">
        <f t="shared" si="2"/>
        <v>0</v>
      </c>
      <c r="V31" s="487">
        <f t="shared" si="2"/>
        <v>0</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943</v>
      </c>
      <c r="B32" s="439" t="s">
        <v>826</v>
      </c>
      <c r="C32" s="439" t="s">
        <v>944</v>
      </c>
      <c r="D32" s="427"/>
      <c r="E32" s="554"/>
      <c r="F32" s="459"/>
      <c r="G32" s="459"/>
      <c r="H32" s="459"/>
      <c r="I32" s="554">
        <v>0</v>
      </c>
      <c r="J32" s="554">
        <v>0</v>
      </c>
      <c r="K32" s="459"/>
      <c r="L32" s="554">
        <f t="shared" ref="L32:W32" si="3">+L28+L31</f>
        <v>0</v>
      </c>
      <c r="M32" s="554">
        <f t="shared" si="3"/>
        <v>0</v>
      </c>
      <c r="N32" s="554">
        <f t="shared" si="3"/>
        <v>0</v>
      </c>
      <c r="O32" s="554">
        <f t="shared" si="3"/>
        <v>0</v>
      </c>
      <c r="P32" s="554">
        <f t="shared" si="3"/>
        <v>0</v>
      </c>
      <c r="Q32" s="554">
        <f t="shared" si="3"/>
        <v>0</v>
      </c>
      <c r="R32" s="554">
        <f t="shared" si="3"/>
        <v>0</v>
      </c>
      <c r="S32" s="554">
        <f t="shared" si="3"/>
        <v>0</v>
      </c>
      <c r="T32" s="487">
        <f t="shared" si="3"/>
        <v>0</v>
      </c>
      <c r="U32" s="487">
        <f t="shared" si="3"/>
        <v>0</v>
      </c>
      <c r="V32" s="487">
        <f t="shared" si="3"/>
        <v>0</v>
      </c>
      <c r="W32" s="487">
        <f t="shared" si="3"/>
        <v>0</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945</v>
      </c>
      <c r="B34" s="427"/>
      <c r="C34" s="439" t="s">
        <v>946</v>
      </c>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566" t="s">
        <v>210</v>
      </c>
      <c r="B35" s="439" t="s">
        <v>6</v>
      </c>
      <c r="C35" s="439" t="s">
        <v>947</v>
      </c>
      <c r="D35" s="439" t="s">
        <v>917</v>
      </c>
      <c r="E35" s="496"/>
      <c r="F35" s="427"/>
      <c r="G35" s="427"/>
      <c r="H35" s="427"/>
      <c r="I35" s="543">
        <v>0</v>
      </c>
      <c r="J35" s="543">
        <v>15000</v>
      </c>
      <c r="K35" s="427"/>
      <c r="L35" s="543">
        <v>0</v>
      </c>
      <c r="M35" s="543">
        <v>0</v>
      </c>
      <c r="N35" s="543">
        <v>0</v>
      </c>
      <c r="O35" s="543">
        <v>0</v>
      </c>
      <c r="P35" s="543">
        <f t="shared" ref="P35:S36" si="4">60000/4</f>
        <v>15000</v>
      </c>
      <c r="Q35" s="543">
        <f t="shared" si="4"/>
        <v>15000</v>
      </c>
      <c r="R35" s="543">
        <f t="shared" si="4"/>
        <v>15000</v>
      </c>
      <c r="S35" s="543">
        <f t="shared" si="4"/>
        <v>15000</v>
      </c>
      <c r="T35" s="496">
        <v>60000</v>
      </c>
      <c r="U35" s="496">
        <v>60000</v>
      </c>
      <c r="V35" s="496">
        <v>60000</v>
      </c>
      <c r="W35" s="496">
        <v>60000</v>
      </c>
      <c r="X35" s="439" t="s">
        <v>918</v>
      </c>
      <c r="Y35" s="5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1050</v>
      </c>
      <c r="B36" s="439" t="s">
        <v>6</v>
      </c>
      <c r="C36" s="439" t="s">
        <v>947</v>
      </c>
      <c r="D36" s="439" t="s">
        <v>922</v>
      </c>
      <c r="E36" s="496"/>
      <c r="F36" s="485"/>
      <c r="G36" s="485"/>
      <c r="H36" s="485"/>
      <c r="I36" s="543">
        <v>0</v>
      </c>
      <c r="J36" s="543">
        <v>15000</v>
      </c>
      <c r="K36" s="485"/>
      <c r="L36" s="543">
        <v>0</v>
      </c>
      <c r="M36" s="543">
        <v>0</v>
      </c>
      <c r="N36" s="543">
        <v>0</v>
      </c>
      <c r="O36" s="543">
        <v>0</v>
      </c>
      <c r="P36" s="543">
        <f t="shared" si="4"/>
        <v>15000</v>
      </c>
      <c r="Q36" s="543">
        <f t="shared" si="4"/>
        <v>15000</v>
      </c>
      <c r="R36" s="543">
        <f t="shared" si="4"/>
        <v>15000</v>
      </c>
      <c r="S36" s="543">
        <f t="shared" si="4"/>
        <v>15000</v>
      </c>
      <c r="T36" s="496">
        <v>60000</v>
      </c>
      <c r="U36" s="496">
        <v>60000</v>
      </c>
      <c r="V36" s="496">
        <v>60000</v>
      </c>
      <c r="W36" s="496">
        <v>60000</v>
      </c>
      <c r="X36" s="427"/>
      <c r="Y36" s="5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104</v>
      </c>
      <c r="B37" s="439" t="s">
        <v>6</v>
      </c>
      <c r="C37" s="439" t="s">
        <v>947</v>
      </c>
      <c r="D37" s="439" t="s">
        <v>927</v>
      </c>
      <c r="E37" s="496"/>
      <c r="F37" s="485"/>
      <c r="G37" s="485"/>
      <c r="H37" s="485"/>
      <c r="I37" s="543">
        <v>0</v>
      </c>
      <c r="J37" s="543">
        <v>0</v>
      </c>
      <c r="K37" s="485"/>
      <c r="L37" s="543">
        <v>0</v>
      </c>
      <c r="M37" s="543">
        <v>0</v>
      </c>
      <c r="N37" s="543">
        <v>0</v>
      </c>
      <c r="O37" s="543">
        <v>0</v>
      </c>
      <c r="P37" s="543">
        <v>0</v>
      </c>
      <c r="Q37" s="543">
        <v>0</v>
      </c>
      <c r="R37" s="543">
        <v>0</v>
      </c>
      <c r="S37" s="543">
        <v>0</v>
      </c>
      <c r="T37" s="496">
        <f>15000*2</f>
        <v>30000</v>
      </c>
      <c r="U37" s="496">
        <v>60000</v>
      </c>
      <c r="V37" s="496">
        <v>60000</v>
      </c>
      <c r="W37" s="496">
        <v>60000</v>
      </c>
      <c r="X37" s="427"/>
      <c r="Y37" s="5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105</v>
      </c>
      <c r="B38" s="439" t="s">
        <v>6</v>
      </c>
      <c r="C38" s="439" t="s">
        <v>947</v>
      </c>
      <c r="D38" s="439" t="s">
        <v>489</v>
      </c>
      <c r="E38" s="496"/>
      <c r="F38" s="485"/>
      <c r="G38" s="485"/>
      <c r="H38" s="485"/>
      <c r="I38" s="543">
        <v>0</v>
      </c>
      <c r="J38" s="543">
        <v>0</v>
      </c>
      <c r="K38" s="485"/>
      <c r="L38" s="543">
        <v>0</v>
      </c>
      <c r="M38" s="543">
        <v>0</v>
      </c>
      <c r="N38" s="543">
        <v>0</v>
      </c>
      <c r="O38" s="543">
        <v>0</v>
      </c>
      <c r="P38" s="543">
        <v>0</v>
      </c>
      <c r="Q38" s="543">
        <v>0</v>
      </c>
      <c r="R38" s="543">
        <v>0</v>
      </c>
      <c r="S38" s="543">
        <v>0</v>
      </c>
      <c r="T38" s="496">
        <v>0</v>
      </c>
      <c r="U38" s="496">
        <v>60000</v>
      </c>
      <c r="V38" s="496">
        <v>60000</v>
      </c>
      <c r="W38" s="496">
        <v>60000</v>
      </c>
      <c r="X38" s="427"/>
      <c r="Y38" s="5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948</v>
      </c>
      <c r="B39" s="439" t="s">
        <v>6</v>
      </c>
      <c r="C39" s="439" t="s">
        <v>947</v>
      </c>
      <c r="D39" s="439" t="s">
        <v>929</v>
      </c>
      <c r="E39" s="496"/>
      <c r="F39" s="485"/>
      <c r="G39" s="485"/>
      <c r="H39" s="485"/>
      <c r="I39" s="543">
        <v>0</v>
      </c>
      <c r="J39" s="543">
        <v>0</v>
      </c>
      <c r="K39" s="485"/>
      <c r="L39" s="543">
        <v>0</v>
      </c>
      <c r="M39" s="543">
        <v>0</v>
      </c>
      <c r="N39" s="543">
        <v>0</v>
      </c>
      <c r="O39" s="543">
        <v>0</v>
      </c>
      <c r="P39" s="543">
        <v>0</v>
      </c>
      <c r="Q39" s="543">
        <f t="shared" ref="Q39:W39" si="5">+P39</f>
        <v>0</v>
      </c>
      <c r="R39" s="543">
        <f t="shared" si="5"/>
        <v>0</v>
      </c>
      <c r="S39" s="543">
        <f t="shared" si="5"/>
        <v>0</v>
      </c>
      <c r="T39" s="496">
        <f t="shared" si="5"/>
        <v>0</v>
      </c>
      <c r="U39" s="496">
        <f t="shared" si="5"/>
        <v>0</v>
      </c>
      <c r="V39" s="496">
        <f t="shared" si="5"/>
        <v>0</v>
      </c>
      <c r="W39" s="496">
        <f t="shared" si="5"/>
        <v>0</v>
      </c>
      <c r="X39" s="427"/>
      <c r="Y39" s="5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s="414" customFormat="1">
      <c r="A40" s="540" t="s">
        <v>931</v>
      </c>
      <c r="B40" s="428"/>
      <c r="C40" s="429"/>
      <c r="D40" s="428"/>
      <c r="E40" s="496"/>
      <c r="F40" s="459"/>
      <c r="G40" s="459"/>
      <c r="H40" s="459"/>
      <c r="I40" s="496"/>
      <c r="J40" s="496"/>
      <c r="K40" s="459"/>
      <c r="L40" s="496"/>
      <c r="M40" s="496"/>
      <c r="N40" s="496"/>
      <c r="O40" s="496"/>
      <c r="P40" s="496"/>
      <c r="Q40" s="496"/>
      <c r="R40" s="496"/>
      <c r="S40" s="496"/>
      <c r="T40" s="496"/>
      <c r="U40" s="496"/>
      <c r="V40" s="496"/>
      <c r="W40" s="496"/>
      <c r="X40" s="427"/>
      <c r="Y40" s="5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40" t="s">
        <v>931</v>
      </c>
      <c r="B41" s="428"/>
      <c r="C41" s="429"/>
      <c r="D41" s="428"/>
      <c r="E41" s="496"/>
      <c r="F41" s="485"/>
      <c r="G41" s="485"/>
      <c r="H41" s="485"/>
      <c r="I41" s="496"/>
      <c r="J41" s="496"/>
      <c r="K41" s="485"/>
      <c r="L41" s="496"/>
      <c r="M41" s="496"/>
      <c r="N41" s="496"/>
      <c r="O41" s="496"/>
      <c r="P41" s="496"/>
      <c r="Q41" s="496"/>
      <c r="R41" s="496"/>
      <c r="S41" s="496"/>
      <c r="T41" s="496"/>
      <c r="U41" s="496"/>
      <c r="V41" s="496"/>
      <c r="W41" s="496"/>
      <c r="X41" s="427"/>
      <c r="Y41" s="5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40" t="s">
        <v>931</v>
      </c>
      <c r="B42" s="428"/>
      <c r="C42" s="429"/>
      <c r="D42" s="428"/>
      <c r="E42" s="496"/>
      <c r="F42" s="485"/>
      <c r="G42" s="485"/>
      <c r="H42" s="485"/>
      <c r="I42" s="496"/>
      <c r="J42" s="496"/>
      <c r="K42" s="485"/>
      <c r="L42" s="496"/>
      <c r="M42" s="496"/>
      <c r="N42" s="496"/>
      <c r="O42" s="496"/>
      <c r="P42" s="496"/>
      <c r="Q42" s="496"/>
      <c r="R42" s="496"/>
      <c r="S42" s="496"/>
      <c r="T42" s="496"/>
      <c r="U42" s="496"/>
      <c r="V42" s="496"/>
      <c r="W42" s="496"/>
      <c r="X42" s="427"/>
      <c r="Y42" s="5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40" t="s">
        <v>931</v>
      </c>
      <c r="B43" s="428"/>
      <c r="C43" s="429"/>
      <c r="D43" s="428"/>
      <c r="E43" s="496"/>
      <c r="F43" s="485"/>
      <c r="G43" s="485"/>
      <c r="H43" s="485"/>
      <c r="I43" s="496"/>
      <c r="J43" s="496"/>
      <c r="K43" s="485"/>
      <c r="L43" s="496"/>
      <c r="M43" s="496"/>
      <c r="N43" s="496"/>
      <c r="O43" s="496"/>
      <c r="P43" s="496"/>
      <c r="Q43" s="496"/>
      <c r="R43" s="496"/>
      <c r="S43" s="496"/>
      <c r="T43" s="496"/>
      <c r="U43" s="496"/>
      <c r="V43" s="496"/>
      <c r="W43" s="496"/>
      <c r="X43" s="427"/>
      <c r="Y43" s="5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414" customFormat="1">
      <c r="A44" s="540" t="s">
        <v>931</v>
      </c>
      <c r="B44" s="428"/>
      <c r="C44" s="429"/>
      <c r="D44" s="428"/>
      <c r="E44" s="496"/>
      <c r="F44" s="485"/>
      <c r="G44" s="485"/>
      <c r="H44" s="485"/>
      <c r="I44" s="496"/>
      <c r="J44" s="496"/>
      <c r="K44" s="485"/>
      <c r="L44" s="496"/>
      <c r="M44" s="496"/>
      <c r="N44" s="496"/>
      <c r="O44" s="496"/>
      <c r="P44" s="496"/>
      <c r="Q44" s="496"/>
      <c r="R44" s="496"/>
      <c r="S44" s="496"/>
      <c r="T44" s="496"/>
      <c r="U44" s="496"/>
      <c r="V44" s="496"/>
      <c r="W44" s="496"/>
      <c r="X44" s="427"/>
      <c r="Y44" s="5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ht="15" customHeight="1">
      <c r="A45" s="566" t="s">
        <v>108</v>
      </c>
      <c r="B45" s="439" t="s">
        <v>6</v>
      </c>
      <c r="C45" s="439" t="s">
        <v>947</v>
      </c>
      <c r="D45" s="439" t="s">
        <v>930</v>
      </c>
      <c r="E45" s="496"/>
      <c r="F45" s="485"/>
      <c r="G45" s="485"/>
      <c r="H45" s="485"/>
      <c r="I45" s="543"/>
      <c r="J45" s="543"/>
      <c r="K45" s="485"/>
      <c r="L45" s="543"/>
      <c r="M45" s="543"/>
      <c r="N45" s="543"/>
      <c r="O45" s="543"/>
      <c r="P45" s="543"/>
      <c r="Q45" s="543"/>
      <c r="R45" s="543"/>
      <c r="S45" s="543"/>
      <c r="T45" s="496"/>
      <c r="U45" s="496"/>
      <c r="V45" s="496"/>
      <c r="W45" s="496"/>
      <c r="X45" s="427"/>
      <c r="Y45" s="5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1051</v>
      </c>
      <c r="B46" s="530" t="s">
        <v>826</v>
      </c>
      <c r="C46" s="528" t="s">
        <v>950</v>
      </c>
      <c r="D46" s="428"/>
      <c r="E46" s="496"/>
      <c r="F46" s="485"/>
      <c r="G46" s="485"/>
      <c r="H46" s="485"/>
      <c r="I46" s="496">
        <v>0</v>
      </c>
      <c r="J46" s="496">
        <v>30000</v>
      </c>
      <c r="K46" s="485"/>
      <c r="L46" s="496">
        <f t="shared" ref="L46:W46" si="6">SUM(L35:L45)</f>
        <v>0</v>
      </c>
      <c r="M46" s="496">
        <f t="shared" si="6"/>
        <v>0</v>
      </c>
      <c r="N46" s="496">
        <f t="shared" si="6"/>
        <v>0</v>
      </c>
      <c r="O46" s="496">
        <f t="shared" si="6"/>
        <v>0</v>
      </c>
      <c r="P46" s="496">
        <f t="shared" si="6"/>
        <v>30000</v>
      </c>
      <c r="Q46" s="496">
        <f t="shared" si="6"/>
        <v>30000</v>
      </c>
      <c r="R46" s="496">
        <f t="shared" si="6"/>
        <v>30000</v>
      </c>
      <c r="S46" s="496">
        <f t="shared" si="6"/>
        <v>30000</v>
      </c>
      <c r="T46" s="496">
        <f t="shared" si="6"/>
        <v>150000</v>
      </c>
      <c r="U46" s="496">
        <f t="shared" si="6"/>
        <v>240000</v>
      </c>
      <c r="V46" s="496">
        <f t="shared" si="6"/>
        <v>240000</v>
      </c>
      <c r="W46" s="496">
        <f t="shared" si="6"/>
        <v>240000</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935</v>
      </c>
      <c r="B48" s="439" t="s">
        <v>6</v>
      </c>
      <c r="C48" s="439" t="s">
        <v>951</v>
      </c>
      <c r="D48" s="427"/>
      <c r="E48" s="496"/>
      <c r="F48" s="496"/>
      <c r="G48" s="496"/>
      <c r="H48" s="496"/>
      <c r="I48" s="543"/>
      <c r="J48" s="543"/>
      <c r="K48" s="496"/>
      <c r="L48" s="543">
        <f>-L36</f>
        <v>0</v>
      </c>
      <c r="M48" s="543"/>
      <c r="N48" s="543"/>
      <c r="O48" s="543"/>
      <c r="P48" s="543"/>
      <c r="Q48" s="543"/>
      <c r="R48" s="543"/>
      <c r="S48" s="543"/>
      <c r="T48" s="496"/>
      <c r="U48" s="496"/>
      <c r="V48" s="496"/>
      <c r="W48" s="496"/>
      <c r="X48" s="528" t="s">
        <v>918</v>
      </c>
      <c r="Y48" s="527"/>
      <c r="Z48" s="427"/>
      <c r="AA48" s="427"/>
      <c r="AB48" s="427"/>
      <c r="AC48" s="427"/>
      <c r="AD48" s="427"/>
      <c r="AE48" s="427"/>
      <c r="AF48" s="427"/>
      <c r="AG48" s="427"/>
      <c r="AH48" s="427"/>
      <c r="AI48" s="427"/>
      <c r="AJ48" s="568"/>
      <c r="AK48" s="568"/>
      <c r="AL48" s="568"/>
      <c r="AM48" s="568"/>
      <c r="AN48" s="569"/>
      <c r="AO48" s="813"/>
      <c r="AP48" s="814"/>
      <c r="AQ48" s="814"/>
      <c r="AR48" s="814"/>
      <c r="AS48" s="814"/>
      <c r="AT48" s="814"/>
      <c r="AU48" s="427"/>
      <c r="AV48" s="813"/>
      <c r="AW48" s="814"/>
      <c r="AX48" s="814"/>
      <c r="AY48" s="814"/>
      <c r="AZ48" s="814"/>
      <c r="BA48" s="814"/>
      <c r="BB48" s="814"/>
    </row>
    <row r="49" spans="1:54" ht="15" customHeight="1">
      <c r="A49" s="567" t="s">
        <v>1042</v>
      </c>
      <c r="B49" s="439" t="s">
        <v>6</v>
      </c>
      <c r="C49" s="439" t="s">
        <v>953</v>
      </c>
      <c r="D49" s="427"/>
      <c r="E49" s="496"/>
      <c r="F49" s="496"/>
      <c r="G49" s="496"/>
      <c r="H49" s="496"/>
      <c r="I49" s="543"/>
      <c r="J49" s="543"/>
      <c r="K49" s="496"/>
      <c r="L49" s="543"/>
      <c r="M49" s="543"/>
      <c r="N49" s="543"/>
      <c r="O49" s="543"/>
      <c r="P49" s="543"/>
      <c r="Q49" s="543"/>
      <c r="R49" s="543"/>
      <c r="S49" s="543"/>
      <c r="T49" s="496"/>
      <c r="U49" s="496"/>
      <c r="V49" s="496"/>
      <c r="W49" s="496"/>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954</v>
      </c>
      <c r="B50" s="439" t="s">
        <v>826</v>
      </c>
      <c r="C50" s="439" t="s">
        <v>955</v>
      </c>
      <c r="D50" s="427"/>
      <c r="E50" s="496"/>
      <c r="F50" s="496"/>
      <c r="G50" s="496"/>
      <c r="H50" s="496"/>
      <c r="I50" s="496">
        <v>0</v>
      </c>
      <c r="J50" s="496">
        <v>0</v>
      </c>
      <c r="K50" s="496"/>
      <c r="L50" s="496">
        <f>+L48+E50+L49</f>
        <v>0</v>
      </c>
      <c r="M50" s="496">
        <f t="shared" ref="M50:W50" si="7">+M48+L50+M49</f>
        <v>0</v>
      </c>
      <c r="N50" s="496">
        <f t="shared" si="7"/>
        <v>0</v>
      </c>
      <c r="O50" s="496">
        <f t="shared" si="7"/>
        <v>0</v>
      </c>
      <c r="P50" s="496">
        <f t="shared" si="7"/>
        <v>0</v>
      </c>
      <c r="Q50" s="496">
        <f t="shared" si="7"/>
        <v>0</v>
      </c>
      <c r="R50" s="496">
        <f t="shared" si="7"/>
        <v>0</v>
      </c>
      <c r="S50" s="496">
        <f t="shared" si="7"/>
        <v>0</v>
      </c>
      <c r="T50" s="496">
        <f t="shared" si="7"/>
        <v>0</v>
      </c>
      <c r="U50" s="496">
        <f t="shared" si="7"/>
        <v>0</v>
      </c>
      <c r="V50" s="496">
        <f t="shared" si="7"/>
        <v>0</v>
      </c>
      <c r="W50" s="496">
        <f t="shared" si="7"/>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956</v>
      </c>
      <c r="B52" s="530" t="s">
        <v>826</v>
      </c>
      <c r="C52" s="528" t="s">
        <v>957</v>
      </c>
      <c r="D52" s="428"/>
      <c r="E52" s="558"/>
      <c r="F52" s="496"/>
      <c r="G52" s="496"/>
      <c r="H52" s="496"/>
      <c r="I52" s="558">
        <v>0</v>
      </c>
      <c r="J52" s="558">
        <v>30000</v>
      </c>
      <c r="K52" s="496"/>
      <c r="L52" s="558">
        <f t="shared" ref="L52:W52" si="8">+L46+L48</f>
        <v>0</v>
      </c>
      <c r="M52" s="554">
        <f t="shared" si="8"/>
        <v>0</v>
      </c>
      <c r="N52" s="554">
        <f t="shared" si="8"/>
        <v>0</v>
      </c>
      <c r="O52" s="554">
        <f t="shared" si="8"/>
        <v>0</v>
      </c>
      <c r="P52" s="554">
        <f t="shared" si="8"/>
        <v>30000</v>
      </c>
      <c r="Q52" s="554">
        <f t="shared" si="8"/>
        <v>30000</v>
      </c>
      <c r="R52" s="554">
        <f t="shared" si="8"/>
        <v>30000</v>
      </c>
      <c r="S52" s="554">
        <f t="shared" si="8"/>
        <v>30000</v>
      </c>
      <c r="T52" s="479">
        <f t="shared" si="8"/>
        <v>150000</v>
      </c>
      <c r="U52" s="479">
        <f t="shared" si="8"/>
        <v>240000</v>
      </c>
      <c r="V52" s="487">
        <f t="shared" si="8"/>
        <v>240000</v>
      </c>
      <c r="W52" s="487">
        <f t="shared" si="8"/>
        <v>240000</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958</v>
      </c>
      <c r="B53" s="530" t="s">
        <v>826</v>
      </c>
      <c r="C53" s="528" t="s">
        <v>959</v>
      </c>
      <c r="D53" s="428"/>
      <c r="E53" s="554"/>
      <c r="F53" s="427"/>
      <c r="G53" s="427"/>
      <c r="H53" s="427"/>
      <c r="I53" s="554">
        <v>0</v>
      </c>
      <c r="J53" s="554">
        <v>30000</v>
      </c>
      <c r="K53" s="427"/>
      <c r="L53" s="554">
        <f t="shared" ref="L53:W53" si="9">+L49+L52</f>
        <v>0</v>
      </c>
      <c r="M53" s="554">
        <f t="shared" si="9"/>
        <v>0</v>
      </c>
      <c r="N53" s="554">
        <f t="shared" si="9"/>
        <v>0</v>
      </c>
      <c r="O53" s="554">
        <f t="shared" si="9"/>
        <v>0</v>
      </c>
      <c r="P53" s="554">
        <f t="shared" si="9"/>
        <v>30000</v>
      </c>
      <c r="Q53" s="554">
        <f t="shared" si="9"/>
        <v>30000</v>
      </c>
      <c r="R53" s="554">
        <f t="shared" si="9"/>
        <v>30000</v>
      </c>
      <c r="S53" s="554">
        <f t="shared" si="9"/>
        <v>30000</v>
      </c>
      <c r="T53" s="487">
        <f t="shared" si="9"/>
        <v>150000</v>
      </c>
      <c r="U53" s="487">
        <f t="shared" si="9"/>
        <v>240000</v>
      </c>
      <c r="V53" s="487">
        <f t="shared" si="9"/>
        <v>240000</v>
      </c>
      <c r="W53" s="487">
        <f t="shared" si="9"/>
        <v>240000</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960</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962</v>
      </c>
      <c r="B56" s="439" t="s">
        <v>826</v>
      </c>
      <c r="C56" s="439" t="s">
        <v>963</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964</v>
      </c>
      <c r="B57" s="599" t="s">
        <v>808</v>
      </c>
      <c r="C57" s="439" t="s">
        <v>965</v>
      </c>
      <c r="D57" s="427"/>
      <c r="E57" s="487"/>
      <c r="F57" s="592">
        <v>0</v>
      </c>
      <c r="G57" s="592">
        <v>0</v>
      </c>
      <c r="H57" s="592">
        <v>0</v>
      </c>
      <c r="I57" s="593">
        <v>0</v>
      </c>
      <c r="J57" s="593">
        <v>118080</v>
      </c>
      <c r="K57" s="427"/>
      <c r="L57" s="593">
        <f t="shared" ref="L57:W57" si="10">IF(AND((F57&lt;&gt;""),(L$2&lt;46204)),(F57),L78)</f>
        <v>0</v>
      </c>
      <c r="M57" s="593">
        <f t="shared" si="10"/>
        <v>0</v>
      </c>
      <c r="N57" s="593">
        <f t="shared" si="10"/>
        <v>0</v>
      </c>
      <c r="O57" s="593">
        <f t="shared" si="10"/>
        <v>0</v>
      </c>
      <c r="P57" s="593">
        <f t="shared" si="10"/>
        <v>118080</v>
      </c>
      <c r="Q57" s="593">
        <f t="shared" si="10"/>
        <v>118079.99999999999</v>
      </c>
      <c r="R57" s="593">
        <f t="shared" si="10"/>
        <v>226080</v>
      </c>
      <c r="S57" s="593">
        <f t="shared" si="10"/>
        <v>314395</v>
      </c>
      <c r="T57" s="593">
        <f t="shared" si="10"/>
        <v>1013415</v>
      </c>
      <c r="U57" s="593">
        <f t="shared" si="10"/>
        <v>1013415</v>
      </c>
      <c r="V57" s="593">
        <f t="shared" si="10"/>
        <v>1013415</v>
      </c>
      <c r="W57" s="593">
        <f t="shared" si="10"/>
        <v>1013415</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1052</v>
      </c>
      <c r="B58" s="530" t="s">
        <v>826</v>
      </c>
      <c r="C58" s="528" t="s">
        <v>967</v>
      </c>
      <c r="D58" s="428"/>
      <c r="E58" s="496"/>
      <c r="F58" s="427"/>
      <c r="G58" s="427"/>
      <c r="H58" s="427"/>
      <c r="I58" s="496">
        <v>0</v>
      </c>
      <c r="J58" s="496">
        <v>124294.73684210519</v>
      </c>
      <c r="K58" s="427"/>
      <c r="L58" s="496">
        <f t="shared" ref="L58:W58" si="11">L57*L56</f>
        <v>0</v>
      </c>
      <c r="M58" s="496">
        <f t="shared" si="11"/>
        <v>0</v>
      </c>
      <c r="N58" s="496">
        <f t="shared" si="11"/>
        <v>0</v>
      </c>
      <c r="O58" s="496">
        <f t="shared" si="11"/>
        <v>0</v>
      </c>
      <c r="P58" s="496">
        <f t="shared" si="11"/>
        <v>124294.73684210525</v>
      </c>
      <c r="Q58" s="496">
        <f t="shared" si="11"/>
        <v>124294.73684210524</v>
      </c>
      <c r="R58" s="496">
        <f t="shared" si="11"/>
        <v>237978.94736842104</v>
      </c>
      <c r="S58" s="496">
        <f t="shared" si="11"/>
        <v>330942.10526315786</v>
      </c>
      <c r="T58" s="496">
        <f t="shared" si="11"/>
        <v>1066752.6315789474</v>
      </c>
      <c r="U58" s="496">
        <f t="shared" si="11"/>
        <v>1066752.6315789474</v>
      </c>
      <c r="V58" s="496">
        <f t="shared" si="11"/>
        <v>1066752.6315789474</v>
      </c>
      <c r="W58" s="496">
        <f t="shared" si="11"/>
        <v>1066752.6315789474</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30" customFormat="1">
      <c r="A60" s="550" t="s">
        <v>1053</v>
      </c>
      <c r="B60" s="530" t="s">
        <v>808</v>
      </c>
      <c r="C60" s="528" t="s">
        <v>1054</v>
      </c>
      <c r="D60" s="428"/>
      <c r="E60" s="496"/>
      <c r="F60" s="427"/>
      <c r="G60" s="427"/>
      <c r="H60" s="427"/>
      <c r="I60" s="563">
        <v>0</v>
      </c>
      <c r="J60" s="563">
        <v>154294.73684210519</v>
      </c>
      <c r="K60" s="427"/>
      <c r="L60" s="563">
        <f t="shared" ref="L60:W60" si="12">+L53+L32+L58</f>
        <v>0</v>
      </c>
      <c r="M60" s="563">
        <f t="shared" si="12"/>
        <v>0</v>
      </c>
      <c r="N60" s="563">
        <f t="shared" si="12"/>
        <v>0</v>
      </c>
      <c r="O60" s="563">
        <f t="shared" si="12"/>
        <v>0</v>
      </c>
      <c r="P60" s="563">
        <f t="shared" si="12"/>
        <v>154294.73684210525</v>
      </c>
      <c r="Q60" s="563">
        <f t="shared" si="12"/>
        <v>154294.73684210522</v>
      </c>
      <c r="R60" s="563">
        <f t="shared" si="12"/>
        <v>267978.94736842101</v>
      </c>
      <c r="S60" s="563">
        <f t="shared" si="12"/>
        <v>360942.10526315786</v>
      </c>
      <c r="T60" s="496">
        <f t="shared" si="12"/>
        <v>1216752.6315789474</v>
      </c>
      <c r="U60" s="496">
        <f t="shared" si="12"/>
        <v>1306752.6315789474</v>
      </c>
      <c r="V60" s="496">
        <f t="shared" si="12"/>
        <v>1306752.6315789474</v>
      </c>
      <c r="W60" s="496">
        <f t="shared" si="12"/>
        <v>1306752.6315789474</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970</v>
      </c>
      <c r="B62" s="439" t="s">
        <v>808</v>
      </c>
      <c r="C62" s="439" t="s">
        <v>971</v>
      </c>
      <c r="D62" s="427"/>
      <c r="E62" s="496"/>
      <c r="F62" s="427"/>
      <c r="G62" s="427"/>
      <c r="H62" s="427"/>
      <c r="I62" s="563">
        <v>0</v>
      </c>
      <c r="J62" s="563">
        <v>0</v>
      </c>
      <c r="K62" s="427"/>
      <c r="L62" s="563">
        <f t="shared" ref="L62:W62" si="13">+L29+L50</f>
        <v>0</v>
      </c>
      <c r="M62" s="563">
        <f t="shared" si="13"/>
        <v>0</v>
      </c>
      <c r="N62" s="563">
        <f t="shared" si="13"/>
        <v>0</v>
      </c>
      <c r="O62" s="563">
        <f t="shared" si="13"/>
        <v>0</v>
      </c>
      <c r="P62" s="563">
        <f t="shared" si="13"/>
        <v>0</v>
      </c>
      <c r="Q62" s="563">
        <f t="shared" si="13"/>
        <v>0</v>
      </c>
      <c r="R62" s="563">
        <f t="shared" si="13"/>
        <v>0</v>
      </c>
      <c r="S62" s="563">
        <f t="shared" si="13"/>
        <v>0</v>
      </c>
      <c r="T62" s="496">
        <f t="shared" si="13"/>
        <v>0</v>
      </c>
      <c r="U62" s="496">
        <f t="shared" si="13"/>
        <v>0</v>
      </c>
      <c r="V62" s="496">
        <f t="shared" si="13"/>
        <v>0</v>
      </c>
      <c r="W62" s="496">
        <f t="shared" si="13"/>
        <v>0</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972</v>
      </c>
      <c r="B64" s="439" t="s">
        <v>826</v>
      </c>
      <c r="C64" s="439" t="s">
        <v>973</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974</v>
      </c>
      <c r="B65" s="530" t="s">
        <v>6</v>
      </c>
      <c r="C65" s="528" t="s">
        <v>975</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976</v>
      </c>
      <c r="B66" s="530" t="s">
        <v>6</v>
      </c>
      <c r="C66" s="528" t="s">
        <v>977</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978</v>
      </c>
      <c r="B67" s="530" t="s">
        <v>826</v>
      </c>
      <c r="C67" s="528" t="s">
        <v>979</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980</v>
      </c>
      <c r="B68" s="439" t="s">
        <v>826</v>
      </c>
      <c r="C68" s="439" t="s">
        <v>981</v>
      </c>
      <c r="D68" s="427"/>
      <c r="E68" s="496"/>
      <c r="F68" s="427"/>
      <c r="G68" s="427"/>
      <c r="H68" s="427"/>
      <c r="I68" s="496">
        <v>0</v>
      </c>
      <c r="J68" s="496">
        <v>10500</v>
      </c>
      <c r="K68" s="427"/>
      <c r="L68" s="496">
        <f t="shared" ref="L68:W68" si="14">(L64+L65)*(L32+L52)+(L64+L66)*(L49+L29)</f>
        <v>0</v>
      </c>
      <c r="M68" s="496">
        <f t="shared" si="14"/>
        <v>0</v>
      </c>
      <c r="N68" s="496">
        <f t="shared" si="14"/>
        <v>0</v>
      </c>
      <c r="O68" s="496">
        <f t="shared" si="14"/>
        <v>0</v>
      </c>
      <c r="P68" s="496">
        <f t="shared" si="14"/>
        <v>10500</v>
      </c>
      <c r="Q68" s="496">
        <f t="shared" si="14"/>
        <v>10500</v>
      </c>
      <c r="R68" s="496">
        <f t="shared" si="14"/>
        <v>10500</v>
      </c>
      <c r="S68" s="496">
        <f t="shared" si="14"/>
        <v>10500</v>
      </c>
      <c r="T68" s="496">
        <f t="shared" si="14"/>
        <v>52500</v>
      </c>
      <c r="U68" s="496">
        <f t="shared" si="14"/>
        <v>84000</v>
      </c>
      <c r="V68" s="496">
        <f t="shared" si="14"/>
        <v>84000</v>
      </c>
      <c r="W68" s="496">
        <f t="shared" si="14"/>
        <v>84000</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c r="A69" s="540" t="s">
        <v>1055</v>
      </c>
      <c r="B69" s="439" t="s">
        <v>826</v>
      </c>
      <c r="C69" s="439" t="s">
        <v>983</v>
      </c>
      <c r="D69" s="427"/>
      <c r="E69" s="496"/>
      <c r="F69" s="427"/>
      <c r="G69" s="427"/>
      <c r="H69" s="427"/>
      <c r="I69" s="496">
        <v>0</v>
      </c>
      <c r="J69" s="496">
        <v>6214.7368421052624</v>
      </c>
      <c r="K69" s="427"/>
      <c r="L69" s="496">
        <f t="shared" ref="L69:W69" si="15">L58*L67</f>
        <v>0</v>
      </c>
      <c r="M69" s="496">
        <f t="shared" si="15"/>
        <v>0</v>
      </c>
      <c r="N69" s="496">
        <f t="shared" si="15"/>
        <v>0</v>
      </c>
      <c r="O69" s="496">
        <f t="shared" si="15"/>
        <v>0</v>
      </c>
      <c r="P69" s="496">
        <f t="shared" si="15"/>
        <v>6214.7368421052633</v>
      </c>
      <c r="Q69" s="496">
        <f t="shared" si="15"/>
        <v>6214.7368421052624</v>
      </c>
      <c r="R69" s="496">
        <f t="shared" si="15"/>
        <v>11898.947368421053</v>
      </c>
      <c r="S69" s="496">
        <f t="shared" si="15"/>
        <v>16547.105263157893</v>
      </c>
      <c r="T69" s="496">
        <f t="shared" si="15"/>
        <v>53337.631578947374</v>
      </c>
      <c r="U69" s="496">
        <f t="shared" si="15"/>
        <v>53337.631578947374</v>
      </c>
      <c r="V69" s="496">
        <f t="shared" si="15"/>
        <v>53337.631578947374</v>
      </c>
      <c r="W69" s="496">
        <f t="shared" si="15"/>
        <v>53337.631578947374</v>
      </c>
      <c r="X69" s="496"/>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row>
    <row r="70" spans="1:54">
      <c r="A70" s="550" t="s">
        <v>1056</v>
      </c>
      <c r="B70" s="439" t="s">
        <v>808</v>
      </c>
      <c r="C70" s="439" t="s">
        <v>1057</v>
      </c>
      <c r="D70" s="427"/>
      <c r="E70" s="496"/>
      <c r="F70" s="427"/>
      <c r="G70" s="427"/>
      <c r="H70" s="427"/>
      <c r="I70" s="563">
        <v>0</v>
      </c>
      <c r="J70" s="563">
        <v>16714.73684210526</v>
      </c>
      <c r="K70" s="427"/>
      <c r="L70" s="563">
        <f t="shared" ref="L70:W70" si="16">L69+L68</f>
        <v>0</v>
      </c>
      <c r="M70" s="563">
        <f t="shared" si="16"/>
        <v>0</v>
      </c>
      <c r="N70" s="563">
        <f t="shared" si="16"/>
        <v>0</v>
      </c>
      <c r="O70" s="563">
        <f t="shared" si="16"/>
        <v>0</v>
      </c>
      <c r="P70" s="563">
        <f t="shared" si="16"/>
        <v>16714.736842105263</v>
      </c>
      <c r="Q70" s="563">
        <f t="shared" si="16"/>
        <v>16714.736842105263</v>
      </c>
      <c r="R70" s="563">
        <f t="shared" si="16"/>
        <v>22398.947368421053</v>
      </c>
      <c r="S70" s="563">
        <f t="shared" si="16"/>
        <v>27047.105263157893</v>
      </c>
      <c r="T70" s="496">
        <f t="shared" si="16"/>
        <v>105837.63157894737</v>
      </c>
      <c r="U70" s="496">
        <f t="shared" si="16"/>
        <v>137337.63157894736</v>
      </c>
      <c r="V70" s="496">
        <f t="shared" si="16"/>
        <v>137337.63157894736</v>
      </c>
      <c r="W70" s="496">
        <f t="shared" si="16"/>
        <v>137337.63157894736</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c r="A71" s="427"/>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986</v>
      </c>
      <c r="B72" s="530" t="s">
        <v>826</v>
      </c>
      <c r="C72" s="528" t="s">
        <v>987</v>
      </c>
      <c r="D72" s="428"/>
      <c r="E72" s="496"/>
      <c r="F72" s="427"/>
      <c r="G72" s="427"/>
      <c r="H72" s="427"/>
      <c r="I72" s="496">
        <v>0</v>
      </c>
      <c r="J72" s="496">
        <v>0</v>
      </c>
      <c r="K72" s="427"/>
      <c r="L72" s="496">
        <f t="shared" ref="L72:W72" si="17">-(L64+L65)*(L27+L48)</f>
        <v>0</v>
      </c>
      <c r="M72" s="496">
        <f t="shared" si="17"/>
        <v>0</v>
      </c>
      <c r="N72" s="496">
        <f t="shared" si="17"/>
        <v>0</v>
      </c>
      <c r="O72" s="496">
        <f t="shared" si="17"/>
        <v>0</v>
      </c>
      <c r="P72" s="496">
        <f t="shared" si="17"/>
        <v>0</v>
      </c>
      <c r="Q72" s="496">
        <f t="shared" si="17"/>
        <v>0</v>
      </c>
      <c r="R72" s="496">
        <f t="shared" si="17"/>
        <v>0</v>
      </c>
      <c r="S72" s="496">
        <f t="shared" si="17"/>
        <v>0</v>
      </c>
      <c r="T72" s="496">
        <f t="shared" si="17"/>
        <v>0</v>
      </c>
      <c r="U72" s="496">
        <f t="shared" si="17"/>
        <v>0</v>
      </c>
      <c r="V72" s="496">
        <f t="shared" si="17"/>
        <v>0</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988</v>
      </c>
      <c r="B73" s="530" t="s">
        <v>826</v>
      </c>
      <c r="C73" s="528" t="s">
        <v>989</v>
      </c>
      <c r="D73" s="428"/>
      <c r="E73" s="496"/>
      <c r="F73" s="427"/>
      <c r="G73" s="427"/>
      <c r="H73" s="427"/>
      <c r="I73" s="496">
        <v>0</v>
      </c>
      <c r="J73" s="496">
        <v>0</v>
      </c>
      <c r="K73" s="427"/>
      <c r="L73" s="496">
        <f t="shared" ref="L73:W73" si="18">-(L64+L66)*(L28+L49)</f>
        <v>0</v>
      </c>
      <c r="M73" s="496">
        <f t="shared" si="18"/>
        <v>0</v>
      </c>
      <c r="N73" s="496">
        <f t="shared" si="18"/>
        <v>0</v>
      </c>
      <c r="O73" s="496">
        <f t="shared" si="18"/>
        <v>0</v>
      </c>
      <c r="P73" s="496">
        <f t="shared" si="18"/>
        <v>0</v>
      </c>
      <c r="Q73" s="496">
        <f t="shared" si="18"/>
        <v>0</v>
      </c>
      <c r="R73" s="496">
        <f t="shared" si="18"/>
        <v>0</v>
      </c>
      <c r="S73" s="496">
        <f t="shared" si="18"/>
        <v>0</v>
      </c>
      <c r="T73" s="496">
        <f t="shared" si="18"/>
        <v>0</v>
      </c>
      <c r="U73" s="496">
        <f t="shared" si="18"/>
        <v>0</v>
      </c>
      <c r="V73" s="496">
        <f t="shared" si="18"/>
        <v>0</v>
      </c>
      <c r="W73" s="496">
        <f t="shared" si="18"/>
        <v>0</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990</v>
      </c>
      <c r="B74" s="439" t="s">
        <v>6</v>
      </c>
      <c r="C74" s="439" t="s">
        <v>991</v>
      </c>
      <c r="D74" s="427"/>
      <c r="E74" s="496"/>
      <c r="F74" s="427"/>
      <c r="G74" s="427"/>
      <c r="H74" s="427"/>
      <c r="I74" s="543">
        <v>0</v>
      </c>
      <c r="J74" s="543">
        <v>0</v>
      </c>
      <c r="K74" s="427"/>
      <c r="L74" s="543">
        <f>SUM(L72:L73)+E74</f>
        <v>0</v>
      </c>
      <c r="M74" s="543">
        <f t="shared" ref="M74:W74" si="19">SUM(M72:M73)+L74</f>
        <v>0</v>
      </c>
      <c r="N74" s="543">
        <f t="shared" si="19"/>
        <v>0</v>
      </c>
      <c r="O74" s="543">
        <f t="shared" si="19"/>
        <v>0</v>
      </c>
      <c r="P74" s="543">
        <f t="shared" si="19"/>
        <v>0</v>
      </c>
      <c r="Q74" s="543">
        <f t="shared" si="19"/>
        <v>0</v>
      </c>
      <c r="R74" s="543">
        <f t="shared" si="19"/>
        <v>0</v>
      </c>
      <c r="S74" s="543">
        <f t="shared" si="19"/>
        <v>0</v>
      </c>
      <c r="T74" s="496">
        <f t="shared" si="19"/>
        <v>0</v>
      </c>
      <c r="U74" s="496">
        <f t="shared" si="19"/>
        <v>0</v>
      </c>
      <c r="V74" s="496">
        <f t="shared" si="19"/>
        <v>0</v>
      </c>
      <c r="W74" s="496">
        <f t="shared" si="19"/>
        <v>0</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993</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994</v>
      </c>
      <c r="B77" s="530" t="s">
        <v>826</v>
      </c>
      <c r="C77" s="528" t="s">
        <v>995</v>
      </c>
      <c r="D77" s="428"/>
      <c r="E77" s="487"/>
      <c r="F77" s="427"/>
      <c r="G77" s="427"/>
      <c r="H77" s="427"/>
      <c r="I77" s="487">
        <v>602497.5</v>
      </c>
      <c r="J77" s="487">
        <v>296640</v>
      </c>
      <c r="K77" s="427"/>
      <c r="L77" s="487">
        <f>'.c12_bi&amp;f_hr'!L48</f>
        <v>250559.99999999997</v>
      </c>
      <c r="M77" s="487">
        <f>'.c12_bi&amp;f_hr'!M48</f>
        <v>250559.99999999997</v>
      </c>
      <c r="N77" s="487">
        <f>'.c12_bi&amp;f_hr'!N48</f>
        <v>336959.99999999994</v>
      </c>
      <c r="O77" s="487">
        <f>'.c12_bi&amp;f_hr'!O48</f>
        <v>602497.5</v>
      </c>
      <c r="P77" s="487">
        <f>'.c12_bi&amp;f_hr'!P48</f>
        <v>296640</v>
      </c>
      <c r="Q77" s="487">
        <f>'.c12_bi&amp;f_hr'!Q48</f>
        <v>477677.14285714284</v>
      </c>
      <c r="R77" s="487">
        <f>'.c12_bi&amp;f_hr'!R48</f>
        <v>672077.14285714284</v>
      </c>
      <c r="S77" s="487">
        <f>'.c12_bi&amp;f_hr'!S48</f>
        <v>1173394.6428571427</v>
      </c>
      <c r="T77" s="487">
        <f>'.c12_bi&amp;f_hr'!T48</f>
        <v>3289116.0714285714</v>
      </c>
      <c r="U77" s="487">
        <f>'.c12_bi&amp;f_hr'!U48</f>
        <v>3289116.0714285714</v>
      </c>
      <c r="V77" s="487">
        <f>'.c12_bi&amp;f_hr'!V48</f>
        <v>3289116.0714285714</v>
      </c>
      <c r="W77" s="487">
        <f>'.c12_bi&amp;f_hr'!W48</f>
        <v>3289116.0714285714</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996</v>
      </c>
      <c r="B78" s="530" t="s">
        <v>808</v>
      </c>
      <c r="C78" s="528" t="s">
        <v>997</v>
      </c>
      <c r="D78" s="428"/>
      <c r="E78" s="487"/>
      <c r="F78" s="427"/>
      <c r="G78" s="427"/>
      <c r="H78" s="427"/>
      <c r="I78" s="565">
        <v>154162.5</v>
      </c>
      <c r="J78" s="565">
        <v>118080</v>
      </c>
      <c r="K78" s="427"/>
      <c r="L78" s="565">
        <f>'.c12_bi&amp;f_hr'!L49</f>
        <v>53279.999999999993</v>
      </c>
      <c r="M78" s="565">
        <f>'.c12_bi&amp;f_hr'!M49</f>
        <v>53279.999999999993</v>
      </c>
      <c r="N78" s="565">
        <f>'.c12_bi&amp;f_hr'!N49</f>
        <v>115199.99999999999</v>
      </c>
      <c r="O78" s="565">
        <f>'.c12_bi&amp;f_hr'!O49</f>
        <v>154162.5</v>
      </c>
      <c r="P78" s="565">
        <f>'.c12_bi&amp;f_hr'!P49</f>
        <v>118079.99999999999</v>
      </c>
      <c r="Q78" s="565">
        <f>'.c12_bi&amp;f_hr'!Q49</f>
        <v>118079.99999999999</v>
      </c>
      <c r="R78" s="565">
        <f>'.c12_bi&amp;f_hr'!R49</f>
        <v>226080</v>
      </c>
      <c r="S78" s="565">
        <f>'.c12_bi&amp;f_hr'!S49</f>
        <v>314395</v>
      </c>
      <c r="T78" s="487">
        <f>'.c12_bi&amp;f_hr'!T49</f>
        <v>1013415</v>
      </c>
      <c r="U78" s="487">
        <f>'.c12_bi&amp;f_hr'!U49</f>
        <v>1013415</v>
      </c>
      <c r="V78" s="487">
        <f>'.c12_bi&amp;f_hr'!V49</f>
        <v>1013415</v>
      </c>
      <c r="W78" s="487">
        <f>'.c12_bi&amp;f_hr'!W49</f>
        <v>1013415</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998</v>
      </c>
      <c r="B79" s="530" t="s">
        <v>808</v>
      </c>
      <c r="C79" s="528" t="s">
        <v>999</v>
      </c>
      <c r="D79" s="428"/>
      <c r="E79" s="487"/>
      <c r="F79" s="427"/>
      <c r="G79" s="427"/>
      <c r="H79" s="427"/>
      <c r="I79" s="565">
        <v>448334.99999999988</v>
      </c>
      <c r="J79" s="565">
        <v>178560</v>
      </c>
      <c r="K79" s="427"/>
      <c r="L79" s="565">
        <f>'.c12_bi&amp;f_hr'!L50</f>
        <v>197280</v>
      </c>
      <c r="M79" s="565">
        <f>'.c12_bi&amp;f_hr'!M50</f>
        <v>197280</v>
      </c>
      <c r="N79" s="565">
        <f>'.c12_bi&amp;f_hr'!N50</f>
        <v>221759.99999999997</v>
      </c>
      <c r="O79" s="565">
        <f>'.c12_bi&amp;f_hr'!O50</f>
        <v>448334.99999999994</v>
      </c>
      <c r="P79" s="565">
        <f>'.c12_bi&amp;f_hr'!P50</f>
        <v>178559.99999999997</v>
      </c>
      <c r="Q79" s="565">
        <f>'.c12_bi&amp;f_hr'!Q50</f>
        <v>359597.14285714284</v>
      </c>
      <c r="R79" s="565">
        <f>'.c12_bi&amp;f_hr'!R50</f>
        <v>445997.14285714284</v>
      </c>
      <c r="S79" s="565">
        <f>'.c12_bi&amp;f_hr'!S50</f>
        <v>858999.64285714284</v>
      </c>
      <c r="T79" s="487">
        <f>'.c12_bi&amp;f_hr'!T50</f>
        <v>2275701.0714285714</v>
      </c>
      <c r="U79" s="487">
        <f>'.c12_bi&amp;f_hr'!U50</f>
        <v>2275701.0714285714</v>
      </c>
      <c r="V79" s="487">
        <f>'.c12_bi&amp;f_hr'!V50</f>
        <v>2275701.0714285714</v>
      </c>
      <c r="W79" s="487">
        <f>'.c12_bi&amp;f_hr'!W50</f>
        <v>2275701.0714285714</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1000</v>
      </c>
      <c r="B80" s="530" t="s">
        <v>826</v>
      </c>
      <c r="C80" s="528" t="s">
        <v>1001</v>
      </c>
      <c r="D80" s="428"/>
      <c r="E80" s="487"/>
      <c r="F80" s="427"/>
      <c r="G80" s="427"/>
      <c r="H80" s="427"/>
      <c r="I80" s="487">
        <v>0</v>
      </c>
      <c r="J80" s="487">
        <v>0</v>
      </c>
      <c r="K80" s="427"/>
      <c r="L80" s="487">
        <f>'.c12_bi&amp;f_hr'!L51</f>
        <v>0</v>
      </c>
      <c r="M80" s="487">
        <f>'.c12_bi&amp;f_hr'!M51</f>
        <v>0</v>
      </c>
      <c r="N80" s="487">
        <f>'.c12_bi&amp;f_hr'!N51</f>
        <v>0</v>
      </c>
      <c r="O80" s="487">
        <f>'.c12_bi&amp;f_hr'!O51</f>
        <v>0</v>
      </c>
      <c r="P80" s="487">
        <f>'.c12_bi&amp;f_hr'!P51</f>
        <v>0</v>
      </c>
      <c r="Q80" s="487">
        <f>'.c12_bi&amp;f_hr'!Q51</f>
        <v>0</v>
      </c>
      <c r="R80" s="487">
        <f>'.c12_bi&amp;f_hr'!R51</f>
        <v>0</v>
      </c>
      <c r="S80" s="487">
        <f>'.c12_bi&amp;f_hr'!S51</f>
        <v>0</v>
      </c>
      <c r="T80" s="487">
        <f>'.c12_bi&amp;f_hr'!T51</f>
        <v>0</v>
      </c>
      <c r="U80" s="487">
        <f>'.c12_bi&amp;f_hr'!U51</f>
        <v>0</v>
      </c>
      <c r="V80" s="487">
        <f>'.c12_bi&amp;f_hr'!V51</f>
        <v>0</v>
      </c>
      <c r="W80" s="487">
        <f>'.c12_bi&amp;f_hr'!W51</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1002</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sheetPr>
  <dimension ref="A1:G149"/>
  <sheetViews>
    <sheetView workbookViewId="0">
      <pane xSplit="4" ySplit="3" topLeftCell="E4" activePane="bottomRight" state="frozen"/>
      <selection pane="topRight"/>
      <selection pane="bottomLeft"/>
      <selection pane="bottomRight" activeCell="K29" sqref="K29"/>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427"/>
      <c r="B1" s="427"/>
      <c r="C1" s="427"/>
      <c r="D1" s="427"/>
      <c r="E1" s="427"/>
      <c r="F1" s="427"/>
      <c r="G1" s="427"/>
    </row>
    <row r="2" spans="1:7" ht="15" customHeight="1">
      <c r="A2" s="434"/>
      <c r="B2" s="431"/>
      <c r="C2" s="431"/>
      <c r="D2" s="431"/>
      <c r="E2" s="434"/>
      <c r="F2" s="434"/>
      <c r="G2" s="434"/>
    </row>
    <row r="3" spans="1:7" s="423" customFormat="1" ht="15" customHeight="1">
      <c r="A3" s="434"/>
      <c r="B3" s="431"/>
      <c r="C3" s="431"/>
      <c r="D3" s="431"/>
      <c r="E3" s="434"/>
      <c r="F3" s="434"/>
      <c r="G3" s="434"/>
    </row>
    <row r="4" spans="1:7" ht="18.5" customHeight="1">
      <c r="A4" s="427"/>
      <c r="B4" s="437" t="s">
        <v>2</v>
      </c>
      <c r="C4" s="438" t="s">
        <v>3</v>
      </c>
      <c r="D4" s="437" t="s">
        <v>4</v>
      </c>
      <c r="E4" s="427"/>
      <c r="F4" s="427"/>
      <c r="G4" s="427"/>
    </row>
    <row r="5" spans="1:7">
      <c r="A5" s="469" t="s">
        <v>1058</v>
      </c>
      <c r="B5" s="440" t="s">
        <v>6</v>
      </c>
      <c r="C5" s="441" t="s">
        <v>1059</v>
      </c>
      <c r="D5" s="440" t="s">
        <v>1060</v>
      </c>
      <c r="E5" s="570">
        <v>2.171428571428571E-2</v>
      </c>
      <c r="F5" s="439" t="s">
        <v>1061</v>
      </c>
      <c r="G5" s="427"/>
    </row>
    <row r="6" spans="1:7">
      <c r="A6" s="469" t="s">
        <v>1062</v>
      </c>
      <c r="B6" s="440" t="s">
        <v>6</v>
      </c>
      <c r="C6" s="441" t="s">
        <v>1063</v>
      </c>
      <c r="D6" s="455" t="s">
        <v>1060</v>
      </c>
      <c r="E6" s="571">
        <v>3.9E-2</v>
      </c>
      <c r="F6" s="427"/>
      <c r="G6" s="427"/>
    </row>
    <row r="7" spans="1:7">
      <c r="A7" s="427"/>
      <c r="B7" s="442"/>
      <c r="C7" s="444"/>
      <c r="D7" s="445"/>
      <c r="E7" s="427"/>
      <c r="F7" s="427"/>
      <c r="G7" s="427"/>
    </row>
    <row r="8" spans="1:7">
      <c r="A8" s="469" t="s">
        <v>1064</v>
      </c>
      <c r="B8" s="440" t="s">
        <v>6</v>
      </c>
      <c r="C8" s="441" t="s">
        <v>1065</v>
      </c>
      <c r="D8" s="455" t="s">
        <v>897</v>
      </c>
      <c r="E8" s="570">
        <v>0.152</v>
      </c>
      <c r="F8" s="427"/>
      <c r="G8" s="427"/>
    </row>
    <row r="9" spans="1:7">
      <c r="A9" s="469" t="s">
        <v>1066</v>
      </c>
      <c r="B9" s="439" t="s">
        <v>6</v>
      </c>
      <c r="C9" s="439" t="s">
        <v>1063</v>
      </c>
      <c r="D9" s="439" t="s">
        <v>897</v>
      </c>
      <c r="E9" s="570">
        <v>3.9E-2</v>
      </c>
      <c r="F9" s="427"/>
      <c r="G9" s="427"/>
    </row>
    <row r="10" spans="1:7">
      <c r="A10" s="427"/>
      <c r="B10" s="427"/>
      <c r="C10" s="427"/>
      <c r="D10" s="427"/>
      <c r="E10" s="427"/>
      <c r="F10" s="427"/>
      <c r="G10" s="427"/>
    </row>
    <row r="11" spans="1:7">
      <c r="A11" s="469" t="s">
        <v>1067</v>
      </c>
      <c r="B11" s="439" t="s">
        <v>6</v>
      </c>
      <c r="C11" s="439" t="s">
        <v>1065</v>
      </c>
      <c r="D11" s="439" t="s">
        <v>899</v>
      </c>
      <c r="E11" s="570">
        <v>0.152</v>
      </c>
      <c r="F11" s="427"/>
      <c r="G11" s="427"/>
    </row>
    <row r="12" spans="1:7">
      <c r="A12" s="469" t="s">
        <v>1068</v>
      </c>
      <c r="B12" s="439" t="s">
        <v>6</v>
      </c>
      <c r="C12" s="439" t="s">
        <v>1063</v>
      </c>
      <c r="D12" s="439" t="s">
        <v>899</v>
      </c>
      <c r="E12" s="570">
        <v>3.9E-2</v>
      </c>
      <c r="F12" s="427"/>
      <c r="G12" s="427"/>
    </row>
    <row r="13" spans="1:7">
      <c r="A13" s="427"/>
      <c r="B13" s="427"/>
      <c r="C13" s="427"/>
      <c r="D13" s="427"/>
      <c r="E13" s="427"/>
      <c r="F13" s="427"/>
      <c r="G13" s="427"/>
    </row>
    <row r="14" spans="1:7">
      <c r="A14" s="427"/>
      <c r="B14" s="427"/>
      <c r="C14" s="427"/>
      <c r="D14" s="427"/>
      <c r="E14" s="427"/>
      <c r="F14" s="427"/>
      <c r="G14" s="427"/>
    </row>
    <row r="15" spans="1:7">
      <c r="A15" s="469" t="s">
        <v>1069</v>
      </c>
      <c r="B15" s="439" t="s">
        <v>6</v>
      </c>
      <c r="C15" s="439" t="s">
        <v>1065</v>
      </c>
      <c r="D15" s="439" t="s">
        <v>1070</v>
      </c>
      <c r="E15" s="570">
        <v>0.152</v>
      </c>
      <c r="F15" s="427"/>
      <c r="G15" s="427"/>
    </row>
    <row r="16" spans="1:7">
      <c r="A16" s="469" t="s">
        <v>1071</v>
      </c>
      <c r="B16" s="439" t="s">
        <v>6</v>
      </c>
      <c r="C16" s="439" t="s">
        <v>1063</v>
      </c>
      <c r="D16" s="439" t="s">
        <v>1070</v>
      </c>
      <c r="E16" s="570">
        <v>3.9E-2</v>
      </c>
      <c r="F16" s="427"/>
      <c r="G16" s="427"/>
    </row>
    <row r="17" spans="1:7">
      <c r="A17" s="427"/>
      <c r="B17" s="427"/>
      <c r="C17" s="427"/>
      <c r="D17" s="427"/>
      <c r="E17" s="427"/>
      <c r="F17" s="427"/>
      <c r="G17" s="427"/>
    </row>
    <row r="18" spans="1:7">
      <c r="A18" s="427"/>
      <c r="B18" s="427"/>
      <c r="C18" s="427"/>
      <c r="D18" s="427"/>
      <c r="E18" s="427"/>
      <c r="F18" s="427"/>
      <c r="G18" s="427"/>
    </row>
    <row r="19" spans="1:7">
      <c r="A19" s="427"/>
      <c r="B19" s="427"/>
      <c r="C19" s="427"/>
      <c r="D19" s="427"/>
      <c r="E19" s="427"/>
      <c r="F19" s="427"/>
      <c r="G19" s="427"/>
    </row>
    <row r="20" spans="1:7">
      <c r="A20" s="427"/>
      <c r="B20" s="427"/>
      <c r="C20" s="427"/>
      <c r="D20" s="427"/>
      <c r="E20" s="427"/>
      <c r="F20" s="427"/>
      <c r="G20" s="427"/>
    </row>
    <row r="21" spans="1:7">
      <c r="A21" s="427"/>
      <c r="B21" s="427"/>
      <c r="C21" s="427"/>
      <c r="D21" s="427"/>
      <c r="E21" s="427"/>
      <c r="F21" s="427"/>
      <c r="G21" s="427"/>
    </row>
    <row r="22" spans="1:7">
      <c r="A22" s="427"/>
      <c r="B22" s="427"/>
      <c r="C22" s="427"/>
      <c r="D22" s="427"/>
      <c r="E22" s="427"/>
      <c r="F22" s="427"/>
      <c r="G22" s="427"/>
    </row>
    <row r="23" spans="1:7">
      <c r="A23" s="427"/>
      <c r="B23" s="427"/>
      <c r="C23" s="427"/>
      <c r="D23" s="427"/>
      <c r="E23" s="427"/>
      <c r="F23" s="427"/>
      <c r="G23" s="427"/>
    </row>
    <row r="24" spans="1:7">
      <c r="A24" s="427"/>
      <c r="B24" s="427"/>
      <c r="C24" s="427"/>
      <c r="D24" s="427"/>
      <c r="E24" s="427"/>
      <c r="F24" s="427"/>
      <c r="G24" s="427"/>
    </row>
    <row r="25" spans="1:7">
      <c r="A25" s="427"/>
      <c r="B25" s="427"/>
      <c r="C25" s="427"/>
      <c r="D25" s="427"/>
      <c r="E25" s="427"/>
      <c r="F25" s="427"/>
      <c r="G25" s="427"/>
    </row>
    <row r="26" spans="1:7">
      <c r="A26" s="427"/>
      <c r="B26" s="427"/>
      <c r="C26" s="427"/>
      <c r="D26" s="427"/>
      <c r="E26" s="427"/>
      <c r="F26" s="427"/>
      <c r="G26" s="427"/>
    </row>
    <row r="27" spans="1:7">
      <c r="A27" s="427"/>
      <c r="B27" s="427"/>
      <c r="C27" s="427"/>
      <c r="D27" s="427"/>
      <c r="E27" s="427"/>
      <c r="F27" s="427"/>
      <c r="G27" s="427"/>
    </row>
    <row r="28" spans="1:7">
      <c r="A28" s="427"/>
      <c r="B28" s="427"/>
      <c r="C28" s="427"/>
      <c r="D28" s="427"/>
      <c r="E28" s="427"/>
      <c r="F28" s="427"/>
      <c r="G28" s="427"/>
    </row>
    <row r="29" spans="1:7">
      <c r="A29" s="427"/>
      <c r="B29" s="427"/>
      <c r="C29" s="427"/>
      <c r="D29" s="427"/>
      <c r="E29" s="427"/>
      <c r="F29" s="427"/>
      <c r="G29" s="427"/>
    </row>
    <row r="30" spans="1:7">
      <c r="A30" s="427"/>
      <c r="B30" s="427"/>
      <c r="C30" s="427"/>
      <c r="D30" s="427"/>
      <c r="E30" s="427"/>
      <c r="F30" s="427"/>
      <c r="G30" s="427"/>
    </row>
    <row r="31" spans="1:7">
      <c r="A31" s="427"/>
      <c r="B31" s="427"/>
      <c r="C31" s="427"/>
      <c r="D31" s="427"/>
      <c r="E31" s="427"/>
      <c r="F31" s="427"/>
      <c r="G31" s="427"/>
    </row>
    <row r="32" spans="1:7">
      <c r="A32" s="427"/>
      <c r="B32" s="427"/>
      <c r="C32" s="427"/>
      <c r="D32" s="427"/>
      <c r="E32" s="427"/>
      <c r="F32" s="427"/>
      <c r="G32" s="427"/>
    </row>
    <row r="33" spans="1:7">
      <c r="A33" s="427"/>
      <c r="B33" s="427"/>
      <c r="C33" s="427"/>
      <c r="D33" s="427"/>
      <c r="E33" s="427"/>
      <c r="F33" s="427"/>
      <c r="G33" s="427"/>
    </row>
    <row r="34" spans="1:7">
      <c r="A34" s="427"/>
      <c r="B34" s="427"/>
      <c r="C34" s="427"/>
      <c r="D34" s="427"/>
      <c r="E34" s="427"/>
      <c r="F34" s="427"/>
      <c r="G34" s="427"/>
    </row>
    <row r="35" spans="1:7">
      <c r="A35" s="427"/>
      <c r="B35" s="427"/>
      <c r="C35" s="427"/>
      <c r="D35" s="427"/>
      <c r="E35" s="427"/>
      <c r="F35" s="427"/>
      <c r="G35" s="427"/>
    </row>
    <row r="36" spans="1:7">
      <c r="A36" s="427"/>
      <c r="B36" s="427"/>
      <c r="C36" s="427"/>
      <c r="D36" s="427"/>
      <c r="E36" s="427"/>
      <c r="F36" s="427"/>
      <c r="G36" s="427"/>
    </row>
    <row r="37" spans="1:7">
      <c r="A37" s="427"/>
      <c r="B37" s="427"/>
      <c r="C37" s="427"/>
      <c r="D37" s="427"/>
      <c r="E37" s="427"/>
      <c r="F37" s="427"/>
      <c r="G37" s="427"/>
    </row>
    <row r="38" spans="1:7">
      <c r="A38" s="427"/>
      <c r="B38" s="427"/>
      <c r="C38" s="427"/>
      <c r="D38" s="427"/>
      <c r="E38" s="427"/>
      <c r="F38" s="427"/>
      <c r="G38" s="427"/>
    </row>
    <row r="39" spans="1:7">
      <c r="A39" s="427"/>
      <c r="B39" s="427"/>
      <c r="C39" s="427"/>
      <c r="D39" s="427"/>
      <c r="E39" s="427"/>
      <c r="F39" s="427"/>
      <c r="G39" s="427"/>
    </row>
    <row r="40" spans="1:7">
      <c r="A40" s="427"/>
      <c r="B40" s="427"/>
      <c r="C40" s="427"/>
      <c r="D40" s="427"/>
      <c r="E40" s="427"/>
      <c r="F40" s="427"/>
      <c r="G40" s="427"/>
    </row>
    <row r="41" spans="1:7">
      <c r="A41" s="427"/>
      <c r="B41" s="427"/>
      <c r="C41" s="427"/>
      <c r="D41" s="427"/>
      <c r="E41" s="427"/>
      <c r="F41" s="427"/>
      <c r="G41" s="427"/>
    </row>
    <row r="42" spans="1:7">
      <c r="A42" s="427"/>
      <c r="B42" s="427"/>
      <c r="C42" s="427"/>
      <c r="D42" s="427"/>
      <c r="E42" s="427"/>
      <c r="F42" s="427"/>
      <c r="G42" s="427"/>
    </row>
    <row r="43" spans="1:7">
      <c r="A43" s="427"/>
      <c r="B43" s="427"/>
      <c r="C43" s="427"/>
      <c r="D43" s="427"/>
      <c r="E43" s="427"/>
      <c r="F43" s="427"/>
      <c r="G43" s="427"/>
    </row>
    <row r="44" spans="1:7">
      <c r="A44" s="427"/>
      <c r="B44" s="427"/>
      <c r="C44" s="427"/>
      <c r="D44" s="427"/>
      <c r="E44" s="427"/>
      <c r="F44" s="427"/>
      <c r="G44" s="427"/>
    </row>
    <row r="45" spans="1:7">
      <c r="A45" s="427"/>
      <c r="B45" s="427"/>
      <c r="C45" s="427"/>
      <c r="D45" s="427"/>
      <c r="E45" s="427"/>
      <c r="F45" s="427"/>
      <c r="G45" s="427"/>
    </row>
    <row r="46" spans="1:7">
      <c r="A46" s="427"/>
      <c r="B46" s="427"/>
      <c r="C46" s="427"/>
      <c r="D46" s="427"/>
      <c r="E46" s="427"/>
      <c r="F46" s="427"/>
      <c r="G46" s="427"/>
    </row>
    <row r="47" spans="1:7">
      <c r="A47" s="427"/>
      <c r="B47" s="427"/>
      <c r="C47" s="427"/>
      <c r="D47" s="427"/>
      <c r="E47" s="427"/>
      <c r="F47" s="427"/>
      <c r="G47" s="427"/>
    </row>
    <row r="48" spans="1:7">
      <c r="A48" s="427"/>
      <c r="B48" s="427"/>
      <c r="C48" s="427"/>
      <c r="D48" s="427"/>
      <c r="E48" s="427"/>
      <c r="F48" s="427"/>
      <c r="G48" s="427"/>
    </row>
    <row r="49" spans="1:7">
      <c r="A49" s="427"/>
      <c r="B49" s="427"/>
      <c r="C49" s="427"/>
      <c r="D49" s="427"/>
      <c r="E49" s="427"/>
      <c r="F49" s="427"/>
      <c r="G49" s="427"/>
    </row>
    <row r="50" spans="1:7">
      <c r="A50" s="427"/>
      <c r="B50" s="427"/>
      <c r="C50" s="427"/>
      <c r="D50" s="427"/>
      <c r="E50" s="427"/>
      <c r="F50" s="427"/>
      <c r="G50" s="427"/>
    </row>
    <row r="51" spans="1:7">
      <c r="A51" s="427"/>
      <c r="B51" s="427"/>
      <c r="C51" s="427"/>
      <c r="D51" s="427"/>
      <c r="E51" s="427"/>
      <c r="F51" s="427"/>
      <c r="G51" s="427"/>
    </row>
    <row r="52" spans="1:7">
      <c r="A52" s="427"/>
      <c r="B52" s="427"/>
      <c r="C52" s="427"/>
      <c r="D52" s="427"/>
      <c r="E52" s="427"/>
      <c r="F52" s="427"/>
      <c r="G52" s="427"/>
    </row>
    <row r="53" spans="1:7">
      <c r="A53" s="427"/>
      <c r="B53" s="427"/>
      <c r="C53" s="427"/>
      <c r="D53" s="427"/>
      <c r="E53" s="427"/>
      <c r="F53" s="427"/>
      <c r="G53" s="427"/>
    </row>
    <row r="54" spans="1:7">
      <c r="A54" s="427"/>
      <c r="B54" s="427"/>
      <c r="C54" s="427"/>
      <c r="D54" s="427"/>
      <c r="E54" s="427"/>
      <c r="F54" s="427"/>
      <c r="G54" s="427"/>
    </row>
    <row r="55" spans="1:7">
      <c r="A55" s="427"/>
      <c r="B55" s="427"/>
      <c r="C55" s="427"/>
      <c r="D55" s="427"/>
      <c r="E55" s="427"/>
      <c r="F55" s="427"/>
      <c r="G55" s="427"/>
    </row>
    <row r="56" spans="1:7">
      <c r="A56" s="427"/>
      <c r="B56" s="427"/>
      <c r="C56" s="427"/>
      <c r="D56" s="427"/>
      <c r="E56" s="427"/>
      <c r="F56" s="427"/>
      <c r="G56" s="427"/>
    </row>
    <row r="57" spans="1:7">
      <c r="A57" s="427"/>
      <c r="B57" s="427"/>
      <c r="C57" s="427"/>
      <c r="D57" s="427"/>
      <c r="E57" s="427"/>
      <c r="F57" s="427"/>
      <c r="G57" s="427"/>
    </row>
    <row r="58" spans="1:7">
      <c r="A58" s="427"/>
      <c r="B58" s="427"/>
      <c r="C58" s="427"/>
      <c r="D58" s="427"/>
      <c r="E58" s="427"/>
      <c r="F58" s="427"/>
      <c r="G58" s="427"/>
    </row>
    <row r="59" spans="1:7">
      <c r="A59" s="427"/>
      <c r="B59" s="427"/>
      <c r="C59" s="427"/>
      <c r="D59" s="427"/>
      <c r="E59" s="427"/>
      <c r="F59" s="427"/>
      <c r="G59" s="427"/>
    </row>
    <row r="60" spans="1:7">
      <c r="A60" s="427"/>
      <c r="B60" s="427"/>
      <c r="C60" s="427"/>
      <c r="D60" s="427"/>
      <c r="E60" s="427"/>
      <c r="F60" s="427"/>
      <c r="G60" s="427"/>
    </row>
    <row r="61" spans="1:7">
      <c r="A61" s="427"/>
      <c r="B61" s="427"/>
      <c r="C61" s="427"/>
      <c r="D61" s="427"/>
      <c r="E61" s="427"/>
      <c r="F61" s="427"/>
      <c r="G61" s="427"/>
    </row>
    <row r="62" spans="1:7">
      <c r="A62" s="427"/>
      <c r="B62" s="427"/>
      <c r="C62" s="427"/>
      <c r="D62" s="427"/>
      <c r="E62" s="427"/>
      <c r="F62" s="427"/>
      <c r="G62" s="427"/>
    </row>
    <row r="63" spans="1:7">
      <c r="A63" s="427"/>
      <c r="B63" s="427"/>
      <c r="C63" s="427"/>
      <c r="D63" s="427"/>
      <c r="E63" s="427"/>
      <c r="F63" s="427"/>
      <c r="G63" s="427"/>
    </row>
    <row r="64" spans="1:7">
      <c r="A64" s="427"/>
      <c r="B64" s="427"/>
      <c r="C64" s="427"/>
      <c r="D64" s="427"/>
      <c r="E64" s="427"/>
      <c r="F64" s="427"/>
      <c r="G64" s="427"/>
    </row>
    <row r="65" spans="1:7">
      <c r="A65" s="427"/>
      <c r="B65" s="427"/>
      <c r="C65" s="427"/>
      <c r="D65" s="427"/>
      <c r="E65" s="427"/>
      <c r="F65" s="427"/>
      <c r="G65" s="427"/>
    </row>
    <row r="66" spans="1:7">
      <c r="A66" s="427"/>
      <c r="B66" s="427"/>
      <c r="C66" s="427"/>
      <c r="D66" s="427"/>
      <c r="E66" s="427"/>
      <c r="F66" s="427"/>
      <c r="G66" s="427"/>
    </row>
    <row r="67" spans="1:7">
      <c r="A67" s="427"/>
      <c r="B67" s="427"/>
      <c r="C67" s="427"/>
      <c r="D67" s="427"/>
      <c r="E67" s="427"/>
      <c r="F67" s="427"/>
      <c r="G67" s="427"/>
    </row>
    <row r="68" spans="1:7">
      <c r="A68" s="427"/>
      <c r="B68" s="427"/>
      <c r="C68" s="427"/>
      <c r="D68" s="427"/>
      <c r="E68" s="427"/>
      <c r="F68" s="427"/>
      <c r="G68" s="427"/>
    </row>
    <row r="69" spans="1:7">
      <c r="A69" s="427"/>
      <c r="B69" s="427"/>
      <c r="C69" s="427"/>
      <c r="D69" s="427"/>
      <c r="E69" s="427"/>
      <c r="F69" s="427"/>
      <c r="G69" s="427"/>
    </row>
    <row r="70" spans="1:7">
      <c r="A70" s="427"/>
      <c r="B70" s="427"/>
      <c r="C70" s="427"/>
      <c r="D70" s="427"/>
      <c r="E70" s="427"/>
      <c r="F70" s="427"/>
      <c r="G70" s="427"/>
    </row>
    <row r="71" spans="1:7">
      <c r="A71" s="427"/>
      <c r="B71" s="427"/>
      <c r="C71" s="427"/>
      <c r="D71" s="427"/>
      <c r="E71" s="427"/>
      <c r="F71" s="427"/>
      <c r="G71" s="427"/>
    </row>
    <row r="72" spans="1:7">
      <c r="A72" s="427"/>
      <c r="B72" s="427"/>
      <c r="C72" s="427"/>
      <c r="D72" s="427"/>
      <c r="E72" s="427"/>
      <c r="F72" s="427"/>
      <c r="G72" s="427"/>
    </row>
    <row r="73" spans="1:7">
      <c r="A73" s="427"/>
      <c r="B73" s="427"/>
      <c r="C73" s="427"/>
      <c r="D73" s="427"/>
      <c r="E73" s="427"/>
      <c r="F73" s="427"/>
      <c r="G73" s="427"/>
    </row>
    <row r="74" spans="1:7">
      <c r="A74" s="427"/>
      <c r="B74" s="427"/>
      <c r="C74" s="427"/>
      <c r="D74" s="427"/>
      <c r="E74" s="427"/>
      <c r="F74" s="427"/>
      <c r="G74" s="427"/>
    </row>
    <row r="75" spans="1:7">
      <c r="A75" s="427"/>
      <c r="B75" s="427"/>
      <c r="C75" s="427"/>
      <c r="D75" s="427"/>
      <c r="E75" s="427"/>
      <c r="F75" s="427"/>
      <c r="G75" s="427"/>
    </row>
    <row r="76" spans="1:7">
      <c r="A76" s="427"/>
      <c r="B76" s="427"/>
      <c r="C76" s="427"/>
      <c r="D76" s="427"/>
      <c r="E76" s="427"/>
      <c r="F76" s="427"/>
      <c r="G76" s="427"/>
    </row>
    <row r="77" spans="1:7">
      <c r="A77" s="427"/>
      <c r="B77" s="427"/>
      <c r="C77" s="427"/>
      <c r="D77" s="427"/>
      <c r="E77" s="427"/>
      <c r="F77" s="427"/>
      <c r="G77" s="427"/>
    </row>
    <row r="78" spans="1:7">
      <c r="A78" s="427"/>
      <c r="B78" s="427"/>
      <c r="C78" s="427"/>
      <c r="D78" s="427"/>
      <c r="E78" s="427"/>
      <c r="F78" s="427"/>
      <c r="G78" s="427"/>
    </row>
    <row r="79" spans="1:7">
      <c r="A79" s="427"/>
      <c r="B79" s="427"/>
      <c r="C79" s="427"/>
      <c r="D79" s="427"/>
      <c r="E79" s="427"/>
      <c r="F79" s="427"/>
      <c r="G79" s="427"/>
    </row>
    <row r="80" spans="1:7">
      <c r="A80" s="427"/>
      <c r="B80" s="427"/>
      <c r="C80" s="427"/>
      <c r="D80" s="427"/>
      <c r="E80" s="427"/>
      <c r="F80" s="427"/>
      <c r="G80" s="427"/>
    </row>
    <row r="81" spans="1:7">
      <c r="A81" s="427"/>
      <c r="B81" s="427"/>
      <c r="C81" s="427"/>
      <c r="D81" s="427"/>
      <c r="E81" s="427"/>
      <c r="F81" s="427"/>
      <c r="G81" s="427"/>
    </row>
    <row r="82" spans="1:7">
      <c r="A82" s="427"/>
      <c r="B82" s="427"/>
      <c r="C82" s="427"/>
      <c r="D82" s="427"/>
      <c r="E82" s="427"/>
      <c r="F82" s="427"/>
      <c r="G82" s="427"/>
    </row>
    <row r="83" spans="1:7">
      <c r="A83" s="427"/>
      <c r="B83" s="427"/>
      <c r="C83" s="427"/>
      <c r="D83" s="427"/>
      <c r="E83" s="427"/>
      <c r="F83" s="427"/>
      <c r="G83" s="427"/>
    </row>
    <row r="84" spans="1:7">
      <c r="A84" s="427"/>
      <c r="B84" s="427"/>
      <c r="C84" s="427"/>
      <c r="D84" s="427"/>
      <c r="E84" s="427"/>
      <c r="F84" s="427"/>
      <c r="G84" s="427"/>
    </row>
    <row r="85" spans="1:7">
      <c r="A85" s="427"/>
      <c r="B85" s="427"/>
      <c r="C85" s="427"/>
      <c r="D85" s="427"/>
      <c r="E85" s="427"/>
      <c r="F85" s="427"/>
      <c r="G85" s="427"/>
    </row>
    <row r="86" spans="1:7">
      <c r="A86" s="427"/>
      <c r="B86" s="427"/>
      <c r="C86" s="427"/>
      <c r="D86" s="427"/>
      <c r="E86" s="427"/>
      <c r="F86" s="427"/>
      <c r="G86" s="427"/>
    </row>
    <row r="87" spans="1:7">
      <c r="A87" s="427"/>
      <c r="B87" s="427"/>
      <c r="C87" s="427"/>
      <c r="D87" s="427"/>
      <c r="E87" s="427"/>
      <c r="F87" s="427"/>
      <c r="G87" s="427"/>
    </row>
    <row r="88" spans="1:7">
      <c r="A88" s="427"/>
      <c r="B88" s="427"/>
      <c r="C88" s="427"/>
      <c r="D88" s="427"/>
      <c r="E88" s="427"/>
      <c r="F88" s="427"/>
      <c r="G88" s="427"/>
    </row>
    <row r="89" spans="1:7">
      <c r="A89" s="427"/>
      <c r="B89" s="427"/>
      <c r="C89" s="427"/>
      <c r="D89" s="427"/>
      <c r="E89" s="427"/>
      <c r="F89" s="427"/>
      <c r="G89" s="427"/>
    </row>
    <row r="90" spans="1:7">
      <c r="A90" s="427"/>
      <c r="B90" s="427"/>
      <c r="C90" s="427"/>
      <c r="D90" s="427"/>
      <c r="E90" s="427"/>
      <c r="F90" s="427"/>
      <c r="G90" s="427"/>
    </row>
    <row r="91" spans="1:7">
      <c r="A91" s="427"/>
      <c r="B91" s="427"/>
      <c r="C91" s="427"/>
      <c r="D91" s="427"/>
      <c r="E91" s="427"/>
      <c r="F91" s="427"/>
      <c r="G91" s="427"/>
    </row>
    <row r="92" spans="1:7">
      <c r="A92" s="427"/>
      <c r="B92" s="427"/>
      <c r="C92" s="427"/>
      <c r="D92" s="427"/>
      <c r="E92" s="427"/>
      <c r="F92" s="427"/>
      <c r="G92" s="427"/>
    </row>
    <row r="93" spans="1:7">
      <c r="A93" s="427"/>
      <c r="B93" s="427"/>
      <c r="C93" s="427"/>
      <c r="D93" s="427"/>
      <c r="E93" s="427"/>
      <c r="F93" s="427"/>
      <c r="G93" s="427"/>
    </row>
    <row r="94" spans="1:7">
      <c r="A94" s="427"/>
      <c r="B94" s="427"/>
      <c r="C94" s="427"/>
      <c r="D94" s="427"/>
      <c r="E94" s="427"/>
      <c r="F94" s="427"/>
      <c r="G94" s="427"/>
    </row>
    <row r="95" spans="1:7">
      <c r="A95" s="427"/>
      <c r="B95" s="427"/>
      <c r="C95" s="427"/>
      <c r="D95" s="427"/>
      <c r="E95" s="427"/>
      <c r="F95" s="427"/>
      <c r="G95" s="427"/>
    </row>
    <row r="96" spans="1:7">
      <c r="A96" s="427"/>
      <c r="B96" s="427"/>
      <c r="C96" s="427"/>
      <c r="D96" s="427"/>
      <c r="E96" s="427"/>
      <c r="F96" s="427"/>
      <c r="G96" s="427"/>
    </row>
    <row r="97" spans="1:7">
      <c r="A97" s="427"/>
      <c r="B97" s="427"/>
      <c r="C97" s="427"/>
      <c r="D97" s="427"/>
      <c r="E97" s="427"/>
      <c r="F97" s="427"/>
      <c r="G97" s="427"/>
    </row>
    <row r="98" spans="1:7">
      <c r="A98" s="427"/>
      <c r="B98" s="427"/>
      <c r="C98" s="427"/>
      <c r="D98" s="427"/>
      <c r="E98" s="427"/>
      <c r="F98" s="427"/>
      <c r="G98" s="427"/>
    </row>
    <row r="99" spans="1:7">
      <c r="A99" s="427"/>
      <c r="B99" s="427"/>
      <c r="C99" s="427"/>
      <c r="D99" s="427"/>
      <c r="E99" s="427"/>
      <c r="F99" s="427"/>
      <c r="G99" s="427"/>
    </row>
    <row r="100" spans="1:7">
      <c r="A100" s="427"/>
      <c r="B100" s="427"/>
      <c r="C100" s="427"/>
      <c r="D100" s="427"/>
      <c r="E100" s="427"/>
      <c r="F100" s="427"/>
      <c r="G100" s="427"/>
    </row>
    <row r="101" spans="1:7">
      <c r="A101" s="427"/>
      <c r="B101" s="427"/>
      <c r="C101" s="427"/>
      <c r="D101" s="427"/>
      <c r="E101" s="427"/>
      <c r="F101" s="427"/>
      <c r="G101" s="427"/>
    </row>
    <row r="102" spans="1:7">
      <c r="A102" s="427"/>
      <c r="B102" s="427"/>
      <c r="C102" s="427"/>
      <c r="D102" s="427"/>
      <c r="E102" s="427"/>
      <c r="F102" s="427"/>
      <c r="G102" s="427"/>
    </row>
    <row r="103" spans="1:7">
      <c r="A103" s="427"/>
      <c r="B103" s="427"/>
      <c r="C103" s="427"/>
      <c r="D103" s="427"/>
      <c r="E103" s="427"/>
      <c r="F103" s="427"/>
      <c r="G103" s="427"/>
    </row>
    <row r="104" spans="1:7">
      <c r="A104" s="427"/>
      <c r="B104" s="427"/>
      <c r="C104" s="427"/>
      <c r="D104" s="427"/>
      <c r="E104" s="427"/>
      <c r="F104" s="427"/>
      <c r="G104" s="427"/>
    </row>
    <row r="105" spans="1:7">
      <c r="A105" s="427"/>
      <c r="B105" s="427"/>
      <c r="C105" s="427"/>
      <c r="D105" s="427"/>
      <c r="E105" s="427"/>
      <c r="F105" s="427"/>
      <c r="G105" s="427"/>
    </row>
    <row r="106" spans="1:7">
      <c r="A106" s="427"/>
      <c r="B106" s="427"/>
      <c r="C106" s="427"/>
      <c r="D106" s="427"/>
      <c r="E106" s="427"/>
      <c r="F106" s="427"/>
      <c r="G106" s="427"/>
    </row>
    <row r="107" spans="1:7">
      <c r="A107" s="427"/>
      <c r="B107" s="427"/>
      <c r="C107" s="427"/>
      <c r="D107" s="427"/>
      <c r="E107" s="427"/>
      <c r="F107" s="427"/>
      <c r="G107" s="427"/>
    </row>
    <row r="108" spans="1:7">
      <c r="A108" s="427"/>
      <c r="B108" s="427"/>
      <c r="C108" s="427"/>
      <c r="D108" s="427"/>
      <c r="E108" s="427"/>
      <c r="F108" s="427"/>
      <c r="G108" s="427"/>
    </row>
    <row r="109" spans="1:7">
      <c r="A109" s="427"/>
      <c r="B109" s="427"/>
      <c r="C109" s="427"/>
      <c r="D109" s="427"/>
      <c r="E109" s="427"/>
      <c r="F109" s="427"/>
      <c r="G109" s="427"/>
    </row>
    <row r="110" spans="1:7">
      <c r="A110" s="427"/>
      <c r="B110" s="427"/>
      <c r="C110" s="427"/>
      <c r="D110" s="427"/>
      <c r="E110" s="427"/>
      <c r="F110" s="427"/>
      <c r="G110" s="427"/>
    </row>
    <row r="111" spans="1:7">
      <c r="A111" s="427"/>
      <c r="B111" s="448"/>
      <c r="C111" s="427"/>
      <c r="D111" s="448"/>
      <c r="E111" s="427"/>
      <c r="F111" s="427"/>
      <c r="G111" s="427"/>
    </row>
    <row r="112" spans="1:7">
      <c r="A112" s="427"/>
      <c r="B112" s="448"/>
      <c r="C112" s="427"/>
      <c r="D112" s="448"/>
      <c r="E112" s="427"/>
      <c r="F112" s="427"/>
      <c r="G112" s="427"/>
    </row>
    <row r="113" spans="1:7">
      <c r="A113" s="427"/>
      <c r="B113" s="448"/>
      <c r="C113" s="427"/>
      <c r="D113" s="448"/>
      <c r="E113" s="427"/>
      <c r="F113" s="427"/>
      <c r="G113" s="427"/>
    </row>
    <row r="114" spans="1:7">
      <c r="A114" s="427"/>
      <c r="B114" s="448"/>
      <c r="C114" s="427"/>
      <c r="D114" s="448"/>
      <c r="E114" s="427"/>
      <c r="F114" s="427"/>
      <c r="G114" s="427"/>
    </row>
    <row r="115" spans="1:7">
      <c r="A115" s="427"/>
      <c r="B115" s="448"/>
      <c r="C115" s="427"/>
      <c r="D115" s="448"/>
      <c r="E115" s="427"/>
      <c r="F115" s="427"/>
      <c r="G115" s="427"/>
    </row>
    <row r="116" spans="1:7">
      <c r="A116" s="427"/>
      <c r="B116" s="448"/>
      <c r="C116" s="427"/>
      <c r="D116" s="448"/>
      <c r="E116" s="427"/>
      <c r="F116" s="427"/>
      <c r="G116" s="427"/>
    </row>
    <row r="117" spans="1:7">
      <c r="A117" s="427"/>
      <c r="B117" s="448"/>
      <c r="C117" s="427"/>
      <c r="D117" s="448"/>
      <c r="E117" s="427"/>
      <c r="F117" s="427"/>
      <c r="G117" s="427"/>
    </row>
    <row r="118" spans="1:7">
      <c r="A118" s="427"/>
      <c r="B118" s="448"/>
      <c r="C118" s="427"/>
      <c r="D118" s="448"/>
      <c r="E118" s="427"/>
      <c r="F118" s="427"/>
      <c r="G118" s="427"/>
    </row>
    <row r="119" spans="1:7">
      <c r="A119" s="427"/>
      <c r="B119" s="448"/>
      <c r="C119" s="427"/>
      <c r="D119" s="448"/>
      <c r="E119" s="427"/>
      <c r="F119" s="427"/>
      <c r="G119" s="427"/>
    </row>
    <row r="120" spans="1:7">
      <c r="A120" s="427"/>
      <c r="B120" s="448"/>
      <c r="C120" s="427"/>
      <c r="D120" s="448"/>
      <c r="E120" s="427"/>
      <c r="F120" s="427"/>
      <c r="G120" s="427"/>
    </row>
    <row r="121" spans="1:7">
      <c r="A121" s="427"/>
      <c r="B121" s="448"/>
      <c r="C121" s="427"/>
      <c r="D121" s="448"/>
      <c r="E121" s="427"/>
      <c r="F121" s="427"/>
      <c r="G121" s="427"/>
    </row>
    <row r="122" spans="1:7">
      <c r="A122" s="427"/>
      <c r="B122" s="448"/>
      <c r="C122" s="427"/>
      <c r="D122" s="448"/>
      <c r="E122" s="427"/>
      <c r="F122" s="427"/>
      <c r="G122" s="427"/>
    </row>
    <row r="123" spans="1:7">
      <c r="A123" s="427"/>
      <c r="B123" s="448"/>
      <c r="C123" s="427"/>
      <c r="D123" s="448"/>
      <c r="E123" s="427"/>
      <c r="F123" s="427"/>
      <c r="G123" s="427"/>
    </row>
    <row r="124" spans="1:7">
      <c r="A124" s="427"/>
      <c r="B124" s="448"/>
      <c r="C124" s="427"/>
      <c r="D124" s="448"/>
      <c r="E124" s="427"/>
      <c r="F124" s="427"/>
      <c r="G124" s="427"/>
    </row>
    <row r="125" spans="1:7">
      <c r="A125" s="427"/>
      <c r="B125" s="448"/>
      <c r="C125" s="427"/>
      <c r="D125" s="448"/>
      <c r="E125" s="427"/>
      <c r="F125" s="427"/>
      <c r="G125" s="427"/>
    </row>
    <row r="126" spans="1:7">
      <c r="A126" s="427"/>
      <c r="B126" s="448"/>
      <c r="C126" s="427"/>
      <c r="D126" s="448"/>
      <c r="E126" s="427"/>
      <c r="F126" s="427"/>
      <c r="G126" s="427"/>
    </row>
    <row r="127" spans="1:7">
      <c r="A127" s="427"/>
      <c r="B127" s="448"/>
      <c r="C127" s="427"/>
      <c r="D127" s="448"/>
      <c r="E127" s="427"/>
      <c r="F127" s="427"/>
      <c r="G127" s="427"/>
    </row>
    <row r="128" spans="1:7">
      <c r="A128" s="427"/>
      <c r="B128" s="448"/>
      <c r="C128" s="427"/>
      <c r="D128" s="448"/>
      <c r="E128" s="427"/>
      <c r="F128" s="427"/>
      <c r="G128" s="427"/>
    </row>
    <row r="129" spans="1:7">
      <c r="A129" s="427"/>
      <c r="B129" s="448"/>
      <c r="C129" s="427"/>
      <c r="D129" s="448"/>
      <c r="E129" s="427"/>
      <c r="F129" s="427"/>
      <c r="G129" s="427"/>
    </row>
    <row r="130" spans="1:7">
      <c r="A130" s="427"/>
      <c r="B130" s="448"/>
      <c r="C130" s="427"/>
      <c r="D130" s="448"/>
      <c r="E130" s="427"/>
      <c r="F130" s="427"/>
      <c r="G130" s="427"/>
    </row>
    <row r="131" spans="1:7">
      <c r="A131" s="427"/>
      <c r="B131" s="448"/>
      <c r="C131" s="427"/>
      <c r="D131" s="448"/>
      <c r="E131" s="427"/>
      <c r="F131" s="427"/>
      <c r="G131" s="427"/>
    </row>
    <row r="132" spans="1:7">
      <c r="A132" s="427"/>
      <c r="B132" s="448"/>
      <c r="C132" s="427"/>
      <c r="D132" s="448"/>
      <c r="E132" s="427"/>
      <c r="F132" s="427"/>
      <c r="G132" s="427"/>
    </row>
    <row r="133" spans="1:7">
      <c r="A133" s="427"/>
      <c r="B133" s="448"/>
      <c r="C133" s="427"/>
      <c r="D133" s="448"/>
      <c r="E133" s="427"/>
      <c r="F133" s="427"/>
      <c r="G133" s="427"/>
    </row>
    <row r="134" spans="1:7">
      <c r="A134" s="427"/>
      <c r="B134" s="448"/>
      <c r="C134" s="427"/>
      <c r="D134" s="448"/>
      <c r="E134" s="427"/>
      <c r="F134" s="427"/>
      <c r="G134" s="427"/>
    </row>
    <row r="135" spans="1:7">
      <c r="A135" s="427"/>
      <c r="B135" s="448"/>
      <c r="C135" s="427"/>
      <c r="D135" s="448"/>
      <c r="E135" s="427"/>
      <c r="F135" s="427"/>
      <c r="G135" s="427"/>
    </row>
    <row r="136" spans="1:7">
      <c r="A136" s="427"/>
      <c r="B136" s="448"/>
      <c r="C136" s="427"/>
      <c r="D136" s="448"/>
      <c r="E136" s="427"/>
      <c r="F136" s="427"/>
      <c r="G136" s="427"/>
    </row>
    <row r="137" spans="1:7">
      <c r="A137" s="427"/>
      <c r="B137" s="448"/>
      <c r="C137" s="427"/>
      <c r="D137" s="448"/>
      <c r="E137" s="427"/>
      <c r="F137" s="427"/>
      <c r="G137" s="427"/>
    </row>
    <row r="138" spans="1:7">
      <c r="A138" s="427"/>
      <c r="B138" s="448"/>
      <c r="C138" s="427"/>
      <c r="D138" s="448"/>
      <c r="E138" s="427"/>
      <c r="F138" s="427"/>
      <c r="G138" s="427"/>
    </row>
    <row r="139" spans="1:7">
      <c r="A139" s="427"/>
      <c r="B139" s="448"/>
      <c r="C139" s="427"/>
      <c r="D139" s="448"/>
      <c r="E139" s="427"/>
      <c r="F139" s="427"/>
      <c r="G139" s="427"/>
    </row>
    <row r="140" spans="1:7">
      <c r="A140" s="427"/>
      <c r="B140" s="448"/>
      <c r="C140" s="427"/>
      <c r="D140" s="448"/>
      <c r="E140" s="427"/>
      <c r="F140" s="427"/>
      <c r="G140" s="427"/>
    </row>
    <row r="141" spans="1:7">
      <c r="A141" s="427"/>
      <c r="B141" s="448"/>
      <c r="C141" s="427"/>
      <c r="D141" s="448"/>
      <c r="E141" s="427"/>
      <c r="F141" s="427"/>
      <c r="G141" s="427"/>
    </row>
    <row r="142" spans="1:7">
      <c r="A142" s="427"/>
      <c r="B142" s="448"/>
      <c r="C142" s="427"/>
      <c r="D142" s="448"/>
      <c r="E142" s="427"/>
      <c r="F142" s="427"/>
      <c r="G142" s="427"/>
    </row>
    <row r="143" spans="1:7">
      <c r="A143" s="427"/>
      <c r="B143" s="448"/>
      <c r="C143" s="427"/>
      <c r="D143" s="448"/>
      <c r="E143" s="427"/>
      <c r="F143" s="427"/>
      <c r="G143" s="427"/>
    </row>
    <row r="144" spans="1:7">
      <c r="A144" s="427"/>
      <c r="B144" s="448"/>
      <c r="C144" s="427"/>
      <c r="D144" s="448"/>
      <c r="E144" s="427"/>
      <c r="F144" s="427"/>
      <c r="G144" s="427"/>
    </row>
    <row r="145" spans="1:7">
      <c r="A145" s="427"/>
      <c r="B145" s="448"/>
      <c r="C145" s="427"/>
      <c r="D145" s="448"/>
      <c r="E145" s="427"/>
      <c r="F145" s="427"/>
      <c r="G145" s="427"/>
    </row>
    <row r="146" spans="1:7">
      <c r="A146" s="427"/>
      <c r="B146" s="448"/>
      <c r="C146" s="427"/>
      <c r="D146" s="448"/>
      <c r="E146" s="427"/>
      <c r="F146" s="427"/>
      <c r="G146" s="427"/>
    </row>
    <row r="147" spans="1:7">
      <c r="A147" s="427"/>
      <c r="B147" s="448"/>
      <c r="C147" s="427"/>
      <c r="D147" s="448"/>
      <c r="E147" s="427"/>
      <c r="F147" s="427"/>
      <c r="G147" s="427"/>
    </row>
    <row r="148" spans="1:7">
      <c r="A148" s="427"/>
      <c r="B148" s="448"/>
      <c r="C148" s="427"/>
      <c r="D148" s="448"/>
      <c r="E148" s="427"/>
      <c r="F148" s="427"/>
      <c r="G148" s="427"/>
    </row>
    <row r="149" spans="1:7">
      <c r="A149" s="427"/>
      <c r="B149" s="448"/>
      <c r="C149" s="427"/>
      <c r="D149" s="448"/>
      <c r="E149" s="427"/>
      <c r="F149" s="427"/>
      <c r="G149" s="427"/>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BK149"/>
  <sheetViews>
    <sheetView workbookViewId="0">
      <pane xSplit="4" ySplit="3" topLeftCell="F4" activePane="bottomRight" state="frozen"/>
      <selection pane="topRight"/>
      <selection pane="bottomLeft"/>
      <selection pane="bottomRight" activeCell="A3" sqref="A3:XFD3"/>
    </sheetView>
  </sheetViews>
  <sheetFormatPr defaultRowHeight="14.5"/>
  <cols>
    <col min="1" max="1" width="36" bestFit="1" customWidth="1"/>
    <col min="2" max="2" width="4.453125" style="421" customWidth="1"/>
    <col min="3" max="3" width="19.90625" style="415" customWidth="1"/>
    <col min="4" max="4" width="7.6328125" style="421" customWidth="1"/>
    <col min="5" max="5" width="6.81640625" bestFit="1" customWidth="1"/>
    <col min="6" max="8" width="10.7265625" style="426" customWidth="1"/>
    <col min="9" max="10" width="10.7265625" bestFit="1" customWidth="1"/>
    <col min="11" max="11" width="10.7265625" style="591" customWidth="1"/>
    <col min="12" max="15" width="10.7265625" bestFit="1" customWidth="1"/>
    <col min="16" max="16" width="11.7265625" bestFit="1" customWidth="1"/>
    <col min="17" max="23" width="10.72656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4"/>
      <c r="Z1" s="754"/>
      <c r="AA1" s="753"/>
      <c r="AB1" s="753"/>
      <c r="AC1" s="753"/>
      <c r="AD1" s="753"/>
      <c r="AE1" s="753"/>
      <c r="AF1" s="753"/>
      <c r="AG1" s="753"/>
      <c r="AH1" s="753"/>
      <c r="AI1" s="755"/>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753"/>
      <c r="B4" s="760" t="s">
        <v>2</v>
      </c>
      <c r="C4" s="761" t="s">
        <v>3</v>
      </c>
      <c r="D4" s="760" t="s">
        <v>4</v>
      </c>
      <c r="E4" s="762"/>
      <c r="F4" s="753"/>
      <c r="G4" s="753"/>
      <c r="H4" s="753"/>
      <c r="I4" s="762"/>
      <c r="J4" s="762"/>
      <c r="K4" s="753"/>
      <c r="L4" s="762"/>
      <c r="M4" s="762"/>
      <c r="N4" s="762"/>
      <c r="O4" s="762"/>
      <c r="P4" s="762"/>
      <c r="Q4" s="762"/>
      <c r="R4" s="762"/>
      <c r="S4" s="762"/>
      <c r="T4" s="763"/>
      <c r="U4" s="763"/>
      <c r="V4" s="763"/>
      <c r="W4" s="763"/>
      <c r="X4" s="764"/>
      <c r="Y4" s="754"/>
      <c r="Z4" s="754"/>
      <c r="AA4" s="753"/>
      <c r="AB4" s="753"/>
      <c r="AC4" s="753"/>
      <c r="AD4" s="753"/>
      <c r="AE4" s="753"/>
      <c r="AF4" s="753"/>
      <c r="AG4" s="753"/>
      <c r="AH4" s="753"/>
      <c r="AI4" s="755"/>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s="414" customFormat="1">
      <c r="A5" s="765" t="s">
        <v>1072</v>
      </c>
      <c r="B5" s="766"/>
      <c r="C5" s="767"/>
      <c r="D5" s="766"/>
      <c r="E5" s="762"/>
      <c r="F5" s="753"/>
      <c r="G5" s="753"/>
      <c r="H5" s="753"/>
      <c r="I5" s="762"/>
      <c r="J5" s="762"/>
      <c r="K5" s="753"/>
      <c r="L5" s="762"/>
      <c r="M5" s="762"/>
      <c r="N5" s="762"/>
      <c r="O5" s="762"/>
      <c r="P5" s="762"/>
      <c r="Q5" s="762"/>
      <c r="R5" s="762"/>
      <c r="S5" s="762"/>
      <c r="T5" s="763"/>
      <c r="U5" s="763"/>
      <c r="V5" s="763"/>
      <c r="W5" s="763"/>
      <c r="X5" s="764"/>
      <c r="Y5" s="754"/>
      <c r="Z5" s="754"/>
      <c r="AA5" s="753"/>
      <c r="AB5" s="753"/>
      <c r="AC5" s="753"/>
      <c r="AD5" s="753"/>
      <c r="AE5" s="753"/>
      <c r="AF5" s="753"/>
      <c r="AG5" s="753"/>
      <c r="AH5" s="753"/>
      <c r="AI5" s="755"/>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1073</v>
      </c>
      <c r="B6" s="769" t="s">
        <v>6</v>
      </c>
      <c r="C6" s="770" t="s">
        <v>1074</v>
      </c>
      <c r="D6" s="771" t="s">
        <v>1075</v>
      </c>
      <c r="E6" s="772"/>
      <c r="F6" s="753"/>
      <c r="G6" s="753"/>
      <c r="H6" s="753"/>
      <c r="I6" s="773">
        <v>375000</v>
      </c>
      <c r="J6" s="773">
        <v>375000</v>
      </c>
      <c r="K6" s="753"/>
      <c r="L6" s="774">
        <v>375000</v>
      </c>
      <c r="M6" s="774">
        <v>375000</v>
      </c>
      <c r="N6" s="774">
        <v>375000</v>
      </c>
      <c r="O6" s="774">
        <v>375000</v>
      </c>
      <c r="P6" s="775">
        <v>375000</v>
      </c>
      <c r="Q6" s="776">
        <v>375000</v>
      </c>
      <c r="R6" s="776">
        <v>375000</v>
      </c>
      <c r="S6" s="776">
        <v>375000</v>
      </c>
      <c r="T6" s="774">
        <v>1500000</v>
      </c>
      <c r="U6" s="776">
        <v>1500000</v>
      </c>
      <c r="V6" s="776">
        <v>1500000</v>
      </c>
      <c r="W6" s="776">
        <v>1500000</v>
      </c>
      <c r="X6" s="777"/>
      <c r="Y6" s="754"/>
      <c r="Z6" s="754"/>
      <c r="AA6" s="753"/>
      <c r="AB6" s="753"/>
      <c r="AC6" s="753"/>
      <c r="AD6" s="753"/>
      <c r="AE6" s="753"/>
      <c r="AF6" s="753"/>
      <c r="AG6" s="753"/>
      <c r="AH6" s="753"/>
      <c r="AI6" s="755"/>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1076</v>
      </c>
      <c r="B7" s="769" t="s">
        <v>6</v>
      </c>
      <c r="C7" s="770" t="s">
        <v>1074</v>
      </c>
      <c r="D7" s="771" t="s">
        <v>1077</v>
      </c>
      <c r="E7" s="753"/>
      <c r="F7" s="753"/>
      <c r="G7" s="753"/>
      <c r="H7" s="753"/>
      <c r="I7" s="773">
        <v>0</v>
      </c>
      <c r="J7" s="773">
        <v>0</v>
      </c>
      <c r="K7" s="753"/>
      <c r="L7" s="774">
        <v>0</v>
      </c>
      <c r="M7" s="774">
        <v>0</v>
      </c>
      <c r="N7" s="774">
        <v>0</v>
      </c>
      <c r="O7" s="774">
        <v>0</v>
      </c>
      <c r="P7" s="778">
        <v>0</v>
      </c>
      <c r="Q7" s="776">
        <v>0</v>
      </c>
      <c r="R7" s="776">
        <v>0</v>
      </c>
      <c r="S7" s="776">
        <v>0</v>
      </c>
      <c r="T7" s="774">
        <v>0</v>
      </c>
      <c r="U7" s="776">
        <v>0</v>
      </c>
      <c r="V7" s="776">
        <v>0</v>
      </c>
      <c r="W7" s="776">
        <v>0</v>
      </c>
      <c r="X7" s="777"/>
      <c r="Y7" s="754"/>
      <c r="Z7" s="754"/>
      <c r="AA7" s="753"/>
      <c r="AB7" s="753"/>
      <c r="AC7" s="753"/>
      <c r="AD7" s="753"/>
      <c r="AE7" s="753"/>
      <c r="AF7" s="753"/>
      <c r="AG7" s="753"/>
      <c r="AH7" s="753"/>
      <c r="AI7" s="755"/>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1078</v>
      </c>
      <c r="B8" s="769" t="s">
        <v>6</v>
      </c>
      <c r="C8" s="770" t="s">
        <v>1074</v>
      </c>
      <c r="D8" s="771" t="s">
        <v>1079</v>
      </c>
      <c r="E8" s="753"/>
      <c r="F8" s="753"/>
      <c r="G8" s="753"/>
      <c r="H8" s="753"/>
      <c r="I8" s="773">
        <v>0</v>
      </c>
      <c r="J8" s="773">
        <v>25750</v>
      </c>
      <c r="K8" s="753"/>
      <c r="L8" s="774">
        <v>0</v>
      </c>
      <c r="M8" s="774">
        <v>0</v>
      </c>
      <c r="N8" s="774">
        <v>0</v>
      </c>
      <c r="O8" s="774">
        <v>0</v>
      </c>
      <c r="P8" s="775">
        <v>25750</v>
      </c>
      <c r="Q8" s="776">
        <v>25750</v>
      </c>
      <c r="R8" s="776">
        <v>25750</v>
      </c>
      <c r="S8" s="776">
        <v>25750</v>
      </c>
      <c r="T8" s="774">
        <v>103000</v>
      </c>
      <c r="U8" s="776">
        <v>103000</v>
      </c>
      <c r="V8" s="776">
        <v>103000</v>
      </c>
      <c r="W8" s="776">
        <v>103000</v>
      </c>
      <c r="X8" s="777"/>
      <c r="Y8" s="754"/>
      <c r="Z8" s="754"/>
      <c r="AA8" s="753"/>
      <c r="AB8" s="753"/>
      <c r="AC8" s="753"/>
      <c r="AD8" s="753"/>
      <c r="AE8" s="777"/>
      <c r="AF8" s="753"/>
      <c r="AG8" s="753"/>
      <c r="AH8" s="753"/>
      <c r="AI8" s="755"/>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1080</v>
      </c>
      <c r="B9" s="779" t="s">
        <v>6</v>
      </c>
      <c r="C9" s="779" t="s">
        <v>1074</v>
      </c>
      <c r="D9" s="779" t="s">
        <v>1081</v>
      </c>
      <c r="E9" s="753"/>
      <c r="F9" s="753"/>
      <c r="G9" s="753"/>
      <c r="H9" s="753"/>
      <c r="I9" s="773">
        <v>31250</v>
      </c>
      <c r="J9" s="773">
        <v>31250</v>
      </c>
      <c r="K9" s="753"/>
      <c r="L9" s="774">
        <v>31250</v>
      </c>
      <c r="M9" s="774">
        <v>31250</v>
      </c>
      <c r="N9" s="774">
        <v>31250</v>
      </c>
      <c r="O9" s="774">
        <v>31250</v>
      </c>
      <c r="P9" s="775">
        <v>31250</v>
      </c>
      <c r="Q9" s="776">
        <v>31250</v>
      </c>
      <c r="R9" s="776">
        <v>31250</v>
      </c>
      <c r="S9" s="776">
        <v>31250</v>
      </c>
      <c r="T9" s="774">
        <v>125000</v>
      </c>
      <c r="U9" s="776">
        <v>125000</v>
      </c>
      <c r="V9" s="776">
        <v>125000</v>
      </c>
      <c r="W9" s="776">
        <v>125000</v>
      </c>
      <c r="X9" s="777"/>
      <c r="Y9" s="754"/>
      <c r="Z9" s="754"/>
      <c r="AA9" s="753"/>
      <c r="AB9" s="753"/>
      <c r="AC9" s="753"/>
      <c r="AD9" s="753"/>
      <c r="AE9" s="753"/>
      <c r="AF9" s="753"/>
      <c r="AG9" s="753"/>
      <c r="AH9" s="753"/>
      <c r="AI9" s="755"/>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79" t="s">
        <v>1082</v>
      </c>
      <c r="B10" s="779" t="s">
        <v>6</v>
      </c>
      <c r="C10" s="779" t="s">
        <v>1074</v>
      </c>
      <c r="D10" s="779" t="s">
        <v>1083</v>
      </c>
      <c r="E10" s="753"/>
      <c r="F10" s="777"/>
      <c r="G10" s="777"/>
      <c r="H10" s="777"/>
      <c r="I10" s="773">
        <v>0</v>
      </c>
      <c r="J10" s="773">
        <v>0</v>
      </c>
      <c r="K10" s="777"/>
      <c r="L10" s="774">
        <v>0</v>
      </c>
      <c r="M10" s="774">
        <v>0</v>
      </c>
      <c r="N10" s="774">
        <v>0</v>
      </c>
      <c r="O10" s="774">
        <v>0</v>
      </c>
      <c r="P10" s="774">
        <v>0</v>
      </c>
      <c r="Q10" s="774">
        <v>0</v>
      </c>
      <c r="R10" s="774">
        <v>0</v>
      </c>
      <c r="S10" s="774">
        <v>0</v>
      </c>
      <c r="T10" s="774">
        <v>0</v>
      </c>
      <c r="U10" s="774">
        <v>0</v>
      </c>
      <c r="V10" s="774">
        <v>0</v>
      </c>
      <c r="W10" s="774">
        <v>0</v>
      </c>
      <c r="X10" s="777"/>
      <c r="Y10" s="754"/>
      <c r="Z10" s="754"/>
      <c r="AA10" s="753"/>
      <c r="AB10" s="753"/>
      <c r="AC10" s="753"/>
      <c r="AD10" s="753"/>
      <c r="AE10" s="753"/>
      <c r="AF10" s="753"/>
      <c r="AG10" s="753"/>
      <c r="AH10" s="753"/>
      <c r="AI10" s="755"/>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79" t="s">
        <v>1084</v>
      </c>
      <c r="B11" s="779" t="s">
        <v>6</v>
      </c>
      <c r="C11" s="779" t="s">
        <v>1074</v>
      </c>
      <c r="D11" s="779" t="s">
        <v>1085</v>
      </c>
      <c r="E11" s="777"/>
      <c r="F11" s="753"/>
      <c r="G11" s="753"/>
      <c r="H11" s="753"/>
      <c r="I11" s="773">
        <v>87500</v>
      </c>
      <c r="J11" s="773">
        <v>87500</v>
      </c>
      <c r="K11" s="753"/>
      <c r="L11" s="774">
        <v>87500</v>
      </c>
      <c r="M11" s="774">
        <v>87500</v>
      </c>
      <c r="N11" s="774">
        <v>87500</v>
      </c>
      <c r="O11" s="774">
        <v>87500</v>
      </c>
      <c r="P11" s="774">
        <v>87500</v>
      </c>
      <c r="Q11" s="774">
        <v>0</v>
      </c>
      <c r="R11" s="774">
        <v>0</v>
      </c>
      <c r="S11" s="774">
        <v>0</v>
      </c>
      <c r="T11" s="774">
        <v>0</v>
      </c>
      <c r="U11" s="774">
        <v>0</v>
      </c>
      <c r="V11" s="774">
        <v>0</v>
      </c>
      <c r="W11" s="774">
        <v>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80" t="s">
        <v>267</v>
      </c>
      <c r="B12" s="753"/>
      <c r="C12" s="753"/>
      <c r="D12" s="753"/>
      <c r="E12" s="777"/>
      <c r="F12" s="781"/>
      <c r="G12" s="781"/>
      <c r="H12" s="781"/>
      <c r="I12" s="773">
        <v>493750</v>
      </c>
      <c r="J12" s="773">
        <v>519500</v>
      </c>
      <c r="K12" s="781"/>
      <c r="L12" s="777">
        <f t="shared" ref="L12:W12" si="0">SUM(L6:L11)</f>
        <v>493750</v>
      </c>
      <c r="M12" s="777">
        <f t="shared" si="0"/>
        <v>493750</v>
      </c>
      <c r="N12" s="777">
        <f t="shared" si="0"/>
        <v>493750</v>
      </c>
      <c r="O12" s="777">
        <f t="shared" si="0"/>
        <v>493750</v>
      </c>
      <c r="P12" s="777">
        <f t="shared" si="0"/>
        <v>519500</v>
      </c>
      <c r="Q12" s="777">
        <f t="shared" si="0"/>
        <v>432000</v>
      </c>
      <c r="R12" s="777">
        <f t="shared" si="0"/>
        <v>432000</v>
      </c>
      <c r="S12" s="777">
        <f t="shared" si="0"/>
        <v>432000</v>
      </c>
      <c r="T12" s="777">
        <f t="shared" si="0"/>
        <v>1728000</v>
      </c>
      <c r="U12" s="777">
        <f t="shared" si="0"/>
        <v>1728000</v>
      </c>
      <c r="V12" s="777">
        <f t="shared" si="0"/>
        <v>1728000</v>
      </c>
      <c r="W12" s="777">
        <f t="shared" si="0"/>
        <v>1728000</v>
      </c>
      <c r="X12" s="777"/>
      <c r="Y12" s="754"/>
      <c r="Z12" s="754"/>
      <c r="AA12" s="753"/>
      <c r="AB12" s="753"/>
      <c r="AC12" s="753"/>
      <c r="AD12" s="753"/>
      <c r="AE12" s="753"/>
      <c r="AF12" s="753"/>
      <c r="AG12" s="753"/>
      <c r="AH12" s="753"/>
      <c r="AI12" s="755"/>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79" t="s">
        <v>1086</v>
      </c>
      <c r="B13" s="753"/>
      <c r="C13" s="753"/>
      <c r="D13" s="753"/>
      <c r="E13" s="753"/>
      <c r="F13" s="781"/>
      <c r="G13" s="781"/>
      <c r="H13" s="781"/>
      <c r="I13" s="753"/>
      <c r="J13" s="753"/>
      <c r="K13" s="781"/>
      <c r="L13" s="753"/>
      <c r="M13" s="753"/>
      <c r="N13" s="753"/>
      <c r="O13" s="753"/>
      <c r="P13" s="753"/>
      <c r="Q13" s="753"/>
      <c r="R13" s="753"/>
      <c r="S13" s="753"/>
      <c r="T13" s="753"/>
      <c r="U13" s="753"/>
      <c r="V13" s="753"/>
      <c r="W13" s="753"/>
      <c r="X13" s="753"/>
      <c r="Y13" s="754"/>
      <c r="Z13" s="754"/>
      <c r="AA13" s="753"/>
      <c r="AB13" s="753"/>
      <c r="AC13" s="753"/>
      <c r="AD13" s="753"/>
      <c r="AE13" s="753"/>
      <c r="AF13" s="753"/>
      <c r="AG13" s="753"/>
      <c r="AH13" s="753"/>
      <c r="AI13" s="755"/>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53" t="str">
        <f t="shared" ref="A14:A19" si="1">+A6</f>
        <v>Managing Member (SK)</v>
      </c>
      <c r="B14" s="779" t="s">
        <v>6</v>
      </c>
      <c r="C14" s="779" t="s">
        <v>1087</v>
      </c>
      <c r="D14" s="779" t="s">
        <v>1075</v>
      </c>
      <c r="E14" s="755"/>
      <c r="F14" s="753"/>
      <c r="G14" s="753"/>
      <c r="H14" s="753"/>
      <c r="I14" s="782">
        <v>0</v>
      </c>
      <c r="J14" s="782">
        <v>0</v>
      </c>
      <c r="K14" s="753"/>
      <c r="L14" s="776">
        <v>0</v>
      </c>
      <c r="M14" s="776">
        <v>0</v>
      </c>
      <c r="N14" s="776">
        <v>0</v>
      </c>
      <c r="O14" s="776">
        <v>0</v>
      </c>
      <c r="P14" s="776">
        <v>0</v>
      </c>
      <c r="Q14" s="776">
        <v>0</v>
      </c>
      <c r="R14" s="776">
        <v>0</v>
      </c>
      <c r="S14" s="776">
        <v>0</v>
      </c>
      <c r="T14" s="776">
        <v>0</v>
      </c>
      <c r="U14" s="776">
        <v>0</v>
      </c>
      <c r="V14" s="776">
        <v>0</v>
      </c>
      <c r="W14" s="776">
        <v>0</v>
      </c>
      <c r="X14" s="755"/>
      <c r="Y14" s="754"/>
      <c r="Z14" s="754"/>
      <c r="AA14" s="753"/>
      <c r="AB14" s="753"/>
      <c r="AC14" s="753"/>
      <c r="AD14" s="753"/>
      <c r="AE14" s="753"/>
      <c r="AF14" s="753"/>
      <c r="AG14" s="753"/>
      <c r="AH14" s="753"/>
      <c r="AI14" s="755"/>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si="1"/>
        <v>Philanropy senior exec (LM) (100%roots)</v>
      </c>
      <c r="B15" s="779" t="s">
        <v>6</v>
      </c>
      <c r="C15" s="779" t="s">
        <v>1087</v>
      </c>
      <c r="D15" s="779" t="s">
        <v>1077</v>
      </c>
      <c r="E15" s="777"/>
      <c r="F15" s="753"/>
      <c r="G15" s="753"/>
      <c r="H15" s="753"/>
      <c r="I15" s="782">
        <v>0</v>
      </c>
      <c r="J15" s="782">
        <v>0</v>
      </c>
      <c r="K15" s="753"/>
      <c r="L15" s="776">
        <v>0</v>
      </c>
      <c r="M15" s="776">
        <v>0</v>
      </c>
      <c r="N15" s="776">
        <v>0</v>
      </c>
      <c r="O15" s="776">
        <v>0</v>
      </c>
      <c r="P15" s="776">
        <v>0</v>
      </c>
      <c r="Q15" s="776">
        <v>0</v>
      </c>
      <c r="R15" s="776">
        <v>0</v>
      </c>
      <c r="S15" s="776">
        <v>0</v>
      </c>
      <c r="T15" s="776">
        <v>0</v>
      </c>
      <c r="U15" s="776">
        <v>0</v>
      </c>
      <c r="V15" s="776">
        <v>0</v>
      </c>
      <c r="W15" s="776">
        <v>0</v>
      </c>
      <c r="X15" s="777"/>
      <c r="Y15" s="754"/>
      <c r="Z15" s="754"/>
      <c r="AA15" s="753"/>
      <c r="AB15" s="753"/>
      <c r="AC15" s="753"/>
      <c r="AD15" s="753"/>
      <c r="AE15" s="753"/>
      <c r="AF15" s="753"/>
      <c r="AG15" s="753"/>
      <c r="AH15" s="753"/>
      <c r="AI15" s="755"/>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Bookkeeper (DD)</v>
      </c>
      <c r="B16" s="779" t="s">
        <v>6</v>
      </c>
      <c r="C16" s="779" t="s">
        <v>1087</v>
      </c>
      <c r="D16" s="779" t="s">
        <v>1079</v>
      </c>
      <c r="E16" s="777"/>
      <c r="F16" s="753"/>
      <c r="G16" s="753"/>
      <c r="H16" s="753"/>
      <c r="I16" s="782">
        <v>10000</v>
      </c>
      <c r="J16" s="782">
        <v>0</v>
      </c>
      <c r="K16" s="753"/>
      <c r="L16" s="776">
        <v>0</v>
      </c>
      <c r="M16" s="776"/>
      <c r="N16" s="776">
        <v>0</v>
      </c>
      <c r="O16" s="776">
        <v>10000</v>
      </c>
      <c r="P16" s="776">
        <v>0</v>
      </c>
      <c r="Q16" s="776">
        <v>0</v>
      </c>
      <c r="R16" s="776">
        <v>0</v>
      </c>
      <c r="S16" s="776">
        <v>5000</v>
      </c>
      <c r="T16" s="776">
        <v>5000</v>
      </c>
      <c r="U16" s="776">
        <v>5000</v>
      </c>
      <c r="V16" s="776">
        <v>5000</v>
      </c>
      <c r="W16" s="776">
        <v>5000</v>
      </c>
      <c r="X16" s="777"/>
      <c r="Y16" s="754"/>
      <c r="Z16" s="75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Personal Assistant (CD)</v>
      </c>
      <c r="B17" s="779" t="s">
        <v>6</v>
      </c>
      <c r="C17" s="779" t="s">
        <v>1087</v>
      </c>
      <c r="D17" s="779" t="s">
        <v>1081</v>
      </c>
      <c r="E17" s="777"/>
      <c r="F17" s="783"/>
      <c r="G17" s="783"/>
      <c r="H17" s="783"/>
      <c r="I17" s="782">
        <v>0</v>
      </c>
      <c r="J17" s="782">
        <v>0</v>
      </c>
      <c r="K17" s="783"/>
      <c r="L17" s="776">
        <v>0</v>
      </c>
      <c r="M17" s="776">
        <v>0</v>
      </c>
      <c r="N17" s="776">
        <v>0</v>
      </c>
      <c r="O17" s="776">
        <v>0</v>
      </c>
      <c r="P17" s="776">
        <v>0</v>
      </c>
      <c r="Q17" s="776">
        <v>0</v>
      </c>
      <c r="R17" s="776">
        <v>0</v>
      </c>
      <c r="S17" s="776">
        <v>15000</v>
      </c>
      <c r="T17" s="776">
        <v>15000</v>
      </c>
      <c r="U17" s="776">
        <v>15000</v>
      </c>
      <c r="V17" s="776">
        <v>15000</v>
      </c>
      <c r="W17" s="776">
        <v>15000</v>
      </c>
      <c r="X17" s="777"/>
      <c r="Y17" s="754"/>
      <c r="Z17" s="75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philanthropy assist (100%roots)</v>
      </c>
      <c r="B18" s="779" t="s">
        <v>6</v>
      </c>
      <c r="C18" s="779" t="s">
        <v>1087</v>
      </c>
      <c r="D18" s="779" t="s">
        <v>1083</v>
      </c>
      <c r="E18" s="777"/>
      <c r="F18" s="783"/>
      <c r="G18" s="783"/>
      <c r="H18" s="783"/>
      <c r="I18" s="782">
        <v>0</v>
      </c>
      <c r="J18" s="782">
        <v>0</v>
      </c>
      <c r="K18" s="783"/>
      <c r="L18" s="776">
        <v>0</v>
      </c>
      <c r="M18" s="776">
        <v>0</v>
      </c>
      <c r="N18" s="776">
        <v>0</v>
      </c>
      <c r="O18" s="776">
        <v>0</v>
      </c>
      <c r="P18" s="776">
        <v>0</v>
      </c>
      <c r="Q18" s="776">
        <v>0</v>
      </c>
      <c r="R18" s="776">
        <v>0</v>
      </c>
      <c r="S18" s="776">
        <v>0</v>
      </c>
      <c r="T18" s="776">
        <v>0</v>
      </c>
      <c r="U18" s="776">
        <v>0</v>
      </c>
      <c r="V18" s="776">
        <v>0</v>
      </c>
      <c r="W18" s="776">
        <v>0</v>
      </c>
      <c r="X18" s="777"/>
      <c r="Y18" s="754"/>
      <c r="Z18" s="75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TM (gone)</v>
      </c>
      <c r="B19" s="779" t="s">
        <v>6</v>
      </c>
      <c r="C19" s="779" t="s">
        <v>1087</v>
      </c>
      <c r="D19" s="779" t="s">
        <v>1085</v>
      </c>
      <c r="E19" s="777"/>
      <c r="F19" s="777"/>
      <c r="G19" s="777"/>
      <c r="H19" s="777"/>
      <c r="I19" s="782">
        <v>0</v>
      </c>
      <c r="J19" s="782">
        <v>320000</v>
      </c>
      <c r="K19" s="777"/>
      <c r="L19" s="776">
        <v>0</v>
      </c>
      <c r="M19" s="776">
        <v>0</v>
      </c>
      <c r="N19" s="776">
        <v>0</v>
      </c>
      <c r="O19" s="776">
        <v>0</v>
      </c>
      <c r="P19" s="776">
        <v>320000</v>
      </c>
      <c r="Q19" s="776">
        <v>0</v>
      </c>
      <c r="R19" s="776">
        <v>0</v>
      </c>
      <c r="S19" s="776">
        <v>500000</v>
      </c>
      <c r="T19" s="776">
        <v>500000</v>
      </c>
      <c r="U19" s="776">
        <v>0</v>
      </c>
      <c r="V19" s="776">
        <v>0</v>
      </c>
      <c r="W19" s="776">
        <v>0</v>
      </c>
      <c r="X19" s="777"/>
      <c r="Y19" s="754"/>
      <c r="Z19" s="75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80" t="s">
        <v>267</v>
      </c>
      <c r="B20" s="753"/>
      <c r="C20" s="753"/>
      <c r="D20" s="753"/>
      <c r="E20" s="777"/>
      <c r="F20" s="753"/>
      <c r="G20" s="753"/>
      <c r="H20" s="753"/>
      <c r="I20" s="773">
        <v>10000</v>
      </c>
      <c r="J20" s="773">
        <v>320000</v>
      </c>
      <c r="K20" s="753"/>
      <c r="L20" s="777">
        <f t="shared" ref="L20:W20" si="2">SUM(L14:L19)</f>
        <v>0</v>
      </c>
      <c r="M20" s="777">
        <f t="shared" si="2"/>
        <v>0</v>
      </c>
      <c r="N20" s="777">
        <f t="shared" si="2"/>
        <v>0</v>
      </c>
      <c r="O20" s="777">
        <f t="shared" si="2"/>
        <v>10000</v>
      </c>
      <c r="P20" s="777">
        <f t="shared" si="2"/>
        <v>320000</v>
      </c>
      <c r="Q20" s="777">
        <f t="shared" si="2"/>
        <v>0</v>
      </c>
      <c r="R20" s="777">
        <f t="shared" si="2"/>
        <v>0</v>
      </c>
      <c r="S20" s="777">
        <f t="shared" si="2"/>
        <v>520000</v>
      </c>
      <c r="T20" s="777">
        <f t="shared" si="2"/>
        <v>520000</v>
      </c>
      <c r="U20" s="777">
        <f t="shared" si="2"/>
        <v>20000</v>
      </c>
      <c r="V20" s="777">
        <f t="shared" si="2"/>
        <v>20000</v>
      </c>
      <c r="W20" s="777">
        <f t="shared" si="2"/>
        <v>20000</v>
      </c>
      <c r="X20" s="777"/>
      <c r="Y20" s="754"/>
      <c r="Z20" s="75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84"/>
      <c r="B21" s="753"/>
      <c r="C21" s="753"/>
      <c r="D21" s="753"/>
      <c r="E21" s="777"/>
      <c r="F21" s="755"/>
      <c r="G21" s="755"/>
      <c r="H21" s="755"/>
      <c r="I21" s="777"/>
      <c r="J21" s="777"/>
      <c r="K21" s="755"/>
      <c r="L21" s="777"/>
      <c r="M21" s="777"/>
      <c r="N21" s="777"/>
      <c r="O21" s="777"/>
      <c r="P21" s="777"/>
      <c r="Q21" s="777"/>
      <c r="R21" s="777"/>
      <c r="S21" s="777"/>
      <c r="T21" s="777"/>
      <c r="U21" s="777"/>
      <c r="V21" s="777"/>
      <c r="W21" s="777"/>
      <c r="X21" s="777"/>
      <c r="Y21" s="754"/>
      <c r="Z21" s="75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79" t="s">
        <v>267</v>
      </c>
      <c r="B22" s="753"/>
      <c r="C22" s="753"/>
      <c r="D22" s="753"/>
      <c r="E22" s="753"/>
      <c r="F22" s="777"/>
      <c r="G22" s="777"/>
      <c r="H22" s="777"/>
      <c r="I22" s="753"/>
      <c r="J22" s="753"/>
      <c r="K22" s="777"/>
      <c r="L22" s="753"/>
      <c r="M22" s="753"/>
      <c r="N22" s="753"/>
      <c r="O22" s="753"/>
      <c r="P22" s="753"/>
      <c r="Q22" s="753"/>
      <c r="R22" s="753"/>
      <c r="S22" s="753"/>
      <c r="T22" s="753"/>
      <c r="U22" s="753"/>
      <c r="V22" s="753"/>
      <c r="W22" s="753"/>
      <c r="X22" s="753"/>
      <c r="Y22" s="754"/>
      <c r="Z22" s="75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ref="A23:A28" si="3">+A6</f>
        <v>Managing Member (SK)</v>
      </c>
      <c r="B23" s="779" t="s">
        <v>826</v>
      </c>
      <c r="C23" s="779" t="s">
        <v>1088</v>
      </c>
      <c r="D23" s="779" t="s">
        <v>1075</v>
      </c>
      <c r="E23" s="785"/>
      <c r="F23" s="777"/>
      <c r="G23" s="777"/>
      <c r="H23" s="777"/>
      <c r="I23" s="773">
        <v>383142.85714285722</v>
      </c>
      <c r="J23" s="773">
        <v>383142.85714285722</v>
      </c>
      <c r="K23" s="777"/>
      <c r="L23" s="777">
        <f>L6*(1+'.c12_inputs.hr'!$E$5)+(L14*(1+'.c12_inputs.hr'!$E$6))</f>
        <v>383142.85714285716</v>
      </c>
      <c r="M23" s="777">
        <f>M6*(1+'.c12_inputs.hr'!$E$5)+(M14*(1+'.c12_inputs.hr'!$E$6))</f>
        <v>383142.85714285716</v>
      </c>
      <c r="N23" s="777">
        <f>N6*(1+'.c12_inputs.hr'!$E$5)+(N14*(1+'.c12_inputs.hr'!$E$6))</f>
        <v>383142.85714285716</v>
      </c>
      <c r="O23" s="777">
        <f>O6*(1+'.c12_inputs.hr'!$E$5)+(O14*(1+'.c12_inputs.hr'!$E$6))</f>
        <v>383142.85714285716</v>
      </c>
      <c r="P23" s="777">
        <f>P6*(1+'.c12_inputs.hr'!$E$5)+(P14*(1+'.c12_inputs.hr'!$E$6))</f>
        <v>383142.85714285716</v>
      </c>
      <c r="Q23" s="777">
        <f>Q6*(1+'.c12_inputs.hr'!$E$5)+(Q14*(1+'.c12_inputs.hr'!$E$6))</f>
        <v>383142.85714285716</v>
      </c>
      <c r="R23" s="777">
        <f>R6*(1+'.c12_inputs.hr'!$E$5)+(R14*(1+'.c12_inputs.hr'!$E$6))</f>
        <v>383142.85714285716</v>
      </c>
      <c r="S23" s="777">
        <f>S6*(1+'.c12_inputs.hr'!$E$5)+(S14*(1+'.c12_inputs.hr'!$E$6))</f>
        <v>383142.85714285716</v>
      </c>
      <c r="T23" s="777">
        <f>T6*(1+'.c12_inputs.hr'!$E$5)+(T14*(1+'.c12_inputs.hr'!$E$6))</f>
        <v>1532571.4285714286</v>
      </c>
      <c r="U23" s="777">
        <f>U6*(1+'.c12_inputs.hr'!$E$5)+(U14*(1+'.c12_inputs.hr'!$E$6))</f>
        <v>1532571.4285714286</v>
      </c>
      <c r="V23" s="777">
        <f>V6*(1+'.c12_inputs.hr'!$E$5)+(V14*(1+'.c12_inputs.hr'!$E$6))</f>
        <v>1532571.4285714286</v>
      </c>
      <c r="W23" s="777">
        <f>W6*(1+'.c12_inputs.hr'!$E$5)+(W14*(1+'.c12_inputs.hr'!$E$6))</f>
        <v>1532571.4285714286</v>
      </c>
      <c r="X23" s="777"/>
      <c r="Y23" s="754"/>
      <c r="Z23" s="75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3"/>
        <v>Philanropy senior exec (LM) (100%roots)</v>
      </c>
      <c r="B24" s="779" t="s">
        <v>826</v>
      </c>
      <c r="C24" s="779" t="s">
        <v>1088</v>
      </c>
      <c r="D24" s="779" t="s">
        <v>1077</v>
      </c>
      <c r="E24" s="785"/>
      <c r="F24" s="777"/>
      <c r="G24" s="777"/>
      <c r="H24" s="777"/>
      <c r="I24" s="773">
        <v>0</v>
      </c>
      <c r="J24" s="773">
        <v>0</v>
      </c>
      <c r="K24" s="777"/>
      <c r="L24" s="777">
        <f>L7*(1+'.c12_inputs.hr'!$E$5)+(L15*(1+'.c12_inputs.hr'!$E$6))</f>
        <v>0</v>
      </c>
      <c r="M24" s="777">
        <f>M7*(1+'.c12_inputs.hr'!$E$5)+(M15*(1+'.c12_inputs.hr'!$E$6))</f>
        <v>0</v>
      </c>
      <c r="N24" s="777">
        <f>N7*(1+'.c12_inputs.hr'!$E$5)+(N15*(1+'.c12_inputs.hr'!$E$6))</f>
        <v>0</v>
      </c>
      <c r="O24" s="777">
        <f>O7*(1+'.c12_inputs.hr'!$E$5)+(O15*(1+'.c12_inputs.hr'!$E$6))</f>
        <v>0</v>
      </c>
      <c r="P24" s="777">
        <f>P7*(1+'.c12_inputs.hr'!$E$5)+(P15*(1+'.c12_inputs.hr'!$E$6))</f>
        <v>0</v>
      </c>
      <c r="Q24" s="777">
        <f>Q7*(1+'.c12_inputs.hr'!$E$5)+(Q15*(1+'.c12_inputs.hr'!$E$6))</f>
        <v>0</v>
      </c>
      <c r="R24" s="777">
        <f>R7*(1+'.c12_inputs.hr'!$E$5)+(R15*(1+'.c12_inputs.hr'!$E$6))</f>
        <v>0</v>
      </c>
      <c r="S24" s="777">
        <f>S7*(1+'.c12_inputs.hr'!$E$5)+(S15*(1+'.c12_inputs.hr'!$E$6))</f>
        <v>0</v>
      </c>
      <c r="T24" s="777">
        <f>T7*(1+'.c12_inputs.hr'!$E$5)+(T15*(1+'.c12_inputs.hr'!$E$6))</f>
        <v>0</v>
      </c>
      <c r="U24" s="777">
        <f>U7*(1+'.c12_inputs.hr'!$E$5)+(U15*(1+'.c12_inputs.hr'!$E$6))</f>
        <v>0</v>
      </c>
      <c r="V24" s="777">
        <f>V7*(1+'.c12_inputs.hr'!$E$5)+(V15*(1+'.c12_inputs.hr'!$E$6))</f>
        <v>0</v>
      </c>
      <c r="W24" s="777">
        <f>W7*(1+'.c12_inputs.hr'!$E$5)+(W15*(1+'.c12_inputs.hr'!$E$6))</f>
        <v>0</v>
      </c>
      <c r="X24" s="777"/>
      <c r="Y24" s="754"/>
      <c r="Z24" s="75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Bookkeeper (DD)</v>
      </c>
      <c r="B25" s="779" t="s">
        <v>826</v>
      </c>
      <c r="C25" s="779" t="s">
        <v>1088</v>
      </c>
      <c r="D25" s="779" t="s">
        <v>1079</v>
      </c>
      <c r="E25" s="785"/>
      <c r="F25" s="777"/>
      <c r="G25" s="777"/>
      <c r="H25" s="777"/>
      <c r="I25" s="773">
        <v>10390</v>
      </c>
      <c r="J25" s="773">
        <v>26309.142857142859</v>
      </c>
      <c r="K25" s="777"/>
      <c r="L25" s="777">
        <f>L8*(1+'.c12_inputs.hr'!$E$5)+(L16*(1+'.c12_inputs.hr'!$E$6))</f>
        <v>0</v>
      </c>
      <c r="M25" s="777">
        <f>M8*(1+'.c12_inputs.hr'!$E$5)+(M16*(1+'.c12_inputs.hr'!$E$6))</f>
        <v>0</v>
      </c>
      <c r="N25" s="777">
        <f>N8*(1+'.c12_inputs.hr'!$E$5)+(N16*(1+'.c12_inputs.hr'!$E$6))</f>
        <v>0</v>
      </c>
      <c r="O25" s="777">
        <f>O8*(1+'.c12_inputs.hr'!$E$5)+(O16*(1+'.c12_inputs.hr'!$E$6))</f>
        <v>10390</v>
      </c>
      <c r="P25" s="777">
        <f>P8*(1+'.c12_inputs.hr'!$E$5)+(P16*(1+'.c12_inputs.hr'!$E$6))</f>
        <v>26309.142857142859</v>
      </c>
      <c r="Q25" s="777">
        <f>Q8*(1+'.c12_inputs.hr'!$E$5)+(Q16*(1+'.c12_inputs.hr'!$E$6))</f>
        <v>26309.142857142859</v>
      </c>
      <c r="R25" s="777">
        <f>R8*(1+'.c12_inputs.hr'!$E$5)+(R16*(1+'.c12_inputs.hr'!$E$6))</f>
        <v>26309.142857142859</v>
      </c>
      <c r="S25" s="777">
        <f>S8*(1+'.c12_inputs.hr'!$E$5)+(S16*(1+'.c12_inputs.hr'!$E$6))</f>
        <v>31504.142857142859</v>
      </c>
      <c r="T25" s="777">
        <f>T8*(1+'.c12_inputs.hr'!$E$5)+(T16*(1+'.c12_inputs.hr'!$E$6))</f>
        <v>110431.57142857143</v>
      </c>
      <c r="U25" s="777">
        <f>U8*(1+'.c12_inputs.hr'!$E$5)+(U16*(1+'.c12_inputs.hr'!$E$6))</f>
        <v>110431.57142857143</v>
      </c>
      <c r="V25" s="777">
        <f>V8*(1+'.c12_inputs.hr'!$E$5)+(V16*(1+'.c12_inputs.hr'!$E$6))</f>
        <v>110431.57142857143</v>
      </c>
      <c r="W25" s="777">
        <f>W8*(1+'.c12_inputs.hr'!$E$5)+(W16*(1+'.c12_inputs.hr'!$E$6))</f>
        <v>110431.57142857143</v>
      </c>
      <c r="X25" s="777"/>
      <c r="Y25" s="754"/>
      <c r="Z25" s="753"/>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Personal Assistant (CD)</v>
      </c>
      <c r="B26" s="779" t="s">
        <v>826</v>
      </c>
      <c r="C26" s="779" t="s">
        <v>1088</v>
      </c>
      <c r="D26" s="779" t="s">
        <v>1081</v>
      </c>
      <c r="E26" s="785"/>
      <c r="F26" s="777"/>
      <c r="G26" s="777"/>
      <c r="H26" s="777"/>
      <c r="I26" s="773">
        <v>31928.571428571431</v>
      </c>
      <c r="J26" s="773">
        <v>31928.571428571431</v>
      </c>
      <c r="K26" s="777"/>
      <c r="L26" s="777">
        <f>L9*(1+'.c12_inputs.hr'!$E$5)+(L17*(1+'.c12_inputs.hr'!$E$6))</f>
        <v>31928.571428571431</v>
      </c>
      <c r="M26" s="777">
        <f>M9*(1+'.c12_inputs.hr'!$E$5)+(M17*(1+'.c12_inputs.hr'!$E$6))</f>
        <v>31928.571428571431</v>
      </c>
      <c r="N26" s="777">
        <f>N9*(1+'.c12_inputs.hr'!$E$5)+(N17*(1+'.c12_inputs.hr'!$E$6))</f>
        <v>31928.571428571431</v>
      </c>
      <c r="O26" s="777">
        <f>O9*(1+'.c12_inputs.hr'!$E$5)+(O17*(1+'.c12_inputs.hr'!$E$6))</f>
        <v>31928.571428571431</v>
      </c>
      <c r="P26" s="777">
        <f>P9*(1+'.c12_inputs.hr'!$E$5)+(P17*(1+'.c12_inputs.hr'!$E$6))</f>
        <v>31928.571428571431</v>
      </c>
      <c r="Q26" s="777">
        <f>Q9*(1+'.c12_inputs.hr'!$E$5)+(Q17*(1+'.c12_inputs.hr'!$E$6))</f>
        <v>31928.571428571431</v>
      </c>
      <c r="R26" s="777">
        <f>R9*(1+'.c12_inputs.hr'!$E$5)+(R17*(1+'.c12_inputs.hr'!$E$6))</f>
        <v>31928.571428571431</v>
      </c>
      <c r="S26" s="777">
        <f>S9*(1+'.c12_inputs.hr'!$E$5)+(S17*(1+'.c12_inputs.hr'!$E$6))</f>
        <v>47513.571428571428</v>
      </c>
      <c r="T26" s="777">
        <f>T9*(1+'.c12_inputs.hr'!$E$5)+(T17*(1+'.c12_inputs.hr'!$E$6))</f>
        <v>143299.28571428571</v>
      </c>
      <c r="U26" s="777">
        <f>U9*(1+'.c12_inputs.hr'!$E$5)+(U17*(1+'.c12_inputs.hr'!$E$6))</f>
        <v>143299.28571428571</v>
      </c>
      <c r="V26" s="777">
        <f>V9*(1+'.c12_inputs.hr'!$E$5)+(V17*(1+'.c12_inputs.hr'!$E$6))</f>
        <v>143299.28571428571</v>
      </c>
      <c r="W26" s="777">
        <f>W9*(1+'.c12_inputs.hr'!$E$5)+(W17*(1+'.c12_inputs.hr'!$E$6))</f>
        <v>143299.28571428571</v>
      </c>
      <c r="X26" s="777"/>
      <c r="Y26" s="754"/>
      <c r="Z26" s="753"/>
      <c r="AA26" s="753"/>
      <c r="AB26" s="753"/>
      <c r="AC26" s="753"/>
      <c r="AD26" s="753"/>
      <c r="AE26" s="753"/>
      <c r="AF26" s="753"/>
      <c r="AG26" s="753"/>
      <c r="AH26" s="753"/>
      <c r="AI26" s="755"/>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philanthropy assist (100%roots)</v>
      </c>
      <c r="B27" s="779" t="s">
        <v>826</v>
      </c>
      <c r="C27" s="779" t="s">
        <v>1088</v>
      </c>
      <c r="D27" s="779" t="s">
        <v>1083</v>
      </c>
      <c r="E27" s="785"/>
      <c r="F27" s="777"/>
      <c r="G27" s="777"/>
      <c r="H27" s="777"/>
      <c r="I27" s="773">
        <v>0</v>
      </c>
      <c r="J27" s="773">
        <v>0</v>
      </c>
      <c r="K27" s="777"/>
      <c r="L27" s="777">
        <f>L10*(1+'.c12_inputs.hr'!$E$5)+(L18*(1+'.c12_inputs.hr'!$E$6))</f>
        <v>0</v>
      </c>
      <c r="M27" s="777">
        <f>M10*(1+'.c12_inputs.hr'!$E$5)+(M18*(1+'.c12_inputs.hr'!$E$6))</f>
        <v>0</v>
      </c>
      <c r="N27" s="777">
        <f>N10*(1+'.c12_inputs.hr'!$E$5)+(N18*(1+'.c12_inputs.hr'!$E$6))</f>
        <v>0</v>
      </c>
      <c r="O27" s="777">
        <f>O10*(1+'.c12_inputs.hr'!$E$5)+(O18*(1+'.c12_inputs.hr'!$E$6))</f>
        <v>0</v>
      </c>
      <c r="P27" s="777">
        <f>P10*(1+'.c12_inputs.hr'!$E$5)+(P18*(1+'.c12_inputs.hr'!$E$6))</f>
        <v>0</v>
      </c>
      <c r="Q27" s="777">
        <f>Q10*(1+'.c12_inputs.hr'!$E$5)+(Q18*(1+'.c12_inputs.hr'!$E$6))</f>
        <v>0</v>
      </c>
      <c r="R27" s="777">
        <f>R10*(1+'.c12_inputs.hr'!$E$5)+(R18*(1+'.c12_inputs.hr'!$E$6))</f>
        <v>0</v>
      </c>
      <c r="S27" s="777">
        <f>S10*(1+'.c12_inputs.hr'!$E$5)+(S18*(1+'.c12_inputs.hr'!$E$6))</f>
        <v>0</v>
      </c>
      <c r="T27" s="777">
        <f>T10*(1+'.c12_inputs.hr'!$E$5)+(T18*(1+'.c12_inputs.hr'!$E$6))</f>
        <v>0</v>
      </c>
      <c r="U27" s="777">
        <f>U10*(1+'.c12_inputs.hr'!$E$5)+(U18*(1+'.c12_inputs.hr'!$E$6))</f>
        <v>0</v>
      </c>
      <c r="V27" s="777">
        <f>V10*(1+'.c12_inputs.hr'!$E$5)+(V18*(1+'.c12_inputs.hr'!$E$6))</f>
        <v>0</v>
      </c>
      <c r="W27" s="777">
        <f>W10*(1+'.c12_inputs.hr'!$E$5)+(W18*(1+'.c12_inputs.hr'!$E$6))</f>
        <v>0</v>
      </c>
      <c r="X27" s="777"/>
      <c r="Y27" s="754"/>
      <c r="Z27" s="753"/>
      <c r="AA27" s="753"/>
      <c r="AB27" s="753"/>
      <c r="AC27" s="753"/>
      <c r="AD27" s="753"/>
      <c r="AE27" s="753"/>
      <c r="AF27" s="753"/>
      <c r="AG27" s="753"/>
      <c r="AH27" s="753"/>
      <c r="AI27" s="755"/>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TM (gone)</v>
      </c>
      <c r="B28" s="779" t="s">
        <v>826</v>
      </c>
      <c r="C28" s="779" t="s">
        <v>1088</v>
      </c>
      <c r="D28" s="779" t="s">
        <v>1085</v>
      </c>
      <c r="E28" s="785"/>
      <c r="F28" s="777"/>
      <c r="G28" s="777"/>
      <c r="H28" s="777"/>
      <c r="I28" s="773">
        <v>89400</v>
      </c>
      <c r="J28" s="773">
        <v>421880</v>
      </c>
      <c r="K28" s="777"/>
      <c r="L28" s="777">
        <f>L11*(1+'.c12_inputs.hr'!$E$5)+(L19*(1+'.c12_inputs.hr'!$E$6))</f>
        <v>89400</v>
      </c>
      <c r="M28" s="777">
        <f>M11*(1+'.c12_inputs.hr'!$E$5)+(M19*(1+'.c12_inputs.hr'!$E$6))</f>
        <v>89400</v>
      </c>
      <c r="N28" s="777">
        <f>N11*(1+'.c12_inputs.hr'!$E$5)+(N19*(1+'.c12_inputs.hr'!$E$6))</f>
        <v>89400</v>
      </c>
      <c r="O28" s="777">
        <f>O11*(1+'.c12_inputs.hr'!$E$5)+(O19*(1+'.c12_inputs.hr'!$E$6))</f>
        <v>89400</v>
      </c>
      <c r="P28" s="777">
        <f>P11*(1+'.c12_inputs.hr'!$E$5)+(P19*(1+'.c12_inputs.hr'!$E$6))</f>
        <v>421880</v>
      </c>
      <c r="Q28" s="777">
        <f>Q11*(1+'.c12_inputs.hr'!$E$5)+(Q19*(1+'.c12_inputs.hr'!$E$6))</f>
        <v>0</v>
      </c>
      <c r="R28" s="777">
        <f>R11*(1+'.c12_inputs.hr'!$E$5)+(R19*(1+'.c12_inputs.hr'!$E$6))</f>
        <v>0</v>
      </c>
      <c r="S28" s="777">
        <f>S11*(1+'.c12_inputs.hr'!$E$5)+(S19*(1+'.c12_inputs.hr'!$E$6))</f>
        <v>519499.99999999994</v>
      </c>
      <c r="T28" s="777">
        <f>T11*(1+'.c12_inputs.hr'!$E$5)+(T19*(1+'.c12_inputs.hr'!$E$6))</f>
        <v>519499.99999999994</v>
      </c>
      <c r="U28" s="777">
        <f>U11*(1+'.c12_inputs.hr'!$E$5)+(U19*(1+'.c12_inputs.hr'!$E$6))</f>
        <v>0</v>
      </c>
      <c r="V28" s="777">
        <f>V11*(1+'.c12_inputs.hr'!$E$5)+(V19*(1+'.c12_inputs.hr'!$E$6))</f>
        <v>0</v>
      </c>
      <c r="W28" s="777">
        <f>W11*(1+'.c12_inputs.hr'!$E$5)+(W19*(1+'.c12_inputs.hr'!$E$6))</f>
        <v>0</v>
      </c>
      <c r="X28" s="777"/>
      <c r="Y28" s="754"/>
      <c r="Z28" s="753"/>
      <c r="AA28" s="753"/>
      <c r="AB28" s="753"/>
      <c r="AC28" s="753"/>
      <c r="AD28" s="753"/>
      <c r="AE28" s="753"/>
      <c r="AF28" s="753"/>
      <c r="AG28" s="753"/>
      <c r="AH28" s="753"/>
      <c r="AI28" s="755"/>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425" customFormat="1">
      <c r="A29" s="753"/>
      <c r="B29" s="753"/>
      <c r="C29" s="753"/>
      <c r="D29" s="753"/>
      <c r="E29" s="785"/>
      <c r="F29" s="777"/>
      <c r="G29" s="777"/>
      <c r="H29" s="777"/>
      <c r="I29" s="777"/>
      <c r="J29" s="777"/>
      <c r="K29" s="777"/>
      <c r="L29" s="777"/>
      <c r="M29" s="777"/>
      <c r="N29" s="777"/>
      <c r="O29" s="777"/>
      <c r="P29" s="777"/>
      <c r="Q29" s="777"/>
      <c r="R29" s="777"/>
      <c r="S29" s="777"/>
      <c r="T29" s="777"/>
      <c r="U29" s="777"/>
      <c r="V29" s="777"/>
      <c r="W29" s="777"/>
      <c r="X29" s="777"/>
      <c r="Y29" s="754"/>
      <c r="Z29" s="753"/>
      <c r="AA29" s="753"/>
      <c r="AB29" s="753"/>
      <c r="AC29" s="753"/>
      <c r="AD29" s="753"/>
      <c r="AE29" s="753"/>
      <c r="AF29" s="753"/>
      <c r="AG29" s="753"/>
      <c r="AH29" s="753"/>
      <c r="AI29" s="755"/>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c r="A30" s="780" t="s">
        <v>994</v>
      </c>
      <c r="B30" s="779" t="s">
        <v>808</v>
      </c>
      <c r="C30" s="779" t="s">
        <v>995</v>
      </c>
      <c r="D30" s="753"/>
      <c r="E30" s="785"/>
      <c r="F30" s="777"/>
      <c r="G30" s="777"/>
      <c r="H30" s="777"/>
      <c r="I30" s="773">
        <v>514861.42857142858</v>
      </c>
      <c r="J30" s="773">
        <v>863260.57142857136</v>
      </c>
      <c r="K30" s="777"/>
      <c r="L30" s="786">
        <f t="shared" ref="L30:W30" si="4">SUM(L23:L28)</f>
        <v>504471.42857142858</v>
      </c>
      <c r="M30" s="786">
        <f t="shared" si="4"/>
        <v>504471.42857142858</v>
      </c>
      <c r="N30" s="786">
        <f t="shared" si="4"/>
        <v>504471.42857142858</v>
      </c>
      <c r="O30" s="786">
        <f t="shared" si="4"/>
        <v>514861.42857142858</v>
      </c>
      <c r="P30" s="786">
        <f t="shared" si="4"/>
        <v>863260.57142857136</v>
      </c>
      <c r="Q30" s="786">
        <f t="shared" si="4"/>
        <v>441380.57142857142</v>
      </c>
      <c r="R30" s="786">
        <f t="shared" si="4"/>
        <v>441380.57142857142</v>
      </c>
      <c r="S30" s="786">
        <f t="shared" si="4"/>
        <v>981660.57142857136</v>
      </c>
      <c r="T30" s="786">
        <f t="shared" si="4"/>
        <v>2305802.2857142854</v>
      </c>
      <c r="U30" s="786">
        <f t="shared" si="4"/>
        <v>1786302.2857142857</v>
      </c>
      <c r="V30" s="786">
        <f t="shared" si="4"/>
        <v>1786302.2857142857</v>
      </c>
      <c r="W30" s="786">
        <f t="shared" si="4"/>
        <v>1786302.2857142857</v>
      </c>
      <c r="X30" s="777"/>
      <c r="Y30" s="754"/>
      <c r="Z30" s="753"/>
      <c r="AA30" s="753"/>
      <c r="AB30" s="753"/>
      <c r="AC30" s="753"/>
      <c r="AD30" s="753"/>
      <c r="AE30" s="753"/>
      <c r="AF30" s="753"/>
      <c r="AG30" s="753"/>
      <c r="AH30" s="753"/>
      <c r="AI30" s="755"/>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c r="A31" s="780" t="s">
        <v>996</v>
      </c>
      <c r="B31" s="779" t="s">
        <v>808</v>
      </c>
      <c r="C31" s="779" t="s">
        <v>997</v>
      </c>
      <c r="D31" s="753"/>
      <c r="E31" s="785"/>
      <c r="F31" s="777"/>
      <c r="G31" s="777"/>
      <c r="H31" s="777"/>
      <c r="I31" s="787">
        <v>0</v>
      </c>
      <c r="J31" s="787">
        <v>0</v>
      </c>
      <c r="K31" s="777"/>
      <c r="L31" s="788">
        <f>SUMPRODUCT('.c12_alloc'!$H$6:$H$11,L23:L28)</f>
        <v>0</v>
      </c>
      <c r="M31" s="788">
        <f>SUMPRODUCT('.c12_alloc'!$H$6:$H$11,M23:M28)</f>
        <v>0</v>
      </c>
      <c r="N31" s="788">
        <f>SUMPRODUCT('.c12_alloc'!$H$6:$H$11,N23:N28)</f>
        <v>0</v>
      </c>
      <c r="O31" s="788">
        <f>SUMPRODUCT('.c12_alloc'!$H$6:$H$11,O23:O28)</f>
        <v>0</v>
      </c>
      <c r="P31" s="788">
        <f>SUMPRODUCT('.c12_alloc'!$H$6:$H$11,P23:P28)</f>
        <v>0</v>
      </c>
      <c r="Q31" s="788">
        <f>SUMPRODUCT('.c12_alloc'!$H$6:$H$11,Q23:Q28)</f>
        <v>0</v>
      </c>
      <c r="R31" s="788">
        <f>SUMPRODUCT('.c12_alloc'!$H$6:$H$11,R23:R28)</f>
        <v>0</v>
      </c>
      <c r="S31" s="788">
        <f>SUMPRODUCT('.c12_alloc'!$H$6:$H$11,S23:S28)</f>
        <v>0</v>
      </c>
      <c r="T31" s="788">
        <f>SUMPRODUCT('.c12_alloc'!$H$6:$H$11,T23:T28)</f>
        <v>0</v>
      </c>
      <c r="U31" s="788">
        <f>SUMPRODUCT('.c12_alloc'!$H$6:$H$11,U23:U28)</f>
        <v>0</v>
      </c>
      <c r="V31" s="788">
        <f>SUMPRODUCT('.c12_alloc'!$H$6:$H$11,V23:V28)</f>
        <v>0</v>
      </c>
      <c r="W31" s="788">
        <f>SUMPRODUCT('.c12_alloc'!$H$6:$H$11,W23:W28)</f>
        <v>0</v>
      </c>
      <c r="X31" s="753"/>
      <c r="Y31" s="753"/>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998</v>
      </c>
      <c r="B32" s="779" t="s">
        <v>808</v>
      </c>
      <c r="C32" s="779" t="s">
        <v>999</v>
      </c>
      <c r="D32" s="753"/>
      <c r="E32" s="785"/>
      <c r="F32" s="777"/>
      <c r="G32" s="777"/>
      <c r="H32" s="777"/>
      <c r="I32" s="787">
        <v>472542.85714285722</v>
      </c>
      <c r="J32" s="787">
        <v>805022.85714285716</v>
      </c>
      <c r="K32" s="777"/>
      <c r="L32" s="788">
        <f>SUMPRODUCT('.c12_alloc'!$G$6:$G$11,L23:L28)</f>
        <v>472542.85714285716</v>
      </c>
      <c r="M32" s="788">
        <f>SUMPRODUCT('.c12_alloc'!$G$6:$G$11,M23:M28)</f>
        <v>472542.85714285716</v>
      </c>
      <c r="N32" s="788">
        <f>SUMPRODUCT('.c12_alloc'!$G$6:$G$11,N23:N28)</f>
        <v>472542.85714285716</v>
      </c>
      <c r="O32" s="788">
        <f>SUMPRODUCT('.c12_alloc'!$G$6:$G$11,O23:O28)</f>
        <v>472542.85714285716</v>
      </c>
      <c r="P32" s="788">
        <f>SUMPRODUCT('.c12_alloc'!$G$6:$G$11,P23:P28)</f>
        <v>805022.85714285716</v>
      </c>
      <c r="Q32" s="788">
        <f>SUMPRODUCT('.c12_alloc'!$G$6:$G$11,Q23:Q28)</f>
        <v>383142.85714285716</v>
      </c>
      <c r="R32" s="788">
        <f>SUMPRODUCT('.c12_alloc'!$G$6:$G$11,R23:R28)</f>
        <v>383142.85714285716</v>
      </c>
      <c r="S32" s="788">
        <f>SUMPRODUCT('.c12_alloc'!$G$6:$G$11,S23:S28)</f>
        <v>902642.85714285704</v>
      </c>
      <c r="T32" s="788">
        <f>SUMPRODUCT('.c12_alloc'!$G$6:$G$11,T23:T28)</f>
        <v>2052071.4285714286</v>
      </c>
      <c r="U32" s="788">
        <f>SUMPRODUCT('.c12_alloc'!$G$6:$G$11,U23:U28)</f>
        <v>1532571.4285714286</v>
      </c>
      <c r="V32" s="788">
        <f>SUMPRODUCT('.c12_alloc'!$G$6:$G$11,V23:V28)</f>
        <v>1532571.4285714286</v>
      </c>
      <c r="W32" s="788">
        <f>SUMPRODUCT('.c12_alloc'!$G$6:$G$11,W23:W28)</f>
        <v>1532571.4285714286</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1000</v>
      </c>
      <c r="B33" s="779" t="s">
        <v>808</v>
      </c>
      <c r="C33" s="779" t="s">
        <v>1001</v>
      </c>
      <c r="D33" s="753"/>
      <c r="E33" s="785"/>
      <c r="F33" s="783"/>
      <c r="G33" s="783"/>
      <c r="H33" s="783"/>
      <c r="I33" s="787">
        <v>42318.571428571428</v>
      </c>
      <c r="J33" s="787">
        <v>58237.71428571429</v>
      </c>
      <c r="K33" s="783"/>
      <c r="L33" s="788">
        <f>SUMPRODUCT('.c12_alloc'!$E$6:$E$11,L23:L28)</f>
        <v>31928.571428571431</v>
      </c>
      <c r="M33" s="788">
        <f>SUMPRODUCT('.c12_alloc'!$E$6:$E$11,M23:M28)</f>
        <v>31928.571428571431</v>
      </c>
      <c r="N33" s="788">
        <f>SUMPRODUCT('.c12_alloc'!$E$6:$E$11,N23:N28)</f>
        <v>31928.571428571431</v>
      </c>
      <c r="O33" s="788">
        <f>SUMPRODUCT('.c12_alloc'!$E$6:$E$11,O23:O28)</f>
        <v>42318.571428571435</v>
      </c>
      <c r="P33" s="788">
        <f>SUMPRODUCT('.c12_alloc'!$E$6:$E$11,P23:P28)</f>
        <v>58237.71428571429</v>
      </c>
      <c r="Q33" s="788">
        <f>SUMPRODUCT('.c12_alloc'!$E$6:$E$11,Q23:Q28)</f>
        <v>58237.71428571429</v>
      </c>
      <c r="R33" s="788">
        <f>SUMPRODUCT('.c12_alloc'!$E$6:$E$11,R23:R28)</f>
        <v>58237.71428571429</v>
      </c>
      <c r="S33" s="788">
        <f>SUMPRODUCT('.c12_alloc'!$E$6:$E$11,S23:S28)</f>
        <v>79017.71428571429</v>
      </c>
      <c r="T33" s="788">
        <f>SUMPRODUCT('.c12_alloc'!$E$6:$E$11,T23:T28)</f>
        <v>253730.85714285716</v>
      </c>
      <c r="U33" s="788">
        <f>SUMPRODUCT('.c12_alloc'!$E$6:$E$11,U23:U28)</f>
        <v>253730.85714285716</v>
      </c>
      <c r="V33" s="788">
        <f>SUMPRODUCT('.c12_alloc'!$E$6:$E$11,V23:V28)</f>
        <v>253730.85714285716</v>
      </c>
      <c r="W33" s="788">
        <f>SUMPRODUCT('.c12_alloc'!$E$6:$E$11,W23:W28)</f>
        <v>253730.85714285716</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c r="B34" s="753"/>
      <c r="C34" s="753"/>
      <c r="D34" s="753"/>
      <c r="E34" s="753"/>
      <c r="F34" s="777"/>
      <c r="G34" s="777"/>
      <c r="H34" s="777"/>
      <c r="I34" s="753"/>
      <c r="J34" s="753"/>
      <c r="K34" s="777"/>
      <c r="L34" s="753"/>
      <c r="M34" s="753"/>
      <c r="N34" s="753"/>
      <c r="O34" s="753"/>
      <c r="P34" s="753"/>
      <c r="Q34" s="753"/>
      <c r="R34" s="753"/>
      <c r="S34" s="753"/>
      <c r="T34" s="753"/>
      <c r="U34" s="753"/>
      <c r="V34" s="753"/>
      <c r="W34" s="753"/>
      <c r="X34" s="753"/>
      <c r="Y34" s="754"/>
      <c r="Z34" s="753"/>
      <c r="AA34" s="753"/>
      <c r="AB34" s="753"/>
      <c r="AC34" s="753"/>
      <c r="AD34" s="753"/>
      <c r="AE34" s="753"/>
      <c r="AF34" s="753"/>
      <c r="AG34" s="753"/>
      <c r="AH34" s="753"/>
      <c r="AI34" s="753"/>
      <c r="AJ34" s="753"/>
      <c r="AK34" s="753"/>
      <c r="AL34" s="753"/>
      <c r="AM34" s="753"/>
      <c r="AN34" s="753"/>
      <c r="AO34" s="753"/>
      <c r="AP34" s="753"/>
      <c r="AQ34" s="789"/>
      <c r="AR34" s="753"/>
      <c r="AS34" s="753"/>
      <c r="AT34" s="789"/>
      <c r="AU34" s="789"/>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53"/>
      <c r="Z35" s="753"/>
      <c r="AA35" s="753"/>
      <c r="AB35" s="753"/>
      <c r="AC35" s="754"/>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91"/>
      <c r="B47" s="753"/>
      <c r="C47" s="753"/>
      <c r="D47" s="753"/>
      <c r="E47" s="791"/>
      <c r="F47" s="790"/>
      <c r="G47" s="790"/>
      <c r="H47" s="790"/>
      <c r="I47" s="791"/>
      <c r="J47" s="791"/>
      <c r="K47" s="790"/>
      <c r="L47" s="791"/>
      <c r="M47" s="791"/>
      <c r="N47" s="791"/>
      <c r="O47" s="791"/>
      <c r="P47" s="791"/>
      <c r="Q47" s="791"/>
      <c r="R47" s="791"/>
      <c r="S47" s="791"/>
      <c r="T47" s="791"/>
      <c r="U47" s="791"/>
      <c r="V47" s="791"/>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BK149"/>
  <sheetViews>
    <sheetView zoomScale="98" workbookViewId="0">
      <pane xSplit="4" ySplit="3" topLeftCell="F4" activePane="bottomRight" state="frozen"/>
      <selection pane="topRight"/>
      <selection pane="bottomLeft"/>
      <selection pane="bottomRight" activeCell="A3" sqref="A3:XFD3"/>
    </sheetView>
  </sheetViews>
  <sheetFormatPr defaultRowHeight="14.5"/>
  <cols>
    <col min="1" max="1" width="36.7265625" bestFit="1" customWidth="1"/>
    <col min="2" max="2" width="4.453125" style="421" customWidth="1"/>
    <col min="3" max="3" width="19.90625" style="415" customWidth="1"/>
    <col min="4" max="4" width="7.6328125" style="421" customWidth="1"/>
    <col min="5" max="5" width="11.7265625" customWidth="1"/>
    <col min="6" max="8" width="10.7265625" style="426" customWidth="1"/>
    <col min="9" max="10" width="11.7265625" customWidth="1"/>
    <col min="11" max="11" width="10.7265625" style="591" customWidth="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1089</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1090</v>
      </c>
      <c r="B6" s="769" t="s">
        <v>6</v>
      </c>
      <c r="C6" s="770" t="s">
        <v>1074</v>
      </c>
      <c r="D6" s="771" t="s">
        <v>1091</v>
      </c>
      <c r="E6" s="753"/>
      <c r="F6" s="753"/>
      <c r="G6" s="753"/>
      <c r="H6" s="753"/>
      <c r="I6" s="782">
        <v>125000</v>
      </c>
      <c r="J6" s="795">
        <v>125000</v>
      </c>
      <c r="K6" s="753"/>
      <c r="L6" s="776">
        <v>125000</v>
      </c>
      <c r="M6" s="776">
        <v>125000</v>
      </c>
      <c r="N6" s="776">
        <v>125000</v>
      </c>
      <c r="O6" s="776">
        <v>125000</v>
      </c>
      <c r="P6" s="796">
        <v>125000</v>
      </c>
      <c r="Q6" s="776">
        <v>125000</v>
      </c>
      <c r="R6" s="776">
        <v>125000</v>
      </c>
      <c r="S6" s="776">
        <v>125000</v>
      </c>
      <c r="T6" s="776">
        <v>500000</v>
      </c>
      <c r="U6" s="776">
        <v>500000</v>
      </c>
      <c r="V6" s="776">
        <v>500000</v>
      </c>
      <c r="W6" s="776">
        <v>500000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1092</v>
      </c>
      <c r="B7" s="769" t="s">
        <v>6</v>
      </c>
      <c r="C7" s="770" t="s">
        <v>1074</v>
      </c>
      <c r="D7" s="771" t="s">
        <v>1093</v>
      </c>
      <c r="E7" s="753"/>
      <c r="F7" s="753"/>
      <c r="G7" s="753"/>
      <c r="H7" s="753"/>
      <c r="I7" s="782">
        <v>68750</v>
      </c>
      <c r="J7" s="795">
        <v>72500</v>
      </c>
      <c r="K7" s="753"/>
      <c r="L7" s="776">
        <v>68750</v>
      </c>
      <c r="M7" s="776">
        <v>68750</v>
      </c>
      <c r="N7" s="776">
        <v>68750</v>
      </c>
      <c r="O7" s="776">
        <v>68750</v>
      </c>
      <c r="P7" s="796">
        <v>72500</v>
      </c>
      <c r="Q7" s="776">
        <v>72500</v>
      </c>
      <c r="R7" s="776">
        <v>72500</v>
      </c>
      <c r="S7" s="776">
        <v>72500</v>
      </c>
      <c r="T7" s="776">
        <v>290000</v>
      </c>
      <c r="U7" s="776">
        <v>290000</v>
      </c>
      <c r="V7" s="776">
        <v>290000</v>
      </c>
      <c r="W7" s="776">
        <v>290000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1094</v>
      </c>
      <c r="B8" s="769" t="s">
        <v>6</v>
      </c>
      <c r="C8" s="770" t="s">
        <v>1074</v>
      </c>
      <c r="D8" s="771" t="s">
        <v>1095</v>
      </c>
      <c r="E8" s="753"/>
      <c r="F8" s="753"/>
      <c r="G8" s="753"/>
      <c r="H8" s="753"/>
      <c r="I8" s="782">
        <v>0</v>
      </c>
      <c r="J8" s="795">
        <v>75000</v>
      </c>
      <c r="K8" s="753"/>
      <c r="L8" s="776">
        <v>0</v>
      </c>
      <c r="M8" s="776">
        <v>0</v>
      </c>
      <c r="N8" s="776">
        <v>0</v>
      </c>
      <c r="O8" s="776">
        <v>0</v>
      </c>
      <c r="P8" s="796">
        <v>75000</v>
      </c>
      <c r="Q8" s="776">
        <v>75000</v>
      </c>
      <c r="R8" s="776">
        <v>75000</v>
      </c>
      <c r="S8" s="776">
        <v>75000</v>
      </c>
      <c r="T8" s="776">
        <v>300000</v>
      </c>
      <c r="U8" s="776">
        <v>300000</v>
      </c>
      <c r="V8" s="776">
        <v>300000</v>
      </c>
      <c r="W8" s="776">
        <v>300000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1096</v>
      </c>
      <c r="B9" s="779" t="s">
        <v>6</v>
      </c>
      <c r="C9" s="779" t="s">
        <v>1074</v>
      </c>
      <c r="D9" s="779" t="s">
        <v>1097</v>
      </c>
      <c r="E9" s="753"/>
      <c r="F9" s="753"/>
      <c r="G9" s="753"/>
      <c r="H9" s="753"/>
      <c r="I9" s="782">
        <v>37500</v>
      </c>
      <c r="J9" s="795">
        <v>40000</v>
      </c>
      <c r="K9" s="753"/>
      <c r="L9" s="776">
        <v>37500</v>
      </c>
      <c r="M9" s="776">
        <v>37500</v>
      </c>
      <c r="N9" s="776">
        <v>37500</v>
      </c>
      <c r="O9" s="776">
        <v>37500</v>
      </c>
      <c r="P9" s="796">
        <v>40000</v>
      </c>
      <c r="Q9" s="776">
        <v>40000</v>
      </c>
      <c r="R9" s="776">
        <v>40000</v>
      </c>
      <c r="S9" s="776">
        <v>40000</v>
      </c>
      <c r="T9" s="776">
        <v>160000</v>
      </c>
      <c r="U9" s="776">
        <v>160000</v>
      </c>
      <c r="V9" s="776">
        <v>160000</v>
      </c>
      <c r="W9" s="776">
        <v>160000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1098</v>
      </c>
      <c r="B10" s="779" t="s">
        <v>6</v>
      </c>
      <c r="C10" s="779" t="s">
        <v>1074</v>
      </c>
      <c r="D10" s="779" t="s">
        <v>1099</v>
      </c>
      <c r="E10" s="753"/>
      <c r="F10" s="777"/>
      <c r="G10" s="777"/>
      <c r="H10" s="777"/>
      <c r="I10" s="782">
        <v>27500</v>
      </c>
      <c r="J10" s="795">
        <v>27500</v>
      </c>
      <c r="K10" s="777"/>
      <c r="L10" s="776">
        <v>27500</v>
      </c>
      <c r="M10" s="776">
        <v>27500</v>
      </c>
      <c r="N10" s="776">
        <v>27500</v>
      </c>
      <c r="O10" s="776">
        <v>27500</v>
      </c>
      <c r="P10" s="796">
        <v>27500</v>
      </c>
      <c r="Q10" s="776">
        <v>27500</v>
      </c>
      <c r="R10" s="776">
        <v>27500</v>
      </c>
      <c r="S10" s="776">
        <v>27500</v>
      </c>
      <c r="T10" s="776">
        <v>110000</v>
      </c>
      <c r="U10" s="776">
        <v>110000</v>
      </c>
      <c r="V10" s="776">
        <v>110000</v>
      </c>
      <c r="W10" s="776">
        <v>110000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s="30" customFormat="1">
      <c r="A11" s="779" t="s">
        <v>1100</v>
      </c>
      <c r="B11" s="797" t="s">
        <v>6</v>
      </c>
      <c r="C11" s="798" t="s">
        <v>1074</v>
      </c>
      <c r="D11" s="797" t="s">
        <v>1101</v>
      </c>
      <c r="E11" s="783"/>
      <c r="F11" s="753"/>
      <c r="G11" s="753"/>
      <c r="H11" s="753"/>
      <c r="I11" s="782">
        <v>0</v>
      </c>
      <c r="J11" s="782">
        <v>0</v>
      </c>
      <c r="K11" s="753"/>
      <c r="L11" s="776">
        <v>0</v>
      </c>
      <c r="M11" s="776">
        <v>0</v>
      </c>
      <c r="N11" s="776">
        <v>0</v>
      </c>
      <c r="O11" s="776">
        <v>0</v>
      </c>
      <c r="P11" s="776">
        <v>0</v>
      </c>
      <c r="Q11" s="776">
        <v>0</v>
      </c>
      <c r="R11" s="776">
        <v>37500</v>
      </c>
      <c r="S11" s="776">
        <v>37500</v>
      </c>
      <c r="T11" s="776">
        <v>150000</v>
      </c>
      <c r="U11" s="776">
        <v>150000</v>
      </c>
      <c r="V11" s="776">
        <v>150000</v>
      </c>
      <c r="W11" s="776">
        <v>150000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ht="14.65" customHeight="1">
      <c r="A12" s="799" t="s">
        <v>267</v>
      </c>
      <c r="B12" s="753"/>
      <c r="C12" s="753"/>
      <c r="D12" s="753"/>
      <c r="E12" s="783"/>
      <c r="F12" s="781"/>
      <c r="G12" s="781"/>
      <c r="H12" s="781"/>
      <c r="I12" s="773">
        <v>258750</v>
      </c>
      <c r="J12" s="773">
        <v>340000</v>
      </c>
      <c r="K12" s="781"/>
      <c r="L12" s="777">
        <f t="shared" ref="L12:W12" si="0">SUM(L6:L11)</f>
        <v>258750</v>
      </c>
      <c r="M12" s="777">
        <f t="shared" si="0"/>
        <v>258750</v>
      </c>
      <c r="N12" s="777">
        <f t="shared" si="0"/>
        <v>258750</v>
      </c>
      <c r="O12" s="777">
        <f t="shared" si="0"/>
        <v>258750</v>
      </c>
      <c r="P12" s="777">
        <f t="shared" si="0"/>
        <v>340000</v>
      </c>
      <c r="Q12" s="777">
        <f t="shared" si="0"/>
        <v>340000</v>
      </c>
      <c r="R12" s="777">
        <f t="shared" si="0"/>
        <v>377500</v>
      </c>
      <c r="S12" s="777">
        <f t="shared" si="0"/>
        <v>377500</v>
      </c>
      <c r="T12" s="777">
        <f t="shared" si="0"/>
        <v>1510000</v>
      </c>
      <c r="U12" s="777">
        <f t="shared" si="0"/>
        <v>1510000</v>
      </c>
      <c r="V12" s="777">
        <f t="shared" si="0"/>
        <v>1510000</v>
      </c>
      <c r="W12" s="777">
        <f t="shared" si="0"/>
        <v>1510000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800"/>
      <c r="B13" s="753"/>
      <c r="C13" s="753"/>
      <c r="D13" s="753"/>
      <c r="E13" s="777"/>
      <c r="F13" s="781"/>
      <c r="G13" s="781"/>
      <c r="H13" s="781"/>
      <c r="I13" s="777"/>
      <c r="J13" s="777"/>
      <c r="K13" s="781"/>
      <c r="L13" s="777"/>
      <c r="M13" s="777"/>
      <c r="N13" s="777"/>
      <c r="O13" s="777"/>
      <c r="P13" s="777"/>
      <c r="Q13" s="777"/>
      <c r="R13" s="777"/>
      <c r="S13" s="777"/>
      <c r="T13" s="777"/>
      <c r="U13" s="777"/>
      <c r="V13" s="777"/>
      <c r="W13" s="777"/>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ht="14.65" customHeight="1">
      <c r="A14" s="798" t="s">
        <v>1086</v>
      </c>
      <c r="B14" s="753"/>
      <c r="C14" s="753"/>
      <c r="D14" s="753"/>
      <c r="E14" s="753"/>
      <c r="F14" s="753"/>
      <c r="G14" s="753"/>
      <c r="H14" s="753"/>
      <c r="I14" s="753"/>
      <c r="J14" s="753"/>
      <c r="K14" s="753"/>
      <c r="L14" s="753"/>
      <c r="M14" s="753"/>
      <c r="N14" s="753"/>
      <c r="O14" s="753"/>
      <c r="P14" s="753"/>
      <c r="Q14" s="753"/>
      <c r="R14" s="753"/>
      <c r="S14" s="753"/>
      <c r="T14" s="753"/>
      <c r="U14" s="753"/>
      <c r="V14" s="753"/>
      <c r="W14" s="753"/>
      <c r="X14" s="753"/>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ref="A15:A20" si="1">A6</f>
        <v>ACEO Loren Hotels (CE)</v>
      </c>
      <c r="B15" s="779" t="s">
        <v>6</v>
      </c>
      <c r="C15" s="779" t="s">
        <v>1087</v>
      </c>
      <c r="D15" s="779" t="s">
        <v>1091</v>
      </c>
      <c r="E15" s="755"/>
      <c r="F15" s="753"/>
      <c r="G15" s="753"/>
      <c r="H15" s="753"/>
      <c r="I15" s="782">
        <v>250000</v>
      </c>
      <c r="J15" s="782">
        <v>0</v>
      </c>
      <c r="K15" s="753"/>
      <c r="L15" s="776">
        <v>0</v>
      </c>
      <c r="M15" s="776">
        <v>0</v>
      </c>
      <c r="N15" s="776">
        <v>0</v>
      </c>
      <c r="O15" s="776">
        <v>250000</v>
      </c>
      <c r="P15" s="776">
        <v>0</v>
      </c>
      <c r="Q15" s="776">
        <v>0</v>
      </c>
      <c r="R15" s="776">
        <v>0</v>
      </c>
      <c r="S15" s="776">
        <v>250000</v>
      </c>
      <c r="T15" s="776">
        <v>500000</v>
      </c>
      <c r="U15" s="776">
        <v>500000</v>
      </c>
      <c r="V15" s="776">
        <v>500000</v>
      </c>
      <c r="W15" s="776">
        <v>500000</v>
      </c>
      <c r="X15" s="755"/>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VP Operations (WS)</v>
      </c>
      <c r="B16" s="779" t="s">
        <v>6</v>
      </c>
      <c r="C16" s="779" t="s">
        <v>1087</v>
      </c>
      <c r="D16" s="779" t="s">
        <v>1093</v>
      </c>
      <c r="E16" s="777"/>
      <c r="F16" s="753"/>
      <c r="G16" s="753"/>
      <c r="H16" s="753"/>
      <c r="I16" s="782">
        <v>115000</v>
      </c>
      <c r="J16" s="782">
        <v>0</v>
      </c>
      <c r="K16" s="753"/>
      <c r="L16" s="776">
        <v>0</v>
      </c>
      <c r="M16" s="776">
        <v>0</v>
      </c>
      <c r="N16" s="776">
        <v>0</v>
      </c>
      <c r="O16" s="776">
        <v>115000</v>
      </c>
      <c r="P16" s="776">
        <v>0</v>
      </c>
      <c r="Q16" s="776">
        <v>0</v>
      </c>
      <c r="R16" s="776">
        <v>0</v>
      </c>
      <c r="S16" s="776">
        <v>75000</v>
      </c>
      <c r="T16" s="776">
        <v>75000</v>
      </c>
      <c r="U16" s="776">
        <v>75000</v>
      </c>
      <c r="V16" s="776">
        <v>75000</v>
      </c>
      <c r="W16" s="776">
        <v>75000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seniorS&amp;Mexe (CL)</v>
      </c>
      <c r="B17" s="779" t="s">
        <v>6</v>
      </c>
      <c r="C17" s="779" t="s">
        <v>1087</v>
      </c>
      <c r="D17" s="779" t="s">
        <v>1095</v>
      </c>
      <c r="E17" s="777"/>
      <c r="F17" s="783"/>
      <c r="G17" s="783"/>
      <c r="H17" s="783"/>
      <c r="I17" s="782">
        <v>20000</v>
      </c>
      <c r="J17" s="782">
        <v>0</v>
      </c>
      <c r="K17" s="783"/>
      <c r="L17" s="776">
        <v>0</v>
      </c>
      <c r="M17" s="776">
        <v>0</v>
      </c>
      <c r="N17" s="776">
        <v>0</v>
      </c>
      <c r="O17" s="776">
        <v>20000</v>
      </c>
      <c r="P17" s="776">
        <v>0</v>
      </c>
      <c r="Q17" s="776">
        <v>0</v>
      </c>
      <c r="R17" s="776">
        <v>0</v>
      </c>
      <c r="S17" s="776">
        <v>75000</v>
      </c>
      <c r="T17" s="776">
        <v>75000</v>
      </c>
      <c r="U17" s="776">
        <v>75000</v>
      </c>
      <c r="V17" s="776">
        <v>75000</v>
      </c>
      <c r="W17" s="776">
        <v>75000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Senior Associate (RF)</v>
      </c>
      <c r="B18" s="779" t="s">
        <v>6</v>
      </c>
      <c r="C18" s="779" t="s">
        <v>1087</v>
      </c>
      <c r="D18" s="779" t="s">
        <v>1097</v>
      </c>
      <c r="E18" s="777"/>
      <c r="F18" s="783"/>
      <c r="G18" s="783"/>
      <c r="H18" s="783"/>
      <c r="I18" s="782">
        <v>50000</v>
      </c>
      <c r="J18" s="782">
        <v>0</v>
      </c>
      <c r="K18" s="783"/>
      <c r="L18" s="776">
        <v>0</v>
      </c>
      <c r="M18" s="776">
        <v>0</v>
      </c>
      <c r="N18" s="776">
        <v>0</v>
      </c>
      <c r="O18" s="776">
        <v>50000</v>
      </c>
      <c r="P18" s="776">
        <v>0</v>
      </c>
      <c r="Q18" s="776">
        <v>0</v>
      </c>
      <c r="R18" s="776">
        <v>0</v>
      </c>
      <c r="S18" s="776">
        <v>50000</v>
      </c>
      <c r="T18" s="776">
        <v>50000</v>
      </c>
      <c r="U18" s="776">
        <v>50000</v>
      </c>
      <c r="V18" s="776">
        <v>50000</v>
      </c>
      <c r="W18" s="776">
        <v>50000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associate (MT)</v>
      </c>
      <c r="B19" s="779" t="s">
        <v>6</v>
      </c>
      <c r="C19" s="779" t="s">
        <v>1087</v>
      </c>
      <c r="D19" s="779" t="s">
        <v>1099</v>
      </c>
      <c r="E19" s="777"/>
      <c r="F19" s="777"/>
      <c r="G19" s="777"/>
      <c r="H19" s="777"/>
      <c r="I19" s="782">
        <v>20000</v>
      </c>
      <c r="J19" s="782">
        <v>0</v>
      </c>
      <c r="K19" s="777"/>
      <c r="L19" s="776">
        <v>0</v>
      </c>
      <c r="M19" s="776">
        <v>0</v>
      </c>
      <c r="N19" s="776">
        <v>0</v>
      </c>
      <c r="O19" s="776">
        <v>20000</v>
      </c>
      <c r="P19" s="776">
        <v>0</v>
      </c>
      <c r="Q19" s="776">
        <v>0</v>
      </c>
      <c r="R19" s="776">
        <v>0</v>
      </c>
      <c r="S19" s="776">
        <v>40000</v>
      </c>
      <c r="T19" s="776">
        <v>40000</v>
      </c>
      <c r="U19" s="776">
        <v>40000</v>
      </c>
      <c r="V19" s="776">
        <v>40000</v>
      </c>
      <c r="W19" s="776">
        <v>40000</v>
      </c>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53" t="str">
        <f t="shared" si="1"/>
        <v>project manager</v>
      </c>
      <c r="B20" s="779" t="s">
        <v>6</v>
      </c>
      <c r="C20" s="779" t="s">
        <v>1087</v>
      </c>
      <c r="D20" s="779" t="s">
        <v>1101</v>
      </c>
      <c r="E20" s="777"/>
      <c r="F20" s="753"/>
      <c r="G20" s="753"/>
      <c r="H20" s="753"/>
      <c r="I20" s="782">
        <v>0</v>
      </c>
      <c r="J20" s="782">
        <v>0</v>
      </c>
      <c r="K20" s="753"/>
      <c r="L20" s="776">
        <v>0</v>
      </c>
      <c r="M20" s="776">
        <v>0</v>
      </c>
      <c r="N20" s="776">
        <v>0</v>
      </c>
      <c r="O20" s="776">
        <v>0</v>
      </c>
      <c r="P20" s="776">
        <v>0</v>
      </c>
      <c r="Q20" s="776">
        <v>0</v>
      </c>
      <c r="R20" s="776">
        <v>0</v>
      </c>
      <c r="S20" s="776">
        <v>5000</v>
      </c>
      <c r="T20" s="776">
        <v>10000</v>
      </c>
      <c r="U20" s="776">
        <v>10000</v>
      </c>
      <c r="V20" s="776">
        <v>10000</v>
      </c>
      <c r="W20" s="776">
        <v>10000</v>
      </c>
      <c r="X20" s="777"/>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ht="14.65" customHeight="1">
      <c r="A21" s="799" t="s">
        <v>267</v>
      </c>
      <c r="B21" s="753"/>
      <c r="C21" s="753"/>
      <c r="D21" s="753"/>
      <c r="E21" s="783"/>
      <c r="F21" s="755"/>
      <c r="G21" s="755"/>
      <c r="H21" s="755"/>
      <c r="I21" s="782">
        <v>455000</v>
      </c>
      <c r="J21" s="782">
        <v>0</v>
      </c>
      <c r="K21" s="755"/>
      <c r="L21" s="772">
        <f t="shared" ref="L21:W21" si="2">SUM(L15:L20)</f>
        <v>0</v>
      </c>
      <c r="M21" s="772">
        <f t="shared" si="2"/>
        <v>0</v>
      </c>
      <c r="N21" s="772">
        <f t="shared" si="2"/>
        <v>0</v>
      </c>
      <c r="O21" s="772">
        <f t="shared" si="2"/>
        <v>455000</v>
      </c>
      <c r="P21" s="772">
        <f t="shared" si="2"/>
        <v>0</v>
      </c>
      <c r="Q21" s="772">
        <f t="shared" si="2"/>
        <v>0</v>
      </c>
      <c r="R21" s="772">
        <f t="shared" si="2"/>
        <v>0</v>
      </c>
      <c r="S21" s="772">
        <f t="shared" si="2"/>
        <v>495000</v>
      </c>
      <c r="T21" s="772">
        <f t="shared" si="2"/>
        <v>750000</v>
      </c>
      <c r="U21" s="772">
        <f t="shared" si="2"/>
        <v>750000</v>
      </c>
      <c r="V21" s="772">
        <f t="shared" si="2"/>
        <v>750000</v>
      </c>
      <c r="W21" s="772">
        <f t="shared" si="2"/>
        <v>750000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800"/>
      <c r="B22" s="753"/>
      <c r="C22" s="753"/>
      <c r="D22" s="753"/>
      <c r="E22" s="777"/>
      <c r="F22" s="777"/>
      <c r="G22" s="777"/>
      <c r="H22" s="777"/>
      <c r="I22" s="777"/>
      <c r="J22" s="777"/>
      <c r="K22" s="777"/>
      <c r="L22" s="777"/>
      <c r="M22" s="777"/>
      <c r="N22" s="777"/>
      <c r="O22" s="777"/>
      <c r="P22" s="777"/>
      <c r="Q22" s="777"/>
      <c r="R22" s="777"/>
      <c r="S22" s="777"/>
      <c r="T22" s="777"/>
      <c r="U22" s="777"/>
      <c r="V22" s="777"/>
      <c r="W22" s="777"/>
      <c r="X22" s="785"/>
      <c r="Y22" s="794"/>
      <c r="Z22" s="794"/>
      <c r="AA22" s="753"/>
      <c r="AB22" s="753"/>
      <c r="AC22" s="753"/>
      <c r="AD22" s="753"/>
      <c r="AE22" s="753"/>
      <c r="AF22" s="753"/>
      <c r="AG22" s="753"/>
      <c r="AH22" s="753"/>
      <c r="AI22" s="753"/>
      <c r="AJ22" s="801"/>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ht="14.65" customHeight="1">
      <c r="A23" s="798" t="s">
        <v>1102</v>
      </c>
      <c r="B23" s="753"/>
      <c r="C23" s="753"/>
      <c r="D23" s="753"/>
      <c r="E23" s="753"/>
      <c r="F23" s="777"/>
      <c r="G23" s="777"/>
      <c r="H23" s="777"/>
      <c r="I23" s="753"/>
      <c r="J23" s="753"/>
      <c r="K23" s="777"/>
      <c r="L23" s="753"/>
      <c r="M23" s="753"/>
      <c r="N23" s="753"/>
      <c r="O23" s="753"/>
      <c r="P23" s="753"/>
      <c r="Q23" s="753"/>
      <c r="R23" s="753"/>
      <c r="S23" s="753"/>
      <c r="T23" s="753"/>
      <c r="U23" s="753"/>
      <c r="V23" s="753"/>
      <c r="W23" s="753"/>
      <c r="X23" s="753"/>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ref="A24:A29" si="3">A15</f>
        <v>ACEO Loren Hotels (CE)</v>
      </c>
      <c r="B24" s="779" t="s">
        <v>826</v>
      </c>
      <c r="C24" s="779" t="s">
        <v>1088</v>
      </c>
      <c r="D24" s="779" t="s">
        <v>1091</v>
      </c>
      <c r="E24" s="791"/>
      <c r="F24" s="777"/>
      <c r="G24" s="777"/>
      <c r="H24" s="777"/>
      <c r="I24" s="802">
        <v>403750</v>
      </c>
      <c r="J24" s="802">
        <v>144000</v>
      </c>
      <c r="K24" s="777"/>
      <c r="L24" s="790">
        <f>L6*(1+'.c12_inputs.hr'!$E$8)+(L15*(1+'.c12_inputs.hr'!$E$9))</f>
        <v>144000</v>
      </c>
      <c r="M24" s="790">
        <f>M6*(1+'.c12_inputs.hr'!$E$8)+(M15*(1+'.c12_inputs.hr'!$E$9))</f>
        <v>144000</v>
      </c>
      <c r="N24" s="790">
        <f>N6*(1+'.c12_inputs.hr'!$E$8)+(N15*(1+'.c12_inputs.hr'!$E$9))</f>
        <v>144000</v>
      </c>
      <c r="O24" s="790">
        <f>O6*(1+'.c12_inputs.hr'!$E$8)+(O15*(1+'.c12_inputs.hr'!$E$9))</f>
        <v>403750</v>
      </c>
      <c r="P24" s="790">
        <f>P6*(1+'.c12_inputs.hr'!$E$8)+(P15*(1+'.c12_inputs.hr'!$E$9))</f>
        <v>144000</v>
      </c>
      <c r="Q24" s="790">
        <f>Q6*(1+'.c12_inputs.hr'!$E$8)+(Q15*(1+'.c12_inputs.hr'!$E$9))</f>
        <v>144000</v>
      </c>
      <c r="R24" s="790">
        <f>R6*(1+'.c12_inputs.hr'!$E$8)+(R15*(1+'.c12_inputs.hr'!$E$9))</f>
        <v>144000</v>
      </c>
      <c r="S24" s="790">
        <f>S6*(1+'.c12_inputs.hr'!$E$8)+(S15*(1+'.c12_inputs.hr'!$E$9))</f>
        <v>403750</v>
      </c>
      <c r="T24" s="790">
        <f>T6*(1+'.c12_inputs.hr'!$E$8)+(T15*(1+'.c12_inputs.hr'!$E$9))</f>
        <v>1095500</v>
      </c>
      <c r="U24" s="790">
        <f>U6*(1+'.c12_inputs.hr'!$E$8)+(U15*(1+'.c12_inputs.hr'!$E$9))</f>
        <v>1095500</v>
      </c>
      <c r="V24" s="790">
        <f>V6*(1+'.c12_inputs.hr'!$E$8)+(V15*(1+'.c12_inputs.hr'!$E$9))</f>
        <v>1095500</v>
      </c>
      <c r="W24" s="790">
        <f>W6*(1+'.c12_inputs.hr'!$E$8)+(W15*(1+'.c12_inputs.hr'!$E$9))</f>
        <v>1095500</v>
      </c>
      <c r="X24" s="790"/>
      <c r="Y24" s="790"/>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VP Operations (WS)</v>
      </c>
      <c r="B25" s="779" t="s">
        <v>826</v>
      </c>
      <c r="C25" s="779" t="s">
        <v>1088</v>
      </c>
      <c r="D25" s="779" t="s">
        <v>1093</v>
      </c>
      <c r="E25" s="791"/>
      <c r="F25" s="777"/>
      <c r="G25" s="777"/>
      <c r="H25" s="777"/>
      <c r="I25" s="802">
        <v>198685</v>
      </c>
      <c r="J25" s="802">
        <v>83520</v>
      </c>
      <c r="K25" s="777"/>
      <c r="L25" s="790">
        <f>L7*(1+'.c12_inputs.hr'!$E$8)+(L16*(1+'.c12_inputs.hr'!$E$9))</f>
        <v>79200</v>
      </c>
      <c r="M25" s="790">
        <f>M7*(1+'.c12_inputs.hr'!$E$8)+(M16*(1+'.c12_inputs.hr'!$E$9))</f>
        <v>79200</v>
      </c>
      <c r="N25" s="790">
        <f>N7*(1+'.c12_inputs.hr'!$E$8)+(N16*(1+'.c12_inputs.hr'!$E$9))</f>
        <v>79200</v>
      </c>
      <c r="O25" s="790">
        <f>O7*(1+'.c12_inputs.hr'!$E$8)+(O16*(1+'.c12_inputs.hr'!$E$9))</f>
        <v>198685</v>
      </c>
      <c r="P25" s="790">
        <f>P7*(1+'.c12_inputs.hr'!$E$8)+(P16*(1+'.c12_inputs.hr'!$E$9))</f>
        <v>83520</v>
      </c>
      <c r="Q25" s="790">
        <f>Q7*(1+'.c12_inputs.hr'!$E$8)+(Q16*(1+'.c12_inputs.hr'!$E$9))</f>
        <v>83520</v>
      </c>
      <c r="R25" s="790">
        <f>R7*(1+'.c12_inputs.hr'!$E$8)+(R16*(1+'.c12_inputs.hr'!$E$9))</f>
        <v>83520</v>
      </c>
      <c r="S25" s="790">
        <f>S7*(1+'.c12_inputs.hr'!$E$8)+(S16*(1+'.c12_inputs.hr'!$E$9))</f>
        <v>161445</v>
      </c>
      <c r="T25" s="790">
        <f>T7*(1+'.c12_inputs.hr'!$E$8)+(T16*(1+'.c12_inputs.hr'!$E$9))</f>
        <v>412005</v>
      </c>
      <c r="U25" s="790">
        <f>U7*(1+'.c12_inputs.hr'!$E$8)+(U16*(1+'.c12_inputs.hr'!$E$9))</f>
        <v>412005</v>
      </c>
      <c r="V25" s="790">
        <f>V7*(1+'.c12_inputs.hr'!$E$8)+(V16*(1+'.c12_inputs.hr'!$E$9))</f>
        <v>412005</v>
      </c>
      <c r="W25" s="790">
        <f>W7*(1+'.c12_inputs.hr'!$E$8)+(W16*(1+'.c12_inputs.hr'!$E$9))</f>
        <v>412005</v>
      </c>
      <c r="X25" s="790"/>
      <c r="Y25" s="790"/>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seniorS&amp;Mexe (CL)</v>
      </c>
      <c r="B26" s="779" t="s">
        <v>826</v>
      </c>
      <c r="C26" s="779" t="s">
        <v>1088</v>
      </c>
      <c r="D26" s="779" t="s">
        <v>1095</v>
      </c>
      <c r="E26" s="791"/>
      <c r="F26" s="777"/>
      <c r="G26" s="777"/>
      <c r="H26" s="777"/>
      <c r="I26" s="802">
        <v>20780</v>
      </c>
      <c r="J26" s="802">
        <v>86400</v>
      </c>
      <c r="K26" s="777"/>
      <c r="L26" s="790">
        <f>L8*(1+'.c12_inputs.hr'!$E$8)+(L17*(1+'.c12_inputs.hr'!$E$9))</f>
        <v>0</v>
      </c>
      <c r="M26" s="790">
        <f>M8*(1+'.c12_inputs.hr'!$E$8)+(M17*(1+'.c12_inputs.hr'!$E$9))</f>
        <v>0</v>
      </c>
      <c r="N26" s="790">
        <f>N8*(1+'.c12_inputs.hr'!$E$8)+(N17*(1+'.c12_inputs.hr'!$E$9))</f>
        <v>0</v>
      </c>
      <c r="O26" s="790">
        <f>O8*(1+'.c12_inputs.hr'!$E$8)+(O17*(1+'.c12_inputs.hr'!$E$9))</f>
        <v>20780</v>
      </c>
      <c r="P26" s="790">
        <f>P8*(1+'.c12_inputs.hr'!$E$8)+(P17*(1+'.c12_inputs.hr'!$E$9))</f>
        <v>86400</v>
      </c>
      <c r="Q26" s="790">
        <f>Q8*(1+'.c12_inputs.hr'!$E$8)+(Q17*(1+'.c12_inputs.hr'!$E$9))</f>
        <v>86400</v>
      </c>
      <c r="R26" s="790">
        <f>R8*(1+'.c12_inputs.hr'!$E$8)+(R17*(1+'.c12_inputs.hr'!$E$9))</f>
        <v>86400</v>
      </c>
      <c r="S26" s="790">
        <f>S8*(1+'.c12_inputs.hr'!$E$8)+(S17*(1+'.c12_inputs.hr'!$E$9))</f>
        <v>164325</v>
      </c>
      <c r="T26" s="790">
        <f>T8*(1+'.c12_inputs.hr'!$E$8)+(T17*(1+'.c12_inputs.hr'!$E$9))</f>
        <v>423525</v>
      </c>
      <c r="U26" s="790">
        <f>U8*(1+'.c12_inputs.hr'!$E$8)+(U17*(1+'.c12_inputs.hr'!$E$9))</f>
        <v>423525</v>
      </c>
      <c r="V26" s="790">
        <f>V8*(1+'.c12_inputs.hr'!$E$8)+(V17*(1+'.c12_inputs.hr'!$E$9))</f>
        <v>423525</v>
      </c>
      <c r="W26" s="790">
        <f>W8*(1+'.c12_inputs.hr'!$E$8)+(W17*(1+'.c12_inputs.hr'!$E$9))</f>
        <v>423525</v>
      </c>
      <c r="X26" s="790"/>
      <c r="Y26" s="790"/>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Senior Associate (RF)</v>
      </c>
      <c r="B27" s="779" t="s">
        <v>826</v>
      </c>
      <c r="C27" s="779" t="s">
        <v>1088</v>
      </c>
      <c r="D27" s="779" t="s">
        <v>1097</v>
      </c>
      <c r="E27" s="791"/>
      <c r="F27" s="777"/>
      <c r="G27" s="777"/>
      <c r="H27" s="777"/>
      <c r="I27" s="802">
        <v>95150</v>
      </c>
      <c r="J27" s="802">
        <v>46080</v>
      </c>
      <c r="K27" s="777"/>
      <c r="L27" s="790">
        <f>L9*(1+'.c12_inputs.hr'!$E$8)+(L18*(1+'.c12_inputs.hr'!$E$9))</f>
        <v>43200</v>
      </c>
      <c r="M27" s="790">
        <f>M9*(1+'.c12_inputs.hr'!$E$8)+(M18*(1+'.c12_inputs.hr'!$E$9))</f>
        <v>43200</v>
      </c>
      <c r="N27" s="790">
        <f>N9*(1+'.c12_inputs.hr'!$E$8)+(N18*(1+'.c12_inputs.hr'!$E$9))</f>
        <v>43200</v>
      </c>
      <c r="O27" s="790">
        <f>O9*(1+'.c12_inputs.hr'!$E$8)+(O18*(1+'.c12_inputs.hr'!$E$9))</f>
        <v>95150</v>
      </c>
      <c r="P27" s="790">
        <f>P9*(1+'.c12_inputs.hr'!$E$8)+(P18*(1+'.c12_inputs.hr'!$E$9))</f>
        <v>46080</v>
      </c>
      <c r="Q27" s="790">
        <f>Q9*(1+'.c12_inputs.hr'!$E$8)+(Q18*(1+'.c12_inputs.hr'!$E$9))</f>
        <v>46080</v>
      </c>
      <c r="R27" s="790">
        <f>R9*(1+'.c12_inputs.hr'!$E$8)+(R18*(1+'.c12_inputs.hr'!$E$9))</f>
        <v>46080</v>
      </c>
      <c r="S27" s="790">
        <f>S9*(1+'.c12_inputs.hr'!$E$8)+(S18*(1+'.c12_inputs.hr'!$E$9))</f>
        <v>98030</v>
      </c>
      <c r="T27" s="790">
        <f>T9*(1+'.c12_inputs.hr'!$E$8)+(T18*(1+'.c12_inputs.hr'!$E$9))</f>
        <v>236270</v>
      </c>
      <c r="U27" s="790">
        <f>U9*(1+'.c12_inputs.hr'!$E$8)+(U18*(1+'.c12_inputs.hr'!$E$9))</f>
        <v>236270</v>
      </c>
      <c r="V27" s="790">
        <f>V9*(1+'.c12_inputs.hr'!$E$8)+(V18*(1+'.c12_inputs.hr'!$E$9))</f>
        <v>236270</v>
      </c>
      <c r="W27" s="790">
        <f>W9*(1+'.c12_inputs.hr'!$E$8)+(W18*(1+'.c12_inputs.hr'!$E$9))</f>
        <v>236270</v>
      </c>
      <c r="X27" s="790"/>
      <c r="Y27" s="790"/>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associate (MT)</v>
      </c>
      <c r="B28" s="779" t="s">
        <v>826</v>
      </c>
      <c r="C28" s="779" t="s">
        <v>1088</v>
      </c>
      <c r="D28" s="779" t="s">
        <v>1099</v>
      </c>
      <c r="E28" s="791"/>
      <c r="F28" s="777"/>
      <c r="G28" s="777"/>
      <c r="H28" s="777"/>
      <c r="I28" s="802">
        <v>52460</v>
      </c>
      <c r="J28" s="802">
        <v>31680</v>
      </c>
      <c r="K28" s="777"/>
      <c r="L28" s="790">
        <f>L10*(1+'.c12_inputs.hr'!$E$8)+(L19*(1+'.c12_inputs.hr'!$E$9))</f>
        <v>31679.999999999996</v>
      </c>
      <c r="M28" s="790">
        <f>M10*(1+'.c12_inputs.hr'!$E$8)+(M19*(1+'.c12_inputs.hr'!$E$9))</f>
        <v>31679.999999999996</v>
      </c>
      <c r="N28" s="790">
        <f>N10*(1+'.c12_inputs.hr'!$E$8)+(N19*(1+'.c12_inputs.hr'!$E$9))</f>
        <v>31679.999999999996</v>
      </c>
      <c r="O28" s="790">
        <f>O10*(1+'.c12_inputs.hr'!$E$8)+(O19*(1+'.c12_inputs.hr'!$E$9))</f>
        <v>52460</v>
      </c>
      <c r="P28" s="790">
        <f>P10*(1+'.c12_inputs.hr'!$E$8)+(P19*(1+'.c12_inputs.hr'!$E$9))</f>
        <v>31679.999999999996</v>
      </c>
      <c r="Q28" s="790">
        <f>Q10*(1+'.c12_inputs.hr'!$E$8)+(Q19*(1+'.c12_inputs.hr'!$E$9))</f>
        <v>31679.999999999996</v>
      </c>
      <c r="R28" s="790">
        <f>R10*(1+'.c12_inputs.hr'!$E$8)+(R19*(1+'.c12_inputs.hr'!$E$9))</f>
        <v>31679.999999999996</v>
      </c>
      <c r="S28" s="790">
        <f>S10*(1+'.c12_inputs.hr'!$E$8)+(S19*(1+'.c12_inputs.hr'!$E$9))</f>
        <v>73240</v>
      </c>
      <c r="T28" s="790">
        <f>T10*(1+'.c12_inputs.hr'!$E$8)+(T19*(1+'.c12_inputs.hr'!$E$9))</f>
        <v>168280</v>
      </c>
      <c r="U28" s="790">
        <f>U10*(1+'.c12_inputs.hr'!$E$8)+(U19*(1+'.c12_inputs.hr'!$E$9))</f>
        <v>168280</v>
      </c>
      <c r="V28" s="790">
        <f>V10*(1+'.c12_inputs.hr'!$E$8)+(V19*(1+'.c12_inputs.hr'!$E$9))</f>
        <v>168280</v>
      </c>
      <c r="W28" s="790">
        <f>W10*(1+'.c12_inputs.hr'!$E$8)+(W19*(1+'.c12_inputs.hr'!$E$9))</f>
        <v>168280</v>
      </c>
      <c r="X28" s="790"/>
      <c r="Y28" s="790"/>
      <c r="Z28" s="753"/>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c r="A29" s="753" t="str">
        <f t="shared" si="3"/>
        <v>project manager</v>
      </c>
      <c r="B29" s="779" t="s">
        <v>826</v>
      </c>
      <c r="C29" s="779" t="s">
        <v>1088</v>
      </c>
      <c r="D29" s="779" t="s">
        <v>1101</v>
      </c>
      <c r="E29" s="791"/>
      <c r="F29" s="777"/>
      <c r="G29" s="777"/>
      <c r="H29" s="777"/>
      <c r="I29" s="802">
        <v>0</v>
      </c>
      <c r="J29" s="802">
        <v>0</v>
      </c>
      <c r="K29" s="777"/>
      <c r="L29" s="790">
        <f>L11*(1+'.c12_inputs.hr'!$E$8)+(L20*(1+'.c12_inputs.hr'!$E$9))</f>
        <v>0</v>
      </c>
      <c r="M29" s="790">
        <f>M11*(1+'.c12_inputs.hr'!$E$8)+(M20*(1+'.c12_inputs.hr'!$E$9))</f>
        <v>0</v>
      </c>
      <c r="N29" s="790">
        <f>N11*(1+'.c12_inputs.hr'!$E$8)+(N20*(1+'.c12_inputs.hr'!$E$9))</f>
        <v>0</v>
      </c>
      <c r="O29" s="790">
        <f>O11*(1+'.c12_inputs.hr'!$E$8)+(O20*(1+'.c12_inputs.hr'!$E$9))</f>
        <v>0</v>
      </c>
      <c r="P29" s="790">
        <f>P11*(1+'.c12_inputs.hr'!$E$8)+(P20*(1+'.c12_inputs.hr'!$E$9))</f>
        <v>0</v>
      </c>
      <c r="Q29" s="790">
        <f>Q11*(1+'.c12_inputs.hr'!$E$8)+(Q20*(1+'.c12_inputs.hr'!$E$9))</f>
        <v>0</v>
      </c>
      <c r="R29" s="790">
        <f>R11*(1+'.c12_inputs.hr'!$E$8)+(R20*(1+'.c12_inputs.hr'!$E$9))</f>
        <v>43200</v>
      </c>
      <c r="S29" s="790">
        <f>S11*(1+'.c12_inputs.hr'!$E$8)+(S20*(1+'.c12_inputs.hr'!$E$9))</f>
        <v>48395</v>
      </c>
      <c r="T29" s="790">
        <f>T11*(1+'.c12_inputs.hr'!$E$8)+(T20*(1+'.c12_inputs.hr'!$E$9))</f>
        <v>183190</v>
      </c>
      <c r="U29" s="790">
        <f>U11*(1+'.c12_inputs.hr'!$E$8)+(U20*(1+'.c12_inputs.hr'!$E$9))</f>
        <v>183190</v>
      </c>
      <c r="V29" s="790">
        <f>V11*(1+'.c12_inputs.hr'!$E$8)+(V20*(1+'.c12_inputs.hr'!$E$9))</f>
        <v>183190</v>
      </c>
      <c r="W29" s="790">
        <f>W11*(1+'.c12_inputs.hr'!$E$8)+(W20*(1+'.c12_inputs.hr'!$E$9))</f>
        <v>183190</v>
      </c>
      <c r="X29" s="790"/>
      <c r="Y29" s="790"/>
      <c r="Z29" s="753"/>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425" customFormat="1" ht="14.65" customHeight="1">
      <c r="A30" s="753"/>
      <c r="B30" s="753"/>
      <c r="C30" s="753"/>
      <c r="D30" s="753"/>
      <c r="E30" s="791"/>
      <c r="F30" s="777"/>
      <c r="G30" s="777"/>
      <c r="H30" s="777"/>
      <c r="I30" s="790"/>
      <c r="J30" s="790"/>
      <c r="K30" s="777"/>
      <c r="L30" s="790"/>
      <c r="M30" s="790"/>
      <c r="N30" s="790"/>
      <c r="O30" s="790"/>
      <c r="P30" s="790"/>
      <c r="Q30" s="790"/>
      <c r="R30" s="790"/>
      <c r="S30" s="790"/>
      <c r="T30" s="790"/>
      <c r="U30" s="790"/>
      <c r="V30" s="790"/>
      <c r="W30" s="790"/>
      <c r="X30" s="790"/>
      <c r="Y30" s="790"/>
      <c r="Z30" s="753"/>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994</v>
      </c>
      <c r="B31" s="779" t="s">
        <v>808</v>
      </c>
      <c r="C31" s="779" t="s">
        <v>995</v>
      </c>
      <c r="D31" s="753"/>
      <c r="E31" s="790"/>
      <c r="F31" s="777"/>
      <c r="G31" s="777"/>
      <c r="H31" s="777"/>
      <c r="I31" s="802">
        <v>770825</v>
      </c>
      <c r="J31" s="802">
        <v>391680</v>
      </c>
      <c r="K31" s="777"/>
      <c r="L31" s="803">
        <f t="shared" ref="L31:W31" si="4">SUM(L24:L29)</f>
        <v>298080</v>
      </c>
      <c r="M31" s="803">
        <f t="shared" si="4"/>
        <v>298080</v>
      </c>
      <c r="N31" s="803">
        <f t="shared" si="4"/>
        <v>298080</v>
      </c>
      <c r="O31" s="803">
        <f t="shared" si="4"/>
        <v>770825</v>
      </c>
      <c r="P31" s="803">
        <f t="shared" si="4"/>
        <v>391680</v>
      </c>
      <c r="Q31" s="803">
        <f t="shared" si="4"/>
        <v>391680</v>
      </c>
      <c r="R31" s="803">
        <f t="shared" si="4"/>
        <v>434880</v>
      </c>
      <c r="S31" s="803">
        <f t="shared" si="4"/>
        <v>949185</v>
      </c>
      <c r="T31" s="803">
        <f t="shared" si="4"/>
        <v>2518770</v>
      </c>
      <c r="U31" s="803">
        <f t="shared" si="4"/>
        <v>2518770</v>
      </c>
      <c r="V31" s="803">
        <f t="shared" si="4"/>
        <v>2518770</v>
      </c>
      <c r="W31" s="803">
        <f t="shared" si="4"/>
        <v>2518770</v>
      </c>
      <c r="X31" s="790"/>
      <c r="Y31" s="794"/>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996</v>
      </c>
      <c r="B32" s="779" t="s">
        <v>808</v>
      </c>
      <c r="C32" s="779" t="s">
        <v>997</v>
      </c>
      <c r="D32" s="753"/>
      <c r="E32" s="785"/>
      <c r="F32" s="777"/>
      <c r="G32" s="777"/>
      <c r="H32" s="777"/>
      <c r="I32" s="787">
        <v>367075</v>
      </c>
      <c r="J32" s="787">
        <v>247680</v>
      </c>
      <c r="K32" s="777"/>
      <c r="L32" s="788">
        <f>SUMPRODUCT('.c12_alloc'!$H$15:$H$20,'.c12_hm_hr'!L$24:L$29)</f>
        <v>154080</v>
      </c>
      <c r="M32" s="788">
        <f>SUMPRODUCT('.c12_alloc'!$H$15:$H$20,'.c12_hm_hr'!M$24:M$29)</f>
        <v>154080</v>
      </c>
      <c r="N32" s="788">
        <f>SUMPRODUCT('.c12_alloc'!$H$15:$H$20,'.c12_hm_hr'!N$24:N$29)</f>
        <v>154080</v>
      </c>
      <c r="O32" s="788">
        <f>SUMPRODUCT('.c12_alloc'!$H$15:$H$20,'.c12_hm_hr'!O$24:O$29)</f>
        <v>367075</v>
      </c>
      <c r="P32" s="788">
        <f>SUMPRODUCT('.c12_alloc'!$H$15:$H$20,'.c12_hm_hr'!P$24:P$29)</f>
        <v>247680</v>
      </c>
      <c r="Q32" s="788">
        <f>SUMPRODUCT('.c12_alloc'!$H$15:$H$20,'.c12_hm_hr'!Q$24:Q$29)</f>
        <v>247680</v>
      </c>
      <c r="R32" s="788">
        <f>SUMPRODUCT('.c12_alloc'!$H$15:$H$20,'.c12_hm_hr'!R$24:R$29)</f>
        <v>290880</v>
      </c>
      <c r="S32" s="788">
        <f>SUMPRODUCT('.c12_alloc'!$H$15:$H$20,'.c12_hm_hr'!S$24:S$29)</f>
        <v>545435</v>
      </c>
      <c r="T32" s="788">
        <f>SUMPRODUCT('.c12_alloc'!$H$15:$H$20,'.c12_hm_hr'!T$24:T$29)</f>
        <v>1423270</v>
      </c>
      <c r="U32" s="788">
        <f>SUMPRODUCT('.c12_alloc'!$H$15:$H$20,'.c12_hm_hr'!U$24:U$29)</f>
        <v>1423270</v>
      </c>
      <c r="V32" s="788">
        <f>SUMPRODUCT('.c12_alloc'!$H$15:$H$20,'.c12_hm_hr'!V$24:V$29)</f>
        <v>1423270</v>
      </c>
      <c r="W32" s="788">
        <f>SUMPRODUCT('.c12_alloc'!$H$15:$H$20,'.c12_hm_hr'!W$24:W$29)</f>
        <v>1423270</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998</v>
      </c>
      <c r="B33" s="779" t="s">
        <v>808</v>
      </c>
      <c r="C33" s="779" t="s">
        <v>999</v>
      </c>
      <c r="D33" s="753"/>
      <c r="E33" s="785"/>
      <c r="F33" s="783"/>
      <c r="G33" s="783"/>
      <c r="H33" s="783"/>
      <c r="I33" s="787">
        <v>403750</v>
      </c>
      <c r="J33" s="787">
        <v>144000</v>
      </c>
      <c r="K33" s="783"/>
      <c r="L33" s="788">
        <f>SUMPRODUCT('.c12_alloc'!$G$15:$G$20,'.c12_hm_hr'!L$24:L$29)</f>
        <v>144000</v>
      </c>
      <c r="M33" s="788">
        <f>SUMPRODUCT('.c12_alloc'!$G$15:$G$20,'.c12_hm_hr'!M$24:M$29)</f>
        <v>144000</v>
      </c>
      <c r="N33" s="788">
        <f>SUMPRODUCT('.c12_alloc'!$G$15:$G$20,'.c12_hm_hr'!N$24:N$29)</f>
        <v>144000</v>
      </c>
      <c r="O33" s="788">
        <f>SUMPRODUCT('.c12_alloc'!$G$15:$G$20,'.c12_hm_hr'!O$24:O$29)</f>
        <v>403750</v>
      </c>
      <c r="P33" s="788">
        <f>SUMPRODUCT('.c12_alloc'!$G$15:$G$20,'.c12_hm_hr'!P$24:P$29)</f>
        <v>144000</v>
      </c>
      <c r="Q33" s="788">
        <f>SUMPRODUCT('.c12_alloc'!$G$15:$G$20,'.c12_hm_hr'!Q$24:Q$29)</f>
        <v>144000</v>
      </c>
      <c r="R33" s="788">
        <f>SUMPRODUCT('.c12_alloc'!$G$15:$G$20,'.c12_hm_hr'!R$24:R$29)</f>
        <v>144000</v>
      </c>
      <c r="S33" s="788">
        <f>SUMPRODUCT('.c12_alloc'!$G$15:$G$20,'.c12_hm_hr'!S$24:S$29)</f>
        <v>403750</v>
      </c>
      <c r="T33" s="788">
        <f>SUMPRODUCT('.c12_alloc'!$G$15:$G$20,'.c12_hm_hr'!T$24:T$29)</f>
        <v>1095500</v>
      </c>
      <c r="U33" s="788">
        <f>SUMPRODUCT('.c12_alloc'!$G$15:$G$20,'.c12_hm_hr'!U$24:U$29)</f>
        <v>1095500</v>
      </c>
      <c r="V33" s="788">
        <f>SUMPRODUCT('.c12_alloc'!$G$15:$G$20,'.c12_hm_hr'!V$24:V$29)</f>
        <v>1095500</v>
      </c>
      <c r="W33" s="788">
        <f>SUMPRODUCT('.c12_alloc'!$G$15:$G$20,'.c12_hm_hr'!W$24:W$29)</f>
        <v>1095500</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80" t="s">
        <v>1000</v>
      </c>
      <c r="B34" s="779" t="s">
        <v>808</v>
      </c>
      <c r="C34" s="779" t="s">
        <v>1001</v>
      </c>
      <c r="D34" s="753"/>
      <c r="E34" s="785"/>
      <c r="F34" s="777"/>
      <c r="G34" s="777"/>
      <c r="H34" s="777"/>
      <c r="I34" s="787">
        <v>0</v>
      </c>
      <c r="J34" s="787">
        <v>0</v>
      </c>
      <c r="K34" s="777"/>
      <c r="L34" s="788">
        <f>SUMPRODUCT('.c12_alloc'!$E$15:$E$20,'.c12_hm_hr'!L$24:L$29)</f>
        <v>0</v>
      </c>
      <c r="M34" s="788">
        <f>SUMPRODUCT('.c12_alloc'!$E$15:$E$20,'.c12_hm_hr'!M$24:M$29)</f>
        <v>0</v>
      </c>
      <c r="N34" s="788">
        <f>SUMPRODUCT('.c12_alloc'!$E$15:$E$20,'.c12_hm_hr'!N$24:N$29)</f>
        <v>0</v>
      </c>
      <c r="O34" s="788">
        <f>SUMPRODUCT('.c12_alloc'!$E$15:$E$20,'.c12_hm_hr'!O$24:O$29)</f>
        <v>0</v>
      </c>
      <c r="P34" s="788">
        <f>SUMPRODUCT('.c12_alloc'!$E$15:$E$20,'.c12_hm_hr'!P$24:P$29)</f>
        <v>0</v>
      </c>
      <c r="Q34" s="788">
        <f>SUMPRODUCT('.c12_alloc'!$E$15:$E$20,'.c12_hm_hr'!Q$24:Q$29)</f>
        <v>0</v>
      </c>
      <c r="R34" s="788">
        <f>SUMPRODUCT('.c12_alloc'!$E$15:$E$20,'.c12_hm_hr'!R$24:R$29)</f>
        <v>0</v>
      </c>
      <c r="S34" s="788">
        <f>SUMPRODUCT('.c12_alloc'!$E$15:$E$20,'.c12_hm_hr'!S$24:S$29)</f>
        <v>0</v>
      </c>
      <c r="T34" s="788">
        <f>SUMPRODUCT('.c12_alloc'!$E$15:$E$20,'.c12_hm_hr'!T$24:T$29)</f>
        <v>0</v>
      </c>
      <c r="U34" s="788">
        <f>SUMPRODUCT('.c12_alloc'!$E$15:$E$20,'.c12_hm_hr'!U$24:U$29)</f>
        <v>0</v>
      </c>
      <c r="V34" s="788">
        <f>SUMPRODUCT('.c12_alloc'!$E$15:$E$20,'.c12_hm_hr'!V$24:V$29)</f>
        <v>0</v>
      </c>
      <c r="W34" s="788">
        <f>SUMPRODUCT('.c12_alloc'!$E$15:$E$20,'.c12_hm_hr'!W$24:W$29)</f>
        <v>0</v>
      </c>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85"/>
      <c r="F35" s="753"/>
      <c r="G35" s="753"/>
      <c r="H35" s="753"/>
      <c r="I35" s="785"/>
      <c r="J35" s="785"/>
      <c r="K35" s="753"/>
      <c r="L35" s="785"/>
      <c r="M35" s="785"/>
      <c r="N35" s="785"/>
      <c r="O35" s="785"/>
      <c r="P35" s="785"/>
      <c r="Q35" s="785"/>
      <c r="R35" s="785"/>
      <c r="S35" s="785"/>
      <c r="T35" s="785"/>
      <c r="U35" s="785"/>
      <c r="V35" s="785"/>
      <c r="W35" s="785"/>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53"/>
      <c r="B47" s="753"/>
      <c r="C47" s="753"/>
      <c r="D47" s="753"/>
      <c r="E47" s="753"/>
      <c r="F47" s="790"/>
      <c r="G47" s="790"/>
      <c r="H47" s="790"/>
      <c r="I47" s="753"/>
      <c r="J47" s="753"/>
      <c r="K47" s="790"/>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92"/>
      <c r="C106" s="753"/>
      <c r="D106" s="792"/>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92"/>
      <c r="C107" s="753"/>
      <c r="D107" s="792"/>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92"/>
      <c r="C108" s="753"/>
      <c r="D108" s="792"/>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53"/>
      <c r="C145" s="753"/>
      <c r="D145" s="753"/>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53"/>
      <c r="C146" s="753"/>
      <c r="D146" s="753"/>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53"/>
      <c r="C147" s="753"/>
      <c r="D147" s="753"/>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36.17968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1089</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1103</v>
      </c>
      <c r="B6" s="769" t="s">
        <v>6</v>
      </c>
      <c r="C6" s="770" t="s">
        <v>1074</v>
      </c>
      <c r="D6" s="771" t="s">
        <v>1104</v>
      </c>
      <c r="E6" s="777"/>
      <c r="F6" s="753"/>
      <c r="G6" s="753"/>
      <c r="H6" s="753"/>
      <c r="I6" s="773">
        <v>87500</v>
      </c>
      <c r="J6" s="773">
        <v>187500</v>
      </c>
      <c r="K6" s="753"/>
      <c r="L6" s="774">
        <v>87500</v>
      </c>
      <c r="M6" s="774">
        <v>87500</v>
      </c>
      <c r="N6" s="774">
        <v>87500</v>
      </c>
      <c r="O6" s="774">
        <v>87500</v>
      </c>
      <c r="P6" s="774">
        <v>187500</v>
      </c>
      <c r="Q6" s="774">
        <v>187500</v>
      </c>
      <c r="R6" s="774">
        <v>187500</v>
      </c>
      <c r="S6" s="774">
        <v>187500</v>
      </c>
      <c r="T6" s="774">
        <v>750000</v>
      </c>
      <c r="U6" s="774">
        <v>750000</v>
      </c>
      <c r="V6" s="774">
        <v>750000</v>
      </c>
      <c r="W6" s="774">
        <v>750000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1105</v>
      </c>
      <c r="B7" s="769" t="s">
        <v>6</v>
      </c>
      <c r="C7" s="770" t="s">
        <v>1074</v>
      </c>
      <c r="D7" s="771" t="s">
        <v>1106</v>
      </c>
      <c r="E7" s="777"/>
      <c r="F7" s="753"/>
      <c r="G7" s="753"/>
      <c r="H7" s="753"/>
      <c r="I7" s="773">
        <v>46250</v>
      </c>
      <c r="J7" s="773">
        <v>46250</v>
      </c>
      <c r="K7" s="753"/>
      <c r="L7" s="774">
        <v>46250</v>
      </c>
      <c r="M7" s="774">
        <v>46250</v>
      </c>
      <c r="N7" s="774">
        <v>46250</v>
      </c>
      <c r="O7" s="774">
        <v>46250</v>
      </c>
      <c r="P7" s="774">
        <v>46250</v>
      </c>
      <c r="Q7" s="774">
        <v>46250</v>
      </c>
      <c r="R7" s="774">
        <v>46250</v>
      </c>
      <c r="S7" s="774">
        <v>46250</v>
      </c>
      <c r="T7" s="774">
        <v>185000</v>
      </c>
      <c r="U7" s="774">
        <v>185000</v>
      </c>
      <c r="V7" s="774">
        <v>185000</v>
      </c>
      <c r="W7" s="774">
        <v>185000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1107</v>
      </c>
      <c r="B8" s="769" t="s">
        <v>6</v>
      </c>
      <c r="C8" s="770" t="s">
        <v>1074</v>
      </c>
      <c r="D8" s="771" t="s">
        <v>1108</v>
      </c>
      <c r="E8" s="777"/>
      <c r="F8" s="753"/>
      <c r="G8" s="753"/>
      <c r="H8" s="753"/>
      <c r="I8" s="773">
        <v>27500</v>
      </c>
      <c r="J8" s="773">
        <v>28125</v>
      </c>
      <c r="K8" s="753"/>
      <c r="L8" s="774">
        <v>27500</v>
      </c>
      <c r="M8" s="774">
        <v>27500</v>
      </c>
      <c r="N8" s="774">
        <v>27500</v>
      </c>
      <c r="O8" s="774">
        <v>27500</v>
      </c>
      <c r="P8" s="774">
        <v>28125</v>
      </c>
      <c r="Q8" s="774">
        <v>28125</v>
      </c>
      <c r="R8" s="774">
        <v>28125</v>
      </c>
      <c r="S8" s="774">
        <v>28125</v>
      </c>
      <c r="T8" s="774">
        <v>112500</v>
      </c>
      <c r="U8" s="774">
        <v>112500</v>
      </c>
      <c r="V8" s="774">
        <v>112500</v>
      </c>
      <c r="W8" s="774">
        <v>112500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1109</v>
      </c>
      <c r="B9" s="779" t="s">
        <v>6</v>
      </c>
      <c r="C9" s="779" t="s">
        <v>1074</v>
      </c>
      <c r="D9" s="779" t="s">
        <v>1110</v>
      </c>
      <c r="E9" s="777"/>
      <c r="F9" s="753"/>
      <c r="G9" s="753"/>
      <c r="H9" s="753"/>
      <c r="I9" s="773">
        <v>62500</v>
      </c>
      <c r="J9" s="773">
        <v>65000</v>
      </c>
      <c r="K9" s="753"/>
      <c r="L9" s="774">
        <v>62500</v>
      </c>
      <c r="M9" s="774">
        <v>62500</v>
      </c>
      <c r="N9" s="774">
        <v>62500</v>
      </c>
      <c r="O9" s="774">
        <v>62500</v>
      </c>
      <c r="P9" s="774">
        <v>65000</v>
      </c>
      <c r="Q9" s="774">
        <v>65000</v>
      </c>
      <c r="R9" s="774">
        <v>65000</v>
      </c>
      <c r="S9" s="774">
        <v>65000</v>
      </c>
      <c r="T9" s="774">
        <v>260000</v>
      </c>
      <c r="U9" s="774">
        <v>260000</v>
      </c>
      <c r="V9" s="774">
        <v>260000</v>
      </c>
      <c r="W9" s="774">
        <v>260000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1111</v>
      </c>
      <c r="B10" s="779" t="s">
        <v>6</v>
      </c>
      <c r="C10" s="779" t="s">
        <v>1074</v>
      </c>
      <c r="D10" s="779" t="s">
        <v>1112</v>
      </c>
      <c r="E10" s="777"/>
      <c r="F10" s="777"/>
      <c r="G10" s="777"/>
      <c r="H10" s="777"/>
      <c r="I10" s="773">
        <v>0</v>
      </c>
      <c r="J10" s="773">
        <v>0</v>
      </c>
      <c r="K10" s="777"/>
      <c r="L10" s="774">
        <v>43750</v>
      </c>
      <c r="M10" s="774">
        <v>43750</v>
      </c>
      <c r="N10" s="774">
        <v>43750</v>
      </c>
      <c r="O10" s="774">
        <v>0</v>
      </c>
      <c r="P10" s="774">
        <v>0</v>
      </c>
      <c r="Q10" s="774">
        <v>0</v>
      </c>
      <c r="R10" s="774">
        <v>0</v>
      </c>
      <c r="S10" s="774">
        <v>0</v>
      </c>
      <c r="T10" s="774">
        <v>0</v>
      </c>
      <c r="U10" s="774">
        <v>0</v>
      </c>
      <c r="V10" s="774">
        <v>0</v>
      </c>
      <c r="W10" s="774">
        <v>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1113</v>
      </c>
      <c r="B11" s="779" t="s">
        <v>6</v>
      </c>
      <c r="C11" s="779" t="s">
        <v>1074</v>
      </c>
      <c r="D11" s="779" t="s">
        <v>1114</v>
      </c>
      <c r="E11" s="777"/>
      <c r="F11" s="753"/>
      <c r="G11" s="753"/>
      <c r="H11" s="753"/>
      <c r="I11" s="773">
        <v>75000</v>
      </c>
      <c r="J11" s="773">
        <v>0</v>
      </c>
      <c r="K11" s="753"/>
      <c r="L11" s="774">
        <v>75000</v>
      </c>
      <c r="M11" s="774">
        <v>75000</v>
      </c>
      <c r="N11" s="774">
        <v>75000</v>
      </c>
      <c r="O11" s="774">
        <v>75000</v>
      </c>
      <c r="P11" s="774">
        <v>0</v>
      </c>
      <c r="Q11" s="774">
        <v>0</v>
      </c>
      <c r="R11" s="774">
        <v>0</v>
      </c>
      <c r="S11" s="774">
        <v>0</v>
      </c>
      <c r="T11" s="774">
        <v>0</v>
      </c>
      <c r="U11" s="774">
        <v>0</v>
      </c>
      <c r="V11" s="774">
        <v>0</v>
      </c>
      <c r="W11" s="774">
        <v>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68" t="s">
        <v>1115</v>
      </c>
      <c r="B12" s="779" t="s">
        <v>6</v>
      </c>
      <c r="C12" s="779" t="s">
        <v>1074</v>
      </c>
      <c r="D12" s="779" t="s">
        <v>1116</v>
      </c>
      <c r="E12" s="777"/>
      <c r="F12" s="781"/>
      <c r="G12" s="781"/>
      <c r="H12" s="781"/>
      <c r="I12" s="773">
        <v>45000</v>
      </c>
      <c r="J12" s="773">
        <v>47500</v>
      </c>
      <c r="K12" s="781"/>
      <c r="L12" s="774">
        <v>45000</v>
      </c>
      <c r="M12" s="774">
        <v>45000</v>
      </c>
      <c r="N12" s="774">
        <v>45000</v>
      </c>
      <c r="O12" s="774">
        <v>45000</v>
      </c>
      <c r="P12" s="774">
        <v>47500</v>
      </c>
      <c r="Q12" s="774">
        <v>47500</v>
      </c>
      <c r="R12" s="774">
        <v>47500</v>
      </c>
      <c r="S12" s="774">
        <v>47500</v>
      </c>
      <c r="T12" s="774">
        <v>190000</v>
      </c>
      <c r="U12" s="774">
        <v>190000</v>
      </c>
      <c r="V12" s="774">
        <v>190000</v>
      </c>
      <c r="W12" s="774">
        <v>190000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68" t="s">
        <v>1117</v>
      </c>
      <c r="B13" s="779" t="s">
        <v>6</v>
      </c>
      <c r="C13" s="779" t="s">
        <v>1074</v>
      </c>
      <c r="D13" s="779" t="s">
        <v>1118</v>
      </c>
      <c r="E13" s="777"/>
      <c r="F13" s="781"/>
      <c r="G13" s="781"/>
      <c r="H13" s="781"/>
      <c r="I13" s="773">
        <v>32500</v>
      </c>
      <c r="J13" s="773">
        <v>34375</v>
      </c>
      <c r="K13" s="781"/>
      <c r="L13" s="774">
        <v>32500</v>
      </c>
      <c r="M13" s="774">
        <v>32500</v>
      </c>
      <c r="N13" s="774">
        <v>32500</v>
      </c>
      <c r="O13" s="774">
        <v>32500</v>
      </c>
      <c r="P13" s="774">
        <v>34375</v>
      </c>
      <c r="Q13" s="774">
        <v>0</v>
      </c>
      <c r="R13" s="774">
        <v>0</v>
      </c>
      <c r="S13" s="774">
        <v>0</v>
      </c>
      <c r="T13" s="774">
        <v>0</v>
      </c>
      <c r="U13" s="774">
        <v>0</v>
      </c>
      <c r="V13" s="774">
        <v>0</v>
      </c>
      <c r="W13" s="774">
        <v>0</v>
      </c>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68" t="s">
        <v>1119</v>
      </c>
      <c r="B14" s="779" t="s">
        <v>6</v>
      </c>
      <c r="C14" s="779" t="s">
        <v>1074</v>
      </c>
      <c r="D14" s="779" t="s">
        <v>1120</v>
      </c>
      <c r="E14" s="777"/>
      <c r="F14" s="753"/>
      <c r="G14" s="753"/>
      <c r="H14" s="753"/>
      <c r="I14" s="773">
        <v>0</v>
      </c>
      <c r="J14" s="773">
        <v>0</v>
      </c>
      <c r="K14" s="753"/>
      <c r="L14" s="774">
        <v>0</v>
      </c>
      <c r="M14" s="774">
        <v>0</v>
      </c>
      <c r="N14" s="774">
        <v>0</v>
      </c>
      <c r="O14" s="774">
        <v>0</v>
      </c>
      <c r="P14" s="774">
        <v>0</v>
      </c>
      <c r="Q14" s="774">
        <v>0</v>
      </c>
      <c r="R14" s="774">
        <v>34375</v>
      </c>
      <c r="S14" s="774">
        <v>34375</v>
      </c>
      <c r="T14" s="774">
        <v>137500</v>
      </c>
      <c r="U14" s="774">
        <v>137500</v>
      </c>
      <c r="V14" s="774">
        <v>137500</v>
      </c>
      <c r="W14" s="774">
        <v>137500</v>
      </c>
      <c r="X14" s="777"/>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0" customFormat="1">
      <c r="A15" s="768" t="s">
        <v>1121</v>
      </c>
      <c r="B15" s="797" t="s">
        <v>6</v>
      </c>
      <c r="C15" s="798" t="s">
        <v>1074</v>
      </c>
      <c r="D15" s="797" t="s">
        <v>1122</v>
      </c>
      <c r="E15" s="777"/>
      <c r="F15" s="753"/>
      <c r="G15" s="753"/>
      <c r="H15" s="753"/>
      <c r="I15" s="773">
        <v>27500</v>
      </c>
      <c r="J15" s="773">
        <v>27500</v>
      </c>
      <c r="K15" s="753"/>
      <c r="L15" s="774">
        <v>27500</v>
      </c>
      <c r="M15" s="774">
        <v>27500</v>
      </c>
      <c r="N15" s="774">
        <v>27500</v>
      </c>
      <c r="O15" s="774">
        <v>27500</v>
      </c>
      <c r="P15" s="774">
        <v>27500</v>
      </c>
      <c r="Q15" s="804">
        <v>27500</v>
      </c>
      <c r="R15" s="804">
        <v>27500</v>
      </c>
      <c r="S15" s="804">
        <v>27500</v>
      </c>
      <c r="T15" s="774">
        <v>110000</v>
      </c>
      <c r="U15" s="774">
        <v>110000</v>
      </c>
      <c r="V15" s="774">
        <v>110000</v>
      </c>
      <c r="W15" s="774">
        <v>110000</v>
      </c>
      <c r="X15" s="777"/>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ht="14.65" customHeight="1">
      <c r="A16" s="768" t="s">
        <v>1123</v>
      </c>
      <c r="B16" s="779" t="s">
        <v>6</v>
      </c>
      <c r="C16" s="779" t="s">
        <v>1074</v>
      </c>
      <c r="D16" s="779" t="s">
        <v>1124</v>
      </c>
      <c r="E16" s="777"/>
      <c r="F16" s="753"/>
      <c r="G16" s="753"/>
      <c r="H16" s="753"/>
      <c r="I16" s="777"/>
      <c r="J16" s="773">
        <v>50000</v>
      </c>
      <c r="K16" s="753"/>
      <c r="L16" s="774"/>
      <c r="M16" s="774"/>
      <c r="N16" s="774"/>
      <c r="O16" s="774"/>
      <c r="P16" s="774">
        <v>50000</v>
      </c>
      <c r="Q16" s="804">
        <v>50000</v>
      </c>
      <c r="R16" s="804">
        <v>50000</v>
      </c>
      <c r="S16" s="804">
        <v>50000</v>
      </c>
      <c r="T16" s="774">
        <v>200000</v>
      </c>
      <c r="U16" s="774">
        <v>200000</v>
      </c>
      <c r="V16" s="774">
        <v>200000</v>
      </c>
      <c r="W16" s="774">
        <v>200000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ht="14.65" customHeight="1">
      <c r="A17" s="799" t="s">
        <v>267</v>
      </c>
      <c r="B17" s="753"/>
      <c r="C17" s="753"/>
      <c r="D17" s="753"/>
      <c r="E17" s="777"/>
      <c r="F17" s="783"/>
      <c r="G17" s="783"/>
      <c r="H17" s="783"/>
      <c r="I17" s="773">
        <v>403750</v>
      </c>
      <c r="J17" s="773">
        <v>486250</v>
      </c>
      <c r="K17" s="783"/>
      <c r="L17" s="777">
        <f t="shared" ref="L17:W17" si="0">SUM(L6:L16)</f>
        <v>447500</v>
      </c>
      <c r="M17" s="777">
        <f t="shared" si="0"/>
        <v>447500</v>
      </c>
      <c r="N17" s="777">
        <f t="shared" si="0"/>
        <v>447500</v>
      </c>
      <c r="O17" s="777">
        <f t="shared" si="0"/>
        <v>403750</v>
      </c>
      <c r="P17" s="777">
        <f t="shared" si="0"/>
        <v>486250</v>
      </c>
      <c r="Q17" s="777">
        <f t="shared" si="0"/>
        <v>451875</v>
      </c>
      <c r="R17" s="777">
        <f t="shared" si="0"/>
        <v>486250</v>
      </c>
      <c r="S17" s="777">
        <f t="shared" si="0"/>
        <v>486250</v>
      </c>
      <c r="T17" s="777">
        <f t="shared" si="0"/>
        <v>1945000</v>
      </c>
      <c r="U17" s="777">
        <f t="shared" si="0"/>
        <v>1945000</v>
      </c>
      <c r="V17" s="777">
        <f t="shared" si="0"/>
        <v>1945000</v>
      </c>
      <c r="W17" s="777">
        <f t="shared" si="0"/>
        <v>1945000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800"/>
      <c r="B18" s="753"/>
      <c r="C18" s="753"/>
      <c r="D18" s="753"/>
      <c r="E18" s="777"/>
      <c r="F18" s="783"/>
      <c r="G18" s="783"/>
      <c r="H18" s="783"/>
      <c r="I18" s="777"/>
      <c r="J18" s="777"/>
      <c r="K18" s="783"/>
      <c r="L18" s="777"/>
      <c r="M18" s="777"/>
      <c r="N18" s="777"/>
      <c r="O18" s="777"/>
      <c r="P18" s="777"/>
      <c r="Q18" s="777"/>
      <c r="R18" s="777"/>
      <c r="S18" s="777"/>
      <c r="T18" s="777"/>
      <c r="U18" s="777"/>
      <c r="V18" s="777"/>
      <c r="W18" s="777"/>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ht="14.65" customHeight="1">
      <c r="A19" s="798" t="s">
        <v>1086</v>
      </c>
      <c r="B19" s="753"/>
      <c r="C19" s="753"/>
      <c r="D19" s="753"/>
      <c r="E19" s="753"/>
      <c r="F19" s="777"/>
      <c r="G19" s="777"/>
      <c r="H19" s="777"/>
      <c r="I19" s="753"/>
      <c r="J19" s="753"/>
      <c r="K19" s="777"/>
      <c r="L19" s="753"/>
      <c r="M19" s="753"/>
      <c r="N19" s="753"/>
      <c r="O19" s="753"/>
      <c r="P19" s="753"/>
      <c r="Q19" s="753"/>
      <c r="R19" s="753"/>
      <c r="S19" s="753"/>
      <c r="T19" s="753"/>
      <c r="U19" s="753"/>
      <c r="V19" s="753"/>
      <c r="W19" s="753"/>
      <c r="X19" s="753"/>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53" t="str">
        <f t="shared" ref="A20:A30" si="1">+A6</f>
        <v>HODS  (RB)</v>
      </c>
      <c r="B20" s="779" t="s">
        <v>6</v>
      </c>
      <c r="C20" s="779" t="s">
        <v>1087</v>
      </c>
      <c r="D20" s="779" t="s">
        <v>1104</v>
      </c>
      <c r="E20" s="755"/>
      <c r="F20" s="753"/>
      <c r="G20" s="753"/>
      <c r="H20" s="753"/>
      <c r="I20" s="782">
        <v>685000</v>
      </c>
      <c r="J20" s="782">
        <v>0</v>
      </c>
      <c r="K20" s="753"/>
      <c r="L20" s="776">
        <v>0</v>
      </c>
      <c r="M20" s="776">
        <v>0</v>
      </c>
      <c r="N20" s="776">
        <v>0</v>
      </c>
      <c r="O20" s="776">
        <v>685000</v>
      </c>
      <c r="P20" s="776">
        <v>0</v>
      </c>
      <c r="Q20" s="776">
        <v>0</v>
      </c>
      <c r="R20" s="776">
        <v>0</v>
      </c>
      <c r="S20" s="776">
        <v>250000</v>
      </c>
      <c r="T20" s="776">
        <v>250000</v>
      </c>
      <c r="U20" s="776">
        <v>250000</v>
      </c>
      <c r="V20" s="776">
        <v>250000</v>
      </c>
      <c r="W20" s="776">
        <v>250000</v>
      </c>
      <c r="X20" s="755"/>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53" t="str">
        <f t="shared" si="1"/>
        <v>Project Executive  (LS) (100%)</v>
      </c>
      <c r="B21" s="779" t="s">
        <v>6</v>
      </c>
      <c r="C21" s="779" t="s">
        <v>1087</v>
      </c>
      <c r="D21" s="779" t="s">
        <v>1106</v>
      </c>
      <c r="E21" s="777"/>
      <c r="F21" s="755"/>
      <c r="G21" s="755"/>
      <c r="H21" s="755"/>
      <c r="I21" s="782">
        <v>20000</v>
      </c>
      <c r="J21" s="782">
        <v>0</v>
      </c>
      <c r="K21" s="755"/>
      <c r="L21" s="776">
        <v>0</v>
      </c>
      <c r="M21" s="776">
        <v>0</v>
      </c>
      <c r="N21" s="776">
        <v>0</v>
      </c>
      <c r="O21" s="776">
        <v>20000</v>
      </c>
      <c r="P21" s="776">
        <v>0</v>
      </c>
      <c r="Q21" s="776">
        <v>0</v>
      </c>
      <c r="R21" s="776">
        <v>0</v>
      </c>
      <c r="S21" s="776">
        <v>15000</v>
      </c>
      <c r="T21" s="776">
        <v>15000</v>
      </c>
      <c r="U21" s="776">
        <v>15000</v>
      </c>
      <c r="V21" s="776">
        <v>15000</v>
      </c>
      <c r="W21" s="776">
        <v>15000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53" t="str">
        <f t="shared" si="1"/>
        <v>Project Manager (BD) (100%)</v>
      </c>
      <c r="B22" s="779" t="s">
        <v>6</v>
      </c>
      <c r="C22" s="779" t="s">
        <v>1087</v>
      </c>
      <c r="D22" s="779" t="s">
        <v>1108</v>
      </c>
      <c r="E22" s="777"/>
      <c r="F22" s="777"/>
      <c r="G22" s="777"/>
      <c r="H22" s="777"/>
      <c r="I22" s="782">
        <v>17500</v>
      </c>
      <c r="J22" s="782">
        <v>0</v>
      </c>
      <c r="K22" s="777"/>
      <c r="L22" s="776">
        <v>0</v>
      </c>
      <c r="M22" s="776">
        <v>0</v>
      </c>
      <c r="N22" s="776">
        <v>0</v>
      </c>
      <c r="O22" s="776">
        <v>17500</v>
      </c>
      <c r="P22" s="776">
        <v>0</v>
      </c>
      <c r="Q22" s="776">
        <v>0</v>
      </c>
      <c r="R22" s="776">
        <v>0</v>
      </c>
      <c r="S22" s="776">
        <v>15000</v>
      </c>
      <c r="T22" s="776">
        <v>15000</v>
      </c>
      <c r="U22" s="776">
        <v>15000</v>
      </c>
      <c r="V22" s="776">
        <v>15000</v>
      </c>
      <c r="W22" s="776">
        <v>15000</v>
      </c>
      <c r="X22" s="777"/>
      <c r="Y22" s="794"/>
      <c r="Z22" s="79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si="1"/>
        <v>Counsel (KT)</v>
      </c>
      <c r="B23" s="779" t="s">
        <v>6</v>
      </c>
      <c r="C23" s="779" t="s">
        <v>1087</v>
      </c>
      <c r="D23" s="779" t="s">
        <v>1110</v>
      </c>
      <c r="E23" s="777"/>
      <c r="F23" s="777"/>
      <c r="G23" s="777"/>
      <c r="H23" s="777"/>
      <c r="I23" s="782">
        <v>230000</v>
      </c>
      <c r="J23" s="782">
        <v>0</v>
      </c>
      <c r="K23" s="777"/>
      <c r="L23" s="776">
        <v>0</v>
      </c>
      <c r="M23" s="776">
        <v>0</v>
      </c>
      <c r="N23" s="776">
        <v>0</v>
      </c>
      <c r="O23" s="776">
        <v>230000</v>
      </c>
      <c r="P23" s="776">
        <v>0</v>
      </c>
      <c r="Q23" s="776">
        <v>0</v>
      </c>
      <c r="R23" s="776">
        <v>0</v>
      </c>
      <c r="S23" s="776">
        <v>125000</v>
      </c>
      <c r="T23" s="776">
        <v>125000</v>
      </c>
      <c r="U23" s="776">
        <v>125000</v>
      </c>
      <c r="V23" s="776">
        <v>125000</v>
      </c>
      <c r="W23" s="776">
        <v>125000</v>
      </c>
      <c r="X23" s="777"/>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1"/>
        <v>Development Manager??? (alexi?)</v>
      </c>
      <c r="B24" s="779" t="s">
        <v>6</v>
      </c>
      <c r="C24" s="779" t="s">
        <v>1087</v>
      </c>
      <c r="D24" s="779" t="s">
        <v>1112</v>
      </c>
      <c r="E24" s="777"/>
      <c r="F24" s="777"/>
      <c r="G24" s="777"/>
      <c r="H24" s="777"/>
      <c r="I24" s="782">
        <v>0</v>
      </c>
      <c r="J24" s="782">
        <v>0</v>
      </c>
      <c r="K24" s="777"/>
      <c r="L24" s="776">
        <v>0</v>
      </c>
      <c r="M24" s="776">
        <v>0</v>
      </c>
      <c r="N24" s="776">
        <v>0</v>
      </c>
      <c r="O24" s="776">
        <v>0</v>
      </c>
      <c r="P24" s="776">
        <v>0</v>
      </c>
      <c r="Q24" s="776">
        <v>0</v>
      </c>
      <c r="R24" s="776">
        <v>0</v>
      </c>
      <c r="S24" s="776">
        <v>0</v>
      </c>
      <c r="T24" s="776">
        <v>0</v>
      </c>
      <c r="U24" s="776">
        <v>0</v>
      </c>
      <c r="V24" s="776">
        <v>0</v>
      </c>
      <c r="W24" s="776">
        <v>0</v>
      </c>
      <c r="X24" s="777"/>
      <c r="Y24" s="794"/>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1"/>
        <v>Banker (tBD)</v>
      </c>
      <c r="B25" s="779" t="s">
        <v>6</v>
      </c>
      <c r="C25" s="779" t="s">
        <v>1087</v>
      </c>
      <c r="D25" s="779" t="s">
        <v>1114</v>
      </c>
      <c r="E25" s="777"/>
      <c r="F25" s="777"/>
      <c r="G25" s="777"/>
      <c r="H25" s="777"/>
      <c r="I25" s="782">
        <v>50000</v>
      </c>
      <c r="J25" s="782">
        <v>0</v>
      </c>
      <c r="K25" s="777"/>
      <c r="L25" s="776">
        <v>0</v>
      </c>
      <c r="M25" s="776">
        <v>0</v>
      </c>
      <c r="N25" s="776">
        <v>0</v>
      </c>
      <c r="O25" s="776">
        <v>50000</v>
      </c>
      <c r="P25" s="776">
        <v>0</v>
      </c>
      <c r="Q25" s="776">
        <v>0</v>
      </c>
      <c r="R25" s="776">
        <v>0</v>
      </c>
      <c r="S25" s="776">
        <v>100000</v>
      </c>
      <c r="T25" s="776">
        <v>0</v>
      </c>
      <c r="U25" s="776">
        <v>0</v>
      </c>
      <c r="V25" s="776">
        <v>0</v>
      </c>
      <c r="W25" s="776">
        <v>0</v>
      </c>
      <c r="X25" s="777"/>
      <c r="Y25" s="794"/>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Senior Design Manager (AM)</v>
      </c>
      <c r="B26" s="779" t="s">
        <v>6</v>
      </c>
      <c r="C26" s="779" t="s">
        <v>1087</v>
      </c>
      <c r="D26" s="779" t="s">
        <v>1116</v>
      </c>
      <c r="E26" s="777"/>
      <c r="F26" s="777"/>
      <c r="G26" s="777"/>
      <c r="H26" s="777"/>
      <c r="I26" s="782">
        <v>65000</v>
      </c>
      <c r="J26" s="782">
        <v>0</v>
      </c>
      <c r="K26" s="777"/>
      <c r="L26" s="776"/>
      <c r="M26" s="776"/>
      <c r="N26" s="776"/>
      <c r="O26" s="776">
        <v>65000</v>
      </c>
      <c r="P26" s="776">
        <v>0</v>
      </c>
      <c r="Q26" s="776">
        <v>0</v>
      </c>
      <c r="R26" s="776">
        <v>0</v>
      </c>
      <c r="S26" s="776">
        <v>55000</v>
      </c>
      <c r="T26" s="776">
        <v>55000</v>
      </c>
      <c r="U26" s="776">
        <v>55000</v>
      </c>
      <c r="V26" s="776">
        <v>55000</v>
      </c>
      <c r="W26" s="776">
        <v>55000</v>
      </c>
      <c r="X26" s="777"/>
      <c r="Y26" s="794"/>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1"/>
        <v>Design Manager (AL) (gone)</v>
      </c>
      <c r="B27" s="779" t="s">
        <v>6</v>
      </c>
      <c r="C27" s="779" t="s">
        <v>1087</v>
      </c>
      <c r="D27" s="779" t="s">
        <v>1118</v>
      </c>
      <c r="E27" s="777"/>
      <c r="F27" s="777"/>
      <c r="G27" s="777"/>
      <c r="H27" s="777"/>
      <c r="I27" s="782">
        <v>25000</v>
      </c>
      <c r="J27" s="782">
        <v>0</v>
      </c>
      <c r="K27" s="777"/>
      <c r="L27" s="776">
        <v>0</v>
      </c>
      <c r="M27" s="776">
        <v>0</v>
      </c>
      <c r="N27" s="776">
        <v>0</v>
      </c>
      <c r="O27" s="776">
        <v>25000</v>
      </c>
      <c r="P27" s="776">
        <v>0</v>
      </c>
      <c r="Q27" s="776">
        <v>0</v>
      </c>
      <c r="R27" s="776">
        <v>0</v>
      </c>
      <c r="S27" s="776">
        <v>0</v>
      </c>
      <c r="T27" s="776">
        <v>0</v>
      </c>
      <c r="U27" s="776">
        <v>0</v>
      </c>
      <c r="V27" s="776">
        <v>0</v>
      </c>
      <c r="W27" s="776">
        <v>0</v>
      </c>
      <c r="X27" s="777"/>
      <c r="Y27" s="794"/>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1"/>
        <v>new design manager (TBD)</v>
      </c>
      <c r="B28" s="779" t="s">
        <v>6</v>
      </c>
      <c r="C28" s="779" t="s">
        <v>1087</v>
      </c>
      <c r="D28" s="779" t="s">
        <v>1120</v>
      </c>
      <c r="E28" s="777"/>
      <c r="F28" s="777"/>
      <c r="G28" s="777"/>
      <c r="H28" s="777"/>
      <c r="I28" s="782">
        <v>0</v>
      </c>
      <c r="J28" s="782">
        <v>0</v>
      </c>
      <c r="K28" s="777"/>
      <c r="L28" s="776">
        <v>0</v>
      </c>
      <c r="M28" s="776">
        <v>0</v>
      </c>
      <c r="N28" s="776">
        <v>0</v>
      </c>
      <c r="O28" s="776">
        <v>0</v>
      </c>
      <c r="P28" s="776">
        <v>0</v>
      </c>
      <c r="Q28" s="776">
        <v>0</v>
      </c>
      <c r="R28" s="776">
        <v>0</v>
      </c>
      <c r="S28" s="776">
        <v>11250</v>
      </c>
      <c r="T28" s="776">
        <v>22500</v>
      </c>
      <c r="U28" s="776">
        <v>22500</v>
      </c>
      <c r="V28" s="776">
        <v>22500</v>
      </c>
      <c r="W28" s="776">
        <v>22500</v>
      </c>
      <c r="X28" s="777"/>
      <c r="Y28" s="794"/>
      <c r="Z28" s="794"/>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ht="14.65" customHeight="1">
      <c r="A29" s="753" t="str">
        <f t="shared" si="1"/>
        <v>FF&amp;E (SB)</v>
      </c>
      <c r="B29" s="779" t="s">
        <v>6</v>
      </c>
      <c r="C29" s="779" t="s">
        <v>1087</v>
      </c>
      <c r="D29" s="779" t="s">
        <v>1122</v>
      </c>
      <c r="E29" s="777"/>
      <c r="F29" s="777"/>
      <c r="G29" s="777"/>
      <c r="H29" s="777"/>
      <c r="I29" s="782">
        <v>0</v>
      </c>
      <c r="J29" s="782">
        <v>0</v>
      </c>
      <c r="K29" s="777"/>
      <c r="L29" s="776">
        <v>0</v>
      </c>
      <c r="M29" s="776">
        <v>0</v>
      </c>
      <c r="N29" s="776">
        <v>0</v>
      </c>
      <c r="O29" s="776">
        <v>0</v>
      </c>
      <c r="P29" s="776">
        <v>0</v>
      </c>
      <c r="Q29" s="776">
        <v>0</v>
      </c>
      <c r="R29" s="776">
        <v>0</v>
      </c>
      <c r="S29" s="776">
        <v>15000</v>
      </c>
      <c r="T29" s="776">
        <v>15000</v>
      </c>
      <c r="U29" s="776">
        <v>15000</v>
      </c>
      <c r="V29" s="776">
        <v>15000</v>
      </c>
      <c r="W29" s="776">
        <v>15000</v>
      </c>
      <c r="X29" s="777"/>
      <c r="Y29" s="794"/>
      <c r="Z29" s="794"/>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ht="15" customHeight="1">
      <c r="A30" s="753" t="str">
        <f t="shared" si="1"/>
        <v>Senior Financial Analyst (KS)</v>
      </c>
      <c r="B30" s="779" t="s">
        <v>6</v>
      </c>
      <c r="C30" s="779" t="s">
        <v>1087</v>
      </c>
      <c r="D30" s="779" t="s">
        <v>1124</v>
      </c>
      <c r="E30" s="777"/>
      <c r="F30" s="777"/>
      <c r="G30" s="777"/>
      <c r="H30" s="777"/>
      <c r="I30" s="782">
        <v>50000</v>
      </c>
      <c r="J30" s="772"/>
      <c r="K30" s="777"/>
      <c r="L30" s="776">
        <v>0</v>
      </c>
      <c r="M30" s="776">
        <v>0</v>
      </c>
      <c r="N30" s="776">
        <v>0</v>
      </c>
      <c r="O30" s="776">
        <v>50000</v>
      </c>
      <c r="P30" s="776"/>
      <c r="Q30" s="776"/>
      <c r="R30" s="776"/>
      <c r="S30" s="776">
        <v>50000</v>
      </c>
      <c r="T30" s="776">
        <v>50000</v>
      </c>
      <c r="U30" s="776">
        <v>50000</v>
      </c>
      <c r="V30" s="776">
        <v>50000</v>
      </c>
      <c r="W30" s="776">
        <v>50000</v>
      </c>
      <c r="X30" s="777"/>
      <c r="Y30" s="794"/>
      <c r="Z30" s="794"/>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267</v>
      </c>
      <c r="B31" s="753"/>
      <c r="C31" s="753"/>
      <c r="D31" s="753"/>
      <c r="E31" s="777"/>
      <c r="F31" s="777"/>
      <c r="G31" s="777"/>
      <c r="H31" s="777"/>
      <c r="I31" s="782">
        <v>1142500</v>
      </c>
      <c r="J31" s="782">
        <v>0</v>
      </c>
      <c r="K31" s="777"/>
      <c r="L31" s="772">
        <v>0</v>
      </c>
      <c r="M31" s="772">
        <v>0</v>
      </c>
      <c r="N31" s="772">
        <v>0</v>
      </c>
      <c r="O31" s="772">
        <v>1142500</v>
      </c>
      <c r="P31" s="772">
        <v>0</v>
      </c>
      <c r="Q31" s="772">
        <v>0</v>
      </c>
      <c r="R31" s="772">
        <v>0</v>
      </c>
      <c r="S31" s="772">
        <v>897500</v>
      </c>
      <c r="T31" s="772">
        <v>797500</v>
      </c>
      <c r="U31" s="772">
        <v>797500</v>
      </c>
      <c r="V31" s="772">
        <v>797500</v>
      </c>
      <c r="W31" s="772">
        <v>797500</v>
      </c>
      <c r="X31" s="777"/>
      <c r="Y31" s="794"/>
      <c r="Z31" s="794"/>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800"/>
      <c r="B32" s="753"/>
      <c r="C32" s="753"/>
      <c r="D32" s="753"/>
      <c r="E32" s="777"/>
      <c r="F32" s="777"/>
      <c r="G32" s="777"/>
      <c r="H32" s="777"/>
      <c r="I32" s="777"/>
      <c r="J32" s="777"/>
      <c r="K32" s="777"/>
      <c r="L32" s="777"/>
      <c r="M32" s="777"/>
      <c r="N32" s="777"/>
      <c r="O32" s="777"/>
      <c r="P32" s="777"/>
      <c r="Q32" s="777"/>
      <c r="R32" s="777"/>
      <c r="S32" s="777"/>
      <c r="T32" s="777"/>
      <c r="U32" s="777"/>
      <c r="V32" s="777"/>
      <c r="W32" s="777"/>
      <c r="X32" s="785"/>
      <c r="Y32" s="794"/>
      <c r="Z32" s="794"/>
      <c r="AA32" s="753"/>
      <c r="AB32" s="753"/>
      <c r="AC32" s="753"/>
      <c r="AD32" s="753"/>
      <c r="AE32" s="753"/>
      <c r="AF32" s="753"/>
      <c r="AG32" s="753"/>
      <c r="AH32" s="753"/>
      <c r="AI32" s="753"/>
      <c r="AJ32" s="801"/>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8" t="s">
        <v>1102</v>
      </c>
      <c r="B33" s="753"/>
      <c r="C33" s="753"/>
      <c r="D33" s="753"/>
      <c r="E33" s="753"/>
      <c r="F33" s="783"/>
      <c r="G33" s="783"/>
      <c r="H33" s="783"/>
      <c r="I33" s="753"/>
      <c r="J33" s="753"/>
      <c r="K33" s="783"/>
      <c r="L33" s="753"/>
      <c r="M33" s="753"/>
      <c r="N33" s="753"/>
      <c r="O33" s="753"/>
      <c r="P33" s="753"/>
      <c r="Q33" s="753"/>
      <c r="R33" s="753"/>
      <c r="S33" s="753"/>
      <c r="T33" s="753"/>
      <c r="U33" s="753"/>
      <c r="V33" s="753"/>
      <c r="W33" s="753"/>
      <c r="X33" s="753"/>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t="str">
        <f t="shared" ref="A34:A44" si="2">+A6</f>
        <v>HODS  (RB)</v>
      </c>
      <c r="B34" s="779" t="s">
        <v>826</v>
      </c>
      <c r="C34" s="779" t="s">
        <v>1088</v>
      </c>
      <c r="D34" s="779" t="s">
        <v>1104</v>
      </c>
      <c r="E34" s="790"/>
      <c r="F34" s="777"/>
      <c r="G34" s="777"/>
      <c r="H34" s="777"/>
      <c r="I34" s="802">
        <v>812515</v>
      </c>
      <c r="J34" s="802">
        <v>216000</v>
      </c>
      <c r="K34" s="777"/>
      <c r="L34" s="790">
        <f>+L6*(1+'.c12_inputs.hr'!$E$15)+(L20*(1+'.c12_inputs.hr'!$E$16))</f>
        <v>100799.99999999999</v>
      </c>
      <c r="M34" s="790">
        <f>+M6*(1+'.c12_inputs.hr'!$E$15)+(M20*(1+'.c12_inputs.hr'!$E$16))</f>
        <v>100799.99999999999</v>
      </c>
      <c r="N34" s="790">
        <f>+N6*(1+'.c12_inputs.hr'!$E$15)+(N20*(1+'.c12_inputs.hr'!$E$16))</f>
        <v>100799.99999999999</v>
      </c>
      <c r="O34" s="790">
        <f>+O6*(1+'.c12_inputs.hr'!$E$15)+(O20*(1+'.c12_inputs.hr'!$E$16))</f>
        <v>812515</v>
      </c>
      <c r="P34" s="790">
        <f>+P6*(1+'.c12_inputs.hr'!$E$15)+(P20*(1+'.c12_inputs.hr'!$E$16))</f>
        <v>215999.99999999997</v>
      </c>
      <c r="Q34" s="790">
        <f>+Q6*(1+'.c12_inputs.hr'!$E$15)+(Q20*(1+'.c12_inputs.hr'!$E$16))</f>
        <v>215999.99999999997</v>
      </c>
      <c r="R34" s="790">
        <f>+R6*(1+'.c12_inputs.hr'!$E$15)+(R20*(1+'.c12_inputs.hr'!$E$16))</f>
        <v>215999.99999999997</v>
      </c>
      <c r="S34" s="790">
        <f>+S6*(1+'.c12_inputs.hr'!$E$15)+(S20*(1+'.c12_inputs.hr'!$E$16))</f>
        <v>475749.99999999994</v>
      </c>
      <c r="T34" s="790">
        <f>+T6*(1+'.c12_inputs.hr'!$E$15)+(T20*(1+'.c12_inputs.hr'!$E$16))</f>
        <v>1123749.9999999998</v>
      </c>
      <c r="U34" s="790">
        <f>+U6*(1+'.c12_inputs.hr'!$E$15)+(U20*(1+'.c12_inputs.hr'!$E$16))</f>
        <v>1123749.9999999998</v>
      </c>
      <c r="V34" s="790">
        <f>+V6*(1+'.c12_inputs.hr'!$E$15)+(V20*(1+'.c12_inputs.hr'!$E$16))</f>
        <v>1123749.9999999998</v>
      </c>
      <c r="W34" s="790">
        <f>+W6*(1+'.c12_inputs.hr'!$E$15)+(W20*(1+'.c12_inputs.hr'!$E$16))</f>
        <v>1123749.9999999998</v>
      </c>
      <c r="X34" s="790"/>
      <c r="Y34" s="790"/>
      <c r="Z34" s="794"/>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t="str">
        <f t="shared" si="2"/>
        <v>Project Executive  (LS) (100%)</v>
      </c>
      <c r="B35" s="779" t="s">
        <v>826</v>
      </c>
      <c r="C35" s="779" t="s">
        <v>1088</v>
      </c>
      <c r="D35" s="779" t="s">
        <v>1106</v>
      </c>
      <c r="E35" s="790"/>
      <c r="F35" s="753"/>
      <c r="G35" s="753"/>
      <c r="H35" s="753"/>
      <c r="I35" s="802">
        <v>74060</v>
      </c>
      <c r="J35" s="802">
        <v>53279.999999999993</v>
      </c>
      <c r="K35" s="753"/>
      <c r="L35" s="790">
        <f>+L7*(1+'.c12_inputs.hr'!$E$15)+(L21*(1+'.c12_inputs.hr'!$E$16))</f>
        <v>53279.999999999993</v>
      </c>
      <c r="M35" s="790">
        <f>+M7*(1+'.c12_inputs.hr'!$E$15)+(M21*(1+'.c12_inputs.hr'!$E$16))</f>
        <v>53279.999999999993</v>
      </c>
      <c r="N35" s="790">
        <f>+N7*(1+'.c12_inputs.hr'!$E$15)+(N21*(1+'.c12_inputs.hr'!$E$16))</f>
        <v>53279.999999999993</v>
      </c>
      <c r="O35" s="790">
        <f>+O7*(1+'.c12_inputs.hr'!$E$15)+(O21*(1+'.c12_inputs.hr'!$E$16))</f>
        <v>74060</v>
      </c>
      <c r="P35" s="790">
        <f>+P7*(1+'.c12_inputs.hr'!$E$15)+(P21*(1+'.c12_inputs.hr'!$E$16))</f>
        <v>53279.999999999993</v>
      </c>
      <c r="Q35" s="790">
        <f>+Q7*(1+'.c12_inputs.hr'!$E$15)+(Q21*(1+'.c12_inputs.hr'!$E$16))</f>
        <v>53279.999999999993</v>
      </c>
      <c r="R35" s="790">
        <f>+R7*(1+'.c12_inputs.hr'!$E$15)+(R21*(1+'.c12_inputs.hr'!$E$16))</f>
        <v>53279.999999999993</v>
      </c>
      <c r="S35" s="790">
        <f>+S7*(1+'.c12_inputs.hr'!$E$15)+(S21*(1+'.c12_inputs.hr'!$E$16))</f>
        <v>68864.999999999985</v>
      </c>
      <c r="T35" s="790">
        <f>+T7*(1+'.c12_inputs.hr'!$E$15)+(T21*(1+'.c12_inputs.hr'!$E$16))</f>
        <v>228704.99999999997</v>
      </c>
      <c r="U35" s="790">
        <f>+U7*(1+'.c12_inputs.hr'!$E$15)+(U21*(1+'.c12_inputs.hr'!$E$16))</f>
        <v>228704.99999999997</v>
      </c>
      <c r="V35" s="790">
        <f>+V7*(1+'.c12_inputs.hr'!$E$15)+(V21*(1+'.c12_inputs.hr'!$E$16))</f>
        <v>228704.99999999997</v>
      </c>
      <c r="W35" s="790">
        <f>+W7*(1+'.c12_inputs.hr'!$E$15)+(W21*(1+'.c12_inputs.hr'!$E$16))</f>
        <v>228704.99999999997</v>
      </c>
      <c r="X35" s="790"/>
      <c r="Y35" s="790"/>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si="2"/>
        <v>Project Manager (BD) (100%)</v>
      </c>
      <c r="B36" s="779" t="s">
        <v>826</v>
      </c>
      <c r="C36" s="779" t="s">
        <v>1088</v>
      </c>
      <c r="D36" s="779" t="s">
        <v>1108</v>
      </c>
      <c r="E36" s="790"/>
      <c r="F36" s="790"/>
      <c r="G36" s="790"/>
      <c r="H36" s="790"/>
      <c r="I36" s="802">
        <v>49862.5</v>
      </c>
      <c r="J36" s="802">
        <v>32400</v>
      </c>
      <c r="K36" s="790"/>
      <c r="L36" s="790">
        <f>+L8*(1+'.c12_inputs.hr'!$E$15)+(L22*(1+'.c12_inputs.hr'!$E$16))</f>
        <v>31679.999999999996</v>
      </c>
      <c r="M36" s="790">
        <f>+M8*(1+'.c12_inputs.hr'!$E$15)+(M22*(1+'.c12_inputs.hr'!$E$16))</f>
        <v>31679.999999999996</v>
      </c>
      <c r="N36" s="790">
        <f>+N8*(1+'.c12_inputs.hr'!$E$15)+(N22*(1+'.c12_inputs.hr'!$E$16))</f>
        <v>31679.999999999996</v>
      </c>
      <c r="O36" s="790">
        <f>+O8*(1+'.c12_inputs.hr'!$E$15)+(O22*(1+'.c12_inputs.hr'!$E$16))</f>
        <v>49862.5</v>
      </c>
      <c r="P36" s="790">
        <f>+P8*(1+'.c12_inputs.hr'!$E$15)+(P22*(1+'.c12_inputs.hr'!$E$16))</f>
        <v>32399.999999999996</v>
      </c>
      <c r="Q36" s="790">
        <f>+Q8*(1+'.c12_inputs.hr'!$E$15)+(Q22*(1+'.c12_inputs.hr'!$E$16))</f>
        <v>32399.999999999996</v>
      </c>
      <c r="R36" s="790">
        <f>+R8*(1+'.c12_inputs.hr'!$E$15)+(R22*(1+'.c12_inputs.hr'!$E$16))</f>
        <v>32399.999999999996</v>
      </c>
      <c r="S36" s="790">
        <f>+S8*(1+'.c12_inputs.hr'!$E$15)+(S22*(1+'.c12_inputs.hr'!$E$16))</f>
        <v>47984.999999999993</v>
      </c>
      <c r="T36" s="790">
        <f>+T8*(1+'.c12_inputs.hr'!$E$15)+(T22*(1+'.c12_inputs.hr'!$E$16))</f>
        <v>145184.99999999997</v>
      </c>
      <c r="U36" s="790">
        <f>+U8*(1+'.c12_inputs.hr'!$E$15)+(U22*(1+'.c12_inputs.hr'!$E$16))</f>
        <v>145184.99999999997</v>
      </c>
      <c r="V36" s="790">
        <f>+V8*(1+'.c12_inputs.hr'!$E$15)+(V22*(1+'.c12_inputs.hr'!$E$16))</f>
        <v>145184.99999999997</v>
      </c>
      <c r="W36" s="790">
        <f>+W8*(1+'.c12_inputs.hr'!$E$15)+(W22*(1+'.c12_inputs.hr'!$E$16))</f>
        <v>145184.99999999997</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2"/>
        <v>Counsel (KT)</v>
      </c>
      <c r="B37" s="779" t="s">
        <v>826</v>
      </c>
      <c r="C37" s="779" t="s">
        <v>1088</v>
      </c>
      <c r="D37" s="779" t="s">
        <v>1110</v>
      </c>
      <c r="E37" s="790"/>
      <c r="F37" s="790"/>
      <c r="G37" s="790"/>
      <c r="H37" s="790"/>
      <c r="I37" s="802">
        <v>310970</v>
      </c>
      <c r="J37" s="802">
        <v>74880</v>
      </c>
      <c r="K37" s="790"/>
      <c r="L37" s="790">
        <f>+L9*(1+'.c12_inputs.hr'!$E$15)+(L23*(1+'.c12_inputs.hr'!$E$16))</f>
        <v>72000</v>
      </c>
      <c r="M37" s="790">
        <f>+M9*(1+'.c12_inputs.hr'!$E$15)+(M23*(1+'.c12_inputs.hr'!$E$16))</f>
        <v>72000</v>
      </c>
      <c r="N37" s="790">
        <f>+N9*(1+'.c12_inputs.hr'!$E$15)+(N23*(1+'.c12_inputs.hr'!$E$16))</f>
        <v>72000</v>
      </c>
      <c r="O37" s="790">
        <f>+O9*(1+'.c12_inputs.hr'!$E$15)+(O23*(1+'.c12_inputs.hr'!$E$16))</f>
        <v>310970</v>
      </c>
      <c r="P37" s="790">
        <f>+P9*(1+'.c12_inputs.hr'!$E$15)+(P23*(1+'.c12_inputs.hr'!$E$16))</f>
        <v>74880</v>
      </c>
      <c r="Q37" s="790">
        <f>+Q9*(1+'.c12_inputs.hr'!$E$15)+(Q23*(1+'.c12_inputs.hr'!$E$16))</f>
        <v>74880</v>
      </c>
      <c r="R37" s="790">
        <f>+R9*(1+'.c12_inputs.hr'!$E$15)+(R23*(1+'.c12_inputs.hr'!$E$16))</f>
        <v>74880</v>
      </c>
      <c r="S37" s="790">
        <f>+S9*(1+'.c12_inputs.hr'!$E$15)+(S23*(1+'.c12_inputs.hr'!$E$16))</f>
        <v>204755</v>
      </c>
      <c r="T37" s="790">
        <f>+T9*(1+'.c12_inputs.hr'!$E$15)+(T23*(1+'.c12_inputs.hr'!$E$16))</f>
        <v>429395</v>
      </c>
      <c r="U37" s="790">
        <f>+U9*(1+'.c12_inputs.hr'!$E$15)+(U23*(1+'.c12_inputs.hr'!$E$16))</f>
        <v>429395</v>
      </c>
      <c r="V37" s="790">
        <f>+V9*(1+'.c12_inputs.hr'!$E$15)+(V23*(1+'.c12_inputs.hr'!$E$16))</f>
        <v>429395</v>
      </c>
      <c r="W37" s="790">
        <f>+W9*(1+'.c12_inputs.hr'!$E$15)+(W23*(1+'.c12_inputs.hr'!$E$16))</f>
        <v>429395</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2"/>
        <v>Development Manager??? (alexi?)</v>
      </c>
      <c r="B38" s="779" t="s">
        <v>826</v>
      </c>
      <c r="C38" s="779" t="s">
        <v>1088</v>
      </c>
      <c r="D38" s="779" t="s">
        <v>1112</v>
      </c>
      <c r="E38" s="790"/>
      <c r="F38" s="790"/>
      <c r="G38" s="790"/>
      <c r="H38" s="790"/>
      <c r="I38" s="802">
        <v>0</v>
      </c>
      <c r="J38" s="802">
        <v>0</v>
      </c>
      <c r="K38" s="790"/>
      <c r="L38" s="790">
        <f>+L10*(1+'.c12_inputs.hr'!$E$15)+(L24*(1+'.c12_inputs.hr'!$E$16))</f>
        <v>50399.999999999993</v>
      </c>
      <c r="M38" s="790">
        <f>+M10*(1+'.c12_inputs.hr'!$E$15)+(M24*(1+'.c12_inputs.hr'!$E$16))</f>
        <v>50399.999999999993</v>
      </c>
      <c r="N38" s="790">
        <f>+N10*(1+'.c12_inputs.hr'!$E$15)+(N24*(1+'.c12_inputs.hr'!$E$16))</f>
        <v>50399.999999999993</v>
      </c>
      <c r="O38" s="790">
        <f>+O10*(1+'.c12_inputs.hr'!$E$15)+(O24*(1+'.c12_inputs.hr'!$E$16))</f>
        <v>0</v>
      </c>
      <c r="P38" s="790">
        <f>+P10*(1+'.c12_inputs.hr'!$E$15)+(P24*(1+'.c12_inputs.hr'!$E$16))</f>
        <v>0</v>
      </c>
      <c r="Q38" s="790">
        <f>+Q10*(1+'.c12_inputs.hr'!$E$15)+(Q24*(1+'.c12_inputs.hr'!$E$16))</f>
        <v>0</v>
      </c>
      <c r="R38" s="790">
        <f>+R10*(1+'.c12_inputs.hr'!$E$15)+(R24*(1+'.c12_inputs.hr'!$E$16))</f>
        <v>0</v>
      </c>
      <c r="S38" s="790">
        <f>+S10*(1+'.c12_inputs.hr'!$E$15)+(S24*(1+'.c12_inputs.hr'!$E$16))</f>
        <v>0</v>
      </c>
      <c r="T38" s="790">
        <f>+T10*(1+'.c12_inputs.hr'!$E$15)+(T24*(1+'.c12_inputs.hr'!$E$16))</f>
        <v>0</v>
      </c>
      <c r="U38" s="790">
        <f>+U10*(1+'.c12_inputs.hr'!$E$15)+(U24*(1+'.c12_inputs.hr'!$E$16))</f>
        <v>0</v>
      </c>
      <c r="V38" s="790">
        <f>+V10*(1+'.c12_inputs.hr'!$E$15)+(V24*(1+'.c12_inputs.hr'!$E$16))</f>
        <v>0</v>
      </c>
      <c r="W38" s="790">
        <f>+W10*(1+'.c12_inputs.hr'!$E$15)+(W24*(1+'.c12_inputs.hr'!$E$16))</f>
        <v>0</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2"/>
        <v>Banker (tBD)</v>
      </c>
      <c r="B39" s="779" t="s">
        <v>826</v>
      </c>
      <c r="C39" s="779" t="s">
        <v>1088</v>
      </c>
      <c r="D39" s="779" t="s">
        <v>1114</v>
      </c>
      <c r="E39" s="790"/>
      <c r="F39" s="790"/>
      <c r="G39" s="790"/>
      <c r="H39" s="790"/>
      <c r="I39" s="802">
        <v>138350</v>
      </c>
      <c r="J39" s="802">
        <v>0</v>
      </c>
      <c r="K39" s="790"/>
      <c r="L39" s="790">
        <f>+L11*(1+'.c12_inputs.hr'!$E$15)+(L25*(1+'.c12_inputs.hr'!$E$16))</f>
        <v>86400</v>
      </c>
      <c r="M39" s="790">
        <f>+M11*(1+'.c12_inputs.hr'!$E$15)+(M25*(1+'.c12_inputs.hr'!$E$16))</f>
        <v>86400</v>
      </c>
      <c r="N39" s="790">
        <f>+N11*(1+'.c12_inputs.hr'!$E$15)+(N25*(1+'.c12_inputs.hr'!$E$16))</f>
        <v>86400</v>
      </c>
      <c r="O39" s="790">
        <f>+O11*(1+'.c12_inputs.hr'!$E$15)+(O25*(1+'.c12_inputs.hr'!$E$16))</f>
        <v>138350</v>
      </c>
      <c r="P39" s="790">
        <f>+P11*(1+'.c12_inputs.hr'!$E$15)+(P25*(1+'.c12_inputs.hr'!$E$16))</f>
        <v>0</v>
      </c>
      <c r="Q39" s="790">
        <f>+Q11*(1+'.c12_inputs.hr'!$E$15)+(Q25*(1+'.c12_inputs.hr'!$E$16))</f>
        <v>0</v>
      </c>
      <c r="R39" s="790">
        <f>+R11*(1+'.c12_inputs.hr'!$E$15)+(R25*(1+'.c12_inputs.hr'!$E$16))</f>
        <v>0</v>
      </c>
      <c r="S39" s="790">
        <f>+S11*(1+'.c12_inputs.hr'!$E$15)+(S25*(1+'.c12_inputs.hr'!$E$16))</f>
        <v>103899.99999999999</v>
      </c>
      <c r="T39" s="790">
        <f>+T11*(1+'.c12_inputs.hr'!$E$15)+(T25*(1+'.c12_inputs.hr'!$E$16))</f>
        <v>0</v>
      </c>
      <c r="U39" s="790">
        <f>+U11*(1+'.c12_inputs.hr'!$E$15)+(U25*(1+'.c12_inputs.hr'!$E$16))</f>
        <v>0</v>
      </c>
      <c r="V39" s="790">
        <f>+V11*(1+'.c12_inputs.hr'!$E$15)+(V25*(1+'.c12_inputs.hr'!$E$16))</f>
        <v>0</v>
      </c>
      <c r="W39" s="790">
        <f>+W11*(1+'.c12_inputs.hr'!$E$15)+(W25*(1+'.c12_inputs.hr'!$E$16))</f>
        <v>0</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2"/>
        <v>Senior Design Manager (AM)</v>
      </c>
      <c r="B40" s="779" t="s">
        <v>826</v>
      </c>
      <c r="C40" s="779" t="s">
        <v>1088</v>
      </c>
      <c r="D40" s="779" t="s">
        <v>1116</v>
      </c>
      <c r="E40" s="790"/>
      <c r="F40" s="777"/>
      <c r="G40" s="777"/>
      <c r="H40" s="777"/>
      <c r="I40" s="802">
        <v>119375</v>
      </c>
      <c r="J40" s="802">
        <v>54719.999999999993</v>
      </c>
      <c r="K40" s="777"/>
      <c r="L40" s="790">
        <f>+L12*(1+'.c12_inputs.hr'!$E$15)+(L26*(1+'.c12_inputs.hr'!$E$16))</f>
        <v>51839.999999999993</v>
      </c>
      <c r="M40" s="790">
        <f>+M12*(1+'.c12_inputs.hr'!$E$15)+(M26*(1+'.c12_inputs.hr'!$E$16))</f>
        <v>51839.999999999993</v>
      </c>
      <c r="N40" s="790">
        <f>+N12*(1+'.c12_inputs.hr'!$E$15)+(N26*(1+'.c12_inputs.hr'!$E$16))</f>
        <v>51839.999999999993</v>
      </c>
      <c r="O40" s="790">
        <f>+O12*(1+'.c12_inputs.hr'!$E$15)+(O26*(1+'.c12_inputs.hr'!$E$16))</f>
        <v>119375</v>
      </c>
      <c r="P40" s="790">
        <f>+P12*(1+'.c12_inputs.hr'!$E$15)+(P26*(1+'.c12_inputs.hr'!$E$16))</f>
        <v>54719.999999999993</v>
      </c>
      <c r="Q40" s="790">
        <f>+Q12*(1+'.c12_inputs.hr'!$E$15)+(Q26*(1+'.c12_inputs.hr'!$E$16))</f>
        <v>54719.999999999993</v>
      </c>
      <c r="R40" s="790">
        <f>+R12*(1+'.c12_inputs.hr'!$E$15)+(R26*(1+'.c12_inputs.hr'!$E$16))</f>
        <v>54719.999999999993</v>
      </c>
      <c r="S40" s="790">
        <f>+S12*(1+'.c12_inputs.hr'!$E$15)+(S26*(1+'.c12_inputs.hr'!$E$16))</f>
        <v>111864.99999999999</v>
      </c>
      <c r="T40" s="790">
        <f>+T12*(1+'.c12_inputs.hr'!$E$15)+(T26*(1+'.c12_inputs.hr'!$E$16))</f>
        <v>276024.99999999994</v>
      </c>
      <c r="U40" s="790">
        <f>+U12*(1+'.c12_inputs.hr'!$E$15)+(U26*(1+'.c12_inputs.hr'!$E$16))</f>
        <v>276024.99999999994</v>
      </c>
      <c r="V40" s="790">
        <f>+V12*(1+'.c12_inputs.hr'!$E$15)+(V26*(1+'.c12_inputs.hr'!$E$16))</f>
        <v>276024.99999999994</v>
      </c>
      <c r="W40" s="790">
        <f>+W12*(1+'.c12_inputs.hr'!$E$15)+(W26*(1+'.c12_inputs.hr'!$E$16))</f>
        <v>276024.99999999994</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2"/>
        <v>Design Manager (AL) (gone)</v>
      </c>
      <c r="B41" s="779" t="s">
        <v>826</v>
      </c>
      <c r="C41" s="779" t="s">
        <v>1088</v>
      </c>
      <c r="D41" s="779" t="s">
        <v>1118</v>
      </c>
      <c r="E41" s="790"/>
      <c r="F41" s="790"/>
      <c r="G41" s="790"/>
      <c r="H41" s="790"/>
      <c r="I41" s="802">
        <v>63415</v>
      </c>
      <c r="J41" s="802">
        <v>39600</v>
      </c>
      <c r="K41" s="790"/>
      <c r="L41" s="790">
        <f>+L13*(1+'.c12_inputs.hr'!$E$15)+(L27*(1+'.c12_inputs.hr'!$E$16))</f>
        <v>37440</v>
      </c>
      <c r="M41" s="790">
        <f>+M13*(1+'.c12_inputs.hr'!$E$15)+(M27*(1+'.c12_inputs.hr'!$E$16))</f>
        <v>37440</v>
      </c>
      <c r="N41" s="790">
        <f>+N13*(1+'.c12_inputs.hr'!$E$15)+(N27*(1+'.c12_inputs.hr'!$E$16))</f>
        <v>37440</v>
      </c>
      <c r="O41" s="790">
        <f>+O13*(1+'.c12_inputs.hr'!$E$15)+(O27*(1+'.c12_inputs.hr'!$E$16))</f>
        <v>63415</v>
      </c>
      <c r="P41" s="790">
        <f>+P13*(1+'.c12_inputs.hr'!$E$15)+(P27*(1+'.c12_inputs.hr'!$E$16))</f>
        <v>39600</v>
      </c>
      <c r="Q41" s="790">
        <f>+Q13*(1+'.c12_inputs.hr'!$E$15)+(Q27*(1+'.c12_inputs.hr'!$E$16))</f>
        <v>0</v>
      </c>
      <c r="R41" s="790">
        <f>+R13*(1+'.c12_inputs.hr'!$E$15)+(R27*(1+'.c12_inputs.hr'!$E$16))</f>
        <v>0</v>
      </c>
      <c r="S41" s="790">
        <f>+S13*(1+'.c12_inputs.hr'!$E$15)+(S27*(1+'.c12_inputs.hr'!$E$16))</f>
        <v>0</v>
      </c>
      <c r="T41" s="790">
        <f>+T13*(1+'.c12_inputs.hr'!$E$15)+(T27*(1+'.c12_inputs.hr'!$E$16))</f>
        <v>0</v>
      </c>
      <c r="U41" s="790">
        <f>+U13*(1+'.c12_inputs.hr'!$E$15)+(U27*(1+'.c12_inputs.hr'!$E$16))</f>
        <v>0</v>
      </c>
      <c r="V41" s="790">
        <f>+V13*(1+'.c12_inputs.hr'!$E$15)+(V27*(1+'.c12_inputs.hr'!$E$16))</f>
        <v>0</v>
      </c>
      <c r="W41" s="790">
        <f>+W13*(1+'.c12_inputs.hr'!$E$15)+(W27*(1+'.c12_inputs.hr'!$E$16))</f>
        <v>0</v>
      </c>
      <c r="X41" s="790"/>
      <c r="Y41" s="790"/>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2"/>
        <v>new design manager (TBD)</v>
      </c>
      <c r="B42" s="779" t="s">
        <v>826</v>
      </c>
      <c r="C42" s="779" t="s">
        <v>1088</v>
      </c>
      <c r="D42" s="779" t="s">
        <v>1120</v>
      </c>
      <c r="E42" s="790"/>
      <c r="F42" s="790"/>
      <c r="G42" s="790"/>
      <c r="H42" s="790"/>
      <c r="I42" s="802">
        <v>0</v>
      </c>
      <c r="J42" s="802">
        <v>0</v>
      </c>
      <c r="K42" s="790"/>
      <c r="L42" s="790">
        <f>+L14*(1+'.c12_inputs.hr'!$E$15)+(L28*(1+'.c12_inputs.hr'!$E$16))</f>
        <v>0</v>
      </c>
      <c r="M42" s="790">
        <f>+M14*(1+'.c12_inputs.hr'!$E$15)+(M28*(1+'.c12_inputs.hr'!$E$16))</f>
        <v>0</v>
      </c>
      <c r="N42" s="790">
        <f>+N14*(1+'.c12_inputs.hr'!$E$15)+(N28*(1+'.c12_inputs.hr'!$E$16))</f>
        <v>0</v>
      </c>
      <c r="O42" s="790">
        <f>+O14*(1+'.c12_inputs.hr'!$E$15)+(O28*(1+'.c12_inputs.hr'!$E$16))</f>
        <v>0</v>
      </c>
      <c r="P42" s="790">
        <f>+P14*(1+'.c12_inputs.hr'!$E$15)+(P28*(1+'.c12_inputs.hr'!$E$16))</f>
        <v>0</v>
      </c>
      <c r="Q42" s="790">
        <f>+Q14*(1+'.c12_inputs.hr'!$E$15)+(Q28*(1+'.c12_inputs.hr'!$E$16))</f>
        <v>0</v>
      </c>
      <c r="R42" s="790">
        <f>+R14*(1+'.c12_inputs.hr'!$E$15)+(R28*(1+'.c12_inputs.hr'!$E$16))</f>
        <v>39600</v>
      </c>
      <c r="S42" s="790">
        <f>+S14*(1+'.c12_inputs.hr'!$E$15)+(S28*(1+'.c12_inputs.hr'!$E$16))</f>
        <v>51288.75</v>
      </c>
      <c r="T42" s="790">
        <f>+T14*(1+'.c12_inputs.hr'!$E$15)+(T28*(1+'.c12_inputs.hr'!$E$16))</f>
        <v>181777.5</v>
      </c>
      <c r="U42" s="790">
        <f>+U14*(1+'.c12_inputs.hr'!$E$15)+(U28*(1+'.c12_inputs.hr'!$E$16))</f>
        <v>181777.5</v>
      </c>
      <c r="V42" s="790">
        <f>+V14*(1+'.c12_inputs.hr'!$E$15)+(V28*(1+'.c12_inputs.hr'!$E$16))</f>
        <v>181777.5</v>
      </c>
      <c r="W42" s="790">
        <f>+W14*(1+'.c12_inputs.hr'!$E$15)+(W28*(1+'.c12_inputs.hr'!$E$16))</f>
        <v>181777.5</v>
      </c>
      <c r="X42" s="790"/>
      <c r="Y42" s="790"/>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2"/>
        <v>FF&amp;E (SB)</v>
      </c>
      <c r="B43" s="779" t="s">
        <v>826</v>
      </c>
      <c r="C43" s="779" t="s">
        <v>1088</v>
      </c>
      <c r="D43" s="779" t="s">
        <v>1122</v>
      </c>
      <c r="E43" s="790"/>
      <c r="F43" s="790"/>
      <c r="G43" s="790"/>
      <c r="H43" s="790"/>
      <c r="I43" s="802">
        <v>31680</v>
      </c>
      <c r="J43" s="802">
        <v>31680</v>
      </c>
      <c r="K43" s="790"/>
      <c r="L43" s="790">
        <f>+L15*(1+'.c12_inputs.hr'!$E$15)+(L29*(1+'.c12_inputs.hr'!$E$16))</f>
        <v>31679.999999999996</v>
      </c>
      <c r="M43" s="790">
        <f>+M15*(1+'.c12_inputs.hr'!$E$15)+(M29*(1+'.c12_inputs.hr'!$E$16))</f>
        <v>31679.999999999996</v>
      </c>
      <c r="N43" s="790">
        <f>+N15*(1+'.c12_inputs.hr'!$E$15)+(N29*(1+'.c12_inputs.hr'!$E$16))</f>
        <v>31679.999999999996</v>
      </c>
      <c r="O43" s="790">
        <f>+O15*(1+'.c12_inputs.hr'!$E$15)+(O29*(1+'.c12_inputs.hr'!$E$16))</f>
        <v>31679.999999999996</v>
      </c>
      <c r="P43" s="790">
        <f>+P15*(1+'.c12_inputs.hr'!$E$15)+(P29*(1+'.c12_inputs.hr'!$E$16))</f>
        <v>31679.999999999996</v>
      </c>
      <c r="Q43" s="790">
        <f>+Q15*(1+'.c12_inputs.hr'!$E$15)+(Q29*(1+'.c12_inputs.hr'!$E$16))</f>
        <v>31679.999999999996</v>
      </c>
      <c r="R43" s="790">
        <f>+R15*(1+'.c12_inputs.hr'!$E$15)+(R29*(1+'.c12_inputs.hr'!$E$16))</f>
        <v>31679.999999999996</v>
      </c>
      <c r="S43" s="790">
        <f>+S15*(1+'.c12_inputs.hr'!$E$15)+(S29*(1+'.c12_inputs.hr'!$E$16))</f>
        <v>47264.999999999993</v>
      </c>
      <c r="T43" s="790">
        <f>+T15*(1+'.c12_inputs.hr'!$E$15)+(T29*(1+'.c12_inputs.hr'!$E$16))</f>
        <v>142304.99999999997</v>
      </c>
      <c r="U43" s="790">
        <f>+U15*(1+'.c12_inputs.hr'!$E$15)+(U29*(1+'.c12_inputs.hr'!$E$16))</f>
        <v>142304.99999999997</v>
      </c>
      <c r="V43" s="790">
        <f>+V15*(1+'.c12_inputs.hr'!$E$15)+(V29*(1+'.c12_inputs.hr'!$E$16))</f>
        <v>142304.99999999997</v>
      </c>
      <c r="W43" s="790">
        <f>+W15*(1+'.c12_inputs.hr'!$E$15)+(W29*(1+'.c12_inputs.hr'!$E$16))</f>
        <v>142304.99999999997</v>
      </c>
      <c r="X43" s="790"/>
      <c r="Y43" s="790"/>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ht="14.65" customHeight="1">
      <c r="A44" s="753" t="str">
        <f t="shared" si="2"/>
        <v>Senior Financial Analyst (KS)</v>
      </c>
      <c r="B44" s="779" t="s">
        <v>826</v>
      </c>
      <c r="C44" s="779" t="s">
        <v>1088</v>
      </c>
      <c r="D44" s="779" t="s">
        <v>1124</v>
      </c>
      <c r="E44" s="790"/>
      <c r="F44" s="790"/>
      <c r="G44" s="790"/>
      <c r="H44" s="790"/>
      <c r="I44" s="802">
        <v>51949.999999999993</v>
      </c>
      <c r="J44" s="802">
        <v>57599.999999999993</v>
      </c>
      <c r="K44" s="790"/>
      <c r="L44" s="790">
        <f>+L16*(1+'.c12_inputs.hr'!$E$15)+(L30*(1+'.c12_inputs.hr'!$E$16))</f>
        <v>0</v>
      </c>
      <c r="M44" s="790">
        <f>+M16*(1+'.c12_inputs.hr'!$E$15)+(M30*(1+'.c12_inputs.hr'!$E$16))</f>
        <v>0</v>
      </c>
      <c r="N44" s="790">
        <f>+N16*(1+'.c12_inputs.hr'!$E$15)+(N30*(1+'.c12_inputs.hr'!$E$16))</f>
        <v>0</v>
      </c>
      <c r="O44" s="790">
        <f>+O16*(1+'.c12_inputs.hr'!$E$15)+(O30*(1+'.c12_inputs.hr'!$E$16))</f>
        <v>51949.999999999993</v>
      </c>
      <c r="P44" s="790">
        <f>+P16*(1+'.c12_inputs.hr'!$E$15)+(P30*(1+'.c12_inputs.hr'!$E$16))</f>
        <v>57599.999999999993</v>
      </c>
      <c r="Q44" s="790">
        <f>+Q16*(1+'.c12_inputs.hr'!$E$15)+(Q30*(1+'.c12_inputs.hr'!$E$16))</f>
        <v>57599.999999999993</v>
      </c>
      <c r="R44" s="790">
        <f>+R16*(1+'.c12_inputs.hr'!$E$15)+(R30*(1+'.c12_inputs.hr'!$E$16))</f>
        <v>57599.999999999993</v>
      </c>
      <c r="S44" s="790">
        <f>+S16*(1+'.c12_inputs.hr'!$E$15)+(S30*(1+'.c12_inputs.hr'!$E$16))</f>
        <v>109549.99999999999</v>
      </c>
      <c r="T44" s="790">
        <f>+T16*(1+'.c12_inputs.hr'!$E$15)+(T30*(1+'.c12_inputs.hr'!$E$16))</f>
        <v>282349.99999999994</v>
      </c>
      <c r="U44" s="790">
        <f>+U16*(1+'.c12_inputs.hr'!$E$15)+(U30*(1+'.c12_inputs.hr'!$E$16))</f>
        <v>282349.99999999994</v>
      </c>
      <c r="V44" s="790">
        <f>+V16*(1+'.c12_inputs.hr'!$E$15)+(V30*(1+'.c12_inputs.hr'!$E$16))</f>
        <v>282349.99999999994</v>
      </c>
      <c r="W44" s="790">
        <f>+W16*(1+'.c12_inputs.hr'!$E$15)+(W30*(1+'.c12_inputs.hr'!$E$16))</f>
        <v>282349.99999999994</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ht="14.65" customHeight="1">
      <c r="A45" s="799" t="s">
        <v>994</v>
      </c>
      <c r="B45" s="779" t="s">
        <v>808</v>
      </c>
      <c r="C45" s="779" t="s">
        <v>995</v>
      </c>
      <c r="D45" s="753"/>
      <c r="E45" s="790"/>
      <c r="F45" s="790"/>
      <c r="G45" s="790"/>
      <c r="H45" s="790"/>
      <c r="I45" s="802">
        <v>1652177.5</v>
      </c>
      <c r="J45" s="802">
        <v>560159.99999999988</v>
      </c>
      <c r="K45" s="790"/>
      <c r="L45" s="803">
        <f t="shared" ref="L45:W45" si="3">SUM(L34:L44)</f>
        <v>515519.99999999994</v>
      </c>
      <c r="M45" s="803">
        <f t="shared" si="3"/>
        <v>515519.99999999994</v>
      </c>
      <c r="N45" s="803">
        <f t="shared" si="3"/>
        <v>515519.99999999994</v>
      </c>
      <c r="O45" s="803">
        <f t="shared" si="3"/>
        <v>1652177.5</v>
      </c>
      <c r="P45" s="803">
        <f t="shared" si="3"/>
        <v>560159.99999999988</v>
      </c>
      <c r="Q45" s="803">
        <f t="shared" si="3"/>
        <v>520559.99999999994</v>
      </c>
      <c r="R45" s="803">
        <f t="shared" si="3"/>
        <v>560159.99999999988</v>
      </c>
      <c r="S45" s="803">
        <f t="shared" si="3"/>
        <v>1221223.75</v>
      </c>
      <c r="T45" s="803">
        <f t="shared" si="3"/>
        <v>2809492.4999999995</v>
      </c>
      <c r="U45" s="803">
        <f t="shared" si="3"/>
        <v>2809492.4999999995</v>
      </c>
      <c r="V45" s="803">
        <f t="shared" si="3"/>
        <v>2809492.4999999995</v>
      </c>
      <c r="W45" s="803">
        <f t="shared" si="3"/>
        <v>2809492.4999999995</v>
      </c>
      <c r="X45" s="790"/>
      <c r="Y45" s="794"/>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80" t="s">
        <v>996</v>
      </c>
      <c r="B46" s="779" t="s">
        <v>808</v>
      </c>
      <c r="C46" s="779" t="s">
        <v>997</v>
      </c>
      <c r="D46" s="753"/>
      <c r="E46" s="785"/>
      <c r="F46" s="790"/>
      <c r="G46" s="790"/>
      <c r="H46" s="790"/>
      <c r="I46" s="787">
        <v>123922.5</v>
      </c>
      <c r="J46" s="787">
        <v>85679.999999999985</v>
      </c>
      <c r="K46" s="790"/>
      <c r="L46" s="788">
        <f>SUMPRODUCT('.c12_alloc'!$H$24:$H$34,'.c12_d&amp;s_hr'!L$34:L$44)</f>
        <v>84959.999999999985</v>
      </c>
      <c r="M46" s="788">
        <f>SUMPRODUCT('.c12_alloc'!$H$24:$H$34,'.c12_d&amp;s_hr'!M$34:M$44)</f>
        <v>84959.999999999985</v>
      </c>
      <c r="N46" s="788">
        <f>SUMPRODUCT('.c12_alloc'!$H$24:$H$34,'.c12_d&amp;s_hr'!N$34:N$44)</f>
        <v>84959.999999999985</v>
      </c>
      <c r="O46" s="788">
        <f>SUMPRODUCT('.c12_alloc'!$H$24:$H$34,'.c12_d&amp;s_hr'!O$34:O$44)</f>
        <v>123922.5</v>
      </c>
      <c r="P46" s="788">
        <f>SUMPRODUCT('.c12_alloc'!$H$24:$H$34,'.c12_d&amp;s_hr'!P$34:P$44)</f>
        <v>85679.999999999985</v>
      </c>
      <c r="Q46" s="788">
        <f>SUMPRODUCT('.c12_alloc'!$H$24:$H$34,'.c12_d&amp;s_hr'!Q$34:Q$44)</f>
        <v>85679.999999999985</v>
      </c>
      <c r="R46" s="788">
        <f>SUMPRODUCT('.c12_alloc'!$H$24:$H$34,'.c12_d&amp;s_hr'!R$34:R$44)</f>
        <v>85679.999999999985</v>
      </c>
      <c r="S46" s="788">
        <f>SUMPRODUCT('.c12_alloc'!$H$24:$H$34,'.c12_d&amp;s_hr'!S$34:S$44)</f>
        <v>116849.99999999997</v>
      </c>
      <c r="T46" s="788">
        <f>SUMPRODUCT('.c12_alloc'!$H$24:$H$34,'.c12_d&amp;s_hr'!T$34:T$44)</f>
        <v>373889.99999999994</v>
      </c>
      <c r="U46" s="788">
        <f>SUMPRODUCT('.c12_alloc'!$H$24:$H$34,'.c12_d&amp;s_hr'!U$34:U$44)</f>
        <v>373889.99999999994</v>
      </c>
      <c r="V46" s="788">
        <f>SUMPRODUCT('.c12_alloc'!$H$24:$H$34,'.c12_d&amp;s_hr'!V$34:V$44)</f>
        <v>373889.99999999994</v>
      </c>
      <c r="W46" s="788">
        <f>SUMPRODUCT('.c12_alloc'!$H$24:$H$34,'.c12_d&amp;s_hr'!W$34:W$44)</f>
        <v>373889.99999999994</v>
      </c>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80" t="s">
        <v>998</v>
      </c>
      <c r="B47" s="779" t="s">
        <v>808</v>
      </c>
      <c r="C47" s="779" t="s">
        <v>999</v>
      </c>
      <c r="D47" s="753"/>
      <c r="E47" s="785"/>
      <c r="F47" s="790"/>
      <c r="G47" s="790"/>
      <c r="H47" s="790"/>
      <c r="I47" s="787">
        <v>1528255</v>
      </c>
      <c r="J47" s="787">
        <v>474480</v>
      </c>
      <c r="K47" s="790"/>
      <c r="L47" s="788">
        <f>SUMPRODUCT('.c12_alloc'!$G$24:$G$34,'.c12_d&amp;s_hr'!L$34:L$44)</f>
        <v>430560</v>
      </c>
      <c r="M47" s="788">
        <f>SUMPRODUCT('.c12_alloc'!$G$24:$G$34,'.c12_d&amp;s_hr'!M$34:M$44)</f>
        <v>430560</v>
      </c>
      <c r="N47" s="788">
        <f>SUMPRODUCT('.c12_alloc'!$G$24:$G$34,'.c12_d&amp;s_hr'!N$34:N$44)</f>
        <v>430560</v>
      </c>
      <c r="O47" s="788">
        <f>SUMPRODUCT('.c12_alloc'!$G$24:$G$34,'.c12_d&amp;s_hr'!O$34:O$44)</f>
        <v>1528255</v>
      </c>
      <c r="P47" s="788">
        <f>SUMPRODUCT('.c12_alloc'!$G$24:$G$34,'.c12_d&amp;s_hr'!P$34:P$44)</f>
        <v>474480</v>
      </c>
      <c r="Q47" s="788">
        <f>SUMPRODUCT('.c12_alloc'!$G$24:$G$34,'.c12_d&amp;s_hr'!Q$34:Q$44)</f>
        <v>434880</v>
      </c>
      <c r="R47" s="788">
        <f>SUMPRODUCT('.c12_alloc'!$G$24:$G$34,'.c12_d&amp;s_hr'!R$34:R$44)</f>
        <v>474480</v>
      </c>
      <c r="S47" s="788">
        <f>SUMPRODUCT('.c12_alloc'!$G$24:$G$34,'.c12_d&amp;s_hr'!S$34:S$44)</f>
        <v>1104373.75</v>
      </c>
      <c r="T47" s="788">
        <f>SUMPRODUCT('.c12_alloc'!$G$24:$G$34,'.c12_d&amp;s_hr'!T$34:T$44)</f>
        <v>2435602.4999999995</v>
      </c>
      <c r="U47" s="788">
        <f>SUMPRODUCT('.c12_alloc'!$G$24:$G$34,'.c12_d&amp;s_hr'!U$34:U$44)</f>
        <v>2435602.4999999995</v>
      </c>
      <c r="V47" s="788">
        <f>SUMPRODUCT('.c12_alloc'!$G$24:$G$34,'.c12_d&amp;s_hr'!V$34:V$44)</f>
        <v>2435602.4999999995</v>
      </c>
      <c r="W47" s="788">
        <f>SUMPRODUCT('.c12_alloc'!$G$24:$G$34,'.c12_d&amp;s_hr'!W$34:W$44)</f>
        <v>2435602.4999999995</v>
      </c>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80" t="s">
        <v>1000</v>
      </c>
      <c r="B48" s="779" t="s">
        <v>808</v>
      </c>
      <c r="C48" s="779" t="s">
        <v>1001</v>
      </c>
      <c r="D48" s="753"/>
      <c r="E48" s="785"/>
      <c r="F48" s="785"/>
      <c r="G48" s="785"/>
      <c r="H48" s="785"/>
      <c r="I48" s="787">
        <v>0</v>
      </c>
      <c r="J48" s="787">
        <v>0</v>
      </c>
      <c r="K48" s="785"/>
      <c r="L48" s="788">
        <f>SUMPRODUCT('.c12_alloc'!$E$24:$E$34,'.c12_d&amp;s_hr'!L$34:L$44)</f>
        <v>0</v>
      </c>
      <c r="M48" s="788">
        <f>SUMPRODUCT('.c12_alloc'!$E$24:$E$34,'.c12_d&amp;s_hr'!M$34:M$44)</f>
        <v>0</v>
      </c>
      <c r="N48" s="788">
        <f>SUMPRODUCT('.c12_alloc'!$E$24:$E$34,'.c12_d&amp;s_hr'!N$34:N$44)</f>
        <v>0</v>
      </c>
      <c r="O48" s="788">
        <f>SUMPRODUCT('.c12_alloc'!$E$24:$E$34,'.c12_d&amp;s_hr'!O$34:O$44)</f>
        <v>0</v>
      </c>
      <c r="P48" s="788">
        <f>SUMPRODUCT('.c12_alloc'!$E$24:$E$34,'.c12_d&amp;s_hr'!P$34:P$44)</f>
        <v>0</v>
      </c>
      <c r="Q48" s="788">
        <f>SUMPRODUCT('.c12_alloc'!$E$24:$E$34,'.c12_d&amp;s_hr'!Q$34:Q$44)</f>
        <v>0</v>
      </c>
      <c r="R48" s="788">
        <f>SUMPRODUCT('.c12_alloc'!$E$24:$E$34,'.c12_d&amp;s_hr'!R$34:R$44)</f>
        <v>0</v>
      </c>
      <c r="S48" s="788">
        <f>SUMPRODUCT('.c12_alloc'!$E$24:$E$34,'.c12_d&amp;s_hr'!S$34:S$44)</f>
        <v>0</v>
      </c>
      <c r="T48" s="788">
        <f>SUMPRODUCT('.c12_alloc'!$E$24:$E$34,'.c12_d&amp;s_hr'!T$34:T$44)</f>
        <v>0</v>
      </c>
      <c r="U48" s="788">
        <f>SUMPRODUCT('.c12_alloc'!$E$24:$E$34,'.c12_d&amp;s_hr'!U$34:U$44)</f>
        <v>0</v>
      </c>
      <c r="V48" s="788">
        <f>SUMPRODUCT('.c12_alloc'!$E$24:$E$34,'.c12_d&amp;s_hr'!V$34:V$44)</f>
        <v>0</v>
      </c>
      <c r="W48" s="788">
        <f>SUMPRODUCT('.c12_alloc'!$E$24:$E$34,'.c12_d&amp;s_hr'!W$34:W$44)</f>
        <v>0</v>
      </c>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85"/>
      <c r="F49" s="785"/>
      <c r="G49" s="785"/>
      <c r="H49" s="785"/>
      <c r="I49" s="785"/>
      <c r="J49" s="785"/>
      <c r="K49" s="785"/>
      <c r="L49" s="785"/>
      <c r="M49" s="785"/>
      <c r="N49" s="785"/>
      <c r="O49" s="785"/>
      <c r="P49" s="785"/>
      <c r="Q49" s="785"/>
      <c r="R49" s="785"/>
      <c r="S49" s="785"/>
      <c r="T49" s="785"/>
      <c r="U49" s="785"/>
      <c r="V49" s="785"/>
      <c r="W49" s="785"/>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85"/>
      <c r="F50" s="785"/>
      <c r="G50" s="785"/>
      <c r="H50" s="785"/>
      <c r="I50" s="785"/>
      <c r="J50" s="785"/>
      <c r="K50" s="785"/>
      <c r="L50" s="785"/>
      <c r="M50" s="785"/>
      <c r="N50" s="785"/>
      <c r="O50" s="785"/>
      <c r="P50" s="785"/>
      <c r="Q50" s="785"/>
      <c r="R50" s="785"/>
      <c r="S50" s="785"/>
      <c r="T50" s="785"/>
      <c r="U50" s="785"/>
      <c r="V50" s="785"/>
      <c r="W50" s="785"/>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tabSelected="1" zoomScale="98" workbookViewId="0">
      <pane xSplit="4" ySplit="3" topLeftCell="E4" activePane="bottomRight" state="frozen"/>
      <selection pane="topRight"/>
      <selection pane="bottomLeft"/>
      <selection pane="bottomRight" activeCell="A3" sqref="A3:XFD3"/>
    </sheetView>
  </sheetViews>
  <sheetFormatPr defaultRowHeight="14.5"/>
  <cols>
    <col min="1" max="1" width="42.089843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802</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1089</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s="5" customFormat="1">
      <c r="A6" s="768" t="s">
        <v>1125</v>
      </c>
      <c r="B6" s="769" t="s">
        <v>6</v>
      </c>
      <c r="C6" s="770" t="s">
        <v>1074</v>
      </c>
      <c r="D6" s="771" t="s">
        <v>1126</v>
      </c>
      <c r="E6" s="753"/>
      <c r="F6" s="753"/>
      <c r="G6" s="753"/>
      <c r="H6" s="753"/>
      <c r="I6" s="773">
        <v>93750</v>
      </c>
      <c r="J6" s="805">
        <v>93750</v>
      </c>
      <c r="K6" s="753"/>
      <c r="L6" s="774">
        <v>93750</v>
      </c>
      <c r="M6" s="774">
        <v>93750</v>
      </c>
      <c r="N6" s="774">
        <v>93750</v>
      </c>
      <c r="O6" s="774">
        <v>93750</v>
      </c>
      <c r="P6" s="775">
        <v>93750</v>
      </c>
      <c r="Q6" s="774">
        <v>93750</v>
      </c>
      <c r="R6" s="774">
        <v>93750</v>
      </c>
      <c r="S6" s="774">
        <v>93750</v>
      </c>
      <c r="T6" s="774">
        <v>375000</v>
      </c>
      <c r="U6" s="774">
        <v>375000</v>
      </c>
      <c r="V6" s="774">
        <v>375000</v>
      </c>
      <c r="W6" s="774">
        <v>375000</v>
      </c>
      <c r="X6" s="753"/>
      <c r="Y6" s="794"/>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s="5" customFormat="1">
      <c r="A7" s="768" t="s">
        <v>1127</v>
      </c>
      <c r="B7" s="769" t="s">
        <v>6</v>
      </c>
      <c r="C7" s="770" t="s">
        <v>1074</v>
      </c>
      <c r="D7" s="771" t="s">
        <v>1128</v>
      </c>
      <c r="E7" s="753"/>
      <c r="F7" s="753"/>
      <c r="G7" s="753"/>
      <c r="H7" s="753"/>
      <c r="I7" s="773">
        <v>0</v>
      </c>
      <c r="J7" s="773">
        <v>0</v>
      </c>
      <c r="K7" s="753"/>
      <c r="L7" s="774">
        <v>0</v>
      </c>
      <c r="M7" s="774">
        <v>0</v>
      </c>
      <c r="N7" s="774">
        <v>0</v>
      </c>
      <c r="O7" s="774">
        <v>0</v>
      </c>
      <c r="P7" s="774">
        <v>0</v>
      </c>
      <c r="Q7" s="774">
        <v>125000</v>
      </c>
      <c r="R7" s="774">
        <v>125000</v>
      </c>
      <c r="S7" s="774">
        <v>125000</v>
      </c>
      <c r="T7" s="774">
        <v>375000</v>
      </c>
      <c r="U7" s="774">
        <v>375000</v>
      </c>
      <c r="V7" s="774">
        <v>375000</v>
      </c>
      <c r="W7" s="774">
        <v>375000</v>
      </c>
      <c r="X7" s="753"/>
      <c r="Y7" s="794"/>
      <c r="Z7" s="753"/>
      <c r="AA7" s="753"/>
      <c r="AB7" s="801"/>
      <c r="AC7" s="806"/>
      <c r="AD7" s="801"/>
      <c r="AE7" s="801"/>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s="5" customFormat="1">
      <c r="A8" s="768" t="s">
        <v>1129</v>
      </c>
      <c r="B8" s="769" t="s">
        <v>6</v>
      </c>
      <c r="C8" s="770" t="s">
        <v>1074</v>
      </c>
      <c r="D8" s="771" t="s">
        <v>1130</v>
      </c>
      <c r="E8" s="753"/>
      <c r="F8" s="753"/>
      <c r="G8" s="753"/>
      <c r="H8" s="753"/>
      <c r="I8" s="773">
        <v>21250</v>
      </c>
      <c r="J8" s="805">
        <v>21250</v>
      </c>
      <c r="K8" s="753"/>
      <c r="L8" s="774">
        <v>0</v>
      </c>
      <c r="M8" s="774">
        <v>0</v>
      </c>
      <c r="N8" s="774">
        <v>21250</v>
      </c>
      <c r="O8" s="774">
        <v>21250</v>
      </c>
      <c r="P8" s="775">
        <v>21250</v>
      </c>
      <c r="Q8" s="804">
        <v>21250</v>
      </c>
      <c r="R8" s="804">
        <v>21250</v>
      </c>
      <c r="S8" s="804">
        <v>21250</v>
      </c>
      <c r="T8" s="804">
        <v>85000</v>
      </c>
      <c r="U8" s="804">
        <v>85000</v>
      </c>
      <c r="V8" s="804">
        <v>85000</v>
      </c>
      <c r="W8" s="804">
        <v>85000</v>
      </c>
      <c r="X8" s="753"/>
      <c r="Y8" s="794"/>
      <c r="Z8" s="753"/>
      <c r="AA8" s="753"/>
      <c r="AB8" s="753"/>
      <c r="AC8" s="754"/>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s="5" customFormat="1">
      <c r="A9" s="768" t="s">
        <v>1131</v>
      </c>
      <c r="B9" s="797" t="s">
        <v>6</v>
      </c>
      <c r="C9" s="798" t="s">
        <v>1074</v>
      </c>
      <c r="D9" s="797" t="s">
        <v>1132</v>
      </c>
      <c r="E9" s="753"/>
      <c r="F9" s="753"/>
      <c r="G9" s="753"/>
      <c r="H9" s="753"/>
      <c r="I9" s="773">
        <v>46250</v>
      </c>
      <c r="J9" s="805">
        <v>48750</v>
      </c>
      <c r="K9" s="753"/>
      <c r="L9" s="774">
        <v>46250</v>
      </c>
      <c r="M9" s="774">
        <v>46250</v>
      </c>
      <c r="N9" s="774">
        <v>46250</v>
      </c>
      <c r="O9" s="774">
        <v>46250</v>
      </c>
      <c r="P9" s="775">
        <v>48750</v>
      </c>
      <c r="Q9" s="804">
        <v>48750</v>
      </c>
      <c r="R9" s="804">
        <v>48750</v>
      </c>
      <c r="S9" s="804">
        <v>48750</v>
      </c>
      <c r="T9" s="804">
        <v>195000</v>
      </c>
      <c r="U9" s="804">
        <v>195000</v>
      </c>
      <c r="V9" s="804">
        <v>195000</v>
      </c>
      <c r="W9" s="804">
        <v>195000</v>
      </c>
      <c r="X9" s="753"/>
      <c r="Y9" s="794"/>
      <c r="Z9" s="753"/>
      <c r="AA9" s="753"/>
      <c r="AB9" s="807"/>
      <c r="AC9" s="808"/>
      <c r="AD9" s="809"/>
      <c r="AE9" s="772"/>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s="34" customFormat="1">
      <c r="A10" s="779" t="s">
        <v>1133</v>
      </c>
      <c r="B10" s="797" t="s">
        <v>6</v>
      </c>
      <c r="C10" s="798" t="s">
        <v>1074</v>
      </c>
      <c r="D10" s="797" t="s">
        <v>1116</v>
      </c>
      <c r="E10" s="777"/>
      <c r="F10" s="777"/>
      <c r="G10" s="777"/>
      <c r="H10" s="777"/>
      <c r="I10" s="773">
        <v>31250</v>
      </c>
      <c r="J10" s="773">
        <v>0</v>
      </c>
      <c r="K10" s="777"/>
      <c r="L10" s="774">
        <v>37500</v>
      </c>
      <c r="M10" s="774">
        <v>37500</v>
      </c>
      <c r="N10" s="774">
        <v>37500</v>
      </c>
      <c r="O10" s="774">
        <v>31250</v>
      </c>
      <c r="P10" s="774">
        <v>0</v>
      </c>
      <c r="Q10" s="774">
        <v>0</v>
      </c>
      <c r="R10" s="774">
        <v>0</v>
      </c>
      <c r="S10" s="774">
        <v>0</v>
      </c>
      <c r="T10" s="804">
        <v>0</v>
      </c>
      <c r="U10" s="804">
        <v>0</v>
      </c>
      <c r="V10" s="804">
        <v>0</v>
      </c>
      <c r="W10" s="804">
        <v>0</v>
      </c>
      <c r="X10" s="753"/>
      <c r="Y10" s="794"/>
      <c r="Z10" s="753"/>
      <c r="AA10" s="753"/>
      <c r="AB10" s="807"/>
      <c r="AC10" s="808"/>
      <c r="AD10" s="809"/>
      <c r="AE10" s="772"/>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1134</v>
      </c>
      <c r="B11" s="779" t="s">
        <v>6</v>
      </c>
      <c r="C11" s="779" t="s">
        <v>1074</v>
      </c>
      <c r="D11" s="779" t="s">
        <v>1135</v>
      </c>
      <c r="E11" s="753"/>
      <c r="F11" s="753"/>
      <c r="G11" s="753"/>
      <c r="H11" s="753"/>
      <c r="I11" s="773">
        <v>0</v>
      </c>
      <c r="J11" s="773">
        <v>0</v>
      </c>
      <c r="K11" s="753"/>
      <c r="L11" s="774">
        <v>0</v>
      </c>
      <c r="M11" s="774">
        <v>0</v>
      </c>
      <c r="N11" s="774">
        <v>0</v>
      </c>
      <c r="O11" s="774">
        <v>0</v>
      </c>
      <c r="P11" s="774">
        <v>0</v>
      </c>
      <c r="Q11" s="776">
        <v>36250</v>
      </c>
      <c r="R11" s="776">
        <v>36250</v>
      </c>
      <c r="S11" s="776">
        <v>36250</v>
      </c>
      <c r="T11" s="774">
        <v>145000</v>
      </c>
      <c r="U11" s="776">
        <v>145000</v>
      </c>
      <c r="V11" s="776">
        <v>145000</v>
      </c>
      <c r="W11" s="776">
        <v>145000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s="30" customFormat="1">
      <c r="A12" s="768" t="s">
        <v>1136</v>
      </c>
      <c r="B12" s="797" t="s">
        <v>6</v>
      </c>
      <c r="C12" s="798" t="s">
        <v>1074</v>
      </c>
      <c r="D12" s="797" t="s">
        <v>1137</v>
      </c>
      <c r="E12" s="781"/>
      <c r="F12" s="781"/>
      <c r="G12" s="781"/>
      <c r="H12" s="781"/>
      <c r="I12" s="795">
        <v>53750</v>
      </c>
      <c r="J12" s="795">
        <v>53750</v>
      </c>
      <c r="K12" s="781"/>
      <c r="L12" s="774">
        <v>0</v>
      </c>
      <c r="M12" s="774">
        <v>0</v>
      </c>
      <c r="N12" s="796">
        <v>53750</v>
      </c>
      <c r="O12" s="796">
        <v>53750</v>
      </c>
      <c r="P12" s="796">
        <v>53750</v>
      </c>
      <c r="Q12" s="776">
        <v>53750</v>
      </c>
      <c r="R12" s="776">
        <v>53750</v>
      </c>
      <c r="S12" s="776">
        <v>53750</v>
      </c>
      <c r="T12" s="804">
        <v>215000</v>
      </c>
      <c r="U12" s="804">
        <v>215000</v>
      </c>
      <c r="V12" s="804">
        <v>215000</v>
      </c>
      <c r="W12" s="804">
        <v>215000</v>
      </c>
      <c r="X12" s="753"/>
      <c r="Y12" s="753"/>
      <c r="Z12" s="753"/>
      <c r="AA12" s="753"/>
      <c r="AB12" s="777"/>
      <c r="AC12" s="794"/>
      <c r="AD12" s="794"/>
      <c r="AE12" s="753"/>
      <c r="AF12" s="807"/>
      <c r="AG12" s="808"/>
      <c r="AH12" s="809"/>
      <c r="AI12" s="777"/>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s="30" customFormat="1">
      <c r="A13" s="768" t="s">
        <v>1138</v>
      </c>
      <c r="B13" s="797" t="s">
        <v>6</v>
      </c>
      <c r="C13" s="798" t="s">
        <v>1074</v>
      </c>
      <c r="D13" s="797" t="s">
        <v>1139</v>
      </c>
      <c r="E13" s="781"/>
      <c r="F13" s="781"/>
      <c r="G13" s="781"/>
      <c r="H13" s="781"/>
      <c r="I13" s="782">
        <v>40000</v>
      </c>
      <c r="J13" s="782">
        <v>40000</v>
      </c>
      <c r="K13" s="781"/>
      <c r="L13" s="776">
        <v>40000</v>
      </c>
      <c r="M13" s="776">
        <v>40000</v>
      </c>
      <c r="N13" s="776">
        <v>40000</v>
      </c>
      <c r="O13" s="776">
        <v>40000</v>
      </c>
      <c r="P13" s="776">
        <v>40000</v>
      </c>
      <c r="Q13" s="776">
        <v>40000</v>
      </c>
      <c r="R13" s="776">
        <v>40000</v>
      </c>
      <c r="S13" s="776">
        <v>40000</v>
      </c>
      <c r="T13" s="796">
        <v>200000</v>
      </c>
      <c r="U13" s="796">
        <v>200000</v>
      </c>
      <c r="V13" s="796">
        <v>200000</v>
      </c>
      <c r="W13" s="796">
        <v>200000</v>
      </c>
      <c r="X13" s="772"/>
      <c r="Y13" s="772"/>
      <c r="Z13" s="772"/>
      <c r="AA13" s="772"/>
      <c r="AB13" s="777"/>
      <c r="AC13" s="794"/>
      <c r="AD13" s="794"/>
      <c r="AE13" s="753"/>
      <c r="AF13" s="807"/>
      <c r="AG13" s="808"/>
      <c r="AH13" s="809"/>
      <c r="AI13" s="777"/>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s="34" customFormat="1">
      <c r="A14" s="779" t="s">
        <v>1140</v>
      </c>
      <c r="B14" s="797" t="s">
        <v>6</v>
      </c>
      <c r="C14" s="798" t="s">
        <v>1074</v>
      </c>
      <c r="D14" s="797" t="s">
        <v>1141</v>
      </c>
      <c r="E14" s="753"/>
      <c r="F14" s="753"/>
      <c r="G14" s="753"/>
      <c r="H14" s="753"/>
      <c r="I14" s="773">
        <v>0</v>
      </c>
      <c r="J14" s="773">
        <v>0</v>
      </c>
      <c r="K14" s="753"/>
      <c r="L14" s="774">
        <v>0</v>
      </c>
      <c r="M14" s="774">
        <v>0</v>
      </c>
      <c r="N14" s="774">
        <v>0</v>
      </c>
      <c r="O14" s="774">
        <v>0</v>
      </c>
      <c r="P14" s="774">
        <v>0</v>
      </c>
      <c r="Q14" s="804">
        <v>0</v>
      </c>
      <c r="R14" s="776">
        <v>37500</v>
      </c>
      <c r="S14" s="776">
        <v>37500</v>
      </c>
      <c r="T14" s="804">
        <v>150000</v>
      </c>
      <c r="U14" s="804">
        <v>150000</v>
      </c>
      <c r="V14" s="804">
        <v>150000</v>
      </c>
      <c r="W14" s="804">
        <v>150000</v>
      </c>
      <c r="X14" s="753"/>
      <c r="Y14" s="794"/>
      <c r="Z14" s="753"/>
      <c r="AA14" s="753"/>
      <c r="AB14" s="807"/>
      <c r="AC14" s="808"/>
      <c r="AD14" s="809"/>
      <c r="AE14" s="772"/>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4" customFormat="1">
      <c r="A15" s="779" t="s">
        <v>1142</v>
      </c>
      <c r="B15" s="797" t="s">
        <v>6</v>
      </c>
      <c r="C15" s="798" t="s">
        <v>1074</v>
      </c>
      <c r="D15" s="797" t="s">
        <v>1143</v>
      </c>
      <c r="E15" s="753"/>
      <c r="F15" s="753"/>
      <c r="G15" s="753"/>
      <c r="H15" s="753"/>
      <c r="I15" s="773">
        <v>0</v>
      </c>
      <c r="J15" s="773">
        <v>0</v>
      </c>
      <c r="K15" s="753"/>
      <c r="L15" s="774">
        <v>0</v>
      </c>
      <c r="M15" s="774">
        <v>0</v>
      </c>
      <c r="N15" s="774">
        <v>0</v>
      </c>
      <c r="O15" s="774">
        <v>0</v>
      </c>
      <c r="P15" s="774">
        <v>0</v>
      </c>
      <c r="Q15" s="804">
        <v>0</v>
      </c>
      <c r="R15" s="776">
        <v>56250</v>
      </c>
      <c r="S15" s="776">
        <v>56250</v>
      </c>
      <c r="T15" s="804">
        <v>225000</v>
      </c>
      <c r="U15" s="804">
        <v>225000</v>
      </c>
      <c r="V15" s="804">
        <v>225000</v>
      </c>
      <c r="W15" s="804">
        <v>225000</v>
      </c>
      <c r="X15" s="753"/>
      <c r="Y15" s="794"/>
      <c r="Z15" s="753"/>
      <c r="AA15" s="753"/>
      <c r="AB15" s="807"/>
      <c r="AC15" s="808"/>
      <c r="AD15" s="809"/>
      <c r="AE15" s="772"/>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s="34" customFormat="1">
      <c r="A16" s="779" t="s">
        <v>1144</v>
      </c>
      <c r="B16" s="797" t="s">
        <v>6</v>
      </c>
      <c r="C16" s="798" t="s">
        <v>1074</v>
      </c>
      <c r="D16" s="797" t="s">
        <v>1145</v>
      </c>
      <c r="E16" s="753"/>
      <c r="F16" s="753"/>
      <c r="G16" s="753"/>
      <c r="H16" s="753"/>
      <c r="I16" s="773">
        <v>0</v>
      </c>
      <c r="J16" s="773">
        <v>0</v>
      </c>
      <c r="K16" s="753"/>
      <c r="L16" s="774">
        <v>0</v>
      </c>
      <c r="M16" s="774">
        <v>0</v>
      </c>
      <c r="N16" s="774">
        <v>0</v>
      </c>
      <c r="O16" s="774">
        <v>0</v>
      </c>
      <c r="P16" s="774">
        <v>0</v>
      </c>
      <c r="Q16" s="804">
        <v>0</v>
      </c>
      <c r="R16" s="776">
        <v>56250</v>
      </c>
      <c r="S16" s="776">
        <v>56250</v>
      </c>
      <c r="T16" s="804">
        <v>225000</v>
      </c>
      <c r="U16" s="804">
        <v>225000</v>
      </c>
      <c r="V16" s="804">
        <v>225000</v>
      </c>
      <c r="W16" s="804">
        <v>225000</v>
      </c>
      <c r="X16" s="753"/>
      <c r="Y16" s="794"/>
      <c r="Z16" s="753"/>
      <c r="AA16" s="753"/>
      <c r="AB16" s="807"/>
      <c r="AC16" s="808"/>
      <c r="AD16" s="809"/>
      <c r="AE16" s="772"/>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s="34" customFormat="1">
      <c r="A17" s="779" t="s">
        <v>1146</v>
      </c>
      <c r="B17" s="797" t="s">
        <v>6</v>
      </c>
      <c r="C17" s="798" t="s">
        <v>1074</v>
      </c>
      <c r="D17" s="797" t="s">
        <v>1147</v>
      </c>
      <c r="E17" s="783"/>
      <c r="F17" s="783"/>
      <c r="G17" s="783"/>
      <c r="H17" s="783"/>
      <c r="I17" s="773">
        <v>0</v>
      </c>
      <c r="J17" s="773">
        <v>0</v>
      </c>
      <c r="K17" s="783"/>
      <c r="L17" s="774">
        <v>0</v>
      </c>
      <c r="M17" s="774">
        <v>0</v>
      </c>
      <c r="N17" s="774">
        <v>0</v>
      </c>
      <c r="O17" s="774">
        <v>0</v>
      </c>
      <c r="P17" s="774">
        <v>0</v>
      </c>
      <c r="Q17" s="804">
        <v>0</v>
      </c>
      <c r="R17" s="776">
        <v>18750</v>
      </c>
      <c r="S17" s="776">
        <v>18750</v>
      </c>
      <c r="T17" s="804">
        <v>75000</v>
      </c>
      <c r="U17" s="804">
        <v>75000</v>
      </c>
      <c r="V17" s="804">
        <v>75000</v>
      </c>
      <c r="W17" s="804">
        <v>75000</v>
      </c>
      <c r="X17" s="753"/>
      <c r="Y17" s="794"/>
      <c r="Z17" s="753"/>
      <c r="AA17" s="753"/>
      <c r="AB17" s="807"/>
      <c r="AC17" s="808"/>
      <c r="AD17" s="809"/>
      <c r="AE17" s="772"/>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ht="14.65" customHeight="1">
      <c r="A18" s="799" t="s">
        <v>267</v>
      </c>
      <c r="B18" s="753"/>
      <c r="C18" s="753"/>
      <c r="D18" s="753"/>
      <c r="E18" s="783"/>
      <c r="F18" s="783"/>
      <c r="G18" s="783"/>
      <c r="H18" s="783"/>
      <c r="I18" s="773">
        <v>286250</v>
      </c>
      <c r="J18" s="773">
        <v>257500</v>
      </c>
      <c r="K18" s="783"/>
      <c r="L18" s="777">
        <f t="shared" ref="L18:W18" si="0">SUM(L6:L17)</f>
        <v>217500</v>
      </c>
      <c r="M18" s="777">
        <f t="shared" si="0"/>
        <v>217500</v>
      </c>
      <c r="N18" s="777">
        <f t="shared" si="0"/>
        <v>292500</v>
      </c>
      <c r="O18" s="777">
        <f t="shared" si="0"/>
        <v>286250</v>
      </c>
      <c r="P18" s="777">
        <f t="shared" si="0"/>
        <v>257500</v>
      </c>
      <c r="Q18" s="777">
        <f t="shared" si="0"/>
        <v>418750</v>
      </c>
      <c r="R18" s="777">
        <f t="shared" si="0"/>
        <v>587500</v>
      </c>
      <c r="S18" s="777">
        <f t="shared" si="0"/>
        <v>587500</v>
      </c>
      <c r="T18" s="777">
        <f t="shared" si="0"/>
        <v>2265000</v>
      </c>
      <c r="U18" s="777">
        <f t="shared" si="0"/>
        <v>2265000</v>
      </c>
      <c r="V18" s="777">
        <f t="shared" si="0"/>
        <v>2265000</v>
      </c>
      <c r="W18" s="777">
        <f t="shared" si="0"/>
        <v>2265000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800"/>
      <c r="B19" s="753"/>
      <c r="C19" s="753"/>
      <c r="D19" s="753"/>
      <c r="E19" s="777"/>
      <c r="F19" s="777"/>
      <c r="G19" s="777"/>
      <c r="H19" s="777"/>
      <c r="I19" s="777"/>
      <c r="J19" s="777"/>
      <c r="K19" s="777"/>
      <c r="L19" s="777"/>
      <c r="M19" s="777"/>
      <c r="N19" s="777"/>
      <c r="O19" s="777"/>
      <c r="P19" s="777"/>
      <c r="Q19" s="777"/>
      <c r="R19" s="777"/>
      <c r="S19" s="777"/>
      <c r="T19" s="777"/>
      <c r="U19" s="777"/>
      <c r="V19" s="777"/>
      <c r="W19" s="777"/>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98" t="s">
        <v>1086</v>
      </c>
      <c r="B20" s="753"/>
      <c r="C20" s="753"/>
      <c r="D20" s="753"/>
      <c r="E20" s="753"/>
      <c r="F20" s="753"/>
      <c r="G20" s="753"/>
      <c r="H20" s="753"/>
      <c r="I20" s="753"/>
      <c r="J20" s="753"/>
      <c r="K20" s="753"/>
      <c r="L20" s="753"/>
      <c r="M20" s="753"/>
      <c r="N20" s="753"/>
      <c r="O20" s="753"/>
      <c r="P20" s="753"/>
      <c r="Q20" s="753"/>
      <c r="R20" s="753"/>
      <c r="S20" s="753"/>
      <c r="T20" s="753"/>
      <c r="U20" s="753"/>
      <c r="V20" s="753"/>
      <c r="W20" s="753"/>
      <c r="X20" s="753"/>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s="5" customFormat="1">
      <c r="A21" s="753" t="str">
        <f t="shared" ref="A21:A32" si="1">+A6</f>
        <v>HOBI (CW)</v>
      </c>
      <c r="B21" s="797" t="s">
        <v>6</v>
      </c>
      <c r="C21" s="798" t="s">
        <v>1087</v>
      </c>
      <c r="D21" s="797" t="s">
        <v>1126</v>
      </c>
      <c r="E21" s="755"/>
      <c r="F21" s="755"/>
      <c r="G21" s="755"/>
      <c r="H21" s="755"/>
      <c r="I21" s="782">
        <v>125000</v>
      </c>
      <c r="J21" s="782">
        <v>0</v>
      </c>
      <c r="K21" s="755"/>
      <c r="L21" s="776">
        <v>0</v>
      </c>
      <c r="M21" s="776">
        <v>0</v>
      </c>
      <c r="N21" s="776">
        <v>0</v>
      </c>
      <c r="O21" s="776">
        <v>125000</v>
      </c>
      <c r="P21" s="776">
        <v>0</v>
      </c>
      <c r="Q21" s="776">
        <v>0</v>
      </c>
      <c r="R21" s="776">
        <v>0</v>
      </c>
      <c r="S21" s="776">
        <v>225000</v>
      </c>
      <c r="T21" s="776">
        <v>325000</v>
      </c>
      <c r="U21" s="776">
        <v>325000</v>
      </c>
      <c r="V21" s="776">
        <v>325000</v>
      </c>
      <c r="W21" s="776">
        <v>325000</v>
      </c>
      <c r="X21" s="753"/>
      <c r="Y21" s="794"/>
      <c r="Z21" s="753"/>
      <c r="AA21" s="753"/>
      <c r="AB21" s="810"/>
      <c r="AC21" s="808"/>
      <c r="AD21" s="808"/>
      <c r="AE21" s="808"/>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s="5" customFormat="1">
      <c r="A22" s="753" t="str">
        <f t="shared" si="1"/>
        <v xml:space="preserve">CFO (ZS) </v>
      </c>
      <c r="B22" s="797" t="s">
        <v>6</v>
      </c>
      <c r="C22" s="798" t="s">
        <v>1087</v>
      </c>
      <c r="D22" s="797" t="s">
        <v>1128</v>
      </c>
      <c r="E22" s="777"/>
      <c r="F22" s="777"/>
      <c r="G22" s="777"/>
      <c r="H22" s="777"/>
      <c r="I22" s="782">
        <v>60000</v>
      </c>
      <c r="J22" s="782">
        <v>0</v>
      </c>
      <c r="K22" s="777"/>
      <c r="L22" s="776">
        <v>0</v>
      </c>
      <c r="M22" s="776">
        <v>0</v>
      </c>
      <c r="N22" s="776">
        <v>0</v>
      </c>
      <c r="O22" s="776">
        <v>60000</v>
      </c>
      <c r="P22" s="776">
        <v>0</v>
      </c>
      <c r="Q22" s="776">
        <v>0</v>
      </c>
      <c r="R22" s="776">
        <v>0</v>
      </c>
      <c r="S22" s="776">
        <v>100000</v>
      </c>
      <c r="T22" s="776">
        <v>150000</v>
      </c>
      <c r="U22" s="776">
        <v>150000</v>
      </c>
      <c r="V22" s="776">
        <v>150000</v>
      </c>
      <c r="W22" s="776">
        <v>150000</v>
      </c>
      <c r="X22" s="753"/>
      <c r="Y22" s="794"/>
      <c r="Z22" s="753"/>
      <c r="AA22" s="753"/>
      <c r="AB22" s="753"/>
      <c r="AC22" s="754"/>
      <c r="AD22" s="808"/>
      <c r="AE22" s="808"/>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s="5" customFormat="1">
      <c r="A23" s="753" t="str">
        <f t="shared" si="1"/>
        <v xml:space="preserve">Financial Analyst (NR) </v>
      </c>
      <c r="B23" s="797" t="s">
        <v>6</v>
      </c>
      <c r="C23" s="798" t="s">
        <v>1087</v>
      </c>
      <c r="D23" s="797" t="s">
        <v>1130</v>
      </c>
      <c r="E23" s="777"/>
      <c r="F23" s="777"/>
      <c r="G23" s="777"/>
      <c r="H23" s="777"/>
      <c r="I23" s="782">
        <v>5000</v>
      </c>
      <c r="J23" s="782">
        <v>0</v>
      </c>
      <c r="K23" s="777"/>
      <c r="L23" s="776">
        <v>0</v>
      </c>
      <c r="M23" s="776">
        <v>0</v>
      </c>
      <c r="N23" s="776">
        <v>0</v>
      </c>
      <c r="O23" s="776">
        <v>5000</v>
      </c>
      <c r="P23" s="776">
        <v>0</v>
      </c>
      <c r="Q23" s="776">
        <v>0</v>
      </c>
      <c r="R23" s="776">
        <v>0</v>
      </c>
      <c r="S23" s="776">
        <v>7500</v>
      </c>
      <c r="T23" s="776">
        <v>7500</v>
      </c>
      <c r="U23" s="776">
        <v>7500</v>
      </c>
      <c r="V23" s="776">
        <v>7500</v>
      </c>
      <c r="W23" s="776">
        <v>7500</v>
      </c>
      <c r="X23" s="753"/>
      <c r="Y23" s="794"/>
      <c r="Z23" s="753"/>
      <c r="AA23" s="753"/>
      <c r="AB23" s="753"/>
      <c r="AC23" s="754"/>
      <c r="AD23" s="753"/>
      <c r="AE23" s="754"/>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s="5" customFormat="1">
      <c r="A24" s="753" t="str">
        <f t="shared" si="1"/>
        <v>Fin Controls (TB) - 100%</v>
      </c>
      <c r="B24" s="797" t="s">
        <v>6</v>
      </c>
      <c r="C24" s="798" t="s">
        <v>1087</v>
      </c>
      <c r="D24" s="797" t="s">
        <v>1132</v>
      </c>
      <c r="E24" s="777"/>
      <c r="F24" s="777"/>
      <c r="G24" s="777"/>
      <c r="H24" s="777"/>
      <c r="I24" s="782">
        <v>17500</v>
      </c>
      <c r="J24" s="782">
        <v>0</v>
      </c>
      <c r="K24" s="777"/>
      <c r="L24" s="776">
        <v>0</v>
      </c>
      <c r="M24" s="776">
        <v>0</v>
      </c>
      <c r="N24" s="776">
        <v>0</v>
      </c>
      <c r="O24" s="776">
        <v>17500</v>
      </c>
      <c r="P24" s="776">
        <v>0</v>
      </c>
      <c r="Q24" s="776">
        <v>0</v>
      </c>
      <c r="R24" s="776">
        <v>0</v>
      </c>
      <c r="S24" s="776">
        <v>15000</v>
      </c>
      <c r="T24" s="776">
        <v>15000</v>
      </c>
      <c r="U24" s="776">
        <v>15000</v>
      </c>
      <c r="V24" s="776">
        <v>15000</v>
      </c>
      <c r="W24" s="776">
        <v>15000</v>
      </c>
      <c r="X24" s="753"/>
      <c r="Y24" s="794"/>
      <c r="Z24" s="753"/>
      <c r="AA24" s="753"/>
      <c r="AB24" s="753"/>
      <c r="AC24" s="808"/>
      <c r="AD24" s="753"/>
      <c r="AE24" s="754"/>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s="5" customFormat="1">
      <c r="A25" s="753" t="str">
        <f t="shared" si="1"/>
        <v>Administrative Assistant (AM)</v>
      </c>
      <c r="B25" s="797" t="s">
        <v>6</v>
      </c>
      <c r="C25" s="798" t="s">
        <v>1087</v>
      </c>
      <c r="D25" s="797" t="s">
        <v>1116</v>
      </c>
      <c r="E25" s="777"/>
      <c r="F25" s="777"/>
      <c r="G25" s="777"/>
      <c r="H25" s="777"/>
      <c r="I25" s="782">
        <v>10000</v>
      </c>
      <c r="J25" s="782">
        <v>0</v>
      </c>
      <c r="K25" s="777"/>
      <c r="L25" s="776">
        <v>0</v>
      </c>
      <c r="M25" s="776">
        <v>0</v>
      </c>
      <c r="N25" s="776">
        <v>0</v>
      </c>
      <c r="O25" s="776">
        <v>10000</v>
      </c>
      <c r="P25" s="776">
        <v>0</v>
      </c>
      <c r="Q25" s="776">
        <v>0</v>
      </c>
      <c r="R25" s="776">
        <v>0</v>
      </c>
      <c r="S25" s="776">
        <v>0</v>
      </c>
      <c r="T25" s="776">
        <v>0</v>
      </c>
      <c r="U25" s="776">
        <v>0</v>
      </c>
      <c r="V25" s="776">
        <v>0</v>
      </c>
      <c r="W25" s="776">
        <v>0</v>
      </c>
      <c r="X25" s="753"/>
      <c r="Y25" s="794"/>
      <c r="Z25" s="753"/>
      <c r="AA25" s="753"/>
      <c r="AB25" s="753"/>
      <c r="AC25" s="753"/>
      <c r="AD25" s="753"/>
      <c r="AE25" s="809"/>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Administrative Assistant (PT)</v>
      </c>
      <c r="B26" s="779" t="s">
        <v>6</v>
      </c>
      <c r="C26" s="779" t="s">
        <v>1087</v>
      </c>
      <c r="D26" s="779" t="s">
        <v>1135</v>
      </c>
      <c r="E26" s="777"/>
      <c r="F26" s="777"/>
      <c r="G26" s="777"/>
      <c r="H26" s="777"/>
      <c r="I26" s="782">
        <v>0</v>
      </c>
      <c r="J26" s="782">
        <v>0</v>
      </c>
      <c r="K26" s="777"/>
      <c r="L26" s="776">
        <v>0</v>
      </c>
      <c r="M26" s="776">
        <v>0</v>
      </c>
      <c r="N26" s="776">
        <v>0</v>
      </c>
      <c r="O26" s="776">
        <v>0</v>
      </c>
      <c r="P26" s="776">
        <v>0</v>
      </c>
      <c r="Q26" s="776">
        <v>0</v>
      </c>
      <c r="R26" s="776">
        <v>0</v>
      </c>
      <c r="S26" s="776">
        <v>10000</v>
      </c>
      <c r="T26" s="776">
        <v>10000</v>
      </c>
      <c r="U26" s="776">
        <v>10000</v>
      </c>
      <c r="V26" s="776">
        <v>10000</v>
      </c>
      <c r="W26" s="776">
        <v>10000</v>
      </c>
      <c r="X26" s="777"/>
      <c r="Y26" s="754"/>
      <c r="Z26" s="75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s="30" customFormat="1">
      <c r="A27" s="753" t="str">
        <f t="shared" si="1"/>
        <v>Financial Director (DV) - 100%</v>
      </c>
      <c r="B27" s="797" t="s">
        <v>6</v>
      </c>
      <c r="C27" s="798" t="s">
        <v>1087</v>
      </c>
      <c r="D27" s="797" t="s">
        <v>1137</v>
      </c>
      <c r="E27" s="777"/>
      <c r="F27" s="777"/>
      <c r="G27" s="777"/>
      <c r="H27" s="777"/>
      <c r="I27" s="782">
        <v>20000</v>
      </c>
      <c r="J27" s="782">
        <v>0</v>
      </c>
      <c r="K27" s="777"/>
      <c r="L27" s="776">
        <v>0</v>
      </c>
      <c r="M27" s="776">
        <v>0</v>
      </c>
      <c r="N27" s="776">
        <v>0</v>
      </c>
      <c r="O27" s="776">
        <v>20000</v>
      </c>
      <c r="P27" s="776">
        <v>0</v>
      </c>
      <c r="Q27" s="776">
        <v>0</v>
      </c>
      <c r="R27" s="776">
        <v>0</v>
      </c>
      <c r="S27" s="776">
        <v>40000</v>
      </c>
      <c r="T27" s="776">
        <v>40000</v>
      </c>
      <c r="U27" s="776">
        <v>40000</v>
      </c>
      <c r="V27" s="776">
        <v>40000</v>
      </c>
      <c r="W27" s="776">
        <v>40000</v>
      </c>
      <c r="X27" s="777"/>
      <c r="Y27" s="794"/>
      <c r="Z27" s="794"/>
      <c r="AA27" s="753"/>
      <c r="AB27" s="753"/>
      <c r="AC27" s="754"/>
      <c r="AD27" s="753"/>
      <c r="AE27" s="808"/>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s="30" customFormat="1">
      <c r="A28" s="753" t="str">
        <f t="shared" si="1"/>
        <v>IM (TW)</v>
      </c>
      <c r="B28" s="797" t="s">
        <v>6</v>
      </c>
      <c r="C28" s="798" t="s">
        <v>1087</v>
      </c>
      <c r="D28" s="797" t="s">
        <v>1139</v>
      </c>
      <c r="E28" s="777"/>
      <c r="F28" s="777"/>
      <c r="G28" s="777"/>
      <c r="H28" s="777"/>
      <c r="I28" s="782">
        <v>25000</v>
      </c>
      <c r="J28" s="782">
        <v>0</v>
      </c>
      <c r="K28" s="777"/>
      <c r="L28" s="776">
        <v>0</v>
      </c>
      <c r="M28" s="776">
        <v>0</v>
      </c>
      <c r="N28" s="776">
        <v>0</v>
      </c>
      <c r="O28" s="776">
        <v>25000</v>
      </c>
      <c r="P28" s="776">
        <v>0</v>
      </c>
      <c r="Q28" s="776">
        <v>0</v>
      </c>
      <c r="R28" s="776">
        <v>0</v>
      </c>
      <c r="S28" s="776">
        <v>25000</v>
      </c>
      <c r="T28" s="776">
        <v>25000</v>
      </c>
      <c r="U28" s="776">
        <v>25000</v>
      </c>
      <c r="V28" s="776">
        <v>25000</v>
      </c>
      <c r="W28" s="776">
        <v>25000</v>
      </c>
      <c r="X28" s="777"/>
      <c r="Y28" s="794"/>
      <c r="Z28" s="794"/>
      <c r="AA28" s="753"/>
      <c r="AB28" s="753"/>
      <c r="AC28" s="754"/>
      <c r="AD28" s="753"/>
      <c r="AE28" s="808"/>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5" customFormat="1">
      <c r="A29" s="753" t="str">
        <f t="shared" si="1"/>
        <v>HR (100%)</v>
      </c>
      <c r="B29" s="797" t="s">
        <v>6</v>
      </c>
      <c r="C29" s="798" t="s">
        <v>1087</v>
      </c>
      <c r="D29" s="797" t="s">
        <v>1141</v>
      </c>
      <c r="E29" s="777"/>
      <c r="F29" s="777"/>
      <c r="G29" s="777"/>
      <c r="H29" s="777"/>
      <c r="I29" s="782">
        <v>0</v>
      </c>
      <c r="J29" s="782">
        <v>0</v>
      </c>
      <c r="K29" s="777"/>
      <c r="L29" s="776">
        <v>0</v>
      </c>
      <c r="M29" s="776">
        <v>0</v>
      </c>
      <c r="N29" s="776">
        <v>0</v>
      </c>
      <c r="O29" s="776">
        <v>0</v>
      </c>
      <c r="P29" s="776">
        <v>0</v>
      </c>
      <c r="Q29" s="776">
        <v>0</v>
      </c>
      <c r="R29" s="776">
        <v>0</v>
      </c>
      <c r="S29" s="776">
        <v>15000</v>
      </c>
      <c r="T29" s="776">
        <v>25000</v>
      </c>
      <c r="U29" s="776">
        <v>25000</v>
      </c>
      <c r="V29" s="776">
        <v>25000</v>
      </c>
      <c r="W29" s="776">
        <v>25000</v>
      </c>
      <c r="X29" s="753"/>
      <c r="Y29" s="794"/>
      <c r="Z29" s="753"/>
      <c r="AA29" s="753"/>
      <c r="AB29" s="753"/>
      <c r="AC29" s="808"/>
      <c r="AD29" s="753"/>
      <c r="AE29" s="809"/>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5" customFormat="1">
      <c r="A30" s="753" t="str">
        <f t="shared" si="1"/>
        <v>Legal (100%)</v>
      </c>
      <c r="B30" s="797" t="s">
        <v>6</v>
      </c>
      <c r="C30" s="798" t="s">
        <v>1087</v>
      </c>
      <c r="D30" s="797" t="s">
        <v>1143</v>
      </c>
      <c r="E30" s="777"/>
      <c r="F30" s="777"/>
      <c r="G30" s="777"/>
      <c r="H30" s="777"/>
      <c r="I30" s="782">
        <v>0</v>
      </c>
      <c r="J30" s="782">
        <v>0</v>
      </c>
      <c r="K30" s="777"/>
      <c r="L30" s="776">
        <v>0</v>
      </c>
      <c r="M30" s="776">
        <v>0</v>
      </c>
      <c r="N30" s="776">
        <v>0</v>
      </c>
      <c r="O30" s="776">
        <v>0</v>
      </c>
      <c r="P30" s="776">
        <v>0</v>
      </c>
      <c r="Q30" s="776">
        <v>0</v>
      </c>
      <c r="R30" s="776">
        <v>0</v>
      </c>
      <c r="S30" s="776">
        <v>15000</v>
      </c>
      <c r="T30" s="776">
        <v>25000</v>
      </c>
      <c r="U30" s="776">
        <v>25000</v>
      </c>
      <c r="V30" s="776">
        <v>25000</v>
      </c>
      <c r="W30" s="776">
        <v>25000</v>
      </c>
      <c r="X30" s="753"/>
      <c r="Y30" s="794"/>
      <c r="Z30" s="753"/>
      <c r="AA30" s="753"/>
      <c r="AB30" s="753"/>
      <c r="AC30" s="808"/>
      <c r="AD30" s="753"/>
      <c r="AE30" s="809"/>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s="5" customFormat="1">
      <c r="A31" s="753" t="str">
        <f t="shared" si="1"/>
        <v>Tech1</v>
      </c>
      <c r="B31" s="797" t="s">
        <v>6</v>
      </c>
      <c r="C31" s="798" t="s">
        <v>1087</v>
      </c>
      <c r="D31" s="797" t="s">
        <v>1145</v>
      </c>
      <c r="E31" s="777"/>
      <c r="F31" s="777"/>
      <c r="G31" s="777"/>
      <c r="H31" s="777"/>
      <c r="I31" s="782">
        <v>0</v>
      </c>
      <c r="J31" s="782">
        <v>0</v>
      </c>
      <c r="K31" s="777"/>
      <c r="L31" s="776">
        <v>0</v>
      </c>
      <c r="M31" s="776">
        <v>0</v>
      </c>
      <c r="N31" s="776">
        <v>0</v>
      </c>
      <c r="O31" s="776">
        <v>0</v>
      </c>
      <c r="P31" s="776">
        <v>0</v>
      </c>
      <c r="Q31" s="776">
        <v>0</v>
      </c>
      <c r="R31" s="776">
        <v>0</v>
      </c>
      <c r="S31" s="776">
        <v>15000</v>
      </c>
      <c r="T31" s="776">
        <v>25000</v>
      </c>
      <c r="U31" s="776">
        <v>25000</v>
      </c>
      <c r="V31" s="776">
        <v>25000</v>
      </c>
      <c r="W31" s="776">
        <v>25000</v>
      </c>
      <c r="X31" s="753"/>
      <c r="Y31" s="794"/>
      <c r="Z31" s="753"/>
      <c r="AA31" s="753"/>
      <c r="AB31" s="784"/>
      <c r="AC31" s="808"/>
      <c r="AD31" s="753"/>
      <c r="AE31" s="808"/>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s="5" customFormat="1">
      <c r="A32" s="753" t="str">
        <f t="shared" si="1"/>
        <v>Tech2</v>
      </c>
      <c r="B32" s="797" t="s">
        <v>6</v>
      </c>
      <c r="C32" s="798" t="s">
        <v>1087</v>
      </c>
      <c r="D32" s="797" t="s">
        <v>1147</v>
      </c>
      <c r="E32" s="777"/>
      <c r="F32" s="777"/>
      <c r="G32" s="777"/>
      <c r="H32" s="777"/>
      <c r="I32" s="782">
        <v>0</v>
      </c>
      <c r="J32" s="782">
        <v>0</v>
      </c>
      <c r="K32" s="777"/>
      <c r="L32" s="776">
        <v>0</v>
      </c>
      <c r="M32" s="776">
        <v>0</v>
      </c>
      <c r="N32" s="776">
        <v>0</v>
      </c>
      <c r="O32" s="776">
        <v>0</v>
      </c>
      <c r="P32" s="776">
        <v>0</v>
      </c>
      <c r="Q32" s="776">
        <v>0</v>
      </c>
      <c r="R32" s="776">
        <v>0</v>
      </c>
      <c r="S32" s="776">
        <v>15000</v>
      </c>
      <c r="T32" s="776">
        <v>25000</v>
      </c>
      <c r="U32" s="776">
        <v>25000</v>
      </c>
      <c r="V32" s="776">
        <v>25000</v>
      </c>
      <c r="W32" s="776">
        <v>25000</v>
      </c>
      <c r="X32" s="753"/>
      <c r="Y32" s="794"/>
      <c r="Z32" s="753"/>
      <c r="AA32" s="753"/>
      <c r="AB32" s="784"/>
      <c r="AC32" s="808"/>
      <c r="AD32" s="753"/>
      <c r="AE32" s="808"/>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9" t="s">
        <v>267</v>
      </c>
      <c r="B33" s="753"/>
      <c r="C33" s="753"/>
      <c r="D33" s="753"/>
      <c r="E33" s="783"/>
      <c r="F33" s="783"/>
      <c r="G33" s="783"/>
      <c r="H33" s="783"/>
      <c r="I33" s="773">
        <v>262500</v>
      </c>
      <c r="J33" s="773">
        <v>0</v>
      </c>
      <c r="K33" s="783"/>
      <c r="L33" s="777">
        <f t="shared" ref="L33:W33" si="2">SUM(L21:L32)</f>
        <v>0</v>
      </c>
      <c r="M33" s="777">
        <f t="shared" si="2"/>
        <v>0</v>
      </c>
      <c r="N33" s="777">
        <f t="shared" si="2"/>
        <v>0</v>
      </c>
      <c r="O33" s="777">
        <f t="shared" si="2"/>
        <v>262500</v>
      </c>
      <c r="P33" s="777">
        <f t="shared" si="2"/>
        <v>0</v>
      </c>
      <c r="Q33" s="777">
        <f t="shared" si="2"/>
        <v>0</v>
      </c>
      <c r="R33" s="777">
        <f t="shared" si="2"/>
        <v>0</v>
      </c>
      <c r="S33" s="777">
        <f t="shared" si="2"/>
        <v>482500</v>
      </c>
      <c r="T33" s="777">
        <f t="shared" si="2"/>
        <v>672500</v>
      </c>
      <c r="U33" s="777">
        <f t="shared" si="2"/>
        <v>672500</v>
      </c>
      <c r="V33" s="777">
        <f t="shared" si="2"/>
        <v>672500</v>
      </c>
      <c r="W33" s="777">
        <f t="shared" si="2"/>
        <v>672500</v>
      </c>
      <c r="X33" s="777"/>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800"/>
      <c r="B34" s="753"/>
      <c r="C34" s="753"/>
      <c r="D34" s="753"/>
      <c r="E34" s="777"/>
      <c r="F34" s="777"/>
      <c r="G34" s="777"/>
      <c r="H34" s="777"/>
      <c r="I34" s="777"/>
      <c r="J34" s="777"/>
      <c r="K34" s="777"/>
      <c r="L34" s="777"/>
      <c r="M34" s="777"/>
      <c r="N34" s="777"/>
      <c r="O34" s="777"/>
      <c r="P34" s="777"/>
      <c r="Q34" s="777"/>
      <c r="R34" s="777"/>
      <c r="S34" s="777"/>
      <c r="T34" s="777"/>
      <c r="U34" s="777"/>
      <c r="V34" s="777"/>
      <c r="W34" s="777"/>
      <c r="X34" s="785"/>
      <c r="Y34" s="794"/>
      <c r="Z34" s="794"/>
      <c r="AA34" s="753"/>
      <c r="AB34" s="753"/>
      <c r="AC34" s="753"/>
      <c r="AD34" s="753"/>
      <c r="AE34" s="753"/>
      <c r="AF34" s="753"/>
      <c r="AG34" s="753"/>
      <c r="AH34" s="753"/>
      <c r="AI34" s="753"/>
      <c r="AJ34" s="801"/>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ht="14.65" customHeight="1">
      <c r="A35" s="798" t="s">
        <v>1102</v>
      </c>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94"/>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ref="A36:A47" si="3">+A6</f>
        <v>HOBI (CW)</v>
      </c>
      <c r="B36" s="779" t="s">
        <v>826</v>
      </c>
      <c r="C36" s="779" t="s">
        <v>1088</v>
      </c>
      <c r="D36" s="779" t="s">
        <v>1126</v>
      </c>
      <c r="E36" s="790"/>
      <c r="F36" s="790"/>
      <c r="G36" s="790"/>
      <c r="H36" s="790"/>
      <c r="I36" s="802">
        <v>237875</v>
      </c>
      <c r="J36" s="802">
        <v>108000</v>
      </c>
      <c r="K36" s="790"/>
      <c r="L36" s="790">
        <f>+L6*(1+'.c12_inputs.hr'!$E$15)+(L21*(1+'.c12_inputs.hr'!$E$16))</f>
        <v>107999.99999999999</v>
      </c>
      <c r="M36" s="790">
        <f>+M6*(1+'.c12_inputs.hr'!$E$15)+(M21*(1+'.c12_inputs.hr'!$E$16))</f>
        <v>107999.99999999999</v>
      </c>
      <c r="N36" s="790">
        <f>+N6*(1+'.c12_inputs.hr'!$E$15)+(N21*(1+'.c12_inputs.hr'!$E$16))</f>
        <v>107999.99999999999</v>
      </c>
      <c r="O36" s="790">
        <f>+O6*(1+'.c12_inputs.hr'!$E$15)+(O21*(1+'.c12_inputs.hr'!$E$16))</f>
        <v>237874.99999999997</v>
      </c>
      <c r="P36" s="790">
        <f>+P6*(1+'.c12_inputs.hr'!$E$15)+(P21*(1+'.c12_inputs.hr'!$E$16))</f>
        <v>107999.99999999999</v>
      </c>
      <c r="Q36" s="790">
        <f>+Q6*(1+'.c12_inputs.hr'!$E$15)+(Q21*(1+'.c12_inputs.hr'!$E$16))</f>
        <v>107999.99999999999</v>
      </c>
      <c r="R36" s="790">
        <f>+R6*(1+'.c12_inputs.hr'!$E$15)+(R21*(1+'.c12_inputs.hr'!$E$16))</f>
        <v>107999.99999999999</v>
      </c>
      <c r="S36" s="790">
        <f>+S6*(1+'.c12_inputs.hr'!$E$15)+(S21*(1+'.c12_inputs.hr'!$E$16))</f>
        <v>341774.99999999994</v>
      </c>
      <c r="T36" s="790">
        <f>+T6*(1+'.c12_inputs.hr'!$E$15)+(T21*(1+'.c12_inputs.hr'!$E$16))</f>
        <v>769675</v>
      </c>
      <c r="U36" s="790">
        <f>+U6*(1+'.c12_inputs.hr'!$E$15)+(U21*(1+'.c12_inputs.hr'!$E$16))</f>
        <v>769675</v>
      </c>
      <c r="V36" s="790">
        <f>+V6*(1+'.c12_inputs.hr'!$E$15)+(V21*(1+'.c12_inputs.hr'!$E$16))</f>
        <v>769675</v>
      </c>
      <c r="W36" s="790">
        <f>+W6*(1+'.c12_inputs.hr'!$E$15)+(W21*(1+'.c12_inputs.hr'!$E$16))</f>
        <v>769675</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3"/>
        <v xml:space="preserve">CFO (ZS) </v>
      </c>
      <c r="B37" s="779" t="s">
        <v>826</v>
      </c>
      <c r="C37" s="779" t="s">
        <v>1088</v>
      </c>
      <c r="D37" s="779" t="s">
        <v>1128</v>
      </c>
      <c r="E37" s="790"/>
      <c r="F37" s="790"/>
      <c r="G37" s="790"/>
      <c r="H37" s="790"/>
      <c r="I37" s="802">
        <v>62339.999999999993</v>
      </c>
      <c r="J37" s="802">
        <v>0</v>
      </c>
      <c r="K37" s="790"/>
      <c r="L37" s="790">
        <f>+L7*(1+'.c12_inputs.hr'!$E$15)+(L22*(1+'.c12_inputs.hr'!$E$16))</f>
        <v>0</v>
      </c>
      <c r="M37" s="790">
        <f>+M7*(1+'.c12_inputs.hr'!$E$15)+(M22*(1+'.c12_inputs.hr'!$E$16))</f>
        <v>0</v>
      </c>
      <c r="N37" s="790">
        <f>+N7*(1+'.c12_inputs.hr'!$E$15)+(N22*(1+'.c12_inputs.hr'!$E$16))</f>
        <v>0</v>
      </c>
      <c r="O37" s="790">
        <f>+O7*(1+'.c12_inputs.hr'!$E$15)+(O22*(1+'.c12_inputs.hr'!$E$16))</f>
        <v>62339.999999999993</v>
      </c>
      <c r="P37" s="790">
        <f>+P7*(1+'.c12_inputs.hr'!$E$15)+(P22*(1+'.c12_inputs.hr'!$E$16))</f>
        <v>0</v>
      </c>
      <c r="Q37" s="790">
        <f>+Q7*(1+'.c12_inputs.hr'!$E$15)+(Q22*(1+'.c12_inputs.hr'!$E$16))</f>
        <v>144000</v>
      </c>
      <c r="R37" s="790">
        <f>+R7*(1+'.c12_inputs.hr'!$E$15)+(R22*(1+'.c12_inputs.hr'!$E$16))</f>
        <v>144000</v>
      </c>
      <c r="S37" s="790">
        <f>+S7*(1+'.c12_inputs.hr'!$E$15)+(S22*(1+'.c12_inputs.hr'!$E$16))</f>
        <v>247900</v>
      </c>
      <c r="T37" s="790">
        <f>+T7*(1+'.c12_inputs.hr'!$E$15)+(T22*(1+'.c12_inputs.hr'!$E$16))</f>
        <v>587850</v>
      </c>
      <c r="U37" s="790">
        <f>+U7*(1+'.c12_inputs.hr'!$E$15)+(U22*(1+'.c12_inputs.hr'!$E$16))</f>
        <v>587850</v>
      </c>
      <c r="V37" s="790">
        <f>+V7*(1+'.c12_inputs.hr'!$E$15)+(V22*(1+'.c12_inputs.hr'!$E$16))</f>
        <v>587850</v>
      </c>
      <c r="W37" s="790">
        <f>+W7*(1+'.c12_inputs.hr'!$E$15)+(W22*(1+'.c12_inputs.hr'!$E$16))</f>
        <v>587850</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3"/>
        <v xml:space="preserve">Financial Analyst (NR) </v>
      </c>
      <c r="B38" s="779" t="s">
        <v>826</v>
      </c>
      <c r="C38" s="779" t="s">
        <v>1088</v>
      </c>
      <c r="D38" s="779" t="s">
        <v>1130</v>
      </c>
      <c r="E38" s="790"/>
      <c r="F38" s="790"/>
      <c r="G38" s="790"/>
      <c r="H38" s="790"/>
      <c r="I38" s="802">
        <v>29675</v>
      </c>
      <c r="J38" s="802">
        <v>24480</v>
      </c>
      <c r="K38" s="790"/>
      <c r="L38" s="790">
        <f>+L8*(1+'.c12_inputs.hr'!$E$15)+(L23*(1+'.c12_inputs.hr'!$E$16))</f>
        <v>0</v>
      </c>
      <c r="M38" s="790">
        <f>+M8*(1+'.c12_inputs.hr'!$E$15)+(M23*(1+'.c12_inputs.hr'!$E$16))</f>
        <v>0</v>
      </c>
      <c r="N38" s="790">
        <f>+N8*(1+'.c12_inputs.hr'!$E$15)+(N23*(1+'.c12_inputs.hr'!$E$16))</f>
        <v>24479.999999999996</v>
      </c>
      <c r="O38" s="790">
        <f>+O8*(1+'.c12_inputs.hr'!$E$15)+(O23*(1+'.c12_inputs.hr'!$E$16))</f>
        <v>29674.999999999996</v>
      </c>
      <c r="P38" s="790">
        <f>+P8*(1+'.c12_inputs.hr'!$E$15)+(P23*(1+'.c12_inputs.hr'!$E$16))</f>
        <v>24479.999999999996</v>
      </c>
      <c r="Q38" s="790">
        <f>+Q8*(1+'.c12_inputs.hr'!$E$15)+(Q23*(1+'.c12_inputs.hr'!$E$16))</f>
        <v>24479.999999999996</v>
      </c>
      <c r="R38" s="790">
        <f>+R8*(1+'.c12_inputs.hr'!$E$15)+(R23*(1+'.c12_inputs.hr'!$E$16))</f>
        <v>24479.999999999996</v>
      </c>
      <c r="S38" s="790">
        <f>+S8*(1+'.c12_inputs.hr'!$E$15)+(S23*(1+'.c12_inputs.hr'!$E$16))</f>
        <v>32272.499999999996</v>
      </c>
      <c r="T38" s="790">
        <f>+T8*(1+'.c12_inputs.hr'!$E$15)+(T23*(1+'.c12_inputs.hr'!$E$16))</f>
        <v>105712.49999999999</v>
      </c>
      <c r="U38" s="790">
        <f>+U8*(1+'.c12_inputs.hr'!$E$15)+(U23*(1+'.c12_inputs.hr'!$E$16))</f>
        <v>105712.49999999999</v>
      </c>
      <c r="V38" s="790">
        <f>+V8*(1+'.c12_inputs.hr'!$E$15)+(V23*(1+'.c12_inputs.hr'!$E$16))</f>
        <v>105712.49999999999</v>
      </c>
      <c r="W38" s="790">
        <f>+W8*(1+'.c12_inputs.hr'!$E$15)+(W23*(1+'.c12_inputs.hr'!$E$16))</f>
        <v>105712.49999999999</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3"/>
        <v>Fin Controls (TB) - 100%</v>
      </c>
      <c r="B39" s="779" t="s">
        <v>826</v>
      </c>
      <c r="C39" s="779" t="s">
        <v>1088</v>
      </c>
      <c r="D39" s="779" t="s">
        <v>1132</v>
      </c>
      <c r="E39" s="790"/>
      <c r="F39" s="790"/>
      <c r="G39" s="790"/>
      <c r="H39" s="790"/>
      <c r="I39" s="802">
        <v>71462.5</v>
      </c>
      <c r="J39" s="802">
        <v>56159.999999999993</v>
      </c>
      <c r="K39" s="790"/>
      <c r="L39" s="790">
        <f>+L9*(1+'.c12_inputs.hr'!$E$15)+(L24*(1+'.c12_inputs.hr'!$E$16))</f>
        <v>53279.999999999993</v>
      </c>
      <c r="M39" s="790">
        <f>+M9*(1+'.c12_inputs.hr'!$E$15)+(M24*(1+'.c12_inputs.hr'!$E$16))</f>
        <v>53279.999999999993</v>
      </c>
      <c r="N39" s="790">
        <f>+N9*(1+'.c12_inputs.hr'!$E$15)+(N24*(1+'.c12_inputs.hr'!$E$16))</f>
        <v>53279.999999999993</v>
      </c>
      <c r="O39" s="790">
        <f>+O9*(1+'.c12_inputs.hr'!$E$15)+(O24*(1+'.c12_inputs.hr'!$E$16))</f>
        <v>71462.5</v>
      </c>
      <c r="P39" s="790">
        <f>+P9*(1+'.c12_inputs.hr'!$E$15)+(P24*(1+'.c12_inputs.hr'!$E$16))</f>
        <v>56159.999999999993</v>
      </c>
      <c r="Q39" s="790">
        <f>+Q9*(1+'.c12_inputs.hr'!$E$15)+(Q24*(1+'.c12_inputs.hr'!$E$16))</f>
        <v>56159.999999999993</v>
      </c>
      <c r="R39" s="790">
        <f>+R9*(1+'.c12_inputs.hr'!$E$15)+(R24*(1+'.c12_inputs.hr'!$E$16))</f>
        <v>56159.999999999993</v>
      </c>
      <c r="S39" s="790">
        <f>+S9*(1+'.c12_inputs.hr'!$E$15)+(S24*(1+'.c12_inputs.hr'!$E$16))</f>
        <v>71744.999999999985</v>
      </c>
      <c r="T39" s="790">
        <f>+T9*(1+'.c12_inputs.hr'!$E$15)+(T24*(1+'.c12_inputs.hr'!$E$16))</f>
        <v>240224.99999999997</v>
      </c>
      <c r="U39" s="790">
        <f>+U9*(1+'.c12_inputs.hr'!$E$15)+(U24*(1+'.c12_inputs.hr'!$E$16))</f>
        <v>240224.99999999997</v>
      </c>
      <c r="V39" s="790">
        <f>+V9*(1+'.c12_inputs.hr'!$E$15)+(V24*(1+'.c12_inputs.hr'!$E$16))</f>
        <v>240224.99999999997</v>
      </c>
      <c r="W39" s="790">
        <f>+W9*(1+'.c12_inputs.hr'!$E$15)+(W24*(1+'.c12_inputs.hr'!$E$16))</f>
        <v>240224.99999999997</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3"/>
        <v>Administrative Assistant (AM)</v>
      </c>
      <c r="B40" s="779" t="s">
        <v>826</v>
      </c>
      <c r="C40" s="779" t="s">
        <v>1088</v>
      </c>
      <c r="D40" s="779" t="s">
        <v>1116</v>
      </c>
      <c r="E40" s="790"/>
      <c r="F40" s="777"/>
      <c r="G40" s="777"/>
      <c r="H40" s="777"/>
      <c r="I40" s="802">
        <v>46390</v>
      </c>
      <c r="J40" s="802">
        <v>0</v>
      </c>
      <c r="K40" s="777"/>
      <c r="L40" s="790">
        <f>+L10*(1+'.c12_inputs.hr'!$E$15)+(L25*(1+'.c12_inputs.hr'!$E$16))</f>
        <v>43200</v>
      </c>
      <c r="M40" s="790">
        <f>+M10*(1+'.c12_inputs.hr'!$E$15)+(M25*(1+'.c12_inputs.hr'!$E$16))</f>
        <v>43200</v>
      </c>
      <c r="N40" s="790">
        <f>+N10*(1+'.c12_inputs.hr'!$E$15)+(N25*(1+'.c12_inputs.hr'!$E$16))</f>
        <v>43200</v>
      </c>
      <c r="O40" s="790">
        <f>+O10*(1+'.c12_inputs.hr'!$E$15)+(O25*(1+'.c12_inputs.hr'!$E$16))</f>
        <v>46390</v>
      </c>
      <c r="P40" s="790">
        <f>+P10*(1+'.c12_inputs.hr'!$E$15)+(P25*(1+'.c12_inputs.hr'!$E$16))</f>
        <v>0</v>
      </c>
      <c r="Q40" s="790">
        <f>+Q10*(1+'.c12_inputs.hr'!$E$15)+(Q25*(1+'.c12_inputs.hr'!$E$16))</f>
        <v>0</v>
      </c>
      <c r="R40" s="790">
        <f>+R10*(1+'.c12_inputs.hr'!$E$15)+(R25*(1+'.c12_inputs.hr'!$E$16))</f>
        <v>0</v>
      </c>
      <c r="S40" s="790">
        <f>+S10*(1+'.c12_inputs.hr'!$E$15)+(S25*(1+'.c12_inputs.hr'!$E$16))</f>
        <v>0</v>
      </c>
      <c r="T40" s="790">
        <f>+T10*(1+'.c12_inputs.hr'!$E$15)+(T25*(1+'.c12_inputs.hr'!$E$16))</f>
        <v>0</v>
      </c>
      <c r="U40" s="790">
        <f>+U10*(1+'.c12_inputs.hr'!$E$15)+(U25*(1+'.c12_inputs.hr'!$E$16))</f>
        <v>0</v>
      </c>
      <c r="V40" s="790">
        <f>+V10*(1+'.c12_inputs.hr'!$E$15)+(V25*(1+'.c12_inputs.hr'!$E$16))</f>
        <v>0</v>
      </c>
      <c r="W40" s="790">
        <f>+W10*(1+'.c12_inputs.hr'!$E$15)+(W25*(1+'.c12_inputs.hr'!$E$16))</f>
        <v>0</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3"/>
        <v>Administrative Assistant (PT)</v>
      </c>
      <c r="B41" s="779" t="s">
        <v>826</v>
      </c>
      <c r="C41" s="779" t="s">
        <v>1088</v>
      </c>
      <c r="D41" s="779" t="s">
        <v>1135</v>
      </c>
      <c r="E41" s="777"/>
      <c r="F41" s="790"/>
      <c r="G41" s="790"/>
      <c r="H41" s="790"/>
      <c r="I41" s="773">
        <v>0</v>
      </c>
      <c r="J41" s="773">
        <v>0</v>
      </c>
      <c r="K41" s="790"/>
      <c r="L41" s="777">
        <f>'.c12_bi&amp;f_hr'!L11*(1+'.c12_inputs.hr'!$E$5)+('.c12_bi&amp;f_hr'!L26*(1+'.c12_inputs.hr'!$E$6))</f>
        <v>0</v>
      </c>
      <c r="M41" s="777">
        <f>'.c12_bi&amp;f_hr'!M11*(1+'.c12_inputs.hr'!$E$5)+('.c12_bi&amp;f_hr'!M26*(1+'.c12_inputs.hr'!$E$6))</f>
        <v>0</v>
      </c>
      <c r="N41" s="777">
        <f>'.c12_bi&amp;f_hr'!N11*(1+'.c12_inputs.hr'!$E$5)+('.c12_bi&amp;f_hr'!N26*(1+'.c12_inputs.hr'!$E$6))</f>
        <v>0</v>
      </c>
      <c r="O41" s="777">
        <f>'.c12_bi&amp;f_hr'!O11*(1+'.c12_inputs.hr'!$E$5)+('.c12_bi&amp;f_hr'!O26*(1+'.c12_inputs.hr'!$E$6))</f>
        <v>0</v>
      </c>
      <c r="P41" s="777">
        <f>'.c12_bi&amp;f_hr'!P11*(1+'.c12_inputs.hr'!$E$5)+('.c12_bi&amp;f_hr'!P26*(1+'.c12_inputs.hr'!$E$6))</f>
        <v>0</v>
      </c>
      <c r="Q41" s="777">
        <f>'.c12_bi&amp;f_hr'!Q11*(1+'.c12_inputs.hr'!$E$5)+('.c12_bi&amp;f_hr'!Q26*(1+'.c12_inputs.hr'!$E$6))</f>
        <v>37037.142857142862</v>
      </c>
      <c r="R41" s="777">
        <f>'.c12_bi&amp;f_hr'!R11*(1+'.c12_inputs.hr'!$E$5)+('.c12_bi&amp;f_hr'!R26*(1+'.c12_inputs.hr'!$E$6))</f>
        <v>37037.142857142862</v>
      </c>
      <c r="S41" s="777">
        <f>'.c12_bi&amp;f_hr'!S11*(1+'.c12_inputs.hr'!$E$5)+('.c12_bi&amp;f_hr'!S26*(1+'.c12_inputs.hr'!$E$6))</f>
        <v>47427.142857142862</v>
      </c>
      <c r="T41" s="777">
        <f>'.c12_bi&amp;f_hr'!T11*(1+'.c12_inputs.hr'!$E$5)+('.c12_bi&amp;f_hr'!T26*(1+'.c12_inputs.hr'!$E$6))</f>
        <v>158538.57142857145</v>
      </c>
      <c r="U41" s="777">
        <f>'.c12_bi&amp;f_hr'!U11*(1+'.c12_inputs.hr'!$E$5)+('.c12_bi&amp;f_hr'!U26*(1+'.c12_inputs.hr'!$E$6))</f>
        <v>158538.57142857145</v>
      </c>
      <c r="V41" s="777">
        <f>'.c12_bi&amp;f_hr'!V11*(1+'.c12_inputs.hr'!$E$5)+('.c12_bi&amp;f_hr'!V26*(1+'.c12_inputs.hr'!$E$6))</f>
        <v>158538.57142857145</v>
      </c>
      <c r="W41" s="777">
        <f>'.c12_bi&amp;f_hr'!W11*(1+'.c12_inputs.hr'!$E$5)+('.c12_bi&amp;f_hr'!W26*(1+'.c12_inputs.hr'!$E$6))</f>
        <v>158538.57142857145</v>
      </c>
      <c r="X41" s="777"/>
      <c r="Y41" s="754"/>
      <c r="Z41" s="753"/>
      <c r="AA41" s="753"/>
      <c r="AB41" s="753"/>
      <c r="AC41" s="753"/>
      <c r="AD41" s="753"/>
      <c r="AE41" s="753"/>
      <c r="AF41" s="753"/>
      <c r="AG41" s="753"/>
      <c r="AH41" s="753"/>
      <c r="AI41" s="755"/>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3"/>
        <v>Financial Director (DV) - 100%</v>
      </c>
      <c r="B42" s="779" t="s">
        <v>826</v>
      </c>
      <c r="C42" s="779" t="s">
        <v>1088</v>
      </c>
      <c r="D42" s="779" t="s">
        <v>1137</v>
      </c>
      <c r="E42" s="790"/>
      <c r="F42" s="790"/>
      <c r="G42" s="790"/>
      <c r="H42" s="790"/>
      <c r="I42" s="802">
        <v>82700</v>
      </c>
      <c r="J42" s="802">
        <v>61919.999999999993</v>
      </c>
      <c r="K42" s="790"/>
      <c r="L42" s="790">
        <f>+L12*(1+'.c12_inputs.hr'!$E$15)+(L27*(1+'.c12_inputs.hr'!$E$16))</f>
        <v>0</v>
      </c>
      <c r="M42" s="790">
        <f>+M12*(1+'.c12_inputs.hr'!$E$15)+(M27*(1+'.c12_inputs.hr'!$E$16))</f>
        <v>0</v>
      </c>
      <c r="N42" s="790">
        <f>+N12*(1+'.c12_inputs.hr'!$E$15)+(N27*(1+'.c12_inputs.hr'!$E$16))</f>
        <v>61919.999999999993</v>
      </c>
      <c r="O42" s="790">
        <f>+O12*(1+'.c12_inputs.hr'!$E$15)+(O27*(1+'.c12_inputs.hr'!$E$16))</f>
        <v>82700</v>
      </c>
      <c r="P42" s="790">
        <f>+P12*(1+'.c12_inputs.hr'!$E$15)+(P27*(1+'.c12_inputs.hr'!$E$16))</f>
        <v>61919.999999999993</v>
      </c>
      <c r="Q42" s="790">
        <f>+Q12*(1+'.c12_inputs.hr'!$E$15)+(Q27*(1+'.c12_inputs.hr'!$E$16))</f>
        <v>61919.999999999993</v>
      </c>
      <c r="R42" s="790">
        <f>+R12*(1+'.c12_inputs.hr'!$E$15)+(R27*(1+'.c12_inputs.hr'!$E$16))</f>
        <v>61919.999999999993</v>
      </c>
      <c r="S42" s="790">
        <f>+S12*(1+'.c12_inputs.hr'!$E$15)+(S27*(1+'.c12_inputs.hr'!$E$16))</f>
        <v>103480</v>
      </c>
      <c r="T42" s="790">
        <f>+T12*(1+'.c12_inputs.hr'!$E$15)+(T27*(1+'.c12_inputs.hr'!$E$16))</f>
        <v>289240</v>
      </c>
      <c r="U42" s="790">
        <f>+U12*(1+'.c12_inputs.hr'!$E$15)+(U27*(1+'.c12_inputs.hr'!$E$16))</f>
        <v>289240</v>
      </c>
      <c r="V42" s="790">
        <f>+V12*(1+'.c12_inputs.hr'!$E$15)+(V27*(1+'.c12_inputs.hr'!$E$16))</f>
        <v>289240</v>
      </c>
      <c r="W42" s="790">
        <f>+W12*(1+'.c12_inputs.hr'!$E$15)+(W27*(1+'.c12_inputs.hr'!$E$16))</f>
        <v>289240</v>
      </c>
      <c r="X42" s="790"/>
      <c r="Y42" s="790"/>
      <c r="Z42" s="794"/>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3"/>
        <v>IM (TW)</v>
      </c>
      <c r="B43" s="779" t="s">
        <v>826</v>
      </c>
      <c r="C43" s="779" t="s">
        <v>1088</v>
      </c>
      <c r="D43" s="779" t="s">
        <v>1139</v>
      </c>
      <c r="E43" s="790"/>
      <c r="F43" s="790"/>
      <c r="G43" s="790"/>
      <c r="H43" s="790"/>
      <c r="I43" s="802">
        <v>72055</v>
      </c>
      <c r="J43" s="802">
        <v>46080</v>
      </c>
      <c r="K43" s="790"/>
      <c r="L43" s="790">
        <f>+L13*(1+'.c12_inputs.hr'!$E$15)+(L28*(1+'.c12_inputs.hr'!$E$16))</f>
        <v>46080</v>
      </c>
      <c r="M43" s="790">
        <f>+M13*(1+'.c12_inputs.hr'!$E$15)+(M28*(1+'.c12_inputs.hr'!$E$16))</f>
        <v>46080</v>
      </c>
      <c r="N43" s="790">
        <f>+N13*(1+'.c12_inputs.hr'!$E$15)+(N28*(1+'.c12_inputs.hr'!$E$16))</f>
        <v>46080</v>
      </c>
      <c r="O43" s="790">
        <f>+O13*(1+'.c12_inputs.hr'!$E$15)+(O28*(1+'.c12_inputs.hr'!$E$16))</f>
        <v>72055</v>
      </c>
      <c r="P43" s="790">
        <f>+P13*(1+'.c12_inputs.hr'!$E$15)+(P28*(1+'.c12_inputs.hr'!$E$16))</f>
        <v>46080</v>
      </c>
      <c r="Q43" s="790">
        <f>+Q13*(1+'.c12_inputs.hr'!$E$15)+(Q28*(1+'.c12_inputs.hr'!$E$16))</f>
        <v>46080</v>
      </c>
      <c r="R43" s="790">
        <f>+R13*(1+'.c12_inputs.hr'!$E$15)+(R28*(1+'.c12_inputs.hr'!$E$16))</f>
        <v>46080</v>
      </c>
      <c r="S43" s="790">
        <f>+S13*(1+'.c12_inputs.hr'!$E$15)+(S28*(1+'.c12_inputs.hr'!$E$16))</f>
        <v>72055</v>
      </c>
      <c r="T43" s="790">
        <f>+T13*(1+'.c12_inputs.hr'!$E$15)+(T28*(1+'.c12_inputs.hr'!$E$16))</f>
        <v>256374.99999999997</v>
      </c>
      <c r="U43" s="790">
        <f>+U13*(1+'.c12_inputs.hr'!$E$15)+(U28*(1+'.c12_inputs.hr'!$E$16))</f>
        <v>256374.99999999997</v>
      </c>
      <c r="V43" s="790">
        <f>+V13*(1+'.c12_inputs.hr'!$E$15)+(V28*(1+'.c12_inputs.hr'!$E$16))</f>
        <v>256374.99999999997</v>
      </c>
      <c r="W43" s="790">
        <f>+W13*(1+'.c12_inputs.hr'!$E$15)+(W28*(1+'.c12_inputs.hr'!$E$16))</f>
        <v>256374.99999999997</v>
      </c>
      <c r="X43" s="790"/>
      <c r="Y43" s="790"/>
      <c r="Z43" s="794"/>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t="str">
        <f t="shared" si="3"/>
        <v>HR (100%)</v>
      </c>
      <c r="B44" s="779" t="s">
        <v>826</v>
      </c>
      <c r="C44" s="779" t="s">
        <v>1088</v>
      </c>
      <c r="D44" s="779" t="s">
        <v>1141</v>
      </c>
      <c r="E44" s="790"/>
      <c r="F44" s="790"/>
      <c r="G44" s="790"/>
      <c r="H44" s="790"/>
      <c r="I44" s="802">
        <v>0</v>
      </c>
      <c r="J44" s="802">
        <v>0</v>
      </c>
      <c r="K44" s="790"/>
      <c r="L44" s="790">
        <f>+L14*(1+'.c12_inputs.hr'!$E$15)+(L29*(1+'.c12_inputs.hr'!$E$16))</f>
        <v>0</v>
      </c>
      <c r="M44" s="790">
        <f>+M14*(1+'.c12_inputs.hr'!$E$15)+(M29*(1+'.c12_inputs.hr'!$E$16))</f>
        <v>0</v>
      </c>
      <c r="N44" s="790">
        <f>+N14*(1+'.c12_inputs.hr'!$E$15)+(N29*(1+'.c12_inputs.hr'!$E$16))</f>
        <v>0</v>
      </c>
      <c r="O44" s="790">
        <f>+O14*(1+'.c12_inputs.hr'!$E$15)+(O29*(1+'.c12_inputs.hr'!$E$16))</f>
        <v>0</v>
      </c>
      <c r="P44" s="790">
        <f>+P14*(1+'.c12_inputs.hr'!$E$15)+(P29*(1+'.c12_inputs.hr'!$E$16))</f>
        <v>0</v>
      </c>
      <c r="Q44" s="790">
        <f>+Q14*(1+'.c12_inputs.hr'!$E$15)+(Q29*(1+'.c12_inputs.hr'!$E$16))</f>
        <v>0</v>
      </c>
      <c r="R44" s="790">
        <f>+R14*(1+'.c12_inputs.hr'!$E$15)+(R29*(1+'.c12_inputs.hr'!$E$16))</f>
        <v>43200</v>
      </c>
      <c r="S44" s="790">
        <f>+S14*(1+'.c12_inputs.hr'!$E$15)+(S29*(1+'.c12_inputs.hr'!$E$16))</f>
        <v>58785</v>
      </c>
      <c r="T44" s="790">
        <f>+T14*(1+'.c12_inputs.hr'!$E$15)+(T29*(1+'.c12_inputs.hr'!$E$16))</f>
        <v>198775</v>
      </c>
      <c r="U44" s="790">
        <f>+U14*(1+'.c12_inputs.hr'!$E$15)+(U29*(1+'.c12_inputs.hr'!$E$16))</f>
        <v>198775</v>
      </c>
      <c r="V44" s="790">
        <f>+V14*(1+'.c12_inputs.hr'!$E$15)+(V29*(1+'.c12_inputs.hr'!$E$16))</f>
        <v>198775</v>
      </c>
      <c r="W44" s="790">
        <f>+W14*(1+'.c12_inputs.hr'!$E$15)+(W29*(1+'.c12_inputs.hr'!$E$16))</f>
        <v>198775</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t="str">
        <f t="shared" si="3"/>
        <v>Legal (100%)</v>
      </c>
      <c r="B45" s="779" t="s">
        <v>826</v>
      </c>
      <c r="C45" s="779" t="s">
        <v>1088</v>
      </c>
      <c r="D45" s="779" t="s">
        <v>1143</v>
      </c>
      <c r="E45" s="790"/>
      <c r="F45" s="790"/>
      <c r="G45" s="790"/>
      <c r="H45" s="790"/>
      <c r="I45" s="802">
        <v>0</v>
      </c>
      <c r="J45" s="802">
        <v>0</v>
      </c>
      <c r="K45" s="790"/>
      <c r="L45" s="790">
        <f>+L15*(1+'.c12_inputs.hr'!$E$15)+(L30*(1+'.c12_inputs.hr'!$E$16))</f>
        <v>0</v>
      </c>
      <c r="M45" s="790">
        <f>+M15*(1+'.c12_inputs.hr'!$E$15)+(M30*(1+'.c12_inputs.hr'!$E$16))</f>
        <v>0</v>
      </c>
      <c r="N45" s="790">
        <f>+N15*(1+'.c12_inputs.hr'!$E$15)+(N30*(1+'.c12_inputs.hr'!$E$16))</f>
        <v>0</v>
      </c>
      <c r="O45" s="790">
        <f>+O15*(1+'.c12_inputs.hr'!$E$15)+(O30*(1+'.c12_inputs.hr'!$E$16))</f>
        <v>0</v>
      </c>
      <c r="P45" s="790">
        <f>+P15*(1+'.c12_inputs.hr'!$E$15)+(P30*(1+'.c12_inputs.hr'!$E$16))</f>
        <v>0</v>
      </c>
      <c r="Q45" s="790">
        <f>+Q15*(1+'.c12_inputs.hr'!$E$15)+(Q30*(1+'.c12_inputs.hr'!$E$16))</f>
        <v>0</v>
      </c>
      <c r="R45" s="790">
        <f>+R15*(1+'.c12_inputs.hr'!$E$15)+(R30*(1+'.c12_inputs.hr'!$E$16))</f>
        <v>64799.999999999993</v>
      </c>
      <c r="S45" s="790">
        <f>+S15*(1+'.c12_inputs.hr'!$E$15)+(S30*(1+'.c12_inputs.hr'!$E$16))</f>
        <v>80384.999999999985</v>
      </c>
      <c r="T45" s="790">
        <f>+T15*(1+'.c12_inputs.hr'!$E$15)+(T30*(1+'.c12_inputs.hr'!$E$16))</f>
        <v>285174.99999999994</v>
      </c>
      <c r="U45" s="790">
        <f>+U15*(1+'.c12_inputs.hr'!$E$15)+(U30*(1+'.c12_inputs.hr'!$E$16))</f>
        <v>285174.99999999994</v>
      </c>
      <c r="V45" s="790">
        <f>+V15*(1+'.c12_inputs.hr'!$E$15)+(V30*(1+'.c12_inputs.hr'!$E$16))</f>
        <v>285174.99999999994</v>
      </c>
      <c r="W45" s="790">
        <f>+W15*(1+'.c12_inputs.hr'!$E$15)+(W30*(1+'.c12_inputs.hr'!$E$16))</f>
        <v>285174.99999999994</v>
      </c>
      <c r="X45" s="790"/>
      <c r="Y45" s="790"/>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t="str">
        <f t="shared" si="3"/>
        <v>Tech1</v>
      </c>
      <c r="B46" s="779" t="s">
        <v>826</v>
      </c>
      <c r="C46" s="779" t="s">
        <v>1088</v>
      </c>
      <c r="D46" s="779" t="s">
        <v>1145</v>
      </c>
      <c r="E46" s="790"/>
      <c r="F46" s="790"/>
      <c r="G46" s="790"/>
      <c r="H46" s="790"/>
      <c r="I46" s="802">
        <v>0</v>
      </c>
      <c r="J46" s="802">
        <v>0</v>
      </c>
      <c r="K46" s="790"/>
      <c r="L46" s="790">
        <f>+L16*(1+'.c12_inputs.hr'!$E$15)+(L31*(1+'.c12_inputs.hr'!$E$16))</f>
        <v>0</v>
      </c>
      <c r="M46" s="790">
        <f>+M16*(1+'.c12_inputs.hr'!$E$15)+(M31*(1+'.c12_inputs.hr'!$E$16))</f>
        <v>0</v>
      </c>
      <c r="N46" s="790">
        <f>+N16*(1+'.c12_inputs.hr'!$E$15)+(N31*(1+'.c12_inputs.hr'!$E$16))</f>
        <v>0</v>
      </c>
      <c r="O46" s="790">
        <f>+O16*(1+'.c12_inputs.hr'!$E$15)+(O31*(1+'.c12_inputs.hr'!$E$16))</f>
        <v>0</v>
      </c>
      <c r="P46" s="790">
        <f>+P16*(1+'.c12_inputs.hr'!$E$15)+(P31*(1+'.c12_inputs.hr'!$E$16))</f>
        <v>0</v>
      </c>
      <c r="Q46" s="790">
        <f>+Q16*(1+'.c12_inputs.hr'!$E$15)+(Q31*(1+'.c12_inputs.hr'!$E$16))</f>
        <v>0</v>
      </c>
      <c r="R46" s="790">
        <f>+R16*(1+'.c12_inputs.hr'!$E$15)+(R31*(1+'.c12_inputs.hr'!$E$16))</f>
        <v>64799.999999999993</v>
      </c>
      <c r="S46" s="790">
        <f>+S16*(1+'.c12_inputs.hr'!$E$15)+(S31*(1+'.c12_inputs.hr'!$E$16))</f>
        <v>80384.999999999985</v>
      </c>
      <c r="T46" s="790">
        <f>+T16*(1+'.c12_inputs.hr'!$E$15)+(T31*(1+'.c12_inputs.hr'!$E$16))</f>
        <v>285174.99999999994</v>
      </c>
      <c r="U46" s="790">
        <f>+U16*(1+'.c12_inputs.hr'!$E$15)+(U31*(1+'.c12_inputs.hr'!$E$16))</f>
        <v>285174.99999999994</v>
      </c>
      <c r="V46" s="790">
        <f>+V16*(1+'.c12_inputs.hr'!$E$15)+(V31*(1+'.c12_inputs.hr'!$E$16))</f>
        <v>285174.99999999994</v>
      </c>
      <c r="W46" s="790">
        <f>+W16*(1+'.c12_inputs.hr'!$E$15)+(W31*(1+'.c12_inputs.hr'!$E$16))</f>
        <v>285174.99999999994</v>
      </c>
      <c r="X46" s="790"/>
      <c r="Y46" s="790"/>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ht="14.65" customHeight="1">
      <c r="A47" s="753" t="str">
        <f t="shared" si="3"/>
        <v>Tech2</v>
      </c>
      <c r="B47" s="779" t="s">
        <v>826</v>
      </c>
      <c r="C47" s="779" t="s">
        <v>1088</v>
      </c>
      <c r="D47" s="779" t="s">
        <v>1147</v>
      </c>
      <c r="E47" s="790"/>
      <c r="F47" s="790"/>
      <c r="G47" s="790"/>
      <c r="H47" s="790"/>
      <c r="I47" s="802">
        <v>0</v>
      </c>
      <c r="J47" s="802">
        <v>0</v>
      </c>
      <c r="K47" s="790"/>
      <c r="L47" s="790">
        <f>+L17*(1+'.c12_inputs.hr'!$E$15)+(L32*(1+'.c12_inputs.hr'!$E$16))</f>
        <v>0</v>
      </c>
      <c r="M47" s="790">
        <f>+M17*(1+'.c12_inputs.hr'!$E$15)+(M32*(1+'.c12_inputs.hr'!$E$16))</f>
        <v>0</v>
      </c>
      <c r="N47" s="790">
        <f>+N17*(1+'.c12_inputs.hr'!$E$15)+(N32*(1+'.c12_inputs.hr'!$E$16))</f>
        <v>0</v>
      </c>
      <c r="O47" s="790">
        <f>+O17*(1+'.c12_inputs.hr'!$E$15)+(O32*(1+'.c12_inputs.hr'!$E$16))</f>
        <v>0</v>
      </c>
      <c r="P47" s="790">
        <f>+P17*(1+'.c12_inputs.hr'!$E$15)+(P32*(1+'.c12_inputs.hr'!$E$16))</f>
        <v>0</v>
      </c>
      <c r="Q47" s="790">
        <f>+Q17*(1+'.c12_inputs.hr'!$E$15)+(Q32*(1+'.c12_inputs.hr'!$E$16))</f>
        <v>0</v>
      </c>
      <c r="R47" s="790">
        <f>+R17*(1+'.c12_inputs.hr'!$E$15)+(R32*(1+'.c12_inputs.hr'!$E$16))</f>
        <v>21600</v>
      </c>
      <c r="S47" s="790">
        <f>+S17*(1+'.c12_inputs.hr'!$E$15)+(S32*(1+'.c12_inputs.hr'!$E$16))</f>
        <v>37185</v>
      </c>
      <c r="T47" s="790">
        <f>+T17*(1+'.c12_inputs.hr'!$E$15)+(T32*(1+'.c12_inputs.hr'!$E$16))</f>
        <v>112375</v>
      </c>
      <c r="U47" s="790">
        <f>+U17*(1+'.c12_inputs.hr'!$E$15)+(U32*(1+'.c12_inputs.hr'!$E$16))</f>
        <v>112375</v>
      </c>
      <c r="V47" s="790">
        <f>+V17*(1+'.c12_inputs.hr'!$E$15)+(V32*(1+'.c12_inputs.hr'!$E$16))</f>
        <v>112375</v>
      </c>
      <c r="W47" s="790">
        <f>+W17*(1+'.c12_inputs.hr'!$E$15)+(W32*(1+'.c12_inputs.hr'!$E$16))</f>
        <v>112375</v>
      </c>
      <c r="X47" s="790"/>
      <c r="Y47" s="790"/>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ht="14.65" customHeight="1">
      <c r="A48" s="799" t="s">
        <v>994</v>
      </c>
      <c r="B48" s="779" t="s">
        <v>808</v>
      </c>
      <c r="C48" s="779" t="s">
        <v>995</v>
      </c>
      <c r="D48" s="753"/>
      <c r="E48" s="790"/>
      <c r="F48" s="785"/>
      <c r="G48" s="785"/>
      <c r="H48" s="785"/>
      <c r="I48" s="802">
        <v>602497.5</v>
      </c>
      <c r="J48" s="802">
        <v>296640</v>
      </c>
      <c r="K48" s="785"/>
      <c r="L48" s="803">
        <f t="shared" ref="L48:W48" si="4">SUM(L36:L47)</f>
        <v>250559.99999999997</v>
      </c>
      <c r="M48" s="803">
        <f t="shared" si="4"/>
        <v>250559.99999999997</v>
      </c>
      <c r="N48" s="803">
        <f t="shared" si="4"/>
        <v>336959.99999999994</v>
      </c>
      <c r="O48" s="803">
        <f t="shared" si="4"/>
        <v>602497.5</v>
      </c>
      <c r="P48" s="803">
        <f t="shared" si="4"/>
        <v>296640</v>
      </c>
      <c r="Q48" s="803">
        <f t="shared" si="4"/>
        <v>477677.14285714284</v>
      </c>
      <c r="R48" s="803">
        <f t="shared" si="4"/>
        <v>672077.14285714284</v>
      </c>
      <c r="S48" s="803">
        <f t="shared" si="4"/>
        <v>1173394.6428571427</v>
      </c>
      <c r="T48" s="803">
        <f t="shared" si="4"/>
        <v>3289116.0714285714</v>
      </c>
      <c r="U48" s="803">
        <f t="shared" si="4"/>
        <v>3289116.0714285714</v>
      </c>
      <c r="V48" s="803">
        <f t="shared" si="4"/>
        <v>3289116.0714285714</v>
      </c>
      <c r="W48" s="803">
        <f t="shared" si="4"/>
        <v>3289116.0714285714</v>
      </c>
      <c r="X48" s="790"/>
      <c r="Y48" s="794"/>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80" t="s">
        <v>996</v>
      </c>
      <c r="B49" s="779" t="s">
        <v>808</v>
      </c>
      <c r="C49" s="779" t="s">
        <v>997</v>
      </c>
      <c r="D49" s="753"/>
      <c r="E49" s="785"/>
      <c r="F49" s="785"/>
      <c r="G49" s="785"/>
      <c r="H49" s="785"/>
      <c r="I49" s="787">
        <v>154162.5</v>
      </c>
      <c r="J49" s="787">
        <v>118080</v>
      </c>
      <c r="K49" s="785"/>
      <c r="L49" s="788">
        <f>SUMPRODUCT('.c12_alloc'!$H$38:$H$49,'.c12_bi&amp;f_hr'!L$36:L$47)</f>
        <v>53279.999999999993</v>
      </c>
      <c r="M49" s="788">
        <f>SUMPRODUCT('.c12_alloc'!$H$38:$H$49,'.c12_bi&amp;f_hr'!M$36:M$47)</f>
        <v>53279.999999999993</v>
      </c>
      <c r="N49" s="788">
        <f>SUMPRODUCT('.c12_alloc'!$H$38:$H$49,'.c12_bi&amp;f_hr'!N$36:N$47)</f>
        <v>115199.99999999999</v>
      </c>
      <c r="O49" s="788">
        <f>SUMPRODUCT('.c12_alloc'!$H$38:$H$49,'.c12_bi&amp;f_hr'!O$36:O$47)</f>
        <v>154162.5</v>
      </c>
      <c r="P49" s="788">
        <f>SUMPRODUCT('.c12_alloc'!$H$38:$H$49,'.c12_bi&amp;f_hr'!P$36:P$47)</f>
        <v>118079.99999999999</v>
      </c>
      <c r="Q49" s="788">
        <f>SUMPRODUCT('.c12_alloc'!$H$38:$H$49,'.c12_bi&amp;f_hr'!Q$36:Q$47)</f>
        <v>118079.99999999999</v>
      </c>
      <c r="R49" s="788">
        <f>SUMPRODUCT('.c12_alloc'!$H$38:$H$49,'.c12_bi&amp;f_hr'!R$36:R$47)</f>
        <v>226080</v>
      </c>
      <c r="S49" s="788">
        <f>SUMPRODUCT('.c12_alloc'!$H$38:$H$49,'.c12_bi&amp;f_hr'!S$36:S$47)</f>
        <v>314395</v>
      </c>
      <c r="T49" s="788">
        <f>SUMPRODUCT('.c12_alloc'!$H$38:$H$49,'.c12_bi&amp;f_hr'!T$36:T$47)</f>
        <v>1013415</v>
      </c>
      <c r="U49" s="788">
        <f>SUMPRODUCT('.c12_alloc'!$H$38:$H$49,'.c12_bi&amp;f_hr'!U$36:U$47)</f>
        <v>1013415</v>
      </c>
      <c r="V49" s="788">
        <f>SUMPRODUCT('.c12_alloc'!$H$38:$H$49,'.c12_bi&amp;f_hr'!V$36:V$47)</f>
        <v>1013415</v>
      </c>
      <c r="W49" s="788">
        <f>SUMPRODUCT('.c12_alloc'!$H$38:$H$49,'.c12_bi&amp;f_hr'!W$36:W$47)</f>
        <v>1013415</v>
      </c>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80" t="s">
        <v>998</v>
      </c>
      <c r="B50" s="779" t="s">
        <v>808</v>
      </c>
      <c r="C50" s="779" t="s">
        <v>999</v>
      </c>
      <c r="D50" s="753"/>
      <c r="E50" s="785"/>
      <c r="F50" s="785"/>
      <c r="G50" s="785"/>
      <c r="H50" s="785"/>
      <c r="I50" s="787">
        <v>448334.99999999988</v>
      </c>
      <c r="J50" s="787">
        <v>178560</v>
      </c>
      <c r="K50" s="785"/>
      <c r="L50" s="788">
        <f>SUMPRODUCT('.c12_alloc'!$G$38:$G$49,'.c12_bi&amp;f_hr'!L$36:L$47)</f>
        <v>197280</v>
      </c>
      <c r="M50" s="788">
        <f>SUMPRODUCT('.c12_alloc'!$G$38:$G$49,'.c12_bi&amp;f_hr'!M$36:M$47)</f>
        <v>197280</v>
      </c>
      <c r="N50" s="788">
        <f>SUMPRODUCT('.c12_alloc'!$G$38:$G$49,'.c12_bi&amp;f_hr'!N$36:N$47)</f>
        <v>221759.99999999997</v>
      </c>
      <c r="O50" s="788">
        <f>SUMPRODUCT('.c12_alloc'!$G$38:$G$49,'.c12_bi&amp;f_hr'!O$36:O$47)</f>
        <v>448334.99999999994</v>
      </c>
      <c r="P50" s="788">
        <f>SUMPRODUCT('.c12_alloc'!$G$38:$G$49,'.c12_bi&amp;f_hr'!P$36:P$47)</f>
        <v>178559.99999999997</v>
      </c>
      <c r="Q50" s="788">
        <f>SUMPRODUCT('.c12_alloc'!$G$38:$G$49,'.c12_bi&amp;f_hr'!Q$36:Q$47)</f>
        <v>359597.14285714284</v>
      </c>
      <c r="R50" s="788">
        <f>SUMPRODUCT('.c12_alloc'!$G$38:$G$49,'.c12_bi&amp;f_hr'!R$36:R$47)</f>
        <v>445997.14285714284</v>
      </c>
      <c r="S50" s="788">
        <f>SUMPRODUCT('.c12_alloc'!$G$38:$G$49,'.c12_bi&amp;f_hr'!S$36:S$47)</f>
        <v>858999.64285714284</v>
      </c>
      <c r="T50" s="788">
        <f>SUMPRODUCT('.c12_alloc'!$G$38:$G$49,'.c12_bi&amp;f_hr'!T$36:T$47)</f>
        <v>2275701.0714285714</v>
      </c>
      <c r="U50" s="788">
        <f>SUMPRODUCT('.c12_alloc'!$G$38:$G$49,'.c12_bi&amp;f_hr'!U$36:U$47)</f>
        <v>2275701.0714285714</v>
      </c>
      <c r="V50" s="788">
        <f>SUMPRODUCT('.c12_alloc'!$G$38:$G$49,'.c12_bi&amp;f_hr'!V$36:V$47)</f>
        <v>2275701.0714285714</v>
      </c>
      <c r="W50" s="788">
        <f>SUMPRODUCT('.c12_alloc'!$G$38:$G$49,'.c12_bi&amp;f_hr'!W$36:W$47)</f>
        <v>2275701.0714285714</v>
      </c>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80" t="s">
        <v>1000</v>
      </c>
      <c r="B51" s="779" t="s">
        <v>808</v>
      </c>
      <c r="C51" s="779" t="s">
        <v>1001</v>
      </c>
      <c r="D51" s="753"/>
      <c r="E51" s="785"/>
      <c r="F51" s="785"/>
      <c r="G51" s="785"/>
      <c r="H51" s="785"/>
      <c r="I51" s="787">
        <v>0</v>
      </c>
      <c r="J51" s="787">
        <v>0</v>
      </c>
      <c r="K51" s="785"/>
      <c r="L51" s="788">
        <f>SUMPRODUCT('.c12_alloc'!$E$38:$E$49,'.c12_bi&amp;f_hr'!L$36:L$47)</f>
        <v>0</v>
      </c>
      <c r="M51" s="788">
        <f>SUMPRODUCT('.c12_alloc'!$E$38:$E$49,'.c12_bi&amp;f_hr'!M$36:M$47)</f>
        <v>0</v>
      </c>
      <c r="N51" s="788">
        <f>SUMPRODUCT('.c12_alloc'!$E$38:$E$49,'.c12_bi&amp;f_hr'!N$36:N$47)</f>
        <v>0</v>
      </c>
      <c r="O51" s="788">
        <f>SUMPRODUCT('.c12_alloc'!$E$38:$E$49,'.c12_bi&amp;f_hr'!O$36:O$47)</f>
        <v>0</v>
      </c>
      <c r="P51" s="788">
        <f>SUMPRODUCT('.c12_alloc'!$E$38:$E$49,'.c12_bi&amp;f_hr'!P$36:P$47)</f>
        <v>0</v>
      </c>
      <c r="Q51" s="788">
        <f>SUMPRODUCT('.c12_alloc'!$E$38:$E$49,'.c12_bi&amp;f_hr'!Q$36:Q$47)</f>
        <v>0</v>
      </c>
      <c r="R51" s="788">
        <f>SUMPRODUCT('.c12_alloc'!$E$38:$E$49,'.c12_bi&amp;f_hr'!R$36:R$47)</f>
        <v>0</v>
      </c>
      <c r="S51" s="788">
        <f>SUMPRODUCT('.c12_alloc'!$E$38:$E$49,'.c12_bi&amp;f_hr'!S$36:S$47)</f>
        <v>0</v>
      </c>
      <c r="T51" s="788">
        <f>SUMPRODUCT('.c12_alloc'!$E$38:$E$49,'.c12_bi&amp;f_hr'!T$36:T$47)</f>
        <v>0</v>
      </c>
      <c r="U51" s="788">
        <f>SUMPRODUCT('.c12_alloc'!$E$38:$E$49,'.c12_bi&amp;f_hr'!U$36:U$47)</f>
        <v>0</v>
      </c>
      <c r="V51" s="788">
        <f>SUMPRODUCT('.c12_alloc'!$E$38:$E$49,'.c12_bi&amp;f_hr'!V$36:V$47)</f>
        <v>0</v>
      </c>
      <c r="W51" s="788">
        <f>SUMPRODUCT('.c12_alloc'!$E$38:$E$49,'.c12_bi&amp;f_hr'!W$36:W$47)</f>
        <v>0</v>
      </c>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85"/>
      <c r="F52" s="785"/>
      <c r="G52" s="785"/>
      <c r="H52" s="785"/>
      <c r="I52" s="785"/>
      <c r="J52" s="785"/>
      <c r="K52" s="785"/>
      <c r="L52" s="785"/>
      <c r="M52" s="785"/>
      <c r="N52" s="785"/>
      <c r="O52" s="785"/>
      <c r="P52" s="785"/>
      <c r="Q52" s="785"/>
      <c r="R52" s="785"/>
      <c r="S52" s="785"/>
      <c r="T52" s="785"/>
      <c r="U52" s="785"/>
      <c r="V52" s="785"/>
      <c r="W52" s="785"/>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85"/>
      <c r="F53" s="753"/>
      <c r="G53" s="753"/>
      <c r="H53" s="753"/>
      <c r="I53" s="785"/>
      <c r="J53" s="785"/>
      <c r="K53" s="753"/>
      <c r="L53" s="785"/>
      <c r="M53" s="785"/>
      <c r="N53" s="785"/>
      <c r="O53" s="785"/>
      <c r="P53" s="785"/>
      <c r="Q53" s="785"/>
      <c r="R53" s="785"/>
      <c r="S53" s="785"/>
      <c r="T53" s="785"/>
      <c r="U53" s="785"/>
      <c r="V53" s="785"/>
      <c r="W53" s="785"/>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44"/>
      <c r="B2" s="442"/>
      <c r="C2" s="442"/>
      <c r="D2" s="442"/>
      <c r="E2" s="453"/>
      <c r="F2" s="453"/>
      <c r="G2" s="453"/>
      <c r="H2" s="453"/>
      <c r="I2" s="453"/>
      <c r="J2" s="453"/>
      <c r="K2" s="453"/>
      <c r="L2" s="453"/>
      <c r="M2" s="453"/>
      <c r="N2" s="453"/>
      <c r="O2" s="453"/>
      <c r="P2" s="453"/>
      <c r="Q2" s="452"/>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T2" s="427"/>
      <c r="AU2" s="427"/>
      <c r="AV2" s="427"/>
      <c r="AW2" s="427"/>
      <c r="AX2" s="427"/>
      <c r="AY2" s="427"/>
      <c r="AZ2" s="427"/>
      <c r="BA2" s="427"/>
      <c r="BB2" s="427"/>
      <c r="BC2" s="427"/>
      <c r="BD2" s="427"/>
      <c r="BE2" s="427"/>
    </row>
    <row r="3" spans="1:57" ht="18.5" customHeight="1">
      <c r="A3" s="434"/>
      <c r="B3" s="574" t="s">
        <v>2</v>
      </c>
      <c r="C3" s="575" t="s">
        <v>3</v>
      </c>
      <c r="D3" s="574" t="s">
        <v>4</v>
      </c>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c r="A4" s="434" t="s">
        <v>1148</v>
      </c>
      <c r="B4" s="576"/>
      <c r="C4" s="577"/>
      <c r="D4" s="576"/>
      <c r="E4" s="573"/>
      <c r="F4" s="573"/>
      <c r="G4" s="578"/>
      <c r="H4" s="579"/>
      <c r="I4" s="579"/>
      <c r="J4" s="579"/>
      <c r="K4" s="579"/>
      <c r="L4" s="579"/>
      <c r="M4" s="434"/>
      <c r="N4" s="434"/>
      <c r="O4" s="434"/>
      <c r="P4" s="434"/>
      <c r="Q4" s="434"/>
      <c r="R4" s="434"/>
      <c r="S4" s="434"/>
      <c r="T4" s="434"/>
      <c r="U4" s="434"/>
      <c r="V4" s="434"/>
      <c r="W4" s="572"/>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34"/>
      <c r="AY4" s="434"/>
      <c r="AZ4" s="434"/>
      <c r="BA4" s="434"/>
      <c r="BB4" s="434"/>
      <c r="BC4" s="434"/>
      <c r="BD4" s="434"/>
      <c r="BE4" s="434"/>
    </row>
    <row r="5" spans="1:57">
      <c r="A5" s="434" t="s">
        <v>1149</v>
      </c>
      <c r="B5" s="576"/>
      <c r="C5" s="577"/>
      <c r="D5" s="576"/>
      <c r="E5" s="580" t="s">
        <v>1150</v>
      </c>
      <c r="F5" s="580" t="s">
        <v>1151</v>
      </c>
      <c r="G5" s="580" t="s">
        <v>1152</v>
      </c>
      <c r="H5" s="580" t="s">
        <v>1153</v>
      </c>
      <c r="I5" s="581" t="s">
        <v>1154</v>
      </c>
      <c r="J5" s="581" t="s">
        <v>1155</v>
      </c>
      <c r="K5" s="581" t="s">
        <v>104</v>
      </c>
      <c r="L5" s="581" t="s">
        <v>1156</v>
      </c>
      <c r="M5" s="581" t="s">
        <v>1157</v>
      </c>
      <c r="N5" s="581" t="s">
        <v>948</v>
      </c>
      <c r="O5" s="581" t="s">
        <v>1158</v>
      </c>
      <c r="P5" s="581" t="s">
        <v>1159</v>
      </c>
      <c r="Q5" s="434"/>
      <c r="R5" s="434"/>
      <c r="S5" s="434"/>
      <c r="T5" s="434"/>
      <c r="U5" s="434"/>
      <c r="V5" s="434"/>
      <c r="W5" s="572"/>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34"/>
      <c r="AY5" s="434"/>
      <c r="AZ5" s="434"/>
      <c r="BA5" s="434"/>
      <c r="BB5" s="434"/>
      <c r="BC5" s="434"/>
      <c r="BD5" s="434"/>
      <c r="BE5" s="434"/>
    </row>
    <row r="6" spans="1:57">
      <c r="A6" s="439" t="s">
        <v>1073</v>
      </c>
      <c r="B6" s="530" t="s">
        <v>6</v>
      </c>
      <c r="C6" s="528" t="s">
        <v>1160</v>
      </c>
      <c r="D6" s="530" t="s">
        <v>1161</v>
      </c>
      <c r="E6" s="492">
        <f t="shared" ref="E6:E11" si="0">1-F6</f>
        <v>0</v>
      </c>
      <c r="F6" s="492">
        <f t="shared" ref="F6:F11" si="1">G6+H6</f>
        <v>1</v>
      </c>
      <c r="G6" s="492">
        <f t="shared" ref="G6:G11" si="2">1-H6-P6</f>
        <v>1</v>
      </c>
      <c r="H6" s="492">
        <f t="shared" ref="H6:H11" si="3">+SUM(I6:O6)</f>
        <v>0</v>
      </c>
      <c r="I6" s="582">
        <v>0</v>
      </c>
      <c r="J6" s="582">
        <v>0</v>
      </c>
      <c r="K6" s="582">
        <v>0</v>
      </c>
      <c r="L6" s="582">
        <v>0</v>
      </c>
      <c r="M6" s="582">
        <v>0</v>
      </c>
      <c r="N6" s="447">
        <v>0</v>
      </c>
      <c r="O6" s="443">
        <v>0</v>
      </c>
      <c r="P6" s="443">
        <v>0</v>
      </c>
      <c r="Q6" s="427"/>
      <c r="R6" s="427"/>
      <c r="S6" s="427"/>
      <c r="T6" s="427"/>
      <c r="U6" s="427"/>
      <c r="V6" s="427"/>
      <c r="W6" s="451"/>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1076</v>
      </c>
      <c r="B7" s="530" t="s">
        <v>6</v>
      </c>
      <c r="C7" s="528" t="s">
        <v>1160</v>
      </c>
      <c r="D7" s="530" t="s">
        <v>1162</v>
      </c>
      <c r="E7" s="492">
        <f t="shared" si="0"/>
        <v>0</v>
      </c>
      <c r="F7" s="492">
        <f t="shared" si="1"/>
        <v>1</v>
      </c>
      <c r="G7" s="492">
        <f t="shared" si="2"/>
        <v>0</v>
      </c>
      <c r="H7" s="492">
        <f t="shared" si="3"/>
        <v>1</v>
      </c>
      <c r="I7" s="583">
        <v>0</v>
      </c>
      <c r="J7" s="583">
        <v>0</v>
      </c>
      <c r="K7" s="583">
        <v>0</v>
      </c>
      <c r="L7" s="583">
        <v>0</v>
      </c>
      <c r="M7" s="583">
        <v>0</v>
      </c>
      <c r="N7" s="447">
        <v>0</v>
      </c>
      <c r="O7" s="443">
        <v>1</v>
      </c>
      <c r="P7" s="443">
        <v>0</v>
      </c>
      <c r="Q7" s="427"/>
      <c r="R7" s="427"/>
      <c r="S7" s="427"/>
      <c r="T7" s="427"/>
      <c r="U7" s="427"/>
      <c r="V7" s="427"/>
      <c r="W7" s="451"/>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1078</v>
      </c>
      <c r="B8" s="530" t="s">
        <v>6</v>
      </c>
      <c r="C8" s="528" t="s">
        <v>1160</v>
      </c>
      <c r="D8" s="530" t="s">
        <v>1163</v>
      </c>
      <c r="E8" s="492">
        <f t="shared" si="0"/>
        <v>1</v>
      </c>
      <c r="F8" s="492">
        <f t="shared" si="1"/>
        <v>0</v>
      </c>
      <c r="G8" s="492">
        <f t="shared" si="2"/>
        <v>0</v>
      </c>
      <c r="H8" s="492">
        <f t="shared" si="3"/>
        <v>0</v>
      </c>
      <c r="I8" s="583">
        <v>0</v>
      </c>
      <c r="J8" s="583">
        <v>0</v>
      </c>
      <c r="K8" s="583">
        <v>0</v>
      </c>
      <c r="L8" s="583">
        <v>0</v>
      </c>
      <c r="M8" s="583">
        <v>0</v>
      </c>
      <c r="N8" s="447">
        <v>0</v>
      </c>
      <c r="O8" s="443">
        <v>0</v>
      </c>
      <c r="P8" s="443">
        <v>1</v>
      </c>
      <c r="Q8" s="427"/>
      <c r="R8" s="427"/>
      <c r="S8" s="427"/>
      <c r="T8" s="427"/>
      <c r="U8" s="427"/>
      <c r="V8" s="427"/>
      <c r="W8" s="451"/>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39" t="s">
        <v>1080</v>
      </c>
      <c r="B9" s="530" t="s">
        <v>6</v>
      </c>
      <c r="C9" s="528" t="s">
        <v>1160</v>
      </c>
      <c r="D9" s="530" t="s">
        <v>1164</v>
      </c>
      <c r="E9" s="492">
        <f t="shared" si="0"/>
        <v>1</v>
      </c>
      <c r="F9" s="492">
        <f t="shared" si="1"/>
        <v>0</v>
      </c>
      <c r="G9" s="492">
        <f t="shared" si="2"/>
        <v>0</v>
      </c>
      <c r="H9" s="492">
        <f t="shared" si="3"/>
        <v>0</v>
      </c>
      <c r="I9" s="583">
        <v>0</v>
      </c>
      <c r="J9" s="583">
        <v>0</v>
      </c>
      <c r="K9" s="583">
        <v>0</v>
      </c>
      <c r="L9" s="583">
        <v>0</v>
      </c>
      <c r="M9" s="583">
        <v>0</v>
      </c>
      <c r="N9" s="447">
        <v>0</v>
      </c>
      <c r="O9" s="443">
        <v>0</v>
      </c>
      <c r="P9" s="443">
        <v>1</v>
      </c>
      <c r="Q9" s="427"/>
      <c r="R9" s="427"/>
      <c r="S9" s="427"/>
      <c r="T9" s="427"/>
      <c r="U9" s="427"/>
      <c r="V9" s="427"/>
      <c r="W9" s="451"/>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39" t="s">
        <v>1082</v>
      </c>
      <c r="B10" s="530" t="s">
        <v>6</v>
      </c>
      <c r="C10" s="528" t="s">
        <v>1160</v>
      </c>
      <c r="D10" s="530" t="s">
        <v>1165</v>
      </c>
      <c r="E10" s="492">
        <f t="shared" si="0"/>
        <v>0</v>
      </c>
      <c r="F10" s="492">
        <f t="shared" si="1"/>
        <v>1</v>
      </c>
      <c r="G10" s="492">
        <f t="shared" si="2"/>
        <v>0</v>
      </c>
      <c r="H10" s="492">
        <f t="shared" si="3"/>
        <v>1</v>
      </c>
      <c r="I10" s="583">
        <v>0</v>
      </c>
      <c r="J10" s="583">
        <v>0</v>
      </c>
      <c r="K10" s="583">
        <v>0</v>
      </c>
      <c r="L10" s="583">
        <v>0</v>
      </c>
      <c r="M10" s="583">
        <v>0</v>
      </c>
      <c r="N10" s="447">
        <v>0</v>
      </c>
      <c r="O10" s="443">
        <v>1</v>
      </c>
      <c r="P10" s="443">
        <v>0</v>
      </c>
      <c r="Q10" s="427"/>
      <c r="R10" s="427"/>
      <c r="S10" s="427"/>
      <c r="T10" s="427"/>
      <c r="U10" s="427"/>
      <c r="V10" s="427"/>
      <c r="W10" s="451"/>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39" t="s">
        <v>1084</v>
      </c>
      <c r="B11" s="530" t="s">
        <v>6</v>
      </c>
      <c r="C11" s="528" t="s">
        <v>1160</v>
      </c>
      <c r="D11" s="530" t="s">
        <v>1166</v>
      </c>
      <c r="E11" s="492">
        <f t="shared" si="0"/>
        <v>0</v>
      </c>
      <c r="F11" s="492">
        <f t="shared" si="1"/>
        <v>1</v>
      </c>
      <c r="G11" s="492">
        <f t="shared" si="2"/>
        <v>1</v>
      </c>
      <c r="H11" s="492">
        <f t="shared" si="3"/>
        <v>0</v>
      </c>
      <c r="I11" s="583">
        <v>0</v>
      </c>
      <c r="J11" s="583">
        <v>0</v>
      </c>
      <c r="K11" s="583">
        <v>0</v>
      </c>
      <c r="L11" s="583">
        <v>0</v>
      </c>
      <c r="M11" s="583">
        <v>0</v>
      </c>
      <c r="N11" s="447">
        <v>0</v>
      </c>
      <c r="O11" s="443">
        <v>0</v>
      </c>
      <c r="P11" s="443">
        <v>0</v>
      </c>
      <c r="Q11" s="427"/>
      <c r="R11" s="427"/>
      <c r="S11" s="427"/>
      <c r="T11" s="427"/>
      <c r="U11" s="427"/>
      <c r="V11" s="427"/>
      <c r="W11" s="451"/>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s="425" customFormat="1">
      <c r="A12" s="427"/>
      <c r="B12" s="428"/>
      <c r="C12" s="429"/>
      <c r="D12" s="428"/>
      <c r="E12" s="492"/>
      <c r="F12" s="492"/>
      <c r="G12" s="492"/>
      <c r="H12" s="492"/>
      <c r="I12" s="519"/>
      <c r="J12" s="519"/>
      <c r="K12" s="519"/>
      <c r="L12" s="519"/>
      <c r="M12" s="519"/>
      <c r="N12" s="520"/>
      <c r="O12" s="518"/>
      <c r="P12" s="518"/>
      <c r="Q12" s="427"/>
      <c r="R12" s="427"/>
      <c r="S12" s="427"/>
      <c r="T12" s="427"/>
      <c r="U12" s="427"/>
      <c r="V12" s="427"/>
      <c r="W12" s="451"/>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ht="14.65" customHeight="1">
      <c r="A13" s="434" t="s">
        <v>1148</v>
      </c>
      <c r="B13" s="434"/>
      <c r="C13" s="434"/>
      <c r="D13" s="434"/>
      <c r="E13" s="579"/>
      <c r="F13" s="579"/>
      <c r="G13" s="579"/>
      <c r="H13" s="579"/>
      <c r="I13" s="434"/>
      <c r="J13" s="434"/>
      <c r="K13" s="434"/>
      <c r="L13" s="434"/>
      <c r="M13" s="434"/>
      <c r="N13" s="434"/>
      <c r="O13" s="434"/>
      <c r="P13" s="434"/>
      <c r="Q13" s="434"/>
      <c r="R13" s="434"/>
      <c r="S13" s="434"/>
      <c r="T13" s="434"/>
      <c r="U13" s="434"/>
      <c r="V13" s="434"/>
      <c r="W13" s="434"/>
      <c r="X13" s="434"/>
      <c r="Y13" s="434"/>
      <c r="Z13" s="434"/>
      <c r="AA13" s="434"/>
      <c r="AB13" s="434"/>
      <c r="AC13" s="434"/>
      <c r="AD13" s="434"/>
      <c r="AE13" s="434"/>
      <c r="AF13" s="434"/>
      <c r="AG13" s="434"/>
      <c r="AH13" s="434"/>
      <c r="AI13" s="434"/>
      <c r="AJ13" s="434"/>
      <c r="AK13" s="434"/>
      <c r="AL13" s="434"/>
      <c r="AM13" s="434"/>
      <c r="AN13" s="434"/>
      <c r="AO13" s="434"/>
      <c r="AP13" s="434"/>
      <c r="AQ13" s="434"/>
      <c r="AR13" s="434"/>
      <c r="AS13" s="434"/>
      <c r="AT13" s="434"/>
      <c r="AU13" s="434"/>
      <c r="AV13" s="434"/>
      <c r="AW13" s="434"/>
      <c r="AX13" s="434"/>
      <c r="AY13" s="434"/>
      <c r="AZ13" s="434"/>
      <c r="BA13" s="434"/>
      <c r="BB13" s="434"/>
      <c r="BC13" s="434"/>
      <c r="BD13" s="434"/>
      <c r="BE13" s="434"/>
    </row>
    <row r="14" spans="1:57" ht="14.65" customHeight="1">
      <c r="A14" s="434" t="s">
        <v>831</v>
      </c>
      <c r="B14" s="434"/>
      <c r="C14" s="434"/>
      <c r="D14" s="434"/>
      <c r="E14" s="580" t="s">
        <v>1150</v>
      </c>
      <c r="F14" s="580" t="s">
        <v>1151</v>
      </c>
      <c r="G14" s="580" t="s">
        <v>1152</v>
      </c>
      <c r="H14" s="580" t="s">
        <v>1153</v>
      </c>
      <c r="I14" s="581" t="s">
        <v>1154</v>
      </c>
      <c r="J14" s="581" t="s">
        <v>1155</v>
      </c>
      <c r="K14" s="581" t="s">
        <v>104</v>
      </c>
      <c r="L14" s="581" t="s">
        <v>1156</v>
      </c>
      <c r="M14" s="581" t="s">
        <v>1157</v>
      </c>
      <c r="N14" s="581" t="s">
        <v>948</v>
      </c>
      <c r="O14" s="581" t="s">
        <v>1158</v>
      </c>
      <c r="P14" s="581" t="s">
        <v>1159</v>
      </c>
      <c r="Q14" s="434"/>
      <c r="R14" s="434"/>
      <c r="S14" s="434"/>
      <c r="T14" s="434"/>
      <c r="U14" s="434"/>
      <c r="V14" s="434"/>
      <c r="W14" s="434"/>
      <c r="X14" s="434"/>
      <c r="Y14" s="434"/>
      <c r="Z14" s="434"/>
      <c r="AA14" s="434"/>
      <c r="AB14" s="434"/>
      <c r="AC14" s="434"/>
      <c r="AD14" s="434"/>
      <c r="AE14" s="434"/>
      <c r="AF14" s="434"/>
      <c r="AG14" s="434"/>
      <c r="AH14" s="434"/>
      <c r="AI14" s="434"/>
      <c r="AJ14" s="434"/>
      <c r="AK14" s="434"/>
      <c r="AL14" s="434"/>
      <c r="AM14" s="434"/>
      <c r="AN14" s="434"/>
      <c r="AO14" s="434"/>
      <c r="AP14" s="434"/>
      <c r="AQ14" s="434"/>
      <c r="AR14" s="434"/>
      <c r="AS14" s="434"/>
      <c r="AT14" s="434"/>
      <c r="AU14" s="434"/>
      <c r="AV14" s="434"/>
      <c r="AW14" s="434"/>
      <c r="AX14" s="434"/>
      <c r="AY14" s="434"/>
      <c r="AZ14" s="434"/>
      <c r="BA14" s="434"/>
      <c r="BB14" s="434"/>
      <c r="BC14" s="434"/>
      <c r="BD14" s="434"/>
      <c r="BE14" s="434"/>
    </row>
    <row r="15" spans="1:57" ht="14.65" customHeight="1">
      <c r="A15" s="439" t="s">
        <v>1090</v>
      </c>
      <c r="B15" s="439" t="s">
        <v>6</v>
      </c>
      <c r="C15" s="439" t="s">
        <v>1160</v>
      </c>
      <c r="D15" s="439" t="s">
        <v>1167</v>
      </c>
      <c r="E15" s="492">
        <f t="shared" ref="E15:E20" si="4">1-F15</f>
        <v>0</v>
      </c>
      <c r="F15" s="492">
        <f t="shared" ref="F15:F20" si="5">G15+H15</f>
        <v>1</v>
      </c>
      <c r="G15" s="492">
        <f t="shared" ref="G15:G20" si="6">1-H15</f>
        <v>1</v>
      </c>
      <c r="H15" s="492">
        <f t="shared" ref="H15:H20" si="7">+SUM(I15:O15)</f>
        <v>0</v>
      </c>
      <c r="I15" s="582">
        <v>0</v>
      </c>
      <c r="J15" s="582">
        <v>0</v>
      </c>
      <c r="K15" s="582">
        <v>0</v>
      </c>
      <c r="L15" s="582">
        <v>0</v>
      </c>
      <c r="M15" s="582">
        <v>0</v>
      </c>
      <c r="N15" s="447">
        <v>0</v>
      </c>
      <c r="O15" s="443">
        <v>0</v>
      </c>
      <c r="P15" s="443">
        <v>0</v>
      </c>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39" t="s">
        <v>1092</v>
      </c>
      <c r="B16" s="439" t="s">
        <v>6</v>
      </c>
      <c r="C16" s="439" t="s">
        <v>1160</v>
      </c>
      <c r="D16" s="439" t="s">
        <v>1168</v>
      </c>
      <c r="E16" s="492">
        <f t="shared" si="4"/>
        <v>0</v>
      </c>
      <c r="F16" s="492">
        <f t="shared" si="5"/>
        <v>1</v>
      </c>
      <c r="G16" s="492">
        <f t="shared" si="6"/>
        <v>0</v>
      </c>
      <c r="H16" s="492">
        <f t="shared" si="7"/>
        <v>1</v>
      </c>
      <c r="I16" s="583">
        <v>0.25</v>
      </c>
      <c r="J16" s="583">
        <v>0.25</v>
      </c>
      <c r="K16" s="583">
        <v>0.25</v>
      </c>
      <c r="L16" s="583">
        <v>0</v>
      </c>
      <c r="M16" s="583">
        <v>0.25</v>
      </c>
      <c r="N16" s="447">
        <v>0</v>
      </c>
      <c r="O16" s="443">
        <v>0</v>
      </c>
      <c r="P16" s="443">
        <v>0</v>
      </c>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39" t="s">
        <v>1094</v>
      </c>
      <c r="B17" s="439" t="s">
        <v>6</v>
      </c>
      <c r="C17" s="439" t="s">
        <v>1160</v>
      </c>
      <c r="D17" s="439" t="s">
        <v>1169</v>
      </c>
      <c r="E17" s="492">
        <f t="shared" si="4"/>
        <v>0</v>
      </c>
      <c r="F17" s="492">
        <f t="shared" si="5"/>
        <v>1</v>
      </c>
      <c r="G17" s="492">
        <f t="shared" si="6"/>
        <v>0</v>
      </c>
      <c r="H17" s="492">
        <f t="shared" si="7"/>
        <v>1</v>
      </c>
      <c r="I17" s="583">
        <v>0.25</v>
      </c>
      <c r="J17" s="583">
        <v>0.25</v>
      </c>
      <c r="K17" s="583">
        <v>0.25</v>
      </c>
      <c r="L17" s="583">
        <v>0</v>
      </c>
      <c r="M17" s="583">
        <v>0.25</v>
      </c>
      <c r="N17" s="447">
        <v>0</v>
      </c>
      <c r="O17" s="443">
        <v>0</v>
      </c>
      <c r="P17" s="443">
        <v>0</v>
      </c>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39" t="s">
        <v>1096</v>
      </c>
      <c r="B18" s="439" t="s">
        <v>6</v>
      </c>
      <c r="C18" s="439" t="s">
        <v>1160</v>
      </c>
      <c r="D18" s="439" t="s">
        <v>1170</v>
      </c>
      <c r="E18" s="492">
        <f t="shared" si="4"/>
        <v>0</v>
      </c>
      <c r="F18" s="492">
        <f t="shared" si="5"/>
        <v>1</v>
      </c>
      <c r="G18" s="492">
        <f t="shared" si="6"/>
        <v>0</v>
      </c>
      <c r="H18" s="492">
        <f t="shared" si="7"/>
        <v>1</v>
      </c>
      <c r="I18" s="583">
        <v>0.25</v>
      </c>
      <c r="J18" s="583">
        <v>0.25</v>
      </c>
      <c r="K18" s="583">
        <v>0.25</v>
      </c>
      <c r="L18" s="583">
        <v>0</v>
      </c>
      <c r="M18" s="583">
        <v>0.25</v>
      </c>
      <c r="N18" s="447">
        <v>0</v>
      </c>
      <c r="O18" s="443">
        <v>0</v>
      </c>
      <c r="P18" s="443">
        <v>0</v>
      </c>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39" t="s">
        <v>1098</v>
      </c>
      <c r="B19" s="439" t="s">
        <v>6</v>
      </c>
      <c r="C19" s="439" t="s">
        <v>1160</v>
      </c>
      <c r="D19" s="439" t="s">
        <v>1171</v>
      </c>
      <c r="E19" s="492">
        <f t="shared" si="4"/>
        <v>0</v>
      </c>
      <c r="F19" s="492">
        <f t="shared" si="5"/>
        <v>1</v>
      </c>
      <c r="G19" s="492">
        <f t="shared" si="6"/>
        <v>0</v>
      </c>
      <c r="H19" s="492">
        <f t="shared" si="7"/>
        <v>1</v>
      </c>
      <c r="I19" s="583">
        <v>0.25</v>
      </c>
      <c r="J19" s="583">
        <v>0.25</v>
      </c>
      <c r="K19" s="583">
        <v>0.25</v>
      </c>
      <c r="L19" s="583">
        <v>0</v>
      </c>
      <c r="M19" s="583">
        <v>0.25</v>
      </c>
      <c r="N19" s="447">
        <v>0</v>
      </c>
      <c r="O19" s="443">
        <v>0</v>
      </c>
      <c r="P19" s="443">
        <v>0</v>
      </c>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39" t="s">
        <v>1100</v>
      </c>
      <c r="B20" s="439" t="s">
        <v>6</v>
      </c>
      <c r="C20" s="439" t="s">
        <v>1160</v>
      </c>
      <c r="D20" s="439" t="s">
        <v>1172</v>
      </c>
      <c r="E20" s="492">
        <f t="shared" si="4"/>
        <v>0</v>
      </c>
      <c r="F20" s="492">
        <f t="shared" si="5"/>
        <v>1</v>
      </c>
      <c r="G20" s="492">
        <f t="shared" si="6"/>
        <v>0</v>
      </c>
      <c r="H20" s="492">
        <f t="shared" si="7"/>
        <v>1</v>
      </c>
      <c r="I20" s="583">
        <v>0</v>
      </c>
      <c r="J20" s="583">
        <v>0</v>
      </c>
      <c r="K20" s="583">
        <v>0.5</v>
      </c>
      <c r="L20" s="583">
        <v>0</v>
      </c>
      <c r="M20" s="583">
        <v>0.5</v>
      </c>
      <c r="N20" s="447">
        <v>0</v>
      </c>
      <c r="O20" s="443">
        <v>0</v>
      </c>
      <c r="P20" s="443">
        <v>0</v>
      </c>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s="424" customFormat="1">
      <c r="A21" s="427"/>
      <c r="B21" s="428"/>
      <c r="C21" s="429"/>
      <c r="D21" s="428"/>
      <c r="E21" s="492"/>
      <c r="F21" s="492"/>
      <c r="G21" s="492"/>
      <c r="H21" s="492"/>
      <c r="I21" s="519"/>
      <c r="J21" s="519"/>
      <c r="K21" s="519"/>
      <c r="L21" s="519"/>
      <c r="M21" s="519"/>
      <c r="N21" s="520"/>
      <c r="O21" s="518"/>
      <c r="P21" s="518"/>
      <c r="Q21" s="427"/>
      <c r="R21" s="427"/>
      <c r="S21" s="427"/>
      <c r="T21" s="427"/>
      <c r="U21" s="427"/>
      <c r="V21" s="427"/>
      <c r="W21" s="451"/>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ht="14.65" customHeight="1">
      <c r="A22" s="434" t="s">
        <v>1148</v>
      </c>
      <c r="B22" s="576"/>
      <c r="C22" s="577"/>
      <c r="D22" s="576"/>
      <c r="E22" s="579"/>
      <c r="F22" s="579"/>
      <c r="G22" s="579"/>
      <c r="H22" s="579"/>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34"/>
      <c r="AU22" s="434"/>
      <c r="AV22" s="434"/>
      <c r="AW22" s="434"/>
      <c r="AX22" s="434"/>
      <c r="AY22" s="434"/>
      <c r="AZ22" s="434"/>
      <c r="BA22" s="434"/>
      <c r="BB22" s="434"/>
      <c r="BC22" s="434"/>
      <c r="BD22" s="434"/>
      <c r="BE22" s="434"/>
    </row>
    <row r="23" spans="1:57" ht="14.65" customHeight="1">
      <c r="A23" s="434" t="s">
        <v>1173</v>
      </c>
      <c r="B23" s="576"/>
      <c r="C23" s="577"/>
      <c r="D23" s="576"/>
      <c r="E23" s="580" t="s">
        <v>1150</v>
      </c>
      <c r="F23" s="580" t="s">
        <v>1151</v>
      </c>
      <c r="G23" s="580" t="s">
        <v>1152</v>
      </c>
      <c r="H23" s="580" t="s">
        <v>1153</v>
      </c>
      <c r="I23" s="581" t="s">
        <v>1154</v>
      </c>
      <c r="J23" s="581" t="s">
        <v>1155</v>
      </c>
      <c r="K23" s="581" t="s">
        <v>104</v>
      </c>
      <c r="L23" s="581" t="s">
        <v>1156</v>
      </c>
      <c r="M23" s="581" t="s">
        <v>1157</v>
      </c>
      <c r="N23" s="581" t="s">
        <v>948</v>
      </c>
      <c r="O23" s="581" t="s">
        <v>1158</v>
      </c>
      <c r="P23" s="581" t="s">
        <v>1159</v>
      </c>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34"/>
      <c r="AU23" s="434"/>
      <c r="AV23" s="434"/>
      <c r="AW23" s="434"/>
      <c r="AX23" s="434"/>
      <c r="AY23" s="434"/>
      <c r="AZ23" s="434"/>
      <c r="BA23" s="434"/>
      <c r="BB23" s="434"/>
      <c r="BC23" s="434"/>
      <c r="BD23" s="434"/>
      <c r="BE23" s="434"/>
    </row>
    <row r="24" spans="1:57" ht="14.65" customHeight="1">
      <c r="A24" s="439" t="s">
        <v>1103</v>
      </c>
      <c r="B24" s="530" t="s">
        <v>6</v>
      </c>
      <c r="C24" s="528" t="s">
        <v>1160</v>
      </c>
      <c r="D24" s="530" t="s">
        <v>1174</v>
      </c>
      <c r="E24" s="492">
        <f t="shared" ref="E24:E34" si="8">1-F24</f>
        <v>0</v>
      </c>
      <c r="F24" s="492">
        <f t="shared" ref="F24:F34" si="9">G24+H24</f>
        <v>1</v>
      </c>
      <c r="G24" s="492">
        <f t="shared" ref="G24:G34" si="10">1-H24</f>
        <v>1</v>
      </c>
      <c r="H24" s="492">
        <f t="shared" ref="H24:H34" si="11">+SUM(I24:O24)</f>
        <v>0</v>
      </c>
      <c r="I24" s="582">
        <v>0</v>
      </c>
      <c r="J24" s="582">
        <v>0</v>
      </c>
      <c r="K24" s="582">
        <v>0</v>
      </c>
      <c r="L24" s="582">
        <v>0</v>
      </c>
      <c r="M24" s="582">
        <v>0</v>
      </c>
      <c r="N24" s="447">
        <v>0</v>
      </c>
      <c r="O24" s="443">
        <v>0</v>
      </c>
      <c r="P24" s="443">
        <v>0</v>
      </c>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39" t="s">
        <v>1105</v>
      </c>
      <c r="B25" s="530" t="s">
        <v>6</v>
      </c>
      <c r="C25" s="528" t="s">
        <v>1160</v>
      </c>
      <c r="D25" s="530" t="s">
        <v>1175</v>
      </c>
      <c r="E25" s="492">
        <f t="shared" si="8"/>
        <v>0</v>
      </c>
      <c r="F25" s="492">
        <f t="shared" si="9"/>
        <v>1</v>
      </c>
      <c r="G25" s="492">
        <f t="shared" si="10"/>
        <v>0</v>
      </c>
      <c r="H25" s="492">
        <f t="shared" si="11"/>
        <v>1</v>
      </c>
      <c r="I25" s="583">
        <v>0</v>
      </c>
      <c r="J25" s="583">
        <v>0</v>
      </c>
      <c r="K25" s="583">
        <v>0.5</v>
      </c>
      <c r="L25" s="583">
        <v>0.5</v>
      </c>
      <c r="M25" s="583">
        <v>0</v>
      </c>
      <c r="N25" s="447">
        <v>0</v>
      </c>
      <c r="O25" s="443">
        <v>0</v>
      </c>
      <c r="P25" s="443">
        <v>0</v>
      </c>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39" t="s">
        <v>1107</v>
      </c>
      <c r="B26" s="530" t="s">
        <v>6</v>
      </c>
      <c r="C26" s="528" t="s">
        <v>1160</v>
      </c>
      <c r="D26" s="530" t="s">
        <v>1176</v>
      </c>
      <c r="E26" s="492">
        <f t="shared" si="8"/>
        <v>0</v>
      </c>
      <c r="F26" s="492">
        <f t="shared" si="9"/>
        <v>1</v>
      </c>
      <c r="G26" s="492">
        <f t="shared" si="10"/>
        <v>0</v>
      </c>
      <c r="H26" s="492">
        <f t="shared" si="11"/>
        <v>1</v>
      </c>
      <c r="I26" s="583">
        <v>0</v>
      </c>
      <c r="J26" s="583">
        <v>0</v>
      </c>
      <c r="K26" s="583">
        <v>0.5</v>
      </c>
      <c r="L26" s="583">
        <v>0.5</v>
      </c>
      <c r="M26" s="583">
        <v>0</v>
      </c>
      <c r="N26" s="447">
        <v>0</v>
      </c>
      <c r="O26" s="443">
        <v>0</v>
      </c>
      <c r="P26" s="443">
        <v>0</v>
      </c>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39" t="s">
        <v>1109</v>
      </c>
      <c r="B27" s="530" t="s">
        <v>6</v>
      </c>
      <c r="C27" s="528" t="s">
        <v>1160</v>
      </c>
      <c r="D27" s="530" t="s">
        <v>1177</v>
      </c>
      <c r="E27" s="492">
        <f t="shared" si="8"/>
        <v>0</v>
      </c>
      <c r="F27" s="492">
        <f t="shared" si="9"/>
        <v>1</v>
      </c>
      <c r="G27" s="492">
        <f t="shared" si="10"/>
        <v>1</v>
      </c>
      <c r="H27" s="492">
        <f t="shared" si="11"/>
        <v>0</v>
      </c>
      <c r="I27" s="583">
        <v>0</v>
      </c>
      <c r="J27" s="583">
        <v>0</v>
      </c>
      <c r="K27" s="583">
        <v>0</v>
      </c>
      <c r="L27" s="583">
        <v>0</v>
      </c>
      <c r="M27" s="583">
        <v>0</v>
      </c>
      <c r="N27" s="447">
        <v>0</v>
      </c>
      <c r="O27" s="443">
        <v>0</v>
      </c>
      <c r="P27" s="443">
        <v>0</v>
      </c>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39" t="s">
        <v>1111</v>
      </c>
      <c r="B28" s="530" t="s">
        <v>6</v>
      </c>
      <c r="C28" s="528" t="s">
        <v>1160</v>
      </c>
      <c r="D28" s="530" t="s">
        <v>1178</v>
      </c>
      <c r="E28" s="492">
        <f t="shared" si="8"/>
        <v>0</v>
      </c>
      <c r="F28" s="492">
        <f t="shared" si="9"/>
        <v>1</v>
      </c>
      <c r="G28" s="492">
        <f t="shared" si="10"/>
        <v>1</v>
      </c>
      <c r="H28" s="492">
        <f t="shared" si="11"/>
        <v>0</v>
      </c>
      <c r="I28" s="583">
        <v>0</v>
      </c>
      <c r="J28" s="583">
        <v>0</v>
      </c>
      <c r="K28" s="583">
        <v>0</v>
      </c>
      <c r="L28" s="583">
        <v>0</v>
      </c>
      <c r="M28" s="583">
        <v>0</v>
      </c>
      <c r="N28" s="447">
        <v>0</v>
      </c>
      <c r="O28" s="443">
        <v>0</v>
      </c>
      <c r="P28" s="443">
        <v>0</v>
      </c>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39" t="s">
        <v>1113</v>
      </c>
      <c r="B29" s="530" t="s">
        <v>6</v>
      </c>
      <c r="C29" s="528" t="s">
        <v>1160</v>
      </c>
      <c r="D29" s="530" t="s">
        <v>1179</v>
      </c>
      <c r="E29" s="492">
        <f t="shared" si="8"/>
        <v>0</v>
      </c>
      <c r="F29" s="492">
        <f t="shared" si="9"/>
        <v>1</v>
      </c>
      <c r="G29" s="492">
        <f t="shared" si="10"/>
        <v>1</v>
      </c>
      <c r="H29" s="492">
        <f t="shared" si="11"/>
        <v>0</v>
      </c>
      <c r="I29" s="583">
        <v>0</v>
      </c>
      <c r="J29" s="583">
        <v>0</v>
      </c>
      <c r="K29" s="583">
        <v>0</v>
      </c>
      <c r="L29" s="583">
        <v>0</v>
      </c>
      <c r="M29" s="583">
        <v>0</v>
      </c>
      <c r="N29" s="447">
        <v>0</v>
      </c>
      <c r="O29" s="443">
        <v>0</v>
      </c>
      <c r="P29" s="443">
        <v>0</v>
      </c>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39" t="s">
        <v>1115</v>
      </c>
      <c r="B30" s="530" t="s">
        <v>6</v>
      </c>
      <c r="C30" s="528" t="s">
        <v>1160</v>
      </c>
      <c r="D30" s="530" t="s">
        <v>1180</v>
      </c>
      <c r="E30" s="492">
        <f t="shared" si="8"/>
        <v>0</v>
      </c>
      <c r="F30" s="492">
        <f t="shared" si="9"/>
        <v>1</v>
      </c>
      <c r="G30" s="492">
        <f t="shared" si="10"/>
        <v>1</v>
      </c>
      <c r="H30" s="492">
        <f t="shared" si="11"/>
        <v>0</v>
      </c>
      <c r="I30" s="583">
        <v>0</v>
      </c>
      <c r="J30" s="583">
        <v>0</v>
      </c>
      <c r="K30" s="583">
        <v>0</v>
      </c>
      <c r="L30" s="583">
        <v>0</v>
      </c>
      <c r="M30" s="583">
        <v>0</v>
      </c>
      <c r="N30" s="447">
        <v>0</v>
      </c>
      <c r="O30" s="443">
        <v>0</v>
      </c>
      <c r="P30" s="443">
        <v>0</v>
      </c>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39" t="s">
        <v>1117</v>
      </c>
      <c r="B31" s="530" t="s">
        <v>6</v>
      </c>
      <c r="C31" s="528" t="s">
        <v>1160</v>
      </c>
      <c r="D31" s="530" t="s">
        <v>1181</v>
      </c>
      <c r="E31" s="492">
        <f t="shared" si="8"/>
        <v>0</v>
      </c>
      <c r="F31" s="492">
        <f t="shared" si="9"/>
        <v>1</v>
      </c>
      <c r="G31" s="492">
        <f t="shared" si="10"/>
        <v>1</v>
      </c>
      <c r="H31" s="492">
        <f t="shared" si="11"/>
        <v>0</v>
      </c>
      <c r="I31" s="583">
        <v>0</v>
      </c>
      <c r="J31" s="583">
        <v>0</v>
      </c>
      <c r="K31" s="583">
        <v>0</v>
      </c>
      <c r="L31" s="583">
        <v>0</v>
      </c>
      <c r="M31" s="583">
        <v>0</v>
      </c>
      <c r="N31" s="447">
        <v>0</v>
      </c>
      <c r="O31" s="443">
        <v>0</v>
      </c>
      <c r="P31" s="443">
        <v>0</v>
      </c>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39" t="s">
        <v>1119</v>
      </c>
      <c r="B32" s="530" t="s">
        <v>6</v>
      </c>
      <c r="C32" s="528" t="s">
        <v>1160</v>
      </c>
      <c r="D32" s="530" t="s">
        <v>1182</v>
      </c>
      <c r="E32" s="492">
        <f t="shared" si="8"/>
        <v>0</v>
      </c>
      <c r="F32" s="492">
        <f t="shared" si="9"/>
        <v>1</v>
      </c>
      <c r="G32" s="492">
        <f t="shared" si="10"/>
        <v>1</v>
      </c>
      <c r="H32" s="492">
        <f t="shared" si="11"/>
        <v>0</v>
      </c>
      <c r="I32" s="583">
        <v>0</v>
      </c>
      <c r="J32" s="583">
        <v>0</v>
      </c>
      <c r="K32" s="583">
        <v>0</v>
      </c>
      <c r="L32" s="583">
        <v>0</v>
      </c>
      <c r="M32" s="583">
        <v>0</v>
      </c>
      <c r="N32" s="447">
        <v>0</v>
      </c>
      <c r="O32" s="443">
        <v>0</v>
      </c>
      <c r="P32" s="443">
        <v>0</v>
      </c>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39" t="s">
        <v>1121</v>
      </c>
      <c r="B33" s="530" t="s">
        <v>6</v>
      </c>
      <c r="C33" s="528" t="s">
        <v>1160</v>
      </c>
      <c r="D33" s="530" t="s">
        <v>1183</v>
      </c>
      <c r="E33" s="492">
        <f t="shared" si="8"/>
        <v>0</v>
      </c>
      <c r="F33" s="492">
        <f t="shared" si="9"/>
        <v>1</v>
      </c>
      <c r="G33" s="492">
        <f t="shared" si="10"/>
        <v>1</v>
      </c>
      <c r="H33" s="492">
        <f t="shared" si="11"/>
        <v>0</v>
      </c>
      <c r="I33" s="583">
        <v>0</v>
      </c>
      <c r="J33" s="583">
        <v>0</v>
      </c>
      <c r="K33" s="583">
        <v>0</v>
      </c>
      <c r="L33" s="583">
        <v>0</v>
      </c>
      <c r="M33" s="583">
        <v>0</v>
      </c>
      <c r="N33" s="447">
        <v>0</v>
      </c>
      <c r="O33" s="443">
        <v>0</v>
      </c>
      <c r="P33" s="443">
        <v>0</v>
      </c>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39" t="s">
        <v>1123</v>
      </c>
      <c r="B34" s="530" t="s">
        <v>6</v>
      </c>
      <c r="C34" s="528" t="s">
        <v>1160</v>
      </c>
      <c r="D34" s="530" t="s">
        <v>1184</v>
      </c>
      <c r="E34" s="492">
        <f t="shared" si="8"/>
        <v>0</v>
      </c>
      <c r="F34" s="492">
        <f t="shared" si="9"/>
        <v>1</v>
      </c>
      <c r="G34" s="492">
        <f t="shared" si="10"/>
        <v>1</v>
      </c>
      <c r="H34" s="492">
        <f t="shared" si="11"/>
        <v>0</v>
      </c>
      <c r="I34" s="583">
        <v>0</v>
      </c>
      <c r="J34" s="583">
        <v>0</v>
      </c>
      <c r="K34" s="583">
        <v>0</v>
      </c>
      <c r="L34" s="583">
        <v>0</v>
      </c>
      <c r="M34" s="583">
        <v>0</v>
      </c>
      <c r="N34" s="447">
        <v>0</v>
      </c>
      <c r="O34" s="443">
        <v>0</v>
      </c>
      <c r="P34" s="443">
        <v>0</v>
      </c>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ht="14.65" customHeight="1">
      <c r="A36" s="439" t="s">
        <v>1148</v>
      </c>
      <c r="B36" s="428"/>
      <c r="C36" s="429"/>
      <c r="D36" s="428"/>
      <c r="E36" s="557"/>
      <c r="F36" s="557"/>
      <c r="G36" s="557"/>
      <c r="H36" s="55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ht="14.65" customHeight="1">
      <c r="A37" s="439" t="s">
        <v>1185</v>
      </c>
      <c r="B37" s="428"/>
      <c r="C37" s="429"/>
      <c r="D37" s="428"/>
      <c r="E37" s="584" t="s">
        <v>1150</v>
      </c>
      <c r="F37" s="584" t="s">
        <v>1151</v>
      </c>
      <c r="G37" s="584" t="s">
        <v>1152</v>
      </c>
      <c r="H37" s="584" t="s">
        <v>1153</v>
      </c>
      <c r="I37" s="585" t="s">
        <v>1154</v>
      </c>
      <c r="J37" s="585" t="s">
        <v>1155</v>
      </c>
      <c r="K37" s="585" t="s">
        <v>104</v>
      </c>
      <c r="L37" s="585" t="s">
        <v>1156</v>
      </c>
      <c r="M37" s="585" t="s">
        <v>1157</v>
      </c>
      <c r="N37" s="585" t="s">
        <v>948</v>
      </c>
      <c r="O37" s="585" t="s">
        <v>1158</v>
      </c>
      <c r="P37" s="585" t="s">
        <v>1159</v>
      </c>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ht="14.65" customHeight="1">
      <c r="A38" s="439" t="s">
        <v>1125</v>
      </c>
      <c r="B38" s="530" t="s">
        <v>6</v>
      </c>
      <c r="C38" s="528" t="s">
        <v>1160</v>
      </c>
      <c r="D38" s="530" t="s">
        <v>1186</v>
      </c>
      <c r="E38" s="492">
        <f t="shared" ref="E38:E49" si="12">1-F38</f>
        <v>0</v>
      </c>
      <c r="F38" s="492">
        <f t="shared" ref="F38:F49" si="13">G38+H38</f>
        <v>1</v>
      </c>
      <c r="G38" s="492">
        <f>1-H38</f>
        <v>1</v>
      </c>
      <c r="H38" s="492">
        <f t="shared" ref="H38:H49" si="14">+SUM(I38:O38)</f>
        <v>0</v>
      </c>
      <c r="I38" s="582">
        <v>0</v>
      </c>
      <c r="J38" s="582">
        <v>0</v>
      </c>
      <c r="K38" s="582">
        <v>0</v>
      </c>
      <c r="L38" s="582">
        <v>0</v>
      </c>
      <c r="M38" s="582">
        <v>0</v>
      </c>
      <c r="N38" s="447">
        <v>0</v>
      </c>
      <c r="O38" s="443">
        <v>0</v>
      </c>
      <c r="P38" s="443">
        <v>0</v>
      </c>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39" t="s">
        <v>1127</v>
      </c>
      <c r="B39" s="530" t="s">
        <v>6</v>
      </c>
      <c r="C39" s="528" t="s">
        <v>1160</v>
      </c>
      <c r="D39" s="530" t="s">
        <v>1187</v>
      </c>
      <c r="E39" s="492">
        <f t="shared" si="12"/>
        <v>0</v>
      </c>
      <c r="F39" s="492">
        <f t="shared" si="13"/>
        <v>1</v>
      </c>
      <c r="G39" s="492">
        <f>1-H39</f>
        <v>1</v>
      </c>
      <c r="H39" s="492">
        <f t="shared" si="14"/>
        <v>0</v>
      </c>
      <c r="I39" s="583">
        <v>0</v>
      </c>
      <c r="J39" s="583">
        <v>0</v>
      </c>
      <c r="K39" s="583">
        <v>0</v>
      </c>
      <c r="L39" s="583">
        <v>0</v>
      </c>
      <c r="M39" s="583">
        <v>0</v>
      </c>
      <c r="N39" s="447">
        <v>0</v>
      </c>
      <c r="O39" s="443">
        <v>0</v>
      </c>
      <c r="P39" s="443">
        <v>0</v>
      </c>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39" t="s">
        <v>1129</v>
      </c>
      <c r="B40" s="530" t="s">
        <v>6</v>
      </c>
      <c r="C40" s="528" t="s">
        <v>1160</v>
      </c>
      <c r="D40" s="530" t="s">
        <v>1188</v>
      </c>
      <c r="E40" s="492">
        <f t="shared" si="12"/>
        <v>0</v>
      </c>
      <c r="F40" s="492">
        <f t="shared" si="13"/>
        <v>1</v>
      </c>
      <c r="G40" s="492">
        <f>1-H40</f>
        <v>1</v>
      </c>
      <c r="H40" s="492">
        <f t="shared" si="14"/>
        <v>0</v>
      </c>
      <c r="I40" s="583">
        <v>0</v>
      </c>
      <c r="J40" s="583">
        <v>0</v>
      </c>
      <c r="K40" s="583">
        <v>0</v>
      </c>
      <c r="L40" s="583">
        <v>0</v>
      </c>
      <c r="M40" s="583">
        <v>0</v>
      </c>
      <c r="N40" s="447">
        <v>0</v>
      </c>
      <c r="O40" s="443">
        <v>0</v>
      </c>
      <c r="P40" s="443">
        <v>0</v>
      </c>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39" t="s">
        <v>1131</v>
      </c>
      <c r="B41" s="530" t="s">
        <v>6</v>
      </c>
      <c r="C41" s="528" t="s">
        <v>1160</v>
      </c>
      <c r="D41" s="530" t="s">
        <v>1189</v>
      </c>
      <c r="E41" s="492">
        <f t="shared" si="12"/>
        <v>0</v>
      </c>
      <c r="F41" s="492">
        <f t="shared" si="13"/>
        <v>1</v>
      </c>
      <c r="G41" s="492">
        <f>1-H41</f>
        <v>0</v>
      </c>
      <c r="H41" s="492">
        <f t="shared" si="14"/>
        <v>1</v>
      </c>
      <c r="I41" s="583">
        <v>0.25</v>
      </c>
      <c r="J41" s="583">
        <v>0.25</v>
      </c>
      <c r="K41" s="583">
        <v>0.25</v>
      </c>
      <c r="L41" s="583">
        <v>0</v>
      </c>
      <c r="M41" s="583">
        <v>0.25</v>
      </c>
      <c r="N41" s="447">
        <v>0</v>
      </c>
      <c r="O41" s="443">
        <v>0</v>
      </c>
      <c r="P41" s="443">
        <v>0</v>
      </c>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39" t="s">
        <v>1133</v>
      </c>
      <c r="B42" s="530" t="s">
        <v>6</v>
      </c>
      <c r="C42" s="528" t="s">
        <v>1160</v>
      </c>
      <c r="D42" s="530" t="s">
        <v>1190</v>
      </c>
      <c r="E42" s="492">
        <f t="shared" si="12"/>
        <v>0</v>
      </c>
      <c r="F42" s="492">
        <f t="shared" si="13"/>
        <v>1</v>
      </c>
      <c r="G42" s="492">
        <f>1-H42</f>
        <v>1</v>
      </c>
      <c r="H42" s="492">
        <f t="shared" si="14"/>
        <v>0</v>
      </c>
      <c r="I42" s="583">
        <v>0</v>
      </c>
      <c r="J42" s="583">
        <v>0</v>
      </c>
      <c r="K42" s="583">
        <v>0</v>
      </c>
      <c r="L42" s="583">
        <v>0</v>
      </c>
      <c r="M42" s="583">
        <v>0</v>
      </c>
      <c r="N42" s="447">
        <v>0</v>
      </c>
      <c r="O42" s="443">
        <v>0</v>
      </c>
      <c r="P42" s="443">
        <v>0</v>
      </c>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39" t="s">
        <v>1134</v>
      </c>
      <c r="B43" s="530" t="s">
        <v>6</v>
      </c>
      <c r="C43" s="528" t="s">
        <v>1160</v>
      </c>
      <c r="D43" s="530" t="s">
        <v>1191</v>
      </c>
      <c r="E43" s="492">
        <f t="shared" si="12"/>
        <v>0</v>
      </c>
      <c r="F43" s="492">
        <f t="shared" si="13"/>
        <v>1</v>
      </c>
      <c r="G43" s="492">
        <f>1-H43-P43</f>
        <v>1</v>
      </c>
      <c r="H43" s="492">
        <f t="shared" si="14"/>
        <v>0</v>
      </c>
      <c r="I43" s="583">
        <v>0</v>
      </c>
      <c r="J43" s="583">
        <v>0</v>
      </c>
      <c r="K43" s="583">
        <v>0</v>
      </c>
      <c r="L43" s="583">
        <v>0</v>
      </c>
      <c r="M43" s="583">
        <v>0</v>
      </c>
      <c r="N43" s="447">
        <v>0</v>
      </c>
      <c r="O43" s="443">
        <v>0</v>
      </c>
      <c r="P43" s="443">
        <v>0</v>
      </c>
      <c r="Q43" s="427"/>
      <c r="R43" s="427"/>
      <c r="S43" s="427"/>
      <c r="T43" s="427"/>
      <c r="U43" s="427"/>
      <c r="V43" s="427"/>
      <c r="W43" s="451"/>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39" t="s">
        <v>1136</v>
      </c>
      <c r="B44" s="530" t="s">
        <v>6</v>
      </c>
      <c r="C44" s="528" t="s">
        <v>1160</v>
      </c>
      <c r="D44" s="530" t="s">
        <v>1192</v>
      </c>
      <c r="E44" s="492">
        <f t="shared" si="12"/>
        <v>0</v>
      </c>
      <c r="F44" s="492">
        <f t="shared" si="13"/>
        <v>1</v>
      </c>
      <c r="G44" s="492">
        <f t="shared" ref="G44:G49" si="15">1-H44</f>
        <v>0</v>
      </c>
      <c r="H44" s="492">
        <f t="shared" si="14"/>
        <v>1</v>
      </c>
      <c r="I44" s="583">
        <v>0.25</v>
      </c>
      <c r="J44" s="583">
        <v>0.25</v>
      </c>
      <c r="K44" s="583">
        <v>0.25</v>
      </c>
      <c r="L44" s="583">
        <v>0</v>
      </c>
      <c r="M44" s="583">
        <v>0.25</v>
      </c>
      <c r="N44" s="447">
        <v>0</v>
      </c>
      <c r="O44" s="443">
        <v>0</v>
      </c>
      <c r="P44" s="443">
        <v>0</v>
      </c>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39" t="s">
        <v>1138</v>
      </c>
      <c r="B45" s="530" t="s">
        <v>6</v>
      </c>
      <c r="C45" s="528" t="s">
        <v>1160</v>
      </c>
      <c r="D45" s="530" t="s">
        <v>1193</v>
      </c>
      <c r="E45" s="492">
        <f t="shared" si="12"/>
        <v>0</v>
      </c>
      <c r="F45" s="492">
        <f t="shared" si="13"/>
        <v>1</v>
      </c>
      <c r="G45" s="492">
        <f t="shared" si="15"/>
        <v>1</v>
      </c>
      <c r="H45" s="492">
        <f t="shared" si="14"/>
        <v>0</v>
      </c>
      <c r="I45" s="583">
        <v>0</v>
      </c>
      <c r="J45" s="583">
        <v>0</v>
      </c>
      <c r="K45" s="583">
        <v>0</v>
      </c>
      <c r="L45" s="583">
        <v>0</v>
      </c>
      <c r="M45" s="583">
        <v>0</v>
      </c>
      <c r="N45" s="447">
        <v>0</v>
      </c>
      <c r="O45" s="443">
        <v>0</v>
      </c>
      <c r="P45" s="443">
        <v>0</v>
      </c>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39" t="s">
        <v>1140</v>
      </c>
      <c r="B46" s="530" t="s">
        <v>6</v>
      </c>
      <c r="C46" s="528" t="s">
        <v>1160</v>
      </c>
      <c r="D46" s="530" t="s">
        <v>1194</v>
      </c>
      <c r="E46" s="492">
        <f t="shared" si="12"/>
        <v>0</v>
      </c>
      <c r="F46" s="492">
        <f t="shared" si="13"/>
        <v>1</v>
      </c>
      <c r="G46" s="492">
        <f t="shared" si="15"/>
        <v>0</v>
      </c>
      <c r="H46" s="492">
        <f t="shared" si="14"/>
        <v>1</v>
      </c>
      <c r="I46" s="583">
        <v>0.25</v>
      </c>
      <c r="J46" s="583">
        <v>0.25</v>
      </c>
      <c r="K46" s="583">
        <v>0.25</v>
      </c>
      <c r="L46" s="583">
        <v>0</v>
      </c>
      <c r="M46" s="583">
        <v>0.25</v>
      </c>
      <c r="N46" s="447">
        <v>0</v>
      </c>
      <c r="O46" s="443">
        <v>0</v>
      </c>
      <c r="P46" s="443">
        <v>0</v>
      </c>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39" t="s">
        <v>1142</v>
      </c>
      <c r="B47" s="530" t="s">
        <v>6</v>
      </c>
      <c r="C47" s="528" t="s">
        <v>1160</v>
      </c>
      <c r="D47" s="530" t="s">
        <v>1195</v>
      </c>
      <c r="E47" s="492">
        <f t="shared" si="12"/>
        <v>0</v>
      </c>
      <c r="F47" s="492">
        <f t="shared" si="13"/>
        <v>1</v>
      </c>
      <c r="G47" s="492">
        <f t="shared" si="15"/>
        <v>0</v>
      </c>
      <c r="H47" s="492">
        <f t="shared" si="14"/>
        <v>1</v>
      </c>
      <c r="I47" s="583">
        <v>0.25</v>
      </c>
      <c r="J47" s="583">
        <v>0.25</v>
      </c>
      <c r="K47" s="583">
        <v>0.25</v>
      </c>
      <c r="L47" s="583">
        <v>0</v>
      </c>
      <c r="M47" s="583">
        <v>0.25</v>
      </c>
      <c r="N47" s="447">
        <v>0</v>
      </c>
      <c r="O47" s="443">
        <v>0</v>
      </c>
      <c r="P47" s="443">
        <v>0</v>
      </c>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39" t="s">
        <v>1144</v>
      </c>
      <c r="B48" s="530" t="s">
        <v>6</v>
      </c>
      <c r="C48" s="528" t="s">
        <v>1160</v>
      </c>
      <c r="D48" s="530" t="s">
        <v>1196</v>
      </c>
      <c r="E48" s="492">
        <f t="shared" si="12"/>
        <v>0</v>
      </c>
      <c r="F48" s="492">
        <f t="shared" si="13"/>
        <v>1</v>
      </c>
      <c r="G48" s="492">
        <f t="shared" si="15"/>
        <v>1</v>
      </c>
      <c r="H48" s="492">
        <f t="shared" si="14"/>
        <v>0</v>
      </c>
      <c r="I48" s="583">
        <v>0</v>
      </c>
      <c r="J48" s="583">
        <v>0</v>
      </c>
      <c r="K48" s="583">
        <v>0</v>
      </c>
      <c r="L48" s="583">
        <v>0</v>
      </c>
      <c r="M48" s="583">
        <v>0</v>
      </c>
      <c r="N48" s="447">
        <v>0</v>
      </c>
      <c r="O48" s="443">
        <v>0</v>
      </c>
      <c r="P48" s="443">
        <v>0</v>
      </c>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39" t="s">
        <v>1146</v>
      </c>
      <c r="B49" s="530" t="s">
        <v>6</v>
      </c>
      <c r="C49" s="528" t="s">
        <v>1160</v>
      </c>
      <c r="D49" s="530" t="s">
        <v>1197</v>
      </c>
      <c r="E49" s="492">
        <f t="shared" si="12"/>
        <v>0</v>
      </c>
      <c r="F49" s="492">
        <f t="shared" si="13"/>
        <v>1</v>
      </c>
      <c r="G49" s="492">
        <f t="shared" si="15"/>
        <v>1</v>
      </c>
      <c r="H49" s="492">
        <f t="shared" si="14"/>
        <v>0</v>
      </c>
      <c r="I49" s="583">
        <v>0</v>
      </c>
      <c r="J49" s="583">
        <v>0</v>
      </c>
      <c r="K49" s="583">
        <v>0</v>
      </c>
      <c r="L49" s="583">
        <v>0</v>
      </c>
      <c r="M49" s="583">
        <v>0</v>
      </c>
      <c r="N49" s="447">
        <v>0</v>
      </c>
      <c r="O49" s="443">
        <v>0</v>
      </c>
      <c r="P49" s="443">
        <v>0</v>
      </c>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2</vt:i4>
      </vt:variant>
    </vt:vector>
  </HeadingPairs>
  <TitlesOfParts>
    <vt:vector size="36"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lgh_diags</vt:lpstr>
      <vt:lpstr>c12_inputs</vt:lpstr>
      <vt:lpstr>c12_oc</vt:lpstr>
      <vt:lpstr>c12_bs</vt:lpstr>
      <vt:lpstr>c12_hm</vt:lpstr>
      <vt:lpstr>c12_d&amp;s</vt:lpstr>
      <vt:lpstr>c12_bi&amp;F</vt:lpstr>
      <vt:lpstr>.c12_inputs.hr</vt:lpstr>
      <vt:lpstr>.c12_oc_hr</vt:lpstr>
      <vt:lpstr>.c12_hm_hr</vt:lpstr>
      <vt:lpstr>.c12_d&amp;s_hr</vt:lpstr>
      <vt:lpstr>.c12_bi&amp;f_hr</vt:lpstr>
      <vt:lpstr>.c12_alloc</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2026-05-31T15:41:22Z</dcterms:modified>
</cp:coreProperties>
</file>